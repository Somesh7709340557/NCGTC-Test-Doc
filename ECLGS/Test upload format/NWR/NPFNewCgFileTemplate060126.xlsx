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Sheet1!$A$1:$AN$9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<sst xmlns="http://schemas.openxmlformats.org/spreadsheetml/2006/main" count="226" uniqueCount="92">
  <si>
    <t>ApplicantName</t>
  </si>
  <si>
    <t>Gender</t>
  </si>
  <si>
    <t>DateOfBirth</t>
  </si>
  <si>
    <t>EmailId</t>
  </si>
  <si>
    <t>MobileNo</t>
  </si>
  <si>
    <t>PanNo</t>
  </si>
  <si>
    <t>Religion</t>
  </si>
  <si>
    <t>CasteCategory</t>
  </si>
  <si>
    <t>PresentAddressLine</t>
  </si>
  <si>
    <t>PresentCityTownVillage</t>
  </si>
  <si>
    <t>PresentDistrict</t>
  </si>
  <si>
    <t>PresentState</t>
  </si>
  <si>
    <t>PresentPinCode</t>
  </si>
  <si>
    <t>PermanentAddressLine</t>
  </si>
  <si>
    <t>PermanentCityTownVillage</t>
  </si>
  <si>
    <t>PermanentDistrict</t>
  </si>
  <si>
    <t>PermanentState</t>
  </si>
  <si>
    <t>PermanentPinCode</t>
  </si>
  <si>
    <t>CustomerID</t>
  </si>
  <si>
    <t>LoanAccountNumber</t>
  </si>
  <si>
    <t>SanctionedLoanAmount</t>
  </si>
  <si>
    <t>SanctionedLoanDate</t>
  </si>
  <si>
    <t>LoanTenure</t>
  </si>
  <si>
    <t>WarehouseRegistrationNumber</t>
  </si>
  <si>
    <t>WarehouseReceiptNumber</t>
  </si>
  <si>
    <t>PledgedStock</t>
  </si>
  <si>
    <t>ValueOfPledgedStock</t>
  </si>
  <si>
    <t>QuantityOfPledgedStock</t>
  </si>
  <si>
    <t>UnitOfMeasurementOfPledgedStock</t>
  </si>
  <si>
    <t>EligibilityCategory</t>
  </si>
  <si>
    <t>ForAgricultureSector</t>
  </si>
  <si>
    <t>ForOthers</t>
  </si>
  <si>
    <t>DisbursementAmount</t>
  </si>
  <si>
    <t>DateOfDisbursement</t>
  </si>
  <si>
    <t>LoanOutstandingAmount</t>
  </si>
  <si>
    <t>ReferenceRate</t>
  </si>
  <si>
    <t>InterestRateBeingChargedOnLoan</t>
  </si>
  <si>
    <t>BorrowerType</t>
  </si>
  <si>
    <t>PrincipalOutstanding</t>
  </si>
  <si>
    <t>InterestOutstanding</t>
  </si>
  <si>
    <t>somesh01</t>
  </si>
  <si>
    <t>M</t>
  </si>
  <si>
    <t>10-12-2020</t>
  </si>
  <si>
    <t>abc1@gamil.com</t>
  </si>
  <si>
    <t>9818307467</t>
  </si>
  <si>
    <t>ehjno9872l</t>
  </si>
  <si>
    <t>delhi</t>
  </si>
  <si>
    <t>noid</t>
  </si>
  <si>
    <t>021</t>
  </si>
  <si>
    <t>01</t>
  </si>
  <si>
    <t>LONDON</t>
  </si>
  <si>
    <t>AMERICA</t>
  </si>
  <si>
    <t>14-03-2025</t>
  </si>
  <si>
    <t>Warehouse01</t>
  </si>
  <si>
    <t>WarehouseReceiptNumber01</t>
  </si>
  <si>
    <t>text</t>
  </si>
  <si>
    <t>18-04-2026</t>
  </si>
  <si>
    <t>somesh02</t>
  </si>
  <si>
    <t>F</t>
  </si>
  <si>
    <t>ehjno9868l</t>
  </si>
  <si>
    <t>010</t>
  </si>
  <si>
    <t>WarehouseReceiptNumber02</t>
  </si>
  <si>
    <t>somesh03</t>
  </si>
  <si>
    <t>ehjno7679l</t>
  </si>
  <si>
    <t>09</t>
  </si>
  <si>
    <t>WarehouseReceiptNumber03</t>
  </si>
  <si>
    <t>somesh04</t>
  </si>
  <si>
    <t>ehjno9872K</t>
  </si>
  <si>
    <t>08</t>
  </si>
  <si>
    <t>Warehouse04</t>
  </si>
  <si>
    <t>WarehouseReceiptNumber04</t>
  </si>
  <si>
    <t>somesh05</t>
  </si>
  <si>
    <t>ehjno9454l</t>
  </si>
  <si>
    <t>Warehouse05</t>
  </si>
  <si>
    <t>WarehouseReceiptNumber05</t>
  </si>
  <si>
    <t>somesh06</t>
  </si>
  <si>
    <t>Warehouse06</t>
  </si>
  <si>
    <t>WarehouseReceiptNumber06</t>
  </si>
  <si>
    <t>somesh07</t>
  </si>
  <si>
    <t>ehjno9861i</t>
  </si>
  <si>
    <t>Warehouse07</t>
  </si>
  <si>
    <t>WarehouseReceiptNumber07</t>
  </si>
  <si>
    <t>somesh08</t>
  </si>
  <si>
    <t>ehjno9881l</t>
  </si>
  <si>
    <t>Warehouse08</t>
  </si>
  <si>
    <t>WarehouseReceiptNumber08</t>
  </si>
  <si>
    <t>somesh09</t>
  </si>
  <si>
    <t>Warehouse09</t>
  </si>
  <si>
    <t>WarehouseReceiptNumber09</t>
  </si>
  <si>
    <t>somesh10</t>
  </si>
  <si>
    <t>Warehouse10</t>
  </si>
  <si>
    <t>WarehouseReceiptNumber10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</si>
</sst>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/>
    <xf numFmtId="0" fontId="1" fillId="0" borderId="0" xfId="6"/>
    <xf numFmtId="0" fontId="0" fillId="0" borderId="0" xfId="0" applyAlignment="1" quotePrefix="1">
      <alignment horizontal="center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2" defaultPivotStyle="PivotStyleLight16">
    <tableStyle name="Invisible" pivot="0" table="0" count="0" xr9:uid="{A7630D18-5EB3-4820-9CED-168B82B3818B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1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1"/>
  <sheetViews>
    <sheetView tabSelected="1" topLeftCell="E1" workbookViewId="0">
      <selection activeCell="N23" sqref="N23"/>
    </sheetView>
  </sheetViews>
  <sheetFormatPr defaultColWidth="9" defaultRowHeight="15"/>
  <cols>
    <col min="1" max="1" width="22.2857142857143" customWidth="1"/>
    <col min="3" max="3" width="19.7142857142857" customWidth="1"/>
    <col min="4" max="4" width="30.4285714285714" customWidth="1"/>
    <col min="5" max="5" width="18" customWidth="1"/>
    <col min="6" max="6" width="19.7142857142857" customWidth="1"/>
    <col min="11" max="11" width="9" style="1"/>
    <col min="12" max="12" width="14.8571428571429" style="1" customWidth="1"/>
    <col min="14" max="14" width="16.7142857142857" customWidth="1"/>
    <col min="15" max="15" width="17.1428571428571" customWidth="1"/>
    <col min="19" max="19" width="16.2666666666667" customWidth="1"/>
    <col min="20" max="20" width="19.9047619047619" customWidth="1"/>
    <col min="21" max="21" width="20.9047619047619" style="1" customWidth="1"/>
    <col min="22" max="22" width="18.0857142857143" customWidth="1"/>
    <col min="24" max="24" width="31.4285714285714" customWidth="1"/>
    <col min="25" max="25" width="33.4285714285714" customWidth="1"/>
    <col min="26" max="26" width="15.2857142857143" customWidth="1"/>
    <col min="33" max="33" width="10.3619047619048" customWidth="1"/>
    <col min="34" max="34" width="22.5714285714286" customWidth="1"/>
    <col min="35" max="35" width="14" customWidth="1"/>
    <col min="39" max="39" width="24.4285714285714" customWidth="1"/>
    <col min="40" max="40" width="15.5714285714286" customWidth="1"/>
  </cols>
  <sheetData>
    <row r="1" spans="1:40">
      <c r="A1" s="2" t="s">
        <v>0</v>
      </c>
      <c r="B1" s="2" t="s">
        <v>1</v>
      </c>
      <c r="C1" s="2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s="2" t="s">
        <v>19</v>
      </c>
      <c r="U1" s="4" t="s">
        <v>20</v>
      </c>
      <c r="V1" s="2" t="s">
        <v>21</v>
      </c>
      <c r="W1" s="5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s="2" t="s">
        <v>40</v>
      </c>
      <c r="B2" t="s">
        <v>41</v>
      </c>
      <c r="C2" s="2" t="s">
        <v>42</v>
      </c>
      <c r="D2" s="6" t="s">
        <v>43</v>
      </c>
      <c r="E2" s="2" t="s">
        <v>44</v>
      </c>
      <c r="F2" t="s">
        <v>45</v>
      </c>
      <c r="G2">
        <v>1</v>
      </c>
      <c r="H2">
        <v>1</v>
      </c>
      <c r="I2" t="s">
        <v>46</v>
      </c>
      <c r="J2" t="s">
        <v>47</v>
      </c>
      <c r="K2" s="7" t="s">
        <v>48</v>
      </c>
      <c r="L2" s="7" t="s">
        <v>49</v>
      </c>
      <c r="M2">
        <v>889900</v>
      </c>
      <c r="N2" t="s">
        <v>50</v>
      </c>
      <c r="O2" t="s">
        <v>51</v>
      </c>
      <c r="P2" s="8" t="s">
        <v>48</v>
      </c>
      <c r="Q2" s="8" t="s">
        <v>49</v>
      </c>
      <c r="R2">
        <v>990002</v>
      </c>
      <c r="S2" s="2" t="s">
        <v>40</v>
      </c>
      <c r="T2" s="2" t="s">
        <v>40</v>
      </c>
      <c r="U2" s="4">
        <v>6000000</v>
      </c>
      <c r="V2" s="2" t="s">
        <v>52</v>
      </c>
      <c r="W2">
        <v>60</v>
      </c>
      <c r="X2" t="s">
        <v>53</v>
      </c>
      <c r="Y2" t="s">
        <v>54</v>
      </c>
      <c r="Z2" t="s">
        <v>55</v>
      </c>
      <c r="AA2" s="5">
        <v>5.5</v>
      </c>
      <c r="AB2">
        <v>10</v>
      </c>
      <c r="AC2">
        <v>2</v>
      </c>
      <c r="AD2">
        <v>1</v>
      </c>
      <c r="AE2">
        <v>3</v>
      </c>
      <c r="AG2" s="5">
        <v>6000000</v>
      </c>
      <c r="AH2" s="2" t="s">
        <v>56</v>
      </c>
      <c r="AI2" s="5">
        <f>AM2+AN2</f>
        <v>6870000</v>
      </c>
      <c r="AJ2">
        <v>5</v>
      </c>
      <c r="AK2" s="5">
        <v>2</v>
      </c>
      <c r="AL2">
        <v>1</v>
      </c>
      <c r="AM2" s="5">
        <v>6000000</v>
      </c>
      <c r="AN2">
        <v>870000</v>
      </c>
    </row>
    <row r="3" spans="1:40">
      <c r="A3" s="2" t="s">
        <v>57</v>
      </c>
      <c r="B3" t="s">
        <v>58</v>
      </c>
      <c r="C3" s="2" t="s">
        <v>42</v>
      </c>
      <c r="D3" s="6" t="s">
        <v>43</v>
      </c>
      <c r="E3" s="2" t="s">
        <v>44</v>
      </c>
      <c r="F3" t="s">
        <v>59</v>
      </c>
      <c r="G3">
        <v>2</v>
      </c>
      <c r="H3">
        <v>2</v>
      </c>
      <c r="I3" t="s">
        <v>46</v>
      </c>
      <c r="J3" t="s">
        <v>47</v>
      </c>
      <c r="K3" s="7" t="s">
        <v>60</v>
      </c>
      <c r="L3" s="7" t="s">
        <v>49</v>
      </c>
      <c r="M3">
        <v>889900</v>
      </c>
      <c r="N3" t="s">
        <v>50</v>
      </c>
      <c r="O3" t="s">
        <v>51</v>
      </c>
      <c r="P3" s="8" t="s">
        <v>60</v>
      </c>
      <c r="Q3" s="8" t="s">
        <v>49</v>
      </c>
      <c r="R3">
        <v>990002</v>
      </c>
      <c r="S3" s="2" t="s">
        <v>40</v>
      </c>
      <c r="T3" s="2" t="s">
        <v>57</v>
      </c>
      <c r="U3" s="4">
        <v>7000000</v>
      </c>
      <c r="V3" s="2" t="s">
        <v>52</v>
      </c>
      <c r="W3">
        <v>60</v>
      </c>
      <c r="X3" t="s">
        <v>53</v>
      </c>
      <c r="Y3" t="s">
        <v>61</v>
      </c>
      <c r="Z3" t="s">
        <v>55</v>
      </c>
      <c r="AA3" s="5">
        <v>10</v>
      </c>
      <c r="AB3">
        <v>13</v>
      </c>
      <c r="AC3">
        <v>5</v>
      </c>
      <c r="AD3">
        <v>2</v>
      </c>
      <c r="AF3">
        <v>5</v>
      </c>
      <c r="AG3" s="5">
        <v>3000000</v>
      </c>
      <c r="AH3" s="2" t="s">
        <v>56</v>
      </c>
      <c r="AI3" s="5">
        <f t="shared" ref="AI3:AI9" si="0">AM3+AN3</f>
        <v>220000</v>
      </c>
      <c r="AJ3">
        <v>6</v>
      </c>
      <c r="AK3">
        <v>9</v>
      </c>
      <c r="AL3">
        <v>2</v>
      </c>
      <c r="AM3">
        <v>200000</v>
      </c>
      <c r="AN3">
        <v>20000</v>
      </c>
    </row>
    <row r="4" spans="1:40">
      <c r="A4" s="2" t="s">
        <v>62</v>
      </c>
      <c r="B4" t="s">
        <v>58</v>
      </c>
      <c r="C4" s="2" t="s">
        <v>42</v>
      </c>
      <c r="D4" s="6" t="s">
        <v>43</v>
      </c>
      <c r="E4" s="2" t="s">
        <v>44</v>
      </c>
      <c r="F4" t="s">
        <v>63</v>
      </c>
      <c r="G4">
        <v>3</v>
      </c>
      <c r="H4">
        <v>3</v>
      </c>
      <c r="I4" t="s">
        <v>46</v>
      </c>
      <c r="J4" t="s">
        <v>47</v>
      </c>
      <c r="K4" s="1">
        <v>166</v>
      </c>
      <c r="L4" s="7" t="s">
        <v>64</v>
      </c>
      <c r="M4">
        <v>889900</v>
      </c>
      <c r="N4" t="s">
        <v>50</v>
      </c>
      <c r="O4" t="s">
        <v>51</v>
      </c>
      <c r="P4">
        <v>166</v>
      </c>
      <c r="Q4" s="8" t="s">
        <v>64</v>
      </c>
      <c r="R4">
        <v>990002</v>
      </c>
      <c r="S4" s="2" t="s">
        <v>62</v>
      </c>
      <c r="T4" s="2" t="s">
        <v>62</v>
      </c>
      <c r="U4" s="4">
        <v>7500000</v>
      </c>
      <c r="V4" s="2" t="s">
        <v>52</v>
      </c>
      <c r="W4">
        <v>60</v>
      </c>
      <c r="X4" t="s">
        <v>53</v>
      </c>
      <c r="Y4" t="s">
        <v>65</v>
      </c>
      <c r="Z4" t="s">
        <v>55</v>
      </c>
      <c r="AA4">
        <v>686</v>
      </c>
      <c r="AB4">
        <v>67</v>
      </c>
      <c r="AC4">
        <v>5</v>
      </c>
      <c r="AD4">
        <v>1</v>
      </c>
      <c r="AE4">
        <v>2</v>
      </c>
      <c r="AG4" s="5">
        <v>4000000</v>
      </c>
      <c r="AH4" s="2" t="s">
        <v>56</v>
      </c>
      <c r="AI4" s="5">
        <f t="shared" si="0"/>
        <v>260000</v>
      </c>
      <c r="AJ4">
        <v>5</v>
      </c>
      <c r="AK4">
        <v>8</v>
      </c>
      <c r="AL4">
        <v>1</v>
      </c>
      <c r="AM4">
        <v>240000</v>
      </c>
      <c r="AN4">
        <v>20000</v>
      </c>
    </row>
    <row r="5" spans="1:40">
      <c r="A5" s="2" t="s">
        <v>66</v>
      </c>
      <c r="B5" t="s">
        <v>58</v>
      </c>
      <c r="C5" s="2" t="s">
        <v>42</v>
      </c>
      <c r="D5" s="6" t="s">
        <v>43</v>
      </c>
      <c r="E5" s="2" t="s">
        <v>44</v>
      </c>
      <c r="F5" t="s">
        <v>67</v>
      </c>
      <c r="G5">
        <v>4</v>
      </c>
      <c r="H5">
        <v>4</v>
      </c>
      <c r="I5" t="s">
        <v>46</v>
      </c>
      <c r="J5" t="s">
        <v>47</v>
      </c>
      <c r="K5" s="1">
        <v>113</v>
      </c>
      <c r="L5" s="7" t="s">
        <v>68</v>
      </c>
      <c r="M5">
        <v>889900</v>
      </c>
      <c r="N5" t="s">
        <v>50</v>
      </c>
      <c r="O5" t="s">
        <v>51</v>
      </c>
      <c r="P5">
        <v>113</v>
      </c>
      <c r="Q5" s="8" t="s">
        <v>68</v>
      </c>
      <c r="R5">
        <v>990002</v>
      </c>
      <c r="S5" s="2" t="s">
        <v>66</v>
      </c>
      <c r="T5" s="2" t="s">
        <v>66</v>
      </c>
      <c r="U5" s="4">
        <v>20000000</v>
      </c>
      <c r="V5" s="2" t="s">
        <v>52</v>
      </c>
      <c r="W5">
        <v>60</v>
      </c>
      <c r="X5" t="s">
        <v>69</v>
      </c>
      <c r="Y5" t="s">
        <v>70</v>
      </c>
      <c r="Z5" t="s">
        <v>55</v>
      </c>
      <c r="AA5">
        <v>6272</v>
      </c>
      <c r="AB5">
        <v>97</v>
      </c>
      <c r="AC5">
        <v>3</v>
      </c>
      <c r="AD5">
        <v>2</v>
      </c>
      <c r="AF5">
        <v>4</v>
      </c>
      <c r="AG5" s="5">
        <v>7000000</v>
      </c>
      <c r="AH5" s="2" t="s">
        <v>56</v>
      </c>
      <c r="AI5" s="5">
        <f t="shared" si="0"/>
        <v>3620000</v>
      </c>
      <c r="AJ5">
        <v>7</v>
      </c>
      <c r="AK5">
        <v>6.8</v>
      </c>
      <c r="AL5">
        <v>1</v>
      </c>
      <c r="AM5">
        <v>3200000</v>
      </c>
      <c r="AN5">
        <v>420000</v>
      </c>
    </row>
    <row r="6" spans="1:40">
      <c r="A6" s="2" t="s">
        <v>71</v>
      </c>
      <c r="B6" t="s">
        <v>41</v>
      </c>
      <c r="C6" s="2" t="s">
        <v>42</v>
      </c>
      <c r="D6" s="6" t="s">
        <v>43</v>
      </c>
      <c r="E6" s="2" t="s">
        <v>44</v>
      </c>
      <c r="F6" t="s">
        <v>72</v>
      </c>
      <c r="G6">
        <v>5</v>
      </c>
      <c r="H6">
        <v>1</v>
      </c>
      <c r="I6" t="s">
        <v>46</v>
      </c>
      <c r="J6" t="s">
        <v>47</v>
      </c>
      <c r="K6" s="1">
        <v>585</v>
      </c>
      <c r="L6" s="1">
        <v>30</v>
      </c>
      <c r="M6">
        <v>889900</v>
      </c>
      <c r="N6" t="s">
        <v>50</v>
      </c>
      <c r="O6" t="s">
        <v>51</v>
      </c>
      <c r="P6">
        <v>585</v>
      </c>
      <c r="Q6">
        <v>30</v>
      </c>
      <c r="R6">
        <v>990002</v>
      </c>
      <c r="S6" s="2" t="s">
        <v>71</v>
      </c>
      <c r="T6" s="2" t="s">
        <v>71</v>
      </c>
      <c r="U6" s="4">
        <v>500000</v>
      </c>
      <c r="V6" s="2" t="s">
        <v>52</v>
      </c>
      <c r="W6">
        <v>60</v>
      </c>
      <c r="X6" t="s">
        <v>73</v>
      </c>
      <c r="Y6" t="s">
        <v>74</v>
      </c>
      <c r="Z6" t="s">
        <v>55</v>
      </c>
      <c r="AA6">
        <v>8543</v>
      </c>
      <c r="AB6">
        <v>9</v>
      </c>
      <c r="AC6">
        <v>2</v>
      </c>
      <c r="AD6">
        <v>1</v>
      </c>
      <c r="AE6">
        <v>1</v>
      </c>
      <c r="AG6" s="5">
        <v>200000</v>
      </c>
      <c r="AH6" s="2" t="s">
        <v>56</v>
      </c>
      <c r="AI6" s="5">
        <f t="shared" ref="AI6" si="1">AM6+AN6</f>
        <v>390000</v>
      </c>
      <c r="AJ6">
        <v>7.6</v>
      </c>
      <c r="AK6">
        <v>9</v>
      </c>
      <c r="AL6">
        <v>1</v>
      </c>
      <c r="AM6">
        <v>320000</v>
      </c>
      <c r="AN6">
        <v>70000</v>
      </c>
    </row>
    <row r="7" spans="1:40">
      <c r="A7" s="2" t="s">
        <v>75</v>
      </c>
      <c r="B7" t="s">
        <v>41</v>
      </c>
      <c r="C7" s="2" t="s">
        <v>42</v>
      </c>
      <c r="D7" s="6" t="s">
        <v>43</v>
      </c>
      <c r="E7" s="2" t="s">
        <v>44</v>
      </c>
      <c r="F7" t="s">
        <v>72</v>
      </c>
      <c r="G7">
        <v>5</v>
      </c>
      <c r="H7">
        <v>1</v>
      </c>
      <c r="I7" t="s">
        <v>46</v>
      </c>
      <c r="J7" t="s">
        <v>47</v>
      </c>
      <c r="K7" s="1">
        <v>585</v>
      </c>
      <c r="L7" s="1">
        <v>30</v>
      </c>
      <c r="M7">
        <v>889900</v>
      </c>
      <c r="N7" t="s">
        <v>50</v>
      </c>
      <c r="O7" t="s">
        <v>51</v>
      </c>
      <c r="P7">
        <v>585</v>
      </c>
      <c r="Q7">
        <v>30</v>
      </c>
      <c r="R7">
        <v>990002</v>
      </c>
      <c r="S7" s="2" t="s">
        <v>75</v>
      </c>
      <c r="T7" s="2" t="s">
        <v>75</v>
      </c>
      <c r="U7" s="4">
        <v>500000</v>
      </c>
      <c r="V7" s="2" t="s">
        <v>52</v>
      </c>
      <c r="W7">
        <v>60</v>
      </c>
      <c r="X7" t="s">
        <v>76</v>
      </c>
      <c r="Y7" t="s">
        <v>77</v>
      </c>
      <c r="Z7" t="s">
        <v>55</v>
      </c>
      <c r="AA7">
        <v>8543</v>
      </c>
      <c r="AB7">
        <v>9</v>
      </c>
      <c r="AC7">
        <v>2</v>
      </c>
      <c r="AD7">
        <v>1</v>
      </c>
      <c r="AE7">
        <v>1</v>
      </c>
      <c r="AG7" s="5">
        <v>300000</v>
      </c>
      <c r="AH7" s="2" t="s">
        <v>56</v>
      </c>
      <c r="AI7" s="5">
        <f t="shared" si="0"/>
        <v>350000</v>
      </c>
      <c r="AJ7">
        <v>7.6</v>
      </c>
      <c r="AK7">
        <v>9</v>
      </c>
      <c r="AL7">
        <v>1</v>
      </c>
      <c r="AM7">
        <v>280000</v>
      </c>
      <c r="AN7">
        <v>70000</v>
      </c>
    </row>
    <row r="8" spans="1:40">
      <c r="A8" s="2" t="s">
        <v>78</v>
      </c>
      <c r="B8" t="s">
        <v>41</v>
      </c>
      <c r="C8" s="2" t="s">
        <v>42</v>
      </c>
      <c r="D8" s="6" t="s">
        <v>43</v>
      </c>
      <c r="E8" s="2" t="s">
        <v>44</v>
      </c>
      <c r="F8" t="s">
        <v>79</v>
      </c>
      <c r="G8">
        <v>6</v>
      </c>
      <c r="H8">
        <v>2</v>
      </c>
      <c r="I8" t="s">
        <v>46</v>
      </c>
      <c r="J8" t="s">
        <v>47</v>
      </c>
      <c r="K8" s="1">
        <v>243</v>
      </c>
      <c r="L8" s="1">
        <v>11</v>
      </c>
      <c r="M8">
        <v>889900</v>
      </c>
      <c r="N8" t="s">
        <v>50</v>
      </c>
      <c r="O8" t="s">
        <v>51</v>
      </c>
      <c r="P8">
        <v>243</v>
      </c>
      <c r="Q8">
        <v>11</v>
      </c>
      <c r="R8">
        <v>990002</v>
      </c>
      <c r="S8" s="2" t="s">
        <v>75</v>
      </c>
      <c r="T8" s="2" t="s">
        <v>78</v>
      </c>
      <c r="U8" s="4">
        <v>200000</v>
      </c>
      <c r="V8" s="2" t="s">
        <v>52</v>
      </c>
      <c r="W8">
        <v>60</v>
      </c>
      <c r="X8" t="s">
        <v>80</v>
      </c>
      <c r="Y8" t="s">
        <v>81</v>
      </c>
      <c r="Z8" t="s">
        <v>55</v>
      </c>
      <c r="AA8">
        <v>77</v>
      </c>
      <c r="AB8">
        <v>7</v>
      </c>
      <c r="AC8">
        <v>1</v>
      </c>
      <c r="AD8">
        <v>1</v>
      </c>
      <c r="AE8">
        <v>2</v>
      </c>
      <c r="AG8" s="5">
        <v>100000</v>
      </c>
      <c r="AH8" s="2" t="s">
        <v>56</v>
      </c>
      <c r="AI8" s="5">
        <f t="shared" si="0"/>
        <v>180000</v>
      </c>
      <c r="AJ8">
        <v>8</v>
      </c>
      <c r="AK8">
        <v>10</v>
      </c>
      <c r="AL8">
        <v>1</v>
      </c>
      <c r="AM8">
        <v>140000</v>
      </c>
      <c r="AN8">
        <v>40000</v>
      </c>
    </row>
    <row r="9" spans="1:40">
      <c r="A9" s="2" t="s">
        <v>82</v>
      </c>
      <c r="B9" t="s">
        <v>58</v>
      </c>
      <c r="C9" s="2" t="s">
        <v>42</v>
      </c>
      <c r="D9" s="6" t="s">
        <v>43</v>
      </c>
      <c r="E9" s="2" t="s">
        <v>44</v>
      </c>
      <c r="F9" t="s">
        <v>83</v>
      </c>
      <c r="G9">
        <v>7</v>
      </c>
      <c r="H9">
        <v>3</v>
      </c>
      <c r="I9" t="s">
        <v>46</v>
      </c>
      <c r="J9" t="s">
        <v>47</v>
      </c>
      <c r="K9" s="1">
        <v>505</v>
      </c>
      <c r="L9" s="1">
        <v>27</v>
      </c>
      <c r="M9">
        <v>889900</v>
      </c>
      <c r="N9" t="s">
        <v>50</v>
      </c>
      <c r="O9" t="s">
        <v>51</v>
      </c>
      <c r="P9">
        <v>505</v>
      </c>
      <c r="Q9">
        <v>27</v>
      </c>
      <c r="R9">
        <v>990002</v>
      </c>
      <c r="S9" s="2" t="s">
        <v>82</v>
      </c>
      <c r="T9" s="2" t="s">
        <v>82</v>
      </c>
      <c r="U9" s="4">
        <v>8000000</v>
      </c>
      <c r="V9" s="2" t="s">
        <v>52</v>
      </c>
      <c r="W9">
        <v>60</v>
      </c>
      <c r="X9" t="s">
        <v>84</v>
      </c>
      <c r="Y9" t="s">
        <v>85</v>
      </c>
      <c r="Z9" t="s">
        <v>55</v>
      </c>
      <c r="AA9">
        <v>88</v>
      </c>
      <c r="AB9">
        <v>8</v>
      </c>
      <c r="AC9">
        <v>1</v>
      </c>
      <c r="AD9">
        <v>2</v>
      </c>
      <c r="AF9">
        <v>1</v>
      </c>
      <c r="AG9" s="5">
        <v>4000000</v>
      </c>
      <c r="AH9" s="2" t="s">
        <v>56</v>
      </c>
      <c r="AI9" s="5">
        <f t="shared" si="0"/>
        <v>2160000</v>
      </c>
      <c r="AJ9">
        <v>6</v>
      </c>
      <c r="AK9">
        <v>8</v>
      </c>
      <c r="AL9">
        <v>2</v>
      </c>
      <c r="AM9">
        <v>1600000</v>
      </c>
      <c r="AN9">
        <v>560000</v>
      </c>
    </row>
    <row r="10" spans="1:40">
      <c r="A10" s="2" t="s">
        <v>86</v>
      </c>
      <c r="B10" t="s">
        <v>41</v>
      </c>
      <c r="C10" s="2" t="s">
        <v>42</v>
      </c>
      <c r="D10" s="6" t="s">
        <v>43</v>
      </c>
      <c r="E10" s="2" t="s">
        <v>44</v>
      </c>
      <c r="F10" t="s">
        <v>67</v>
      </c>
      <c r="G10">
        <v>4</v>
      </c>
      <c r="H10">
        <v>4</v>
      </c>
      <c r="I10" t="s">
        <v>46</v>
      </c>
      <c r="J10" t="s">
        <v>47</v>
      </c>
      <c r="K10" s="1">
        <v>113</v>
      </c>
      <c r="L10" s="7" t="s">
        <v>68</v>
      </c>
      <c r="M10">
        <v>889900</v>
      </c>
      <c r="N10" t="s">
        <v>50</v>
      </c>
      <c r="O10" t="s">
        <v>51</v>
      </c>
      <c r="P10">
        <v>113</v>
      </c>
      <c r="Q10" s="8" t="s">
        <v>68</v>
      </c>
      <c r="R10">
        <v>990002</v>
      </c>
      <c r="S10" s="2" t="s">
        <v>86</v>
      </c>
      <c r="T10" s="2" t="s">
        <v>86</v>
      </c>
      <c r="U10" s="4">
        <v>10000000</v>
      </c>
      <c r="V10" s="2" t="s">
        <v>52</v>
      </c>
      <c r="W10">
        <v>60</v>
      </c>
      <c r="X10" t="s">
        <v>87</v>
      </c>
      <c r="Y10" t="s">
        <v>88</v>
      </c>
      <c r="Z10" t="s">
        <v>55</v>
      </c>
      <c r="AA10">
        <v>6272</v>
      </c>
      <c r="AB10">
        <v>97</v>
      </c>
      <c r="AC10">
        <v>3</v>
      </c>
      <c r="AD10">
        <v>2</v>
      </c>
      <c r="AF10">
        <v>4</v>
      </c>
      <c r="AG10" s="5">
        <v>7000000</v>
      </c>
      <c r="AH10" s="2" t="s">
        <v>56</v>
      </c>
      <c r="AI10" s="5">
        <f t="shared" ref="AI10" si="2">AM10+AN10</f>
        <v>2600000</v>
      </c>
      <c r="AJ10">
        <v>7</v>
      </c>
      <c r="AK10">
        <v>6.8</v>
      </c>
      <c r="AL10">
        <v>1</v>
      </c>
      <c r="AM10">
        <v>2200000</v>
      </c>
      <c r="AN10">
        <v>400000</v>
      </c>
    </row>
    <row r="11" spans="1:40">
      <c r="A11" s="2" t="s">
        <v>89</v>
      </c>
      <c r="B11" t="s">
        <v>58</v>
      </c>
      <c r="C11" s="2" t="s">
        <v>42</v>
      </c>
      <c r="D11" s="6" t="s">
        <v>43</v>
      </c>
      <c r="E11" s="2" t="s">
        <v>44</v>
      </c>
      <c r="F11" t="s">
        <v>67</v>
      </c>
      <c r="G11">
        <v>4</v>
      </c>
      <c r="H11">
        <v>4</v>
      </c>
      <c r="I11" t="s">
        <v>46</v>
      </c>
      <c r="J11" t="s">
        <v>47</v>
      </c>
      <c r="K11" s="1">
        <v>113</v>
      </c>
      <c r="L11" s="7" t="s">
        <v>68</v>
      </c>
      <c r="M11">
        <v>889900</v>
      </c>
      <c r="N11" t="s">
        <v>50</v>
      </c>
      <c r="O11" t="s">
        <v>51</v>
      </c>
      <c r="P11">
        <v>113</v>
      </c>
      <c r="Q11" s="8" t="s">
        <v>68</v>
      </c>
      <c r="R11">
        <v>990002</v>
      </c>
      <c r="S11" s="2" t="s">
        <v>89</v>
      </c>
      <c r="T11" s="2" t="s">
        <v>89</v>
      </c>
      <c r="U11" s="4">
        <v>15000000</v>
      </c>
      <c r="V11" s="2" t="s">
        <v>52</v>
      </c>
      <c r="W11">
        <v>60</v>
      </c>
      <c r="X11" t="s">
        <v>90</v>
      </c>
      <c r="Y11" t="s">
        <v>91</v>
      </c>
      <c r="Z11" t="s">
        <v>55</v>
      </c>
      <c r="AA11">
        <v>6272</v>
      </c>
      <c r="AB11">
        <v>97</v>
      </c>
      <c r="AC11">
        <v>3</v>
      </c>
      <c r="AD11">
        <v>2</v>
      </c>
      <c r="AF11">
        <v>4</v>
      </c>
      <c r="AG11" s="5">
        <v>9000000</v>
      </c>
      <c r="AH11" s="2" t="s">
        <v>56</v>
      </c>
      <c r="AI11" s="5">
        <f t="shared" ref="AI11" si="3">AM11+AN11</f>
        <v>8570000</v>
      </c>
      <c r="AJ11">
        <v>7</v>
      </c>
      <c r="AK11">
        <v>6.8</v>
      </c>
      <c r="AL11">
        <v>1</v>
      </c>
      <c r="AM11">
        <v>8000000</v>
      </c>
      <c r="AN11">
        <v>570000</v>
      </c>
    </row>
  </sheetData>
  <hyperlinks>
    <hyperlink ref="D2" r:id="rId1" display="abc1@gamil.com"/>
    <hyperlink ref="D3" r:id="rId1" display="abc1@gamil.com"/>
    <hyperlink ref="D4" r:id="rId1" display="abc1@gamil.com"/>
    <hyperlink ref="D5" r:id="rId1" display="abc1@gamil.com"/>
    <hyperlink ref="D7" r:id="rId1" display="abc1@gamil.com"/>
    <hyperlink ref="D8" r:id="rId1" display="abc1@gamil.com"/>
    <hyperlink ref="D9" r:id="rId1" display="abc1@gamil.com"/>
    <hyperlink ref="D10" r:id="rId1" display="abc1@gamil.com"/>
    <hyperlink ref="D11" r:id="rId1" display="abc1@gamil.com"/>
    <hyperlink ref="D6" r:id="rId1" display="abc1@gam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Kadiyan</dc:creator>
  <cp:lastModifiedBy>somesh</cp:lastModifiedBy>
  <dcterms:created xsi:type="dcterms:W3CDTF">2024-10-24T05:57:00Z</dcterms:created>
  <dcterms:modified xsi:type="dcterms:W3CDTF">2026-05-08T06:35:39Z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268FC1FCFFAC4C1EABC0E5A3BB43E35E_12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