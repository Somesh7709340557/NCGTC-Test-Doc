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All" sheetId="1" r:id="rId1"/>
    <sheet name="TAT - After review" sheetId="3" r:id="rId2"/>
    <sheet name="TAT - Before  review " sheetId="9" r:id="rId3"/>
  </sheets>
  <definedNames>
    <definedName name="_xlnm._FilterDatabase" localSheetId="0" hidden="1">All!$A$1:$T$3297</definedName>
    <definedName name="JR_PAGE_ANCHOR_0_1">All!#REF!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<sst xmlns="http://schemas.openxmlformats.org/spreadsheetml/2006/main" count="36950" uniqueCount="12866">
  <si>
    <r>
      <rPr>
        <b/>
        <sz val="11"/>
        <color rgb="FF000000"/>
        <rFont val="JRFonts"/>
        <charset val="134"/>
      </rPr>
      <t>RequestID</t>
    </r>
  </si>
  <si>
    <r>
      <rPr>
        <b/>
        <sz val="11"/>
        <color rgb="FF000000"/>
        <rFont val="JRFonts"/>
        <charset val="134"/>
      </rPr>
      <t>Sub Category</t>
    </r>
  </si>
  <si>
    <r>
      <rPr>
        <b/>
        <sz val="11"/>
        <color rgb="FF000000"/>
        <rFont val="JRFonts"/>
        <charset val="134"/>
      </rPr>
      <t>Technician</t>
    </r>
  </si>
  <si>
    <r>
      <rPr>
        <b/>
        <sz val="11"/>
        <color rgb="FF000000"/>
        <rFont val="JRFonts"/>
        <charset val="134"/>
      </rPr>
      <t>Priority</t>
    </r>
  </si>
  <si>
    <r>
      <rPr>
        <b/>
        <sz val="11"/>
        <color rgb="FF000000"/>
        <rFont val="JRFonts"/>
        <charset val="134"/>
      </rPr>
      <t>Created Time</t>
    </r>
  </si>
  <si>
    <r>
      <rPr>
        <b/>
        <sz val="11"/>
        <color rgb="FF000000"/>
        <rFont val="JRFonts"/>
        <charset val="134"/>
      </rPr>
      <t>Resolved Time</t>
    </r>
  </si>
  <si>
    <r>
      <rPr>
        <b/>
        <sz val="11"/>
        <color rgb="FF000000"/>
        <rFont val="JRFonts"/>
        <charset val="134"/>
      </rPr>
      <t>Request Status</t>
    </r>
  </si>
  <si>
    <r>
      <rPr>
        <b/>
        <sz val="11"/>
        <color rgb="FF000000"/>
        <rFont val="JRFonts"/>
        <charset val="134"/>
      </rPr>
      <t>Group</t>
    </r>
  </si>
  <si>
    <r>
      <rPr>
        <b/>
        <sz val="11"/>
        <color rgb="FF000000"/>
        <rFont val="JRFonts"/>
        <charset val="134"/>
      </rPr>
      <t>Assigned Time</t>
    </r>
  </si>
  <si>
    <t>Days</t>
  </si>
  <si>
    <t>Hrs</t>
  </si>
  <si>
    <t>Hrs without off office hrs</t>
  </si>
  <si>
    <t>Sat-Sun</t>
  </si>
  <si>
    <t>HRS WITHOUT SAT SUN</t>
  </si>
  <si>
    <t>SLA</t>
  </si>
  <si>
    <t>RequestID</t>
  </si>
  <si>
    <t>Remark</t>
  </si>
  <si>
    <t>Remark By</t>
  </si>
  <si>
    <r>
      <rPr>
        <sz val="10"/>
        <color rgb="FF0000FF"/>
        <rFont val="JRFonts"/>
        <charset val="134"/>
      </rPr>
      <t>19334</t>
    </r>
  </si>
  <si>
    <r>
      <rPr>
        <sz val="10"/>
        <color rgb="FF000000"/>
        <rFont val="JRFonts"/>
        <charset val="134"/>
      </rPr>
      <t>Emergency Credit Line Guarantee Scheme (ECLGS)</t>
    </r>
  </si>
  <si>
    <r>
      <rPr>
        <sz val="10"/>
        <color rgb="FF000000"/>
        <rFont val="JRFonts"/>
        <charset val="134"/>
      </rPr>
      <t>Ashish</t>
    </r>
  </si>
  <si>
    <r>
      <rPr>
        <sz val="10"/>
        <color rgb="FF000000"/>
        <rFont val="JRFonts"/>
        <charset val="134"/>
      </rPr>
      <t>P1</t>
    </r>
  </si>
  <si>
    <r>
      <rPr>
        <sz val="10"/>
        <color rgb="FF000000"/>
        <rFont val="JRFonts"/>
        <charset val="134"/>
      </rPr>
      <t>01-07-2026 02:04</t>
    </r>
  </si>
  <si>
    <r>
      <rPr>
        <sz val="10"/>
        <color rgb="FF000000"/>
        <rFont val="JRFonts"/>
        <charset val="134"/>
      </rPr>
      <t>30-09-2026 10:21</t>
    </r>
  </si>
  <si>
    <r>
      <rPr>
        <sz val="10"/>
        <color rgb="FF000000"/>
        <rFont val="JRFonts"/>
        <charset val="134"/>
      </rPr>
      <t>Closed</t>
    </r>
  </si>
  <si>
    <r>
      <rPr>
        <sz val="10"/>
        <color rgb="FF000000"/>
        <rFont val="JRFonts"/>
        <charset val="134"/>
      </rPr>
      <t>InfoNeo Group</t>
    </r>
  </si>
  <si>
    <r>
      <rPr>
        <sz val="10"/>
        <color rgb="FF000000"/>
        <rFont val="JRFonts"/>
        <charset val="134"/>
      </rPr>
      <t>01-07-2026 10:55</t>
    </r>
  </si>
  <si>
    <t>19334</t>
  </si>
  <si>
    <t>SLA Violated</t>
  </si>
  <si>
    <r>
      <rPr>
        <sz val="10"/>
        <color rgb="FF0000FF"/>
        <rFont val="JRFonts"/>
        <charset val="134"/>
      </rPr>
      <t>19336</t>
    </r>
  </si>
  <si>
    <r>
      <rPr>
        <sz val="10"/>
        <color rgb="FF000000"/>
        <rFont val="JRFonts"/>
        <charset val="134"/>
      </rPr>
      <t>Credit Guarantee Fund for Micro Units (CGFMU)</t>
    </r>
  </si>
  <si>
    <r>
      <rPr>
        <sz val="10"/>
        <color rgb="FF000000"/>
        <rFont val="JRFonts"/>
        <charset val="134"/>
      </rPr>
      <t>Anirudha</t>
    </r>
  </si>
  <si>
    <r>
      <rPr>
        <sz val="10"/>
        <color rgb="FF000000"/>
        <rFont val="JRFonts"/>
        <charset val="134"/>
      </rPr>
      <t>P4</t>
    </r>
  </si>
  <si>
    <r>
      <rPr>
        <sz val="10"/>
        <color rgb="FF000000"/>
        <rFont val="JRFonts"/>
        <charset val="134"/>
      </rPr>
      <t>01-07-2026 10:02</t>
    </r>
  </si>
  <si>
    <r>
      <rPr>
        <sz val="10"/>
        <color rgb="FF000000"/>
        <rFont val="JRFonts"/>
        <charset val="134"/>
      </rPr>
      <t>07-07-2026 18:05</t>
    </r>
  </si>
  <si>
    <r>
      <rPr>
        <sz val="10"/>
        <color rgb="FF000000"/>
        <rFont val="JRFonts"/>
        <charset val="134"/>
      </rPr>
      <t>Resolved</t>
    </r>
  </si>
  <si>
    <r>
      <rPr>
        <sz val="10"/>
        <color rgb="FF000000"/>
        <rFont val="JRFonts"/>
        <charset val="134"/>
      </rPr>
      <t>06-07-2026 10:43</t>
    </r>
  </si>
  <si>
    <t>Within SLA</t>
  </si>
  <si>
    <t>Initial issues resolved with in SLA , MLI has reopened ticket with new request</t>
  </si>
  <si>
    <t>Somesh</t>
  </si>
  <si>
    <r>
      <rPr>
        <sz val="10"/>
        <color rgb="FF0000FF"/>
        <rFont val="JRFonts"/>
        <charset val="134"/>
      </rPr>
      <t>19337</t>
    </r>
  </si>
  <si>
    <r>
      <rPr>
        <sz val="10"/>
        <color rgb="FF000000"/>
        <rFont val="JRFonts"/>
        <charset val="134"/>
      </rPr>
      <t>01-07-2026 10:14</t>
    </r>
  </si>
  <si>
    <r>
      <rPr>
        <sz val="10"/>
        <color rgb="FF000000"/>
        <rFont val="JRFonts"/>
        <charset val="134"/>
      </rPr>
      <t>02-07-2026 11:07</t>
    </r>
  </si>
  <si>
    <r>
      <rPr>
        <sz val="10"/>
        <color rgb="FF000000"/>
        <rFont val="JRFonts"/>
        <charset val="134"/>
      </rPr>
      <t>01-07-2026 10:56</t>
    </r>
  </si>
  <si>
    <r>
      <rPr>
        <sz val="10"/>
        <color rgb="FF0000FF"/>
        <rFont val="JRFonts"/>
        <charset val="134"/>
      </rPr>
      <t>19339</t>
    </r>
  </si>
  <si>
    <r>
      <rPr>
        <sz val="10"/>
        <color rgb="FF000000"/>
        <rFont val="JRFonts"/>
        <charset val="134"/>
      </rPr>
      <t>Common</t>
    </r>
  </si>
  <si>
    <r>
      <rPr>
        <sz val="10"/>
        <color rgb="FF000000"/>
        <rFont val="JRFonts"/>
        <charset val="134"/>
      </rPr>
      <t>Shahid</t>
    </r>
  </si>
  <si>
    <r>
      <rPr>
        <sz val="10"/>
        <color rgb="FF000000"/>
        <rFont val="JRFonts"/>
        <charset val="134"/>
      </rPr>
      <t>01-07-2026 10:32</t>
    </r>
  </si>
  <si>
    <r>
      <rPr>
        <sz val="10"/>
        <color rgb="FF000000"/>
        <rFont val="JRFonts"/>
        <charset val="134"/>
      </rPr>
      <t>01-07-2026 11:55</t>
    </r>
  </si>
  <si>
    <r>
      <rPr>
        <sz val="10"/>
        <color rgb="FF000000"/>
        <rFont val="JRFonts"/>
        <charset val="134"/>
      </rPr>
      <t>01-07-2026 10:47</t>
    </r>
  </si>
  <si>
    <r>
      <rPr>
        <sz val="10"/>
        <color rgb="FF0000FF"/>
        <rFont val="JRFonts"/>
        <charset val="134"/>
      </rPr>
      <t>19340</t>
    </r>
  </si>
  <si>
    <r>
      <rPr>
        <sz val="10"/>
        <color rgb="FF000000"/>
        <rFont val="JRFonts"/>
        <charset val="134"/>
      </rPr>
      <t>01-07-2026 10:35</t>
    </r>
  </si>
  <si>
    <r>
      <rPr>
        <sz val="10"/>
        <color rgb="FF000000"/>
        <rFont val="JRFonts"/>
        <charset val="134"/>
      </rPr>
      <t>01-07-2026 17:51</t>
    </r>
  </si>
  <si>
    <t>19340</t>
  </si>
  <si>
    <r>
      <rPr>
        <sz val="10"/>
        <color rgb="FF0000FF"/>
        <rFont val="JRFonts"/>
        <charset val="134"/>
      </rPr>
      <t>19342</t>
    </r>
  </si>
  <si>
    <r>
      <rPr>
        <sz val="10"/>
        <color rgb="FF000000"/>
        <rFont val="JRFonts"/>
        <charset val="134"/>
      </rPr>
      <t>01-07-2026 11:43</t>
    </r>
  </si>
  <si>
    <r>
      <rPr>
        <sz val="10"/>
        <color rgb="FF000000"/>
        <rFont val="JRFonts"/>
        <charset val="134"/>
      </rPr>
      <t>01-07-2026 10:57</t>
    </r>
  </si>
  <si>
    <r>
      <rPr>
        <sz val="10"/>
        <color rgb="FF0000FF"/>
        <rFont val="JRFonts"/>
        <charset val="134"/>
      </rPr>
      <t>19345</t>
    </r>
  </si>
  <si>
    <r>
      <rPr>
        <sz val="10"/>
        <color rgb="FF000000"/>
        <rFont val="JRFonts"/>
        <charset val="134"/>
      </rPr>
      <t>01-07-2026 10:54</t>
    </r>
  </si>
  <si>
    <r>
      <rPr>
        <sz val="10"/>
        <color rgb="FF000000"/>
        <rFont val="JRFonts"/>
        <charset val="134"/>
      </rPr>
      <t>01-07-2026 12:35</t>
    </r>
  </si>
  <si>
    <r>
      <rPr>
        <sz val="10"/>
        <color rgb="FF000000"/>
        <rFont val="JRFonts"/>
        <charset val="134"/>
      </rPr>
      <t>01-07-2026 11:13</t>
    </r>
  </si>
  <si>
    <r>
      <rPr>
        <sz val="10"/>
        <color rgb="FF0000FF"/>
        <rFont val="JRFonts"/>
        <charset val="134"/>
      </rPr>
      <t>19348</t>
    </r>
  </si>
  <si>
    <r>
      <rPr>
        <sz val="10"/>
        <color rgb="FF000000"/>
        <rFont val="JRFonts"/>
        <charset val="134"/>
      </rPr>
      <t>01-07-2026 11:12</t>
    </r>
  </si>
  <si>
    <r>
      <rPr>
        <sz val="10"/>
        <color rgb="FF000000"/>
        <rFont val="JRFonts"/>
        <charset val="134"/>
      </rPr>
      <t>11-08-2026 15:44</t>
    </r>
  </si>
  <si>
    <r>
      <rPr>
        <sz val="10"/>
        <color rgb="FF000000"/>
        <rFont val="JRFonts"/>
        <charset val="134"/>
      </rPr>
      <t>01-07-2026 11:27</t>
    </r>
  </si>
  <si>
    <t>19348</t>
  </si>
  <si>
    <r>
      <rPr>
        <sz val="10"/>
        <color rgb="FF0000FF"/>
        <rFont val="JRFonts"/>
        <charset val="134"/>
      </rPr>
      <t>19349</t>
    </r>
  </si>
  <si>
    <r>
      <rPr>
        <sz val="10"/>
        <color rgb="FF000000"/>
        <rFont val="JRFonts"/>
        <charset val="134"/>
      </rPr>
      <t>Vikas</t>
    </r>
  </si>
  <si>
    <r>
      <rPr>
        <sz val="10"/>
        <color rgb="FF000000"/>
        <rFont val="JRFonts"/>
        <charset val="134"/>
      </rPr>
      <t>01-07-2026 11:15</t>
    </r>
  </si>
  <si>
    <r>
      <rPr>
        <sz val="10"/>
        <color rgb="FF000000"/>
        <rFont val="JRFonts"/>
        <charset val="134"/>
      </rPr>
      <t>06-07-2026 16:24</t>
    </r>
  </si>
  <si>
    <r>
      <rPr>
        <sz val="10"/>
        <color rgb="FF000000"/>
        <rFont val="JRFonts"/>
        <charset val="134"/>
      </rPr>
      <t>01-07-2026 11:25</t>
    </r>
  </si>
  <si>
    <t>19349</t>
  </si>
  <si>
    <r>
      <rPr>
        <sz val="10"/>
        <color rgb="FF0000FF"/>
        <rFont val="JRFonts"/>
        <charset val="134"/>
      </rPr>
      <t>19353</t>
    </r>
  </si>
  <si>
    <r>
      <rPr>
        <sz val="10"/>
        <color rgb="FF000000"/>
        <rFont val="JRFonts"/>
        <charset val="134"/>
      </rPr>
      <t>11-08-2026 15:55</t>
    </r>
  </si>
  <si>
    <r>
      <rPr>
        <sz val="10"/>
        <color rgb="FF000000"/>
        <rFont val="JRFonts"/>
        <charset val="134"/>
      </rPr>
      <t>01-07-2026 11:44</t>
    </r>
  </si>
  <si>
    <t>19353</t>
  </si>
  <si>
    <r>
      <rPr>
        <sz val="10"/>
        <color rgb="FF0000FF"/>
        <rFont val="JRFonts"/>
        <charset val="134"/>
      </rPr>
      <t>19354</t>
    </r>
  </si>
  <si>
    <r>
      <rPr>
        <sz val="10"/>
        <color rgb="FF000000"/>
        <rFont val="JRFonts"/>
        <charset val="134"/>
      </rPr>
      <t>01-07-2026 11:30</t>
    </r>
  </si>
  <si>
    <r>
      <rPr>
        <sz val="10"/>
        <color rgb="FF000000"/>
        <rFont val="JRFonts"/>
        <charset val="134"/>
      </rPr>
      <t>09-07-2026 18:15</t>
    </r>
  </si>
  <si>
    <r>
      <rPr>
        <sz val="10"/>
        <color rgb="FF000000"/>
        <rFont val="JRFonts"/>
        <charset val="134"/>
      </rPr>
      <t>01-07-2026 11:38</t>
    </r>
  </si>
  <si>
    <t>19354</t>
  </si>
  <si>
    <r>
      <rPr>
        <sz val="10"/>
        <color rgb="FF0000FF"/>
        <rFont val="JRFonts"/>
        <charset val="134"/>
      </rPr>
      <t>19355</t>
    </r>
  </si>
  <si>
    <r>
      <rPr>
        <sz val="10"/>
        <color rgb="FF000000"/>
        <rFont val="JRFonts"/>
        <charset val="134"/>
      </rPr>
      <t>01-07-2026 11:31</t>
    </r>
  </si>
  <si>
    <r>
      <rPr>
        <sz val="10"/>
        <color rgb="FF000000"/>
        <rFont val="JRFonts"/>
        <charset val="134"/>
      </rPr>
      <t>20-08-2026 18:01</t>
    </r>
  </si>
  <si>
    <t>19355</t>
  </si>
  <si>
    <r>
      <rPr>
        <sz val="10"/>
        <color rgb="FF0000FF"/>
        <rFont val="JRFonts"/>
        <charset val="134"/>
      </rPr>
      <t>19356</t>
    </r>
  </si>
  <si>
    <r>
      <rPr>
        <sz val="10"/>
        <color rgb="FF000000"/>
        <rFont val="JRFonts"/>
        <charset val="134"/>
      </rPr>
      <t>01-07-2026 11:37</t>
    </r>
  </si>
  <si>
    <r>
      <rPr>
        <sz val="10"/>
        <color rgb="FF000000"/>
        <rFont val="JRFonts"/>
        <charset val="134"/>
      </rPr>
      <t>08-07-2026 15:00</t>
    </r>
  </si>
  <si>
    <r>
      <rPr>
        <sz val="10"/>
        <color rgb="FF000000"/>
        <rFont val="JRFonts"/>
        <charset val="134"/>
      </rPr>
      <t>01-07-2026 11:45</t>
    </r>
  </si>
  <si>
    <r>
      <rPr>
        <sz val="10"/>
        <color rgb="FF0000FF"/>
        <rFont val="JRFonts"/>
        <charset val="134"/>
      </rPr>
      <t>19358</t>
    </r>
  </si>
  <si>
    <r>
      <rPr>
        <sz val="10"/>
        <color rgb="FF000000"/>
        <rFont val="JRFonts"/>
        <charset val="134"/>
      </rPr>
      <t>09-07-2026 18:16</t>
    </r>
  </si>
  <si>
    <r>
      <rPr>
        <sz val="10"/>
        <color rgb="FF000000"/>
        <rFont val="JRFonts"/>
        <charset val="134"/>
      </rPr>
      <t>01-07-2026 11:48</t>
    </r>
  </si>
  <si>
    <t>19358</t>
  </si>
  <si>
    <r>
      <rPr>
        <sz val="10"/>
        <color rgb="FF0000FF"/>
        <rFont val="JRFonts"/>
        <charset val="134"/>
      </rPr>
      <t>19359</t>
    </r>
  </si>
  <si>
    <r>
      <rPr>
        <sz val="10"/>
        <color rgb="FF000000"/>
        <rFont val="JRFonts"/>
        <charset val="134"/>
      </rPr>
      <t>20-08-2026 17:59</t>
    </r>
  </si>
  <si>
    <t>19359</t>
  </si>
  <si>
    <t>ticket got resolved on same day , business team directly connected to dev - delayed to update on portal</t>
  </si>
  <si>
    <t>confirmation - hina</t>
  </si>
  <si>
    <t>hina</t>
  </si>
  <si>
    <r>
      <rPr>
        <sz val="10"/>
        <color rgb="FF0000FF"/>
        <rFont val="JRFonts"/>
        <charset val="134"/>
      </rPr>
      <t>19360</t>
    </r>
  </si>
  <si>
    <r>
      <rPr>
        <sz val="10"/>
        <color rgb="FF000000"/>
        <rFont val="JRFonts"/>
        <charset val="134"/>
      </rPr>
      <t>FAS</t>
    </r>
  </si>
  <si>
    <r>
      <rPr>
        <sz val="10"/>
        <color rgb="FF000000"/>
        <rFont val="JRFonts"/>
        <charset val="134"/>
      </rPr>
      <t>Pulkit Kukreja</t>
    </r>
  </si>
  <si>
    <r>
      <rPr>
        <sz val="10"/>
        <color rgb="FF000000"/>
        <rFont val="JRFonts"/>
        <charset val="134"/>
      </rPr>
      <t>01-07-2026 12:29</t>
    </r>
  </si>
  <si>
    <r>
      <rPr>
        <sz val="10"/>
        <color rgb="FF000000"/>
        <rFont val="JRFonts"/>
        <charset val="134"/>
      </rPr>
      <t>01-07-2026 11:46</t>
    </r>
  </si>
  <si>
    <r>
      <rPr>
        <sz val="10"/>
        <color rgb="FF0000FF"/>
        <rFont val="JRFonts"/>
        <charset val="134"/>
      </rPr>
      <t>19361</t>
    </r>
  </si>
  <si>
    <r>
      <rPr>
        <sz val="10"/>
        <color rgb="FF000000"/>
        <rFont val="JRFonts"/>
        <charset val="134"/>
      </rPr>
      <t>P2</t>
    </r>
  </si>
  <si>
    <r>
      <rPr>
        <sz val="10"/>
        <color rgb="FF000000"/>
        <rFont val="JRFonts"/>
        <charset val="134"/>
      </rPr>
      <t>01-07-2026 11:52</t>
    </r>
  </si>
  <si>
    <r>
      <rPr>
        <sz val="10"/>
        <color rgb="FF000000"/>
        <rFont val="JRFonts"/>
        <charset val="134"/>
      </rPr>
      <t>01-07-2026 18:16</t>
    </r>
  </si>
  <si>
    <r>
      <rPr>
        <sz val="10"/>
        <color rgb="FF000000"/>
        <rFont val="JRFonts"/>
        <charset val="134"/>
      </rPr>
      <t>01-07-2026 12:13</t>
    </r>
  </si>
  <si>
    <t>Priority got updated form P4 to P2</t>
  </si>
  <si>
    <r>
      <rPr>
        <sz val="10"/>
        <color rgb="FF0000FF"/>
        <rFont val="JRFonts"/>
        <charset val="134"/>
      </rPr>
      <t>19362</t>
    </r>
  </si>
  <si>
    <r>
      <rPr>
        <sz val="10"/>
        <color rgb="FF000000"/>
        <rFont val="JRFonts"/>
        <charset val="134"/>
      </rPr>
      <t>03-07-2026 11:54</t>
    </r>
  </si>
  <si>
    <r>
      <rPr>
        <sz val="10"/>
        <color rgb="FF000000"/>
        <rFont val="JRFonts"/>
        <charset val="134"/>
      </rPr>
      <t>01-07-2026 12:11</t>
    </r>
  </si>
  <si>
    <t>19362</t>
  </si>
  <si>
    <r>
      <rPr>
        <sz val="10"/>
        <color rgb="FF0000FF"/>
        <rFont val="JRFonts"/>
        <charset val="134"/>
      </rPr>
      <t>19367</t>
    </r>
  </si>
  <si>
    <r>
      <rPr>
        <sz val="10"/>
        <color rgb="FF000000"/>
        <rFont val="JRFonts"/>
        <charset val="134"/>
      </rPr>
      <t>P3</t>
    </r>
  </si>
  <si>
    <r>
      <rPr>
        <sz val="10"/>
        <color rgb="FF000000"/>
        <rFont val="JRFonts"/>
        <charset val="134"/>
      </rPr>
      <t>01-07-2026 12:26</t>
    </r>
  </si>
  <si>
    <r>
      <rPr>
        <sz val="10"/>
        <color rgb="FF000000"/>
        <rFont val="JRFonts"/>
        <charset val="134"/>
      </rPr>
      <t>11-08-2026 16:18</t>
    </r>
  </si>
  <si>
    <r>
      <rPr>
        <sz val="10"/>
        <color rgb="FF000000"/>
        <rFont val="JRFonts"/>
        <charset val="134"/>
      </rPr>
      <t>01-07-2026 12:32</t>
    </r>
  </si>
  <si>
    <t>19367</t>
  </si>
  <si>
    <r>
      <rPr>
        <sz val="10"/>
        <color rgb="FF0000FF"/>
        <rFont val="JRFonts"/>
        <charset val="134"/>
      </rPr>
      <t>19370</t>
    </r>
  </si>
  <si>
    <r>
      <rPr>
        <sz val="10"/>
        <color rgb="FF000000"/>
        <rFont val="JRFonts"/>
        <charset val="134"/>
      </rPr>
      <t>Credit Guarantee Scheme for Start-ups (CGSS)</t>
    </r>
  </si>
  <si>
    <r>
      <rPr>
        <sz val="10"/>
        <color rgb="FF000000"/>
        <rFont val="JRFonts"/>
        <charset val="134"/>
      </rPr>
      <t>01-07-2026 14:42</t>
    </r>
  </si>
  <si>
    <r>
      <rPr>
        <sz val="10"/>
        <color rgb="FF000000"/>
        <rFont val="JRFonts"/>
        <charset val="134"/>
      </rPr>
      <t>01-07-2026 12:56</t>
    </r>
  </si>
  <si>
    <r>
      <rPr>
        <sz val="10"/>
        <color rgb="FF0000FF"/>
        <rFont val="JRFonts"/>
        <charset val="134"/>
      </rPr>
      <t>19371</t>
    </r>
  </si>
  <si>
    <r>
      <rPr>
        <sz val="10"/>
        <color rgb="FF000000"/>
        <rFont val="JRFonts"/>
        <charset val="134"/>
      </rPr>
      <t>01-07-2026 12:41</t>
    </r>
  </si>
  <si>
    <r>
      <rPr>
        <sz val="10"/>
        <color rgb="FF000000"/>
        <rFont val="JRFonts"/>
        <charset val="134"/>
      </rPr>
      <t>20-08-2026 17:58</t>
    </r>
  </si>
  <si>
    <r>
      <rPr>
        <sz val="10"/>
        <color rgb="FF000000"/>
        <rFont val="JRFonts"/>
        <charset val="134"/>
      </rPr>
      <t>01-07-2026 12:57</t>
    </r>
  </si>
  <si>
    <t>19371</t>
  </si>
  <si>
    <t>Data was shared directly over mail by dev - delayed to update on portal</t>
  </si>
  <si>
    <r>
      <rPr>
        <sz val="10"/>
        <color rgb="FF0000FF"/>
        <rFont val="JRFonts"/>
        <charset val="134"/>
      </rPr>
      <t>19374</t>
    </r>
  </si>
  <si>
    <r>
      <rPr>
        <sz val="10"/>
        <color rgb="FF000000"/>
        <rFont val="JRFonts"/>
        <charset val="134"/>
      </rPr>
      <t>01-07-2026 12:59</t>
    </r>
  </si>
  <si>
    <r>
      <rPr>
        <sz val="10"/>
        <color rgb="FF000000"/>
        <rFont val="JRFonts"/>
        <charset val="134"/>
      </rPr>
      <t>02-07-2026 11:06</t>
    </r>
  </si>
  <si>
    <r>
      <rPr>
        <sz val="10"/>
        <color rgb="FF000000"/>
        <rFont val="JRFonts"/>
        <charset val="134"/>
      </rPr>
      <t>01-07-2026 13:01</t>
    </r>
  </si>
  <si>
    <r>
      <rPr>
        <sz val="10"/>
        <color rgb="FF0000FF"/>
        <rFont val="JRFonts"/>
        <charset val="134"/>
      </rPr>
      <t>19375</t>
    </r>
  </si>
  <si>
    <r>
      <rPr>
        <sz val="10"/>
        <color rgb="FF000000"/>
        <rFont val="JRFonts"/>
        <charset val="134"/>
      </rPr>
      <t>01-07-2026 13:12</t>
    </r>
  </si>
  <si>
    <r>
      <rPr>
        <sz val="10"/>
        <color rgb="FF000000"/>
        <rFont val="JRFonts"/>
        <charset val="134"/>
      </rPr>
      <t>01-07-2026 14:00</t>
    </r>
  </si>
  <si>
    <t>19375</t>
  </si>
  <si>
    <r>
      <rPr>
        <sz val="10"/>
        <color rgb="FF0000FF"/>
        <rFont val="JRFonts"/>
        <charset val="134"/>
      </rPr>
      <t>19376</t>
    </r>
  </si>
  <si>
    <r>
      <rPr>
        <sz val="10"/>
        <color rgb="FF000000"/>
        <rFont val="JRFonts"/>
        <charset val="134"/>
      </rPr>
      <t>Credit Guarantee Scheme for Stand Up India (CGSSI)</t>
    </r>
  </si>
  <si>
    <r>
      <rPr>
        <sz val="10"/>
        <color rgb="FF000000"/>
        <rFont val="JRFonts"/>
        <charset val="134"/>
      </rPr>
      <t>30-07-2026 17:30</t>
    </r>
  </si>
  <si>
    <r>
      <rPr>
        <sz val="10"/>
        <color rgb="FF000000"/>
        <rFont val="JRFonts"/>
        <charset val="134"/>
      </rPr>
      <t>01-07-2026 14:03</t>
    </r>
  </si>
  <si>
    <t>19376</t>
  </si>
  <si>
    <r>
      <rPr>
        <sz val="10"/>
        <color rgb="FF0000FF"/>
        <rFont val="JRFonts"/>
        <charset val="134"/>
      </rPr>
      <t>19377</t>
    </r>
  </si>
  <si>
    <r>
      <rPr>
        <sz val="10"/>
        <color rgb="FF000000"/>
        <rFont val="JRFonts"/>
        <charset val="134"/>
      </rPr>
      <t>01-07-2026 13:15</t>
    </r>
  </si>
  <si>
    <r>
      <rPr>
        <sz val="10"/>
        <color rgb="FF000000"/>
        <rFont val="JRFonts"/>
        <charset val="134"/>
      </rPr>
      <t>30-07-2026 17:02</t>
    </r>
  </si>
  <si>
    <r>
      <rPr>
        <sz val="10"/>
        <color rgb="FF000000"/>
        <rFont val="JRFonts"/>
        <charset val="134"/>
      </rPr>
      <t>01-07-2026 14:04</t>
    </r>
  </si>
  <si>
    <t>19377</t>
  </si>
  <si>
    <r>
      <rPr>
        <sz val="10"/>
        <color rgb="FF0000FF"/>
        <rFont val="JRFonts"/>
        <charset val="134"/>
      </rPr>
      <t>19382</t>
    </r>
  </si>
  <si>
    <r>
      <rPr>
        <sz val="10"/>
        <color rgb="FF000000"/>
        <rFont val="JRFonts"/>
        <charset val="134"/>
      </rPr>
      <t>01-07-2026 13:30</t>
    </r>
  </si>
  <si>
    <r>
      <rPr>
        <sz val="10"/>
        <color rgb="FF000000"/>
        <rFont val="JRFonts"/>
        <charset val="134"/>
      </rPr>
      <t>06-08-2026 18:28</t>
    </r>
  </si>
  <si>
    <r>
      <rPr>
        <sz val="10"/>
        <color rgb="FF000000"/>
        <rFont val="JRFonts"/>
        <charset val="134"/>
      </rPr>
      <t>01-07-2026 14:06</t>
    </r>
  </si>
  <si>
    <t>19382</t>
  </si>
  <si>
    <r>
      <rPr>
        <sz val="10"/>
        <color rgb="FF0000FF"/>
        <rFont val="JRFonts"/>
        <charset val="134"/>
      </rPr>
      <t>19383</t>
    </r>
  </si>
  <si>
    <r>
      <rPr>
        <sz val="10"/>
        <color rgb="FF000000"/>
        <rFont val="JRFonts"/>
        <charset val="134"/>
      </rPr>
      <t>01-07-2026 13:36</t>
    </r>
  </si>
  <si>
    <r>
      <rPr>
        <sz val="10"/>
        <color rgb="FF000000"/>
        <rFont val="JRFonts"/>
        <charset val="134"/>
      </rPr>
      <t>06-08-2026 18:29</t>
    </r>
  </si>
  <si>
    <r>
      <rPr>
        <sz val="10"/>
        <color rgb="FF000000"/>
        <rFont val="JRFonts"/>
        <charset val="134"/>
      </rPr>
      <t>01-07-2026 14:08</t>
    </r>
  </si>
  <si>
    <t>19383</t>
  </si>
  <si>
    <r>
      <rPr>
        <sz val="10"/>
        <color rgb="FF0000FF"/>
        <rFont val="JRFonts"/>
        <charset val="134"/>
      </rPr>
      <t>19386</t>
    </r>
  </si>
  <si>
    <r>
      <rPr>
        <sz val="10"/>
        <color rgb="FF000000"/>
        <rFont val="JRFonts"/>
        <charset val="134"/>
      </rPr>
      <t>01-07-2026 13:42</t>
    </r>
  </si>
  <si>
    <r>
      <rPr>
        <sz val="10"/>
        <color rgb="FF000000"/>
        <rFont val="JRFonts"/>
        <charset val="134"/>
      </rPr>
      <t>02-07-2026 11:38</t>
    </r>
  </si>
  <si>
    <r>
      <rPr>
        <sz val="10"/>
        <color rgb="FF000000"/>
        <rFont val="JRFonts"/>
        <charset val="134"/>
      </rPr>
      <t>01-07-2026 14:10</t>
    </r>
  </si>
  <si>
    <r>
      <rPr>
        <sz val="10"/>
        <color rgb="FF0000FF"/>
        <rFont val="JRFonts"/>
        <charset val="134"/>
      </rPr>
      <t>19389</t>
    </r>
  </si>
  <si>
    <r>
      <rPr>
        <sz val="10"/>
        <color rgb="FF000000"/>
        <rFont val="JRFonts"/>
        <charset val="134"/>
      </rPr>
      <t>01-07-2026 14:07</t>
    </r>
  </si>
  <si>
    <r>
      <rPr>
        <sz val="10"/>
        <color rgb="FF000000"/>
        <rFont val="JRFonts"/>
        <charset val="134"/>
      </rPr>
      <t>01-07-2026 14:25</t>
    </r>
  </si>
  <si>
    <r>
      <rPr>
        <sz val="10"/>
        <color rgb="FF000000"/>
        <rFont val="JRFonts"/>
        <charset val="134"/>
      </rPr>
      <t>01-07-2026 14:12</t>
    </r>
  </si>
  <si>
    <r>
      <rPr>
        <sz val="10"/>
        <color rgb="FF0000FF"/>
        <rFont val="JRFonts"/>
        <charset val="134"/>
      </rPr>
      <t>19391</t>
    </r>
  </si>
  <si>
    <r>
      <rPr>
        <sz val="10"/>
        <color rgb="FF000000"/>
        <rFont val="JRFonts"/>
        <charset val="134"/>
      </rPr>
      <t>Hina Bhardwaj</t>
    </r>
  </si>
  <si>
    <r>
      <rPr>
        <sz val="10"/>
        <color rgb="FF000000"/>
        <rFont val="JRFonts"/>
        <charset val="134"/>
      </rPr>
      <t>01-07-2026 14:19</t>
    </r>
  </si>
  <si>
    <r>
      <rPr>
        <sz val="10"/>
        <color rgb="FF000000"/>
        <rFont val="JRFonts"/>
        <charset val="134"/>
      </rPr>
      <t>02-07-2026 15:28</t>
    </r>
  </si>
  <si>
    <r>
      <rPr>
        <sz val="10"/>
        <color rgb="FF000000"/>
        <rFont val="JRFonts"/>
        <charset val="134"/>
      </rPr>
      <t>02-07-2026 14:41</t>
    </r>
  </si>
  <si>
    <r>
      <rPr>
        <sz val="10"/>
        <color rgb="FF0000FF"/>
        <rFont val="JRFonts"/>
        <charset val="134"/>
      </rPr>
      <t>19392</t>
    </r>
  </si>
  <si>
    <r>
      <rPr>
        <sz val="10"/>
        <color rgb="FF000000"/>
        <rFont val="JRFonts"/>
        <charset val="134"/>
      </rPr>
      <t>01-07-2026 14:37</t>
    </r>
  </si>
  <si>
    <r>
      <rPr>
        <sz val="10"/>
        <color rgb="FF000000"/>
        <rFont val="JRFonts"/>
        <charset val="134"/>
      </rPr>
      <t>02-07-2026 13:16</t>
    </r>
  </si>
  <si>
    <r>
      <rPr>
        <sz val="10"/>
        <color rgb="FF000000"/>
        <rFont val="JRFonts"/>
        <charset val="134"/>
      </rPr>
      <t>01-07-2026 16:58</t>
    </r>
  </si>
  <si>
    <r>
      <rPr>
        <sz val="10"/>
        <color rgb="FF0000FF"/>
        <rFont val="JRFonts"/>
        <charset val="134"/>
      </rPr>
      <t>19393</t>
    </r>
  </si>
  <si>
    <r>
      <rPr>
        <sz val="10"/>
        <color rgb="FF000000"/>
        <rFont val="JRFonts"/>
        <charset val="134"/>
      </rPr>
      <t>02-07-2026 17:28</t>
    </r>
  </si>
  <si>
    <r>
      <rPr>
        <sz val="10"/>
        <color rgb="FF000000"/>
        <rFont val="JRFonts"/>
        <charset val="134"/>
      </rPr>
      <t>01-07-2026 15:27</t>
    </r>
  </si>
  <si>
    <r>
      <rPr>
        <sz val="10"/>
        <color rgb="FF0000FF"/>
        <rFont val="JRFonts"/>
        <charset val="134"/>
      </rPr>
      <t>19394</t>
    </r>
  </si>
  <si>
    <r>
      <rPr>
        <sz val="10"/>
        <color rgb="FF000000"/>
        <rFont val="JRFonts"/>
        <charset val="134"/>
      </rPr>
      <t>01-07-2026 14:40</t>
    </r>
  </si>
  <si>
    <r>
      <rPr>
        <sz val="10"/>
        <color rgb="FF000000"/>
        <rFont val="JRFonts"/>
        <charset val="134"/>
      </rPr>
      <t>20-08-2026 18:13</t>
    </r>
  </si>
  <si>
    <r>
      <rPr>
        <sz val="10"/>
        <color rgb="FF000000"/>
        <rFont val="JRFonts"/>
        <charset val="134"/>
      </rPr>
      <t>01-07-2026 15:31</t>
    </r>
  </si>
  <si>
    <t>19394</t>
  </si>
  <si>
    <r>
      <rPr>
        <sz val="10"/>
        <color rgb="FF0000FF"/>
        <rFont val="JRFonts"/>
        <charset val="134"/>
      </rPr>
      <t>19395</t>
    </r>
  </si>
  <si>
    <r>
      <rPr>
        <sz val="10"/>
        <color rgb="FF000000"/>
        <rFont val="JRFonts"/>
        <charset val="134"/>
      </rPr>
      <t>01-07-2026 14:49</t>
    </r>
  </si>
  <si>
    <r>
      <rPr>
        <sz val="10"/>
        <color rgb="FF000000"/>
        <rFont val="JRFonts"/>
        <charset val="134"/>
      </rPr>
      <t>02-07-2026 11:05</t>
    </r>
  </si>
  <si>
    <r>
      <rPr>
        <sz val="10"/>
        <color rgb="FF000000"/>
        <rFont val="JRFonts"/>
        <charset val="134"/>
      </rPr>
      <t>01-07-2026 15:32</t>
    </r>
  </si>
  <si>
    <r>
      <rPr>
        <sz val="10"/>
        <color rgb="FF0000FF"/>
        <rFont val="JRFonts"/>
        <charset val="134"/>
      </rPr>
      <t>19396</t>
    </r>
  </si>
  <si>
    <r>
      <rPr>
        <sz val="10"/>
        <color rgb="FF000000"/>
        <rFont val="JRFonts"/>
        <charset val="134"/>
      </rPr>
      <t>01-07-2026 14:50</t>
    </r>
  </si>
  <si>
    <r>
      <rPr>
        <sz val="10"/>
        <color rgb="FF000000"/>
        <rFont val="JRFonts"/>
        <charset val="134"/>
      </rPr>
      <t>02-07-2026 10:25</t>
    </r>
  </si>
  <si>
    <r>
      <rPr>
        <sz val="10"/>
        <color rgb="FF000000"/>
        <rFont val="JRFonts"/>
        <charset val="134"/>
      </rPr>
      <t>01-07-2026 15:40</t>
    </r>
  </si>
  <si>
    <r>
      <rPr>
        <sz val="10"/>
        <color rgb="FF0000FF"/>
        <rFont val="JRFonts"/>
        <charset val="134"/>
      </rPr>
      <t>19397</t>
    </r>
  </si>
  <si>
    <r>
      <rPr>
        <sz val="10"/>
        <color rgb="FF000000"/>
        <rFont val="JRFonts"/>
        <charset val="134"/>
      </rPr>
      <t>01-07-2026 15:05</t>
    </r>
  </si>
  <si>
    <r>
      <rPr>
        <sz val="10"/>
        <color rgb="FF000000"/>
        <rFont val="JRFonts"/>
        <charset val="134"/>
      </rPr>
      <t>02-07-2026 11:03</t>
    </r>
  </si>
  <si>
    <r>
      <rPr>
        <sz val="10"/>
        <color rgb="FF000000"/>
        <rFont val="JRFonts"/>
        <charset val="134"/>
      </rPr>
      <t>01-07-2026 15:33</t>
    </r>
  </si>
  <si>
    <r>
      <rPr>
        <sz val="10"/>
        <color rgb="FF0000FF"/>
        <rFont val="JRFonts"/>
        <charset val="134"/>
      </rPr>
      <t>19399</t>
    </r>
  </si>
  <si>
    <r>
      <rPr>
        <sz val="10"/>
        <color rgb="FF000000"/>
        <rFont val="JRFonts"/>
        <charset val="134"/>
      </rPr>
      <t>Credit Guarantee Fund Scheme for Education Loans(CGFEL)</t>
    </r>
  </si>
  <si>
    <r>
      <rPr>
        <sz val="10"/>
        <color rgb="FF000000"/>
        <rFont val="JRFonts"/>
        <charset val="134"/>
      </rPr>
      <t>01-07-2026 15:14</t>
    </r>
  </si>
  <si>
    <r>
      <rPr>
        <sz val="10"/>
        <color rgb="FF000000"/>
        <rFont val="JRFonts"/>
        <charset val="134"/>
      </rPr>
      <t>01-07-2026 16:30</t>
    </r>
  </si>
  <si>
    <r>
      <rPr>
        <sz val="10"/>
        <color rgb="FF000000"/>
        <rFont val="JRFonts"/>
        <charset val="134"/>
      </rPr>
      <t>01-07-2026 15:17</t>
    </r>
  </si>
  <si>
    <r>
      <rPr>
        <sz val="10"/>
        <color rgb="FF0000FF"/>
        <rFont val="JRFonts"/>
        <charset val="134"/>
      </rPr>
      <t>19400</t>
    </r>
  </si>
  <si>
    <r>
      <rPr>
        <sz val="10"/>
        <color rgb="FF000000"/>
        <rFont val="JRFonts"/>
        <charset val="134"/>
      </rPr>
      <t>03-07-2026 14:14</t>
    </r>
  </si>
  <si>
    <r>
      <rPr>
        <sz val="10"/>
        <color rgb="FF000000"/>
        <rFont val="JRFonts"/>
        <charset val="134"/>
      </rPr>
      <t>01-07-2026 15:34</t>
    </r>
  </si>
  <si>
    <t>19400</t>
  </si>
  <si>
    <r>
      <rPr>
        <sz val="10"/>
        <color rgb="FF0000FF"/>
        <rFont val="JRFonts"/>
        <charset val="134"/>
      </rPr>
      <t>19401</t>
    </r>
  </si>
  <si>
    <r>
      <rPr>
        <sz val="10"/>
        <color rgb="FF000000"/>
        <rFont val="JRFonts"/>
        <charset val="134"/>
      </rPr>
      <t>09-07-2026 18:17</t>
    </r>
  </si>
  <si>
    <r>
      <rPr>
        <sz val="10"/>
        <color rgb="FF000000"/>
        <rFont val="JRFonts"/>
        <charset val="134"/>
      </rPr>
      <t>01-07-2026 15:39</t>
    </r>
  </si>
  <si>
    <t>19401</t>
  </si>
  <si>
    <r>
      <rPr>
        <sz val="10"/>
        <color rgb="FF0000FF"/>
        <rFont val="JRFonts"/>
        <charset val="134"/>
      </rPr>
      <t>19402</t>
    </r>
  </si>
  <si>
    <r>
      <rPr>
        <sz val="10"/>
        <color rgb="FF000000"/>
        <rFont val="JRFonts"/>
        <charset val="134"/>
      </rPr>
      <t>01-07-2026 16:37</t>
    </r>
  </si>
  <si>
    <r>
      <rPr>
        <sz val="10"/>
        <color rgb="FF000000"/>
        <rFont val="JRFonts"/>
        <charset val="134"/>
      </rPr>
      <t>01-07-2026 15:24</t>
    </r>
  </si>
  <si>
    <r>
      <rPr>
        <sz val="10"/>
        <color rgb="FF0000FF"/>
        <rFont val="JRFonts"/>
        <charset val="134"/>
      </rPr>
      <t>19403</t>
    </r>
  </si>
  <si>
    <r>
      <rPr>
        <sz val="10"/>
        <color rgb="FF000000"/>
        <rFont val="JRFonts"/>
        <charset val="134"/>
      </rPr>
      <t>05-07-2026 19:22</t>
    </r>
  </si>
  <si>
    <r>
      <rPr>
        <sz val="10"/>
        <color rgb="FF000000"/>
        <rFont val="JRFonts"/>
        <charset val="134"/>
      </rPr>
      <t>01-07-2026 15:22</t>
    </r>
  </si>
  <si>
    <t>19403</t>
  </si>
  <si>
    <r>
      <rPr>
        <sz val="10"/>
        <color rgb="FF0000FF"/>
        <rFont val="JRFonts"/>
        <charset val="134"/>
      </rPr>
      <t>19404</t>
    </r>
  </si>
  <si>
    <r>
      <rPr>
        <sz val="10"/>
        <color rgb="FF000000"/>
        <rFont val="JRFonts"/>
        <charset val="134"/>
      </rPr>
      <t>01-07-2026 15:26</t>
    </r>
  </si>
  <si>
    <r>
      <rPr>
        <sz val="10"/>
        <color rgb="FF000000"/>
        <rFont val="JRFonts"/>
        <charset val="134"/>
      </rPr>
      <t>10-07-2026 12:42</t>
    </r>
  </si>
  <si>
    <r>
      <rPr>
        <sz val="10"/>
        <color rgb="FF000000"/>
        <rFont val="JRFonts"/>
        <charset val="134"/>
      </rPr>
      <t>01-07-2026 15:45</t>
    </r>
  </si>
  <si>
    <t>19404</t>
  </si>
  <si>
    <t>was on user responce pending</t>
  </si>
  <si>
    <r>
      <rPr>
        <sz val="10"/>
        <color rgb="FF0000FF"/>
        <rFont val="JRFonts"/>
        <charset val="134"/>
      </rPr>
      <t>19405</t>
    </r>
  </si>
  <si>
    <r>
      <rPr>
        <sz val="10"/>
        <color rgb="FF000000"/>
        <rFont val="JRFonts"/>
        <charset val="134"/>
      </rPr>
      <t>01-07-2026 15:29</t>
    </r>
  </si>
  <si>
    <r>
      <rPr>
        <sz val="10"/>
        <color rgb="FF000000"/>
        <rFont val="JRFonts"/>
        <charset val="134"/>
      </rPr>
      <t>02-07-2026 11:01</t>
    </r>
  </si>
  <si>
    <r>
      <rPr>
        <sz val="10"/>
        <color rgb="FF000000"/>
        <rFont val="JRFonts"/>
        <charset val="134"/>
      </rPr>
      <t>01-07-2026 15:36</t>
    </r>
  </si>
  <si>
    <r>
      <rPr>
        <sz val="10"/>
        <color rgb="FF0000FF"/>
        <rFont val="JRFonts"/>
        <charset val="134"/>
      </rPr>
      <t>19406</t>
    </r>
  </si>
  <si>
    <r>
      <rPr>
        <sz val="10"/>
        <color rgb="FF000000"/>
        <rFont val="JRFonts"/>
        <charset val="134"/>
      </rPr>
      <t>02-07-2026 14:34</t>
    </r>
  </si>
  <si>
    <r>
      <rPr>
        <sz val="10"/>
        <color rgb="FF000000"/>
        <rFont val="JRFonts"/>
        <charset val="134"/>
      </rPr>
      <t>01-07-2026 15:41</t>
    </r>
  </si>
  <si>
    <r>
      <rPr>
        <sz val="10"/>
        <color rgb="FF0000FF"/>
        <rFont val="JRFonts"/>
        <charset val="134"/>
      </rPr>
      <t>19407</t>
    </r>
  </si>
  <si>
    <r>
      <rPr>
        <sz val="10"/>
        <color rgb="FF000000"/>
        <rFont val="JRFonts"/>
        <charset val="134"/>
      </rPr>
      <t>11-08-2026 15:25</t>
    </r>
  </si>
  <si>
    <r>
      <rPr>
        <sz val="10"/>
        <color rgb="FF000000"/>
        <rFont val="JRFonts"/>
        <charset val="134"/>
      </rPr>
      <t>01-07-2026 15:57</t>
    </r>
  </si>
  <si>
    <t>19407</t>
  </si>
  <si>
    <r>
      <rPr>
        <sz val="10"/>
        <color rgb="FF0000FF"/>
        <rFont val="JRFonts"/>
        <charset val="134"/>
      </rPr>
      <t>19408</t>
    </r>
  </si>
  <si>
    <r>
      <rPr>
        <sz val="10"/>
        <color rgb="FF000000"/>
        <rFont val="JRFonts"/>
        <charset val="134"/>
      </rPr>
      <t>01-07-2026 15:42</t>
    </r>
  </si>
  <si>
    <r>
      <rPr>
        <sz val="10"/>
        <color rgb="FF000000"/>
        <rFont val="JRFonts"/>
        <charset val="134"/>
      </rPr>
      <t>02-07-2026 11:21</t>
    </r>
  </si>
  <si>
    <r>
      <rPr>
        <sz val="10"/>
        <color rgb="FF000000"/>
        <rFont val="JRFonts"/>
        <charset val="134"/>
      </rPr>
      <t>01-07-2026 15:47</t>
    </r>
  </si>
  <si>
    <t>confirmation - pulkit</t>
  </si>
  <si>
    <r>
      <rPr>
        <sz val="10"/>
        <color rgb="FF0000FF"/>
        <rFont val="JRFonts"/>
        <charset val="134"/>
      </rPr>
      <t>19409</t>
    </r>
  </si>
  <si>
    <r>
      <rPr>
        <sz val="10"/>
        <color rgb="FF000000"/>
        <rFont val="JRFonts"/>
        <charset val="134"/>
      </rPr>
      <t>01-07-2026 15:51</t>
    </r>
  </si>
  <si>
    <r>
      <rPr>
        <sz val="10"/>
        <color rgb="FF000000"/>
        <rFont val="JRFonts"/>
        <charset val="134"/>
      </rPr>
      <t>09-07-2026 18:19</t>
    </r>
  </si>
  <si>
    <r>
      <rPr>
        <sz val="10"/>
        <color rgb="FF000000"/>
        <rFont val="JRFonts"/>
        <charset val="134"/>
      </rPr>
      <t>01-07-2026 16:05</t>
    </r>
  </si>
  <si>
    <t>19409</t>
  </si>
  <si>
    <r>
      <rPr>
        <sz val="10"/>
        <color rgb="FF0000FF"/>
        <rFont val="JRFonts"/>
        <charset val="134"/>
      </rPr>
      <t>19410</t>
    </r>
  </si>
  <si>
    <r>
      <rPr>
        <sz val="10"/>
        <color rgb="FF000000"/>
        <rFont val="JRFonts"/>
        <charset val="134"/>
      </rPr>
      <t>01-07-2026 15:54</t>
    </r>
  </si>
  <si>
    <r>
      <rPr>
        <sz val="10"/>
        <color rgb="FF000000"/>
        <rFont val="JRFonts"/>
        <charset val="134"/>
      </rPr>
      <t>01-07-2026 16:13</t>
    </r>
  </si>
  <si>
    <r>
      <rPr>
        <sz val="10"/>
        <color rgb="FF000000"/>
        <rFont val="JRFonts"/>
        <charset val="134"/>
      </rPr>
      <t>01-07-2026 15:59</t>
    </r>
  </si>
  <si>
    <r>
      <rPr>
        <sz val="10"/>
        <color rgb="FF0000FF"/>
        <rFont val="JRFonts"/>
        <charset val="134"/>
      </rPr>
      <t>19411</t>
    </r>
  </si>
  <si>
    <r>
      <rPr>
        <sz val="10"/>
        <color rgb="FF000000"/>
        <rFont val="JRFonts"/>
        <charset val="134"/>
      </rPr>
      <t>01-07-2026 17:00</t>
    </r>
  </si>
  <si>
    <r>
      <rPr>
        <sz val="10"/>
        <color rgb="FF000000"/>
        <rFont val="JRFonts"/>
        <charset val="134"/>
      </rPr>
      <t>01-07-2026 16:03</t>
    </r>
  </si>
  <si>
    <r>
      <rPr>
        <sz val="10"/>
        <color rgb="FF0000FF"/>
        <rFont val="JRFonts"/>
        <charset val="134"/>
      </rPr>
      <t>19412</t>
    </r>
  </si>
  <si>
    <r>
      <rPr>
        <sz val="10"/>
        <color rgb="FF000000"/>
        <rFont val="JRFonts"/>
        <charset val="134"/>
      </rPr>
      <t>01-07-2026 16:09</t>
    </r>
  </si>
  <si>
    <r>
      <rPr>
        <sz val="10"/>
        <color rgb="FF000000"/>
        <rFont val="JRFonts"/>
        <charset val="134"/>
      </rPr>
      <t>01-07-2026 16:25</t>
    </r>
  </si>
  <si>
    <r>
      <rPr>
        <sz val="10"/>
        <color rgb="FF000000"/>
        <rFont val="JRFonts"/>
        <charset val="134"/>
      </rPr>
      <t>01-07-2026 16:17</t>
    </r>
  </si>
  <si>
    <r>
      <rPr>
        <sz val="10"/>
        <color rgb="FF0000FF"/>
        <rFont val="JRFonts"/>
        <charset val="134"/>
      </rPr>
      <t>19413</t>
    </r>
  </si>
  <si>
    <r>
      <rPr>
        <sz val="10"/>
        <color rgb="FF000000"/>
        <rFont val="JRFonts"/>
        <charset val="134"/>
      </rPr>
      <t>01-07-2026 16:16</t>
    </r>
  </si>
  <si>
    <r>
      <rPr>
        <sz val="10"/>
        <color rgb="FF000000"/>
        <rFont val="JRFonts"/>
        <charset val="134"/>
      </rPr>
      <t>02-07-2026 11:00</t>
    </r>
  </si>
  <si>
    <r>
      <rPr>
        <sz val="10"/>
        <color rgb="FF000000"/>
        <rFont val="JRFonts"/>
        <charset val="134"/>
      </rPr>
      <t>01-07-2026 16:40</t>
    </r>
  </si>
  <si>
    <r>
      <rPr>
        <sz val="10"/>
        <color rgb="FF0000FF"/>
        <rFont val="JRFonts"/>
        <charset val="134"/>
      </rPr>
      <t>19414</t>
    </r>
  </si>
  <si>
    <r>
      <rPr>
        <sz val="10"/>
        <color rgb="FF000000"/>
        <rFont val="JRFonts"/>
        <charset val="134"/>
      </rPr>
      <t>01-07-2026 16:19</t>
    </r>
  </si>
  <si>
    <r>
      <rPr>
        <sz val="10"/>
        <color rgb="FF000000"/>
        <rFont val="JRFonts"/>
        <charset val="134"/>
      </rPr>
      <t>01-07-2026 16:55</t>
    </r>
  </si>
  <si>
    <r>
      <rPr>
        <sz val="10"/>
        <color rgb="FF000000"/>
        <rFont val="JRFonts"/>
        <charset val="134"/>
      </rPr>
      <t>01-07-2026 16:39</t>
    </r>
  </si>
  <si>
    <r>
      <rPr>
        <sz val="10"/>
        <color rgb="FF0000FF"/>
        <rFont val="JRFonts"/>
        <charset val="134"/>
      </rPr>
      <t>19418</t>
    </r>
  </si>
  <si>
    <r>
      <rPr>
        <sz val="10"/>
        <color rgb="FF000000"/>
        <rFont val="JRFonts"/>
        <charset val="134"/>
      </rPr>
      <t>02-07-2026 11:14</t>
    </r>
  </si>
  <si>
    <r>
      <rPr>
        <sz val="10"/>
        <color rgb="FF000000"/>
        <rFont val="JRFonts"/>
        <charset val="134"/>
      </rPr>
      <t>01-07-2026 16:50</t>
    </r>
  </si>
  <si>
    <r>
      <rPr>
        <sz val="10"/>
        <color rgb="FF0000FF"/>
        <rFont val="JRFonts"/>
        <charset val="134"/>
      </rPr>
      <t>19422</t>
    </r>
  </si>
  <si>
    <r>
      <rPr>
        <sz val="10"/>
        <color rgb="FF000000"/>
        <rFont val="JRFonts"/>
        <charset val="134"/>
      </rPr>
      <t>01-07-2026 17:14</t>
    </r>
  </si>
  <si>
    <r>
      <rPr>
        <sz val="10"/>
        <color rgb="FF000000"/>
        <rFont val="JRFonts"/>
        <charset val="134"/>
      </rPr>
      <t>02-07-2026 13:04</t>
    </r>
  </si>
  <si>
    <r>
      <rPr>
        <sz val="10"/>
        <color rgb="FF000000"/>
        <rFont val="JRFonts"/>
        <charset val="134"/>
      </rPr>
      <t>01-07-2026 17:15</t>
    </r>
  </si>
  <si>
    <r>
      <rPr>
        <sz val="10"/>
        <color rgb="FF0000FF"/>
        <rFont val="JRFonts"/>
        <charset val="134"/>
      </rPr>
      <t>19423</t>
    </r>
  </si>
  <si>
    <r>
      <rPr>
        <sz val="10"/>
        <color rgb="FF000000"/>
        <rFont val="JRFonts"/>
        <charset val="134"/>
      </rPr>
      <t>01-07-2026 17:29</t>
    </r>
  </si>
  <si>
    <r>
      <rPr>
        <sz val="10"/>
        <color rgb="FF000000"/>
        <rFont val="JRFonts"/>
        <charset val="134"/>
      </rPr>
      <t>01-07-2026 17:58</t>
    </r>
  </si>
  <si>
    <r>
      <rPr>
        <sz val="10"/>
        <color rgb="FF000000"/>
        <rFont val="JRFonts"/>
        <charset val="134"/>
      </rPr>
      <t>01-07-2026 17:35</t>
    </r>
  </si>
  <si>
    <r>
      <rPr>
        <sz val="10"/>
        <color rgb="FF0000FF"/>
        <rFont val="JRFonts"/>
        <charset val="134"/>
      </rPr>
      <t>19425</t>
    </r>
  </si>
  <si>
    <r>
      <rPr>
        <sz val="10"/>
        <color rgb="FF000000"/>
        <rFont val="JRFonts"/>
        <charset val="134"/>
      </rPr>
      <t>01-07-2026 17:53</t>
    </r>
  </si>
  <si>
    <r>
      <rPr>
        <sz val="10"/>
        <color rgb="FF000000"/>
        <rFont val="JRFonts"/>
        <charset val="134"/>
      </rPr>
      <t>02-07-2026 10:56</t>
    </r>
  </si>
  <si>
    <r>
      <rPr>
        <sz val="10"/>
        <color rgb="FF000000"/>
        <rFont val="JRFonts"/>
        <charset val="134"/>
      </rPr>
      <t>01-07-2026 18:07</t>
    </r>
  </si>
  <si>
    <r>
      <rPr>
        <sz val="10"/>
        <color rgb="FF0000FF"/>
        <rFont val="JRFonts"/>
        <charset val="134"/>
      </rPr>
      <t>19427</t>
    </r>
  </si>
  <si>
    <r>
      <rPr>
        <sz val="10"/>
        <color rgb="FF000000"/>
        <rFont val="JRFonts"/>
        <charset val="134"/>
      </rPr>
      <t>01-07-2026 18:00</t>
    </r>
  </si>
  <si>
    <r>
      <rPr>
        <sz val="10"/>
        <color rgb="FF000000"/>
        <rFont val="JRFonts"/>
        <charset val="134"/>
      </rPr>
      <t>09-07-2026 11:50</t>
    </r>
  </si>
  <si>
    <r>
      <rPr>
        <sz val="10"/>
        <color rgb="FF000000"/>
        <rFont val="JRFonts"/>
        <charset val="134"/>
      </rPr>
      <t>01-07-2026 18:05</t>
    </r>
  </si>
  <si>
    <t>19427</t>
  </si>
  <si>
    <r>
      <rPr>
        <sz val="10"/>
        <color rgb="FF0000FF"/>
        <rFont val="JRFonts"/>
        <charset val="134"/>
      </rPr>
      <t>19428</t>
    </r>
  </si>
  <si>
    <r>
      <rPr>
        <sz val="10"/>
        <color rgb="FF000000"/>
        <rFont val="JRFonts"/>
        <charset val="134"/>
      </rPr>
      <t>01-07-2026 18:06</t>
    </r>
  </si>
  <si>
    <r>
      <rPr>
        <sz val="10"/>
        <color rgb="FF000000"/>
        <rFont val="JRFonts"/>
        <charset val="134"/>
      </rPr>
      <t>02-07-2026 10:39</t>
    </r>
  </si>
  <si>
    <r>
      <rPr>
        <sz val="10"/>
        <color rgb="FF000000"/>
        <rFont val="JRFonts"/>
        <charset val="134"/>
      </rPr>
      <t>01-07-2026 18:08</t>
    </r>
  </si>
  <si>
    <r>
      <rPr>
        <sz val="10"/>
        <color rgb="FF0000FF"/>
        <rFont val="JRFonts"/>
        <charset val="134"/>
      </rPr>
      <t>19429</t>
    </r>
  </si>
  <si>
    <r>
      <rPr>
        <sz val="10"/>
        <color rgb="FF000000"/>
        <rFont val="JRFonts"/>
        <charset val="134"/>
      </rPr>
      <t>01-07-2026 18:12</t>
    </r>
  </si>
  <si>
    <r>
      <rPr>
        <sz val="10"/>
        <color rgb="FF000000"/>
        <rFont val="JRFonts"/>
        <charset val="134"/>
      </rPr>
      <t>05-07-2026 19:20</t>
    </r>
  </si>
  <si>
    <r>
      <rPr>
        <sz val="10"/>
        <color rgb="FF000000"/>
        <rFont val="JRFonts"/>
        <charset val="134"/>
      </rPr>
      <t>01-07-2026 18:19</t>
    </r>
  </si>
  <si>
    <t>19429</t>
  </si>
  <si>
    <r>
      <rPr>
        <sz val="10"/>
        <color rgb="FF0000FF"/>
        <rFont val="JRFonts"/>
        <charset val="134"/>
      </rPr>
      <t>19431</t>
    </r>
  </si>
  <si>
    <r>
      <rPr>
        <sz val="10"/>
        <color rgb="FF000000"/>
        <rFont val="JRFonts"/>
        <charset val="134"/>
      </rPr>
      <t>01-07-2026 18:48</t>
    </r>
  </si>
  <si>
    <r>
      <rPr>
        <sz val="10"/>
        <color rgb="FF000000"/>
        <rFont val="JRFonts"/>
        <charset val="134"/>
      </rPr>
      <t>30-07-2026 14:57</t>
    </r>
  </si>
  <si>
    <r>
      <rPr>
        <sz val="10"/>
        <color rgb="FF000000"/>
        <rFont val="JRFonts"/>
        <charset val="134"/>
      </rPr>
      <t>03-07-2026 10:14</t>
    </r>
  </si>
  <si>
    <t>19431</t>
  </si>
  <si>
    <r>
      <rPr>
        <sz val="10"/>
        <color rgb="FF0000FF"/>
        <rFont val="JRFonts"/>
        <charset val="134"/>
      </rPr>
      <t>19432</t>
    </r>
  </si>
  <si>
    <r>
      <rPr>
        <sz val="10"/>
        <color rgb="FF000000"/>
        <rFont val="JRFonts"/>
        <charset val="134"/>
      </rPr>
      <t>01-07-2026 18:51</t>
    </r>
  </si>
  <si>
    <r>
      <rPr>
        <sz val="10"/>
        <color rgb="FF000000"/>
        <rFont val="JRFonts"/>
        <charset val="134"/>
      </rPr>
      <t>09-07-2026 18:20</t>
    </r>
  </si>
  <si>
    <r>
      <rPr>
        <sz val="10"/>
        <color rgb="FF000000"/>
        <rFont val="JRFonts"/>
        <charset val="134"/>
      </rPr>
      <t>02-07-2026 10:21</t>
    </r>
  </si>
  <si>
    <t>19432</t>
  </si>
  <si>
    <r>
      <rPr>
        <sz val="10"/>
        <color rgb="FF0000FF"/>
        <rFont val="JRFonts"/>
        <charset val="134"/>
      </rPr>
      <t>19433</t>
    </r>
  </si>
  <si>
    <r>
      <rPr>
        <sz val="10"/>
        <color rgb="FF000000"/>
        <rFont val="JRFonts"/>
        <charset val="134"/>
      </rPr>
      <t>01-07-2026 18:54</t>
    </r>
  </si>
  <si>
    <r>
      <rPr>
        <sz val="10"/>
        <color rgb="FF000000"/>
        <rFont val="JRFonts"/>
        <charset val="134"/>
      </rPr>
      <t>09-07-2026 18:21</t>
    </r>
  </si>
  <si>
    <r>
      <rPr>
        <sz val="10"/>
        <color rgb="FF000000"/>
        <rFont val="JRFonts"/>
        <charset val="134"/>
      </rPr>
      <t>03-07-2026 10:15</t>
    </r>
  </si>
  <si>
    <t>19433</t>
  </si>
  <si>
    <r>
      <rPr>
        <sz val="10"/>
        <color rgb="FF0000FF"/>
        <rFont val="JRFonts"/>
        <charset val="134"/>
      </rPr>
      <t>19434</t>
    </r>
  </si>
  <si>
    <r>
      <rPr>
        <sz val="10"/>
        <color rgb="FF000000"/>
        <rFont val="JRFonts"/>
        <charset val="134"/>
      </rPr>
      <t>01-07-2026 18:57</t>
    </r>
  </si>
  <si>
    <r>
      <rPr>
        <sz val="10"/>
        <color rgb="FF000000"/>
        <rFont val="JRFonts"/>
        <charset val="134"/>
      </rPr>
      <t>07-07-2026 23:07</t>
    </r>
  </si>
  <si>
    <r>
      <rPr>
        <sz val="10"/>
        <color rgb="FF000000"/>
        <rFont val="JRFonts"/>
        <charset val="134"/>
      </rPr>
      <t>03-07-2026 10:16</t>
    </r>
  </si>
  <si>
    <t>19434</t>
  </si>
  <si>
    <r>
      <rPr>
        <sz val="10"/>
        <color rgb="FF0000FF"/>
        <rFont val="JRFonts"/>
        <charset val="134"/>
      </rPr>
      <t>19435</t>
    </r>
  </si>
  <si>
    <r>
      <rPr>
        <sz val="10"/>
        <color rgb="FF000000"/>
        <rFont val="JRFonts"/>
        <charset val="134"/>
      </rPr>
      <t>01-07-2026 19:07</t>
    </r>
  </si>
  <si>
    <r>
      <rPr>
        <sz val="10"/>
        <color rgb="FF000000"/>
        <rFont val="JRFonts"/>
        <charset val="134"/>
      </rPr>
      <t>02-07-2026 15:25</t>
    </r>
  </si>
  <si>
    <r>
      <rPr>
        <sz val="10"/>
        <color rgb="FF000000"/>
        <rFont val="JRFonts"/>
        <charset val="134"/>
      </rPr>
      <t>02-07-2026 10:20</t>
    </r>
  </si>
  <si>
    <r>
      <rPr>
        <sz val="10"/>
        <color rgb="FF0000FF"/>
        <rFont val="JRFonts"/>
        <charset val="134"/>
      </rPr>
      <t>19436</t>
    </r>
  </si>
  <si>
    <r>
      <rPr>
        <sz val="10"/>
        <color rgb="FF000000"/>
        <rFont val="JRFonts"/>
        <charset val="134"/>
      </rPr>
      <t>01-07-2026 19:16</t>
    </r>
  </si>
  <si>
    <r>
      <rPr>
        <sz val="10"/>
        <color rgb="FF000000"/>
        <rFont val="JRFonts"/>
        <charset val="134"/>
      </rPr>
      <t>02-07-2026 11:08</t>
    </r>
  </si>
  <si>
    <r>
      <rPr>
        <sz val="10"/>
        <color rgb="FF000000"/>
        <rFont val="JRFonts"/>
        <charset val="134"/>
      </rPr>
      <t>02-07-2026 10:42</t>
    </r>
  </si>
  <si>
    <r>
      <rPr>
        <sz val="10"/>
        <color rgb="FF0000FF"/>
        <rFont val="JRFonts"/>
        <charset val="134"/>
      </rPr>
      <t>19437</t>
    </r>
  </si>
  <si>
    <r>
      <rPr>
        <sz val="10"/>
        <color rgb="FF000000"/>
        <rFont val="JRFonts"/>
        <charset val="134"/>
      </rPr>
      <t>01-07-2026 19:28</t>
    </r>
  </si>
  <si>
    <r>
      <rPr>
        <sz val="10"/>
        <color rgb="FF000000"/>
        <rFont val="JRFonts"/>
        <charset val="134"/>
      </rPr>
      <t>09-07-2026 18:22</t>
    </r>
  </si>
  <si>
    <r>
      <rPr>
        <sz val="10"/>
        <color rgb="FF000000"/>
        <rFont val="JRFonts"/>
        <charset val="134"/>
      </rPr>
      <t>02-07-2026 10:51</t>
    </r>
  </si>
  <si>
    <t>19437</t>
  </si>
  <si>
    <r>
      <rPr>
        <sz val="10"/>
        <color rgb="FF0000FF"/>
        <rFont val="JRFonts"/>
        <charset val="134"/>
      </rPr>
      <t>19438</t>
    </r>
  </si>
  <si>
    <r>
      <rPr>
        <sz val="10"/>
        <color rgb="FF000000"/>
        <rFont val="JRFonts"/>
        <charset val="134"/>
      </rPr>
      <t>02-07-2026 09:30</t>
    </r>
  </si>
  <si>
    <r>
      <rPr>
        <sz val="10"/>
        <color rgb="FF000000"/>
        <rFont val="JRFonts"/>
        <charset val="134"/>
      </rPr>
      <t>02-07-2026 10:41</t>
    </r>
  </si>
  <si>
    <r>
      <rPr>
        <sz val="10"/>
        <color rgb="FF000000"/>
        <rFont val="JRFonts"/>
        <charset val="134"/>
      </rPr>
      <t>02-07-2026 10:40</t>
    </r>
  </si>
  <si>
    <r>
      <rPr>
        <sz val="10"/>
        <color rgb="FF0000FF"/>
        <rFont val="JRFonts"/>
        <charset val="134"/>
      </rPr>
      <t>19439</t>
    </r>
  </si>
  <si>
    <r>
      <rPr>
        <sz val="10"/>
        <color rgb="FF000000"/>
        <rFont val="JRFonts"/>
        <charset val="134"/>
      </rPr>
      <t>02-07-2026 09:52</t>
    </r>
  </si>
  <si>
    <r>
      <rPr>
        <sz val="10"/>
        <color rgb="FF000000"/>
        <rFont val="JRFonts"/>
        <charset val="134"/>
      </rPr>
      <t>09-07-2026 12:15</t>
    </r>
  </si>
  <si>
    <r>
      <rPr>
        <sz val="10"/>
        <color rgb="FF000000"/>
        <rFont val="JRFonts"/>
        <charset val="134"/>
      </rPr>
      <t>02-07-2026 10:52</t>
    </r>
  </si>
  <si>
    <t>19439</t>
  </si>
  <si>
    <r>
      <rPr>
        <sz val="10"/>
        <color rgb="FF0000FF"/>
        <rFont val="JRFonts"/>
        <charset val="134"/>
      </rPr>
      <t>19440</t>
    </r>
  </si>
  <si>
    <r>
      <rPr>
        <sz val="10"/>
        <color rgb="FF000000"/>
        <rFont val="JRFonts"/>
        <charset val="134"/>
      </rPr>
      <t>02-07-2026 10:10</t>
    </r>
  </si>
  <si>
    <r>
      <rPr>
        <sz val="10"/>
        <color rgb="FF000000"/>
        <rFont val="JRFonts"/>
        <charset val="134"/>
      </rPr>
      <t>03-07-2026 12:03</t>
    </r>
  </si>
  <si>
    <r>
      <rPr>
        <sz val="10"/>
        <color rgb="FF000000"/>
        <rFont val="JRFonts"/>
        <charset val="134"/>
      </rPr>
      <t>02-07-2026 10:45</t>
    </r>
  </si>
  <si>
    <r>
      <rPr>
        <sz val="10"/>
        <color rgb="FF0000FF"/>
        <rFont val="JRFonts"/>
        <charset val="134"/>
      </rPr>
      <t>19441</t>
    </r>
  </si>
  <si>
    <r>
      <rPr>
        <sz val="10"/>
        <color rgb="FF000000"/>
        <rFont val="JRFonts"/>
        <charset val="134"/>
      </rPr>
      <t>02-07-2026 10:13</t>
    </r>
  </si>
  <si>
    <r>
      <rPr>
        <sz val="10"/>
        <color rgb="FF000000"/>
        <rFont val="JRFonts"/>
        <charset val="134"/>
      </rPr>
      <t>11-08-2026 15:12</t>
    </r>
  </si>
  <si>
    <t>19441</t>
  </si>
  <si>
    <r>
      <rPr>
        <sz val="10"/>
        <color rgb="FF0000FF"/>
        <rFont val="JRFonts"/>
        <charset val="134"/>
      </rPr>
      <t>19443</t>
    </r>
  </si>
  <si>
    <r>
      <rPr>
        <sz val="10"/>
        <color rgb="FF000000"/>
        <rFont val="JRFonts"/>
        <charset val="134"/>
      </rPr>
      <t>02-07-2026 10:35</t>
    </r>
  </si>
  <si>
    <r>
      <rPr>
        <sz val="10"/>
        <color rgb="FF000000"/>
        <rFont val="JRFonts"/>
        <charset val="134"/>
      </rPr>
      <t>02-07-2026 11:09</t>
    </r>
  </si>
  <si>
    <r>
      <rPr>
        <sz val="10"/>
        <color rgb="FF000000"/>
        <rFont val="JRFonts"/>
        <charset val="134"/>
      </rPr>
      <t>02-07-2026 10:46</t>
    </r>
  </si>
  <si>
    <r>
      <rPr>
        <sz val="10"/>
        <color rgb="FF0000FF"/>
        <rFont val="JRFonts"/>
        <charset val="134"/>
      </rPr>
      <t>19445</t>
    </r>
  </si>
  <si>
    <r>
      <rPr>
        <sz val="10"/>
        <color rgb="FF000000"/>
        <rFont val="JRFonts"/>
        <charset val="134"/>
      </rPr>
      <t>02-07-2026 10:50</t>
    </r>
  </si>
  <si>
    <r>
      <rPr>
        <sz val="10"/>
        <color rgb="FF000000"/>
        <rFont val="JRFonts"/>
        <charset val="134"/>
      </rPr>
      <t>09-07-2026 12:11</t>
    </r>
  </si>
  <si>
    <r>
      <rPr>
        <sz val="10"/>
        <color rgb="FF000000"/>
        <rFont val="JRFonts"/>
        <charset val="134"/>
      </rPr>
      <t>02-07-2026 11:23</t>
    </r>
  </si>
  <si>
    <t>19445</t>
  </si>
  <si>
    <r>
      <rPr>
        <sz val="10"/>
        <color rgb="FF0000FF"/>
        <rFont val="JRFonts"/>
        <charset val="134"/>
      </rPr>
      <t>19448</t>
    </r>
  </si>
  <si>
    <r>
      <rPr>
        <sz val="10"/>
        <color rgb="FF000000"/>
        <rFont val="JRFonts"/>
        <charset val="134"/>
      </rPr>
      <t>02-07-2026 10:59</t>
    </r>
  </si>
  <si>
    <r>
      <rPr>
        <sz val="10"/>
        <color rgb="FF000000"/>
        <rFont val="JRFonts"/>
        <charset val="134"/>
      </rPr>
      <t>05-07-2026 19:19</t>
    </r>
  </si>
  <si>
    <r>
      <rPr>
        <sz val="10"/>
        <color rgb="FF000000"/>
        <rFont val="JRFonts"/>
        <charset val="134"/>
      </rPr>
      <t>02-07-2026 11:24</t>
    </r>
  </si>
  <si>
    <t>19448</t>
  </si>
  <si>
    <r>
      <rPr>
        <sz val="10"/>
        <color rgb="FF0000FF"/>
        <rFont val="JRFonts"/>
        <charset val="134"/>
      </rPr>
      <t>19449</t>
    </r>
  </si>
  <si>
    <r>
      <rPr>
        <sz val="10"/>
        <color rgb="FF000000"/>
        <rFont val="JRFonts"/>
        <charset val="134"/>
      </rPr>
      <t>30-07-2026 14:10</t>
    </r>
  </si>
  <si>
    <t>19449</t>
  </si>
  <si>
    <t>19453</t>
  </si>
  <si>
    <r>
      <rPr>
        <sz val="10"/>
        <color rgb="FF000000"/>
        <rFont val="JRFonts"/>
        <charset val="134"/>
      </rPr>
      <t>15-07-2026 23:55</t>
    </r>
  </si>
  <si>
    <r>
      <rPr>
        <sz val="10"/>
        <color rgb="FF000000"/>
        <rFont val="JRFonts"/>
        <charset val="134"/>
      </rPr>
      <t>02-07-2026 11:26</t>
    </r>
  </si>
  <si>
    <r>
      <rPr>
        <sz val="10"/>
        <color rgb="FF0000FF"/>
        <rFont val="JRFonts"/>
        <charset val="134"/>
      </rPr>
      <t>19455</t>
    </r>
  </si>
  <si>
    <r>
      <rPr>
        <sz val="10"/>
        <color rgb="FF000000"/>
        <rFont val="JRFonts"/>
        <charset val="134"/>
      </rPr>
      <t>02-07-2026 11:45</t>
    </r>
  </si>
  <si>
    <r>
      <rPr>
        <sz val="10"/>
        <color rgb="FF000000"/>
        <rFont val="JRFonts"/>
        <charset val="134"/>
      </rPr>
      <t>02-07-2026 16:29</t>
    </r>
  </si>
  <si>
    <r>
      <rPr>
        <sz val="10"/>
        <color rgb="FF000000"/>
        <rFont val="JRFonts"/>
        <charset val="134"/>
      </rPr>
      <t>02-07-2026 11:58</t>
    </r>
  </si>
  <si>
    <r>
      <rPr>
        <sz val="10"/>
        <color rgb="FF0000FF"/>
        <rFont val="JRFonts"/>
        <charset val="134"/>
      </rPr>
      <t>19460</t>
    </r>
  </si>
  <si>
    <r>
      <rPr>
        <sz val="10"/>
        <color rgb="FF000000"/>
        <rFont val="JRFonts"/>
        <charset val="134"/>
      </rPr>
      <t>02-07-2026 12:22</t>
    </r>
  </si>
  <si>
    <r>
      <rPr>
        <sz val="10"/>
        <color rgb="FF000000"/>
        <rFont val="JRFonts"/>
        <charset val="134"/>
      </rPr>
      <t>02-07-2026 12:54</t>
    </r>
  </si>
  <si>
    <r>
      <rPr>
        <sz val="10"/>
        <color rgb="FF000000"/>
        <rFont val="JRFonts"/>
        <charset val="134"/>
      </rPr>
      <t>02-07-2026 12:26</t>
    </r>
  </si>
  <si>
    <r>
      <rPr>
        <sz val="10"/>
        <color rgb="FF0000FF"/>
        <rFont val="JRFonts"/>
        <charset val="134"/>
      </rPr>
      <t>19461</t>
    </r>
  </si>
  <si>
    <r>
      <rPr>
        <sz val="10"/>
        <color rgb="FF000000"/>
        <rFont val="JRFonts"/>
        <charset val="134"/>
      </rPr>
      <t>Credit Guarantee Fund Scheme for Skill Development Loans(CGFSD)</t>
    </r>
  </si>
  <si>
    <r>
      <rPr>
        <sz val="10"/>
        <color rgb="FF000000"/>
        <rFont val="JRFonts"/>
        <charset val="134"/>
      </rPr>
      <t>02-07-2026 12:28</t>
    </r>
  </si>
  <si>
    <r>
      <rPr>
        <sz val="10"/>
        <color rgb="FF000000"/>
        <rFont val="JRFonts"/>
        <charset val="134"/>
      </rPr>
      <t>02-07-2026 14:48</t>
    </r>
  </si>
  <si>
    <r>
      <rPr>
        <sz val="10"/>
        <color rgb="FF000000"/>
        <rFont val="JRFonts"/>
        <charset val="134"/>
      </rPr>
      <t>02-07-2026 12:38</t>
    </r>
  </si>
  <si>
    <r>
      <rPr>
        <sz val="10"/>
        <color rgb="FF0000FF"/>
        <rFont val="JRFonts"/>
        <charset val="134"/>
      </rPr>
      <t>19462</t>
    </r>
  </si>
  <si>
    <r>
      <rPr>
        <sz val="10"/>
        <color rgb="FF000000"/>
        <rFont val="JRFonts"/>
        <charset val="134"/>
      </rPr>
      <t>02-07-2026 12:50</t>
    </r>
  </si>
  <si>
    <r>
      <rPr>
        <sz val="10"/>
        <color rgb="FF000000"/>
        <rFont val="JRFonts"/>
        <charset val="134"/>
      </rPr>
      <t>02-07-2026 16:07</t>
    </r>
  </si>
  <si>
    <r>
      <rPr>
        <sz val="10"/>
        <color rgb="FF0000FF"/>
        <rFont val="JRFonts"/>
        <charset val="134"/>
      </rPr>
      <t>19463</t>
    </r>
  </si>
  <si>
    <r>
      <rPr>
        <sz val="10"/>
        <color rgb="FF000000"/>
        <rFont val="JRFonts"/>
        <charset val="134"/>
      </rPr>
      <t>02-07-2026 12:53</t>
    </r>
  </si>
  <si>
    <r>
      <rPr>
        <sz val="10"/>
        <color rgb="FF000000"/>
        <rFont val="JRFonts"/>
        <charset val="134"/>
      </rPr>
      <t>02-07-2026 15:29</t>
    </r>
  </si>
  <si>
    <r>
      <rPr>
        <sz val="10"/>
        <color rgb="FF000000"/>
        <rFont val="JRFonts"/>
        <charset val="134"/>
      </rPr>
      <t>02-07-2026 14:10</t>
    </r>
  </si>
  <si>
    <r>
      <rPr>
        <sz val="10"/>
        <color rgb="FF0000FF"/>
        <rFont val="JRFonts"/>
        <charset val="134"/>
      </rPr>
      <t>19467</t>
    </r>
  </si>
  <si>
    <r>
      <rPr>
        <sz val="10"/>
        <color rgb="FF000000"/>
        <rFont val="JRFonts"/>
        <charset val="134"/>
      </rPr>
      <t>02-07-2026 13:26</t>
    </r>
  </si>
  <si>
    <r>
      <rPr>
        <sz val="10"/>
        <color rgb="FF000000"/>
        <rFont val="JRFonts"/>
        <charset val="134"/>
      </rPr>
      <t>12-08-2026 12:55</t>
    </r>
  </si>
  <si>
    <r>
      <rPr>
        <sz val="10"/>
        <color rgb="FF000000"/>
        <rFont val="JRFonts"/>
        <charset val="134"/>
      </rPr>
      <t>02-07-2026 14:12</t>
    </r>
  </si>
  <si>
    <t>19467</t>
  </si>
  <si>
    <r>
      <rPr>
        <sz val="10"/>
        <color rgb="FF0000FF"/>
        <rFont val="JRFonts"/>
        <charset val="134"/>
      </rPr>
      <t>19469</t>
    </r>
  </si>
  <si>
    <r>
      <rPr>
        <sz val="10"/>
        <color rgb="FF000000"/>
        <rFont val="JRFonts"/>
        <charset val="134"/>
      </rPr>
      <t>02-07-2026 13:33</t>
    </r>
  </si>
  <si>
    <r>
      <rPr>
        <sz val="10"/>
        <color rgb="FF000000"/>
        <rFont val="JRFonts"/>
        <charset val="134"/>
      </rPr>
      <t>14-07-2026 11:20</t>
    </r>
  </si>
  <si>
    <r>
      <rPr>
        <sz val="10"/>
        <color rgb="FF000000"/>
        <rFont val="JRFonts"/>
        <charset val="134"/>
      </rPr>
      <t>14-07-2026 10:47</t>
    </r>
  </si>
  <si>
    <r>
      <rPr>
        <sz val="10"/>
        <color rgb="FF0000FF"/>
        <rFont val="JRFonts"/>
        <charset val="134"/>
      </rPr>
      <t>19473</t>
    </r>
  </si>
  <si>
    <r>
      <rPr>
        <sz val="10"/>
        <color rgb="FF000000"/>
        <rFont val="JRFonts"/>
        <charset val="134"/>
      </rPr>
      <t>02-07-2026 13:57</t>
    </r>
  </si>
  <si>
    <r>
      <rPr>
        <sz val="10"/>
        <color rgb="FF000000"/>
        <rFont val="JRFonts"/>
        <charset val="134"/>
      </rPr>
      <t>11-08-2026 14:55</t>
    </r>
  </si>
  <si>
    <r>
      <rPr>
        <sz val="10"/>
        <color rgb="FF000000"/>
        <rFont val="JRFonts"/>
        <charset val="134"/>
      </rPr>
      <t>02-07-2026 14:13</t>
    </r>
  </si>
  <si>
    <t>19473</t>
  </si>
  <si>
    <r>
      <rPr>
        <sz val="10"/>
        <color rgb="FF0000FF"/>
        <rFont val="JRFonts"/>
        <charset val="134"/>
      </rPr>
      <t>19474</t>
    </r>
  </si>
  <si>
    <r>
      <rPr>
        <sz val="10"/>
        <color rgb="FF000000"/>
        <rFont val="JRFonts"/>
        <charset val="134"/>
      </rPr>
      <t>30-07-2026 14:55</t>
    </r>
  </si>
  <si>
    <r>
      <rPr>
        <sz val="10"/>
        <color rgb="FF000000"/>
        <rFont val="JRFonts"/>
        <charset val="134"/>
      </rPr>
      <t>02-07-2026 14:14</t>
    </r>
  </si>
  <si>
    <t>19474</t>
  </si>
  <si>
    <r>
      <rPr>
        <sz val="10"/>
        <color rgb="FF0000FF"/>
        <rFont val="JRFonts"/>
        <charset val="134"/>
      </rPr>
      <t>19477</t>
    </r>
  </si>
  <si>
    <r>
      <rPr>
        <sz val="10"/>
        <color rgb="FF000000"/>
        <rFont val="JRFonts"/>
        <charset val="134"/>
      </rPr>
      <t>02-07-2026 14:18</t>
    </r>
  </si>
  <si>
    <r>
      <rPr>
        <sz val="10"/>
        <color rgb="FF000000"/>
        <rFont val="JRFonts"/>
        <charset val="134"/>
      </rPr>
      <t>06-07-2026 16:12</t>
    </r>
  </si>
  <si>
    <r>
      <rPr>
        <sz val="10"/>
        <color rgb="FF000000"/>
        <rFont val="JRFonts"/>
        <charset val="134"/>
      </rPr>
      <t>02-07-2026 14:32</t>
    </r>
  </si>
  <si>
    <t>19477</t>
  </si>
  <si>
    <r>
      <rPr>
        <sz val="10"/>
        <color rgb="FF0000FF"/>
        <rFont val="JRFonts"/>
        <charset val="134"/>
      </rPr>
      <t>19484</t>
    </r>
  </si>
  <si>
    <r>
      <rPr>
        <sz val="10"/>
        <color rgb="FF000000"/>
        <rFont val="JRFonts"/>
        <charset val="134"/>
      </rPr>
      <t>02-07-2026 14:46</t>
    </r>
  </si>
  <si>
    <r>
      <rPr>
        <sz val="10"/>
        <color rgb="FF000000"/>
        <rFont val="JRFonts"/>
        <charset val="134"/>
      </rPr>
      <t>30-07-2026 14:54</t>
    </r>
  </si>
  <si>
    <r>
      <rPr>
        <sz val="10"/>
        <color rgb="FF000000"/>
        <rFont val="JRFonts"/>
        <charset val="134"/>
      </rPr>
      <t>02-07-2026 14:52</t>
    </r>
  </si>
  <si>
    <t>19484</t>
  </si>
  <si>
    <r>
      <rPr>
        <sz val="10"/>
        <color rgb="FF0000FF"/>
        <rFont val="JRFonts"/>
        <charset val="134"/>
      </rPr>
      <t>19486</t>
    </r>
  </si>
  <si>
    <r>
      <rPr>
        <sz val="10"/>
        <color rgb="FF000000"/>
        <rFont val="JRFonts"/>
        <charset val="134"/>
      </rPr>
      <t>02-07-2026 15:05</t>
    </r>
  </si>
  <si>
    <r>
      <rPr>
        <sz val="10"/>
        <color rgb="FF000000"/>
        <rFont val="JRFonts"/>
        <charset val="134"/>
      </rPr>
      <t>07-08-2026 14:19</t>
    </r>
  </si>
  <si>
    <r>
      <rPr>
        <sz val="10"/>
        <color rgb="FF000000"/>
        <rFont val="JRFonts"/>
        <charset val="134"/>
      </rPr>
      <t>02-07-2026 15:08</t>
    </r>
  </si>
  <si>
    <t>19486</t>
  </si>
  <si>
    <r>
      <rPr>
        <sz val="10"/>
        <color rgb="FF0000FF"/>
        <rFont val="JRFonts"/>
        <charset val="134"/>
      </rPr>
      <t>19489</t>
    </r>
  </si>
  <si>
    <r>
      <rPr>
        <sz val="10"/>
        <color rgb="FF000000"/>
        <rFont val="JRFonts"/>
        <charset val="134"/>
      </rPr>
      <t>02-07-2026 15:13</t>
    </r>
  </si>
  <si>
    <r>
      <rPr>
        <sz val="10"/>
        <color rgb="FF000000"/>
        <rFont val="JRFonts"/>
        <charset val="134"/>
      </rPr>
      <t>02-07-2026 15:43</t>
    </r>
  </si>
  <si>
    <r>
      <rPr>
        <sz val="10"/>
        <color rgb="FF000000"/>
        <rFont val="JRFonts"/>
        <charset val="134"/>
      </rPr>
      <t>02-07-2026 15:31</t>
    </r>
  </si>
  <si>
    <r>
      <rPr>
        <sz val="10"/>
        <color rgb="FF0000FF"/>
        <rFont val="JRFonts"/>
        <charset val="134"/>
      </rPr>
      <t>19490</t>
    </r>
  </si>
  <si>
    <r>
      <rPr>
        <sz val="10"/>
        <color rgb="FF000000"/>
        <rFont val="JRFonts"/>
        <charset val="134"/>
      </rPr>
      <t>11-08-2026 16:17</t>
    </r>
  </si>
  <si>
    <r>
      <rPr>
        <sz val="10"/>
        <color rgb="FF000000"/>
        <rFont val="JRFonts"/>
        <charset val="134"/>
      </rPr>
      <t>02-07-2026 15:32</t>
    </r>
  </si>
  <si>
    <t>19490</t>
  </si>
  <si>
    <r>
      <rPr>
        <sz val="10"/>
        <color rgb="FF0000FF"/>
        <rFont val="JRFonts"/>
        <charset val="134"/>
      </rPr>
      <t>19491</t>
    </r>
  </si>
  <si>
    <r>
      <rPr>
        <sz val="10"/>
        <color rgb="FF000000"/>
        <rFont val="JRFonts"/>
        <charset val="134"/>
      </rPr>
      <t>07-08-2026 10:24</t>
    </r>
  </si>
  <si>
    <r>
      <rPr>
        <sz val="10"/>
        <color rgb="FF000000"/>
        <rFont val="JRFonts"/>
        <charset val="134"/>
      </rPr>
      <t>02-07-2026 16:18</t>
    </r>
  </si>
  <si>
    <t>19491</t>
  </si>
  <si>
    <r>
      <rPr>
        <sz val="10"/>
        <color rgb="FF0000FF"/>
        <rFont val="JRFonts"/>
        <charset val="134"/>
      </rPr>
      <t>19493</t>
    </r>
  </si>
  <si>
    <r>
      <rPr>
        <sz val="10"/>
        <color rgb="FF000000"/>
        <rFont val="JRFonts"/>
        <charset val="134"/>
      </rPr>
      <t>02-07-2026 15:38</t>
    </r>
  </si>
  <si>
    <r>
      <rPr>
        <sz val="10"/>
        <color rgb="FF000000"/>
        <rFont val="JRFonts"/>
        <charset val="134"/>
      </rPr>
      <t>03-07-2026 11:46</t>
    </r>
  </si>
  <si>
    <r>
      <rPr>
        <sz val="10"/>
        <color rgb="FF000000"/>
        <rFont val="JRFonts"/>
        <charset val="134"/>
      </rPr>
      <t>02-07-2026 15:49</t>
    </r>
  </si>
  <si>
    <t>19493</t>
  </si>
  <si>
    <t>priority updated from P2 to P1</t>
  </si>
  <si>
    <r>
      <rPr>
        <sz val="10"/>
        <color rgb="FF0000FF"/>
        <rFont val="JRFonts"/>
        <charset val="134"/>
      </rPr>
      <t>19494</t>
    </r>
  </si>
  <si>
    <r>
      <rPr>
        <sz val="10"/>
        <color rgb="FF000000"/>
        <rFont val="JRFonts"/>
        <charset val="134"/>
      </rPr>
      <t>02-07-2026 17:29</t>
    </r>
  </si>
  <si>
    <r>
      <rPr>
        <sz val="10"/>
        <color rgb="FF000000"/>
        <rFont val="JRFonts"/>
        <charset val="134"/>
      </rPr>
      <t>02-07-2026 15:48</t>
    </r>
  </si>
  <si>
    <r>
      <rPr>
        <sz val="10"/>
        <color rgb="FF0000FF"/>
        <rFont val="JRFonts"/>
        <charset val="134"/>
      </rPr>
      <t>19496</t>
    </r>
  </si>
  <si>
    <r>
      <rPr>
        <sz val="10"/>
        <color rgb="FF000000"/>
        <rFont val="JRFonts"/>
        <charset val="134"/>
      </rPr>
      <t>02-07-2026 15:47</t>
    </r>
  </si>
  <si>
    <r>
      <rPr>
        <sz val="10"/>
        <color rgb="FF000000"/>
        <rFont val="JRFonts"/>
        <charset val="134"/>
      </rPr>
      <t>10-08-2026 10:17</t>
    </r>
  </si>
  <si>
    <r>
      <rPr>
        <sz val="10"/>
        <color rgb="FF000000"/>
        <rFont val="JRFonts"/>
        <charset val="134"/>
      </rPr>
      <t>02-07-2026 15:56</t>
    </r>
  </si>
  <si>
    <t>19496</t>
  </si>
  <si>
    <t>Needed jansamrth intervention for issue resolution</t>
  </si>
  <si>
    <r>
      <rPr>
        <sz val="10"/>
        <color rgb="FF0000FF"/>
        <rFont val="JRFonts"/>
        <charset val="134"/>
      </rPr>
      <t>19500</t>
    </r>
  </si>
  <si>
    <r>
      <rPr>
        <sz val="10"/>
        <color rgb="FF000000"/>
        <rFont val="JRFonts"/>
        <charset val="134"/>
      </rPr>
      <t>02-07-2026 16:59</t>
    </r>
  </si>
  <si>
    <r>
      <rPr>
        <sz val="10"/>
        <color rgb="FF000000"/>
        <rFont val="JRFonts"/>
        <charset val="134"/>
      </rPr>
      <t>02-07-2026 16:19</t>
    </r>
  </si>
  <si>
    <r>
      <rPr>
        <sz val="10"/>
        <color rgb="FF0000FF"/>
        <rFont val="JRFonts"/>
        <charset val="134"/>
      </rPr>
      <t>19501</t>
    </r>
  </si>
  <si>
    <r>
      <rPr>
        <sz val="10"/>
        <color rgb="FF000000"/>
        <rFont val="JRFonts"/>
        <charset val="134"/>
      </rPr>
      <t>02-07-2026 16:02</t>
    </r>
  </si>
  <si>
    <r>
      <rPr>
        <sz val="10"/>
        <color rgb="FF000000"/>
        <rFont val="JRFonts"/>
        <charset val="134"/>
      </rPr>
      <t>02-07-2026 16:26</t>
    </r>
  </si>
  <si>
    <r>
      <rPr>
        <sz val="10"/>
        <color rgb="FF000000"/>
        <rFont val="JRFonts"/>
        <charset val="134"/>
      </rPr>
      <t>02-07-2026 16:08</t>
    </r>
  </si>
  <si>
    <r>
      <rPr>
        <sz val="10"/>
        <color rgb="FF0000FF"/>
        <rFont val="JRFonts"/>
        <charset val="134"/>
      </rPr>
      <t>19502</t>
    </r>
  </si>
  <si>
    <r>
      <rPr>
        <sz val="10"/>
        <color rgb="FF000000"/>
        <rFont val="JRFonts"/>
        <charset val="134"/>
      </rPr>
      <t>02-07-2026 16:05</t>
    </r>
  </si>
  <si>
    <r>
      <rPr>
        <sz val="10"/>
        <color rgb="FF000000"/>
        <rFont val="JRFonts"/>
        <charset val="134"/>
      </rPr>
      <t>30-07-2026 14:53</t>
    </r>
  </si>
  <si>
    <r>
      <rPr>
        <sz val="10"/>
        <color rgb="FF000000"/>
        <rFont val="JRFonts"/>
        <charset val="134"/>
      </rPr>
      <t>02-07-2026 16:30</t>
    </r>
  </si>
  <si>
    <t>19502</t>
  </si>
  <si>
    <r>
      <rPr>
        <sz val="10"/>
        <color rgb="FF0000FF"/>
        <rFont val="JRFonts"/>
        <charset val="134"/>
      </rPr>
      <t>19505</t>
    </r>
  </si>
  <si>
    <r>
      <rPr>
        <sz val="10"/>
        <color rgb="FF000000"/>
        <rFont val="JRFonts"/>
        <charset val="134"/>
      </rPr>
      <t>02-07-2026 18:21</t>
    </r>
  </si>
  <si>
    <r>
      <rPr>
        <sz val="10"/>
        <color rgb="FF000000"/>
        <rFont val="JRFonts"/>
        <charset val="134"/>
      </rPr>
      <t>02-07-2026 16:39</t>
    </r>
  </si>
  <si>
    <r>
      <rPr>
        <sz val="10"/>
        <color rgb="FF0000FF"/>
        <rFont val="JRFonts"/>
        <charset val="134"/>
      </rPr>
      <t>19507</t>
    </r>
  </si>
  <si>
    <r>
      <rPr>
        <sz val="10"/>
        <color rgb="FF000000"/>
        <rFont val="JRFonts"/>
        <charset val="134"/>
      </rPr>
      <t>02-07-2026 16:24</t>
    </r>
  </si>
  <si>
    <r>
      <rPr>
        <sz val="10"/>
        <color rgb="FF000000"/>
        <rFont val="JRFonts"/>
        <charset val="134"/>
      </rPr>
      <t>02-07-2026 18:12</t>
    </r>
  </si>
  <si>
    <r>
      <rPr>
        <sz val="10"/>
        <color rgb="FF000000"/>
        <rFont val="JRFonts"/>
        <charset val="134"/>
      </rPr>
      <t>02-07-2026 16:31</t>
    </r>
  </si>
  <si>
    <r>
      <rPr>
        <sz val="10"/>
        <color rgb="FF0000FF"/>
        <rFont val="JRFonts"/>
        <charset val="134"/>
      </rPr>
      <t>19508</t>
    </r>
  </si>
  <si>
    <r>
      <rPr>
        <sz val="10"/>
        <color rgb="FF000000"/>
        <rFont val="JRFonts"/>
        <charset val="134"/>
      </rPr>
      <t>02-07-2026 16:33</t>
    </r>
  </si>
  <si>
    <r>
      <rPr>
        <sz val="10"/>
        <color rgb="FF000000"/>
        <rFont val="JRFonts"/>
        <charset val="134"/>
      </rPr>
      <t>31-07-2026 17:53</t>
    </r>
  </si>
  <si>
    <r>
      <rPr>
        <sz val="10"/>
        <color rgb="FF000000"/>
        <rFont val="JRFonts"/>
        <charset val="134"/>
      </rPr>
      <t>02-07-2026 16:56</t>
    </r>
  </si>
  <si>
    <t>19508</t>
  </si>
  <si>
    <r>
      <rPr>
        <sz val="10"/>
        <color rgb="FF0000FF"/>
        <rFont val="JRFonts"/>
        <charset val="134"/>
      </rPr>
      <t>19511</t>
    </r>
  </si>
  <si>
    <r>
      <rPr>
        <sz val="10"/>
        <color rgb="FF000000"/>
        <rFont val="JRFonts"/>
        <charset val="134"/>
      </rPr>
      <t>02-07-2026 16:36</t>
    </r>
  </si>
  <si>
    <r>
      <rPr>
        <sz val="10"/>
        <color rgb="FF000000"/>
        <rFont val="JRFonts"/>
        <charset val="134"/>
      </rPr>
      <t>30-07-2026 14:52</t>
    </r>
  </si>
  <si>
    <r>
      <rPr>
        <sz val="10"/>
        <color rgb="FF000000"/>
        <rFont val="JRFonts"/>
        <charset val="134"/>
      </rPr>
      <t>02-07-2026 16:42</t>
    </r>
  </si>
  <si>
    <t>19511</t>
  </si>
  <si>
    <r>
      <rPr>
        <sz val="10"/>
        <color rgb="FF0000FF"/>
        <rFont val="JRFonts"/>
        <charset val="134"/>
      </rPr>
      <t>19513</t>
    </r>
  </si>
  <si>
    <r>
      <rPr>
        <sz val="10"/>
        <color rgb="FF000000"/>
        <rFont val="JRFonts"/>
        <charset val="134"/>
      </rPr>
      <t>02-07-2026 16:48</t>
    </r>
  </si>
  <si>
    <r>
      <rPr>
        <sz val="10"/>
        <color rgb="FF000000"/>
        <rFont val="JRFonts"/>
        <charset val="134"/>
      </rPr>
      <t>29-07-2026 18:25</t>
    </r>
  </si>
  <si>
    <r>
      <rPr>
        <sz val="10"/>
        <color rgb="FF000000"/>
        <rFont val="JRFonts"/>
        <charset val="134"/>
      </rPr>
      <t>03-07-2026 11:44</t>
    </r>
  </si>
  <si>
    <t>19513</t>
  </si>
  <si>
    <r>
      <rPr>
        <sz val="10"/>
        <color rgb="FF0000FF"/>
        <rFont val="JRFonts"/>
        <charset val="134"/>
      </rPr>
      <t>19516</t>
    </r>
  </si>
  <si>
    <r>
      <rPr>
        <sz val="10"/>
        <color rgb="FF000000"/>
        <rFont val="JRFonts"/>
        <charset val="134"/>
      </rPr>
      <t>02-07-2026 16:57</t>
    </r>
  </si>
  <si>
    <r>
      <rPr>
        <sz val="10"/>
        <color rgb="FF000000"/>
        <rFont val="JRFonts"/>
        <charset val="134"/>
      </rPr>
      <t>02-07-2026 18:10</t>
    </r>
  </si>
  <si>
    <t>19516</t>
  </si>
  <si>
    <t>19518</t>
  </si>
  <si>
    <r>
      <rPr>
        <sz val="10"/>
        <color rgb="FF000000"/>
        <rFont val="JRFonts"/>
        <charset val="134"/>
      </rPr>
      <t>02-07-2026 17:04</t>
    </r>
  </si>
  <si>
    <r>
      <rPr>
        <sz val="10"/>
        <color rgb="FF000000"/>
        <rFont val="JRFonts"/>
        <charset val="134"/>
      </rPr>
      <t>07-07-2026 11:41</t>
    </r>
  </si>
  <si>
    <r>
      <rPr>
        <sz val="10"/>
        <color rgb="FF000000"/>
        <rFont val="JRFonts"/>
        <charset val="134"/>
      </rPr>
      <t>02-07-2026 17:09</t>
    </r>
  </si>
  <si>
    <r>
      <rPr>
        <sz val="10"/>
        <color rgb="FF0000FF"/>
        <rFont val="JRFonts"/>
        <charset val="134"/>
      </rPr>
      <t>19518</t>
    </r>
  </si>
  <si>
    <r>
      <rPr>
        <sz val="10"/>
        <color rgb="FF0000FF"/>
        <rFont val="JRFonts"/>
        <charset val="134"/>
      </rPr>
      <t>19520</t>
    </r>
  </si>
  <si>
    <r>
      <rPr>
        <sz val="10"/>
        <color rgb="FF000000"/>
        <rFont val="JRFonts"/>
        <charset val="134"/>
      </rPr>
      <t>02-07-2026 17:13</t>
    </r>
  </si>
  <si>
    <r>
      <rPr>
        <sz val="10"/>
        <color rgb="FF000000"/>
        <rFont val="JRFonts"/>
        <charset val="134"/>
      </rPr>
      <t>28-07-2026 11:24</t>
    </r>
  </si>
  <si>
    <r>
      <rPr>
        <sz val="10"/>
        <color rgb="FF000000"/>
        <rFont val="JRFonts"/>
        <charset val="134"/>
      </rPr>
      <t>02-07-2026 17:15</t>
    </r>
  </si>
  <si>
    <t>19520</t>
  </si>
  <si>
    <r>
      <rPr>
        <sz val="10"/>
        <color rgb="FF0000FF"/>
        <rFont val="JRFonts"/>
        <charset val="134"/>
      </rPr>
      <t>19523</t>
    </r>
  </si>
  <si>
    <r>
      <rPr>
        <sz val="10"/>
        <color rgb="FF000000"/>
        <rFont val="JRFonts"/>
        <charset val="134"/>
      </rPr>
      <t>02-07-2026 17:25</t>
    </r>
  </si>
  <si>
    <r>
      <rPr>
        <sz val="10"/>
        <color rgb="FF000000"/>
        <rFont val="JRFonts"/>
        <charset val="134"/>
      </rPr>
      <t>29-07-2026 18:15</t>
    </r>
  </si>
  <si>
    <r>
      <rPr>
        <sz val="10"/>
        <color rgb="FF000000"/>
        <rFont val="JRFonts"/>
        <charset val="134"/>
      </rPr>
      <t>02-07-2026 17:31</t>
    </r>
  </si>
  <si>
    <t>19523</t>
  </si>
  <si>
    <r>
      <rPr>
        <sz val="10"/>
        <color rgb="FF0000FF"/>
        <rFont val="JRFonts"/>
        <charset val="134"/>
      </rPr>
      <t>19525</t>
    </r>
  </si>
  <si>
    <r>
      <rPr>
        <sz val="10"/>
        <color rgb="FF000000"/>
        <rFont val="JRFonts"/>
        <charset val="134"/>
      </rPr>
      <t>06-08-2026 19:05</t>
    </r>
  </si>
  <si>
    <r>
      <rPr>
        <sz val="10"/>
        <color rgb="FF000000"/>
        <rFont val="JRFonts"/>
        <charset val="134"/>
      </rPr>
      <t>02-07-2026 17:37</t>
    </r>
  </si>
  <si>
    <t>19525</t>
  </si>
  <si>
    <r>
      <rPr>
        <sz val="10"/>
        <color rgb="FF0000FF"/>
        <rFont val="JRFonts"/>
        <charset val="134"/>
      </rPr>
      <t>19531</t>
    </r>
  </si>
  <si>
    <r>
      <rPr>
        <sz val="10"/>
        <color rgb="FF000000"/>
        <rFont val="JRFonts"/>
        <charset val="134"/>
      </rPr>
      <t>02-07-2026 17:49</t>
    </r>
  </si>
  <si>
    <r>
      <rPr>
        <sz val="10"/>
        <color rgb="FF000000"/>
        <rFont val="JRFonts"/>
        <charset val="134"/>
      </rPr>
      <t>05-07-2026 19:16</t>
    </r>
  </si>
  <si>
    <r>
      <rPr>
        <sz val="10"/>
        <color rgb="FF000000"/>
        <rFont val="JRFonts"/>
        <charset val="134"/>
      </rPr>
      <t>02-07-2026 18:02</t>
    </r>
  </si>
  <si>
    <r>
      <rPr>
        <sz val="10"/>
        <color rgb="FF0000FF"/>
        <rFont val="JRFonts"/>
        <charset val="134"/>
      </rPr>
      <t>19535</t>
    </r>
  </si>
  <si>
    <r>
      <rPr>
        <sz val="10"/>
        <color rgb="FF000000"/>
        <rFont val="JRFonts"/>
        <charset val="134"/>
      </rPr>
      <t>02-07-2026 17:55</t>
    </r>
  </si>
  <si>
    <r>
      <rPr>
        <sz val="10"/>
        <color rgb="FF000000"/>
        <rFont val="JRFonts"/>
        <charset val="134"/>
      </rPr>
      <t>03-07-2026 16:47</t>
    </r>
  </si>
  <si>
    <r>
      <rPr>
        <sz val="10"/>
        <color rgb="FF0000FF"/>
        <rFont val="JRFonts"/>
        <charset val="134"/>
      </rPr>
      <t>19537</t>
    </r>
  </si>
  <si>
    <r>
      <rPr>
        <sz val="10"/>
        <color rgb="FF000000"/>
        <rFont val="JRFonts"/>
        <charset val="134"/>
      </rPr>
      <t>02-07-2026 17:59</t>
    </r>
  </si>
  <si>
    <r>
      <rPr>
        <sz val="10"/>
        <color rgb="FF000000"/>
        <rFont val="JRFonts"/>
        <charset val="134"/>
      </rPr>
      <t>09-07-2026 18:09</t>
    </r>
  </si>
  <si>
    <r>
      <rPr>
        <sz val="10"/>
        <color rgb="FF000000"/>
        <rFont val="JRFonts"/>
        <charset val="134"/>
      </rPr>
      <t>02-07-2026 18:03</t>
    </r>
  </si>
  <si>
    <t>19537</t>
  </si>
  <si>
    <r>
      <rPr>
        <sz val="10"/>
        <color rgb="FF0000FF"/>
        <rFont val="JRFonts"/>
        <charset val="134"/>
      </rPr>
      <t>19539</t>
    </r>
  </si>
  <si>
    <r>
      <rPr>
        <sz val="10"/>
        <color rgb="FF000000"/>
        <rFont val="JRFonts"/>
        <charset val="134"/>
      </rPr>
      <t>02-07-2026 18:11</t>
    </r>
  </si>
  <si>
    <r>
      <rPr>
        <sz val="10"/>
        <color rgb="FF000000"/>
        <rFont val="JRFonts"/>
        <charset val="134"/>
      </rPr>
      <t>08-07-2026 18:54</t>
    </r>
  </si>
  <si>
    <r>
      <rPr>
        <sz val="10"/>
        <color rgb="FF000000"/>
        <rFont val="JRFonts"/>
        <charset val="134"/>
      </rPr>
      <t>02-07-2026 18:19</t>
    </r>
  </si>
  <si>
    <t>19539</t>
  </si>
  <si>
    <r>
      <rPr>
        <sz val="10"/>
        <color rgb="FF0000FF"/>
        <rFont val="JRFonts"/>
        <charset val="134"/>
      </rPr>
      <t>19540</t>
    </r>
  </si>
  <si>
    <r>
      <rPr>
        <sz val="10"/>
        <color rgb="FF000000"/>
        <rFont val="JRFonts"/>
        <charset val="134"/>
      </rPr>
      <t>02-07-2026 18:17</t>
    </r>
  </si>
  <si>
    <r>
      <rPr>
        <sz val="10"/>
        <color rgb="FF000000"/>
        <rFont val="JRFonts"/>
        <charset val="134"/>
      </rPr>
      <t>06-07-2026 17:45</t>
    </r>
  </si>
  <si>
    <r>
      <rPr>
        <sz val="10"/>
        <color rgb="FF000000"/>
        <rFont val="JRFonts"/>
        <charset val="134"/>
      </rPr>
      <t>02-07-2026 18:20</t>
    </r>
  </si>
  <si>
    <t>19540</t>
  </si>
  <si>
    <r>
      <rPr>
        <sz val="10"/>
        <color rgb="FF0000FF"/>
        <rFont val="JRFonts"/>
        <charset val="134"/>
      </rPr>
      <t>19543</t>
    </r>
  </si>
  <si>
    <r>
      <rPr>
        <sz val="10"/>
        <color rgb="FF000000"/>
        <rFont val="JRFonts"/>
        <charset val="134"/>
      </rPr>
      <t>02-07-2026 18:32</t>
    </r>
  </si>
  <si>
    <r>
      <rPr>
        <sz val="10"/>
        <color rgb="FF000000"/>
        <rFont val="JRFonts"/>
        <charset val="134"/>
      </rPr>
      <t>09-07-2026 11:28</t>
    </r>
  </si>
  <si>
    <t>19543</t>
  </si>
  <si>
    <r>
      <rPr>
        <sz val="10"/>
        <color rgb="FF0000FF"/>
        <rFont val="JRFonts"/>
        <charset val="134"/>
      </rPr>
      <t>19551</t>
    </r>
  </si>
  <si>
    <r>
      <rPr>
        <sz val="10"/>
        <color rgb="FF000000"/>
        <rFont val="JRFonts"/>
        <charset val="134"/>
      </rPr>
      <t>02-07-2026 19:00</t>
    </r>
  </si>
  <si>
    <r>
      <rPr>
        <sz val="10"/>
        <color rgb="FF000000"/>
        <rFont val="JRFonts"/>
        <charset val="134"/>
      </rPr>
      <t>07-07-2026 12:43</t>
    </r>
  </si>
  <si>
    <r>
      <rPr>
        <sz val="10"/>
        <color rgb="FF000000"/>
        <rFont val="JRFonts"/>
        <charset val="134"/>
      </rPr>
      <t>03-07-2026 10:17</t>
    </r>
  </si>
  <si>
    <t>19551</t>
  </si>
  <si>
    <r>
      <rPr>
        <sz val="10"/>
        <color rgb="FF0000FF"/>
        <rFont val="JRFonts"/>
        <charset val="134"/>
      </rPr>
      <t>19554</t>
    </r>
  </si>
  <si>
    <r>
      <rPr>
        <sz val="10"/>
        <color rgb="FF000000"/>
        <rFont val="JRFonts"/>
        <charset val="134"/>
      </rPr>
      <t>02-07-2026 19:21</t>
    </r>
  </si>
  <si>
    <r>
      <rPr>
        <sz val="10"/>
        <color rgb="FF000000"/>
        <rFont val="JRFonts"/>
        <charset val="134"/>
      </rPr>
      <t>09-07-2026 18:08</t>
    </r>
  </si>
  <si>
    <r>
      <rPr>
        <sz val="10"/>
        <color rgb="FF000000"/>
        <rFont val="JRFonts"/>
        <charset val="134"/>
      </rPr>
      <t>03-07-2026 10:46</t>
    </r>
  </si>
  <si>
    <t>19554</t>
  </si>
  <si>
    <r>
      <rPr>
        <sz val="10"/>
        <color rgb="FF0000FF"/>
        <rFont val="JRFonts"/>
        <charset val="134"/>
      </rPr>
      <t>19555</t>
    </r>
  </si>
  <si>
    <r>
      <rPr>
        <sz val="10"/>
        <color rgb="FF000000"/>
        <rFont val="JRFonts"/>
        <charset val="134"/>
      </rPr>
      <t>02-07-2026 19:43</t>
    </r>
  </si>
  <si>
    <r>
      <rPr>
        <sz val="10"/>
        <color rgb="FF000000"/>
        <rFont val="JRFonts"/>
        <charset val="134"/>
      </rPr>
      <t>03-07-2026 10:47</t>
    </r>
  </si>
  <si>
    <t>19555</t>
  </si>
  <si>
    <r>
      <rPr>
        <sz val="10"/>
        <color rgb="FF0000FF"/>
        <rFont val="JRFonts"/>
        <charset val="134"/>
      </rPr>
      <t>19556</t>
    </r>
  </si>
  <si>
    <r>
      <rPr>
        <sz val="10"/>
        <color rgb="FF000000"/>
        <rFont val="JRFonts"/>
        <charset val="134"/>
      </rPr>
      <t>02-07-2026 19:52</t>
    </r>
  </si>
  <si>
    <r>
      <rPr>
        <sz val="10"/>
        <color rgb="FF000000"/>
        <rFont val="JRFonts"/>
        <charset val="134"/>
      </rPr>
      <t>09-07-2026 17:58</t>
    </r>
  </si>
  <si>
    <t>19556</t>
  </si>
  <si>
    <r>
      <rPr>
        <sz val="10"/>
        <color rgb="FF0000FF"/>
        <rFont val="JRFonts"/>
        <charset val="134"/>
      </rPr>
      <t>19557</t>
    </r>
  </si>
  <si>
    <r>
      <rPr>
        <sz val="10"/>
        <color rgb="FF000000"/>
        <rFont val="JRFonts"/>
        <charset val="134"/>
      </rPr>
      <t>02-07-2026 21:14</t>
    </r>
  </si>
  <si>
    <r>
      <rPr>
        <sz val="10"/>
        <color rgb="FF000000"/>
        <rFont val="JRFonts"/>
        <charset val="134"/>
      </rPr>
      <t>07-07-2026 16:24</t>
    </r>
  </si>
  <si>
    <r>
      <rPr>
        <sz val="10"/>
        <color rgb="FF000000"/>
        <rFont val="JRFonts"/>
        <charset val="134"/>
      </rPr>
      <t>03-07-2026 18:26</t>
    </r>
  </si>
  <si>
    <t>19557</t>
  </si>
  <si>
    <r>
      <rPr>
        <sz val="10"/>
        <color rgb="FF0000FF"/>
        <rFont val="JRFonts"/>
        <charset val="134"/>
      </rPr>
      <t>19558</t>
    </r>
  </si>
  <si>
    <r>
      <rPr>
        <sz val="10"/>
        <color rgb="FF000000"/>
        <rFont val="JRFonts"/>
        <charset val="134"/>
      </rPr>
      <t>02-07-2026 21:20</t>
    </r>
  </si>
  <si>
    <r>
      <rPr>
        <sz val="10"/>
        <color rgb="FF000000"/>
        <rFont val="JRFonts"/>
        <charset val="134"/>
      </rPr>
      <t>13-07-2026 14:14</t>
    </r>
  </si>
  <si>
    <r>
      <rPr>
        <sz val="10"/>
        <color rgb="FF000000"/>
        <rFont val="JRFonts"/>
        <charset val="134"/>
      </rPr>
      <t>06-07-2026 11:14</t>
    </r>
  </si>
  <si>
    <t>19558</t>
  </si>
  <si>
    <r>
      <rPr>
        <sz val="10"/>
        <color rgb="FF0000FF"/>
        <rFont val="JRFonts"/>
        <charset val="134"/>
      </rPr>
      <t>19561</t>
    </r>
  </si>
  <si>
    <r>
      <rPr>
        <sz val="10"/>
        <color rgb="FF000000"/>
        <rFont val="JRFonts"/>
        <charset val="134"/>
      </rPr>
      <t>03-07-2026 09:55</t>
    </r>
  </si>
  <si>
    <r>
      <rPr>
        <sz val="10"/>
        <color rgb="FF000000"/>
        <rFont val="JRFonts"/>
        <charset val="134"/>
      </rPr>
      <t>06-07-2026 12:44</t>
    </r>
  </si>
  <si>
    <r>
      <rPr>
        <sz val="10"/>
        <color rgb="FF000000"/>
        <rFont val="JRFonts"/>
        <charset val="134"/>
      </rPr>
      <t>03-07-2026 10:43</t>
    </r>
  </si>
  <si>
    <t>19561</t>
  </si>
  <si>
    <r>
      <rPr>
        <sz val="10"/>
        <color rgb="FF0000FF"/>
        <rFont val="JRFonts"/>
        <charset val="134"/>
      </rPr>
      <t>19563</t>
    </r>
  </si>
  <si>
    <r>
      <rPr>
        <sz val="10"/>
        <color rgb="FF000000"/>
        <rFont val="JRFonts"/>
        <charset val="134"/>
      </rPr>
      <t>03-07-2026 10:22</t>
    </r>
  </si>
  <si>
    <r>
      <rPr>
        <sz val="10"/>
        <color rgb="FF000000"/>
        <rFont val="JRFonts"/>
        <charset val="134"/>
      </rPr>
      <t>06-07-2026 14:44</t>
    </r>
  </si>
  <si>
    <r>
      <rPr>
        <sz val="10"/>
        <color rgb="FF000000"/>
        <rFont val="JRFonts"/>
        <charset val="134"/>
      </rPr>
      <t>03-07-2026 10:32</t>
    </r>
  </si>
  <si>
    <t>19563</t>
  </si>
  <si>
    <r>
      <rPr>
        <sz val="10"/>
        <color rgb="FF0000FF"/>
        <rFont val="JRFonts"/>
        <charset val="134"/>
      </rPr>
      <t>19565</t>
    </r>
  </si>
  <si>
    <r>
      <rPr>
        <sz val="10"/>
        <color rgb="FF000000"/>
        <rFont val="JRFonts"/>
        <charset val="134"/>
      </rPr>
      <t>03-07-2026 10:28</t>
    </r>
  </si>
  <si>
    <r>
      <rPr>
        <sz val="10"/>
        <color rgb="FF000000"/>
        <rFont val="JRFonts"/>
        <charset val="134"/>
      </rPr>
      <t>06-07-2026 13:00</t>
    </r>
  </si>
  <si>
    <r>
      <rPr>
        <sz val="10"/>
        <color rgb="FF000000"/>
        <rFont val="JRFonts"/>
        <charset val="134"/>
      </rPr>
      <t>03-07-2026 10:33</t>
    </r>
  </si>
  <si>
    <r>
      <rPr>
        <sz val="10"/>
        <color rgb="FF0000FF"/>
        <rFont val="JRFonts"/>
        <charset val="134"/>
      </rPr>
      <t>19567</t>
    </r>
  </si>
  <si>
    <r>
      <rPr>
        <sz val="10"/>
        <color rgb="FF000000"/>
        <rFont val="JRFonts"/>
        <charset val="134"/>
      </rPr>
      <t>03-07-2026 10:31</t>
    </r>
  </si>
  <si>
    <r>
      <rPr>
        <sz val="10"/>
        <color rgb="FF000000"/>
        <rFont val="JRFonts"/>
        <charset val="134"/>
      </rPr>
      <t>06-08-2026 19:07</t>
    </r>
  </si>
  <si>
    <r>
      <rPr>
        <sz val="10"/>
        <color rgb="FF000000"/>
        <rFont val="JRFonts"/>
        <charset val="134"/>
      </rPr>
      <t>03-07-2026 10:48</t>
    </r>
  </si>
  <si>
    <t>19567</t>
  </si>
  <si>
    <r>
      <rPr>
        <sz val="10"/>
        <color rgb="FF0000FF"/>
        <rFont val="JRFonts"/>
        <charset val="134"/>
      </rPr>
      <t>19568</t>
    </r>
  </si>
  <si>
    <r>
      <rPr>
        <sz val="10"/>
        <color rgb="FF000000"/>
        <rFont val="JRFonts"/>
        <charset val="134"/>
      </rPr>
      <t>03-07-2026 10:37</t>
    </r>
  </si>
  <si>
    <r>
      <rPr>
        <sz val="10"/>
        <color rgb="FF000000"/>
        <rFont val="JRFonts"/>
        <charset val="134"/>
      </rPr>
      <t>03-07-2026 12:05</t>
    </r>
  </si>
  <si>
    <r>
      <rPr>
        <sz val="10"/>
        <color rgb="FF000000"/>
        <rFont val="JRFonts"/>
        <charset val="134"/>
      </rPr>
      <t>03-07-2026 10:45</t>
    </r>
  </si>
  <si>
    <r>
      <rPr>
        <sz val="10"/>
        <color rgb="FF0000FF"/>
        <rFont val="JRFonts"/>
        <charset val="134"/>
      </rPr>
      <t>19570</t>
    </r>
  </si>
  <si>
    <r>
      <rPr>
        <sz val="10"/>
        <color rgb="FF000000"/>
        <rFont val="JRFonts"/>
        <charset val="134"/>
      </rPr>
      <t>03-07-2026 10:53</t>
    </r>
  </si>
  <si>
    <r>
      <rPr>
        <sz val="10"/>
        <color rgb="FF000000"/>
        <rFont val="JRFonts"/>
        <charset val="134"/>
      </rPr>
      <t>03-07-2026 12:01</t>
    </r>
  </si>
  <si>
    <r>
      <rPr>
        <sz val="10"/>
        <color rgb="FF000000"/>
        <rFont val="JRFonts"/>
        <charset val="134"/>
      </rPr>
      <t>03-07-2026 10:58</t>
    </r>
  </si>
  <si>
    <r>
      <rPr>
        <sz val="10"/>
        <color rgb="FF0000FF"/>
        <rFont val="JRFonts"/>
        <charset val="134"/>
      </rPr>
      <t>19571</t>
    </r>
  </si>
  <si>
    <r>
      <rPr>
        <sz val="10"/>
        <color rgb="FF000000"/>
        <rFont val="JRFonts"/>
        <charset val="134"/>
      </rPr>
      <t>03-07-2026 11:16</t>
    </r>
  </si>
  <si>
    <r>
      <rPr>
        <sz val="10"/>
        <color rgb="FF000000"/>
        <rFont val="JRFonts"/>
        <charset val="134"/>
      </rPr>
      <t>03-07-2026 10:59</t>
    </r>
  </si>
  <si>
    <r>
      <rPr>
        <sz val="10"/>
        <color rgb="FF0000FF"/>
        <rFont val="JRFonts"/>
        <charset val="134"/>
      </rPr>
      <t>19572</t>
    </r>
  </si>
  <si>
    <r>
      <rPr>
        <sz val="10"/>
        <color rgb="FF000000"/>
        <rFont val="JRFonts"/>
        <charset val="134"/>
      </rPr>
      <t>03-07-2026 12:00</t>
    </r>
  </si>
  <si>
    <r>
      <rPr>
        <sz val="10"/>
        <color rgb="FF000000"/>
        <rFont val="JRFonts"/>
        <charset val="134"/>
      </rPr>
      <t>03-07-2026 11:04</t>
    </r>
  </si>
  <si>
    <r>
      <rPr>
        <sz val="10"/>
        <color rgb="FF0000FF"/>
        <rFont val="JRFonts"/>
        <charset val="134"/>
      </rPr>
      <t>19573</t>
    </r>
  </si>
  <si>
    <r>
      <rPr>
        <sz val="10"/>
        <color rgb="FF000000"/>
        <rFont val="JRFonts"/>
        <charset val="134"/>
      </rPr>
      <t>06-07-2026 15:40</t>
    </r>
  </si>
  <si>
    <r>
      <rPr>
        <sz val="10"/>
        <color rgb="FF000000"/>
        <rFont val="JRFonts"/>
        <charset val="134"/>
      </rPr>
      <t>03-07-2026 11:07</t>
    </r>
  </si>
  <si>
    <t>19573</t>
  </si>
  <si>
    <r>
      <rPr>
        <sz val="10"/>
        <color rgb="FF0000FF"/>
        <rFont val="JRFonts"/>
        <charset val="134"/>
      </rPr>
      <t>19574</t>
    </r>
  </si>
  <si>
    <r>
      <rPr>
        <sz val="10"/>
        <color rgb="FF000000"/>
        <rFont val="JRFonts"/>
        <charset val="134"/>
      </rPr>
      <t>03-07-2026 11:02</t>
    </r>
  </si>
  <si>
    <r>
      <rPr>
        <sz val="10"/>
        <color rgb="FF000000"/>
        <rFont val="JRFonts"/>
        <charset val="134"/>
      </rPr>
      <t>06-07-2026 15:38</t>
    </r>
  </si>
  <si>
    <r>
      <rPr>
        <sz val="10"/>
        <color rgb="FF000000"/>
        <rFont val="JRFonts"/>
        <charset val="134"/>
      </rPr>
      <t>03-07-2026 11:17</t>
    </r>
  </si>
  <si>
    <t>19574</t>
  </si>
  <si>
    <r>
      <rPr>
        <sz val="10"/>
        <color rgb="FF0000FF"/>
        <rFont val="JRFonts"/>
        <charset val="134"/>
      </rPr>
      <t>19575</t>
    </r>
  </si>
  <si>
    <r>
      <rPr>
        <sz val="10"/>
        <color rgb="FF000000"/>
        <rFont val="JRFonts"/>
        <charset val="134"/>
      </rPr>
      <t>03-07-2026 11:08</t>
    </r>
  </si>
  <si>
    <r>
      <rPr>
        <sz val="10"/>
        <color rgb="FF000000"/>
        <rFont val="JRFonts"/>
        <charset val="134"/>
      </rPr>
      <t>14-07-2026 17:09</t>
    </r>
  </si>
  <si>
    <r>
      <rPr>
        <sz val="10"/>
        <color rgb="FF000000"/>
        <rFont val="JRFonts"/>
        <charset val="134"/>
      </rPr>
      <t>03-07-2026 11:13</t>
    </r>
  </si>
  <si>
    <t>Initial request resolved within SLA - business has reopened ticket with new request</t>
  </si>
  <si>
    <r>
      <rPr>
        <sz val="10"/>
        <color rgb="FF0000FF"/>
        <rFont val="JRFonts"/>
        <charset val="134"/>
      </rPr>
      <t>19577</t>
    </r>
  </si>
  <si>
    <r>
      <rPr>
        <sz val="10"/>
        <color rgb="FF000000"/>
        <rFont val="JRFonts"/>
        <charset val="134"/>
      </rPr>
      <t>03-07-2026 11:11</t>
    </r>
  </si>
  <si>
    <r>
      <rPr>
        <sz val="10"/>
        <color rgb="FF000000"/>
        <rFont val="JRFonts"/>
        <charset val="134"/>
      </rPr>
      <t>29-07-2026 18:04</t>
    </r>
  </si>
  <si>
    <r>
      <rPr>
        <sz val="10"/>
        <color rgb="FF000000"/>
        <rFont val="JRFonts"/>
        <charset val="134"/>
      </rPr>
      <t>03-07-2026 11:25</t>
    </r>
  </si>
  <si>
    <t>19577</t>
  </si>
  <si>
    <r>
      <rPr>
        <sz val="10"/>
        <color rgb="FF0000FF"/>
        <rFont val="JRFonts"/>
        <charset val="134"/>
      </rPr>
      <t>19578</t>
    </r>
  </si>
  <si>
    <r>
      <rPr>
        <sz val="10"/>
        <color rgb="FF000000"/>
        <rFont val="JRFonts"/>
        <charset val="134"/>
      </rPr>
      <t>03-07-2026 11:18</t>
    </r>
  </si>
  <si>
    <r>
      <rPr>
        <sz val="10"/>
        <color rgb="FF000000"/>
        <rFont val="JRFonts"/>
        <charset val="134"/>
      </rPr>
      <t>03-07-2026 12:31</t>
    </r>
  </si>
  <si>
    <r>
      <rPr>
        <sz val="10"/>
        <color rgb="FF000000"/>
        <rFont val="JRFonts"/>
        <charset val="134"/>
      </rPr>
      <t>03-07-2026 11:38</t>
    </r>
  </si>
  <si>
    <r>
      <rPr>
        <sz val="10"/>
        <color rgb="FF0000FF"/>
        <rFont val="JRFonts"/>
        <charset val="134"/>
      </rPr>
      <t>19579</t>
    </r>
  </si>
  <si>
    <r>
      <rPr>
        <sz val="10"/>
        <color rgb="FF000000"/>
        <rFont val="JRFonts"/>
        <charset val="134"/>
      </rPr>
      <t>03-07-2026 15:17</t>
    </r>
  </si>
  <si>
    <r>
      <rPr>
        <sz val="10"/>
        <color rgb="FF000000"/>
        <rFont val="JRFonts"/>
        <charset val="134"/>
      </rPr>
      <t>03-07-2026 11:22</t>
    </r>
  </si>
  <si>
    <r>
      <rPr>
        <sz val="10"/>
        <color rgb="FF0000FF"/>
        <rFont val="JRFonts"/>
        <charset val="134"/>
      </rPr>
      <t>19580</t>
    </r>
  </si>
  <si>
    <r>
      <rPr>
        <sz val="10"/>
        <color rgb="FF000000"/>
        <rFont val="JRFonts"/>
        <charset val="134"/>
      </rPr>
      <t>03-07-2026 12:08</t>
    </r>
  </si>
  <si>
    <r>
      <rPr>
        <sz val="10"/>
        <color rgb="FF000000"/>
        <rFont val="JRFonts"/>
        <charset val="134"/>
      </rPr>
      <t>03-07-2026 11:23</t>
    </r>
  </si>
  <si>
    <r>
      <rPr>
        <sz val="10"/>
        <color rgb="FF0000FF"/>
        <rFont val="JRFonts"/>
        <charset val="134"/>
      </rPr>
      <t>19582</t>
    </r>
  </si>
  <si>
    <r>
      <rPr>
        <sz val="10"/>
        <color rgb="FF000000"/>
        <rFont val="JRFonts"/>
        <charset val="134"/>
      </rPr>
      <t>03-07-2026 11:21</t>
    </r>
  </si>
  <si>
    <r>
      <rPr>
        <sz val="10"/>
        <color rgb="FF000000"/>
        <rFont val="JRFonts"/>
        <charset val="134"/>
      </rPr>
      <t>08-07-2026 10:31</t>
    </r>
  </si>
  <si>
    <r>
      <rPr>
        <sz val="10"/>
        <color rgb="FF000000"/>
        <rFont val="JRFonts"/>
        <charset val="134"/>
      </rPr>
      <t>03-07-2026 11:28</t>
    </r>
  </si>
  <si>
    <t>19582</t>
  </si>
  <si>
    <t>Data has been shared with MLI within SLA , business team requested for updated data</t>
  </si>
  <si>
    <r>
      <rPr>
        <sz val="10"/>
        <color rgb="FF0000FF"/>
        <rFont val="JRFonts"/>
        <charset val="134"/>
      </rPr>
      <t>19583</t>
    </r>
  </si>
  <si>
    <r>
      <rPr>
        <sz val="10"/>
        <color rgb="FF000000"/>
        <rFont val="JRFonts"/>
        <charset val="134"/>
      </rPr>
      <t>03-07-2026 11:27</t>
    </r>
  </si>
  <si>
    <r>
      <rPr>
        <sz val="10"/>
        <color rgb="FF000000"/>
        <rFont val="JRFonts"/>
        <charset val="134"/>
      </rPr>
      <t>06-08-2026 19:08</t>
    </r>
  </si>
  <si>
    <r>
      <rPr>
        <sz val="10"/>
        <color rgb="FF000000"/>
        <rFont val="JRFonts"/>
        <charset val="134"/>
      </rPr>
      <t>03-07-2026 11:31</t>
    </r>
  </si>
  <si>
    <t>19583</t>
  </si>
  <si>
    <r>
      <rPr>
        <sz val="10"/>
        <color rgb="FF0000FF"/>
        <rFont val="JRFonts"/>
        <charset val="134"/>
      </rPr>
      <t>19589</t>
    </r>
  </si>
  <si>
    <r>
      <rPr>
        <sz val="10"/>
        <color rgb="FF000000"/>
        <rFont val="JRFonts"/>
        <charset val="134"/>
      </rPr>
      <t>03-07-2026 11:39</t>
    </r>
  </si>
  <si>
    <r>
      <rPr>
        <sz val="10"/>
        <color rgb="FF000000"/>
        <rFont val="JRFonts"/>
        <charset val="134"/>
      </rPr>
      <t>06-08-2026 19:09</t>
    </r>
  </si>
  <si>
    <t>19589</t>
  </si>
  <si>
    <r>
      <rPr>
        <sz val="10"/>
        <color rgb="FF0000FF"/>
        <rFont val="JRFonts"/>
        <charset val="134"/>
      </rPr>
      <t>19590</t>
    </r>
  </si>
  <si>
    <r>
      <rPr>
        <sz val="10"/>
        <color rgb="FF000000"/>
        <rFont val="JRFonts"/>
        <charset val="134"/>
      </rPr>
      <t>06-08-2026 19:13</t>
    </r>
  </si>
  <si>
    <r>
      <rPr>
        <sz val="10"/>
        <color rgb="FF000000"/>
        <rFont val="JRFonts"/>
        <charset val="134"/>
      </rPr>
      <t>03-07-2026 11:45</t>
    </r>
  </si>
  <si>
    <t>19590</t>
  </si>
  <si>
    <r>
      <rPr>
        <sz val="10"/>
        <color rgb="FF0000FF"/>
        <rFont val="JRFonts"/>
        <charset val="134"/>
      </rPr>
      <t>19596</t>
    </r>
  </si>
  <si>
    <r>
      <rPr>
        <sz val="10"/>
        <color rgb="FF000000"/>
        <rFont val="JRFonts"/>
        <charset val="134"/>
      </rPr>
      <t>03-07-2026 11:52</t>
    </r>
  </si>
  <si>
    <r>
      <rPr>
        <sz val="10"/>
        <color rgb="FF000000"/>
        <rFont val="JRFonts"/>
        <charset val="134"/>
      </rPr>
      <t>03-07-2026 18:53</t>
    </r>
  </si>
  <si>
    <r>
      <rPr>
        <sz val="10"/>
        <color rgb="FF000000"/>
        <rFont val="JRFonts"/>
        <charset val="134"/>
      </rPr>
      <t>03-07-2026 12:11</t>
    </r>
  </si>
  <si>
    <r>
      <rPr>
        <sz val="10"/>
        <color rgb="FF0000FF"/>
        <rFont val="JRFonts"/>
        <charset val="134"/>
      </rPr>
      <t>19598</t>
    </r>
  </si>
  <si>
    <r>
      <rPr>
        <sz val="10"/>
        <color rgb="FF000000"/>
        <rFont val="JRFonts"/>
        <charset val="134"/>
      </rPr>
      <t>03-07-2026 11:55</t>
    </r>
  </si>
  <si>
    <r>
      <rPr>
        <sz val="10"/>
        <color rgb="FF000000"/>
        <rFont val="JRFonts"/>
        <charset val="134"/>
      </rPr>
      <t>03-07-2026 14:10</t>
    </r>
  </si>
  <si>
    <r>
      <rPr>
        <sz val="10"/>
        <color rgb="FF000000"/>
        <rFont val="JRFonts"/>
        <charset val="134"/>
      </rPr>
      <t>03-07-2026 12:22</t>
    </r>
  </si>
  <si>
    <r>
      <rPr>
        <sz val="10"/>
        <color rgb="FF0000FF"/>
        <rFont val="JRFonts"/>
        <charset val="134"/>
      </rPr>
      <t>19606</t>
    </r>
  </si>
  <si>
    <r>
      <rPr>
        <sz val="10"/>
        <color rgb="FF000000"/>
        <rFont val="JRFonts"/>
        <charset val="134"/>
      </rPr>
      <t>05-07-2026 19:15</t>
    </r>
  </si>
  <si>
    <r>
      <rPr>
        <sz val="10"/>
        <color rgb="FF000000"/>
        <rFont val="JRFonts"/>
        <charset val="134"/>
      </rPr>
      <t>03-07-2026 12:12</t>
    </r>
  </si>
  <si>
    <r>
      <rPr>
        <sz val="10"/>
        <color rgb="FF0000FF"/>
        <rFont val="JRFonts"/>
        <charset val="134"/>
      </rPr>
      <t>19611</t>
    </r>
  </si>
  <si>
    <r>
      <rPr>
        <sz val="10"/>
        <color rgb="FF000000"/>
        <rFont val="JRFonts"/>
        <charset val="134"/>
      </rPr>
      <t>03-07-2026 12:07</t>
    </r>
  </si>
  <si>
    <r>
      <rPr>
        <sz val="10"/>
        <color rgb="FF000000"/>
        <rFont val="JRFonts"/>
        <charset val="134"/>
      </rPr>
      <t>10-08-2026 10:18</t>
    </r>
  </si>
  <si>
    <r>
      <rPr>
        <sz val="10"/>
        <color rgb="FF000000"/>
        <rFont val="JRFonts"/>
        <charset val="134"/>
      </rPr>
      <t>03-07-2026 12:13</t>
    </r>
  </si>
  <si>
    <t>19611</t>
  </si>
  <si>
    <r>
      <rPr>
        <sz val="10"/>
        <color rgb="FF0000FF"/>
        <rFont val="JRFonts"/>
        <charset val="134"/>
      </rPr>
      <t>19616</t>
    </r>
  </si>
  <si>
    <r>
      <rPr>
        <sz val="10"/>
        <color rgb="FF000000"/>
        <rFont val="JRFonts"/>
        <charset val="134"/>
      </rPr>
      <t>03-07-2026 12:16</t>
    </r>
  </si>
  <si>
    <r>
      <rPr>
        <sz val="10"/>
        <color rgb="FF000000"/>
        <rFont val="JRFonts"/>
        <charset val="134"/>
      </rPr>
      <t>03-07-2026 18:17</t>
    </r>
  </si>
  <si>
    <r>
      <rPr>
        <sz val="10"/>
        <color rgb="FF000000"/>
        <rFont val="JRFonts"/>
        <charset val="134"/>
      </rPr>
      <t>03-07-2026 12:40</t>
    </r>
  </si>
  <si>
    <r>
      <rPr>
        <sz val="10"/>
        <color rgb="FF0000FF"/>
        <rFont val="JRFonts"/>
        <charset val="134"/>
      </rPr>
      <t>19620</t>
    </r>
  </si>
  <si>
    <r>
      <rPr>
        <sz val="10"/>
        <color rgb="FF000000"/>
        <rFont val="JRFonts"/>
        <charset val="134"/>
      </rPr>
      <t>03-07-2026 12:19</t>
    </r>
  </si>
  <si>
    <r>
      <rPr>
        <sz val="10"/>
        <color rgb="FF000000"/>
        <rFont val="JRFonts"/>
        <charset val="134"/>
      </rPr>
      <t>03-07-2026 16:48</t>
    </r>
  </si>
  <si>
    <r>
      <rPr>
        <sz val="10"/>
        <color rgb="FF000000"/>
        <rFont val="JRFonts"/>
        <charset val="134"/>
      </rPr>
      <t>03-07-2026 12:33</t>
    </r>
  </si>
  <si>
    <r>
      <rPr>
        <sz val="10"/>
        <color rgb="FF0000FF"/>
        <rFont val="JRFonts"/>
        <charset val="134"/>
      </rPr>
      <t>19623</t>
    </r>
  </si>
  <si>
    <r>
      <rPr>
        <sz val="10"/>
        <color rgb="FF000000"/>
        <rFont val="JRFonts"/>
        <charset val="134"/>
      </rPr>
      <t>05-07-2026 19:14</t>
    </r>
  </si>
  <si>
    <r>
      <rPr>
        <sz val="10"/>
        <color rgb="FF000000"/>
        <rFont val="JRFonts"/>
        <charset val="134"/>
      </rPr>
      <t>03-07-2026 12:35</t>
    </r>
  </si>
  <si>
    <r>
      <rPr>
        <sz val="10"/>
        <color rgb="FF0000FF"/>
        <rFont val="JRFonts"/>
        <charset val="134"/>
      </rPr>
      <t>19626</t>
    </r>
  </si>
  <si>
    <r>
      <rPr>
        <sz val="10"/>
        <color rgb="FF000000"/>
        <rFont val="JRFonts"/>
        <charset val="134"/>
      </rPr>
      <t>03-07-2026 12:26</t>
    </r>
  </si>
  <si>
    <r>
      <rPr>
        <sz val="10"/>
        <color rgb="FF000000"/>
        <rFont val="JRFonts"/>
        <charset val="134"/>
      </rPr>
      <t>05-07-2026 19:13</t>
    </r>
  </si>
  <si>
    <r>
      <rPr>
        <sz val="10"/>
        <color rgb="FF000000"/>
        <rFont val="JRFonts"/>
        <charset val="134"/>
      </rPr>
      <t>03-07-2026 12:36</t>
    </r>
  </si>
  <si>
    <r>
      <rPr>
        <sz val="10"/>
        <color rgb="FF0000FF"/>
        <rFont val="JRFonts"/>
        <charset val="134"/>
      </rPr>
      <t>19629</t>
    </r>
  </si>
  <si>
    <r>
      <rPr>
        <sz val="10"/>
        <color rgb="FF000000"/>
        <rFont val="JRFonts"/>
        <charset val="134"/>
      </rPr>
      <t>03-07-2026 12:29</t>
    </r>
  </si>
  <si>
    <r>
      <rPr>
        <sz val="10"/>
        <color rgb="FF000000"/>
        <rFont val="JRFonts"/>
        <charset val="134"/>
      </rPr>
      <t>03-07-2026 14:41</t>
    </r>
  </si>
  <si>
    <r>
      <rPr>
        <sz val="10"/>
        <color rgb="FF000000"/>
        <rFont val="JRFonts"/>
        <charset val="134"/>
      </rPr>
      <t>03-07-2026 12:38</t>
    </r>
  </si>
  <si>
    <r>
      <rPr>
        <sz val="10"/>
        <color rgb="FF0000FF"/>
        <rFont val="JRFonts"/>
        <charset val="134"/>
      </rPr>
      <t>19630</t>
    </r>
  </si>
  <si>
    <r>
      <rPr>
        <sz val="10"/>
        <color rgb="FF000000"/>
        <rFont val="JRFonts"/>
        <charset val="134"/>
      </rPr>
      <t>06-08-2026 19:04</t>
    </r>
  </si>
  <si>
    <r>
      <rPr>
        <sz val="10"/>
        <color rgb="FF000000"/>
        <rFont val="JRFonts"/>
        <charset val="134"/>
      </rPr>
      <t>03-07-2026 12:37</t>
    </r>
  </si>
  <si>
    <t>19630</t>
  </si>
  <si>
    <r>
      <rPr>
        <sz val="10"/>
        <color rgb="FF0000FF"/>
        <rFont val="JRFonts"/>
        <charset val="134"/>
      </rPr>
      <t>19632</t>
    </r>
  </si>
  <si>
    <r>
      <rPr>
        <sz val="10"/>
        <color rgb="FF000000"/>
        <rFont val="JRFonts"/>
        <charset val="134"/>
      </rPr>
      <t>06-08-2026 18:16</t>
    </r>
  </si>
  <si>
    <r>
      <rPr>
        <sz val="10"/>
        <color rgb="FF000000"/>
        <rFont val="JRFonts"/>
        <charset val="134"/>
      </rPr>
      <t>03-07-2026 12:43</t>
    </r>
  </si>
  <si>
    <t>19632</t>
  </si>
  <si>
    <r>
      <rPr>
        <sz val="10"/>
        <color rgb="FF0000FF"/>
        <rFont val="JRFonts"/>
        <charset val="134"/>
      </rPr>
      <t>19633</t>
    </r>
  </si>
  <si>
    <r>
      <rPr>
        <sz val="10"/>
        <color rgb="FF000000"/>
        <rFont val="JRFonts"/>
        <charset val="134"/>
      </rPr>
      <t>06-08-2026 22:54</t>
    </r>
  </si>
  <si>
    <t>19633</t>
  </si>
  <si>
    <r>
      <rPr>
        <sz val="10"/>
        <color rgb="FF0000FF"/>
        <rFont val="JRFonts"/>
        <charset val="134"/>
      </rPr>
      <t>19634</t>
    </r>
  </si>
  <si>
    <r>
      <rPr>
        <sz val="10"/>
        <color rgb="FF000000"/>
        <rFont val="JRFonts"/>
        <charset val="134"/>
      </rPr>
      <t>03-07-2026 12:44</t>
    </r>
  </si>
  <si>
    <r>
      <rPr>
        <sz val="10"/>
        <color rgb="FF000000"/>
        <rFont val="JRFonts"/>
        <charset val="134"/>
      </rPr>
      <t>03-07-2026 17:12</t>
    </r>
  </si>
  <si>
    <r>
      <rPr>
        <sz val="10"/>
        <color rgb="FF000000"/>
        <rFont val="JRFonts"/>
        <charset val="134"/>
      </rPr>
      <t>03-07-2026 12:58</t>
    </r>
  </si>
  <si>
    <r>
      <rPr>
        <sz val="10"/>
        <color rgb="FF0000FF"/>
        <rFont val="JRFonts"/>
        <charset val="134"/>
      </rPr>
      <t>19636</t>
    </r>
  </si>
  <si>
    <r>
      <rPr>
        <sz val="10"/>
        <color rgb="FF000000"/>
        <rFont val="JRFonts"/>
        <charset val="134"/>
      </rPr>
      <t>03-07-2026 12:47</t>
    </r>
  </si>
  <si>
    <r>
      <rPr>
        <sz val="10"/>
        <color rgb="FF000000"/>
        <rFont val="JRFonts"/>
        <charset val="134"/>
      </rPr>
      <t>06-07-2026 16:40</t>
    </r>
  </si>
  <si>
    <r>
      <rPr>
        <sz val="10"/>
        <color rgb="FF000000"/>
        <rFont val="JRFonts"/>
        <charset val="134"/>
      </rPr>
      <t>03-07-2026 12:59</t>
    </r>
  </si>
  <si>
    <t>19637</t>
  </si>
  <si>
    <r>
      <rPr>
        <sz val="10"/>
        <color rgb="FF000000"/>
        <rFont val="JRFonts"/>
        <charset val="134"/>
      </rPr>
      <t>03-07-2026 12:53</t>
    </r>
  </si>
  <si>
    <r>
      <rPr>
        <sz val="10"/>
        <color rgb="FF000000"/>
        <rFont val="JRFonts"/>
        <charset val="134"/>
      </rPr>
      <t>07-07-2026 11:59</t>
    </r>
  </si>
  <si>
    <r>
      <rPr>
        <sz val="10"/>
        <color rgb="FF000000"/>
        <rFont val="JRFonts"/>
        <charset val="134"/>
      </rPr>
      <t>03-07-2026 13:01</t>
    </r>
  </si>
  <si>
    <r>
      <rPr>
        <sz val="10"/>
        <color rgb="FF0000FF"/>
        <rFont val="JRFonts"/>
        <charset val="134"/>
      </rPr>
      <t>19637</t>
    </r>
  </si>
  <si>
    <r>
      <rPr>
        <sz val="10"/>
        <color rgb="FF0000FF"/>
        <rFont val="JRFonts"/>
        <charset val="134"/>
      </rPr>
      <t>19638</t>
    </r>
  </si>
  <si>
    <r>
      <rPr>
        <sz val="10"/>
        <color rgb="FF000000"/>
        <rFont val="JRFonts"/>
        <charset val="134"/>
      </rPr>
      <t>03-07-2026 13:06</t>
    </r>
  </si>
  <si>
    <r>
      <rPr>
        <sz val="10"/>
        <color rgb="FF000000"/>
        <rFont val="JRFonts"/>
        <charset val="134"/>
      </rPr>
      <t>16-07-2026 13:56</t>
    </r>
  </si>
  <si>
    <r>
      <rPr>
        <sz val="10"/>
        <color rgb="FF000000"/>
        <rFont val="JRFonts"/>
        <charset val="134"/>
      </rPr>
      <t>07-07-2026 16:21</t>
    </r>
  </si>
  <si>
    <t>Data has been shared with MLI within SLA , there was access issue with drive link
Day 1: 1 hour 39 minutes
Day 2: 7 hours 11 minutes
Total Working Time: 8 hours 50 minutes</t>
  </si>
  <si>
    <r>
      <rPr>
        <sz val="10"/>
        <color rgb="FF0000FF"/>
        <rFont val="JRFonts"/>
        <charset val="134"/>
      </rPr>
      <t>19639</t>
    </r>
  </si>
  <si>
    <r>
      <rPr>
        <sz val="10"/>
        <color rgb="FF000000"/>
        <rFont val="JRFonts"/>
        <charset val="134"/>
      </rPr>
      <t>03-07-2026 13:18</t>
    </r>
  </si>
  <si>
    <r>
      <rPr>
        <sz val="10"/>
        <color rgb="FF000000"/>
        <rFont val="JRFonts"/>
        <charset val="134"/>
      </rPr>
      <t>29-07-2026 17:55</t>
    </r>
  </si>
  <si>
    <r>
      <rPr>
        <sz val="10"/>
        <color rgb="FF000000"/>
        <rFont val="JRFonts"/>
        <charset val="134"/>
      </rPr>
      <t>03-07-2026 14:18</t>
    </r>
  </si>
  <si>
    <t>19639</t>
  </si>
  <si>
    <r>
      <rPr>
        <sz val="10"/>
        <color rgb="FF0000FF"/>
        <rFont val="JRFonts"/>
        <charset val="134"/>
      </rPr>
      <t>19642</t>
    </r>
  </si>
  <si>
    <r>
      <rPr>
        <sz val="10"/>
        <color rgb="FF000000"/>
        <rFont val="JRFonts"/>
        <charset val="134"/>
      </rPr>
      <t>Credit Guarantee Scheme for e-NWR based Pledge Financing(CGS-NPF)</t>
    </r>
  </si>
  <si>
    <r>
      <rPr>
        <sz val="10"/>
        <color rgb="FF000000"/>
        <rFont val="JRFonts"/>
        <charset val="134"/>
      </rPr>
      <t>03-07-2026 13:33</t>
    </r>
  </si>
  <si>
    <r>
      <rPr>
        <sz val="10"/>
        <color rgb="FF000000"/>
        <rFont val="JRFonts"/>
        <charset val="134"/>
      </rPr>
      <t>04-07-2026 17:41</t>
    </r>
  </si>
  <si>
    <r>
      <rPr>
        <sz val="10"/>
        <color rgb="FF000000"/>
        <rFont val="JRFonts"/>
        <charset val="134"/>
      </rPr>
      <t>03-07-2026 18:07</t>
    </r>
  </si>
  <si>
    <r>
      <rPr>
        <sz val="10"/>
        <color rgb="FF0000FF"/>
        <rFont val="JRFonts"/>
        <charset val="134"/>
      </rPr>
      <t>19644</t>
    </r>
  </si>
  <si>
    <r>
      <rPr>
        <sz val="10"/>
        <color rgb="FF000000"/>
        <rFont val="JRFonts"/>
        <charset val="134"/>
      </rPr>
      <t>03-07-2026 13:36</t>
    </r>
  </si>
  <si>
    <r>
      <rPr>
        <sz val="10"/>
        <color rgb="FF000000"/>
        <rFont val="JRFonts"/>
        <charset val="134"/>
      </rPr>
      <t>07-08-2026 12:26</t>
    </r>
  </si>
  <si>
    <r>
      <rPr>
        <sz val="10"/>
        <color rgb="FF000000"/>
        <rFont val="JRFonts"/>
        <charset val="134"/>
      </rPr>
      <t>03-07-2026 14:35</t>
    </r>
  </si>
  <si>
    <t>19644</t>
  </si>
  <si>
    <r>
      <rPr>
        <sz val="10"/>
        <color rgb="FF0000FF"/>
        <rFont val="JRFonts"/>
        <charset val="134"/>
      </rPr>
      <t>19651</t>
    </r>
  </si>
  <si>
    <r>
      <rPr>
        <sz val="10"/>
        <color rgb="FF000000"/>
        <rFont val="JRFonts"/>
        <charset val="134"/>
      </rPr>
      <t>03-07-2026 14:28</t>
    </r>
  </si>
  <si>
    <r>
      <rPr>
        <sz val="10"/>
        <color rgb="FF000000"/>
        <rFont val="JRFonts"/>
        <charset val="134"/>
      </rPr>
      <t>03-07-2026 14:16</t>
    </r>
  </si>
  <si>
    <r>
      <rPr>
        <sz val="10"/>
        <color rgb="FF0000FF"/>
        <rFont val="JRFonts"/>
        <charset val="134"/>
      </rPr>
      <t>19653</t>
    </r>
  </si>
  <si>
    <r>
      <rPr>
        <sz val="10"/>
        <color rgb="FF000000"/>
        <rFont val="JRFonts"/>
        <charset val="134"/>
      </rPr>
      <t>03-07-2026 14:19</t>
    </r>
  </si>
  <si>
    <r>
      <rPr>
        <sz val="10"/>
        <color rgb="FF000000"/>
        <rFont val="JRFonts"/>
        <charset val="134"/>
      </rPr>
      <t>08-07-2026 16:22</t>
    </r>
  </si>
  <si>
    <r>
      <rPr>
        <sz val="10"/>
        <color rgb="FF000000"/>
        <rFont val="JRFonts"/>
        <charset val="134"/>
      </rPr>
      <t>03-07-2026 14:57</t>
    </r>
  </si>
  <si>
    <t>19653</t>
  </si>
  <si>
    <t>dataset was very large, processing took additional time.</t>
  </si>
  <si>
    <r>
      <rPr>
        <sz val="10"/>
        <color rgb="FF0000FF"/>
        <rFont val="JRFonts"/>
        <charset val="134"/>
      </rPr>
      <t>19654</t>
    </r>
  </si>
  <si>
    <r>
      <rPr>
        <sz val="10"/>
        <color rgb="FF000000"/>
        <rFont val="JRFonts"/>
        <charset val="134"/>
      </rPr>
      <t>06-08-2026 19:06</t>
    </r>
  </si>
  <si>
    <r>
      <rPr>
        <sz val="10"/>
        <color rgb="FF000000"/>
        <rFont val="JRFonts"/>
        <charset val="134"/>
      </rPr>
      <t>03-07-2026 14:36</t>
    </r>
  </si>
  <si>
    <t>19654</t>
  </si>
  <si>
    <r>
      <rPr>
        <sz val="10"/>
        <color rgb="FF0000FF"/>
        <rFont val="JRFonts"/>
        <charset val="134"/>
      </rPr>
      <t>19656</t>
    </r>
  </si>
  <si>
    <r>
      <rPr>
        <sz val="10"/>
        <color rgb="FF000000"/>
        <rFont val="JRFonts"/>
        <charset val="134"/>
      </rPr>
      <t>Credit Risk Guarantee Fund Trust for Low Income Housing (CRGFTLIH)</t>
    </r>
  </si>
  <si>
    <r>
      <rPr>
        <sz val="10"/>
        <color rgb="FF000000"/>
        <rFont val="JRFonts"/>
        <charset val="134"/>
      </rPr>
      <t>20-07-2026 18:29</t>
    </r>
  </si>
  <si>
    <r>
      <rPr>
        <sz val="10"/>
        <color rgb="FF000000"/>
        <rFont val="JRFonts"/>
        <charset val="134"/>
      </rPr>
      <t>03-07-2026 14:37</t>
    </r>
  </si>
  <si>
    <t>19656</t>
  </si>
  <si>
    <t>Data provided within SLA , reopened by business for extended request</t>
  </si>
  <si>
    <r>
      <rPr>
        <sz val="10"/>
        <color rgb="FF0000FF"/>
        <rFont val="JRFonts"/>
        <charset val="134"/>
      </rPr>
      <t>19657</t>
    </r>
  </si>
  <si>
    <r>
      <rPr>
        <sz val="10"/>
        <color rgb="FF000000"/>
        <rFont val="JRFonts"/>
        <charset val="134"/>
      </rPr>
      <t>10-07-2026 11:33</t>
    </r>
  </si>
  <si>
    <r>
      <rPr>
        <sz val="10"/>
        <color rgb="FF000000"/>
        <rFont val="JRFonts"/>
        <charset val="134"/>
      </rPr>
      <t>03-07-2026 14:39</t>
    </r>
  </si>
  <si>
    <t>Mulitple request on same tickets</t>
  </si>
  <si>
    <r>
      <rPr>
        <sz val="10"/>
        <color rgb="FF0000FF"/>
        <rFont val="JRFonts"/>
        <charset val="134"/>
      </rPr>
      <t>19658</t>
    </r>
  </si>
  <si>
    <r>
      <rPr>
        <sz val="10"/>
        <color rgb="FF000000"/>
        <rFont val="JRFonts"/>
        <charset val="134"/>
      </rPr>
      <t>03-07-2026 14:31</t>
    </r>
  </si>
  <si>
    <r>
      <rPr>
        <sz val="10"/>
        <color rgb="FF000000"/>
        <rFont val="JRFonts"/>
        <charset val="134"/>
      </rPr>
      <t>06-07-2026 11:05</t>
    </r>
  </si>
  <si>
    <r>
      <rPr>
        <sz val="10"/>
        <color rgb="FF000000"/>
        <rFont val="JRFonts"/>
        <charset val="134"/>
      </rPr>
      <t>03-07-2026 14:42</t>
    </r>
  </si>
  <si>
    <r>
      <rPr>
        <sz val="10"/>
        <color rgb="FF0000FF"/>
        <rFont val="JRFonts"/>
        <charset val="134"/>
      </rPr>
      <t>19659</t>
    </r>
  </si>
  <si>
    <r>
      <rPr>
        <sz val="10"/>
        <color rgb="FF000000"/>
        <rFont val="JRFonts"/>
        <charset val="134"/>
      </rPr>
      <t>03-07-2026 15:12</t>
    </r>
  </si>
  <si>
    <r>
      <rPr>
        <sz val="10"/>
        <color rgb="FF000000"/>
        <rFont val="JRFonts"/>
        <charset val="134"/>
      </rPr>
      <t>03-07-2026 14:45</t>
    </r>
  </si>
  <si>
    <r>
      <rPr>
        <sz val="10"/>
        <color rgb="FF0000FF"/>
        <rFont val="JRFonts"/>
        <charset val="134"/>
      </rPr>
      <t>19660</t>
    </r>
  </si>
  <si>
    <r>
      <rPr>
        <sz val="10"/>
        <color rgb="FF000000"/>
        <rFont val="JRFonts"/>
        <charset val="134"/>
      </rPr>
      <t>05-07-2026 19:12</t>
    </r>
  </si>
  <si>
    <r>
      <rPr>
        <sz val="10"/>
        <color rgb="FF000000"/>
        <rFont val="JRFonts"/>
        <charset val="134"/>
      </rPr>
      <t>03-07-2026 14:50</t>
    </r>
  </si>
  <si>
    <r>
      <rPr>
        <sz val="10"/>
        <color rgb="FF0000FF"/>
        <rFont val="JRFonts"/>
        <charset val="134"/>
      </rPr>
      <t>19662</t>
    </r>
  </si>
  <si>
    <r>
      <rPr>
        <sz val="10"/>
        <color rgb="FF000000"/>
        <rFont val="JRFonts"/>
        <charset val="134"/>
      </rPr>
      <t>03-07-2026 14:44</t>
    </r>
  </si>
  <si>
    <r>
      <rPr>
        <sz val="10"/>
        <color rgb="FF000000"/>
        <rFont val="JRFonts"/>
        <charset val="134"/>
      </rPr>
      <t>07-07-2026 17:56</t>
    </r>
  </si>
  <si>
    <r>
      <rPr>
        <sz val="10"/>
        <color rgb="FF000000"/>
        <rFont val="JRFonts"/>
        <charset val="134"/>
      </rPr>
      <t>03-07-2026 14:51</t>
    </r>
  </si>
  <si>
    <t>19662</t>
  </si>
  <si>
    <t>Discussion involved with busines / IT</t>
  </si>
  <si>
    <r>
      <rPr>
        <sz val="10"/>
        <color rgb="FF0000FF"/>
        <rFont val="JRFonts"/>
        <charset val="134"/>
      </rPr>
      <t>19664</t>
    </r>
  </si>
  <si>
    <r>
      <rPr>
        <sz val="10"/>
        <color rgb="FF000000"/>
        <rFont val="JRFonts"/>
        <charset val="134"/>
      </rPr>
      <t>03-07-2026 16:26</t>
    </r>
  </si>
  <si>
    <r>
      <rPr>
        <sz val="10"/>
        <color rgb="FF000000"/>
        <rFont val="JRFonts"/>
        <charset val="134"/>
      </rPr>
      <t>03-07-2026 15:01</t>
    </r>
  </si>
  <si>
    <r>
      <rPr>
        <sz val="10"/>
        <color rgb="FF0000FF"/>
        <rFont val="JRFonts"/>
        <charset val="134"/>
      </rPr>
      <t>19666</t>
    </r>
  </si>
  <si>
    <r>
      <rPr>
        <sz val="10"/>
        <color rgb="FF000000"/>
        <rFont val="JRFonts"/>
        <charset val="134"/>
      </rPr>
      <t>03-07-2026 15:02</t>
    </r>
  </si>
  <si>
    <r>
      <rPr>
        <sz val="10"/>
        <color rgb="FF000000"/>
        <rFont val="JRFonts"/>
        <charset val="134"/>
      </rPr>
      <t>06-08-2026 17:41</t>
    </r>
  </si>
  <si>
    <r>
      <rPr>
        <sz val="10"/>
        <color rgb="FF000000"/>
        <rFont val="JRFonts"/>
        <charset val="134"/>
      </rPr>
      <t>03-07-2026 15:08</t>
    </r>
  </si>
  <si>
    <t>19666</t>
  </si>
  <si>
    <r>
      <rPr>
        <sz val="10"/>
        <color rgb="FF0000FF"/>
        <rFont val="JRFonts"/>
        <charset val="134"/>
      </rPr>
      <t>19667</t>
    </r>
  </si>
  <si>
    <r>
      <rPr>
        <sz val="10"/>
        <color rgb="FF000000"/>
        <rFont val="JRFonts"/>
        <charset val="134"/>
      </rPr>
      <t>03-07-2026 16:11</t>
    </r>
  </si>
  <si>
    <r>
      <rPr>
        <sz val="10"/>
        <color rgb="FF000000"/>
        <rFont val="JRFonts"/>
        <charset val="134"/>
      </rPr>
      <t>03-07-2026 15:06</t>
    </r>
  </si>
  <si>
    <r>
      <rPr>
        <sz val="10"/>
        <color rgb="FF0000FF"/>
        <rFont val="JRFonts"/>
        <charset val="134"/>
      </rPr>
      <t>19670</t>
    </r>
  </si>
  <si>
    <r>
      <rPr>
        <sz val="10"/>
        <color rgb="FF000000"/>
        <rFont val="JRFonts"/>
        <charset val="134"/>
      </rPr>
      <t>03-07-2026 15:18</t>
    </r>
  </si>
  <si>
    <r>
      <rPr>
        <sz val="10"/>
        <color rgb="FF000000"/>
        <rFont val="JRFonts"/>
        <charset val="134"/>
      </rPr>
      <t>03-07-2026 17:10</t>
    </r>
  </si>
  <si>
    <r>
      <rPr>
        <sz val="10"/>
        <color rgb="FF000000"/>
        <rFont val="JRFonts"/>
        <charset val="134"/>
      </rPr>
      <t>03-07-2026 15:19</t>
    </r>
  </si>
  <si>
    <r>
      <rPr>
        <sz val="10"/>
        <color rgb="FF0000FF"/>
        <rFont val="JRFonts"/>
        <charset val="134"/>
      </rPr>
      <t>19672</t>
    </r>
  </si>
  <si>
    <r>
      <rPr>
        <sz val="10"/>
        <color rgb="FF000000"/>
        <rFont val="JRFonts"/>
        <charset val="134"/>
      </rPr>
      <t>03-07-2026 15:33</t>
    </r>
  </si>
  <si>
    <r>
      <rPr>
        <sz val="10"/>
        <color rgb="FF000000"/>
        <rFont val="JRFonts"/>
        <charset val="134"/>
      </rPr>
      <t>03-07-2026 16:17</t>
    </r>
  </si>
  <si>
    <r>
      <rPr>
        <sz val="10"/>
        <color rgb="FF000000"/>
        <rFont val="JRFonts"/>
        <charset val="134"/>
      </rPr>
      <t>03-07-2026 15:37</t>
    </r>
  </si>
  <si>
    <r>
      <rPr>
        <sz val="10"/>
        <color rgb="FF0000FF"/>
        <rFont val="JRFonts"/>
        <charset val="134"/>
      </rPr>
      <t>19673</t>
    </r>
  </si>
  <si>
    <r>
      <rPr>
        <sz val="10"/>
        <color rgb="FF000000"/>
        <rFont val="JRFonts"/>
        <charset val="134"/>
      </rPr>
      <t>03-07-2026 16:16</t>
    </r>
  </si>
  <si>
    <r>
      <rPr>
        <sz val="10"/>
        <color rgb="FF000000"/>
        <rFont val="JRFonts"/>
        <charset val="134"/>
      </rPr>
      <t>03-07-2026 15:39</t>
    </r>
  </si>
  <si>
    <r>
      <rPr>
        <sz val="10"/>
        <color rgb="FF0000FF"/>
        <rFont val="JRFonts"/>
        <charset val="134"/>
      </rPr>
      <t>19675</t>
    </r>
  </si>
  <si>
    <r>
      <rPr>
        <sz val="10"/>
        <color rgb="FF000000"/>
        <rFont val="JRFonts"/>
        <charset val="134"/>
      </rPr>
      <t>03-07-2026 16:13</t>
    </r>
  </si>
  <si>
    <r>
      <rPr>
        <sz val="10"/>
        <color rgb="FF000000"/>
        <rFont val="JRFonts"/>
        <charset val="134"/>
      </rPr>
      <t>29-07-2026 17:43</t>
    </r>
  </si>
  <si>
    <r>
      <rPr>
        <sz val="10"/>
        <color rgb="FF000000"/>
        <rFont val="JRFonts"/>
        <charset val="134"/>
      </rPr>
      <t>03-07-2026 16:21</t>
    </r>
  </si>
  <si>
    <t>19675</t>
  </si>
  <si>
    <r>
      <rPr>
        <sz val="10"/>
        <color rgb="FF0000FF"/>
        <rFont val="JRFonts"/>
        <charset val="134"/>
      </rPr>
      <t>19676</t>
    </r>
  </si>
  <si>
    <r>
      <rPr>
        <sz val="10"/>
        <color rgb="FF000000"/>
        <rFont val="JRFonts"/>
        <charset val="134"/>
      </rPr>
      <t>03-07-2026 16:31</t>
    </r>
  </si>
  <si>
    <r>
      <rPr>
        <sz val="10"/>
        <color rgb="FF000000"/>
        <rFont val="JRFonts"/>
        <charset val="134"/>
      </rPr>
      <t>11-08-2026 16:16</t>
    </r>
  </si>
  <si>
    <r>
      <rPr>
        <sz val="10"/>
        <color rgb="FF000000"/>
        <rFont val="JRFonts"/>
        <charset val="134"/>
      </rPr>
      <t>03-07-2026 16:40</t>
    </r>
  </si>
  <si>
    <t>19676</t>
  </si>
  <si>
    <r>
      <rPr>
        <sz val="10"/>
        <color rgb="FF0000FF"/>
        <rFont val="JRFonts"/>
        <charset val="134"/>
      </rPr>
      <t>19677</t>
    </r>
  </si>
  <si>
    <r>
      <rPr>
        <sz val="10"/>
        <color rgb="FF000000"/>
        <rFont val="JRFonts"/>
        <charset val="134"/>
      </rPr>
      <t>03-07-2026 16:34</t>
    </r>
  </si>
  <si>
    <r>
      <rPr>
        <sz val="10"/>
        <color rgb="FF000000"/>
        <rFont val="JRFonts"/>
        <charset val="134"/>
      </rPr>
      <t>03-07-2026 16:50</t>
    </r>
  </si>
  <si>
    <r>
      <rPr>
        <sz val="10"/>
        <color rgb="FF0000FF"/>
        <rFont val="JRFonts"/>
        <charset val="134"/>
      </rPr>
      <t>19678</t>
    </r>
  </si>
  <si>
    <r>
      <rPr>
        <sz val="10"/>
        <color rgb="FF000000"/>
        <rFont val="JRFonts"/>
        <charset val="134"/>
      </rPr>
      <t>03-07-2026 16:49</t>
    </r>
  </si>
  <si>
    <r>
      <rPr>
        <sz val="10"/>
        <color rgb="FF000000"/>
        <rFont val="JRFonts"/>
        <charset val="134"/>
      </rPr>
      <t>18-08-2026 18:19</t>
    </r>
  </si>
  <si>
    <r>
      <rPr>
        <sz val="10"/>
        <color rgb="FF000000"/>
        <rFont val="JRFonts"/>
        <charset val="134"/>
      </rPr>
      <t>03-07-2026 16:54</t>
    </r>
  </si>
  <si>
    <t>19678</t>
  </si>
  <si>
    <r>
      <rPr>
        <sz val="10"/>
        <color rgb="FF0000FF"/>
        <rFont val="JRFonts"/>
        <charset val="134"/>
      </rPr>
      <t>19679</t>
    </r>
  </si>
  <si>
    <r>
      <rPr>
        <sz val="10"/>
        <color rgb="FF000000"/>
        <rFont val="JRFonts"/>
        <charset val="134"/>
      </rPr>
      <t>03-07-2026 16:52</t>
    </r>
  </si>
  <si>
    <r>
      <rPr>
        <sz val="10"/>
        <color rgb="FF000000"/>
        <rFont val="JRFonts"/>
        <charset val="134"/>
      </rPr>
      <t>02-09-2026 17:26</t>
    </r>
  </si>
  <si>
    <r>
      <rPr>
        <sz val="10"/>
        <color rgb="FF000000"/>
        <rFont val="JRFonts"/>
        <charset val="134"/>
      </rPr>
      <t>03-07-2026 17:15</t>
    </r>
  </si>
  <si>
    <t>19679</t>
  </si>
  <si>
    <r>
      <rPr>
        <sz val="10"/>
        <color rgb="FF0000FF"/>
        <rFont val="JRFonts"/>
        <charset val="134"/>
      </rPr>
      <t>19680</t>
    </r>
  </si>
  <si>
    <r>
      <rPr>
        <sz val="10"/>
        <color rgb="FF000000"/>
        <rFont val="JRFonts"/>
        <charset val="134"/>
      </rPr>
      <t>03-07-2026 17:02</t>
    </r>
  </si>
  <si>
    <r>
      <rPr>
        <sz val="10"/>
        <color rgb="FF000000"/>
        <rFont val="JRFonts"/>
        <charset val="134"/>
      </rPr>
      <t>06-07-2026 17:55</t>
    </r>
  </si>
  <si>
    <r>
      <rPr>
        <sz val="10"/>
        <color rgb="FF000000"/>
        <rFont val="JRFonts"/>
        <charset val="134"/>
      </rPr>
      <t>03-07-2026 17:13</t>
    </r>
  </si>
  <si>
    <r>
      <rPr>
        <sz val="10"/>
        <color rgb="FF0000FF"/>
        <rFont val="JRFonts"/>
        <charset val="134"/>
      </rPr>
      <t>19682</t>
    </r>
  </si>
  <si>
    <r>
      <rPr>
        <sz val="10"/>
        <color rgb="FF000000"/>
        <rFont val="JRFonts"/>
        <charset val="134"/>
      </rPr>
      <t>03-07-2026 17:26</t>
    </r>
  </si>
  <si>
    <r>
      <rPr>
        <sz val="10"/>
        <color rgb="FF000000"/>
        <rFont val="JRFonts"/>
        <charset val="134"/>
      </rPr>
      <t>06-08-2026 17:37</t>
    </r>
  </si>
  <si>
    <r>
      <rPr>
        <sz val="10"/>
        <color rgb="FF000000"/>
        <rFont val="JRFonts"/>
        <charset val="134"/>
      </rPr>
      <t>03-07-2026 18:02</t>
    </r>
  </si>
  <si>
    <t>19682</t>
  </si>
  <si>
    <r>
      <rPr>
        <sz val="10"/>
        <color rgb="FF0000FF"/>
        <rFont val="JRFonts"/>
        <charset val="134"/>
      </rPr>
      <t>19684</t>
    </r>
  </si>
  <si>
    <r>
      <rPr>
        <sz val="10"/>
        <color rgb="FF000000"/>
        <rFont val="JRFonts"/>
        <charset val="134"/>
      </rPr>
      <t>03-07-2026 17:35</t>
    </r>
  </si>
  <si>
    <r>
      <rPr>
        <sz val="10"/>
        <color rgb="FF000000"/>
        <rFont val="JRFonts"/>
        <charset val="134"/>
      </rPr>
      <t>08-07-2026 16:46</t>
    </r>
  </si>
  <si>
    <r>
      <rPr>
        <sz val="10"/>
        <color rgb="FF000000"/>
        <rFont val="JRFonts"/>
        <charset val="134"/>
      </rPr>
      <t>03-07-2026 17:38</t>
    </r>
  </si>
  <si>
    <t>19684</t>
  </si>
  <si>
    <r>
      <rPr>
        <sz val="10"/>
        <color rgb="FF0000FF"/>
        <rFont val="JRFonts"/>
        <charset val="134"/>
      </rPr>
      <t>19685</t>
    </r>
  </si>
  <si>
    <r>
      <rPr>
        <sz val="10"/>
        <color rgb="FF000000"/>
        <rFont val="JRFonts"/>
        <charset val="134"/>
      </rPr>
      <t>29-07-2026 17:32</t>
    </r>
  </si>
  <si>
    <r>
      <rPr>
        <sz val="10"/>
        <color rgb="FF000000"/>
        <rFont val="JRFonts"/>
        <charset val="134"/>
      </rPr>
      <t>03-07-2026 18:05</t>
    </r>
  </si>
  <si>
    <t>19685</t>
  </si>
  <si>
    <r>
      <rPr>
        <sz val="10"/>
        <color rgb="FF0000FF"/>
        <rFont val="JRFonts"/>
        <charset val="134"/>
      </rPr>
      <t>19686</t>
    </r>
  </si>
  <si>
    <r>
      <rPr>
        <sz val="10"/>
        <color rgb="FF000000"/>
        <rFont val="JRFonts"/>
        <charset val="134"/>
      </rPr>
      <t>03-07-2026 17:51</t>
    </r>
  </si>
  <si>
    <r>
      <rPr>
        <sz val="10"/>
        <color rgb="FF000000"/>
        <rFont val="JRFonts"/>
        <charset val="134"/>
      </rPr>
      <t>06-07-2026 11:39</t>
    </r>
  </si>
  <si>
    <r>
      <rPr>
        <sz val="10"/>
        <color rgb="FF000000"/>
        <rFont val="JRFonts"/>
        <charset val="134"/>
      </rPr>
      <t>03-07-2026 17:55</t>
    </r>
  </si>
  <si>
    <r>
      <rPr>
        <sz val="10"/>
        <color rgb="FF0000FF"/>
        <rFont val="JRFonts"/>
        <charset val="134"/>
      </rPr>
      <t>19687</t>
    </r>
  </si>
  <si>
    <r>
      <rPr>
        <sz val="10"/>
        <color rgb="FF000000"/>
        <rFont val="JRFonts"/>
        <charset val="134"/>
      </rPr>
      <t>03-07-2026 17:54</t>
    </r>
  </si>
  <si>
    <r>
      <rPr>
        <sz val="10"/>
        <color rgb="FF000000"/>
        <rFont val="JRFonts"/>
        <charset val="134"/>
      </rPr>
      <t>06-07-2026 12:06</t>
    </r>
  </si>
  <si>
    <r>
      <rPr>
        <sz val="10"/>
        <color rgb="FF000000"/>
        <rFont val="JRFonts"/>
        <charset val="134"/>
      </rPr>
      <t>03-07-2026 17:59</t>
    </r>
  </si>
  <si>
    <r>
      <rPr>
        <sz val="10"/>
        <color rgb="FF0000FF"/>
        <rFont val="JRFonts"/>
        <charset val="134"/>
      </rPr>
      <t>19688</t>
    </r>
  </si>
  <si>
    <r>
      <rPr>
        <sz val="10"/>
        <color rgb="FF000000"/>
        <rFont val="JRFonts"/>
        <charset val="134"/>
      </rPr>
      <t>03-07-2026 18:06</t>
    </r>
  </si>
  <si>
    <r>
      <rPr>
        <sz val="10"/>
        <color rgb="FF000000"/>
        <rFont val="JRFonts"/>
        <charset val="134"/>
      </rPr>
      <t>06-07-2026 14:40</t>
    </r>
  </si>
  <si>
    <r>
      <rPr>
        <sz val="10"/>
        <color rgb="FF000000"/>
        <rFont val="JRFonts"/>
        <charset val="134"/>
      </rPr>
      <t>03-07-2026 18:09</t>
    </r>
  </si>
  <si>
    <r>
      <rPr>
        <sz val="10"/>
        <color rgb="FF0000FF"/>
        <rFont val="JRFonts"/>
        <charset val="134"/>
      </rPr>
      <t>19690</t>
    </r>
  </si>
  <si>
    <r>
      <rPr>
        <sz val="10"/>
        <color rgb="FF000000"/>
        <rFont val="JRFonts"/>
        <charset val="134"/>
      </rPr>
      <t>03-07-2026 18:31</t>
    </r>
  </si>
  <si>
    <r>
      <rPr>
        <sz val="10"/>
        <color rgb="FF000000"/>
        <rFont val="JRFonts"/>
        <charset val="134"/>
      </rPr>
      <t>07-08-2026 14:48</t>
    </r>
  </si>
  <si>
    <r>
      <rPr>
        <sz val="10"/>
        <color rgb="FF000000"/>
        <rFont val="JRFonts"/>
        <charset val="134"/>
      </rPr>
      <t>03-07-2026 18:35</t>
    </r>
  </si>
  <si>
    <t>19690</t>
  </si>
  <si>
    <r>
      <rPr>
        <sz val="10"/>
        <color rgb="FF0000FF"/>
        <rFont val="JRFonts"/>
        <charset val="134"/>
      </rPr>
      <t>19691</t>
    </r>
  </si>
  <si>
    <r>
      <rPr>
        <sz val="10"/>
        <color rgb="FF000000"/>
        <rFont val="JRFonts"/>
        <charset val="134"/>
      </rPr>
      <t>03-07-2026 18:43</t>
    </r>
  </si>
  <si>
    <r>
      <rPr>
        <sz val="10"/>
        <color rgb="FF000000"/>
        <rFont val="JRFonts"/>
        <charset val="134"/>
      </rPr>
      <t>06-07-2026 14:37</t>
    </r>
  </si>
  <si>
    <r>
      <rPr>
        <sz val="10"/>
        <color rgb="FF000000"/>
        <rFont val="JRFonts"/>
        <charset val="134"/>
      </rPr>
      <t>06-07-2026 10:41</t>
    </r>
  </si>
  <si>
    <r>
      <rPr>
        <sz val="10"/>
        <color rgb="FF0000FF"/>
        <rFont val="JRFonts"/>
        <charset val="134"/>
      </rPr>
      <t>19692</t>
    </r>
  </si>
  <si>
    <r>
      <rPr>
        <sz val="10"/>
        <color rgb="FF000000"/>
        <rFont val="JRFonts"/>
        <charset val="134"/>
      </rPr>
      <t>03-07-2026 18:46</t>
    </r>
  </si>
  <si>
    <r>
      <rPr>
        <sz val="10"/>
        <color rgb="FF000000"/>
        <rFont val="JRFonts"/>
        <charset val="134"/>
      </rPr>
      <t>20-08-2026 18:21</t>
    </r>
  </si>
  <si>
    <r>
      <rPr>
        <sz val="10"/>
        <color rgb="FF000000"/>
        <rFont val="JRFonts"/>
        <charset val="134"/>
      </rPr>
      <t>09-07-2026 15:24</t>
    </r>
  </si>
  <si>
    <t>19692</t>
  </si>
  <si>
    <r>
      <rPr>
        <sz val="10"/>
        <color rgb="FF0000FF"/>
        <rFont val="JRFonts"/>
        <charset val="134"/>
      </rPr>
      <t>19694</t>
    </r>
  </si>
  <si>
    <r>
      <rPr>
        <sz val="10"/>
        <color rgb="FF000000"/>
        <rFont val="JRFonts"/>
        <charset val="134"/>
      </rPr>
      <t>03-07-2026 18:55</t>
    </r>
  </si>
  <si>
    <r>
      <rPr>
        <sz val="10"/>
        <color rgb="FF000000"/>
        <rFont val="JRFonts"/>
        <charset val="134"/>
      </rPr>
      <t>06-08-2026 17:30</t>
    </r>
  </si>
  <si>
    <t>19694</t>
  </si>
  <si>
    <r>
      <rPr>
        <sz val="10"/>
        <color rgb="FF0000FF"/>
        <rFont val="JRFonts"/>
        <charset val="134"/>
      </rPr>
      <t>19695</t>
    </r>
  </si>
  <si>
    <r>
      <rPr>
        <sz val="10"/>
        <color rgb="FF000000"/>
        <rFont val="JRFonts"/>
        <charset val="134"/>
      </rPr>
      <t>03-07-2026 18:58</t>
    </r>
  </si>
  <si>
    <r>
      <rPr>
        <sz val="10"/>
        <color rgb="FF000000"/>
        <rFont val="JRFonts"/>
        <charset val="134"/>
      </rPr>
      <t>29-07-2026 17:28</t>
    </r>
  </si>
  <si>
    <r>
      <rPr>
        <sz val="10"/>
        <color rgb="FF000000"/>
        <rFont val="JRFonts"/>
        <charset val="134"/>
      </rPr>
      <t>06-07-2026 11:15</t>
    </r>
  </si>
  <si>
    <t>19695</t>
  </si>
  <si>
    <r>
      <rPr>
        <sz val="10"/>
        <color rgb="FF0000FF"/>
        <rFont val="JRFonts"/>
        <charset val="134"/>
      </rPr>
      <t>19696</t>
    </r>
  </si>
  <si>
    <r>
      <rPr>
        <sz val="10"/>
        <color rgb="FF000000"/>
        <rFont val="JRFonts"/>
        <charset val="134"/>
      </rPr>
      <t>Somesh Landge</t>
    </r>
  </si>
  <si>
    <r>
      <rPr>
        <sz val="10"/>
        <color rgb="FF000000"/>
        <rFont val="JRFonts"/>
        <charset val="134"/>
      </rPr>
      <t>03-07-2026 19:04</t>
    </r>
  </si>
  <si>
    <r>
      <rPr>
        <sz val="10"/>
        <color rgb="FF000000"/>
        <rFont val="JRFonts"/>
        <charset val="134"/>
      </rPr>
      <t>06-07-2026 11:58</t>
    </r>
  </si>
  <si>
    <r>
      <rPr>
        <sz val="10"/>
        <color rgb="FF000000"/>
        <rFont val="JRFonts"/>
        <charset val="134"/>
      </rPr>
      <t>06-07-2026 10:17</t>
    </r>
  </si>
  <si>
    <r>
      <rPr>
        <sz val="10"/>
        <color rgb="FF0000FF"/>
        <rFont val="JRFonts"/>
        <charset val="134"/>
      </rPr>
      <t>19697</t>
    </r>
  </si>
  <si>
    <r>
      <rPr>
        <sz val="10"/>
        <color rgb="FF000000"/>
        <rFont val="JRFonts"/>
        <charset val="134"/>
      </rPr>
      <t>03-07-2026 19:13</t>
    </r>
  </si>
  <si>
    <r>
      <rPr>
        <sz val="10"/>
        <color rgb="FF000000"/>
        <rFont val="JRFonts"/>
        <charset val="134"/>
      </rPr>
      <t>09-07-2026 10:13</t>
    </r>
  </si>
  <si>
    <r>
      <rPr>
        <sz val="10"/>
        <color rgb="FF000000"/>
        <rFont val="JRFonts"/>
        <charset val="134"/>
      </rPr>
      <t>06-07-2026 11:16</t>
    </r>
  </si>
  <si>
    <t>19697</t>
  </si>
  <si>
    <r>
      <rPr>
        <sz val="10"/>
        <color rgb="FF0000FF"/>
        <rFont val="JRFonts"/>
        <charset val="134"/>
      </rPr>
      <t>19698</t>
    </r>
  </si>
  <si>
    <r>
      <rPr>
        <sz val="10"/>
        <color rgb="FF000000"/>
        <rFont val="JRFonts"/>
        <charset val="134"/>
      </rPr>
      <t>03-07-2026 20:02</t>
    </r>
  </si>
  <si>
    <r>
      <rPr>
        <sz val="10"/>
        <color rgb="FF000000"/>
        <rFont val="JRFonts"/>
        <charset val="134"/>
      </rPr>
      <t>06-07-2026 15:29</t>
    </r>
  </si>
  <si>
    <r>
      <rPr>
        <sz val="10"/>
        <color rgb="FF000000"/>
        <rFont val="JRFonts"/>
        <charset val="134"/>
      </rPr>
      <t>06-07-2026 10:19</t>
    </r>
  </si>
  <si>
    <r>
      <rPr>
        <sz val="10"/>
        <color rgb="FF0000FF"/>
        <rFont val="JRFonts"/>
        <charset val="134"/>
      </rPr>
      <t>19699</t>
    </r>
  </si>
  <si>
    <r>
      <rPr>
        <sz val="10"/>
        <color rgb="FF000000"/>
        <rFont val="JRFonts"/>
        <charset val="134"/>
      </rPr>
      <t>Infoneo</t>
    </r>
  </si>
  <si>
    <r>
      <rPr>
        <sz val="10"/>
        <color rgb="FF000000"/>
        <rFont val="JRFonts"/>
        <charset val="134"/>
      </rPr>
      <t>03-07-2026 21:36</t>
    </r>
  </si>
  <si>
    <r>
      <rPr>
        <sz val="10"/>
        <color rgb="FF000000"/>
        <rFont val="JRFonts"/>
        <charset val="134"/>
      </rPr>
      <t>05-07-2026 19:54</t>
    </r>
  </si>
  <si>
    <r>
      <rPr>
        <sz val="10"/>
        <color rgb="FF000000"/>
        <rFont val="JRFonts"/>
        <charset val="134"/>
      </rPr>
      <t>04-07-2026 10:17</t>
    </r>
  </si>
  <si>
    <r>
      <rPr>
        <sz val="10"/>
        <color rgb="FF0000FF"/>
        <rFont val="JRFonts"/>
        <charset val="134"/>
      </rPr>
      <t>19701</t>
    </r>
  </si>
  <si>
    <r>
      <rPr>
        <sz val="10"/>
        <color rgb="FF000000"/>
        <rFont val="JRFonts"/>
        <charset val="134"/>
      </rPr>
      <t>04-07-2026 10:25</t>
    </r>
  </si>
  <si>
    <r>
      <rPr>
        <sz val="10"/>
        <color rgb="FF000000"/>
        <rFont val="JRFonts"/>
        <charset val="134"/>
      </rPr>
      <t>06-07-2026 13:03</t>
    </r>
  </si>
  <si>
    <r>
      <rPr>
        <sz val="10"/>
        <color rgb="FF0000FF"/>
        <rFont val="JRFonts"/>
        <charset val="134"/>
      </rPr>
      <t>19703</t>
    </r>
  </si>
  <si>
    <r>
      <rPr>
        <sz val="10"/>
        <color rgb="FF000000"/>
        <rFont val="JRFonts"/>
        <charset val="134"/>
      </rPr>
      <t>04-07-2026 10:44</t>
    </r>
  </si>
  <si>
    <r>
      <rPr>
        <sz val="10"/>
        <color rgb="FF000000"/>
        <rFont val="JRFonts"/>
        <charset val="134"/>
      </rPr>
      <t>29-07-2026 17:26</t>
    </r>
  </si>
  <si>
    <r>
      <rPr>
        <sz val="10"/>
        <color rgb="FF000000"/>
        <rFont val="JRFonts"/>
        <charset val="134"/>
      </rPr>
      <t>06-07-2026 11:17</t>
    </r>
  </si>
  <si>
    <t>19703</t>
  </si>
  <si>
    <r>
      <rPr>
        <sz val="10"/>
        <color rgb="FF0000FF"/>
        <rFont val="JRFonts"/>
        <charset val="134"/>
      </rPr>
      <t>19706</t>
    </r>
  </si>
  <si>
    <r>
      <rPr>
        <sz val="10"/>
        <color rgb="FF000000"/>
        <rFont val="JRFonts"/>
        <charset val="134"/>
      </rPr>
      <t>04-07-2026 11:08</t>
    </r>
  </si>
  <si>
    <r>
      <rPr>
        <sz val="10"/>
        <color rgb="FF000000"/>
        <rFont val="JRFonts"/>
        <charset val="134"/>
      </rPr>
      <t>04-07-2026 14:39</t>
    </r>
  </si>
  <si>
    <r>
      <rPr>
        <sz val="10"/>
        <color rgb="FF000000"/>
        <rFont val="JRFonts"/>
        <charset val="134"/>
      </rPr>
      <t>04-07-2026 11:14</t>
    </r>
  </si>
  <si>
    <r>
      <rPr>
        <sz val="10"/>
        <color rgb="FF0000FF"/>
        <rFont val="JRFonts"/>
        <charset val="134"/>
      </rPr>
      <t>19707</t>
    </r>
  </si>
  <si>
    <r>
      <rPr>
        <sz val="10"/>
        <color rgb="FF000000"/>
        <rFont val="JRFonts"/>
        <charset val="134"/>
      </rPr>
      <t>04-07-2026 11:17</t>
    </r>
  </si>
  <si>
    <r>
      <rPr>
        <sz val="10"/>
        <color rgb="FF000000"/>
        <rFont val="JRFonts"/>
        <charset val="134"/>
      </rPr>
      <t>07-07-2026 12:16</t>
    </r>
  </si>
  <si>
    <r>
      <rPr>
        <sz val="10"/>
        <color rgb="FF000000"/>
        <rFont val="JRFonts"/>
        <charset val="134"/>
      </rPr>
      <t>06-07-2026 10:23</t>
    </r>
  </si>
  <si>
    <r>
      <rPr>
        <sz val="10"/>
        <color rgb="FF0000FF"/>
        <rFont val="JRFonts"/>
        <charset val="134"/>
      </rPr>
      <t>19708</t>
    </r>
  </si>
  <si>
    <r>
      <rPr>
        <sz val="10"/>
        <color rgb="FF000000"/>
        <rFont val="JRFonts"/>
        <charset val="134"/>
      </rPr>
      <t>04-07-2026 11:26</t>
    </r>
  </si>
  <si>
    <r>
      <rPr>
        <sz val="10"/>
        <color rgb="FF000000"/>
        <rFont val="JRFonts"/>
        <charset val="134"/>
      </rPr>
      <t>07-07-2026 11:23</t>
    </r>
  </si>
  <si>
    <r>
      <rPr>
        <sz val="10"/>
        <color rgb="FF000000"/>
        <rFont val="JRFonts"/>
        <charset val="134"/>
      </rPr>
      <t>06-07-2026 10:25</t>
    </r>
  </si>
  <si>
    <r>
      <rPr>
        <sz val="10"/>
        <color rgb="FF0000FF"/>
        <rFont val="JRFonts"/>
        <charset val="134"/>
      </rPr>
      <t>19715</t>
    </r>
  </si>
  <si>
    <r>
      <rPr>
        <sz val="10"/>
        <color rgb="FF000000"/>
        <rFont val="JRFonts"/>
        <charset val="134"/>
      </rPr>
      <t>04-07-2026 11:54</t>
    </r>
  </si>
  <si>
    <r>
      <rPr>
        <sz val="10"/>
        <color rgb="FF000000"/>
        <rFont val="JRFonts"/>
        <charset val="134"/>
      </rPr>
      <t>06-07-2026 18:10</t>
    </r>
  </si>
  <si>
    <r>
      <rPr>
        <sz val="10"/>
        <color rgb="FF000000"/>
        <rFont val="JRFonts"/>
        <charset val="134"/>
      </rPr>
      <t>06-07-2026 11:18</t>
    </r>
  </si>
  <si>
    <r>
      <rPr>
        <sz val="10"/>
        <color rgb="FF0000FF"/>
        <rFont val="JRFonts"/>
        <charset val="134"/>
      </rPr>
      <t>19718</t>
    </r>
  </si>
  <si>
    <r>
      <rPr>
        <sz val="10"/>
        <color rgb="FF000000"/>
        <rFont val="JRFonts"/>
        <charset val="134"/>
      </rPr>
      <t>04-07-2026 12:15</t>
    </r>
  </si>
  <si>
    <r>
      <rPr>
        <sz val="10"/>
        <color rgb="FF000000"/>
        <rFont val="JRFonts"/>
        <charset val="134"/>
      </rPr>
      <t>10-08-2026 10:19</t>
    </r>
  </si>
  <si>
    <t>19718</t>
  </si>
  <si>
    <r>
      <rPr>
        <sz val="10"/>
        <color rgb="FF0000FF"/>
        <rFont val="JRFonts"/>
        <charset val="134"/>
      </rPr>
      <t>19720</t>
    </r>
  </si>
  <si>
    <r>
      <rPr>
        <sz val="10"/>
        <color rgb="FF000000"/>
        <rFont val="JRFonts"/>
        <charset val="134"/>
      </rPr>
      <t>04-07-2026 12:28</t>
    </r>
  </si>
  <si>
    <r>
      <rPr>
        <sz val="10"/>
        <color rgb="FF000000"/>
        <rFont val="JRFonts"/>
        <charset val="134"/>
      </rPr>
      <t>06-08-2026 19:12</t>
    </r>
  </si>
  <si>
    <r>
      <rPr>
        <sz val="10"/>
        <color rgb="FF000000"/>
        <rFont val="JRFonts"/>
        <charset val="134"/>
      </rPr>
      <t>06-07-2026 11:19</t>
    </r>
  </si>
  <si>
    <t>19720</t>
  </si>
  <si>
    <r>
      <rPr>
        <sz val="10"/>
        <color rgb="FF0000FF"/>
        <rFont val="JRFonts"/>
        <charset val="134"/>
      </rPr>
      <t>19721</t>
    </r>
  </si>
  <si>
    <r>
      <rPr>
        <sz val="10"/>
        <color rgb="FF000000"/>
        <rFont val="JRFonts"/>
        <charset val="134"/>
      </rPr>
      <t>04-07-2026 12:31</t>
    </r>
  </si>
  <si>
    <r>
      <rPr>
        <sz val="10"/>
        <color rgb="FF000000"/>
        <rFont val="JRFonts"/>
        <charset val="134"/>
      </rPr>
      <t>04-07-2026 17:46</t>
    </r>
  </si>
  <si>
    <r>
      <rPr>
        <sz val="10"/>
        <color rgb="FF000000"/>
        <rFont val="JRFonts"/>
        <charset val="134"/>
      </rPr>
      <t>04-07-2026 13:28</t>
    </r>
  </si>
  <si>
    <r>
      <rPr>
        <sz val="10"/>
        <color rgb="FF0000FF"/>
        <rFont val="JRFonts"/>
        <charset val="134"/>
      </rPr>
      <t>19724</t>
    </r>
  </si>
  <si>
    <r>
      <rPr>
        <sz val="10"/>
        <color rgb="FF000000"/>
        <rFont val="JRFonts"/>
        <charset val="134"/>
      </rPr>
      <t>04-07-2026 12:55</t>
    </r>
  </si>
  <si>
    <r>
      <rPr>
        <sz val="10"/>
        <color rgb="FF000000"/>
        <rFont val="JRFonts"/>
        <charset val="134"/>
      </rPr>
      <t>15-07-2026 16:22</t>
    </r>
  </si>
  <si>
    <r>
      <rPr>
        <sz val="10"/>
        <color rgb="FF000000"/>
        <rFont val="JRFonts"/>
        <charset val="134"/>
      </rPr>
      <t>06-07-2026 10:30</t>
    </r>
  </si>
  <si>
    <t>19724</t>
  </si>
  <si>
    <r>
      <rPr>
        <sz val="10"/>
        <color rgb="FF0000FF"/>
        <rFont val="JRFonts"/>
        <charset val="134"/>
      </rPr>
      <t>19726</t>
    </r>
  </si>
  <si>
    <r>
      <rPr>
        <sz val="10"/>
        <color rgb="FF000000"/>
        <rFont val="JRFonts"/>
        <charset val="134"/>
      </rPr>
      <t>04-07-2026 13:35</t>
    </r>
  </si>
  <si>
    <r>
      <rPr>
        <sz val="10"/>
        <color rgb="FF000000"/>
        <rFont val="JRFonts"/>
        <charset val="134"/>
      </rPr>
      <t>30-09-2026 10:22</t>
    </r>
  </si>
  <si>
    <r>
      <rPr>
        <sz val="10"/>
        <color rgb="FF000000"/>
        <rFont val="JRFonts"/>
        <charset val="134"/>
      </rPr>
      <t>06-07-2026 11:20</t>
    </r>
  </si>
  <si>
    <t>19726</t>
  </si>
  <si>
    <r>
      <rPr>
        <sz val="10"/>
        <color rgb="FF0000FF"/>
        <rFont val="JRFonts"/>
        <charset val="134"/>
      </rPr>
      <t>19728</t>
    </r>
  </si>
  <si>
    <r>
      <rPr>
        <sz val="10"/>
        <color rgb="FF000000"/>
        <rFont val="JRFonts"/>
        <charset val="134"/>
      </rPr>
      <t>04-07-2026 13:53</t>
    </r>
  </si>
  <si>
    <r>
      <rPr>
        <sz val="10"/>
        <color rgb="FF000000"/>
        <rFont val="JRFonts"/>
        <charset val="134"/>
      </rPr>
      <t>05-07-2026 19:55</t>
    </r>
  </si>
  <si>
    <r>
      <rPr>
        <sz val="10"/>
        <color rgb="FF000000"/>
        <rFont val="JRFonts"/>
        <charset val="134"/>
      </rPr>
      <t>04-07-2026 14:05</t>
    </r>
  </si>
  <si>
    <r>
      <rPr>
        <sz val="10"/>
        <color rgb="FF0000FF"/>
        <rFont val="JRFonts"/>
        <charset val="134"/>
      </rPr>
      <t>19731</t>
    </r>
  </si>
  <si>
    <r>
      <rPr>
        <sz val="10"/>
        <color rgb="FF000000"/>
        <rFont val="JRFonts"/>
        <charset val="134"/>
      </rPr>
      <t>04-07-2026 14:48</t>
    </r>
  </si>
  <si>
    <r>
      <rPr>
        <sz val="10"/>
        <color rgb="FF000000"/>
        <rFont val="JRFonts"/>
        <charset val="134"/>
      </rPr>
      <t>06-08-2026 15:39</t>
    </r>
  </si>
  <si>
    <r>
      <rPr>
        <sz val="10"/>
        <color rgb="FF000000"/>
        <rFont val="JRFonts"/>
        <charset val="134"/>
      </rPr>
      <t>06-07-2026 11:33</t>
    </r>
  </si>
  <si>
    <t>19731</t>
  </si>
  <si>
    <r>
      <rPr>
        <sz val="10"/>
        <color rgb="FF0000FF"/>
        <rFont val="JRFonts"/>
        <charset val="134"/>
      </rPr>
      <t>19732</t>
    </r>
  </si>
  <si>
    <r>
      <rPr>
        <sz val="10"/>
        <color rgb="FF000000"/>
        <rFont val="JRFonts"/>
        <charset val="134"/>
      </rPr>
      <t>04-07-2026 15:09</t>
    </r>
  </si>
  <si>
    <r>
      <rPr>
        <sz val="10"/>
        <color rgb="FF000000"/>
        <rFont val="JRFonts"/>
        <charset val="134"/>
      </rPr>
      <t>06-07-2026 10:57</t>
    </r>
  </si>
  <si>
    <r>
      <rPr>
        <sz val="10"/>
        <color rgb="FF000000"/>
        <rFont val="JRFonts"/>
        <charset val="134"/>
      </rPr>
      <t>06-07-2026 10:32</t>
    </r>
  </si>
  <si>
    <r>
      <rPr>
        <sz val="10"/>
        <color rgb="FF0000FF"/>
        <rFont val="JRFonts"/>
        <charset val="134"/>
      </rPr>
      <t>19733</t>
    </r>
  </si>
  <si>
    <r>
      <rPr>
        <sz val="10"/>
        <color rgb="FF000000"/>
        <rFont val="JRFonts"/>
        <charset val="134"/>
      </rPr>
      <t>04-07-2026 15:21</t>
    </r>
  </si>
  <si>
    <r>
      <rPr>
        <sz val="10"/>
        <color rgb="FF000000"/>
        <rFont val="JRFonts"/>
        <charset val="134"/>
      </rPr>
      <t>08-07-2026 14:49</t>
    </r>
  </si>
  <si>
    <r>
      <rPr>
        <sz val="10"/>
        <color rgb="FF000000"/>
        <rFont val="JRFonts"/>
        <charset val="134"/>
      </rPr>
      <t>06-07-2026 10:34</t>
    </r>
  </si>
  <si>
    <t>19733</t>
  </si>
  <si>
    <r>
      <rPr>
        <sz val="10"/>
        <color rgb="FF0000FF"/>
        <rFont val="JRFonts"/>
        <charset val="134"/>
      </rPr>
      <t>19739</t>
    </r>
  </si>
  <si>
    <r>
      <rPr>
        <sz val="10"/>
        <color rgb="FF000000"/>
        <rFont val="JRFonts"/>
        <charset val="134"/>
      </rPr>
      <t>04-07-2026 15:46</t>
    </r>
  </si>
  <si>
    <r>
      <rPr>
        <sz val="10"/>
        <color rgb="FF000000"/>
        <rFont val="JRFonts"/>
        <charset val="134"/>
      </rPr>
      <t>06-07-2026 10:47</t>
    </r>
  </si>
  <si>
    <r>
      <rPr>
        <sz val="10"/>
        <color rgb="FF000000"/>
        <rFont val="JRFonts"/>
        <charset val="134"/>
      </rPr>
      <t>06-07-2026 10:35</t>
    </r>
  </si>
  <si>
    <r>
      <rPr>
        <sz val="10"/>
        <color rgb="FF0000FF"/>
        <rFont val="JRFonts"/>
        <charset val="134"/>
      </rPr>
      <t>19740</t>
    </r>
  </si>
  <si>
    <r>
      <rPr>
        <sz val="10"/>
        <color rgb="FF000000"/>
        <rFont val="JRFonts"/>
        <charset val="134"/>
      </rPr>
      <t>04-07-2026 15:58</t>
    </r>
  </si>
  <si>
    <r>
      <rPr>
        <sz val="10"/>
        <color rgb="FF000000"/>
        <rFont val="JRFonts"/>
        <charset val="134"/>
      </rPr>
      <t>07-07-2026 17:47</t>
    </r>
  </si>
  <si>
    <r>
      <rPr>
        <sz val="10"/>
        <color rgb="FF000000"/>
        <rFont val="JRFonts"/>
        <charset val="134"/>
      </rPr>
      <t>06-07-2026 10:36</t>
    </r>
  </si>
  <si>
    <t>19740</t>
  </si>
  <si>
    <r>
      <rPr>
        <sz val="10"/>
        <color rgb="FF0000FF"/>
        <rFont val="JRFonts"/>
        <charset val="134"/>
      </rPr>
      <t>19741</t>
    </r>
  </si>
  <si>
    <r>
      <rPr>
        <sz val="10"/>
        <color rgb="FF000000"/>
        <rFont val="JRFonts"/>
        <charset val="134"/>
      </rPr>
      <t>04-07-2026 16:23</t>
    </r>
  </si>
  <si>
    <r>
      <rPr>
        <sz val="10"/>
        <color rgb="FF000000"/>
        <rFont val="JRFonts"/>
        <charset val="134"/>
      </rPr>
      <t>07-07-2026 15:52</t>
    </r>
  </si>
  <si>
    <r>
      <rPr>
        <sz val="10"/>
        <color rgb="FF000000"/>
        <rFont val="JRFonts"/>
        <charset val="134"/>
      </rPr>
      <t>06-07-2026 10:38</t>
    </r>
  </si>
  <si>
    <t>19741</t>
  </si>
  <si>
    <r>
      <rPr>
        <sz val="10"/>
        <color rgb="FF0000FF"/>
        <rFont val="JRFonts"/>
        <charset val="134"/>
      </rPr>
      <t>19747</t>
    </r>
  </si>
  <si>
    <r>
      <rPr>
        <sz val="10"/>
        <color rgb="FF000000"/>
        <rFont val="JRFonts"/>
        <charset val="134"/>
      </rPr>
      <t>04-07-2026 17:08</t>
    </r>
  </si>
  <si>
    <r>
      <rPr>
        <sz val="10"/>
        <color rgb="FF000000"/>
        <rFont val="JRFonts"/>
        <charset val="134"/>
      </rPr>
      <t>08-07-2026 11:17</t>
    </r>
  </si>
  <si>
    <r>
      <rPr>
        <sz val="10"/>
        <color rgb="FF000000"/>
        <rFont val="JRFonts"/>
        <charset val="134"/>
      </rPr>
      <t>06-07-2026 10:39</t>
    </r>
  </si>
  <si>
    <t>19747</t>
  </si>
  <si>
    <r>
      <rPr>
        <sz val="10"/>
        <color rgb="FF0000FF"/>
        <rFont val="JRFonts"/>
        <charset val="134"/>
      </rPr>
      <t>19748</t>
    </r>
  </si>
  <si>
    <r>
      <rPr>
        <sz val="10"/>
        <color rgb="FF000000"/>
        <rFont val="JRFonts"/>
        <charset val="134"/>
      </rPr>
      <t>04-07-2026 17:14</t>
    </r>
  </si>
  <si>
    <r>
      <rPr>
        <sz val="10"/>
        <color rgb="FF000000"/>
        <rFont val="JRFonts"/>
        <charset val="134"/>
      </rPr>
      <t>11-08-2026 16:15</t>
    </r>
  </si>
  <si>
    <r>
      <rPr>
        <sz val="10"/>
        <color rgb="FF000000"/>
        <rFont val="JRFonts"/>
        <charset val="134"/>
      </rPr>
      <t>06-07-2026 15:04</t>
    </r>
  </si>
  <si>
    <t>19748</t>
  </si>
  <si>
    <r>
      <rPr>
        <sz val="10"/>
        <color rgb="FF0000FF"/>
        <rFont val="JRFonts"/>
        <charset val="134"/>
      </rPr>
      <t>19749</t>
    </r>
  </si>
  <si>
    <r>
      <rPr>
        <sz val="10"/>
        <color rgb="FF000000"/>
        <rFont val="JRFonts"/>
        <charset val="134"/>
      </rPr>
      <t>04-07-2026 17:20</t>
    </r>
  </si>
  <si>
    <r>
      <rPr>
        <sz val="10"/>
        <color rgb="FF000000"/>
        <rFont val="JRFonts"/>
        <charset val="134"/>
      </rPr>
      <t>06-08-2026 19:11</t>
    </r>
  </si>
  <si>
    <t>19749</t>
  </si>
  <si>
    <r>
      <rPr>
        <sz val="10"/>
        <color rgb="FF0000FF"/>
        <rFont val="JRFonts"/>
        <charset val="134"/>
      </rPr>
      <t>19751</t>
    </r>
  </si>
  <si>
    <r>
      <rPr>
        <sz val="10"/>
        <color rgb="FF000000"/>
        <rFont val="JRFonts"/>
        <charset val="134"/>
      </rPr>
      <t>06-07-2026 11:03</t>
    </r>
  </si>
  <si>
    <r>
      <rPr>
        <sz val="10"/>
        <color rgb="FF000000"/>
        <rFont val="JRFonts"/>
        <charset val="134"/>
      </rPr>
      <t>04-07-2026 17:23</t>
    </r>
  </si>
  <si>
    <r>
      <rPr>
        <sz val="10"/>
        <color rgb="FF0000FF"/>
        <rFont val="JRFonts"/>
        <charset val="134"/>
      </rPr>
      <t>19752</t>
    </r>
  </si>
  <si>
    <r>
      <rPr>
        <sz val="10"/>
        <color rgb="FF000000"/>
        <rFont val="JRFonts"/>
        <charset val="134"/>
      </rPr>
      <t>04-07-2026 17:24</t>
    </r>
  </si>
  <si>
    <r>
      <rPr>
        <sz val="10"/>
        <color rgb="FF000000"/>
        <rFont val="JRFonts"/>
        <charset val="134"/>
      </rPr>
      <t>07-07-2026 12:54</t>
    </r>
  </si>
  <si>
    <r>
      <rPr>
        <sz val="10"/>
        <color rgb="FF000000"/>
        <rFont val="JRFonts"/>
        <charset val="134"/>
      </rPr>
      <t>06-07-2026 11:25</t>
    </r>
  </si>
  <si>
    <r>
      <rPr>
        <sz val="10"/>
        <color rgb="FF0000FF"/>
        <rFont val="JRFonts"/>
        <charset val="134"/>
      </rPr>
      <t>19756</t>
    </r>
  </si>
  <si>
    <r>
      <rPr>
        <sz val="10"/>
        <color rgb="FF000000"/>
        <rFont val="JRFonts"/>
        <charset val="134"/>
      </rPr>
      <t>04-07-2026 18:06</t>
    </r>
  </si>
  <si>
    <r>
      <rPr>
        <sz val="10"/>
        <color rgb="FF000000"/>
        <rFont val="JRFonts"/>
        <charset val="134"/>
      </rPr>
      <t>06-08-2026 15:21</t>
    </r>
  </si>
  <si>
    <r>
      <rPr>
        <sz val="10"/>
        <color rgb="FF000000"/>
        <rFont val="JRFonts"/>
        <charset val="134"/>
      </rPr>
      <t>06-07-2026 11:26</t>
    </r>
  </si>
  <si>
    <t>19756</t>
  </si>
  <si>
    <r>
      <rPr>
        <sz val="10"/>
        <color rgb="FF0000FF"/>
        <rFont val="JRFonts"/>
        <charset val="134"/>
      </rPr>
      <t>19757</t>
    </r>
  </si>
  <si>
    <r>
      <rPr>
        <sz val="10"/>
        <color rgb="FF000000"/>
        <rFont val="JRFonts"/>
        <charset val="134"/>
      </rPr>
      <t>04-07-2026 18:22</t>
    </r>
  </si>
  <si>
    <r>
      <rPr>
        <sz val="10"/>
        <color rgb="FF000000"/>
        <rFont val="JRFonts"/>
        <charset val="134"/>
      </rPr>
      <t>12-08-2026 15:00</t>
    </r>
  </si>
  <si>
    <r>
      <rPr>
        <sz val="10"/>
        <color rgb="FF000000"/>
        <rFont val="JRFonts"/>
        <charset val="134"/>
      </rPr>
      <t>12-08-2026 14:47</t>
    </r>
  </si>
  <si>
    <r>
      <rPr>
        <sz val="10"/>
        <color rgb="FF0000FF"/>
        <rFont val="JRFonts"/>
        <charset val="134"/>
      </rPr>
      <t>19758</t>
    </r>
  </si>
  <si>
    <r>
      <rPr>
        <sz val="10"/>
        <color rgb="FF000000"/>
        <rFont val="JRFonts"/>
        <charset val="134"/>
      </rPr>
      <t>04-07-2026 18:37</t>
    </r>
  </si>
  <si>
    <r>
      <rPr>
        <sz val="10"/>
        <color rgb="FF000000"/>
        <rFont val="JRFonts"/>
        <charset val="134"/>
      </rPr>
      <t>07-07-2026 10:44</t>
    </r>
  </si>
  <si>
    <r>
      <rPr>
        <sz val="10"/>
        <color rgb="FF000000"/>
        <rFont val="JRFonts"/>
        <charset val="134"/>
      </rPr>
      <t>06-07-2026 15:05</t>
    </r>
  </si>
  <si>
    <r>
      <rPr>
        <sz val="10"/>
        <color rgb="FF0000FF"/>
        <rFont val="JRFonts"/>
        <charset val="134"/>
      </rPr>
      <t>19760</t>
    </r>
  </si>
  <si>
    <r>
      <rPr>
        <sz val="10"/>
        <color rgb="FF000000"/>
        <rFont val="JRFonts"/>
        <charset val="134"/>
      </rPr>
      <t>06-07-2026 15:22</t>
    </r>
  </si>
  <si>
    <r>
      <rPr>
        <sz val="10"/>
        <color rgb="FF000000"/>
        <rFont val="JRFonts"/>
        <charset val="134"/>
      </rPr>
      <t>06-07-2026 11:27</t>
    </r>
  </si>
  <si>
    <r>
      <rPr>
        <sz val="10"/>
        <color rgb="FF0000FF"/>
        <rFont val="JRFonts"/>
        <charset val="134"/>
      </rPr>
      <t>19761</t>
    </r>
  </si>
  <si>
    <r>
      <rPr>
        <sz val="10"/>
        <color rgb="FF000000"/>
        <rFont val="JRFonts"/>
        <charset val="134"/>
      </rPr>
      <t>07-07-2026 11:34</t>
    </r>
  </si>
  <si>
    <r>
      <rPr>
        <sz val="10"/>
        <color rgb="FF0000FF"/>
        <rFont val="JRFonts"/>
        <charset val="134"/>
      </rPr>
      <t>19762</t>
    </r>
  </si>
  <si>
    <r>
      <rPr>
        <sz val="10"/>
        <color rgb="FF000000"/>
        <rFont val="JRFonts"/>
        <charset val="134"/>
      </rPr>
      <t>07-07-2026 11:39</t>
    </r>
  </si>
  <si>
    <r>
      <rPr>
        <sz val="10"/>
        <color rgb="FF000000"/>
        <rFont val="JRFonts"/>
        <charset val="134"/>
      </rPr>
      <t>06-07-2026 11:29</t>
    </r>
  </si>
  <si>
    <r>
      <rPr>
        <sz val="10"/>
        <color rgb="FF0000FF"/>
        <rFont val="JRFonts"/>
        <charset val="134"/>
      </rPr>
      <t>19763</t>
    </r>
  </si>
  <si>
    <r>
      <rPr>
        <sz val="10"/>
        <color rgb="FF000000"/>
        <rFont val="JRFonts"/>
        <charset val="134"/>
      </rPr>
      <t>20-08-2026 18:18</t>
    </r>
  </si>
  <si>
    <r>
      <rPr>
        <sz val="10"/>
        <color rgb="FF000000"/>
        <rFont val="JRFonts"/>
        <charset val="134"/>
      </rPr>
      <t>06-07-2026 11:32</t>
    </r>
  </si>
  <si>
    <t>19763</t>
  </si>
  <si>
    <r>
      <rPr>
        <sz val="10"/>
        <color rgb="FF0000FF"/>
        <rFont val="JRFonts"/>
        <charset val="134"/>
      </rPr>
      <t>19764</t>
    </r>
  </si>
  <si>
    <r>
      <rPr>
        <sz val="10"/>
        <color rgb="FF000000"/>
        <rFont val="JRFonts"/>
        <charset val="134"/>
      </rPr>
      <t>06-07-2026 11:22</t>
    </r>
  </si>
  <si>
    <r>
      <rPr>
        <sz val="10"/>
        <color rgb="FF000000"/>
        <rFont val="JRFonts"/>
        <charset val="134"/>
      </rPr>
      <t>08-07-2026 16:14</t>
    </r>
  </si>
  <si>
    <r>
      <rPr>
        <sz val="10"/>
        <color rgb="FF000000"/>
        <rFont val="JRFonts"/>
        <charset val="134"/>
      </rPr>
      <t>06-07-2026 11:38</t>
    </r>
  </si>
  <si>
    <t>19764</t>
  </si>
  <si>
    <r>
      <rPr>
        <sz val="10"/>
        <color rgb="FF0000FF"/>
        <rFont val="JRFonts"/>
        <charset val="134"/>
      </rPr>
      <t>19765</t>
    </r>
  </si>
  <si>
    <r>
      <rPr>
        <sz val="10"/>
        <color rgb="FF000000"/>
        <rFont val="JRFonts"/>
        <charset val="134"/>
      </rPr>
      <t>06-07-2026 11:28</t>
    </r>
  </si>
  <si>
    <r>
      <rPr>
        <sz val="10"/>
        <color rgb="FF000000"/>
        <rFont val="JRFonts"/>
        <charset val="134"/>
      </rPr>
      <t>06-07-2026 11:53</t>
    </r>
  </si>
  <si>
    <r>
      <rPr>
        <sz val="10"/>
        <color rgb="FF000000"/>
        <rFont val="JRFonts"/>
        <charset val="134"/>
      </rPr>
      <t>06-07-2026 11:36</t>
    </r>
  </si>
  <si>
    <r>
      <rPr>
        <sz val="10"/>
        <color rgb="FF0000FF"/>
        <rFont val="JRFonts"/>
        <charset val="134"/>
      </rPr>
      <t>19766</t>
    </r>
  </si>
  <si>
    <r>
      <rPr>
        <sz val="10"/>
        <color rgb="FF000000"/>
        <rFont val="JRFonts"/>
        <charset val="134"/>
      </rPr>
      <t>07-07-2026 11:21</t>
    </r>
  </si>
  <si>
    <r>
      <rPr>
        <sz val="10"/>
        <color rgb="FF000000"/>
        <rFont val="JRFonts"/>
        <charset val="134"/>
      </rPr>
      <t>06-07-2026 11:44</t>
    </r>
  </si>
  <si>
    <r>
      <rPr>
        <sz val="10"/>
        <color rgb="FF0000FF"/>
        <rFont val="JRFonts"/>
        <charset val="134"/>
      </rPr>
      <t>19767</t>
    </r>
  </si>
  <si>
    <r>
      <rPr>
        <sz val="10"/>
        <color rgb="FF000000"/>
        <rFont val="JRFonts"/>
        <charset val="134"/>
      </rPr>
      <t>06-07-2026 17:19</t>
    </r>
  </si>
  <si>
    <r>
      <rPr>
        <sz val="10"/>
        <color rgb="FF000000"/>
        <rFont val="JRFonts"/>
        <charset val="134"/>
      </rPr>
      <t>06-07-2026 11:50</t>
    </r>
  </si>
  <si>
    <t>19767</t>
  </si>
  <si>
    <r>
      <rPr>
        <sz val="10"/>
        <color rgb="FF0000FF"/>
        <rFont val="JRFonts"/>
        <charset val="134"/>
      </rPr>
      <t>19768</t>
    </r>
  </si>
  <si>
    <r>
      <rPr>
        <sz val="10"/>
        <color rgb="FF000000"/>
        <rFont val="JRFonts"/>
        <charset val="134"/>
      </rPr>
      <t>06-07-2026 11:35</t>
    </r>
  </si>
  <si>
    <r>
      <rPr>
        <sz val="10"/>
        <color rgb="FF000000"/>
        <rFont val="JRFonts"/>
        <charset val="134"/>
      </rPr>
      <t>06-07-2026 17:58</t>
    </r>
  </si>
  <si>
    <r>
      <rPr>
        <sz val="10"/>
        <color rgb="FF0000FF"/>
        <rFont val="JRFonts"/>
        <charset val="134"/>
      </rPr>
      <t>19769</t>
    </r>
  </si>
  <si>
    <r>
      <rPr>
        <sz val="10"/>
        <color rgb="FF000000"/>
        <rFont val="JRFonts"/>
        <charset val="134"/>
      </rPr>
      <t>07-07-2026 18:02</t>
    </r>
  </si>
  <si>
    <r>
      <rPr>
        <sz val="10"/>
        <color rgb="FF000000"/>
        <rFont val="JRFonts"/>
        <charset val="134"/>
      </rPr>
      <t>06-07-2026 11:56</t>
    </r>
  </si>
  <si>
    <t>19769</t>
  </si>
  <si>
    <t>19771</t>
  </si>
  <si>
    <r>
      <rPr>
        <sz val="10"/>
        <color rgb="FF000000"/>
        <rFont val="JRFonts"/>
        <charset val="134"/>
      </rPr>
      <t>06-07-2026 11:47</t>
    </r>
  </si>
  <si>
    <r>
      <rPr>
        <sz val="10"/>
        <color rgb="FF000000"/>
        <rFont val="JRFonts"/>
        <charset val="134"/>
      </rPr>
      <t>07-07-2026 17:39</t>
    </r>
  </si>
  <si>
    <r>
      <rPr>
        <sz val="10"/>
        <color rgb="FF000000"/>
        <rFont val="JRFonts"/>
        <charset val="134"/>
      </rPr>
      <t>06-07-2026 12:07</t>
    </r>
  </si>
  <si>
    <r>
      <rPr>
        <sz val="10"/>
        <color rgb="FF0000FF"/>
        <rFont val="JRFonts"/>
        <charset val="134"/>
      </rPr>
      <t>19771</t>
    </r>
  </si>
  <si>
    <t>Business dependancy  for data / Clarification</t>
  </si>
  <si>
    <r>
      <rPr>
        <sz val="10"/>
        <color rgb="FF0000FF"/>
        <rFont val="JRFonts"/>
        <charset val="134"/>
      </rPr>
      <t>19772</t>
    </r>
  </si>
  <si>
    <r>
      <rPr>
        <sz val="10"/>
        <color rgb="FF000000"/>
        <rFont val="JRFonts"/>
        <charset val="134"/>
      </rPr>
      <t>16-07-2026 14:16</t>
    </r>
  </si>
  <si>
    <r>
      <rPr>
        <sz val="10"/>
        <color rgb="FF000000"/>
        <rFont val="JRFonts"/>
        <charset val="134"/>
      </rPr>
      <t>15-07-2026 11:09</t>
    </r>
  </si>
  <si>
    <r>
      <rPr>
        <sz val="10"/>
        <color rgb="FF0000FF"/>
        <rFont val="JRFonts"/>
        <charset val="134"/>
      </rPr>
      <t>19773</t>
    </r>
  </si>
  <si>
    <r>
      <rPr>
        <sz val="10"/>
        <color rgb="FF000000"/>
        <rFont val="JRFonts"/>
        <charset val="134"/>
      </rPr>
      <t>06-07-2026 11:59</t>
    </r>
  </si>
  <si>
    <r>
      <rPr>
        <sz val="10"/>
        <color rgb="FF000000"/>
        <rFont val="JRFonts"/>
        <charset val="134"/>
      </rPr>
      <t>07-07-2026 23:10</t>
    </r>
  </si>
  <si>
    <r>
      <rPr>
        <sz val="10"/>
        <color rgb="FF000000"/>
        <rFont val="JRFonts"/>
        <charset val="134"/>
      </rPr>
      <t>06-07-2026 12:16</t>
    </r>
  </si>
  <si>
    <t>19773</t>
  </si>
  <si>
    <r>
      <rPr>
        <sz val="10"/>
        <color rgb="FF0000FF"/>
        <rFont val="JRFonts"/>
        <charset val="134"/>
      </rPr>
      <t>19774</t>
    </r>
  </si>
  <si>
    <r>
      <rPr>
        <sz val="10"/>
        <color rgb="FF000000"/>
        <rFont val="JRFonts"/>
        <charset val="134"/>
      </rPr>
      <t>06-07-2026 12:12</t>
    </r>
  </si>
  <si>
    <r>
      <rPr>
        <sz val="10"/>
        <color rgb="FF000000"/>
        <rFont val="JRFonts"/>
        <charset val="134"/>
      </rPr>
      <t>07-07-2026 23:14</t>
    </r>
  </si>
  <si>
    <t>19774</t>
  </si>
  <si>
    <r>
      <rPr>
        <sz val="10"/>
        <color rgb="FF0000FF"/>
        <rFont val="JRFonts"/>
        <charset val="134"/>
      </rPr>
      <t>19775</t>
    </r>
  </si>
  <si>
    <r>
      <rPr>
        <sz val="10"/>
        <color rgb="FF000000"/>
        <rFont val="JRFonts"/>
        <charset val="134"/>
      </rPr>
      <t>06-07-2026 12:15</t>
    </r>
  </si>
  <si>
    <r>
      <rPr>
        <sz val="10"/>
        <color rgb="FF000000"/>
        <rFont val="JRFonts"/>
        <charset val="134"/>
      </rPr>
      <t>07-07-2026 23:15</t>
    </r>
  </si>
  <si>
    <r>
      <rPr>
        <sz val="10"/>
        <color rgb="FF000000"/>
        <rFont val="JRFonts"/>
        <charset val="134"/>
      </rPr>
      <t>06-07-2026 12:21</t>
    </r>
  </si>
  <si>
    <t>19775</t>
  </si>
  <si>
    <r>
      <rPr>
        <sz val="10"/>
        <color rgb="FF0000FF"/>
        <rFont val="JRFonts"/>
        <charset val="134"/>
      </rPr>
      <t>19776</t>
    </r>
  </si>
  <si>
    <r>
      <rPr>
        <sz val="10"/>
        <color rgb="FF000000"/>
        <rFont val="JRFonts"/>
        <charset val="134"/>
      </rPr>
      <t>29-07-2026 17:12</t>
    </r>
  </si>
  <si>
    <r>
      <rPr>
        <sz val="10"/>
        <color rgb="FF000000"/>
        <rFont val="JRFonts"/>
        <charset val="134"/>
      </rPr>
      <t>06-07-2026 12:18</t>
    </r>
  </si>
  <si>
    <t>19776</t>
  </si>
  <si>
    <r>
      <rPr>
        <sz val="10"/>
        <color rgb="FF0000FF"/>
        <rFont val="JRFonts"/>
        <charset val="134"/>
      </rPr>
      <t>19777</t>
    </r>
  </si>
  <si>
    <r>
      <rPr>
        <sz val="10"/>
        <color rgb="FF000000"/>
        <rFont val="JRFonts"/>
        <charset val="134"/>
      </rPr>
      <t>06-07-2026 12:24</t>
    </r>
  </si>
  <si>
    <r>
      <rPr>
        <sz val="10"/>
        <color rgb="FF000000"/>
        <rFont val="JRFonts"/>
        <charset val="134"/>
      </rPr>
      <t>06-07-2026 17:41</t>
    </r>
  </si>
  <si>
    <r>
      <rPr>
        <sz val="10"/>
        <color rgb="FF000000"/>
        <rFont val="JRFonts"/>
        <charset val="134"/>
      </rPr>
      <t>06-07-2026 12:34</t>
    </r>
  </si>
  <si>
    <r>
      <rPr>
        <sz val="10"/>
        <color rgb="FF0000FF"/>
        <rFont val="JRFonts"/>
        <charset val="134"/>
      </rPr>
      <t>19779</t>
    </r>
  </si>
  <si>
    <r>
      <rPr>
        <sz val="10"/>
        <color rgb="FF000000"/>
        <rFont val="JRFonts"/>
        <charset val="134"/>
      </rPr>
      <t>Credit Guarantee Scheme for MFIs (CGSMFI)</t>
    </r>
  </si>
  <si>
    <r>
      <rPr>
        <sz val="10"/>
        <color rgb="FF000000"/>
        <rFont val="JRFonts"/>
        <charset val="134"/>
      </rPr>
      <t>06-07-2026 12:40</t>
    </r>
  </si>
  <si>
    <r>
      <rPr>
        <sz val="10"/>
        <color rgb="FF000000"/>
        <rFont val="JRFonts"/>
        <charset val="134"/>
      </rPr>
      <t>06-07-2026 14:20</t>
    </r>
  </si>
  <si>
    <r>
      <rPr>
        <sz val="10"/>
        <color rgb="FF000000"/>
        <rFont val="JRFonts"/>
        <charset val="134"/>
      </rPr>
      <t>06-07-2026 12:45</t>
    </r>
  </si>
  <si>
    <r>
      <rPr>
        <sz val="10"/>
        <color rgb="FF0000FF"/>
        <rFont val="JRFonts"/>
        <charset val="134"/>
      </rPr>
      <t>19780</t>
    </r>
  </si>
  <si>
    <r>
      <rPr>
        <sz val="10"/>
        <color rgb="FF000000"/>
        <rFont val="JRFonts"/>
        <charset val="134"/>
      </rPr>
      <t>06-07-2026 12:52</t>
    </r>
  </si>
  <si>
    <r>
      <rPr>
        <sz val="10"/>
        <color rgb="FF000000"/>
        <rFont val="JRFonts"/>
        <charset val="134"/>
      </rPr>
      <t>07-07-2026 16:18</t>
    </r>
  </si>
  <si>
    <r>
      <rPr>
        <sz val="10"/>
        <color rgb="FF000000"/>
        <rFont val="JRFonts"/>
        <charset val="134"/>
      </rPr>
      <t>06-07-2026 12:57</t>
    </r>
  </si>
  <si>
    <r>
      <rPr>
        <sz val="10"/>
        <color rgb="FF0000FF"/>
        <rFont val="JRFonts"/>
        <charset val="134"/>
      </rPr>
      <t>19781</t>
    </r>
  </si>
  <si>
    <r>
      <rPr>
        <sz val="10"/>
        <color rgb="FF000000"/>
        <rFont val="JRFonts"/>
        <charset val="134"/>
      </rPr>
      <t>06-07-2026 13:01</t>
    </r>
  </si>
  <si>
    <r>
      <rPr>
        <sz val="10"/>
        <color rgb="FF000000"/>
        <rFont val="JRFonts"/>
        <charset val="134"/>
      </rPr>
      <t>06-07-2026 14:29</t>
    </r>
  </si>
  <si>
    <r>
      <rPr>
        <sz val="10"/>
        <color rgb="FF000000"/>
        <rFont val="JRFonts"/>
        <charset val="134"/>
      </rPr>
      <t>06-07-2026 14:23</t>
    </r>
  </si>
  <si>
    <r>
      <rPr>
        <sz val="10"/>
        <color rgb="FF0000FF"/>
        <rFont val="JRFonts"/>
        <charset val="134"/>
      </rPr>
      <t>19782</t>
    </r>
  </si>
  <si>
    <r>
      <rPr>
        <sz val="10"/>
        <color rgb="FF000000"/>
        <rFont val="JRFonts"/>
        <charset val="134"/>
      </rPr>
      <t>06-07-2026 13:04</t>
    </r>
  </si>
  <si>
    <r>
      <rPr>
        <sz val="10"/>
        <color rgb="FF000000"/>
        <rFont val="JRFonts"/>
        <charset val="134"/>
      </rPr>
      <t>07-07-2026 12:51</t>
    </r>
  </si>
  <si>
    <r>
      <rPr>
        <sz val="10"/>
        <color rgb="FF000000"/>
        <rFont val="JRFonts"/>
        <charset val="134"/>
      </rPr>
      <t>06-07-2026 14:24</t>
    </r>
  </si>
  <si>
    <r>
      <rPr>
        <sz val="10"/>
        <color rgb="FF0000FF"/>
        <rFont val="JRFonts"/>
        <charset val="134"/>
      </rPr>
      <t>19783</t>
    </r>
  </si>
  <si>
    <r>
      <rPr>
        <sz val="10"/>
        <color rgb="FF000000"/>
        <rFont val="JRFonts"/>
        <charset val="134"/>
      </rPr>
      <t>06-07-2026 13:07</t>
    </r>
  </si>
  <si>
    <r>
      <rPr>
        <sz val="10"/>
        <color rgb="FF000000"/>
        <rFont val="JRFonts"/>
        <charset val="134"/>
      </rPr>
      <t>06-07-2026 14:42</t>
    </r>
  </si>
  <si>
    <r>
      <rPr>
        <sz val="10"/>
        <color rgb="FF000000"/>
        <rFont val="JRFonts"/>
        <charset val="134"/>
      </rPr>
      <t>06-07-2026 14:09</t>
    </r>
  </si>
  <si>
    <r>
      <rPr>
        <sz val="10"/>
        <color rgb="FF0000FF"/>
        <rFont val="JRFonts"/>
        <charset val="134"/>
      </rPr>
      <t>19785</t>
    </r>
  </si>
  <si>
    <r>
      <rPr>
        <sz val="10"/>
        <color rgb="FF000000"/>
        <rFont val="JRFonts"/>
        <charset val="134"/>
      </rPr>
      <t>06-07-2026 13:10</t>
    </r>
  </si>
  <si>
    <r>
      <rPr>
        <sz val="10"/>
        <color rgb="FF000000"/>
        <rFont val="JRFonts"/>
        <charset val="134"/>
      </rPr>
      <t>06-07-2026 16:43</t>
    </r>
  </si>
  <si>
    <r>
      <rPr>
        <sz val="10"/>
        <color rgb="FF000000"/>
        <rFont val="JRFonts"/>
        <charset val="134"/>
      </rPr>
      <t>06-07-2026 14:25</t>
    </r>
  </si>
  <si>
    <r>
      <rPr>
        <sz val="10"/>
        <color rgb="FF0000FF"/>
        <rFont val="JRFonts"/>
        <charset val="134"/>
      </rPr>
      <t>19786</t>
    </r>
  </si>
  <si>
    <r>
      <rPr>
        <sz val="10"/>
        <color rgb="FF000000"/>
        <rFont val="JRFonts"/>
        <charset val="134"/>
      </rPr>
      <t>28-07-2026 17:27</t>
    </r>
  </si>
  <si>
    <r>
      <rPr>
        <sz val="10"/>
        <color rgb="FF000000"/>
        <rFont val="JRFonts"/>
        <charset val="134"/>
      </rPr>
      <t>06-07-2026 14:11</t>
    </r>
  </si>
  <si>
    <t>19786</t>
  </si>
  <si>
    <r>
      <rPr>
        <sz val="10"/>
        <color rgb="FF0000FF"/>
        <rFont val="JRFonts"/>
        <charset val="134"/>
      </rPr>
      <t>19788</t>
    </r>
  </si>
  <si>
    <r>
      <rPr>
        <sz val="10"/>
        <color rgb="FF000000"/>
        <rFont val="JRFonts"/>
        <charset val="134"/>
      </rPr>
      <t>Mutual Credit Guarantee Scheme for MSMEs (MCGS-MSME)</t>
    </r>
  </si>
  <si>
    <r>
      <rPr>
        <sz val="10"/>
        <color rgb="FF000000"/>
        <rFont val="JRFonts"/>
        <charset val="134"/>
      </rPr>
      <t>06-07-2026 13:16</t>
    </r>
  </si>
  <si>
    <r>
      <rPr>
        <sz val="10"/>
        <color rgb="FF000000"/>
        <rFont val="JRFonts"/>
        <charset val="134"/>
      </rPr>
      <t>07-07-2026 16:12</t>
    </r>
  </si>
  <si>
    <r>
      <rPr>
        <sz val="10"/>
        <color rgb="FF000000"/>
        <rFont val="JRFonts"/>
        <charset val="134"/>
      </rPr>
      <t>06-07-2026 14:13</t>
    </r>
  </si>
  <si>
    <r>
      <rPr>
        <sz val="10"/>
        <color rgb="FF0000FF"/>
        <rFont val="JRFonts"/>
        <charset val="134"/>
      </rPr>
      <t>19789</t>
    </r>
  </si>
  <si>
    <r>
      <rPr>
        <sz val="10"/>
        <color rgb="FF000000"/>
        <rFont val="JRFonts"/>
        <charset val="134"/>
      </rPr>
      <t>06-07-2026 13:38</t>
    </r>
  </si>
  <si>
    <r>
      <rPr>
        <sz val="10"/>
        <color rgb="FF000000"/>
        <rFont val="JRFonts"/>
        <charset val="134"/>
      </rPr>
      <t>08-07-2026 16:03</t>
    </r>
  </si>
  <si>
    <r>
      <rPr>
        <sz val="10"/>
        <color rgb="FF000000"/>
        <rFont val="JRFonts"/>
        <charset val="134"/>
      </rPr>
      <t>06-07-2026 14:14</t>
    </r>
  </si>
  <si>
    <t>Initial request resolved within SLA - MLI has reopened ticket with new request</t>
  </si>
  <si>
    <r>
      <rPr>
        <sz val="10"/>
        <color rgb="FF0000FF"/>
        <rFont val="JRFonts"/>
        <charset val="134"/>
      </rPr>
      <t>19790</t>
    </r>
  </si>
  <si>
    <r>
      <rPr>
        <sz val="10"/>
        <color rgb="FF000000"/>
        <rFont val="JRFonts"/>
        <charset val="134"/>
      </rPr>
      <t>06-07-2026 13:41</t>
    </r>
  </si>
  <si>
    <r>
      <rPr>
        <sz val="10"/>
        <color rgb="FF000000"/>
        <rFont val="JRFonts"/>
        <charset val="134"/>
      </rPr>
      <t>06-07-2026 18:39</t>
    </r>
  </si>
  <si>
    <r>
      <rPr>
        <sz val="10"/>
        <color rgb="FF0000FF"/>
        <rFont val="JRFonts"/>
        <charset val="134"/>
      </rPr>
      <t>19793</t>
    </r>
  </si>
  <si>
    <r>
      <rPr>
        <sz val="10"/>
        <color rgb="FF000000"/>
        <rFont val="JRFonts"/>
        <charset val="134"/>
      </rPr>
      <t>06-07-2026 14:08</t>
    </r>
  </si>
  <si>
    <r>
      <rPr>
        <sz val="10"/>
        <color rgb="FF000000"/>
        <rFont val="JRFonts"/>
        <charset val="134"/>
      </rPr>
      <t>07-07-2026 14:10</t>
    </r>
  </si>
  <si>
    <r>
      <rPr>
        <sz val="10"/>
        <color rgb="FF000000"/>
        <rFont val="JRFonts"/>
        <charset val="134"/>
      </rPr>
      <t>07-07-2026 12:34</t>
    </r>
  </si>
  <si>
    <r>
      <rPr>
        <sz val="10"/>
        <color rgb="FF0000FF"/>
        <rFont val="JRFonts"/>
        <charset val="134"/>
      </rPr>
      <t>19795</t>
    </r>
  </si>
  <si>
    <r>
      <rPr>
        <sz val="10"/>
        <color rgb="FF000000"/>
        <rFont val="JRFonts"/>
        <charset val="134"/>
      </rPr>
      <t>30-07-2026 18:29</t>
    </r>
  </si>
  <si>
    <r>
      <rPr>
        <sz val="10"/>
        <color rgb="FF000000"/>
        <rFont val="JRFonts"/>
        <charset val="134"/>
      </rPr>
      <t>06-07-2026 15:21</t>
    </r>
  </si>
  <si>
    <t>19795</t>
  </si>
  <si>
    <r>
      <rPr>
        <sz val="10"/>
        <color rgb="FF0000FF"/>
        <rFont val="JRFonts"/>
        <charset val="134"/>
      </rPr>
      <t>19797</t>
    </r>
  </si>
  <si>
    <r>
      <rPr>
        <sz val="10"/>
        <color rgb="FF000000"/>
        <rFont val="JRFonts"/>
        <charset val="134"/>
      </rPr>
      <t>06-07-2026 14:33</t>
    </r>
  </si>
  <si>
    <r>
      <rPr>
        <sz val="10"/>
        <color rgb="FF000000"/>
        <rFont val="JRFonts"/>
        <charset val="134"/>
      </rPr>
      <t>07-07-2026 17:45</t>
    </r>
  </si>
  <si>
    <r>
      <rPr>
        <sz val="10"/>
        <color rgb="FF000000"/>
        <rFont val="JRFonts"/>
        <charset val="134"/>
      </rPr>
      <t>06-07-2026 15:23</t>
    </r>
  </si>
  <si>
    <r>
      <rPr>
        <sz val="10"/>
        <color rgb="FF0000FF"/>
        <rFont val="JRFonts"/>
        <charset val="134"/>
      </rPr>
      <t>19798</t>
    </r>
  </si>
  <si>
    <r>
      <rPr>
        <sz val="10"/>
        <color rgb="FF000000"/>
        <rFont val="JRFonts"/>
        <charset val="134"/>
      </rPr>
      <t>07-07-2026 23:16</t>
    </r>
  </si>
  <si>
    <r>
      <rPr>
        <sz val="10"/>
        <color rgb="FF000000"/>
        <rFont val="JRFonts"/>
        <charset val="134"/>
      </rPr>
      <t>06-07-2026 15:27</t>
    </r>
  </si>
  <si>
    <t>19798</t>
  </si>
  <si>
    <r>
      <rPr>
        <sz val="10"/>
        <color rgb="FF0000FF"/>
        <rFont val="JRFonts"/>
        <charset val="134"/>
      </rPr>
      <t>19799</t>
    </r>
  </si>
  <si>
    <r>
      <rPr>
        <sz val="10"/>
        <color rgb="FF000000"/>
        <rFont val="JRFonts"/>
        <charset val="134"/>
      </rPr>
      <t>06-07-2026 14:51</t>
    </r>
  </si>
  <si>
    <r>
      <rPr>
        <sz val="10"/>
        <color rgb="FF000000"/>
        <rFont val="JRFonts"/>
        <charset val="134"/>
      </rPr>
      <t>29-07-2026 17:11</t>
    </r>
  </si>
  <si>
    <t>19799</t>
  </si>
  <si>
    <r>
      <rPr>
        <sz val="10"/>
        <color rgb="FF0000FF"/>
        <rFont val="JRFonts"/>
        <charset val="134"/>
      </rPr>
      <t>19800</t>
    </r>
  </si>
  <si>
    <r>
      <rPr>
        <sz val="10"/>
        <color rgb="FF000000"/>
        <rFont val="JRFonts"/>
        <charset val="134"/>
      </rPr>
      <t>06-07-2026 15:00</t>
    </r>
  </si>
  <si>
    <r>
      <rPr>
        <sz val="10"/>
        <color rgb="FF000000"/>
        <rFont val="JRFonts"/>
        <charset val="134"/>
      </rPr>
      <t>08-07-2026 11:15</t>
    </r>
  </si>
  <si>
    <r>
      <rPr>
        <sz val="10"/>
        <color rgb="FF000000"/>
        <rFont val="JRFonts"/>
        <charset val="134"/>
      </rPr>
      <t>06-07-2026 15:24</t>
    </r>
  </si>
  <si>
    <r>
      <rPr>
        <sz val="10"/>
        <color rgb="FF0000FF"/>
        <rFont val="JRFonts"/>
        <charset val="134"/>
      </rPr>
      <t>19802</t>
    </r>
  </si>
  <si>
    <r>
      <rPr>
        <sz val="10"/>
        <color rgb="FF000000"/>
        <rFont val="JRFonts"/>
        <charset val="134"/>
      </rPr>
      <t>06-07-2026 15:15</t>
    </r>
  </si>
  <si>
    <r>
      <rPr>
        <sz val="10"/>
        <color rgb="FF000000"/>
        <rFont val="JRFonts"/>
        <charset val="134"/>
      </rPr>
      <t>11-08-2026 13:03</t>
    </r>
  </si>
  <si>
    <r>
      <rPr>
        <sz val="10"/>
        <color rgb="FF000000"/>
        <rFont val="JRFonts"/>
        <charset val="134"/>
      </rPr>
      <t>06-07-2026 15:30</t>
    </r>
  </si>
  <si>
    <t>19802</t>
  </si>
  <si>
    <r>
      <rPr>
        <sz val="10"/>
        <color rgb="FF0000FF"/>
        <rFont val="JRFonts"/>
        <charset val="134"/>
      </rPr>
      <t>19803</t>
    </r>
  </si>
  <si>
    <r>
      <rPr>
        <sz val="10"/>
        <color rgb="FF000000"/>
        <rFont val="JRFonts"/>
        <charset val="134"/>
      </rPr>
      <t>06-07-2026 15:34</t>
    </r>
  </si>
  <si>
    <r>
      <rPr>
        <sz val="10"/>
        <color rgb="FF000000"/>
        <rFont val="JRFonts"/>
        <charset val="134"/>
      </rPr>
      <t>15-07-2026 12:21</t>
    </r>
  </si>
  <si>
    <r>
      <rPr>
        <sz val="10"/>
        <color rgb="FF000000"/>
        <rFont val="JRFonts"/>
        <charset val="134"/>
      </rPr>
      <t>06-07-2026 15:43</t>
    </r>
  </si>
  <si>
    <t>Priority got updated form P4 to P1  and resolved within SLA post approval received from IT team</t>
  </si>
  <si>
    <r>
      <rPr>
        <sz val="10"/>
        <color rgb="FF0000FF"/>
        <rFont val="JRFonts"/>
        <charset val="134"/>
      </rPr>
      <t>19804</t>
    </r>
  </si>
  <si>
    <r>
      <rPr>
        <sz val="10"/>
        <color rgb="FF000000"/>
        <rFont val="JRFonts"/>
        <charset val="134"/>
      </rPr>
      <t>06-07-2026 15:37</t>
    </r>
  </si>
  <si>
    <r>
      <rPr>
        <sz val="10"/>
        <color rgb="FF000000"/>
        <rFont val="JRFonts"/>
        <charset val="134"/>
      </rPr>
      <t>06-07-2026 16:46</t>
    </r>
  </si>
  <si>
    <r>
      <rPr>
        <sz val="10"/>
        <color rgb="FF000000"/>
        <rFont val="JRFonts"/>
        <charset val="134"/>
      </rPr>
      <t>06-07-2026 15:44</t>
    </r>
  </si>
  <si>
    <r>
      <rPr>
        <sz val="10"/>
        <color rgb="FF0000FF"/>
        <rFont val="JRFonts"/>
        <charset val="134"/>
      </rPr>
      <t>19807</t>
    </r>
  </si>
  <si>
    <r>
      <rPr>
        <sz val="10"/>
        <color rgb="FF000000"/>
        <rFont val="JRFonts"/>
        <charset val="134"/>
      </rPr>
      <t>06-07-2026 15:59</t>
    </r>
  </si>
  <si>
    <r>
      <rPr>
        <sz val="10"/>
        <color rgb="FF000000"/>
        <rFont val="JRFonts"/>
        <charset val="134"/>
      </rPr>
      <t>07-07-2026 10:24</t>
    </r>
  </si>
  <si>
    <r>
      <rPr>
        <sz val="10"/>
        <color rgb="FF000000"/>
        <rFont val="JRFonts"/>
        <charset val="134"/>
      </rPr>
      <t>06-07-2026 16:04</t>
    </r>
  </si>
  <si>
    <r>
      <rPr>
        <sz val="10"/>
        <color rgb="FF0000FF"/>
        <rFont val="JRFonts"/>
        <charset val="134"/>
      </rPr>
      <t>19808</t>
    </r>
  </si>
  <si>
    <r>
      <rPr>
        <sz val="10"/>
        <color rgb="FF000000"/>
        <rFont val="JRFonts"/>
        <charset val="134"/>
      </rPr>
      <t>06-07-2026 16:02</t>
    </r>
  </si>
  <si>
    <r>
      <rPr>
        <sz val="10"/>
        <color rgb="FF000000"/>
        <rFont val="JRFonts"/>
        <charset val="134"/>
      </rPr>
      <t>06-07-2026 17:38</t>
    </r>
  </si>
  <si>
    <r>
      <rPr>
        <sz val="10"/>
        <color rgb="FF000000"/>
        <rFont val="JRFonts"/>
        <charset val="134"/>
      </rPr>
      <t>06-07-2026 16:08</t>
    </r>
  </si>
  <si>
    <r>
      <rPr>
        <sz val="10"/>
        <color rgb="FF0000FF"/>
        <rFont val="JRFonts"/>
        <charset val="134"/>
      </rPr>
      <t>19809</t>
    </r>
  </si>
  <si>
    <r>
      <rPr>
        <sz val="10"/>
        <color rgb="FF000000"/>
        <rFont val="JRFonts"/>
        <charset val="134"/>
      </rPr>
      <t>06-07-2026 16:11</t>
    </r>
  </si>
  <si>
    <r>
      <rPr>
        <sz val="10"/>
        <color rgb="FF000000"/>
        <rFont val="JRFonts"/>
        <charset val="134"/>
      </rPr>
      <t>06-07-2026 17:11</t>
    </r>
  </si>
  <si>
    <r>
      <rPr>
        <sz val="10"/>
        <color rgb="FF000000"/>
        <rFont val="JRFonts"/>
        <charset val="134"/>
      </rPr>
      <t>06-07-2026 16:15</t>
    </r>
  </si>
  <si>
    <r>
      <rPr>
        <sz val="10"/>
        <color rgb="FF0000FF"/>
        <rFont val="JRFonts"/>
        <charset val="134"/>
      </rPr>
      <t>19810</t>
    </r>
  </si>
  <si>
    <r>
      <rPr>
        <sz val="10"/>
        <color rgb="FF000000"/>
        <rFont val="JRFonts"/>
        <charset val="134"/>
      </rPr>
      <t>06-07-2026 16:20</t>
    </r>
  </si>
  <si>
    <r>
      <rPr>
        <sz val="10"/>
        <color rgb="FF000000"/>
        <rFont val="JRFonts"/>
        <charset val="134"/>
      </rPr>
      <t>06-07-2026 17:30</t>
    </r>
  </si>
  <si>
    <r>
      <rPr>
        <sz val="10"/>
        <color rgb="FF000000"/>
        <rFont val="JRFonts"/>
        <charset val="134"/>
      </rPr>
      <t>06-07-2026 16:26</t>
    </r>
  </si>
  <si>
    <r>
      <rPr>
        <sz val="10"/>
        <color rgb="FF0000FF"/>
        <rFont val="JRFonts"/>
        <charset val="134"/>
      </rPr>
      <t>19813</t>
    </r>
  </si>
  <si>
    <r>
      <rPr>
        <sz val="10"/>
        <color rgb="FF000000"/>
        <rFont val="JRFonts"/>
        <charset val="134"/>
      </rPr>
      <t>06-07-2026 17:00</t>
    </r>
  </si>
  <si>
    <r>
      <rPr>
        <sz val="10"/>
        <color rgb="FF000000"/>
        <rFont val="JRFonts"/>
        <charset val="134"/>
      </rPr>
      <t>06-07-2026 17:31</t>
    </r>
  </si>
  <si>
    <r>
      <rPr>
        <sz val="10"/>
        <color rgb="FF000000"/>
        <rFont val="JRFonts"/>
        <charset val="134"/>
      </rPr>
      <t>06-07-2026 17:05</t>
    </r>
  </si>
  <si>
    <r>
      <rPr>
        <sz val="10"/>
        <color rgb="FF0000FF"/>
        <rFont val="JRFonts"/>
        <charset val="134"/>
      </rPr>
      <t>19815</t>
    </r>
  </si>
  <si>
    <r>
      <rPr>
        <sz val="10"/>
        <color rgb="FF000000"/>
        <rFont val="JRFonts"/>
        <charset val="134"/>
      </rPr>
      <t>06-07-2026 17:12</t>
    </r>
  </si>
  <si>
    <r>
      <rPr>
        <sz val="10"/>
        <color rgb="FF000000"/>
        <rFont val="JRFonts"/>
        <charset val="134"/>
      </rPr>
      <t>06-07-2026 18:12</t>
    </r>
  </si>
  <si>
    <r>
      <rPr>
        <sz val="10"/>
        <color rgb="FF000000"/>
        <rFont val="JRFonts"/>
        <charset val="134"/>
      </rPr>
      <t>06-07-2026 17:34</t>
    </r>
  </si>
  <si>
    <r>
      <rPr>
        <sz val="10"/>
        <color rgb="FF0000FF"/>
        <rFont val="JRFonts"/>
        <charset val="134"/>
      </rPr>
      <t>19823</t>
    </r>
  </si>
  <si>
    <r>
      <rPr>
        <sz val="10"/>
        <color rgb="FF000000"/>
        <rFont val="JRFonts"/>
        <charset val="134"/>
      </rPr>
      <t>06-07-2026 18:32</t>
    </r>
  </si>
  <si>
    <r>
      <rPr>
        <sz val="10"/>
        <color rgb="FF000000"/>
        <rFont val="JRFonts"/>
        <charset val="134"/>
      </rPr>
      <t>07-07-2026 10:14</t>
    </r>
  </si>
  <si>
    <r>
      <rPr>
        <sz val="10"/>
        <color rgb="FF000000"/>
        <rFont val="JRFonts"/>
        <charset val="134"/>
      </rPr>
      <t>06-07-2026 18:38</t>
    </r>
  </si>
  <si>
    <r>
      <rPr>
        <sz val="10"/>
        <color rgb="FF0000FF"/>
        <rFont val="JRFonts"/>
        <charset val="134"/>
      </rPr>
      <t>19827</t>
    </r>
  </si>
  <si>
    <r>
      <rPr>
        <sz val="10"/>
        <color rgb="FF000000"/>
        <rFont val="JRFonts"/>
        <charset val="134"/>
      </rPr>
      <t>06-07-2026 18:59</t>
    </r>
  </si>
  <si>
    <r>
      <rPr>
        <sz val="10"/>
        <color rgb="FF000000"/>
        <rFont val="JRFonts"/>
        <charset val="134"/>
      </rPr>
      <t>11-08-2026 14:05</t>
    </r>
  </si>
  <si>
    <r>
      <rPr>
        <sz val="10"/>
        <color rgb="FF000000"/>
        <rFont val="JRFonts"/>
        <charset val="134"/>
      </rPr>
      <t>07-07-2026 10:10</t>
    </r>
  </si>
  <si>
    <t>19827</t>
  </si>
  <si>
    <r>
      <rPr>
        <sz val="10"/>
        <color rgb="FF0000FF"/>
        <rFont val="JRFonts"/>
        <charset val="134"/>
      </rPr>
      <t>19831</t>
    </r>
  </si>
  <si>
    <r>
      <rPr>
        <sz val="10"/>
        <color rgb="FF000000"/>
        <rFont val="JRFonts"/>
        <charset val="134"/>
      </rPr>
      <t>07-07-2026 10:30</t>
    </r>
  </si>
  <si>
    <r>
      <rPr>
        <sz val="10"/>
        <color rgb="FF000000"/>
        <rFont val="JRFonts"/>
        <charset val="134"/>
      </rPr>
      <t>07-07-2026 12:21</t>
    </r>
  </si>
  <si>
    <r>
      <rPr>
        <sz val="10"/>
        <color rgb="FF000000"/>
        <rFont val="JRFonts"/>
        <charset val="134"/>
      </rPr>
      <t>07-07-2026 10:35</t>
    </r>
  </si>
  <si>
    <r>
      <rPr>
        <sz val="10"/>
        <color rgb="FF0000FF"/>
        <rFont val="JRFonts"/>
        <charset val="134"/>
      </rPr>
      <t>19833</t>
    </r>
  </si>
  <si>
    <r>
      <rPr>
        <sz val="10"/>
        <color rgb="FF000000"/>
        <rFont val="JRFonts"/>
        <charset val="134"/>
      </rPr>
      <t>07-07-2026 10:33</t>
    </r>
  </si>
  <si>
    <r>
      <rPr>
        <sz val="10"/>
        <color rgb="FF000000"/>
        <rFont val="JRFonts"/>
        <charset val="134"/>
      </rPr>
      <t>07-07-2026 17:58</t>
    </r>
  </si>
  <si>
    <r>
      <rPr>
        <sz val="10"/>
        <color rgb="FF000000"/>
        <rFont val="JRFonts"/>
        <charset val="134"/>
      </rPr>
      <t>07-07-2026 11:51</t>
    </r>
  </si>
  <si>
    <r>
      <rPr>
        <sz val="10"/>
        <color rgb="FF0000FF"/>
        <rFont val="JRFonts"/>
        <charset val="134"/>
      </rPr>
      <t>19836</t>
    </r>
  </si>
  <si>
    <r>
      <rPr>
        <sz val="10"/>
        <color rgb="FF000000"/>
        <rFont val="JRFonts"/>
        <charset val="134"/>
      </rPr>
      <t>07-07-2026 11:01</t>
    </r>
  </si>
  <si>
    <r>
      <rPr>
        <sz val="10"/>
        <color rgb="FF000000"/>
        <rFont val="JRFonts"/>
        <charset val="134"/>
      </rPr>
      <t>07-07-2026 12:48</t>
    </r>
  </si>
  <si>
    <r>
      <rPr>
        <sz val="10"/>
        <color rgb="FF000000"/>
        <rFont val="JRFonts"/>
        <charset val="134"/>
      </rPr>
      <t>07-07-2026 11:10</t>
    </r>
  </si>
  <si>
    <r>
      <rPr>
        <sz val="10"/>
        <color rgb="FF0000FF"/>
        <rFont val="JRFonts"/>
        <charset val="134"/>
      </rPr>
      <t>19839</t>
    </r>
  </si>
  <si>
    <r>
      <rPr>
        <sz val="10"/>
        <color rgb="FF000000"/>
        <rFont val="JRFonts"/>
        <charset val="134"/>
      </rPr>
      <t>07-07-2026 11:26</t>
    </r>
  </si>
  <si>
    <r>
      <rPr>
        <sz val="10"/>
        <color rgb="FF000000"/>
        <rFont val="JRFonts"/>
        <charset val="134"/>
      </rPr>
      <t>31-07-2026 11:29</t>
    </r>
  </si>
  <si>
    <r>
      <rPr>
        <sz val="10"/>
        <color rgb="FF000000"/>
        <rFont val="JRFonts"/>
        <charset val="134"/>
      </rPr>
      <t>07-07-2026 11:47</t>
    </r>
  </si>
  <si>
    <t>19839</t>
  </si>
  <si>
    <r>
      <rPr>
        <sz val="10"/>
        <color rgb="FF0000FF"/>
        <rFont val="JRFonts"/>
        <charset val="134"/>
      </rPr>
      <t>19840</t>
    </r>
  </si>
  <si>
    <r>
      <rPr>
        <sz val="10"/>
        <color rgb="FF000000"/>
        <rFont val="JRFonts"/>
        <charset val="134"/>
      </rPr>
      <t>07-07-2026 15:59</t>
    </r>
  </si>
  <si>
    <r>
      <rPr>
        <sz val="10"/>
        <color rgb="FF000000"/>
        <rFont val="JRFonts"/>
        <charset val="134"/>
      </rPr>
      <t>07-07-2026 11:44</t>
    </r>
  </si>
  <si>
    <r>
      <rPr>
        <sz val="10"/>
        <color rgb="FF0000FF"/>
        <rFont val="JRFonts"/>
        <charset val="134"/>
      </rPr>
      <t>19841</t>
    </r>
  </si>
  <si>
    <r>
      <rPr>
        <sz val="10"/>
        <color rgb="FF000000"/>
        <rFont val="JRFonts"/>
        <charset val="134"/>
      </rPr>
      <t>07-07-2026 17:07</t>
    </r>
  </si>
  <si>
    <r>
      <rPr>
        <sz val="10"/>
        <color rgb="FF000000"/>
        <rFont val="JRFonts"/>
        <charset val="134"/>
      </rPr>
      <t>07-07-2026 11:52</t>
    </r>
  </si>
  <si>
    <r>
      <rPr>
        <sz val="10"/>
        <color rgb="FF0000FF"/>
        <rFont val="JRFonts"/>
        <charset val="134"/>
      </rPr>
      <t>19843</t>
    </r>
  </si>
  <si>
    <r>
      <rPr>
        <sz val="10"/>
        <color rgb="FF000000"/>
        <rFont val="JRFonts"/>
        <charset val="134"/>
      </rPr>
      <t>07-07-2026 11:53</t>
    </r>
  </si>
  <si>
    <r>
      <rPr>
        <sz val="10"/>
        <color rgb="FF000000"/>
        <rFont val="JRFonts"/>
        <charset val="134"/>
      </rPr>
      <t>08-07-2026 11:14</t>
    </r>
  </si>
  <si>
    <r>
      <rPr>
        <sz val="10"/>
        <color rgb="FF000000"/>
        <rFont val="JRFonts"/>
        <charset val="134"/>
      </rPr>
      <t>07-07-2026 11:56</t>
    </r>
  </si>
  <si>
    <r>
      <rPr>
        <sz val="10"/>
        <color rgb="FF0000FF"/>
        <rFont val="JRFonts"/>
        <charset val="134"/>
      </rPr>
      <t>19845</t>
    </r>
  </si>
  <si>
    <r>
      <rPr>
        <sz val="10"/>
        <color rgb="FF000000"/>
        <rFont val="JRFonts"/>
        <charset val="134"/>
      </rPr>
      <t>07-07-2026 14:53</t>
    </r>
  </si>
  <si>
    <r>
      <rPr>
        <sz val="10"/>
        <color rgb="FF000000"/>
        <rFont val="JRFonts"/>
        <charset val="134"/>
      </rPr>
      <t>07-07-2026 12:23</t>
    </r>
  </si>
  <si>
    <r>
      <rPr>
        <sz val="10"/>
        <color rgb="FF0000FF"/>
        <rFont val="JRFonts"/>
        <charset val="134"/>
      </rPr>
      <t>19847</t>
    </r>
  </si>
  <si>
    <r>
      <rPr>
        <sz val="10"/>
        <color rgb="FF000000"/>
        <rFont val="JRFonts"/>
        <charset val="134"/>
      </rPr>
      <t>07-07-2026 12:06</t>
    </r>
  </si>
  <si>
    <r>
      <rPr>
        <sz val="10"/>
        <color rgb="FF000000"/>
        <rFont val="JRFonts"/>
        <charset val="134"/>
      </rPr>
      <t>08-07-2026 17:00</t>
    </r>
  </si>
  <si>
    <r>
      <rPr>
        <sz val="10"/>
        <color rgb="FF000000"/>
        <rFont val="JRFonts"/>
        <charset val="134"/>
      </rPr>
      <t>07-07-2026 12:26</t>
    </r>
  </si>
  <si>
    <t>19847</t>
  </si>
  <si>
    <r>
      <rPr>
        <sz val="10"/>
        <color rgb="FF0000FF"/>
        <rFont val="JRFonts"/>
        <charset val="134"/>
      </rPr>
      <t>19848</t>
    </r>
  </si>
  <si>
    <r>
      <rPr>
        <sz val="10"/>
        <color rgb="FF000000"/>
        <rFont val="JRFonts"/>
        <charset val="134"/>
      </rPr>
      <t>09-07-2026 16:31</t>
    </r>
  </si>
  <si>
    <r>
      <rPr>
        <sz val="10"/>
        <color rgb="FF000000"/>
        <rFont val="JRFonts"/>
        <charset val="134"/>
      </rPr>
      <t>07-07-2026 12:25</t>
    </r>
  </si>
  <si>
    <r>
      <rPr>
        <sz val="10"/>
        <color rgb="FF0000FF"/>
        <rFont val="JRFonts"/>
        <charset val="134"/>
      </rPr>
      <t>19849</t>
    </r>
  </si>
  <si>
    <r>
      <rPr>
        <sz val="10"/>
        <color rgb="FF000000"/>
        <rFont val="JRFonts"/>
        <charset val="134"/>
      </rPr>
      <t>07-07-2026 12:09</t>
    </r>
  </si>
  <si>
    <r>
      <rPr>
        <sz val="10"/>
        <color rgb="FF000000"/>
        <rFont val="JRFonts"/>
        <charset val="134"/>
      </rPr>
      <t>07-07-2026 17:03</t>
    </r>
  </si>
  <si>
    <r>
      <rPr>
        <sz val="10"/>
        <color rgb="FF000000"/>
        <rFont val="JRFonts"/>
        <charset val="134"/>
      </rPr>
      <t>07-07-2026 12:27</t>
    </r>
  </si>
  <si>
    <r>
      <rPr>
        <sz val="10"/>
        <color rgb="FF0000FF"/>
        <rFont val="JRFonts"/>
        <charset val="134"/>
      </rPr>
      <t>19850</t>
    </r>
  </si>
  <si>
    <r>
      <rPr>
        <sz val="10"/>
        <color rgb="FF000000"/>
        <rFont val="JRFonts"/>
        <charset val="134"/>
      </rPr>
      <t>07-07-2026 12:24</t>
    </r>
  </si>
  <si>
    <r>
      <rPr>
        <sz val="10"/>
        <color rgb="FF000000"/>
        <rFont val="JRFonts"/>
        <charset val="134"/>
      </rPr>
      <t>07-07-2026 14:16</t>
    </r>
  </si>
  <si>
    <r>
      <rPr>
        <sz val="10"/>
        <color rgb="FF000000"/>
        <rFont val="JRFonts"/>
        <charset val="134"/>
      </rPr>
      <t>07-07-2026 14:11</t>
    </r>
  </si>
  <si>
    <r>
      <rPr>
        <sz val="10"/>
        <color rgb="FF0000FF"/>
        <rFont val="JRFonts"/>
        <charset val="134"/>
      </rPr>
      <t>19852</t>
    </r>
  </si>
  <si>
    <r>
      <rPr>
        <sz val="10"/>
        <color rgb="FF000000"/>
        <rFont val="JRFonts"/>
        <charset val="134"/>
      </rPr>
      <t>07-07-2026 12:46</t>
    </r>
  </si>
  <si>
    <r>
      <rPr>
        <sz val="10"/>
        <color rgb="FF0000FF"/>
        <rFont val="JRFonts"/>
        <charset val="134"/>
      </rPr>
      <t>19853</t>
    </r>
  </si>
  <si>
    <r>
      <rPr>
        <sz val="10"/>
        <color rgb="FF000000"/>
        <rFont val="JRFonts"/>
        <charset val="134"/>
      </rPr>
      <t>08-07-2026 18:21</t>
    </r>
  </si>
  <si>
    <r>
      <rPr>
        <sz val="10"/>
        <color rgb="FF000000"/>
        <rFont val="JRFonts"/>
        <charset val="134"/>
      </rPr>
      <t>07-07-2026 12:55</t>
    </r>
  </si>
  <si>
    <t>19853</t>
  </si>
  <si>
    <r>
      <rPr>
        <sz val="10"/>
        <color rgb="FF0000FF"/>
        <rFont val="JRFonts"/>
        <charset val="134"/>
      </rPr>
      <t>19855</t>
    </r>
  </si>
  <si>
    <r>
      <rPr>
        <sz val="10"/>
        <color rgb="FF000000"/>
        <rFont val="JRFonts"/>
        <charset val="134"/>
      </rPr>
      <t>08-07-2026 17:39</t>
    </r>
  </si>
  <si>
    <r>
      <rPr>
        <sz val="10"/>
        <color rgb="FF000000"/>
        <rFont val="JRFonts"/>
        <charset val="134"/>
      </rPr>
      <t>08-07-2026 14:32</t>
    </r>
  </si>
  <si>
    <r>
      <rPr>
        <sz val="10"/>
        <color rgb="FF0000FF"/>
        <rFont val="JRFonts"/>
        <charset val="134"/>
      </rPr>
      <t>19856</t>
    </r>
  </si>
  <si>
    <r>
      <rPr>
        <sz val="10"/>
        <color rgb="FF000000"/>
        <rFont val="JRFonts"/>
        <charset val="134"/>
      </rPr>
      <t>07-07-2026 13:01</t>
    </r>
  </si>
  <si>
    <r>
      <rPr>
        <sz val="10"/>
        <color rgb="FF000000"/>
        <rFont val="JRFonts"/>
        <charset val="134"/>
      </rPr>
      <t>07-07-2026 14:17</t>
    </r>
  </si>
  <si>
    <r>
      <rPr>
        <sz val="10"/>
        <color rgb="FF000000"/>
        <rFont val="JRFonts"/>
        <charset val="134"/>
      </rPr>
      <t>07-07-2026 13:06</t>
    </r>
  </si>
  <si>
    <r>
      <rPr>
        <sz val="10"/>
        <color rgb="FF0000FF"/>
        <rFont val="JRFonts"/>
        <charset val="134"/>
      </rPr>
      <t>19857</t>
    </r>
  </si>
  <si>
    <r>
      <rPr>
        <sz val="10"/>
        <color rgb="FF000000"/>
        <rFont val="JRFonts"/>
        <charset val="134"/>
      </rPr>
      <t>07-07-2026 13:04</t>
    </r>
  </si>
  <si>
    <r>
      <rPr>
        <sz val="10"/>
        <color rgb="FF000000"/>
        <rFont val="JRFonts"/>
        <charset val="134"/>
      </rPr>
      <t>07-07-2026 23:04</t>
    </r>
  </si>
  <si>
    <r>
      <rPr>
        <sz val="10"/>
        <color rgb="FF000000"/>
        <rFont val="JRFonts"/>
        <charset val="134"/>
      </rPr>
      <t>07-07-2026 14:12</t>
    </r>
  </si>
  <si>
    <r>
      <rPr>
        <sz val="10"/>
        <color rgb="FF0000FF"/>
        <rFont val="JRFonts"/>
        <charset val="134"/>
      </rPr>
      <t>19859</t>
    </r>
  </si>
  <si>
    <r>
      <rPr>
        <sz val="10"/>
        <color rgb="FF000000"/>
        <rFont val="JRFonts"/>
        <charset val="134"/>
      </rPr>
      <t>07-07-2026 13:07</t>
    </r>
  </si>
  <si>
    <r>
      <rPr>
        <sz val="10"/>
        <color rgb="FF000000"/>
        <rFont val="JRFonts"/>
        <charset val="134"/>
      </rPr>
      <t>07-07-2026 18:37</t>
    </r>
  </si>
  <si>
    <r>
      <rPr>
        <sz val="10"/>
        <color rgb="FF000000"/>
        <rFont val="JRFonts"/>
        <charset val="134"/>
      </rPr>
      <t>07-07-2026 14:13</t>
    </r>
  </si>
  <si>
    <r>
      <rPr>
        <sz val="10"/>
        <color rgb="FF0000FF"/>
        <rFont val="JRFonts"/>
        <charset val="134"/>
      </rPr>
      <t>19861</t>
    </r>
  </si>
  <si>
    <r>
      <rPr>
        <sz val="10"/>
        <color rgb="FF000000"/>
        <rFont val="JRFonts"/>
        <charset val="134"/>
      </rPr>
      <t>07-07-2026 13:25</t>
    </r>
  </si>
  <si>
    <r>
      <rPr>
        <sz val="10"/>
        <color rgb="FF000000"/>
        <rFont val="JRFonts"/>
        <charset val="134"/>
      </rPr>
      <t>07-07-2026 14:24</t>
    </r>
  </si>
  <si>
    <r>
      <rPr>
        <sz val="10"/>
        <color rgb="FF000000"/>
        <rFont val="JRFonts"/>
        <charset val="134"/>
      </rPr>
      <t>07-07-2026 14:14</t>
    </r>
  </si>
  <si>
    <r>
      <rPr>
        <sz val="10"/>
        <color rgb="FF0000FF"/>
        <rFont val="JRFonts"/>
        <charset val="134"/>
      </rPr>
      <t>19864</t>
    </r>
  </si>
  <si>
    <r>
      <rPr>
        <sz val="10"/>
        <color rgb="FF000000"/>
        <rFont val="JRFonts"/>
        <charset val="134"/>
      </rPr>
      <t>07-07-2026 13:41</t>
    </r>
  </si>
  <si>
    <r>
      <rPr>
        <sz val="10"/>
        <color rgb="FF000000"/>
        <rFont val="JRFonts"/>
        <charset val="134"/>
      </rPr>
      <t>08-07-2026 11:12</t>
    </r>
  </si>
  <si>
    <r>
      <rPr>
        <sz val="10"/>
        <color rgb="FF000000"/>
        <rFont val="JRFonts"/>
        <charset val="134"/>
      </rPr>
      <t>07-07-2026 14:15</t>
    </r>
  </si>
  <si>
    <t>19866</t>
  </si>
  <si>
    <r>
      <rPr>
        <sz val="10"/>
        <color rgb="FF000000"/>
        <rFont val="JRFonts"/>
        <charset val="134"/>
      </rPr>
      <t>07-07-2026 14:20</t>
    </r>
  </si>
  <si>
    <r>
      <rPr>
        <sz val="10"/>
        <color rgb="FF000000"/>
        <rFont val="JRFonts"/>
        <charset val="134"/>
      </rPr>
      <t>10-07-2026 11:57</t>
    </r>
  </si>
  <si>
    <r>
      <rPr>
        <sz val="10"/>
        <color rgb="FF000000"/>
        <rFont val="JRFonts"/>
        <charset val="134"/>
      </rPr>
      <t>07-07-2026 14:25</t>
    </r>
  </si>
  <si>
    <r>
      <rPr>
        <sz val="10"/>
        <color rgb="FF0000FF"/>
        <rFont val="JRFonts"/>
        <charset val="134"/>
      </rPr>
      <t>19867</t>
    </r>
  </si>
  <si>
    <r>
      <rPr>
        <sz val="10"/>
        <color rgb="FF000000"/>
        <rFont val="JRFonts"/>
        <charset val="134"/>
      </rPr>
      <t>07-07-2026 14:36</t>
    </r>
  </si>
  <si>
    <r>
      <rPr>
        <sz val="10"/>
        <color rgb="FF000000"/>
        <rFont val="JRFonts"/>
        <charset val="134"/>
      </rPr>
      <t>14-07-2026 14:40</t>
    </r>
  </si>
  <si>
    <r>
      <rPr>
        <sz val="10"/>
        <color rgb="FF000000"/>
        <rFont val="JRFonts"/>
        <charset val="134"/>
      </rPr>
      <t>07-07-2026 15:10</t>
    </r>
  </si>
  <si>
    <t>19867</t>
  </si>
  <si>
    <r>
      <rPr>
        <sz val="10"/>
        <color rgb="FF0000FF"/>
        <rFont val="JRFonts"/>
        <charset val="134"/>
      </rPr>
      <t>19868</t>
    </r>
  </si>
  <si>
    <r>
      <rPr>
        <sz val="10"/>
        <color rgb="FF000000"/>
        <rFont val="JRFonts"/>
        <charset val="134"/>
      </rPr>
      <t>07-07-2026 23:30</t>
    </r>
  </si>
  <si>
    <r>
      <rPr>
        <sz val="10"/>
        <color rgb="FF000000"/>
        <rFont val="JRFonts"/>
        <charset val="134"/>
      </rPr>
      <t>07-07-2026 15:11</t>
    </r>
  </si>
  <si>
    <r>
      <rPr>
        <sz val="10"/>
        <color rgb="FF0000FF"/>
        <rFont val="JRFonts"/>
        <charset val="134"/>
      </rPr>
      <t>19869</t>
    </r>
  </si>
  <si>
    <r>
      <rPr>
        <sz val="10"/>
        <color rgb="FF000000"/>
        <rFont val="JRFonts"/>
        <charset val="134"/>
      </rPr>
      <t>07-07-2026 14:39</t>
    </r>
  </si>
  <si>
    <r>
      <rPr>
        <sz val="10"/>
        <color rgb="FF000000"/>
        <rFont val="JRFonts"/>
        <charset val="134"/>
      </rPr>
      <t>07-07-2026 17:43</t>
    </r>
  </si>
  <si>
    <r>
      <rPr>
        <sz val="10"/>
        <color rgb="FF000000"/>
        <rFont val="JRFonts"/>
        <charset val="134"/>
      </rPr>
      <t>07-07-2026 15:12</t>
    </r>
  </si>
  <si>
    <r>
      <rPr>
        <sz val="10"/>
        <color rgb="FF0000FF"/>
        <rFont val="JRFonts"/>
        <charset val="134"/>
      </rPr>
      <t>19870</t>
    </r>
  </si>
  <si>
    <r>
      <rPr>
        <sz val="10"/>
        <color rgb="FF000000"/>
        <rFont val="JRFonts"/>
        <charset val="134"/>
      </rPr>
      <t>07-07-2026 14:45</t>
    </r>
  </si>
  <si>
    <r>
      <rPr>
        <sz val="10"/>
        <color rgb="FF000000"/>
        <rFont val="JRFonts"/>
        <charset val="134"/>
      </rPr>
      <t>29-07-2026 16:58</t>
    </r>
  </si>
  <si>
    <r>
      <rPr>
        <sz val="10"/>
        <color rgb="FF000000"/>
        <rFont val="JRFonts"/>
        <charset val="134"/>
      </rPr>
      <t>07-07-2026 15:13</t>
    </r>
  </si>
  <si>
    <t>19870</t>
  </si>
  <si>
    <r>
      <rPr>
        <sz val="10"/>
        <color rgb="FF0000FF"/>
        <rFont val="JRFonts"/>
        <charset val="134"/>
      </rPr>
      <t>19872</t>
    </r>
  </si>
  <si>
    <r>
      <rPr>
        <sz val="10"/>
        <color rgb="FF000000"/>
        <rFont val="JRFonts"/>
        <charset val="134"/>
      </rPr>
      <t>07-07-2026 14:51</t>
    </r>
  </si>
  <si>
    <r>
      <rPr>
        <sz val="10"/>
        <color rgb="FF000000"/>
        <rFont val="JRFonts"/>
        <charset val="134"/>
      </rPr>
      <t>08-07-2026 11:49</t>
    </r>
  </si>
  <si>
    <r>
      <rPr>
        <sz val="10"/>
        <color rgb="FF000000"/>
        <rFont val="JRFonts"/>
        <charset val="134"/>
      </rPr>
      <t>07-07-2026 15:00</t>
    </r>
  </si>
  <si>
    <t>19872</t>
  </si>
  <si>
    <r>
      <rPr>
        <sz val="10"/>
        <color rgb="FF0000FF"/>
        <rFont val="JRFonts"/>
        <charset val="134"/>
      </rPr>
      <t>19875</t>
    </r>
  </si>
  <si>
    <r>
      <rPr>
        <sz val="10"/>
        <color rgb="FF000000"/>
        <rFont val="JRFonts"/>
        <charset val="134"/>
      </rPr>
      <t>07-07-2026 15:34</t>
    </r>
  </si>
  <si>
    <r>
      <rPr>
        <sz val="10"/>
        <color rgb="FF000000"/>
        <rFont val="JRFonts"/>
        <charset val="134"/>
      </rPr>
      <t>07-07-2026 16:00</t>
    </r>
  </si>
  <si>
    <r>
      <rPr>
        <sz val="10"/>
        <color rgb="FF000000"/>
        <rFont val="JRFonts"/>
        <charset val="134"/>
      </rPr>
      <t>07-07-2026 16:20</t>
    </r>
  </si>
  <si>
    <r>
      <rPr>
        <sz val="10"/>
        <color rgb="FF0000FF"/>
        <rFont val="JRFonts"/>
        <charset val="134"/>
      </rPr>
      <t>19878</t>
    </r>
  </si>
  <si>
    <r>
      <rPr>
        <sz val="10"/>
        <color rgb="FF000000"/>
        <rFont val="JRFonts"/>
        <charset val="134"/>
      </rPr>
      <t>07-07-2026 16:05</t>
    </r>
  </si>
  <si>
    <r>
      <rPr>
        <sz val="10"/>
        <color rgb="FF000000"/>
        <rFont val="JRFonts"/>
        <charset val="134"/>
      </rPr>
      <t>07-07-2026 18:23</t>
    </r>
  </si>
  <si>
    <r>
      <rPr>
        <sz val="10"/>
        <color rgb="FF000000"/>
        <rFont val="JRFonts"/>
        <charset val="134"/>
      </rPr>
      <t>07-07-2026 16:15</t>
    </r>
  </si>
  <si>
    <r>
      <rPr>
        <sz val="10"/>
        <color rgb="FF0000FF"/>
        <rFont val="JRFonts"/>
        <charset val="134"/>
      </rPr>
      <t>19879</t>
    </r>
  </si>
  <si>
    <r>
      <rPr>
        <sz val="10"/>
        <color rgb="FF000000"/>
        <rFont val="JRFonts"/>
        <charset val="134"/>
      </rPr>
      <t>08-07-2026 11:09</t>
    </r>
  </si>
  <si>
    <r>
      <rPr>
        <sz val="10"/>
        <color rgb="FF0000FF"/>
        <rFont val="JRFonts"/>
        <charset val="134"/>
      </rPr>
      <t>19881</t>
    </r>
  </si>
  <si>
    <r>
      <rPr>
        <sz val="10"/>
        <color rgb="FF000000"/>
        <rFont val="JRFonts"/>
        <charset val="134"/>
      </rPr>
      <t>07-07-2026 16:11</t>
    </r>
  </si>
  <si>
    <r>
      <rPr>
        <sz val="10"/>
        <color rgb="FF000000"/>
        <rFont val="JRFonts"/>
        <charset val="134"/>
      </rPr>
      <t>23-07-2026 11:55</t>
    </r>
  </si>
  <si>
    <r>
      <rPr>
        <sz val="10"/>
        <color rgb="FF000000"/>
        <rFont val="JRFonts"/>
        <charset val="134"/>
      </rPr>
      <t>07-07-2026 16:22</t>
    </r>
  </si>
  <si>
    <r>
      <rPr>
        <sz val="10"/>
        <color rgb="FF0000FF"/>
        <rFont val="JRFonts"/>
        <charset val="134"/>
      </rPr>
      <t>19884</t>
    </r>
  </si>
  <si>
    <r>
      <rPr>
        <sz val="10"/>
        <color rgb="FF000000"/>
        <rFont val="JRFonts"/>
        <charset val="134"/>
      </rPr>
      <t>07-07-2026 16:45</t>
    </r>
  </si>
  <si>
    <r>
      <rPr>
        <sz val="10"/>
        <color rgb="FF000000"/>
        <rFont val="JRFonts"/>
        <charset val="134"/>
      </rPr>
      <t>07-08-2026 10:40</t>
    </r>
  </si>
  <si>
    <r>
      <rPr>
        <sz val="10"/>
        <color rgb="FF000000"/>
        <rFont val="JRFonts"/>
        <charset val="134"/>
      </rPr>
      <t>08-07-2026 14:21</t>
    </r>
  </si>
  <si>
    <t>19884</t>
  </si>
  <si>
    <r>
      <rPr>
        <sz val="10"/>
        <color rgb="FF0000FF"/>
        <rFont val="JRFonts"/>
        <charset val="134"/>
      </rPr>
      <t>19887</t>
    </r>
  </si>
  <si>
    <r>
      <rPr>
        <sz val="10"/>
        <color rgb="FF000000"/>
        <rFont val="JRFonts"/>
        <charset val="134"/>
      </rPr>
      <t>07-07-2026 17:00</t>
    </r>
  </si>
  <si>
    <r>
      <rPr>
        <sz val="10"/>
        <color rgb="FF000000"/>
        <rFont val="JRFonts"/>
        <charset val="134"/>
      </rPr>
      <t>29-07-2026 16:54</t>
    </r>
  </si>
  <si>
    <r>
      <rPr>
        <sz val="10"/>
        <color rgb="FF000000"/>
        <rFont val="JRFonts"/>
        <charset val="134"/>
      </rPr>
      <t>07-07-2026 17:12</t>
    </r>
  </si>
  <si>
    <t>19887</t>
  </si>
  <si>
    <r>
      <rPr>
        <sz val="10"/>
        <color rgb="FF0000FF"/>
        <rFont val="JRFonts"/>
        <charset val="134"/>
      </rPr>
      <t>19889</t>
    </r>
  </si>
  <si>
    <r>
      <rPr>
        <sz val="10"/>
        <color rgb="FF000000"/>
        <rFont val="JRFonts"/>
        <charset val="134"/>
      </rPr>
      <t>07-07-2026 17:28</t>
    </r>
  </si>
  <si>
    <r>
      <rPr>
        <sz val="10"/>
        <color rgb="FF000000"/>
        <rFont val="JRFonts"/>
        <charset val="134"/>
      </rPr>
      <t>08-07-2026 11:07</t>
    </r>
  </si>
  <si>
    <r>
      <rPr>
        <sz val="10"/>
        <color rgb="FF000000"/>
        <rFont val="JRFonts"/>
        <charset val="134"/>
      </rPr>
      <t>07-07-2026 17:41</t>
    </r>
  </si>
  <si>
    <r>
      <rPr>
        <sz val="10"/>
        <color rgb="FF0000FF"/>
        <rFont val="JRFonts"/>
        <charset val="134"/>
      </rPr>
      <t>19890</t>
    </r>
  </si>
  <si>
    <r>
      <rPr>
        <sz val="10"/>
        <color rgb="FF000000"/>
        <rFont val="JRFonts"/>
        <charset val="134"/>
      </rPr>
      <t>07-07-2026 17:31</t>
    </r>
  </si>
  <si>
    <r>
      <rPr>
        <sz val="10"/>
        <color rgb="FF000000"/>
        <rFont val="JRFonts"/>
        <charset val="134"/>
      </rPr>
      <t>19-08-2026 17:18</t>
    </r>
  </si>
  <si>
    <r>
      <rPr>
        <sz val="10"/>
        <color rgb="FF000000"/>
        <rFont val="JRFonts"/>
        <charset val="134"/>
      </rPr>
      <t>07-07-2026 17:54</t>
    </r>
  </si>
  <si>
    <t>19890</t>
  </si>
  <si>
    <r>
      <rPr>
        <sz val="10"/>
        <color rgb="FF0000FF"/>
        <rFont val="JRFonts"/>
        <charset val="134"/>
      </rPr>
      <t>19891</t>
    </r>
  </si>
  <si>
    <r>
      <rPr>
        <sz val="10"/>
        <color rgb="FF000000"/>
        <rFont val="JRFonts"/>
        <charset val="134"/>
      </rPr>
      <t>17-08-2026 10:02</t>
    </r>
  </si>
  <si>
    <r>
      <rPr>
        <sz val="10"/>
        <color rgb="FF000000"/>
        <rFont val="JRFonts"/>
        <charset val="134"/>
      </rPr>
      <t>07-07-2026 17:49</t>
    </r>
  </si>
  <si>
    <t>19891</t>
  </si>
  <si>
    <t>Code changes</t>
  </si>
  <si>
    <t>confirmation - sachin</t>
  </si>
  <si>
    <r>
      <rPr>
        <sz val="10"/>
        <color rgb="FF0000FF"/>
        <rFont val="JRFonts"/>
        <charset val="134"/>
      </rPr>
      <t>19894</t>
    </r>
  </si>
  <si>
    <r>
      <rPr>
        <sz val="10"/>
        <color rgb="FF000000"/>
        <rFont val="JRFonts"/>
        <charset val="134"/>
      </rPr>
      <t>07-07-2026 17:52</t>
    </r>
  </si>
  <si>
    <r>
      <rPr>
        <sz val="10"/>
        <color rgb="FF000000"/>
        <rFont val="JRFonts"/>
        <charset val="134"/>
      </rPr>
      <t>08-07-2026 16:29</t>
    </r>
  </si>
  <si>
    <r>
      <rPr>
        <sz val="10"/>
        <color rgb="FF000000"/>
        <rFont val="JRFonts"/>
        <charset val="134"/>
      </rPr>
      <t>07-07-2026 18:09</t>
    </r>
  </si>
  <si>
    <r>
      <rPr>
        <sz val="10"/>
        <color rgb="FF0000FF"/>
        <rFont val="JRFonts"/>
        <charset val="134"/>
      </rPr>
      <t>19896</t>
    </r>
  </si>
  <si>
    <r>
      <rPr>
        <sz val="10"/>
        <color rgb="FF000000"/>
        <rFont val="JRFonts"/>
        <charset val="134"/>
      </rPr>
      <t>07-07-2026 18:01</t>
    </r>
  </si>
  <si>
    <r>
      <rPr>
        <sz val="10"/>
        <color rgb="FF000000"/>
        <rFont val="JRFonts"/>
        <charset val="134"/>
      </rPr>
      <t>16-07-2026 16:15</t>
    </r>
  </si>
  <si>
    <r>
      <rPr>
        <sz val="10"/>
        <color rgb="FF000000"/>
        <rFont val="JRFonts"/>
        <charset val="134"/>
      </rPr>
      <t>07-07-2026 18:06</t>
    </r>
  </si>
  <si>
    <t>19896</t>
  </si>
  <si>
    <r>
      <rPr>
        <sz val="10"/>
        <color rgb="FF0000FF"/>
        <rFont val="JRFonts"/>
        <charset val="134"/>
      </rPr>
      <t>19897</t>
    </r>
  </si>
  <si>
    <r>
      <rPr>
        <sz val="10"/>
        <color rgb="FF000000"/>
        <rFont val="JRFonts"/>
        <charset val="134"/>
      </rPr>
      <t>08-07-2026 14:43</t>
    </r>
  </si>
  <si>
    <r>
      <rPr>
        <sz val="10"/>
        <color rgb="FF000000"/>
        <rFont val="JRFonts"/>
        <charset val="134"/>
      </rPr>
      <t>08-07-2026 12:41</t>
    </r>
  </si>
  <si>
    <r>
      <rPr>
        <sz val="10"/>
        <color rgb="FF0000FF"/>
        <rFont val="JRFonts"/>
        <charset val="134"/>
      </rPr>
      <t>19898</t>
    </r>
  </si>
  <si>
    <r>
      <rPr>
        <sz val="10"/>
        <color rgb="FF000000"/>
        <rFont val="JRFonts"/>
        <charset val="134"/>
      </rPr>
      <t>07-07-2026 18:17</t>
    </r>
  </si>
  <si>
    <r>
      <rPr>
        <sz val="10"/>
        <color rgb="FF000000"/>
        <rFont val="JRFonts"/>
        <charset val="134"/>
      </rPr>
      <t>08-07-2026 16:01</t>
    </r>
  </si>
  <si>
    <r>
      <rPr>
        <sz val="10"/>
        <color rgb="FF000000"/>
        <rFont val="JRFonts"/>
        <charset val="134"/>
      </rPr>
      <t>07-07-2026 18:24</t>
    </r>
  </si>
  <si>
    <r>
      <rPr>
        <sz val="10"/>
        <color rgb="FF0000FF"/>
        <rFont val="JRFonts"/>
        <charset val="134"/>
      </rPr>
      <t>19899</t>
    </r>
  </si>
  <si>
    <r>
      <rPr>
        <sz val="10"/>
        <color rgb="FF000000"/>
        <rFont val="JRFonts"/>
        <charset val="134"/>
      </rPr>
      <t>07-07-2026 18:20</t>
    </r>
  </si>
  <si>
    <r>
      <rPr>
        <sz val="10"/>
        <color rgb="FF000000"/>
        <rFont val="JRFonts"/>
        <charset val="134"/>
      </rPr>
      <t>07-07-2026 23:25</t>
    </r>
  </si>
  <si>
    <r>
      <rPr>
        <sz val="10"/>
        <color rgb="FF000000"/>
        <rFont val="JRFonts"/>
        <charset val="134"/>
      </rPr>
      <t>07-07-2026 18:25</t>
    </r>
  </si>
  <si>
    <r>
      <rPr>
        <sz val="10"/>
        <color rgb="FF0000FF"/>
        <rFont val="JRFonts"/>
        <charset val="134"/>
      </rPr>
      <t>19900</t>
    </r>
  </si>
  <si>
    <r>
      <rPr>
        <sz val="10"/>
        <color rgb="FF000000"/>
        <rFont val="JRFonts"/>
        <charset val="134"/>
      </rPr>
      <t>07-07-2026 23:24</t>
    </r>
  </si>
  <si>
    <r>
      <rPr>
        <sz val="10"/>
        <color rgb="FF000000"/>
        <rFont val="JRFonts"/>
        <charset val="134"/>
      </rPr>
      <t>07-07-2026 18:30</t>
    </r>
  </si>
  <si>
    <r>
      <rPr>
        <sz val="10"/>
        <color rgb="FF0000FF"/>
        <rFont val="JRFonts"/>
        <charset val="134"/>
      </rPr>
      <t>19902</t>
    </r>
  </si>
  <si>
    <r>
      <rPr>
        <sz val="10"/>
        <color rgb="FF000000"/>
        <rFont val="JRFonts"/>
        <charset val="134"/>
      </rPr>
      <t>07-07-2026 18:53</t>
    </r>
  </si>
  <si>
    <r>
      <rPr>
        <sz val="10"/>
        <color rgb="FF000000"/>
        <rFont val="JRFonts"/>
        <charset val="134"/>
      </rPr>
      <t>07-07-2026 23:23</t>
    </r>
  </si>
  <si>
    <r>
      <rPr>
        <sz val="10"/>
        <color rgb="FF0000FF"/>
        <rFont val="JRFonts"/>
        <charset val="134"/>
      </rPr>
      <t>19903</t>
    </r>
  </si>
  <si>
    <r>
      <rPr>
        <sz val="10"/>
        <color rgb="FF000000"/>
        <rFont val="JRFonts"/>
        <charset val="134"/>
      </rPr>
      <t>07-07-2026 18:59</t>
    </r>
  </si>
  <si>
    <r>
      <rPr>
        <sz val="10"/>
        <color rgb="FF000000"/>
        <rFont val="JRFonts"/>
        <charset val="134"/>
      </rPr>
      <t>07-07-2026 23:22</t>
    </r>
  </si>
  <si>
    <r>
      <rPr>
        <sz val="10"/>
        <color rgb="FF000000"/>
        <rFont val="JRFonts"/>
        <charset val="134"/>
      </rPr>
      <t>07-07-2026 23:21</t>
    </r>
  </si>
  <si>
    <r>
      <rPr>
        <sz val="10"/>
        <color rgb="FF0000FF"/>
        <rFont val="JRFonts"/>
        <charset val="134"/>
      </rPr>
      <t>19906</t>
    </r>
  </si>
  <si>
    <r>
      <rPr>
        <sz val="10"/>
        <color rgb="FF000000"/>
        <rFont val="JRFonts"/>
        <charset val="134"/>
      </rPr>
      <t>07-07-2026 19:39</t>
    </r>
  </si>
  <si>
    <r>
      <rPr>
        <sz val="10"/>
        <color rgb="FF000000"/>
        <rFont val="JRFonts"/>
        <charset val="134"/>
      </rPr>
      <t>08-07-2026 12:15</t>
    </r>
  </si>
  <si>
    <r>
      <rPr>
        <sz val="10"/>
        <color rgb="FF000000"/>
        <rFont val="JRFonts"/>
        <charset val="134"/>
      </rPr>
      <t>08-07-2026 11:54</t>
    </r>
  </si>
  <si>
    <r>
      <rPr>
        <sz val="10"/>
        <color rgb="FF0000FF"/>
        <rFont val="JRFonts"/>
        <charset val="134"/>
      </rPr>
      <t>19907</t>
    </r>
  </si>
  <si>
    <r>
      <rPr>
        <sz val="10"/>
        <color rgb="FF000000"/>
        <rFont val="JRFonts"/>
        <charset val="134"/>
      </rPr>
      <t>07-07-2026 19:54</t>
    </r>
  </si>
  <si>
    <r>
      <rPr>
        <sz val="10"/>
        <color rgb="FF000000"/>
        <rFont val="JRFonts"/>
        <charset val="134"/>
      </rPr>
      <t>08-07-2026 10:37</t>
    </r>
  </si>
  <si>
    <r>
      <rPr>
        <sz val="10"/>
        <color rgb="FF000000"/>
        <rFont val="JRFonts"/>
        <charset val="134"/>
      </rPr>
      <t>08-07-2026 10:35</t>
    </r>
  </si>
  <si>
    <r>
      <rPr>
        <sz val="10"/>
        <color rgb="FF0000FF"/>
        <rFont val="JRFonts"/>
        <charset val="134"/>
      </rPr>
      <t>19912</t>
    </r>
  </si>
  <si>
    <r>
      <rPr>
        <sz val="10"/>
        <color rgb="FF000000"/>
        <rFont val="JRFonts"/>
        <charset val="134"/>
      </rPr>
      <t>08-07-2026 10:33</t>
    </r>
  </si>
  <si>
    <r>
      <rPr>
        <sz val="10"/>
        <color rgb="FF000000"/>
        <rFont val="JRFonts"/>
        <charset val="134"/>
      </rPr>
      <t>09-07-2026 10:46</t>
    </r>
  </si>
  <si>
    <r>
      <rPr>
        <sz val="10"/>
        <color rgb="FF000000"/>
        <rFont val="JRFonts"/>
        <charset val="134"/>
      </rPr>
      <t>08-07-2026 10:45</t>
    </r>
  </si>
  <si>
    <r>
      <rPr>
        <sz val="10"/>
        <color rgb="FF0000FF"/>
        <rFont val="JRFonts"/>
        <charset val="134"/>
      </rPr>
      <t>19913</t>
    </r>
  </si>
  <si>
    <r>
      <rPr>
        <sz val="10"/>
        <color rgb="FF000000"/>
        <rFont val="JRFonts"/>
        <charset val="134"/>
      </rPr>
      <t>08-07-2026 10:39</t>
    </r>
  </si>
  <si>
    <r>
      <rPr>
        <sz val="10"/>
        <color rgb="FF000000"/>
        <rFont val="JRFonts"/>
        <charset val="134"/>
      </rPr>
      <t>11-08-2026 12:19</t>
    </r>
  </si>
  <si>
    <r>
      <rPr>
        <sz val="10"/>
        <color rgb="FF000000"/>
        <rFont val="JRFonts"/>
        <charset val="134"/>
      </rPr>
      <t>08-07-2026 10:49</t>
    </r>
  </si>
  <si>
    <t>19913</t>
  </si>
  <si>
    <r>
      <rPr>
        <sz val="10"/>
        <color rgb="FF0000FF"/>
        <rFont val="JRFonts"/>
        <charset val="134"/>
      </rPr>
      <t>19915</t>
    </r>
  </si>
  <si>
    <r>
      <rPr>
        <sz val="10"/>
        <color rgb="FF000000"/>
        <rFont val="JRFonts"/>
        <charset val="134"/>
      </rPr>
      <t>08-07-2026 10:58</t>
    </r>
  </si>
  <si>
    <r>
      <rPr>
        <sz val="10"/>
        <color rgb="FF000000"/>
        <rFont val="JRFonts"/>
        <charset val="134"/>
      </rPr>
      <t>08-07-2026 13:05</t>
    </r>
  </si>
  <si>
    <r>
      <rPr>
        <sz val="10"/>
        <color rgb="FF000000"/>
        <rFont val="JRFonts"/>
        <charset val="134"/>
      </rPr>
      <t>08-07-2026 11:05</t>
    </r>
  </si>
  <si>
    <r>
      <rPr>
        <sz val="10"/>
        <color rgb="FF0000FF"/>
        <rFont val="JRFonts"/>
        <charset val="134"/>
      </rPr>
      <t>19916</t>
    </r>
  </si>
  <si>
    <r>
      <rPr>
        <sz val="10"/>
        <color rgb="FF000000"/>
        <rFont val="JRFonts"/>
        <charset val="134"/>
      </rPr>
      <t>08-07-2026 16:16</t>
    </r>
  </si>
  <si>
    <r>
      <rPr>
        <sz val="10"/>
        <color rgb="FF000000"/>
        <rFont val="JRFonts"/>
        <charset val="134"/>
      </rPr>
      <t>08-07-2026 11:10</t>
    </r>
  </si>
  <si>
    <r>
      <rPr>
        <sz val="10"/>
        <color rgb="FF0000FF"/>
        <rFont val="JRFonts"/>
        <charset val="134"/>
      </rPr>
      <t>19917</t>
    </r>
  </si>
  <si>
    <r>
      <rPr>
        <sz val="10"/>
        <color rgb="FF000000"/>
        <rFont val="JRFonts"/>
        <charset val="134"/>
      </rPr>
      <t>08-07-2026 11:22</t>
    </r>
  </si>
  <si>
    <r>
      <rPr>
        <sz val="10"/>
        <color rgb="FF000000"/>
        <rFont val="JRFonts"/>
        <charset val="134"/>
      </rPr>
      <t>08-07-2026 15:16</t>
    </r>
  </si>
  <si>
    <r>
      <rPr>
        <sz val="10"/>
        <color rgb="FF000000"/>
        <rFont val="JRFonts"/>
        <charset val="134"/>
      </rPr>
      <t>08-07-2026 11:33</t>
    </r>
  </si>
  <si>
    <r>
      <rPr>
        <sz val="10"/>
        <color rgb="FF0000FF"/>
        <rFont val="JRFonts"/>
        <charset val="134"/>
      </rPr>
      <t>19919</t>
    </r>
  </si>
  <si>
    <r>
      <rPr>
        <sz val="10"/>
        <color rgb="FF000000"/>
        <rFont val="JRFonts"/>
        <charset val="134"/>
      </rPr>
      <t>08-07-2026 11:50</t>
    </r>
  </si>
  <si>
    <r>
      <rPr>
        <sz val="10"/>
        <color rgb="FF000000"/>
        <rFont val="JRFonts"/>
        <charset val="134"/>
      </rPr>
      <t>08-07-2026 17:02</t>
    </r>
  </si>
  <si>
    <r>
      <rPr>
        <sz val="10"/>
        <color rgb="FF000000"/>
        <rFont val="JRFonts"/>
        <charset val="134"/>
      </rPr>
      <t>08-07-2026 16:43</t>
    </r>
  </si>
  <si>
    <r>
      <rPr>
        <sz val="10"/>
        <color rgb="FF0000FF"/>
        <rFont val="JRFonts"/>
        <charset val="134"/>
      </rPr>
      <t>19920</t>
    </r>
  </si>
  <si>
    <r>
      <rPr>
        <sz val="10"/>
        <color rgb="FF000000"/>
        <rFont val="JRFonts"/>
        <charset val="134"/>
      </rPr>
      <t>08-07-2026 12:02</t>
    </r>
  </si>
  <si>
    <r>
      <rPr>
        <sz val="10"/>
        <color rgb="FF000000"/>
        <rFont val="JRFonts"/>
        <charset val="134"/>
      </rPr>
      <t>08-07-2026 12:28</t>
    </r>
  </si>
  <si>
    <r>
      <rPr>
        <sz val="10"/>
        <color rgb="FF000000"/>
        <rFont val="JRFonts"/>
        <charset val="134"/>
      </rPr>
      <t>08-07-2026 12:10</t>
    </r>
  </si>
  <si>
    <r>
      <rPr>
        <sz val="10"/>
        <color rgb="FF0000FF"/>
        <rFont val="JRFonts"/>
        <charset val="134"/>
      </rPr>
      <t>19921</t>
    </r>
  </si>
  <si>
    <r>
      <rPr>
        <sz val="10"/>
        <color rgb="FF000000"/>
        <rFont val="JRFonts"/>
        <charset val="134"/>
      </rPr>
      <t>08-07-2026 12:11</t>
    </r>
  </si>
  <si>
    <r>
      <rPr>
        <sz val="10"/>
        <color rgb="FF000000"/>
        <rFont val="JRFonts"/>
        <charset val="134"/>
      </rPr>
      <t>20-08-2026 10:31</t>
    </r>
  </si>
  <si>
    <r>
      <rPr>
        <sz val="10"/>
        <color rgb="FF000000"/>
        <rFont val="JRFonts"/>
        <charset val="134"/>
      </rPr>
      <t>08-07-2026 12:13</t>
    </r>
  </si>
  <si>
    <t>19921</t>
  </si>
  <si>
    <r>
      <rPr>
        <sz val="10"/>
        <color rgb="FF0000FF"/>
        <rFont val="JRFonts"/>
        <charset val="134"/>
      </rPr>
      <t>19922</t>
    </r>
  </si>
  <si>
    <r>
      <rPr>
        <sz val="10"/>
        <color rgb="FF000000"/>
        <rFont val="JRFonts"/>
        <charset val="134"/>
      </rPr>
      <t>08-07-2026 12:14</t>
    </r>
  </si>
  <si>
    <r>
      <rPr>
        <sz val="10"/>
        <color rgb="FF000000"/>
        <rFont val="JRFonts"/>
        <charset val="134"/>
      </rPr>
      <t>08-07-2026 14:48</t>
    </r>
  </si>
  <si>
    <r>
      <rPr>
        <sz val="10"/>
        <color rgb="FF000000"/>
        <rFont val="JRFonts"/>
        <charset val="134"/>
      </rPr>
      <t>08-07-2026 12:25</t>
    </r>
  </si>
  <si>
    <r>
      <rPr>
        <sz val="10"/>
        <color rgb="FF0000FF"/>
        <rFont val="JRFonts"/>
        <charset val="134"/>
      </rPr>
      <t>19923</t>
    </r>
  </si>
  <si>
    <r>
      <rPr>
        <sz val="10"/>
        <color rgb="FF000000"/>
        <rFont val="JRFonts"/>
        <charset val="134"/>
      </rPr>
      <t>20-08-2026 18:19</t>
    </r>
  </si>
  <si>
    <r>
      <rPr>
        <sz val="10"/>
        <color rgb="FF000000"/>
        <rFont val="JRFonts"/>
        <charset val="134"/>
      </rPr>
      <t>08-07-2026 12:26</t>
    </r>
  </si>
  <si>
    <t>19923</t>
  </si>
  <si>
    <r>
      <rPr>
        <sz val="10"/>
        <color rgb="FF0000FF"/>
        <rFont val="JRFonts"/>
        <charset val="134"/>
      </rPr>
      <t>19929</t>
    </r>
  </si>
  <si>
    <r>
      <rPr>
        <sz val="10"/>
        <color rgb="FF000000"/>
        <rFont val="JRFonts"/>
        <charset val="134"/>
      </rPr>
      <t>08-07-2026 12:45</t>
    </r>
  </si>
  <si>
    <r>
      <rPr>
        <sz val="10"/>
        <color rgb="FF000000"/>
        <rFont val="JRFonts"/>
        <charset val="134"/>
      </rPr>
      <t>08-07-2026 13:17</t>
    </r>
  </si>
  <si>
    <r>
      <rPr>
        <sz val="10"/>
        <color rgb="FF000000"/>
        <rFont val="JRFonts"/>
        <charset val="134"/>
      </rPr>
      <t>08-07-2026 12:57</t>
    </r>
  </si>
  <si>
    <r>
      <rPr>
        <sz val="10"/>
        <color rgb="FF0000FF"/>
        <rFont val="JRFonts"/>
        <charset val="134"/>
      </rPr>
      <t>19930</t>
    </r>
  </si>
  <si>
    <r>
      <rPr>
        <sz val="10"/>
        <color rgb="FF000000"/>
        <rFont val="JRFonts"/>
        <charset val="134"/>
      </rPr>
      <t>08-07-2026 12:48</t>
    </r>
  </si>
  <si>
    <r>
      <rPr>
        <sz val="10"/>
        <color rgb="FF000000"/>
        <rFont val="JRFonts"/>
        <charset val="134"/>
      </rPr>
      <t>08-07-2026 14:15</t>
    </r>
  </si>
  <si>
    <r>
      <rPr>
        <sz val="10"/>
        <color rgb="FF000000"/>
        <rFont val="JRFonts"/>
        <charset val="134"/>
      </rPr>
      <t>08-07-2026 12:51</t>
    </r>
  </si>
  <si>
    <r>
      <rPr>
        <sz val="10"/>
        <color rgb="FF0000FF"/>
        <rFont val="JRFonts"/>
        <charset val="134"/>
      </rPr>
      <t>19931</t>
    </r>
  </si>
  <si>
    <r>
      <rPr>
        <sz val="10"/>
        <color rgb="FF000000"/>
        <rFont val="JRFonts"/>
        <charset val="134"/>
      </rPr>
      <t>08-07-2026 13:00</t>
    </r>
  </si>
  <si>
    <r>
      <rPr>
        <sz val="10"/>
        <color rgb="FF000000"/>
        <rFont val="JRFonts"/>
        <charset val="134"/>
      </rPr>
      <t>08-07-2026 14:34</t>
    </r>
  </si>
  <si>
    <r>
      <rPr>
        <sz val="10"/>
        <color rgb="FF000000"/>
        <rFont val="JRFonts"/>
        <charset val="134"/>
      </rPr>
      <t>08-07-2026 14:11</t>
    </r>
  </si>
  <si>
    <r>
      <rPr>
        <sz val="10"/>
        <color rgb="FF0000FF"/>
        <rFont val="JRFonts"/>
        <charset val="134"/>
      </rPr>
      <t>19934</t>
    </r>
  </si>
  <si>
    <r>
      <rPr>
        <sz val="10"/>
        <color rgb="FF000000"/>
        <rFont val="JRFonts"/>
        <charset val="134"/>
      </rPr>
      <t>08-07-2026 13:13</t>
    </r>
  </si>
  <si>
    <r>
      <rPr>
        <sz val="10"/>
        <color rgb="FF000000"/>
        <rFont val="JRFonts"/>
        <charset val="134"/>
      </rPr>
      <t>31-07-2026 10:26</t>
    </r>
  </si>
  <si>
    <r>
      <rPr>
        <sz val="10"/>
        <color rgb="FF000000"/>
        <rFont val="JRFonts"/>
        <charset val="134"/>
      </rPr>
      <t>08-07-2026 14:14</t>
    </r>
  </si>
  <si>
    <t>19934</t>
  </si>
  <si>
    <r>
      <rPr>
        <sz val="10"/>
        <color rgb="FF0000FF"/>
        <rFont val="JRFonts"/>
        <charset val="134"/>
      </rPr>
      <t>19935</t>
    </r>
  </si>
  <si>
    <r>
      <rPr>
        <sz val="10"/>
        <color rgb="FF000000"/>
        <rFont val="JRFonts"/>
        <charset val="134"/>
      </rPr>
      <t>08-07-2026 13:16</t>
    </r>
  </si>
  <si>
    <r>
      <rPr>
        <sz val="10"/>
        <color rgb="FF000000"/>
        <rFont val="JRFonts"/>
        <charset val="134"/>
      </rPr>
      <t>20-07-2026 11:50</t>
    </r>
  </si>
  <si>
    <r>
      <rPr>
        <sz val="10"/>
        <color rgb="FF000000"/>
        <rFont val="JRFonts"/>
        <charset val="134"/>
      </rPr>
      <t>08-07-2026 14:35</t>
    </r>
  </si>
  <si>
    <t>19935</t>
  </si>
  <si>
    <t>issues was already resolved by connecting with dev - closed post confirmtion with business</t>
  </si>
  <si>
    <r>
      <rPr>
        <sz val="10"/>
        <color rgb="FF0000FF"/>
        <rFont val="JRFonts"/>
        <charset val="134"/>
      </rPr>
      <t>19936</t>
    </r>
  </si>
  <si>
    <r>
      <rPr>
        <sz val="10"/>
        <color rgb="FF000000"/>
        <rFont val="JRFonts"/>
        <charset val="134"/>
      </rPr>
      <t>13-07-2026 14:25</t>
    </r>
  </si>
  <si>
    <r>
      <rPr>
        <sz val="10"/>
        <color rgb="FF000000"/>
        <rFont val="JRFonts"/>
        <charset val="134"/>
      </rPr>
      <t>08-07-2026 17:27</t>
    </r>
  </si>
  <si>
    <r>
      <rPr>
        <sz val="10"/>
        <color rgb="FF0000FF"/>
        <rFont val="JRFonts"/>
        <charset val="134"/>
      </rPr>
      <t>19937</t>
    </r>
  </si>
  <si>
    <r>
      <rPr>
        <sz val="10"/>
        <color rgb="FF000000"/>
        <rFont val="JRFonts"/>
        <charset val="134"/>
      </rPr>
      <t>08-07-2026 14:24</t>
    </r>
  </si>
  <si>
    <r>
      <rPr>
        <sz val="10"/>
        <color rgb="FF000000"/>
        <rFont val="JRFonts"/>
        <charset val="134"/>
      </rPr>
      <t>08-07-2026 14:22</t>
    </r>
  </si>
  <si>
    <r>
      <rPr>
        <sz val="10"/>
        <color rgb="FF0000FF"/>
        <rFont val="JRFonts"/>
        <charset val="134"/>
      </rPr>
      <t>19938</t>
    </r>
  </si>
  <si>
    <r>
      <rPr>
        <sz val="10"/>
        <color rgb="FF000000"/>
        <rFont val="JRFonts"/>
        <charset val="134"/>
      </rPr>
      <t>08-07-2026 13:22</t>
    </r>
  </si>
  <si>
    <r>
      <rPr>
        <sz val="10"/>
        <color rgb="FF000000"/>
        <rFont val="JRFonts"/>
        <charset val="134"/>
      </rPr>
      <t>08-07-2026 15:41</t>
    </r>
  </si>
  <si>
    <r>
      <rPr>
        <sz val="10"/>
        <color rgb="FF000000"/>
        <rFont val="JRFonts"/>
        <charset val="134"/>
      </rPr>
      <t>08-07-2026 14:20</t>
    </r>
  </si>
  <si>
    <r>
      <rPr>
        <sz val="10"/>
        <color rgb="FF0000FF"/>
        <rFont val="JRFonts"/>
        <charset val="134"/>
      </rPr>
      <t>19941</t>
    </r>
  </si>
  <si>
    <r>
      <rPr>
        <sz val="10"/>
        <color rgb="FF000000"/>
        <rFont val="JRFonts"/>
        <charset val="134"/>
      </rPr>
      <t>08-07-2026 13:47</t>
    </r>
  </si>
  <si>
    <r>
      <rPr>
        <sz val="10"/>
        <color rgb="FF000000"/>
        <rFont val="JRFonts"/>
        <charset val="134"/>
      </rPr>
      <t>08-07-2026 16:47</t>
    </r>
  </si>
  <si>
    <r>
      <rPr>
        <sz val="10"/>
        <color rgb="FF000000"/>
        <rFont val="JRFonts"/>
        <charset val="134"/>
      </rPr>
      <t>08-07-2026 14:19</t>
    </r>
  </si>
  <si>
    <r>
      <rPr>
        <sz val="10"/>
        <color rgb="FF0000FF"/>
        <rFont val="JRFonts"/>
        <charset val="134"/>
      </rPr>
      <t>19944</t>
    </r>
  </si>
  <si>
    <r>
      <rPr>
        <sz val="10"/>
        <color rgb="FF000000"/>
        <rFont val="JRFonts"/>
        <charset val="134"/>
      </rPr>
      <t>08-07-2026 14:46</t>
    </r>
  </si>
  <si>
    <r>
      <rPr>
        <sz val="10"/>
        <color rgb="FF000000"/>
        <rFont val="JRFonts"/>
        <charset val="134"/>
      </rPr>
      <t>08-07-2026 14:23</t>
    </r>
  </si>
  <si>
    <t>19945</t>
  </si>
  <si>
    <r>
      <rPr>
        <sz val="10"/>
        <color rgb="FF000000"/>
        <rFont val="JRFonts"/>
        <charset val="134"/>
      </rPr>
      <t>13-07-2026 14:36</t>
    </r>
  </si>
  <si>
    <r>
      <rPr>
        <sz val="10"/>
        <color rgb="FF000000"/>
        <rFont val="JRFonts"/>
        <charset val="134"/>
      </rPr>
      <t>08-07-2026 15:08</t>
    </r>
  </si>
  <si>
    <r>
      <rPr>
        <sz val="10"/>
        <color rgb="FF0000FF"/>
        <rFont val="JRFonts"/>
        <charset val="134"/>
      </rPr>
      <t>19945</t>
    </r>
  </si>
  <si>
    <t>X</t>
  </si>
  <si>
    <r>
      <rPr>
        <sz val="10"/>
        <color rgb="FF0000FF"/>
        <rFont val="JRFonts"/>
        <charset val="134"/>
      </rPr>
      <t>19946</t>
    </r>
  </si>
  <si>
    <r>
      <rPr>
        <sz val="10"/>
        <color rgb="FF000000"/>
        <rFont val="JRFonts"/>
        <charset val="134"/>
      </rPr>
      <t>13-07-2026 14:37</t>
    </r>
  </si>
  <si>
    <r>
      <rPr>
        <sz val="10"/>
        <color rgb="FF000000"/>
        <rFont val="JRFonts"/>
        <charset val="134"/>
      </rPr>
      <t>08-07-2026 15:04</t>
    </r>
  </si>
  <si>
    <t>19946</t>
  </si>
  <si>
    <r>
      <rPr>
        <sz val="10"/>
        <color rgb="FF0000FF"/>
        <rFont val="JRFonts"/>
        <charset val="134"/>
      </rPr>
      <t>19948</t>
    </r>
  </si>
  <si>
    <r>
      <rPr>
        <sz val="10"/>
        <color rgb="FF000000"/>
        <rFont val="JRFonts"/>
        <charset val="134"/>
      </rPr>
      <t>08-07-2026 14:36</t>
    </r>
  </si>
  <si>
    <r>
      <rPr>
        <sz val="10"/>
        <color rgb="FF000000"/>
        <rFont val="JRFonts"/>
        <charset val="134"/>
      </rPr>
      <t>08-07-2026 15:33</t>
    </r>
  </si>
  <si>
    <r>
      <rPr>
        <sz val="10"/>
        <color rgb="FF000000"/>
        <rFont val="JRFonts"/>
        <charset val="134"/>
      </rPr>
      <t>08-07-2026 14:57</t>
    </r>
  </si>
  <si>
    <t>19950</t>
  </si>
  <si>
    <r>
      <rPr>
        <sz val="10"/>
        <color rgb="FF000000"/>
        <rFont val="JRFonts"/>
        <charset val="134"/>
      </rPr>
      <t>08-07-2026 14:51</t>
    </r>
  </si>
  <si>
    <r>
      <rPr>
        <sz val="10"/>
        <color rgb="FF000000"/>
        <rFont val="JRFonts"/>
        <charset val="134"/>
      </rPr>
      <t>10-08-2026 12:09</t>
    </r>
  </si>
  <si>
    <r>
      <rPr>
        <sz val="10"/>
        <color rgb="FF000000"/>
        <rFont val="JRFonts"/>
        <charset val="134"/>
      </rPr>
      <t>08-07-2026 14:53</t>
    </r>
  </si>
  <si>
    <r>
      <rPr>
        <sz val="10"/>
        <color rgb="FF0000FF"/>
        <rFont val="JRFonts"/>
        <charset val="134"/>
      </rPr>
      <t>19950</t>
    </r>
  </si>
  <si>
    <t>19952</t>
  </si>
  <si>
    <r>
      <rPr>
        <sz val="10"/>
        <color rgb="FF000000"/>
        <rFont val="JRFonts"/>
        <charset val="134"/>
      </rPr>
      <t>29-09-2026 18:13</t>
    </r>
  </si>
  <si>
    <r>
      <rPr>
        <sz val="10"/>
        <color rgb="FF000000"/>
        <rFont val="JRFonts"/>
        <charset val="134"/>
      </rPr>
      <t>08-07-2026 15:10</t>
    </r>
  </si>
  <si>
    <r>
      <rPr>
        <sz val="10"/>
        <color rgb="FF0000FF"/>
        <rFont val="JRFonts"/>
        <charset val="134"/>
      </rPr>
      <t>19952</t>
    </r>
  </si>
  <si>
    <t>Duplicate of # 19950</t>
  </si>
  <si>
    <r>
      <rPr>
        <sz val="10"/>
        <color rgb="FF0000FF"/>
        <rFont val="JRFonts"/>
        <charset val="134"/>
      </rPr>
      <t>19953</t>
    </r>
  </si>
  <si>
    <r>
      <rPr>
        <sz val="10"/>
        <color rgb="FF000000"/>
        <rFont val="JRFonts"/>
        <charset val="134"/>
      </rPr>
      <t>08-07-2026 15:19</t>
    </r>
  </si>
  <si>
    <r>
      <rPr>
        <sz val="10"/>
        <color rgb="FF000000"/>
        <rFont val="JRFonts"/>
        <charset val="134"/>
      </rPr>
      <t>16-07-2026 11:53</t>
    </r>
  </si>
  <si>
    <r>
      <rPr>
        <sz val="10"/>
        <color rgb="FF000000"/>
        <rFont val="JRFonts"/>
        <charset val="134"/>
      </rPr>
      <t>08-07-2026 15:21</t>
    </r>
  </si>
  <si>
    <t>19953</t>
  </si>
  <si>
    <r>
      <rPr>
        <sz val="10"/>
        <color rgb="FF0000FF"/>
        <rFont val="JRFonts"/>
        <charset val="134"/>
      </rPr>
      <t>19954</t>
    </r>
  </si>
  <si>
    <r>
      <rPr>
        <sz val="10"/>
        <color rgb="FF000000"/>
        <rFont val="JRFonts"/>
        <charset val="134"/>
      </rPr>
      <t>08-07-2026 15:22</t>
    </r>
  </si>
  <si>
    <r>
      <rPr>
        <sz val="10"/>
        <color rgb="FF000000"/>
        <rFont val="JRFonts"/>
        <charset val="134"/>
      </rPr>
      <t>08-07-2026 15:54</t>
    </r>
  </si>
  <si>
    <r>
      <rPr>
        <sz val="10"/>
        <color rgb="FF000000"/>
        <rFont val="JRFonts"/>
        <charset val="134"/>
      </rPr>
      <t>08-07-2026 15:23</t>
    </r>
  </si>
  <si>
    <r>
      <rPr>
        <sz val="10"/>
        <color rgb="FF0000FF"/>
        <rFont val="JRFonts"/>
        <charset val="134"/>
      </rPr>
      <t>19956</t>
    </r>
  </si>
  <si>
    <r>
      <rPr>
        <sz val="10"/>
        <color rgb="FF000000"/>
        <rFont val="JRFonts"/>
        <charset val="134"/>
      </rPr>
      <t>08-07-2026 15:46</t>
    </r>
  </si>
  <si>
    <r>
      <rPr>
        <sz val="10"/>
        <color rgb="FF000000"/>
        <rFont val="JRFonts"/>
        <charset val="134"/>
      </rPr>
      <t>09-07-2026 17:53</t>
    </r>
  </si>
  <si>
    <r>
      <rPr>
        <sz val="10"/>
        <color rgb="FF000000"/>
        <rFont val="JRFonts"/>
        <charset val="134"/>
      </rPr>
      <t>08-07-2026 18:31</t>
    </r>
  </si>
  <si>
    <r>
      <rPr>
        <sz val="10"/>
        <color rgb="FF0000FF"/>
        <rFont val="JRFonts"/>
        <charset val="134"/>
      </rPr>
      <t>19958</t>
    </r>
  </si>
  <si>
    <r>
      <rPr>
        <sz val="10"/>
        <color rgb="FF000000"/>
        <rFont val="JRFonts"/>
        <charset val="134"/>
      </rPr>
      <t>08-07-2026 16:05</t>
    </r>
  </si>
  <si>
    <r>
      <rPr>
        <sz val="10"/>
        <color rgb="FF000000"/>
        <rFont val="JRFonts"/>
        <charset val="134"/>
      </rPr>
      <t>17-07-2026 10:59</t>
    </r>
  </si>
  <si>
    <r>
      <rPr>
        <sz val="10"/>
        <color rgb="FF000000"/>
        <rFont val="JRFonts"/>
        <charset val="134"/>
      </rPr>
      <t>08-07-2026 16:12</t>
    </r>
  </si>
  <si>
    <t>19958</t>
  </si>
  <si>
    <t>19959</t>
  </si>
  <si>
    <r>
      <rPr>
        <sz val="10"/>
        <color rgb="FF000000"/>
        <rFont val="JRFonts"/>
        <charset val="134"/>
      </rPr>
      <t>08-07-2026 16:17</t>
    </r>
  </si>
  <si>
    <r>
      <rPr>
        <sz val="10"/>
        <color rgb="FF000000"/>
        <rFont val="JRFonts"/>
        <charset val="134"/>
      </rPr>
      <t>15-07-2026 10:25</t>
    </r>
  </si>
  <si>
    <r>
      <rPr>
        <sz val="10"/>
        <color rgb="FF000000"/>
        <rFont val="JRFonts"/>
        <charset val="134"/>
      </rPr>
      <t>08-07-2026 16:28</t>
    </r>
  </si>
  <si>
    <r>
      <rPr>
        <sz val="10"/>
        <color rgb="FF0000FF"/>
        <rFont val="JRFonts"/>
        <charset val="134"/>
      </rPr>
      <t>19959</t>
    </r>
  </si>
  <si>
    <r>
      <rPr>
        <sz val="10"/>
        <color rgb="FF0000FF"/>
        <rFont val="JRFonts"/>
        <charset val="134"/>
      </rPr>
      <t>19964</t>
    </r>
  </si>
  <si>
    <r>
      <rPr>
        <sz val="10"/>
        <color rgb="FF000000"/>
        <rFont val="JRFonts"/>
        <charset val="134"/>
      </rPr>
      <t>08-07-2026 16:48</t>
    </r>
  </si>
  <si>
    <r>
      <rPr>
        <sz val="10"/>
        <color rgb="FF000000"/>
        <rFont val="JRFonts"/>
        <charset val="134"/>
      </rPr>
      <t>08-07-2026 17:18</t>
    </r>
  </si>
  <si>
    <t>19964</t>
  </si>
  <si>
    <r>
      <rPr>
        <sz val="10"/>
        <color rgb="FF0000FF"/>
        <rFont val="JRFonts"/>
        <charset val="134"/>
      </rPr>
      <t>19967</t>
    </r>
  </si>
  <si>
    <r>
      <rPr>
        <sz val="10"/>
        <color rgb="FF000000"/>
        <rFont val="JRFonts"/>
        <charset val="134"/>
      </rPr>
      <t>08-07-2026 18:07</t>
    </r>
  </si>
  <si>
    <r>
      <rPr>
        <sz val="10"/>
        <color rgb="FF000000"/>
        <rFont val="JRFonts"/>
        <charset val="134"/>
      </rPr>
      <t>08-07-2026 17:25</t>
    </r>
  </si>
  <si>
    <r>
      <rPr>
        <sz val="10"/>
        <color rgb="FF0000FF"/>
        <rFont val="JRFonts"/>
        <charset val="134"/>
      </rPr>
      <t>19968</t>
    </r>
  </si>
  <si>
    <r>
      <rPr>
        <sz val="10"/>
        <color rgb="FF000000"/>
        <rFont val="JRFonts"/>
        <charset val="134"/>
      </rPr>
      <t>08-07-2026 17:21</t>
    </r>
  </si>
  <si>
    <r>
      <rPr>
        <sz val="10"/>
        <color rgb="FF000000"/>
        <rFont val="JRFonts"/>
        <charset val="134"/>
      </rPr>
      <t>08-07-2026 18:37</t>
    </r>
  </si>
  <si>
    <r>
      <rPr>
        <sz val="10"/>
        <color rgb="FF0000FF"/>
        <rFont val="JRFonts"/>
        <charset val="134"/>
      </rPr>
      <t>19969</t>
    </r>
  </si>
  <si>
    <r>
      <rPr>
        <sz val="10"/>
        <color rgb="FF000000"/>
        <rFont val="JRFonts"/>
        <charset val="134"/>
      </rPr>
      <t>08-07-2026 17:24</t>
    </r>
  </si>
  <si>
    <r>
      <rPr>
        <sz val="10"/>
        <color rgb="FF000000"/>
        <rFont val="JRFonts"/>
        <charset val="134"/>
      </rPr>
      <t>08-07-2026 21:28</t>
    </r>
  </si>
  <si>
    <r>
      <rPr>
        <sz val="10"/>
        <color rgb="FF000000"/>
        <rFont val="JRFonts"/>
        <charset val="134"/>
      </rPr>
      <t>08-07-2026 17:28</t>
    </r>
  </si>
  <si>
    <r>
      <rPr>
        <sz val="10"/>
        <color rgb="FF0000FF"/>
        <rFont val="JRFonts"/>
        <charset val="134"/>
      </rPr>
      <t>19971</t>
    </r>
  </si>
  <si>
    <r>
      <rPr>
        <sz val="10"/>
        <color rgb="FF000000"/>
        <rFont val="JRFonts"/>
        <charset val="134"/>
      </rPr>
      <t>08-07-2026 17:34</t>
    </r>
  </si>
  <si>
    <r>
      <rPr>
        <sz val="10"/>
        <color rgb="FF000000"/>
        <rFont val="JRFonts"/>
        <charset val="134"/>
      </rPr>
      <t>08-07-2026 18:12</t>
    </r>
  </si>
  <si>
    <r>
      <rPr>
        <sz val="10"/>
        <color rgb="FF000000"/>
        <rFont val="JRFonts"/>
        <charset val="134"/>
      </rPr>
      <t>08-07-2026 17:48</t>
    </r>
  </si>
  <si>
    <r>
      <rPr>
        <sz val="10"/>
        <color rgb="FF0000FF"/>
        <rFont val="JRFonts"/>
        <charset val="134"/>
      </rPr>
      <t>19972</t>
    </r>
  </si>
  <si>
    <r>
      <rPr>
        <sz val="10"/>
        <color rgb="FF000000"/>
        <rFont val="JRFonts"/>
        <charset val="134"/>
      </rPr>
      <t>08-07-2026 18:10</t>
    </r>
  </si>
  <si>
    <r>
      <rPr>
        <sz val="10"/>
        <color rgb="FF000000"/>
        <rFont val="JRFonts"/>
        <charset val="134"/>
      </rPr>
      <t>08-07-2026 17:46</t>
    </r>
  </si>
  <si>
    <r>
      <rPr>
        <sz val="10"/>
        <color rgb="FF0000FF"/>
        <rFont val="JRFonts"/>
        <charset val="134"/>
      </rPr>
      <t>19974</t>
    </r>
  </si>
  <si>
    <r>
      <rPr>
        <sz val="10"/>
        <color rgb="FF000000"/>
        <rFont val="JRFonts"/>
        <charset val="134"/>
      </rPr>
      <t>08-07-2026 17:37</t>
    </r>
  </si>
  <si>
    <r>
      <rPr>
        <sz val="10"/>
        <color rgb="FF000000"/>
        <rFont val="JRFonts"/>
        <charset val="134"/>
      </rPr>
      <t>23-07-2026 16:06</t>
    </r>
  </si>
  <si>
    <r>
      <rPr>
        <sz val="10"/>
        <color rgb="FF000000"/>
        <rFont val="JRFonts"/>
        <charset val="134"/>
      </rPr>
      <t>08-07-2026 17:50</t>
    </r>
  </si>
  <si>
    <t>Need NCGTC business and IT interaction and backend activity</t>
  </si>
  <si>
    <r>
      <rPr>
        <sz val="10"/>
        <color rgb="FF0000FF"/>
        <rFont val="JRFonts"/>
        <charset val="134"/>
      </rPr>
      <t>19977</t>
    </r>
  </si>
  <si>
    <r>
      <rPr>
        <sz val="10"/>
        <color rgb="FF000000"/>
        <rFont val="JRFonts"/>
        <charset val="134"/>
      </rPr>
      <t>08-07-2026 17:52</t>
    </r>
  </si>
  <si>
    <r>
      <rPr>
        <sz val="10"/>
        <color rgb="FF000000"/>
        <rFont val="JRFonts"/>
        <charset val="134"/>
      </rPr>
      <t>09-07-2026 09:36</t>
    </r>
  </si>
  <si>
    <r>
      <rPr>
        <sz val="10"/>
        <color rgb="FF000000"/>
        <rFont val="JRFonts"/>
        <charset val="134"/>
      </rPr>
      <t>08-07-2026 18:30</t>
    </r>
  </si>
  <si>
    <r>
      <rPr>
        <sz val="10"/>
        <color rgb="FF0000FF"/>
        <rFont val="JRFonts"/>
        <charset val="134"/>
      </rPr>
      <t>19978</t>
    </r>
  </si>
  <si>
    <r>
      <rPr>
        <sz val="10"/>
        <color rgb="FF000000"/>
        <rFont val="JRFonts"/>
        <charset val="134"/>
      </rPr>
      <t>08-07-2026 17:57</t>
    </r>
  </si>
  <si>
    <t>19978</t>
  </si>
  <si>
    <r>
      <rPr>
        <sz val="10"/>
        <color rgb="FF0000FF"/>
        <rFont val="JRFonts"/>
        <charset val="134"/>
      </rPr>
      <t>19982</t>
    </r>
  </si>
  <si>
    <r>
      <rPr>
        <sz val="10"/>
        <color rgb="FF000000"/>
        <rFont val="JRFonts"/>
        <charset val="134"/>
      </rPr>
      <t>08-07-2026 18:50</t>
    </r>
  </si>
  <si>
    <r>
      <rPr>
        <sz val="10"/>
        <color rgb="FF000000"/>
        <rFont val="JRFonts"/>
        <charset val="134"/>
      </rPr>
      <t>04-08-2026 14:51</t>
    </r>
  </si>
  <si>
    <r>
      <rPr>
        <sz val="10"/>
        <color rgb="FF000000"/>
        <rFont val="JRFonts"/>
        <charset val="134"/>
      </rPr>
      <t>09-07-2026 10:10</t>
    </r>
  </si>
  <si>
    <t>19982</t>
  </si>
  <si>
    <r>
      <rPr>
        <sz val="10"/>
        <color rgb="FF0000FF"/>
        <rFont val="JRFonts"/>
        <charset val="134"/>
      </rPr>
      <t>19987</t>
    </r>
  </si>
  <si>
    <r>
      <rPr>
        <sz val="10"/>
        <color rgb="FF000000"/>
        <rFont val="JRFonts"/>
        <charset val="134"/>
      </rPr>
      <t>09-07-2026 09:26</t>
    </r>
  </si>
  <si>
    <r>
      <rPr>
        <sz val="10"/>
        <color rgb="FF000000"/>
        <rFont val="JRFonts"/>
        <charset val="134"/>
      </rPr>
      <t>09-07-2026 11:08</t>
    </r>
  </si>
  <si>
    <r>
      <rPr>
        <sz val="10"/>
        <color rgb="FF000000"/>
        <rFont val="JRFonts"/>
        <charset val="134"/>
      </rPr>
      <t>09-07-2026 10:07</t>
    </r>
  </si>
  <si>
    <r>
      <rPr>
        <sz val="10"/>
        <color rgb="FF0000FF"/>
        <rFont val="JRFonts"/>
        <charset val="134"/>
      </rPr>
      <t>19988</t>
    </r>
  </si>
  <si>
    <r>
      <rPr>
        <sz val="10"/>
        <color rgb="FF000000"/>
        <rFont val="JRFonts"/>
        <charset val="134"/>
      </rPr>
      <t>09-07-2026 09:51</t>
    </r>
  </si>
  <si>
    <r>
      <rPr>
        <sz val="10"/>
        <color rgb="FF000000"/>
        <rFont val="JRFonts"/>
        <charset val="134"/>
      </rPr>
      <t>17-07-2026 18:08</t>
    </r>
  </si>
  <si>
    <r>
      <rPr>
        <sz val="10"/>
        <color rgb="FF000000"/>
        <rFont val="JRFonts"/>
        <charset val="134"/>
      </rPr>
      <t>17-07-2026 12:42</t>
    </r>
  </si>
  <si>
    <r>
      <rPr>
        <sz val="10"/>
        <color rgb="FF0000FF"/>
        <rFont val="JRFonts"/>
        <charset val="134"/>
      </rPr>
      <t>19989</t>
    </r>
  </si>
  <si>
    <r>
      <rPr>
        <sz val="10"/>
        <color rgb="FF000000"/>
        <rFont val="JRFonts"/>
        <charset val="134"/>
      </rPr>
      <t>09-07-2026 10:12</t>
    </r>
  </si>
  <si>
    <r>
      <rPr>
        <sz val="10"/>
        <color rgb="FF000000"/>
        <rFont val="JRFonts"/>
        <charset val="134"/>
      </rPr>
      <t>09-07-2026 12:04</t>
    </r>
  </si>
  <si>
    <r>
      <rPr>
        <sz val="10"/>
        <color rgb="FF000000"/>
        <rFont val="JRFonts"/>
        <charset val="134"/>
      </rPr>
      <t>09-07-2026 10:28</t>
    </r>
  </si>
  <si>
    <r>
      <rPr>
        <sz val="10"/>
        <color rgb="FF0000FF"/>
        <rFont val="JRFonts"/>
        <charset val="134"/>
      </rPr>
      <t>19991</t>
    </r>
  </si>
  <si>
    <r>
      <rPr>
        <sz val="10"/>
        <color rgb="FF000000"/>
        <rFont val="JRFonts"/>
        <charset val="134"/>
      </rPr>
      <t>09-07-2026 10:21</t>
    </r>
  </si>
  <si>
    <r>
      <rPr>
        <sz val="10"/>
        <color rgb="FF000000"/>
        <rFont val="JRFonts"/>
        <charset val="134"/>
      </rPr>
      <t>13-07-2026 14:03</t>
    </r>
  </si>
  <si>
    <r>
      <rPr>
        <sz val="10"/>
        <color rgb="FF000000"/>
        <rFont val="JRFonts"/>
        <charset val="134"/>
      </rPr>
      <t>09-07-2026 10:26</t>
    </r>
  </si>
  <si>
    <t>19991</t>
  </si>
  <si>
    <r>
      <rPr>
        <sz val="10"/>
        <color rgb="FF0000FF"/>
        <rFont val="JRFonts"/>
        <charset val="134"/>
      </rPr>
      <t>19992</t>
    </r>
  </si>
  <si>
    <r>
      <rPr>
        <sz val="10"/>
        <color rgb="FF000000"/>
        <rFont val="JRFonts"/>
        <charset val="134"/>
      </rPr>
      <t>09-07-2026 10:24</t>
    </r>
  </si>
  <si>
    <r>
      <rPr>
        <sz val="10"/>
        <color rgb="FF000000"/>
        <rFont val="JRFonts"/>
        <charset val="134"/>
      </rPr>
      <t>09-07-2026 11:41</t>
    </r>
  </si>
  <si>
    <r>
      <rPr>
        <sz val="10"/>
        <color rgb="FF000000"/>
        <rFont val="JRFonts"/>
        <charset val="134"/>
      </rPr>
      <t>09-07-2026 10:36</t>
    </r>
  </si>
  <si>
    <r>
      <rPr>
        <sz val="10"/>
        <color rgb="FF0000FF"/>
        <rFont val="JRFonts"/>
        <charset val="134"/>
      </rPr>
      <t>19993</t>
    </r>
  </si>
  <si>
    <r>
      <rPr>
        <sz val="10"/>
        <color rgb="FF000000"/>
        <rFont val="JRFonts"/>
        <charset val="134"/>
      </rPr>
      <t>09-07-2026 11:36</t>
    </r>
  </si>
  <si>
    <r>
      <rPr>
        <sz val="10"/>
        <color rgb="FF000000"/>
        <rFont val="JRFonts"/>
        <charset val="134"/>
      </rPr>
      <t>09-07-2026 10:38</t>
    </r>
  </si>
  <si>
    <r>
      <rPr>
        <sz val="10"/>
        <color rgb="FF0000FF"/>
        <rFont val="JRFonts"/>
        <charset val="134"/>
      </rPr>
      <t>19994</t>
    </r>
  </si>
  <si>
    <r>
      <rPr>
        <sz val="10"/>
        <color rgb="FF000000"/>
        <rFont val="JRFonts"/>
        <charset val="134"/>
      </rPr>
      <t>09-07-2026 10:31</t>
    </r>
  </si>
  <si>
    <r>
      <rPr>
        <sz val="10"/>
        <color rgb="FF000000"/>
        <rFont val="JRFonts"/>
        <charset val="134"/>
      </rPr>
      <t>09-07-2026 11:48</t>
    </r>
  </si>
  <si>
    <r>
      <rPr>
        <sz val="10"/>
        <color rgb="FF000000"/>
        <rFont val="JRFonts"/>
        <charset val="134"/>
      </rPr>
      <t>09-07-2026 10:40</t>
    </r>
  </si>
  <si>
    <r>
      <rPr>
        <sz val="10"/>
        <color rgb="FF0000FF"/>
        <rFont val="JRFonts"/>
        <charset val="134"/>
      </rPr>
      <t>19996</t>
    </r>
  </si>
  <si>
    <r>
      <rPr>
        <sz val="10"/>
        <color rgb="FF000000"/>
        <rFont val="JRFonts"/>
        <charset val="134"/>
      </rPr>
      <t>10-07-2026 11:07</t>
    </r>
  </si>
  <si>
    <r>
      <rPr>
        <sz val="10"/>
        <color rgb="FF000000"/>
        <rFont val="JRFonts"/>
        <charset val="134"/>
      </rPr>
      <t>09-07-2026 10:55</t>
    </r>
  </si>
  <si>
    <r>
      <rPr>
        <sz val="10"/>
        <color rgb="FF0000FF"/>
        <rFont val="JRFonts"/>
        <charset val="134"/>
      </rPr>
      <t>19998</t>
    </r>
  </si>
  <si>
    <r>
      <rPr>
        <sz val="10"/>
        <color rgb="FF000000"/>
        <rFont val="JRFonts"/>
        <charset val="134"/>
      </rPr>
      <t>09-07-2026 10:52</t>
    </r>
  </si>
  <si>
    <r>
      <rPr>
        <sz val="10"/>
        <color rgb="FF000000"/>
        <rFont val="JRFonts"/>
        <charset val="134"/>
      </rPr>
      <t>09-07-2026 11:27</t>
    </r>
  </si>
  <si>
    <r>
      <rPr>
        <sz val="10"/>
        <color rgb="FF000000"/>
        <rFont val="JRFonts"/>
        <charset val="134"/>
      </rPr>
      <t>09-07-2026 10:56</t>
    </r>
  </si>
  <si>
    <r>
      <rPr>
        <sz val="10"/>
        <color rgb="FF0000FF"/>
        <rFont val="JRFonts"/>
        <charset val="134"/>
      </rPr>
      <t>20000</t>
    </r>
  </si>
  <si>
    <r>
      <rPr>
        <sz val="10"/>
        <color rgb="FF000000"/>
        <rFont val="JRFonts"/>
        <charset val="134"/>
      </rPr>
      <t>09-07-2026 10:58</t>
    </r>
  </si>
  <si>
    <r>
      <rPr>
        <sz val="10"/>
        <color rgb="FF000000"/>
        <rFont val="JRFonts"/>
        <charset val="134"/>
      </rPr>
      <t>31-07-2026 11:26</t>
    </r>
  </si>
  <si>
    <r>
      <rPr>
        <sz val="10"/>
        <color rgb="FF000000"/>
        <rFont val="JRFonts"/>
        <charset val="134"/>
      </rPr>
      <t>09-07-2026 11:43</t>
    </r>
  </si>
  <si>
    <t>20000</t>
  </si>
  <si>
    <r>
      <rPr>
        <sz val="10"/>
        <color rgb="FF0000FF"/>
        <rFont val="JRFonts"/>
        <charset val="134"/>
      </rPr>
      <t>20003</t>
    </r>
  </si>
  <si>
    <r>
      <rPr>
        <sz val="10"/>
        <color rgb="FF000000"/>
        <rFont val="JRFonts"/>
        <charset val="134"/>
      </rPr>
      <t>09-07-2026 11:07</t>
    </r>
  </si>
  <si>
    <r>
      <rPr>
        <sz val="10"/>
        <color rgb="FF000000"/>
        <rFont val="JRFonts"/>
        <charset val="134"/>
      </rPr>
      <t>09-07-2026 12:07</t>
    </r>
  </si>
  <si>
    <r>
      <rPr>
        <sz val="10"/>
        <color rgb="FF000000"/>
        <rFont val="JRFonts"/>
        <charset val="134"/>
      </rPr>
      <t>09-07-2026 11:59</t>
    </r>
  </si>
  <si>
    <r>
      <rPr>
        <sz val="10"/>
        <color rgb="FF0000FF"/>
        <rFont val="JRFonts"/>
        <charset val="134"/>
      </rPr>
      <t>20004</t>
    </r>
  </si>
  <si>
    <r>
      <rPr>
        <sz val="10"/>
        <color rgb="FF000000"/>
        <rFont val="JRFonts"/>
        <charset val="134"/>
      </rPr>
      <t>09-07-2026 11:16</t>
    </r>
  </si>
  <si>
    <r>
      <rPr>
        <sz val="10"/>
        <color rgb="FF000000"/>
        <rFont val="JRFonts"/>
        <charset val="134"/>
      </rPr>
      <t>05-08-2026 18:02</t>
    </r>
  </si>
  <si>
    <r>
      <rPr>
        <sz val="10"/>
        <color rgb="FF000000"/>
        <rFont val="JRFonts"/>
        <charset val="134"/>
      </rPr>
      <t>09-07-2026 11:47</t>
    </r>
  </si>
  <si>
    <t>20004</t>
  </si>
  <si>
    <r>
      <rPr>
        <sz val="10"/>
        <color rgb="FF0000FF"/>
        <rFont val="JRFonts"/>
        <charset val="134"/>
      </rPr>
      <t>20005</t>
    </r>
  </si>
  <si>
    <r>
      <rPr>
        <sz val="10"/>
        <color rgb="FF000000"/>
        <rFont val="JRFonts"/>
        <charset val="134"/>
      </rPr>
      <t>09-07-2026 11:23</t>
    </r>
  </si>
  <si>
    <r>
      <rPr>
        <sz val="10"/>
        <color rgb="FF000000"/>
        <rFont val="JRFonts"/>
        <charset val="134"/>
      </rPr>
      <t>09-07-2026 18:23</t>
    </r>
  </si>
  <si>
    <r>
      <rPr>
        <sz val="10"/>
        <color rgb="FF000000"/>
        <rFont val="JRFonts"/>
        <charset val="134"/>
      </rPr>
      <t>09-07-2026 14:46</t>
    </r>
  </si>
  <si>
    <r>
      <rPr>
        <sz val="10"/>
        <color rgb="FF0000FF"/>
        <rFont val="JRFonts"/>
        <charset val="134"/>
      </rPr>
      <t>20009</t>
    </r>
  </si>
  <si>
    <r>
      <rPr>
        <sz val="10"/>
        <color rgb="FF000000"/>
        <rFont val="JRFonts"/>
        <charset val="134"/>
      </rPr>
      <t>13-07-2026 14:07</t>
    </r>
  </si>
  <si>
    <r>
      <rPr>
        <sz val="10"/>
        <color rgb="FF000000"/>
        <rFont val="JRFonts"/>
        <charset val="134"/>
      </rPr>
      <t>09-07-2026 12:00</t>
    </r>
  </si>
  <si>
    <t>20009</t>
  </si>
  <si>
    <r>
      <rPr>
        <sz val="10"/>
        <color rgb="FF0000FF"/>
        <rFont val="JRFonts"/>
        <charset val="134"/>
      </rPr>
      <t>20011</t>
    </r>
  </si>
  <si>
    <r>
      <rPr>
        <sz val="10"/>
        <color rgb="FF000000"/>
        <rFont val="JRFonts"/>
        <charset val="134"/>
      </rPr>
      <t>06-08-2026 14:51</t>
    </r>
  </si>
  <si>
    <r>
      <rPr>
        <sz val="10"/>
        <color rgb="FF000000"/>
        <rFont val="JRFonts"/>
        <charset val="134"/>
      </rPr>
      <t>09-07-2026 12:01</t>
    </r>
  </si>
  <si>
    <t>20011</t>
  </si>
  <si>
    <r>
      <rPr>
        <sz val="10"/>
        <color rgb="FF0000FF"/>
        <rFont val="JRFonts"/>
        <charset val="134"/>
      </rPr>
      <t>20014</t>
    </r>
  </si>
  <si>
    <r>
      <rPr>
        <sz val="10"/>
        <color rgb="FF000000"/>
        <rFont val="JRFonts"/>
        <charset val="134"/>
      </rPr>
      <t>09-07-2026 16:38</t>
    </r>
  </si>
  <si>
    <r>
      <rPr>
        <sz val="10"/>
        <color rgb="FF000000"/>
        <rFont val="JRFonts"/>
        <charset val="134"/>
      </rPr>
      <t>09-07-2026 12:32</t>
    </r>
  </si>
  <si>
    <r>
      <rPr>
        <sz val="10"/>
        <color rgb="FF0000FF"/>
        <rFont val="JRFonts"/>
        <charset val="134"/>
      </rPr>
      <t>20016</t>
    </r>
  </si>
  <si>
    <r>
      <rPr>
        <sz val="10"/>
        <color rgb="FF000000"/>
        <rFont val="JRFonts"/>
        <charset val="134"/>
      </rPr>
      <t>09-07-2026 12:21</t>
    </r>
  </si>
  <si>
    <r>
      <rPr>
        <sz val="10"/>
        <color rgb="FF000000"/>
        <rFont val="JRFonts"/>
        <charset val="134"/>
      </rPr>
      <t>09-07-2026 15:21</t>
    </r>
  </si>
  <si>
    <r>
      <rPr>
        <sz val="10"/>
        <color rgb="FF000000"/>
        <rFont val="JRFonts"/>
        <charset val="134"/>
      </rPr>
      <t>09-07-2026 12:24</t>
    </r>
  </si>
  <si>
    <r>
      <rPr>
        <sz val="10"/>
        <color rgb="FF0000FF"/>
        <rFont val="JRFonts"/>
        <charset val="134"/>
      </rPr>
      <t>20018</t>
    </r>
  </si>
  <si>
    <r>
      <rPr>
        <sz val="10"/>
        <color rgb="FF000000"/>
        <rFont val="JRFonts"/>
        <charset val="134"/>
      </rPr>
      <t>09-07-2026 12:33</t>
    </r>
  </si>
  <si>
    <r>
      <rPr>
        <sz val="10"/>
        <color rgb="FF000000"/>
        <rFont val="JRFonts"/>
        <charset val="134"/>
      </rPr>
      <t>17-07-2026 11:00</t>
    </r>
  </si>
  <si>
    <r>
      <rPr>
        <sz val="10"/>
        <color rgb="FF000000"/>
        <rFont val="JRFonts"/>
        <charset val="134"/>
      </rPr>
      <t>09-07-2026 12:39</t>
    </r>
  </si>
  <si>
    <t>20018</t>
  </si>
  <si>
    <r>
      <rPr>
        <sz val="10"/>
        <color rgb="FF0000FF"/>
        <rFont val="JRFonts"/>
        <charset val="134"/>
      </rPr>
      <t>20019</t>
    </r>
  </si>
  <si>
    <r>
      <rPr>
        <sz val="10"/>
        <color rgb="FF000000"/>
        <rFont val="JRFonts"/>
        <charset val="134"/>
      </rPr>
      <t>09-07-2026 12:46</t>
    </r>
  </si>
  <si>
    <r>
      <rPr>
        <sz val="10"/>
        <color rgb="FF000000"/>
        <rFont val="JRFonts"/>
        <charset val="134"/>
      </rPr>
      <t>09-07-2026 12:41</t>
    </r>
  </si>
  <si>
    <r>
      <rPr>
        <sz val="10"/>
        <color rgb="FF0000FF"/>
        <rFont val="JRFonts"/>
        <charset val="134"/>
      </rPr>
      <t>20021</t>
    </r>
  </si>
  <si>
    <r>
      <rPr>
        <sz val="10"/>
        <color rgb="FF000000"/>
        <rFont val="JRFonts"/>
        <charset val="134"/>
      </rPr>
      <t>09-07-2026 12:37</t>
    </r>
  </si>
  <si>
    <r>
      <rPr>
        <sz val="10"/>
        <color rgb="FF000000"/>
        <rFont val="JRFonts"/>
        <charset val="134"/>
      </rPr>
      <t>29-07-2026 12:48</t>
    </r>
  </si>
  <si>
    <r>
      <rPr>
        <sz val="10"/>
        <color rgb="FF000000"/>
        <rFont val="JRFonts"/>
        <charset val="134"/>
      </rPr>
      <t>09-07-2026 12:43</t>
    </r>
  </si>
  <si>
    <t>20021</t>
  </si>
  <si>
    <r>
      <rPr>
        <sz val="10"/>
        <color rgb="FF0000FF"/>
        <rFont val="JRFonts"/>
        <charset val="134"/>
      </rPr>
      <t>20023</t>
    </r>
  </si>
  <si>
    <r>
      <rPr>
        <sz val="10"/>
        <color rgb="FF000000"/>
        <rFont val="JRFonts"/>
        <charset val="134"/>
      </rPr>
      <t>09-07-2026 12:40</t>
    </r>
  </si>
  <si>
    <r>
      <rPr>
        <sz val="10"/>
        <color rgb="FF000000"/>
        <rFont val="JRFonts"/>
        <charset val="134"/>
      </rPr>
      <t>09-07-2026 14:21</t>
    </r>
  </si>
  <si>
    <r>
      <rPr>
        <sz val="10"/>
        <color rgb="FF000000"/>
        <rFont val="JRFonts"/>
        <charset val="134"/>
      </rPr>
      <t>09-07-2026 12:44</t>
    </r>
  </si>
  <si>
    <r>
      <rPr>
        <sz val="10"/>
        <color rgb="FF0000FF"/>
        <rFont val="JRFonts"/>
        <charset val="134"/>
      </rPr>
      <t>20024</t>
    </r>
  </si>
  <si>
    <r>
      <rPr>
        <sz val="10"/>
        <color rgb="FF000000"/>
        <rFont val="JRFonts"/>
        <charset val="134"/>
      </rPr>
      <t>09-07-2026 12:59</t>
    </r>
  </si>
  <si>
    <r>
      <rPr>
        <sz val="10"/>
        <color rgb="FF000000"/>
        <rFont val="JRFonts"/>
        <charset val="134"/>
      </rPr>
      <t>09-07-2026 12:53</t>
    </r>
  </si>
  <si>
    <r>
      <rPr>
        <sz val="10"/>
        <color rgb="FF0000FF"/>
        <rFont val="JRFonts"/>
        <charset val="134"/>
      </rPr>
      <t>20025</t>
    </r>
  </si>
  <si>
    <r>
      <rPr>
        <sz val="10"/>
        <color rgb="FF000000"/>
        <rFont val="JRFonts"/>
        <charset val="134"/>
      </rPr>
      <t>17-07-2026 11:01</t>
    </r>
  </si>
  <si>
    <r>
      <rPr>
        <sz val="10"/>
        <color rgb="FF000000"/>
        <rFont val="JRFonts"/>
        <charset val="134"/>
      </rPr>
      <t>09-07-2026 12:51</t>
    </r>
  </si>
  <si>
    <t>20025</t>
  </si>
  <si>
    <r>
      <rPr>
        <sz val="10"/>
        <color rgb="FF0000FF"/>
        <rFont val="JRFonts"/>
        <charset val="134"/>
      </rPr>
      <t>20027</t>
    </r>
  </si>
  <si>
    <r>
      <rPr>
        <sz val="10"/>
        <color rgb="FF000000"/>
        <rFont val="JRFonts"/>
        <charset val="134"/>
      </rPr>
      <t>09-07-2026 13:04</t>
    </r>
  </si>
  <si>
    <r>
      <rPr>
        <sz val="10"/>
        <color rgb="FF000000"/>
        <rFont val="JRFonts"/>
        <charset val="134"/>
      </rPr>
      <t>09-07-2026 15:18</t>
    </r>
  </si>
  <si>
    <r>
      <rPr>
        <sz val="10"/>
        <color rgb="FF000000"/>
        <rFont val="JRFonts"/>
        <charset val="134"/>
      </rPr>
      <t>09-07-2026 13:42</t>
    </r>
  </si>
  <si>
    <r>
      <rPr>
        <sz val="10"/>
        <color rgb="FF0000FF"/>
        <rFont val="JRFonts"/>
        <charset val="134"/>
      </rPr>
      <t>20028</t>
    </r>
  </si>
  <si>
    <r>
      <rPr>
        <sz val="10"/>
        <color rgb="FF000000"/>
        <rFont val="JRFonts"/>
        <charset val="134"/>
      </rPr>
      <t>09-07-2026 13:07</t>
    </r>
  </si>
  <si>
    <r>
      <rPr>
        <sz val="10"/>
        <color rgb="FF000000"/>
        <rFont val="JRFonts"/>
        <charset val="134"/>
      </rPr>
      <t>09-07-2026 15:34</t>
    </r>
  </si>
  <si>
    <r>
      <rPr>
        <sz val="10"/>
        <color rgb="FF000000"/>
        <rFont val="JRFonts"/>
        <charset val="134"/>
      </rPr>
      <t>09-07-2026 13:43</t>
    </r>
  </si>
  <si>
    <r>
      <rPr>
        <sz val="10"/>
        <color rgb="FF0000FF"/>
        <rFont val="JRFonts"/>
        <charset val="134"/>
      </rPr>
      <t>20029</t>
    </r>
  </si>
  <si>
    <r>
      <rPr>
        <sz val="10"/>
        <color rgb="FF000000"/>
        <rFont val="JRFonts"/>
        <charset val="134"/>
      </rPr>
      <t>09-07-2026 13:10</t>
    </r>
  </si>
  <si>
    <r>
      <rPr>
        <sz val="10"/>
        <color rgb="FF000000"/>
        <rFont val="JRFonts"/>
        <charset val="134"/>
      </rPr>
      <t>09-07-2026 14:45</t>
    </r>
  </si>
  <si>
    <r>
      <rPr>
        <sz val="10"/>
        <color rgb="FF000000"/>
        <rFont val="JRFonts"/>
        <charset val="134"/>
      </rPr>
      <t>09-07-2026 13:45</t>
    </r>
  </si>
  <si>
    <r>
      <rPr>
        <sz val="10"/>
        <color rgb="FF0000FF"/>
        <rFont val="JRFonts"/>
        <charset val="134"/>
      </rPr>
      <t>20030</t>
    </r>
  </si>
  <si>
    <r>
      <rPr>
        <sz val="10"/>
        <color rgb="FF000000"/>
        <rFont val="JRFonts"/>
        <charset val="134"/>
      </rPr>
      <t>09-07-2026 13:19</t>
    </r>
  </si>
  <si>
    <r>
      <rPr>
        <sz val="10"/>
        <color rgb="FF000000"/>
        <rFont val="JRFonts"/>
        <charset val="134"/>
      </rPr>
      <t>10-07-2026 13:01</t>
    </r>
  </si>
  <si>
    <r>
      <rPr>
        <sz val="10"/>
        <color rgb="FF000000"/>
        <rFont val="JRFonts"/>
        <charset val="134"/>
      </rPr>
      <t>09-07-2026 15:38</t>
    </r>
  </si>
  <si>
    <r>
      <rPr>
        <sz val="10"/>
        <color rgb="FF0000FF"/>
        <rFont val="JRFonts"/>
        <charset val="134"/>
      </rPr>
      <t>20031</t>
    </r>
  </si>
  <si>
    <r>
      <rPr>
        <sz val="10"/>
        <color rgb="FF000000"/>
        <rFont val="JRFonts"/>
        <charset val="134"/>
      </rPr>
      <t>17-07-2026 12:07</t>
    </r>
  </si>
  <si>
    <r>
      <rPr>
        <sz val="10"/>
        <color rgb="FF000000"/>
        <rFont val="JRFonts"/>
        <charset val="134"/>
      </rPr>
      <t>09-07-2026 13:46</t>
    </r>
  </si>
  <si>
    <t>20031</t>
  </si>
  <si>
    <r>
      <rPr>
        <sz val="10"/>
        <color rgb="FF0000FF"/>
        <rFont val="JRFonts"/>
        <charset val="134"/>
      </rPr>
      <t>20034</t>
    </r>
  </si>
  <si>
    <r>
      <rPr>
        <sz val="10"/>
        <color rgb="FF000000"/>
        <rFont val="JRFonts"/>
        <charset val="134"/>
      </rPr>
      <t>09-07-2026 13:56</t>
    </r>
  </si>
  <si>
    <r>
      <rPr>
        <sz val="10"/>
        <color rgb="FF000000"/>
        <rFont val="JRFonts"/>
        <charset val="134"/>
      </rPr>
      <t>09-07-2026 17:39</t>
    </r>
  </si>
  <si>
    <r>
      <rPr>
        <sz val="10"/>
        <color rgb="FF000000"/>
        <rFont val="JRFonts"/>
        <charset val="134"/>
      </rPr>
      <t>09-07-2026 14:12</t>
    </r>
  </si>
  <si>
    <r>
      <rPr>
        <sz val="10"/>
        <color rgb="FF0000FF"/>
        <rFont val="JRFonts"/>
        <charset val="134"/>
      </rPr>
      <t>20036</t>
    </r>
  </si>
  <si>
    <r>
      <rPr>
        <sz val="10"/>
        <color rgb="FF000000"/>
        <rFont val="JRFonts"/>
        <charset val="134"/>
      </rPr>
      <t>09-07-2026 14:11</t>
    </r>
  </si>
  <si>
    <r>
      <rPr>
        <sz val="10"/>
        <color rgb="FF000000"/>
        <rFont val="JRFonts"/>
        <charset val="134"/>
      </rPr>
      <t>09-07-2026 17:36</t>
    </r>
  </si>
  <si>
    <r>
      <rPr>
        <sz val="10"/>
        <color rgb="FF000000"/>
        <rFont val="JRFonts"/>
        <charset val="134"/>
      </rPr>
      <t>09-07-2026 14:16</t>
    </r>
  </si>
  <si>
    <r>
      <rPr>
        <sz val="10"/>
        <color rgb="FF0000FF"/>
        <rFont val="JRFonts"/>
        <charset val="134"/>
      </rPr>
      <t>20038</t>
    </r>
  </si>
  <si>
    <r>
      <rPr>
        <sz val="10"/>
        <color rgb="FF000000"/>
        <rFont val="JRFonts"/>
        <charset val="134"/>
      </rPr>
      <t>09-07-2026 14:23</t>
    </r>
  </si>
  <si>
    <r>
      <rPr>
        <sz val="10"/>
        <color rgb="FF000000"/>
        <rFont val="JRFonts"/>
        <charset val="134"/>
      </rPr>
      <t>13-07-2026 14:02</t>
    </r>
  </si>
  <si>
    <r>
      <rPr>
        <sz val="10"/>
        <color rgb="FF000000"/>
        <rFont val="JRFonts"/>
        <charset val="134"/>
      </rPr>
      <t>09-07-2026 14:28</t>
    </r>
  </si>
  <si>
    <r>
      <rPr>
        <sz val="10"/>
        <color rgb="FF0000FF"/>
        <rFont val="JRFonts"/>
        <charset val="134"/>
      </rPr>
      <t>20039</t>
    </r>
  </si>
  <si>
    <r>
      <rPr>
        <sz val="10"/>
        <color rgb="FF000000"/>
        <rFont val="JRFonts"/>
        <charset val="134"/>
      </rPr>
      <t>09-07-2026 14:26</t>
    </r>
  </si>
  <si>
    <r>
      <rPr>
        <sz val="10"/>
        <color rgb="FF000000"/>
        <rFont val="JRFonts"/>
        <charset val="134"/>
      </rPr>
      <t>09-07-2026 17:57</t>
    </r>
  </si>
  <si>
    <r>
      <rPr>
        <sz val="10"/>
        <color rgb="FF000000"/>
        <rFont val="JRFonts"/>
        <charset val="134"/>
      </rPr>
      <t>09-07-2026 14:30</t>
    </r>
  </si>
  <si>
    <r>
      <rPr>
        <sz val="10"/>
        <color rgb="FF0000FF"/>
        <rFont val="JRFonts"/>
        <charset val="134"/>
      </rPr>
      <t>20040</t>
    </r>
  </si>
  <si>
    <r>
      <rPr>
        <sz val="10"/>
        <color rgb="FF000000"/>
        <rFont val="JRFonts"/>
        <charset val="134"/>
      </rPr>
      <t>09-07-2026 17:16</t>
    </r>
  </si>
  <si>
    <r>
      <rPr>
        <sz val="10"/>
        <color rgb="FF000000"/>
        <rFont val="JRFonts"/>
        <charset val="134"/>
      </rPr>
      <t>09-07-2026 16:05</t>
    </r>
  </si>
  <si>
    <r>
      <rPr>
        <sz val="10"/>
        <color rgb="FF0000FF"/>
        <rFont val="JRFonts"/>
        <charset val="134"/>
      </rPr>
      <t>20041</t>
    </r>
  </si>
  <si>
    <r>
      <rPr>
        <sz val="10"/>
        <color rgb="FF000000"/>
        <rFont val="JRFonts"/>
        <charset val="134"/>
      </rPr>
      <t>09-07-2026 14:48</t>
    </r>
  </si>
  <si>
    <r>
      <rPr>
        <sz val="10"/>
        <color rgb="FF000000"/>
        <rFont val="JRFonts"/>
        <charset val="134"/>
      </rPr>
      <t>09-07-2026 15:23</t>
    </r>
  </si>
  <si>
    <r>
      <rPr>
        <sz val="10"/>
        <color rgb="FF000000"/>
        <rFont val="JRFonts"/>
        <charset val="134"/>
      </rPr>
      <t>09-07-2026 14:52</t>
    </r>
  </si>
  <si>
    <r>
      <rPr>
        <sz val="10"/>
        <color rgb="FF0000FF"/>
        <rFont val="JRFonts"/>
        <charset val="134"/>
      </rPr>
      <t>20042</t>
    </r>
  </si>
  <si>
    <r>
      <rPr>
        <sz val="10"/>
        <color rgb="FF000000"/>
        <rFont val="JRFonts"/>
        <charset val="134"/>
      </rPr>
      <t>09-07-2026 14:51</t>
    </r>
  </si>
  <si>
    <r>
      <rPr>
        <sz val="10"/>
        <color rgb="FF000000"/>
        <rFont val="JRFonts"/>
        <charset val="134"/>
      </rPr>
      <t>04-08-2026 14:52</t>
    </r>
  </si>
  <si>
    <r>
      <rPr>
        <sz val="10"/>
        <color rgb="FF000000"/>
        <rFont val="JRFonts"/>
        <charset val="134"/>
      </rPr>
      <t>09-07-2026 14:58</t>
    </r>
  </si>
  <si>
    <t>20042</t>
  </si>
  <si>
    <r>
      <rPr>
        <sz val="10"/>
        <color rgb="FF0000FF"/>
        <rFont val="JRFonts"/>
        <charset val="134"/>
      </rPr>
      <t>20046</t>
    </r>
  </si>
  <si>
    <r>
      <rPr>
        <sz val="10"/>
        <color rgb="FF000000"/>
        <rFont val="JRFonts"/>
        <charset val="134"/>
      </rPr>
      <t>09-07-2026 15:09</t>
    </r>
  </si>
  <si>
    <r>
      <rPr>
        <sz val="10"/>
        <color rgb="FF000000"/>
        <rFont val="JRFonts"/>
        <charset val="134"/>
      </rPr>
      <t>10-07-2026 12:46</t>
    </r>
  </si>
  <si>
    <r>
      <rPr>
        <sz val="10"/>
        <color rgb="FF000000"/>
        <rFont val="JRFonts"/>
        <charset val="134"/>
      </rPr>
      <t>09-07-2026 15:25</t>
    </r>
  </si>
  <si>
    <r>
      <rPr>
        <sz val="10"/>
        <color rgb="FF0000FF"/>
        <rFont val="JRFonts"/>
        <charset val="134"/>
      </rPr>
      <t>20048</t>
    </r>
  </si>
  <si>
    <r>
      <rPr>
        <sz val="10"/>
        <color rgb="FF000000"/>
        <rFont val="JRFonts"/>
        <charset val="134"/>
      </rPr>
      <t>09-07-2026 15:31</t>
    </r>
  </si>
  <si>
    <r>
      <rPr>
        <sz val="10"/>
        <color rgb="FF000000"/>
        <rFont val="JRFonts"/>
        <charset val="134"/>
      </rPr>
      <t>14-07-2026 10:48</t>
    </r>
  </si>
  <si>
    <r>
      <rPr>
        <sz val="10"/>
        <color rgb="FF000000"/>
        <rFont val="JRFonts"/>
        <charset val="134"/>
      </rPr>
      <t>14-07-2026 10:20</t>
    </r>
  </si>
  <si>
    <r>
      <rPr>
        <sz val="10"/>
        <color rgb="FF0000FF"/>
        <rFont val="JRFonts"/>
        <charset val="134"/>
      </rPr>
      <t>20049</t>
    </r>
  </si>
  <si>
    <r>
      <rPr>
        <sz val="10"/>
        <color rgb="FF000000"/>
        <rFont val="JRFonts"/>
        <charset val="134"/>
      </rPr>
      <t>09-07-2026 16:16</t>
    </r>
  </si>
  <si>
    <r>
      <rPr>
        <sz val="10"/>
        <color rgb="FF000000"/>
        <rFont val="JRFonts"/>
        <charset val="134"/>
      </rPr>
      <t>09-07-2026 15:48</t>
    </r>
  </si>
  <si>
    <r>
      <rPr>
        <sz val="10"/>
        <color rgb="FF0000FF"/>
        <rFont val="JRFonts"/>
        <charset val="134"/>
      </rPr>
      <t>20051</t>
    </r>
  </si>
  <si>
    <r>
      <rPr>
        <sz val="10"/>
        <color rgb="FF000000"/>
        <rFont val="JRFonts"/>
        <charset val="134"/>
      </rPr>
      <t>09-07-2026 15:43</t>
    </r>
  </si>
  <si>
    <r>
      <rPr>
        <sz val="10"/>
        <color rgb="FF000000"/>
        <rFont val="JRFonts"/>
        <charset val="134"/>
      </rPr>
      <t>06-08-2026 13:02</t>
    </r>
  </si>
  <si>
    <r>
      <rPr>
        <sz val="10"/>
        <color rgb="FF000000"/>
        <rFont val="JRFonts"/>
        <charset val="134"/>
      </rPr>
      <t>09-07-2026 16:10</t>
    </r>
  </si>
  <si>
    <t>20051</t>
  </si>
  <si>
    <r>
      <rPr>
        <sz val="10"/>
        <color rgb="FF0000FF"/>
        <rFont val="JRFonts"/>
        <charset val="134"/>
      </rPr>
      <t>20052</t>
    </r>
  </si>
  <si>
    <r>
      <rPr>
        <sz val="10"/>
        <color rgb="FF000000"/>
        <rFont val="JRFonts"/>
        <charset val="134"/>
      </rPr>
      <t>09-07-2026 15:52</t>
    </r>
  </si>
  <si>
    <r>
      <rPr>
        <sz val="10"/>
        <color rgb="FF000000"/>
        <rFont val="JRFonts"/>
        <charset val="134"/>
      </rPr>
      <t>09-07-2026 17:30</t>
    </r>
  </si>
  <si>
    <r>
      <rPr>
        <sz val="10"/>
        <color rgb="FF000000"/>
        <rFont val="JRFonts"/>
        <charset val="134"/>
      </rPr>
      <t>09-07-2026 15:57</t>
    </r>
  </si>
  <si>
    <r>
      <rPr>
        <sz val="10"/>
        <color rgb="FF0000FF"/>
        <rFont val="JRFonts"/>
        <charset val="134"/>
      </rPr>
      <t>20053</t>
    </r>
  </si>
  <si>
    <r>
      <rPr>
        <sz val="10"/>
        <color rgb="FF000000"/>
        <rFont val="JRFonts"/>
        <charset val="134"/>
      </rPr>
      <t>09-07-2026 15:55</t>
    </r>
  </si>
  <si>
    <r>
      <rPr>
        <sz val="10"/>
        <color rgb="FF000000"/>
        <rFont val="JRFonts"/>
        <charset val="134"/>
      </rPr>
      <t>09-07-2026 17:26</t>
    </r>
  </si>
  <si>
    <r>
      <rPr>
        <sz val="10"/>
        <color rgb="FF000000"/>
        <rFont val="JRFonts"/>
        <charset val="134"/>
      </rPr>
      <t>09-07-2026 16:01</t>
    </r>
  </si>
  <si>
    <r>
      <rPr>
        <sz val="10"/>
        <color rgb="FF0000FF"/>
        <rFont val="JRFonts"/>
        <charset val="134"/>
      </rPr>
      <t>20054</t>
    </r>
  </si>
  <si>
    <r>
      <rPr>
        <sz val="10"/>
        <color rgb="FF000000"/>
        <rFont val="JRFonts"/>
        <charset val="134"/>
      </rPr>
      <t>09-07-2026 16:07</t>
    </r>
  </si>
  <si>
    <r>
      <rPr>
        <sz val="10"/>
        <color rgb="FF000000"/>
        <rFont val="JRFonts"/>
        <charset val="134"/>
      </rPr>
      <t>09-07-2026 17:24</t>
    </r>
  </si>
  <si>
    <r>
      <rPr>
        <sz val="10"/>
        <color rgb="FF000000"/>
        <rFont val="JRFonts"/>
        <charset val="134"/>
      </rPr>
      <t>09-07-2026 16:12</t>
    </r>
  </si>
  <si>
    <r>
      <rPr>
        <sz val="10"/>
        <color rgb="FF0000FF"/>
        <rFont val="JRFonts"/>
        <charset val="134"/>
      </rPr>
      <t>20055</t>
    </r>
  </si>
  <si>
    <r>
      <rPr>
        <sz val="10"/>
        <color rgb="FF000000"/>
        <rFont val="JRFonts"/>
        <charset val="134"/>
      </rPr>
      <t>09-07-2026 17:23</t>
    </r>
  </si>
  <si>
    <r>
      <rPr>
        <sz val="10"/>
        <color rgb="FF000000"/>
        <rFont val="JRFonts"/>
        <charset val="134"/>
      </rPr>
      <t>09-07-2026 16:13</t>
    </r>
  </si>
  <si>
    <r>
      <rPr>
        <sz val="10"/>
        <color rgb="FF0000FF"/>
        <rFont val="JRFonts"/>
        <charset val="134"/>
      </rPr>
      <t>20057</t>
    </r>
  </si>
  <si>
    <r>
      <rPr>
        <sz val="10"/>
        <color rgb="FF000000"/>
        <rFont val="JRFonts"/>
        <charset val="134"/>
      </rPr>
      <t>09-07-2026 16:14</t>
    </r>
  </si>
  <si>
    <r>
      <rPr>
        <sz val="10"/>
        <color rgb="FF000000"/>
        <rFont val="JRFonts"/>
        <charset val="134"/>
      </rPr>
      <t>09-07-2026 17:19</t>
    </r>
  </si>
  <si>
    <r>
      <rPr>
        <sz val="10"/>
        <color rgb="FF000000"/>
        <rFont val="JRFonts"/>
        <charset val="134"/>
      </rPr>
      <t>09-07-2026 16:32</t>
    </r>
  </si>
  <si>
    <r>
      <rPr>
        <sz val="10"/>
        <color rgb="FF0000FF"/>
        <rFont val="JRFonts"/>
        <charset val="134"/>
      </rPr>
      <t>20059</t>
    </r>
  </si>
  <si>
    <r>
      <rPr>
        <sz val="10"/>
        <color rgb="FF000000"/>
        <rFont val="JRFonts"/>
        <charset val="134"/>
      </rPr>
      <t>09-07-2026 16:20</t>
    </r>
  </si>
  <si>
    <r>
      <rPr>
        <sz val="10"/>
        <color rgb="FF000000"/>
        <rFont val="JRFonts"/>
        <charset val="134"/>
      </rPr>
      <t>09-07-2026 16:53</t>
    </r>
  </si>
  <si>
    <r>
      <rPr>
        <sz val="10"/>
        <color rgb="FF000000"/>
        <rFont val="JRFonts"/>
        <charset val="134"/>
      </rPr>
      <t>09-07-2026 16:33</t>
    </r>
  </si>
  <si>
    <r>
      <rPr>
        <sz val="10"/>
        <color rgb="FF0000FF"/>
        <rFont val="JRFonts"/>
        <charset val="134"/>
      </rPr>
      <t>20061</t>
    </r>
  </si>
  <si>
    <r>
      <rPr>
        <sz val="10"/>
        <color rgb="FF000000"/>
        <rFont val="JRFonts"/>
        <charset val="134"/>
      </rPr>
      <t>07-08-2026 10:13</t>
    </r>
  </si>
  <si>
    <r>
      <rPr>
        <sz val="10"/>
        <color rgb="FF000000"/>
        <rFont val="JRFonts"/>
        <charset val="134"/>
      </rPr>
      <t>09-07-2026 16:49</t>
    </r>
  </si>
  <si>
    <t>20061</t>
  </si>
  <si>
    <r>
      <rPr>
        <sz val="10"/>
        <color rgb="FF0000FF"/>
        <rFont val="JRFonts"/>
        <charset val="134"/>
      </rPr>
      <t>20063</t>
    </r>
  </si>
  <si>
    <r>
      <rPr>
        <sz val="10"/>
        <color rgb="FF000000"/>
        <rFont val="JRFonts"/>
        <charset val="134"/>
      </rPr>
      <t>09-07-2026 16:41</t>
    </r>
  </si>
  <si>
    <r>
      <rPr>
        <sz val="10"/>
        <color rgb="FF000000"/>
        <rFont val="JRFonts"/>
        <charset val="134"/>
      </rPr>
      <t>31-07-2026 17:47</t>
    </r>
  </si>
  <si>
    <r>
      <rPr>
        <sz val="10"/>
        <color rgb="FF000000"/>
        <rFont val="JRFonts"/>
        <charset val="134"/>
      </rPr>
      <t>09-07-2026 16:51</t>
    </r>
  </si>
  <si>
    <t>20063</t>
  </si>
  <si>
    <t>Vidya Lakshmi API issue</t>
  </si>
  <si>
    <r>
      <rPr>
        <sz val="10"/>
        <color rgb="FF0000FF"/>
        <rFont val="JRFonts"/>
        <charset val="134"/>
      </rPr>
      <t>20064</t>
    </r>
  </si>
  <si>
    <r>
      <rPr>
        <sz val="10"/>
        <color rgb="FF000000"/>
        <rFont val="JRFonts"/>
        <charset val="134"/>
      </rPr>
      <t>09-07-2026 16:44</t>
    </r>
  </si>
  <si>
    <r>
      <rPr>
        <sz val="10"/>
        <color rgb="FF000000"/>
        <rFont val="JRFonts"/>
        <charset val="134"/>
      </rPr>
      <t>06-08-2026 22:49</t>
    </r>
  </si>
  <si>
    <r>
      <rPr>
        <sz val="10"/>
        <color rgb="FF000000"/>
        <rFont val="JRFonts"/>
        <charset val="134"/>
      </rPr>
      <t>14-07-2026 10:24</t>
    </r>
  </si>
  <si>
    <t>20064</t>
  </si>
  <si>
    <r>
      <rPr>
        <sz val="10"/>
        <color rgb="FF0000FF"/>
        <rFont val="JRFonts"/>
        <charset val="134"/>
      </rPr>
      <t>20070</t>
    </r>
  </si>
  <si>
    <r>
      <rPr>
        <sz val="10"/>
        <color rgb="FF000000"/>
        <rFont val="JRFonts"/>
        <charset val="134"/>
      </rPr>
      <t>09-07-2026 17:18</t>
    </r>
  </si>
  <si>
    <r>
      <rPr>
        <sz val="10"/>
        <color rgb="FF000000"/>
        <rFont val="JRFonts"/>
        <charset val="134"/>
      </rPr>
      <t>09-07-2026 18:03</t>
    </r>
  </si>
  <si>
    <r>
      <rPr>
        <sz val="10"/>
        <color rgb="FF000000"/>
        <rFont val="JRFonts"/>
        <charset val="134"/>
      </rPr>
      <t>09-07-2026 17:31</t>
    </r>
  </si>
  <si>
    <r>
      <rPr>
        <sz val="10"/>
        <color rgb="FF0000FF"/>
        <rFont val="JRFonts"/>
        <charset val="134"/>
      </rPr>
      <t>20071</t>
    </r>
  </si>
  <si>
    <r>
      <rPr>
        <sz val="10"/>
        <color rgb="FF000000"/>
        <rFont val="JRFonts"/>
        <charset val="134"/>
      </rPr>
      <t>20-07-2026 11:02</t>
    </r>
  </si>
  <si>
    <r>
      <rPr>
        <sz val="10"/>
        <color rgb="FF000000"/>
        <rFont val="JRFonts"/>
        <charset val="134"/>
      </rPr>
      <t>09-07-2026 17:34</t>
    </r>
  </si>
  <si>
    <t>data provided with SLA , post reopened by business for discussion</t>
  </si>
  <si>
    <r>
      <rPr>
        <sz val="10"/>
        <color rgb="FF0000FF"/>
        <rFont val="JRFonts"/>
        <charset val="134"/>
      </rPr>
      <t>20072</t>
    </r>
  </si>
  <si>
    <r>
      <rPr>
        <sz val="10"/>
        <color rgb="FF000000"/>
        <rFont val="JRFonts"/>
        <charset val="134"/>
      </rPr>
      <t>09-07-2026 18:25</t>
    </r>
  </si>
  <si>
    <r>
      <rPr>
        <sz val="10"/>
        <color rgb="FF000000"/>
        <rFont val="JRFonts"/>
        <charset val="134"/>
      </rPr>
      <t>09-07-2026 18:11</t>
    </r>
  </si>
  <si>
    <r>
      <rPr>
        <sz val="10"/>
        <color rgb="FF0000FF"/>
        <rFont val="JRFonts"/>
        <charset val="134"/>
      </rPr>
      <t>20079</t>
    </r>
  </si>
  <si>
    <r>
      <rPr>
        <sz val="10"/>
        <color rgb="FF000000"/>
        <rFont val="JRFonts"/>
        <charset val="134"/>
      </rPr>
      <t>09-07-2026 18:53</t>
    </r>
  </si>
  <si>
    <r>
      <rPr>
        <sz val="10"/>
        <color rgb="FF000000"/>
        <rFont val="JRFonts"/>
        <charset val="134"/>
      </rPr>
      <t>10-07-2026 14:14</t>
    </r>
  </si>
  <si>
    <r>
      <rPr>
        <sz val="10"/>
        <color rgb="FF000000"/>
        <rFont val="JRFonts"/>
        <charset val="134"/>
      </rPr>
      <t>10-07-2026 10:23</t>
    </r>
  </si>
  <si>
    <r>
      <rPr>
        <sz val="10"/>
        <color rgb="FF0000FF"/>
        <rFont val="JRFonts"/>
        <charset val="134"/>
      </rPr>
      <t>20080</t>
    </r>
  </si>
  <si>
    <r>
      <rPr>
        <sz val="10"/>
        <color rgb="FF000000"/>
        <rFont val="JRFonts"/>
        <charset val="134"/>
      </rPr>
      <t>09-07-2026 18:56</t>
    </r>
  </si>
  <si>
    <r>
      <rPr>
        <sz val="10"/>
        <color rgb="FF000000"/>
        <rFont val="JRFonts"/>
        <charset val="134"/>
      </rPr>
      <t>14-07-2026 15:09</t>
    </r>
  </si>
  <si>
    <r>
      <rPr>
        <sz val="10"/>
        <color rgb="FF0000FF"/>
        <rFont val="JRFonts"/>
        <charset val="134"/>
      </rPr>
      <t>20083</t>
    </r>
  </si>
  <si>
    <r>
      <rPr>
        <sz val="10"/>
        <color rgb="FF000000"/>
        <rFont val="JRFonts"/>
        <charset val="134"/>
      </rPr>
      <t>09-07-2026 19:26</t>
    </r>
  </si>
  <si>
    <r>
      <rPr>
        <sz val="10"/>
        <color rgb="FF000000"/>
        <rFont val="JRFonts"/>
        <charset val="134"/>
      </rPr>
      <t>13-07-2026 16:48</t>
    </r>
  </si>
  <si>
    <r>
      <rPr>
        <sz val="10"/>
        <color rgb="FF000000"/>
        <rFont val="JRFonts"/>
        <charset val="134"/>
      </rPr>
      <t>10-07-2026 15:15</t>
    </r>
  </si>
  <si>
    <r>
      <rPr>
        <sz val="10"/>
        <color rgb="FF0000FF"/>
        <rFont val="JRFonts"/>
        <charset val="134"/>
      </rPr>
      <t>20085</t>
    </r>
  </si>
  <si>
    <r>
      <rPr>
        <sz val="10"/>
        <color rgb="FF000000"/>
        <rFont val="JRFonts"/>
        <charset val="134"/>
      </rPr>
      <t>09-07-2026 22:27</t>
    </r>
  </si>
  <si>
    <r>
      <rPr>
        <sz val="10"/>
        <color rgb="FF000000"/>
        <rFont val="JRFonts"/>
        <charset val="134"/>
      </rPr>
      <t>06-08-2026 19:10</t>
    </r>
  </si>
  <si>
    <r>
      <rPr>
        <sz val="10"/>
        <color rgb="FF000000"/>
        <rFont val="JRFonts"/>
        <charset val="134"/>
      </rPr>
      <t>10-07-2026 10:32</t>
    </r>
  </si>
  <si>
    <t>20085</t>
  </si>
  <si>
    <r>
      <rPr>
        <sz val="10"/>
        <color rgb="FF0000FF"/>
        <rFont val="JRFonts"/>
        <charset val="134"/>
      </rPr>
      <t>20087</t>
    </r>
  </si>
  <si>
    <r>
      <rPr>
        <sz val="10"/>
        <color rgb="FF000000"/>
        <rFont val="JRFonts"/>
        <charset val="134"/>
      </rPr>
      <t>10-07-2026 10:01</t>
    </r>
  </si>
  <si>
    <r>
      <rPr>
        <sz val="10"/>
        <color rgb="FF000000"/>
        <rFont val="JRFonts"/>
        <charset val="134"/>
      </rPr>
      <t>17-07-2026 18:11</t>
    </r>
  </si>
  <si>
    <r>
      <rPr>
        <sz val="10"/>
        <color rgb="FF000000"/>
        <rFont val="JRFonts"/>
        <charset val="134"/>
      </rPr>
      <t>10-07-2026 10:33</t>
    </r>
  </si>
  <si>
    <r>
      <rPr>
        <sz val="10"/>
        <color rgb="FF0000FF"/>
        <rFont val="JRFonts"/>
        <charset val="134"/>
      </rPr>
      <t>20088</t>
    </r>
  </si>
  <si>
    <r>
      <rPr>
        <sz val="10"/>
        <color rgb="FF000000"/>
        <rFont val="JRFonts"/>
        <charset val="134"/>
      </rPr>
      <t>10-07-2026 10:07</t>
    </r>
  </si>
  <si>
    <r>
      <rPr>
        <sz val="10"/>
        <color rgb="FF000000"/>
        <rFont val="JRFonts"/>
        <charset val="134"/>
      </rPr>
      <t>10-07-2026 11:54</t>
    </r>
  </si>
  <si>
    <r>
      <rPr>
        <sz val="10"/>
        <color rgb="FF000000"/>
        <rFont val="JRFonts"/>
        <charset val="134"/>
      </rPr>
      <t>10-07-2026 10:35</t>
    </r>
  </si>
  <si>
    <r>
      <rPr>
        <sz val="10"/>
        <color rgb="FF0000FF"/>
        <rFont val="JRFonts"/>
        <charset val="134"/>
      </rPr>
      <t>20089</t>
    </r>
  </si>
  <si>
    <r>
      <rPr>
        <sz val="10"/>
        <color rgb="FF000000"/>
        <rFont val="JRFonts"/>
        <charset val="134"/>
      </rPr>
      <t>10-07-2026 10:22</t>
    </r>
  </si>
  <si>
    <r>
      <rPr>
        <sz val="10"/>
        <color rgb="FF000000"/>
        <rFont val="JRFonts"/>
        <charset val="134"/>
      </rPr>
      <t>10-07-2026 12:53</t>
    </r>
  </si>
  <si>
    <r>
      <rPr>
        <sz val="10"/>
        <color rgb="FF000000"/>
        <rFont val="JRFonts"/>
        <charset val="134"/>
      </rPr>
      <t>10-07-2026 10:37</t>
    </r>
  </si>
  <si>
    <r>
      <rPr>
        <sz val="10"/>
        <color rgb="FF0000FF"/>
        <rFont val="JRFonts"/>
        <charset val="134"/>
      </rPr>
      <t>20091</t>
    </r>
  </si>
  <si>
    <r>
      <rPr>
        <sz val="10"/>
        <color rgb="FF000000"/>
        <rFont val="JRFonts"/>
        <charset val="134"/>
      </rPr>
      <t>10-07-2026 10:25</t>
    </r>
  </si>
  <si>
    <r>
      <rPr>
        <sz val="10"/>
        <color rgb="FF000000"/>
        <rFont val="JRFonts"/>
        <charset val="134"/>
      </rPr>
      <t>17-07-2026 11:54</t>
    </r>
  </si>
  <si>
    <r>
      <rPr>
        <sz val="10"/>
        <color rgb="FF000000"/>
        <rFont val="JRFonts"/>
        <charset val="134"/>
      </rPr>
      <t>10-07-2026 10:38</t>
    </r>
  </si>
  <si>
    <t>20091</t>
  </si>
  <si>
    <r>
      <rPr>
        <sz val="10"/>
        <color rgb="FF0000FF"/>
        <rFont val="JRFonts"/>
        <charset val="134"/>
      </rPr>
      <t>20092</t>
    </r>
  </si>
  <si>
    <r>
      <rPr>
        <sz val="10"/>
        <color rgb="FF000000"/>
        <rFont val="JRFonts"/>
        <charset val="134"/>
      </rPr>
      <t>13-07-2026 12:57</t>
    </r>
  </si>
  <si>
    <r>
      <rPr>
        <sz val="10"/>
        <color rgb="FF000000"/>
        <rFont val="JRFonts"/>
        <charset val="134"/>
      </rPr>
      <t>10-07-2026 10:42</t>
    </r>
  </si>
  <si>
    <r>
      <rPr>
        <sz val="10"/>
        <color rgb="FF0000FF"/>
        <rFont val="JRFonts"/>
        <charset val="134"/>
      </rPr>
      <t>20093</t>
    </r>
  </si>
  <si>
    <r>
      <rPr>
        <sz val="10"/>
        <color rgb="FF000000"/>
        <rFont val="JRFonts"/>
        <charset val="134"/>
      </rPr>
      <t>10-07-2026 12:32</t>
    </r>
  </si>
  <si>
    <r>
      <rPr>
        <sz val="10"/>
        <color rgb="FF000000"/>
        <rFont val="JRFonts"/>
        <charset val="134"/>
      </rPr>
      <t>10-07-2026 10:41</t>
    </r>
  </si>
  <si>
    <r>
      <rPr>
        <sz val="10"/>
        <color rgb="FF0000FF"/>
        <rFont val="JRFonts"/>
        <charset val="134"/>
      </rPr>
      <t>20095</t>
    </r>
  </si>
  <si>
    <r>
      <rPr>
        <sz val="10"/>
        <color rgb="FF000000"/>
        <rFont val="JRFonts"/>
        <charset val="134"/>
      </rPr>
      <t>10-07-2026 10:51</t>
    </r>
  </si>
  <si>
    <r>
      <rPr>
        <sz val="10"/>
        <color rgb="FF000000"/>
        <rFont val="JRFonts"/>
        <charset val="134"/>
      </rPr>
      <t>20-08-2026 18:20</t>
    </r>
  </si>
  <si>
    <r>
      <rPr>
        <sz val="10"/>
        <color rgb="FF000000"/>
        <rFont val="JRFonts"/>
        <charset val="134"/>
      </rPr>
      <t>10-07-2026 11:02</t>
    </r>
  </si>
  <si>
    <t>20095</t>
  </si>
  <si>
    <r>
      <rPr>
        <sz val="10"/>
        <color rgb="FF0000FF"/>
        <rFont val="JRFonts"/>
        <charset val="134"/>
      </rPr>
      <t>20096</t>
    </r>
  </si>
  <si>
    <r>
      <rPr>
        <sz val="10"/>
        <color rgb="FF000000"/>
        <rFont val="JRFonts"/>
        <charset val="134"/>
      </rPr>
      <t>10-07-2026 11:03</t>
    </r>
  </si>
  <si>
    <r>
      <rPr>
        <sz val="10"/>
        <color rgb="FF000000"/>
        <rFont val="JRFonts"/>
        <charset val="134"/>
      </rPr>
      <t>31-07-2026 17:48</t>
    </r>
  </si>
  <si>
    <r>
      <rPr>
        <sz val="10"/>
        <color rgb="FF000000"/>
        <rFont val="JRFonts"/>
        <charset val="134"/>
      </rPr>
      <t>10-07-2026 11:28</t>
    </r>
  </si>
  <si>
    <t>20096</t>
  </si>
  <si>
    <r>
      <rPr>
        <sz val="10"/>
        <color rgb="FF0000FF"/>
        <rFont val="JRFonts"/>
        <charset val="134"/>
      </rPr>
      <t>20098</t>
    </r>
  </si>
  <si>
    <r>
      <rPr>
        <sz val="10"/>
        <color rgb="FF000000"/>
        <rFont val="JRFonts"/>
        <charset val="134"/>
      </rPr>
      <t>10-07-2026 11:06</t>
    </r>
  </si>
  <si>
    <r>
      <rPr>
        <sz val="10"/>
        <color rgb="FF000000"/>
        <rFont val="JRFonts"/>
        <charset val="134"/>
      </rPr>
      <t>10-07-2026 12:26</t>
    </r>
  </si>
  <si>
    <r>
      <rPr>
        <sz val="10"/>
        <color rgb="FF000000"/>
        <rFont val="JRFonts"/>
        <charset val="134"/>
      </rPr>
      <t>10-07-2026 11:17</t>
    </r>
  </si>
  <si>
    <r>
      <rPr>
        <sz val="10"/>
        <color rgb="FF0000FF"/>
        <rFont val="JRFonts"/>
        <charset val="134"/>
      </rPr>
      <t>20102</t>
    </r>
  </si>
  <si>
    <r>
      <rPr>
        <sz val="10"/>
        <color rgb="FF000000"/>
        <rFont val="JRFonts"/>
        <charset val="134"/>
      </rPr>
      <t>10-07-2026 11:40</t>
    </r>
  </si>
  <si>
    <r>
      <rPr>
        <sz val="10"/>
        <color rgb="FF000000"/>
        <rFont val="JRFonts"/>
        <charset val="134"/>
      </rPr>
      <t>10-07-2026 12:37</t>
    </r>
  </si>
  <si>
    <r>
      <rPr>
        <sz val="10"/>
        <color rgb="FF000000"/>
        <rFont val="JRFonts"/>
        <charset val="134"/>
      </rPr>
      <t>10-07-2026 11:50</t>
    </r>
  </si>
  <si>
    <r>
      <rPr>
        <sz val="10"/>
        <color rgb="FF0000FF"/>
        <rFont val="JRFonts"/>
        <charset val="134"/>
      </rPr>
      <t>20103</t>
    </r>
  </si>
  <si>
    <r>
      <rPr>
        <sz val="10"/>
        <color rgb="FF000000"/>
        <rFont val="JRFonts"/>
        <charset val="134"/>
      </rPr>
      <t>10-07-2026 11:43</t>
    </r>
  </si>
  <si>
    <r>
      <rPr>
        <sz val="10"/>
        <color rgb="FF000000"/>
        <rFont val="JRFonts"/>
        <charset val="134"/>
      </rPr>
      <t>10-07-2026 16:08</t>
    </r>
  </si>
  <si>
    <r>
      <rPr>
        <sz val="10"/>
        <color rgb="FF000000"/>
        <rFont val="JRFonts"/>
        <charset val="134"/>
      </rPr>
      <t>10-07-2026 11:49</t>
    </r>
  </si>
  <si>
    <r>
      <rPr>
        <sz val="10"/>
        <color rgb="FF0000FF"/>
        <rFont val="JRFonts"/>
        <charset val="134"/>
      </rPr>
      <t>20105</t>
    </r>
  </si>
  <si>
    <r>
      <rPr>
        <sz val="10"/>
        <color rgb="FF000000"/>
        <rFont val="JRFonts"/>
        <charset val="134"/>
      </rPr>
      <t>10-07-2026 11:52</t>
    </r>
  </si>
  <si>
    <r>
      <rPr>
        <sz val="10"/>
        <color rgb="FF000000"/>
        <rFont val="JRFonts"/>
        <charset val="134"/>
      </rPr>
      <t>10-07-2026 12:30</t>
    </r>
  </si>
  <si>
    <r>
      <rPr>
        <sz val="10"/>
        <color rgb="FF000000"/>
        <rFont val="JRFonts"/>
        <charset val="134"/>
      </rPr>
      <t>10-07-2026 11:55</t>
    </r>
  </si>
  <si>
    <r>
      <rPr>
        <sz val="10"/>
        <color rgb="FF0000FF"/>
        <rFont val="JRFonts"/>
        <charset val="134"/>
      </rPr>
      <t>20106</t>
    </r>
  </si>
  <si>
    <r>
      <rPr>
        <sz val="10"/>
        <color rgb="FF000000"/>
        <rFont val="JRFonts"/>
        <charset val="134"/>
      </rPr>
      <t>14-07-2026 14:41</t>
    </r>
  </si>
  <si>
    <r>
      <rPr>
        <sz val="10"/>
        <color rgb="FF000000"/>
        <rFont val="JRFonts"/>
        <charset val="134"/>
      </rPr>
      <t>10-07-2026 12:05</t>
    </r>
  </si>
  <si>
    <t>20106</t>
  </si>
  <si>
    <r>
      <rPr>
        <sz val="10"/>
        <color rgb="FF0000FF"/>
        <rFont val="JRFonts"/>
        <charset val="134"/>
      </rPr>
      <t>20107</t>
    </r>
  </si>
  <si>
    <r>
      <rPr>
        <sz val="10"/>
        <color rgb="FF000000"/>
        <rFont val="JRFonts"/>
        <charset val="134"/>
      </rPr>
      <t>10-07-2026 11:58</t>
    </r>
  </si>
  <si>
    <r>
      <rPr>
        <sz val="10"/>
        <color rgb="FF000000"/>
        <rFont val="JRFonts"/>
        <charset val="134"/>
      </rPr>
      <t>17-07-2026 11:43</t>
    </r>
  </si>
  <si>
    <r>
      <rPr>
        <sz val="10"/>
        <color rgb="FF000000"/>
        <rFont val="JRFonts"/>
        <charset val="134"/>
      </rPr>
      <t>10-07-2026 12:11</t>
    </r>
  </si>
  <si>
    <t>20107</t>
  </si>
  <si>
    <r>
      <rPr>
        <sz val="10"/>
        <color rgb="FF0000FF"/>
        <rFont val="JRFonts"/>
        <charset val="134"/>
      </rPr>
      <t>20108</t>
    </r>
  </si>
  <si>
    <r>
      <rPr>
        <sz val="10"/>
        <color rgb="FF000000"/>
        <rFont val="JRFonts"/>
        <charset val="134"/>
      </rPr>
      <t>10-07-2026 12:13</t>
    </r>
  </si>
  <si>
    <r>
      <rPr>
        <sz val="10"/>
        <color rgb="FF000000"/>
        <rFont val="JRFonts"/>
        <charset val="134"/>
      </rPr>
      <t>10-07-2026 15:38</t>
    </r>
  </si>
  <si>
    <r>
      <rPr>
        <sz val="10"/>
        <color rgb="FF000000"/>
        <rFont val="JRFonts"/>
        <charset val="134"/>
      </rPr>
      <t>10-07-2026 12:18</t>
    </r>
  </si>
  <si>
    <r>
      <rPr>
        <sz val="10"/>
        <color rgb="FF0000FF"/>
        <rFont val="JRFonts"/>
        <charset val="134"/>
      </rPr>
      <t>20109</t>
    </r>
  </si>
  <si>
    <r>
      <rPr>
        <sz val="10"/>
        <color rgb="FF000000"/>
        <rFont val="JRFonts"/>
        <charset val="134"/>
      </rPr>
      <t>10-07-2026 12:20</t>
    </r>
  </si>
  <si>
    <r>
      <rPr>
        <sz val="10"/>
        <color rgb="FF000000"/>
        <rFont val="JRFonts"/>
        <charset val="134"/>
      </rPr>
      <t>10-07-2026 17:31</t>
    </r>
  </si>
  <si>
    <r>
      <rPr>
        <sz val="10"/>
        <color rgb="FF000000"/>
        <rFont val="JRFonts"/>
        <charset val="134"/>
      </rPr>
      <t>10-07-2026 12:33</t>
    </r>
  </si>
  <si>
    <r>
      <rPr>
        <sz val="10"/>
        <color rgb="FF0000FF"/>
        <rFont val="JRFonts"/>
        <charset val="134"/>
      </rPr>
      <t>20110</t>
    </r>
  </si>
  <si>
    <r>
      <rPr>
        <sz val="10"/>
        <color rgb="FF000000"/>
        <rFont val="JRFonts"/>
        <charset val="134"/>
      </rPr>
      <t>10-07-2026 12:35</t>
    </r>
  </si>
  <si>
    <r>
      <rPr>
        <sz val="10"/>
        <color rgb="FF000000"/>
        <rFont val="JRFonts"/>
        <charset val="134"/>
      </rPr>
      <t>10-07-2026 14:16</t>
    </r>
  </si>
  <si>
    <r>
      <rPr>
        <sz val="10"/>
        <color rgb="FF000000"/>
        <rFont val="JRFonts"/>
        <charset val="134"/>
      </rPr>
      <t>10-07-2026 12:44</t>
    </r>
  </si>
  <si>
    <r>
      <rPr>
        <sz val="10"/>
        <color rgb="FF0000FF"/>
        <rFont val="JRFonts"/>
        <charset val="134"/>
      </rPr>
      <t>20111</t>
    </r>
  </si>
  <si>
    <r>
      <rPr>
        <sz val="10"/>
        <color rgb="FF000000"/>
        <rFont val="JRFonts"/>
        <charset val="134"/>
      </rPr>
      <t>10-07-2026 12:38</t>
    </r>
  </si>
  <si>
    <r>
      <rPr>
        <sz val="10"/>
        <color rgb="FF000000"/>
        <rFont val="JRFonts"/>
        <charset val="134"/>
      </rPr>
      <t>10-07-2026 16:51</t>
    </r>
  </si>
  <si>
    <r>
      <rPr>
        <sz val="10"/>
        <color rgb="FF000000"/>
        <rFont val="JRFonts"/>
        <charset val="134"/>
      </rPr>
      <t>10-07-2026 12:58</t>
    </r>
  </si>
  <si>
    <r>
      <rPr>
        <sz val="10"/>
        <color rgb="FF0000FF"/>
        <rFont val="JRFonts"/>
        <charset val="134"/>
      </rPr>
      <t>20114</t>
    </r>
  </si>
  <si>
    <r>
      <rPr>
        <sz val="10"/>
        <color rgb="FF000000"/>
        <rFont val="JRFonts"/>
        <charset val="134"/>
      </rPr>
      <t>14-07-2026 14:30</t>
    </r>
  </si>
  <si>
    <r>
      <rPr>
        <sz val="10"/>
        <color rgb="FF000000"/>
        <rFont val="JRFonts"/>
        <charset val="134"/>
      </rPr>
      <t>10-07-2026 12:59</t>
    </r>
  </si>
  <si>
    <t>20114</t>
  </si>
  <si>
    <r>
      <rPr>
        <sz val="10"/>
        <color rgb="FF0000FF"/>
        <rFont val="JRFonts"/>
        <charset val="134"/>
      </rPr>
      <t>20115</t>
    </r>
  </si>
  <si>
    <r>
      <rPr>
        <sz val="10"/>
        <color rgb="FF000000"/>
        <rFont val="JRFonts"/>
        <charset val="134"/>
      </rPr>
      <t>10-07-2026 13:05</t>
    </r>
  </si>
  <si>
    <r>
      <rPr>
        <sz val="10"/>
        <color rgb="FF000000"/>
        <rFont val="JRFonts"/>
        <charset val="134"/>
      </rPr>
      <t>17-07-2026 12:24</t>
    </r>
  </si>
  <si>
    <r>
      <rPr>
        <sz val="10"/>
        <color rgb="FF000000"/>
        <rFont val="JRFonts"/>
        <charset val="134"/>
      </rPr>
      <t>10-07-2026 14:19</t>
    </r>
  </si>
  <si>
    <t>20115</t>
  </si>
  <si>
    <r>
      <rPr>
        <sz val="10"/>
        <color rgb="FF0000FF"/>
        <rFont val="JRFonts"/>
        <charset val="134"/>
      </rPr>
      <t>20118</t>
    </r>
  </si>
  <si>
    <r>
      <rPr>
        <sz val="10"/>
        <color rgb="FF000000"/>
        <rFont val="JRFonts"/>
        <charset val="134"/>
      </rPr>
      <t>10-07-2026 13:12</t>
    </r>
  </si>
  <si>
    <r>
      <rPr>
        <sz val="10"/>
        <color rgb="FF000000"/>
        <rFont val="JRFonts"/>
        <charset val="134"/>
      </rPr>
      <t>10-07-2026 15:17</t>
    </r>
  </si>
  <si>
    <r>
      <rPr>
        <sz val="10"/>
        <color rgb="FF000000"/>
        <rFont val="JRFonts"/>
        <charset val="134"/>
      </rPr>
      <t>10-07-2026 14:25</t>
    </r>
  </si>
  <si>
    <r>
      <rPr>
        <sz val="10"/>
        <color rgb="FF0000FF"/>
        <rFont val="JRFonts"/>
        <charset val="134"/>
      </rPr>
      <t>20120</t>
    </r>
  </si>
  <si>
    <r>
      <rPr>
        <sz val="10"/>
        <color rgb="FF000000"/>
        <rFont val="JRFonts"/>
        <charset val="134"/>
      </rPr>
      <t>10-07-2026 13:21</t>
    </r>
  </si>
  <si>
    <r>
      <rPr>
        <sz val="10"/>
        <color rgb="FF000000"/>
        <rFont val="JRFonts"/>
        <charset val="134"/>
      </rPr>
      <t>17-07-2026 12:13</t>
    </r>
  </si>
  <si>
    <t>20120</t>
  </si>
  <si>
    <r>
      <rPr>
        <sz val="10"/>
        <color rgb="FF0000FF"/>
        <rFont val="JRFonts"/>
        <charset val="134"/>
      </rPr>
      <t>20121</t>
    </r>
  </si>
  <si>
    <r>
      <rPr>
        <sz val="10"/>
        <color rgb="FF000000"/>
        <rFont val="JRFonts"/>
        <charset val="134"/>
      </rPr>
      <t>10-07-2026 13:45</t>
    </r>
  </si>
  <si>
    <r>
      <rPr>
        <sz val="10"/>
        <color rgb="FF000000"/>
        <rFont val="JRFonts"/>
        <charset val="134"/>
      </rPr>
      <t>29-07-2026 16:36</t>
    </r>
  </si>
  <si>
    <r>
      <rPr>
        <sz val="10"/>
        <color rgb="FF000000"/>
        <rFont val="JRFonts"/>
        <charset val="134"/>
      </rPr>
      <t>14-07-2026 16:39</t>
    </r>
  </si>
  <si>
    <t>20121</t>
  </si>
  <si>
    <r>
      <rPr>
        <sz val="10"/>
        <color rgb="FF0000FF"/>
        <rFont val="JRFonts"/>
        <charset val="134"/>
      </rPr>
      <t>20123</t>
    </r>
  </si>
  <si>
    <r>
      <rPr>
        <sz val="10"/>
        <color rgb="FF000000"/>
        <rFont val="JRFonts"/>
        <charset val="134"/>
      </rPr>
      <t>10-07-2026 13:54</t>
    </r>
  </si>
  <si>
    <r>
      <rPr>
        <sz val="10"/>
        <color rgb="FF000000"/>
        <rFont val="JRFonts"/>
        <charset val="134"/>
      </rPr>
      <t>16-07-2026 12:50</t>
    </r>
  </si>
  <si>
    <r>
      <rPr>
        <sz val="10"/>
        <color rgb="FF000000"/>
        <rFont val="JRFonts"/>
        <charset val="134"/>
      </rPr>
      <t>10-07-2026 14:27</t>
    </r>
  </si>
  <si>
    <t>20123</t>
  </si>
  <si>
    <r>
      <rPr>
        <sz val="10"/>
        <color rgb="FF0000FF"/>
        <rFont val="JRFonts"/>
        <charset val="134"/>
      </rPr>
      <t>20124</t>
    </r>
  </si>
  <si>
    <r>
      <rPr>
        <sz val="10"/>
        <color rgb="FF000000"/>
        <rFont val="JRFonts"/>
        <charset val="134"/>
      </rPr>
      <t>10-07-2026 14:07</t>
    </r>
  </si>
  <si>
    <r>
      <rPr>
        <sz val="10"/>
        <color rgb="FF000000"/>
        <rFont val="JRFonts"/>
        <charset val="134"/>
      </rPr>
      <t>10-07-2026 15:59</t>
    </r>
  </si>
  <si>
    <r>
      <rPr>
        <sz val="10"/>
        <color rgb="FF000000"/>
        <rFont val="JRFonts"/>
        <charset val="134"/>
      </rPr>
      <t>10-07-2026 15:32</t>
    </r>
  </si>
  <si>
    <r>
      <rPr>
        <sz val="10"/>
        <color rgb="FF0000FF"/>
        <rFont val="JRFonts"/>
        <charset val="134"/>
      </rPr>
      <t>20125</t>
    </r>
  </si>
  <si>
    <r>
      <rPr>
        <sz val="10"/>
        <color rgb="FF000000"/>
        <rFont val="JRFonts"/>
        <charset val="134"/>
      </rPr>
      <t>10-07-2026 14:10</t>
    </r>
  </si>
  <si>
    <r>
      <rPr>
        <sz val="10"/>
        <color rgb="FF000000"/>
        <rFont val="JRFonts"/>
        <charset val="134"/>
      </rPr>
      <t>10-07-2026 17:52</t>
    </r>
  </si>
  <si>
    <r>
      <rPr>
        <sz val="10"/>
        <color rgb="FF000000"/>
        <rFont val="JRFonts"/>
        <charset val="134"/>
      </rPr>
      <t>10-07-2026 14:28</t>
    </r>
  </si>
  <si>
    <r>
      <rPr>
        <sz val="10"/>
        <color rgb="FF0000FF"/>
        <rFont val="JRFonts"/>
        <charset val="134"/>
      </rPr>
      <t>20128</t>
    </r>
  </si>
  <si>
    <r>
      <rPr>
        <sz val="10"/>
        <color rgb="FF000000"/>
        <rFont val="JRFonts"/>
        <charset val="134"/>
      </rPr>
      <t>10-07-2026 14:59</t>
    </r>
  </si>
  <si>
    <r>
      <rPr>
        <sz val="10"/>
        <color rgb="FF000000"/>
        <rFont val="JRFonts"/>
        <charset val="134"/>
      </rPr>
      <t>20-08-2026 17:10</t>
    </r>
  </si>
  <si>
    <r>
      <rPr>
        <sz val="10"/>
        <color rgb="FF000000"/>
        <rFont val="JRFonts"/>
        <charset val="134"/>
      </rPr>
      <t>10-07-2026 15:44</t>
    </r>
  </si>
  <si>
    <t>20128</t>
  </si>
  <si>
    <r>
      <rPr>
        <sz val="10"/>
        <color rgb="FF0000FF"/>
        <rFont val="JRFonts"/>
        <charset val="134"/>
      </rPr>
      <t>20130</t>
    </r>
  </si>
  <si>
    <r>
      <rPr>
        <sz val="10"/>
        <color rgb="FF000000"/>
        <rFont val="JRFonts"/>
        <charset val="134"/>
      </rPr>
      <t>10-07-2026 15:02</t>
    </r>
  </si>
  <si>
    <r>
      <rPr>
        <sz val="10"/>
        <color rgb="FF000000"/>
        <rFont val="JRFonts"/>
        <charset val="134"/>
      </rPr>
      <t>10-07-2026 17:46</t>
    </r>
  </si>
  <si>
    <r>
      <rPr>
        <sz val="10"/>
        <color rgb="FF0000FF"/>
        <rFont val="JRFonts"/>
        <charset val="134"/>
      </rPr>
      <t>20131</t>
    </r>
  </si>
  <si>
    <r>
      <rPr>
        <sz val="10"/>
        <color rgb="FF000000"/>
        <rFont val="JRFonts"/>
        <charset val="134"/>
      </rPr>
      <t>10-07-2026 15:08</t>
    </r>
  </si>
  <si>
    <r>
      <rPr>
        <sz val="10"/>
        <color rgb="FF000000"/>
        <rFont val="JRFonts"/>
        <charset val="134"/>
      </rPr>
      <t>16-07-2026 12:52</t>
    </r>
  </si>
  <si>
    <r>
      <rPr>
        <sz val="10"/>
        <color rgb="FF000000"/>
        <rFont val="JRFonts"/>
        <charset val="134"/>
      </rPr>
      <t>10-07-2026 15:33</t>
    </r>
  </si>
  <si>
    <t>20131</t>
  </si>
  <si>
    <r>
      <rPr>
        <sz val="10"/>
        <color rgb="FF0000FF"/>
        <rFont val="JRFonts"/>
        <charset val="134"/>
      </rPr>
      <t>20132</t>
    </r>
  </si>
  <si>
    <r>
      <rPr>
        <sz val="10"/>
        <color rgb="FF000000"/>
        <rFont val="JRFonts"/>
        <charset val="134"/>
      </rPr>
      <t>10-07-2026 15:14</t>
    </r>
  </si>
  <si>
    <r>
      <rPr>
        <sz val="10"/>
        <color rgb="FF000000"/>
        <rFont val="JRFonts"/>
        <charset val="134"/>
      </rPr>
      <t>10-07-2026 16:15</t>
    </r>
  </si>
  <si>
    <r>
      <rPr>
        <sz val="10"/>
        <color rgb="FF000000"/>
        <rFont val="JRFonts"/>
        <charset val="134"/>
      </rPr>
      <t>10-07-2026 15:34</t>
    </r>
  </si>
  <si>
    <r>
      <rPr>
        <sz val="10"/>
        <color rgb="FF0000FF"/>
        <rFont val="JRFonts"/>
        <charset val="134"/>
      </rPr>
      <t>20133</t>
    </r>
  </si>
  <si>
    <r>
      <rPr>
        <sz val="10"/>
        <color rgb="FF000000"/>
        <rFont val="JRFonts"/>
        <charset val="134"/>
      </rPr>
      <t>10-07-2026 15:20</t>
    </r>
  </si>
  <si>
    <r>
      <rPr>
        <sz val="10"/>
        <color rgb="FF000000"/>
        <rFont val="JRFonts"/>
        <charset val="134"/>
      </rPr>
      <t>10-07-2026 15:50</t>
    </r>
  </si>
  <si>
    <r>
      <rPr>
        <sz val="10"/>
        <color rgb="FF000000"/>
        <rFont val="JRFonts"/>
        <charset val="134"/>
      </rPr>
      <t>10-07-2026 15:42</t>
    </r>
  </si>
  <si>
    <r>
      <rPr>
        <sz val="10"/>
        <color rgb="FF0000FF"/>
        <rFont val="JRFonts"/>
        <charset val="134"/>
      </rPr>
      <t>20135</t>
    </r>
  </si>
  <si>
    <r>
      <rPr>
        <sz val="10"/>
        <color rgb="FF000000"/>
        <rFont val="JRFonts"/>
        <charset val="134"/>
      </rPr>
      <t>10-07-2026 15:30</t>
    </r>
  </si>
  <si>
    <r>
      <rPr>
        <sz val="10"/>
        <color rgb="FF000000"/>
        <rFont val="JRFonts"/>
        <charset val="134"/>
      </rPr>
      <t>10-07-2026 16:01</t>
    </r>
  </si>
  <si>
    <r>
      <rPr>
        <sz val="10"/>
        <color rgb="FF000000"/>
        <rFont val="JRFonts"/>
        <charset val="134"/>
      </rPr>
      <t>10-07-2026 15:45</t>
    </r>
  </si>
  <si>
    <r>
      <rPr>
        <sz val="10"/>
        <color rgb="FF0000FF"/>
        <rFont val="JRFonts"/>
        <charset val="134"/>
      </rPr>
      <t>20136</t>
    </r>
  </si>
  <si>
    <r>
      <rPr>
        <sz val="10"/>
        <color rgb="FF000000"/>
        <rFont val="JRFonts"/>
        <charset val="134"/>
      </rPr>
      <t>29-07-2026 12:52</t>
    </r>
  </si>
  <si>
    <r>
      <rPr>
        <sz val="10"/>
        <color rgb="FF000000"/>
        <rFont val="JRFonts"/>
        <charset val="134"/>
      </rPr>
      <t>10-07-2026 15:49</t>
    </r>
  </si>
  <si>
    <t>20136</t>
  </si>
  <si>
    <r>
      <rPr>
        <sz val="10"/>
        <color rgb="FF0000FF"/>
        <rFont val="JRFonts"/>
        <charset val="134"/>
      </rPr>
      <t>20137</t>
    </r>
  </si>
  <si>
    <r>
      <rPr>
        <sz val="10"/>
        <color rgb="FF000000"/>
        <rFont val="JRFonts"/>
        <charset val="134"/>
      </rPr>
      <t>12-07-2026 10:49</t>
    </r>
  </si>
  <si>
    <r>
      <rPr>
        <sz val="10"/>
        <color rgb="FF0000FF"/>
        <rFont val="JRFonts"/>
        <charset val="134"/>
      </rPr>
      <t>20138</t>
    </r>
  </si>
  <si>
    <r>
      <rPr>
        <sz val="10"/>
        <color rgb="FF000000"/>
        <rFont val="JRFonts"/>
        <charset val="134"/>
      </rPr>
      <t>21-07-2026 16:19</t>
    </r>
  </si>
  <si>
    <r>
      <rPr>
        <sz val="10"/>
        <color rgb="FF000000"/>
        <rFont val="JRFonts"/>
        <charset val="134"/>
      </rPr>
      <t>10-07-2026 16:10</t>
    </r>
  </si>
  <si>
    <t>20138</t>
  </si>
  <si>
    <r>
      <rPr>
        <sz val="10"/>
        <color rgb="FF0000FF"/>
        <rFont val="JRFonts"/>
        <charset val="134"/>
      </rPr>
      <t>20139</t>
    </r>
  </si>
  <si>
    <r>
      <rPr>
        <sz val="10"/>
        <color rgb="FF000000"/>
        <rFont val="JRFonts"/>
        <charset val="134"/>
      </rPr>
      <t>10-07-2026 15:48</t>
    </r>
  </si>
  <si>
    <r>
      <rPr>
        <sz val="10"/>
        <color rgb="FF000000"/>
        <rFont val="JRFonts"/>
        <charset val="134"/>
      </rPr>
      <t>10-07-2026 17:33</t>
    </r>
  </si>
  <si>
    <r>
      <rPr>
        <sz val="10"/>
        <color rgb="FF000000"/>
        <rFont val="JRFonts"/>
        <charset val="134"/>
      </rPr>
      <t>10-07-2026 15:55</t>
    </r>
  </si>
  <si>
    <r>
      <rPr>
        <sz val="10"/>
        <color rgb="FF0000FF"/>
        <rFont val="JRFonts"/>
        <charset val="134"/>
      </rPr>
      <t>20140</t>
    </r>
  </si>
  <si>
    <r>
      <rPr>
        <sz val="10"/>
        <color rgb="FF000000"/>
        <rFont val="JRFonts"/>
        <charset val="134"/>
      </rPr>
      <t>16-07-2026 12:53</t>
    </r>
  </si>
  <si>
    <r>
      <rPr>
        <sz val="10"/>
        <color rgb="FF000000"/>
        <rFont val="JRFonts"/>
        <charset val="134"/>
      </rPr>
      <t>10-07-2026 15:53</t>
    </r>
  </si>
  <si>
    <t>20140</t>
  </si>
  <si>
    <r>
      <rPr>
        <sz val="10"/>
        <color rgb="FF0000FF"/>
        <rFont val="JRFonts"/>
        <charset val="134"/>
      </rPr>
      <t>20141</t>
    </r>
  </si>
  <si>
    <r>
      <rPr>
        <sz val="10"/>
        <color rgb="FF000000"/>
        <rFont val="JRFonts"/>
        <charset val="134"/>
      </rPr>
      <t>10-07-2026 15:51</t>
    </r>
  </si>
  <si>
    <r>
      <rPr>
        <sz val="10"/>
        <color rgb="FF000000"/>
        <rFont val="JRFonts"/>
        <charset val="134"/>
      </rPr>
      <t>18-08-2026 18:37</t>
    </r>
  </si>
  <si>
    <r>
      <rPr>
        <sz val="10"/>
        <color rgb="FF000000"/>
        <rFont val="JRFonts"/>
        <charset val="134"/>
      </rPr>
      <t>10-07-2026 16:02</t>
    </r>
  </si>
  <si>
    <t>20141</t>
  </si>
  <si>
    <r>
      <rPr>
        <sz val="10"/>
        <color rgb="FF0000FF"/>
        <rFont val="JRFonts"/>
        <charset val="134"/>
      </rPr>
      <t>20142</t>
    </r>
  </si>
  <si>
    <r>
      <rPr>
        <sz val="10"/>
        <color rgb="FF000000"/>
        <rFont val="JRFonts"/>
        <charset val="134"/>
      </rPr>
      <t>10-07-2026 15:54</t>
    </r>
  </si>
  <si>
    <r>
      <rPr>
        <sz val="10"/>
        <color rgb="FF000000"/>
        <rFont val="JRFonts"/>
        <charset val="134"/>
      </rPr>
      <t>10-07-2026 17:32</t>
    </r>
  </si>
  <si>
    <r>
      <rPr>
        <sz val="10"/>
        <color rgb="FF000000"/>
        <rFont val="JRFonts"/>
        <charset val="134"/>
      </rPr>
      <t>10-07-2026 16:05</t>
    </r>
  </si>
  <si>
    <r>
      <rPr>
        <sz val="10"/>
        <color rgb="FF0000FF"/>
        <rFont val="JRFonts"/>
        <charset val="134"/>
      </rPr>
      <t>20143</t>
    </r>
  </si>
  <si>
    <r>
      <rPr>
        <sz val="10"/>
        <color rgb="FF000000"/>
        <rFont val="JRFonts"/>
        <charset val="134"/>
      </rPr>
      <t>10-07-2026 15:57</t>
    </r>
  </si>
  <si>
    <r>
      <rPr>
        <sz val="10"/>
        <color rgb="FF000000"/>
        <rFont val="JRFonts"/>
        <charset val="134"/>
      </rPr>
      <t>10-07-2026 16:06</t>
    </r>
  </si>
  <si>
    <r>
      <rPr>
        <sz val="10"/>
        <color rgb="FF0000FF"/>
        <rFont val="JRFonts"/>
        <charset val="134"/>
      </rPr>
      <t>20145</t>
    </r>
  </si>
  <si>
    <r>
      <rPr>
        <sz val="10"/>
        <color rgb="FF000000"/>
        <rFont val="JRFonts"/>
        <charset val="134"/>
      </rPr>
      <t>10-07-2026 16:07</t>
    </r>
  </si>
  <si>
    <r>
      <rPr>
        <sz val="10"/>
        <color rgb="FF000000"/>
        <rFont val="JRFonts"/>
        <charset val="134"/>
      </rPr>
      <t>10-07-2026 17:30</t>
    </r>
  </si>
  <si>
    <r>
      <rPr>
        <sz val="10"/>
        <color rgb="FF000000"/>
        <rFont val="JRFonts"/>
        <charset val="134"/>
      </rPr>
      <t>10-07-2026 16:19</t>
    </r>
  </si>
  <si>
    <r>
      <rPr>
        <sz val="10"/>
        <color rgb="FF0000FF"/>
        <rFont val="JRFonts"/>
        <charset val="134"/>
      </rPr>
      <t>20146</t>
    </r>
  </si>
  <si>
    <r>
      <rPr>
        <sz val="10"/>
        <color rgb="FF000000"/>
        <rFont val="JRFonts"/>
        <charset val="134"/>
      </rPr>
      <t>10-07-2026 18:21</t>
    </r>
  </si>
  <si>
    <r>
      <rPr>
        <sz val="10"/>
        <color rgb="FF0000FF"/>
        <rFont val="JRFonts"/>
        <charset val="134"/>
      </rPr>
      <t>20147</t>
    </r>
  </si>
  <si>
    <r>
      <rPr>
        <sz val="10"/>
        <color rgb="FF000000"/>
        <rFont val="JRFonts"/>
        <charset val="134"/>
      </rPr>
      <t>10-07-2026 17:05</t>
    </r>
  </si>
  <si>
    <r>
      <rPr>
        <sz val="10"/>
        <color rgb="FF000000"/>
        <rFont val="JRFonts"/>
        <charset val="134"/>
      </rPr>
      <t>10-07-2026 16:20</t>
    </r>
  </si>
  <si>
    <r>
      <rPr>
        <sz val="10"/>
        <color rgb="FF0000FF"/>
        <rFont val="JRFonts"/>
        <charset val="134"/>
      </rPr>
      <t>20149</t>
    </r>
  </si>
  <si>
    <r>
      <rPr>
        <sz val="10"/>
        <color rgb="FF000000"/>
        <rFont val="JRFonts"/>
        <charset val="134"/>
      </rPr>
      <t>10-07-2026 17:17</t>
    </r>
  </si>
  <si>
    <r>
      <rPr>
        <sz val="10"/>
        <color rgb="FF0000FF"/>
        <rFont val="JRFonts"/>
        <charset val="134"/>
      </rPr>
      <t>20150</t>
    </r>
  </si>
  <si>
    <r>
      <rPr>
        <sz val="10"/>
        <color rgb="FF000000"/>
        <rFont val="JRFonts"/>
        <charset val="134"/>
      </rPr>
      <t>10-07-2026 16:13</t>
    </r>
  </si>
  <si>
    <r>
      <rPr>
        <sz val="10"/>
        <color rgb="FF000000"/>
        <rFont val="JRFonts"/>
        <charset val="134"/>
      </rPr>
      <t>10-07-2026 16:40</t>
    </r>
  </si>
  <si>
    <r>
      <rPr>
        <sz val="10"/>
        <color rgb="FF000000"/>
        <rFont val="JRFonts"/>
        <charset val="134"/>
      </rPr>
      <t>10-07-2026 16:24</t>
    </r>
  </si>
  <si>
    <r>
      <rPr>
        <sz val="10"/>
        <color rgb="FF0000FF"/>
        <rFont val="JRFonts"/>
        <charset val="134"/>
      </rPr>
      <t>20153</t>
    </r>
  </si>
  <si>
    <r>
      <rPr>
        <sz val="10"/>
        <color rgb="FF000000"/>
        <rFont val="JRFonts"/>
        <charset val="134"/>
      </rPr>
      <t>10-07-2026 16:22</t>
    </r>
  </si>
  <si>
    <r>
      <rPr>
        <sz val="10"/>
        <color rgb="FF000000"/>
        <rFont val="JRFonts"/>
        <charset val="134"/>
      </rPr>
      <t>04-08-2026 10:27</t>
    </r>
  </si>
  <si>
    <r>
      <rPr>
        <sz val="10"/>
        <color rgb="FF000000"/>
        <rFont val="JRFonts"/>
        <charset val="134"/>
      </rPr>
      <t>10-07-2026 16:36</t>
    </r>
  </si>
  <si>
    <t>20153</t>
  </si>
  <si>
    <r>
      <rPr>
        <sz val="10"/>
        <color rgb="FF0000FF"/>
        <rFont val="JRFonts"/>
        <charset val="134"/>
      </rPr>
      <t>20154</t>
    </r>
  </si>
  <si>
    <r>
      <rPr>
        <sz val="10"/>
        <color rgb="FF000000"/>
        <rFont val="JRFonts"/>
        <charset val="134"/>
      </rPr>
      <t>10-07-2026 16:25</t>
    </r>
  </si>
  <si>
    <r>
      <rPr>
        <sz val="10"/>
        <color rgb="FF000000"/>
        <rFont val="JRFonts"/>
        <charset val="134"/>
      </rPr>
      <t>12-07-2026 10:50</t>
    </r>
  </si>
  <si>
    <r>
      <rPr>
        <sz val="10"/>
        <color rgb="FF0000FF"/>
        <rFont val="JRFonts"/>
        <charset val="134"/>
      </rPr>
      <t>20157</t>
    </r>
  </si>
  <si>
    <r>
      <rPr>
        <sz val="10"/>
        <color rgb="FF000000"/>
        <rFont val="JRFonts"/>
        <charset val="134"/>
      </rPr>
      <t>10-07-2026 16:31</t>
    </r>
  </si>
  <si>
    <r>
      <rPr>
        <sz val="10"/>
        <color rgb="FF000000"/>
        <rFont val="JRFonts"/>
        <charset val="134"/>
      </rPr>
      <t>10-07-2026 16:50</t>
    </r>
  </si>
  <si>
    <r>
      <rPr>
        <sz val="10"/>
        <color rgb="FF000000"/>
        <rFont val="JRFonts"/>
        <charset val="134"/>
      </rPr>
      <t>10-07-2026 16:42</t>
    </r>
  </si>
  <si>
    <r>
      <rPr>
        <sz val="10"/>
        <color rgb="FF0000FF"/>
        <rFont val="JRFonts"/>
        <charset val="134"/>
      </rPr>
      <t>20158</t>
    </r>
  </si>
  <si>
    <r>
      <rPr>
        <sz val="10"/>
        <color rgb="FF000000"/>
        <rFont val="JRFonts"/>
        <charset val="134"/>
      </rPr>
      <t>10-07-2026 16:34</t>
    </r>
  </si>
  <si>
    <r>
      <rPr>
        <sz val="10"/>
        <color rgb="FF000000"/>
        <rFont val="JRFonts"/>
        <charset val="134"/>
      </rPr>
      <t>10-07-2026 17:50</t>
    </r>
  </si>
  <si>
    <r>
      <rPr>
        <sz val="10"/>
        <color rgb="FF000000"/>
        <rFont val="JRFonts"/>
        <charset val="134"/>
      </rPr>
      <t>10-07-2026 16:43</t>
    </r>
  </si>
  <si>
    <r>
      <rPr>
        <sz val="10"/>
        <color rgb="FF0000FF"/>
        <rFont val="JRFonts"/>
        <charset val="134"/>
      </rPr>
      <t>20160</t>
    </r>
  </si>
  <si>
    <r>
      <rPr>
        <sz val="10"/>
        <color rgb="FF000000"/>
        <rFont val="JRFonts"/>
        <charset val="134"/>
      </rPr>
      <t>10-07-2026 16:44</t>
    </r>
  </si>
  <si>
    <r>
      <rPr>
        <sz val="10"/>
        <color rgb="FF000000"/>
        <rFont val="JRFonts"/>
        <charset val="134"/>
      </rPr>
      <t>10-07-2026 17:08</t>
    </r>
  </si>
  <si>
    <r>
      <rPr>
        <sz val="10"/>
        <color rgb="FF000000"/>
        <rFont val="JRFonts"/>
        <charset val="134"/>
      </rPr>
      <t>10-07-2026 17:03</t>
    </r>
  </si>
  <si>
    <r>
      <rPr>
        <sz val="10"/>
        <color rgb="FF0000FF"/>
        <rFont val="JRFonts"/>
        <charset val="134"/>
      </rPr>
      <t>20163</t>
    </r>
  </si>
  <si>
    <r>
      <rPr>
        <sz val="10"/>
        <color rgb="FF000000"/>
        <rFont val="JRFonts"/>
        <charset val="134"/>
      </rPr>
      <t>10-07-2026 18:13</t>
    </r>
  </si>
  <si>
    <r>
      <rPr>
        <sz val="10"/>
        <color rgb="FF000000"/>
        <rFont val="JRFonts"/>
        <charset val="134"/>
      </rPr>
      <t>10-07-2026 17:01</t>
    </r>
  </si>
  <si>
    <r>
      <rPr>
        <sz val="10"/>
        <color rgb="FF0000FF"/>
        <rFont val="JRFonts"/>
        <charset val="134"/>
      </rPr>
      <t>20164</t>
    </r>
  </si>
  <si>
    <r>
      <rPr>
        <sz val="10"/>
        <color rgb="FF000000"/>
        <rFont val="JRFonts"/>
        <charset val="134"/>
      </rPr>
      <t>29-07-2026 16:28</t>
    </r>
  </si>
  <si>
    <r>
      <rPr>
        <sz val="10"/>
        <color rgb="FF000000"/>
        <rFont val="JRFonts"/>
        <charset val="134"/>
      </rPr>
      <t>10-07-2026 16:59</t>
    </r>
  </si>
  <si>
    <t>20164</t>
  </si>
  <si>
    <r>
      <rPr>
        <sz val="10"/>
        <color rgb="FF0000FF"/>
        <rFont val="JRFonts"/>
        <charset val="134"/>
      </rPr>
      <t>20165</t>
    </r>
  </si>
  <si>
    <r>
      <rPr>
        <sz val="10"/>
        <color rgb="FF000000"/>
        <rFont val="JRFonts"/>
        <charset val="134"/>
      </rPr>
      <t>10-07-2026 18:15</t>
    </r>
  </si>
  <si>
    <r>
      <rPr>
        <sz val="10"/>
        <color rgb="FF000000"/>
        <rFont val="JRFonts"/>
        <charset val="134"/>
      </rPr>
      <t>10-07-2026 17:34</t>
    </r>
  </si>
  <si>
    <r>
      <rPr>
        <sz val="10"/>
        <color rgb="FF0000FF"/>
        <rFont val="JRFonts"/>
        <charset val="134"/>
      </rPr>
      <t>20168</t>
    </r>
  </si>
  <si>
    <r>
      <rPr>
        <sz val="10"/>
        <color rgb="FF000000"/>
        <rFont val="JRFonts"/>
        <charset val="134"/>
      </rPr>
      <t>10-07-2026 18:12</t>
    </r>
  </si>
  <si>
    <r>
      <rPr>
        <sz val="10"/>
        <color rgb="FF0000FF"/>
        <rFont val="JRFonts"/>
        <charset val="134"/>
      </rPr>
      <t>20170</t>
    </r>
  </si>
  <si>
    <r>
      <rPr>
        <sz val="10"/>
        <color rgb="FF000000"/>
        <rFont val="JRFonts"/>
        <charset val="134"/>
      </rPr>
      <t>Apurva</t>
    </r>
  </si>
  <si>
    <r>
      <rPr>
        <sz val="10"/>
        <color rgb="FF000000"/>
        <rFont val="JRFonts"/>
        <charset val="134"/>
      </rPr>
      <t>10-07-2026 18:17</t>
    </r>
  </si>
  <si>
    <r>
      <rPr>
        <sz val="10"/>
        <color rgb="FF000000"/>
        <rFont val="JRFonts"/>
        <charset val="134"/>
      </rPr>
      <t>10-07-2026 17:37</t>
    </r>
  </si>
  <si>
    <r>
      <rPr>
        <sz val="10"/>
        <color rgb="FF0000FF"/>
        <rFont val="JRFonts"/>
        <charset val="134"/>
      </rPr>
      <t>20171</t>
    </r>
  </si>
  <si>
    <r>
      <rPr>
        <sz val="10"/>
        <color rgb="FF000000"/>
        <rFont val="JRFonts"/>
        <charset val="134"/>
      </rPr>
      <t>10-07-2026 18:06</t>
    </r>
  </si>
  <si>
    <r>
      <rPr>
        <sz val="10"/>
        <color rgb="FF000000"/>
        <rFont val="JRFonts"/>
        <charset val="134"/>
      </rPr>
      <t>10-07-2026 17:36</t>
    </r>
  </si>
  <si>
    <r>
      <rPr>
        <sz val="10"/>
        <color rgb="FF0000FF"/>
        <rFont val="JRFonts"/>
        <charset val="134"/>
      </rPr>
      <t>20174</t>
    </r>
  </si>
  <si>
    <r>
      <rPr>
        <sz val="10"/>
        <color rgb="FF000000"/>
        <rFont val="JRFonts"/>
        <charset val="134"/>
      </rPr>
      <t>10-07-2026 17:49</t>
    </r>
  </si>
  <si>
    <r>
      <rPr>
        <sz val="10"/>
        <color rgb="FF000000"/>
        <rFont val="JRFonts"/>
        <charset val="134"/>
      </rPr>
      <t>10-07-2026 17:41</t>
    </r>
  </si>
  <si>
    <r>
      <rPr>
        <sz val="10"/>
        <color rgb="FF0000FF"/>
        <rFont val="JRFonts"/>
        <charset val="134"/>
      </rPr>
      <t>20175</t>
    </r>
  </si>
  <si>
    <r>
      <rPr>
        <sz val="10"/>
        <color rgb="FF000000"/>
        <rFont val="JRFonts"/>
        <charset val="134"/>
      </rPr>
      <t>10-07-2026 17:45</t>
    </r>
  </si>
  <si>
    <r>
      <rPr>
        <sz val="10"/>
        <color rgb="FF000000"/>
        <rFont val="JRFonts"/>
        <charset val="134"/>
      </rPr>
      <t>10-07-2026 19:21</t>
    </r>
  </si>
  <si>
    <r>
      <rPr>
        <sz val="10"/>
        <color rgb="FF000000"/>
        <rFont val="JRFonts"/>
        <charset val="134"/>
      </rPr>
      <t>10-07-2026 17:55</t>
    </r>
  </si>
  <si>
    <r>
      <rPr>
        <sz val="10"/>
        <color rgb="FF0000FF"/>
        <rFont val="JRFonts"/>
        <charset val="134"/>
      </rPr>
      <t>20176</t>
    </r>
  </si>
  <si>
    <r>
      <rPr>
        <sz val="10"/>
        <color rgb="FF000000"/>
        <rFont val="JRFonts"/>
        <charset val="134"/>
      </rPr>
      <t>13-07-2026 16:17</t>
    </r>
  </si>
  <si>
    <r>
      <rPr>
        <sz val="10"/>
        <color rgb="FF000000"/>
        <rFont val="JRFonts"/>
        <charset val="134"/>
      </rPr>
      <t>13-07-2026 14:01</t>
    </r>
  </si>
  <si>
    <r>
      <rPr>
        <sz val="10"/>
        <color rgb="FF0000FF"/>
        <rFont val="JRFonts"/>
        <charset val="134"/>
      </rPr>
      <t>20177</t>
    </r>
  </si>
  <si>
    <r>
      <rPr>
        <sz val="10"/>
        <color rgb="FF000000"/>
        <rFont val="JRFonts"/>
        <charset val="134"/>
      </rPr>
      <t>10-07-2026 17:48</t>
    </r>
  </si>
  <si>
    <r>
      <rPr>
        <sz val="10"/>
        <color rgb="FF000000"/>
        <rFont val="JRFonts"/>
        <charset val="134"/>
      </rPr>
      <t>13-07-2026 14:52</t>
    </r>
  </si>
  <si>
    <r>
      <rPr>
        <sz val="10"/>
        <color rgb="FF000000"/>
        <rFont val="JRFonts"/>
        <charset val="134"/>
      </rPr>
      <t>13-07-2026 14:35</t>
    </r>
  </si>
  <si>
    <r>
      <rPr>
        <sz val="10"/>
        <color rgb="FF0000FF"/>
        <rFont val="JRFonts"/>
        <charset val="134"/>
      </rPr>
      <t>20178</t>
    </r>
  </si>
  <si>
    <r>
      <rPr>
        <sz val="10"/>
        <color rgb="FF000000"/>
        <rFont val="JRFonts"/>
        <charset val="134"/>
      </rPr>
      <t>10-07-2026 17:57</t>
    </r>
  </si>
  <si>
    <r>
      <rPr>
        <sz val="10"/>
        <color rgb="FF000000"/>
        <rFont val="JRFonts"/>
        <charset val="134"/>
      </rPr>
      <t>15-07-2026 18:04</t>
    </r>
  </si>
  <si>
    <r>
      <rPr>
        <sz val="10"/>
        <color rgb="FF000000"/>
        <rFont val="JRFonts"/>
        <charset val="134"/>
      </rPr>
      <t>15-07-2026 12:22</t>
    </r>
  </si>
  <si>
    <r>
      <rPr>
        <sz val="10"/>
        <color rgb="FF0000FF"/>
        <rFont val="JRFonts"/>
        <charset val="134"/>
      </rPr>
      <t>20179</t>
    </r>
  </si>
  <si>
    <r>
      <rPr>
        <sz val="10"/>
        <color rgb="FF000000"/>
        <rFont val="JRFonts"/>
        <charset val="134"/>
      </rPr>
      <t>13-07-2026 15:57</t>
    </r>
  </si>
  <si>
    <r>
      <rPr>
        <sz val="10"/>
        <color rgb="FF0000FF"/>
        <rFont val="JRFonts"/>
        <charset val="134"/>
      </rPr>
      <t>20180</t>
    </r>
  </si>
  <si>
    <r>
      <rPr>
        <sz val="10"/>
        <color rgb="FF000000"/>
        <rFont val="JRFonts"/>
        <charset val="134"/>
      </rPr>
      <t>10-07-2026 18:00</t>
    </r>
  </si>
  <si>
    <r>
      <rPr>
        <sz val="10"/>
        <color rgb="FF000000"/>
        <rFont val="JRFonts"/>
        <charset val="134"/>
      </rPr>
      <t>13-07-2026 14:28</t>
    </r>
  </si>
  <si>
    <r>
      <rPr>
        <sz val="10"/>
        <color rgb="FF000000"/>
        <rFont val="JRFonts"/>
        <charset val="134"/>
      </rPr>
      <t>10-07-2026 18:07</t>
    </r>
  </si>
  <si>
    <r>
      <rPr>
        <sz val="10"/>
        <color rgb="FF0000FF"/>
        <rFont val="JRFonts"/>
        <charset val="134"/>
      </rPr>
      <t>20181</t>
    </r>
  </si>
  <si>
    <r>
      <rPr>
        <sz val="10"/>
        <color rgb="FF000000"/>
        <rFont val="JRFonts"/>
        <charset val="134"/>
      </rPr>
      <t>10-07-2026 18:16</t>
    </r>
  </si>
  <si>
    <r>
      <rPr>
        <sz val="10"/>
        <color rgb="FF000000"/>
        <rFont val="JRFonts"/>
        <charset val="134"/>
      </rPr>
      <t>13-07-2026 14:38</t>
    </r>
  </si>
  <si>
    <t>20182</t>
  </si>
  <si>
    <r>
      <rPr>
        <sz val="10"/>
        <color rgb="FF000000"/>
        <rFont val="JRFonts"/>
        <charset val="134"/>
      </rPr>
      <t>10-07-2026 18:19</t>
    </r>
  </si>
  <si>
    <r>
      <rPr>
        <sz val="10"/>
        <color rgb="FF000000"/>
        <rFont val="JRFonts"/>
        <charset val="134"/>
      </rPr>
      <t>11-08-2026 16:14</t>
    </r>
  </si>
  <si>
    <r>
      <rPr>
        <sz val="10"/>
        <color rgb="FF000000"/>
        <rFont val="JRFonts"/>
        <charset val="134"/>
      </rPr>
      <t>13-07-2026 14:40</t>
    </r>
  </si>
  <si>
    <r>
      <rPr>
        <sz val="10"/>
        <color rgb="FF0000FF"/>
        <rFont val="JRFonts"/>
        <charset val="134"/>
      </rPr>
      <t>20185</t>
    </r>
  </si>
  <si>
    <r>
      <rPr>
        <sz val="10"/>
        <color rgb="FF000000"/>
        <rFont val="JRFonts"/>
        <charset val="134"/>
      </rPr>
      <t>10-07-2026 18:28</t>
    </r>
  </si>
  <si>
    <r>
      <rPr>
        <sz val="10"/>
        <color rgb="FF000000"/>
        <rFont val="JRFonts"/>
        <charset val="134"/>
      </rPr>
      <t>13-07-2026 16:32</t>
    </r>
  </si>
  <si>
    <r>
      <rPr>
        <sz val="10"/>
        <color rgb="FF000000"/>
        <rFont val="JRFonts"/>
        <charset val="134"/>
      </rPr>
      <t>10-07-2026 18:31</t>
    </r>
  </si>
  <si>
    <t>20186</t>
  </si>
  <si>
    <r>
      <rPr>
        <sz val="10"/>
        <color rgb="FF000000"/>
        <rFont val="JRFonts"/>
        <charset val="134"/>
      </rPr>
      <t>21-08-2026 11:04</t>
    </r>
  </si>
  <si>
    <r>
      <rPr>
        <sz val="10"/>
        <color rgb="FF000000"/>
        <rFont val="JRFonts"/>
        <charset val="134"/>
      </rPr>
      <t>13-07-2026 16:27</t>
    </r>
  </si>
  <si>
    <r>
      <rPr>
        <sz val="10"/>
        <color rgb="FF0000FF"/>
        <rFont val="JRFonts"/>
        <charset val="134"/>
      </rPr>
      <t>20187</t>
    </r>
  </si>
  <si>
    <r>
      <rPr>
        <sz val="10"/>
        <color rgb="FF000000"/>
        <rFont val="JRFonts"/>
        <charset val="134"/>
      </rPr>
      <t>10-07-2026 18:34</t>
    </r>
  </si>
  <si>
    <r>
      <rPr>
        <sz val="10"/>
        <color rgb="FF000000"/>
        <rFont val="JRFonts"/>
        <charset val="134"/>
      </rPr>
      <t>20-08-2026 18:32</t>
    </r>
  </si>
  <si>
    <r>
      <rPr>
        <sz val="10"/>
        <color rgb="FF000000"/>
        <rFont val="JRFonts"/>
        <charset val="134"/>
      </rPr>
      <t>14-07-2026 14:59</t>
    </r>
  </si>
  <si>
    <t>20187</t>
  </si>
  <si>
    <r>
      <rPr>
        <sz val="10"/>
        <color rgb="FF0000FF"/>
        <rFont val="JRFonts"/>
        <charset val="134"/>
      </rPr>
      <t>20188</t>
    </r>
  </si>
  <si>
    <r>
      <rPr>
        <sz val="10"/>
        <color rgb="FF000000"/>
        <rFont val="JRFonts"/>
        <charset val="134"/>
      </rPr>
      <t>10-07-2026 18:55</t>
    </r>
  </si>
  <si>
    <r>
      <rPr>
        <sz val="10"/>
        <color rgb="FF000000"/>
        <rFont val="JRFonts"/>
        <charset val="134"/>
      </rPr>
      <t>06-08-2026 12:57</t>
    </r>
  </si>
  <si>
    <r>
      <rPr>
        <sz val="10"/>
        <color rgb="FF000000"/>
        <rFont val="JRFonts"/>
        <charset val="134"/>
      </rPr>
      <t>14-07-2026 15:00</t>
    </r>
  </si>
  <si>
    <t>20188</t>
  </si>
  <si>
    <r>
      <rPr>
        <sz val="10"/>
        <color rgb="FF0000FF"/>
        <rFont val="JRFonts"/>
        <charset val="134"/>
      </rPr>
      <t>20189</t>
    </r>
  </si>
  <si>
    <r>
      <rPr>
        <sz val="10"/>
        <color rgb="FF000000"/>
        <rFont val="JRFonts"/>
        <charset val="134"/>
      </rPr>
      <t>10-07-2026 19:20</t>
    </r>
  </si>
  <si>
    <r>
      <rPr>
        <sz val="10"/>
        <color rgb="FF000000"/>
        <rFont val="JRFonts"/>
        <charset val="134"/>
      </rPr>
      <t>15-07-2026 10:47</t>
    </r>
  </si>
  <si>
    <r>
      <rPr>
        <sz val="10"/>
        <color rgb="FF000000"/>
        <rFont val="JRFonts"/>
        <charset val="134"/>
      </rPr>
      <t>14-07-2026 10:25</t>
    </r>
  </si>
  <si>
    <r>
      <rPr>
        <sz val="10"/>
        <color rgb="FF0000FF"/>
        <rFont val="JRFonts"/>
        <charset val="134"/>
      </rPr>
      <t>20191</t>
    </r>
  </si>
  <si>
    <r>
      <rPr>
        <sz val="10"/>
        <color rgb="FF000000"/>
        <rFont val="JRFonts"/>
        <charset val="134"/>
      </rPr>
      <t>10-07-2026 19:35</t>
    </r>
  </si>
  <si>
    <r>
      <rPr>
        <sz val="10"/>
        <color rgb="FF000000"/>
        <rFont val="JRFonts"/>
        <charset val="134"/>
      </rPr>
      <t>29-07-2026 16:19</t>
    </r>
  </si>
  <si>
    <r>
      <rPr>
        <sz val="10"/>
        <color rgb="FF000000"/>
        <rFont val="JRFonts"/>
        <charset val="134"/>
      </rPr>
      <t>14-07-2026 10:41</t>
    </r>
  </si>
  <si>
    <t>20191</t>
  </si>
  <si>
    <r>
      <rPr>
        <sz val="10"/>
        <color rgb="FF0000FF"/>
        <rFont val="JRFonts"/>
        <charset val="134"/>
      </rPr>
      <t>20197</t>
    </r>
  </si>
  <si>
    <r>
      <rPr>
        <sz val="10"/>
        <color rgb="FF000000"/>
        <rFont val="JRFonts"/>
        <charset val="134"/>
      </rPr>
      <t>13-07-2026 10:17</t>
    </r>
  </si>
  <si>
    <r>
      <rPr>
        <sz val="10"/>
        <color rgb="FF000000"/>
        <rFont val="JRFonts"/>
        <charset val="134"/>
      </rPr>
      <t>20-07-2026 14:43</t>
    </r>
  </si>
  <si>
    <r>
      <rPr>
        <sz val="10"/>
        <color rgb="FF000000"/>
        <rFont val="JRFonts"/>
        <charset val="134"/>
      </rPr>
      <t>14-07-2026 10:42</t>
    </r>
  </si>
  <si>
    <t>20197</t>
  </si>
  <si>
    <r>
      <rPr>
        <sz val="10"/>
        <color rgb="FF0000FF"/>
        <rFont val="JRFonts"/>
        <charset val="134"/>
      </rPr>
      <t>20199</t>
    </r>
  </si>
  <si>
    <r>
      <rPr>
        <sz val="10"/>
        <color rgb="FF000000"/>
        <rFont val="JRFonts"/>
        <charset val="134"/>
      </rPr>
      <t>13-07-2026 10:20</t>
    </r>
  </si>
  <si>
    <r>
      <rPr>
        <sz val="10"/>
        <color rgb="FF000000"/>
        <rFont val="JRFonts"/>
        <charset val="134"/>
      </rPr>
      <t>14-07-2026 17:18</t>
    </r>
  </si>
  <si>
    <r>
      <rPr>
        <sz val="10"/>
        <color rgb="FF000000"/>
        <rFont val="JRFonts"/>
        <charset val="134"/>
      </rPr>
      <t>14-07-2026 10:38</t>
    </r>
  </si>
  <si>
    <r>
      <rPr>
        <sz val="10"/>
        <color rgb="FF0000FF"/>
        <rFont val="JRFonts"/>
        <charset val="134"/>
      </rPr>
      <t>20200</t>
    </r>
  </si>
  <si>
    <r>
      <rPr>
        <sz val="10"/>
        <color rgb="FF000000"/>
        <rFont val="JRFonts"/>
        <charset val="134"/>
      </rPr>
      <t>13-07-2026 14:12</t>
    </r>
  </si>
  <si>
    <r>
      <rPr>
        <sz val="10"/>
        <color rgb="FF000000"/>
        <rFont val="JRFonts"/>
        <charset val="134"/>
      </rPr>
      <t>13-07-2026 10:21</t>
    </r>
  </si>
  <si>
    <r>
      <rPr>
        <sz val="10"/>
        <color rgb="FF0000FF"/>
        <rFont val="JRFonts"/>
        <charset val="134"/>
      </rPr>
      <t>20201</t>
    </r>
  </si>
  <si>
    <r>
      <rPr>
        <sz val="10"/>
        <color rgb="FF000000"/>
        <rFont val="JRFonts"/>
        <charset val="134"/>
      </rPr>
      <t>13-07-2026 10:23</t>
    </r>
  </si>
  <si>
    <r>
      <rPr>
        <sz val="10"/>
        <color rgb="FF000000"/>
        <rFont val="JRFonts"/>
        <charset val="134"/>
      </rPr>
      <t>13-07-2026 15:35</t>
    </r>
  </si>
  <si>
    <r>
      <rPr>
        <sz val="10"/>
        <color rgb="FF000000"/>
        <rFont val="JRFonts"/>
        <charset val="134"/>
      </rPr>
      <t>13-07-2026 10:29</t>
    </r>
  </si>
  <si>
    <r>
      <rPr>
        <sz val="10"/>
        <color rgb="FF0000FF"/>
        <rFont val="JRFonts"/>
        <charset val="134"/>
      </rPr>
      <t>20206</t>
    </r>
  </si>
  <si>
    <r>
      <rPr>
        <sz val="10"/>
        <color rgb="FF000000"/>
        <rFont val="JRFonts"/>
        <charset val="134"/>
      </rPr>
      <t>13-07-2026 10:47</t>
    </r>
  </si>
  <si>
    <r>
      <rPr>
        <sz val="10"/>
        <color rgb="FF000000"/>
        <rFont val="JRFonts"/>
        <charset val="134"/>
      </rPr>
      <t>13-07-2026 14:11</t>
    </r>
  </si>
  <si>
    <r>
      <rPr>
        <sz val="10"/>
        <color rgb="FF000000"/>
        <rFont val="JRFonts"/>
        <charset val="134"/>
      </rPr>
      <t>13-07-2026 10:49</t>
    </r>
  </si>
  <si>
    <t>20207</t>
  </si>
  <si>
    <r>
      <rPr>
        <sz val="10"/>
        <color rgb="FF000000"/>
        <rFont val="JRFonts"/>
        <charset val="134"/>
      </rPr>
      <t>13-07-2026 11:12</t>
    </r>
  </si>
  <si>
    <r>
      <rPr>
        <sz val="10"/>
        <color rgb="FF000000"/>
        <rFont val="JRFonts"/>
        <charset val="134"/>
      </rPr>
      <t>17-07-2026 11:57</t>
    </r>
  </si>
  <si>
    <r>
      <rPr>
        <sz val="10"/>
        <color rgb="FF0000FF"/>
        <rFont val="JRFonts"/>
        <charset val="134"/>
      </rPr>
      <t>20208</t>
    </r>
  </si>
  <si>
    <r>
      <rPr>
        <sz val="10"/>
        <color rgb="FF000000"/>
        <rFont val="JRFonts"/>
        <charset val="134"/>
      </rPr>
      <t>13-07-2026 11:24</t>
    </r>
  </si>
  <si>
    <r>
      <rPr>
        <sz val="10"/>
        <color rgb="FF000000"/>
        <rFont val="JRFonts"/>
        <charset val="134"/>
      </rPr>
      <t>23-07-2026 18:21</t>
    </r>
  </si>
  <si>
    <r>
      <rPr>
        <sz val="10"/>
        <color rgb="FF000000"/>
        <rFont val="JRFonts"/>
        <charset val="134"/>
      </rPr>
      <t>14-07-2026 10:45</t>
    </r>
  </si>
  <si>
    <t>20208</t>
  </si>
  <si>
    <r>
      <rPr>
        <sz val="10"/>
        <color rgb="FF0000FF"/>
        <rFont val="JRFonts"/>
        <charset val="134"/>
      </rPr>
      <t>20209</t>
    </r>
  </si>
  <si>
    <r>
      <rPr>
        <sz val="10"/>
        <color rgb="FF000000"/>
        <rFont val="JRFonts"/>
        <charset val="134"/>
      </rPr>
      <t>13-07-2026 11:30</t>
    </r>
  </si>
  <si>
    <r>
      <rPr>
        <sz val="10"/>
        <color rgb="FF000000"/>
        <rFont val="JRFonts"/>
        <charset val="134"/>
      </rPr>
      <t>11-08-2026 12:03</t>
    </r>
  </si>
  <si>
    <t>20209</t>
  </si>
  <si>
    <r>
      <rPr>
        <sz val="10"/>
        <color rgb="FF0000FF"/>
        <rFont val="JRFonts"/>
        <charset val="134"/>
      </rPr>
      <t>20210</t>
    </r>
  </si>
  <si>
    <r>
      <rPr>
        <sz val="10"/>
        <color rgb="FF000000"/>
        <rFont val="JRFonts"/>
        <charset val="134"/>
      </rPr>
      <t>13-07-2026 11:36</t>
    </r>
  </si>
  <si>
    <r>
      <rPr>
        <sz val="10"/>
        <color rgb="FF000000"/>
        <rFont val="JRFonts"/>
        <charset val="134"/>
      </rPr>
      <t>30-07-2026 10:16</t>
    </r>
  </si>
  <si>
    <t>Ticket was on business pending - resolved post discussion</t>
  </si>
  <si>
    <r>
      <rPr>
        <sz val="10"/>
        <color rgb="FF0000FF"/>
        <rFont val="JRFonts"/>
        <charset val="134"/>
      </rPr>
      <t>20213</t>
    </r>
  </si>
  <si>
    <r>
      <rPr>
        <sz val="10"/>
        <color rgb="FF000000"/>
        <rFont val="JRFonts"/>
        <charset val="134"/>
      </rPr>
      <t>13-07-2026 11:58</t>
    </r>
  </si>
  <si>
    <r>
      <rPr>
        <sz val="10"/>
        <color rgb="FF000000"/>
        <rFont val="JRFonts"/>
        <charset val="134"/>
      </rPr>
      <t>13-07-2026 18:32</t>
    </r>
  </si>
  <si>
    <r>
      <rPr>
        <sz val="10"/>
        <color rgb="FF000000"/>
        <rFont val="JRFonts"/>
        <charset val="134"/>
      </rPr>
      <t>13-07-2026 12:01</t>
    </r>
  </si>
  <si>
    <r>
      <rPr>
        <sz val="10"/>
        <color rgb="FF0000FF"/>
        <rFont val="JRFonts"/>
        <charset val="134"/>
      </rPr>
      <t>20214</t>
    </r>
  </si>
  <si>
    <r>
      <rPr>
        <sz val="10"/>
        <color rgb="FF000000"/>
        <rFont val="JRFonts"/>
        <charset val="134"/>
      </rPr>
      <t>13-07-2026 12:04</t>
    </r>
  </si>
  <si>
    <r>
      <rPr>
        <sz val="10"/>
        <color rgb="FF000000"/>
        <rFont val="JRFonts"/>
        <charset val="134"/>
      </rPr>
      <t>15-07-2026 10:27</t>
    </r>
  </si>
  <si>
    <r>
      <rPr>
        <sz val="10"/>
        <color rgb="FF000000"/>
        <rFont val="JRFonts"/>
        <charset val="134"/>
      </rPr>
      <t>14-07-2026 10:44</t>
    </r>
  </si>
  <si>
    <r>
      <rPr>
        <sz val="10"/>
        <color rgb="FF0000FF"/>
        <rFont val="JRFonts"/>
        <charset val="134"/>
      </rPr>
      <t>20216</t>
    </r>
  </si>
  <si>
    <r>
      <rPr>
        <sz val="10"/>
        <color rgb="FF000000"/>
        <rFont val="JRFonts"/>
        <charset val="134"/>
      </rPr>
      <t>13-07-2026 12:16</t>
    </r>
  </si>
  <si>
    <r>
      <rPr>
        <sz val="10"/>
        <color rgb="FF000000"/>
        <rFont val="JRFonts"/>
        <charset val="134"/>
      </rPr>
      <t>14-07-2026 12:47</t>
    </r>
  </si>
  <si>
    <r>
      <rPr>
        <sz val="10"/>
        <color rgb="FF000000"/>
        <rFont val="JRFonts"/>
        <charset val="134"/>
      </rPr>
      <t>13-07-2026 14:46</t>
    </r>
  </si>
  <si>
    <r>
      <rPr>
        <sz val="10"/>
        <color rgb="FF0000FF"/>
        <rFont val="JRFonts"/>
        <charset val="134"/>
      </rPr>
      <t>20221</t>
    </r>
  </si>
  <si>
    <r>
      <rPr>
        <sz val="10"/>
        <color rgb="FF000000"/>
        <rFont val="JRFonts"/>
        <charset val="134"/>
      </rPr>
      <t>13-07-2026 12:37</t>
    </r>
  </si>
  <si>
    <r>
      <rPr>
        <sz val="10"/>
        <color rgb="FF000000"/>
        <rFont val="JRFonts"/>
        <charset val="134"/>
      </rPr>
      <t>13-07-2026 14:32</t>
    </r>
  </si>
  <si>
    <r>
      <rPr>
        <sz val="10"/>
        <color rgb="FF000000"/>
        <rFont val="JRFonts"/>
        <charset val="134"/>
      </rPr>
      <t>13-07-2026 12:43</t>
    </r>
  </si>
  <si>
    <r>
      <rPr>
        <sz val="10"/>
        <color rgb="FF0000FF"/>
        <rFont val="JRFonts"/>
        <charset val="134"/>
      </rPr>
      <t>20223</t>
    </r>
  </si>
  <si>
    <r>
      <rPr>
        <sz val="10"/>
        <color rgb="FF000000"/>
        <rFont val="JRFonts"/>
        <charset val="134"/>
      </rPr>
      <t>13-07-2026 12:47</t>
    </r>
  </si>
  <si>
    <r>
      <rPr>
        <sz val="10"/>
        <color rgb="FF000000"/>
        <rFont val="JRFonts"/>
        <charset val="134"/>
      </rPr>
      <t>14-07-2026 10:39</t>
    </r>
  </si>
  <si>
    <r>
      <rPr>
        <sz val="10"/>
        <color rgb="FF0000FF"/>
        <rFont val="JRFonts"/>
        <charset val="134"/>
      </rPr>
      <t>20225</t>
    </r>
  </si>
  <si>
    <r>
      <rPr>
        <sz val="10"/>
        <color rgb="FF000000"/>
        <rFont val="JRFonts"/>
        <charset val="134"/>
      </rPr>
      <t>15-07-2026 16:35</t>
    </r>
  </si>
  <si>
    <t>20225</t>
  </si>
  <si>
    <r>
      <rPr>
        <sz val="10"/>
        <color rgb="FF0000FF"/>
        <rFont val="JRFonts"/>
        <charset val="134"/>
      </rPr>
      <t>20226</t>
    </r>
  </si>
  <si>
    <r>
      <rPr>
        <sz val="10"/>
        <color rgb="FF000000"/>
        <rFont val="JRFonts"/>
        <charset val="134"/>
      </rPr>
      <t>Asif</t>
    </r>
  </si>
  <si>
    <r>
      <rPr>
        <sz val="10"/>
        <color rgb="FF000000"/>
        <rFont val="JRFonts"/>
        <charset val="134"/>
      </rPr>
      <t>13-07-2026 12:56</t>
    </r>
  </si>
  <si>
    <r>
      <rPr>
        <sz val="10"/>
        <color rgb="FF000000"/>
        <rFont val="JRFonts"/>
        <charset val="134"/>
      </rPr>
      <t>12-08-2026 12:18</t>
    </r>
  </si>
  <si>
    <t>20226</t>
  </si>
  <si>
    <r>
      <rPr>
        <sz val="10"/>
        <color rgb="FF0000FF"/>
        <rFont val="JRFonts"/>
        <charset val="134"/>
      </rPr>
      <t>20230</t>
    </r>
  </si>
  <si>
    <r>
      <rPr>
        <sz val="10"/>
        <color rgb="FF000000"/>
        <rFont val="JRFonts"/>
        <charset val="134"/>
      </rPr>
      <t>13-07-2026 13:05</t>
    </r>
  </si>
  <si>
    <r>
      <rPr>
        <sz val="10"/>
        <color rgb="FF000000"/>
        <rFont val="JRFonts"/>
        <charset val="134"/>
      </rPr>
      <t>14-07-2026 10:54</t>
    </r>
  </si>
  <si>
    <r>
      <rPr>
        <sz val="10"/>
        <color rgb="FF0000FF"/>
        <rFont val="JRFonts"/>
        <charset val="134"/>
      </rPr>
      <t>20231</t>
    </r>
  </si>
  <si>
    <r>
      <rPr>
        <sz val="10"/>
        <color rgb="FF000000"/>
        <rFont val="JRFonts"/>
        <charset val="134"/>
      </rPr>
      <t>13-07-2026 13:11</t>
    </r>
  </si>
  <si>
    <r>
      <rPr>
        <sz val="10"/>
        <color rgb="FF000000"/>
        <rFont val="JRFonts"/>
        <charset val="134"/>
      </rPr>
      <t>13-07-2026 14:41</t>
    </r>
  </si>
  <si>
    <r>
      <rPr>
        <sz val="10"/>
        <color rgb="FF0000FF"/>
        <rFont val="JRFonts"/>
        <charset val="134"/>
      </rPr>
      <t>20232</t>
    </r>
  </si>
  <si>
    <r>
      <rPr>
        <sz val="10"/>
        <color rgb="FF000000"/>
        <rFont val="JRFonts"/>
        <charset val="134"/>
      </rPr>
      <t>13-07-2026 13:20</t>
    </r>
  </si>
  <si>
    <r>
      <rPr>
        <sz val="10"/>
        <color rgb="FF000000"/>
        <rFont val="JRFonts"/>
        <charset val="134"/>
      </rPr>
      <t>13-07-2026 15:59</t>
    </r>
  </si>
  <si>
    <r>
      <rPr>
        <sz val="10"/>
        <color rgb="FF000000"/>
        <rFont val="JRFonts"/>
        <charset val="134"/>
      </rPr>
      <t>13-07-2026 14:48</t>
    </r>
  </si>
  <si>
    <r>
      <rPr>
        <sz val="10"/>
        <color rgb="FF0000FF"/>
        <rFont val="JRFonts"/>
        <charset val="134"/>
      </rPr>
      <t>20233</t>
    </r>
  </si>
  <si>
    <r>
      <rPr>
        <sz val="10"/>
        <color rgb="FF000000"/>
        <rFont val="JRFonts"/>
        <charset val="134"/>
      </rPr>
      <t>13-07-2026 13:27</t>
    </r>
  </si>
  <si>
    <r>
      <rPr>
        <sz val="10"/>
        <color rgb="FF000000"/>
        <rFont val="JRFonts"/>
        <charset val="134"/>
      </rPr>
      <t>13-07-2026 14:33</t>
    </r>
  </si>
  <si>
    <r>
      <rPr>
        <sz val="10"/>
        <color rgb="FF000000"/>
        <rFont val="JRFonts"/>
        <charset val="134"/>
      </rPr>
      <t>13-07-2026 13:30</t>
    </r>
  </si>
  <si>
    <r>
      <rPr>
        <sz val="10"/>
        <color rgb="FF0000FF"/>
        <rFont val="JRFonts"/>
        <charset val="134"/>
      </rPr>
      <t>20234</t>
    </r>
  </si>
  <si>
    <r>
      <rPr>
        <sz val="10"/>
        <color rgb="FF000000"/>
        <rFont val="JRFonts"/>
        <charset val="134"/>
      </rPr>
      <t>13-07-2026 13:36</t>
    </r>
  </si>
  <si>
    <r>
      <rPr>
        <sz val="10"/>
        <color rgb="FF000000"/>
        <rFont val="JRFonts"/>
        <charset val="134"/>
      </rPr>
      <t>13-07-2026 14:30</t>
    </r>
  </si>
  <si>
    <r>
      <rPr>
        <sz val="10"/>
        <color rgb="FF000000"/>
        <rFont val="JRFonts"/>
        <charset val="134"/>
      </rPr>
      <t>13-07-2026 13:37</t>
    </r>
  </si>
  <si>
    <r>
      <rPr>
        <sz val="10"/>
        <color rgb="FF0000FF"/>
        <rFont val="JRFonts"/>
        <charset val="134"/>
      </rPr>
      <t>20235</t>
    </r>
  </si>
  <si>
    <r>
      <rPr>
        <sz val="10"/>
        <color rgb="FF000000"/>
        <rFont val="JRFonts"/>
        <charset val="134"/>
      </rPr>
      <t>13-07-2026 13:39</t>
    </r>
  </si>
  <si>
    <r>
      <rPr>
        <sz val="10"/>
        <color rgb="FF000000"/>
        <rFont val="JRFonts"/>
        <charset val="134"/>
      </rPr>
      <t>13-07-2026 16:18</t>
    </r>
  </si>
  <si>
    <r>
      <rPr>
        <sz val="10"/>
        <color rgb="FF000000"/>
        <rFont val="JRFonts"/>
        <charset val="134"/>
      </rPr>
      <t>13-07-2026 13:43</t>
    </r>
  </si>
  <si>
    <r>
      <rPr>
        <sz val="10"/>
        <color rgb="FF0000FF"/>
        <rFont val="JRFonts"/>
        <charset val="134"/>
      </rPr>
      <t>20250</t>
    </r>
  </si>
  <si>
    <r>
      <rPr>
        <sz val="10"/>
        <color rgb="FF000000"/>
        <rFont val="JRFonts"/>
        <charset val="134"/>
      </rPr>
      <t>13-07-2026 14:43</t>
    </r>
  </si>
  <si>
    <r>
      <rPr>
        <sz val="10"/>
        <color rgb="FF000000"/>
        <rFont val="JRFonts"/>
        <charset val="134"/>
      </rPr>
      <t>13-07-2026 16:30</t>
    </r>
  </si>
  <si>
    <r>
      <rPr>
        <sz val="10"/>
        <color rgb="FF0000FF"/>
        <rFont val="JRFonts"/>
        <charset val="134"/>
      </rPr>
      <t>20251</t>
    </r>
  </si>
  <si>
    <r>
      <rPr>
        <sz val="10"/>
        <color rgb="FF000000"/>
        <rFont val="JRFonts"/>
        <charset val="134"/>
      </rPr>
      <t>13-07-2026 15:56</t>
    </r>
  </si>
  <si>
    <r>
      <rPr>
        <sz val="10"/>
        <color rgb="FF000000"/>
        <rFont val="JRFonts"/>
        <charset val="134"/>
      </rPr>
      <t>13-07-2026 14:49</t>
    </r>
  </si>
  <si>
    <r>
      <rPr>
        <sz val="10"/>
        <color rgb="FF0000FF"/>
        <rFont val="JRFonts"/>
        <charset val="134"/>
      </rPr>
      <t>20257</t>
    </r>
  </si>
  <si>
    <r>
      <rPr>
        <sz val="10"/>
        <color rgb="FF000000"/>
        <rFont val="JRFonts"/>
        <charset val="134"/>
      </rPr>
      <t>13-07-2026 15:29</t>
    </r>
  </si>
  <si>
    <r>
      <rPr>
        <sz val="10"/>
        <color rgb="FF000000"/>
        <rFont val="JRFonts"/>
        <charset val="134"/>
      </rPr>
      <t>13-07-2026 16:13</t>
    </r>
  </si>
  <si>
    <r>
      <rPr>
        <sz val="10"/>
        <color rgb="FF000000"/>
        <rFont val="JRFonts"/>
        <charset val="134"/>
      </rPr>
      <t>13-07-2026 15:37</t>
    </r>
  </si>
  <si>
    <r>
      <rPr>
        <sz val="10"/>
        <color rgb="FF0000FF"/>
        <rFont val="JRFonts"/>
        <charset val="134"/>
      </rPr>
      <t>20260</t>
    </r>
  </si>
  <si>
    <r>
      <rPr>
        <sz val="10"/>
        <color rgb="FF000000"/>
        <rFont val="JRFonts"/>
        <charset val="134"/>
      </rPr>
      <t>13-07-2026 15:32</t>
    </r>
  </si>
  <si>
    <t>20260</t>
  </si>
  <si>
    <r>
      <rPr>
        <sz val="10"/>
        <color rgb="FF0000FF"/>
        <rFont val="JRFonts"/>
        <charset val="134"/>
      </rPr>
      <t>20261</t>
    </r>
  </si>
  <si>
    <r>
      <rPr>
        <sz val="10"/>
        <color rgb="FF000000"/>
        <rFont val="JRFonts"/>
        <charset val="134"/>
      </rPr>
      <t>30-07-2026 19:18</t>
    </r>
  </si>
  <si>
    <r>
      <rPr>
        <sz val="10"/>
        <color rgb="FF000000"/>
        <rFont val="JRFonts"/>
        <charset val="134"/>
      </rPr>
      <t>14-07-2026 10:46</t>
    </r>
  </si>
  <si>
    <t>20261</t>
  </si>
  <si>
    <r>
      <rPr>
        <sz val="10"/>
        <color rgb="FF0000FF"/>
        <rFont val="JRFonts"/>
        <charset val="134"/>
      </rPr>
      <t>20262</t>
    </r>
  </si>
  <si>
    <r>
      <rPr>
        <sz val="10"/>
        <color rgb="FF000000"/>
        <rFont val="JRFonts"/>
        <charset val="134"/>
      </rPr>
      <t>13-07-2026 15:38</t>
    </r>
  </si>
  <si>
    <r>
      <rPr>
        <sz val="10"/>
        <color rgb="FF000000"/>
        <rFont val="JRFonts"/>
        <charset val="134"/>
      </rPr>
      <t>14-07-2026 11:15</t>
    </r>
  </si>
  <si>
    <r>
      <rPr>
        <sz val="10"/>
        <color rgb="FF000000"/>
        <rFont val="JRFonts"/>
        <charset val="134"/>
      </rPr>
      <t>13-07-2026 16:28</t>
    </r>
  </si>
  <si>
    <r>
      <rPr>
        <sz val="10"/>
        <color rgb="FF0000FF"/>
        <rFont val="JRFonts"/>
        <charset val="134"/>
      </rPr>
      <t>20265</t>
    </r>
  </si>
  <si>
    <r>
      <rPr>
        <sz val="10"/>
        <color rgb="FF000000"/>
        <rFont val="JRFonts"/>
        <charset val="134"/>
      </rPr>
      <t>29-07-2026 16:14</t>
    </r>
  </si>
  <si>
    <t>20265</t>
  </si>
  <si>
    <r>
      <rPr>
        <sz val="10"/>
        <color rgb="FF0000FF"/>
        <rFont val="JRFonts"/>
        <charset val="134"/>
      </rPr>
      <t>20268</t>
    </r>
  </si>
  <si>
    <r>
      <rPr>
        <sz val="10"/>
        <color rgb="FF000000"/>
        <rFont val="JRFonts"/>
        <charset val="134"/>
      </rPr>
      <t>13-07-2026 16:09</t>
    </r>
  </si>
  <si>
    <r>
      <rPr>
        <sz val="10"/>
        <color rgb="FF000000"/>
        <rFont val="JRFonts"/>
        <charset val="134"/>
      </rPr>
      <t>11-08-2026 11:39</t>
    </r>
  </si>
  <si>
    <t>20268</t>
  </si>
  <si>
    <t>20272</t>
  </si>
  <si>
    <r>
      <rPr>
        <sz val="10"/>
        <color rgb="FF000000"/>
        <rFont val="JRFonts"/>
        <charset val="134"/>
      </rPr>
      <t>13-07-2026 16:21</t>
    </r>
  </si>
  <si>
    <r>
      <rPr>
        <sz val="10"/>
        <color rgb="FF000000"/>
        <rFont val="JRFonts"/>
        <charset val="134"/>
      </rPr>
      <t>21-07-2026 16:22</t>
    </r>
  </si>
  <si>
    <r>
      <rPr>
        <sz val="10"/>
        <color rgb="FF000000"/>
        <rFont val="JRFonts"/>
        <charset val="134"/>
      </rPr>
      <t>14-07-2026 10:28</t>
    </r>
  </si>
  <si>
    <r>
      <rPr>
        <sz val="10"/>
        <color rgb="FF0000FF"/>
        <rFont val="JRFonts"/>
        <charset val="134"/>
      </rPr>
      <t>20272</t>
    </r>
  </si>
  <si>
    <t>Was pending IT approval , Closed after discussion</t>
  </si>
  <si>
    <r>
      <rPr>
        <sz val="10"/>
        <color rgb="FF0000FF"/>
        <rFont val="JRFonts"/>
        <charset val="134"/>
      </rPr>
      <t>20275</t>
    </r>
  </si>
  <si>
    <r>
      <rPr>
        <sz val="10"/>
        <color rgb="FF000000"/>
        <rFont val="JRFonts"/>
        <charset val="134"/>
      </rPr>
      <t>14-07-2026 10:26</t>
    </r>
  </si>
  <si>
    <r>
      <rPr>
        <sz val="10"/>
        <color rgb="FF0000FF"/>
        <rFont val="JRFonts"/>
        <charset val="134"/>
      </rPr>
      <t>20277</t>
    </r>
  </si>
  <si>
    <r>
      <rPr>
        <sz val="10"/>
        <color rgb="FF000000"/>
        <rFont val="JRFonts"/>
        <charset val="134"/>
      </rPr>
      <t>13-07-2026 16:39</t>
    </r>
  </si>
  <si>
    <r>
      <rPr>
        <sz val="10"/>
        <color rgb="FF000000"/>
        <rFont val="JRFonts"/>
        <charset val="134"/>
      </rPr>
      <t>14-07-2026 11:59</t>
    </r>
  </si>
  <si>
    <r>
      <rPr>
        <sz val="10"/>
        <color rgb="FF0000FF"/>
        <rFont val="JRFonts"/>
        <charset val="134"/>
      </rPr>
      <t>20278</t>
    </r>
  </si>
  <si>
    <r>
      <rPr>
        <sz val="10"/>
        <color rgb="FF000000"/>
        <rFont val="JRFonts"/>
        <charset val="134"/>
      </rPr>
      <t>13-07-2026 16:45</t>
    </r>
  </si>
  <si>
    <r>
      <rPr>
        <sz val="10"/>
        <color rgb="FF000000"/>
        <rFont val="JRFonts"/>
        <charset val="134"/>
      </rPr>
      <t>14-07-2026 14:44</t>
    </r>
  </si>
  <si>
    <r>
      <rPr>
        <sz val="10"/>
        <color rgb="FF0000FF"/>
        <rFont val="JRFonts"/>
        <charset val="134"/>
      </rPr>
      <t>20280</t>
    </r>
  </si>
  <si>
    <r>
      <rPr>
        <sz val="10"/>
        <color rgb="FF000000"/>
        <rFont val="JRFonts"/>
        <charset val="134"/>
      </rPr>
      <t>13-07-2026 16:58</t>
    </r>
  </si>
  <si>
    <r>
      <rPr>
        <sz val="10"/>
        <color rgb="FF000000"/>
        <rFont val="JRFonts"/>
        <charset val="134"/>
      </rPr>
      <t>13-07-2026 21:09</t>
    </r>
  </si>
  <si>
    <r>
      <rPr>
        <sz val="10"/>
        <color rgb="FF000000"/>
        <rFont val="JRFonts"/>
        <charset val="134"/>
      </rPr>
      <t>13-07-2026 17:00</t>
    </r>
  </si>
  <si>
    <t>20280</t>
  </si>
  <si>
    <t>data is shared within working 1 hr</t>
  </si>
  <si>
    <r>
      <rPr>
        <sz val="10"/>
        <color rgb="FF0000FF"/>
        <rFont val="JRFonts"/>
        <charset val="134"/>
      </rPr>
      <t>20281</t>
    </r>
  </si>
  <si>
    <r>
      <rPr>
        <sz val="10"/>
        <color rgb="FF000000"/>
        <rFont val="JRFonts"/>
        <charset val="134"/>
      </rPr>
      <t>13-07-2026 17:04</t>
    </r>
  </si>
  <si>
    <r>
      <rPr>
        <sz val="10"/>
        <color rgb="FF000000"/>
        <rFont val="JRFonts"/>
        <charset val="134"/>
      </rPr>
      <t>12-08-2026 14:44</t>
    </r>
  </si>
  <si>
    <t>20281</t>
  </si>
  <si>
    <r>
      <rPr>
        <sz val="10"/>
        <color rgb="FF0000FF"/>
        <rFont val="JRFonts"/>
        <charset val="134"/>
      </rPr>
      <t>20282</t>
    </r>
  </si>
  <si>
    <r>
      <rPr>
        <sz val="10"/>
        <color rgb="FF000000"/>
        <rFont val="JRFonts"/>
        <charset val="134"/>
      </rPr>
      <t>13-07-2026 17:10</t>
    </r>
  </si>
  <si>
    <r>
      <rPr>
        <sz val="10"/>
        <color rgb="FF000000"/>
        <rFont val="JRFonts"/>
        <charset val="134"/>
      </rPr>
      <t>14-07-2026 11:56</t>
    </r>
  </si>
  <si>
    <t>20283</t>
  </si>
  <si>
    <r>
      <rPr>
        <sz val="10"/>
        <color rgb="FF000000"/>
        <rFont val="JRFonts"/>
        <charset val="134"/>
      </rPr>
      <t>13-07-2026 17:19</t>
    </r>
  </si>
  <si>
    <r>
      <rPr>
        <sz val="10"/>
        <color rgb="FF000000"/>
        <rFont val="JRFonts"/>
        <charset val="134"/>
      </rPr>
      <t>25-08-2026 18:53</t>
    </r>
  </si>
  <si>
    <r>
      <rPr>
        <sz val="10"/>
        <color rgb="FF0000FF"/>
        <rFont val="JRFonts"/>
        <charset val="134"/>
      </rPr>
      <t>20285</t>
    </r>
  </si>
  <si>
    <r>
      <rPr>
        <sz val="10"/>
        <color rgb="FF000000"/>
        <rFont val="JRFonts"/>
        <charset val="134"/>
      </rPr>
      <t>13-07-2026 17:22</t>
    </r>
  </si>
  <si>
    <r>
      <rPr>
        <sz val="10"/>
        <color rgb="FF000000"/>
        <rFont val="JRFonts"/>
        <charset val="134"/>
      </rPr>
      <t>16-07-2026 11:42</t>
    </r>
  </si>
  <si>
    <r>
      <rPr>
        <sz val="10"/>
        <color rgb="FF000000"/>
        <rFont val="JRFonts"/>
        <charset val="134"/>
      </rPr>
      <t>14-07-2026 10:29</t>
    </r>
  </si>
  <si>
    <t>20285</t>
  </si>
  <si>
    <r>
      <rPr>
        <sz val="10"/>
        <color rgb="FF0000FF"/>
        <rFont val="JRFonts"/>
        <charset val="134"/>
      </rPr>
      <t>20286</t>
    </r>
  </si>
  <si>
    <r>
      <rPr>
        <sz val="10"/>
        <color rgb="FF000000"/>
        <rFont val="JRFonts"/>
        <charset val="134"/>
      </rPr>
      <t>13-07-2026 17:44</t>
    </r>
  </si>
  <si>
    <r>
      <rPr>
        <sz val="10"/>
        <color rgb="FF000000"/>
        <rFont val="JRFonts"/>
        <charset val="134"/>
      </rPr>
      <t>13-07-2026 17:34</t>
    </r>
  </si>
  <si>
    <r>
      <rPr>
        <sz val="10"/>
        <color rgb="FF0000FF"/>
        <rFont val="JRFonts"/>
        <charset val="134"/>
      </rPr>
      <t>20288</t>
    </r>
  </si>
  <si>
    <r>
      <rPr>
        <sz val="10"/>
        <color rgb="FF000000"/>
        <rFont val="JRFonts"/>
        <charset val="134"/>
      </rPr>
      <t>13-07-2026 17:37</t>
    </r>
  </si>
  <si>
    <r>
      <rPr>
        <sz val="10"/>
        <color rgb="FF000000"/>
        <rFont val="JRFonts"/>
        <charset val="134"/>
      </rPr>
      <t>11-08-2026 17:37</t>
    </r>
  </si>
  <si>
    <t>20288</t>
  </si>
  <si>
    <r>
      <rPr>
        <sz val="10"/>
        <color rgb="FF0000FF"/>
        <rFont val="JRFonts"/>
        <charset val="134"/>
      </rPr>
      <t>20292</t>
    </r>
  </si>
  <si>
    <r>
      <rPr>
        <sz val="10"/>
        <color rgb="FF000000"/>
        <rFont val="JRFonts"/>
        <charset val="134"/>
      </rPr>
      <t>13-07-2026 18:05</t>
    </r>
  </si>
  <si>
    <r>
      <rPr>
        <sz val="10"/>
        <color rgb="FF000000"/>
        <rFont val="JRFonts"/>
        <charset val="134"/>
      </rPr>
      <t>15-07-2026 12:54</t>
    </r>
  </si>
  <si>
    <r>
      <rPr>
        <sz val="10"/>
        <color rgb="FF000000"/>
        <rFont val="JRFonts"/>
        <charset val="134"/>
      </rPr>
      <t>14-07-2026 10:40</t>
    </r>
  </si>
  <si>
    <r>
      <rPr>
        <sz val="10"/>
        <color rgb="FF0000FF"/>
        <rFont val="JRFonts"/>
        <charset val="134"/>
      </rPr>
      <t>20294</t>
    </r>
  </si>
  <si>
    <r>
      <rPr>
        <sz val="10"/>
        <color rgb="FF000000"/>
        <rFont val="JRFonts"/>
        <charset val="134"/>
      </rPr>
      <t>13-07-2026 18:45</t>
    </r>
  </si>
  <si>
    <r>
      <rPr>
        <sz val="10"/>
        <color rgb="FF000000"/>
        <rFont val="JRFonts"/>
        <charset val="134"/>
      </rPr>
      <t>16-07-2026 11:32</t>
    </r>
  </si>
  <si>
    <r>
      <rPr>
        <sz val="10"/>
        <color rgb="FF000000"/>
        <rFont val="JRFonts"/>
        <charset val="134"/>
      </rPr>
      <t>14-07-2026 11:39</t>
    </r>
  </si>
  <si>
    <t>20294</t>
  </si>
  <si>
    <r>
      <rPr>
        <sz val="10"/>
        <color rgb="FF0000FF"/>
        <rFont val="JRFonts"/>
        <charset val="134"/>
      </rPr>
      <t>20296</t>
    </r>
  </si>
  <si>
    <r>
      <rPr>
        <sz val="10"/>
        <color rgb="FF000000"/>
        <rFont val="JRFonts"/>
        <charset val="134"/>
      </rPr>
      <t>13-07-2026 20:10</t>
    </r>
  </si>
  <si>
    <r>
      <rPr>
        <sz val="10"/>
        <color rgb="FF000000"/>
        <rFont val="JRFonts"/>
        <charset val="134"/>
      </rPr>
      <t>15-07-2026 12:10</t>
    </r>
  </si>
  <si>
    <r>
      <rPr>
        <sz val="10"/>
        <color rgb="FF000000"/>
        <rFont val="JRFonts"/>
        <charset val="134"/>
      </rPr>
      <t>14-07-2026 10:14</t>
    </r>
  </si>
  <si>
    <r>
      <rPr>
        <sz val="10"/>
        <color rgb="FF0000FF"/>
        <rFont val="JRFonts"/>
        <charset val="134"/>
      </rPr>
      <t>20298</t>
    </r>
  </si>
  <si>
    <r>
      <rPr>
        <sz val="10"/>
        <color rgb="FF000000"/>
        <rFont val="JRFonts"/>
        <charset val="134"/>
      </rPr>
      <t>14-07-2026 09:55</t>
    </r>
  </si>
  <si>
    <r>
      <rPr>
        <sz val="10"/>
        <color rgb="FF000000"/>
        <rFont val="JRFonts"/>
        <charset val="134"/>
      </rPr>
      <t>06-08-2026 15:29</t>
    </r>
  </si>
  <si>
    <r>
      <rPr>
        <sz val="10"/>
        <color rgb="FF000000"/>
        <rFont val="JRFonts"/>
        <charset val="134"/>
      </rPr>
      <t>14-07-2026 10:13</t>
    </r>
  </si>
  <si>
    <t>20298</t>
  </si>
  <si>
    <r>
      <rPr>
        <sz val="10"/>
        <color rgb="FF0000FF"/>
        <rFont val="JRFonts"/>
        <charset val="134"/>
      </rPr>
      <t>20299</t>
    </r>
  </si>
  <si>
    <r>
      <rPr>
        <sz val="10"/>
        <color rgb="FF000000"/>
        <rFont val="JRFonts"/>
        <charset val="134"/>
      </rPr>
      <t>14-07-2026 10:07</t>
    </r>
  </si>
  <si>
    <r>
      <rPr>
        <sz val="10"/>
        <color rgb="FF000000"/>
        <rFont val="JRFonts"/>
        <charset val="134"/>
      </rPr>
      <t>15-07-2026 11:13</t>
    </r>
  </si>
  <si>
    <r>
      <rPr>
        <sz val="10"/>
        <color rgb="FF0000FF"/>
        <rFont val="JRFonts"/>
        <charset val="134"/>
      </rPr>
      <t>20300</t>
    </r>
  </si>
  <si>
    <r>
      <rPr>
        <sz val="10"/>
        <color rgb="FF000000"/>
        <rFont val="JRFonts"/>
        <charset val="134"/>
      </rPr>
      <t>14-07-2026 10:16</t>
    </r>
  </si>
  <si>
    <r>
      <rPr>
        <sz val="10"/>
        <color rgb="FF000000"/>
        <rFont val="JRFonts"/>
        <charset val="134"/>
      </rPr>
      <t>14-07-2026 15:47</t>
    </r>
  </si>
  <si>
    <r>
      <rPr>
        <sz val="10"/>
        <color rgb="FF0000FF"/>
        <rFont val="JRFonts"/>
        <charset val="134"/>
      </rPr>
      <t>20301</t>
    </r>
  </si>
  <si>
    <r>
      <rPr>
        <sz val="10"/>
        <color rgb="FF000000"/>
        <rFont val="JRFonts"/>
        <charset val="134"/>
      </rPr>
      <t>17-07-2026 17:58</t>
    </r>
  </si>
  <si>
    <r>
      <rPr>
        <sz val="10"/>
        <color rgb="FF000000"/>
        <rFont val="JRFonts"/>
        <charset val="134"/>
      </rPr>
      <t>14-07-2026 12:21</t>
    </r>
  </si>
  <si>
    <t>20301</t>
  </si>
  <si>
    <r>
      <rPr>
        <sz val="10"/>
        <color rgb="FF0000FF"/>
        <rFont val="JRFonts"/>
        <charset val="134"/>
      </rPr>
      <t>20302</t>
    </r>
  </si>
  <si>
    <r>
      <rPr>
        <sz val="10"/>
        <color rgb="FF000000"/>
        <rFont val="JRFonts"/>
        <charset val="134"/>
      </rPr>
      <t>14-07-2026 10:19</t>
    </r>
  </si>
  <si>
    <r>
      <rPr>
        <sz val="10"/>
        <color rgb="FF000000"/>
        <rFont val="JRFonts"/>
        <charset val="134"/>
      </rPr>
      <t>10-08-2026 11:46</t>
    </r>
  </si>
  <si>
    <r>
      <rPr>
        <sz val="10"/>
        <color rgb="FF000000"/>
        <rFont val="JRFonts"/>
        <charset val="134"/>
      </rPr>
      <t>14-07-2026 10:49</t>
    </r>
  </si>
  <si>
    <t xml:space="preserve">This ticket need backend activity </t>
  </si>
  <si>
    <r>
      <rPr>
        <sz val="10"/>
        <color rgb="FF0000FF"/>
        <rFont val="JRFonts"/>
        <charset val="134"/>
      </rPr>
      <t>20303</t>
    </r>
  </si>
  <si>
    <r>
      <rPr>
        <sz val="10"/>
        <color rgb="FF000000"/>
        <rFont val="JRFonts"/>
        <charset val="134"/>
      </rPr>
      <t>14-07-2026 10:50</t>
    </r>
  </si>
  <si>
    <r>
      <rPr>
        <sz val="10"/>
        <color rgb="FF0000FF"/>
        <rFont val="JRFonts"/>
        <charset val="134"/>
      </rPr>
      <t>20304</t>
    </r>
  </si>
  <si>
    <r>
      <rPr>
        <sz val="10"/>
        <color rgb="FF000000"/>
        <rFont val="JRFonts"/>
        <charset val="134"/>
      </rPr>
      <t>14-07-2026 10:22</t>
    </r>
  </si>
  <si>
    <r>
      <rPr>
        <sz val="10"/>
        <color rgb="FF000000"/>
        <rFont val="JRFonts"/>
        <charset val="134"/>
      </rPr>
      <t>14-07-2026 11:28</t>
    </r>
  </si>
  <si>
    <r>
      <rPr>
        <sz val="10"/>
        <color rgb="FF000000"/>
        <rFont val="JRFonts"/>
        <charset val="134"/>
      </rPr>
      <t>14-07-2026 10:57</t>
    </r>
  </si>
  <si>
    <r>
      <rPr>
        <sz val="10"/>
        <color rgb="FF0000FF"/>
        <rFont val="JRFonts"/>
        <charset val="134"/>
      </rPr>
      <t>20307</t>
    </r>
  </si>
  <si>
    <r>
      <rPr>
        <sz val="10"/>
        <color rgb="FF000000"/>
        <rFont val="JRFonts"/>
        <charset val="134"/>
      </rPr>
      <t>17-07-2026 17:46</t>
    </r>
  </si>
  <si>
    <r>
      <rPr>
        <sz val="10"/>
        <color rgb="FF000000"/>
        <rFont val="JRFonts"/>
        <charset val="134"/>
      </rPr>
      <t>14-07-2026 10:55</t>
    </r>
  </si>
  <si>
    <t xml:space="preserve"> file was requested to be rejected by Ajay Sir. MLI later coordinating  with the Business team for further information over same ticket</t>
  </si>
  <si>
    <r>
      <rPr>
        <sz val="10"/>
        <color rgb="FF0000FF"/>
        <rFont val="JRFonts"/>
        <charset val="134"/>
      </rPr>
      <t>20309</t>
    </r>
  </si>
  <si>
    <r>
      <rPr>
        <sz val="10"/>
        <color rgb="FF000000"/>
        <rFont val="JRFonts"/>
        <charset val="134"/>
      </rPr>
      <t>14-07-2026 10:53</t>
    </r>
  </si>
  <si>
    <r>
      <rPr>
        <sz val="10"/>
        <color rgb="FF000000"/>
        <rFont val="JRFonts"/>
        <charset val="134"/>
      </rPr>
      <t>15-07-2026 17:28</t>
    </r>
  </si>
  <si>
    <r>
      <rPr>
        <sz val="10"/>
        <color rgb="FF000000"/>
        <rFont val="JRFonts"/>
        <charset val="134"/>
      </rPr>
      <t>14-07-2026 12:32</t>
    </r>
  </si>
  <si>
    <t>20309</t>
  </si>
  <si>
    <r>
      <rPr>
        <sz val="10"/>
        <color rgb="FF0000FF"/>
        <rFont val="JRFonts"/>
        <charset val="134"/>
      </rPr>
      <t>20311</t>
    </r>
  </si>
  <si>
    <r>
      <rPr>
        <sz val="10"/>
        <color rgb="FF000000"/>
        <rFont val="JRFonts"/>
        <charset val="134"/>
      </rPr>
      <t>14-07-2026 10:59</t>
    </r>
  </si>
  <si>
    <r>
      <rPr>
        <sz val="10"/>
        <color rgb="FF000000"/>
        <rFont val="JRFonts"/>
        <charset val="134"/>
      </rPr>
      <t>02-09-2026 13:41</t>
    </r>
  </si>
  <si>
    <r>
      <rPr>
        <sz val="10"/>
        <color rgb="FF000000"/>
        <rFont val="JRFonts"/>
        <charset val="134"/>
      </rPr>
      <t>16-07-2026 14:54</t>
    </r>
  </si>
  <si>
    <t>20311</t>
  </si>
  <si>
    <r>
      <rPr>
        <sz val="10"/>
        <color rgb="FF0000FF"/>
        <rFont val="JRFonts"/>
        <charset val="134"/>
      </rPr>
      <t>20312</t>
    </r>
  </si>
  <si>
    <r>
      <rPr>
        <sz val="10"/>
        <color rgb="FF000000"/>
        <rFont val="JRFonts"/>
        <charset val="134"/>
      </rPr>
      <t>14-07-2026 11:51</t>
    </r>
  </si>
  <si>
    <r>
      <rPr>
        <sz val="10"/>
        <color rgb="FF000000"/>
        <rFont val="JRFonts"/>
        <charset val="134"/>
      </rPr>
      <t>14-07-2026 11:19</t>
    </r>
  </si>
  <si>
    <r>
      <rPr>
        <sz val="10"/>
        <color rgb="FF0000FF"/>
        <rFont val="JRFonts"/>
        <charset val="134"/>
      </rPr>
      <t>20313</t>
    </r>
  </si>
  <si>
    <r>
      <rPr>
        <sz val="10"/>
        <color rgb="FF000000"/>
        <rFont val="JRFonts"/>
        <charset val="134"/>
      </rPr>
      <t>14-07-2026 11:02</t>
    </r>
  </si>
  <si>
    <r>
      <rPr>
        <sz val="10"/>
        <color rgb="FF000000"/>
        <rFont val="JRFonts"/>
        <charset val="134"/>
      </rPr>
      <t>15-07-2026 12:00</t>
    </r>
  </si>
  <si>
    <r>
      <rPr>
        <sz val="10"/>
        <color rgb="FF000000"/>
        <rFont val="JRFonts"/>
        <charset val="134"/>
      </rPr>
      <t>14-07-2026 11:53</t>
    </r>
  </si>
  <si>
    <t>As the report and dataset is very large, processing  took additional time.can not be done within 3hrs</t>
  </si>
  <si>
    <r>
      <rPr>
        <sz val="10"/>
        <color rgb="FF0000FF"/>
        <rFont val="JRFonts"/>
        <charset val="134"/>
      </rPr>
      <t>20317</t>
    </r>
  </si>
  <si>
    <r>
      <rPr>
        <sz val="10"/>
        <color rgb="FF000000"/>
        <rFont val="JRFonts"/>
        <charset val="134"/>
      </rPr>
      <t>14-07-2026 11:21</t>
    </r>
  </si>
  <si>
    <r>
      <rPr>
        <sz val="10"/>
        <color rgb="FF000000"/>
        <rFont val="JRFonts"/>
        <charset val="134"/>
      </rPr>
      <t>29-07-2026 16:12</t>
    </r>
  </si>
  <si>
    <r>
      <rPr>
        <sz val="10"/>
        <color rgb="FF000000"/>
        <rFont val="JRFonts"/>
        <charset val="134"/>
      </rPr>
      <t>14-07-2026 11:55</t>
    </r>
  </si>
  <si>
    <t>20317</t>
  </si>
  <si>
    <r>
      <rPr>
        <sz val="10"/>
        <color rgb="FF0000FF"/>
        <rFont val="JRFonts"/>
        <charset val="134"/>
      </rPr>
      <t>20319</t>
    </r>
  </si>
  <si>
    <r>
      <rPr>
        <sz val="10"/>
        <color rgb="FF000000"/>
        <rFont val="JRFonts"/>
        <charset val="134"/>
      </rPr>
      <t>14-07-2026 11:27</t>
    </r>
  </si>
  <si>
    <t>20319</t>
  </si>
  <si>
    <r>
      <rPr>
        <sz val="10"/>
        <color rgb="FF0000FF"/>
        <rFont val="JRFonts"/>
        <charset val="134"/>
      </rPr>
      <t>20320</t>
    </r>
  </si>
  <si>
    <r>
      <rPr>
        <sz val="10"/>
        <color rgb="FF000000"/>
        <rFont val="JRFonts"/>
        <charset val="134"/>
      </rPr>
      <t>14-07-2026 11:30</t>
    </r>
  </si>
  <si>
    <r>
      <rPr>
        <sz val="10"/>
        <color rgb="FF000000"/>
        <rFont val="JRFonts"/>
        <charset val="134"/>
      </rPr>
      <t>29-07-2026 16:08</t>
    </r>
  </si>
  <si>
    <r>
      <rPr>
        <sz val="10"/>
        <color rgb="FF000000"/>
        <rFont val="JRFonts"/>
        <charset val="134"/>
      </rPr>
      <t>14-07-2026 12:01</t>
    </r>
  </si>
  <si>
    <t>20320</t>
  </si>
  <si>
    <r>
      <rPr>
        <sz val="10"/>
        <color rgb="FF0000FF"/>
        <rFont val="JRFonts"/>
        <charset val="134"/>
      </rPr>
      <t>20322</t>
    </r>
  </si>
  <si>
    <r>
      <rPr>
        <sz val="10"/>
        <color rgb="FF000000"/>
        <rFont val="JRFonts"/>
        <charset val="134"/>
      </rPr>
      <t>15-07-2026 10:45</t>
    </r>
  </si>
  <si>
    <r>
      <rPr>
        <sz val="10"/>
        <color rgb="FF000000"/>
        <rFont val="JRFonts"/>
        <charset val="134"/>
      </rPr>
      <t>14-07-2026 12:03</t>
    </r>
  </si>
  <si>
    <r>
      <rPr>
        <sz val="10"/>
        <color rgb="FF0000FF"/>
        <rFont val="JRFonts"/>
        <charset val="134"/>
      </rPr>
      <t>20323</t>
    </r>
  </si>
  <si>
    <r>
      <rPr>
        <sz val="10"/>
        <color rgb="FF000000"/>
        <rFont val="JRFonts"/>
        <charset val="134"/>
      </rPr>
      <t>14-07-2026 12:34</t>
    </r>
  </si>
  <si>
    <r>
      <rPr>
        <sz val="10"/>
        <color rgb="FF000000"/>
        <rFont val="JRFonts"/>
        <charset val="134"/>
      </rPr>
      <t>14-07-2026 14:53</t>
    </r>
  </si>
  <si>
    <r>
      <rPr>
        <sz val="10"/>
        <color rgb="FF000000"/>
        <rFont val="JRFonts"/>
        <charset val="134"/>
      </rPr>
      <t>14-07-2026 12:37</t>
    </r>
  </si>
  <si>
    <r>
      <rPr>
        <sz val="10"/>
        <color rgb="FF0000FF"/>
        <rFont val="JRFonts"/>
        <charset val="134"/>
      </rPr>
      <t>20325</t>
    </r>
  </si>
  <si>
    <r>
      <rPr>
        <sz val="10"/>
        <color rgb="FF000000"/>
        <rFont val="JRFonts"/>
        <charset val="134"/>
      </rPr>
      <t>Peeyush Singh</t>
    </r>
  </si>
  <si>
    <r>
      <rPr>
        <sz val="10"/>
        <color rgb="FF000000"/>
        <rFont val="JRFonts"/>
        <charset val="134"/>
      </rPr>
      <t>14-07-2026 17:20</t>
    </r>
  </si>
  <si>
    <r>
      <rPr>
        <sz val="10"/>
        <color rgb="FF0000FF"/>
        <rFont val="JRFonts"/>
        <charset val="134"/>
      </rPr>
      <t>20326</t>
    </r>
  </si>
  <si>
    <r>
      <rPr>
        <sz val="10"/>
        <color rgb="FF000000"/>
        <rFont val="JRFonts"/>
        <charset val="134"/>
      </rPr>
      <t>31-07-2026 14:11</t>
    </r>
  </si>
  <si>
    <r>
      <rPr>
        <sz val="10"/>
        <color rgb="FF000000"/>
        <rFont val="JRFonts"/>
        <charset val="134"/>
      </rPr>
      <t>14-07-2026 12:40</t>
    </r>
  </si>
  <si>
    <r>
      <rPr>
        <sz val="10"/>
        <color rgb="FF0000FF"/>
        <rFont val="JRFonts"/>
        <charset val="134"/>
      </rPr>
      <t>20327</t>
    </r>
  </si>
  <si>
    <r>
      <rPr>
        <sz val="10"/>
        <color rgb="FF000000"/>
        <rFont val="JRFonts"/>
        <charset val="134"/>
      </rPr>
      <t>14-07-2026 14:55</t>
    </r>
  </si>
  <si>
    <r>
      <rPr>
        <sz val="10"/>
        <color rgb="FF0000FF"/>
        <rFont val="JRFonts"/>
        <charset val="134"/>
      </rPr>
      <t>20328</t>
    </r>
  </si>
  <si>
    <r>
      <rPr>
        <sz val="10"/>
        <color rgb="FF000000"/>
        <rFont val="JRFonts"/>
        <charset val="134"/>
      </rPr>
      <t>14-07-2026 14:56</t>
    </r>
  </si>
  <si>
    <r>
      <rPr>
        <sz val="10"/>
        <color rgb="FF000000"/>
        <rFont val="JRFonts"/>
        <charset val="134"/>
      </rPr>
      <t>14-07-2026 12:41</t>
    </r>
  </si>
  <si>
    <r>
      <rPr>
        <sz val="10"/>
        <color rgb="FF0000FF"/>
        <rFont val="JRFonts"/>
        <charset val="134"/>
      </rPr>
      <t>20329</t>
    </r>
  </si>
  <si>
    <r>
      <rPr>
        <sz val="10"/>
        <color rgb="FF000000"/>
        <rFont val="JRFonts"/>
        <charset val="134"/>
      </rPr>
      <t>22-07-2026 11:51</t>
    </r>
  </si>
  <si>
    <r>
      <rPr>
        <sz val="10"/>
        <color rgb="FF000000"/>
        <rFont val="JRFonts"/>
        <charset val="134"/>
      </rPr>
      <t>14-07-2026 12:49</t>
    </r>
  </si>
  <si>
    <t>Priority got updated form P4 to P1  and initial request  resolved within SLA , MLI has reopened ticket with new request</t>
  </si>
  <si>
    <r>
      <rPr>
        <sz val="10"/>
        <color rgb="FF0000FF"/>
        <rFont val="JRFonts"/>
        <charset val="134"/>
      </rPr>
      <t>20330</t>
    </r>
  </si>
  <si>
    <r>
      <rPr>
        <sz val="10"/>
        <color rgb="FF000000"/>
        <rFont val="JRFonts"/>
        <charset val="134"/>
      </rPr>
      <t>20-07-2026 11:54</t>
    </r>
  </si>
  <si>
    <r>
      <rPr>
        <sz val="10"/>
        <color rgb="FF000000"/>
        <rFont val="JRFonts"/>
        <charset val="134"/>
      </rPr>
      <t>14-07-2026 12:44</t>
    </r>
  </si>
  <si>
    <t>Ticket was pending for approval</t>
  </si>
  <si>
    <r>
      <rPr>
        <sz val="10"/>
        <color rgb="FF0000FF"/>
        <rFont val="JRFonts"/>
        <charset val="134"/>
      </rPr>
      <t>20331</t>
    </r>
  </si>
  <si>
    <r>
      <rPr>
        <sz val="10"/>
        <color rgb="FF000000"/>
        <rFont val="JRFonts"/>
        <charset val="134"/>
      </rPr>
      <t>14-07-2026 12:50</t>
    </r>
  </si>
  <si>
    <r>
      <rPr>
        <sz val="10"/>
        <color rgb="FF000000"/>
        <rFont val="JRFonts"/>
        <charset val="134"/>
      </rPr>
      <t>14-07-2026 15:54</t>
    </r>
  </si>
  <si>
    <r>
      <rPr>
        <sz val="10"/>
        <color rgb="FF000000"/>
        <rFont val="JRFonts"/>
        <charset val="134"/>
      </rPr>
      <t>14-07-2026 12:56</t>
    </r>
  </si>
  <si>
    <r>
      <rPr>
        <sz val="10"/>
        <color rgb="FF0000FF"/>
        <rFont val="JRFonts"/>
        <charset val="134"/>
      </rPr>
      <t>20332</t>
    </r>
  </si>
  <si>
    <r>
      <rPr>
        <sz val="10"/>
        <color rgb="FF000000"/>
        <rFont val="JRFonts"/>
        <charset val="134"/>
      </rPr>
      <t>16-07-2026 12:25</t>
    </r>
  </si>
  <si>
    <r>
      <rPr>
        <sz val="10"/>
        <color rgb="FF000000"/>
        <rFont val="JRFonts"/>
        <charset val="134"/>
      </rPr>
      <t>16-07-2026 12:10</t>
    </r>
  </si>
  <si>
    <t>20333</t>
  </si>
  <si>
    <r>
      <rPr>
        <sz val="10"/>
        <color rgb="FF000000"/>
        <rFont val="JRFonts"/>
        <charset val="134"/>
      </rPr>
      <t>17-07-2026 11:04</t>
    </r>
  </si>
  <si>
    <r>
      <rPr>
        <sz val="10"/>
        <color rgb="FF0000FF"/>
        <rFont val="JRFonts"/>
        <charset val="134"/>
      </rPr>
      <t>20333</t>
    </r>
  </si>
  <si>
    <r>
      <rPr>
        <sz val="10"/>
        <color rgb="FF0000FF"/>
        <rFont val="JRFonts"/>
        <charset val="134"/>
      </rPr>
      <t>20334</t>
    </r>
  </si>
  <si>
    <r>
      <rPr>
        <sz val="10"/>
        <color rgb="FF000000"/>
        <rFont val="JRFonts"/>
        <charset val="134"/>
      </rPr>
      <t>14-07-2026 12:53</t>
    </r>
  </si>
  <si>
    <r>
      <rPr>
        <sz val="10"/>
        <color rgb="FF000000"/>
        <rFont val="JRFonts"/>
        <charset val="134"/>
      </rPr>
      <t>15-07-2026 10:43</t>
    </r>
  </si>
  <si>
    <r>
      <rPr>
        <sz val="10"/>
        <color rgb="FF000000"/>
        <rFont val="JRFonts"/>
        <charset val="134"/>
      </rPr>
      <t>14-07-2026 12:58</t>
    </r>
  </si>
  <si>
    <r>
      <rPr>
        <sz val="10"/>
        <color rgb="FF0000FF"/>
        <rFont val="JRFonts"/>
        <charset val="134"/>
      </rPr>
      <t>20336</t>
    </r>
  </si>
  <si>
    <r>
      <rPr>
        <sz val="10"/>
        <color rgb="FF000000"/>
        <rFont val="JRFonts"/>
        <charset val="134"/>
      </rPr>
      <t>14-07-2026 13:20</t>
    </r>
  </si>
  <si>
    <r>
      <rPr>
        <sz val="10"/>
        <color rgb="FF000000"/>
        <rFont val="JRFonts"/>
        <charset val="134"/>
      </rPr>
      <t>14-07-2026 18:43</t>
    </r>
  </si>
  <si>
    <r>
      <rPr>
        <sz val="10"/>
        <color rgb="FF000000"/>
        <rFont val="JRFonts"/>
        <charset val="134"/>
      </rPr>
      <t>14-07-2026 14:11</t>
    </r>
  </si>
  <si>
    <r>
      <rPr>
        <sz val="10"/>
        <color rgb="FF0000FF"/>
        <rFont val="JRFonts"/>
        <charset val="134"/>
      </rPr>
      <t>20338</t>
    </r>
  </si>
  <si>
    <r>
      <rPr>
        <sz val="10"/>
        <color rgb="FF000000"/>
        <rFont val="JRFonts"/>
        <charset val="134"/>
      </rPr>
      <t>14-07-2026 13:41</t>
    </r>
  </si>
  <si>
    <r>
      <rPr>
        <sz val="10"/>
        <color rgb="FF000000"/>
        <rFont val="JRFonts"/>
        <charset val="134"/>
      </rPr>
      <t>14-07-2026 15:43</t>
    </r>
  </si>
  <si>
    <r>
      <rPr>
        <sz val="10"/>
        <color rgb="FF000000"/>
        <rFont val="JRFonts"/>
        <charset val="134"/>
      </rPr>
      <t>14-07-2026 14:19</t>
    </r>
  </si>
  <si>
    <r>
      <rPr>
        <sz val="10"/>
        <color rgb="FF0000FF"/>
        <rFont val="JRFonts"/>
        <charset val="134"/>
      </rPr>
      <t>20340</t>
    </r>
  </si>
  <si>
    <r>
      <rPr>
        <sz val="10"/>
        <color rgb="FF000000"/>
        <rFont val="JRFonts"/>
        <charset val="134"/>
      </rPr>
      <t>14-07-2026 14:06</t>
    </r>
  </si>
  <si>
    <r>
      <rPr>
        <sz val="10"/>
        <color rgb="FF000000"/>
        <rFont val="JRFonts"/>
        <charset val="134"/>
      </rPr>
      <t>14-07-2026 15:05</t>
    </r>
  </si>
  <si>
    <r>
      <rPr>
        <sz val="10"/>
        <color rgb="FF000000"/>
        <rFont val="JRFonts"/>
        <charset val="134"/>
      </rPr>
      <t>14-07-2026 14:22</t>
    </r>
  </si>
  <si>
    <r>
      <rPr>
        <sz val="10"/>
        <color rgb="FF0000FF"/>
        <rFont val="JRFonts"/>
        <charset val="134"/>
      </rPr>
      <t>20341</t>
    </r>
  </si>
  <si>
    <r>
      <rPr>
        <sz val="10"/>
        <color rgb="FF000000"/>
        <rFont val="JRFonts"/>
        <charset val="134"/>
      </rPr>
      <t>14-07-2026 14:12</t>
    </r>
  </si>
  <si>
    <r>
      <rPr>
        <sz val="10"/>
        <color rgb="FF000000"/>
        <rFont val="JRFonts"/>
        <charset val="134"/>
      </rPr>
      <t>14-07-2026 18:26</t>
    </r>
  </si>
  <si>
    <r>
      <rPr>
        <sz val="10"/>
        <color rgb="FF000000"/>
        <rFont val="JRFonts"/>
        <charset val="134"/>
      </rPr>
      <t>14-07-2026 14:21</t>
    </r>
  </si>
  <si>
    <r>
      <rPr>
        <sz val="10"/>
        <color rgb="FF0000FF"/>
        <rFont val="JRFonts"/>
        <charset val="134"/>
      </rPr>
      <t>20342</t>
    </r>
  </si>
  <si>
    <r>
      <rPr>
        <sz val="10"/>
        <color rgb="FF000000"/>
        <rFont val="JRFonts"/>
        <charset val="134"/>
      </rPr>
      <t>14-07-2026 16:28</t>
    </r>
  </si>
  <si>
    <r>
      <rPr>
        <sz val="10"/>
        <color rgb="FF0000FF"/>
        <rFont val="JRFonts"/>
        <charset val="134"/>
      </rPr>
      <t>20345</t>
    </r>
  </si>
  <si>
    <r>
      <rPr>
        <sz val="10"/>
        <color rgb="FF000000"/>
        <rFont val="JRFonts"/>
        <charset val="134"/>
      </rPr>
      <t>14-07-2026 14:49</t>
    </r>
  </si>
  <si>
    <r>
      <rPr>
        <sz val="10"/>
        <color rgb="FF000000"/>
        <rFont val="JRFonts"/>
        <charset val="134"/>
      </rPr>
      <t>16-07-2026 18:12</t>
    </r>
  </si>
  <si>
    <r>
      <rPr>
        <sz val="10"/>
        <color rgb="FF000000"/>
        <rFont val="JRFonts"/>
        <charset val="134"/>
      </rPr>
      <t>14-07-2026 15:17</t>
    </r>
  </si>
  <si>
    <t>Ticket was pending at MLI end as file got replaced , later ticket got resolved by MLI itself</t>
  </si>
  <si>
    <r>
      <rPr>
        <sz val="10"/>
        <color rgb="FF0000FF"/>
        <rFont val="JRFonts"/>
        <charset val="134"/>
      </rPr>
      <t>20347</t>
    </r>
  </si>
  <si>
    <r>
      <rPr>
        <sz val="10"/>
        <color rgb="FF000000"/>
        <rFont val="JRFonts"/>
        <charset val="134"/>
      </rPr>
      <t>14-07-2026 14:52</t>
    </r>
  </si>
  <si>
    <r>
      <rPr>
        <sz val="10"/>
        <color rgb="FF000000"/>
        <rFont val="JRFonts"/>
        <charset val="134"/>
      </rPr>
      <t>15-07-2026 10:41</t>
    </r>
  </si>
  <si>
    <r>
      <rPr>
        <sz val="10"/>
        <color rgb="FF000000"/>
        <rFont val="JRFonts"/>
        <charset val="134"/>
      </rPr>
      <t>14-07-2026 15:01</t>
    </r>
  </si>
  <si>
    <r>
      <rPr>
        <sz val="10"/>
        <color rgb="FF0000FF"/>
        <rFont val="JRFonts"/>
        <charset val="134"/>
      </rPr>
      <t>20349</t>
    </r>
  </si>
  <si>
    <r>
      <rPr>
        <sz val="10"/>
        <color rgb="FF000000"/>
        <rFont val="JRFonts"/>
        <charset val="134"/>
      </rPr>
      <t>14-07-2026 15:07</t>
    </r>
  </si>
  <si>
    <r>
      <rPr>
        <sz val="10"/>
        <color rgb="FF000000"/>
        <rFont val="JRFonts"/>
        <charset val="134"/>
      </rPr>
      <t>14-07-2026 18:08</t>
    </r>
  </si>
  <si>
    <r>
      <rPr>
        <sz val="10"/>
        <color rgb="FF000000"/>
        <rFont val="JRFonts"/>
        <charset val="134"/>
      </rPr>
      <t>14-07-2026 15:13</t>
    </r>
  </si>
  <si>
    <r>
      <rPr>
        <sz val="10"/>
        <color rgb="FF0000FF"/>
        <rFont val="JRFonts"/>
        <charset val="134"/>
      </rPr>
      <t>20350</t>
    </r>
  </si>
  <si>
    <r>
      <rPr>
        <sz val="10"/>
        <color rgb="FF000000"/>
        <rFont val="JRFonts"/>
        <charset val="134"/>
      </rPr>
      <t>21-07-2026 16:37</t>
    </r>
  </si>
  <si>
    <r>
      <rPr>
        <sz val="10"/>
        <color rgb="FF000000"/>
        <rFont val="JRFonts"/>
        <charset val="134"/>
      </rPr>
      <t>14-07-2026 15:15</t>
    </r>
  </si>
  <si>
    <t>20350</t>
  </si>
  <si>
    <r>
      <rPr>
        <sz val="10"/>
        <color rgb="FF0000FF"/>
        <rFont val="JRFonts"/>
        <charset val="134"/>
      </rPr>
      <t>20351</t>
    </r>
  </si>
  <si>
    <r>
      <rPr>
        <sz val="10"/>
        <color rgb="FF000000"/>
        <rFont val="JRFonts"/>
        <charset val="134"/>
      </rPr>
      <t>16-07-2026 12:22</t>
    </r>
  </si>
  <si>
    <r>
      <rPr>
        <sz val="10"/>
        <color rgb="FF000000"/>
        <rFont val="JRFonts"/>
        <charset val="134"/>
      </rPr>
      <t>14-07-2026 15:18</t>
    </r>
  </si>
  <si>
    <r>
      <rPr>
        <sz val="10"/>
        <color rgb="FF0000FF"/>
        <rFont val="JRFonts"/>
        <charset val="134"/>
      </rPr>
      <t>20352</t>
    </r>
  </si>
  <si>
    <r>
      <rPr>
        <sz val="10"/>
        <color rgb="FF000000"/>
        <rFont val="JRFonts"/>
        <charset val="134"/>
      </rPr>
      <t>17-07-2026 12:15</t>
    </r>
  </si>
  <si>
    <r>
      <rPr>
        <sz val="10"/>
        <color rgb="FF000000"/>
        <rFont val="JRFonts"/>
        <charset val="134"/>
      </rPr>
      <t>14-07-2026 15:19</t>
    </r>
  </si>
  <si>
    <t>20352</t>
  </si>
  <si>
    <r>
      <rPr>
        <sz val="10"/>
        <color rgb="FF0000FF"/>
        <rFont val="JRFonts"/>
        <charset val="134"/>
      </rPr>
      <t>20354</t>
    </r>
  </si>
  <si>
    <r>
      <rPr>
        <sz val="10"/>
        <color rgb="FF000000"/>
        <rFont val="JRFonts"/>
        <charset val="134"/>
      </rPr>
      <t>14-07-2026 15:31</t>
    </r>
  </si>
  <si>
    <r>
      <rPr>
        <sz val="10"/>
        <color rgb="FF000000"/>
        <rFont val="JRFonts"/>
        <charset val="134"/>
      </rPr>
      <t>22-07-2026 10:17</t>
    </r>
  </si>
  <si>
    <r>
      <rPr>
        <sz val="10"/>
        <color rgb="FF000000"/>
        <rFont val="JRFonts"/>
        <charset val="134"/>
      </rPr>
      <t>14-07-2026 15:35</t>
    </r>
  </si>
  <si>
    <t>20354</t>
  </si>
  <si>
    <r>
      <rPr>
        <sz val="10"/>
        <color rgb="FF0000FF"/>
        <rFont val="JRFonts"/>
        <charset val="134"/>
      </rPr>
      <t>20355</t>
    </r>
  </si>
  <si>
    <r>
      <rPr>
        <sz val="10"/>
        <color rgb="FF000000"/>
        <rFont val="JRFonts"/>
        <charset val="134"/>
      </rPr>
      <t>14-07-2026 15:49</t>
    </r>
  </si>
  <si>
    <r>
      <rPr>
        <sz val="10"/>
        <color rgb="FF000000"/>
        <rFont val="JRFonts"/>
        <charset val="134"/>
      </rPr>
      <t>14-07-2026 15:34</t>
    </r>
  </si>
  <si>
    <r>
      <rPr>
        <sz val="10"/>
        <color rgb="FF0000FF"/>
        <rFont val="JRFonts"/>
        <charset val="134"/>
      </rPr>
      <t>20357</t>
    </r>
  </si>
  <si>
    <r>
      <rPr>
        <sz val="10"/>
        <color rgb="FF000000"/>
        <rFont val="JRFonts"/>
        <charset val="134"/>
      </rPr>
      <t>14-07-2026 15:44</t>
    </r>
  </si>
  <si>
    <r>
      <rPr>
        <sz val="10"/>
        <color rgb="FF000000"/>
        <rFont val="JRFonts"/>
        <charset val="134"/>
      </rPr>
      <t>17-07-2026 14:47</t>
    </r>
  </si>
  <si>
    <r>
      <rPr>
        <sz val="10"/>
        <color rgb="FF000000"/>
        <rFont val="JRFonts"/>
        <charset val="134"/>
      </rPr>
      <t>16-07-2026 14:55</t>
    </r>
  </si>
  <si>
    <r>
      <rPr>
        <sz val="10"/>
        <color rgb="FF0000FF"/>
        <rFont val="JRFonts"/>
        <charset val="134"/>
      </rPr>
      <t>20359</t>
    </r>
  </si>
  <si>
    <r>
      <rPr>
        <sz val="10"/>
        <color rgb="FF000000"/>
        <rFont val="JRFonts"/>
        <charset val="134"/>
      </rPr>
      <t>14-07-2026 15:56</t>
    </r>
  </si>
  <si>
    <r>
      <rPr>
        <sz val="10"/>
        <color rgb="FF000000"/>
        <rFont val="JRFonts"/>
        <charset val="134"/>
      </rPr>
      <t>14-07-2026 17:07</t>
    </r>
  </si>
  <si>
    <r>
      <rPr>
        <sz val="10"/>
        <color rgb="FF000000"/>
        <rFont val="JRFonts"/>
        <charset val="134"/>
      </rPr>
      <t>14-07-2026 16:03</t>
    </r>
  </si>
  <si>
    <r>
      <rPr>
        <sz val="10"/>
        <color rgb="FF0000FF"/>
        <rFont val="JRFonts"/>
        <charset val="134"/>
      </rPr>
      <t>20360</t>
    </r>
  </si>
  <si>
    <r>
      <rPr>
        <sz val="10"/>
        <color rgb="FF000000"/>
        <rFont val="JRFonts"/>
        <charset val="134"/>
      </rPr>
      <t>14-07-2026 16:02</t>
    </r>
  </si>
  <si>
    <r>
      <rPr>
        <sz val="10"/>
        <color rgb="FF000000"/>
        <rFont val="JRFonts"/>
        <charset val="134"/>
      </rPr>
      <t>15-07-2026 10:30</t>
    </r>
  </si>
  <si>
    <r>
      <rPr>
        <sz val="10"/>
        <color rgb="FF000000"/>
        <rFont val="JRFonts"/>
        <charset val="134"/>
      </rPr>
      <t>14-07-2026 16:08</t>
    </r>
  </si>
  <si>
    <r>
      <rPr>
        <sz val="10"/>
        <color rgb="FF0000FF"/>
        <rFont val="JRFonts"/>
        <charset val="134"/>
      </rPr>
      <t>20361</t>
    </r>
  </si>
  <si>
    <r>
      <rPr>
        <sz val="10"/>
        <color rgb="FF000000"/>
        <rFont val="JRFonts"/>
        <charset val="134"/>
      </rPr>
      <t>14-07-2026 16:11</t>
    </r>
  </si>
  <si>
    <r>
      <rPr>
        <sz val="10"/>
        <color rgb="FF000000"/>
        <rFont val="JRFonts"/>
        <charset val="134"/>
      </rPr>
      <t>14-07-2026 16:23</t>
    </r>
  </si>
  <si>
    <r>
      <rPr>
        <sz val="10"/>
        <color rgb="FF000000"/>
        <rFont val="JRFonts"/>
        <charset val="134"/>
      </rPr>
      <t>14-07-2026 16:53</t>
    </r>
  </si>
  <si>
    <r>
      <rPr>
        <sz val="10"/>
        <color rgb="FF0000FF"/>
        <rFont val="JRFonts"/>
        <charset val="134"/>
      </rPr>
      <t>20363</t>
    </r>
  </si>
  <si>
    <r>
      <rPr>
        <sz val="10"/>
        <color rgb="FF000000"/>
        <rFont val="JRFonts"/>
        <charset val="134"/>
      </rPr>
      <t>14-07-2026 16:26</t>
    </r>
  </si>
  <si>
    <r>
      <rPr>
        <sz val="10"/>
        <color rgb="FF000000"/>
        <rFont val="JRFonts"/>
        <charset val="134"/>
      </rPr>
      <t>03-08-2026 16:00</t>
    </r>
  </si>
  <si>
    <r>
      <rPr>
        <sz val="10"/>
        <color rgb="FF000000"/>
        <rFont val="JRFonts"/>
        <charset val="134"/>
      </rPr>
      <t>14-07-2026 16:37</t>
    </r>
  </si>
  <si>
    <t>Initial request resolved within SLA - MLI has reopened ticket multiple time we new request</t>
  </si>
  <si>
    <r>
      <rPr>
        <sz val="10"/>
        <color rgb="FF0000FF"/>
        <rFont val="JRFonts"/>
        <charset val="134"/>
      </rPr>
      <t>20364</t>
    </r>
  </si>
  <si>
    <r>
      <rPr>
        <sz val="10"/>
        <color rgb="FF000000"/>
        <rFont val="JRFonts"/>
        <charset val="134"/>
      </rPr>
      <t>14-07-2026 16:29</t>
    </r>
  </si>
  <si>
    <r>
      <rPr>
        <sz val="10"/>
        <color rgb="FF000000"/>
        <rFont val="JRFonts"/>
        <charset val="134"/>
      </rPr>
      <t>14-07-2026 16:38</t>
    </r>
  </si>
  <si>
    <r>
      <rPr>
        <sz val="10"/>
        <color rgb="FF0000FF"/>
        <rFont val="JRFonts"/>
        <charset val="134"/>
      </rPr>
      <t>20367</t>
    </r>
  </si>
  <si>
    <r>
      <rPr>
        <sz val="10"/>
        <color rgb="FF000000"/>
        <rFont val="JRFonts"/>
        <charset val="134"/>
      </rPr>
      <t>14-07-2026 17:00</t>
    </r>
  </si>
  <si>
    <r>
      <rPr>
        <sz val="10"/>
        <color rgb="FF000000"/>
        <rFont val="JRFonts"/>
        <charset val="134"/>
      </rPr>
      <t>14-07-2026 17:33</t>
    </r>
  </si>
  <si>
    <r>
      <rPr>
        <sz val="10"/>
        <color rgb="FF000000"/>
        <rFont val="JRFonts"/>
        <charset val="134"/>
      </rPr>
      <t>14-07-2026 17:03</t>
    </r>
  </si>
  <si>
    <r>
      <rPr>
        <sz val="10"/>
        <color rgb="FF0000FF"/>
        <rFont val="JRFonts"/>
        <charset val="134"/>
      </rPr>
      <t>20369</t>
    </r>
  </si>
  <si>
    <r>
      <rPr>
        <sz val="10"/>
        <color rgb="FF000000"/>
        <rFont val="JRFonts"/>
        <charset val="134"/>
      </rPr>
      <t>15-07-2026 11:57</t>
    </r>
  </si>
  <si>
    <r>
      <rPr>
        <sz val="10"/>
        <color rgb="FF000000"/>
        <rFont val="JRFonts"/>
        <charset val="134"/>
      </rPr>
      <t>14-07-2026 17:14</t>
    </r>
  </si>
  <si>
    <r>
      <rPr>
        <sz val="10"/>
        <color rgb="FF0000FF"/>
        <rFont val="JRFonts"/>
        <charset val="134"/>
      </rPr>
      <t>20371</t>
    </r>
  </si>
  <si>
    <r>
      <rPr>
        <sz val="10"/>
        <color rgb="FF000000"/>
        <rFont val="JRFonts"/>
        <charset val="134"/>
      </rPr>
      <t>14-07-2026 17:15</t>
    </r>
  </si>
  <si>
    <r>
      <rPr>
        <sz val="10"/>
        <color rgb="FF000000"/>
        <rFont val="JRFonts"/>
        <charset val="134"/>
      </rPr>
      <t>14-07-2026 18:19</t>
    </r>
  </si>
  <si>
    <r>
      <rPr>
        <sz val="10"/>
        <color rgb="FF000000"/>
        <rFont val="JRFonts"/>
        <charset val="134"/>
      </rPr>
      <t>14-07-2026 17:38</t>
    </r>
  </si>
  <si>
    <r>
      <rPr>
        <sz val="10"/>
        <color rgb="FF0000FF"/>
        <rFont val="JRFonts"/>
        <charset val="134"/>
      </rPr>
      <t>20374</t>
    </r>
  </si>
  <si>
    <r>
      <rPr>
        <sz val="10"/>
        <color rgb="FF000000"/>
        <rFont val="JRFonts"/>
        <charset val="134"/>
      </rPr>
      <t>14-07-2026 17:25</t>
    </r>
  </si>
  <si>
    <r>
      <rPr>
        <sz val="10"/>
        <color rgb="FF000000"/>
        <rFont val="JRFonts"/>
        <charset val="134"/>
      </rPr>
      <t>15-07-2026 10:40</t>
    </r>
  </si>
  <si>
    <r>
      <rPr>
        <sz val="10"/>
        <color rgb="FF0000FF"/>
        <rFont val="JRFonts"/>
        <charset val="134"/>
      </rPr>
      <t>20376</t>
    </r>
  </si>
  <si>
    <r>
      <rPr>
        <sz val="10"/>
        <color rgb="FF000000"/>
        <rFont val="JRFonts"/>
        <charset val="134"/>
      </rPr>
      <t>15-07-2026 12:15</t>
    </r>
  </si>
  <si>
    <r>
      <rPr>
        <sz val="10"/>
        <color rgb="FF000000"/>
        <rFont val="JRFonts"/>
        <charset val="134"/>
      </rPr>
      <t>14-07-2026 18:28</t>
    </r>
  </si>
  <si>
    <r>
      <rPr>
        <sz val="10"/>
        <color rgb="FF0000FF"/>
        <rFont val="JRFonts"/>
        <charset val="134"/>
      </rPr>
      <t>20377</t>
    </r>
  </si>
  <si>
    <r>
      <rPr>
        <sz val="10"/>
        <color rgb="FF000000"/>
        <rFont val="JRFonts"/>
        <charset val="134"/>
      </rPr>
      <t>14-07-2026 18:23</t>
    </r>
  </si>
  <si>
    <r>
      <rPr>
        <sz val="10"/>
        <color rgb="FF000000"/>
        <rFont val="JRFonts"/>
        <charset val="134"/>
      </rPr>
      <t>15-07-2026 10:14</t>
    </r>
  </si>
  <si>
    <r>
      <rPr>
        <sz val="10"/>
        <color rgb="FF0000FF"/>
        <rFont val="JRFonts"/>
        <charset val="134"/>
      </rPr>
      <t>20378</t>
    </r>
  </si>
  <si>
    <r>
      <rPr>
        <sz val="10"/>
        <color rgb="FF000000"/>
        <rFont val="JRFonts"/>
        <charset val="134"/>
      </rPr>
      <t>29-07-2026 15:59</t>
    </r>
  </si>
  <si>
    <r>
      <rPr>
        <sz val="10"/>
        <color rgb="FF000000"/>
        <rFont val="JRFonts"/>
        <charset val="134"/>
      </rPr>
      <t>15-07-2026 10:13</t>
    </r>
  </si>
  <si>
    <t>20378</t>
  </si>
  <si>
    <r>
      <rPr>
        <sz val="10"/>
        <color rgb="FF0000FF"/>
        <rFont val="JRFonts"/>
        <charset val="134"/>
      </rPr>
      <t>20381</t>
    </r>
  </si>
  <si>
    <r>
      <rPr>
        <sz val="10"/>
        <color rgb="FF000000"/>
        <rFont val="JRFonts"/>
        <charset val="134"/>
      </rPr>
      <t>14-07-2026 19:12</t>
    </r>
  </si>
  <si>
    <r>
      <rPr>
        <sz val="10"/>
        <color rgb="FF000000"/>
        <rFont val="JRFonts"/>
        <charset val="134"/>
      </rPr>
      <t>21-07-2026 11:53</t>
    </r>
  </si>
  <si>
    <r>
      <rPr>
        <sz val="10"/>
        <color rgb="FF000000"/>
        <rFont val="JRFonts"/>
        <charset val="134"/>
      </rPr>
      <t>15-07-2026 10:50</t>
    </r>
  </si>
  <si>
    <t>Bill mismatch issue - resolved post approval</t>
  </si>
  <si>
    <r>
      <rPr>
        <sz val="10"/>
        <color rgb="FF0000FF"/>
        <rFont val="JRFonts"/>
        <charset val="134"/>
      </rPr>
      <t>20383</t>
    </r>
  </si>
  <si>
    <r>
      <rPr>
        <sz val="10"/>
        <color rgb="FF000000"/>
        <rFont val="JRFonts"/>
        <charset val="134"/>
      </rPr>
      <t>14-07-2026 19:27</t>
    </r>
  </si>
  <si>
    <r>
      <rPr>
        <sz val="10"/>
        <color rgb="FF000000"/>
        <rFont val="JRFonts"/>
        <charset val="134"/>
      </rPr>
      <t>19-08-2026 12:38</t>
    </r>
  </si>
  <si>
    <r>
      <rPr>
        <sz val="10"/>
        <color rgb="FF000000"/>
        <rFont val="JRFonts"/>
        <charset val="134"/>
      </rPr>
      <t>15-07-2026 11:14</t>
    </r>
  </si>
  <si>
    <t>20383</t>
  </si>
  <si>
    <r>
      <rPr>
        <sz val="10"/>
        <color rgb="FF0000FF"/>
        <rFont val="JRFonts"/>
        <charset val="134"/>
      </rPr>
      <t>20385</t>
    </r>
  </si>
  <si>
    <r>
      <rPr>
        <sz val="10"/>
        <color rgb="FF000000"/>
        <rFont val="JRFonts"/>
        <charset val="134"/>
      </rPr>
      <t>14-07-2026 20:04</t>
    </r>
  </si>
  <si>
    <r>
      <rPr>
        <sz val="10"/>
        <color rgb="FF000000"/>
        <rFont val="JRFonts"/>
        <charset val="134"/>
      </rPr>
      <t>16-07-2026 11:52</t>
    </r>
  </si>
  <si>
    <r>
      <rPr>
        <sz val="10"/>
        <color rgb="FF000000"/>
        <rFont val="JRFonts"/>
        <charset val="134"/>
      </rPr>
      <t>15-07-2026 10:18</t>
    </r>
  </si>
  <si>
    <r>
      <rPr>
        <sz val="10"/>
        <color rgb="FF0000FF"/>
        <rFont val="JRFonts"/>
        <charset val="134"/>
      </rPr>
      <t>20386</t>
    </r>
  </si>
  <si>
    <r>
      <rPr>
        <sz val="10"/>
        <color rgb="FF000000"/>
        <rFont val="JRFonts"/>
        <charset val="134"/>
      </rPr>
      <t>15-07-2026 10:07</t>
    </r>
  </si>
  <si>
    <r>
      <rPr>
        <sz val="10"/>
        <color rgb="FF000000"/>
        <rFont val="JRFonts"/>
        <charset val="134"/>
      </rPr>
      <t>29-07-2026 15:58</t>
    </r>
  </si>
  <si>
    <r>
      <rPr>
        <sz val="10"/>
        <color rgb="FF000000"/>
        <rFont val="JRFonts"/>
        <charset val="134"/>
      </rPr>
      <t>15-07-2026 10:21</t>
    </r>
  </si>
  <si>
    <t>20386</t>
  </si>
  <si>
    <r>
      <rPr>
        <sz val="10"/>
        <color rgb="FF0000FF"/>
        <rFont val="JRFonts"/>
        <charset val="134"/>
      </rPr>
      <t>20387</t>
    </r>
  </si>
  <si>
    <r>
      <rPr>
        <sz val="10"/>
        <color rgb="FF000000"/>
        <rFont val="JRFonts"/>
        <charset val="134"/>
      </rPr>
      <t>15-07-2026 10:19</t>
    </r>
  </si>
  <si>
    <r>
      <rPr>
        <sz val="10"/>
        <color rgb="FF000000"/>
        <rFont val="JRFonts"/>
        <charset val="134"/>
      </rPr>
      <t>06-08-2026 17:45</t>
    </r>
  </si>
  <si>
    <r>
      <rPr>
        <sz val="10"/>
        <color rgb="FF000000"/>
        <rFont val="JRFonts"/>
        <charset val="134"/>
      </rPr>
      <t>15-07-2026 10:31</t>
    </r>
  </si>
  <si>
    <t>20387</t>
  </si>
  <si>
    <r>
      <rPr>
        <sz val="10"/>
        <color rgb="FF0000FF"/>
        <rFont val="JRFonts"/>
        <charset val="134"/>
      </rPr>
      <t>20388</t>
    </r>
  </si>
  <si>
    <r>
      <rPr>
        <sz val="10"/>
        <color rgb="FF000000"/>
        <rFont val="JRFonts"/>
        <charset val="134"/>
      </rPr>
      <t>17-07-2026 12:29</t>
    </r>
  </si>
  <si>
    <r>
      <rPr>
        <sz val="10"/>
        <color rgb="FF000000"/>
        <rFont val="JRFonts"/>
        <charset val="134"/>
      </rPr>
      <t>15-07-2026 10:32</t>
    </r>
  </si>
  <si>
    <r>
      <rPr>
        <sz val="10"/>
        <color rgb="FF0000FF"/>
        <rFont val="JRFonts"/>
        <charset val="134"/>
      </rPr>
      <t>20389</t>
    </r>
  </si>
  <si>
    <r>
      <rPr>
        <sz val="10"/>
        <color rgb="FF000000"/>
        <rFont val="JRFonts"/>
        <charset val="134"/>
      </rPr>
      <t>15-07-2026 14:57</t>
    </r>
  </si>
  <si>
    <r>
      <rPr>
        <sz val="10"/>
        <color rgb="FF000000"/>
        <rFont val="JRFonts"/>
        <charset val="134"/>
      </rPr>
      <t>15-07-2026 10:52</t>
    </r>
  </si>
  <si>
    <r>
      <rPr>
        <sz val="10"/>
        <color rgb="FF0000FF"/>
        <rFont val="JRFonts"/>
        <charset val="134"/>
      </rPr>
      <t>20390</t>
    </r>
  </si>
  <si>
    <r>
      <rPr>
        <sz val="10"/>
        <color rgb="FF000000"/>
        <rFont val="JRFonts"/>
        <charset val="134"/>
      </rPr>
      <t>15-07-2026 10:28</t>
    </r>
  </si>
  <si>
    <r>
      <rPr>
        <sz val="10"/>
        <color rgb="FF000000"/>
        <rFont val="JRFonts"/>
        <charset val="134"/>
      </rPr>
      <t>22-07-2026 17:01</t>
    </r>
  </si>
  <si>
    <r>
      <rPr>
        <sz val="10"/>
        <color rgb="FF000000"/>
        <rFont val="JRFonts"/>
        <charset val="134"/>
      </rPr>
      <t>15-07-2026 10:37</t>
    </r>
  </si>
  <si>
    <t>20390</t>
  </si>
  <si>
    <r>
      <rPr>
        <sz val="10"/>
        <color rgb="FF0000FF"/>
        <rFont val="JRFonts"/>
        <charset val="134"/>
      </rPr>
      <t>20393</t>
    </r>
  </si>
  <si>
    <r>
      <rPr>
        <sz val="10"/>
        <color rgb="FF000000"/>
        <rFont val="JRFonts"/>
        <charset val="134"/>
      </rPr>
      <t>15-07-2026 10:34</t>
    </r>
  </si>
  <si>
    <r>
      <rPr>
        <sz val="10"/>
        <color rgb="FF000000"/>
        <rFont val="JRFonts"/>
        <charset val="134"/>
      </rPr>
      <t>15-07-2026 17:22</t>
    </r>
  </si>
  <si>
    <r>
      <rPr>
        <sz val="10"/>
        <color rgb="FF000000"/>
        <rFont val="JRFonts"/>
        <charset val="134"/>
      </rPr>
      <t>15-07-2026 10:53</t>
    </r>
  </si>
  <si>
    <r>
      <rPr>
        <sz val="10"/>
        <color rgb="FF0000FF"/>
        <rFont val="JRFonts"/>
        <charset val="134"/>
      </rPr>
      <t>20394</t>
    </r>
  </si>
  <si>
    <r>
      <rPr>
        <sz val="10"/>
        <color rgb="FF000000"/>
        <rFont val="JRFonts"/>
        <charset val="134"/>
      </rPr>
      <t>15-07-2026 10:54</t>
    </r>
  </si>
  <si>
    <t>20394</t>
  </si>
  <si>
    <r>
      <rPr>
        <sz val="10"/>
        <color rgb="FF0000FF"/>
        <rFont val="JRFonts"/>
        <charset val="134"/>
      </rPr>
      <t>20395</t>
    </r>
  </si>
  <si>
    <r>
      <rPr>
        <sz val="10"/>
        <color rgb="FF000000"/>
        <rFont val="JRFonts"/>
        <charset val="134"/>
      </rPr>
      <t>15-07-2026 10:55</t>
    </r>
  </si>
  <si>
    <r>
      <rPr>
        <sz val="10"/>
        <color rgb="FF0000FF"/>
        <rFont val="JRFonts"/>
        <charset val="134"/>
      </rPr>
      <t>20397</t>
    </r>
  </si>
  <si>
    <r>
      <rPr>
        <sz val="10"/>
        <color rgb="FF000000"/>
        <rFont val="JRFonts"/>
        <charset val="134"/>
      </rPr>
      <t>16-07-2026 14:21</t>
    </r>
  </si>
  <si>
    <r>
      <rPr>
        <sz val="10"/>
        <color rgb="FF000000"/>
        <rFont val="JRFonts"/>
        <charset val="134"/>
      </rPr>
      <t>15-07-2026 11:00</t>
    </r>
  </si>
  <si>
    <r>
      <rPr>
        <sz val="10"/>
        <color rgb="FF0000FF"/>
        <rFont val="JRFonts"/>
        <charset val="134"/>
      </rPr>
      <t>20398</t>
    </r>
  </si>
  <si>
    <r>
      <rPr>
        <sz val="10"/>
        <color rgb="FF000000"/>
        <rFont val="JRFonts"/>
        <charset val="134"/>
      </rPr>
      <t>15-07-2026 11:02</t>
    </r>
  </si>
  <si>
    <r>
      <rPr>
        <sz val="10"/>
        <color rgb="FF000000"/>
        <rFont val="JRFonts"/>
        <charset val="134"/>
      </rPr>
      <t>15-07-2026 11:10</t>
    </r>
  </si>
  <si>
    <r>
      <rPr>
        <sz val="10"/>
        <color rgb="FF0000FF"/>
        <rFont val="JRFonts"/>
        <charset val="134"/>
      </rPr>
      <t>20401</t>
    </r>
  </si>
  <si>
    <r>
      <rPr>
        <sz val="10"/>
        <color rgb="FF000000"/>
        <rFont val="JRFonts"/>
        <charset val="134"/>
      </rPr>
      <t>15-07-2026 11:27</t>
    </r>
  </si>
  <si>
    <r>
      <rPr>
        <sz val="10"/>
        <color rgb="FF000000"/>
        <rFont val="JRFonts"/>
        <charset val="134"/>
      </rPr>
      <t>20-07-2026 18:11</t>
    </r>
  </si>
  <si>
    <r>
      <rPr>
        <sz val="10"/>
        <color rgb="FF000000"/>
        <rFont val="JRFonts"/>
        <charset val="134"/>
      </rPr>
      <t>15-07-2026 11:43</t>
    </r>
  </si>
  <si>
    <t>20401</t>
  </si>
  <si>
    <r>
      <rPr>
        <sz val="10"/>
        <color rgb="FF0000FF"/>
        <rFont val="JRFonts"/>
        <charset val="134"/>
      </rPr>
      <t>20403</t>
    </r>
  </si>
  <si>
    <r>
      <rPr>
        <sz val="10"/>
        <color rgb="FF000000"/>
        <rFont val="JRFonts"/>
        <charset val="134"/>
      </rPr>
      <t>15-07-2026 11:33</t>
    </r>
  </si>
  <si>
    <r>
      <rPr>
        <sz val="10"/>
        <color rgb="FF000000"/>
        <rFont val="JRFonts"/>
        <charset val="134"/>
      </rPr>
      <t>15-07-2026 11:44</t>
    </r>
  </si>
  <si>
    <t>20403</t>
  </si>
  <si>
    <t>Site slowness /server issue</t>
  </si>
  <si>
    <r>
      <rPr>
        <sz val="10"/>
        <color rgb="FF0000FF"/>
        <rFont val="JRFonts"/>
        <charset val="134"/>
      </rPr>
      <t>20404</t>
    </r>
  </si>
  <si>
    <r>
      <rPr>
        <sz val="10"/>
        <color rgb="FF000000"/>
        <rFont val="JRFonts"/>
        <charset val="134"/>
      </rPr>
      <t>06-08-2026 17:51</t>
    </r>
  </si>
  <si>
    <t>20404</t>
  </si>
  <si>
    <r>
      <rPr>
        <sz val="10"/>
        <color rgb="FF0000FF"/>
        <rFont val="JRFonts"/>
        <charset val="134"/>
      </rPr>
      <t>20406</t>
    </r>
  </si>
  <si>
    <r>
      <rPr>
        <sz val="10"/>
        <color rgb="FF000000"/>
        <rFont val="JRFonts"/>
        <charset val="134"/>
      </rPr>
      <t>15-07-2026 11:36</t>
    </r>
  </si>
  <si>
    <r>
      <rPr>
        <sz val="10"/>
        <color rgb="FF000000"/>
        <rFont val="JRFonts"/>
        <charset val="134"/>
      </rPr>
      <t>04-08-2026 14:11</t>
    </r>
  </si>
  <si>
    <r>
      <rPr>
        <sz val="10"/>
        <color rgb="FF000000"/>
        <rFont val="JRFonts"/>
        <charset val="134"/>
      </rPr>
      <t>15-07-2026 11:45</t>
    </r>
  </si>
  <si>
    <t>20406</t>
  </si>
  <si>
    <r>
      <rPr>
        <sz val="10"/>
        <color rgb="FF0000FF"/>
        <rFont val="JRFonts"/>
        <charset val="134"/>
      </rPr>
      <t>20408</t>
    </r>
  </si>
  <si>
    <r>
      <rPr>
        <sz val="10"/>
        <color rgb="FF000000"/>
        <rFont val="JRFonts"/>
        <charset val="134"/>
      </rPr>
      <t>15-07-2026 11:54</t>
    </r>
  </si>
  <si>
    <r>
      <rPr>
        <sz val="10"/>
        <color rgb="FF000000"/>
        <rFont val="JRFonts"/>
        <charset val="134"/>
      </rPr>
      <t>06-08-2026 18:11</t>
    </r>
  </si>
  <si>
    <r>
      <rPr>
        <sz val="10"/>
        <color rgb="FF000000"/>
        <rFont val="JRFonts"/>
        <charset val="134"/>
      </rPr>
      <t>15-07-2026 12:12</t>
    </r>
  </si>
  <si>
    <t>20408</t>
  </si>
  <si>
    <r>
      <rPr>
        <sz val="10"/>
        <color rgb="FF0000FF"/>
        <rFont val="JRFonts"/>
        <charset val="134"/>
      </rPr>
      <t>20410</t>
    </r>
  </si>
  <si>
    <r>
      <rPr>
        <sz val="10"/>
        <color rgb="FF000000"/>
        <rFont val="JRFonts"/>
        <charset val="134"/>
      </rPr>
      <t>15-07-2026 12:03</t>
    </r>
  </si>
  <si>
    <r>
      <rPr>
        <sz val="10"/>
        <color rgb="FF000000"/>
        <rFont val="JRFonts"/>
        <charset val="134"/>
      </rPr>
      <t>15-07-2026 23:43</t>
    </r>
  </si>
  <si>
    <r>
      <rPr>
        <sz val="10"/>
        <color rgb="FF000000"/>
        <rFont val="JRFonts"/>
        <charset val="134"/>
      </rPr>
      <t>15-07-2026 15:28</t>
    </r>
  </si>
  <si>
    <r>
      <rPr>
        <sz val="10"/>
        <color rgb="FF0000FF"/>
        <rFont val="JRFonts"/>
        <charset val="134"/>
      </rPr>
      <t>20411</t>
    </r>
  </si>
  <si>
    <r>
      <rPr>
        <sz val="10"/>
        <color rgb="FF000000"/>
        <rFont val="JRFonts"/>
        <charset val="134"/>
      </rPr>
      <t>15-07-2026 12:09</t>
    </r>
  </si>
  <si>
    <r>
      <rPr>
        <sz val="10"/>
        <color rgb="FF000000"/>
        <rFont val="JRFonts"/>
        <charset val="134"/>
      </rPr>
      <t>15-07-2026 23:50</t>
    </r>
  </si>
  <si>
    <r>
      <rPr>
        <sz val="10"/>
        <color rgb="FF000000"/>
        <rFont val="JRFonts"/>
        <charset val="134"/>
      </rPr>
      <t>15-07-2026 12:38</t>
    </r>
  </si>
  <si>
    <r>
      <rPr>
        <sz val="10"/>
        <color rgb="FF0000FF"/>
        <rFont val="JRFonts"/>
        <charset val="134"/>
      </rPr>
      <t>20412</t>
    </r>
  </si>
  <si>
    <r>
      <rPr>
        <sz val="10"/>
        <color rgb="FF000000"/>
        <rFont val="JRFonts"/>
        <charset val="134"/>
      </rPr>
      <t>15-07-2026 23:30</t>
    </r>
  </si>
  <si>
    <r>
      <rPr>
        <sz val="10"/>
        <color rgb="FF000000"/>
        <rFont val="JRFonts"/>
        <charset val="134"/>
      </rPr>
      <t>15-07-2026 12:16</t>
    </r>
  </si>
  <si>
    <r>
      <rPr>
        <sz val="10"/>
        <color rgb="FF0000FF"/>
        <rFont val="JRFonts"/>
        <charset val="134"/>
      </rPr>
      <t>20413</t>
    </r>
  </si>
  <si>
    <r>
      <rPr>
        <sz val="10"/>
        <color rgb="FF000000"/>
        <rFont val="JRFonts"/>
        <charset val="134"/>
      </rPr>
      <t>06-08-2026 12:01</t>
    </r>
  </si>
  <si>
    <r>
      <rPr>
        <sz val="10"/>
        <color rgb="FF000000"/>
        <rFont val="JRFonts"/>
        <charset val="134"/>
      </rPr>
      <t>15-07-2026 12:24</t>
    </r>
  </si>
  <si>
    <t>20413</t>
  </si>
  <si>
    <r>
      <rPr>
        <sz val="10"/>
        <color rgb="FF0000FF"/>
        <rFont val="JRFonts"/>
        <charset val="134"/>
      </rPr>
      <t>20415</t>
    </r>
  </si>
  <si>
    <r>
      <rPr>
        <sz val="10"/>
        <color rgb="FF000000"/>
        <rFont val="JRFonts"/>
        <charset val="134"/>
      </rPr>
      <t>15-07-2026 23:49</t>
    </r>
  </si>
  <si>
    <r>
      <rPr>
        <sz val="10"/>
        <color rgb="FF0000FF"/>
        <rFont val="JRFonts"/>
        <charset val="134"/>
      </rPr>
      <t>20416</t>
    </r>
  </si>
  <si>
    <r>
      <rPr>
        <sz val="10"/>
        <color rgb="FF000000"/>
        <rFont val="JRFonts"/>
        <charset val="134"/>
      </rPr>
      <t>15-07-2026 12:37</t>
    </r>
  </si>
  <si>
    <r>
      <rPr>
        <sz val="10"/>
        <color rgb="FF000000"/>
        <rFont val="JRFonts"/>
        <charset val="134"/>
      </rPr>
      <t>06-08-2026 17:56</t>
    </r>
  </si>
  <si>
    <r>
      <rPr>
        <sz val="10"/>
        <color rgb="FF000000"/>
        <rFont val="JRFonts"/>
        <charset val="134"/>
      </rPr>
      <t>15-07-2026 12:45</t>
    </r>
  </si>
  <si>
    <t>20416</t>
  </si>
  <si>
    <t>Initial issues resolved within SLA , Reopened with new request , priority got updated from P4 to P1</t>
  </si>
  <si>
    <r>
      <rPr>
        <sz val="10"/>
        <color rgb="FF0000FF"/>
        <rFont val="JRFonts"/>
        <charset val="134"/>
      </rPr>
      <t>20417</t>
    </r>
  </si>
  <si>
    <r>
      <rPr>
        <sz val="10"/>
        <color rgb="FF000000"/>
        <rFont val="JRFonts"/>
        <charset val="134"/>
      </rPr>
      <t>15-07-2026 12:57</t>
    </r>
  </si>
  <si>
    <r>
      <rPr>
        <sz val="10"/>
        <color rgb="FF0000FF"/>
        <rFont val="JRFonts"/>
        <charset val="134"/>
      </rPr>
      <t>20418</t>
    </r>
  </si>
  <si>
    <r>
      <rPr>
        <sz val="10"/>
        <color rgb="FF000000"/>
        <rFont val="JRFonts"/>
        <charset val="134"/>
      </rPr>
      <t>29-07-2026 15:44</t>
    </r>
  </si>
  <si>
    <r>
      <rPr>
        <sz val="10"/>
        <color rgb="FF000000"/>
        <rFont val="JRFonts"/>
        <charset val="134"/>
      </rPr>
      <t>15-07-2026 12:47</t>
    </r>
  </si>
  <si>
    <t>20418</t>
  </si>
  <si>
    <r>
      <rPr>
        <sz val="10"/>
        <color rgb="FF0000FF"/>
        <rFont val="JRFonts"/>
        <charset val="134"/>
      </rPr>
      <t>20419</t>
    </r>
  </si>
  <si>
    <r>
      <rPr>
        <sz val="10"/>
        <color rgb="FF000000"/>
        <rFont val="JRFonts"/>
        <charset val="134"/>
      </rPr>
      <t>15-07-2026 23:48</t>
    </r>
  </si>
  <si>
    <r>
      <rPr>
        <sz val="10"/>
        <color rgb="FF000000"/>
        <rFont val="JRFonts"/>
        <charset val="134"/>
      </rPr>
      <t>15-07-2026 12:46</t>
    </r>
  </si>
  <si>
    <r>
      <rPr>
        <sz val="10"/>
        <color rgb="FF0000FF"/>
        <rFont val="JRFonts"/>
        <charset val="134"/>
      </rPr>
      <t>20420</t>
    </r>
  </si>
  <si>
    <r>
      <rPr>
        <sz val="10"/>
        <color rgb="FF000000"/>
        <rFont val="JRFonts"/>
        <charset val="134"/>
      </rPr>
      <t>15-07-2026 12:52</t>
    </r>
  </si>
  <si>
    <r>
      <rPr>
        <sz val="10"/>
        <color rgb="FF000000"/>
        <rFont val="JRFonts"/>
        <charset val="134"/>
      </rPr>
      <t>06-08-2026 18:15</t>
    </r>
  </si>
  <si>
    <r>
      <rPr>
        <sz val="10"/>
        <color rgb="FF000000"/>
        <rFont val="JRFonts"/>
        <charset val="134"/>
      </rPr>
      <t>15-07-2026 13:03</t>
    </r>
  </si>
  <si>
    <t>20420</t>
  </si>
  <si>
    <r>
      <rPr>
        <sz val="10"/>
        <color rgb="FF0000FF"/>
        <rFont val="JRFonts"/>
        <charset val="134"/>
      </rPr>
      <t>20421</t>
    </r>
  </si>
  <si>
    <r>
      <rPr>
        <sz val="10"/>
        <color rgb="FF000000"/>
        <rFont val="JRFonts"/>
        <charset val="134"/>
      </rPr>
      <t>15-07-2026 23:42</t>
    </r>
  </si>
  <si>
    <r>
      <rPr>
        <sz val="10"/>
        <color rgb="FF000000"/>
        <rFont val="JRFonts"/>
        <charset val="134"/>
      </rPr>
      <t>15-07-2026 14:10</t>
    </r>
  </si>
  <si>
    <r>
      <rPr>
        <sz val="10"/>
        <color rgb="FF0000FF"/>
        <rFont val="JRFonts"/>
        <charset val="134"/>
      </rPr>
      <t>20422</t>
    </r>
  </si>
  <si>
    <r>
      <rPr>
        <sz val="10"/>
        <color rgb="FF000000"/>
        <rFont val="JRFonts"/>
        <charset val="134"/>
      </rPr>
      <t>15-07-2026 12:55</t>
    </r>
  </si>
  <si>
    <r>
      <rPr>
        <sz val="10"/>
        <color rgb="FF000000"/>
        <rFont val="JRFonts"/>
        <charset val="134"/>
      </rPr>
      <t>15-07-2026 23:47</t>
    </r>
  </si>
  <si>
    <r>
      <rPr>
        <sz val="10"/>
        <color rgb="FF0000FF"/>
        <rFont val="JRFonts"/>
        <charset val="134"/>
      </rPr>
      <t>20423</t>
    </r>
  </si>
  <si>
    <r>
      <rPr>
        <sz val="10"/>
        <color rgb="FF000000"/>
        <rFont val="JRFonts"/>
        <charset val="134"/>
      </rPr>
      <t>15-07-2026 12:58</t>
    </r>
  </si>
  <si>
    <r>
      <rPr>
        <sz val="10"/>
        <color rgb="FF000000"/>
        <rFont val="JRFonts"/>
        <charset val="134"/>
      </rPr>
      <t>15-07-2026 23:41</t>
    </r>
  </si>
  <si>
    <r>
      <rPr>
        <sz val="10"/>
        <color rgb="FF000000"/>
        <rFont val="JRFonts"/>
        <charset val="134"/>
      </rPr>
      <t>15-07-2026 14:11</t>
    </r>
  </si>
  <si>
    <r>
      <rPr>
        <sz val="10"/>
        <color rgb="FF0000FF"/>
        <rFont val="JRFonts"/>
        <charset val="134"/>
      </rPr>
      <t>20424</t>
    </r>
  </si>
  <si>
    <r>
      <rPr>
        <sz val="10"/>
        <color rgb="FF000000"/>
        <rFont val="JRFonts"/>
        <charset val="134"/>
      </rPr>
      <t>15-07-2026 23:40</t>
    </r>
  </si>
  <si>
    <r>
      <rPr>
        <sz val="10"/>
        <color rgb="FF0000FF"/>
        <rFont val="JRFonts"/>
        <charset val="134"/>
      </rPr>
      <t>20425</t>
    </r>
  </si>
  <si>
    <r>
      <rPr>
        <sz val="10"/>
        <color rgb="FF000000"/>
        <rFont val="JRFonts"/>
        <charset val="134"/>
      </rPr>
      <t>15-07-2026 13:04</t>
    </r>
  </si>
  <si>
    <r>
      <rPr>
        <sz val="10"/>
        <color rgb="FF000000"/>
        <rFont val="JRFonts"/>
        <charset val="134"/>
      </rPr>
      <t>15-07-2026 23:46</t>
    </r>
  </si>
  <si>
    <r>
      <rPr>
        <sz val="10"/>
        <color rgb="FF000000"/>
        <rFont val="JRFonts"/>
        <charset val="134"/>
      </rPr>
      <t>15-07-2026 14:12</t>
    </r>
  </si>
  <si>
    <r>
      <rPr>
        <sz val="10"/>
        <color rgb="FF0000FF"/>
        <rFont val="JRFonts"/>
        <charset val="134"/>
      </rPr>
      <t>20426</t>
    </r>
  </si>
  <si>
    <r>
      <rPr>
        <sz val="10"/>
        <color rgb="FF000000"/>
        <rFont val="JRFonts"/>
        <charset val="134"/>
      </rPr>
      <t>15-07-2026 13:16</t>
    </r>
  </si>
  <si>
    <r>
      <rPr>
        <sz val="10"/>
        <color rgb="FF000000"/>
        <rFont val="JRFonts"/>
        <charset val="134"/>
      </rPr>
      <t>15-07-2026 14:20</t>
    </r>
  </si>
  <si>
    <r>
      <rPr>
        <sz val="10"/>
        <color rgb="FF0000FF"/>
        <rFont val="JRFonts"/>
        <charset val="134"/>
      </rPr>
      <t>20427</t>
    </r>
  </si>
  <si>
    <r>
      <rPr>
        <sz val="10"/>
        <color rgb="FF000000"/>
        <rFont val="JRFonts"/>
        <charset val="134"/>
      </rPr>
      <t>15-07-2026 13:25</t>
    </r>
  </si>
  <si>
    <r>
      <rPr>
        <sz val="10"/>
        <color rgb="FF000000"/>
        <rFont val="JRFonts"/>
        <charset val="134"/>
      </rPr>
      <t>15-07-2026 23:39</t>
    </r>
  </si>
  <si>
    <r>
      <rPr>
        <sz val="10"/>
        <color rgb="FF000000"/>
        <rFont val="JRFonts"/>
        <charset val="134"/>
      </rPr>
      <t>15-07-2026 14:13</t>
    </r>
  </si>
  <si>
    <r>
      <rPr>
        <sz val="10"/>
        <color rgb="FF0000FF"/>
        <rFont val="JRFonts"/>
        <charset val="134"/>
      </rPr>
      <t>20429</t>
    </r>
  </si>
  <si>
    <r>
      <rPr>
        <sz val="10"/>
        <color rgb="FF000000"/>
        <rFont val="JRFonts"/>
        <charset val="134"/>
      </rPr>
      <t>15-07-2026 13:32</t>
    </r>
  </si>
  <si>
    <t>20429</t>
  </si>
  <si>
    <r>
      <rPr>
        <sz val="10"/>
        <color rgb="FF0000FF"/>
        <rFont val="JRFonts"/>
        <charset val="134"/>
      </rPr>
      <t>20431</t>
    </r>
  </si>
  <si>
    <r>
      <rPr>
        <sz val="10"/>
        <color rgb="FF000000"/>
        <rFont val="JRFonts"/>
        <charset val="134"/>
      </rPr>
      <t>15-07-2026 13:50</t>
    </r>
  </si>
  <si>
    <r>
      <rPr>
        <sz val="10"/>
        <color rgb="FF000000"/>
        <rFont val="JRFonts"/>
        <charset val="134"/>
      </rPr>
      <t>15-07-2026 23:45</t>
    </r>
  </si>
  <si>
    <r>
      <rPr>
        <sz val="10"/>
        <color rgb="FF000000"/>
        <rFont val="JRFonts"/>
        <charset val="134"/>
      </rPr>
      <t>15-07-2026 14:14</t>
    </r>
  </si>
  <si>
    <r>
      <rPr>
        <sz val="10"/>
        <color rgb="FF0000FF"/>
        <rFont val="JRFonts"/>
        <charset val="134"/>
      </rPr>
      <t>20432</t>
    </r>
  </si>
  <si>
    <r>
      <rPr>
        <sz val="10"/>
        <color rgb="FF000000"/>
        <rFont val="JRFonts"/>
        <charset val="134"/>
      </rPr>
      <t>15-07-2026 13:53</t>
    </r>
  </si>
  <si>
    <r>
      <rPr>
        <sz val="10"/>
        <color rgb="FF0000FF"/>
        <rFont val="JRFonts"/>
        <charset val="134"/>
      </rPr>
      <t>20436</t>
    </r>
  </si>
  <si>
    <r>
      <rPr>
        <sz val="10"/>
        <color rgb="FF000000"/>
        <rFont val="JRFonts"/>
        <charset val="134"/>
      </rPr>
      <t>15-07-2026 14:17</t>
    </r>
  </si>
  <si>
    <r>
      <rPr>
        <sz val="10"/>
        <color rgb="FF000000"/>
        <rFont val="JRFonts"/>
        <charset val="134"/>
      </rPr>
      <t>15-07-2026 17:59</t>
    </r>
  </si>
  <si>
    <r>
      <rPr>
        <sz val="10"/>
        <color rgb="FF000000"/>
        <rFont val="JRFonts"/>
        <charset val="134"/>
      </rPr>
      <t>15-07-2026 14:23</t>
    </r>
  </si>
  <si>
    <r>
      <rPr>
        <sz val="10"/>
        <color rgb="FF0000FF"/>
        <rFont val="JRFonts"/>
        <charset val="134"/>
      </rPr>
      <t>20437</t>
    </r>
  </si>
  <si>
    <r>
      <rPr>
        <sz val="10"/>
        <color rgb="FF000000"/>
        <rFont val="JRFonts"/>
        <charset val="134"/>
      </rPr>
      <t>15-07-2026 14:27</t>
    </r>
  </si>
  <si>
    <t>20437</t>
  </si>
  <si>
    <r>
      <rPr>
        <sz val="10"/>
        <color rgb="FF0000FF"/>
        <rFont val="JRFonts"/>
        <charset val="134"/>
      </rPr>
      <t>20438</t>
    </r>
  </si>
  <si>
    <r>
      <rPr>
        <sz val="10"/>
        <color rgb="FF000000"/>
        <rFont val="JRFonts"/>
        <charset val="134"/>
      </rPr>
      <t>06-08-2026 22:57</t>
    </r>
  </si>
  <si>
    <t>20438</t>
  </si>
  <si>
    <r>
      <rPr>
        <sz val="10"/>
        <color rgb="FF0000FF"/>
        <rFont val="JRFonts"/>
        <charset val="134"/>
      </rPr>
      <t>20441</t>
    </r>
  </si>
  <si>
    <r>
      <rPr>
        <sz val="10"/>
        <color rgb="FF000000"/>
        <rFont val="JRFonts"/>
        <charset val="134"/>
      </rPr>
      <t>15-07-2026 23:59</t>
    </r>
  </si>
  <si>
    <r>
      <rPr>
        <sz val="10"/>
        <color rgb="FF000000"/>
        <rFont val="JRFonts"/>
        <charset val="134"/>
      </rPr>
      <t>15-07-2026 14:33</t>
    </r>
  </si>
  <si>
    <r>
      <rPr>
        <sz val="10"/>
        <color rgb="FF0000FF"/>
        <rFont val="JRFonts"/>
        <charset val="134"/>
      </rPr>
      <t>20442</t>
    </r>
  </si>
  <si>
    <r>
      <rPr>
        <sz val="10"/>
        <color rgb="FF000000"/>
        <rFont val="JRFonts"/>
        <charset val="134"/>
      </rPr>
      <t>15-07-2026 14:26</t>
    </r>
  </si>
  <si>
    <r>
      <rPr>
        <sz val="10"/>
        <color rgb="FF000000"/>
        <rFont val="JRFonts"/>
        <charset val="134"/>
      </rPr>
      <t>15-07-2026 16:44</t>
    </r>
  </si>
  <si>
    <r>
      <rPr>
        <sz val="10"/>
        <color rgb="FF000000"/>
        <rFont val="JRFonts"/>
        <charset val="134"/>
      </rPr>
      <t>15-07-2026 14:35</t>
    </r>
  </si>
  <si>
    <r>
      <rPr>
        <sz val="10"/>
        <color rgb="FF0000FF"/>
        <rFont val="JRFonts"/>
        <charset val="134"/>
      </rPr>
      <t>20443</t>
    </r>
  </si>
  <si>
    <r>
      <rPr>
        <sz val="10"/>
        <color rgb="FF000000"/>
        <rFont val="JRFonts"/>
        <charset val="134"/>
      </rPr>
      <t>15-07-2026 14:42</t>
    </r>
  </si>
  <si>
    <r>
      <rPr>
        <sz val="10"/>
        <color rgb="FF000000"/>
        <rFont val="JRFonts"/>
        <charset val="134"/>
      </rPr>
      <t>06-08-2026 18:17</t>
    </r>
  </si>
  <si>
    <r>
      <rPr>
        <sz val="10"/>
        <color rgb="FF000000"/>
        <rFont val="JRFonts"/>
        <charset val="134"/>
      </rPr>
      <t>15-07-2026 14:58</t>
    </r>
  </si>
  <si>
    <t>20443</t>
  </si>
  <si>
    <t>Issues already resolved by business team , updated later on portal</t>
  </si>
  <si>
    <r>
      <rPr>
        <sz val="10"/>
        <color rgb="FF0000FF"/>
        <rFont val="JRFonts"/>
        <charset val="134"/>
      </rPr>
      <t>20444</t>
    </r>
  </si>
  <si>
    <r>
      <rPr>
        <sz val="10"/>
        <color rgb="FF000000"/>
        <rFont val="JRFonts"/>
        <charset val="134"/>
      </rPr>
      <t>15-07-2026 14:45</t>
    </r>
  </si>
  <si>
    <r>
      <rPr>
        <sz val="10"/>
        <color rgb="FF000000"/>
        <rFont val="JRFonts"/>
        <charset val="134"/>
      </rPr>
      <t>06-08-2026 18:19</t>
    </r>
  </si>
  <si>
    <r>
      <rPr>
        <sz val="10"/>
        <color rgb="FF000000"/>
        <rFont val="JRFonts"/>
        <charset val="134"/>
      </rPr>
      <t>15-07-2026 15:01</t>
    </r>
  </si>
  <si>
    <t>20444</t>
  </si>
  <si>
    <r>
      <rPr>
        <sz val="10"/>
        <color rgb="FF0000FF"/>
        <rFont val="JRFonts"/>
        <charset val="134"/>
      </rPr>
      <t>20445</t>
    </r>
  </si>
  <si>
    <r>
      <rPr>
        <sz val="10"/>
        <color rgb="FF000000"/>
        <rFont val="JRFonts"/>
        <charset val="134"/>
      </rPr>
      <t>30-09-2026 10:23</t>
    </r>
  </si>
  <si>
    <r>
      <rPr>
        <sz val="10"/>
        <color rgb="FF000000"/>
        <rFont val="JRFonts"/>
        <charset val="134"/>
      </rPr>
      <t>15-07-2026 15:02</t>
    </r>
  </si>
  <si>
    <t>20445</t>
  </si>
  <si>
    <r>
      <rPr>
        <sz val="10"/>
        <color rgb="FF0000FF"/>
        <rFont val="JRFonts"/>
        <charset val="134"/>
      </rPr>
      <t>20446</t>
    </r>
  </si>
  <si>
    <r>
      <rPr>
        <sz val="10"/>
        <color rgb="FF000000"/>
        <rFont val="JRFonts"/>
        <charset val="134"/>
      </rPr>
      <t>15-07-2026 14:48</t>
    </r>
  </si>
  <si>
    <r>
      <rPr>
        <sz val="10"/>
        <color rgb="FF000000"/>
        <rFont val="JRFonts"/>
        <charset val="134"/>
      </rPr>
      <t>15-07-2026 23:58</t>
    </r>
  </si>
  <si>
    <r>
      <rPr>
        <sz val="10"/>
        <color rgb="FF000000"/>
        <rFont val="JRFonts"/>
        <charset val="134"/>
      </rPr>
      <t>15-07-2026 14:59</t>
    </r>
  </si>
  <si>
    <r>
      <rPr>
        <sz val="10"/>
        <color rgb="FF0000FF"/>
        <rFont val="JRFonts"/>
        <charset val="134"/>
      </rPr>
      <t>20447</t>
    </r>
  </si>
  <si>
    <r>
      <rPr>
        <sz val="10"/>
        <color rgb="FF000000"/>
        <rFont val="JRFonts"/>
        <charset val="134"/>
      </rPr>
      <t>03-08-2026 15:30</t>
    </r>
  </si>
  <si>
    <r>
      <rPr>
        <sz val="10"/>
        <color rgb="FF000000"/>
        <rFont val="JRFonts"/>
        <charset val="134"/>
      </rPr>
      <t>15-07-2026 15:06</t>
    </r>
  </si>
  <si>
    <t>20447</t>
  </si>
  <si>
    <r>
      <rPr>
        <sz val="10"/>
        <color rgb="FF0000FF"/>
        <rFont val="JRFonts"/>
        <charset val="134"/>
      </rPr>
      <t>20449</t>
    </r>
  </si>
  <si>
    <r>
      <rPr>
        <sz val="10"/>
        <color rgb="FF000000"/>
        <rFont val="JRFonts"/>
        <charset val="134"/>
      </rPr>
      <t>11-08-2026 14:54</t>
    </r>
  </si>
  <si>
    <r>
      <rPr>
        <sz val="10"/>
        <color rgb="FF000000"/>
        <rFont val="JRFonts"/>
        <charset val="134"/>
      </rPr>
      <t>10-08-2026 14:20</t>
    </r>
  </si>
  <si>
    <r>
      <rPr>
        <sz val="10"/>
        <color rgb="FF0000FF"/>
        <rFont val="JRFonts"/>
        <charset val="134"/>
      </rPr>
      <t>20450</t>
    </r>
  </si>
  <si>
    <r>
      <rPr>
        <sz val="10"/>
        <color rgb="FF000000"/>
        <rFont val="JRFonts"/>
        <charset val="134"/>
      </rPr>
      <t>15-07-2026 23:44</t>
    </r>
  </si>
  <si>
    <r>
      <rPr>
        <sz val="10"/>
        <color rgb="FF000000"/>
        <rFont val="JRFonts"/>
        <charset val="134"/>
      </rPr>
      <t>15-07-2026 15:03</t>
    </r>
  </si>
  <si>
    <r>
      <rPr>
        <sz val="10"/>
        <color rgb="FF0000FF"/>
        <rFont val="JRFonts"/>
        <charset val="134"/>
      </rPr>
      <t>20451</t>
    </r>
  </si>
  <si>
    <r>
      <rPr>
        <sz val="10"/>
        <color rgb="FF000000"/>
        <rFont val="JRFonts"/>
        <charset val="134"/>
      </rPr>
      <t>28-07-2026 00:16</t>
    </r>
  </si>
  <si>
    <r>
      <rPr>
        <sz val="10"/>
        <color rgb="FF000000"/>
        <rFont val="JRFonts"/>
        <charset val="134"/>
      </rPr>
      <t>15-07-2026 15:05</t>
    </r>
  </si>
  <si>
    <t>20451</t>
  </si>
  <si>
    <r>
      <rPr>
        <sz val="10"/>
        <color rgb="FF0000FF"/>
        <rFont val="JRFonts"/>
        <charset val="134"/>
      </rPr>
      <t>20452</t>
    </r>
  </si>
  <si>
    <r>
      <rPr>
        <sz val="10"/>
        <color rgb="FF000000"/>
        <rFont val="JRFonts"/>
        <charset val="134"/>
      </rPr>
      <t>15-07-2026 15:21</t>
    </r>
  </si>
  <si>
    <r>
      <rPr>
        <sz val="10"/>
        <color rgb="FF000000"/>
        <rFont val="JRFonts"/>
        <charset val="134"/>
      </rPr>
      <t>17-07-2026 16:07</t>
    </r>
  </si>
  <si>
    <r>
      <rPr>
        <sz val="10"/>
        <color rgb="FF000000"/>
        <rFont val="JRFonts"/>
        <charset val="134"/>
      </rPr>
      <t>15-07-2026 15:26</t>
    </r>
  </si>
  <si>
    <t>20452</t>
  </si>
  <si>
    <r>
      <rPr>
        <sz val="10"/>
        <color rgb="FF0000FF"/>
        <rFont val="JRFonts"/>
        <charset val="134"/>
      </rPr>
      <t>20458</t>
    </r>
  </si>
  <si>
    <r>
      <rPr>
        <sz val="10"/>
        <color rgb="FF000000"/>
        <rFont val="JRFonts"/>
        <charset val="134"/>
      </rPr>
      <t>15-07-2026 15:42</t>
    </r>
  </si>
  <si>
    <r>
      <rPr>
        <sz val="10"/>
        <color rgb="FF000000"/>
        <rFont val="JRFonts"/>
        <charset val="134"/>
      </rPr>
      <t>15-07-2026 23:38</t>
    </r>
  </si>
  <si>
    <r>
      <rPr>
        <sz val="10"/>
        <color rgb="FF000000"/>
        <rFont val="JRFonts"/>
        <charset val="134"/>
      </rPr>
      <t>15-07-2026 15:50</t>
    </r>
  </si>
  <si>
    <r>
      <rPr>
        <sz val="10"/>
        <color rgb="FF0000FF"/>
        <rFont val="JRFonts"/>
        <charset val="134"/>
      </rPr>
      <t>20459</t>
    </r>
  </si>
  <si>
    <r>
      <rPr>
        <sz val="10"/>
        <color rgb="FF000000"/>
        <rFont val="JRFonts"/>
        <charset val="134"/>
      </rPr>
      <t>15-07-2026 15:49</t>
    </r>
  </si>
  <si>
    <r>
      <rPr>
        <sz val="10"/>
        <color rgb="FF000000"/>
        <rFont val="JRFonts"/>
        <charset val="134"/>
      </rPr>
      <t>15-07-2026 23:37</t>
    </r>
  </si>
  <si>
    <r>
      <rPr>
        <sz val="10"/>
        <color rgb="FF000000"/>
        <rFont val="JRFonts"/>
        <charset val="134"/>
      </rPr>
      <t>15-07-2026 15:53</t>
    </r>
  </si>
  <si>
    <r>
      <rPr>
        <sz val="10"/>
        <color rgb="FF0000FF"/>
        <rFont val="JRFonts"/>
        <charset val="134"/>
      </rPr>
      <t>20460</t>
    </r>
  </si>
  <si>
    <r>
      <rPr>
        <sz val="10"/>
        <color rgb="FF000000"/>
        <rFont val="JRFonts"/>
        <charset val="134"/>
      </rPr>
      <t>15-07-2026 15:52</t>
    </r>
  </si>
  <si>
    <r>
      <rPr>
        <sz val="10"/>
        <color rgb="FF000000"/>
        <rFont val="JRFonts"/>
        <charset val="134"/>
      </rPr>
      <t>15-07-2026 23:36</t>
    </r>
  </si>
  <si>
    <r>
      <rPr>
        <sz val="10"/>
        <color rgb="FF000000"/>
        <rFont val="JRFonts"/>
        <charset val="134"/>
      </rPr>
      <t>15-07-2026 15:54</t>
    </r>
  </si>
  <si>
    <r>
      <rPr>
        <sz val="10"/>
        <color rgb="FF0000FF"/>
        <rFont val="JRFonts"/>
        <charset val="134"/>
      </rPr>
      <t>20461</t>
    </r>
  </si>
  <si>
    <r>
      <rPr>
        <sz val="10"/>
        <color rgb="FF000000"/>
        <rFont val="JRFonts"/>
        <charset val="134"/>
      </rPr>
      <t>15-07-2026 23:35</t>
    </r>
  </si>
  <si>
    <r>
      <rPr>
        <sz val="10"/>
        <color rgb="FF000000"/>
        <rFont val="JRFonts"/>
        <charset val="134"/>
      </rPr>
      <t>15-07-2026 17:19</t>
    </r>
  </si>
  <si>
    <r>
      <rPr>
        <sz val="10"/>
        <color rgb="FF0000FF"/>
        <rFont val="JRFonts"/>
        <charset val="134"/>
      </rPr>
      <t>20462</t>
    </r>
  </si>
  <si>
    <r>
      <rPr>
        <sz val="10"/>
        <color rgb="FF000000"/>
        <rFont val="JRFonts"/>
        <charset val="134"/>
      </rPr>
      <t>15-07-2026 15:55</t>
    </r>
  </si>
  <si>
    <r>
      <rPr>
        <sz val="10"/>
        <color rgb="FF000000"/>
        <rFont val="JRFonts"/>
        <charset val="134"/>
      </rPr>
      <t>15-07-2026 15:59</t>
    </r>
  </si>
  <si>
    <r>
      <rPr>
        <sz val="10"/>
        <color rgb="FF0000FF"/>
        <rFont val="JRFonts"/>
        <charset val="134"/>
      </rPr>
      <t>20463</t>
    </r>
  </si>
  <si>
    <r>
      <rPr>
        <sz val="10"/>
        <color rgb="FF000000"/>
        <rFont val="JRFonts"/>
        <charset val="134"/>
      </rPr>
      <t>15-07-2026 23:34</t>
    </r>
  </si>
  <si>
    <r>
      <rPr>
        <sz val="10"/>
        <color rgb="FF000000"/>
        <rFont val="JRFonts"/>
        <charset val="134"/>
      </rPr>
      <t>15-07-2026 16:01</t>
    </r>
  </si>
  <si>
    <r>
      <rPr>
        <sz val="10"/>
        <color rgb="FF0000FF"/>
        <rFont val="JRFonts"/>
        <charset val="134"/>
      </rPr>
      <t>20464</t>
    </r>
  </si>
  <si>
    <r>
      <rPr>
        <sz val="10"/>
        <color rgb="FF000000"/>
        <rFont val="JRFonts"/>
        <charset val="134"/>
      </rPr>
      <t>15-07-2026 15:58</t>
    </r>
  </si>
  <si>
    <r>
      <rPr>
        <sz val="10"/>
        <color rgb="FF000000"/>
        <rFont val="JRFonts"/>
        <charset val="134"/>
      </rPr>
      <t>17-07-2026 14:52</t>
    </r>
  </si>
  <si>
    <r>
      <rPr>
        <sz val="10"/>
        <color rgb="FF000000"/>
        <rFont val="JRFonts"/>
        <charset val="134"/>
      </rPr>
      <t>15-07-2026 16:04</t>
    </r>
  </si>
  <si>
    <t>20464</t>
  </si>
  <si>
    <r>
      <rPr>
        <sz val="10"/>
        <color rgb="FF0000FF"/>
        <rFont val="JRFonts"/>
        <charset val="134"/>
      </rPr>
      <t>20471</t>
    </r>
  </si>
  <si>
    <r>
      <rPr>
        <sz val="10"/>
        <color rgb="FF000000"/>
        <rFont val="JRFonts"/>
        <charset val="134"/>
      </rPr>
      <t>15-07-2026 18:01</t>
    </r>
  </si>
  <si>
    <r>
      <rPr>
        <sz val="10"/>
        <color rgb="FF000000"/>
        <rFont val="JRFonts"/>
        <charset val="134"/>
      </rPr>
      <t>15-07-2026 16:29</t>
    </r>
  </si>
  <si>
    <r>
      <rPr>
        <sz val="10"/>
        <color rgb="FF0000FF"/>
        <rFont val="JRFonts"/>
        <charset val="134"/>
      </rPr>
      <t>20473</t>
    </r>
  </si>
  <si>
    <r>
      <rPr>
        <sz val="10"/>
        <color rgb="FF000000"/>
        <rFont val="JRFonts"/>
        <charset val="134"/>
      </rPr>
      <t>15-07-2026 16:50</t>
    </r>
  </si>
  <si>
    <r>
      <rPr>
        <sz val="10"/>
        <color rgb="FF000000"/>
        <rFont val="JRFonts"/>
        <charset val="134"/>
      </rPr>
      <t>15-07-2026 18:12</t>
    </r>
  </si>
  <si>
    <r>
      <rPr>
        <sz val="10"/>
        <color rgb="FF000000"/>
        <rFont val="JRFonts"/>
        <charset val="134"/>
      </rPr>
      <t>15-07-2026 16:52</t>
    </r>
  </si>
  <si>
    <r>
      <rPr>
        <sz val="10"/>
        <color rgb="FF0000FF"/>
        <rFont val="JRFonts"/>
        <charset val="134"/>
      </rPr>
      <t>20474</t>
    </r>
  </si>
  <si>
    <r>
      <rPr>
        <sz val="10"/>
        <color rgb="FF000000"/>
        <rFont val="JRFonts"/>
        <charset val="134"/>
      </rPr>
      <t>15-07-2026 16:56</t>
    </r>
  </si>
  <si>
    <r>
      <rPr>
        <sz val="10"/>
        <color rgb="FF000000"/>
        <rFont val="JRFonts"/>
        <charset val="134"/>
      </rPr>
      <t>17-07-2026 15:02</t>
    </r>
  </si>
  <si>
    <r>
      <rPr>
        <sz val="10"/>
        <color rgb="FF000000"/>
        <rFont val="JRFonts"/>
        <charset val="134"/>
      </rPr>
      <t>15-07-2026 17:02</t>
    </r>
  </si>
  <si>
    <t>20474</t>
  </si>
  <si>
    <r>
      <rPr>
        <sz val="10"/>
        <color rgb="FF0000FF"/>
        <rFont val="JRFonts"/>
        <charset val="134"/>
      </rPr>
      <t>20475</t>
    </r>
  </si>
  <si>
    <r>
      <rPr>
        <sz val="10"/>
        <color rgb="FF000000"/>
        <rFont val="JRFonts"/>
        <charset val="134"/>
      </rPr>
      <t>15-07-2026 17:14</t>
    </r>
  </si>
  <si>
    <r>
      <rPr>
        <sz val="10"/>
        <color rgb="FF000000"/>
        <rFont val="JRFonts"/>
        <charset val="134"/>
      </rPr>
      <t>16-07-2026 10:30</t>
    </r>
  </si>
  <si>
    <r>
      <rPr>
        <sz val="10"/>
        <color rgb="FF000000"/>
        <rFont val="JRFonts"/>
        <charset val="134"/>
      </rPr>
      <t>15-07-2026 17:18</t>
    </r>
  </si>
  <si>
    <r>
      <rPr>
        <sz val="10"/>
        <color rgb="FF0000FF"/>
        <rFont val="JRFonts"/>
        <charset val="134"/>
      </rPr>
      <t>20476</t>
    </r>
  </si>
  <si>
    <r>
      <rPr>
        <sz val="10"/>
        <color rgb="FF000000"/>
        <rFont val="JRFonts"/>
        <charset val="134"/>
      </rPr>
      <t>15-07-2026 17:23</t>
    </r>
  </si>
  <si>
    <r>
      <rPr>
        <sz val="10"/>
        <color rgb="FF000000"/>
        <rFont val="JRFonts"/>
        <charset val="134"/>
      </rPr>
      <t>15-07-2026 17:53</t>
    </r>
  </si>
  <si>
    <r>
      <rPr>
        <sz val="10"/>
        <color rgb="FF000000"/>
        <rFont val="JRFonts"/>
        <charset val="134"/>
      </rPr>
      <t>15-07-2026 17:26</t>
    </r>
  </si>
  <si>
    <r>
      <rPr>
        <sz val="10"/>
        <color rgb="FF0000FF"/>
        <rFont val="JRFonts"/>
        <charset val="134"/>
      </rPr>
      <t>20477</t>
    </r>
  </si>
  <si>
    <r>
      <rPr>
        <sz val="10"/>
        <color rgb="FF000000"/>
        <rFont val="JRFonts"/>
        <charset val="134"/>
      </rPr>
      <t>15-07-2026 17:35</t>
    </r>
  </si>
  <si>
    <r>
      <rPr>
        <sz val="10"/>
        <color rgb="FF000000"/>
        <rFont val="JRFonts"/>
        <charset val="134"/>
      </rPr>
      <t>20-07-2026 15:52</t>
    </r>
  </si>
  <si>
    <r>
      <rPr>
        <sz val="10"/>
        <color rgb="FF000000"/>
        <rFont val="JRFonts"/>
        <charset val="134"/>
      </rPr>
      <t>15-07-2026 17:44</t>
    </r>
  </si>
  <si>
    <t>20477</t>
  </si>
  <si>
    <r>
      <rPr>
        <sz val="10"/>
        <color rgb="FF0000FF"/>
        <rFont val="JRFonts"/>
        <charset val="134"/>
      </rPr>
      <t>20479</t>
    </r>
  </si>
  <si>
    <r>
      <rPr>
        <sz val="10"/>
        <color rgb="FF000000"/>
        <rFont val="JRFonts"/>
        <charset val="134"/>
      </rPr>
      <t>15-07-2026 17:42</t>
    </r>
  </si>
  <si>
    <r>
      <rPr>
        <sz val="10"/>
        <color rgb="FF000000"/>
        <rFont val="JRFonts"/>
        <charset val="134"/>
      </rPr>
      <t>06-08-2026 18:20</t>
    </r>
  </si>
  <si>
    <r>
      <rPr>
        <sz val="10"/>
        <color rgb="FF000000"/>
        <rFont val="JRFonts"/>
        <charset val="134"/>
      </rPr>
      <t>15-07-2026 17:47</t>
    </r>
  </si>
  <si>
    <t>20479</t>
  </si>
  <si>
    <r>
      <rPr>
        <sz val="10"/>
        <color rgb="FF0000FF"/>
        <rFont val="JRFonts"/>
        <charset val="134"/>
      </rPr>
      <t>20480</t>
    </r>
  </si>
  <si>
    <r>
      <rPr>
        <sz val="10"/>
        <color rgb="FF000000"/>
        <rFont val="JRFonts"/>
        <charset val="134"/>
      </rPr>
      <t>15-07-2026 17:51</t>
    </r>
  </si>
  <si>
    <r>
      <rPr>
        <sz val="10"/>
        <color rgb="FF000000"/>
        <rFont val="JRFonts"/>
        <charset val="134"/>
      </rPr>
      <t>16-07-2026 10:43</t>
    </r>
  </si>
  <si>
    <r>
      <rPr>
        <sz val="10"/>
        <color rgb="FF000000"/>
        <rFont val="JRFonts"/>
        <charset val="134"/>
      </rPr>
      <t>15-07-2026 18:02</t>
    </r>
  </si>
  <si>
    <r>
      <rPr>
        <sz val="10"/>
        <color rgb="FF0000FF"/>
        <rFont val="JRFonts"/>
        <charset val="134"/>
      </rPr>
      <t>20483</t>
    </r>
  </si>
  <si>
    <r>
      <rPr>
        <sz val="10"/>
        <color rgb="FF000000"/>
        <rFont val="JRFonts"/>
        <charset val="134"/>
      </rPr>
      <t>15-07-2026 18:15</t>
    </r>
  </si>
  <si>
    <r>
      <rPr>
        <sz val="10"/>
        <color rgb="FF000000"/>
        <rFont val="JRFonts"/>
        <charset val="134"/>
      </rPr>
      <t>06-08-2026 22:55</t>
    </r>
  </si>
  <si>
    <r>
      <rPr>
        <sz val="10"/>
        <color rgb="FF000000"/>
        <rFont val="JRFonts"/>
        <charset val="134"/>
      </rPr>
      <t>15-07-2026 18:29</t>
    </r>
  </si>
  <si>
    <t>20483</t>
  </si>
  <si>
    <r>
      <rPr>
        <sz val="10"/>
        <color rgb="FF0000FF"/>
        <rFont val="JRFonts"/>
        <charset val="134"/>
      </rPr>
      <t>20484</t>
    </r>
  </si>
  <si>
    <r>
      <rPr>
        <sz val="10"/>
        <color rgb="FF000000"/>
        <rFont val="JRFonts"/>
        <charset val="134"/>
      </rPr>
      <t>15-07-2026 18:18</t>
    </r>
  </si>
  <si>
    <r>
      <rPr>
        <sz val="10"/>
        <color rgb="FF000000"/>
        <rFont val="JRFonts"/>
        <charset val="134"/>
      </rPr>
      <t>06-08-2026 18:27</t>
    </r>
  </si>
  <si>
    <r>
      <rPr>
        <sz val="10"/>
        <color rgb="FF000000"/>
        <rFont val="JRFonts"/>
        <charset val="134"/>
      </rPr>
      <t>17-07-2026 11:10</t>
    </r>
  </si>
  <si>
    <t>20484</t>
  </si>
  <si>
    <r>
      <rPr>
        <sz val="10"/>
        <color rgb="FF0000FF"/>
        <rFont val="JRFonts"/>
        <charset val="134"/>
      </rPr>
      <t>20489</t>
    </r>
  </si>
  <si>
    <r>
      <rPr>
        <sz val="10"/>
        <color rgb="FF000000"/>
        <rFont val="JRFonts"/>
        <charset val="134"/>
      </rPr>
      <t>15-07-2026 19:16</t>
    </r>
  </si>
  <si>
    <r>
      <rPr>
        <sz val="10"/>
        <color rgb="FF000000"/>
        <rFont val="JRFonts"/>
        <charset val="134"/>
      </rPr>
      <t>16-07-2026 15:49</t>
    </r>
  </si>
  <si>
    <r>
      <rPr>
        <sz val="10"/>
        <color rgb="FF000000"/>
        <rFont val="JRFonts"/>
        <charset val="134"/>
      </rPr>
      <t>16-07-2026 10:28</t>
    </r>
  </si>
  <si>
    <r>
      <rPr>
        <sz val="10"/>
        <color rgb="FF0000FF"/>
        <rFont val="JRFonts"/>
        <charset val="134"/>
      </rPr>
      <t>20490</t>
    </r>
  </si>
  <si>
    <r>
      <rPr>
        <sz val="10"/>
        <color rgb="FF000000"/>
        <rFont val="JRFonts"/>
        <charset val="134"/>
      </rPr>
      <t>16-07-2026 09:54</t>
    </r>
  </si>
  <si>
    <r>
      <rPr>
        <sz val="10"/>
        <color rgb="FF000000"/>
        <rFont val="JRFonts"/>
        <charset val="134"/>
      </rPr>
      <t>07-08-2026 15:55</t>
    </r>
  </si>
  <si>
    <r>
      <rPr>
        <sz val="10"/>
        <color rgb="FF000000"/>
        <rFont val="JRFonts"/>
        <charset val="134"/>
      </rPr>
      <t>16-07-2026 10:21</t>
    </r>
  </si>
  <si>
    <t>20490</t>
  </si>
  <si>
    <r>
      <rPr>
        <sz val="10"/>
        <color rgb="FF0000FF"/>
        <rFont val="JRFonts"/>
        <charset val="134"/>
      </rPr>
      <t>20491</t>
    </r>
  </si>
  <si>
    <r>
      <rPr>
        <sz val="10"/>
        <color rgb="FF000000"/>
        <rFont val="JRFonts"/>
        <charset val="134"/>
      </rPr>
      <t>20-07-2026 12:28</t>
    </r>
  </si>
  <si>
    <r>
      <rPr>
        <sz val="10"/>
        <color rgb="FF000000"/>
        <rFont val="JRFonts"/>
        <charset val="134"/>
      </rPr>
      <t>16-07-2026 10:26</t>
    </r>
  </si>
  <si>
    <t>20491</t>
  </si>
  <si>
    <r>
      <rPr>
        <sz val="10"/>
        <color rgb="FF0000FF"/>
        <rFont val="JRFonts"/>
        <charset val="134"/>
      </rPr>
      <t>20492</t>
    </r>
  </si>
  <si>
    <r>
      <rPr>
        <sz val="10"/>
        <color rgb="FF000000"/>
        <rFont val="JRFonts"/>
        <charset val="134"/>
      </rPr>
      <t>16-07-2026 11:39</t>
    </r>
  </si>
  <si>
    <r>
      <rPr>
        <sz val="10"/>
        <color rgb="FF000000"/>
        <rFont val="JRFonts"/>
        <charset val="134"/>
      </rPr>
      <t>16-07-2026 10:24</t>
    </r>
  </si>
  <si>
    <r>
      <rPr>
        <sz val="10"/>
        <color rgb="FF0000FF"/>
        <rFont val="JRFonts"/>
        <charset val="134"/>
      </rPr>
      <t>20493</t>
    </r>
  </si>
  <si>
    <r>
      <rPr>
        <sz val="10"/>
        <color rgb="FF000000"/>
        <rFont val="JRFonts"/>
        <charset val="134"/>
      </rPr>
      <t>17-07-2026 11:37</t>
    </r>
  </si>
  <si>
    <r>
      <rPr>
        <sz val="10"/>
        <color rgb="FF000000"/>
        <rFont val="JRFonts"/>
        <charset val="134"/>
      </rPr>
      <t>16-07-2026 10:33</t>
    </r>
  </si>
  <si>
    <r>
      <rPr>
        <sz val="10"/>
        <color rgb="FF0000FF"/>
        <rFont val="JRFonts"/>
        <charset val="134"/>
      </rPr>
      <t>20494</t>
    </r>
  </si>
  <si>
    <r>
      <rPr>
        <sz val="10"/>
        <color rgb="FF000000"/>
        <rFont val="JRFonts"/>
        <charset val="134"/>
      </rPr>
      <t>16-07-2026 10:36</t>
    </r>
  </si>
  <si>
    <r>
      <rPr>
        <sz val="10"/>
        <color rgb="FF000000"/>
        <rFont val="JRFonts"/>
        <charset val="134"/>
      </rPr>
      <t>16-07-2026 16:48</t>
    </r>
  </si>
  <si>
    <r>
      <rPr>
        <sz val="10"/>
        <color rgb="FF000000"/>
        <rFont val="JRFonts"/>
        <charset val="134"/>
      </rPr>
      <t>16-07-2026 10:44</t>
    </r>
  </si>
  <si>
    <r>
      <rPr>
        <sz val="10"/>
        <color rgb="FF0000FF"/>
        <rFont val="JRFonts"/>
        <charset val="134"/>
      </rPr>
      <t>20497</t>
    </r>
  </si>
  <si>
    <r>
      <rPr>
        <sz val="10"/>
        <color rgb="FF000000"/>
        <rFont val="JRFonts"/>
        <charset val="134"/>
      </rPr>
      <t>16-07-2026 10:58</t>
    </r>
  </si>
  <si>
    <r>
      <rPr>
        <sz val="10"/>
        <color rgb="FF000000"/>
        <rFont val="JRFonts"/>
        <charset val="134"/>
      </rPr>
      <t>06-08-2026 18:21</t>
    </r>
  </si>
  <si>
    <r>
      <rPr>
        <sz val="10"/>
        <color rgb="FF000000"/>
        <rFont val="JRFonts"/>
        <charset val="134"/>
      </rPr>
      <t>16-07-2026 11:05</t>
    </r>
  </si>
  <si>
    <t>20497</t>
  </si>
  <si>
    <r>
      <rPr>
        <sz val="10"/>
        <color rgb="FF0000FF"/>
        <rFont val="JRFonts"/>
        <charset val="134"/>
      </rPr>
      <t>20498</t>
    </r>
  </si>
  <si>
    <r>
      <rPr>
        <sz val="10"/>
        <color rgb="FF000000"/>
        <rFont val="JRFonts"/>
        <charset val="134"/>
      </rPr>
      <t>16-07-2026 11:04</t>
    </r>
  </si>
  <si>
    <r>
      <rPr>
        <sz val="10"/>
        <color rgb="FF000000"/>
        <rFont val="JRFonts"/>
        <charset val="134"/>
      </rPr>
      <t>16-07-2026 11:34</t>
    </r>
  </si>
  <si>
    <t>20498</t>
  </si>
  <si>
    <r>
      <rPr>
        <sz val="10"/>
        <color rgb="FF0000FF"/>
        <rFont val="JRFonts"/>
        <charset val="134"/>
      </rPr>
      <t>20500</t>
    </r>
  </si>
  <si>
    <r>
      <rPr>
        <sz val="10"/>
        <color rgb="FF000000"/>
        <rFont val="JRFonts"/>
        <charset val="134"/>
      </rPr>
      <t>16-07-2026 11:19</t>
    </r>
  </si>
  <si>
    <r>
      <rPr>
        <sz val="10"/>
        <color rgb="FF000000"/>
        <rFont val="JRFonts"/>
        <charset val="134"/>
      </rPr>
      <t>17-07-2026 11:36</t>
    </r>
  </si>
  <si>
    <r>
      <rPr>
        <sz val="10"/>
        <color rgb="FF000000"/>
        <rFont val="JRFonts"/>
        <charset val="134"/>
      </rPr>
      <t>16-07-2026 11:28</t>
    </r>
  </si>
  <si>
    <r>
      <rPr>
        <sz val="10"/>
        <color rgb="FF0000FF"/>
        <rFont val="JRFonts"/>
        <charset val="134"/>
      </rPr>
      <t>20501</t>
    </r>
  </si>
  <si>
    <r>
      <rPr>
        <sz val="10"/>
        <color rgb="FF000000"/>
        <rFont val="JRFonts"/>
        <charset val="134"/>
      </rPr>
      <t>16-07-2026 11:31</t>
    </r>
  </si>
  <si>
    <r>
      <rPr>
        <sz val="10"/>
        <color rgb="FF000000"/>
        <rFont val="JRFonts"/>
        <charset val="134"/>
      </rPr>
      <t>17-07-2026 14:29</t>
    </r>
  </si>
  <si>
    <r>
      <rPr>
        <sz val="10"/>
        <color rgb="FF000000"/>
        <rFont val="JRFonts"/>
        <charset val="134"/>
      </rPr>
      <t>16-07-2026 11:48</t>
    </r>
  </si>
  <si>
    <t>Initial request resolved within SLA , MLI has reopened ticket with new request on same resolution day
Day 1 (16-07-2026) - 7 hrs 12 mins
Day 2 (17-07-2026) - 1 hr 09 mins
Allowed SLA - 9 hrs
Actual resolution time - 8 hrs 21 mins</t>
  </si>
  <si>
    <r>
      <rPr>
        <sz val="10"/>
        <color rgb="FF0000FF"/>
        <rFont val="JRFonts"/>
        <charset val="134"/>
      </rPr>
      <t>20503</t>
    </r>
  </si>
  <si>
    <r>
      <rPr>
        <sz val="10"/>
        <color rgb="FF000000"/>
        <rFont val="JRFonts"/>
        <charset val="134"/>
      </rPr>
      <t>16-07-2026 11:37</t>
    </r>
  </si>
  <si>
    <r>
      <rPr>
        <sz val="10"/>
        <color rgb="FF000000"/>
        <rFont val="JRFonts"/>
        <charset val="134"/>
      </rPr>
      <t>29-07-2026 15:48</t>
    </r>
  </si>
  <si>
    <r>
      <rPr>
        <sz val="10"/>
        <color rgb="FF000000"/>
        <rFont val="JRFonts"/>
        <charset val="134"/>
      </rPr>
      <t>16-07-2026 11:50</t>
    </r>
  </si>
  <si>
    <t>20503</t>
  </si>
  <si>
    <r>
      <rPr>
        <sz val="10"/>
        <color rgb="FF0000FF"/>
        <rFont val="JRFonts"/>
        <charset val="134"/>
      </rPr>
      <t>20505</t>
    </r>
  </si>
  <si>
    <r>
      <rPr>
        <sz val="10"/>
        <color rgb="FF000000"/>
        <rFont val="JRFonts"/>
        <charset val="134"/>
      </rPr>
      <t>16-07-2026 11:56</t>
    </r>
  </si>
  <si>
    <r>
      <rPr>
        <sz val="10"/>
        <color rgb="FF000000"/>
        <rFont val="JRFonts"/>
        <charset val="134"/>
      </rPr>
      <t>20-07-2026 13:01</t>
    </r>
  </si>
  <si>
    <r>
      <rPr>
        <sz val="10"/>
        <color rgb="FF000000"/>
        <rFont val="JRFonts"/>
        <charset val="134"/>
      </rPr>
      <t>16-07-2026 12:08</t>
    </r>
  </si>
  <si>
    <t>20505</t>
  </si>
  <si>
    <r>
      <rPr>
        <sz val="10"/>
        <color rgb="FF0000FF"/>
        <rFont val="JRFonts"/>
        <charset val="134"/>
      </rPr>
      <t>20506</t>
    </r>
  </si>
  <si>
    <r>
      <rPr>
        <sz val="10"/>
        <color rgb="FF000000"/>
        <rFont val="JRFonts"/>
        <charset val="134"/>
      </rPr>
      <t>16-07-2026 15:18</t>
    </r>
  </si>
  <si>
    <r>
      <rPr>
        <sz val="10"/>
        <color rgb="FF000000"/>
        <rFont val="JRFonts"/>
        <charset val="134"/>
      </rPr>
      <t>16-07-2026 12:09</t>
    </r>
  </si>
  <si>
    <r>
      <rPr>
        <sz val="10"/>
        <color rgb="FF0000FF"/>
        <rFont val="JRFonts"/>
        <charset val="134"/>
      </rPr>
      <t>20507</t>
    </r>
  </si>
  <si>
    <r>
      <rPr>
        <sz val="10"/>
        <color rgb="FF000000"/>
        <rFont val="JRFonts"/>
        <charset val="134"/>
      </rPr>
      <t>16-07-2026 12:02</t>
    </r>
  </si>
  <si>
    <r>
      <rPr>
        <sz val="10"/>
        <color rgb="FF000000"/>
        <rFont val="JRFonts"/>
        <charset val="134"/>
      </rPr>
      <t>16-07-2026 16:43</t>
    </r>
  </si>
  <si>
    <r>
      <rPr>
        <sz val="10"/>
        <color rgb="FF000000"/>
        <rFont val="JRFonts"/>
        <charset val="134"/>
      </rPr>
      <t>16-07-2026 12:06</t>
    </r>
  </si>
  <si>
    <r>
      <rPr>
        <sz val="10"/>
        <color rgb="FF0000FF"/>
        <rFont val="JRFonts"/>
        <charset val="134"/>
      </rPr>
      <t>20508</t>
    </r>
  </si>
  <si>
    <r>
      <rPr>
        <sz val="10"/>
        <color rgb="FF000000"/>
        <rFont val="JRFonts"/>
        <charset val="134"/>
      </rPr>
      <t>22-07-2026 15:16</t>
    </r>
  </si>
  <si>
    <r>
      <rPr>
        <sz val="10"/>
        <color rgb="FF000000"/>
        <rFont val="JRFonts"/>
        <charset val="134"/>
      </rPr>
      <t>16-07-2026 12:11</t>
    </r>
  </si>
  <si>
    <t>Code changes for breach of sanction amount</t>
  </si>
  <si>
    <r>
      <rPr>
        <sz val="10"/>
        <color rgb="FF0000FF"/>
        <rFont val="JRFonts"/>
        <charset val="134"/>
      </rPr>
      <t>20509</t>
    </r>
  </si>
  <si>
    <r>
      <rPr>
        <sz val="10"/>
        <color rgb="FF000000"/>
        <rFont val="JRFonts"/>
        <charset val="134"/>
      </rPr>
      <t>16-07-2026 12:17</t>
    </r>
  </si>
  <si>
    <r>
      <rPr>
        <sz val="10"/>
        <color rgb="FF000000"/>
        <rFont val="JRFonts"/>
        <charset val="134"/>
      </rPr>
      <t>16-07-2026 14:51</t>
    </r>
  </si>
  <si>
    <r>
      <rPr>
        <sz val="10"/>
        <color rgb="FF000000"/>
        <rFont val="JRFonts"/>
        <charset val="134"/>
      </rPr>
      <t>16-07-2026 12:26</t>
    </r>
  </si>
  <si>
    <r>
      <rPr>
        <sz val="10"/>
        <color rgb="FF0000FF"/>
        <rFont val="JRFonts"/>
        <charset val="134"/>
      </rPr>
      <t>20511</t>
    </r>
  </si>
  <si>
    <r>
      <rPr>
        <sz val="10"/>
        <color rgb="FF000000"/>
        <rFont val="JRFonts"/>
        <charset val="134"/>
      </rPr>
      <t>16-07-2026 12:35</t>
    </r>
  </si>
  <si>
    <r>
      <rPr>
        <sz val="10"/>
        <color rgb="FF000000"/>
        <rFont val="JRFonts"/>
        <charset val="134"/>
      </rPr>
      <t>16-07-2026 14:49</t>
    </r>
  </si>
  <si>
    <r>
      <rPr>
        <sz val="10"/>
        <color rgb="FF000000"/>
        <rFont val="JRFonts"/>
        <charset val="134"/>
      </rPr>
      <t>16-07-2026 12:42</t>
    </r>
  </si>
  <si>
    <r>
      <rPr>
        <sz val="10"/>
        <color rgb="FF0000FF"/>
        <rFont val="JRFonts"/>
        <charset val="134"/>
      </rPr>
      <t>20513</t>
    </r>
  </si>
  <si>
    <r>
      <rPr>
        <sz val="10"/>
        <color rgb="FF000000"/>
        <rFont val="JRFonts"/>
        <charset val="134"/>
      </rPr>
      <t>16-07-2026 12:41</t>
    </r>
  </si>
  <si>
    <r>
      <rPr>
        <sz val="10"/>
        <color rgb="FF000000"/>
        <rFont val="JRFonts"/>
        <charset val="134"/>
      </rPr>
      <t>20-07-2026 10:10</t>
    </r>
  </si>
  <si>
    <r>
      <rPr>
        <sz val="10"/>
        <color rgb="FF000000"/>
        <rFont val="JRFonts"/>
        <charset val="134"/>
      </rPr>
      <t>16-07-2026 17:27</t>
    </r>
  </si>
  <si>
    <r>
      <rPr>
        <sz val="10"/>
        <color rgb="FF0000FF"/>
        <rFont val="JRFonts"/>
        <charset val="134"/>
      </rPr>
      <t>20517</t>
    </r>
  </si>
  <si>
    <r>
      <rPr>
        <sz val="10"/>
        <color rgb="FF000000"/>
        <rFont val="JRFonts"/>
        <charset val="134"/>
      </rPr>
      <t>16-07-2026 13:18</t>
    </r>
  </si>
  <si>
    <r>
      <rPr>
        <sz val="10"/>
        <color rgb="FF000000"/>
        <rFont val="JRFonts"/>
        <charset val="134"/>
      </rPr>
      <t>16-07-2026 14:32</t>
    </r>
  </si>
  <si>
    <r>
      <rPr>
        <sz val="10"/>
        <color rgb="FF000000"/>
        <rFont val="JRFonts"/>
        <charset val="134"/>
      </rPr>
      <t>16-07-2026 14:07</t>
    </r>
  </si>
  <si>
    <r>
      <rPr>
        <sz val="10"/>
        <color rgb="FF0000FF"/>
        <rFont val="JRFonts"/>
        <charset val="134"/>
      </rPr>
      <t>20518</t>
    </r>
  </si>
  <si>
    <r>
      <rPr>
        <sz val="10"/>
        <color rgb="FF000000"/>
        <rFont val="JRFonts"/>
        <charset val="134"/>
      </rPr>
      <t>16-07-2026 13:24</t>
    </r>
  </si>
  <si>
    <r>
      <rPr>
        <sz val="10"/>
        <color rgb="FF000000"/>
        <rFont val="JRFonts"/>
        <charset val="134"/>
      </rPr>
      <t>29-07-2026 15:31</t>
    </r>
  </si>
  <si>
    <r>
      <rPr>
        <sz val="10"/>
        <color rgb="FF000000"/>
        <rFont val="JRFonts"/>
        <charset val="134"/>
      </rPr>
      <t>16-07-2026 14:10</t>
    </r>
  </si>
  <si>
    <t>20518</t>
  </si>
  <si>
    <r>
      <rPr>
        <sz val="10"/>
        <color rgb="FF0000FF"/>
        <rFont val="JRFonts"/>
        <charset val="134"/>
      </rPr>
      <t>20519</t>
    </r>
  </si>
  <si>
    <r>
      <rPr>
        <sz val="10"/>
        <color rgb="FF000000"/>
        <rFont val="JRFonts"/>
        <charset val="134"/>
      </rPr>
      <t>16-07-2026 13:30</t>
    </r>
  </si>
  <si>
    <r>
      <rPr>
        <sz val="10"/>
        <color rgb="FF000000"/>
        <rFont val="JRFonts"/>
        <charset val="134"/>
      </rPr>
      <t>17-07-2026 11:35</t>
    </r>
  </si>
  <si>
    <r>
      <rPr>
        <sz val="10"/>
        <color rgb="FF000000"/>
        <rFont val="JRFonts"/>
        <charset val="134"/>
      </rPr>
      <t>16-07-2026 14:11</t>
    </r>
  </si>
  <si>
    <r>
      <rPr>
        <sz val="10"/>
        <color rgb="FF0000FF"/>
        <rFont val="JRFonts"/>
        <charset val="134"/>
      </rPr>
      <t>20520</t>
    </r>
  </si>
  <si>
    <r>
      <rPr>
        <sz val="10"/>
        <color rgb="FF000000"/>
        <rFont val="JRFonts"/>
        <charset val="134"/>
      </rPr>
      <t>16-07-2026 13:54</t>
    </r>
  </si>
  <si>
    <r>
      <rPr>
        <sz val="10"/>
        <color rgb="FF000000"/>
        <rFont val="JRFonts"/>
        <charset val="134"/>
      </rPr>
      <t>17-07-2026 16:50</t>
    </r>
  </si>
  <si>
    <r>
      <rPr>
        <sz val="10"/>
        <color rgb="FF000000"/>
        <rFont val="JRFonts"/>
        <charset val="134"/>
      </rPr>
      <t>16-07-2026 14:12</t>
    </r>
  </si>
  <si>
    <r>
      <rPr>
        <sz val="10"/>
        <color rgb="FF0000FF"/>
        <rFont val="JRFonts"/>
        <charset val="134"/>
      </rPr>
      <t>20522</t>
    </r>
  </si>
  <si>
    <r>
      <rPr>
        <sz val="10"/>
        <color rgb="FF000000"/>
        <rFont val="JRFonts"/>
        <charset val="134"/>
      </rPr>
      <t>06-08-2026 18:22</t>
    </r>
  </si>
  <si>
    <r>
      <rPr>
        <sz val="10"/>
        <color rgb="FF000000"/>
        <rFont val="JRFonts"/>
        <charset val="134"/>
      </rPr>
      <t>16-07-2026 14:19</t>
    </r>
  </si>
  <si>
    <t>20522</t>
  </si>
  <si>
    <r>
      <rPr>
        <sz val="10"/>
        <color rgb="FF0000FF"/>
        <rFont val="JRFonts"/>
        <charset val="134"/>
      </rPr>
      <t>20523</t>
    </r>
  </si>
  <si>
    <r>
      <rPr>
        <sz val="10"/>
        <color rgb="FF000000"/>
        <rFont val="JRFonts"/>
        <charset val="134"/>
      </rPr>
      <t>06-08-2026 18:24</t>
    </r>
  </si>
  <si>
    <r>
      <rPr>
        <sz val="10"/>
        <color rgb="FF000000"/>
        <rFont val="JRFonts"/>
        <charset val="134"/>
      </rPr>
      <t>16-07-2026 14:38</t>
    </r>
  </si>
  <si>
    <t>20523</t>
  </si>
  <si>
    <r>
      <rPr>
        <sz val="10"/>
        <color rgb="FF0000FF"/>
        <rFont val="JRFonts"/>
        <charset val="134"/>
      </rPr>
      <t>20524</t>
    </r>
  </si>
  <si>
    <r>
      <rPr>
        <sz val="10"/>
        <color rgb="FF000000"/>
        <rFont val="JRFonts"/>
        <charset val="134"/>
      </rPr>
      <t>16-07-2026 14:25</t>
    </r>
  </si>
  <si>
    <r>
      <rPr>
        <sz val="10"/>
        <color rgb="FF000000"/>
        <rFont val="JRFonts"/>
        <charset val="134"/>
      </rPr>
      <t>16-07-2026 15:02</t>
    </r>
  </si>
  <si>
    <r>
      <rPr>
        <sz val="10"/>
        <color rgb="FF000000"/>
        <rFont val="JRFonts"/>
        <charset val="134"/>
      </rPr>
      <t>16-07-2026 14:39</t>
    </r>
  </si>
  <si>
    <r>
      <rPr>
        <sz val="10"/>
        <color rgb="FF0000FF"/>
        <rFont val="JRFonts"/>
        <charset val="134"/>
      </rPr>
      <t>20525</t>
    </r>
  </si>
  <si>
    <r>
      <rPr>
        <sz val="10"/>
        <color rgb="FF000000"/>
        <rFont val="JRFonts"/>
        <charset val="134"/>
      </rPr>
      <t>16-07-2026 14:31</t>
    </r>
  </si>
  <si>
    <r>
      <rPr>
        <sz val="10"/>
        <color rgb="FF000000"/>
        <rFont val="JRFonts"/>
        <charset val="134"/>
      </rPr>
      <t>06-08-2026 18:25</t>
    </r>
  </si>
  <si>
    <r>
      <rPr>
        <sz val="10"/>
        <color rgb="FF000000"/>
        <rFont val="JRFonts"/>
        <charset val="134"/>
      </rPr>
      <t>16-07-2026 14:43</t>
    </r>
  </si>
  <si>
    <t>20525</t>
  </si>
  <si>
    <r>
      <rPr>
        <sz val="10"/>
        <color rgb="FF0000FF"/>
        <rFont val="JRFonts"/>
        <charset val="134"/>
      </rPr>
      <t>20527</t>
    </r>
  </si>
  <si>
    <r>
      <rPr>
        <sz val="10"/>
        <color rgb="FF000000"/>
        <rFont val="JRFonts"/>
        <charset val="134"/>
      </rPr>
      <t>16-07-2026 14:34</t>
    </r>
  </si>
  <si>
    <r>
      <rPr>
        <sz val="10"/>
        <color rgb="FF000000"/>
        <rFont val="JRFonts"/>
        <charset val="134"/>
      </rPr>
      <t>17-07-2026 11:34</t>
    </r>
  </si>
  <si>
    <r>
      <rPr>
        <sz val="10"/>
        <color rgb="FF000000"/>
        <rFont val="JRFonts"/>
        <charset val="134"/>
      </rPr>
      <t>16-07-2026 14:44</t>
    </r>
  </si>
  <si>
    <r>
      <rPr>
        <sz val="10"/>
        <color rgb="FF0000FF"/>
        <rFont val="JRFonts"/>
        <charset val="134"/>
      </rPr>
      <t>20528</t>
    </r>
  </si>
  <si>
    <r>
      <rPr>
        <sz val="10"/>
        <color rgb="FF000000"/>
        <rFont val="JRFonts"/>
        <charset val="134"/>
      </rPr>
      <t>16-07-2026 14:59</t>
    </r>
  </si>
  <si>
    <r>
      <rPr>
        <sz val="10"/>
        <color rgb="FF000000"/>
        <rFont val="JRFonts"/>
        <charset val="134"/>
      </rPr>
      <t>16-07-2026 14:41</t>
    </r>
  </si>
  <si>
    <r>
      <rPr>
        <sz val="10"/>
        <color rgb="FF0000FF"/>
        <rFont val="JRFonts"/>
        <charset val="134"/>
      </rPr>
      <t>20529</t>
    </r>
  </si>
  <si>
    <r>
      <rPr>
        <sz val="10"/>
        <color rgb="FF000000"/>
        <rFont val="JRFonts"/>
        <charset val="134"/>
      </rPr>
      <t>17-07-2026 11:33</t>
    </r>
  </si>
  <si>
    <r>
      <rPr>
        <sz val="10"/>
        <color rgb="FF000000"/>
        <rFont val="JRFonts"/>
        <charset val="134"/>
      </rPr>
      <t>16-07-2026 16:26</t>
    </r>
  </si>
  <si>
    <r>
      <rPr>
        <sz val="10"/>
        <color rgb="FF0000FF"/>
        <rFont val="JRFonts"/>
        <charset val="134"/>
      </rPr>
      <t>20530</t>
    </r>
  </si>
  <si>
    <r>
      <rPr>
        <sz val="10"/>
        <color rgb="FF000000"/>
        <rFont val="JRFonts"/>
        <charset val="134"/>
      </rPr>
      <t>16-07-2026 15:07</t>
    </r>
  </si>
  <si>
    <r>
      <rPr>
        <sz val="10"/>
        <color rgb="FF000000"/>
        <rFont val="JRFonts"/>
        <charset val="134"/>
      </rPr>
      <t>21-08-2026 14:05</t>
    </r>
  </si>
  <si>
    <r>
      <rPr>
        <sz val="10"/>
        <color rgb="FF000000"/>
        <rFont val="JRFonts"/>
        <charset val="134"/>
      </rPr>
      <t>16-07-2026 16:28</t>
    </r>
  </si>
  <si>
    <t>20530</t>
  </si>
  <si>
    <r>
      <rPr>
        <sz val="10"/>
        <color rgb="FF0000FF"/>
        <rFont val="JRFonts"/>
        <charset val="134"/>
      </rPr>
      <t>20534</t>
    </r>
  </si>
  <si>
    <r>
      <rPr>
        <sz val="10"/>
        <color rgb="FF000000"/>
        <rFont val="JRFonts"/>
        <charset val="134"/>
      </rPr>
      <t>16-07-2026 15:35</t>
    </r>
  </si>
  <si>
    <r>
      <rPr>
        <sz val="10"/>
        <color rgb="FF000000"/>
        <rFont val="JRFonts"/>
        <charset val="134"/>
      </rPr>
      <t>20-07-2026 14:11</t>
    </r>
  </si>
  <si>
    <r>
      <rPr>
        <sz val="10"/>
        <color rgb="FF000000"/>
        <rFont val="JRFonts"/>
        <charset val="134"/>
      </rPr>
      <t>16-07-2026 16:35</t>
    </r>
  </si>
  <si>
    <t>20534</t>
  </si>
  <si>
    <r>
      <rPr>
        <sz val="10"/>
        <color rgb="FF0000FF"/>
        <rFont val="JRFonts"/>
        <charset val="134"/>
      </rPr>
      <t>20535</t>
    </r>
  </si>
  <si>
    <r>
      <rPr>
        <sz val="10"/>
        <color rgb="FF000000"/>
        <rFont val="JRFonts"/>
        <charset val="134"/>
      </rPr>
      <t>16-07-2026 15:41</t>
    </r>
  </si>
  <si>
    <r>
      <rPr>
        <sz val="10"/>
        <color rgb="FF000000"/>
        <rFont val="JRFonts"/>
        <charset val="134"/>
      </rPr>
      <t>18-08-2026 17:39</t>
    </r>
  </si>
  <si>
    <r>
      <rPr>
        <sz val="10"/>
        <color rgb="FF000000"/>
        <rFont val="JRFonts"/>
        <charset val="134"/>
      </rPr>
      <t>16-07-2026 16:37</t>
    </r>
  </si>
  <si>
    <t>20535</t>
  </si>
  <si>
    <r>
      <rPr>
        <sz val="10"/>
        <color rgb="FF0000FF"/>
        <rFont val="JRFonts"/>
        <charset val="134"/>
      </rPr>
      <t>20541</t>
    </r>
  </si>
  <si>
    <r>
      <rPr>
        <sz val="10"/>
        <color rgb="FF000000"/>
        <rFont val="JRFonts"/>
        <charset val="134"/>
      </rPr>
      <t>16-07-2026 16:12</t>
    </r>
  </si>
  <si>
    <r>
      <rPr>
        <sz val="10"/>
        <color rgb="FF000000"/>
        <rFont val="JRFonts"/>
        <charset val="134"/>
      </rPr>
      <t>29-07-2026 15:29</t>
    </r>
  </si>
  <si>
    <r>
      <rPr>
        <sz val="10"/>
        <color rgb="FF000000"/>
        <rFont val="JRFonts"/>
        <charset val="134"/>
      </rPr>
      <t>16-07-2026 16:59</t>
    </r>
  </si>
  <si>
    <t>20541</t>
  </si>
  <si>
    <r>
      <rPr>
        <sz val="10"/>
        <color rgb="FF0000FF"/>
        <rFont val="JRFonts"/>
        <charset val="134"/>
      </rPr>
      <t>20544</t>
    </r>
  </si>
  <si>
    <r>
      <rPr>
        <sz val="10"/>
        <color rgb="FF000000"/>
        <rFont val="JRFonts"/>
        <charset val="134"/>
      </rPr>
      <t>16-07-2026 18:11</t>
    </r>
  </si>
  <si>
    <r>
      <rPr>
        <sz val="10"/>
        <color rgb="FF000000"/>
        <rFont val="JRFonts"/>
        <charset val="134"/>
      </rPr>
      <t>16-07-2026 16:38</t>
    </r>
  </si>
  <si>
    <r>
      <rPr>
        <sz val="10"/>
        <color rgb="FF0000FF"/>
        <rFont val="JRFonts"/>
        <charset val="134"/>
      </rPr>
      <t>20546</t>
    </r>
  </si>
  <si>
    <r>
      <rPr>
        <sz val="10"/>
        <color rgb="FF000000"/>
        <rFont val="JRFonts"/>
        <charset val="134"/>
      </rPr>
      <t>30-07-2026 12:46</t>
    </r>
  </si>
  <si>
    <r>
      <rPr>
        <sz val="10"/>
        <color rgb="FF000000"/>
        <rFont val="JRFonts"/>
        <charset val="134"/>
      </rPr>
      <t>17-07-2026 15:52</t>
    </r>
  </si>
  <si>
    <t>20546</t>
  </si>
  <si>
    <r>
      <rPr>
        <sz val="10"/>
        <color rgb="FF0000FF"/>
        <rFont val="JRFonts"/>
        <charset val="134"/>
      </rPr>
      <t>20547</t>
    </r>
  </si>
  <si>
    <r>
      <rPr>
        <sz val="10"/>
        <color rgb="FF000000"/>
        <rFont val="JRFonts"/>
        <charset val="134"/>
      </rPr>
      <t>16-07-2026 16:21</t>
    </r>
  </si>
  <si>
    <r>
      <rPr>
        <sz val="10"/>
        <color rgb="FF000000"/>
        <rFont val="JRFonts"/>
        <charset val="134"/>
      </rPr>
      <t>17-07-2026 14:20</t>
    </r>
  </si>
  <si>
    <r>
      <rPr>
        <sz val="10"/>
        <color rgb="FF000000"/>
        <rFont val="JRFonts"/>
        <charset val="134"/>
      </rPr>
      <t>16-07-2026 16:33</t>
    </r>
  </si>
  <si>
    <r>
      <rPr>
        <sz val="10"/>
        <color rgb="FF0000FF"/>
        <rFont val="JRFonts"/>
        <charset val="134"/>
      </rPr>
      <t>20548</t>
    </r>
  </si>
  <si>
    <r>
      <rPr>
        <sz val="10"/>
        <color rgb="FF000000"/>
        <rFont val="JRFonts"/>
        <charset val="134"/>
      </rPr>
      <t>01-09-2026 12:03</t>
    </r>
  </si>
  <si>
    <r>
      <rPr>
        <sz val="10"/>
        <color rgb="FF000000"/>
        <rFont val="JRFonts"/>
        <charset val="134"/>
      </rPr>
      <t>16-07-2026 16:40</t>
    </r>
  </si>
  <si>
    <t>20548</t>
  </si>
  <si>
    <r>
      <rPr>
        <sz val="10"/>
        <color rgb="FF0000FF"/>
        <rFont val="JRFonts"/>
        <charset val="134"/>
      </rPr>
      <t>20549</t>
    </r>
  </si>
  <si>
    <r>
      <rPr>
        <sz val="10"/>
        <color rgb="FF000000"/>
        <rFont val="JRFonts"/>
        <charset val="134"/>
      </rPr>
      <t>16-07-2026 16:31</t>
    </r>
  </si>
  <si>
    <r>
      <rPr>
        <sz val="10"/>
        <color rgb="FF000000"/>
        <rFont val="JRFonts"/>
        <charset val="134"/>
      </rPr>
      <t>16-07-2026 17:40</t>
    </r>
  </si>
  <si>
    <r>
      <rPr>
        <sz val="10"/>
        <color rgb="FF000000"/>
        <rFont val="JRFonts"/>
        <charset val="134"/>
      </rPr>
      <t>16-07-2026 17:18</t>
    </r>
  </si>
  <si>
    <r>
      <rPr>
        <sz val="10"/>
        <color rgb="FF0000FF"/>
        <rFont val="JRFonts"/>
        <charset val="134"/>
      </rPr>
      <t>20550</t>
    </r>
  </si>
  <si>
    <r>
      <rPr>
        <sz val="10"/>
        <color rgb="FF000000"/>
        <rFont val="JRFonts"/>
        <charset val="134"/>
      </rPr>
      <t>06-08-2026 18:30</t>
    </r>
  </si>
  <si>
    <r>
      <rPr>
        <sz val="10"/>
        <color rgb="FF000000"/>
        <rFont val="JRFonts"/>
        <charset val="134"/>
      </rPr>
      <t>16-07-2026 17:16</t>
    </r>
  </si>
  <si>
    <t>20550</t>
  </si>
  <si>
    <r>
      <rPr>
        <sz val="10"/>
        <color rgb="FF0000FF"/>
        <rFont val="JRFonts"/>
        <charset val="134"/>
      </rPr>
      <t>20551</t>
    </r>
  </si>
  <si>
    <r>
      <rPr>
        <sz val="10"/>
        <color rgb="FF000000"/>
        <rFont val="JRFonts"/>
        <charset val="134"/>
      </rPr>
      <t>05-08-2026 18:19</t>
    </r>
  </si>
  <si>
    <r>
      <rPr>
        <sz val="10"/>
        <color rgb="FF000000"/>
        <rFont val="JRFonts"/>
        <charset val="134"/>
      </rPr>
      <t>16-07-2026 16:56</t>
    </r>
  </si>
  <si>
    <t>20551</t>
  </si>
  <si>
    <r>
      <rPr>
        <sz val="10"/>
        <color rgb="FF0000FF"/>
        <rFont val="JRFonts"/>
        <charset val="134"/>
      </rPr>
      <t>20553</t>
    </r>
  </si>
  <si>
    <r>
      <rPr>
        <sz val="10"/>
        <color rgb="FF000000"/>
        <rFont val="JRFonts"/>
        <charset val="134"/>
      </rPr>
      <t>16-07-2026 16:52</t>
    </r>
  </si>
  <si>
    <r>
      <rPr>
        <sz val="10"/>
        <color rgb="FF000000"/>
        <rFont val="JRFonts"/>
        <charset val="134"/>
      </rPr>
      <t>21-07-2026 14:17</t>
    </r>
  </si>
  <si>
    <r>
      <rPr>
        <sz val="10"/>
        <color rgb="FF000000"/>
        <rFont val="JRFonts"/>
        <charset val="134"/>
      </rPr>
      <t>16-07-2026 16:54</t>
    </r>
  </si>
  <si>
    <r>
      <rPr>
        <sz val="10"/>
        <color rgb="FF0000FF"/>
        <rFont val="JRFonts"/>
        <charset val="134"/>
      </rPr>
      <t>20554</t>
    </r>
  </si>
  <si>
    <r>
      <rPr>
        <sz val="10"/>
        <color rgb="FF000000"/>
        <rFont val="JRFonts"/>
        <charset val="134"/>
      </rPr>
      <t>16-07-2026 16:58</t>
    </r>
  </si>
  <si>
    <r>
      <rPr>
        <sz val="10"/>
        <color rgb="FF000000"/>
        <rFont val="JRFonts"/>
        <charset val="134"/>
      </rPr>
      <t>20-08-2026 11:56</t>
    </r>
  </si>
  <si>
    <r>
      <rPr>
        <sz val="10"/>
        <color rgb="FF000000"/>
        <rFont val="JRFonts"/>
        <charset val="134"/>
      </rPr>
      <t>16-07-2026 17:26</t>
    </r>
  </si>
  <si>
    <t>20554</t>
  </si>
  <si>
    <r>
      <rPr>
        <sz val="10"/>
        <color rgb="FF0000FF"/>
        <rFont val="JRFonts"/>
        <charset val="134"/>
      </rPr>
      <t>20555</t>
    </r>
  </si>
  <si>
    <r>
      <rPr>
        <sz val="10"/>
        <color rgb="FF000000"/>
        <rFont val="JRFonts"/>
        <charset val="134"/>
      </rPr>
      <t>19-08-2026 16:04</t>
    </r>
  </si>
  <si>
    <r>
      <rPr>
        <sz val="10"/>
        <color rgb="FF000000"/>
        <rFont val="JRFonts"/>
        <charset val="134"/>
      </rPr>
      <t>16-07-2026 17:20</t>
    </r>
  </si>
  <si>
    <t>20555</t>
  </si>
  <si>
    <r>
      <rPr>
        <sz val="10"/>
        <color rgb="FF0000FF"/>
        <rFont val="JRFonts"/>
        <charset val="134"/>
      </rPr>
      <t>20556</t>
    </r>
  </si>
  <si>
    <r>
      <rPr>
        <sz val="10"/>
        <color rgb="FF000000"/>
        <rFont val="JRFonts"/>
        <charset val="134"/>
      </rPr>
      <t>16-07-2026 17:01</t>
    </r>
  </si>
  <si>
    <r>
      <rPr>
        <sz val="10"/>
        <color rgb="FF000000"/>
        <rFont val="JRFonts"/>
        <charset val="134"/>
      </rPr>
      <t>30-07-2026 14:51</t>
    </r>
  </si>
  <si>
    <r>
      <rPr>
        <sz val="10"/>
        <color rgb="FF000000"/>
        <rFont val="JRFonts"/>
        <charset val="134"/>
      </rPr>
      <t>16-07-2026 17:06</t>
    </r>
  </si>
  <si>
    <t>20556</t>
  </si>
  <si>
    <r>
      <rPr>
        <sz val="10"/>
        <color rgb="FF0000FF"/>
        <rFont val="JRFonts"/>
        <charset val="134"/>
      </rPr>
      <t>20557</t>
    </r>
  </si>
  <si>
    <r>
      <rPr>
        <sz val="10"/>
        <color rgb="FF000000"/>
        <rFont val="JRFonts"/>
        <charset val="134"/>
      </rPr>
      <t>16-07-2026 17:04</t>
    </r>
  </si>
  <si>
    <r>
      <rPr>
        <sz val="10"/>
        <color rgb="FF000000"/>
        <rFont val="JRFonts"/>
        <charset val="134"/>
      </rPr>
      <t>17-07-2026 11:32</t>
    </r>
  </si>
  <si>
    <r>
      <rPr>
        <sz val="10"/>
        <color rgb="FF000000"/>
        <rFont val="JRFonts"/>
        <charset val="134"/>
      </rPr>
      <t>16-07-2026 17:23</t>
    </r>
  </si>
  <si>
    <r>
      <rPr>
        <sz val="10"/>
        <color rgb="FF0000FF"/>
        <rFont val="JRFonts"/>
        <charset val="134"/>
      </rPr>
      <t>20559</t>
    </r>
  </si>
  <si>
    <r>
      <rPr>
        <sz val="10"/>
        <color rgb="FF000000"/>
        <rFont val="JRFonts"/>
        <charset val="134"/>
      </rPr>
      <t>29-07-2026 18:32</t>
    </r>
  </si>
  <si>
    <t>20559</t>
  </si>
  <si>
    <r>
      <rPr>
        <sz val="10"/>
        <color rgb="FF0000FF"/>
        <rFont val="JRFonts"/>
        <charset val="134"/>
      </rPr>
      <t>20562</t>
    </r>
  </si>
  <si>
    <r>
      <rPr>
        <sz val="10"/>
        <color rgb="FF000000"/>
        <rFont val="JRFonts"/>
        <charset val="134"/>
      </rPr>
      <t>16-07-2026 17:17</t>
    </r>
  </si>
  <si>
    <r>
      <rPr>
        <sz val="10"/>
        <color rgb="FF000000"/>
        <rFont val="JRFonts"/>
        <charset val="134"/>
      </rPr>
      <t>16-07-2026 17:59</t>
    </r>
  </si>
  <si>
    <r>
      <rPr>
        <sz val="10"/>
        <color rgb="FF000000"/>
        <rFont val="JRFonts"/>
        <charset val="134"/>
      </rPr>
      <t>16-07-2026 17:21</t>
    </r>
  </si>
  <si>
    <r>
      <rPr>
        <sz val="10"/>
        <color rgb="FF0000FF"/>
        <rFont val="JRFonts"/>
        <charset val="134"/>
      </rPr>
      <t>20565</t>
    </r>
  </si>
  <si>
    <r>
      <rPr>
        <sz val="10"/>
        <color rgb="FF000000"/>
        <rFont val="JRFonts"/>
        <charset val="134"/>
      </rPr>
      <t>17-07-2026 10:19</t>
    </r>
  </si>
  <si>
    <r>
      <rPr>
        <sz val="10"/>
        <color rgb="FF000000"/>
        <rFont val="JRFonts"/>
        <charset val="134"/>
      </rPr>
      <t>16-07-2026 17:28</t>
    </r>
  </si>
  <si>
    <r>
      <rPr>
        <sz val="10"/>
        <color rgb="FF0000FF"/>
        <rFont val="JRFonts"/>
        <charset val="134"/>
      </rPr>
      <t>20566</t>
    </r>
  </si>
  <si>
    <r>
      <rPr>
        <sz val="10"/>
        <color rgb="FF000000"/>
        <rFont val="JRFonts"/>
        <charset val="134"/>
      </rPr>
      <t>16-07-2026 17:29</t>
    </r>
  </si>
  <si>
    <r>
      <rPr>
        <sz val="10"/>
        <color rgb="FF000000"/>
        <rFont val="JRFonts"/>
        <charset val="134"/>
      </rPr>
      <t>20-07-2026 14:16</t>
    </r>
  </si>
  <si>
    <r>
      <rPr>
        <sz val="10"/>
        <color rgb="FF000000"/>
        <rFont val="JRFonts"/>
        <charset val="134"/>
      </rPr>
      <t>20-07-2026 11:30</t>
    </r>
  </si>
  <si>
    <r>
      <rPr>
        <sz val="10"/>
        <color rgb="FF0000FF"/>
        <rFont val="JRFonts"/>
        <charset val="134"/>
      </rPr>
      <t>20568</t>
    </r>
  </si>
  <si>
    <r>
      <rPr>
        <sz val="10"/>
        <color rgb="FF000000"/>
        <rFont val="JRFonts"/>
        <charset val="134"/>
      </rPr>
      <t>16-07-2026 17:35</t>
    </r>
  </si>
  <si>
    <r>
      <rPr>
        <sz val="10"/>
        <color rgb="FF000000"/>
        <rFont val="JRFonts"/>
        <charset val="134"/>
      </rPr>
      <t>17-07-2026 12:55</t>
    </r>
  </si>
  <si>
    <r>
      <rPr>
        <sz val="10"/>
        <color rgb="FF000000"/>
        <rFont val="JRFonts"/>
        <charset val="134"/>
      </rPr>
      <t>16-07-2026 17:42</t>
    </r>
  </si>
  <si>
    <r>
      <rPr>
        <sz val="10"/>
        <color rgb="FF0000FF"/>
        <rFont val="JRFonts"/>
        <charset val="134"/>
      </rPr>
      <t>20571</t>
    </r>
  </si>
  <si>
    <r>
      <rPr>
        <sz val="10"/>
        <color rgb="FF000000"/>
        <rFont val="JRFonts"/>
        <charset val="134"/>
      </rPr>
      <t>16-07-2026 18:02</t>
    </r>
  </si>
  <si>
    <r>
      <rPr>
        <sz val="10"/>
        <color rgb="FF000000"/>
        <rFont val="JRFonts"/>
        <charset val="134"/>
      </rPr>
      <t>17-07-2026 10:13</t>
    </r>
  </si>
  <si>
    <r>
      <rPr>
        <sz val="10"/>
        <color rgb="FF000000"/>
        <rFont val="JRFonts"/>
        <charset val="134"/>
      </rPr>
      <t>16-07-2026 18:21</t>
    </r>
  </si>
  <si>
    <r>
      <rPr>
        <sz val="10"/>
        <color rgb="FF0000FF"/>
        <rFont val="JRFonts"/>
        <charset val="134"/>
      </rPr>
      <t>20573</t>
    </r>
  </si>
  <si>
    <r>
      <rPr>
        <sz val="10"/>
        <color rgb="FF000000"/>
        <rFont val="JRFonts"/>
        <charset val="134"/>
      </rPr>
      <t>16-07-2026 18:15</t>
    </r>
  </si>
  <si>
    <r>
      <rPr>
        <sz val="10"/>
        <color rgb="FF000000"/>
        <rFont val="JRFonts"/>
        <charset val="134"/>
      </rPr>
      <t>17-07-2026 11:27</t>
    </r>
  </si>
  <si>
    <r>
      <rPr>
        <sz val="10"/>
        <color rgb="FF000000"/>
        <rFont val="JRFonts"/>
        <charset val="134"/>
      </rPr>
      <t>16-07-2026 18:24</t>
    </r>
  </si>
  <si>
    <r>
      <rPr>
        <sz val="10"/>
        <color rgb="FF0000FF"/>
        <rFont val="JRFonts"/>
        <charset val="134"/>
      </rPr>
      <t>20575</t>
    </r>
  </si>
  <si>
    <r>
      <rPr>
        <sz val="10"/>
        <color rgb="FF000000"/>
        <rFont val="JRFonts"/>
        <charset val="134"/>
      </rPr>
      <t>16-07-2026 18:37</t>
    </r>
  </si>
  <si>
    <r>
      <rPr>
        <sz val="10"/>
        <color rgb="FF000000"/>
        <rFont val="JRFonts"/>
        <charset val="134"/>
      </rPr>
      <t>21-07-2026 12:15</t>
    </r>
  </si>
  <si>
    <r>
      <rPr>
        <sz val="10"/>
        <color rgb="FF000000"/>
        <rFont val="JRFonts"/>
        <charset val="134"/>
      </rPr>
      <t>21-07-2026 11:30</t>
    </r>
  </si>
  <si>
    <r>
      <rPr>
        <sz val="10"/>
        <color rgb="FF0000FF"/>
        <rFont val="JRFonts"/>
        <charset val="134"/>
      </rPr>
      <t>20576</t>
    </r>
  </si>
  <si>
    <r>
      <rPr>
        <sz val="10"/>
        <color rgb="FF000000"/>
        <rFont val="JRFonts"/>
        <charset val="134"/>
      </rPr>
      <t>16-07-2026 19:04</t>
    </r>
  </si>
  <si>
    <r>
      <rPr>
        <sz val="10"/>
        <color rgb="FF000000"/>
        <rFont val="JRFonts"/>
        <charset val="134"/>
      </rPr>
      <t>17-07-2026 10:30</t>
    </r>
  </si>
  <si>
    <r>
      <rPr>
        <sz val="10"/>
        <color rgb="FF000000"/>
        <rFont val="JRFonts"/>
        <charset val="134"/>
      </rPr>
      <t>17-07-2026 10:27</t>
    </r>
  </si>
  <si>
    <r>
      <rPr>
        <sz val="10"/>
        <color rgb="FF0000FF"/>
        <rFont val="JRFonts"/>
        <charset val="134"/>
      </rPr>
      <t>20577</t>
    </r>
  </si>
  <si>
    <r>
      <rPr>
        <sz val="10"/>
        <color rgb="FF000000"/>
        <rFont val="JRFonts"/>
        <charset val="134"/>
      </rPr>
      <t>16-07-2026 19:10</t>
    </r>
  </si>
  <si>
    <r>
      <rPr>
        <sz val="10"/>
        <color rgb="FF000000"/>
        <rFont val="JRFonts"/>
        <charset val="134"/>
      </rPr>
      <t>30-07-2026 15:09</t>
    </r>
  </si>
  <si>
    <r>
      <rPr>
        <sz val="10"/>
        <color rgb="FF000000"/>
        <rFont val="JRFonts"/>
        <charset val="134"/>
      </rPr>
      <t>17-07-2026 10:31</t>
    </r>
  </si>
  <si>
    <t>20577</t>
  </si>
  <si>
    <r>
      <rPr>
        <sz val="10"/>
        <color rgb="FF0000FF"/>
        <rFont val="JRFonts"/>
        <charset val="134"/>
      </rPr>
      <t>20578</t>
    </r>
  </si>
  <si>
    <r>
      <rPr>
        <sz val="10"/>
        <color rgb="FF000000"/>
        <rFont val="JRFonts"/>
        <charset val="134"/>
      </rPr>
      <t>16-07-2026 19:19</t>
    </r>
  </si>
  <si>
    <r>
      <rPr>
        <sz val="10"/>
        <color rgb="FF000000"/>
        <rFont val="JRFonts"/>
        <charset val="134"/>
      </rPr>
      <t>17-07-2026 10:29</t>
    </r>
  </si>
  <si>
    <r>
      <rPr>
        <sz val="10"/>
        <color rgb="FF000000"/>
        <rFont val="JRFonts"/>
        <charset val="134"/>
      </rPr>
      <t>17-07-2026 10:28</t>
    </r>
  </si>
  <si>
    <r>
      <rPr>
        <sz val="10"/>
        <color rgb="FF0000FF"/>
        <rFont val="JRFonts"/>
        <charset val="134"/>
      </rPr>
      <t>20579</t>
    </r>
  </si>
  <si>
    <r>
      <rPr>
        <sz val="10"/>
        <color rgb="FF000000"/>
        <rFont val="JRFonts"/>
        <charset val="134"/>
      </rPr>
      <t>16-07-2026 19:40</t>
    </r>
  </si>
  <si>
    <r>
      <rPr>
        <sz val="10"/>
        <color rgb="FF000000"/>
        <rFont val="JRFonts"/>
        <charset val="134"/>
      </rPr>
      <t>17-07-2026 10:32</t>
    </r>
  </si>
  <si>
    <r>
      <rPr>
        <sz val="10"/>
        <color rgb="FF0000FF"/>
        <rFont val="JRFonts"/>
        <charset val="134"/>
      </rPr>
      <t>20580</t>
    </r>
  </si>
  <si>
    <r>
      <rPr>
        <sz val="10"/>
        <color rgb="FF000000"/>
        <rFont val="JRFonts"/>
        <charset val="134"/>
      </rPr>
      <t>16-07-2026 20:56</t>
    </r>
  </si>
  <si>
    <r>
      <rPr>
        <sz val="10"/>
        <color rgb="FF000000"/>
        <rFont val="JRFonts"/>
        <charset val="134"/>
      </rPr>
      <t>21-08-2026 12:54</t>
    </r>
  </si>
  <si>
    <r>
      <rPr>
        <sz val="10"/>
        <color rgb="FF000000"/>
        <rFont val="JRFonts"/>
        <charset val="134"/>
      </rPr>
      <t>17-07-2026 16:45</t>
    </r>
  </si>
  <si>
    <t>20580</t>
  </si>
  <si>
    <r>
      <rPr>
        <sz val="10"/>
        <color rgb="FF0000FF"/>
        <rFont val="JRFonts"/>
        <charset val="134"/>
      </rPr>
      <t>20581</t>
    </r>
  </si>
  <si>
    <r>
      <rPr>
        <sz val="10"/>
        <color rgb="FF000000"/>
        <rFont val="JRFonts"/>
        <charset val="134"/>
      </rPr>
      <t>17-07-2026 09:43</t>
    </r>
  </si>
  <si>
    <r>
      <rPr>
        <sz val="10"/>
        <color rgb="FF000000"/>
        <rFont val="JRFonts"/>
        <charset val="134"/>
      </rPr>
      <t>17-07-2026 14:49</t>
    </r>
  </si>
  <si>
    <r>
      <rPr>
        <sz val="10"/>
        <color rgb="FF000000"/>
        <rFont val="JRFonts"/>
        <charset val="134"/>
      </rPr>
      <t>17-07-2026 10:33</t>
    </r>
  </si>
  <si>
    <r>
      <rPr>
        <sz val="10"/>
        <color rgb="FF0000FF"/>
        <rFont val="JRFonts"/>
        <charset val="134"/>
      </rPr>
      <t>20583</t>
    </r>
  </si>
  <si>
    <r>
      <rPr>
        <sz val="10"/>
        <color rgb="FF000000"/>
        <rFont val="JRFonts"/>
        <charset val="134"/>
      </rPr>
      <t>17-07-2026 10:07</t>
    </r>
  </si>
  <si>
    <r>
      <rPr>
        <sz val="10"/>
        <color rgb="FF000000"/>
        <rFont val="JRFonts"/>
        <charset val="134"/>
      </rPr>
      <t>20-08-2026 12:46</t>
    </r>
  </si>
  <si>
    <r>
      <rPr>
        <sz val="10"/>
        <color rgb="FF000000"/>
        <rFont val="JRFonts"/>
        <charset val="134"/>
      </rPr>
      <t>17-07-2026 12:26</t>
    </r>
  </si>
  <si>
    <t>20583</t>
  </si>
  <si>
    <r>
      <rPr>
        <sz val="10"/>
        <color rgb="FF0000FF"/>
        <rFont val="JRFonts"/>
        <charset val="134"/>
      </rPr>
      <t>20584</t>
    </r>
  </si>
  <si>
    <r>
      <rPr>
        <sz val="10"/>
        <color rgb="FF000000"/>
        <rFont val="JRFonts"/>
        <charset val="134"/>
      </rPr>
      <t>30-07-2026 11:45</t>
    </r>
  </si>
  <si>
    <r>
      <rPr>
        <sz val="10"/>
        <color rgb="FF000000"/>
        <rFont val="JRFonts"/>
        <charset val="134"/>
      </rPr>
      <t>17-07-2026 10:39</t>
    </r>
  </si>
  <si>
    <t>20584</t>
  </si>
  <si>
    <r>
      <rPr>
        <sz val="10"/>
        <color rgb="FF0000FF"/>
        <rFont val="JRFonts"/>
        <charset val="134"/>
      </rPr>
      <t>20585</t>
    </r>
  </si>
  <si>
    <r>
      <rPr>
        <sz val="10"/>
        <color rgb="FF000000"/>
        <rFont val="JRFonts"/>
        <charset val="134"/>
      </rPr>
      <t>17-07-2026 10:38</t>
    </r>
  </si>
  <si>
    <r>
      <rPr>
        <sz val="10"/>
        <color rgb="FF000000"/>
        <rFont val="JRFonts"/>
        <charset val="134"/>
      </rPr>
      <t>23-07-2026 17:01</t>
    </r>
  </si>
  <si>
    <r>
      <rPr>
        <sz val="10"/>
        <color rgb="FF000000"/>
        <rFont val="JRFonts"/>
        <charset val="134"/>
      </rPr>
      <t>21-07-2026 11:47</t>
    </r>
  </si>
  <si>
    <t>20585</t>
  </si>
  <si>
    <r>
      <rPr>
        <sz val="10"/>
        <color rgb="FF0000FF"/>
        <rFont val="JRFonts"/>
        <charset val="134"/>
      </rPr>
      <t>20586</t>
    </r>
  </si>
  <si>
    <r>
      <rPr>
        <sz val="10"/>
        <color rgb="FF000000"/>
        <rFont val="JRFonts"/>
        <charset val="134"/>
      </rPr>
      <t>17-07-2026 11:08</t>
    </r>
  </si>
  <si>
    <r>
      <rPr>
        <sz val="10"/>
        <color rgb="FF000000"/>
        <rFont val="JRFonts"/>
        <charset val="134"/>
      </rPr>
      <t>17-07-2026 12:19</t>
    </r>
  </si>
  <si>
    <r>
      <rPr>
        <sz val="10"/>
        <color rgb="FF000000"/>
        <rFont val="JRFonts"/>
        <charset val="134"/>
      </rPr>
      <t>17-07-2026 11:15</t>
    </r>
  </si>
  <si>
    <r>
      <rPr>
        <sz val="10"/>
        <color rgb="FF0000FF"/>
        <rFont val="JRFonts"/>
        <charset val="134"/>
      </rPr>
      <t>20587</t>
    </r>
  </si>
  <si>
    <r>
      <rPr>
        <sz val="10"/>
        <color rgb="FF000000"/>
        <rFont val="JRFonts"/>
        <charset val="134"/>
      </rPr>
      <t>17-07-2026 11:11</t>
    </r>
  </si>
  <si>
    <r>
      <rPr>
        <sz val="10"/>
        <color rgb="FF000000"/>
        <rFont val="JRFonts"/>
        <charset val="134"/>
      </rPr>
      <t>17-07-2026 17:33</t>
    </r>
  </si>
  <si>
    <r>
      <rPr>
        <sz val="10"/>
        <color rgb="FF000000"/>
        <rFont val="JRFonts"/>
        <charset val="134"/>
      </rPr>
      <t>17-07-2026 11:17</t>
    </r>
  </si>
  <si>
    <r>
      <rPr>
        <sz val="10"/>
        <color rgb="FF0000FF"/>
        <rFont val="JRFonts"/>
        <charset val="134"/>
      </rPr>
      <t>20588</t>
    </r>
  </si>
  <si>
    <r>
      <rPr>
        <sz val="10"/>
        <color rgb="FF000000"/>
        <rFont val="JRFonts"/>
        <charset val="134"/>
      </rPr>
      <t>17-07-2026 11:14</t>
    </r>
  </si>
  <si>
    <r>
      <rPr>
        <sz val="10"/>
        <color rgb="FF000000"/>
        <rFont val="JRFonts"/>
        <charset val="134"/>
      </rPr>
      <t>17-07-2026 13:03</t>
    </r>
  </si>
  <si>
    <r>
      <rPr>
        <sz val="10"/>
        <color rgb="FF000000"/>
        <rFont val="JRFonts"/>
        <charset val="134"/>
      </rPr>
      <t>17-07-2026 11:18</t>
    </r>
  </si>
  <si>
    <r>
      <rPr>
        <sz val="10"/>
        <color rgb="FF0000FF"/>
        <rFont val="JRFonts"/>
        <charset val="134"/>
      </rPr>
      <t>20590</t>
    </r>
  </si>
  <si>
    <r>
      <rPr>
        <sz val="10"/>
        <color rgb="FF000000"/>
        <rFont val="JRFonts"/>
        <charset val="134"/>
      </rPr>
      <t>17-07-2026 12:00</t>
    </r>
  </si>
  <si>
    <r>
      <rPr>
        <sz val="10"/>
        <color rgb="FF000000"/>
        <rFont val="JRFonts"/>
        <charset val="134"/>
      </rPr>
      <t>17-07-2026 11:20</t>
    </r>
  </si>
  <si>
    <r>
      <rPr>
        <sz val="10"/>
        <color rgb="FF0000FF"/>
        <rFont val="JRFonts"/>
        <charset val="134"/>
      </rPr>
      <t>20591</t>
    </r>
  </si>
  <si>
    <r>
      <rPr>
        <sz val="10"/>
        <color rgb="FF000000"/>
        <rFont val="JRFonts"/>
        <charset val="134"/>
      </rPr>
      <t>22-07-2026 16:57</t>
    </r>
  </si>
  <si>
    <r>
      <rPr>
        <sz val="10"/>
        <color rgb="FF000000"/>
        <rFont val="JRFonts"/>
        <charset val="134"/>
      </rPr>
      <t>17-07-2026 11:24</t>
    </r>
  </si>
  <si>
    <t>20591</t>
  </si>
  <si>
    <r>
      <rPr>
        <sz val="10"/>
        <color rgb="FF0000FF"/>
        <rFont val="JRFonts"/>
        <charset val="134"/>
      </rPr>
      <t>20592</t>
    </r>
  </si>
  <si>
    <r>
      <rPr>
        <sz val="10"/>
        <color rgb="FF000000"/>
        <rFont val="JRFonts"/>
        <charset val="134"/>
      </rPr>
      <t>17-07-2026 11:39</t>
    </r>
  </si>
  <si>
    <r>
      <rPr>
        <sz val="10"/>
        <color rgb="FF0000FF"/>
        <rFont val="JRFonts"/>
        <charset val="134"/>
      </rPr>
      <t>20593</t>
    </r>
  </si>
  <si>
    <r>
      <rPr>
        <sz val="10"/>
        <color rgb="FF000000"/>
        <rFont val="JRFonts"/>
        <charset val="134"/>
      </rPr>
      <t>17-07-2026 14:19</t>
    </r>
  </si>
  <si>
    <r>
      <rPr>
        <sz val="10"/>
        <color rgb="FF000000"/>
        <rFont val="JRFonts"/>
        <charset val="134"/>
      </rPr>
      <t>17-07-2026 11:41</t>
    </r>
  </si>
  <si>
    <r>
      <rPr>
        <sz val="10"/>
        <color rgb="FF0000FF"/>
        <rFont val="JRFonts"/>
        <charset val="134"/>
      </rPr>
      <t>20594</t>
    </r>
  </si>
  <si>
    <r>
      <rPr>
        <sz val="10"/>
        <color rgb="FF000000"/>
        <rFont val="JRFonts"/>
        <charset val="134"/>
      </rPr>
      <t>20-07-2026 13:57</t>
    </r>
  </si>
  <si>
    <r>
      <rPr>
        <sz val="10"/>
        <color rgb="FF000000"/>
        <rFont val="JRFonts"/>
        <charset val="134"/>
      </rPr>
      <t>17-07-2026 11:45</t>
    </r>
  </si>
  <si>
    <r>
      <rPr>
        <sz val="10"/>
        <color rgb="FF0000FF"/>
        <rFont val="JRFonts"/>
        <charset val="134"/>
      </rPr>
      <t>20596</t>
    </r>
  </si>
  <si>
    <r>
      <rPr>
        <sz val="10"/>
        <color rgb="FF000000"/>
        <rFont val="JRFonts"/>
        <charset val="134"/>
      </rPr>
      <t>17-07-2026 11:47</t>
    </r>
  </si>
  <si>
    <r>
      <rPr>
        <sz val="10"/>
        <color rgb="FF000000"/>
        <rFont val="JRFonts"/>
        <charset val="134"/>
      </rPr>
      <t>17-07-2026 11:48</t>
    </r>
  </si>
  <si>
    <r>
      <rPr>
        <sz val="10"/>
        <color rgb="FF0000FF"/>
        <rFont val="JRFonts"/>
        <charset val="134"/>
      </rPr>
      <t>20597</t>
    </r>
  </si>
  <si>
    <r>
      <rPr>
        <sz val="10"/>
        <color rgb="FF000000"/>
        <rFont val="JRFonts"/>
        <charset val="134"/>
      </rPr>
      <t>20-07-2026 13:58</t>
    </r>
  </si>
  <si>
    <r>
      <rPr>
        <sz val="10"/>
        <color rgb="FF000000"/>
        <rFont val="JRFonts"/>
        <charset val="134"/>
      </rPr>
      <t>17-07-2026 11:46</t>
    </r>
  </si>
  <si>
    <r>
      <rPr>
        <sz val="10"/>
        <color rgb="FF0000FF"/>
        <rFont val="JRFonts"/>
        <charset val="134"/>
      </rPr>
      <t>20598</t>
    </r>
  </si>
  <si>
    <r>
      <rPr>
        <sz val="10"/>
        <color rgb="FF000000"/>
        <rFont val="JRFonts"/>
        <charset val="134"/>
      </rPr>
      <t>17-07-2026 11:42</t>
    </r>
  </si>
  <si>
    <r>
      <rPr>
        <sz val="10"/>
        <color rgb="FF000000"/>
        <rFont val="JRFonts"/>
        <charset val="134"/>
      </rPr>
      <t>17-07-2026 13:01</t>
    </r>
  </si>
  <si>
    <r>
      <rPr>
        <sz val="10"/>
        <color rgb="FF000000"/>
        <rFont val="JRFonts"/>
        <charset val="134"/>
      </rPr>
      <t>17-07-2026 11:51</t>
    </r>
  </si>
  <si>
    <r>
      <rPr>
        <sz val="10"/>
        <color rgb="FF0000FF"/>
        <rFont val="JRFonts"/>
        <charset val="134"/>
      </rPr>
      <t>20605</t>
    </r>
  </si>
  <si>
    <r>
      <rPr>
        <sz val="10"/>
        <color rgb="FF000000"/>
        <rFont val="JRFonts"/>
        <charset val="134"/>
      </rPr>
      <t>17-07-2026 12:31</t>
    </r>
  </si>
  <si>
    <r>
      <rPr>
        <sz val="10"/>
        <color rgb="FF000000"/>
        <rFont val="JRFonts"/>
        <charset val="134"/>
      </rPr>
      <t>17-07-2026 14:24</t>
    </r>
  </si>
  <si>
    <r>
      <rPr>
        <sz val="10"/>
        <color rgb="FF000000"/>
        <rFont val="JRFonts"/>
        <charset val="134"/>
      </rPr>
      <t>17-07-2026 12:33</t>
    </r>
  </si>
  <si>
    <r>
      <rPr>
        <sz val="10"/>
        <color rgb="FF0000FF"/>
        <rFont val="JRFonts"/>
        <charset val="134"/>
      </rPr>
      <t>20606</t>
    </r>
  </si>
  <si>
    <r>
      <rPr>
        <sz val="10"/>
        <color rgb="FF000000"/>
        <rFont val="JRFonts"/>
        <charset val="134"/>
      </rPr>
      <t>17-07-2026 14:22</t>
    </r>
  </si>
  <si>
    <r>
      <rPr>
        <sz val="10"/>
        <color rgb="FF000000"/>
        <rFont val="JRFonts"/>
        <charset val="134"/>
      </rPr>
      <t>17-07-2026 12:35</t>
    </r>
  </si>
  <si>
    <r>
      <rPr>
        <sz val="10"/>
        <color rgb="FF0000FF"/>
        <rFont val="JRFonts"/>
        <charset val="134"/>
      </rPr>
      <t>20609</t>
    </r>
  </si>
  <si>
    <r>
      <rPr>
        <sz val="10"/>
        <color rgb="FF000000"/>
        <rFont val="JRFonts"/>
        <charset val="134"/>
      </rPr>
      <t>17-07-2026 12:40</t>
    </r>
  </si>
  <si>
    <r>
      <rPr>
        <sz val="10"/>
        <color rgb="FF000000"/>
        <rFont val="JRFonts"/>
        <charset val="134"/>
      </rPr>
      <t>17-07-2026 12:59</t>
    </r>
  </si>
  <si>
    <r>
      <rPr>
        <sz val="10"/>
        <color rgb="FF000000"/>
        <rFont val="JRFonts"/>
        <charset val="134"/>
      </rPr>
      <t>17-07-2026 12:50</t>
    </r>
  </si>
  <si>
    <r>
      <rPr>
        <sz val="10"/>
        <color rgb="FF0000FF"/>
        <rFont val="JRFonts"/>
        <charset val="134"/>
      </rPr>
      <t>20610</t>
    </r>
  </si>
  <si>
    <r>
      <rPr>
        <sz val="10"/>
        <color rgb="FF000000"/>
        <rFont val="JRFonts"/>
        <charset val="134"/>
      </rPr>
      <t>20-07-2026 13:59</t>
    </r>
  </si>
  <si>
    <r>
      <rPr>
        <sz val="10"/>
        <color rgb="FF000000"/>
        <rFont val="JRFonts"/>
        <charset val="134"/>
      </rPr>
      <t>17-07-2026 12:43</t>
    </r>
  </si>
  <si>
    <r>
      <rPr>
        <sz val="10"/>
        <color rgb="FF0000FF"/>
        <rFont val="JRFonts"/>
        <charset val="134"/>
      </rPr>
      <t>20611</t>
    </r>
  </si>
  <si>
    <r>
      <rPr>
        <sz val="10"/>
        <color rgb="FF000000"/>
        <rFont val="JRFonts"/>
        <charset val="134"/>
      </rPr>
      <t>17-07-2026 13:11</t>
    </r>
  </si>
  <si>
    <r>
      <rPr>
        <sz val="10"/>
        <color rgb="FF000000"/>
        <rFont val="JRFonts"/>
        <charset val="134"/>
      </rPr>
      <t>20-07-2026 14:04</t>
    </r>
  </si>
  <si>
    <r>
      <rPr>
        <sz val="10"/>
        <color rgb="FF000000"/>
        <rFont val="JRFonts"/>
        <charset val="134"/>
      </rPr>
      <t>17-07-2026 14:12</t>
    </r>
  </si>
  <si>
    <r>
      <rPr>
        <sz val="10"/>
        <color rgb="FF0000FF"/>
        <rFont val="JRFonts"/>
        <charset val="134"/>
      </rPr>
      <t>20612</t>
    </r>
  </si>
  <si>
    <r>
      <rPr>
        <sz val="10"/>
        <color rgb="FF000000"/>
        <rFont val="JRFonts"/>
        <charset val="134"/>
      </rPr>
      <t>17-07-2026 13:23</t>
    </r>
  </si>
  <si>
    <r>
      <rPr>
        <sz val="10"/>
        <color rgb="FF000000"/>
        <rFont val="JRFonts"/>
        <charset val="134"/>
      </rPr>
      <t>18-08-2026 15:22</t>
    </r>
  </si>
  <si>
    <r>
      <rPr>
        <sz val="10"/>
        <color rgb="FF000000"/>
        <rFont val="JRFonts"/>
        <charset val="134"/>
      </rPr>
      <t>17-07-2026 14:14</t>
    </r>
  </si>
  <si>
    <t>20612</t>
  </si>
  <si>
    <r>
      <rPr>
        <sz val="10"/>
        <color rgb="FF0000FF"/>
        <rFont val="JRFonts"/>
        <charset val="134"/>
      </rPr>
      <t>20613</t>
    </r>
  </si>
  <si>
    <r>
      <rPr>
        <sz val="10"/>
        <color rgb="FF000000"/>
        <rFont val="JRFonts"/>
        <charset val="134"/>
      </rPr>
      <t>11-08-2026 13:02</t>
    </r>
  </si>
  <si>
    <r>
      <rPr>
        <sz val="10"/>
        <color rgb="FF000000"/>
        <rFont val="JRFonts"/>
        <charset val="134"/>
      </rPr>
      <t>17-07-2026 14:15</t>
    </r>
  </si>
  <si>
    <t>20613</t>
  </si>
  <si>
    <r>
      <rPr>
        <sz val="10"/>
        <color rgb="FF0000FF"/>
        <rFont val="JRFonts"/>
        <charset val="134"/>
      </rPr>
      <t>20614</t>
    </r>
  </si>
  <si>
    <r>
      <rPr>
        <sz val="10"/>
        <color rgb="FF000000"/>
        <rFont val="JRFonts"/>
        <charset val="134"/>
      </rPr>
      <t>17-07-2026 13:26</t>
    </r>
  </si>
  <si>
    <r>
      <rPr>
        <sz val="10"/>
        <color rgb="FF000000"/>
        <rFont val="JRFonts"/>
        <charset val="134"/>
      </rPr>
      <t>17-07-2026 17:02</t>
    </r>
  </si>
  <si>
    <r>
      <rPr>
        <sz val="10"/>
        <color rgb="FF000000"/>
        <rFont val="JRFonts"/>
        <charset val="134"/>
      </rPr>
      <t>17-07-2026 14:16</t>
    </r>
  </si>
  <si>
    <r>
      <rPr>
        <sz val="10"/>
        <color rgb="FF0000FF"/>
        <rFont val="JRFonts"/>
        <charset val="134"/>
      </rPr>
      <t>20615</t>
    </r>
  </si>
  <si>
    <r>
      <rPr>
        <sz val="10"/>
        <color rgb="FF000000"/>
        <rFont val="JRFonts"/>
        <charset val="134"/>
      </rPr>
      <t>17-07-2026 13:29</t>
    </r>
  </si>
  <si>
    <r>
      <rPr>
        <sz val="10"/>
        <color rgb="FF000000"/>
        <rFont val="JRFonts"/>
        <charset val="134"/>
      </rPr>
      <t>17-07-2026 16:33</t>
    </r>
  </si>
  <si>
    <r>
      <rPr>
        <sz val="10"/>
        <color rgb="FF0000FF"/>
        <rFont val="JRFonts"/>
        <charset val="134"/>
      </rPr>
      <t>20616</t>
    </r>
  </si>
  <si>
    <r>
      <rPr>
        <sz val="10"/>
        <color rgb="FF000000"/>
        <rFont val="JRFonts"/>
        <charset val="134"/>
      </rPr>
      <t>17-07-2026 13:35</t>
    </r>
  </si>
  <si>
    <r>
      <rPr>
        <sz val="10"/>
        <color rgb="FF000000"/>
        <rFont val="JRFonts"/>
        <charset val="134"/>
      </rPr>
      <t>17-07-2026 14:59</t>
    </r>
  </si>
  <si>
    <r>
      <rPr>
        <sz val="10"/>
        <color rgb="FF000000"/>
        <rFont val="JRFonts"/>
        <charset val="134"/>
      </rPr>
      <t>17-07-2026 14:17</t>
    </r>
  </si>
  <si>
    <r>
      <rPr>
        <sz val="10"/>
        <color rgb="FF0000FF"/>
        <rFont val="JRFonts"/>
        <charset val="134"/>
      </rPr>
      <t>20620</t>
    </r>
  </si>
  <si>
    <r>
      <rPr>
        <sz val="10"/>
        <color rgb="FF000000"/>
        <rFont val="JRFonts"/>
        <charset val="134"/>
      </rPr>
      <t>17-07-2026 14:27</t>
    </r>
  </si>
  <si>
    <r>
      <rPr>
        <sz val="10"/>
        <color rgb="FF000000"/>
        <rFont val="JRFonts"/>
        <charset val="134"/>
      </rPr>
      <t>17-07-2026 16:38</t>
    </r>
  </si>
  <si>
    <r>
      <rPr>
        <sz val="10"/>
        <color rgb="FF000000"/>
        <rFont val="JRFonts"/>
        <charset val="134"/>
      </rPr>
      <t>17-07-2026 14:46</t>
    </r>
  </si>
  <si>
    <r>
      <rPr>
        <sz val="10"/>
        <color rgb="FF0000FF"/>
        <rFont val="JRFonts"/>
        <charset val="134"/>
      </rPr>
      <t>20621</t>
    </r>
  </si>
  <si>
    <r>
      <rPr>
        <sz val="10"/>
        <color rgb="FF000000"/>
        <rFont val="JRFonts"/>
        <charset val="134"/>
      </rPr>
      <t>04-08-2026 14:53</t>
    </r>
  </si>
  <si>
    <r>
      <rPr>
        <sz val="10"/>
        <color rgb="FF000000"/>
        <rFont val="JRFonts"/>
        <charset val="134"/>
      </rPr>
      <t>17-07-2026 14:57</t>
    </r>
  </si>
  <si>
    <t>20621</t>
  </si>
  <si>
    <r>
      <rPr>
        <sz val="10"/>
        <color rgb="FF0000FF"/>
        <rFont val="JRFonts"/>
        <charset val="134"/>
      </rPr>
      <t>20622</t>
    </r>
  </si>
  <si>
    <r>
      <rPr>
        <sz val="10"/>
        <color rgb="FF000000"/>
        <rFont val="JRFonts"/>
        <charset val="134"/>
      </rPr>
      <t>17-07-2026 14:58</t>
    </r>
  </si>
  <si>
    <r>
      <rPr>
        <sz val="10"/>
        <color rgb="FF000000"/>
        <rFont val="JRFonts"/>
        <charset val="134"/>
      </rPr>
      <t>17-07-2026 16:57</t>
    </r>
  </si>
  <si>
    <r>
      <rPr>
        <sz val="10"/>
        <color rgb="FF000000"/>
        <rFont val="JRFonts"/>
        <charset val="134"/>
      </rPr>
      <t>17-07-2026 15:03</t>
    </r>
  </si>
  <si>
    <r>
      <rPr>
        <sz val="10"/>
        <color rgb="FF0000FF"/>
        <rFont val="JRFonts"/>
        <charset val="134"/>
      </rPr>
      <t>20624</t>
    </r>
  </si>
  <si>
    <r>
      <rPr>
        <sz val="10"/>
        <color rgb="FF000000"/>
        <rFont val="JRFonts"/>
        <charset val="134"/>
      </rPr>
      <t>17-07-2026 15:19</t>
    </r>
  </si>
  <si>
    <r>
      <rPr>
        <sz val="10"/>
        <color rgb="FF000000"/>
        <rFont val="JRFonts"/>
        <charset val="134"/>
      </rPr>
      <t>17-07-2026 15:59</t>
    </r>
  </si>
  <si>
    <r>
      <rPr>
        <sz val="10"/>
        <color rgb="FF000000"/>
        <rFont val="JRFonts"/>
        <charset val="134"/>
      </rPr>
      <t>17-07-2026 15:37</t>
    </r>
  </si>
  <si>
    <r>
      <rPr>
        <sz val="10"/>
        <color rgb="FF0000FF"/>
        <rFont val="JRFonts"/>
        <charset val="134"/>
      </rPr>
      <t>20625</t>
    </r>
  </si>
  <si>
    <r>
      <rPr>
        <sz val="10"/>
        <color rgb="FF000000"/>
        <rFont val="JRFonts"/>
        <charset val="134"/>
      </rPr>
      <t>17-07-2026 15:22</t>
    </r>
  </si>
  <si>
    <r>
      <rPr>
        <sz val="10"/>
        <color rgb="FF000000"/>
        <rFont val="JRFonts"/>
        <charset val="134"/>
      </rPr>
      <t>30-07-2026 11:44</t>
    </r>
  </si>
  <si>
    <r>
      <rPr>
        <sz val="10"/>
        <color rgb="FF000000"/>
        <rFont val="JRFonts"/>
        <charset val="134"/>
      </rPr>
      <t>17-07-2026 15:30</t>
    </r>
  </si>
  <si>
    <t>20625</t>
  </si>
  <si>
    <r>
      <rPr>
        <sz val="10"/>
        <color rgb="FF0000FF"/>
        <rFont val="JRFonts"/>
        <charset val="134"/>
      </rPr>
      <t>20626</t>
    </r>
  </si>
  <si>
    <r>
      <rPr>
        <sz val="10"/>
        <color rgb="FF000000"/>
        <rFont val="JRFonts"/>
        <charset val="134"/>
      </rPr>
      <t>17-07-2026 15:25</t>
    </r>
  </si>
  <si>
    <r>
      <rPr>
        <sz val="10"/>
        <color rgb="FF000000"/>
        <rFont val="JRFonts"/>
        <charset val="134"/>
      </rPr>
      <t>03-08-2026 10:43</t>
    </r>
  </si>
  <si>
    <r>
      <rPr>
        <sz val="10"/>
        <color rgb="FF000000"/>
        <rFont val="JRFonts"/>
        <charset val="134"/>
      </rPr>
      <t>17-07-2026 15:32</t>
    </r>
  </si>
  <si>
    <r>
      <rPr>
        <sz val="10"/>
        <color rgb="FF0000FF"/>
        <rFont val="JRFonts"/>
        <charset val="134"/>
      </rPr>
      <t>20627</t>
    </r>
  </si>
  <si>
    <r>
      <rPr>
        <sz val="10"/>
        <color rgb="FF000000"/>
        <rFont val="JRFonts"/>
        <charset val="134"/>
      </rPr>
      <t>17-07-2026 15:50</t>
    </r>
  </si>
  <si>
    <r>
      <rPr>
        <sz val="10"/>
        <color rgb="FF000000"/>
        <rFont val="JRFonts"/>
        <charset val="134"/>
      </rPr>
      <t>18-08-2026 11:56</t>
    </r>
  </si>
  <si>
    <r>
      <rPr>
        <sz val="10"/>
        <color rgb="FF000000"/>
        <rFont val="JRFonts"/>
        <charset val="134"/>
      </rPr>
      <t>17-07-2026 16:01</t>
    </r>
  </si>
  <si>
    <t>20627</t>
  </si>
  <si>
    <r>
      <rPr>
        <sz val="10"/>
        <color rgb="FF0000FF"/>
        <rFont val="JRFonts"/>
        <charset val="134"/>
      </rPr>
      <t>20628</t>
    </r>
  </si>
  <si>
    <r>
      <rPr>
        <sz val="10"/>
        <color rgb="FF000000"/>
        <rFont val="JRFonts"/>
        <charset val="134"/>
      </rPr>
      <t>17-07-2026 16:26</t>
    </r>
  </si>
  <si>
    <r>
      <rPr>
        <sz val="10"/>
        <color rgb="FF000000"/>
        <rFont val="JRFonts"/>
        <charset val="134"/>
      </rPr>
      <t>17-07-2026 16:02</t>
    </r>
  </si>
  <si>
    <r>
      <rPr>
        <sz val="10"/>
        <color rgb="FF0000FF"/>
        <rFont val="JRFonts"/>
        <charset val="134"/>
      </rPr>
      <t>20629</t>
    </r>
  </si>
  <si>
    <r>
      <rPr>
        <sz val="10"/>
        <color rgb="FF000000"/>
        <rFont val="JRFonts"/>
        <charset val="134"/>
      </rPr>
      <t>22-07-2026 15:43</t>
    </r>
  </si>
  <si>
    <r>
      <rPr>
        <sz val="10"/>
        <color rgb="FF000000"/>
        <rFont val="JRFonts"/>
        <charset val="134"/>
      </rPr>
      <t>20-07-2026 11:46</t>
    </r>
  </si>
  <si>
    <t>20629</t>
  </si>
  <si>
    <r>
      <rPr>
        <sz val="10"/>
        <color rgb="FF0000FF"/>
        <rFont val="JRFonts"/>
        <charset val="134"/>
      </rPr>
      <t>20631</t>
    </r>
  </si>
  <si>
    <r>
      <rPr>
        <sz val="10"/>
        <color rgb="FF000000"/>
        <rFont val="JRFonts"/>
        <charset val="134"/>
      </rPr>
      <t>17-07-2026 16:32</t>
    </r>
  </si>
  <si>
    <r>
      <rPr>
        <sz val="10"/>
        <color rgb="FF000000"/>
        <rFont val="JRFonts"/>
        <charset val="134"/>
      </rPr>
      <t>17-07-2026 16:34</t>
    </r>
  </si>
  <si>
    <r>
      <rPr>
        <sz val="10"/>
        <color rgb="FF0000FF"/>
        <rFont val="JRFonts"/>
        <charset val="134"/>
      </rPr>
      <t>20633</t>
    </r>
  </si>
  <si>
    <r>
      <rPr>
        <sz val="10"/>
        <color rgb="FF000000"/>
        <rFont val="JRFonts"/>
        <charset val="134"/>
      </rPr>
      <t>20-07-2026 14:05</t>
    </r>
  </si>
  <si>
    <r>
      <rPr>
        <sz val="10"/>
        <color rgb="FF000000"/>
        <rFont val="JRFonts"/>
        <charset val="134"/>
      </rPr>
      <t>17-07-2026 16:47</t>
    </r>
  </si>
  <si>
    <r>
      <rPr>
        <sz val="10"/>
        <color rgb="FF0000FF"/>
        <rFont val="JRFonts"/>
        <charset val="134"/>
      </rPr>
      <t>20635</t>
    </r>
  </si>
  <si>
    <r>
      <rPr>
        <sz val="10"/>
        <color rgb="FF000000"/>
        <rFont val="JRFonts"/>
        <charset val="134"/>
      </rPr>
      <t>17-07-2026 17:03</t>
    </r>
  </si>
  <si>
    <t>20635</t>
  </si>
  <si>
    <r>
      <rPr>
        <sz val="10"/>
        <color rgb="FF0000FF"/>
        <rFont val="JRFonts"/>
        <charset val="134"/>
      </rPr>
      <t>20637</t>
    </r>
  </si>
  <si>
    <r>
      <rPr>
        <sz val="10"/>
        <color rgb="FF000000"/>
        <rFont val="JRFonts"/>
        <charset val="134"/>
      </rPr>
      <t>17-07-2026 17:24</t>
    </r>
  </si>
  <si>
    <r>
      <rPr>
        <sz val="10"/>
        <color rgb="FF000000"/>
        <rFont val="JRFonts"/>
        <charset val="134"/>
      </rPr>
      <t>20-07-2026 18:27</t>
    </r>
  </si>
  <si>
    <r>
      <rPr>
        <sz val="10"/>
        <color rgb="FF000000"/>
        <rFont val="JRFonts"/>
        <charset val="134"/>
      </rPr>
      <t>17-07-2026 17:35</t>
    </r>
  </si>
  <si>
    <r>
      <rPr>
        <sz val="10"/>
        <color rgb="FF0000FF"/>
        <rFont val="JRFonts"/>
        <charset val="134"/>
      </rPr>
      <t>20639</t>
    </r>
  </si>
  <si>
    <r>
      <rPr>
        <sz val="10"/>
        <color rgb="FF000000"/>
        <rFont val="JRFonts"/>
        <charset val="134"/>
      </rPr>
      <t>17-07-2026 17:43</t>
    </r>
  </si>
  <si>
    <r>
      <rPr>
        <sz val="10"/>
        <color rgb="FF000000"/>
        <rFont val="JRFonts"/>
        <charset val="134"/>
      </rPr>
      <t>20-07-2026 14:00</t>
    </r>
  </si>
  <si>
    <r>
      <rPr>
        <sz val="10"/>
        <color rgb="FF000000"/>
        <rFont val="JRFonts"/>
        <charset val="134"/>
      </rPr>
      <t>17-07-2026 17:56</t>
    </r>
  </si>
  <si>
    <r>
      <rPr>
        <sz val="10"/>
        <color rgb="FF0000FF"/>
        <rFont val="JRFonts"/>
        <charset val="134"/>
      </rPr>
      <t>20640</t>
    </r>
  </si>
  <si>
    <r>
      <rPr>
        <sz val="10"/>
        <color rgb="FF000000"/>
        <rFont val="JRFonts"/>
        <charset val="134"/>
      </rPr>
      <t>17-07-2026 17:49</t>
    </r>
  </si>
  <si>
    <r>
      <rPr>
        <sz val="10"/>
        <color rgb="FF000000"/>
        <rFont val="JRFonts"/>
        <charset val="134"/>
      </rPr>
      <t>17-07-2026 17:54</t>
    </r>
  </si>
  <si>
    <r>
      <rPr>
        <sz val="10"/>
        <color rgb="FF0000FF"/>
        <rFont val="JRFonts"/>
        <charset val="134"/>
      </rPr>
      <t>20642</t>
    </r>
  </si>
  <si>
    <r>
      <rPr>
        <sz val="10"/>
        <color rgb="FF000000"/>
        <rFont val="JRFonts"/>
        <charset val="134"/>
      </rPr>
      <t>17-07-2026 18:20</t>
    </r>
  </si>
  <si>
    <r>
      <rPr>
        <sz val="10"/>
        <color rgb="FF000000"/>
        <rFont val="JRFonts"/>
        <charset val="134"/>
      </rPr>
      <t>20-07-2026 12:58</t>
    </r>
  </si>
  <si>
    <r>
      <rPr>
        <sz val="10"/>
        <color rgb="FF000000"/>
        <rFont val="JRFonts"/>
        <charset val="134"/>
      </rPr>
      <t>17-07-2026 18:23</t>
    </r>
  </si>
  <si>
    <r>
      <rPr>
        <sz val="10"/>
        <color rgb="FF0000FF"/>
        <rFont val="JRFonts"/>
        <charset val="134"/>
      </rPr>
      <t>20643</t>
    </r>
  </si>
  <si>
    <r>
      <rPr>
        <sz val="10"/>
        <color rgb="FF000000"/>
        <rFont val="JRFonts"/>
        <charset val="134"/>
      </rPr>
      <t>17-07-2026 18:47</t>
    </r>
  </si>
  <si>
    <r>
      <rPr>
        <sz val="10"/>
        <color rgb="FF000000"/>
        <rFont val="JRFonts"/>
        <charset val="134"/>
      </rPr>
      <t>20-07-2026 10:25</t>
    </r>
  </si>
  <si>
    <r>
      <rPr>
        <sz val="10"/>
        <color rgb="FF000000"/>
        <rFont val="JRFonts"/>
        <charset val="134"/>
      </rPr>
      <t>20-07-2026 10:14</t>
    </r>
  </si>
  <si>
    <r>
      <rPr>
        <sz val="10"/>
        <color rgb="FF0000FF"/>
        <rFont val="JRFonts"/>
        <charset val="134"/>
      </rPr>
      <t>20644</t>
    </r>
  </si>
  <si>
    <r>
      <rPr>
        <sz val="10"/>
        <color rgb="FF000000"/>
        <rFont val="JRFonts"/>
        <charset val="134"/>
      </rPr>
      <t>17-07-2026 18:59</t>
    </r>
  </si>
  <si>
    <r>
      <rPr>
        <sz val="10"/>
        <color rgb="FF000000"/>
        <rFont val="JRFonts"/>
        <charset val="134"/>
      </rPr>
      <t>04-08-2026 14:48</t>
    </r>
  </si>
  <si>
    <r>
      <rPr>
        <sz val="10"/>
        <color rgb="FF000000"/>
        <rFont val="JRFonts"/>
        <charset val="134"/>
      </rPr>
      <t>20-07-2026 10:16</t>
    </r>
  </si>
  <si>
    <t>20644</t>
  </si>
  <si>
    <r>
      <rPr>
        <sz val="10"/>
        <color rgb="FF0000FF"/>
        <rFont val="JRFonts"/>
        <charset val="134"/>
      </rPr>
      <t>20645</t>
    </r>
  </si>
  <si>
    <r>
      <rPr>
        <sz val="10"/>
        <color rgb="FF000000"/>
        <rFont val="JRFonts"/>
        <charset val="134"/>
      </rPr>
      <t>17-07-2026 19:02</t>
    </r>
  </si>
  <si>
    <r>
      <rPr>
        <sz val="10"/>
        <color rgb="FF000000"/>
        <rFont val="JRFonts"/>
        <charset val="134"/>
      </rPr>
      <t>04-08-2026 14:49</t>
    </r>
  </si>
  <si>
    <r>
      <rPr>
        <sz val="10"/>
        <color rgb="FF000000"/>
        <rFont val="JRFonts"/>
        <charset val="134"/>
      </rPr>
      <t>20-07-2026 10:17</t>
    </r>
  </si>
  <si>
    <t>20645</t>
  </si>
  <si>
    <r>
      <rPr>
        <sz val="10"/>
        <color rgb="FF0000FF"/>
        <rFont val="JRFonts"/>
        <charset val="134"/>
      </rPr>
      <t>20647</t>
    </r>
  </si>
  <si>
    <r>
      <rPr>
        <sz val="10"/>
        <color rgb="FF000000"/>
        <rFont val="JRFonts"/>
        <charset val="134"/>
      </rPr>
      <t>17-07-2026 19:24</t>
    </r>
  </si>
  <si>
    <r>
      <rPr>
        <sz val="10"/>
        <color rgb="FF000000"/>
        <rFont val="JRFonts"/>
        <charset val="134"/>
      </rPr>
      <t>20-07-2026 10:33</t>
    </r>
  </si>
  <si>
    <r>
      <rPr>
        <sz val="10"/>
        <color rgb="FF000000"/>
        <rFont val="JRFonts"/>
        <charset val="134"/>
      </rPr>
      <t>20-07-2026 10:26</t>
    </r>
  </si>
  <si>
    <r>
      <rPr>
        <sz val="10"/>
        <color rgb="FF0000FF"/>
        <rFont val="JRFonts"/>
        <charset val="134"/>
      </rPr>
      <t>20651</t>
    </r>
  </si>
  <si>
    <r>
      <rPr>
        <sz val="10"/>
        <color rgb="FF000000"/>
        <rFont val="JRFonts"/>
        <charset val="134"/>
      </rPr>
      <t>18-07-2026 10:15</t>
    </r>
  </si>
  <si>
    <r>
      <rPr>
        <sz val="10"/>
        <color rgb="FF000000"/>
        <rFont val="JRFonts"/>
        <charset val="134"/>
      </rPr>
      <t>20-07-2026 14:45</t>
    </r>
  </si>
  <si>
    <r>
      <rPr>
        <sz val="10"/>
        <color rgb="FF000000"/>
        <rFont val="JRFonts"/>
        <charset val="134"/>
      </rPr>
      <t>20-07-2026 10:27</t>
    </r>
  </si>
  <si>
    <r>
      <rPr>
        <sz val="10"/>
        <color rgb="FF0000FF"/>
        <rFont val="JRFonts"/>
        <charset val="134"/>
      </rPr>
      <t>20652</t>
    </r>
  </si>
  <si>
    <r>
      <rPr>
        <sz val="10"/>
        <color rgb="FF000000"/>
        <rFont val="JRFonts"/>
        <charset val="134"/>
      </rPr>
      <t>18-07-2026 10:24</t>
    </r>
  </si>
  <si>
    <r>
      <rPr>
        <sz val="10"/>
        <color rgb="FF000000"/>
        <rFont val="JRFonts"/>
        <charset val="134"/>
      </rPr>
      <t>20-07-2026 11:45</t>
    </r>
  </si>
  <si>
    <r>
      <rPr>
        <sz val="10"/>
        <color rgb="FF0000FF"/>
        <rFont val="JRFonts"/>
        <charset val="134"/>
      </rPr>
      <t>20653</t>
    </r>
  </si>
  <si>
    <r>
      <rPr>
        <sz val="10"/>
        <color rgb="FF000000"/>
        <rFont val="JRFonts"/>
        <charset val="134"/>
      </rPr>
      <t>18-07-2026 10:39</t>
    </r>
  </si>
  <si>
    <r>
      <rPr>
        <sz val="10"/>
        <color rgb="FF000000"/>
        <rFont val="JRFonts"/>
        <charset val="134"/>
      </rPr>
      <t>06-08-2026 14:38</t>
    </r>
  </si>
  <si>
    <r>
      <rPr>
        <sz val="10"/>
        <color rgb="FF000000"/>
        <rFont val="JRFonts"/>
        <charset val="134"/>
      </rPr>
      <t>20-07-2026 10:29</t>
    </r>
  </si>
  <si>
    <t>20653</t>
  </si>
  <si>
    <r>
      <rPr>
        <sz val="10"/>
        <color rgb="FF0000FF"/>
        <rFont val="JRFonts"/>
        <charset val="134"/>
      </rPr>
      <t>20657</t>
    </r>
  </si>
  <si>
    <r>
      <rPr>
        <sz val="10"/>
        <color rgb="FF000000"/>
        <rFont val="JRFonts"/>
        <charset val="134"/>
      </rPr>
      <t>18-07-2026 11:01</t>
    </r>
  </si>
  <si>
    <r>
      <rPr>
        <sz val="10"/>
        <color rgb="FF000000"/>
        <rFont val="JRFonts"/>
        <charset val="134"/>
      </rPr>
      <t>22-07-2026 12:29</t>
    </r>
  </si>
  <si>
    <r>
      <rPr>
        <sz val="10"/>
        <color rgb="FF000000"/>
        <rFont val="JRFonts"/>
        <charset val="134"/>
      </rPr>
      <t>20-07-2026 10:30</t>
    </r>
  </si>
  <si>
    <t>20657</t>
  </si>
  <si>
    <r>
      <rPr>
        <sz val="10"/>
        <color rgb="FF0000FF"/>
        <rFont val="JRFonts"/>
        <charset val="134"/>
      </rPr>
      <t>20659</t>
    </r>
  </si>
  <si>
    <r>
      <rPr>
        <sz val="10"/>
        <color rgb="FF000000"/>
        <rFont val="JRFonts"/>
        <charset val="134"/>
      </rPr>
      <t>18-07-2026 11:28</t>
    </r>
  </si>
  <si>
    <r>
      <rPr>
        <sz val="10"/>
        <color rgb="FF000000"/>
        <rFont val="JRFonts"/>
        <charset val="134"/>
      </rPr>
      <t>30-07-2026 11:43</t>
    </r>
  </si>
  <si>
    <r>
      <rPr>
        <sz val="10"/>
        <color rgb="FF000000"/>
        <rFont val="JRFonts"/>
        <charset val="134"/>
      </rPr>
      <t>20-07-2026 10:31</t>
    </r>
  </si>
  <si>
    <t>20659</t>
  </si>
  <si>
    <r>
      <rPr>
        <sz val="10"/>
        <color rgb="FF0000FF"/>
        <rFont val="JRFonts"/>
        <charset val="134"/>
      </rPr>
      <t>20660</t>
    </r>
  </si>
  <si>
    <r>
      <rPr>
        <sz val="10"/>
        <color rgb="FF000000"/>
        <rFont val="JRFonts"/>
        <charset val="134"/>
      </rPr>
      <t>22-07-2026 11:29</t>
    </r>
  </si>
  <si>
    <r>
      <rPr>
        <sz val="10"/>
        <color rgb="FF000000"/>
        <rFont val="JRFonts"/>
        <charset val="134"/>
      </rPr>
      <t>20-07-2026 10:35</t>
    </r>
  </si>
  <si>
    <t>20660</t>
  </si>
  <si>
    <r>
      <rPr>
        <sz val="10"/>
        <color rgb="FF0000FF"/>
        <rFont val="JRFonts"/>
        <charset val="134"/>
      </rPr>
      <t>20663</t>
    </r>
  </si>
  <si>
    <r>
      <rPr>
        <sz val="10"/>
        <color rgb="FF000000"/>
        <rFont val="JRFonts"/>
        <charset val="134"/>
      </rPr>
      <t>18-07-2026 11:56</t>
    </r>
  </si>
  <si>
    <r>
      <rPr>
        <sz val="10"/>
        <color rgb="FF000000"/>
        <rFont val="JRFonts"/>
        <charset val="134"/>
      </rPr>
      <t>20-08-2026 18:28</t>
    </r>
  </si>
  <si>
    <r>
      <rPr>
        <sz val="10"/>
        <color rgb="FF000000"/>
        <rFont val="JRFonts"/>
        <charset val="134"/>
      </rPr>
      <t>20-07-2026 10:37</t>
    </r>
  </si>
  <si>
    <t>20663</t>
  </si>
  <si>
    <r>
      <rPr>
        <sz val="10"/>
        <color rgb="FF0000FF"/>
        <rFont val="JRFonts"/>
        <charset val="134"/>
      </rPr>
      <t>20665</t>
    </r>
  </si>
  <si>
    <r>
      <rPr>
        <sz val="10"/>
        <color rgb="FF000000"/>
        <rFont val="JRFonts"/>
        <charset val="134"/>
      </rPr>
      <t>18-07-2026 12:14</t>
    </r>
  </si>
  <si>
    <r>
      <rPr>
        <sz val="10"/>
        <color rgb="FF000000"/>
        <rFont val="JRFonts"/>
        <charset val="134"/>
      </rPr>
      <t>21-08-2026 14:08</t>
    </r>
  </si>
  <si>
    <t>20665</t>
  </si>
  <si>
    <r>
      <rPr>
        <sz val="10"/>
        <color rgb="FF0000FF"/>
        <rFont val="JRFonts"/>
        <charset val="134"/>
      </rPr>
      <t>20666</t>
    </r>
  </si>
  <si>
    <r>
      <rPr>
        <sz val="10"/>
        <color rgb="FF000000"/>
        <rFont val="JRFonts"/>
        <charset val="134"/>
      </rPr>
      <t>06-08-2026 17:02</t>
    </r>
  </si>
  <si>
    <r>
      <rPr>
        <sz val="10"/>
        <color rgb="FF000000"/>
        <rFont val="JRFonts"/>
        <charset val="134"/>
      </rPr>
      <t>20-07-2026 10:38</t>
    </r>
  </si>
  <si>
    <t>20666</t>
  </si>
  <si>
    <r>
      <rPr>
        <sz val="10"/>
        <color rgb="FF0000FF"/>
        <rFont val="JRFonts"/>
        <charset val="134"/>
      </rPr>
      <t>20669</t>
    </r>
  </si>
  <si>
    <r>
      <rPr>
        <sz val="10"/>
        <color rgb="FF000000"/>
        <rFont val="JRFonts"/>
        <charset val="134"/>
      </rPr>
      <t>18-07-2026 12:36</t>
    </r>
  </si>
  <si>
    <r>
      <rPr>
        <sz val="10"/>
        <color rgb="FF000000"/>
        <rFont val="JRFonts"/>
        <charset val="134"/>
      </rPr>
      <t>20-07-2026 11:41</t>
    </r>
  </si>
  <si>
    <r>
      <rPr>
        <sz val="10"/>
        <color rgb="FF000000"/>
        <rFont val="JRFonts"/>
        <charset val="134"/>
      </rPr>
      <t>20-07-2026 10:39</t>
    </r>
  </si>
  <si>
    <r>
      <rPr>
        <sz val="10"/>
        <color rgb="FF0000FF"/>
        <rFont val="JRFonts"/>
        <charset val="134"/>
      </rPr>
      <t>20670</t>
    </r>
  </si>
  <si>
    <r>
      <rPr>
        <sz val="10"/>
        <color rgb="FF000000"/>
        <rFont val="JRFonts"/>
        <charset val="134"/>
      </rPr>
      <t>18-07-2026 12:39</t>
    </r>
  </si>
  <si>
    <r>
      <rPr>
        <sz val="10"/>
        <color rgb="FF000000"/>
        <rFont val="JRFonts"/>
        <charset val="134"/>
      </rPr>
      <t>22-07-2026 11:59</t>
    </r>
  </si>
  <si>
    <r>
      <rPr>
        <sz val="10"/>
        <color rgb="FF000000"/>
        <rFont val="JRFonts"/>
        <charset val="134"/>
      </rPr>
      <t>20-07-2026 10:41</t>
    </r>
  </si>
  <si>
    <t>20670</t>
  </si>
  <si>
    <r>
      <rPr>
        <sz val="10"/>
        <color rgb="FF0000FF"/>
        <rFont val="JRFonts"/>
        <charset val="134"/>
      </rPr>
      <t>20675</t>
    </r>
  </si>
  <si>
    <r>
      <rPr>
        <sz val="10"/>
        <color rgb="FF000000"/>
        <rFont val="JRFonts"/>
        <charset val="134"/>
      </rPr>
      <t>18-07-2026 13:00</t>
    </r>
  </si>
  <si>
    <r>
      <rPr>
        <sz val="10"/>
        <color rgb="FF000000"/>
        <rFont val="JRFonts"/>
        <charset val="134"/>
      </rPr>
      <t>20-07-2026 11:36</t>
    </r>
  </si>
  <si>
    <r>
      <rPr>
        <sz val="10"/>
        <color rgb="FF000000"/>
        <rFont val="JRFonts"/>
        <charset val="134"/>
      </rPr>
      <t>20-07-2026 10:43</t>
    </r>
  </si>
  <si>
    <r>
      <rPr>
        <sz val="10"/>
        <color rgb="FF0000FF"/>
        <rFont val="JRFonts"/>
        <charset val="134"/>
      </rPr>
      <t>20680</t>
    </r>
  </si>
  <si>
    <r>
      <rPr>
        <sz val="10"/>
        <color rgb="FF000000"/>
        <rFont val="JRFonts"/>
        <charset val="134"/>
      </rPr>
      <t>18-07-2026 13:22</t>
    </r>
  </si>
  <si>
    <r>
      <rPr>
        <sz val="10"/>
        <color rgb="FF000000"/>
        <rFont val="JRFonts"/>
        <charset val="134"/>
      </rPr>
      <t>20-07-2026 14:02</t>
    </r>
  </si>
  <si>
    <r>
      <rPr>
        <sz val="10"/>
        <color rgb="FF000000"/>
        <rFont val="JRFonts"/>
        <charset val="134"/>
      </rPr>
      <t>20-07-2026 10:46</t>
    </r>
  </si>
  <si>
    <r>
      <rPr>
        <sz val="10"/>
        <color rgb="FF0000FF"/>
        <rFont val="JRFonts"/>
        <charset val="134"/>
      </rPr>
      <t>20681</t>
    </r>
  </si>
  <si>
    <r>
      <rPr>
        <sz val="10"/>
        <color rgb="FF000000"/>
        <rFont val="JRFonts"/>
        <charset val="134"/>
      </rPr>
      <t>18-07-2026 13:31</t>
    </r>
  </si>
  <si>
    <r>
      <rPr>
        <sz val="10"/>
        <color rgb="FF000000"/>
        <rFont val="JRFonts"/>
        <charset val="134"/>
      </rPr>
      <t>20-07-2026 15:08</t>
    </r>
  </si>
  <si>
    <r>
      <rPr>
        <sz val="10"/>
        <color rgb="FF000000"/>
        <rFont val="JRFonts"/>
        <charset val="134"/>
      </rPr>
      <t>20-07-2026 10:48</t>
    </r>
  </si>
  <si>
    <r>
      <rPr>
        <sz val="10"/>
        <color rgb="FF0000FF"/>
        <rFont val="JRFonts"/>
        <charset val="134"/>
      </rPr>
      <t>20683</t>
    </r>
  </si>
  <si>
    <r>
      <rPr>
        <sz val="10"/>
        <color rgb="FF000000"/>
        <rFont val="JRFonts"/>
        <charset val="134"/>
      </rPr>
      <t>18-07-2026 13:49</t>
    </r>
  </si>
  <si>
    <r>
      <rPr>
        <sz val="10"/>
        <color rgb="FF000000"/>
        <rFont val="JRFonts"/>
        <charset val="134"/>
      </rPr>
      <t>04-08-2026 14:50</t>
    </r>
  </si>
  <si>
    <r>
      <rPr>
        <sz val="10"/>
        <color rgb="FF000000"/>
        <rFont val="JRFonts"/>
        <charset val="134"/>
      </rPr>
      <t>20-07-2026 10:50</t>
    </r>
  </si>
  <si>
    <t>20683</t>
  </si>
  <si>
    <r>
      <rPr>
        <sz val="10"/>
        <color rgb="FF0000FF"/>
        <rFont val="JRFonts"/>
        <charset val="134"/>
      </rPr>
      <t>20685</t>
    </r>
  </si>
  <si>
    <r>
      <rPr>
        <sz val="10"/>
        <color rgb="FF000000"/>
        <rFont val="JRFonts"/>
        <charset val="134"/>
      </rPr>
      <t>18-07-2026 14:05</t>
    </r>
  </si>
  <si>
    <r>
      <rPr>
        <sz val="10"/>
        <color rgb="FF000000"/>
        <rFont val="JRFonts"/>
        <charset val="134"/>
      </rPr>
      <t>22-07-2026 12:49</t>
    </r>
  </si>
  <si>
    <r>
      <rPr>
        <sz val="10"/>
        <color rgb="FF000000"/>
        <rFont val="JRFonts"/>
        <charset val="134"/>
      </rPr>
      <t>20-07-2026 10:52</t>
    </r>
  </si>
  <si>
    <t>20685</t>
  </si>
  <si>
    <r>
      <rPr>
        <sz val="10"/>
        <color rgb="FF0000FF"/>
        <rFont val="JRFonts"/>
        <charset val="134"/>
      </rPr>
      <t>20686</t>
    </r>
  </si>
  <si>
    <r>
      <rPr>
        <sz val="10"/>
        <color rgb="FF000000"/>
        <rFont val="JRFonts"/>
        <charset val="134"/>
      </rPr>
      <t>18-07-2026 14:47</t>
    </r>
  </si>
  <si>
    <r>
      <rPr>
        <sz val="10"/>
        <color rgb="FF000000"/>
        <rFont val="JRFonts"/>
        <charset val="134"/>
      </rPr>
      <t>10-08-2026 16:30</t>
    </r>
  </si>
  <si>
    <r>
      <rPr>
        <sz val="10"/>
        <color rgb="FF000000"/>
        <rFont val="JRFonts"/>
        <charset val="134"/>
      </rPr>
      <t>20-07-2026 10:53</t>
    </r>
  </si>
  <si>
    <t>20686</t>
  </si>
  <si>
    <r>
      <rPr>
        <sz val="10"/>
        <color rgb="FF0000FF"/>
        <rFont val="JRFonts"/>
        <charset val="134"/>
      </rPr>
      <t>20688</t>
    </r>
  </si>
  <si>
    <r>
      <rPr>
        <sz val="10"/>
        <color rgb="FF000000"/>
        <rFont val="JRFonts"/>
        <charset val="134"/>
      </rPr>
      <t>18-07-2026 15:06</t>
    </r>
  </si>
  <si>
    <r>
      <rPr>
        <sz val="10"/>
        <color rgb="FF000000"/>
        <rFont val="JRFonts"/>
        <charset val="134"/>
      </rPr>
      <t>20-07-2026 14:03</t>
    </r>
  </si>
  <si>
    <r>
      <rPr>
        <sz val="10"/>
        <color rgb="FF000000"/>
        <rFont val="JRFonts"/>
        <charset val="134"/>
      </rPr>
      <t>20-07-2026 10:54</t>
    </r>
  </si>
  <si>
    <r>
      <rPr>
        <sz val="10"/>
        <color rgb="FF0000FF"/>
        <rFont val="JRFonts"/>
        <charset val="134"/>
      </rPr>
      <t>20689</t>
    </r>
  </si>
  <si>
    <r>
      <rPr>
        <sz val="10"/>
        <color rgb="FF000000"/>
        <rFont val="JRFonts"/>
        <charset val="134"/>
      </rPr>
      <t>18-07-2026 15:27</t>
    </r>
  </si>
  <si>
    <r>
      <rPr>
        <sz val="10"/>
        <color rgb="FF000000"/>
        <rFont val="JRFonts"/>
        <charset val="134"/>
      </rPr>
      <t>11-08-2026 16:13</t>
    </r>
  </si>
  <si>
    <r>
      <rPr>
        <sz val="10"/>
        <color rgb="FF000000"/>
        <rFont val="JRFonts"/>
        <charset val="134"/>
      </rPr>
      <t>20-07-2026 12:07</t>
    </r>
  </si>
  <si>
    <t>20689</t>
  </si>
  <si>
    <r>
      <rPr>
        <sz val="10"/>
        <color rgb="FF0000FF"/>
        <rFont val="JRFonts"/>
        <charset val="134"/>
      </rPr>
      <t>20692</t>
    </r>
  </si>
  <si>
    <r>
      <rPr>
        <sz val="10"/>
        <color rgb="FF000000"/>
        <rFont val="JRFonts"/>
        <charset val="134"/>
      </rPr>
      <t>18-07-2026 15:57</t>
    </r>
  </si>
  <si>
    <r>
      <rPr>
        <sz val="10"/>
        <color rgb="FF000000"/>
        <rFont val="JRFonts"/>
        <charset val="134"/>
      </rPr>
      <t>30-07-2026 11:42</t>
    </r>
  </si>
  <si>
    <r>
      <rPr>
        <sz val="10"/>
        <color rgb="FF000000"/>
        <rFont val="JRFonts"/>
        <charset val="134"/>
      </rPr>
      <t>20-07-2026 10:58</t>
    </r>
  </si>
  <si>
    <t>20692</t>
  </si>
  <si>
    <r>
      <rPr>
        <sz val="10"/>
        <color rgb="FF0000FF"/>
        <rFont val="JRFonts"/>
        <charset val="134"/>
      </rPr>
      <t>20693</t>
    </r>
  </si>
  <si>
    <r>
      <rPr>
        <sz val="10"/>
        <color rgb="FF000000"/>
        <rFont val="JRFonts"/>
        <charset val="134"/>
      </rPr>
      <t>18-07-2026 16:25</t>
    </r>
  </si>
  <si>
    <r>
      <rPr>
        <sz val="10"/>
        <color rgb="FF000000"/>
        <rFont val="JRFonts"/>
        <charset val="134"/>
      </rPr>
      <t>20-07-2026 11:51</t>
    </r>
  </si>
  <si>
    <r>
      <rPr>
        <sz val="10"/>
        <color rgb="FF000000"/>
        <rFont val="JRFonts"/>
        <charset val="134"/>
      </rPr>
      <t>20-07-2026 10:59</t>
    </r>
  </si>
  <si>
    <r>
      <rPr>
        <sz val="10"/>
        <color rgb="FF0000FF"/>
        <rFont val="JRFonts"/>
        <charset val="134"/>
      </rPr>
      <t>20694</t>
    </r>
  </si>
  <si>
    <r>
      <rPr>
        <sz val="10"/>
        <color rgb="FF000000"/>
        <rFont val="JRFonts"/>
        <charset val="134"/>
      </rPr>
      <t>18-07-2026 16:43</t>
    </r>
  </si>
  <si>
    <r>
      <rPr>
        <sz val="10"/>
        <color rgb="FF000000"/>
        <rFont val="JRFonts"/>
        <charset val="134"/>
      </rPr>
      <t>06-08-2026 14:24</t>
    </r>
  </si>
  <si>
    <r>
      <rPr>
        <sz val="10"/>
        <color rgb="FF000000"/>
        <rFont val="JRFonts"/>
        <charset val="134"/>
      </rPr>
      <t>20-07-2026 11:04</t>
    </r>
  </si>
  <si>
    <t>20694</t>
  </si>
  <si>
    <r>
      <rPr>
        <sz val="10"/>
        <color rgb="FF0000FF"/>
        <rFont val="JRFonts"/>
        <charset val="134"/>
      </rPr>
      <t>20695</t>
    </r>
  </si>
  <si>
    <r>
      <rPr>
        <sz val="10"/>
        <color rgb="FF000000"/>
        <rFont val="JRFonts"/>
        <charset val="134"/>
      </rPr>
      <t>18-07-2026 16:49</t>
    </r>
  </si>
  <si>
    <r>
      <rPr>
        <sz val="10"/>
        <color rgb="FF000000"/>
        <rFont val="JRFonts"/>
        <charset val="134"/>
      </rPr>
      <t>30-07-2026 11:41</t>
    </r>
  </si>
  <si>
    <t>20695</t>
  </si>
  <si>
    <r>
      <rPr>
        <sz val="10"/>
        <color rgb="FF0000FF"/>
        <rFont val="JRFonts"/>
        <charset val="134"/>
      </rPr>
      <t>20696</t>
    </r>
  </si>
  <si>
    <r>
      <rPr>
        <sz val="10"/>
        <color rgb="FF000000"/>
        <rFont val="JRFonts"/>
        <charset val="134"/>
      </rPr>
      <t>18-07-2026 16:52</t>
    </r>
  </si>
  <si>
    <r>
      <rPr>
        <sz val="10"/>
        <color rgb="FF000000"/>
        <rFont val="JRFonts"/>
        <charset val="134"/>
      </rPr>
      <t>20-07-2026 11:05</t>
    </r>
  </si>
  <si>
    <t>20696</t>
  </si>
  <si>
    <r>
      <rPr>
        <sz val="10"/>
        <color rgb="FF0000FF"/>
        <rFont val="JRFonts"/>
        <charset val="134"/>
      </rPr>
      <t>20697</t>
    </r>
  </si>
  <si>
    <r>
      <rPr>
        <sz val="10"/>
        <color rgb="FF000000"/>
        <rFont val="JRFonts"/>
        <charset val="134"/>
      </rPr>
      <t>18-07-2026 17:01</t>
    </r>
  </si>
  <si>
    <r>
      <rPr>
        <sz val="10"/>
        <color rgb="FF000000"/>
        <rFont val="JRFonts"/>
        <charset val="134"/>
      </rPr>
      <t>06-08-2026 12:09</t>
    </r>
  </si>
  <si>
    <r>
      <rPr>
        <sz val="10"/>
        <color rgb="FF000000"/>
        <rFont val="JRFonts"/>
        <charset val="134"/>
      </rPr>
      <t>20-07-2026 11:06</t>
    </r>
  </si>
  <si>
    <t>20697</t>
  </si>
  <si>
    <r>
      <rPr>
        <sz val="10"/>
        <color rgb="FF0000FF"/>
        <rFont val="JRFonts"/>
        <charset val="134"/>
      </rPr>
      <t>20698</t>
    </r>
  </si>
  <si>
    <r>
      <rPr>
        <sz val="10"/>
        <color rgb="FF000000"/>
        <rFont val="JRFonts"/>
        <charset val="134"/>
      </rPr>
      <t>18-07-2026 17:07</t>
    </r>
  </si>
  <si>
    <r>
      <rPr>
        <sz val="10"/>
        <color rgb="FF000000"/>
        <rFont val="JRFonts"/>
        <charset val="134"/>
      </rPr>
      <t>10-08-2026 16:06</t>
    </r>
  </si>
  <si>
    <t>20698</t>
  </si>
  <si>
    <r>
      <rPr>
        <sz val="10"/>
        <color rgb="FF0000FF"/>
        <rFont val="JRFonts"/>
        <charset val="134"/>
      </rPr>
      <t>20700</t>
    </r>
  </si>
  <si>
    <r>
      <rPr>
        <sz val="10"/>
        <color rgb="FF000000"/>
        <rFont val="JRFonts"/>
        <charset val="134"/>
      </rPr>
      <t>18-07-2026 17:26</t>
    </r>
  </si>
  <si>
    <r>
      <rPr>
        <sz val="10"/>
        <color rgb="FF000000"/>
        <rFont val="JRFonts"/>
        <charset val="134"/>
      </rPr>
      <t>18-08-2026 17:02</t>
    </r>
  </si>
  <si>
    <r>
      <rPr>
        <sz val="10"/>
        <color rgb="FF000000"/>
        <rFont val="JRFonts"/>
        <charset val="134"/>
      </rPr>
      <t>20-07-2026 11:07</t>
    </r>
  </si>
  <si>
    <t>20700</t>
  </si>
  <si>
    <r>
      <rPr>
        <sz val="10"/>
        <color rgb="FF0000FF"/>
        <rFont val="JRFonts"/>
        <charset val="134"/>
      </rPr>
      <t>20704</t>
    </r>
  </si>
  <si>
    <t>Credit Guarantee Fund for Micro Units (CGFMU)</t>
  </si>
  <si>
    <r>
      <rPr>
        <sz val="10"/>
        <color rgb="FF000000"/>
        <rFont val="JRFonts"/>
        <charset val="134"/>
      </rPr>
      <t>18-07-2026 18:12</t>
    </r>
  </si>
  <si>
    <r>
      <rPr>
        <sz val="10"/>
        <color rgb="FF000000"/>
        <rFont val="JRFonts"/>
        <charset val="134"/>
      </rPr>
      <t>30-07-2026 16:12</t>
    </r>
  </si>
  <si>
    <r>
      <rPr>
        <sz val="10"/>
        <color rgb="FF000000"/>
        <rFont val="JRFonts"/>
        <charset val="134"/>
      </rPr>
      <t>20-07-2026 11:08</t>
    </r>
  </si>
  <si>
    <t>20704</t>
  </si>
  <si>
    <r>
      <rPr>
        <sz val="10"/>
        <color rgb="FF0000FF"/>
        <rFont val="JRFonts"/>
        <charset val="134"/>
      </rPr>
      <t>20706</t>
    </r>
  </si>
  <si>
    <r>
      <rPr>
        <sz val="10"/>
        <color rgb="FF000000"/>
        <rFont val="JRFonts"/>
        <charset val="134"/>
      </rPr>
      <t>18-07-2026 18:33</t>
    </r>
  </si>
  <si>
    <r>
      <rPr>
        <sz val="10"/>
        <color rgb="FF000000"/>
        <rFont val="JRFonts"/>
        <charset val="134"/>
      </rPr>
      <t>24-07-2026 14:19</t>
    </r>
  </si>
  <si>
    <r>
      <rPr>
        <sz val="10"/>
        <color rgb="FF000000"/>
        <rFont val="JRFonts"/>
        <charset val="134"/>
      </rPr>
      <t>20-07-2026 11:10</t>
    </r>
  </si>
  <si>
    <t>20706</t>
  </si>
  <si>
    <r>
      <rPr>
        <sz val="10"/>
        <color rgb="FF0000FF"/>
        <rFont val="JRFonts"/>
        <charset val="134"/>
      </rPr>
      <t>20707</t>
    </r>
  </si>
  <si>
    <r>
      <rPr>
        <sz val="10"/>
        <color rgb="FF000000"/>
        <rFont val="JRFonts"/>
        <charset val="134"/>
      </rPr>
      <t>18-07-2026 18:42</t>
    </r>
  </si>
  <si>
    <r>
      <rPr>
        <sz val="10"/>
        <color rgb="FF000000"/>
        <rFont val="JRFonts"/>
        <charset val="134"/>
      </rPr>
      <t>20-07-2026 12:50</t>
    </r>
  </si>
  <si>
    <r>
      <rPr>
        <sz val="10"/>
        <color rgb="FF000000"/>
        <rFont val="JRFonts"/>
        <charset val="134"/>
      </rPr>
      <t>20-07-2026 11:11</t>
    </r>
  </si>
  <si>
    <r>
      <rPr>
        <sz val="10"/>
        <color rgb="FF0000FF"/>
        <rFont val="JRFonts"/>
        <charset val="134"/>
      </rPr>
      <t>20708</t>
    </r>
  </si>
  <si>
    <r>
      <rPr>
        <sz val="10"/>
        <color rgb="FF000000"/>
        <rFont val="JRFonts"/>
        <charset val="134"/>
      </rPr>
      <t>18-07-2026 18:45</t>
    </r>
  </si>
  <si>
    <r>
      <rPr>
        <sz val="10"/>
        <color rgb="FF000000"/>
        <rFont val="JRFonts"/>
        <charset val="134"/>
      </rPr>
      <t>12-08-2026 14:23</t>
    </r>
  </si>
  <si>
    <r>
      <rPr>
        <sz val="10"/>
        <color rgb="FF000000"/>
        <rFont val="JRFonts"/>
        <charset val="134"/>
      </rPr>
      <t>20-07-2026 11:13</t>
    </r>
  </si>
  <si>
    <t>20708</t>
  </si>
  <si>
    <r>
      <rPr>
        <sz val="10"/>
        <color rgb="FF0000FF"/>
        <rFont val="JRFonts"/>
        <charset val="134"/>
      </rPr>
      <t>20709</t>
    </r>
  </si>
  <si>
    <r>
      <rPr>
        <sz val="10"/>
        <color rgb="FF000000"/>
        <rFont val="JRFonts"/>
        <charset val="134"/>
      </rPr>
      <t>18-07-2026 18:48</t>
    </r>
  </si>
  <si>
    <r>
      <rPr>
        <sz val="10"/>
        <color rgb="FF000000"/>
        <rFont val="JRFonts"/>
        <charset val="134"/>
      </rPr>
      <t>20-07-2026 14:51</t>
    </r>
  </si>
  <si>
    <r>
      <rPr>
        <sz val="10"/>
        <color rgb="FF000000"/>
        <rFont val="JRFonts"/>
        <charset val="134"/>
      </rPr>
      <t>20-07-2026 11:21</t>
    </r>
  </si>
  <si>
    <r>
      <rPr>
        <sz val="10"/>
        <color rgb="FF0000FF"/>
        <rFont val="JRFonts"/>
        <charset val="134"/>
      </rPr>
      <t>20710</t>
    </r>
  </si>
  <si>
    <r>
      <rPr>
        <sz val="10"/>
        <color rgb="FF000000"/>
        <rFont val="JRFonts"/>
        <charset val="134"/>
      </rPr>
      <t>18-07-2026 19:46</t>
    </r>
  </si>
  <si>
    <r>
      <rPr>
        <sz val="10"/>
        <color rgb="FF000000"/>
        <rFont val="JRFonts"/>
        <charset val="134"/>
      </rPr>
      <t>06-08-2026 12:05</t>
    </r>
  </si>
  <si>
    <r>
      <rPr>
        <sz val="10"/>
        <color rgb="FF000000"/>
        <rFont val="JRFonts"/>
        <charset val="134"/>
      </rPr>
      <t>20-07-2026 11:22</t>
    </r>
  </si>
  <si>
    <t>20710</t>
  </si>
  <si>
    <r>
      <rPr>
        <sz val="10"/>
        <color rgb="FF0000FF"/>
        <rFont val="JRFonts"/>
        <charset val="134"/>
      </rPr>
      <t>20713</t>
    </r>
  </si>
  <si>
    <r>
      <rPr>
        <sz val="10"/>
        <color rgb="FF000000"/>
        <rFont val="JRFonts"/>
        <charset val="134"/>
      </rPr>
      <t>20-07-2026 10:06</t>
    </r>
  </si>
  <si>
    <r>
      <rPr>
        <sz val="10"/>
        <color rgb="FF000000"/>
        <rFont val="JRFonts"/>
        <charset val="134"/>
      </rPr>
      <t>18-08-2026 17:08</t>
    </r>
  </si>
  <si>
    <r>
      <rPr>
        <sz val="10"/>
        <color rgb="FF000000"/>
        <rFont val="JRFonts"/>
        <charset val="134"/>
      </rPr>
      <t>20-07-2026 11:24</t>
    </r>
  </si>
  <si>
    <t>20713</t>
  </si>
  <si>
    <r>
      <rPr>
        <sz val="10"/>
        <color rgb="FF0000FF"/>
        <rFont val="JRFonts"/>
        <charset val="134"/>
      </rPr>
      <t>20714</t>
    </r>
  </si>
  <si>
    <r>
      <rPr>
        <sz val="10"/>
        <color rgb="FF000000"/>
        <rFont val="JRFonts"/>
        <charset val="134"/>
      </rPr>
      <t>20-07-2026 10:12</t>
    </r>
  </si>
  <si>
    <r>
      <rPr>
        <sz val="10"/>
        <color rgb="FF000000"/>
        <rFont val="JRFonts"/>
        <charset val="134"/>
      </rPr>
      <t>20-08-2026 10:24</t>
    </r>
  </si>
  <si>
    <r>
      <rPr>
        <sz val="10"/>
        <color rgb="FF000000"/>
        <rFont val="JRFonts"/>
        <charset val="134"/>
      </rPr>
      <t>20-07-2026 11:25</t>
    </r>
  </si>
  <si>
    <t>20714</t>
  </si>
  <si>
    <r>
      <rPr>
        <sz val="10"/>
        <color rgb="FF0000FF"/>
        <rFont val="JRFonts"/>
        <charset val="134"/>
      </rPr>
      <t>20715</t>
    </r>
  </si>
  <si>
    <r>
      <rPr>
        <sz val="10"/>
        <color rgb="FF000000"/>
        <rFont val="JRFonts"/>
        <charset val="134"/>
      </rPr>
      <t>20-07-2026 10:18</t>
    </r>
  </si>
  <si>
    <r>
      <rPr>
        <sz val="10"/>
        <color rgb="FF000000"/>
        <rFont val="JRFonts"/>
        <charset val="134"/>
      </rPr>
      <t>27-07-2026 10:03</t>
    </r>
  </si>
  <si>
    <r>
      <rPr>
        <sz val="10"/>
        <color rgb="FF000000"/>
        <rFont val="JRFonts"/>
        <charset val="134"/>
      </rPr>
      <t>20-07-2026 11:26</t>
    </r>
  </si>
  <si>
    <t>20715</t>
  </si>
  <si>
    <r>
      <rPr>
        <sz val="10"/>
        <color rgb="FF0000FF"/>
        <rFont val="JRFonts"/>
        <charset val="134"/>
      </rPr>
      <t>20717</t>
    </r>
  </si>
  <si>
    <r>
      <rPr>
        <sz val="10"/>
        <color rgb="FF000000"/>
        <rFont val="JRFonts"/>
        <charset val="134"/>
      </rPr>
      <t>20-07-2026 14:26</t>
    </r>
  </si>
  <si>
    <r>
      <rPr>
        <sz val="10"/>
        <color rgb="FF000000"/>
        <rFont val="JRFonts"/>
        <charset val="134"/>
      </rPr>
      <t>20-07-2026 11:33</t>
    </r>
  </si>
  <si>
    <r>
      <rPr>
        <sz val="10"/>
        <color rgb="FF0000FF"/>
        <rFont val="JRFonts"/>
        <charset val="134"/>
      </rPr>
      <t>20718</t>
    </r>
  </si>
  <si>
    <t>20718</t>
  </si>
  <si>
    <r>
      <rPr>
        <sz val="10"/>
        <color rgb="FF0000FF"/>
        <rFont val="JRFonts"/>
        <charset val="134"/>
      </rPr>
      <t>20719</t>
    </r>
  </si>
  <si>
    <r>
      <rPr>
        <sz val="10"/>
        <color rgb="FF000000"/>
        <rFont val="JRFonts"/>
        <charset val="134"/>
      </rPr>
      <t>20-07-2026 10:34</t>
    </r>
  </si>
  <si>
    <r>
      <rPr>
        <sz val="10"/>
        <color rgb="FF000000"/>
        <rFont val="JRFonts"/>
        <charset val="134"/>
      </rPr>
      <t>18-08-2026 18:46</t>
    </r>
  </si>
  <si>
    <r>
      <rPr>
        <sz val="10"/>
        <color rgb="FF000000"/>
        <rFont val="JRFonts"/>
        <charset val="134"/>
      </rPr>
      <t>20-07-2026 11:34</t>
    </r>
  </si>
  <si>
    <t>20719</t>
  </si>
  <si>
    <r>
      <rPr>
        <sz val="10"/>
        <color rgb="FF0000FF"/>
        <rFont val="JRFonts"/>
        <charset val="134"/>
      </rPr>
      <t>20720</t>
    </r>
  </si>
  <si>
    <r>
      <rPr>
        <sz val="10"/>
        <color rgb="FF000000"/>
        <rFont val="JRFonts"/>
        <charset val="134"/>
      </rPr>
      <t>22-07-2026 12:44</t>
    </r>
  </si>
  <si>
    <r>
      <rPr>
        <sz val="10"/>
        <color rgb="FF000000"/>
        <rFont val="JRFonts"/>
        <charset val="134"/>
      </rPr>
      <t>20-07-2026 11:38</t>
    </r>
  </si>
  <si>
    <t>20720</t>
  </si>
  <si>
    <t>Bill generation took time RBL - 30L record</t>
  </si>
  <si>
    <r>
      <rPr>
        <sz val="10"/>
        <color rgb="FF0000FF"/>
        <rFont val="JRFonts"/>
        <charset val="134"/>
      </rPr>
      <t>20721</t>
    </r>
  </si>
  <si>
    <r>
      <rPr>
        <sz val="10"/>
        <color rgb="FF000000"/>
        <rFont val="JRFonts"/>
        <charset val="134"/>
      </rPr>
      <t>23-07-2026 16:29</t>
    </r>
  </si>
  <si>
    <r>
      <rPr>
        <sz val="10"/>
        <color rgb="FF000000"/>
        <rFont val="JRFonts"/>
        <charset val="134"/>
      </rPr>
      <t>20-07-2026 11:49</t>
    </r>
  </si>
  <si>
    <t>20721</t>
  </si>
  <si>
    <r>
      <rPr>
        <sz val="10"/>
        <color rgb="FF0000FF"/>
        <rFont val="JRFonts"/>
        <charset val="134"/>
      </rPr>
      <t>20722</t>
    </r>
  </si>
  <si>
    <r>
      <rPr>
        <sz val="10"/>
        <color rgb="FF000000"/>
        <rFont val="JRFonts"/>
        <charset val="134"/>
      </rPr>
      <t>22-07-2026 12:18</t>
    </r>
  </si>
  <si>
    <r>
      <rPr>
        <sz val="10"/>
        <color rgb="FF000000"/>
        <rFont val="JRFonts"/>
        <charset val="134"/>
      </rPr>
      <t>21-07-2026 11:20</t>
    </r>
  </si>
  <si>
    <r>
      <rPr>
        <sz val="10"/>
        <color rgb="FF0000FF"/>
        <rFont val="JRFonts"/>
        <charset val="134"/>
      </rPr>
      <t>20723</t>
    </r>
  </si>
  <si>
    <r>
      <rPr>
        <sz val="10"/>
        <color rgb="FF000000"/>
        <rFont val="JRFonts"/>
        <charset val="134"/>
      </rPr>
      <t>20-07-2026 10:55</t>
    </r>
  </si>
  <si>
    <r>
      <rPr>
        <sz val="10"/>
        <color rgb="FF000000"/>
        <rFont val="JRFonts"/>
        <charset val="134"/>
      </rPr>
      <t>22-07-2026 15:32</t>
    </r>
  </si>
  <si>
    <r>
      <rPr>
        <sz val="10"/>
        <color rgb="FF000000"/>
        <rFont val="JRFonts"/>
        <charset val="134"/>
      </rPr>
      <t>20-07-2026 11:52</t>
    </r>
  </si>
  <si>
    <t>20723</t>
  </si>
  <si>
    <r>
      <rPr>
        <sz val="10"/>
        <color rgb="FF0000FF"/>
        <rFont val="JRFonts"/>
        <charset val="134"/>
      </rPr>
      <t>20724</t>
    </r>
  </si>
  <si>
    <r>
      <rPr>
        <sz val="10"/>
        <color rgb="FF000000"/>
        <rFont val="JRFonts"/>
        <charset val="134"/>
      </rPr>
      <t>07-08-2026 15:24</t>
    </r>
  </si>
  <si>
    <t>20724</t>
  </si>
  <si>
    <r>
      <rPr>
        <sz val="10"/>
        <color rgb="FF0000FF"/>
        <rFont val="JRFonts"/>
        <charset val="134"/>
      </rPr>
      <t>20725</t>
    </r>
  </si>
  <si>
    <r>
      <rPr>
        <sz val="10"/>
        <color rgb="FF000000"/>
        <rFont val="JRFonts"/>
        <charset val="134"/>
      </rPr>
      <t>20-07-2026 15:56</t>
    </r>
  </si>
  <si>
    <r>
      <rPr>
        <sz val="10"/>
        <color rgb="FF000000"/>
        <rFont val="JRFonts"/>
        <charset val="134"/>
      </rPr>
      <t>20-07-2026 11:55</t>
    </r>
  </si>
  <si>
    <r>
      <rPr>
        <sz val="10"/>
        <color rgb="FF0000FF"/>
        <rFont val="JRFonts"/>
        <charset val="134"/>
      </rPr>
      <t>20726</t>
    </r>
  </si>
  <si>
    <r>
      <rPr>
        <sz val="10"/>
        <color rgb="FF000000"/>
        <rFont val="JRFonts"/>
        <charset val="134"/>
      </rPr>
      <t>20-07-2026 11:23</t>
    </r>
  </si>
  <si>
    <r>
      <rPr>
        <sz val="10"/>
        <color rgb="FF000000"/>
        <rFont val="JRFonts"/>
        <charset val="134"/>
      </rPr>
      <t>20-07-2026 15:16</t>
    </r>
  </si>
  <si>
    <r>
      <rPr>
        <sz val="10"/>
        <color rgb="FF000000"/>
        <rFont val="JRFonts"/>
        <charset val="134"/>
      </rPr>
      <t>20-07-2026 11:57</t>
    </r>
  </si>
  <si>
    <r>
      <rPr>
        <sz val="10"/>
        <color rgb="FF0000FF"/>
        <rFont val="JRFonts"/>
        <charset val="134"/>
      </rPr>
      <t>20727</t>
    </r>
  </si>
  <si>
    <r>
      <rPr>
        <sz val="10"/>
        <color rgb="FF000000"/>
        <rFont val="JRFonts"/>
        <charset val="134"/>
      </rPr>
      <t>20-07-2026 11:35</t>
    </r>
  </si>
  <si>
    <r>
      <rPr>
        <sz val="10"/>
        <color rgb="FF000000"/>
        <rFont val="JRFonts"/>
        <charset val="134"/>
      </rPr>
      <t>22-07-2026 11:58</t>
    </r>
  </si>
  <si>
    <r>
      <rPr>
        <sz val="10"/>
        <color rgb="FF000000"/>
        <rFont val="JRFonts"/>
        <charset val="134"/>
      </rPr>
      <t>20-07-2026 11:59</t>
    </r>
  </si>
  <si>
    <t>20727</t>
  </si>
  <si>
    <r>
      <rPr>
        <sz val="10"/>
        <color rgb="FF0000FF"/>
        <rFont val="JRFonts"/>
        <charset val="134"/>
      </rPr>
      <t>20728</t>
    </r>
  </si>
  <si>
    <r>
      <rPr>
        <sz val="10"/>
        <color rgb="FF000000"/>
        <rFont val="JRFonts"/>
        <charset val="134"/>
      </rPr>
      <t>20-08-2026 18:27</t>
    </r>
  </si>
  <si>
    <r>
      <rPr>
        <sz val="10"/>
        <color rgb="FF000000"/>
        <rFont val="JRFonts"/>
        <charset val="134"/>
      </rPr>
      <t>20-07-2026 12:00</t>
    </r>
  </si>
  <si>
    <t>20728</t>
  </si>
  <si>
    <r>
      <rPr>
        <sz val="10"/>
        <color rgb="FF0000FF"/>
        <rFont val="JRFonts"/>
        <charset val="134"/>
      </rPr>
      <t>20729</t>
    </r>
  </si>
  <si>
    <r>
      <rPr>
        <sz val="10"/>
        <color rgb="FF000000"/>
        <rFont val="JRFonts"/>
        <charset val="134"/>
      </rPr>
      <t>20-07-2026 11:44</t>
    </r>
  </si>
  <si>
    <r>
      <rPr>
        <sz val="10"/>
        <color rgb="FF000000"/>
        <rFont val="JRFonts"/>
        <charset val="134"/>
      </rPr>
      <t>20-07-2026 15:30</t>
    </r>
  </si>
  <si>
    <r>
      <rPr>
        <sz val="10"/>
        <color rgb="FF000000"/>
        <rFont val="JRFonts"/>
        <charset val="134"/>
      </rPr>
      <t>20-07-2026 12:01</t>
    </r>
  </si>
  <si>
    <r>
      <rPr>
        <sz val="10"/>
        <color rgb="FF0000FF"/>
        <rFont val="JRFonts"/>
        <charset val="134"/>
      </rPr>
      <t>20730</t>
    </r>
  </si>
  <si>
    <r>
      <rPr>
        <sz val="10"/>
        <color rgb="FF000000"/>
        <rFont val="JRFonts"/>
        <charset val="134"/>
      </rPr>
      <t>21-08-2026 12:33</t>
    </r>
  </si>
  <si>
    <r>
      <rPr>
        <sz val="10"/>
        <color rgb="FF000000"/>
        <rFont val="JRFonts"/>
        <charset val="134"/>
      </rPr>
      <t>20-07-2026 12:04</t>
    </r>
  </si>
  <si>
    <t>20730</t>
  </si>
  <si>
    <r>
      <rPr>
        <sz val="10"/>
        <color rgb="FF0000FF"/>
        <rFont val="JRFonts"/>
        <charset val="134"/>
      </rPr>
      <t>20731</t>
    </r>
  </si>
  <si>
    <r>
      <rPr>
        <sz val="10"/>
        <color rgb="FF000000"/>
        <rFont val="JRFonts"/>
        <charset val="134"/>
      </rPr>
      <t>22-07-2026 11:32</t>
    </r>
  </si>
  <si>
    <r>
      <rPr>
        <sz val="10"/>
        <color rgb="FF000000"/>
        <rFont val="JRFonts"/>
        <charset val="134"/>
      </rPr>
      <t>20-07-2026 12:08</t>
    </r>
  </si>
  <si>
    <t>20731</t>
  </si>
  <si>
    <r>
      <rPr>
        <sz val="10"/>
        <color rgb="FF0000FF"/>
        <rFont val="JRFonts"/>
        <charset val="134"/>
      </rPr>
      <t>20732</t>
    </r>
  </si>
  <si>
    <r>
      <rPr>
        <sz val="10"/>
        <color rgb="FF000000"/>
        <rFont val="JRFonts"/>
        <charset val="134"/>
      </rPr>
      <t>20-08-2026 18:22</t>
    </r>
  </si>
  <si>
    <r>
      <rPr>
        <sz val="10"/>
        <color rgb="FF000000"/>
        <rFont val="JRFonts"/>
        <charset val="134"/>
      </rPr>
      <t>20-07-2026 12:11</t>
    </r>
  </si>
  <si>
    <t>20732</t>
  </si>
  <si>
    <r>
      <rPr>
        <sz val="10"/>
        <color rgb="FF0000FF"/>
        <rFont val="JRFonts"/>
        <charset val="134"/>
      </rPr>
      <t>20734</t>
    </r>
  </si>
  <si>
    <r>
      <rPr>
        <sz val="10"/>
        <color rgb="FF000000"/>
        <rFont val="JRFonts"/>
        <charset val="134"/>
      </rPr>
      <t>20-07-2026 12:12</t>
    </r>
  </si>
  <si>
    <r>
      <rPr>
        <sz val="10"/>
        <color rgb="FF000000"/>
        <rFont val="JRFonts"/>
        <charset val="134"/>
      </rPr>
      <t>21-07-2026 15:22</t>
    </r>
  </si>
  <si>
    <r>
      <rPr>
        <sz val="10"/>
        <color rgb="FF000000"/>
        <rFont val="JRFonts"/>
        <charset val="134"/>
      </rPr>
      <t>20-07-2026 12:17</t>
    </r>
  </si>
  <si>
    <r>
      <rPr>
        <sz val="10"/>
        <color rgb="FF0000FF"/>
        <rFont val="JRFonts"/>
        <charset val="134"/>
      </rPr>
      <t>20737</t>
    </r>
  </si>
  <si>
    <r>
      <rPr>
        <sz val="10"/>
        <color rgb="FF000000"/>
        <rFont val="JRFonts"/>
        <charset val="134"/>
      </rPr>
      <t>21-08-2026 10:55</t>
    </r>
  </si>
  <si>
    <r>
      <rPr>
        <sz val="10"/>
        <color rgb="FF000000"/>
        <rFont val="JRFonts"/>
        <charset val="134"/>
      </rPr>
      <t>20-07-2026 12:45</t>
    </r>
  </si>
  <si>
    <t>20737</t>
  </si>
  <si>
    <r>
      <rPr>
        <sz val="10"/>
        <color rgb="FF0000FF"/>
        <rFont val="JRFonts"/>
        <charset val="134"/>
      </rPr>
      <t>20739</t>
    </r>
  </si>
  <si>
    <r>
      <rPr>
        <sz val="10"/>
        <color rgb="FF000000"/>
        <rFont val="JRFonts"/>
        <charset val="134"/>
      </rPr>
      <t>20-07-2026 12:37</t>
    </r>
  </si>
  <si>
    <r>
      <rPr>
        <sz val="10"/>
        <color rgb="FF000000"/>
        <rFont val="JRFonts"/>
        <charset val="134"/>
      </rPr>
      <t>20-07-2026 13:03</t>
    </r>
  </si>
  <si>
    <r>
      <rPr>
        <sz val="10"/>
        <color rgb="FF000000"/>
        <rFont val="JRFonts"/>
        <charset val="134"/>
      </rPr>
      <t>20-07-2026 12:46</t>
    </r>
  </si>
  <si>
    <r>
      <rPr>
        <sz val="10"/>
        <color rgb="FF0000FF"/>
        <rFont val="JRFonts"/>
        <charset val="134"/>
      </rPr>
      <t>20740</t>
    </r>
  </si>
  <si>
    <r>
      <rPr>
        <sz val="10"/>
        <color rgb="FF000000"/>
        <rFont val="JRFonts"/>
        <charset val="134"/>
      </rPr>
      <t>20-07-2026 12:43</t>
    </r>
  </si>
  <si>
    <r>
      <rPr>
        <sz val="10"/>
        <color rgb="FF000000"/>
        <rFont val="JRFonts"/>
        <charset val="134"/>
      </rPr>
      <t>22-07-2026 11:36</t>
    </r>
  </si>
  <si>
    <r>
      <rPr>
        <sz val="10"/>
        <color rgb="FF000000"/>
        <rFont val="JRFonts"/>
        <charset val="134"/>
      </rPr>
      <t>20-07-2026 12:48</t>
    </r>
  </si>
  <si>
    <t>20740</t>
  </si>
  <si>
    <r>
      <rPr>
        <sz val="10"/>
        <color rgb="FF0000FF"/>
        <rFont val="JRFonts"/>
        <charset val="134"/>
      </rPr>
      <t>20741</t>
    </r>
  </si>
  <si>
    <r>
      <rPr>
        <sz val="10"/>
        <color rgb="FF000000"/>
        <rFont val="JRFonts"/>
        <charset val="134"/>
      </rPr>
      <t>21-07-2026 12:33</t>
    </r>
  </si>
  <si>
    <r>
      <rPr>
        <sz val="10"/>
        <color rgb="FF000000"/>
        <rFont val="JRFonts"/>
        <charset val="134"/>
      </rPr>
      <t>20-07-2026 12:52</t>
    </r>
  </si>
  <si>
    <t>Priority got updated form P4 to P1</t>
  </si>
  <si>
    <r>
      <rPr>
        <sz val="10"/>
        <color rgb="FF0000FF"/>
        <rFont val="JRFonts"/>
        <charset val="134"/>
      </rPr>
      <t>20742</t>
    </r>
  </si>
  <si>
    <r>
      <rPr>
        <sz val="10"/>
        <color rgb="FF000000"/>
        <rFont val="JRFonts"/>
        <charset val="134"/>
      </rPr>
      <t>05-08-2026 17:43</t>
    </r>
  </si>
  <si>
    <r>
      <rPr>
        <sz val="10"/>
        <color rgb="FF000000"/>
        <rFont val="JRFonts"/>
        <charset val="134"/>
      </rPr>
      <t>21-07-2026 15:08</t>
    </r>
  </si>
  <si>
    <t>20742</t>
  </si>
  <si>
    <r>
      <rPr>
        <sz val="10"/>
        <color rgb="FF0000FF"/>
        <rFont val="JRFonts"/>
        <charset val="134"/>
      </rPr>
      <t>20743</t>
    </r>
  </si>
  <si>
    <r>
      <rPr>
        <sz val="10"/>
        <color rgb="FF000000"/>
        <rFont val="JRFonts"/>
        <charset val="134"/>
      </rPr>
      <t>20-07-2026 12:55</t>
    </r>
  </si>
  <si>
    <r>
      <rPr>
        <sz val="10"/>
        <color rgb="FF000000"/>
        <rFont val="JRFonts"/>
        <charset val="134"/>
      </rPr>
      <t>31-07-2026 15:21</t>
    </r>
  </si>
  <si>
    <r>
      <rPr>
        <sz val="10"/>
        <color rgb="FF000000"/>
        <rFont val="JRFonts"/>
        <charset val="134"/>
      </rPr>
      <t>20-07-2026 14:14</t>
    </r>
  </si>
  <si>
    <t>20743</t>
  </si>
  <si>
    <r>
      <rPr>
        <sz val="10"/>
        <color rgb="FF0000FF"/>
        <rFont val="JRFonts"/>
        <charset val="134"/>
      </rPr>
      <t>20744</t>
    </r>
  </si>
  <si>
    <r>
      <rPr>
        <sz val="10"/>
        <color rgb="FF000000"/>
        <rFont val="JRFonts"/>
        <charset val="134"/>
      </rPr>
      <t>20-07-2026 14:09</t>
    </r>
  </si>
  <si>
    <r>
      <rPr>
        <sz val="10"/>
        <color rgb="FF0000FF"/>
        <rFont val="JRFonts"/>
        <charset val="134"/>
      </rPr>
      <t>20745</t>
    </r>
  </si>
  <si>
    <r>
      <rPr>
        <sz val="10"/>
        <color rgb="FF000000"/>
        <rFont val="JRFonts"/>
        <charset val="134"/>
      </rPr>
      <t>22-07-2026 11:38</t>
    </r>
  </si>
  <si>
    <t>20745</t>
  </si>
  <si>
    <r>
      <rPr>
        <sz val="10"/>
        <color rgb="FF0000FF"/>
        <rFont val="JRFonts"/>
        <charset val="134"/>
      </rPr>
      <t>20748</t>
    </r>
  </si>
  <si>
    <r>
      <rPr>
        <sz val="10"/>
        <color rgb="FF000000"/>
        <rFont val="JRFonts"/>
        <charset val="134"/>
      </rPr>
      <t>20-07-2026 13:11</t>
    </r>
  </si>
  <si>
    <r>
      <rPr>
        <sz val="10"/>
        <color rgb="FF000000"/>
        <rFont val="JRFonts"/>
        <charset val="134"/>
      </rPr>
      <t>24-07-2026 18:36</t>
    </r>
  </si>
  <si>
    <r>
      <rPr>
        <sz val="10"/>
        <color rgb="FF000000"/>
        <rFont val="JRFonts"/>
        <charset val="134"/>
      </rPr>
      <t>20-07-2026 14:20</t>
    </r>
  </si>
  <si>
    <t>20748</t>
  </si>
  <si>
    <r>
      <rPr>
        <sz val="10"/>
        <color rgb="FF0000FF"/>
        <rFont val="JRFonts"/>
        <charset val="134"/>
      </rPr>
      <t>20749</t>
    </r>
  </si>
  <si>
    <r>
      <rPr>
        <sz val="10"/>
        <color rgb="FF000000"/>
        <rFont val="JRFonts"/>
        <charset val="134"/>
      </rPr>
      <t>20-07-2026 13:17</t>
    </r>
  </si>
  <si>
    <r>
      <rPr>
        <sz val="10"/>
        <color rgb="FF000000"/>
        <rFont val="JRFonts"/>
        <charset val="134"/>
      </rPr>
      <t>20-07-2026 15:13</t>
    </r>
  </si>
  <si>
    <r>
      <rPr>
        <sz val="10"/>
        <color rgb="FF000000"/>
        <rFont val="JRFonts"/>
        <charset val="134"/>
      </rPr>
      <t>20-07-2026 14:22</t>
    </r>
  </si>
  <si>
    <r>
      <rPr>
        <sz val="10"/>
        <color rgb="FF0000FF"/>
        <rFont val="JRFonts"/>
        <charset val="134"/>
      </rPr>
      <t>20751</t>
    </r>
  </si>
  <si>
    <r>
      <rPr>
        <sz val="10"/>
        <color rgb="FF000000"/>
        <rFont val="JRFonts"/>
        <charset val="134"/>
      </rPr>
      <t>20-07-2026 13:29</t>
    </r>
  </si>
  <si>
    <r>
      <rPr>
        <sz val="10"/>
        <color rgb="FF000000"/>
        <rFont val="JRFonts"/>
        <charset val="134"/>
      </rPr>
      <t>20-07-2026 15:11</t>
    </r>
  </si>
  <si>
    <r>
      <rPr>
        <sz val="10"/>
        <color rgb="FF000000"/>
        <rFont val="JRFonts"/>
        <charset val="134"/>
      </rPr>
      <t>20-07-2026 14:24</t>
    </r>
  </si>
  <si>
    <r>
      <rPr>
        <sz val="10"/>
        <color rgb="FF0000FF"/>
        <rFont val="JRFonts"/>
        <charset val="134"/>
      </rPr>
      <t>20752</t>
    </r>
  </si>
  <si>
    <r>
      <rPr>
        <sz val="10"/>
        <color rgb="FF000000"/>
        <rFont val="JRFonts"/>
        <charset val="134"/>
      </rPr>
      <t>20-07-2026 13:41</t>
    </r>
  </si>
  <si>
    <r>
      <rPr>
        <sz val="10"/>
        <color rgb="FF000000"/>
        <rFont val="JRFonts"/>
        <charset val="134"/>
      </rPr>
      <t>10-08-2026 17:56</t>
    </r>
  </si>
  <si>
    <r>
      <rPr>
        <sz val="10"/>
        <color rgb="FF000000"/>
        <rFont val="JRFonts"/>
        <charset val="134"/>
      </rPr>
      <t>20-07-2026 14:28</t>
    </r>
  </si>
  <si>
    <t>20752</t>
  </si>
  <si>
    <r>
      <rPr>
        <sz val="10"/>
        <color rgb="FF0000FF"/>
        <rFont val="JRFonts"/>
        <charset val="134"/>
      </rPr>
      <t>20755</t>
    </r>
  </si>
  <si>
    <r>
      <rPr>
        <sz val="10"/>
        <color rgb="FF000000"/>
        <rFont val="JRFonts"/>
        <charset val="134"/>
      </rPr>
      <t>20-07-2026 13:44</t>
    </r>
  </si>
  <si>
    <r>
      <rPr>
        <sz val="10"/>
        <color rgb="FF000000"/>
        <rFont val="JRFonts"/>
        <charset val="134"/>
      </rPr>
      <t>21-07-2026 15:09</t>
    </r>
  </si>
  <si>
    <r>
      <rPr>
        <sz val="10"/>
        <color rgb="FF0000FF"/>
        <rFont val="JRFonts"/>
        <charset val="134"/>
      </rPr>
      <t>20756</t>
    </r>
  </si>
  <si>
    <r>
      <rPr>
        <sz val="10"/>
        <color rgb="FF000000"/>
        <rFont val="JRFonts"/>
        <charset val="134"/>
      </rPr>
      <t>20-07-2026 14:15</t>
    </r>
  </si>
  <si>
    <r>
      <rPr>
        <sz val="10"/>
        <color rgb="FF000000"/>
        <rFont val="JRFonts"/>
        <charset val="134"/>
      </rPr>
      <t>20-07-2026 14:31</t>
    </r>
  </si>
  <si>
    <r>
      <rPr>
        <sz val="10"/>
        <color rgb="FF0000FF"/>
        <rFont val="JRFonts"/>
        <charset val="134"/>
      </rPr>
      <t>20757</t>
    </r>
  </si>
  <si>
    <r>
      <rPr>
        <sz val="10"/>
        <color rgb="FF000000"/>
        <rFont val="JRFonts"/>
        <charset val="134"/>
      </rPr>
      <t>20-07-2026 14:21</t>
    </r>
  </si>
  <si>
    <r>
      <rPr>
        <sz val="10"/>
        <color rgb="FF000000"/>
        <rFont val="JRFonts"/>
        <charset val="134"/>
      </rPr>
      <t>27-07-2026 10:05</t>
    </r>
  </si>
  <si>
    <r>
      <rPr>
        <sz val="10"/>
        <color rgb="FF000000"/>
        <rFont val="JRFonts"/>
        <charset val="134"/>
      </rPr>
      <t>20-07-2026 14:32</t>
    </r>
  </si>
  <si>
    <t>20757</t>
  </si>
  <si>
    <r>
      <rPr>
        <sz val="10"/>
        <color rgb="FF0000FF"/>
        <rFont val="JRFonts"/>
        <charset val="134"/>
      </rPr>
      <t>20758</t>
    </r>
  </si>
  <si>
    <r>
      <rPr>
        <sz val="10"/>
        <color rgb="FF000000"/>
        <rFont val="JRFonts"/>
        <charset val="134"/>
      </rPr>
      <t>22-07-2026 11:54</t>
    </r>
  </si>
  <si>
    <r>
      <rPr>
        <sz val="10"/>
        <color rgb="FF000000"/>
        <rFont val="JRFonts"/>
        <charset val="134"/>
      </rPr>
      <t>20-07-2026 14:35</t>
    </r>
  </si>
  <si>
    <t>20758</t>
  </si>
  <si>
    <r>
      <rPr>
        <sz val="10"/>
        <color rgb="FF0000FF"/>
        <rFont val="JRFonts"/>
        <charset val="134"/>
      </rPr>
      <t>20759</t>
    </r>
  </si>
  <si>
    <r>
      <rPr>
        <sz val="10"/>
        <color rgb="FF000000"/>
        <rFont val="JRFonts"/>
        <charset val="134"/>
      </rPr>
      <t>20-07-2026 14:30</t>
    </r>
  </si>
  <si>
    <r>
      <rPr>
        <sz val="10"/>
        <color rgb="FF000000"/>
        <rFont val="JRFonts"/>
        <charset val="134"/>
      </rPr>
      <t>20-08-2026 12:31</t>
    </r>
  </si>
  <si>
    <r>
      <rPr>
        <sz val="10"/>
        <color rgb="FF000000"/>
        <rFont val="JRFonts"/>
        <charset val="134"/>
      </rPr>
      <t>20-07-2026 15:07</t>
    </r>
  </si>
  <si>
    <t>20759</t>
  </si>
  <si>
    <r>
      <rPr>
        <sz val="10"/>
        <color rgb="FF0000FF"/>
        <rFont val="JRFonts"/>
        <charset val="134"/>
      </rPr>
      <t>20760</t>
    </r>
  </si>
  <si>
    <r>
      <rPr>
        <sz val="10"/>
        <color rgb="FF000000"/>
        <rFont val="JRFonts"/>
        <charset val="134"/>
      </rPr>
      <t>20-07-2026 16:09</t>
    </r>
  </si>
  <si>
    <r>
      <rPr>
        <sz val="10"/>
        <color rgb="FF0000FF"/>
        <rFont val="JRFonts"/>
        <charset val="134"/>
      </rPr>
      <t>20761</t>
    </r>
  </si>
  <si>
    <r>
      <rPr>
        <sz val="10"/>
        <color rgb="FF000000"/>
        <rFont val="JRFonts"/>
        <charset val="134"/>
      </rPr>
      <t>20-07-2026 14:42</t>
    </r>
  </si>
  <si>
    <r>
      <rPr>
        <sz val="10"/>
        <color rgb="FF000000"/>
        <rFont val="JRFonts"/>
        <charset val="134"/>
      </rPr>
      <t>20-07-2026 17:47</t>
    </r>
  </si>
  <si>
    <r>
      <rPr>
        <sz val="10"/>
        <color rgb="FF000000"/>
        <rFont val="JRFonts"/>
        <charset val="134"/>
      </rPr>
      <t>20-07-2026 15:20</t>
    </r>
  </si>
  <si>
    <r>
      <rPr>
        <sz val="10"/>
        <color rgb="FF0000FF"/>
        <rFont val="JRFonts"/>
        <charset val="134"/>
      </rPr>
      <t>20763</t>
    </r>
  </si>
  <si>
    <r>
      <rPr>
        <sz val="10"/>
        <color rgb="FF000000"/>
        <rFont val="JRFonts"/>
        <charset val="134"/>
      </rPr>
      <t>20-07-2026 14:58</t>
    </r>
  </si>
  <si>
    <r>
      <rPr>
        <sz val="10"/>
        <color rgb="FF000000"/>
        <rFont val="JRFonts"/>
        <charset val="134"/>
      </rPr>
      <t>20-08-2026 10:29</t>
    </r>
  </si>
  <si>
    <r>
      <rPr>
        <sz val="10"/>
        <color rgb="FF000000"/>
        <rFont val="JRFonts"/>
        <charset val="134"/>
      </rPr>
      <t>20-07-2026 15:24</t>
    </r>
  </si>
  <si>
    <t>20763</t>
  </si>
  <si>
    <r>
      <rPr>
        <sz val="10"/>
        <color rgb="FF0000FF"/>
        <rFont val="JRFonts"/>
        <charset val="134"/>
      </rPr>
      <t>20764</t>
    </r>
  </si>
  <si>
    <r>
      <rPr>
        <sz val="10"/>
        <color rgb="FF000000"/>
        <rFont val="JRFonts"/>
        <charset val="134"/>
      </rPr>
      <t>20-07-2026 15:01</t>
    </r>
  </si>
  <si>
    <r>
      <rPr>
        <sz val="10"/>
        <color rgb="FF000000"/>
        <rFont val="JRFonts"/>
        <charset val="134"/>
      </rPr>
      <t>22-07-2026 16:24</t>
    </r>
  </si>
  <si>
    <r>
      <rPr>
        <sz val="10"/>
        <color rgb="FF000000"/>
        <rFont val="JRFonts"/>
        <charset val="134"/>
      </rPr>
      <t>20-07-2026 15:22</t>
    </r>
  </si>
  <si>
    <t>20764</t>
  </si>
  <si>
    <r>
      <rPr>
        <sz val="10"/>
        <color rgb="FF0000FF"/>
        <rFont val="JRFonts"/>
        <charset val="134"/>
      </rPr>
      <t>20765</t>
    </r>
  </si>
  <si>
    <r>
      <rPr>
        <sz val="10"/>
        <color rgb="FF000000"/>
        <rFont val="JRFonts"/>
        <charset val="134"/>
      </rPr>
      <t>20-07-2026 15:10</t>
    </r>
  </si>
  <si>
    <r>
      <rPr>
        <sz val="10"/>
        <color rgb="FF000000"/>
        <rFont val="JRFonts"/>
        <charset val="134"/>
      </rPr>
      <t>20-07-2026 17:16</t>
    </r>
  </si>
  <si>
    <r>
      <rPr>
        <sz val="10"/>
        <color rgb="FF000000"/>
        <rFont val="JRFonts"/>
        <charset val="134"/>
      </rPr>
      <t>20-07-2026 15:25</t>
    </r>
  </si>
  <si>
    <r>
      <rPr>
        <sz val="10"/>
        <color rgb="FF0000FF"/>
        <rFont val="JRFonts"/>
        <charset val="134"/>
      </rPr>
      <t>20769</t>
    </r>
  </si>
  <si>
    <r>
      <rPr>
        <sz val="10"/>
        <color rgb="FF000000"/>
        <rFont val="JRFonts"/>
        <charset val="134"/>
      </rPr>
      <t>21-07-2026 16:21</t>
    </r>
  </si>
  <si>
    <r>
      <rPr>
        <sz val="10"/>
        <color rgb="FF000000"/>
        <rFont val="JRFonts"/>
        <charset val="134"/>
      </rPr>
      <t>20-07-2026 15:27</t>
    </r>
  </si>
  <si>
    <r>
      <rPr>
        <sz val="10"/>
        <color rgb="FF0000FF"/>
        <rFont val="JRFonts"/>
        <charset val="134"/>
      </rPr>
      <t>20770</t>
    </r>
  </si>
  <si>
    <r>
      <rPr>
        <sz val="10"/>
        <color rgb="FF000000"/>
        <rFont val="JRFonts"/>
        <charset val="134"/>
      </rPr>
      <t>20-07-2026 15:19</t>
    </r>
  </si>
  <si>
    <r>
      <rPr>
        <sz val="10"/>
        <color rgb="FF000000"/>
        <rFont val="JRFonts"/>
        <charset val="134"/>
      </rPr>
      <t>21-07-2026 09:40</t>
    </r>
  </si>
  <si>
    <r>
      <rPr>
        <sz val="10"/>
        <color rgb="FF0000FF"/>
        <rFont val="JRFonts"/>
        <charset val="134"/>
      </rPr>
      <t>20771</t>
    </r>
  </si>
  <si>
    <r>
      <rPr>
        <sz val="10"/>
        <color rgb="FF000000"/>
        <rFont val="JRFonts"/>
        <charset val="134"/>
      </rPr>
      <t>20-07-2026 15:26</t>
    </r>
  </si>
  <si>
    <r>
      <rPr>
        <sz val="10"/>
        <color rgb="FF000000"/>
        <rFont val="JRFonts"/>
        <charset val="134"/>
      </rPr>
      <t>19-08-2026 14:38</t>
    </r>
  </si>
  <si>
    <r>
      <rPr>
        <sz val="10"/>
        <color rgb="FF000000"/>
        <rFont val="JRFonts"/>
        <charset val="134"/>
      </rPr>
      <t>20-07-2026 15:39</t>
    </r>
  </si>
  <si>
    <t>20771</t>
  </si>
  <si>
    <r>
      <rPr>
        <sz val="10"/>
        <color rgb="FF0000FF"/>
        <rFont val="JRFonts"/>
        <charset val="134"/>
      </rPr>
      <t>20772</t>
    </r>
  </si>
  <si>
    <r>
      <rPr>
        <sz val="10"/>
        <color rgb="FF000000"/>
        <rFont val="JRFonts"/>
        <charset val="134"/>
      </rPr>
      <t>20-07-2026 17:04</t>
    </r>
  </si>
  <si>
    <r>
      <rPr>
        <sz val="10"/>
        <color rgb="FF000000"/>
        <rFont val="JRFonts"/>
        <charset val="134"/>
      </rPr>
      <t>20-07-2026 15:41</t>
    </r>
  </si>
  <si>
    <r>
      <rPr>
        <sz val="10"/>
        <color rgb="FF0000FF"/>
        <rFont val="JRFonts"/>
        <charset val="134"/>
      </rPr>
      <t>20774</t>
    </r>
  </si>
  <si>
    <r>
      <rPr>
        <sz val="10"/>
        <color rgb="FF000000"/>
        <rFont val="JRFonts"/>
        <charset val="134"/>
      </rPr>
      <t>25-07-2026 16:59</t>
    </r>
  </si>
  <si>
    <r>
      <rPr>
        <sz val="10"/>
        <color rgb="FF0000FF"/>
        <rFont val="JRFonts"/>
        <charset val="134"/>
      </rPr>
      <t>20775</t>
    </r>
  </si>
  <si>
    <r>
      <rPr>
        <sz val="10"/>
        <color rgb="FF000000"/>
        <rFont val="JRFonts"/>
        <charset val="134"/>
      </rPr>
      <t>03-09-2026 15:18</t>
    </r>
  </si>
  <si>
    <r>
      <rPr>
        <sz val="10"/>
        <color rgb="FF000000"/>
        <rFont val="JRFonts"/>
        <charset val="134"/>
      </rPr>
      <t>20-07-2026 15:47</t>
    </r>
  </si>
  <si>
    <t>20775</t>
  </si>
  <si>
    <r>
      <rPr>
        <sz val="10"/>
        <color rgb="FF0000FF"/>
        <rFont val="JRFonts"/>
        <charset val="134"/>
      </rPr>
      <t>20776</t>
    </r>
  </si>
  <si>
    <r>
      <rPr>
        <sz val="10"/>
        <color rgb="FF000000"/>
        <rFont val="JRFonts"/>
        <charset val="134"/>
      </rPr>
      <t>20-07-2026 15:59</t>
    </r>
  </si>
  <si>
    <r>
      <rPr>
        <sz val="10"/>
        <color rgb="FF000000"/>
        <rFont val="JRFonts"/>
        <charset val="134"/>
      </rPr>
      <t>20-07-2026 15:44</t>
    </r>
  </si>
  <si>
    <r>
      <rPr>
        <sz val="10"/>
        <color rgb="FF0000FF"/>
        <rFont val="JRFonts"/>
        <charset val="134"/>
      </rPr>
      <t>20777</t>
    </r>
  </si>
  <si>
    <r>
      <rPr>
        <sz val="10"/>
        <color rgb="FF000000"/>
        <rFont val="JRFonts"/>
        <charset val="134"/>
      </rPr>
      <t>20-07-2026 15:50</t>
    </r>
  </si>
  <si>
    <r>
      <rPr>
        <sz val="10"/>
        <color rgb="FF000000"/>
        <rFont val="JRFonts"/>
        <charset val="134"/>
      </rPr>
      <t>30-07-2026 15:35</t>
    </r>
  </si>
  <si>
    <r>
      <rPr>
        <sz val="10"/>
        <color rgb="FF000000"/>
        <rFont val="JRFonts"/>
        <charset val="134"/>
      </rPr>
      <t>21-07-2026 11:32</t>
    </r>
  </si>
  <si>
    <t>20777</t>
  </si>
  <si>
    <r>
      <rPr>
        <sz val="10"/>
        <color rgb="FF0000FF"/>
        <rFont val="JRFonts"/>
        <charset val="134"/>
      </rPr>
      <t>20778</t>
    </r>
  </si>
  <si>
    <r>
      <rPr>
        <sz val="10"/>
        <color rgb="FF000000"/>
        <rFont val="JRFonts"/>
        <charset val="134"/>
      </rPr>
      <t>20-07-2026 16:02</t>
    </r>
  </si>
  <si>
    <r>
      <rPr>
        <sz val="10"/>
        <color rgb="FF000000"/>
        <rFont val="JRFonts"/>
        <charset val="134"/>
      </rPr>
      <t>22-07-2026 11:49</t>
    </r>
  </si>
  <si>
    <r>
      <rPr>
        <sz val="10"/>
        <color rgb="FF000000"/>
        <rFont val="JRFonts"/>
        <charset val="134"/>
      </rPr>
      <t>20-07-2026 16:12</t>
    </r>
  </si>
  <si>
    <r>
      <rPr>
        <sz val="10"/>
        <color rgb="FF0000FF"/>
        <rFont val="JRFonts"/>
        <charset val="134"/>
      </rPr>
      <t>20779</t>
    </r>
  </si>
  <si>
    <r>
      <rPr>
        <sz val="10"/>
        <color rgb="FF000000"/>
        <rFont val="JRFonts"/>
        <charset val="134"/>
      </rPr>
      <t>20-07-2026 16:17</t>
    </r>
  </si>
  <si>
    <r>
      <rPr>
        <sz val="10"/>
        <color rgb="FF000000"/>
        <rFont val="JRFonts"/>
        <charset val="134"/>
      </rPr>
      <t>22-07-2026 11:50</t>
    </r>
  </si>
  <si>
    <r>
      <rPr>
        <sz val="10"/>
        <color rgb="FF000000"/>
        <rFont val="JRFonts"/>
        <charset val="134"/>
      </rPr>
      <t>20-07-2026 16:22</t>
    </r>
  </si>
  <si>
    <r>
      <rPr>
        <sz val="10"/>
        <color rgb="FF0000FF"/>
        <rFont val="JRFonts"/>
        <charset val="134"/>
      </rPr>
      <t>20780</t>
    </r>
  </si>
  <si>
    <r>
      <rPr>
        <sz val="10"/>
        <color rgb="FF000000"/>
        <rFont val="JRFonts"/>
        <charset val="134"/>
      </rPr>
      <t>20-07-2026 16:21</t>
    </r>
  </si>
  <si>
    <r>
      <rPr>
        <sz val="10"/>
        <color rgb="FF000000"/>
        <rFont val="JRFonts"/>
        <charset val="134"/>
      </rPr>
      <t>12-08-2026 15:38</t>
    </r>
  </si>
  <si>
    <r>
      <rPr>
        <sz val="10"/>
        <color rgb="FF000000"/>
        <rFont val="JRFonts"/>
        <charset val="134"/>
      </rPr>
      <t>20-07-2026 16:25</t>
    </r>
  </si>
  <si>
    <t>20780</t>
  </si>
  <si>
    <r>
      <rPr>
        <sz val="10"/>
        <color rgb="FF0000FF"/>
        <rFont val="JRFonts"/>
        <charset val="134"/>
      </rPr>
      <t>20781</t>
    </r>
  </si>
  <si>
    <r>
      <rPr>
        <sz val="10"/>
        <color rgb="FF000000"/>
        <rFont val="JRFonts"/>
        <charset val="134"/>
      </rPr>
      <t>21-07-2026 12:09</t>
    </r>
  </si>
  <si>
    <r>
      <rPr>
        <sz val="10"/>
        <color rgb="FF000000"/>
        <rFont val="JRFonts"/>
        <charset val="134"/>
      </rPr>
      <t>20-07-2026 16:24</t>
    </r>
  </si>
  <si>
    <r>
      <rPr>
        <sz val="10"/>
        <color rgb="FF0000FF"/>
        <rFont val="JRFonts"/>
        <charset val="134"/>
      </rPr>
      <t>20782</t>
    </r>
  </si>
  <si>
    <r>
      <rPr>
        <sz val="10"/>
        <color rgb="FF000000"/>
        <rFont val="JRFonts"/>
        <charset val="134"/>
      </rPr>
      <t>21-07-2026 12:34</t>
    </r>
  </si>
  <si>
    <r>
      <rPr>
        <sz val="10"/>
        <color rgb="FF000000"/>
        <rFont val="JRFonts"/>
        <charset val="134"/>
      </rPr>
      <t>20-07-2026 16:36</t>
    </r>
  </si>
  <si>
    <r>
      <rPr>
        <sz val="10"/>
        <color rgb="FF0000FF"/>
        <rFont val="JRFonts"/>
        <charset val="134"/>
      </rPr>
      <t>20783</t>
    </r>
  </si>
  <si>
    <r>
      <rPr>
        <sz val="10"/>
        <color rgb="FF000000"/>
        <rFont val="JRFonts"/>
        <charset val="134"/>
      </rPr>
      <t>20-07-2026 16:30</t>
    </r>
  </si>
  <si>
    <r>
      <rPr>
        <sz val="10"/>
        <color rgb="FF000000"/>
        <rFont val="JRFonts"/>
        <charset val="134"/>
      </rPr>
      <t>22-07-2026 11:24</t>
    </r>
  </si>
  <si>
    <r>
      <rPr>
        <sz val="10"/>
        <color rgb="FF000000"/>
        <rFont val="JRFonts"/>
        <charset val="134"/>
      </rPr>
      <t>20-07-2026 16:38</t>
    </r>
  </si>
  <si>
    <r>
      <rPr>
        <sz val="10"/>
        <color rgb="FF0000FF"/>
        <rFont val="JRFonts"/>
        <charset val="134"/>
      </rPr>
      <t>20784</t>
    </r>
  </si>
  <si>
    <r>
      <rPr>
        <sz val="10"/>
        <color rgb="FF000000"/>
        <rFont val="JRFonts"/>
        <charset val="134"/>
      </rPr>
      <t>21-07-2026 12:56</t>
    </r>
  </si>
  <si>
    <r>
      <rPr>
        <sz val="10"/>
        <color rgb="FF000000"/>
        <rFont val="JRFonts"/>
        <charset val="134"/>
      </rPr>
      <t>20-07-2026 16:40</t>
    </r>
  </si>
  <si>
    <r>
      <rPr>
        <sz val="10"/>
        <color rgb="FF0000FF"/>
        <rFont val="JRFonts"/>
        <charset val="134"/>
      </rPr>
      <t>20786</t>
    </r>
  </si>
  <si>
    <r>
      <rPr>
        <sz val="10"/>
        <color rgb="FF000000"/>
        <rFont val="JRFonts"/>
        <charset val="134"/>
      </rPr>
      <t>20-07-2026 16:54</t>
    </r>
  </si>
  <si>
    <r>
      <rPr>
        <sz val="10"/>
        <color rgb="FF000000"/>
        <rFont val="JRFonts"/>
        <charset val="134"/>
      </rPr>
      <t>31-07-2026 17:50</t>
    </r>
  </si>
  <si>
    <r>
      <rPr>
        <sz val="10"/>
        <color rgb="FF000000"/>
        <rFont val="JRFonts"/>
        <charset val="134"/>
      </rPr>
      <t>20-07-2026 16:57</t>
    </r>
  </si>
  <si>
    <t>20786</t>
  </si>
  <si>
    <r>
      <rPr>
        <sz val="10"/>
        <color rgb="FF0000FF"/>
        <rFont val="JRFonts"/>
        <charset val="134"/>
      </rPr>
      <t>20787</t>
    </r>
  </si>
  <si>
    <r>
      <rPr>
        <sz val="10"/>
        <color rgb="FF000000"/>
        <rFont val="JRFonts"/>
        <charset val="134"/>
      </rPr>
      <t>20-07-2026 17:06</t>
    </r>
  </si>
  <si>
    <r>
      <rPr>
        <sz val="10"/>
        <color rgb="FF000000"/>
        <rFont val="JRFonts"/>
        <charset val="134"/>
      </rPr>
      <t>22-07-2026 10:18</t>
    </r>
  </si>
  <si>
    <r>
      <rPr>
        <sz val="10"/>
        <color rgb="FF000000"/>
        <rFont val="JRFonts"/>
        <charset val="134"/>
      </rPr>
      <t>20-07-2026 17:10</t>
    </r>
  </si>
  <si>
    <t>20787</t>
  </si>
  <si>
    <r>
      <rPr>
        <sz val="10"/>
        <color rgb="FF0000FF"/>
        <rFont val="JRFonts"/>
        <charset val="134"/>
      </rPr>
      <t>20788</t>
    </r>
  </si>
  <si>
    <r>
      <rPr>
        <sz val="10"/>
        <color rgb="FF000000"/>
        <rFont val="JRFonts"/>
        <charset val="134"/>
      </rPr>
      <t>20-07-2026 17:12</t>
    </r>
  </si>
  <si>
    <r>
      <rPr>
        <sz val="10"/>
        <color rgb="FF0000FF"/>
        <rFont val="JRFonts"/>
        <charset val="134"/>
      </rPr>
      <t>20789</t>
    </r>
  </si>
  <si>
    <r>
      <rPr>
        <sz val="10"/>
        <color rgb="FF000000"/>
        <rFont val="JRFonts"/>
        <charset val="134"/>
      </rPr>
      <t>20-07-2026 17:09</t>
    </r>
  </si>
  <si>
    <r>
      <rPr>
        <sz val="10"/>
        <color rgb="FF000000"/>
        <rFont val="JRFonts"/>
        <charset val="134"/>
      </rPr>
      <t>20-07-2026 17:45</t>
    </r>
  </si>
  <si>
    <r>
      <rPr>
        <sz val="10"/>
        <color rgb="FF000000"/>
        <rFont val="JRFonts"/>
        <charset val="134"/>
      </rPr>
      <t>20-07-2026 17:24</t>
    </r>
  </si>
  <si>
    <r>
      <rPr>
        <sz val="10"/>
        <color rgb="FF0000FF"/>
        <rFont val="JRFonts"/>
        <charset val="134"/>
      </rPr>
      <t>20791</t>
    </r>
  </si>
  <si>
    <r>
      <rPr>
        <sz val="10"/>
        <color rgb="FF000000"/>
        <rFont val="JRFonts"/>
        <charset val="134"/>
      </rPr>
      <t>20-07-2026 17:22</t>
    </r>
  </si>
  <si>
    <r>
      <rPr>
        <sz val="10"/>
        <color rgb="FF000000"/>
        <rFont val="JRFonts"/>
        <charset val="134"/>
      </rPr>
      <t>18-08-2026 18:48</t>
    </r>
  </si>
  <si>
    <r>
      <rPr>
        <sz val="10"/>
        <color rgb="FF000000"/>
        <rFont val="JRFonts"/>
        <charset val="134"/>
      </rPr>
      <t>20-07-2026 17:26</t>
    </r>
  </si>
  <si>
    <t>20791</t>
  </si>
  <si>
    <t>20792</t>
  </si>
  <si>
    <r>
      <rPr>
        <sz val="10"/>
        <color rgb="FF000000"/>
        <rFont val="JRFonts"/>
        <charset val="134"/>
      </rPr>
      <t>20-07-2026 17:25</t>
    </r>
  </si>
  <si>
    <r>
      <rPr>
        <sz val="10"/>
        <color rgb="FF000000"/>
        <rFont val="JRFonts"/>
        <charset val="134"/>
      </rPr>
      <t>12-08-2026 10:39</t>
    </r>
  </si>
  <si>
    <r>
      <rPr>
        <sz val="10"/>
        <color rgb="FF000000"/>
        <rFont val="JRFonts"/>
        <charset val="134"/>
      </rPr>
      <t>20-07-2026 17:36</t>
    </r>
  </si>
  <si>
    <t>confirmation</t>
  </si>
  <si>
    <r>
      <rPr>
        <sz val="10"/>
        <color rgb="FF0000FF"/>
        <rFont val="JRFonts"/>
        <charset val="134"/>
      </rPr>
      <t>20793</t>
    </r>
  </si>
  <si>
    <r>
      <rPr>
        <sz val="10"/>
        <color rgb="FF000000"/>
        <rFont val="JRFonts"/>
        <charset val="134"/>
      </rPr>
      <t>24-07-2026 16:45</t>
    </r>
  </si>
  <si>
    <r>
      <rPr>
        <sz val="10"/>
        <color rgb="FF000000"/>
        <rFont val="JRFonts"/>
        <charset val="134"/>
      </rPr>
      <t>20-07-2026 17:34</t>
    </r>
  </si>
  <si>
    <r>
      <rPr>
        <sz val="10"/>
        <color rgb="FF0000FF"/>
        <rFont val="JRFonts"/>
        <charset val="134"/>
      </rPr>
      <t>20794</t>
    </r>
  </si>
  <si>
    <r>
      <rPr>
        <sz val="10"/>
        <color rgb="FF000000"/>
        <rFont val="JRFonts"/>
        <charset val="134"/>
      </rPr>
      <t>20-07-2026 17:46</t>
    </r>
  </si>
  <si>
    <r>
      <rPr>
        <sz val="10"/>
        <color rgb="FF000000"/>
        <rFont val="JRFonts"/>
        <charset val="134"/>
      </rPr>
      <t>20-07-2026 17:56</t>
    </r>
  </si>
  <si>
    <r>
      <rPr>
        <sz val="10"/>
        <color rgb="FF0000FF"/>
        <rFont val="JRFonts"/>
        <charset val="134"/>
      </rPr>
      <t>20795</t>
    </r>
  </si>
  <si>
    <r>
      <rPr>
        <sz val="10"/>
        <color rgb="FF000000"/>
        <rFont val="JRFonts"/>
        <charset val="134"/>
      </rPr>
      <t>23-07-2026 14:19</t>
    </r>
  </si>
  <si>
    <r>
      <rPr>
        <sz val="10"/>
        <color rgb="FF000000"/>
        <rFont val="JRFonts"/>
        <charset val="134"/>
      </rPr>
      <t>22-07-2026 12:10</t>
    </r>
  </si>
  <si>
    <r>
      <rPr>
        <sz val="10"/>
        <color rgb="FF0000FF"/>
        <rFont val="JRFonts"/>
        <charset val="134"/>
      </rPr>
      <t>20796</t>
    </r>
  </si>
  <si>
    <r>
      <rPr>
        <sz val="10"/>
        <color rgb="FF000000"/>
        <rFont val="JRFonts"/>
        <charset val="134"/>
      </rPr>
      <t>20-07-2026 17:55</t>
    </r>
  </si>
  <si>
    <r>
      <rPr>
        <sz val="10"/>
        <color rgb="FF000000"/>
        <rFont val="JRFonts"/>
        <charset val="134"/>
      </rPr>
      <t>18-08-2026 18:43</t>
    </r>
  </si>
  <si>
    <r>
      <rPr>
        <sz val="10"/>
        <color rgb="FF000000"/>
        <rFont val="JRFonts"/>
        <charset val="134"/>
      </rPr>
      <t>20-07-2026 18:04</t>
    </r>
  </si>
  <si>
    <t>20796</t>
  </si>
  <si>
    <r>
      <rPr>
        <sz val="10"/>
        <color rgb="FF0000FF"/>
        <rFont val="JRFonts"/>
        <charset val="134"/>
      </rPr>
      <t>20797</t>
    </r>
  </si>
  <si>
    <r>
      <rPr>
        <sz val="10"/>
        <color rgb="FF000000"/>
        <rFont val="JRFonts"/>
        <charset val="134"/>
      </rPr>
      <t>28-07-2026 00:06</t>
    </r>
  </si>
  <si>
    <r>
      <rPr>
        <sz val="10"/>
        <color rgb="FF000000"/>
        <rFont val="JRFonts"/>
        <charset val="134"/>
      </rPr>
      <t>20-07-2026 18:05</t>
    </r>
  </si>
  <si>
    <t>20797</t>
  </si>
  <si>
    <r>
      <rPr>
        <sz val="10"/>
        <color rgb="FF0000FF"/>
        <rFont val="JRFonts"/>
        <charset val="134"/>
      </rPr>
      <t>20800</t>
    </r>
  </si>
  <si>
    <r>
      <rPr>
        <sz val="10"/>
        <color rgb="FF000000"/>
        <rFont val="JRFonts"/>
        <charset val="134"/>
      </rPr>
      <t>21-07-2026 18:21</t>
    </r>
  </si>
  <si>
    <r>
      <rPr>
        <sz val="10"/>
        <color rgb="FF000000"/>
        <rFont val="JRFonts"/>
        <charset val="134"/>
      </rPr>
      <t>21-07-2026 15:38</t>
    </r>
  </si>
  <si>
    <r>
      <rPr>
        <sz val="10"/>
        <color rgb="FF0000FF"/>
        <rFont val="JRFonts"/>
        <charset val="134"/>
      </rPr>
      <t>20804</t>
    </r>
  </si>
  <si>
    <r>
      <rPr>
        <sz val="10"/>
        <color rgb="FF000000"/>
        <rFont val="JRFonts"/>
        <charset val="134"/>
      </rPr>
      <t>20-07-2026 19:42</t>
    </r>
  </si>
  <si>
    <r>
      <rPr>
        <sz val="10"/>
        <color rgb="FF000000"/>
        <rFont val="JRFonts"/>
        <charset val="134"/>
      </rPr>
      <t>21-07-2026 14:58</t>
    </r>
  </si>
  <si>
    <r>
      <rPr>
        <sz val="10"/>
        <color rgb="FF000000"/>
        <rFont val="JRFonts"/>
        <charset val="134"/>
      </rPr>
      <t>21-07-2026 12:17</t>
    </r>
  </si>
  <si>
    <r>
      <rPr>
        <sz val="10"/>
        <color rgb="FF0000FF"/>
        <rFont val="JRFonts"/>
        <charset val="134"/>
      </rPr>
      <t>20808</t>
    </r>
  </si>
  <si>
    <r>
      <rPr>
        <sz val="10"/>
        <color rgb="FF000000"/>
        <rFont val="JRFonts"/>
        <charset val="134"/>
      </rPr>
      <t>21-07-2026 09:53</t>
    </r>
  </si>
  <si>
    <r>
      <rPr>
        <sz val="10"/>
        <color rgb="FF000000"/>
        <rFont val="JRFonts"/>
        <charset val="134"/>
      </rPr>
      <t>21-07-2026 10:48</t>
    </r>
  </si>
  <si>
    <r>
      <rPr>
        <sz val="10"/>
        <color rgb="FF0000FF"/>
        <rFont val="JRFonts"/>
        <charset val="134"/>
      </rPr>
      <t>20809</t>
    </r>
  </si>
  <si>
    <r>
      <rPr>
        <sz val="10"/>
        <color rgb="FF000000"/>
        <rFont val="JRFonts"/>
        <charset val="134"/>
      </rPr>
      <t>21-07-2026 10:00</t>
    </r>
  </si>
  <si>
    <r>
      <rPr>
        <sz val="10"/>
        <color rgb="FF000000"/>
        <rFont val="JRFonts"/>
        <charset val="134"/>
      </rPr>
      <t>22-07-2026 16:59</t>
    </r>
  </si>
  <si>
    <r>
      <rPr>
        <sz val="10"/>
        <color rgb="FF000000"/>
        <rFont val="JRFonts"/>
        <charset val="134"/>
      </rPr>
      <t>21-07-2026 10:55</t>
    </r>
  </si>
  <si>
    <t>20809</t>
  </si>
  <si>
    <r>
      <rPr>
        <sz val="10"/>
        <color rgb="FF0000FF"/>
        <rFont val="JRFonts"/>
        <charset val="134"/>
      </rPr>
      <t>20811</t>
    </r>
  </si>
  <si>
    <r>
      <rPr>
        <sz val="10"/>
        <color rgb="FF000000"/>
        <rFont val="JRFonts"/>
        <charset val="134"/>
      </rPr>
      <t>21-07-2026 10:15</t>
    </r>
  </si>
  <si>
    <r>
      <rPr>
        <sz val="10"/>
        <color rgb="FF000000"/>
        <rFont val="JRFonts"/>
        <charset val="134"/>
      </rPr>
      <t>21-07-2026 12:25</t>
    </r>
  </si>
  <si>
    <r>
      <rPr>
        <sz val="10"/>
        <color rgb="FF000000"/>
        <rFont val="JRFonts"/>
        <charset val="134"/>
      </rPr>
      <t>21-07-2026 10:57</t>
    </r>
  </si>
  <si>
    <r>
      <rPr>
        <sz val="10"/>
        <color rgb="FF0000FF"/>
        <rFont val="JRFonts"/>
        <charset val="134"/>
      </rPr>
      <t>20812</t>
    </r>
  </si>
  <si>
    <r>
      <rPr>
        <sz val="10"/>
        <color rgb="FF000000"/>
        <rFont val="JRFonts"/>
        <charset val="134"/>
      </rPr>
      <t>21-07-2026 10:18</t>
    </r>
  </si>
  <si>
    <r>
      <rPr>
        <sz val="10"/>
        <color rgb="FF000000"/>
        <rFont val="JRFonts"/>
        <charset val="134"/>
      </rPr>
      <t>21-07-2026 14:54</t>
    </r>
  </si>
  <si>
    <r>
      <rPr>
        <sz val="10"/>
        <color rgb="FF000000"/>
        <rFont val="JRFonts"/>
        <charset val="134"/>
      </rPr>
      <t>21-07-2026 11:15</t>
    </r>
  </si>
  <si>
    <r>
      <rPr>
        <sz val="10"/>
        <color rgb="FF0000FF"/>
        <rFont val="JRFonts"/>
        <charset val="134"/>
      </rPr>
      <t>20813</t>
    </r>
  </si>
  <si>
    <r>
      <rPr>
        <sz val="10"/>
        <color rgb="FF000000"/>
        <rFont val="JRFonts"/>
        <charset val="134"/>
      </rPr>
      <t>21-07-2026 10:21</t>
    </r>
  </si>
  <si>
    <r>
      <rPr>
        <sz val="10"/>
        <color rgb="FF000000"/>
        <rFont val="JRFonts"/>
        <charset val="134"/>
      </rPr>
      <t>22-07-2026 12:20</t>
    </r>
  </si>
  <si>
    <r>
      <rPr>
        <sz val="10"/>
        <color rgb="FF000000"/>
        <rFont val="JRFonts"/>
        <charset val="134"/>
      </rPr>
      <t>21-07-2026 10:27</t>
    </r>
  </si>
  <si>
    <r>
      <rPr>
        <sz val="10"/>
        <color rgb="FF0000FF"/>
        <rFont val="JRFonts"/>
        <charset val="134"/>
      </rPr>
      <t>20814</t>
    </r>
  </si>
  <si>
    <r>
      <rPr>
        <sz val="10"/>
        <color rgb="FF000000"/>
        <rFont val="JRFonts"/>
        <charset val="134"/>
      </rPr>
      <t>21-07-2026 10:24</t>
    </r>
  </si>
  <si>
    <r>
      <rPr>
        <sz val="10"/>
        <color rgb="FF000000"/>
        <rFont val="JRFonts"/>
        <charset val="134"/>
      </rPr>
      <t>21-07-2026 11:27</t>
    </r>
  </si>
  <si>
    <r>
      <rPr>
        <sz val="10"/>
        <color rgb="FF000000"/>
        <rFont val="JRFonts"/>
        <charset val="134"/>
      </rPr>
      <t>21-07-2026 10:58</t>
    </r>
  </si>
  <si>
    <r>
      <rPr>
        <sz val="10"/>
        <color rgb="FF0000FF"/>
        <rFont val="JRFonts"/>
        <charset val="134"/>
      </rPr>
      <t>20816</t>
    </r>
  </si>
  <si>
    <r>
      <rPr>
        <sz val="10"/>
        <color rgb="FF000000"/>
        <rFont val="JRFonts"/>
        <charset val="134"/>
      </rPr>
      <t>21-07-2026 10:33</t>
    </r>
  </si>
  <si>
    <r>
      <rPr>
        <sz val="10"/>
        <color rgb="FF000000"/>
        <rFont val="JRFonts"/>
        <charset val="134"/>
      </rPr>
      <t>22-07-2026 12:07</t>
    </r>
  </si>
  <si>
    <r>
      <rPr>
        <sz val="10"/>
        <color rgb="FF000000"/>
        <rFont val="JRFonts"/>
        <charset val="134"/>
      </rPr>
      <t>21-07-2026 10:50</t>
    </r>
  </si>
  <si>
    <r>
      <rPr>
        <sz val="10"/>
        <color rgb="FF0000FF"/>
        <rFont val="JRFonts"/>
        <charset val="134"/>
      </rPr>
      <t>20819</t>
    </r>
  </si>
  <si>
    <r>
      <rPr>
        <sz val="10"/>
        <color rgb="FF000000"/>
        <rFont val="JRFonts"/>
        <charset val="134"/>
      </rPr>
      <t>21-07-2026 10:51</t>
    </r>
  </si>
  <si>
    <r>
      <rPr>
        <sz val="10"/>
        <color rgb="FF000000"/>
        <rFont val="JRFonts"/>
        <charset val="134"/>
      </rPr>
      <t>23-07-2026 13:40</t>
    </r>
  </si>
  <si>
    <r>
      <rPr>
        <sz val="10"/>
        <color rgb="FF000000"/>
        <rFont val="JRFonts"/>
        <charset val="134"/>
      </rPr>
      <t>21-07-2026 11:00</t>
    </r>
  </si>
  <si>
    <t>20819</t>
  </si>
  <si>
    <r>
      <rPr>
        <sz val="10"/>
        <color rgb="FF0000FF"/>
        <rFont val="JRFonts"/>
        <charset val="134"/>
      </rPr>
      <t>20820</t>
    </r>
  </si>
  <si>
    <r>
      <rPr>
        <sz val="10"/>
        <color rgb="FF000000"/>
        <rFont val="JRFonts"/>
        <charset val="134"/>
      </rPr>
      <t>28-07-2026 15:00</t>
    </r>
  </si>
  <si>
    <r>
      <rPr>
        <sz val="10"/>
        <color rgb="FF000000"/>
        <rFont val="JRFonts"/>
        <charset val="134"/>
      </rPr>
      <t>21-07-2026 11:01</t>
    </r>
  </si>
  <si>
    <t>20820</t>
  </si>
  <si>
    <r>
      <rPr>
        <sz val="10"/>
        <color rgb="FF0000FF"/>
        <rFont val="JRFonts"/>
        <charset val="134"/>
      </rPr>
      <t>20822</t>
    </r>
  </si>
  <si>
    <r>
      <rPr>
        <sz val="10"/>
        <color rgb="FF000000"/>
        <rFont val="JRFonts"/>
        <charset val="134"/>
      </rPr>
      <t>21-07-2026 11:03</t>
    </r>
  </si>
  <si>
    <r>
      <rPr>
        <sz val="10"/>
        <color rgb="FF000000"/>
        <rFont val="JRFonts"/>
        <charset val="134"/>
      </rPr>
      <t>21-07-2026 14:19</t>
    </r>
  </si>
  <si>
    <r>
      <rPr>
        <sz val="10"/>
        <color rgb="FF000000"/>
        <rFont val="JRFonts"/>
        <charset val="134"/>
      </rPr>
      <t>21-07-2026 11:09</t>
    </r>
  </si>
  <si>
    <r>
      <rPr>
        <sz val="10"/>
        <color rgb="FF0000FF"/>
        <rFont val="JRFonts"/>
        <charset val="134"/>
      </rPr>
      <t>20823</t>
    </r>
  </si>
  <si>
    <r>
      <rPr>
        <sz val="10"/>
        <color rgb="FF000000"/>
        <rFont val="JRFonts"/>
        <charset val="134"/>
      </rPr>
      <t>21-07-2026 11:07</t>
    </r>
  </si>
  <si>
    <r>
      <rPr>
        <sz val="10"/>
        <color rgb="FF000000"/>
        <rFont val="JRFonts"/>
        <charset val="134"/>
      </rPr>
      <t>21-07-2026 11:31</t>
    </r>
  </si>
  <si>
    <r>
      <rPr>
        <sz val="10"/>
        <color rgb="FF000000"/>
        <rFont val="JRFonts"/>
        <charset val="134"/>
      </rPr>
      <t>21-07-2026 11:11</t>
    </r>
  </si>
  <si>
    <r>
      <rPr>
        <sz val="10"/>
        <color rgb="FF0000FF"/>
        <rFont val="JRFonts"/>
        <charset val="134"/>
      </rPr>
      <t>20824</t>
    </r>
  </si>
  <si>
    <r>
      <rPr>
        <sz val="10"/>
        <color rgb="FF000000"/>
        <rFont val="JRFonts"/>
        <charset val="134"/>
      </rPr>
      <t>21-07-2026 11:19</t>
    </r>
  </si>
  <si>
    <r>
      <rPr>
        <sz val="10"/>
        <color rgb="FF000000"/>
        <rFont val="JRFonts"/>
        <charset val="134"/>
      </rPr>
      <t>21-07-2026 16:06</t>
    </r>
  </si>
  <si>
    <r>
      <rPr>
        <sz val="10"/>
        <color rgb="FF000000"/>
        <rFont val="JRFonts"/>
        <charset val="134"/>
      </rPr>
      <t>21-07-2026 11:38</t>
    </r>
  </si>
  <si>
    <r>
      <rPr>
        <sz val="10"/>
        <color rgb="FF0000FF"/>
        <rFont val="JRFonts"/>
        <charset val="134"/>
      </rPr>
      <t>20825</t>
    </r>
  </si>
  <si>
    <r>
      <rPr>
        <sz val="10"/>
        <color rgb="FF000000"/>
        <rFont val="JRFonts"/>
        <charset val="134"/>
      </rPr>
      <t>22-07-2026 12:08</t>
    </r>
  </si>
  <si>
    <r>
      <rPr>
        <sz val="10"/>
        <color rgb="FF000000"/>
        <rFont val="JRFonts"/>
        <charset val="134"/>
      </rPr>
      <t>21-07-2026 11:34</t>
    </r>
  </si>
  <si>
    <r>
      <rPr>
        <sz val="10"/>
        <color rgb="FF0000FF"/>
        <rFont val="JRFonts"/>
        <charset val="134"/>
      </rPr>
      <t>20826</t>
    </r>
  </si>
  <si>
    <r>
      <rPr>
        <sz val="10"/>
        <color rgb="FF000000"/>
        <rFont val="JRFonts"/>
        <charset val="134"/>
      </rPr>
      <t>27-07-2026 10:06</t>
    </r>
  </si>
  <si>
    <r>
      <rPr>
        <sz val="10"/>
        <color rgb="FF000000"/>
        <rFont val="JRFonts"/>
        <charset val="134"/>
      </rPr>
      <t>21-07-2026 11:39</t>
    </r>
  </si>
  <si>
    <t>20826</t>
  </si>
  <si>
    <r>
      <rPr>
        <sz val="10"/>
        <color rgb="FF0000FF"/>
        <rFont val="JRFonts"/>
        <charset val="134"/>
      </rPr>
      <t>20827</t>
    </r>
  </si>
  <si>
    <r>
      <rPr>
        <sz val="10"/>
        <color rgb="FF000000"/>
        <rFont val="JRFonts"/>
        <charset val="134"/>
      </rPr>
      <t>30-07-2026 11:46</t>
    </r>
  </si>
  <si>
    <r>
      <rPr>
        <sz val="10"/>
        <color rgb="FF000000"/>
        <rFont val="JRFonts"/>
        <charset val="134"/>
      </rPr>
      <t>21-07-2026 11:41</t>
    </r>
  </si>
  <si>
    <t>20827</t>
  </si>
  <si>
    <r>
      <rPr>
        <sz val="10"/>
        <color rgb="FF0000FF"/>
        <rFont val="JRFonts"/>
        <charset val="134"/>
      </rPr>
      <t>20828</t>
    </r>
  </si>
  <si>
    <r>
      <rPr>
        <sz val="10"/>
        <color rgb="FF000000"/>
        <rFont val="JRFonts"/>
        <charset val="134"/>
      </rPr>
      <t>21-07-2026 11:40</t>
    </r>
  </si>
  <si>
    <r>
      <rPr>
        <sz val="10"/>
        <color rgb="FF000000"/>
        <rFont val="JRFonts"/>
        <charset val="134"/>
      </rPr>
      <t>22-07-2026 17:27</t>
    </r>
  </si>
  <si>
    <r>
      <rPr>
        <sz val="10"/>
        <color rgb="FF000000"/>
        <rFont val="JRFonts"/>
        <charset val="134"/>
      </rPr>
      <t>21-07-2026 11:43</t>
    </r>
  </si>
  <si>
    <t>20828</t>
  </si>
  <si>
    <r>
      <rPr>
        <sz val="10"/>
        <color rgb="FF0000FF"/>
        <rFont val="JRFonts"/>
        <charset val="134"/>
      </rPr>
      <t>20831</t>
    </r>
  </si>
  <si>
    <r>
      <rPr>
        <sz val="10"/>
        <color rgb="FF000000"/>
        <rFont val="JRFonts"/>
        <charset val="134"/>
      </rPr>
      <t>21-07-2026 11:52</t>
    </r>
  </si>
  <si>
    <r>
      <rPr>
        <sz val="10"/>
        <color rgb="FF000000"/>
        <rFont val="JRFonts"/>
        <charset val="134"/>
      </rPr>
      <t>03-08-2026 16:11</t>
    </r>
  </si>
  <si>
    <r>
      <rPr>
        <sz val="10"/>
        <color rgb="FF000000"/>
        <rFont val="JRFonts"/>
        <charset val="134"/>
      </rPr>
      <t>21-07-2026 12:02</t>
    </r>
  </si>
  <si>
    <t>20831</t>
  </si>
  <si>
    <r>
      <rPr>
        <sz val="10"/>
        <color rgb="FF0000FF"/>
        <rFont val="JRFonts"/>
        <charset val="134"/>
      </rPr>
      <t>20833</t>
    </r>
  </si>
  <si>
    <r>
      <rPr>
        <sz val="10"/>
        <color rgb="FF000000"/>
        <rFont val="JRFonts"/>
        <charset val="134"/>
      </rPr>
      <t>21-07-2026 12:04</t>
    </r>
  </si>
  <si>
    <r>
      <rPr>
        <sz val="10"/>
        <color rgb="FF000000"/>
        <rFont val="JRFonts"/>
        <charset val="134"/>
      </rPr>
      <t>21-07-2026 12:07</t>
    </r>
  </si>
  <si>
    <r>
      <rPr>
        <sz val="10"/>
        <color rgb="FF0000FF"/>
        <rFont val="JRFonts"/>
        <charset val="134"/>
      </rPr>
      <t>20834</t>
    </r>
  </si>
  <si>
    <r>
      <rPr>
        <sz val="10"/>
        <color rgb="FF000000"/>
        <rFont val="JRFonts"/>
        <charset val="134"/>
      </rPr>
      <t>22-07-2026 12:00</t>
    </r>
  </si>
  <si>
    <r>
      <rPr>
        <sz val="10"/>
        <color rgb="FF000000"/>
        <rFont val="JRFonts"/>
        <charset val="134"/>
      </rPr>
      <t>21-07-2026 12:13</t>
    </r>
  </si>
  <si>
    <r>
      <rPr>
        <sz val="10"/>
        <color rgb="FF0000FF"/>
        <rFont val="JRFonts"/>
        <charset val="134"/>
      </rPr>
      <t>20835</t>
    </r>
  </si>
  <si>
    <r>
      <rPr>
        <sz val="10"/>
        <color rgb="FF000000"/>
        <rFont val="JRFonts"/>
        <charset val="134"/>
      </rPr>
      <t>21-07-2026 12:20</t>
    </r>
  </si>
  <si>
    <r>
      <rPr>
        <sz val="10"/>
        <color rgb="FF000000"/>
        <rFont val="JRFonts"/>
        <charset val="134"/>
      </rPr>
      <t>27-07-2026 10:07</t>
    </r>
  </si>
  <si>
    <r>
      <rPr>
        <sz val="10"/>
        <color rgb="FF000000"/>
        <rFont val="JRFonts"/>
        <charset val="134"/>
      </rPr>
      <t>21-07-2026 12:26</t>
    </r>
  </si>
  <si>
    <t>20835</t>
  </si>
  <si>
    <r>
      <rPr>
        <sz val="10"/>
        <color rgb="FF0000FF"/>
        <rFont val="JRFonts"/>
        <charset val="134"/>
      </rPr>
      <t>20836</t>
    </r>
  </si>
  <si>
    <r>
      <rPr>
        <sz val="10"/>
        <color rgb="FF000000"/>
        <rFont val="JRFonts"/>
        <charset val="134"/>
      </rPr>
      <t>21-07-2026 14:23</t>
    </r>
  </si>
  <si>
    <r>
      <rPr>
        <sz val="10"/>
        <color rgb="FF000000"/>
        <rFont val="JRFonts"/>
        <charset val="134"/>
      </rPr>
      <t>21-07-2026 12:31</t>
    </r>
  </si>
  <si>
    <r>
      <rPr>
        <sz val="10"/>
        <color rgb="FF0000FF"/>
        <rFont val="JRFonts"/>
        <charset val="134"/>
      </rPr>
      <t>20838</t>
    </r>
  </si>
  <si>
    <r>
      <rPr>
        <sz val="10"/>
        <color rgb="FF000000"/>
        <rFont val="JRFonts"/>
        <charset val="134"/>
      </rPr>
      <t>21-07-2026 12:29</t>
    </r>
  </si>
  <si>
    <r>
      <rPr>
        <sz val="10"/>
        <color rgb="FF000000"/>
        <rFont val="JRFonts"/>
        <charset val="134"/>
      </rPr>
      <t>23-07-2026 15:39</t>
    </r>
  </si>
  <si>
    <r>
      <rPr>
        <sz val="10"/>
        <color rgb="FF000000"/>
        <rFont val="JRFonts"/>
        <charset val="134"/>
      </rPr>
      <t>23-07-2026 10:46</t>
    </r>
  </si>
  <si>
    <r>
      <rPr>
        <sz val="10"/>
        <color rgb="FF0000FF"/>
        <rFont val="JRFonts"/>
        <charset val="134"/>
      </rPr>
      <t>20839</t>
    </r>
  </si>
  <si>
    <r>
      <rPr>
        <sz val="10"/>
        <color rgb="FF000000"/>
        <rFont val="JRFonts"/>
        <charset val="134"/>
      </rPr>
      <t>21-07-2026 12:41</t>
    </r>
  </si>
  <si>
    <r>
      <rPr>
        <sz val="10"/>
        <color rgb="FF000000"/>
        <rFont val="JRFonts"/>
        <charset val="134"/>
      </rPr>
      <t>22-07-2026 16:39</t>
    </r>
  </si>
  <si>
    <r>
      <rPr>
        <sz val="10"/>
        <color rgb="FF000000"/>
        <rFont val="JRFonts"/>
        <charset val="134"/>
      </rPr>
      <t>21-07-2026 12:47</t>
    </r>
  </si>
  <si>
    <r>
      <rPr>
        <sz val="10"/>
        <color rgb="FF0000FF"/>
        <rFont val="JRFonts"/>
        <charset val="134"/>
      </rPr>
      <t>20841</t>
    </r>
  </si>
  <si>
    <r>
      <rPr>
        <sz val="10"/>
        <color rgb="FF000000"/>
        <rFont val="JRFonts"/>
        <charset val="134"/>
      </rPr>
      <t>21-07-2026 13:02</t>
    </r>
  </si>
  <si>
    <r>
      <rPr>
        <sz val="10"/>
        <color rgb="FF000000"/>
        <rFont val="JRFonts"/>
        <charset val="134"/>
      </rPr>
      <t>21-07-2026 14:26</t>
    </r>
  </si>
  <si>
    <r>
      <rPr>
        <sz val="10"/>
        <color rgb="FF0000FF"/>
        <rFont val="JRFonts"/>
        <charset val="134"/>
      </rPr>
      <t>20843</t>
    </r>
  </si>
  <si>
    <r>
      <rPr>
        <sz val="10"/>
        <color rgb="FF000000"/>
        <rFont val="JRFonts"/>
        <charset val="134"/>
      </rPr>
      <t>30-07-2026 11:36</t>
    </r>
  </si>
  <si>
    <r>
      <rPr>
        <sz val="10"/>
        <color rgb="FF000000"/>
        <rFont val="JRFonts"/>
        <charset val="134"/>
      </rPr>
      <t>21-07-2026 14:28</t>
    </r>
  </si>
  <si>
    <t>20843</t>
  </si>
  <si>
    <r>
      <rPr>
        <sz val="10"/>
        <color rgb="FF0000FF"/>
        <rFont val="JRFonts"/>
        <charset val="134"/>
      </rPr>
      <t>20844</t>
    </r>
  </si>
  <si>
    <r>
      <rPr>
        <sz val="10"/>
        <color rgb="FF000000"/>
        <rFont val="JRFonts"/>
        <charset val="134"/>
      </rPr>
      <t>21-07-2026 13:17</t>
    </r>
  </si>
  <si>
    <r>
      <rPr>
        <sz val="10"/>
        <color rgb="FF000000"/>
        <rFont val="JRFonts"/>
        <charset val="134"/>
      </rPr>
      <t>24-07-2026 14:51</t>
    </r>
  </si>
  <si>
    <r>
      <rPr>
        <sz val="10"/>
        <color rgb="FF000000"/>
        <rFont val="JRFonts"/>
        <charset val="134"/>
      </rPr>
      <t>21-07-2026 14:29</t>
    </r>
  </si>
  <si>
    <t>20844</t>
  </si>
  <si>
    <t>Was pending IT approval - Resolved on same day of approval</t>
  </si>
  <si>
    <r>
      <rPr>
        <sz val="10"/>
        <color rgb="FF0000FF"/>
        <rFont val="JRFonts"/>
        <charset val="134"/>
      </rPr>
      <t>20849</t>
    </r>
  </si>
  <si>
    <r>
      <rPr>
        <sz val="10"/>
        <color rgb="FF000000"/>
        <rFont val="JRFonts"/>
        <charset val="134"/>
      </rPr>
      <t>21-07-2026 13:45</t>
    </r>
  </si>
  <si>
    <r>
      <rPr>
        <sz val="10"/>
        <color rgb="FF000000"/>
        <rFont val="JRFonts"/>
        <charset val="134"/>
      </rPr>
      <t>21-07-2026 15:54</t>
    </r>
  </si>
  <si>
    <r>
      <rPr>
        <sz val="10"/>
        <color rgb="FF000000"/>
        <rFont val="JRFonts"/>
        <charset val="134"/>
      </rPr>
      <t>21-07-2026 14:31</t>
    </r>
  </si>
  <si>
    <r>
      <rPr>
        <sz val="10"/>
        <color rgb="FF0000FF"/>
        <rFont val="JRFonts"/>
        <charset val="134"/>
      </rPr>
      <t>20850</t>
    </r>
  </si>
  <si>
    <r>
      <rPr>
        <sz val="10"/>
        <color rgb="FF000000"/>
        <rFont val="JRFonts"/>
        <charset val="134"/>
      </rPr>
      <t>21-07-2026 14:09</t>
    </r>
  </si>
  <si>
    <r>
      <rPr>
        <sz val="10"/>
        <color rgb="FF000000"/>
        <rFont val="JRFonts"/>
        <charset val="134"/>
      </rPr>
      <t>22-07-2026 15:48</t>
    </r>
  </si>
  <si>
    <r>
      <rPr>
        <sz val="10"/>
        <color rgb="FF0000FF"/>
        <rFont val="JRFonts"/>
        <charset val="134"/>
      </rPr>
      <t>20852</t>
    </r>
  </si>
  <si>
    <r>
      <rPr>
        <sz val="10"/>
        <color rgb="FF000000"/>
        <rFont val="JRFonts"/>
        <charset val="134"/>
      </rPr>
      <t>21-07-2026 14:12</t>
    </r>
  </si>
  <si>
    <r>
      <rPr>
        <sz val="10"/>
        <color rgb="FF000000"/>
        <rFont val="JRFonts"/>
        <charset val="134"/>
      </rPr>
      <t>04-08-2026 11:12</t>
    </r>
  </si>
  <si>
    <r>
      <rPr>
        <sz val="10"/>
        <color rgb="FF000000"/>
        <rFont val="JRFonts"/>
        <charset val="134"/>
      </rPr>
      <t>21-07-2026 15:11</t>
    </r>
  </si>
  <si>
    <t>20852</t>
  </si>
  <si>
    <t>20853</t>
  </si>
  <si>
    <r>
      <rPr>
        <sz val="10"/>
        <color rgb="FF000000"/>
        <rFont val="JRFonts"/>
        <charset val="134"/>
      </rPr>
      <t>21-07-2026 14:15</t>
    </r>
  </si>
  <si>
    <r>
      <rPr>
        <sz val="10"/>
        <color rgb="FF000000"/>
        <rFont val="JRFonts"/>
        <charset val="134"/>
      </rPr>
      <t>21-07-2026 15:06</t>
    </r>
  </si>
  <si>
    <r>
      <rPr>
        <sz val="10"/>
        <color rgb="FF000000"/>
        <rFont val="JRFonts"/>
        <charset val="134"/>
      </rPr>
      <t>21-07-2026 15:07</t>
    </r>
  </si>
  <si>
    <r>
      <rPr>
        <sz val="10"/>
        <color rgb="FF0000FF"/>
        <rFont val="JRFonts"/>
        <charset val="134"/>
      </rPr>
      <t>20853</t>
    </r>
  </si>
  <si>
    <r>
      <rPr>
        <sz val="10"/>
        <color rgb="FF0000FF"/>
        <rFont val="JRFonts"/>
        <charset val="134"/>
      </rPr>
      <t>20854</t>
    </r>
  </si>
  <si>
    <r>
      <rPr>
        <sz val="10"/>
        <color rgb="FF000000"/>
        <rFont val="JRFonts"/>
        <charset val="134"/>
      </rPr>
      <t>21-07-2026 14:21</t>
    </r>
  </si>
  <si>
    <r>
      <rPr>
        <sz val="10"/>
        <color rgb="FF000000"/>
        <rFont val="JRFonts"/>
        <charset val="134"/>
      </rPr>
      <t>21-07-2026 15:42</t>
    </r>
  </si>
  <si>
    <r>
      <rPr>
        <sz val="10"/>
        <color rgb="FF000000"/>
        <rFont val="JRFonts"/>
        <charset val="134"/>
      </rPr>
      <t>21-07-2026 15:12</t>
    </r>
  </si>
  <si>
    <r>
      <rPr>
        <sz val="10"/>
        <color rgb="FF0000FF"/>
        <rFont val="JRFonts"/>
        <charset val="134"/>
      </rPr>
      <t>20855</t>
    </r>
  </si>
  <si>
    <r>
      <rPr>
        <sz val="10"/>
        <color rgb="FF000000"/>
        <rFont val="JRFonts"/>
        <charset val="134"/>
      </rPr>
      <t>21-07-2026 14:24</t>
    </r>
  </si>
  <si>
    <r>
      <rPr>
        <sz val="10"/>
        <color rgb="FF000000"/>
        <rFont val="JRFonts"/>
        <charset val="134"/>
      </rPr>
      <t>28-07-2026 18:06</t>
    </r>
  </si>
  <si>
    <r>
      <rPr>
        <sz val="10"/>
        <color rgb="FF000000"/>
        <rFont val="JRFonts"/>
        <charset val="134"/>
      </rPr>
      <t>21-07-2026 15:14</t>
    </r>
  </si>
  <si>
    <t>20855</t>
  </si>
  <si>
    <r>
      <rPr>
        <sz val="10"/>
        <color rgb="FF0000FF"/>
        <rFont val="JRFonts"/>
        <charset val="134"/>
      </rPr>
      <t>20856</t>
    </r>
  </si>
  <si>
    <r>
      <rPr>
        <sz val="10"/>
        <color rgb="FF000000"/>
        <rFont val="JRFonts"/>
        <charset val="134"/>
      </rPr>
      <t>21-07-2026 14:27</t>
    </r>
  </si>
  <si>
    <r>
      <rPr>
        <sz val="10"/>
        <color rgb="FF000000"/>
        <rFont val="JRFonts"/>
        <charset val="134"/>
      </rPr>
      <t>27-07-2026 22:48</t>
    </r>
  </si>
  <si>
    <r>
      <rPr>
        <sz val="10"/>
        <color rgb="FF000000"/>
        <rFont val="JRFonts"/>
        <charset val="134"/>
      </rPr>
      <t>21-07-2026 15:15</t>
    </r>
  </si>
  <si>
    <t>20856</t>
  </si>
  <si>
    <r>
      <rPr>
        <sz val="10"/>
        <color rgb="FF0000FF"/>
        <rFont val="JRFonts"/>
        <charset val="134"/>
      </rPr>
      <t>20857</t>
    </r>
  </si>
  <si>
    <r>
      <rPr>
        <sz val="10"/>
        <color rgb="FF000000"/>
        <rFont val="JRFonts"/>
        <charset val="134"/>
      </rPr>
      <t>21-07-2026 14:30</t>
    </r>
  </si>
  <si>
    <r>
      <rPr>
        <sz val="10"/>
        <color rgb="FF000000"/>
        <rFont val="JRFonts"/>
        <charset val="134"/>
      </rPr>
      <t>24-07-2026 10:19</t>
    </r>
  </si>
  <si>
    <r>
      <rPr>
        <sz val="10"/>
        <color rgb="FF000000"/>
        <rFont val="JRFonts"/>
        <charset val="134"/>
      </rPr>
      <t>21-07-2026 15:16</t>
    </r>
  </si>
  <si>
    <t>20857</t>
  </si>
  <si>
    <r>
      <rPr>
        <sz val="10"/>
        <color rgb="FF0000FF"/>
        <rFont val="JRFonts"/>
        <charset val="134"/>
      </rPr>
      <t>20858</t>
    </r>
  </si>
  <si>
    <r>
      <rPr>
        <sz val="10"/>
        <color rgb="FF000000"/>
        <rFont val="JRFonts"/>
        <charset val="134"/>
      </rPr>
      <t>21-07-2026 14:43</t>
    </r>
  </si>
  <si>
    <r>
      <rPr>
        <sz val="10"/>
        <color rgb="FF000000"/>
        <rFont val="JRFonts"/>
        <charset val="134"/>
      </rPr>
      <t>21-07-2026 15:41</t>
    </r>
  </si>
  <si>
    <r>
      <rPr>
        <sz val="10"/>
        <color rgb="FF0000FF"/>
        <rFont val="JRFonts"/>
        <charset val="134"/>
      </rPr>
      <t>20859</t>
    </r>
  </si>
  <si>
    <r>
      <rPr>
        <sz val="10"/>
        <color rgb="FF000000"/>
        <rFont val="JRFonts"/>
        <charset val="134"/>
      </rPr>
      <t>21-07-2026 14:49</t>
    </r>
  </si>
  <si>
    <r>
      <rPr>
        <sz val="10"/>
        <color rgb="FF000000"/>
        <rFont val="JRFonts"/>
        <charset val="134"/>
      </rPr>
      <t>21-07-2026 15:19</t>
    </r>
  </si>
  <si>
    <r>
      <rPr>
        <sz val="10"/>
        <color rgb="FF000000"/>
        <rFont val="JRFonts"/>
        <charset val="134"/>
      </rPr>
      <t>21-07-2026 15:17</t>
    </r>
  </si>
  <si>
    <r>
      <rPr>
        <sz val="10"/>
        <color rgb="FF0000FF"/>
        <rFont val="JRFonts"/>
        <charset val="134"/>
      </rPr>
      <t>20861</t>
    </r>
  </si>
  <si>
    <r>
      <rPr>
        <sz val="10"/>
        <color rgb="FF000000"/>
        <rFont val="JRFonts"/>
        <charset val="134"/>
      </rPr>
      <t>21-07-2026 14:52</t>
    </r>
  </si>
  <si>
    <r>
      <rPr>
        <sz val="10"/>
        <color rgb="FF000000"/>
        <rFont val="JRFonts"/>
        <charset val="134"/>
      </rPr>
      <t>21-08-2026 14:16</t>
    </r>
  </si>
  <si>
    <r>
      <rPr>
        <sz val="10"/>
        <color rgb="FF000000"/>
        <rFont val="JRFonts"/>
        <charset val="134"/>
      </rPr>
      <t>21-07-2026 15:18</t>
    </r>
  </si>
  <si>
    <t>20861</t>
  </si>
  <si>
    <r>
      <rPr>
        <sz val="10"/>
        <color rgb="FF0000FF"/>
        <rFont val="JRFonts"/>
        <charset val="134"/>
      </rPr>
      <t>20862</t>
    </r>
  </si>
  <si>
    <r>
      <rPr>
        <sz val="10"/>
        <color rgb="FF000000"/>
        <rFont val="JRFonts"/>
        <charset val="134"/>
      </rPr>
      <t>21-07-2026 15:01</t>
    </r>
  </si>
  <si>
    <r>
      <rPr>
        <sz val="10"/>
        <color rgb="FF000000"/>
        <rFont val="JRFonts"/>
        <charset val="134"/>
      </rPr>
      <t>21-07-2026 17:24</t>
    </r>
  </si>
  <si>
    <r>
      <rPr>
        <sz val="10"/>
        <color rgb="FF000000"/>
        <rFont val="JRFonts"/>
        <charset val="134"/>
      </rPr>
      <t>21-07-2026 15:21</t>
    </r>
  </si>
  <si>
    <r>
      <rPr>
        <sz val="10"/>
        <color rgb="FF0000FF"/>
        <rFont val="JRFonts"/>
        <charset val="134"/>
      </rPr>
      <t>20863</t>
    </r>
  </si>
  <si>
    <r>
      <rPr>
        <sz val="10"/>
        <color rgb="FF000000"/>
        <rFont val="JRFonts"/>
        <charset val="134"/>
      </rPr>
      <t>21-07-2026 15:04</t>
    </r>
  </si>
  <si>
    <r>
      <rPr>
        <sz val="10"/>
        <color rgb="FF000000"/>
        <rFont val="JRFonts"/>
        <charset val="134"/>
      </rPr>
      <t>21-07-2026 16:20</t>
    </r>
  </si>
  <si>
    <r>
      <rPr>
        <sz val="10"/>
        <color rgb="FF0000FF"/>
        <rFont val="JRFonts"/>
        <charset val="134"/>
      </rPr>
      <t>20865</t>
    </r>
  </si>
  <si>
    <r>
      <rPr>
        <sz val="10"/>
        <color rgb="FF000000"/>
        <rFont val="JRFonts"/>
        <charset val="134"/>
      </rPr>
      <t>22-07-2026 14:36</t>
    </r>
  </si>
  <si>
    <r>
      <rPr>
        <sz val="10"/>
        <color rgb="FF000000"/>
        <rFont val="JRFonts"/>
        <charset val="134"/>
      </rPr>
      <t>21-07-2026 15:23</t>
    </r>
  </si>
  <si>
    <r>
      <rPr>
        <sz val="10"/>
        <color rgb="FF0000FF"/>
        <rFont val="JRFonts"/>
        <charset val="134"/>
      </rPr>
      <t>20866</t>
    </r>
  </si>
  <si>
    <r>
      <rPr>
        <sz val="10"/>
        <color rgb="FF000000"/>
        <rFont val="JRFonts"/>
        <charset val="134"/>
      </rPr>
      <t>21-07-2026 15:31</t>
    </r>
  </si>
  <si>
    <r>
      <rPr>
        <sz val="10"/>
        <color rgb="FF000000"/>
        <rFont val="JRFonts"/>
        <charset val="134"/>
      </rPr>
      <t>22-07-2026 12:03</t>
    </r>
  </si>
  <si>
    <r>
      <rPr>
        <sz val="10"/>
        <color rgb="FF000000"/>
        <rFont val="JRFonts"/>
        <charset val="134"/>
      </rPr>
      <t>21-07-2026 15:35</t>
    </r>
  </si>
  <si>
    <r>
      <rPr>
        <sz val="10"/>
        <color rgb="FF0000FF"/>
        <rFont val="JRFonts"/>
        <charset val="134"/>
      </rPr>
      <t>20868</t>
    </r>
  </si>
  <si>
    <r>
      <rPr>
        <sz val="10"/>
        <color rgb="FF000000"/>
        <rFont val="JRFonts"/>
        <charset val="134"/>
      </rPr>
      <t>21-07-2026 16:10</t>
    </r>
  </si>
  <si>
    <r>
      <rPr>
        <sz val="10"/>
        <color rgb="FF000000"/>
        <rFont val="JRFonts"/>
        <charset val="134"/>
      </rPr>
      <t>21-07-2026 15:43</t>
    </r>
  </si>
  <si>
    <r>
      <rPr>
        <sz val="10"/>
        <color rgb="FF0000FF"/>
        <rFont val="JRFonts"/>
        <charset val="134"/>
      </rPr>
      <t>20870</t>
    </r>
  </si>
  <si>
    <r>
      <rPr>
        <sz val="10"/>
        <color rgb="FF000000"/>
        <rFont val="JRFonts"/>
        <charset val="134"/>
      </rPr>
      <t>21-07-2026 15:50</t>
    </r>
  </si>
  <si>
    <r>
      <rPr>
        <sz val="10"/>
        <color rgb="FF000000"/>
        <rFont val="JRFonts"/>
        <charset val="134"/>
      </rPr>
      <t>21-07-2026 17:17</t>
    </r>
  </si>
  <si>
    <r>
      <rPr>
        <sz val="10"/>
        <color rgb="FF000000"/>
        <rFont val="JRFonts"/>
        <charset val="134"/>
      </rPr>
      <t>21-07-2026 16:08</t>
    </r>
  </si>
  <si>
    <r>
      <rPr>
        <sz val="10"/>
        <color rgb="FF0000FF"/>
        <rFont val="JRFonts"/>
        <charset val="134"/>
      </rPr>
      <t>20872</t>
    </r>
  </si>
  <si>
    <r>
      <rPr>
        <sz val="10"/>
        <color rgb="FF000000"/>
        <rFont val="JRFonts"/>
        <charset val="134"/>
      </rPr>
      <t>21-07-2026 16:11</t>
    </r>
  </si>
  <si>
    <r>
      <rPr>
        <sz val="10"/>
        <color rgb="FF000000"/>
        <rFont val="JRFonts"/>
        <charset val="134"/>
      </rPr>
      <t>21-07-2026 17:14</t>
    </r>
  </si>
  <si>
    <r>
      <rPr>
        <sz val="10"/>
        <color rgb="FF000000"/>
        <rFont val="JRFonts"/>
        <charset val="134"/>
      </rPr>
      <t>21-07-2026 16:24</t>
    </r>
  </si>
  <si>
    <r>
      <rPr>
        <sz val="10"/>
        <color rgb="FF0000FF"/>
        <rFont val="JRFonts"/>
        <charset val="134"/>
      </rPr>
      <t>20873</t>
    </r>
  </si>
  <si>
    <r>
      <rPr>
        <sz val="10"/>
        <color rgb="FF000000"/>
        <rFont val="JRFonts"/>
        <charset val="134"/>
      </rPr>
      <t>21-07-2026 16:17</t>
    </r>
  </si>
  <si>
    <r>
      <rPr>
        <sz val="10"/>
        <color rgb="FF000000"/>
        <rFont val="JRFonts"/>
        <charset val="134"/>
      </rPr>
      <t>21-07-2026 16:25</t>
    </r>
  </si>
  <si>
    <t>20873</t>
  </si>
  <si>
    <t>20874</t>
  </si>
  <si>
    <r>
      <rPr>
        <sz val="10"/>
        <color rgb="FF000000"/>
        <rFont val="JRFonts"/>
        <charset val="134"/>
      </rPr>
      <t>27-07-2026 12:23</t>
    </r>
  </si>
  <si>
    <r>
      <rPr>
        <sz val="10"/>
        <color rgb="FF000000"/>
        <rFont val="JRFonts"/>
        <charset val="134"/>
      </rPr>
      <t>21-07-2026 16:27</t>
    </r>
  </si>
  <si>
    <r>
      <rPr>
        <sz val="10"/>
        <color rgb="FF0000FF"/>
        <rFont val="JRFonts"/>
        <charset val="134"/>
      </rPr>
      <t>20875</t>
    </r>
  </si>
  <si>
    <r>
      <rPr>
        <sz val="10"/>
        <color rgb="FF000000"/>
        <rFont val="JRFonts"/>
        <charset val="134"/>
      </rPr>
      <t>21-07-2026 16:23</t>
    </r>
  </si>
  <si>
    <r>
      <rPr>
        <sz val="10"/>
        <color rgb="FF000000"/>
        <rFont val="JRFonts"/>
        <charset val="134"/>
      </rPr>
      <t>23-07-2026 15:21</t>
    </r>
  </si>
  <si>
    <r>
      <rPr>
        <sz val="10"/>
        <color rgb="FF000000"/>
        <rFont val="JRFonts"/>
        <charset val="134"/>
      </rPr>
      <t>21-07-2026 16:29</t>
    </r>
  </si>
  <si>
    <t>20875</t>
  </si>
  <si>
    <r>
      <rPr>
        <sz val="10"/>
        <color rgb="FF0000FF"/>
        <rFont val="JRFonts"/>
        <charset val="134"/>
      </rPr>
      <t>20876</t>
    </r>
  </si>
  <si>
    <r>
      <rPr>
        <sz val="10"/>
        <color rgb="FF000000"/>
        <rFont val="JRFonts"/>
        <charset val="134"/>
      </rPr>
      <t>28-07-2026 15:16</t>
    </r>
  </si>
  <si>
    <r>
      <rPr>
        <sz val="10"/>
        <color rgb="FF000000"/>
        <rFont val="JRFonts"/>
        <charset val="134"/>
      </rPr>
      <t>21-07-2026 16:32</t>
    </r>
  </si>
  <si>
    <t>20876</t>
  </si>
  <si>
    <r>
      <rPr>
        <sz val="10"/>
        <color rgb="FF0000FF"/>
        <rFont val="JRFonts"/>
        <charset val="134"/>
      </rPr>
      <t>20877</t>
    </r>
  </si>
  <si>
    <r>
      <rPr>
        <sz val="10"/>
        <color rgb="FF000000"/>
        <rFont val="JRFonts"/>
        <charset val="134"/>
      </rPr>
      <t>21-07-2026 16:39</t>
    </r>
  </si>
  <si>
    <r>
      <rPr>
        <sz val="10"/>
        <color rgb="FF000000"/>
        <rFont val="JRFonts"/>
        <charset val="134"/>
      </rPr>
      <t>21-07-2026 16:46</t>
    </r>
  </si>
  <si>
    <r>
      <rPr>
        <sz val="10"/>
        <color rgb="FF0000FF"/>
        <rFont val="JRFonts"/>
        <charset val="134"/>
      </rPr>
      <t>20879</t>
    </r>
  </si>
  <si>
    <r>
      <rPr>
        <sz val="10"/>
        <color rgb="FF000000"/>
        <rFont val="JRFonts"/>
        <charset val="134"/>
      </rPr>
      <t>21-07-2026 16:41</t>
    </r>
  </si>
  <si>
    <r>
      <rPr>
        <sz val="10"/>
        <color rgb="FF000000"/>
        <rFont val="JRFonts"/>
        <charset val="134"/>
      </rPr>
      <t>21-07-2026 18:00</t>
    </r>
  </si>
  <si>
    <r>
      <rPr>
        <sz val="10"/>
        <color rgb="FF000000"/>
        <rFont val="JRFonts"/>
        <charset val="134"/>
      </rPr>
      <t>21-07-2026 17:51</t>
    </r>
  </si>
  <si>
    <r>
      <rPr>
        <sz val="10"/>
        <color rgb="FF0000FF"/>
        <rFont val="JRFonts"/>
        <charset val="134"/>
      </rPr>
      <t>20880</t>
    </r>
  </si>
  <si>
    <r>
      <rPr>
        <sz val="10"/>
        <color rgb="FF000000"/>
        <rFont val="JRFonts"/>
        <charset val="134"/>
      </rPr>
      <t>21-07-2026 16:51</t>
    </r>
  </si>
  <si>
    <r>
      <rPr>
        <sz val="10"/>
        <color rgb="FF000000"/>
        <rFont val="JRFonts"/>
        <charset val="134"/>
      </rPr>
      <t>22-07-2026 11:21</t>
    </r>
  </si>
  <si>
    <r>
      <rPr>
        <sz val="10"/>
        <color rgb="FF000000"/>
        <rFont val="JRFonts"/>
        <charset val="134"/>
      </rPr>
      <t>21-07-2026 16:55</t>
    </r>
  </si>
  <si>
    <r>
      <rPr>
        <sz val="10"/>
        <color rgb="FF0000FF"/>
        <rFont val="JRFonts"/>
        <charset val="134"/>
      </rPr>
      <t>20881</t>
    </r>
  </si>
  <si>
    <r>
      <rPr>
        <sz val="10"/>
        <color rgb="FF000000"/>
        <rFont val="JRFonts"/>
        <charset val="134"/>
      </rPr>
      <t>21-07-2026 16:54</t>
    </r>
  </si>
  <si>
    <r>
      <rPr>
        <sz val="10"/>
        <color rgb="FF000000"/>
        <rFont val="JRFonts"/>
        <charset val="134"/>
      </rPr>
      <t>21-07-2026 18:38</t>
    </r>
  </si>
  <si>
    <r>
      <rPr>
        <sz val="10"/>
        <color rgb="FF000000"/>
        <rFont val="JRFonts"/>
        <charset val="134"/>
      </rPr>
      <t>21-07-2026 16:56</t>
    </r>
  </si>
  <si>
    <r>
      <rPr>
        <sz val="10"/>
        <color rgb="FF0000FF"/>
        <rFont val="JRFonts"/>
        <charset val="134"/>
      </rPr>
      <t>20882</t>
    </r>
  </si>
  <si>
    <r>
      <rPr>
        <sz val="10"/>
        <color rgb="FF000000"/>
        <rFont val="JRFonts"/>
        <charset val="134"/>
      </rPr>
      <t>21-07-2026 16:57</t>
    </r>
  </si>
  <si>
    <r>
      <rPr>
        <sz val="10"/>
        <color rgb="FF000000"/>
        <rFont val="JRFonts"/>
        <charset val="134"/>
      </rPr>
      <t>24-07-2026 10:01</t>
    </r>
  </si>
  <si>
    <r>
      <rPr>
        <sz val="10"/>
        <color rgb="FF000000"/>
        <rFont val="JRFonts"/>
        <charset val="134"/>
      </rPr>
      <t>21-07-2026 17:02</t>
    </r>
  </si>
  <si>
    <t>20882</t>
  </si>
  <si>
    <r>
      <rPr>
        <sz val="10"/>
        <color rgb="FF0000FF"/>
        <rFont val="JRFonts"/>
        <charset val="134"/>
      </rPr>
      <t>20883</t>
    </r>
  </si>
  <si>
    <r>
      <rPr>
        <sz val="10"/>
        <color rgb="FF000000"/>
        <rFont val="JRFonts"/>
        <charset val="134"/>
      </rPr>
      <t>24-07-2026 12:30</t>
    </r>
  </si>
  <si>
    <r>
      <rPr>
        <sz val="10"/>
        <color rgb="FF000000"/>
        <rFont val="JRFonts"/>
        <charset val="134"/>
      </rPr>
      <t>21-07-2026 17:01</t>
    </r>
  </si>
  <si>
    <t>20883</t>
  </si>
  <si>
    <r>
      <rPr>
        <sz val="10"/>
        <color rgb="FF0000FF"/>
        <rFont val="JRFonts"/>
        <charset val="134"/>
      </rPr>
      <t>20884</t>
    </r>
  </si>
  <si>
    <r>
      <rPr>
        <sz val="10"/>
        <color rgb="FF000000"/>
        <rFont val="JRFonts"/>
        <charset val="134"/>
      </rPr>
      <t>21-07-2026 18:37</t>
    </r>
  </si>
  <si>
    <r>
      <rPr>
        <sz val="10"/>
        <color rgb="FF000000"/>
        <rFont val="JRFonts"/>
        <charset val="134"/>
      </rPr>
      <t>21-07-2026 17:30</t>
    </r>
  </si>
  <si>
    <r>
      <rPr>
        <sz val="10"/>
        <color rgb="FF0000FF"/>
        <rFont val="JRFonts"/>
        <charset val="134"/>
      </rPr>
      <t>20885</t>
    </r>
  </si>
  <si>
    <r>
      <rPr>
        <sz val="10"/>
        <color rgb="FF000000"/>
        <rFont val="JRFonts"/>
        <charset val="134"/>
      </rPr>
      <t>21-07-2026 18:36</t>
    </r>
  </si>
  <si>
    <r>
      <rPr>
        <sz val="10"/>
        <color rgb="FF000000"/>
        <rFont val="JRFonts"/>
        <charset val="134"/>
      </rPr>
      <t>21-07-2026 17:29</t>
    </r>
  </si>
  <si>
    <r>
      <rPr>
        <sz val="10"/>
        <color rgb="FF0000FF"/>
        <rFont val="JRFonts"/>
        <charset val="134"/>
      </rPr>
      <t>20886</t>
    </r>
  </si>
  <si>
    <r>
      <rPr>
        <sz val="10"/>
        <color rgb="FF000000"/>
        <rFont val="JRFonts"/>
        <charset val="134"/>
      </rPr>
      <t>22-07-2026 11:33</t>
    </r>
  </si>
  <si>
    <r>
      <rPr>
        <sz val="10"/>
        <color rgb="FF000000"/>
        <rFont val="JRFonts"/>
        <charset val="134"/>
      </rPr>
      <t>21-07-2026 17:32</t>
    </r>
  </si>
  <si>
    <r>
      <rPr>
        <sz val="10"/>
        <color rgb="FF0000FF"/>
        <rFont val="JRFonts"/>
        <charset val="134"/>
      </rPr>
      <t>20888</t>
    </r>
  </si>
  <si>
    <r>
      <rPr>
        <sz val="10"/>
        <color rgb="FF000000"/>
        <rFont val="JRFonts"/>
        <charset val="134"/>
      </rPr>
      <t>21-07-2026 17:33</t>
    </r>
  </si>
  <si>
    <r>
      <rPr>
        <sz val="10"/>
        <color rgb="FF000000"/>
        <rFont val="JRFonts"/>
        <charset val="134"/>
      </rPr>
      <t>22-07-2026 11:47</t>
    </r>
  </si>
  <si>
    <r>
      <rPr>
        <sz val="10"/>
        <color rgb="FF000000"/>
        <rFont val="JRFonts"/>
        <charset val="134"/>
      </rPr>
      <t>21-07-2026 17:38</t>
    </r>
  </si>
  <si>
    <r>
      <rPr>
        <sz val="10"/>
        <color rgb="FF0000FF"/>
        <rFont val="JRFonts"/>
        <charset val="134"/>
      </rPr>
      <t>20889</t>
    </r>
  </si>
  <si>
    <r>
      <rPr>
        <sz val="10"/>
        <color rgb="FF000000"/>
        <rFont val="JRFonts"/>
        <charset val="134"/>
      </rPr>
      <t>21-07-2026 17:42</t>
    </r>
  </si>
  <si>
    <r>
      <rPr>
        <sz val="10"/>
        <color rgb="FF000000"/>
        <rFont val="JRFonts"/>
        <charset val="134"/>
      </rPr>
      <t>22-07-2026 10:13</t>
    </r>
  </si>
  <si>
    <r>
      <rPr>
        <sz val="10"/>
        <color rgb="FF000000"/>
        <rFont val="JRFonts"/>
        <charset val="134"/>
      </rPr>
      <t>21-07-2026 17:44</t>
    </r>
  </si>
  <si>
    <r>
      <rPr>
        <sz val="10"/>
        <color rgb="FF0000FF"/>
        <rFont val="JRFonts"/>
        <charset val="134"/>
      </rPr>
      <t>20890</t>
    </r>
  </si>
  <si>
    <r>
      <rPr>
        <sz val="10"/>
        <color rgb="FF000000"/>
        <rFont val="JRFonts"/>
        <charset val="134"/>
      </rPr>
      <t>21-07-2026 17:48</t>
    </r>
  </si>
  <si>
    <r>
      <rPr>
        <sz val="10"/>
        <color rgb="FF000000"/>
        <rFont val="JRFonts"/>
        <charset val="134"/>
      </rPr>
      <t>03-08-2026 17:06</t>
    </r>
  </si>
  <si>
    <r>
      <rPr>
        <sz val="10"/>
        <color rgb="FF000000"/>
        <rFont val="JRFonts"/>
        <charset val="134"/>
      </rPr>
      <t>23-07-2026 11:29</t>
    </r>
  </si>
  <si>
    <t>20890</t>
  </si>
  <si>
    <r>
      <rPr>
        <sz val="10"/>
        <color rgb="FF0000FF"/>
        <rFont val="JRFonts"/>
        <charset val="134"/>
      </rPr>
      <t>20891</t>
    </r>
  </si>
  <si>
    <r>
      <rPr>
        <sz val="10"/>
        <color rgb="FF000000"/>
        <rFont val="JRFonts"/>
        <charset val="134"/>
      </rPr>
      <t>21-07-2026 17:52</t>
    </r>
  </si>
  <si>
    <r>
      <rPr>
        <sz val="10"/>
        <color rgb="FF000000"/>
        <rFont val="JRFonts"/>
        <charset val="134"/>
      </rPr>
      <t>21-07-2026 18:35</t>
    </r>
  </si>
  <si>
    <r>
      <rPr>
        <sz val="10"/>
        <color rgb="FF000000"/>
        <rFont val="JRFonts"/>
        <charset val="134"/>
      </rPr>
      <t>21-07-2026 17:56</t>
    </r>
  </si>
  <si>
    <r>
      <rPr>
        <sz val="10"/>
        <color rgb="FF0000FF"/>
        <rFont val="JRFonts"/>
        <charset val="134"/>
      </rPr>
      <t>20892</t>
    </r>
  </si>
  <si>
    <r>
      <rPr>
        <sz val="10"/>
        <color rgb="FF000000"/>
        <rFont val="JRFonts"/>
        <charset val="134"/>
      </rPr>
      <t>21-07-2026 18:07</t>
    </r>
  </si>
  <si>
    <r>
      <rPr>
        <sz val="10"/>
        <color rgb="FF000000"/>
        <rFont val="JRFonts"/>
        <charset val="134"/>
      </rPr>
      <t>22-07-2026 10:26</t>
    </r>
  </si>
  <si>
    <r>
      <rPr>
        <sz val="10"/>
        <color rgb="FF000000"/>
        <rFont val="JRFonts"/>
        <charset val="134"/>
      </rPr>
      <t>21-07-2026 18:43</t>
    </r>
  </si>
  <si>
    <r>
      <rPr>
        <sz val="10"/>
        <color rgb="FF0000FF"/>
        <rFont val="JRFonts"/>
        <charset val="134"/>
      </rPr>
      <t>20893</t>
    </r>
  </si>
  <si>
    <r>
      <rPr>
        <sz val="10"/>
        <color rgb="FF000000"/>
        <rFont val="JRFonts"/>
        <charset val="134"/>
      </rPr>
      <t>21-07-2026 18:52</t>
    </r>
  </si>
  <si>
    <r>
      <rPr>
        <sz val="10"/>
        <color rgb="FF000000"/>
        <rFont val="JRFonts"/>
        <charset val="134"/>
      </rPr>
      <t>28-07-2026 15:13</t>
    </r>
  </si>
  <si>
    <r>
      <rPr>
        <sz val="10"/>
        <color rgb="FF000000"/>
        <rFont val="JRFonts"/>
        <charset val="134"/>
      </rPr>
      <t>22-07-2026 10:23</t>
    </r>
  </si>
  <si>
    <t>20893</t>
  </si>
  <si>
    <r>
      <rPr>
        <sz val="10"/>
        <color rgb="FF0000FF"/>
        <rFont val="JRFonts"/>
        <charset val="134"/>
      </rPr>
      <t>20894</t>
    </r>
  </si>
  <si>
    <r>
      <rPr>
        <sz val="10"/>
        <color rgb="FF000000"/>
        <rFont val="JRFonts"/>
        <charset val="134"/>
      </rPr>
      <t>21-07-2026 18:58</t>
    </r>
  </si>
  <si>
    <r>
      <rPr>
        <sz val="10"/>
        <color rgb="FF000000"/>
        <rFont val="JRFonts"/>
        <charset val="134"/>
      </rPr>
      <t>22-07-2026 11:05</t>
    </r>
  </si>
  <si>
    <r>
      <rPr>
        <sz val="10"/>
        <color rgb="FF000000"/>
        <rFont val="JRFonts"/>
        <charset val="134"/>
      </rPr>
      <t>22-07-2026 10:24</t>
    </r>
  </si>
  <si>
    <r>
      <rPr>
        <sz val="10"/>
        <color rgb="FF0000FF"/>
        <rFont val="JRFonts"/>
        <charset val="134"/>
      </rPr>
      <t>20898</t>
    </r>
  </si>
  <si>
    <r>
      <rPr>
        <sz val="10"/>
        <color rgb="FF000000"/>
        <rFont val="JRFonts"/>
        <charset val="134"/>
      </rPr>
      <t>22-07-2026 10:04</t>
    </r>
  </si>
  <si>
    <r>
      <rPr>
        <sz val="10"/>
        <color rgb="FF000000"/>
        <rFont val="JRFonts"/>
        <charset val="134"/>
      </rPr>
      <t>22-07-2026 12:39</t>
    </r>
  </si>
  <si>
    <r>
      <rPr>
        <sz val="10"/>
        <color rgb="FF000000"/>
        <rFont val="JRFonts"/>
        <charset val="134"/>
      </rPr>
      <t>22-07-2026 10:22</t>
    </r>
  </si>
  <si>
    <r>
      <rPr>
        <sz val="10"/>
        <color rgb="FF0000FF"/>
        <rFont val="JRFonts"/>
        <charset val="134"/>
      </rPr>
      <t>20899</t>
    </r>
  </si>
  <si>
    <r>
      <rPr>
        <sz val="10"/>
        <color rgb="FF000000"/>
        <rFont val="JRFonts"/>
        <charset val="134"/>
      </rPr>
      <t>22-07-2026 10:16</t>
    </r>
  </si>
  <si>
    <r>
      <rPr>
        <sz val="10"/>
        <color rgb="FF000000"/>
        <rFont val="JRFonts"/>
        <charset val="134"/>
      </rPr>
      <t>22-07-2026 12:38</t>
    </r>
  </si>
  <si>
    <r>
      <rPr>
        <sz val="10"/>
        <color rgb="FF0000FF"/>
        <rFont val="JRFonts"/>
        <charset val="134"/>
      </rPr>
      <t>20900</t>
    </r>
  </si>
  <si>
    <r>
      <rPr>
        <sz val="10"/>
        <color rgb="FF000000"/>
        <rFont val="JRFonts"/>
        <charset val="134"/>
      </rPr>
      <t>22-07-2026 10:19</t>
    </r>
  </si>
  <si>
    <r>
      <rPr>
        <sz val="10"/>
        <color rgb="FF000000"/>
        <rFont val="JRFonts"/>
        <charset val="134"/>
      </rPr>
      <t>22-07-2026 10:58</t>
    </r>
  </si>
  <si>
    <r>
      <rPr>
        <sz val="10"/>
        <color rgb="FF000000"/>
        <rFont val="JRFonts"/>
        <charset val="134"/>
      </rPr>
      <t>22-07-2026 10:28</t>
    </r>
  </si>
  <si>
    <r>
      <rPr>
        <sz val="10"/>
        <color rgb="FF0000FF"/>
        <rFont val="JRFonts"/>
        <charset val="134"/>
      </rPr>
      <t>20901</t>
    </r>
  </si>
  <si>
    <r>
      <rPr>
        <sz val="10"/>
        <color rgb="FF000000"/>
        <rFont val="JRFonts"/>
        <charset val="134"/>
      </rPr>
      <t>22-07-2026 10:37</t>
    </r>
  </si>
  <si>
    <r>
      <rPr>
        <sz val="10"/>
        <color rgb="FF000000"/>
        <rFont val="JRFonts"/>
        <charset val="134"/>
      </rPr>
      <t>22-07-2026 10:46</t>
    </r>
  </si>
  <si>
    <r>
      <rPr>
        <sz val="10"/>
        <color rgb="FF000000"/>
        <rFont val="JRFonts"/>
        <charset val="134"/>
      </rPr>
      <t>22-07-2026 10:43</t>
    </r>
  </si>
  <si>
    <r>
      <rPr>
        <sz val="10"/>
        <color rgb="FF0000FF"/>
        <rFont val="JRFonts"/>
        <charset val="134"/>
      </rPr>
      <t>20902</t>
    </r>
  </si>
  <si>
    <r>
      <rPr>
        <sz val="10"/>
        <color rgb="FF000000"/>
        <rFont val="JRFonts"/>
        <charset val="134"/>
      </rPr>
      <t>22-07-2026 14:11</t>
    </r>
  </si>
  <si>
    <r>
      <rPr>
        <sz val="10"/>
        <color rgb="FF000000"/>
        <rFont val="JRFonts"/>
        <charset val="134"/>
      </rPr>
      <t>22-07-2026 10:48</t>
    </r>
  </si>
  <si>
    <r>
      <rPr>
        <sz val="10"/>
        <color rgb="FF0000FF"/>
        <rFont val="JRFonts"/>
        <charset val="134"/>
      </rPr>
      <t>20903</t>
    </r>
  </si>
  <si>
    <r>
      <rPr>
        <sz val="10"/>
        <color rgb="FF000000"/>
        <rFont val="JRFonts"/>
        <charset val="134"/>
      </rPr>
      <t>24-07-2026 10:03</t>
    </r>
  </si>
  <si>
    <r>
      <rPr>
        <sz val="10"/>
        <color rgb="FF000000"/>
        <rFont val="JRFonts"/>
        <charset val="134"/>
      </rPr>
      <t>22-07-2026 10:41</t>
    </r>
  </si>
  <si>
    <r>
      <rPr>
        <sz val="10"/>
        <color rgb="FF0000FF"/>
        <rFont val="JRFonts"/>
        <charset val="134"/>
      </rPr>
      <t>20904</t>
    </r>
  </si>
  <si>
    <r>
      <rPr>
        <sz val="10"/>
        <color rgb="FF000000"/>
        <rFont val="JRFonts"/>
        <charset val="134"/>
      </rPr>
      <t>22-07-2026 10:49</t>
    </r>
  </si>
  <si>
    <r>
      <rPr>
        <sz val="10"/>
        <color rgb="FF000000"/>
        <rFont val="JRFonts"/>
        <charset val="134"/>
      </rPr>
      <t>27-07-2026 10:09</t>
    </r>
  </si>
  <si>
    <r>
      <rPr>
        <sz val="10"/>
        <color rgb="FF000000"/>
        <rFont val="JRFonts"/>
        <charset val="134"/>
      </rPr>
      <t>22-07-2026 10:56</t>
    </r>
  </si>
  <si>
    <t>20904</t>
  </si>
  <si>
    <t>20905</t>
  </si>
  <si>
    <r>
      <rPr>
        <sz val="10"/>
        <color rgb="FF000000"/>
        <rFont val="JRFonts"/>
        <charset val="134"/>
      </rPr>
      <t>02-08-2026 08:11</t>
    </r>
  </si>
  <si>
    <r>
      <rPr>
        <sz val="10"/>
        <color rgb="FF000000"/>
        <rFont val="JRFonts"/>
        <charset val="134"/>
      </rPr>
      <t>22-07-2026 11:09</t>
    </r>
  </si>
  <si>
    <r>
      <rPr>
        <sz val="10"/>
        <color rgb="FF0000FF"/>
        <rFont val="JRFonts"/>
        <charset val="134"/>
      </rPr>
      <t>20905</t>
    </r>
  </si>
  <si>
    <r>
      <rPr>
        <sz val="10"/>
        <color rgb="FF0000FF"/>
        <rFont val="JRFonts"/>
        <charset val="134"/>
      </rPr>
      <t>20907</t>
    </r>
  </si>
  <si>
    <r>
      <rPr>
        <sz val="10"/>
        <color rgb="FF000000"/>
        <rFont val="JRFonts"/>
        <charset val="134"/>
      </rPr>
      <t>22-07-2026 11:14</t>
    </r>
  </si>
  <si>
    <r>
      <rPr>
        <sz val="10"/>
        <color rgb="FF000000"/>
        <rFont val="JRFonts"/>
        <charset val="134"/>
      </rPr>
      <t>23-07-2026 12:52</t>
    </r>
  </si>
  <si>
    <r>
      <rPr>
        <sz val="10"/>
        <color rgb="FF000000"/>
        <rFont val="JRFonts"/>
        <charset val="134"/>
      </rPr>
      <t>23-07-2026 11:53</t>
    </r>
  </si>
  <si>
    <r>
      <rPr>
        <sz val="10"/>
        <color rgb="FF0000FF"/>
        <rFont val="JRFonts"/>
        <charset val="134"/>
      </rPr>
      <t>20908</t>
    </r>
  </si>
  <si>
    <r>
      <rPr>
        <sz val="10"/>
        <color rgb="FF000000"/>
        <rFont val="JRFonts"/>
        <charset val="134"/>
      </rPr>
      <t>07-08-2026 12:49</t>
    </r>
  </si>
  <si>
    <r>
      <rPr>
        <sz val="10"/>
        <color rgb="FF000000"/>
        <rFont val="JRFonts"/>
        <charset val="134"/>
      </rPr>
      <t>30-07-2026 11:15</t>
    </r>
  </si>
  <si>
    <t>20908</t>
  </si>
  <si>
    <t>INDUSIND update CG Issue for bill generation - it contain more than 10 lakh records</t>
  </si>
  <si>
    <r>
      <rPr>
        <sz val="10"/>
        <color rgb="FF0000FF"/>
        <rFont val="JRFonts"/>
        <charset val="134"/>
      </rPr>
      <t>20909</t>
    </r>
  </si>
  <si>
    <r>
      <rPr>
        <sz val="10"/>
        <color rgb="FF000000"/>
        <rFont val="JRFonts"/>
        <charset val="134"/>
      </rPr>
      <t>22-07-2026 11:34</t>
    </r>
  </si>
  <si>
    <r>
      <rPr>
        <sz val="10"/>
        <color rgb="FF0000FF"/>
        <rFont val="JRFonts"/>
        <charset val="134"/>
      </rPr>
      <t>20910</t>
    </r>
  </si>
  <si>
    <r>
      <rPr>
        <sz val="10"/>
        <color rgb="FF000000"/>
        <rFont val="JRFonts"/>
        <charset val="134"/>
      </rPr>
      <t>23-07-2026 11:51</t>
    </r>
  </si>
  <si>
    <r>
      <rPr>
        <sz val="10"/>
        <color rgb="FF0000FF"/>
        <rFont val="JRFonts"/>
        <charset val="134"/>
      </rPr>
      <t>20911</t>
    </r>
  </si>
  <si>
    <r>
      <rPr>
        <sz val="10"/>
        <color rgb="FF000000"/>
        <rFont val="JRFonts"/>
        <charset val="134"/>
      </rPr>
      <t>22-07-2026 15:23</t>
    </r>
  </si>
  <si>
    <t>20911</t>
  </si>
  <si>
    <t>time consumming ticket</t>
  </si>
  <si>
    <t>confirmation - Report</t>
  </si>
  <si>
    <r>
      <rPr>
        <sz val="10"/>
        <color rgb="FF0000FF"/>
        <rFont val="JRFonts"/>
        <charset val="134"/>
      </rPr>
      <t>20913</t>
    </r>
  </si>
  <si>
    <r>
      <rPr>
        <sz val="10"/>
        <color rgb="FF000000"/>
        <rFont val="JRFonts"/>
        <charset val="134"/>
      </rPr>
      <t>22-07-2026 12:33</t>
    </r>
  </si>
  <si>
    <r>
      <rPr>
        <sz val="10"/>
        <color rgb="FF000000"/>
        <rFont val="JRFonts"/>
        <charset val="134"/>
      </rPr>
      <t>22-07-2026 12:01</t>
    </r>
  </si>
  <si>
    <r>
      <rPr>
        <sz val="10"/>
        <color rgb="FF0000FF"/>
        <rFont val="JRFonts"/>
        <charset val="134"/>
      </rPr>
      <t>20914</t>
    </r>
  </si>
  <si>
    <r>
      <rPr>
        <sz val="10"/>
        <color rgb="FF000000"/>
        <rFont val="JRFonts"/>
        <charset val="134"/>
      </rPr>
      <t>22-07-2026 17:38</t>
    </r>
  </si>
  <si>
    <r>
      <rPr>
        <sz val="10"/>
        <color rgb="FF000000"/>
        <rFont val="JRFonts"/>
        <charset val="134"/>
      </rPr>
      <t>22-07-2026 12:02</t>
    </r>
  </si>
  <si>
    <r>
      <rPr>
        <sz val="10"/>
        <color rgb="FF0000FF"/>
        <rFont val="JRFonts"/>
        <charset val="134"/>
      </rPr>
      <t>20915</t>
    </r>
  </si>
  <si>
    <r>
      <rPr>
        <sz val="10"/>
        <color rgb="FF000000"/>
        <rFont val="JRFonts"/>
        <charset val="134"/>
      </rPr>
      <t>22-07-2026 11:57</t>
    </r>
  </si>
  <si>
    <r>
      <rPr>
        <sz val="10"/>
        <color rgb="FF000000"/>
        <rFont val="JRFonts"/>
        <charset val="134"/>
      </rPr>
      <t>22-07-2026 12:47</t>
    </r>
  </si>
  <si>
    <r>
      <rPr>
        <sz val="10"/>
        <color rgb="FF000000"/>
        <rFont val="JRFonts"/>
        <charset val="134"/>
      </rPr>
      <t>22-07-2026 12:06</t>
    </r>
  </si>
  <si>
    <r>
      <rPr>
        <sz val="10"/>
        <color rgb="FF0000FF"/>
        <rFont val="JRFonts"/>
        <charset val="134"/>
      </rPr>
      <t>20916</t>
    </r>
  </si>
  <si>
    <r>
      <rPr>
        <sz val="10"/>
        <color rgb="FF000000"/>
        <rFont val="JRFonts"/>
        <charset val="134"/>
      </rPr>
      <t>29-07-2026 15:25</t>
    </r>
  </si>
  <si>
    <t>20916</t>
  </si>
  <si>
    <r>
      <rPr>
        <sz val="10"/>
        <color rgb="FF0000FF"/>
        <rFont val="JRFonts"/>
        <charset val="134"/>
      </rPr>
      <t>20917</t>
    </r>
  </si>
  <si>
    <r>
      <rPr>
        <sz val="10"/>
        <color rgb="FF000000"/>
        <rFont val="JRFonts"/>
        <charset val="134"/>
      </rPr>
      <t>22-07-2026 13:24</t>
    </r>
  </si>
  <si>
    <r>
      <rPr>
        <sz val="10"/>
        <color rgb="FF000000"/>
        <rFont val="JRFonts"/>
        <charset val="134"/>
      </rPr>
      <t>22-07-2026 12:13</t>
    </r>
  </si>
  <si>
    <r>
      <rPr>
        <sz val="10"/>
        <color rgb="FF0000FF"/>
        <rFont val="JRFonts"/>
        <charset val="134"/>
      </rPr>
      <t>20919</t>
    </r>
  </si>
  <si>
    <r>
      <rPr>
        <sz val="10"/>
        <color rgb="FF000000"/>
        <rFont val="JRFonts"/>
        <charset val="134"/>
      </rPr>
      <t>22-07-2026 12:30</t>
    </r>
  </si>
  <si>
    <r>
      <rPr>
        <sz val="10"/>
        <color rgb="FF000000"/>
        <rFont val="JRFonts"/>
        <charset val="134"/>
      </rPr>
      <t>10-08-2026 11:34</t>
    </r>
  </si>
  <si>
    <r>
      <rPr>
        <sz val="10"/>
        <color rgb="FF000000"/>
        <rFont val="JRFonts"/>
        <charset val="134"/>
      </rPr>
      <t>07-08-2026 11:10</t>
    </r>
  </si>
  <si>
    <r>
      <rPr>
        <sz val="10"/>
        <color rgb="FF0000FF"/>
        <rFont val="JRFonts"/>
        <charset val="134"/>
      </rPr>
      <t>20920</t>
    </r>
  </si>
  <si>
    <r>
      <rPr>
        <sz val="10"/>
        <color rgb="FF000000"/>
        <rFont val="JRFonts"/>
        <charset val="134"/>
      </rPr>
      <t>30-09-2026 10:24</t>
    </r>
  </si>
  <si>
    <r>
      <rPr>
        <sz val="10"/>
        <color rgb="FF000000"/>
        <rFont val="JRFonts"/>
        <charset val="134"/>
      </rPr>
      <t>22-07-2026 12:48</t>
    </r>
  </si>
  <si>
    <t>20920</t>
  </si>
  <si>
    <r>
      <rPr>
        <sz val="10"/>
        <color rgb="FF0000FF"/>
        <rFont val="JRFonts"/>
        <charset val="134"/>
      </rPr>
      <t>20922</t>
    </r>
  </si>
  <si>
    <r>
      <rPr>
        <sz val="10"/>
        <color rgb="FF000000"/>
        <rFont val="JRFonts"/>
        <charset val="134"/>
      </rPr>
      <t>22-07-2026 12:42</t>
    </r>
  </si>
  <si>
    <r>
      <rPr>
        <sz val="10"/>
        <color rgb="FF000000"/>
        <rFont val="JRFonts"/>
        <charset val="134"/>
      </rPr>
      <t>23-07-2026 10:20</t>
    </r>
  </si>
  <si>
    <r>
      <rPr>
        <sz val="10"/>
        <color rgb="FF0000FF"/>
        <rFont val="JRFonts"/>
        <charset val="134"/>
      </rPr>
      <t>20923</t>
    </r>
  </si>
  <si>
    <r>
      <rPr>
        <sz val="10"/>
        <color rgb="FF000000"/>
        <rFont val="JRFonts"/>
        <charset val="134"/>
      </rPr>
      <t>22-07-2026 12:45</t>
    </r>
  </si>
  <si>
    <r>
      <rPr>
        <sz val="10"/>
        <color rgb="FF000000"/>
        <rFont val="JRFonts"/>
        <charset val="134"/>
      </rPr>
      <t>22-07-2026 16:08</t>
    </r>
  </si>
  <si>
    <r>
      <rPr>
        <sz val="10"/>
        <color rgb="FF000000"/>
        <rFont val="JRFonts"/>
        <charset val="134"/>
      </rPr>
      <t>22-07-2026 12:50</t>
    </r>
  </si>
  <si>
    <r>
      <rPr>
        <sz val="10"/>
        <color rgb="FF0000FF"/>
        <rFont val="JRFonts"/>
        <charset val="134"/>
      </rPr>
      <t>20925</t>
    </r>
  </si>
  <si>
    <r>
      <rPr>
        <sz val="10"/>
        <color rgb="FF000000"/>
        <rFont val="JRFonts"/>
        <charset val="134"/>
      </rPr>
      <t>12-08-2026 12:25</t>
    </r>
  </si>
  <si>
    <r>
      <rPr>
        <sz val="10"/>
        <color rgb="FF000000"/>
        <rFont val="JRFonts"/>
        <charset val="134"/>
      </rPr>
      <t>22-07-2026 12:59</t>
    </r>
  </si>
  <si>
    <t>20925</t>
  </si>
  <si>
    <r>
      <rPr>
        <sz val="10"/>
        <color rgb="FF0000FF"/>
        <rFont val="JRFonts"/>
        <charset val="134"/>
      </rPr>
      <t>20926</t>
    </r>
  </si>
  <si>
    <r>
      <rPr>
        <sz val="10"/>
        <color rgb="FF000000"/>
        <rFont val="JRFonts"/>
        <charset val="134"/>
      </rPr>
      <t>27-07-2026 10:13</t>
    </r>
  </si>
  <si>
    <r>
      <rPr>
        <sz val="10"/>
        <color rgb="FF000000"/>
        <rFont val="JRFonts"/>
        <charset val="134"/>
      </rPr>
      <t>22-07-2026 13:01</t>
    </r>
  </si>
  <si>
    <t>20926</t>
  </si>
  <si>
    <r>
      <rPr>
        <sz val="10"/>
        <color rgb="FF0000FF"/>
        <rFont val="JRFonts"/>
        <charset val="134"/>
      </rPr>
      <t>20927</t>
    </r>
  </si>
  <si>
    <r>
      <rPr>
        <sz val="10"/>
        <color rgb="FF000000"/>
        <rFont val="JRFonts"/>
        <charset val="134"/>
      </rPr>
      <t>22-07-2026 13:04</t>
    </r>
  </si>
  <si>
    <r>
      <rPr>
        <sz val="10"/>
        <color rgb="FF000000"/>
        <rFont val="JRFonts"/>
        <charset val="134"/>
      </rPr>
      <t>22-07-2026 15:45</t>
    </r>
  </si>
  <si>
    <r>
      <rPr>
        <sz val="10"/>
        <color rgb="FF000000"/>
        <rFont val="JRFonts"/>
        <charset val="134"/>
      </rPr>
      <t>22-07-2026 14:09</t>
    </r>
  </si>
  <si>
    <r>
      <rPr>
        <sz val="10"/>
        <color rgb="FF0000FF"/>
        <rFont val="JRFonts"/>
        <charset val="134"/>
      </rPr>
      <t>20928</t>
    </r>
  </si>
  <si>
    <r>
      <rPr>
        <sz val="10"/>
        <color rgb="FF000000"/>
        <rFont val="JRFonts"/>
        <charset val="134"/>
      </rPr>
      <t>22-07-2026 13:10</t>
    </r>
  </si>
  <si>
    <r>
      <rPr>
        <sz val="10"/>
        <color rgb="FF000000"/>
        <rFont val="JRFonts"/>
        <charset val="134"/>
      </rPr>
      <t>06-08-2026 17:13</t>
    </r>
  </si>
  <si>
    <r>
      <rPr>
        <sz val="10"/>
        <color rgb="FF000000"/>
        <rFont val="JRFonts"/>
        <charset val="134"/>
      </rPr>
      <t>22-07-2026 14:10</t>
    </r>
  </si>
  <si>
    <t>20928</t>
  </si>
  <si>
    <r>
      <rPr>
        <sz val="10"/>
        <color rgb="FF0000FF"/>
        <rFont val="JRFonts"/>
        <charset val="134"/>
      </rPr>
      <t>20929</t>
    </r>
  </si>
  <si>
    <r>
      <rPr>
        <sz val="10"/>
        <color rgb="FF000000"/>
        <rFont val="JRFonts"/>
        <charset val="134"/>
      </rPr>
      <t>23-07-2026 11:57</t>
    </r>
  </si>
  <si>
    <r>
      <rPr>
        <sz val="10"/>
        <color rgb="FF0000FF"/>
        <rFont val="JRFonts"/>
        <charset val="134"/>
      </rPr>
      <t>20930</t>
    </r>
  </si>
  <si>
    <r>
      <rPr>
        <sz val="10"/>
        <color rgb="FF000000"/>
        <rFont val="JRFonts"/>
        <charset val="134"/>
      </rPr>
      <t>22-07-2026 13:16</t>
    </r>
  </si>
  <si>
    <r>
      <rPr>
        <sz val="10"/>
        <color rgb="FF000000"/>
        <rFont val="JRFonts"/>
        <charset val="134"/>
      </rPr>
      <t>27-07-2026 16:04</t>
    </r>
  </si>
  <si>
    <r>
      <rPr>
        <sz val="10"/>
        <color rgb="FF000000"/>
        <rFont val="JRFonts"/>
        <charset val="134"/>
      </rPr>
      <t>22-07-2026 14:13</t>
    </r>
  </si>
  <si>
    <t>20930</t>
  </si>
  <si>
    <r>
      <rPr>
        <sz val="10"/>
        <color rgb="FF0000FF"/>
        <rFont val="JRFonts"/>
        <charset val="134"/>
      </rPr>
      <t>20931</t>
    </r>
  </si>
  <si>
    <r>
      <rPr>
        <sz val="10"/>
        <color rgb="FF000000"/>
        <rFont val="JRFonts"/>
        <charset val="134"/>
      </rPr>
      <t>22-07-2026 13:25</t>
    </r>
  </si>
  <si>
    <r>
      <rPr>
        <sz val="10"/>
        <color rgb="FF000000"/>
        <rFont val="JRFonts"/>
        <charset val="134"/>
      </rPr>
      <t>23-07-2026 10:22</t>
    </r>
  </si>
  <si>
    <r>
      <rPr>
        <sz val="10"/>
        <color rgb="FF000000"/>
        <rFont val="JRFonts"/>
        <charset val="134"/>
      </rPr>
      <t>22-07-2026 14:15</t>
    </r>
  </si>
  <si>
    <r>
      <rPr>
        <sz val="10"/>
        <color rgb="FF0000FF"/>
        <rFont val="JRFonts"/>
        <charset val="134"/>
      </rPr>
      <t>20932</t>
    </r>
  </si>
  <si>
    <r>
      <rPr>
        <sz val="10"/>
        <color rgb="FF000000"/>
        <rFont val="JRFonts"/>
        <charset val="134"/>
      </rPr>
      <t>27-07-2026 10:14</t>
    </r>
  </si>
  <si>
    <r>
      <rPr>
        <sz val="10"/>
        <color rgb="FF000000"/>
        <rFont val="JRFonts"/>
        <charset val="134"/>
      </rPr>
      <t>22-07-2026 14:17</t>
    </r>
  </si>
  <si>
    <t>20932</t>
  </si>
  <si>
    <r>
      <rPr>
        <sz val="10"/>
        <color rgb="FF0000FF"/>
        <rFont val="JRFonts"/>
        <charset val="134"/>
      </rPr>
      <t>20934</t>
    </r>
  </si>
  <si>
    <r>
      <rPr>
        <sz val="10"/>
        <color rgb="FF000000"/>
        <rFont val="JRFonts"/>
        <charset val="134"/>
      </rPr>
      <t>22-07-2026 13:34</t>
    </r>
  </si>
  <si>
    <r>
      <rPr>
        <sz val="10"/>
        <color rgb="FF000000"/>
        <rFont val="JRFonts"/>
        <charset val="134"/>
      </rPr>
      <t>23-07-2026 12:02</t>
    </r>
  </si>
  <si>
    <r>
      <rPr>
        <sz val="10"/>
        <color rgb="FF000000"/>
        <rFont val="JRFonts"/>
        <charset val="134"/>
      </rPr>
      <t>22-07-2026 14:19</t>
    </r>
  </si>
  <si>
    <r>
      <rPr>
        <sz val="10"/>
        <color rgb="FF0000FF"/>
        <rFont val="JRFonts"/>
        <charset val="134"/>
      </rPr>
      <t>20935</t>
    </r>
  </si>
  <si>
    <r>
      <rPr>
        <sz val="10"/>
        <color rgb="FF000000"/>
        <rFont val="JRFonts"/>
        <charset val="134"/>
      </rPr>
      <t>22-07-2026 13:37</t>
    </r>
  </si>
  <si>
    <r>
      <rPr>
        <sz val="10"/>
        <color rgb="FF000000"/>
        <rFont val="JRFonts"/>
        <charset val="134"/>
      </rPr>
      <t>27-07-2026 16:07</t>
    </r>
  </si>
  <si>
    <r>
      <rPr>
        <sz val="10"/>
        <color rgb="FF000000"/>
        <rFont val="JRFonts"/>
        <charset val="134"/>
      </rPr>
      <t>22-07-2026 14:20</t>
    </r>
  </si>
  <si>
    <t>20935</t>
  </si>
  <si>
    <r>
      <rPr>
        <sz val="10"/>
        <color rgb="FF0000FF"/>
        <rFont val="JRFonts"/>
        <charset val="134"/>
      </rPr>
      <t>20936</t>
    </r>
  </si>
  <si>
    <r>
      <rPr>
        <sz val="10"/>
        <color rgb="FF000000"/>
        <rFont val="JRFonts"/>
        <charset val="134"/>
      </rPr>
      <t>22-07-2026 14:01</t>
    </r>
  </si>
  <si>
    <r>
      <rPr>
        <sz val="10"/>
        <color rgb="FF000000"/>
        <rFont val="JRFonts"/>
        <charset val="134"/>
      </rPr>
      <t>23-07-2026 11:37</t>
    </r>
  </si>
  <si>
    <r>
      <rPr>
        <sz val="10"/>
        <color rgb="FF000000"/>
        <rFont val="JRFonts"/>
        <charset val="134"/>
      </rPr>
      <t>22-07-2026 14:22</t>
    </r>
  </si>
  <si>
    <r>
      <rPr>
        <sz val="10"/>
        <color rgb="FF0000FF"/>
        <rFont val="JRFonts"/>
        <charset val="134"/>
      </rPr>
      <t>20937</t>
    </r>
  </si>
  <si>
    <r>
      <rPr>
        <sz val="10"/>
        <color rgb="FF000000"/>
        <rFont val="JRFonts"/>
        <charset val="134"/>
      </rPr>
      <t>22-07-2026 16:07</t>
    </r>
  </si>
  <si>
    <r>
      <rPr>
        <sz val="10"/>
        <color rgb="FF0000FF"/>
        <rFont val="JRFonts"/>
        <charset val="134"/>
      </rPr>
      <t>20938</t>
    </r>
  </si>
  <si>
    <r>
      <rPr>
        <sz val="10"/>
        <color rgb="FF000000"/>
        <rFont val="JRFonts"/>
        <charset val="134"/>
      </rPr>
      <t>22-07-2026 14:29</t>
    </r>
  </si>
  <si>
    <r>
      <rPr>
        <sz val="10"/>
        <color rgb="FF000000"/>
        <rFont val="JRFonts"/>
        <charset val="134"/>
      </rPr>
      <t>24-07-2026 10:24</t>
    </r>
  </si>
  <si>
    <r>
      <rPr>
        <sz val="10"/>
        <color rgb="FF000000"/>
        <rFont val="JRFonts"/>
        <charset val="134"/>
      </rPr>
      <t>22-07-2026 14:37</t>
    </r>
  </si>
  <si>
    <r>
      <rPr>
        <sz val="10"/>
        <color rgb="FF0000FF"/>
        <rFont val="JRFonts"/>
        <charset val="134"/>
      </rPr>
      <t>20939</t>
    </r>
  </si>
  <si>
    <r>
      <rPr>
        <sz val="10"/>
        <color rgb="FF000000"/>
        <rFont val="JRFonts"/>
        <charset val="134"/>
      </rPr>
      <t>22-07-2026 14:35</t>
    </r>
  </si>
  <si>
    <r>
      <rPr>
        <sz val="10"/>
        <color rgb="FF000000"/>
        <rFont val="JRFonts"/>
        <charset val="134"/>
      </rPr>
      <t>11-08-2026 18:26</t>
    </r>
  </si>
  <si>
    <r>
      <rPr>
        <sz val="10"/>
        <color rgb="FF000000"/>
        <rFont val="JRFonts"/>
        <charset val="134"/>
      </rPr>
      <t>22-07-2026 14:44</t>
    </r>
  </si>
  <si>
    <t>20939</t>
  </si>
  <si>
    <r>
      <rPr>
        <sz val="10"/>
        <color rgb="FF0000FF"/>
        <rFont val="JRFonts"/>
        <charset val="134"/>
      </rPr>
      <t>20940</t>
    </r>
  </si>
  <si>
    <r>
      <rPr>
        <sz val="10"/>
        <color rgb="FF000000"/>
        <rFont val="JRFonts"/>
        <charset val="134"/>
      </rPr>
      <t>23-07-2026 10:32</t>
    </r>
  </si>
  <si>
    <r>
      <rPr>
        <sz val="10"/>
        <color rgb="FF000000"/>
        <rFont val="JRFonts"/>
        <charset val="134"/>
      </rPr>
      <t>22-07-2026 14:40</t>
    </r>
  </si>
  <si>
    <r>
      <rPr>
        <sz val="10"/>
        <color rgb="FF0000FF"/>
        <rFont val="JRFonts"/>
        <charset val="134"/>
      </rPr>
      <t>20941</t>
    </r>
  </si>
  <si>
    <r>
      <rPr>
        <sz val="10"/>
        <color rgb="FF000000"/>
        <rFont val="JRFonts"/>
        <charset val="134"/>
      </rPr>
      <t>22-07-2026 14:41</t>
    </r>
  </si>
  <si>
    <r>
      <rPr>
        <sz val="10"/>
        <color rgb="FF000000"/>
        <rFont val="JRFonts"/>
        <charset val="134"/>
      </rPr>
      <t>28-07-2026 17:13</t>
    </r>
  </si>
  <si>
    <r>
      <rPr>
        <sz val="10"/>
        <color rgb="FF000000"/>
        <rFont val="JRFonts"/>
        <charset val="134"/>
      </rPr>
      <t>25-07-2026 16:58</t>
    </r>
  </si>
  <si>
    <r>
      <rPr>
        <sz val="10"/>
        <color rgb="FF0000FF"/>
        <rFont val="JRFonts"/>
        <charset val="134"/>
      </rPr>
      <t>20942</t>
    </r>
  </si>
  <si>
    <r>
      <rPr>
        <sz val="10"/>
        <color rgb="FF000000"/>
        <rFont val="JRFonts"/>
        <charset val="134"/>
      </rPr>
      <t>22-07-2026 16:15</t>
    </r>
  </si>
  <si>
    <r>
      <rPr>
        <sz val="10"/>
        <color rgb="FF000000"/>
        <rFont val="JRFonts"/>
        <charset val="134"/>
      </rPr>
      <t>22-07-2026 14:47</t>
    </r>
  </si>
  <si>
    <r>
      <rPr>
        <sz val="10"/>
        <color rgb="FF0000FF"/>
        <rFont val="JRFonts"/>
        <charset val="134"/>
      </rPr>
      <t>20945</t>
    </r>
  </si>
  <si>
    <r>
      <rPr>
        <sz val="10"/>
        <color rgb="FF000000"/>
        <rFont val="JRFonts"/>
        <charset val="134"/>
      </rPr>
      <t>22-07-2026 15:05</t>
    </r>
  </si>
  <si>
    <r>
      <rPr>
        <sz val="10"/>
        <color rgb="FF000000"/>
        <rFont val="JRFonts"/>
        <charset val="134"/>
      </rPr>
      <t>24-07-2026 10:40</t>
    </r>
  </si>
  <si>
    <r>
      <rPr>
        <sz val="10"/>
        <color rgb="FF000000"/>
        <rFont val="JRFonts"/>
        <charset val="134"/>
      </rPr>
      <t>22-07-2026 16:41</t>
    </r>
  </si>
  <si>
    <r>
      <rPr>
        <sz val="10"/>
        <color rgb="FF0000FF"/>
        <rFont val="JRFonts"/>
        <charset val="134"/>
      </rPr>
      <t>20947</t>
    </r>
  </si>
  <si>
    <r>
      <rPr>
        <sz val="10"/>
        <color rgb="FF000000"/>
        <rFont val="JRFonts"/>
        <charset val="134"/>
      </rPr>
      <t>22-07-2026 15:17</t>
    </r>
  </si>
  <si>
    <r>
      <rPr>
        <sz val="10"/>
        <color rgb="FF000000"/>
        <rFont val="JRFonts"/>
        <charset val="134"/>
      </rPr>
      <t>22-07-2026 15:34</t>
    </r>
  </si>
  <si>
    <r>
      <rPr>
        <sz val="10"/>
        <color rgb="FF0000FF"/>
        <rFont val="JRFonts"/>
        <charset val="134"/>
      </rPr>
      <t>20949</t>
    </r>
  </si>
  <si>
    <r>
      <rPr>
        <sz val="10"/>
        <color rgb="FF000000"/>
        <rFont val="JRFonts"/>
        <charset val="134"/>
      </rPr>
      <t>22-07-2026 15:27</t>
    </r>
  </si>
  <si>
    <r>
      <rPr>
        <sz val="10"/>
        <color rgb="FF000000"/>
        <rFont val="JRFonts"/>
        <charset val="134"/>
      </rPr>
      <t>22-07-2026 17:59</t>
    </r>
  </si>
  <si>
    <r>
      <rPr>
        <sz val="10"/>
        <color rgb="FF000000"/>
        <rFont val="JRFonts"/>
        <charset val="134"/>
      </rPr>
      <t>22-07-2026 16:34</t>
    </r>
  </si>
  <si>
    <r>
      <rPr>
        <sz val="10"/>
        <color rgb="FF0000FF"/>
        <rFont val="JRFonts"/>
        <charset val="134"/>
      </rPr>
      <t>20950</t>
    </r>
  </si>
  <si>
    <r>
      <rPr>
        <sz val="10"/>
        <color rgb="FF000000"/>
        <rFont val="JRFonts"/>
        <charset val="134"/>
      </rPr>
      <t>22-07-2026 18:19</t>
    </r>
  </si>
  <si>
    <r>
      <rPr>
        <sz val="10"/>
        <color rgb="FF000000"/>
        <rFont val="JRFonts"/>
        <charset val="134"/>
      </rPr>
      <t>22-07-2026 16:32</t>
    </r>
  </si>
  <si>
    <r>
      <rPr>
        <sz val="10"/>
        <color rgb="FF0000FF"/>
        <rFont val="JRFonts"/>
        <charset val="134"/>
      </rPr>
      <t>20951</t>
    </r>
  </si>
  <si>
    <r>
      <rPr>
        <sz val="10"/>
        <color rgb="FF000000"/>
        <rFont val="JRFonts"/>
        <charset val="134"/>
      </rPr>
      <t>22-07-2026 15:33</t>
    </r>
  </si>
  <si>
    <r>
      <rPr>
        <sz val="10"/>
        <color rgb="FF000000"/>
        <rFont val="JRFonts"/>
        <charset val="134"/>
      </rPr>
      <t>23-07-2026 10:35</t>
    </r>
  </si>
  <si>
    <r>
      <rPr>
        <sz val="10"/>
        <color rgb="FF000000"/>
        <rFont val="JRFonts"/>
        <charset val="134"/>
      </rPr>
      <t>22-07-2026 18:17</t>
    </r>
  </si>
  <si>
    <r>
      <rPr>
        <sz val="10"/>
        <color rgb="FF0000FF"/>
        <rFont val="JRFonts"/>
        <charset val="134"/>
      </rPr>
      <t>20952</t>
    </r>
  </si>
  <si>
    <r>
      <rPr>
        <sz val="10"/>
        <color rgb="FF000000"/>
        <rFont val="JRFonts"/>
        <charset val="134"/>
      </rPr>
      <t>01-09-2026 10:27</t>
    </r>
  </si>
  <si>
    <r>
      <rPr>
        <sz val="10"/>
        <color rgb="FF000000"/>
        <rFont val="JRFonts"/>
        <charset val="134"/>
      </rPr>
      <t>22-07-2026 16:31</t>
    </r>
  </si>
  <si>
    <t>20952</t>
  </si>
  <si>
    <r>
      <rPr>
        <sz val="10"/>
        <color rgb="FF0000FF"/>
        <rFont val="JRFonts"/>
        <charset val="134"/>
      </rPr>
      <t>20953</t>
    </r>
  </si>
  <si>
    <r>
      <rPr>
        <sz val="10"/>
        <color rgb="FF000000"/>
        <rFont val="JRFonts"/>
        <charset val="134"/>
      </rPr>
      <t>22-07-2026 15:51</t>
    </r>
  </si>
  <si>
    <r>
      <rPr>
        <sz val="10"/>
        <color rgb="FF000000"/>
        <rFont val="JRFonts"/>
        <charset val="134"/>
      </rPr>
      <t>22-07-2026 16:46</t>
    </r>
  </si>
  <si>
    <r>
      <rPr>
        <sz val="10"/>
        <color rgb="FF000000"/>
        <rFont val="JRFonts"/>
        <charset val="134"/>
      </rPr>
      <t>22-07-2026 16:33</t>
    </r>
  </si>
  <si>
    <r>
      <rPr>
        <sz val="10"/>
        <color rgb="FF0000FF"/>
        <rFont val="JRFonts"/>
        <charset val="134"/>
      </rPr>
      <t>20955</t>
    </r>
  </si>
  <si>
    <r>
      <rPr>
        <sz val="10"/>
        <color rgb="FF000000"/>
        <rFont val="JRFonts"/>
        <charset val="134"/>
      </rPr>
      <t>23-07-2026 12:00</t>
    </r>
  </si>
  <si>
    <r>
      <rPr>
        <sz val="10"/>
        <color rgb="FF000000"/>
        <rFont val="JRFonts"/>
        <charset val="134"/>
      </rPr>
      <t>22-07-2026 16:26</t>
    </r>
  </si>
  <si>
    <r>
      <rPr>
        <sz val="10"/>
        <color rgb="FF0000FF"/>
        <rFont val="JRFonts"/>
        <charset val="134"/>
      </rPr>
      <t>20956</t>
    </r>
  </si>
  <si>
    <r>
      <rPr>
        <sz val="10"/>
        <color rgb="FF000000"/>
        <rFont val="JRFonts"/>
        <charset val="134"/>
      </rPr>
      <t>22-07-2026 15:54</t>
    </r>
  </si>
  <si>
    <r>
      <rPr>
        <sz val="10"/>
        <color rgb="FF000000"/>
        <rFont val="JRFonts"/>
        <charset val="134"/>
      </rPr>
      <t>23-07-2026 11:25</t>
    </r>
  </si>
  <si>
    <r>
      <rPr>
        <sz val="10"/>
        <color rgb="FF000000"/>
        <rFont val="JRFonts"/>
        <charset val="134"/>
      </rPr>
      <t>22-07-2026 16:27</t>
    </r>
  </si>
  <si>
    <r>
      <rPr>
        <sz val="10"/>
        <color rgb="FF0000FF"/>
        <rFont val="JRFonts"/>
        <charset val="134"/>
      </rPr>
      <t>20957</t>
    </r>
  </si>
  <si>
    <r>
      <rPr>
        <sz val="10"/>
        <color rgb="FF000000"/>
        <rFont val="JRFonts"/>
        <charset val="134"/>
      </rPr>
      <t>23-07-2026 10:47</t>
    </r>
  </si>
  <si>
    <r>
      <rPr>
        <sz val="10"/>
        <color rgb="FF000000"/>
        <rFont val="JRFonts"/>
        <charset val="134"/>
      </rPr>
      <t>22-07-2026 16:29</t>
    </r>
  </si>
  <si>
    <r>
      <rPr>
        <sz val="10"/>
        <color rgb="FF0000FF"/>
        <rFont val="JRFonts"/>
        <charset val="134"/>
      </rPr>
      <t>20958</t>
    </r>
  </si>
  <si>
    <r>
      <rPr>
        <sz val="10"/>
        <color rgb="FF000000"/>
        <rFont val="JRFonts"/>
        <charset val="134"/>
      </rPr>
      <t>11-08-2026 18:20</t>
    </r>
  </si>
  <si>
    <r>
      <rPr>
        <sz val="10"/>
        <color rgb="FF000000"/>
        <rFont val="JRFonts"/>
        <charset val="134"/>
      </rPr>
      <t>22-07-2026 16:35</t>
    </r>
  </si>
  <si>
    <t>20958</t>
  </si>
  <si>
    <r>
      <rPr>
        <sz val="10"/>
        <color rgb="FF0000FF"/>
        <rFont val="JRFonts"/>
        <charset val="134"/>
      </rPr>
      <t>20959</t>
    </r>
  </si>
  <si>
    <r>
      <rPr>
        <sz val="10"/>
        <color rgb="FF000000"/>
        <rFont val="JRFonts"/>
        <charset val="134"/>
      </rPr>
      <t>22-07-2026 16:18</t>
    </r>
  </si>
  <si>
    <r>
      <rPr>
        <sz val="10"/>
        <color rgb="FF000000"/>
        <rFont val="JRFonts"/>
        <charset val="134"/>
      </rPr>
      <t>19-08-2026 14:26</t>
    </r>
  </si>
  <si>
    <r>
      <rPr>
        <sz val="10"/>
        <color rgb="FF000000"/>
        <rFont val="JRFonts"/>
        <charset val="134"/>
      </rPr>
      <t>19-08-2026 11:24</t>
    </r>
  </si>
  <si>
    <r>
      <rPr>
        <sz val="10"/>
        <color rgb="FF0000FF"/>
        <rFont val="JRFonts"/>
        <charset val="134"/>
      </rPr>
      <t>20960</t>
    </r>
  </si>
  <si>
    <r>
      <rPr>
        <sz val="10"/>
        <color rgb="FF000000"/>
        <rFont val="JRFonts"/>
        <charset val="134"/>
      </rPr>
      <t>25-07-2026 12:39</t>
    </r>
  </si>
  <si>
    <r>
      <rPr>
        <sz val="10"/>
        <color rgb="FF000000"/>
        <rFont val="JRFonts"/>
        <charset val="134"/>
      </rPr>
      <t>22-07-2026 16:37</t>
    </r>
  </si>
  <si>
    <r>
      <rPr>
        <sz val="10"/>
        <color rgb="FF0000FF"/>
        <rFont val="JRFonts"/>
        <charset val="134"/>
      </rPr>
      <t>20962</t>
    </r>
  </si>
  <si>
    <r>
      <rPr>
        <sz val="10"/>
        <color rgb="FF000000"/>
        <rFont val="JRFonts"/>
        <charset val="134"/>
      </rPr>
      <t>22-07-2026 16:40</t>
    </r>
  </si>
  <si>
    <r>
      <rPr>
        <sz val="10"/>
        <color rgb="FF000000"/>
        <rFont val="JRFonts"/>
        <charset val="134"/>
      </rPr>
      <t>23-07-2026 10:10</t>
    </r>
  </si>
  <si>
    <r>
      <rPr>
        <sz val="10"/>
        <color rgb="FF000000"/>
        <rFont val="JRFonts"/>
        <charset val="134"/>
      </rPr>
      <t>22-07-2026 16:47</t>
    </r>
  </si>
  <si>
    <r>
      <rPr>
        <sz val="10"/>
        <color rgb="FF0000FF"/>
        <rFont val="JRFonts"/>
        <charset val="134"/>
      </rPr>
      <t>20963</t>
    </r>
  </si>
  <si>
    <r>
      <rPr>
        <sz val="10"/>
        <color rgb="FF000000"/>
        <rFont val="JRFonts"/>
        <charset val="134"/>
      </rPr>
      <t>22-07-2026 18:11</t>
    </r>
  </si>
  <si>
    <r>
      <rPr>
        <sz val="10"/>
        <color rgb="FF000000"/>
        <rFont val="JRFonts"/>
        <charset val="134"/>
      </rPr>
      <t>22-07-2026 16:49</t>
    </r>
  </si>
  <si>
    <r>
      <rPr>
        <sz val="10"/>
        <color rgb="FF0000FF"/>
        <rFont val="JRFonts"/>
        <charset val="134"/>
      </rPr>
      <t>20965</t>
    </r>
  </si>
  <si>
    <r>
      <rPr>
        <sz val="10"/>
        <color rgb="FF000000"/>
        <rFont val="JRFonts"/>
        <charset val="134"/>
      </rPr>
      <t>22-07-2026 16:58</t>
    </r>
  </si>
  <si>
    <r>
      <rPr>
        <sz val="10"/>
        <color rgb="FF000000"/>
        <rFont val="JRFonts"/>
        <charset val="134"/>
      </rPr>
      <t>23-07-2026 10:51</t>
    </r>
  </si>
  <si>
    <r>
      <rPr>
        <sz val="10"/>
        <color rgb="FF000000"/>
        <rFont val="JRFonts"/>
        <charset val="134"/>
      </rPr>
      <t>22-07-2026 17:03</t>
    </r>
  </si>
  <si>
    <r>
      <rPr>
        <sz val="10"/>
        <color rgb="FF0000FF"/>
        <rFont val="JRFonts"/>
        <charset val="134"/>
      </rPr>
      <t>20966</t>
    </r>
  </si>
  <si>
    <r>
      <rPr>
        <sz val="10"/>
        <color rgb="FF000000"/>
        <rFont val="JRFonts"/>
        <charset val="134"/>
      </rPr>
      <t>27-07-2026 12:25</t>
    </r>
  </si>
  <si>
    <r>
      <rPr>
        <sz val="10"/>
        <color rgb="FF000000"/>
        <rFont val="JRFonts"/>
        <charset val="134"/>
      </rPr>
      <t>22-07-2026 17:05</t>
    </r>
  </si>
  <si>
    <r>
      <rPr>
        <sz val="10"/>
        <color rgb="FF0000FF"/>
        <rFont val="JRFonts"/>
        <charset val="134"/>
      </rPr>
      <t>20967</t>
    </r>
  </si>
  <si>
    <r>
      <rPr>
        <sz val="10"/>
        <color rgb="FF000000"/>
        <rFont val="JRFonts"/>
        <charset val="134"/>
      </rPr>
      <t>27-07-2026 10:15</t>
    </r>
  </si>
  <si>
    <r>
      <rPr>
        <sz val="10"/>
        <color rgb="FF000000"/>
        <rFont val="JRFonts"/>
        <charset val="134"/>
      </rPr>
      <t>22-07-2026 17:06</t>
    </r>
  </si>
  <si>
    <t>20967</t>
  </si>
  <si>
    <r>
      <rPr>
        <sz val="10"/>
        <color rgb="FF0000FF"/>
        <rFont val="JRFonts"/>
        <charset val="134"/>
      </rPr>
      <t>20968</t>
    </r>
  </si>
  <si>
    <r>
      <rPr>
        <sz val="10"/>
        <color rgb="FF000000"/>
        <rFont val="JRFonts"/>
        <charset val="134"/>
      </rPr>
      <t>22-07-2026 17:07</t>
    </r>
  </si>
  <si>
    <r>
      <rPr>
        <sz val="10"/>
        <color rgb="FF000000"/>
        <rFont val="JRFonts"/>
        <charset val="134"/>
      </rPr>
      <t>22-07-2026 17:14</t>
    </r>
  </si>
  <si>
    <r>
      <rPr>
        <sz val="10"/>
        <color rgb="FF000000"/>
        <rFont val="JRFonts"/>
        <charset val="134"/>
      </rPr>
      <t>22-07-2026 18:14</t>
    </r>
  </si>
  <si>
    <r>
      <rPr>
        <sz val="10"/>
        <color rgb="FF0000FF"/>
        <rFont val="JRFonts"/>
        <charset val="134"/>
      </rPr>
      <t>20971</t>
    </r>
  </si>
  <si>
    <r>
      <rPr>
        <sz val="10"/>
        <color rgb="FF000000"/>
        <rFont val="JRFonts"/>
        <charset val="134"/>
      </rPr>
      <t>22-07-2026 17:37</t>
    </r>
  </si>
  <si>
    <r>
      <rPr>
        <sz val="10"/>
        <color rgb="FF000000"/>
        <rFont val="JRFonts"/>
        <charset val="134"/>
      </rPr>
      <t>22-07-2026 17:56</t>
    </r>
  </si>
  <si>
    <r>
      <rPr>
        <sz val="10"/>
        <color rgb="FF000000"/>
        <rFont val="JRFonts"/>
        <charset val="134"/>
      </rPr>
      <t>22-07-2026 17:41</t>
    </r>
  </si>
  <si>
    <r>
      <rPr>
        <sz val="10"/>
        <color rgb="FF0000FF"/>
        <rFont val="JRFonts"/>
        <charset val="134"/>
      </rPr>
      <t>20972</t>
    </r>
  </si>
  <si>
    <r>
      <rPr>
        <sz val="10"/>
        <color rgb="FF000000"/>
        <rFont val="JRFonts"/>
        <charset val="134"/>
      </rPr>
      <t>22-07-2026 17:48</t>
    </r>
  </si>
  <si>
    <r>
      <rPr>
        <sz val="10"/>
        <color rgb="FF000000"/>
        <rFont val="JRFonts"/>
        <charset val="134"/>
      </rPr>
      <t>22-07-2026 17:40</t>
    </r>
  </si>
  <si>
    <r>
      <rPr>
        <sz val="10"/>
        <color rgb="FF0000FF"/>
        <rFont val="JRFonts"/>
        <charset val="134"/>
      </rPr>
      <t>20973</t>
    </r>
  </si>
  <si>
    <r>
      <rPr>
        <sz val="10"/>
        <color rgb="FF000000"/>
        <rFont val="JRFonts"/>
        <charset val="134"/>
      </rPr>
      <t>22-07-2026 17:43</t>
    </r>
  </si>
  <si>
    <r>
      <rPr>
        <sz val="10"/>
        <color rgb="FF000000"/>
        <rFont val="JRFonts"/>
        <charset val="134"/>
      </rPr>
      <t>22-07-2026 18:13</t>
    </r>
  </si>
  <si>
    <r>
      <rPr>
        <sz val="10"/>
        <color rgb="FF000000"/>
        <rFont val="JRFonts"/>
        <charset val="134"/>
      </rPr>
      <t>22-07-2026 17:52</t>
    </r>
  </si>
  <si>
    <r>
      <rPr>
        <sz val="10"/>
        <color rgb="FF0000FF"/>
        <rFont val="JRFonts"/>
        <charset val="134"/>
      </rPr>
      <t>20974</t>
    </r>
  </si>
  <si>
    <r>
      <rPr>
        <sz val="10"/>
        <color rgb="FF000000"/>
        <rFont val="JRFonts"/>
        <charset val="134"/>
      </rPr>
      <t>22-07-2026 17:46</t>
    </r>
  </si>
  <si>
    <r>
      <rPr>
        <sz val="10"/>
        <color rgb="FF000000"/>
        <rFont val="JRFonts"/>
        <charset val="134"/>
      </rPr>
      <t>24-07-2026 12:01</t>
    </r>
  </si>
  <si>
    <r>
      <rPr>
        <sz val="10"/>
        <color rgb="FF000000"/>
        <rFont val="JRFonts"/>
        <charset val="134"/>
      </rPr>
      <t>22-07-2026 17:54</t>
    </r>
  </si>
  <si>
    <r>
      <rPr>
        <sz val="10"/>
        <color rgb="FF0000FF"/>
        <rFont val="JRFonts"/>
        <charset val="134"/>
      </rPr>
      <t>20975</t>
    </r>
  </si>
  <si>
    <r>
      <rPr>
        <sz val="10"/>
        <color rgb="FF000000"/>
        <rFont val="JRFonts"/>
        <charset val="134"/>
      </rPr>
      <t>22-07-2026 17:50</t>
    </r>
  </si>
  <si>
    <r>
      <rPr>
        <sz val="10"/>
        <color rgb="FF000000"/>
        <rFont val="JRFonts"/>
        <charset val="134"/>
      </rPr>
      <t>23-07-2026 10:25</t>
    </r>
  </si>
  <si>
    <r>
      <rPr>
        <sz val="10"/>
        <color rgb="FF000000"/>
        <rFont val="JRFonts"/>
        <charset val="134"/>
      </rPr>
      <t>22-07-2026 18:00</t>
    </r>
  </si>
  <si>
    <r>
      <rPr>
        <sz val="10"/>
        <color rgb="FF0000FF"/>
        <rFont val="JRFonts"/>
        <charset val="134"/>
      </rPr>
      <t>20976</t>
    </r>
  </si>
  <si>
    <r>
      <rPr>
        <sz val="10"/>
        <color rgb="FF000000"/>
        <rFont val="JRFonts"/>
        <charset val="134"/>
      </rPr>
      <t>06-08-2026 17:29</t>
    </r>
  </si>
  <si>
    <r>
      <rPr>
        <sz val="10"/>
        <color rgb="FF000000"/>
        <rFont val="JRFonts"/>
        <charset val="134"/>
      </rPr>
      <t>22-07-2026 18:02</t>
    </r>
  </si>
  <si>
    <t>20976</t>
  </si>
  <si>
    <r>
      <rPr>
        <sz val="10"/>
        <color rgb="FF0000FF"/>
        <rFont val="JRFonts"/>
        <charset val="134"/>
      </rPr>
      <t>20977</t>
    </r>
  </si>
  <si>
    <r>
      <rPr>
        <sz val="10"/>
        <color rgb="FF000000"/>
        <rFont val="JRFonts"/>
        <charset val="134"/>
      </rPr>
      <t>24-07-2026 14:27</t>
    </r>
  </si>
  <si>
    <r>
      <rPr>
        <sz val="10"/>
        <color rgb="FF000000"/>
        <rFont val="JRFonts"/>
        <charset val="134"/>
      </rPr>
      <t>22-07-2026 18:03</t>
    </r>
  </si>
  <si>
    <t>20977</t>
  </si>
  <si>
    <r>
      <rPr>
        <sz val="10"/>
        <color rgb="FF0000FF"/>
        <rFont val="JRFonts"/>
        <charset val="134"/>
      </rPr>
      <t>20978</t>
    </r>
  </si>
  <si>
    <r>
      <rPr>
        <sz val="10"/>
        <color rgb="FF000000"/>
        <rFont val="JRFonts"/>
        <charset val="134"/>
      </rPr>
      <t>30-09-2026 10:25</t>
    </r>
  </si>
  <si>
    <r>
      <rPr>
        <sz val="10"/>
        <color rgb="FF000000"/>
        <rFont val="JRFonts"/>
        <charset val="134"/>
      </rPr>
      <t>22-07-2026 18:15</t>
    </r>
  </si>
  <si>
    <t>20978</t>
  </si>
  <si>
    <r>
      <rPr>
        <sz val="10"/>
        <color rgb="FF0000FF"/>
        <rFont val="JRFonts"/>
        <charset val="134"/>
      </rPr>
      <t>20979</t>
    </r>
  </si>
  <si>
    <r>
      <rPr>
        <sz val="10"/>
        <color rgb="FF000000"/>
        <rFont val="JRFonts"/>
        <charset val="134"/>
      </rPr>
      <t>27-07-2026 10:16</t>
    </r>
  </si>
  <si>
    <t>20979</t>
  </si>
  <si>
    <r>
      <rPr>
        <sz val="10"/>
        <color rgb="FF0000FF"/>
        <rFont val="JRFonts"/>
        <charset val="134"/>
      </rPr>
      <t>20981</t>
    </r>
  </si>
  <si>
    <r>
      <rPr>
        <sz val="10"/>
        <color rgb="FF000000"/>
        <rFont val="JRFonts"/>
        <charset val="134"/>
      </rPr>
      <t>22-07-2026 18:20</t>
    </r>
  </si>
  <si>
    <r>
      <rPr>
        <sz val="10"/>
        <color rgb="FF000000"/>
        <rFont val="JRFonts"/>
        <charset val="134"/>
      </rPr>
      <t>23-07-2026 10:23</t>
    </r>
  </si>
  <si>
    <r>
      <rPr>
        <sz val="10"/>
        <color rgb="FF000000"/>
        <rFont val="JRFonts"/>
        <charset val="134"/>
      </rPr>
      <t>22-07-2026 18:31</t>
    </r>
  </si>
  <si>
    <r>
      <rPr>
        <sz val="10"/>
        <color rgb="FF0000FF"/>
        <rFont val="JRFonts"/>
        <charset val="134"/>
      </rPr>
      <t>20982</t>
    </r>
  </si>
  <si>
    <r>
      <rPr>
        <sz val="10"/>
        <color rgb="FF000000"/>
        <rFont val="JRFonts"/>
        <charset val="134"/>
      </rPr>
      <t>22-07-2026 18:23</t>
    </r>
  </si>
  <si>
    <r>
      <rPr>
        <sz val="10"/>
        <color rgb="FF000000"/>
        <rFont val="JRFonts"/>
        <charset val="134"/>
      </rPr>
      <t>25-07-2026 12:57</t>
    </r>
  </si>
  <si>
    <r>
      <rPr>
        <sz val="10"/>
        <color rgb="FF000000"/>
        <rFont val="JRFonts"/>
        <charset val="134"/>
      </rPr>
      <t>22-07-2026 18:34</t>
    </r>
  </si>
  <si>
    <r>
      <rPr>
        <sz val="10"/>
        <color rgb="FF0000FF"/>
        <rFont val="JRFonts"/>
        <charset val="134"/>
      </rPr>
      <t>20984</t>
    </r>
  </si>
  <si>
    <r>
      <rPr>
        <sz val="10"/>
        <color rgb="FF000000"/>
        <rFont val="JRFonts"/>
        <charset val="134"/>
      </rPr>
      <t>22-07-2026 18:44</t>
    </r>
  </si>
  <si>
    <r>
      <rPr>
        <sz val="10"/>
        <color rgb="FF000000"/>
        <rFont val="JRFonts"/>
        <charset val="134"/>
      </rPr>
      <t>27-07-2026 10:17</t>
    </r>
  </si>
  <si>
    <r>
      <rPr>
        <sz val="10"/>
        <color rgb="FF000000"/>
        <rFont val="JRFonts"/>
        <charset val="134"/>
      </rPr>
      <t>23-07-2026 11:13</t>
    </r>
  </si>
  <si>
    <r>
      <rPr>
        <sz val="10"/>
        <color rgb="FF0000FF"/>
        <rFont val="JRFonts"/>
        <charset val="134"/>
      </rPr>
      <t>20985</t>
    </r>
  </si>
  <si>
    <r>
      <rPr>
        <sz val="10"/>
        <color rgb="FF000000"/>
        <rFont val="JRFonts"/>
        <charset val="134"/>
      </rPr>
      <t>22-07-2026 18:47</t>
    </r>
  </si>
  <si>
    <r>
      <rPr>
        <sz val="10"/>
        <color rgb="FF000000"/>
        <rFont val="JRFonts"/>
        <charset val="134"/>
      </rPr>
      <t>24-07-2026 11:28</t>
    </r>
  </si>
  <si>
    <r>
      <rPr>
        <sz val="10"/>
        <color rgb="FF000000"/>
        <rFont val="JRFonts"/>
        <charset val="134"/>
      </rPr>
      <t>23-07-2026 11:12</t>
    </r>
  </si>
  <si>
    <r>
      <rPr>
        <sz val="10"/>
        <color rgb="FF0000FF"/>
        <rFont val="JRFonts"/>
        <charset val="134"/>
      </rPr>
      <t>20987</t>
    </r>
  </si>
  <si>
    <r>
      <rPr>
        <sz val="10"/>
        <color rgb="FF000000"/>
        <rFont val="JRFonts"/>
        <charset val="134"/>
      </rPr>
      <t>22-07-2026 19:02</t>
    </r>
  </si>
  <si>
    <r>
      <rPr>
        <sz val="10"/>
        <color rgb="FF000000"/>
        <rFont val="JRFonts"/>
        <charset val="134"/>
      </rPr>
      <t>06-08-2026 17:27</t>
    </r>
  </si>
  <si>
    <r>
      <rPr>
        <sz val="10"/>
        <color rgb="FF000000"/>
        <rFont val="JRFonts"/>
        <charset val="134"/>
      </rPr>
      <t>24-07-2026 16:47</t>
    </r>
  </si>
  <si>
    <t>20987</t>
  </si>
  <si>
    <r>
      <rPr>
        <sz val="10"/>
        <color rgb="FF0000FF"/>
        <rFont val="JRFonts"/>
        <charset val="134"/>
      </rPr>
      <t>20988</t>
    </r>
  </si>
  <si>
    <r>
      <rPr>
        <sz val="10"/>
        <color rgb="FF000000"/>
        <rFont val="JRFonts"/>
        <charset val="134"/>
      </rPr>
      <t>22-07-2026 19:03</t>
    </r>
  </si>
  <si>
    <r>
      <rPr>
        <sz val="10"/>
        <color rgb="FF000000"/>
        <rFont val="JRFonts"/>
        <charset val="134"/>
      </rPr>
      <t>18-08-2026 13:47</t>
    </r>
  </si>
  <si>
    <r>
      <rPr>
        <sz val="10"/>
        <color rgb="FF000000"/>
        <rFont val="JRFonts"/>
        <charset val="134"/>
      </rPr>
      <t>23-07-2026 11:15</t>
    </r>
  </si>
  <si>
    <t>20988</t>
  </si>
  <si>
    <r>
      <rPr>
        <sz val="10"/>
        <color rgb="FF0000FF"/>
        <rFont val="JRFonts"/>
        <charset val="134"/>
      </rPr>
      <t>20990</t>
    </r>
  </si>
  <si>
    <r>
      <rPr>
        <sz val="10"/>
        <color rgb="FF000000"/>
        <rFont val="JRFonts"/>
        <charset val="134"/>
      </rPr>
      <t>22-07-2026 19:21</t>
    </r>
  </si>
  <si>
    <r>
      <rPr>
        <sz val="10"/>
        <color rgb="FF000000"/>
        <rFont val="JRFonts"/>
        <charset val="134"/>
      </rPr>
      <t>24-07-2026 17:49</t>
    </r>
  </si>
  <si>
    <r>
      <rPr>
        <sz val="10"/>
        <color rgb="FF000000"/>
        <rFont val="JRFonts"/>
        <charset val="134"/>
      </rPr>
      <t>24-07-2026 14:25</t>
    </r>
  </si>
  <si>
    <r>
      <rPr>
        <sz val="10"/>
        <color rgb="FF0000FF"/>
        <rFont val="JRFonts"/>
        <charset val="134"/>
      </rPr>
      <t>20992</t>
    </r>
  </si>
  <si>
    <r>
      <rPr>
        <sz val="10"/>
        <color rgb="FF000000"/>
        <rFont val="JRFonts"/>
        <charset val="134"/>
      </rPr>
      <t>22-07-2026 19:39</t>
    </r>
  </si>
  <si>
    <r>
      <rPr>
        <sz val="10"/>
        <color rgb="FF000000"/>
        <rFont val="JRFonts"/>
        <charset val="134"/>
      </rPr>
      <t>23-07-2026 11:26</t>
    </r>
  </si>
  <si>
    <r>
      <rPr>
        <sz val="10"/>
        <color rgb="FF000000"/>
        <rFont val="JRFonts"/>
        <charset val="134"/>
      </rPr>
      <t>23-07-2026 10:42</t>
    </r>
  </si>
  <si>
    <r>
      <rPr>
        <sz val="10"/>
        <color rgb="FF0000FF"/>
        <rFont val="JRFonts"/>
        <charset val="134"/>
      </rPr>
      <t>20993</t>
    </r>
  </si>
  <si>
    <r>
      <rPr>
        <sz val="10"/>
        <color rgb="FF000000"/>
        <rFont val="JRFonts"/>
        <charset val="134"/>
      </rPr>
      <t>22-07-2026 20:03</t>
    </r>
  </si>
  <si>
    <r>
      <rPr>
        <sz val="10"/>
        <color rgb="FF000000"/>
        <rFont val="JRFonts"/>
        <charset val="134"/>
      </rPr>
      <t>27-07-2026 10:21</t>
    </r>
  </si>
  <si>
    <r>
      <rPr>
        <sz val="10"/>
        <color rgb="FF000000"/>
        <rFont val="JRFonts"/>
        <charset val="134"/>
      </rPr>
      <t>23-07-2026 10:43</t>
    </r>
  </si>
  <si>
    <r>
      <rPr>
        <sz val="10"/>
        <color rgb="FF0000FF"/>
        <rFont val="JRFonts"/>
        <charset val="134"/>
      </rPr>
      <t>20995</t>
    </r>
  </si>
  <si>
    <r>
      <rPr>
        <sz val="10"/>
        <color rgb="FF000000"/>
        <rFont val="JRFonts"/>
        <charset val="134"/>
      </rPr>
      <t>23-07-2026 09:37</t>
    </r>
  </si>
  <si>
    <r>
      <rPr>
        <sz val="10"/>
        <color rgb="FF000000"/>
        <rFont val="JRFonts"/>
        <charset val="134"/>
      </rPr>
      <t>27-07-2026 10:23</t>
    </r>
  </si>
  <si>
    <r>
      <rPr>
        <sz val="10"/>
        <color rgb="FF000000"/>
        <rFont val="JRFonts"/>
        <charset val="134"/>
      </rPr>
      <t>23-07-2026 10:45</t>
    </r>
  </si>
  <si>
    <r>
      <rPr>
        <sz val="10"/>
        <color rgb="FF0000FF"/>
        <rFont val="JRFonts"/>
        <charset val="134"/>
      </rPr>
      <t>20996</t>
    </r>
  </si>
  <si>
    <r>
      <rPr>
        <sz val="10"/>
        <color rgb="FF000000"/>
        <rFont val="JRFonts"/>
        <charset val="134"/>
      </rPr>
      <t>23-07-2026 10:02</t>
    </r>
  </si>
  <si>
    <r>
      <rPr>
        <sz val="10"/>
        <color rgb="FF000000"/>
        <rFont val="JRFonts"/>
        <charset val="134"/>
      </rPr>
      <t>23-07-2026 12:05</t>
    </r>
  </si>
  <si>
    <r>
      <rPr>
        <sz val="10"/>
        <color rgb="FF000000"/>
        <rFont val="JRFonts"/>
        <charset val="134"/>
      </rPr>
      <t>23-07-2026 10:48</t>
    </r>
  </si>
  <si>
    <r>
      <rPr>
        <sz val="10"/>
        <color rgb="FF0000FF"/>
        <rFont val="JRFonts"/>
        <charset val="134"/>
      </rPr>
      <t>20998</t>
    </r>
  </si>
  <si>
    <r>
      <rPr>
        <sz val="10"/>
        <color rgb="FF000000"/>
        <rFont val="JRFonts"/>
        <charset val="134"/>
      </rPr>
      <t>23-07-2026 10:11</t>
    </r>
  </si>
  <si>
    <r>
      <rPr>
        <sz val="10"/>
        <color rgb="FF000000"/>
        <rFont val="JRFonts"/>
        <charset val="134"/>
      </rPr>
      <t>27-07-2026 12:30</t>
    </r>
  </si>
  <si>
    <r>
      <rPr>
        <sz val="10"/>
        <color rgb="FF000000"/>
        <rFont val="JRFonts"/>
        <charset val="134"/>
      </rPr>
      <t>23-07-2026 10:53</t>
    </r>
  </si>
  <si>
    <t>20998</t>
  </si>
  <si>
    <r>
      <rPr>
        <sz val="10"/>
        <color rgb="FF0000FF"/>
        <rFont val="JRFonts"/>
        <charset val="134"/>
      </rPr>
      <t>20999</t>
    </r>
  </si>
  <si>
    <r>
      <rPr>
        <sz val="10"/>
        <color rgb="FF000000"/>
        <rFont val="JRFonts"/>
        <charset val="134"/>
      </rPr>
      <t>23-07-2026 10:14</t>
    </r>
  </si>
  <si>
    <r>
      <rPr>
        <sz val="10"/>
        <color rgb="FF000000"/>
        <rFont val="JRFonts"/>
        <charset val="134"/>
      </rPr>
      <t>23-07-2026 10:57</t>
    </r>
  </si>
  <si>
    <r>
      <rPr>
        <sz val="10"/>
        <color rgb="FF0000FF"/>
        <rFont val="JRFonts"/>
        <charset val="134"/>
      </rPr>
      <t>21000</t>
    </r>
  </si>
  <si>
    <r>
      <rPr>
        <sz val="10"/>
        <color rgb="FF000000"/>
        <rFont val="JRFonts"/>
        <charset val="134"/>
      </rPr>
      <t>27-07-2026 10:25</t>
    </r>
  </si>
  <si>
    <r>
      <rPr>
        <sz val="10"/>
        <color rgb="FF000000"/>
        <rFont val="JRFonts"/>
        <charset val="134"/>
      </rPr>
      <t>23-07-2026 10:55</t>
    </r>
  </si>
  <si>
    <r>
      <rPr>
        <sz val="10"/>
        <color rgb="FF0000FF"/>
        <rFont val="JRFonts"/>
        <charset val="134"/>
      </rPr>
      <t>21001</t>
    </r>
  </si>
  <si>
    <r>
      <rPr>
        <sz val="10"/>
        <color rgb="FF000000"/>
        <rFont val="JRFonts"/>
        <charset val="134"/>
      </rPr>
      <t>23-07-2026 15:08</t>
    </r>
  </si>
  <si>
    <r>
      <rPr>
        <sz val="10"/>
        <color rgb="FF000000"/>
        <rFont val="JRFonts"/>
        <charset val="134"/>
      </rPr>
      <t>23-07-2026 10:17</t>
    </r>
  </si>
  <si>
    <r>
      <rPr>
        <sz val="10"/>
        <color rgb="FF0000FF"/>
        <rFont val="JRFonts"/>
        <charset val="134"/>
      </rPr>
      <t>21002</t>
    </r>
  </si>
  <si>
    <r>
      <rPr>
        <sz val="10"/>
        <color rgb="FF000000"/>
        <rFont val="JRFonts"/>
        <charset val="134"/>
      </rPr>
      <t>29-07-2026 12:46</t>
    </r>
  </si>
  <si>
    <r>
      <rPr>
        <sz val="10"/>
        <color rgb="FF000000"/>
        <rFont val="JRFonts"/>
        <charset val="134"/>
      </rPr>
      <t>23-07-2026 11:00</t>
    </r>
  </si>
  <si>
    <t>21002</t>
  </si>
  <si>
    <r>
      <rPr>
        <sz val="10"/>
        <color rgb="FF0000FF"/>
        <rFont val="JRFonts"/>
        <charset val="134"/>
      </rPr>
      <t>21003</t>
    </r>
  </si>
  <si>
    <r>
      <rPr>
        <sz val="10"/>
        <color rgb="FF000000"/>
        <rFont val="JRFonts"/>
        <charset val="134"/>
      </rPr>
      <t>24-07-2026 17:16</t>
    </r>
  </si>
  <si>
    <r>
      <rPr>
        <sz val="10"/>
        <color rgb="FF000000"/>
        <rFont val="JRFonts"/>
        <charset val="134"/>
      </rPr>
      <t>23-07-2026 11:01</t>
    </r>
  </si>
  <si>
    <t>21003</t>
  </si>
  <si>
    <t>Resolved within SLA and reverted over mail - Delayed for updating on portal</t>
  </si>
  <si>
    <r>
      <rPr>
        <sz val="10"/>
        <color rgb="FF0000FF"/>
        <rFont val="JRFonts"/>
        <charset val="134"/>
      </rPr>
      <t>21005</t>
    </r>
  </si>
  <si>
    <r>
      <rPr>
        <sz val="10"/>
        <color rgb="FF0000FF"/>
        <rFont val="JRFonts"/>
        <charset val="134"/>
      </rPr>
      <t>21006</t>
    </r>
  </si>
  <si>
    <r>
      <rPr>
        <sz val="10"/>
        <color rgb="FF000000"/>
        <rFont val="JRFonts"/>
        <charset val="134"/>
      </rPr>
      <t>27-07-2026 10:28</t>
    </r>
  </si>
  <si>
    <r>
      <rPr>
        <sz val="10"/>
        <color rgb="FF000000"/>
        <rFont val="JRFonts"/>
        <charset val="134"/>
      </rPr>
      <t>23-07-2026 11:03</t>
    </r>
  </si>
  <si>
    <r>
      <rPr>
        <sz val="10"/>
        <color rgb="FF0000FF"/>
        <rFont val="JRFonts"/>
        <charset val="134"/>
      </rPr>
      <t>21008</t>
    </r>
  </si>
  <si>
    <r>
      <rPr>
        <sz val="10"/>
        <color rgb="FF000000"/>
        <rFont val="JRFonts"/>
        <charset val="134"/>
      </rPr>
      <t>23-07-2026 10:38</t>
    </r>
  </si>
  <si>
    <r>
      <rPr>
        <sz val="10"/>
        <color rgb="FF000000"/>
        <rFont val="JRFonts"/>
        <charset val="134"/>
      </rPr>
      <t>27-07-2026 16:18</t>
    </r>
  </si>
  <si>
    <r>
      <rPr>
        <sz val="10"/>
        <color rgb="FF000000"/>
        <rFont val="JRFonts"/>
        <charset val="134"/>
      </rPr>
      <t>23-07-2026 11:05</t>
    </r>
  </si>
  <si>
    <r>
      <rPr>
        <sz val="10"/>
        <color rgb="FF0000FF"/>
        <rFont val="JRFonts"/>
        <charset val="134"/>
      </rPr>
      <t>21009</t>
    </r>
  </si>
  <si>
    <r>
      <rPr>
        <sz val="10"/>
        <color rgb="FF000000"/>
        <rFont val="JRFonts"/>
        <charset val="134"/>
      </rPr>
      <t>23-07-2026 14:11</t>
    </r>
  </si>
  <si>
    <r>
      <rPr>
        <sz val="10"/>
        <color rgb="FF000000"/>
        <rFont val="JRFonts"/>
        <charset val="134"/>
      </rPr>
      <t>23-07-2026 11:07</t>
    </r>
  </si>
  <si>
    <t>21009</t>
  </si>
  <si>
    <r>
      <rPr>
        <sz val="10"/>
        <color rgb="FF0000FF"/>
        <rFont val="JRFonts"/>
        <charset val="134"/>
      </rPr>
      <t>21011</t>
    </r>
  </si>
  <si>
    <r>
      <rPr>
        <sz val="10"/>
        <color rgb="FF000000"/>
        <rFont val="JRFonts"/>
        <charset val="134"/>
      </rPr>
      <t>23-07-2026 11:46</t>
    </r>
  </si>
  <si>
    <r>
      <rPr>
        <sz val="10"/>
        <color rgb="FF0000FF"/>
        <rFont val="JRFonts"/>
        <charset val="134"/>
      </rPr>
      <t>21012</t>
    </r>
  </si>
  <si>
    <r>
      <rPr>
        <sz val="10"/>
        <color rgb="FF000000"/>
        <rFont val="JRFonts"/>
        <charset val="134"/>
      </rPr>
      <t>04-08-2026 12:09</t>
    </r>
  </si>
  <si>
    <r>
      <rPr>
        <sz val="10"/>
        <color rgb="FF000000"/>
        <rFont val="JRFonts"/>
        <charset val="134"/>
      </rPr>
      <t>23-07-2026 11:17</t>
    </r>
  </si>
  <si>
    <t>21012</t>
  </si>
  <si>
    <r>
      <rPr>
        <sz val="10"/>
        <color rgb="FF0000FF"/>
        <rFont val="JRFonts"/>
        <charset val="134"/>
      </rPr>
      <t>21014</t>
    </r>
  </si>
  <si>
    <r>
      <rPr>
        <sz val="10"/>
        <color rgb="FF000000"/>
        <rFont val="JRFonts"/>
        <charset val="134"/>
      </rPr>
      <t>23-07-2026 15:37</t>
    </r>
  </si>
  <si>
    <r>
      <rPr>
        <sz val="10"/>
        <color rgb="FF000000"/>
        <rFont val="JRFonts"/>
        <charset val="134"/>
      </rPr>
      <t>23-07-2026 11:18</t>
    </r>
  </si>
  <si>
    <r>
      <rPr>
        <sz val="10"/>
        <color rgb="FF0000FF"/>
        <rFont val="JRFonts"/>
        <charset val="134"/>
      </rPr>
      <t>21015</t>
    </r>
  </si>
  <si>
    <r>
      <rPr>
        <sz val="10"/>
        <color rgb="FF000000"/>
        <rFont val="JRFonts"/>
        <charset val="134"/>
      </rPr>
      <t>27-07-2026 16:22</t>
    </r>
  </si>
  <si>
    <r>
      <rPr>
        <sz val="10"/>
        <color rgb="FF000000"/>
        <rFont val="JRFonts"/>
        <charset val="134"/>
      </rPr>
      <t>23-07-2026 11:22</t>
    </r>
  </si>
  <si>
    <t>21015</t>
  </si>
  <si>
    <r>
      <rPr>
        <sz val="10"/>
        <color rgb="FF0000FF"/>
        <rFont val="JRFonts"/>
        <charset val="134"/>
      </rPr>
      <t>21016</t>
    </r>
  </si>
  <si>
    <r>
      <rPr>
        <sz val="10"/>
        <color rgb="FF000000"/>
        <rFont val="JRFonts"/>
        <charset val="134"/>
      </rPr>
      <t>24-07-2026 10:22</t>
    </r>
  </si>
  <si>
    <r>
      <rPr>
        <sz val="10"/>
        <color rgb="FF000000"/>
        <rFont val="JRFonts"/>
        <charset val="134"/>
      </rPr>
      <t>23-07-2026 11:19</t>
    </r>
  </si>
  <si>
    <t>21016</t>
  </si>
  <si>
    <r>
      <rPr>
        <sz val="10"/>
        <color rgb="FF0000FF"/>
        <rFont val="JRFonts"/>
        <charset val="134"/>
      </rPr>
      <t>21017</t>
    </r>
  </si>
  <si>
    <r>
      <rPr>
        <sz val="10"/>
        <color rgb="FF000000"/>
        <rFont val="JRFonts"/>
        <charset val="134"/>
      </rPr>
      <t>23-07-2026 11:21</t>
    </r>
  </si>
  <si>
    <r>
      <rPr>
        <sz val="10"/>
        <color rgb="FF000000"/>
        <rFont val="JRFonts"/>
        <charset val="134"/>
      </rPr>
      <t>29-07-2026 16:57</t>
    </r>
  </si>
  <si>
    <r>
      <rPr>
        <sz val="10"/>
        <color rgb="FF000000"/>
        <rFont val="JRFonts"/>
        <charset val="134"/>
      </rPr>
      <t>23-07-2026 11:42</t>
    </r>
  </si>
  <si>
    <r>
      <rPr>
        <sz val="10"/>
        <color rgb="FF0000FF"/>
        <rFont val="JRFonts"/>
        <charset val="134"/>
      </rPr>
      <t>21018</t>
    </r>
  </si>
  <si>
    <r>
      <rPr>
        <sz val="10"/>
        <color rgb="FF000000"/>
        <rFont val="JRFonts"/>
        <charset val="134"/>
      </rPr>
      <t>06-08-2026 13:55</t>
    </r>
  </si>
  <si>
    <r>
      <rPr>
        <sz val="10"/>
        <color rgb="FF000000"/>
        <rFont val="JRFonts"/>
        <charset val="134"/>
      </rPr>
      <t>23-07-2026 11:44</t>
    </r>
  </si>
  <si>
    <t>21018</t>
  </si>
  <si>
    <r>
      <rPr>
        <sz val="10"/>
        <color rgb="FF0000FF"/>
        <rFont val="JRFonts"/>
        <charset val="134"/>
      </rPr>
      <t>21019</t>
    </r>
  </si>
  <si>
    <r>
      <rPr>
        <sz val="10"/>
        <color rgb="FF000000"/>
        <rFont val="JRFonts"/>
        <charset val="134"/>
      </rPr>
      <t>23-07-2026 11:24</t>
    </r>
  </si>
  <si>
    <r>
      <rPr>
        <sz val="10"/>
        <color rgb="FF000000"/>
        <rFont val="JRFonts"/>
        <charset val="134"/>
      </rPr>
      <t>07-08-2026 17:18</t>
    </r>
  </si>
  <si>
    <r>
      <rPr>
        <sz val="10"/>
        <color rgb="FF0000FF"/>
        <rFont val="JRFonts"/>
        <charset val="134"/>
      </rPr>
      <t>21020</t>
    </r>
  </si>
  <si>
    <r>
      <rPr>
        <sz val="10"/>
        <color rgb="FF000000"/>
        <rFont val="JRFonts"/>
        <charset val="134"/>
      </rPr>
      <t>23-07-2026 17:40</t>
    </r>
  </si>
  <si>
    <r>
      <rPr>
        <sz val="10"/>
        <color rgb="FF000000"/>
        <rFont val="JRFonts"/>
        <charset val="134"/>
      </rPr>
      <t>23-07-2026 11:50</t>
    </r>
  </si>
  <si>
    <t>21020</t>
  </si>
  <si>
    <r>
      <rPr>
        <sz val="10"/>
        <color rgb="FF0000FF"/>
        <rFont val="JRFonts"/>
        <charset val="134"/>
      </rPr>
      <t>21021</t>
    </r>
  </si>
  <si>
    <r>
      <rPr>
        <sz val="10"/>
        <color rgb="FF000000"/>
        <rFont val="JRFonts"/>
        <charset val="134"/>
      </rPr>
      <t>23-07-2026 11:30</t>
    </r>
  </si>
  <si>
    <r>
      <rPr>
        <sz val="10"/>
        <color rgb="FF000000"/>
        <rFont val="JRFonts"/>
        <charset val="134"/>
      </rPr>
      <t>29-07-2026 11:54</t>
    </r>
  </si>
  <si>
    <r>
      <rPr>
        <sz val="10"/>
        <color rgb="FF000000"/>
        <rFont val="JRFonts"/>
        <charset val="134"/>
      </rPr>
      <t>23-07-2026 12:08</t>
    </r>
  </si>
  <si>
    <t>21021</t>
  </si>
  <si>
    <r>
      <rPr>
        <sz val="10"/>
        <color rgb="FF0000FF"/>
        <rFont val="JRFonts"/>
        <charset val="134"/>
      </rPr>
      <t>21023</t>
    </r>
  </si>
  <si>
    <r>
      <rPr>
        <sz val="10"/>
        <color rgb="FF000000"/>
        <rFont val="JRFonts"/>
        <charset val="134"/>
      </rPr>
      <t>23-07-2026 11:36</t>
    </r>
  </si>
  <si>
    <r>
      <rPr>
        <sz val="10"/>
        <color rgb="FF000000"/>
        <rFont val="JRFonts"/>
        <charset val="134"/>
      </rPr>
      <t>24-07-2026 11:20</t>
    </r>
  </si>
  <si>
    <r>
      <rPr>
        <sz val="10"/>
        <color rgb="FF0000FF"/>
        <rFont val="JRFonts"/>
        <charset val="134"/>
      </rPr>
      <t>21027</t>
    </r>
  </si>
  <si>
    <r>
      <rPr>
        <sz val="10"/>
        <color rgb="FF000000"/>
        <rFont val="JRFonts"/>
        <charset val="134"/>
      </rPr>
      <t>24-07-2026 14:53</t>
    </r>
  </si>
  <si>
    <r>
      <rPr>
        <sz val="10"/>
        <color rgb="FF000000"/>
        <rFont val="JRFonts"/>
        <charset val="134"/>
      </rPr>
      <t>23-07-2026 12:14</t>
    </r>
  </si>
  <si>
    <r>
      <rPr>
        <sz val="10"/>
        <color rgb="FF0000FF"/>
        <rFont val="JRFonts"/>
        <charset val="134"/>
      </rPr>
      <t>21028</t>
    </r>
  </si>
  <si>
    <r>
      <rPr>
        <sz val="10"/>
        <color rgb="FF000000"/>
        <rFont val="JRFonts"/>
        <charset val="134"/>
      </rPr>
      <t>29-07-2026 16:59</t>
    </r>
  </si>
  <si>
    <r>
      <rPr>
        <sz val="10"/>
        <color rgb="FF000000"/>
        <rFont val="JRFonts"/>
        <charset val="134"/>
      </rPr>
      <t>23-07-2026 12:09</t>
    </r>
  </si>
  <si>
    <r>
      <rPr>
        <sz val="10"/>
        <color rgb="FF0000FF"/>
        <rFont val="JRFonts"/>
        <charset val="134"/>
      </rPr>
      <t>21029</t>
    </r>
  </si>
  <si>
    <r>
      <rPr>
        <sz val="10"/>
        <color rgb="FF000000"/>
        <rFont val="JRFonts"/>
        <charset val="134"/>
      </rPr>
      <t>23-07-2026 12:13</t>
    </r>
  </si>
  <si>
    <r>
      <rPr>
        <sz val="10"/>
        <color rgb="FF000000"/>
        <rFont val="JRFonts"/>
        <charset val="134"/>
      </rPr>
      <t>23-07-2026 12:22</t>
    </r>
  </si>
  <si>
    <r>
      <rPr>
        <sz val="10"/>
        <color rgb="FF000000"/>
        <rFont val="JRFonts"/>
        <charset val="134"/>
      </rPr>
      <t>23-07-2026 12:17</t>
    </r>
  </si>
  <si>
    <r>
      <rPr>
        <sz val="10"/>
        <color rgb="FF0000FF"/>
        <rFont val="JRFonts"/>
        <charset val="134"/>
      </rPr>
      <t>21031</t>
    </r>
  </si>
  <si>
    <r>
      <rPr>
        <sz val="10"/>
        <color rgb="FF000000"/>
        <rFont val="JRFonts"/>
        <charset val="134"/>
      </rPr>
      <t>10-08-2026 14:09</t>
    </r>
  </si>
  <si>
    <r>
      <rPr>
        <sz val="10"/>
        <color rgb="FF000000"/>
        <rFont val="JRFonts"/>
        <charset val="134"/>
      </rPr>
      <t>23-07-2026 12:33</t>
    </r>
  </si>
  <si>
    <t>21031</t>
  </si>
  <si>
    <r>
      <rPr>
        <sz val="10"/>
        <color rgb="FF0000FF"/>
        <rFont val="JRFonts"/>
        <charset val="134"/>
      </rPr>
      <t>21033</t>
    </r>
  </si>
  <si>
    <r>
      <rPr>
        <sz val="10"/>
        <color rgb="FF000000"/>
        <rFont val="JRFonts"/>
        <charset val="134"/>
      </rPr>
      <t>23-07-2026 12:25</t>
    </r>
  </si>
  <si>
    <r>
      <rPr>
        <sz val="10"/>
        <color rgb="FF000000"/>
        <rFont val="JRFonts"/>
        <charset val="134"/>
      </rPr>
      <t>29-07-2026 17:00</t>
    </r>
  </si>
  <si>
    <r>
      <rPr>
        <sz val="10"/>
        <color rgb="FF000000"/>
        <rFont val="JRFonts"/>
        <charset val="134"/>
      </rPr>
      <t>23-07-2026 12:38</t>
    </r>
  </si>
  <si>
    <r>
      <rPr>
        <sz val="10"/>
        <color rgb="FF0000FF"/>
        <rFont val="JRFonts"/>
        <charset val="134"/>
      </rPr>
      <t>21034</t>
    </r>
  </si>
  <si>
    <r>
      <rPr>
        <sz val="10"/>
        <color rgb="FF000000"/>
        <rFont val="JRFonts"/>
        <charset val="134"/>
      </rPr>
      <t>23-07-2026 12:31</t>
    </r>
  </si>
  <si>
    <r>
      <rPr>
        <sz val="10"/>
        <color rgb="FF000000"/>
        <rFont val="JRFonts"/>
        <charset val="134"/>
      </rPr>
      <t>24-07-2026 16:37</t>
    </r>
  </si>
  <si>
    <r>
      <rPr>
        <sz val="10"/>
        <color rgb="FF000000"/>
        <rFont val="JRFonts"/>
        <charset val="134"/>
      </rPr>
      <t>23-07-2026 12:45</t>
    </r>
  </si>
  <si>
    <r>
      <rPr>
        <sz val="10"/>
        <color rgb="FF0000FF"/>
        <rFont val="JRFonts"/>
        <charset val="134"/>
      </rPr>
      <t>21035</t>
    </r>
  </si>
  <si>
    <r>
      <rPr>
        <sz val="10"/>
        <color rgb="FF000000"/>
        <rFont val="JRFonts"/>
        <charset val="134"/>
      </rPr>
      <t>24-07-2026 11:26</t>
    </r>
  </si>
  <si>
    <r>
      <rPr>
        <sz val="10"/>
        <color rgb="FF000000"/>
        <rFont val="JRFonts"/>
        <charset val="134"/>
      </rPr>
      <t>23-07-2026 12:40</t>
    </r>
  </si>
  <si>
    <r>
      <rPr>
        <sz val="10"/>
        <color rgb="FF0000FF"/>
        <rFont val="JRFonts"/>
        <charset val="134"/>
      </rPr>
      <t>21036</t>
    </r>
  </si>
  <si>
    <r>
      <rPr>
        <sz val="10"/>
        <color rgb="FF000000"/>
        <rFont val="JRFonts"/>
        <charset val="134"/>
      </rPr>
      <t>23-07-2026 12:37</t>
    </r>
  </si>
  <si>
    <r>
      <rPr>
        <sz val="10"/>
        <color rgb="FF000000"/>
        <rFont val="JRFonts"/>
        <charset val="134"/>
      </rPr>
      <t>17-08-2026 10:23</t>
    </r>
  </si>
  <si>
    <r>
      <rPr>
        <sz val="10"/>
        <color rgb="FF000000"/>
        <rFont val="JRFonts"/>
        <charset val="134"/>
      </rPr>
      <t>24-07-2026 11:59</t>
    </r>
  </si>
  <si>
    <r>
      <rPr>
        <sz val="10"/>
        <color rgb="FF0000FF"/>
        <rFont val="JRFonts"/>
        <charset val="134"/>
      </rPr>
      <t>21037</t>
    </r>
  </si>
  <si>
    <r>
      <rPr>
        <sz val="10"/>
        <color rgb="FF000000"/>
        <rFont val="JRFonts"/>
        <charset val="134"/>
      </rPr>
      <t>30-07-2026 16:33</t>
    </r>
  </si>
  <si>
    <r>
      <rPr>
        <sz val="10"/>
        <color rgb="FF000000"/>
        <rFont val="JRFonts"/>
        <charset val="134"/>
      </rPr>
      <t>23-07-2026 12:47</t>
    </r>
  </si>
  <si>
    <r>
      <rPr>
        <sz val="10"/>
        <color rgb="FF0000FF"/>
        <rFont val="JRFonts"/>
        <charset val="134"/>
      </rPr>
      <t>21038</t>
    </r>
  </si>
  <si>
    <r>
      <rPr>
        <sz val="10"/>
        <color rgb="FF000000"/>
        <rFont val="JRFonts"/>
        <charset val="134"/>
      </rPr>
      <t>23-07-2026 12:43</t>
    </r>
  </si>
  <si>
    <r>
      <rPr>
        <sz val="10"/>
        <color rgb="FF000000"/>
        <rFont val="JRFonts"/>
        <charset val="134"/>
      </rPr>
      <t>23-07-2026 14:21</t>
    </r>
  </si>
  <si>
    <r>
      <rPr>
        <sz val="10"/>
        <color rgb="FF000000"/>
        <rFont val="JRFonts"/>
        <charset val="134"/>
      </rPr>
      <t>23-07-2026 12:49</t>
    </r>
  </si>
  <si>
    <r>
      <rPr>
        <sz val="10"/>
        <color rgb="FF0000FF"/>
        <rFont val="JRFonts"/>
        <charset val="134"/>
      </rPr>
      <t>21039</t>
    </r>
  </si>
  <si>
    <r>
      <rPr>
        <sz val="10"/>
        <color rgb="FF000000"/>
        <rFont val="JRFonts"/>
        <charset val="134"/>
      </rPr>
      <t>24-07-2026 11:45</t>
    </r>
  </si>
  <si>
    <r>
      <rPr>
        <sz val="10"/>
        <color rgb="FF000000"/>
        <rFont val="JRFonts"/>
        <charset val="134"/>
      </rPr>
      <t>23-07-2026 12:51</t>
    </r>
  </si>
  <si>
    <r>
      <rPr>
        <sz val="10"/>
        <color rgb="FF0000FF"/>
        <rFont val="JRFonts"/>
        <charset val="134"/>
      </rPr>
      <t>21040</t>
    </r>
  </si>
  <si>
    <r>
      <rPr>
        <sz val="10"/>
        <color rgb="FF000000"/>
        <rFont val="JRFonts"/>
        <charset val="134"/>
      </rPr>
      <t>23-07-2026 12:46</t>
    </r>
  </si>
  <si>
    <r>
      <rPr>
        <sz val="10"/>
        <color rgb="FF000000"/>
        <rFont val="JRFonts"/>
        <charset val="134"/>
      </rPr>
      <t>30-07-2026 12:30</t>
    </r>
  </si>
  <si>
    <r>
      <rPr>
        <sz val="10"/>
        <color rgb="FF000000"/>
        <rFont val="JRFonts"/>
        <charset val="134"/>
      </rPr>
      <t>23-07-2026 12:59</t>
    </r>
  </si>
  <si>
    <r>
      <rPr>
        <sz val="10"/>
        <color rgb="FF0000FF"/>
        <rFont val="JRFonts"/>
        <charset val="134"/>
      </rPr>
      <t>21041</t>
    </r>
  </si>
  <si>
    <r>
      <rPr>
        <sz val="10"/>
        <color rgb="FF000000"/>
        <rFont val="JRFonts"/>
        <charset val="134"/>
      </rPr>
      <t>23-07-2026 12:53</t>
    </r>
  </si>
  <si>
    <r>
      <rPr>
        <sz val="10"/>
        <color rgb="FF000000"/>
        <rFont val="JRFonts"/>
        <charset val="134"/>
      </rPr>
      <t>24-07-2026 17:05</t>
    </r>
  </si>
  <si>
    <r>
      <rPr>
        <sz val="10"/>
        <color rgb="FF000000"/>
        <rFont val="JRFonts"/>
        <charset val="134"/>
      </rPr>
      <t>23-07-2026 14:23</t>
    </r>
  </si>
  <si>
    <r>
      <rPr>
        <sz val="10"/>
        <color rgb="FF0000FF"/>
        <rFont val="JRFonts"/>
        <charset val="134"/>
      </rPr>
      <t>21042</t>
    </r>
  </si>
  <si>
    <r>
      <rPr>
        <sz val="10"/>
        <color rgb="FF000000"/>
        <rFont val="JRFonts"/>
        <charset val="134"/>
      </rPr>
      <t>23-07-2026 17:42</t>
    </r>
  </si>
  <si>
    <r>
      <rPr>
        <sz val="10"/>
        <color rgb="FF000000"/>
        <rFont val="JRFonts"/>
        <charset val="134"/>
      </rPr>
      <t>23-07-2026 14:14</t>
    </r>
  </si>
  <si>
    <r>
      <rPr>
        <sz val="10"/>
        <color rgb="FF0000FF"/>
        <rFont val="JRFonts"/>
        <charset val="134"/>
      </rPr>
      <t>21043</t>
    </r>
  </si>
  <si>
    <r>
      <rPr>
        <sz val="10"/>
        <color rgb="FF000000"/>
        <rFont val="JRFonts"/>
        <charset val="134"/>
      </rPr>
      <t>23-07-2026 13:02</t>
    </r>
  </si>
  <si>
    <r>
      <rPr>
        <sz val="10"/>
        <color rgb="FF000000"/>
        <rFont val="JRFonts"/>
        <charset val="134"/>
      </rPr>
      <t>29-07-2026 17:52</t>
    </r>
  </si>
  <si>
    <r>
      <rPr>
        <sz val="10"/>
        <color rgb="FF000000"/>
        <rFont val="JRFonts"/>
        <charset val="134"/>
      </rPr>
      <t>23-07-2026 14:15</t>
    </r>
  </si>
  <si>
    <r>
      <rPr>
        <sz val="10"/>
        <color rgb="FF0000FF"/>
        <rFont val="JRFonts"/>
        <charset val="134"/>
      </rPr>
      <t>21044</t>
    </r>
  </si>
  <si>
    <r>
      <rPr>
        <sz val="10"/>
        <color rgb="FF000000"/>
        <rFont val="JRFonts"/>
        <charset val="134"/>
      </rPr>
      <t>23-07-2026 13:08</t>
    </r>
  </si>
  <si>
    <r>
      <rPr>
        <sz val="10"/>
        <color rgb="FF000000"/>
        <rFont val="JRFonts"/>
        <charset val="134"/>
      </rPr>
      <t>24-07-2026 11:15</t>
    </r>
  </si>
  <si>
    <r>
      <rPr>
        <sz val="10"/>
        <color rgb="FF000000"/>
        <rFont val="JRFonts"/>
        <charset val="134"/>
      </rPr>
      <t>23-07-2026 14:25</t>
    </r>
  </si>
  <si>
    <r>
      <rPr>
        <sz val="10"/>
        <color rgb="FF0000FF"/>
        <rFont val="JRFonts"/>
        <charset val="134"/>
      </rPr>
      <t>21046</t>
    </r>
  </si>
  <si>
    <r>
      <rPr>
        <sz val="10"/>
        <color rgb="FF000000"/>
        <rFont val="JRFonts"/>
        <charset val="134"/>
      </rPr>
      <t>23-07-2026 13:11</t>
    </r>
  </si>
  <si>
    <r>
      <rPr>
        <sz val="10"/>
        <color rgb="FF000000"/>
        <rFont val="JRFonts"/>
        <charset val="134"/>
      </rPr>
      <t>30-07-2026 12:32</t>
    </r>
  </si>
  <si>
    <r>
      <rPr>
        <sz val="10"/>
        <color rgb="FF000000"/>
        <rFont val="JRFonts"/>
        <charset val="134"/>
      </rPr>
      <t>23-07-2026 14:27</t>
    </r>
  </si>
  <si>
    <r>
      <rPr>
        <sz val="10"/>
        <color rgb="FF0000FF"/>
        <rFont val="JRFonts"/>
        <charset val="134"/>
      </rPr>
      <t>21047</t>
    </r>
  </si>
  <si>
    <r>
      <rPr>
        <sz val="10"/>
        <color rgb="FF000000"/>
        <rFont val="JRFonts"/>
        <charset val="134"/>
      </rPr>
      <t>23-07-2026 13:23</t>
    </r>
  </si>
  <si>
    <r>
      <rPr>
        <sz val="10"/>
        <color rgb="FF000000"/>
        <rFont val="JRFonts"/>
        <charset val="134"/>
      </rPr>
      <t>23-07-2026 14:36</t>
    </r>
  </si>
  <si>
    <r>
      <rPr>
        <sz val="10"/>
        <color rgb="FF000000"/>
        <rFont val="JRFonts"/>
        <charset val="134"/>
      </rPr>
      <t>23-07-2026 14:29</t>
    </r>
  </si>
  <si>
    <r>
      <rPr>
        <sz val="10"/>
        <color rgb="FF0000FF"/>
        <rFont val="JRFonts"/>
        <charset val="134"/>
      </rPr>
      <t>21048</t>
    </r>
  </si>
  <si>
    <r>
      <rPr>
        <sz val="10"/>
        <color rgb="FF000000"/>
        <rFont val="JRFonts"/>
        <charset val="134"/>
      </rPr>
      <t>27-08-2026 14:07</t>
    </r>
  </si>
  <si>
    <r>
      <rPr>
        <sz val="10"/>
        <color rgb="FF000000"/>
        <rFont val="JRFonts"/>
        <charset val="134"/>
      </rPr>
      <t>17-08-2026 10:30</t>
    </r>
  </si>
  <si>
    <t>21048</t>
  </si>
  <si>
    <r>
      <rPr>
        <sz val="10"/>
        <color rgb="FF0000FF"/>
        <rFont val="JRFonts"/>
        <charset val="134"/>
      </rPr>
      <t>21052</t>
    </r>
  </si>
  <si>
    <r>
      <rPr>
        <sz val="10"/>
        <color rgb="FF000000"/>
        <rFont val="JRFonts"/>
        <charset val="134"/>
      </rPr>
      <t>23-07-2026 13:44</t>
    </r>
  </si>
  <si>
    <r>
      <rPr>
        <sz val="10"/>
        <color rgb="FF000000"/>
        <rFont val="JRFonts"/>
        <charset val="134"/>
      </rPr>
      <t>24-07-2026 11:58</t>
    </r>
  </si>
  <si>
    <r>
      <rPr>
        <sz val="10"/>
        <color rgb="FF000000"/>
        <rFont val="JRFonts"/>
        <charset val="134"/>
      </rPr>
      <t>23-07-2026 14:32</t>
    </r>
  </si>
  <si>
    <r>
      <rPr>
        <sz val="10"/>
        <color rgb="FF0000FF"/>
        <rFont val="JRFonts"/>
        <charset val="134"/>
      </rPr>
      <t>21053</t>
    </r>
  </si>
  <si>
    <r>
      <rPr>
        <sz val="10"/>
        <color rgb="FF000000"/>
        <rFont val="JRFonts"/>
        <charset val="134"/>
      </rPr>
      <t>Loan Guarantee Scheme for COVID Affected Sectors (LGSCAS)</t>
    </r>
  </si>
  <si>
    <r>
      <rPr>
        <sz val="10"/>
        <color rgb="FF000000"/>
        <rFont val="JRFonts"/>
        <charset val="134"/>
      </rPr>
      <t>23-07-2026 13:57</t>
    </r>
  </si>
  <si>
    <r>
      <rPr>
        <sz val="10"/>
        <color rgb="FF000000"/>
        <rFont val="JRFonts"/>
        <charset val="134"/>
      </rPr>
      <t>23-07-2026 18:53</t>
    </r>
  </si>
  <si>
    <r>
      <rPr>
        <sz val="10"/>
        <color rgb="FF000000"/>
        <rFont val="JRFonts"/>
        <charset val="134"/>
      </rPr>
      <t>23-07-2026 14:34</t>
    </r>
  </si>
  <si>
    <r>
      <rPr>
        <sz val="10"/>
        <color rgb="FF0000FF"/>
        <rFont val="JRFonts"/>
        <charset val="134"/>
      </rPr>
      <t>21056</t>
    </r>
  </si>
  <si>
    <r>
      <rPr>
        <sz val="10"/>
        <color rgb="FF000000"/>
        <rFont val="JRFonts"/>
        <charset val="134"/>
      </rPr>
      <t>06-08-2026 17:21</t>
    </r>
  </si>
  <si>
    <r>
      <rPr>
        <sz val="10"/>
        <color rgb="FF000000"/>
        <rFont val="JRFonts"/>
        <charset val="134"/>
      </rPr>
      <t>23-07-2026 14:38</t>
    </r>
  </si>
  <si>
    <t>21056</t>
  </si>
  <si>
    <r>
      <rPr>
        <sz val="10"/>
        <color rgb="FF0000FF"/>
        <rFont val="JRFonts"/>
        <charset val="134"/>
      </rPr>
      <t>21057</t>
    </r>
  </si>
  <si>
    <r>
      <rPr>
        <sz val="10"/>
        <color rgb="FF000000"/>
        <rFont val="JRFonts"/>
        <charset val="134"/>
      </rPr>
      <t>23-07-2026 16:13</t>
    </r>
  </si>
  <si>
    <r>
      <rPr>
        <sz val="10"/>
        <color rgb="FF000000"/>
        <rFont val="JRFonts"/>
        <charset val="134"/>
      </rPr>
      <t>23-07-2026 14:42</t>
    </r>
  </si>
  <si>
    <r>
      <rPr>
        <sz val="10"/>
        <color rgb="FF0000FF"/>
        <rFont val="JRFonts"/>
        <charset val="134"/>
      </rPr>
      <t>21059</t>
    </r>
  </si>
  <si>
    <r>
      <rPr>
        <sz val="10"/>
        <color rgb="FF000000"/>
        <rFont val="JRFonts"/>
        <charset val="134"/>
      </rPr>
      <t>23-07-2026 14:45</t>
    </r>
  </si>
  <si>
    <r>
      <rPr>
        <sz val="10"/>
        <color rgb="FF000000"/>
        <rFont val="JRFonts"/>
        <charset val="134"/>
      </rPr>
      <t>29-07-2026 18:02</t>
    </r>
  </si>
  <si>
    <r>
      <rPr>
        <sz val="10"/>
        <color rgb="FF000000"/>
        <rFont val="JRFonts"/>
        <charset val="134"/>
      </rPr>
      <t>23-07-2026 14:55</t>
    </r>
  </si>
  <si>
    <r>
      <rPr>
        <sz val="10"/>
        <color rgb="FF0000FF"/>
        <rFont val="JRFonts"/>
        <charset val="134"/>
      </rPr>
      <t>21061</t>
    </r>
  </si>
  <si>
    <r>
      <rPr>
        <sz val="10"/>
        <color rgb="FF000000"/>
        <rFont val="JRFonts"/>
        <charset val="134"/>
      </rPr>
      <t>23-07-2026 16:52</t>
    </r>
  </si>
  <si>
    <r>
      <rPr>
        <sz val="10"/>
        <color rgb="FF000000"/>
        <rFont val="JRFonts"/>
        <charset val="134"/>
      </rPr>
      <t>23-07-2026 16:48</t>
    </r>
  </si>
  <si>
    <r>
      <rPr>
        <sz val="10"/>
        <color rgb="FF0000FF"/>
        <rFont val="JRFonts"/>
        <charset val="134"/>
      </rPr>
      <t>21062</t>
    </r>
  </si>
  <si>
    <r>
      <rPr>
        <sz val="10"/>
        <color rgb="FF000000"/>
        <rFont val="JRFonts"/>
        <charset val="134"/>
      </rPr>
      <t>27-07-2026 15:14</t>
    </r>
  </si>
  <si>
    <r>
      <rPr>
        <sz val="10"/>
        <color rgb="FF000000"/>
        <rFont val="JRFonts"/>
        <charset val="134"/>
      </rPr>
      <t>23-07-2026 17:03</t>
    </r>
  </si>
  <si>
    <r>
      <rPr>
        <sz val="10"/>
        <color rgb="FF0000FF"/>
        <rFont val="JRFonts"/>
        <charset val="134"/>
      </rPr>
      <t>21063</t>
    </r>
  </si>
  <si>
    <r>
      <rPr>
        <sz val="10"/>
        <color rgb="FF000000"/>
        <rFont val="JRFonts"/>
        <charset val="134"/>
      </rPr>
      <t>27-07-2026 17:05</t>
    </r>
  </si>
  <si>
    <r>
      <rPr>
        <sz val="10"/>
        <color rgb="FF000000"/>
        <rFont val="JRFonts"/>
        <charset val="134"/>
      </rPr>
      <t>23-07-2026 17:13</t>
    </r>
  </si>
  <si>
    <t>21063</t>
  </si>
  <si>
    <r>
      <rPr>
        <sz val="10"/>
        <color rgb="FF0000FF"/>
        <rFont val="JRFonts"/>
        <charset val="134"/>
      </rPr>
      <t>21064</t>
    </r>
  </si>
  <si>
    <r>
      <rPr>
        <sz val="10"/>
        <color rgb="FF000000"/>
        <rFont val="JRFonts"/>
        <charset val="134"/>
      </rPr>
      <t>23-07-2026 15:07</t>
    </r>
  </si>
  <si>
    <r>
      <rPr>
        <sz val="10"/>
        <color rgb="FF000000"/>
        <rFont val="JRFonts"/>
        <charset val="134"/>
      </rPr>
      <t>30-07-2026 12:37</t>
    </r>
  </si>
  <si>
    <r>
      <rPr>
        <sz val="10"/>
        <color rgb="FF000000"/>
        <rFont val="JRFonts"/>
        <charset val="134"/>
      </rPr>
      <t>23-07-2026 16:54</t>
    </r>
  </si>
  <si>
    <r>
      <rPr>
        <sz val="10"/>
        <color rgb="FF0000FF"/>
        <rFont val="JRFonts"/>
        <charset val="134"/>
      </rPr>
      <t>21065</t>
    </r>
  </si>
  <si>
    <r>
      <rPr>
        <sz val="10"/>
        <color rgb="FF000000"/>
        <rFont val="JRFonts"/>
        <charset val="134"/>
      </rPr>
      <t>23-07-2026 15:13</t>
    </r>
  </si>
  <si>
    <r>
      <rPr>
        <sz val="10"/>
        <color rgb="FF000000"/>
        <rFont val="JRFonts"/>
        <charset val="134"/>
      </rPr>
      <t>24-07-2026 12:19</t>
    </r>
  </si>
  <si>
    <r>
      <rPr>
        <sz val="10"/>
        <color rgb="FF000000"/>
        <rFont val="JRFonts"/>
        <charset val="134"/>
      </rPr>
      <t>23-07-2026 18:24</t>
    </r>
  </si>
  <si>
    <r>
      <rPr>
        <sz val="10"/>
        <color rgb="FF0000FF"/>
        <rFont val="JRFonts"/>
        <charset val="134"/>
      </rPr>
      <t>21066</t>
    </r>
  </si>
  <si>
    <r>
      <rPr>
        <sz val="10"/>
        <color rgb="FF000000"/>
        <rFont val="JRFonts"/>
        <charset val="134"/>
      </rPr>
      <t>23-07-2026 15:34</t>
    </r>
  </si>
  <si>
    <r>
      <rPr>
        <sz val="10"/>
        <color rgb="FF000000"/>
        <rFont val="JRFonts"/>
        <charset val="134"/>
      </rPr>
      <t>29-07-2026 18:01</t>
    </r>
  </si>
  <si>
    <r>
      <rPr>
        <sz val="10"/>
        <color rgb="FF000000"/>
        <rFont val="JRFonts"/>
        <charset val="134"/>
      </rPr>
      <t>23-07-2026 17:09</t>
    </r>
  </si>
  <si>
    <r>
      <rPr>
        <sz val="10"/>
        <color rgb="FF0000FF"/>
        <rFont val="JRFonts"/>
        <charset val="134"/>
      </rPr>
      <t>21069</t>
    </r>
  </si>
  <si>
    <r>
      <rPr>
        <sz val="10"/>
        <color rgb="FF000000"/>
        <rFont val="JRFonts"/>
        <charset val="134"/>
      </rPr>
      <t>23-07-2026 15:46</t>
    </r>
  </si>
  <si>
    <r>
      <rPr>
        <sz val="10"/>
        <color rgb="FF000000"/>
        <rFont val="JRFonts"/>
        <charset val="134"/>
      </rPr>
      <t>06-08-2026 12:03</t>
    </r>
  </si>
  <si>
    <r>
      <rPr>
        <sz val="10"/>
        <color rgb="FF000000"/>
        <rFont val="JRFonts"/>
        <charset val="134"/>
      </rPr>
      <t>24-07-2026 11:17</t>
    </r>
  </si>
  <si>
    <t>21069</t>
  </si>
  <si>
    <r>
      <rPr>
        <sz val="10"/>
        <color rgb="FF0000FF"/>
        <rFont val="JRFonts"/>
        <charset val="134"/>
      </rPr>
      <t>21070</t>
    </r>
  </si>
  <si>
    <r>
      <rPr>
        <sz val="10"/>
        <color rgb="FF000000"/>
        <rFont val="JRFonts"/>
        <charset val="134"/>
      </rPr>
      <t>29-07-2026 18:08</t>
    </r>
  </si>
  <si>
    <r>
      <rPr>
        <sz val="10"/>
        <color rgb="FF000000"/>
        <rFont val="JRFonts"/>
        <charset val="134"/>
      </rPr>
      <t>23-07-2026 17:05</t>
    </r>
  </si>
  <si>
    <r>
      <rPr>
        <sz val="10"/>
        <color rgb="FF0000FF"/>
        <rFont val="JRFonts"/>
        <charset val="134"/>
      </rPr>
      <t>21071</t>
    </r>
  </si>
  <si>
    <r>
      <rPr>
        <sz val="10"/>
        <color rgb="FF000000"/>
        <rFont val="JRFonts"/>
        <charset val="134"/>
      </rPr>
      <t>23-07-2026 15:53</t>
    </r>
  </si>
  <si>
    <r>
      <rPr>
        <sz val="10"/>
        <color rgb="FF000000"/>
        <rFont val="JRFonts"/>
        <charset val="134"/>
      </rPr>
      <t>29-07-2026 18:10</t>
    </r>
  </si>
  <si>
    <r>
      <rPr>
        <sz val="10"/>
        <color rgb="FF000000"/>
        <rFont val="JRFonts"/>
        <charset val="134"/>
      </rPr>
      <t>23-07-2026 17:23</t>
    </r>
  </si>
  <si>
    <r>
      <rPr>
        <sz val="10"/>
        <color rgb="FF0000FF"/>
        <rFont val="JRFonts"/>
        <charset val="134"/>
      </rPr>
      <t>21074</t>
    </r>
  </si>
  <si>
    <r>
      <rPr>
        <sz val="10"/>
        <color rgb="FF000000"/>
        <rFont val="JRFonts"/>
        <charset val="134"/>
      </rPr>
      <t>23-07-2026 16:17</t>
    </r>
  </si>
  <si>
    <r>
      <rPr>
        <sz val="10"/>
        <color rgb="FF000000"/>
        <rFont val="JRFonts"/>
        <charset val="134"/>
      </rPr>
      <t>29-07-2026 18:14</t>
    </r>
  </si>
  <si>
    <r>
      <rPr>
        <sz val="10"/>
        <color rgb="FF000000"/>
        <rFont val="JRFonts"/>
        <charset val="134"/>
      </rPr>
      <t>23-07-2026 17:14</t>
    </r>
  </si>
  <si>
    <t>21074</t>
  </si>
  <si>
    <r>
      <rPr>
        <sz val="10"/>
        <color rgb="FF0000FF"/>
        <rFont val="JRFonts"/>
        <charset val="134"/>
      </rPr>
      <t>21075</t>
    </r>
  </si>
  <si>
    <r>
      <rPr>
        <sz val="10"/>
        <color rgb="FF000000"/>
        <rFont val="JRFonts"/>
        <charset val="134"/>
      </rPr>
      <t>23-07-2026 16:20</t>
    </r>
  </si>
  <si>
    <r>
      <rPr>
        <sz val="10"/>
        <color rgb="FF000000"/>
        <rFont val="JRFonts"/>
        <charset val="134"/>
      </rPr>
      <t>28-07-2026 17:14</t>
    </r>
  </si>
  <si>
    <r>
      <rPr>
        <sz val="10"/>
        <color rgb="FF000000"/>
        <rFont val="JRFonts"/>
        <charset val="134"/>
      </rPr>
      <t>24-07-2026 11:48</t>
    </r>
  </si>
  <si>
    <t>21075</t>
  </si>
  <si>
    <r>
      <rPr>
        <sz val="10"/>
        <color rgb="FF0000FF"/>
        <rFont val="JRFonts"/>
        <charset val="134"/>
      </rPr>
      <t>21077</t>
    </r>
  </si>
  <si>
    <r>
      <rPr>
        <sz val="10"/>
        <color rgb="FF000000"/>
        <rFont val="JRFonts"/>
        <charset val="134"/>
      </rPr>
      <t>26-08-2026 13:58</t>
    </r>
  </si>
  <si>
    <r>
      <rPr>
        <sz val="10"/>
        <color rgb="FF000000"/>
        <rFont val="JRFonts"/>
        <charset val="134"/>
      </rPr>
      <t>23-07-2026 17:16</t>
    </r>
  </si>
  <si>
    <t>21077</t>
  </si>
  <si>
    <r>
      <rPr>
        <sz val="10"/>
        <color rgb="FF0000FF"/>
        <rFont val="JRFonts"/>
        <charset val="134"/>
      </rPr>
      <t>21078</t>
    </r>
  </si>
  <si>
    <r>
      <rPr>
        <sz val="10"/>
        <color rgb="FF000000"/>
        <rFont val="JRFonts"/>
        <charset val="134"/>
      </rPr>
      <t>23-07-2026 16:32</t>
    </r>
  </si>
  <si>
    <r>
      <rPr>
        <sz val="10"/>
        <color rgb="FF000000"/>
        <rFont val="JRFonts"/>
        <charset val="134"/>
      </rPr>
      <t>11-08-2026 11:49</t>
    </r>
  </si>
  <si>
    <r>
      <rPr>
        <sz val="10"/>
        <color rgb="FF000000"/>
        <rFont val="JRFonts"/>
        <charset val="134"/>
      </rPr>
      <t>23-07-2026 16:34</t>
    </r>
  </si>
  <si>
    <t>21078</t>
  </si>
  <si>
    <r>
      <rPr>
        <sz val="10"/>
        <color rgb="FF0000FF"/>
        <rFont val="JRFonts"/>
        <charset val="134"/>
      </rPr>
      <t>21079</t>
    </r>
  </si>
  <si>
    <r>
      <rPr>
        <sz val="10"/>
        <color rgb="FF000000"/>
        <rFont val="JRFonts"/>
        <charset val="134"/>
      </rPr>
      <t>23-07-2026 16:35</t>
    </r>
  </si>
  <si>
    <r>
      <rPr>
        <sz val="10"/>
        <color rgb="FF000000"/>
        <rFont val="JRFonts"/>
        <charset val="134"/>
      </rPr>
      <t>24-07-2026 16:06</t>
    </r>
  </si>
  <si>
    <r>
      <rPr>
        <sz val="10"/>
        <color rgb="FF000000"/>
        <rFont val="JRFonts"/>
        <charset val="134"/>
      </rPr>
      <t>23-07-2026 17:07</t>
    </r>
  </si>
  <si>
    <t>21079</t>
  </si>
  <si>
    <r>
      <rPr>
        <sz val="10"/>
        <color rgb="FF0000FF"/>
        <rFont val="JRFonts"/>
        <charset val="134"/>
      </rPr>
      <t>21080</t>
    </r>
  </si>
  <si>
    <r>
      <rPr>
        <sz val="10"/>
        <color rgb="FF000000"/>
        <rFont val="JRFonts"/>
        <charset val="134"/>
      </rPr>
      <t>23-07-2026 16:41</t>
    </r>
  </si>
  <si>
    <r>
      <rPr>
        <sz val="10"/>
        <color rgb="FF000000"/>
        <rFont val="JRFonts"/>
        <charset val="134"/>
      </rPr>
      <t>24-07-2026 12:28</t>
    </r>
  </si>
  <si>
    <r>
      <rPr>
        <sz val="10"/>
        <color rgb="FF000000"/>
        <rFont val="JRFonts"/>
        <charset val="134"/>
      </rPr>
      <t>23-07-2026 17:08</t>
    </r>
  </si>
  <si>
    <r>
      <rPr>
        <sz val="10"/>
        <color rgb="FF0000FF"/>
        <rFont val="JRFonts"/>
        <charset val="134"/>
      </rPr>
      <t>21081</t>
    </r>
  </si>
  <si>
    <r>
      <rPr>
        <sz val="10"/>
        <color rgb="FF000000"/>
        <rFont val="JRFonts"/>
        <charset val="134"/>
      </rPr>
      <t>24-07-2026 10:21</t>
    </r>
  </si>
  <si>
    <r>
      <rPr>
        <sz val="10"/>
        <color rgb="FF000000"/>
        <rFont val="JRFonts"/>
        <charset val="134"/>
      </rPr>
      <t>23-07-2026 17:18</t>
    </r>
  </si>
  <si>
    <r>
      <rPr>
        <sz val="10"/>
        <color rgb="FF0000FF"/>
        <rFont val="JRFonts"/>
        <charset val="134"/>
      </rPr>
      <t>21083</t>
    </r>
  </si>
  <si>
    <r>
      <rPr>
        <sz val="10"/>
        <color rgb="FF000000"/>
        <rFont val="JRFonts"/>
        <charset val="134"/>
      </rPr>
      <t>23-07-2026 16:53</t>
    </r>
  </si>
  <si>
    <r>
      <rPr>
        <sz val="10"/>
        <color rgb="FF000000"/>
        <rFont val="JRFonts"/>
        <charset val="134"/>
      </rPr>
      <t>03-08-2026 10:44</t>
    </r>
  </si>
  <si>
    <r>
      <rPr>
        <sz val="10"/>
        <color rgb="FF000000"/>
        <rFont val="JRFonts"/>
        <charset val="134"/>
      </rPr>
      <t>23-07-2026 16:58</t>
    </r>
  </si>
  <si>
    <r>
      <rPr>
        <sz val="10"/>
        <color rgb="FF0000FF"/>
        <rFont val="JRFonts"/>
        <charset val="134"/>
      </rPr>
      <t>21084</t>
    </r>
  </si>
  <si>
    <r>
      <rPr>
        <sz val="10"/>
        <color rgb="FF000000"/>
        <rFont val="JRFonts"/>
        <charset val="134"/>
      </rPr>
      <t>23-07-2026 17:06</t>
    </r>
  </si>
  <si>
    <r>
      <rPr>
        <sz val="10"/>
        <color rgb="FF000000"/>
        <rFont val="JRFonts"/>
        <charset val="134"/>
      </rPr>
      <t>27-07-2026 17:09</t>
    </r>
  </si>
  <si>
    <r>
      <rPr>
        <sz val="10"/>
        <color rgb="FF000000"/>
        <rFont val="JRFonts"/>
        <charset val="134"/>
      </rPr>
      <t>23-07-2026 17:19</t>
    </r>
  </si>
  <si>
    <t>21084</t>
  </si>
  <si>
    <r>
      <rPr>
        <sz val="10"/>
        <color rgb="FF0000FF"/>
        <rFont val="JRFonts"/>
        <charset val="134"/>
      </rPr>
      <t>21085</t>
    </r>
  </si>
  <si>
    <r>
      <rPr>
        <sz val="10"/>
        <color rgb="FF000000"/>
        <rFont val="JRFonts"/>
        <charset val="134"/>
      </rPr>
      <t>27-07-2026 12:20</t>
    </r>
  </si>
  <si>
    <r>
      <rPr>
        <sz val="10"/>
        <color rgb="FF000000"/>
        <rFont val="JRFonts"/>
        <charset val="134"/>
      </rPr>
      <t>23-07-2026 17:11</t>
    </r>
  </si>
  <si>
    <r>
      <rPr>
        <sz val="10"/>
        <color rgb="FF0000FF"/>
        <rFont val="JRFonts"/>
        <charset val="134"/>
      </rPr>
      <t>21086</t>
    </r>
  </si>
  <si>
    <r>
      <rPr>
        <sz val="10"/>
        <color rgb="FF000000"/>
        <rFont val="JRFonts"/>
        <charset val="134"/>
      </rPr>
      <t>23-07-2026 17:15</t>
    </r>
  </si>
  <si>
    <r>
      <rPr>
        <sz val="10"/>
        <color rgb="FF000000"/>
        <rFont val="JRFonts"/>
        <charset val="134"/>
      </rPr>
      <t>24-07-2026 14:24</t>
    </r>
  </si>
  <si>
    <r>
      <rPr>
        <sz val="10"/>
        <color rgb="FF000000"/>
        <rFont val="JRFonts"/>
        <charset val="134"/>
      </rPr>
      <t>23-07-2026 17:20</t>
    </r>
  </si>
  <si>
    <r>
      <rPr>
        <sz val="10"/>
        <color rgb="FF0000FF"/>
        <rFont val="JRFonts"/>
        <charset val="134"/>
      </rPr>
      <t>21087</t>
    </r>
  </si>
  <si>
    <r>
      <rPr>
        <sz val="10"/>
        <color rgb="FF000000"/>
        <rFont val="JRFonts"/>
        <charset val="134"/>
      </rPr>
      <t>17-08-2026 10:09</t>
    </r>
  </si>
  <si>
    <r>
      <rPr>
        <sz val="10"/>
        <color rgb="FF000000"/>
        <rFont val="JRFonts"/>
        <charset val="134"/>
      </rPr>
      <t>23-07-2026 17:37</t>
    </r>
  </si>
  <si>
    <t>21087</t>
  </si>
  <si>
    <r>
      <rPr>
        <sz val="10"/>
        <color rgb="FF0000FF"/>
        <rFont val="JRFonts"/>
        <charset val="134"/>
      </rPr>
      <t>21088</t>
    </r>
  </si>
  <si>
    <r>
      <rPr>
        <sz val="10"/>
        <color rgb="FF000000"/>
        <rFont val="JRFonts"/>
        <charset val="134"/>
      </rPr>
      <t>25-07-2026 13:05</t>
    </r>
  </si>
  <si>
    <r>
      <rPr>
        <sz val="10"/>
        <color rgb="FF000000"/>
        <rFont val="JRFonts"/>
        <charset val="134"/>
      </rPr>
      <t>23-07-2026 17:33</t>
    </r>
  </si>
  <si>
    <r>
      <rPr>
        <sz val="10"/>
        <color rgb="FF0000FF"/>
        <rFont val="JRFonts"/>
        <charset val="134"/>
      </rPr>
      <t>21089</t>
    </r>
  </si>
  <si>
    <r>
      <rPr>
        <sz val="10"/>
        <color rgb="FF000000"/>
        <rFont val="JRFonts"/>
        <charset val="134"/>
      </rPr>
      <t>23-07-2026 17:21</t>
    </r>
  </si>
  <si>
    <r>
      <rPr>
        <sz val="10"/>
        <color rgb="FF000000"/>
        <rFont val="JRFonts"/>
        <charset val="134"/>
      </rPr>
      <t>28-07-2026 12:08</t>
    </r>
  </si>
  <si>
    <r>
      <rPr>
        <sz val="10"/>
        <color rgb="FF000000"/>
        <rFont val="JRFonts"/>
        <charset val="134"/>
      </rPr>
      <t>23-07-2026 17:25</t>
    </r>
  </si>
  <si>
    <t>21089</t>
  </si>
  <si>
    <r>
      <rPr>
        <sz val="10"/>
        <color rgb="FF0000FF"/>
        <rFont val="JRFonts"/>
        <charset val="134"/>
      </rPr>
      <t>21091</t>
    </r>
  </si>
  <si>
    <r>
      <rPr>
        <sz val="10"/>
        <color rgb="FF000000"/>
        <rFont val="JRFonts"/>
        <charset val="134"/>
      </rPr>
      <t>23-07-2026 17:27</t>
    </r>
  </si>
  <si>
    <r>
      <rPr>
        <sz val="10"/>
        <color rgb="FF000000"/>
        <rFont val="JRFonts"/>
        <charset val="134"/>
      </rPr>
      <t>24-07-2026 11:10</t>
    </r>
  </si>
  <si>
    <r>
      <rPr>
        <sz val="10"/>
        <color rgb="FF000000"/>
        <rFont val="JRFonts"/>
        <charset val="134"/>
      </rPr>
      <t>23-07-2026 17:31</t>
    </r>
  </si>
  <si>
    <r>
      <rPr>
        <sz val="10"/>
        <color rgb="FF0000FF"/>
        <rFont val="JRFonts"/>
        <charset val="134"/>
      </rPr>
      <t>21092</t>
    </r>
  </si>
  <si>
    <r>
      <rPr>
        <sz val="10"/>
        <color rgb="FF000000"/>
        <rFont val="JRFonts"/>
        <charset val="134"/>
      </rPr>
      <t>23-07-2026 17:30</t>
    </r>
  </si>
  <si>
    <r>
      <rPr>
        <sz val="10"/>
        <color rgb="FF000000"/>
        <rFont val="JRFonts"/>
        <charset val="134"/>
      </rPr>
      <t>21-08-2026 14:13</t>
    </r>
  </si>
  <si>
    <r>
      <rPr>
        <sz val="10"/>
        <color rgb="FF000000"/>
        <rFont val="JRFonts"/>
        <charset val="134"/>
      </rPr>
      <t>23-07-2026 17:41</t>
    </r>
  </si>
  <si>
    <t>21092</t>
  </si>
  <si>
    <r>
      <rPr>
        <sz val="10"/>
        <color rgb="FF0000FF"/>
        <rFont val="JRFonts"/>
        <charset val="134"/>
      </rPr>
      <t>21095</t>
    </r>
  </si>
  <si>
    <r>
      <rPr>
        <sz val="10"/>
        <color rgb="FF000000"/>
        <rFont val="JRFonts"/>
        <charset val="134"/>
      </rPr>
      <t>24-07-2026 11:56</t>
    </r>
  </si>
  <si>
    <r>
      <rPr>
        <sz val="10"/>
        <color rgb="FF000000"/>
        <rFont val="JRFonts"/>
        <charset val="134"/>
      </rPr>
      <t>23-07-2026 17:46</t>
    </r>
  </si>
  <si>
    <r>
      <rPr>
        <sz val="10"/>
        <color rgb="FF0000FF"/>
        <rFont val="JRFonts"/>
        <charset val="134"/>
      </rPr>
      <t>21097</t>
    </r>
  </si>
  <si>
    <r>
      <rPr>
        <sz val="10"/>
        <color rgb="FF000000"/>
        <rFont val="JRFonts"/>
        <charset val="134"/>
      </rPr>
      <t>23-07-2026 17:57</t>
    </r>
  </si>
  <si>
    <r>
      <rPr>
        <sz val="10"/>
        <color rgb="FF000000"/>
        <rFont val="JRFonts"/>
        <charset val="134"/>
      </rPr>
      <t>24-07-2026 17:50</t>
    </r>
  </si>
  <si>
    <r>
      <rPr>
        <sz val="10"/>
        <color rgb="FF000000"/>
        <rFont val="JRFonts"/>
        <charset val="134"/>
      </rPr>
      <t>24-07-2026 14:35</t>
    </r>
  </si>
  <si>
    <r>
      <rPr>
        <sz val="10"/>
        <color rgb="FF0000FF"/>
        <rFont val="JRFonts"/>
        <charset val="134"/>
      </rPr>
      <t>21098</t>
    </r>
  </si>
  <si>
    <r>
      <rPr>
        <sz val="10"/>
        <color rgb="FF000000"/>
        <rFont val="JRFonts"/>
        <charset val="134"/>
      </rPr>
      <t>23-07-2026 18:07</t>
    </r>
  </si>
  <si>
    <r>
      <rPr>
        <sz val="10"/>
        <color rgb="FF000000"/>
        <rFont val="JRFonts"/>
        <charset val="134"/>
      </rPr>
      <t>25-07-2026 16:43</t>
    </r>
  </si>
  <si>
    <r>
      <rPr>
        <sz val="10"/>
        <color rgb="FF000000"/>
        <rFont val="JRFonts"/>
        <charset val="134"/>
      </rPr>
      <t>24-07-2026 14:30</t>
    </r>
  </si>
  <si>
    <r>
      <rPr>
        <sz val="10"/>
        <color rgb="FF0000FF"/>
        <rFont val="JRFonts"/>
        <charset val="134"/>
      </rPr>
      <t>21102</t>
    </r>
  </si>
  <si>
    <r>
      <rPr>
        <sz val="10"/>
        <color rgb="FF000000"/>
        <rFont val="JRFonts"/>
        <charset val="134"/>
      </rPr>
      <t>23-07-2026 19:01</t>
    </r>
  </si>
  <si>
    <r>
      <rPr>
        <sz val="10"/>
        <color rgb="FF000000"/>
        <rFont val="JRFonts"/>
        <charset val="134"/>
      </rPr>
      <t>24-07-2026 14:57</t>
    </r>
  </si>
  <si>
    <r>
      <rPr>
        <sz val="10"/>
        <color rgb="FF000000"/>
        <rFont val="JRFonts"/>
        <charset val="134"/>
      </rPr>
      <t>24-07-2026 10:49</t>
    </r>
  </si>
  <si>
    <r>
      <rPr>
        <sz val="10"/>
        <color rgb="FF0000FF"/>
        <rFont val="JRFonts"/>
        <charset val="134"/>
      </rPr>
      <t>21103</t>
    </r>
  </si>
  <si>
    <r>
      <rPr>
        <sz val="10"/>
        <color rgb="FF000000"/>
        <rFont val="JRFonts"/>
        <charset val="134"/>
      </rPr>
      <t>23-07-2026 19:07</t>
    </r>
  </si>
  <si>
    <r>
      <rPr>
        <sz val="10"/>
        <color rgb="FF000000"/>
        <rFont val="JRFonts"/>
        <charset val="134"/>
      </rPr>
      <t>31-07-2026 17:04</t>
    </r>
  </si>
  <si>
    <r>
      <rPr>
        <sz val="10"/>
        <color rgb="FF000000"/>
        <rFont val="JRFonts"/>
        <charset val="134"/>
      </rPr>
      <t>24-07-2026 10:50</t>
    </r>
  </si>
  <si>
    <r>
      <rPr>
        <sz val="10"/>
        <color rgb="FF0000FF"/>
        <rFont val="JRFonts"/>
        <charset val="134"/>
      </rPr>
      <t>21106</t>
    </r>
  </si>
  <si>
    <r>
      <rPr>
        <sz val="10"/>
        <color rgb="FF000000"/>
        <rFont val="JRFonts"/>
        <charset val="134"/>
      </rPr>
      <t>23-07-2026 20:23</t>
    </r>
  </si>
  <si>
    <r>
      <rPr>
        <sz val="10"/>
        <color rgb="FF000000"/>
        <rFont val="JRFonts"/>
        <charset val="134"/>
      </rPr>
      <t>24-07-2026 10:46</t>
    </r>
  </si>
  <si>
    <r>
      <rPr>
        <sz val="10"/>
        <color rgb="FF000000"/>
        <rFont val="JRFonts"/>
        <charset val="134"/>
      </rPr>
      <t>24-07-2026 10:35</t>
    </r>
  </si>
  <si>
    <r>
      <rPr>
        <sz val="10"/>
        <color rgb="FF0000FF"/>
        <rFont val="JRFonts"/>
        <charset val="134"/>
      </rPr>
      <t>21107</t>
    </r>
  </si>
  <si>
    <r>
      <rPr>
        <sz val="10"/>
        <color rgb="FF000000"/>
        <rFont val="JRFonts"/>
        <charset val="134"/>
      </rPr>
      <t>23-07-2026 22:16</t>
    </r>
  </si>
  <si>
    <r>
      <rPr>
        <sz val="10"/>
        <color rgb="FF000000"/>
        <rFont val="JRFonts"/>
        <charset val="134"/>
      </rPr>
      <t>24-07-2026 15:23</t>
    </r>
  </si>
  <si>
    <r>
      <rPr>
        <sz val="10"/>
        <color rgb="FF000000"/>
        <rFont val="JRFonts"/>
        <charset val="134"/>
      </rPr>
      <t>24-07-2026 10:43</t>
    </r>
  </si>
  <si>
    <r>
      <rPr>
        <sz val="10"/>
        <color rgb="FF0000FF"/>
        <rFont val="JRFonts"/>
        <charset val="134"/>
      </rPr>
      <t>21109</t>
    </r>
  </si>
  <si>
    <r>
      <rPr>
        <sz val="10"/>
        <color rgb="FF000000"/>
        <rFont val="JRFonts"/>
        <charset val="134"/>
      </rPr>
      <t>24-07-2026 09:35</t>
    </r>
  </si>
  <si>
    <r>
      <rPr>
        <sz val="10"/>
        <color rgb="FF000000"/>
        <rFont val="JRFonts"/>
        <charset val="134"/>
      </rPr>
      <t>24-07-2026 10:36</t>
    </r>
  </si>
  <si>
    <r>
      <rPr>
        <sz val="10"/>
        <color rgb="FF0000FF"/>
        <rFont val="JRFonts"/>
        <charset val="134"/>
      </rPr>
      <t>21110</t>
    </r>
  </si>
  <si>
    <r>
      <rPr>
        <sz val="10"/>
        <color rgb="FF000000"/>
        <rFont val="JRFonts"/>
        <charset val="134"/>
      </rPr>
      <t>24-07-2026 09:50</t>
    </r>
  </si>
  <si>
    <r>
      <rPr>
        <sz val="10"/>
        <color rgb="FF000000"/>
        <rFont val="JRFonts"/>
        <charset val="134"/>
      </rPr>
      <t>07-08-2026 12:16</t>
    </r>
  </si>
  <si>
    <r>
      <rPr>
        <sz val="10"/>
        <color rgb="FF000000"/>
        <rFont val="JRFonts"/>
        <charset val="134"/>
      </rPr>
      <t>24-07-2026 10:44</t>
    </r>
  </si>
  <si>
    <t>Responded within SLA - MLI continusly reuplading file due to which old file got replaced</t>
  </si>
  <si>
    <r>
      <rPr>
        <sz val="10"/>
        <color rgb="FF0000FF"/>
        <rFont val="JRFonts"/>
        <charset val="134"/>
      </rPr>
      <t>21111</t>
    </r>
  </si>
  <si>
    <r>
      <rPr>
        <sz val="10"/>
        <color rgb="FF000000"/>
        <rFont val="JRFonts"/>
        <charset val="134"/>
      </rPr>
      <t>24-07-2026 10:02</t>
    </r>
  </si>
  <si>
    <r>
      <rPr>
        <sz val="10"/>
        <color rgb="FF000000"/>
        <rFont val="JRFonts"/>
        <charset val="134"/>
      </rPr>
      <t>24-07-2026 10:33</t>
    </r>
  </si>
  <si>
    <t>21111</t>
  </si>
  <si>
    <r>
      <rPr>
        <sz val="10"/>
        <color rgb="FF0000FF"/>
        <rFont val="JRFonts"/>
        <charset val="134"/>
      </rPr>
      <t>21113</t>
    </r>
  </si>
  <si>
    <r>
      <rPr>
        <sz val="10"/>
        <color rgb="FF000000"/>
        <rFont val="JRFonts"/>
        <charset val="134"/>
      </rPr>
      <t>24-07-2026 10:11</t>
    </r>
  </si>
  <si>
    <r>
      <rPr>
        <sz val="10"/>
        <color rgb="FF000000"/>
        <rFont val="JRFonts"/>
        <charset val="134"/>
      </rPr>
      <t>31-07-2026 17:55</t>
    </r>
  </si>
  <si>
    <r>
      <rPr>
        <sz val="10"/>
        <color rgb="FF000000"/>
        <rFont val="JRFonts"/>
        <charset val="134"/>
      </rPr>
      <t>24-07-2026 10:31</t>
    </r>
  </si>
  <si>
    <r>
      <rPr>
        <sz val="10"/>
        <color rgb="FF0000FF"/>
        <rFont val="JRFonts"/>
        <charset val="134"/>
      </rPr>
      <t>21114</t>
    </r>
  </si>
  <si>
    <r>
      <rPr>
        <sz val="10"/>
        <color rgb="FF000000"/>
        <rFont val="JRFonts"/>
        <charset val="134"/>
      </rPr>
      <t>24-07-2026 10:23</t>
    </r>
  </si>
  <si>
    <r>
      <rPr>
        <sz val="10"/>
        <color rgb="FF000000"/>
        <rFont val="JRFonts"/>
        <charset val="134"/>
      </rPr>
      <t>24-07-2026 11:13</t>
    </r>
  </si>
  <si>
    <r>
      <rPr>
        <sz val="10"/>
        <color rgb="FF000000"/>
        <rFont val="JRFonts"/>
        <charset val="134"/>
      </rPr>
      <t>24-07-2026 10:51</t>
    </r>
  </si>
  <si>
    <r>
      <rPr>
        <sz val="10"/>
        <color rgb="FF0000FF"/>
        <rFont val="JRFonts"/>
        <charset val="134"/>
      </rPr>
      <t>21115</t>
    </r>
  </si>
  <si>
    <r>
      <rPr>
        <sz val="10"/>
        <color rgb="FF000000"/>
        <rFont val="JRFonts"/>
        <charset val="134"/>
      </rPr>
      <t>24-07-2026 10:32</t>
    </r>
  </si>
  <si>
    <r>
      <rPr>
        <sz val="10"/>
        <color rgb="FF000000"/>
        <rFont val="JRFonts"/>
        <charset val="134"/>
      </rPr>
      <t>27-07-2026 11:37</t>
    </r>
  </si>
  <si>
    <r>
      <rPr>
        <sz val="10"/>
        <color rgb="FF000000"/>
        <rFont val="JRFonts"/>
        <charset val="134"/>
      </rPr>
      <t>24-07-2026 10:52</t>
    </r>
  </si>
  <si>
    <r>
      <rPr>
        <sz val="10"/>
        <color rgb="FF0000FF"/>
        <rFont val="JRFonts"/>
        <charset val="134"/>
      </rPr>
      <t>21116</t>
    </r>
  </si>
  <si>
    <r>
      <rPr>
        <sz val="10"/>
        <color rgb="FF000000"/>
        <rFont val="JRFonts"/>
        <charset val="134"/>
      </rPr>
      <t>31-07-2026 18:05</t>
    </r>
  </si>
  <si>
    <r>
      <rPr>
        <sz val="10"/>
        <color rgb="FF000000"/>
        <rFont val="JRFonts"/>
        <charset val="134"/>
      </rPr>
      <t>24-07-2026 10:53</t>
    </r>
  </si>
  <si>
    <r>
      <rPr>
        <sz val="10"/>
        <color rgb="FF0000FF"/>
        <rFont val="JRFonts"/>
        <charset val="134"/>
      </rPr>
      <t>21117</t>
    </r>
  </si>
  <si>
    <r>
      <rPr>
        <sz val="10"/>
        <color rgb="FF000000"/>
        <rFont val="JRFonts"/>
        <charset val="134"/>
      </rPr>
      <t>25-07-2026 12:01</t>
    </r>
  </si>
  <si>
    <r>
      <rPr>
        <sz val="10"/>
        <color rgb="FF000000"/>
        <rFont val="JRFonts"/>
        <charset val="134"/>
      </rPr>
      <t>24-07-2026 11:04</t>
    </r>
  </si>
  <si>
    <r>
      <rPr>
        <sz val="10"/>
        <color rgb="FF0000FF"/>
        <rFont val="JRFonts"/>
        <charset val="134"/>
      </rPr>
      <t>21118</t>
    </r>
  </si>
  <si>
    <r>
      <rPr>
        <sz val="10"/>
        <color rgb="FF000000"/>
        <rFont val="JRFonts"/>
        <charset val="134"/>
      </rPr>
      <t>24-07-2026 10:38</t>
    </r>
  </si>
  <si>
    <r>
      <rPr>
        <sz val="10"/>
        <color rgb="FF000000"/>
        <rFont val="JRFonts"/>
        <charset val="134"/>
      </rPr>
      <t>03-08-2026 10:46</t>
    </r>
  </si>
  <si>
    <r>
      <rPr>
        <sz val="10"/>
        <color rgb="FF000000"/>
        <rFont val="JRFonts"/>
        <charset val="134"/>
      </rPr>
      <t>24-07-2026 11:07</t>
    </r>
  </si>
  <si>
    <r>
      <rPr>
        <sz val="10"/>
        <color rgb="FF0000FF"/>
        <rFont val="JRFonts"/>
        <charset val="134"/>
      </rPr>
      <t>21120</t>
    </r>
  </si>
  <si>
    <r>
      <rPr>
        <sz val="10"/>
        <color rgb="FF000000"/>
        <rFont val="JRFonts"/>
        <charset val="134"/>
      </rPr>
      <t>24-07-2026 10:54</t>
    </r>
  </si>
  <si>
    <r>
      <rPr>
        <sz val="10"/>
        <color rgb="FF000000"/>
        <rFont val="JRFonts"/>
        <charset val="134"/>
      </rPr>
      <t>25-07-2026 11:59</t>
    </r>
  </si>
  <si>
    <r>
      <rPr>
        <sz val="10"/>
        <color rgb="FF000000"/>
        <rFont val="JRFonts"/>
        <charset val="134"/>
      </rPr>
      <t>24-07-2026 11:35</t>
    </r>
  </si>
  <si>
    <r>
      <rPr>
        <sz val="10"/>
        <color rgb="FF0000FF"/>
        <rFont val="JRFonts"/>
        <charset val="134"/>
      </rPr>
      <t>21121</t>
    </r>
  </si>
  <si>
    <r>
      <rPr>
        <sz val="10"/>
        <color rgb="FF000000"/>
        <rFont val="JRFonts"/>
        <charset val="134"/>
      </rPr>
      <t>24-07-2026 10:57</t>
    </r>
  </si>
  <si>
    <r>
      <rPr>
        <sz val="10"/>
        <color rgb="FF000000"/>
        <rFont val="JRFonts"/>
        <charset val="134"/>
      </rPr>
      <t>25-07-2026 11:56</t>
    </r>
  </si>
  <si>
    <r>
      <rPr>
        <sz val="10"/>
        <color rgb="FF000000"/>
        <rFont val="JRFonts"/>
        <charset val="134"/>
      </rPr>
      <t>24-07-2026 11:37</t>
    </r>
  </si>
  <si>
    <r>
      <rPr>
        <sz val="10"/>
        <color rgb="FF0000FF"/>
        <rFont val="JRFonts"/>
        <charset val="134"/>
      </rPr>
      <t>21124</t>
    </r>
  </si>
  <si>
    <r>
      <rPr>
        <sz val="10"/>
        <color rgb="FF000000"/>
        <rFont val="JRFonts"/>
        <charset val="134"/>
      </rPr>
      <t>24-07-2026 11:06</t>
    </r>
  </si>
  <si>
    <r>
      <rPr>
        <sz val="10"/>
        <color rgb="FF000000"/>
        <rFont val="JRFonts"/>
        <charset val="134"/>
      </rPr>
      <t>24-07-2026 11:40</t>
    </r>
  </si>
  <si>
    <r>
      <rPr>
        <sz val="10"/>
        <color rgb="FF0000FF"/>
        <rFont val="JRFonts"/>
        <charset val="134"/>
      </rPr>
      <t>21126</t>
    </r>
  </si>
  <si>
    <r>
      <rPr>
        <sz val="10"/>
        <color rgb="FF000000"/>
        <rFont val="JRFonts"/>
        <charset val="134"/>
      </rPr>
      <t>24-07-2026 11:21</t>
    </r>
  </si>
  <si>
    <r>
      <rPr>
        <sz val="10"/>
        <color rgb="FF000000"/>
        <rFont val="JRFonts"/>
        <charset val="134"/>
      </rPr>
      <t>24-07-2026 16:35</t>
    </r>
  </si>
  <si>
    <r>
      <rPr>
        <sz val="10"/>
        <color rgb="FF000000"/>
        <rFont val="JRFonts"/>
        <charset val="134"/>
      </rPr>
      <t>24-07-2026 11:46</t>
    </r>
  </si>
  <si>
    <r>
      <rPr>
        <sz val="10"/>
        <color rgb="FF0000FF"/>
        <rFont val="JRFonts"/>
        <charset val="134"/>
      </rPr>
      <t>21128</t>
    </r>
  </si>
  <si>
    <r>
      <rPr>
        <sz val="10"/>
        <color rgb="FF000000"/>
        <rFont val="JRFonts"/>
        <charset val="134"/>
      </rPr>
      <t>24-07-2026 11:30</t>
    </r>
  </si>
  <si>
    <r>
      <rPr>
        <sz val="10"/>
        <color rgb="FF000000"/>
        <rFont val="JRFonts"/>
        <charset val="134"/>
      </rPr>
      <t>04-08-2026 12:41</t>
    </r>
  </si>
  <si>
    <r>
      <rPr>
        <sz val="10"/>
        <color rgb="FF000000"/>
        <rFont val="JRFonts"/>
        <charset val="134"/>
      </rPr>
      <t>24-07-2026 11:50</t>
    </r>
  </si>
  <si>
    <r>
      <rPr>
        <sz val="10"/>
        <color rgb="FF0000FF"/>
        <rFont val="JRFonts"/>
        <charset val="134"/>
      </rPr>
      <t>21129</t>
    </r>
  </si>
  <si>
    <r>
      <rPr>
        <sz val="10"/>
        <color rgb="FF000000"/>
        <rFont val="JRFonts"/>
        <charset val="134"/>
      </rPr>
      <t>24-07-2026 16:24</t>
    </r>
  </si>
  <si>
    <r>
      <rPr>
        <sz val="10"/>
        <color rgb="FF000000"/>
        <rFont val="JRFonts"/>
        <charset val="134"/>
      </rPr>
      <t>24-07-2026 11:52</t>
    </r>
  </si>
  <si>
    <r>
      <rPr>
        <sz val="10"/>
        <color rgb="FF0000FF"/>
        <rFont val="JRFonts"/>
        <charset val="134"/>
      </rPr>
      <t>21130</t>
    </r>
  </si>
  <si>
    <r>
      <rPr>
        <sz val="10"/>
        <color rgb="FF000000"/>
        <rFont val="JRFonts"/>
        <charset val="134"/>
      </rPr>
      <t>24-07-2026 16:42</t>
    </r>
  </si>
  <si>
    <r>
      <rPr>
        <sz val="10"/>
        <color rgb="FF000000"/>
        <rFont val="JRFonts"/>
        <charset val="134"/>
      </rPr>
      <t>24-07-2026 11:53</t>
    </r>
  </si>
  <si>
    <r>
      <rPr>
        <sz val="10"/>
        <color rgb="FF0000FF"/>
        <rFont val="JRFonts"/>
        <charset val="134"/>
      </rPr>
      <t>21131</t>
    </r>
  </si>
  <si>
    <r>
      <rPr>
        <sz val="10"/>
        <color rgb="FF000000"/>
        <rFont val="JRFonts"/>
        <charset val="134"/>
      </rPr>
      <t>24-07-2026 11:33</t>
    </r>
  </si>
  <si>
    <r>
      <rPr>
        <sz val="10"/>
        <color rgb="FF000000"/>
        <rFont val="JRFonts"/>
        <charset val="134"/>
      </rPr>
      <t>06-08-2026 10:30</t>
    </r>
  </si>
  <si>
    <t>21131</t>
  </si>
  <si>
    <r>
      <rPr>
        <sz val="10"/>
        <color rgb="FF0000FF"/>
        <rFont val="JRFonts"/>
        <charset val="134"/>
      </rPr>
      <t>21132</t>
    </r>
  </si>
  <si>
    <r>
      <rPr>
        <sz val="10"/>
        <color rgb="FF000000"/>
        <rFont val="JRFonts"/>
        <charset val="134"/>
      </rPr>
      <t>24-07-2026 16:16</t>
    </r>
  </si>
  <si>
    <r>
      <rPr>
        <sz val="10"/>
        <color rgb="FF000000"/>
        <rFont val="JRFonts"/>
        <charset val="134"/>
      </rPr>
      <t>24-07-2026 12:03</t>
    </r>
  </si>
  <si>
    <r>
      <rPr>
        <sz val="10"/>
        <color rgb="FF0000FF"/>
        <rFont val="JRFonts"/>
        <charset val="134"/>
      </rPr>
      <t>21133</t>
    </r>
  </si>
  <si>
    <r>
      <rPr>
        <sz val="10"/>
        <color rgb="FF000000"/>
        <rFont val="JRFonts"/>
        <charset val="134"/>
      </rPr>
      <t>24-07-2026 11:36</t>
    </r>
  </si>
  <si>
    <r>
      <rPr>
        <sz val="10"/>
        <color rgb="FF000000"/>
        <rFont val="JRFonts"/>
        <charset val="134"/>
      </rPr>
      <t>24-07-2026 16:14</t>
    </r>
  </si>
  <si>
    <r>
      <rPr>
        <sz val="10"/>
        <color rgb="FF000000"/>
        <rFont val="JRFonts"/>
        <charset val="134"/>
      </rPr>
      <t>24-07-2026 12:07</t>
    </r>
  </si>
  <si>
    <r>
      <rPr>
        <sz val="10"/>
        <color rgb="FF0000FF"/>
        <rFont val="JRFonts"/>
        <charset val="134"/>
      </rPr>
      <t>21134</t>
    </r>
  </si>
  <si>
    <r>
      <rPr>
        <sz val="10"/>
        <color rgb="FF000000"/>
        <rFont val="JRFonts"/>
        <charset val="134"/>
      </rPr>
      <t>24-07-2026 11:39</t>
    </r>
  </si>
  <si>
    <r>
      <rPr>
        <sz val="10"/>
        <color rgb="FF000000"/>
        <rFont val="JRFonts"/>
        <charset val="134"/>
      </rPr>
      <t>25-07-2026 12:25</t>
    </r>
  </si>
  <si>
    <r>
      <rPr>
        <sz val="10"/>
        <color rgb="FF000000"/>
        <rFont val="JRFonts"/>
        <charset val="134"/>
      </rPr>
      <t>24-07-2026 12:12</t>
    </r>
  </si>
  <si>
    <r>
      <rPr>
        <sz val="10"/>
        <color rgb="FF0000FF"/>
        <rFont val="JRFonts"/>
        <charset val="134"/>
      </rPr>
      <t>21137</t>
    </r>
  </si>
  <si>
    <r>
      <rPr>
        <sz val="10"/>
        <color rgb="FF000000"/>
        <rFont val="JRFonts"/>
        <charset val="134"/>
      </rPr>
      <t>24-07-2026 11:55</t>
    </r>
  </si>
  <si>
    <r>
      <rPr>
        <sz val="10"/>
        <color rgb="FF000000"/>
        <rFont val="JRFonts"/>
        <charset val="134"/>
      </rPr>
      <t>24-07-2026 15:58</t>
    </r>
  </si>
  <si>
    <r>
      <rPr>
        <sz val="10"/>
        <color rgb="FF000000"/>
        <rFont val="JRFonts"/>
        <charset val="134"/>
      </rPr>
      <t>24-07-2026 12:16</t>
    </r>
  </si>
  <si>
    <r>
      <rPr>
        <sz val="10"/>
        <color rgb="FF0000FF"/>
        <rFont val="JRFonts"/>
        <charset val="134"/>
      </rPr>
      <t>21138</t>
    </r>
  </si>
  <si>
    <r>
      <rPr>
        <sz val="10"/>
        <color rgb="FF000000"/>
        <rFont val="JRFonts"/>
        <charset val="134"/>
      </rPr>
      <t>24-07-2026 12:10</t>
    </r>
  </si>
  <si>
    <r>
      <rPr>
        <sz val="10"/>
        <color rgb="FF000000"/>
        <rFont val="JRFonts"/>
        <charset val="134"/>
      </rPr>
      <t>12-08-2026 12:29</t>
    </r>
  </si>
  <si>
    <r>
      <rPr>
        <sz val="10"/>
        <color rgb="FF000000"/>
        <rFont val="JRFonts"/>
        <charset val="134"/>
      </rPr>
      <t>24-07-2026 12:20</t>
    </r>
  </si>
  <si>
    <r>
      <rPr>
        <sz val="10"/>
        <color rgb="FF0000FF"/>
        <rFont val="JRFonts"/>
        <charset val="134"/>
      </rPr>
      <t>21140</t>
    </r>
  </si>
  <si>
    <r>
      <rPr>
        <sz val="10"/>
        <color rgb="FF000000"/>
        <rFont val="JRFonts"/>
        <charset val="134"/>
      </rPr>
      <t>07-08-2026 16:32</t>
    </r>
  </si>
  <si>
    <r>
      <rPr>
        <sz val="10"/>
        <color rgb="FF000000"/>
        <rFont val="JRFonts"/>
        <charset val="134"/>
      </rPr>
      <t>24-07-2026 12:22</t>
    </r>
  </si>
  <si>
    <r>
      <rPr>
        <sz val="10"/>
        <color rgb="FF0000FF"/>
        <rFont val="JRFonts"/>
        <charset val="134"/>
      </rPr>
      <t>21142</t>
    </r>
  </si>
  <si>
    <r>
      <rPr>
        <sz val="10"/>
        <color rgb="FF000000"/>
        <rFont val="JRFonts"/>
        <charset val="134"/>
      </rPr>
      <t>31-07-2026 12:56</t>
    </r>
  </si>
  <si>
    <r>
      <rPr>
        <sz val="10"/>
        <color rgb="FF000000"/>
        <rFont val="JRFonts"/>
        <charset val="134"/>
      </rPr>
      <t>24-07-2026 12:26</t>
    </r>
  </si>
  <si>
    <t>21142</t>
  </si>
  <si>
    <r>
      <rPr>
        <sz val="10"/>
        <color rgb="FF0000FF"/>
        <rFont val="JRFonts"/>
        <charset val="134"/>
      </rPr>
      <t>21143</t>
    </r>
  </si>
  <si>
    <r>
      <rPr>
        <sz val="10"/>
        <color rgb="FF000000"/>
        <rFont val="JRFonts"/>
        <charset val="134"/>
      </rPr>
      <t>12-08-2026 12:32</t>
    </r>
  </si>
  <si>
    <r>
      <rPr>
        <sz val="10"/>
        <color rgb="FF000000"/>
        <rFont val="JRFonts"/>
        <charset val="134"/>
      </rPr>
      <t>24-07-2026 12:34</t>
    </r>
  </si>
  <si>
    <r>
      <rPr>
        <sz val="10"/>
        <color rgb="FF0000FF"/>
        <rFont val="JRFonts"/>
        <charset val="134"/>
      </rPr>
      <t>21144</t>
    </r>
  </si>
  <si>
    <r>
      <rPr>
        <sz val="10"/>
        <color rgb="FF000000"/>
        <rFont val="JRFonts"/>
        <charset val="134"/>
      </rPr>
      <t>06-08-2026 17:16</t>
    </r>
  </si>
  <si>
    <r>
      <rPr>
        <sz val="10"/>
        <color rgb="FF000000"/>
        <rFont val="JRFonts"/>
        <charset val="134"/>
      </rPr>
      <t>24-07-2026 12:33</t>
    </r>
  </si>
  <si>
    <t>21144</t>
  </si>
  <si>
    <t>initial issues resolved with in SLA , Reopen by business team and closed post discussion</t>
  </si>
  <si>
    <r>
      <rPr>
        <sz val="10"/>
        <color rgb="FF0000FF"/>
        <rFont val="JRFonts"/>
        <charset val="134"/>
      </rPr>
      <t>21146</t>
    </r>
  </si>
  <si>
    <r>
      <rPr>
        <sz val="10"/>
        <color rgb="FF000000"/>
        <rFont val="JRFonts"/>
        <charset val="134"/>
      </rPr>
      <t>03-08-2026 10:57</t>
    </r>
  </si>
  <si>
    <r>
      <rPr>
        <sz val="10"/>
        <color rgb="FF000000"/>
        <rFont val="JRFonts"/>
        <charset val="134"/>
      </rPr>
      <t>24-07-2026 12:39</t>
    </r>
  </si>
  <si>
    <r>
      <rPr>
        <sz val="10"/>
        <color rgb="FF0000FF"/>
        <rFont val="JRFonts"/>
        <charset val="134"/>
      </rPr>
      <t>21147</t>
    </r>
  </si>
  <si>
    <r>
      <rPr>
        <sz val="10"/>
        <color rgb="FF000000"/>
        <rFont val="JRFonts"/>
        <charset val="134"/>
      </rPr>
      <t>24-07-2026 12:38</t>
    </r>
  </si>
  <si>
    <r>
      <rPr>
        <sz val="10"/>
        <color rgb="FF000000"/>
        <rFont val="JRFonts"/>
        <charset val="134"/>
      </rPr>
      <t>03-08-2026 10:58</t>
    </r>
  </si>
  <si>
    <r>
      <rPr>
        <sz val="10"/>
        <color rgb="FF000000"/>
        <rFont val="JRFonts"/>
        <charset val="134"/>
      </rPr>
      <t>24-07-2026 12:43</t>
    </r>
  </si>
  <si>
    <r>
      <rPr>
        <sz val="10"/>
        <color rgb="FF0000FF"/>
        <rFont val="JRFonts"/>
        <charset val="134"/>
      </rPr>
      <t>21148</t>
    </r>
  </si>
  <si>
    <r>
      <rPr>
        <sz val="10"/>
        <color rgb="FF000000"/>
        <rFont val="JRFonts"/>
        <charset val="134"/>
      </rPr>
      <t>24-07-2026 12:47</t>
    </r>
  </si>
  <si>
    <r>
      <rPr>
        <sz val="10"/>
        <color rgb="FF000000"/>
        <rFont val="JRFonts"/>
        <charset val="134"/>
      </rPr>
      <t>25-07-2026 11:51</t>
    </r>
  </si>
  <si>
    <r>
      <rPr>
        <sz val="10"/>
        <color rgb="FF000000"/>
        <rFont val="JRFonts"/>
        <charset val="134"/>
      </rPr>
      <t>24-07-2026 12:53</t>
    </r>
  </si>
  <si>
    <r>
      <rPr>
        <sz val="10"/>
        <color rgb="FF0000FF"/>
        <rFont val="JRFonts"/>
        <charset val="134"/>
      </rPr>
      <t>21150</t>
    </r>
  </si>
  <si>
    <r>
      <rPr>
        <sz val="10"/>
        <color rgb="FF000000"/>
        <rFont val="JRFonts"/>
        <charset val="134"/>
      </rPr>
      <t>24-07-2026 14:08</t>
    </r>
  </si>
  <si>
    <r>
      <rPr>
        <sz val="10"/>
        <color rgb="FF000000"/>
        <rFont val="JRFonts"/>
        <charset val="134"/>
      </rPr>
      <t>24-07-2026 12:59</t>
    </r>
  </si>
  <si>
    <r>
      <rPr>
        <sz val="10"/>
        <color rgb="FF0000FF"/>
        <rFont val="JRFonts"/>
        <charset val="134"/>
      </rPr>
      <t>21153</t>
    </r>
  </si>
  <si>
    <r>
      <rPr>
        <sz val="10"/>
        <color rgb="FF000000"/>
        <rFont val="JRFonts"/>
        <charset val="134"/>
      </rPr>
      <t>24-07-2026 13:24</t>
    </r>
  </si>
  <si>
    <r>
      <rPr>
        <sz val="10"/>
        <color rgb="FF000000"/>
        <rFont val="JRFonts"/>
        <charset val="134"/>
      </rPr>
      <t>25-07-2026 15:59</t>
    </r>
  </si>
  <si>
    <r>
      <rPr>
        <sz val="10"/>
        <color rgb="FF000000"/>
        <rFont val="JRFonts"/>
        <charset val="134"/>
      </rPr>
      <t>24-07-2026 14:10</t>
    </r>
  </si>
  <si>
    <r>
      <rPr>
        <sz val="10"/>
        <color rgb="FF0000FF"/>
        <rFont val="JRFonts"/>
        <charset val="134"/>
      </rPr>
      <t>21154</t>
    </r>
  </si>
  <si>
    <r>
      <rPr>
        <sz val="10"/>
        <color rgb="FF000000"/>
        <rFont val="JRFonts"/>
        <charset val="134"/>
      </rPr>
      <t>24-07-2026 13:27</t>
    </r>
  </si>
  <si>
    <r>
      <rPr>
        <sz val="10"/>
        <color rgb="FF000000"/>
        <rFont val="JRFonts"/>
        <charset val="134"/>
      </rPr>
      <t>24-07-2026 14:55</t>
    </r>
  </si>
  <si>
    <r>
      <rPr>
        <sz val="10"/>
        <color rgb="FF000000"/>
        <rFont val="JRFonts"/>
        <charset val="134"/>
      </rPr>
      <t>24-07-2026 14:12</t>
    </r>
  </si>
  <si>
    <r>
      <rPr>
        <sz val="10"/>
        <color rgb="FF0000FF"/>
        <rFont val="JRFonts"/>
        <charset val="134"/>
      </rPr>
      <t>21155</t>
    </r>
  </si>
  <si>
    <r>
      <rPr>
        <sz val="10"/>
        <color rgb="FF000000"/>
        <rFont val="JRFonts"/>
        <charset val="134"/>
      </rPr>
      <t>24-07-2026 13:33</t>
    </r>
  </si>
  <si>
    <r>
      <rPr>
        <sz val="10"/>
        <color rgb="FF000000"/>
        <rFont val="JRFonts"/>
        <charset val="134"/>
      </rPr>
      <t>24-07-2026 14:15</t>
    </r>
  </si>
  <si>
    <r>
      <rPr>
        <sz val="10"/>
        <color rgb="FF0000FF"/>
        <rFont val="JRFonts"/>
        <charset val="134"/>
      </rPr>
      <t>21157</t>
    </r>
  </si>
  <si>
    <r>
      <rPr>
        <sz val="10"/>
        <color rgb="FF000000"/>
        <rFont val="JRFonts"/>
        <charset val="134"/>
      </rPr>
      <t>29-07-2026 12:17</t>
    </r>
  </si>
  <si>
    <r>
      <rPr>
        <sz val="10"/>
        <color rgb="FF000000"/>
        <rFont val="JRFonts"/>
        <charset val="134"/>
      </rPr>
      <t>28-07-2026 16:45</t>
    </r>
  </si>
  <si>
    <r>
      <rPr>
        <sz val="10"/>
        <color rgb="FF0000FF"/>
        <rFont val="JRFonts"/>
        <charset val="134"/>
      </rPr>
      <t>21158</t>
    </r>
  </si>
  <si>
    <r>
      <rPr>
        <sz val="10"/>
        <color rgb="FF000000"/>
        <rFont val="JRFonts"/>
        <charset val="134"/>
      </rPr>
      <t>24-07-2026 14:28</t>
    </r>
  </si>
  <si>
    <r>
      <rPr>
        <sz val="10"/>
        <color rgb="FF000000"/>
        <rFont val="JRFonts"/>
        <charset val="134"/>
      </rPr>
      <t>24-07-2026 14:41</t>
    </r>
  </si>
  <si>
    <r>
      <rPr>
        <sz val="10"/>
        <color rgb="FF0000FF"/>
        <rFont val="JRFonts"/>
        <charset val="134"/>
      </rPr>
      <t>21159</t>
    </r>
  </si>
  <si>
    <r>
      <rPr>
        <sz val="10"/>
        <color rgb="FF000000"/>
        <rFont val="JRFonts"/>
        <charset val="134"/>
      </rPr>
      <t>28-07-2026 17:59</t>
    </r>
  </si>
  <si>
    <r>
      <rPr>
        <sz val="10"/>
        <color rgb="FF000000"/>
        <rFont val="JRFonts"/>
        <charset val="134"/>
      </rPr>
      <t>28-07-2026 16:47</t>
    </r>
  </si>
  <si>
    <r>
      <rPr>
        <sz val="10"/>
        <color rgb="FF0000FF"/>
        <rFont val="JRFonts"/>
        <charset val="134"/>
      </rPr>
      <t>21160</t>
    </r>
  </si>
  <si>
    <r>
      <rPr>
        <sz val="10"/>
        <color rgb="FF000000"/>
        <rFont val="JRFonts"/>
        <charset val="134"/>
      </rPr>
      <t>24-07-2026 14:37</t>
    </r>
  </si>
  <si>
    <r>
      <rPr>
        <sz val="10"/>
        <color rgb="FF000000"/>
        <rFont val="JRFonts"/>
        <charset val="134"/>
      </rPr>
      <t>25-07-2026 10:35</t>
    </r>
  </si>
  <si>
    <r>
      <rPr>
        <sz val="10"/>
        <color rgb="FF000000"/>
        <rFont val="JRFonts"/>
        <charset val="134"/>
      </rPr>
      <t>24-07-2026 14:44</t>
    </r>
  </si>
  <si>
    <r>
      <rPr>
        <sz val="10"/>
        <color rgb="FF0000FF"/>
        <rFont val="JRFonts"/>
        <charset val="134"/>
      </rPr>
      <t>21161</t>
    </r>
  </si>
  <si>
    <r>
      <rPr>
        <sz val="10"/>
        <color rgb="FF000000"/>
        <rFont val="JRFonts"/>
        <charset val="134"/>
      </rPr>
      <t>24-07-2026 14:46</t>
    </r>
  </si>
  <si>
    <r>
      <rPr>
        <sz val="10"/>
        <color rgb="FF000000"/>
        <rFont val="JRFonts"/>
        <charset val="134"/>
      </rPr>
      <t>24-07-2026 16:05</t>
    </r>
  </si>
  <si>
    <r>
      <rPr>
        <sz val="10"/>
        <color rgb="FF000000"/>
        <rFont val="JRFonts"/>
        <charset val="134"/>
      </rPr>
      <t>24-07-2026 15:07</t>
    </r>
  </si>
  <si>
    <r>
      <rPr>
        <sz val="10"/>
        <color rgb="FF0000FF"/>
        <rFont val="JRFonts"/>
        <charset val="134"/>
      </rPr>
      <t>21165</t>
    </r>
  </si>
  <si>
    <r>
      <rPr>
        <sz val="10"/>
        <color rgb="FF000000"/>
        <rFont val="JRFonts"/>
        <charset val="134"/>
      </rPr>
      <t>24-07-2026 15:04</t>
    </r>
  </si>
  <si>
    <r>
      <rPr>
        <sz val="10"/>
        <color rgb="FF000000"/>
        <rFont val="JRFonts"/>
        <charset val="134"/>
      </rPr>
      <t>24-07-2026 16:40</t>
    </r>
  </si>
  <si>
    <r>
      <rPr>
        <sz val="10"/>
        <color rgb="FF000000"/>
        <rFont val="JRFonts"/>
        <charset val="134"/>
      </rPr>
      <t>24-07-2026 16:29</t>
    </r>
  </si>
  <si>
    <r>
      <rPr>
        <sz val="10"/>
        <color rgb="FF0000FF"/>
        <rFont val="JRFonts"/>
        <charset val="134"/>
      </rPr>
      <t>21167</t>
    </r>
  </si>
  <si>
    <r>
      <rPr>
        <sz val="10"/>
        <color rgb="FF000000"/>
        <rFont val="JRFonts"/>
        <charset val="134"/>
      </rPr>
      <t>06-08-2026 10:10</t>
    </r>
  </si>
  <si>
    <r>
      <rPr>
        <sz val="10"/>
        <color rgb="FF000000"/>
        <rFont val="JRFonts"/>
        <charset val="134"/>
      </rPr>
      <t>24-07-2026 15:09</t>
    </r>
  </si>
  <si>
    <t>21167</t>
  </si>
  <si>
    <r>
      <rPr>
        <sz val="10"/>
        <color rgb="FF0000FF"/>
        <rFont val="JRFonts"/>
        <charset val="134"/>
      </rPr>
      <t>21168</t>
    </r>
  </si>
  <si>
    <r>
      <rPr>
        <sz val="10"/>
        <color rgb="FF000000"/>
        <rFont val="JRFonts"/>
        <charset val="134"/>
      </rPr>
      <t>06-08-2026 10:09</t>
    </r>
  </si>
  <si>
    <r>
      <rPr>
        <sz val="10"/>
        <color rgb="FF000000"/>
        <rFont val="JRFonts"/>
        <charset val="134"/>
      </rPr>
      <t>24-07-2026 15:11</t>
    </r>
  </si>
  <si>
    <t>21168</t>
  </si>
  <si>
    <r>
      <rPr>
        <sz val="10"/>
        <color rgb="FF0000FF"/>
        <rFont val="JRFonts"/>
        <charset val="134"/>
      </rPr>
      <t>21169</t>
    </r>
  </si>
  <si>
    <r>
      <rPr>
        <sz val="10"/>
        <color rgb="FF000000"/>
        <rFont val="JRFonts"/>
        <charset val="134"/>
      </rPr>
      <t>13-08-2026 10:47</t>
    </r>
  </si>
  <si>
    <r>
      <rPr>
        <sz val="10"/>
        <color rgb="FF000000"/>
        <rFont val="JRFonts"/>
        <charset val="134"/>
      </rPr>
      <t>24-07-2026 15:12</t>
    </r>
  </si>
  <si>
    <t>21169</t>
  </si>
  <si>
    <r>
      <rPr>
        <sz val="10"/>
        <color rgb="FF0000FF"/>
        <rFont val="JRFonts"/>
        <charset val="134"/>
      </rPr>
      <t>21170</t>
    </r>
  </si>
  <si>
    <r>
      <rPr>
        <sz val="10"/>
        <color rgb="FF000000"/>
        <rFont val="JRFonts"/>
        <charset val="134"/>
      </rPr>
      <t>24-07-2026 15:10</t>
    </r>
  </si>
  <si>
    <r>
      <rPr>
        <sz val="10"/>
        <color rgb="FF000000"/>
        <rFont val="JRFonts"/>
        <charset val="134"/>
      </rPr>
      <t>24-07-2026 16:02</t>
    </r>
  </si>
  <si>
    <r>
      <rPr>
        <sz val="10"/>
        <color rgb="FF000000"/>
        <rFont val="JRFonts"/>
        <charset val="134"/>
      </rPr>
      <t>24-07-2026 15:17</t>
    </r>
  </si>
  <si>
    <r>
      <rPr>
        <sz val="10"/>
        <color rgb="FF0000FF"/>
        <rFont val="JRFonts"/>
        <charset val="134"/>
      </rPr>
      <t>21173</t>
    </r>
  </si>
  <si>
    <r>
      <rPr>
        <sz val="10"/>
        <color rgb="FF000000"/>
        <rFont val="JRFonts"/>
        <charset val="134"/>
      </rPr>
      <t>24-07-2026 15:20</t>
    </r>
  </si>
  <si>
    <r>
      <rPr>
        <sz val="10"/>
        <color rgb="FF000000"/>
        <rFont val="JRFonts"/>
        <charset val="134"/>
      </rPr>
      <t>28-07-2026 17:15</t>
    </r>
  </si>
  <si>
    <r>
      <rPr>
        <sz val="10"/>
        <color rgb="FF000000"/>
        <rFont val="JRFonts"/>
        <charset val="134"/>
      </rPr>
      <t>28-07-2026 16:48</t>
    </r>
  </si>
  <si>
    <r>
      <rPr>
        <sz val="10"/>
        <color rgb="FF0000FF"/>
        <rFont val="JRFonts"/>
        <charset val="134"/>
      </rPr>
      <t>21174</t>
    </r>
  </si>
  <si>
    <r>
      <rPr>
        <sz val="10"/>
        <color rgb="FF000000"/>
        <rFont val="JRFonts"/>
        <charset val="134"/>
      </rPr>
      <t>26-07-2026 12:25</t>
    </r>
  </si>
  <si>
    <r>
      <rPr>
        <sz val="10"/>
        <color rgb="FF000000"/>
        <rFont val="JRFonts"/>
        <charset val="134"/>
      </rPr>
      <t>24-07-2026 15:28</t>
    </r>
  </si>
  <si>
    <r>
      <rPr>
        <sz val="10"/>
        <color rgb="FF0000FF"/>
        <rFont val="JRFonts"/>
        <charset val="134"/>
      </rPr>
      <t>21175</t>
    </r>
  </si>
  <si>
    <r>
      <rPr>
        <sz val="10"/>
        <color rgb="FF000000"/>
        <rFont val="JRFonts"/>
        <charset val="134"/>
      </rPr>
      <t>24-07-2026 15:26</t>
    </r>
  </si>
  <si>
    <r>
      <rPr>
        <sz val="10"/>
        <color rgb="FF000000"/>
        <rFont val="JRFonts"/>
        <charset val="134"/>
      </rPr>
      <t>29-07-2026 12:19</t>
    </r>
  </si>
  <si>
    <r>
      <rPr>
        <sz val="10"/>
        <color rgb="FF000000"/>
        <rFont val="JRFonts"/>
        <charset val="134"/>
      </rPr>
      <t>28-07-2026 16:50</t>
    </r>
  </si>
  <si>
    <r>
      <rPr>
        <sz val="10"/>
        <color rgb="FF0000FF"/>
        <rFont val="JRFonts"/>
        <charset val="134"/>
      </rPr>
      <t>21176</t>
    </r>
  </si>
  <si>
    <r>
      <rPr>
        <sz val="10"/>
        <color rgb="FF000000"/>
        <rFont val="JRFonts"/>
        <charset val="134"/>
      </rPr>
      <t>24-07-2026 15:35</t>
    </r>
  </si>
  <si>
    <r>
      <rPr>
        <sz val="10"/>
        <color rgb="FF000000"/>
        <rFont val="JRFonts"/>
        <charset val="134"/>
      </rPr>
      <t>24-07-2026 15:37</t>
    </r>
  </si>
  <si>
    <r>
      <rPr>
        <sz val="10"/>
        <color rgb="FF0000FF"/>
        <rFont val="JRFonts"/>
        <charset val="134"/>
      </rPr>
      <t>21177</t>
    </r>
  </si>
  <si>
    <r>
      <rPr>
        <sz val="10"/>
        <color rgb="FF000000"/>
        <rFont val="JRFonts"/>
        <charset val="134"/>
      </rPr>
      <t>24-07-2026 15:38</t>
    </r>
  </si>
  <si>
    <r>
      <rPr>
        <sz val="10"/>
        <color rgb="FF000000"/>
        <rFont val="JRFonts"/>
        <charset val="134"/>
      </rPr>
      <t>03-08-2026 12:25</t>
    </r>
  </si>
  <si>
    <r>
      <rPr>
        <sz val="10"/>
        <color rgb="FF000000"/>
        <rFont val="JRFonts"/>
        <charset val="134"/>
      </rPr>
      <t>24-07-2026 15:44</t>
    </r>
  </si>
  <si>
    <r>
      <rPr>
        <sz val="10"/>
        <color rgb="FF0000FF"/>
        <rFont val="JRFonts"/>
        <charset val="134"/>
      </rPr>
      <t>21178</t>
    </r>
  </si>
  <si>
    <r>
      <rPr>
        <sz val="10"/>
        <color rgb="FF000000"/>
        <rFont val="JRFonts"/>
        <charset val="134"/>
      </rPr>
      <t>24-07-2026 15:41</t>
    </r>
  </si>
  <si>
    <r>
      <rPr>
        <sz val="10"/>
        <color rgb="FF000000"/>
        <rFont val="JRFonts"/>
        <charset val="134"/>
      </rPr>
      <t>24-07-2026 16:39</t>
    </r>
  </si>
  <si>
    <r>
      <rPr>
        <sz val="10"/>
        <color rgb="FF000000"/>
        <rFont val="JRFonts"/>
        <charset val="134"/>
      </rPr>
      <t>24-07-2026 15:46</t>
    </r>
  </si>
  <si>
    <r>
      <rPr>
        <sz val="10"/>
        <color rgb="FF0000FF"/>
        <rFont val="JRFonts"/>
        <charset val="134"/>
      </rPr>
      <t>21179</t>
    </r>
  </si>
  <si>
    <r>
      <rPr>
        <sz val="10"/>
        <color rgb="FF000000"/>
        <rFont val="JRFonts"/>
        <charset val="134"/>
      </rPr>
      <t>24-07-2026 17:27</t>
    </r>
  </si>
  <si>
    <r>
      <rPr>
        <sz val="10"/>
        <color rgb="FF000000"/>
        <rFont val="JRFonts"/>
        <charset val="134"/>
      </rPr>
      <t>24-07-2026 15:42</t>
    </r>
  </si>
  <si>
    <r>
      <rPr>
        <sz val="10"/>
        <color rgb="FF0000FF"/>
        <rFont val="JRFonts"/>
        <charset val="134"/>
      </rPr>
      <t>21180</t>
    </r>
  </si>
  <si>
    <r>
      <rPr>
        <sz val="10"/>
        <color rgb="FF000000"/>
        <rFont val="JRFonts"/>
        <charset val="134"/>
      </rPr>
      <t>24-07-2026 16:33</t>
    </r>
  </si>
  <si>
    <r>
      <rPr>
        <sz val="10"/>
        <color rgb="FF000000"/>
        <rFont val="JRFonts"/>
        <charset val="134"/>
      </rPr>
      <t>24-07-2026 15:53</t>
    </r>
  </si>
  <si>
    <r>
      <rPr>
        <sz val="10"/>
        <color rgb="FF0000FF"/>
        <rFont val="JRFonts"/>
        <charset val="134"/>
      </rPr>
      <t>21181</t>
    </r>
  </si>
  <si>
    <r>
      <rPr>
        <sz val="10"/>
        <color rgb="FF000000"/>
        <rFont val="JRFonts"/>
        <charset val="134"/>
      </rPr>
      <t>03-08-2026 12:34</t>
    </r>
  </si>
  <si>
    <r>
      <rPr>
        <sz val="10"/>
        <color rgb="FF000000"/>
        <rFont val="JRFonts"/>
        <charset val="134"/>
      </rPr>
      <t>24-07-2026 15:54</t>
    </r>
  </si>
  <si>
    <r>
      <rPr>
        <sz val="10"/>
        <color rgb="FF0000FF"/>
        <rFont val="JRFonts"/>
        <charset val="134"/>
      </rPr>
      <t>21182</t>
    </r>
  </si>
  <si>
    <r>
      <rPr>
        <sz val="10"/>
        <color rgb="FF000000"/>
        <rFont val="JRFonts"/>
        <charset val="134"/>
      </rPr>
      <t>03-08-2026 12:36</t>
    </r>
  </si>
  <si>
    <r>
      <rPr>
        <sz val="10"/>
        <color rgb="FF000000"/>
        <rFont val="JRFonts"/>
        <charset val="134"/>
      </rPr>
      <t>24-07-2026 15:48</t>
    </r>
  </si>
  <si>
    <r>
      <rPr>
        <sz val="10"/>
        <color rgb="FF0000FF"/>
        <rFont val="JRFonts"/>
        <charset val="134"/>
      </rPr>
      <t>21183</t>
    </r>
  </si>
  <si>
    <r>
      <rPr>
        <sz val="10"/>
        <color rgb="FF000000"/>
        <rFont val="JRFonts"/>
        <charset val="134"/>
      </rPr>
      <t>07-08-2026 17:19</t>
    </r>
  </si>
  <si>
    <r>
      <rPr>
        <sz val="10"/>
        <color rgb="FF000000"/>
        <rFont val="JRFonts"/>
        <charset val="134"/>
      </rPr>
      <t>24-07-2026 15:47</t>
    </r>
  </si>
  <si>
    <r>
      <rPr>
        <sz val="10"/>
        <color rgb="FF0000FF"/>
        <rFont val="JRFonts"/>
        <charset val="134"/>
      </rPr>
      <t>21184</t>
    </r>
  </si>
  <si>
    <r>
      <rPr>
        <sz val="10"/>
        <color rgb="FF000000"/>
        <rFont val="JRFonts"/>
        <charset val="134"/>
      </rPr>
      <t>06-08-2026 10:08</t>
    </r>
  </si>
  <si>
    <r>
      <rPr>
        <sz val="10"/>
        <color rgb="FF000000"/>
        <rFont val="JRFonts"/>
        <charset val="134"/>
      </rPr>
      <t>24-07-2026 15:51</t>
    </r>
  </si>
  <si>
    <t>21184</t>
  </si>
  <si>
    <r>
      <rPr>
        <sz val="10"/>
        <color rgb="FF0000FF"/>
        <rFont val="JRFonts"/>
        <charset val="134"/>
      </rPr>
      <t>21185</t>
    </r>
  </si>
  <si>
    <r>
      <rPr>
        <sz val="10"/>
        <color rgb="FF000000"/>
        <rFont val="JRFonts"/>
        <charset val="134"/>
      </rPr>
      <t>03-08-2026 12:50</t>
    </r>
  </si>
  <si>
    <r>
      <rPr>
        <sz val="10"/>
        <color rgb="FF000000"/>
        <rFont val="JRFonts"/>
        <charset val="134"/>
      </rPr>
      <t>24-07-2026 15:59</t>
    </r>
  </si>
  <si>
    <r>
      <rPr>
        <sz val="10"/>
        <color rgb="FF0000FF"/>
        <rFont val="JRFonts"/>
        <charset val="134"/>
      </rPr>
      <t>21187</t>
    </r>
  </si>
  <si>
    <r>
      <rPr>
        <sz val="10"/>
        <color rgb="FF000000"/>
        <rFont val="JRFonts"/>
        <charset val="134"/>
      </rPr>
      <t>24-07-2026 15:57</t>
    </r>
  </si>
  <si>
    <r>
      <rPr>
        <sz val="10"/>
        <color rgb="FF000000"/>
        <rFont val="JRFonts"/>
        <charset val="134"/>
      </rPr>
      <t>24-07-2026 16:23</t>
    </r>
  </si>
  <si>
    <r>
      <rPr>
        <sz val="10"/>
        <color rgb="FF000000"/>
        <rFont val="JRFonts"/>
        <charset val="134"/>
      </rPr>
      <t>24-07-2026 16:09</t>
    </r>
  </si>
  <si>
    <r>
      <rPr>
        <sz val="10"/>
        <color rgb="FF0000FF"/>
        <rFont val="JRFonts"/>
        <charset val="134"/>
      </rPr>
      <t>21189</t>
    </r>
  </si>
  <si>
    <r>
      <rPr>
        <sz val="10"/>
        <color rgb="FF000000"/>
        <rFont val="JRFonts"/>
        <charset val="134"/>
      </rPr>
      <t>24-07-2026 16:18</t>
    </r>
  </si>
  <si>
    <r>
      <rPr>
        <sz val="10"/>
        <color rgb="FF000000"/>
        <rFont val="JRFonts"/>
        <charset val="134"/>
      </rPr>
      <t>03-08-2026 12:52</t>
    </r>
  </si>
  <si>
    <r>
      <rPr>
        <sz val="10"/>
        <color rgb="FF000000"/>
        <rFont val="JRFonts"/>
        <charset val="134"/>
      </rPr>
      <t>24-07-2026 16:26</t>
    </r>
  </si>
  <si>
    <r>
      <rPr>
        <sz val="10"/>
        <color rgb="FF0000FF"/>
        <rFont val="JRFonts"/>
        <charset val="134"/>
      </rPr>
      <t>21190</t>
    </r>
  </si>
  <si>
    <r>
      <rPr>
        <sz val="10"/>
        <color rgb="FF000000"/>
        <rFont val="JRFonts"/>
        <charset val="134"/>
      </rPr>
      <t>24-07-2026 16:36</t>
    </r>
  </si>
  <si>
    <r>
      <rPr>
        <sz val="10"/>
        <color rgb="FF000000"/>
        <rFont val="JRFonts"/>
        <charset val="134"/>
      </rPr>
      <t>27-07-2026 10:52</t>
    </r>
  </si>
  <si>
    <r>
      <rPr>
        <sz val="10"/>
        <color rgb="FF000000"/>
        <rFont val="JRFonts"/>
        <charset val="134"/>
      </rPr>
      <t>24-07-2026 17:30</t>
    </r>
  </si>
  <si>
    <r>
      <rPr>
        <sz val="10"/>
        <color rgb="FF0000FF"/>
        <rFont val="JRFonts"/>
        <charset val="134"/>
      </rPr>
      <t>21192</t>
    </r>
  </si>
  <si>
    <r>
      <rPr>
        <sz val="10"/>
        <color rgb="FF000000"/>
        <rFont val="JRFonts"/>
        <charset val="134"/>
      </rPr>
      <t>25-07-2026 10:27</t>
    </r>
  </si>
  <si>
    <r>
      <rPr>
        <sz val="10"/>
        <color rgb="FF000000"/>
        <rFont val="JRFonts"/>
        <charset val="134"/>
      </rPr>
      <t>24-07-2026 16:43</t>
    </r>
  </si>
  <si>
    <r>
      <rPr>
        <sz val="10"/>
        <color rgb="FF0000FF"/>
        <rFont val="JRFonts"/>
        <charset val="134"/>
      </rPr>
      <t>21193</t>
    </r>
  </si>
  <si>
    <r>
      <rPr>
        <sz val="10"/>
        <color rgb="FF000000"/>
        <rFont val="JRFonts"/>
        <charset val="134"/>
      </rPr>
      <t>03-08-2026 15:03</t>
    </r>
  </si>
  <si>
    <r>
      <rPr>
        <sz val="10"/>
        <color rgb="FF000000"/>
        <rFont val="JRFonts"/>
        <charset val="134"/>
      </rPr>
      <t>24-07-2026 16:46</t>
    </r>
  </si>
  <si>
    <r>
      <rPr>
        <sz val="10"/>
        <color rgb="FF0000FF"/>
        <rFont val="JRFonts"/>
        <charset val="134"/>
      </rPr>
      <t>21194</t>
    </r>
  </si>
  <si>
    <r>
      <rPr>
        <sz val="10"/>
        <color rgb="FF000000"/>
        <rFont val="JRFonts"/>
        <charset val="134"/>
      </rPr>
      <t>03-08-2026 15:04</t>
    </r>
  </si>
  <si>
    <r>
      <rPr>
        <sz val="10"/>
        <color rgb="FF000000"/>
        <rFont val="JRFonts"/>
        <charset val="134"/>
      </rPr>
      <t>24-07-2026 16:55</t>
    </r>
  </si>
  <si>
    <t>21194</t>
  </si>
  <si>
    <r>
      <rPr>
        <sz val="10"/>
        <color rgb="FF0000FF"/>
        <rFont val="JRFonts"/>
        <charset val="134"/>
      </rPr>
      <t>21195</t>
    </r>
  </si>
  <si>
    <r>
      <rPr>
        <sz val="10"/>
        <color rgb="FF000000"/>
        <rFont val="JRFonts"/>
        <charset val="134"/>
      </rPr>
      <t>24-07-2026 16:48</t>
    </r>
  </si>
  <si>
    <r>
      <rPr>
        <sz val="10"/>
        <color rgb="FF000000"/>
        <rFont val="JRFonts"/>
        <charset val="134"/>
      </rPr>
      <t>03-08-2026 15:05</t>
    </r>
  </si>
  <si>
    <r>
      <rPr>
        <sz val="10"/>
        <color rgb="FF000000"/>
        <rFont val="JRFonts"/>
        <charset val="134"/>
      </rPr>
      <t>24-07-2026 16:52</t>
    </r>
  </si>
  <si>
    <r>
      <rPr>
        <sz val="10"/>
        <color rgb="FF0000FF"/>
        <rFont val="JRFonts"/>
        <charset val="134"/>
      </rPr>
      <t>21196</t>
    </r>
  </si>
  <si>
    <r>
      <rPr>
        <sz val="10"/>
        <color rgb="FF000000"/>
        <rFont val="JRFonts"/>
        <charset val="134"/>
      </rPr>
      <t>24-07-2026 16:51</t>
    </r>
  </si>
  <si>
    <r>
      <rPr>
        <sz val="10"/>
        <color rgb="FF000000"/>
        <rFont val="JRFonts"/>
        <charset val="134"/>
      </rPr>
      <t>27-07-2026 11:48</t>
    </r>
  </si>
  <si>
    <r>
      <rPr>
        <sz val="10"/>
        <color rgb="FF000000"/>
        <rFont val="JRFonts"/>
        <charset val="134"/>
      </rPr>
      <t>24-07-2026 17:07</t>
    </r>
  </si>
  <si>
    <r>
      <rPr>
        <sz val="10"/>
        <color rgb="FF0000FF"/>
        <rFont val="JRFonts"/>
        <charset val="134"/>
      </rPr>
      <t>21197</t>
    </r>
  </si>
  <si>
    <r>
      <rPr>
        <sz val="10"/>
        <color rgb="FF000000"/>
        <rFont val="JRFonts"/>
        <charset val="134"/>
      </rPr>
      <t>07-08-2026 17:20</t>
    </r>
  </si>
  <si>
    <r>
      <rPr>
        <sz val="10"/>
        <color rgb="FF000000"/>
        <rFont val="JRFonts"/>
        <charset val="134"/>
      </rPr>
      <t>24-07-2026 17:17</t>
    </r>
  </si>
  <si>
    <r>
      <rPr>
        <sz val="10"/>
        <color rgb="FF0000FF"/>
        <rFont val="JRFonts"/>
        <charset val="134"/>
      </rPr>
      <t>21198</t>
    </r>
  </si>
  <si>
    <r>
      <rPr>
        <sz val="10"/>
        <color rgb="FF000000"/>
        <rFont val="JRFonts"/>
        <charset val="134"/>
      </rPr>
      <t>24-07-2026 16:54</t>
    </r>
  </si>
  <si>
    <r>
      <rPr>
        <sz val="10"/>
        <color rgb="FF000000"/>
        <rFont val="JRFonts"/>
        <charset val="134"/>
      </rPr>
      <t>29-07-2026 10:22</t>
    </r>
  </si>
  <si>
    <r>
      <rPr>
        <sz val="10"/>
        <color rgb="FF000000"/>
        <rFont val="JRFonts"/>
        <charset val="134"/>
      </rPr>
      <t>24-07-2026 17:21</t>
    </r>
  </si>
  <si>
    <r>
      <rPr>
        <sz val="10"/>
        <color rgb="FF0000FF"/>
        <rFont val="JRFonts"/>
        <charset val="134"/>
      </rPr>
      <t>21199</t>
    </r>
  </si>
  <si>
    <r>
      <rPr>
        <sz val="10"/>
        <color rgb="FF000000"/>
        <rFont val="JRFonts"/>
        <charset val="134"/>
      </rPr>
      <t>24-07-2026 16:57</t>
    </r>
  </si>
  <si>
    <r>
      <rPr>
        <sz val="10"/>
        <color rgb="FF000000"/>
        <rFont val="JRFonts"/>
        <charset val="134"/>
      </rPr>
      <t>25-07-2026 10:39</t>
    </r>
  </si>
  <si>
    <r>
      <rPr>
        <sz val="10"/>
        <color rgb="FF000000"/>
        <rFont val="JRFonts"/>
        <charset val="134"/>
      </rPr>
      <t>24-07-2026 17:08</t>
    </r>
  </si>
  <si>
    <r>
      <rPr>
        <sz val="10"/>
        <color rgb="FF0000FF"/>
        <rFont val="JRFonts"/>
        <charset val="134"/>
      </rPr>
      <t>21200</t>
    </r>
  </si>
  <si>
    <r>
      <rPr>
        <sz val="10"/>
        <color rgb="FF000000"/>
        <rFont val="JRFonts"/>
        <charset val="134"/>
      </rPr>
      <t>25-07-2026 10:06</t>
    </r>
  </si>
  <si>
    <r>
      <rPr>
        <sz val="10"/>
        <color rgb="FF000000"/>
        <rFont val="JRFonts"/>
        <charset val="134"/>
      </rPr>
      <t>24-07-2026 17:10</t>
    </r>
  </si>
  <si>
    <r>
      <rPr>
        <sz val="10"/>
        <color rgb="FF0000FF"/>
        <rFont val="JRFonts"/>
        <charset val="134"/>
      </rPr>
      <t>21201</t>
    </r>
  </si>
  <si>
    <r>
      <rPr>
        <sz val="10"/>
        <color rgb="FF000000"/>
        <rFont val="JRFonts"/>
        <charset val="134"/>
      </rPr>
      <t>03-08-2026 15:07</t>
    </r>
  </si>
  <si>
    <r>
      <rPr>
        <sz val="10"/>
        <color rgb="FF000000"/>
        <rFont val="JRFonts"/>
        <charset val="134"/>
      </rPr>
      <t>24-07-2026 17:14</t>
    </r>
  </si>
  <si>
    <r>
      <rPr>
        <sz val="10"/>
        <color rgb="FF0000FF"/>
        <rFont val="JRFonts"/>
        <charset val="134"/>
      </rPr>
      <t>21202</t>
    </r>
  </si>
  <si>
    <r>
      <rPr>
        <sz val="10"/>
        <color rgb="FF000000"/>
        <rFont val="JRFonts"/>
        <charset val="134"/>
      </rPr>
      <t>24-07-2026 17:00</t>
    </r>
  </si>
  <si>
    <r>
      <rPr>
        <sz val="10"/>
        <color rgb="FF000000"/>
        <rFont val="JRFonts"/>
        <charset val="134"/>
      </rPr>
      <t>25-07-2026 10:41</t>
    </r>
  </si>
  <si>
    <r>
      <rPr>
        <sz val="10"/>
        <color rgb="FF000000"/>
        <rFont val="JRFonts"/>
        <charset val="134"/>
      </rPr>
      <t>24-07-2026 17:03</t>
    </r>
  </si>
  <si>
    <r>
      <rPr>
        <sz val="10"/>
        <color rgb="FF0000FF"/>
        <rFont val="JRFonts"/>
        <charset val="134"/>
      </rPr>
      <t>21203</t>
    </r>
  </si>
  <si>
    <r>
      <rPr>
        <sz val="10"/>
        <color rgb="FF000000"/>
        <rFont val="JRFonts"/>
        <charset val="134"/>
      </rPr>
      <t>25-07-2026 10:32</t>
    </r>
  </si>
  <si>
    <r>
      <rPr>
        <sz val="10"/>
        <color rgb="FF000000"/>
        <rFont val="JRFonts"/>
        <charset val="134"/>
      </rPr>
      <t>24-07-2026 17:23</t>
    </r>
  </si>
  <si>
    <r>
      <rPr>
        <sz val="10"/>
        <color rgb="FF0000FF"/>
        <rFont val="JRFonts"/>
        <charset val="134"/>
      </rPr>
      <t>21204</t>
    </r>
  </si>
  <si>
    <r>
      <rPr>
        <sz val="10"/>
        <color rgb="FF000000"/>
        <rFont val="JRFonts"/>
        <charset val="134"/>
      </rPr>
      <t>05-08-2026 00:01</t>
    </r>
  </si>
  <si>
    <r>
      <rPr>
        <sz val="10"/>
        <color rgb="FF000000"/>
        <rFont val="JRFonts"/>
        <charset val="134"/>
      </rPr>
      <t>24-07-2026 17:28</t>
    </r>
  </si>
  <si>
    <t>21204</t>
  </si>
  <si>
    <r>
      <rPr>
        <sz val="10"/>
        <color rgb="FF0000FF"/>
        <rFont val="JRFonts"/>
        <charset val="134"/>
      </rPr>
      <t>21205</t>
    </r>
  </si>
  <si>
    <r>
      <rPr>
        <sz val="10"/>
        <color rgb="FF000000"/>
        <rFont val="JRFonts"/>
        <charset val="134"/>
      </rPr>
      <t>06-08-2026 10:06</t>
    </r>
  </si>
  <si>
    <r>
      <rPr>
        <sz val="10"/>
        <color rgb="FF000000"/>
        <rFont val="JRFonts"/>
        <charset val="134"/>
      </rPr>
      <t>24-07-2026 17:32</t>
    </r>
  </si>
  <si>
    <t>21205</t>
  </si>
  <si>
    <r>
      <rPr>
        <sz val="10"/>
        <color rgb="FF0000FF"/>
        <rFont val="JRFonts"/>
        <charset val="134"/>
      </rPr>
      <t>21207</t>
    </r>
  </si>
  <si>
    <r>
      <rPr>
        <sz val="10"/>
        <color rgb="FF000000"/>
        <rFont val="JRFonts"/>
        <charset val="134"/>
      </rPr>
      <t>24-07-2026 17:20</t>
    </r>
  </si>
  <si>
    <r>
      <rPr>
        <sz val="10"/>
        <color rgb="FF000000"/>
        <rFont val="JRFonts"/>
        <charset val="134"/>
      </rPr>
      <t>24-07-2026 17:33</t>
    </r>
  </si>
  <si>
    <r>
      <rPr>
        <sz val="10"/>
        <color rgb="FF0000FF"/>
        <rFont val="JRFonts"/>
        <charset val="134"/>
      </rPr>
      <t>21209</t>
    </r>
  </si>
  <si>
    <r>
      <rPr>
        <sz val="10"/>
        <color rgb="FF000000"/>
        <rFont val="JRFonts"/>
        <charset val="134"/>
      </rPr>
      <t>24-07-2026 17:13</t>
    </r>
  </si>
  <si>
    <r>
      <rPr>
        <sz val="10"/>
        <color rgb="FF000000"/>
        <rFont val="JRFonts"/>
        <charset val="134"/>
      </rPr>
      <t>24-07-2026 17:34</t>
    </r>
  </si>
  <si>
    <r>
      <rPr>
        <sz val="10"/>
        <color rgb="FF0000FF"/>
        <rFont val="JRFonts"/>
        <charset val="134"/>
      </rPr>
      <t>21210</t>
    </r>
  </si>
  <si>
    <r>
      <rPr>
        <sz val="10"/>
        <color rgb="FF000000"/>
        <rFont val="JRFonts"/>
        <charset val="134"/>
      </rPr>
      <t>25-07-2026 10:53</t>
    </r>
  </si>
  <si>
    <r>
      <rPr>
        <sz val="10"/>
        <color rgb="FF000000"/>
        <rFont val="JRFonts"/>
        <charset val="134"/>
      </rPr>
      <t>24-07-2026 17:37</t>
    </r>
  </si>
  <si>
    <r>
      <rPr>
        <sz val="10"/>
        <color rgb="FF0000FF"/>
        <rFont val="JRFonts"/>
        <charset val="134"/>
      </rPr>
      <t>21211</t>
    </r>
  </si>
  <si>
    <r>
      <rPr>
        <sz val="10"/>
        <color rgb="FF000000"/>
        <rFont val="JRFonts"/>
        <charset val="134"/>
      </rPr>
      <t>24-07-2026 17:25</t>
    </r>
  </si>
  <si>
    <r>
      <rPr>
        <sz val="10"/>
        <color rgb="FF000000"/>
        <rFont val="JRFonts"/>
        <charset val="134"/>
      </rPr>
      <t>25-07-2026 10:30</t>
    </r>
  </si>
  <si>
    <r>
      <rPr>
        <sz val="10"/>
        <color rgb="FF000000"/>
        <rFont val="JRFonts"/>
        <charset val="134"/>
      </rPr>
      <t>24-07-2026 17:39</t>
    </r>
  </si>
  <si>
    <r>
      <rPr>
        <sz val="10"/>
        <color rgb="FF0000FF"/>
        <rFont val="JRFonts"/>
        <charset val="134"/>
      </rPr>
      <t>21212</t>
    </r>
  </si>
  <si>
    <r>
      <rPr>
        <sz val="10"/>
        <color rgb="FF000000"/>
        <rFont val="JRFonts"/>
        <charset val="134"/>
      </rPr>
      <t>28-07-2026 19:04</t>
    </r>
  </si>
  <si>
    <r>
      <rPr>
        <sz val="10"/>
        <color rgb="FF000000"/>
        <rFont val="JRFonts"/>
        <charset val="134"/>
      </rPr>
      <t>24-07-2026 17:41</t>
    </r>
  </si>
  <si>
    <r>
      <rPr>
        <sz val="10"/>
        <color rgb="FF0000FF"/>
        <rFont val="JRFonts"/>
        <charset val="134"/>
      </rPr>
      <t>21213</t>
    </r>
  </si>
  <si>
    <r>
      <rPr>
        <sz val="10"/>
        <color rgb="FF000000"/>
        <rFont val="JRFonts"/>
        <charset val="134"/>
      </rPr>
      <t>24-07-2026 17:52</t>
    </r>
  </si>
  <si>
    <r>
      <rPr>
        <sz val="10"/>
        <color rgb="FF000000"/>
        <rFont val="JRFonts"/>
        <charset val="134"/>
      </rPr>
      <t>24-07-2026 17:42</t>
    </r>
  </si>
  <si>
    <r>
      <rPr>
        <sz val="10"/>
        <color rgb="FF0000FF"/>
        <rFont val="JRFonts"/>
        <charset val="134"/>
      </rPr>
      <t>21214</t>
    </r>
  </si>
  <si>
    <r>
      <rPr>
        <sz val="10"/>
        <color rgb="FF000000"/>
        <rFont val="JRFonts"/>
        <charset val="134"/>
      </rPr>
      <t>27-07-2026 11:43</t>
    </r>
  </si>
  <si>
    <r>
      <rPr>
        <sz val="10"/>
        <color rgb="FF000000"/>
        <rFont val="JRFonts"/>
        <charset val="134"/>
      </rPr>
      <t>24-07-2026 17:44</t>
    </r>
  </si>
  <si>
    <r>
      <rPr>
        <sz val="10"/>
        <color rgb="FF0000FF"/>
        <rFont val="JRFonts"/>
        <charset val="134"/>
      </rPr>
      <t>21218</t>
    </r>
  </si>
  <si>
    <r>
      <rPr>
        <sz val="10"/>
        <color rgb="FF000000"/>
        <rFont val="JRFonts"/>
        <charset val="134"/>
      </rPr>
      <t>12-08-2026 12:34</t>
    </r>
  </si>
  <si>
    <r>
      <rPr>
        <sz val="10"/>
        <color rgb="FF000000"/>
        <rFont val="JRFonts"/>
        <charset val="134"/>
      </rPr>
      <t>24-07-2026 17:46</t>
    </r>
  </si>
  <si>
    <r>
      <rPr>
        <sz val="10"/>
        <color rgb="FF0000FF"/>
        <rFont val="JRFonts"/>
        <charset val="134"/>
      </rPr>
      <t>21219</t>
    </r>
  </si>
  <si>
    <r>
      <rPr>
        <sz val="10"/>
        <color rgb="FF000000"/>
        <rFont val="JRFonts"/>
        <charset val="134"/>
      </rPr>
      <t>31-07-2026 12:38</t>
    </r>
  </si>
  <si>
    <r>
      <rPr>
        <sz val="10"/>
        <color rgb="FF000000"/>
        <rFont val="JRFonts"/>
        <charset val="134"/>
      </rPr>
      <t>24-07-2026 18:03</t>
    </r>
  </si>
  <si>
    <t>21219</t>
  </si>
  <si>
    <r>
      <rPr>
        <sz val="10"/>
        <color rgb="FF0000FF"/>
        <rFont val="JRFonts"/>
        <charset val="134"/>
      </rPr>
      <t>21220</t>
    </r>
  </si>
  <si>
    <r>
      <rPr>
        <sz val="10"/>
        <color rgb="FF000000"/>
        <rFont val="JRFonts"/>
        <charset val="134"/>
      </rPr>
      <t>24-07-2026 17:40</t>
    </r>
  </si>
  <si>
    <r>
      <rPr>
        <sz val="10"/>
        <color rgb="FF000000"/>
        <rFont val="JRFonts"/>
        <charset val="134"/>
      </rPr>
      <t>24-07-2026 18:05</t>
    </r>
  </si>
  <si>
    <r>
      <rPr>
        <sz val="10"/>
        <color rgb="FF0000FF"/>
        <rFont val="JRFonts"/>
        <charset val="134"/>
      </rPr>
      <t>21221</t>
    </r>
  </si>
  <si>
    <r>
      <rPr>
        <sz val="10"/>
        <color rgb="FF000000"/>
        <rFont val="JRFonts"/>
        <charset val="134"/>
      </rPr>
      <t>24-07-2026 17:43</t>
    </r>
  </si>
  <si>
    <r>
      <rPr>
        <sz val="10"/>
        <color rgb="FF000000"/>
        <rFont val="JRFonts"/>
        <charset val="134"/>
      </rPr>
      <t>24-07-2026 18:06</t>
    </r>
  </si>
  <si>
    <r>
      <rPr>
        <sz val="10"/>
        <color rgb="FF0000FF"/>
        <rFont val="JRFonts"/>
        <charset val="134"/>
      </rPr>
      <t>21225</t>
    </r>
  </si>
  <si>
    <r>
      <rPr>
        <sz val="10"/>
        <color rgb="FF000000"/>
        <rFont val="JRFonts"/>
        <charset val="134"/>
      </rPr>
      <t>24-07-2026 18:04</t>
    </r>
  </si>
  <si>
    <r>
      <rPr>
        <sz val="10"/>
        <color rgb="FF000000"/>
        <rFont val="JRFonts"/>
        <charset val="134"/>
      </rPr>
      <t>25-07-2026 10:24</t>
    </r>
  </si>
  <si>
    <r>
      <rPr>
        <sz val="10"/>
        <color rgb="FF000000"/>
        <rFont val="JRFonts"/>
        <charset val="134"/>
      </rPr>
      <t>24-07-2026 18:09</t>
    </r>
  </si>
  <si>
    <r>
      <rPr>
        <sz val="10"/>
        <color rgb="FF0000FF"/>
        <rFont val="JRFonts"/>
        <charset val="134"/>
      </rPr>
      <t>21226</t>
    </r>
  </si>
  <si>
    <r>
      <rPr>
        <sz val="10"/>
        <color rgb="FF000000"/>
        <rFont val="JRFonts"/>
        <charset val="134"/>
      </rPr>
      <t>25-07-2026 10:23</t>
    </r>
  </si>
  <si>
    <r>
      <rPr>
        <sz val="10"/>
        <color rgb="FF000000"/>
        <rFont val="JRFonts"/>
        <charset val="134"/>
      </rPr>
      <t>24-07-2026 18:12</t>
    </r>
  </si>
  <si>
    <r>
      <rPr>
        <sz val="10"/>
        <color rgb="FF0000FF"/>
        <rFont val="JRFonts"/>
        <charset val="134"/>
      </rPr>
      <t>21227</t>
    </r>
  </si>
  <si>
    <r>
      <rPr>
        <sz val="10"/>
        <color rgb="FF000000"/>
        <rFont val="JRFonts"/>
        <charset val="134"/>
      </rPr>
      <t>24-07-2026 18:14</t>
    </r>
  </si>
  <si>
    <r>
      <rPr>
        <sz val="10"/>
        <color rgb="FF000000"/>
        <rFont val="JRFonts"/>
        <charset val="134"/>
      </rPr>
      <t>06-08-2026 11:42</t>
    </r>
  </si>
  <si>
    <r>
      <rPr>
        <sz val="10"/>
        <color rgb="FF000000"/>
        <rFont val="JRFonts"/>
        <charset val="134"/>
      </rPr>
      <t>28-07-2026 15:51</t>
    </r>
  </si>
  <si>
    <t>21227</t>
  </si>
  <si>
    <r>
      <rPr>
        <sz val="10"/>
        <color rgb="FF0000FF"/>
        <rFont val="JRFonts"/>
        <charset val="134"/>
      </rPr>
      <t>21230</t>
    </r>
  </si>
  <si>
    <r>
      <rPr>
        <sz val="10"/>
        <color rgb="FF000000"/>
        <rFont val="JRFonts"/>
        <charset val="134"/>
      </rPr>
      <t>24-07-2026 18:23</t>
    </r>
  </si>
  <si>
    <r>
      <rPr>
        <sz val="10"/>
        <color rgb="FF000000"/>
        <rFont val="JRFonts"/>
        <charset val="134"/>
      </rPr>
      <t>28-07-2026 14:20</t>
    </r>
  </si>
  <si>
    <r>
      <rPr>
        <sz val="10"/>
        <color rgb="FF000000"/>
        <rFont val="JRFonts"/>
        <charset val="134"/>
      </rPr>
      <t>27-07-2026 17:55</t>
    </r>
  </si>
  <si>
    <r>
      <rPr>
        <sz val="10"/>
        <color rgb="FF0000FF"/>
        <rFont val="JRFonts"/>
        <charset val="134"/>
      </rPr>
      <t>21231</t>
    </r>
  </si>
  <si>
    <r>
      <rPr>
        <sz val="10"/>
        <color rgb="FF000000"/>
        <rFont val="JRFonts"/>
        <charset val="134"/>
      </rPr>
      <t>24-07-2026 18:39</t>
    </r>
  </si>
  <si>
    <r>
      <rPr>
        <sz val="10"/>
        <color rgb="FF000000"/>
        <rFont val="JRFonts"/>
        <charset val="134"/>
      </rPr>
      <t>25-07-2026 10:21</t>
    </r>
  </si>
  <si>
    <r>
      <rPr>
        <sz val="10"/>
        <color rgb="FF000000"/>
        <rFont val="JRFonts"/>
        <charset val="134"/>
      </rPr>
      <t>24-07-2026 18:55</t>
    </r>
  </si>
  <si>
    <r>
      <rPr>
        <sz val="10"/>
        <color rgb="FF0000FF"/>
        <rFont val="JRFonts"/>
        <charset val="134"/>
      </rPr>
      <t>21232</t>
    </r>
  </si>
  <si>
    <r>
      <rPr>
        <sz val="10"/>
        <color rgb="FF000000"/>
        <rFont val="JRFonts"/>
        <charset val="134"/>
      </rPr>
      <t>24-07-2026 18:45</t>
    </r>
  </si>
  <si>
    <r>
      <rPr>
        <sz val="10"/>
        <color rgb="FF000000"/>
        <rFont val="JRFonts"/>
        <charset val="134"/>
      </rPr>
      <t>30-07-2026 17:32</t>
    </r>
  </si>
  <si>
    <t>21232</t>
  </si>
  <si>
    <r>
      <rPr>
        <sz val="10"/>
        <color rgb="FF0000FF"/>
        <rFont val="JRFonts"/>
        <charset val="134"/>
      </rPr>
      <t>21233</t>
    </r>
  </si>
  <si>
    <r>
      <rPr>
        <sz val="10"/>
        <color rgb="FF000000"/>
        <rFont val="JRFonts"/>
        <charset val="134"/>
      </rPr>
      <t>29-07-2026 15:39</t>
    </r>
  </si>
  <si>
    <t>21233</t>
  </si>
  <si>
    <t>issue resolved within SLA , Reopened by MLI + late reply by L1 team</t>
  </si>
  <si>
    <r>
      <rPr>
        <sz val="10"/>
        <color rgb="FF0000FF"/>
        <rFont val="JRFonts"/>
        <charset val="134"/>
      </rPr>
      <t>21235</t>
    </r>
  </si>
  <si>
    <r>
      <rPr>
        <sz val="10"/>
        <color rgb="FF000000"/>
        <rFont val="JRFonts"/>
        <charset val="134"/>
      </rPr>
      <t>24-07-2026 19:00</t>
    </r>
  </si>
  <si>
    <r>
      <rPr>
        <sz val="10"/>
        <color rgb="FF000000"/>
        <rFont val="JRFonts"/>
        <charset val="134"/>
      </rPr>
      <t>27-07-2026 14:15</t>
    </r>
  </si>
  <si>
    <r>
      <rPr>
        <sz val="10"/>
        <color rgb="FF0000FF"/>
        <rFont val="JRFonts"/>
        <charset val="134"/>
      </rPr>
      <t>21236</t>
    </r>
  </si>
  <si>
    <r>
      <rPr>
        <sz val="10"/>
        <color rgb="FF000000"/>
        <rFont val="JRFonts"/>
        <charset val="134"/>
      </rPr>
      <t>25-07-2026 10:19</t>
    </r>
  </si>
  <si>
    <r>
      <rPr>
        <sz val="10"/>
        <color rgb="FF000000"/>
        <rFont val="JRFonts"/>
        <charset val="134"/>
      </rPr>
      <t>24-07-2026 19:03</t>
    </r>
  </si>
  <si>
    <r>
      <rPr>
        <sz val="10"/>
        <color rgb="FF0000FF"/>
        <rFont val="JRFonts"/>
        <charset val="134"/>
      </rPr>
      <t>21238</t>
    </r>
  </si>
  <si>
    <r>
      <rPr>
        <sz val="10"/>
        <color rgb="FF000000"/>
        <rFont val="JRFonts"/>
        <charset val="134"/>
      </rPr>
      <t>24-07-2026 19:49</t>
    </r>
  </si>
  <si>
    <r>
      <rPr>
        <sz val="10"/>
        <color rgb="FF000000"/>
        <rFont val="JRFonts"/>
        <charset val="134"/>
      </rPr>
      <t>25-07-2026 10:17</t>
    </r>
  </si>
  <si>
    <r>
      <rPr>
        <sz val="10"/>
        <color rgb="FF000000"/>
        <rFont val="JRFonts"/>
        <charset val="134"/>
      </rPr>
      <t>25-07-2026 09:11</t>
    </r>
  </si>
  <si>
    <r>
      <rPr>
        <sz val="10"/>
        <color rgb="FF0000FF"/>
        <rFont val="JRFonts"/>
        <charset val="134"/>
      </rPr>
      <t>21241</t>
    </r>
  </si>
  <si>
    <r>
      <rPr>
        <sz val="10"/>
        <color rgb="FF000000"/>
        <rFont val="JRFonts"/>
        <charset val="134"/>
      </rPr>
      <t>28-07-2026 16:56</t>
    </r>
  </si>
  <si>
    <r>
      <rPr>
        <sz val="10"/>
        <color rgb="FF000000"/>
        <rFont val="JRFonts"/>
        <charset val="134"/>
      </rPr>
      <t>25-07-2026 13:21</t>
    </r>
  </si>
  <si>
    <t>21241</t>
  </si>
  <si>
    <r>
      <rPr>
        <sz val="10"/>
        <color rgb="FF0000FF"/>
        <rFont val="JRFonts"/>
        <charset val="134"/>
      </rPr>
      <t>21243</t>
    </r>
  </si>
  <si>
    <r>
      <rPr>
        <sz val="10"/>
        <color rgb="FF000000"/>
        <rFont val="JRFonts"/>
        <charset val="134"/>
      </rPr>
      <t>25-07-2026 12:09</t>
    </r>
  </si>
  <si>
    <r>
      <rPr>
        <sz val="10"/>
        <color rgb="FF000000"/>
        <rFont val="JRFonts"/>
        <charset val="134"/>
      </rPr>
      <t>30-07-2026 11:38</t>
    </r>
  </si>
  <si>
    <r>
      <rPr>
        <sz val="10"/>
        <color rgb="FF000000"/>
        <rFont val="JRFonts"/>
        <charset val="134"/>
      </rPr>
      <t>25-07-2026 12:42</t>
    </r>
  </si>
  <si>
    <t>Was pending for approval - rejected over portal , later  approved  over teams call</t>
  </si>
  <si>
    <r>
      <rPr>
        <sz val="10"/>
        <color rgb="FF0000FF"/>
        <rFont val="JRFonts"/>
        <charset val="134"/>
      </rPr>
      <t>21244</t>
    </r>
  </si>
  <si>
    <r>
      <rPr>
        <sz val="10"/>
        <color rgb="FF000000"/>
        <rFont val="JRFonts"/>
        <charset val="134"/>
      </rPr>
      <t>25-07-2026 12:34</t>
    </r>
  </si>
  <si>
    <r>
      <rPr>
        <sz val="10"/>
        <color rgb="FF000000"/>
        <rFont val="JRFonts"/>
        <charset val="134"/>
      </rPr>
      <t>26-07-2026 12:23</t>
    </r>
  </si>
  <si>
    <r>
      <rPr>
        <sz val="10"/>
        <color rgb="FF0000FF"/>
        <rFont val="JRFonts"/>
        <charset val="134"/>
      </rPr>
      <t>21246</t>
    </r>
  </si>
  <si>
    <r>
      <rPr>
        <sz val="10"/>
        <color rgb="FF000000"/>
        <rFont val="JRFonts"/>
        <charset val="134"/>
      </rPr>
      <t>25-07-2026 13:34</t>
    </r>
  </si>
  <si>
    <r>
      <rPr>
        <sz val="10"/>
        <color rgb="FF000000"/>
        <rFont val="JRFonts"/>
        <charset val="134"/>
      </rPr>
      <t>27-07-2026 10:26</t>
    </r>
  </si>
  <si>
    <r>
      <rPr>
        <sz val="10"/>
        <color rgb="FF0000FF"/>
        <rFont val="JRFonts"/>
        <charset val="134"/>
      </rPr>
      <t>21247</t>
    </r>
  </si>
  <si>
    <r>
      <rPr>
        <sz val="10"/>
        <color rgb="FF000000"/>
        <rFont val="JRFonts"/>
        <charset val="134"/>
      </rPr>
      <t>26-07-2026 18:32</t>
    </r>
  </si>
  <si>
    <r>
      <rPr>
        <sz val="10"/>
        <color rgb="FF000000"/>
        <rFont val="JRFonts"/>
        <charset val="134"/>
      </rPr>
      <t>25-07-2026 13:45</t>
    </r>
  </si>
  <si>
    <r>
      <rPr>
        <sz val="10"/>
        <color rgb="FF0000FF"/>
        <rFont val="JRFonts"/>
        <charset val="134"/>
      </rPr>
      <t>21248</t>
    </r>
  </si>
  <si>
    <r>
      <rPr>
        <sz val="10"/>
        <color rgb="FF000000"/>
        <rFont val="JRFonts"/>
        <charset val="134"/>
      </rPr>
      <t>25-07-2026 13:47</t>
    </r>
  </si>
  <si>
    <r>
      <rPr>
        <sz val="10"/>
        <color rgb="FF000000"/>
        <rFont val="JRFonts"/>
        <charset val="134"/>
      </rPr>
      <t>27-07-2026 12:24</t>
    </r>
  </si>
  <si>
    <r>
      <rPr>
        <sz val="10"/>
        <color rgb="FF000000"/>
        <rFont val="JRFonts"/>
        <charset val="134"/>
      </rPr>
      <t>27-07-2026 10:29</t>
    </r>
  </si>
  <si>
    <r>
      <rPr>
        <sz val="10"/>
        <color rgb="FF0000FF"/>
        <rFont val="JRFonts"/>
        <charset val="134"/>
      </rPr>
      <t>21249</t>
    </r>
  </si>
  <si>
    <r>
      <rPr>
        <sz val="10"/>
        <color rgb="FF000000"/>
        <rFont val="JRFonts"/>
        <charset val="134"/>
      </rPr>
      <t>25-07-2026 14:20</t>
    </r>
  </si>
  <si>
    <r>
      <rPr>
        <sz val="10"/>
        <color rgb="FF000000"/>
        <rFont val="JRFonts"/>
        <charset val="134"/>
      </rPr>
      <t>27-07-2026 10:32</t>
    </r>
  </si>
  <si>
    <r>
      <rPr>
        <sz val="10"/>
        <color rgb="FF000000"/>
        <rFont val="JRFonts"/>
        <charset val="134"/>
      </rPr>
      <t>27-07-2026 10:31</t>
    </r>
  </si>
  <si>
    <r>
      <rPr>
        <sz val="10"/>
        <color rgb="FF0000FF"/>
        <rFont val="JRFonts"/>
        <charset val="134"/>
      </rPr>
      <t>21250</t>
    </r>
  </si>
  <si>
    <r>
      <rPr>
        <sz val="10"/>
        <color rgb="FF000000"/>
        <rFont val="JRFonts"/>
        <charset val="134"/>
      </rPr>
      <t>27-07-2026 10:34</t>
    </r>
  </si>
  <si>
    <r>
      <rPr>
        <sz val="10"/>
        <color rgb="FF000000"/>
        <rFont val="JRFonts"/>
        <charset val="134"/>
      </rPr>
      <t>27-07-2026 10:33</t>
    </r>
  </si>
  <si>
    <r>
      <rPr>
        <sz val="10"/>
        <color rgb="FF0000FF"/>
        <rFont val="JRFonts"/>
        <charset val="134"/>
      </rPr>
      <t>21252</t>
    </r>
  </si>
  <si>
    <r>
      <rPr>
        <sz val="10"/>
        <color rgb="FF000000"/>
        <rFont val="JRFonts"/>
        <charset val="134"/>
      </rPr>
      <t>25-07-2026 16:16</t>
    </r>
  </si>
  <si>
    <r>
      <rPr>
        <sz val="10"/>
        <color rgb="FF000000"/>
        <rFont val="JRFonts"/>
        <charset val="134"/>
      </rPr>
      <t>27-07-2026 10:36</t>
    </r>
  </si>
  <si>
    <r>
      <rPr>
        <sz val="10"/>
        <color rgb="FF000000"/>
        <rFont val="JRFonts"/>
        <charset val="134"/>
      </rPr>
      <t>27-07-2026 10:35</t>
    </r>
  </si>
  <si>
    <r>
      <rPr>
        <sz val="10"/>
        <color rgb="FF0000FF"/>
        <rFont val="JRFonts"/>
        <charset val="134"/>
      </rPr>
      <t>21253</t>
    </r>
  </si>
  <si>
    <r>
      <rPr>
        <sz val="10"/>
        <color rgb="FF000000"/>
        <rFont val="JRFonts"/>
        <charset val="134"/>
      </rPr>
      <t>25-07-2026 17:16</t>
    </r>
  </si>
  <si>
    <r>
      <rPr>
        <sz val="10"/>
        <color rgb="FF000000"/>
        <rFont val="JRFonts"/>
        <charset val="134"/>
      </rPr>
      <t>27-07-2026 10:39</t>
    </r>
  </si>
  <si>
    <r>
      <rPr>
        <sz val="10"/>
        <color rgb="FF000000"/>
        <rFont val="JRFonts"/>
        <charset val="134"/>
      </rPr>
      <t>27-07-2026 10:38</t>
    </r>
  </si>
  <si>
    <r>
      <rPr>
        <sz val="10"/>
        <color rgb="FF0000FF"/>
        <rFont val="JRFonts"/>
        <charset val="134"/>
      </rPr>
      <t>21254</t>
    </r>
  </si>
  <si>
    <r>
      <rPr>
        <sz val="10"/>
        <color rgb="FF000000"/>
        <rFont val="JRFonts"/>
        <charset val="134"/>
      </rPr>
      <t>25-07-2026 17:41</t>
    </r>
  </si>
  <si>
    <r>
      <rPr>
        <sz val="10"/>
        <color rgb="FF000000"/>
        <rFont val="JRFonts"/>
        <charset val="134"/>
      </rPr>
      <t>27-07-2026 14:55</t>
    </r>
  </si>
  <si>
    <r>
      <rPr>
        <sz val="10"/>
        <color rgb="FF000000"/>
        <rFont val="JRFonts"/>
        <charset val="134"/>
      </rPr>
      <t>27-07-2026 10:40</t>
    </r>
  </si>
  <si>
    <r>
      <rPr>
        <sz val="10"/>
        <color rgb="FF0000FF"/>
        <rFont val="JRFonts"/>
        <charset val="134"/>
      </rPr>
      <t>21255</t>
    </r>
  </si>
  <si>
    <r>
      <rPr>
        <sz val="10"/>
        <color rgb="FF000000"/>
        <rFont val="JRFonts"/>
        <charset val="134"/>
      </rPr>
      <t>25-07-2026 18:20</t>
    </r>
  </si>
  <si>
    <r>
      <rPr>
        <sz val="10"/>
        <color rgb="FF000000"/>
        <rFont val="JRFonts"/>
        <charset val="134"/>
      </rPr>
      <t>27-07-2026 10:42</t>
    </r>
  </si>
  <si>
    <r>
      <rPr>
        <sz val="10"/>
        <color rgb="FF000000"/>
        <rFont val="JRFonts"/>
        <charset val="134"/>
      </rPr>
      <t>27-07-2026 10:41</t>
    </r>
  </si>
  <si>
    <r>
      <rPr>
        <sz val="10"/>
        <color rgb="FF0000FF"/>
        <rFont val="JRFonts"/>
        <charset val="134"/>
      </rPr>
      <t>21256</t>
    </r>
  </si>
  <si>
    <r>
      <rPr>
        <sz val="10"/>
        <color rgb="FF000000"/>
        <rFont val="JRFonts"/>
        <charset val="134"/>
      </rPr>
      <t>25-07-2026 18:47</t>
    </r>
  </si>
  <si>
    <r>
      <rPr>
        <sz val="10"/>
        <color rgb="FF000000"/>
        <rFont val="JRFonts"/>
        <charset val="134"/>
      </rPr>
      <t>27-07-2026 10:44</t>
    </r>
  </si>
  <si>
    <r>
      <rPr>
        <sz val="10"/>
        <color rgb="FF000000"/>
        <rFont val="JRFonts"/>
        <charset val="134"/>
      </rPr>
      <t>27-07-2026 10:43</t>
    </r>
  </si>
  <si>
    <r>
      <rPr>
        <sz val="10"/>
        <color rgb="FF0000FF"/>
        <rFont val="JRFonts"/>
        <charset val="134"/>
      </rPr>
      <t>21258</t>
    </r>
  </si>
  <si>
    <r>
      <rPr>
        <sz val="10"/>
        <color rgb="FF000000"/>
        <rFont val="JRFonts"/>
        <charset val="134"/>
      </rPr>
      <t>26-07-2026 17:33</t>
    </r>
  </si>
  <si>
    <r>
      <rPr>
        <sz val="10"/>
        <color rgb="FF000000"/>
        <rFont val="JRFonts"/>
        <charset val="134"/>
      </rPr>
      <t>27-07-2026 11:13</t>
    </r>
  </si>
  <si>
    <r>
      <rPr>
        <sz val="10"/>
        <color rgb="FF000000"/>
        <rFont val="JRFonts"/>
        <charset val="134"/>
      </rPr>
      <t>27-07-2026 10:50</t>
    </r>
  </si>
  <si>
    <r>
      <rPr>
        <sz val="10"/>
        <color rgb="FF0000FF"/>
        <rFont val="JRFonts"/>
        <charset val="134"/>
      </rPr>
      <t>21261</t>
    </r>
  </si>
  <si>
    <r>
      <rPr>
        <sz val="10"/>
        <color rgb="FF000000"/>
        <rFont val="JRFonts"/>
        <charset val="134"/>
      </rPr>
      <t>27-07-2026 10:57</t>
    </r>
  </si>
  <si>
    <r>
      <rPr>
        <sz val="10"/>
        <color rgb="FF0000FF"/>
        <rFont val="JRFonts"/>
        <charset val="134"/>
      </rPr>
      <t>21262</t>
    </r>
  </si>
  <si>
    <r>
      <rPr>
        <sz val="10"/>
        <color rgb="FF000000"/>
        <rFont val="JRFonts"/>
        <charset val="134"/>
      </rPr>
      <t>27-07-2026 11:02</t>
    </r>
  </si>
  <si>
    <r>
      <rPr>
        <sz val="10"/>
        <color rgb="FF000000"/>
        <rFont val="JRFonts"/>
        <charset val="134"/>
      </rPr>
      <t>27-07-2026 11:01</t>
    </r>
  </si>
  <si>
    <r>
      <rPr>
        <sz val="10"/>
        <color rgb="FF0000FF"/>
        <rFont val="JRFonts"/>
        <charset val="134"/>
      </rPr>
      <t>21264</t>
    </r>
  </si>
  <si>
    <r>
      <rPr>
        <sz val="10"/>
        <color rgb="FF000000"/>
        <rFont val="JRFonts"/>
        <charset val="134"/>
      </rPr>
      <t>26-07-2026 17:34</t>
    </r>
  </si>
  <si>
    <r>
      <rPr>
        <sz val="10"/>
        <color rgb="FF000000"/>
        <rFont val="JRFonts"/>
        <charset val="134"/>
      </rPr>
      <t>27-07-2026 22:57</t>
    </r>
  </si>
  <si>
    <r>
      <rPr>
        <sz val="10"/>
        <color rgb="FF000000"/>
        <rFont val="JRFonts"/>
        <charset val="134"/>
      </rPr>
      <t>27-07-2026 11:03</t>
    </r>
  </si>
  <si>
    <r>
      <rPr>
        <sz val="10"/>
        <color rgb="FF0000FF"/>
        <rFont val="JRFonts"/>
        <charset val="134"/>
      </rPr>
      <t>21266</t>
    </r>
  </si>
  <si>
    <r>
      <rPr>
        <sz val="10"/>
        <color rgb="FF000000"/>
        <rFont val="JRFonts"/>
        <charset val="134"/>
      </rPr>
      <t>27-07-2026 11:05</t>
    </r>
  </si>
  <si>
    <r>
      <rPr>
        <sz val="10"/>
        <color rgb="FF000000"/>
        <rFont val="JRFonts"/>
        <charset val="134"/>
      </rPr>
      <t>27-07-2026 11:04</t>
    </r>
  </si>
  <si>
    <r>
      <rPr>
        <sz val="10"/>
        <color rgb="FF0000FF"/>
        <rFont val="JRFonts"/>
        <charset val="134"/>
      </rPr>
      <t>21267</t>
    </r>
  </si>
  <si>
    <r>
      <rPr>
        <sz val="10"/>
        <color rgb="FF000000"/>
        <rFont val="JRFonts"/>
        <charset val="134"/>
      </rPr>
      <t>27-07-2026 09:27</t>
    </r>
  </si>
  <si>
    <r>
      <rPr>
        <sz val="10"/>
        <color rgb="FF000000"/>
        <rFont val="JRFonts"/>
        <charset val="134"/>
      </rPr>
      <t>12-08-2026 12:37</t>
    </r>
  </si>
  <si>
    <r>
      <rPr>
        <sz val="10"/>
        <color rgb="FF000000"/>
        <rFont val="JRFonts"/>
        <charset val="134"/>
      </rPr>
      <t>27-07-2026 11:07</t>
    </r>
  </si>
  <si>
    <t>21267</t>
  </si>
  <si>
    <r>
      <rPr>
        <sz val="10"/>
        <color rgb="FF0000FF"/>
        <rFont val="JRFonts"/>
        <charset val="134"/>
      </rPr>
      <t>21268</t>
    </r>
  </si>
  <si>
    <r>
      <rPr>
        <sz val="10"/>
        <color rgb="FF000000"/>
        <rFont val="JRFonts"/>
        <charset val="134"/>
      </rPr>
      <t>27-07-2026 09:39</t>
    </r>
  </si>
  <si>
    <r>
      <rPr>
        <sz val="10"/>
        <color rgb="FF000000"/>
        <rFont val="JRFonts"/>
        <charset val="134"/>
      </rPr>
      <t>27-07-2026 11:42</t>
    </r>
  </si>
  <si>
    <r>
      <rPr>
        <sz val="10"/>
        <color rgb="FF000000"/>
        <rFont val="JRFonts"/>
        <charset val="134"/>
      </rPr>
      <t>27-07-2026 11:08</t>
    </r>
  </si>
  <si>
    <t>21269</t>
  </si>
  <si>
    <r>
      <rPr>
        <sz val="10"/>
        <color rgb="FF000000"/>
        <rFont val="JRFonts"/>
        <charset val="134"/>
      </rPr>
      <t>05-08-2026 18:00</t>
    </r>
  </si>
  <si>
    <r>
      <rPr>
        <sz val="10"/>
        <color rgb="FF000000"/>
        <rFont val="JRFonts"/>
        <charset val="134"/>
      </rPr>
      <t>27-07-2026 10:45</t>
    </r>
  </si>
  <si>
    <t>confirmation - jatin</t>
  </si>
  <si>
    <r>
      <rPr>
        <sz val="10"/>
        <color rgb="FF0000FF"/>
        <rFont val="JRFonts"/>
        <charset val="134"/>
      </rPr>
      <t>21271</t>
    </r>
  </si>
  <si>
    <r>
      <rPr>
        <sz val="10"/>
        <color rgb="FF000000"/>
        <rFont val="JRFonts"/>
        <charset val="134"/>
      </rPr>
      <t>27-07-2026 10:19</t>
    </r>
  </si>
  <si>
    <r>
      <rPr>
        <sz val="10"/>
        <color rgb="FF000000"/>
        <rFont val="JRFonts"/>
        <charset val="134"/>
      </rPr>
      <t>29-07-2026 11:49</t>
    </r>
  </si>
  <si>
    <r>
      <rPr>
        <sz val="10"/>
        <color rgb="FF000000"/>
        <rFont val="JRFonts"/>
        <charset val="134"/>
      </rPr>
      <t>27-07-2026 11:10</t>
    </r>
  </si>
  <si>
    <t>21271</t>
  </si>
  <si>
    <r>
      <rPr>
        <sz val="10"/>
        <color rgb="FF0000FF"/>
        <rFont val="JRFonts"/>
        <charset val="134"/>
      </rPr>
      <t>21272</t>
    </r>
  </si>
  <si>
    <r>
      <rPr>
        <sz val="10"/>
        <color rgb="FF000000"/>
        <rFont val="JRFonts"/>
        <charset val="134"/>
      </rPr>
      <t>27-07-2026 12:55</t>
    </r>
  </si>
  <si>
    <r>
      <rPr>
        <sz val="10"/>
        <color rgb="FF000000"/>
        <rFont val="JRFonts"/>
        <charset val="134"/>
      </rPr>
      <t>27-07-2026 11:11</t>
    </r>
  </si>
  <si>
    <r>
      <rPr>
        <sz val="10"/>
        <color rgb="FF0000FF"/>
        <rFont val="JRFonts"/>
        <charset val="134"/>
      </rPr>
      <t>21273</t>
    </r>
  </si>
  <si>
    <r>
      <rPr>
        <sz val="10"/>
        <color rgb="FF000000"/>
        <rFont val="JRFonts"/>
        <charset val="134"/>
      </rPr>
      <t>27-07-2026 10:22</t>
    </r>
  </si>
  <si>
    <r>
      <rPr>
        <sz val="10"/>
        <color rgb="FF000000"/>
        <rFont val="JRFonts"/>
        <charset val="134"/>
      </rPr>
      <t>27-07-2026 11:40</t>
    </r>
  </si>
  <si>
    <r>
      <rPr>
        <sz val="10"/>
        <color rgb="FF000000"/>
        <rFont val="JRFonts"/>
        <charset val="134"/>
      </rPr>
      <t>27-07-2026 11:12</t>
    </r>
  </si>
  <si>
    <r>
      <rPr>
        <sz val="10"/>
        <color rgb="FF0000FF"/>
        <rFont val="JRFonts"/>
        <charset val="134"/>
      </rPr>
      <t>21274</t>
    </r>
  </si>
  <si>
    <r>
      <rPr>
        <sz val="10"/>
        <color rgb="FF000000"/>
        <rFont val="JRFonts"/>
        <charset val="134"/>
      </rPr>
      <t>27-07-2026 11:24</t>
    </r>
  </si>
  <si>
    <r>
      <rPr>
        <sz val="10"/>
        <color rgb="FF000000"/>
        <rFont val="JRFonts"/>
        <charset val="134"/>
      </rPr>
      <t>27-07-2026 11:23</t>
    </r>
  </si>
  <si>
    <r>
      <rPr>
        <sz val="10"/>
        <color rgb="FF0000FF"/>
        <rFont val="JRFonts"/>
        <charset val="134"/>
      </rPr>
      <t>21275</t>
    </r>
  </si>
  <si>
    <r>
      <rPr>
        <sz val="10"/>
        <color rgb="FF000000"/>
        <rFont val="JRFonts"/>
        <charset val="134"/>
      </rPr>
      <t>27-07-2026 11:27</t>
    </r>
  </si>
  <si>
    <r>
      <rPr>
        <sz val="10"/>
        <color rgb="FF0000FF"/>
        <rFont val="JRFonts"/>
        <charset val="134"/>
      </rPr>
      <t>21276</t>
    </r>
  </si>
  <si>
    <r>
      <rPr>
        <sz val="10"/>
        <color rgb="FF000000"/>
        <rFont val="JRFonts"/>
        <charset val="134"/>
      </rPr>
      <t>27-07-2026 11:26</t>
    </r>
  </si>
  <si>
    <r>
      <rPr>
        <sz val="10"/>
        <color rgb="FF000000"/>
        <rFont val="JRFonts"/>
        <charset val="134"/>
      </rPr>
      <t>27-07-2026 11:25</t>
    </r>
  </si>
  <si>
    <r>
      <rPr>
        <sz val="10"/>
        <color rgb="FF0000FF"/>
        <rFont val="JRFonts"/>
        <charset val="134"/>
      </rPr>
      <t>21277</t>
    </r>
  </si>
  <si>
    <r>
      <rPr>
        <sz val="10"/>
        <color rgb="FF000000"/>
        <rFont val="JRFonts"/>
        <charset val="134"/>
      </rPr>
      <t>27-07-2026 11:29</t>
    </r>
  </si>
  <si>
    <r>
      <rPr>
        <sz val="10"/>
        <color rgb="FF000000"/>
        <rFont val="JRFonts"/>
        <charset val="134"/>
      </rPr>
      <t>27-07-2026 11:28</t>
    </r>
  </si>
  <si>
    <r>
      <rPr>
        <sz val="10"/>
        <color rgb="FF0000FF"/>
        <rFont val="JRFonts"/>
        <charset val="134"/>
      </rPr>
      <t>21278</t>
    </r>
  </si>
  <si>
    <r>
      <rPr>
        <sz val="10"/>
        <color rgb="FF000000"/>
        <rFont val="JRFonts"/>
        <charset val="134"/>
      </rPr>
      <t>27-07-2026 11:32</t>
    </r>
  </si>
  <si>
    <r>
      <rPr>
        <sz val="10"/>
        <color rgb="FF000000"/>
        <rFont val="JRFonts"/>
        <charset val="134"/>
      </rPr>
      <t>27-07-2026 11:31</t>
    </r>
  </si>
  <si>
    <r>
      <rPr>
        <sz val="10"/>
        <color rgb="FF0000FF"/>
        <rFont val="JRFonts"/>
        <charset val="134"/>
      </rPr>
      <t>21279</t>
    </r>
  </si>
  <si>
    <r>
      <rPr>
        <sz val="10"/>
        <color rgb="FF000000"/>
        <rFont val="JRFonts"/>
        <charset val="134"/>
      </rPr>
      <t>27-07-2026 12:57</t>
    </r>
  </si>
  <si>
    <r>
      <rPr>
        <sz val="10"/>
        <color rgb="FF000000"/>
        <rFont val="JRFonts"/>
        <charset val="134"/>
      </rPr>
      <t>27-07-2026 10:47</t>
    </r>
  </si>
  <si>
    <r>
      <rPr>
        <sz val="10"/>
        <color rgb="FF0000FF"/>
        <rFont val="JRFonts"/>
        <charset val="134"/>
      </rPr>
      <t>21280</t>
    </r>
  </si>
  <si>
    <r>
      <rPr>
        <sz val="10"/>
        <color rgb="FF000000"/>
        <rFont val="JRFonts"/>
        <charset val="134"/>
      </rPr>
      <t>27-07-2026 11:33</t>
    </r>
  </si>
  <si>
    <r>
      <rPr>
        <sz val="10"/>
        <color rgb="FF0000FF"/>
        <rFont val="JRFonts"/>
        <charset val="134"/>
      </rPr>
      <t>21282</t>
    </r>
  </si>
  <si>
    <r>
      <rPr>
        <sz val="10"/>
        <color rgb="FF000000"/>
        <rFont val="JRFonts"/>
        <charset val="134"/>
      </rPr>
      <t>27-07-2026 11:34</t>
    </r>
  </si>
  <si>
    <r>
      <rPr>
        <sz val="10"/>
        <color rgb="FF0000FF"/>
        <rFont val="JRFonts"/>
        <charset val="134"/>
      </rPr>
      <t>21284</t>
    </r>
  </si>
  <si>
    <r>
      <rPr>
        <sz val="10"/>
        <color rgb="FF000000"/>
        <rFont val="JRFonts"/>
        <charset val="134"/>
      </rPr>
      <t>27-07-2026 10:59</t>
    </r>
  </si>
  <si>
    <r>
      <rPr>
        <sz val="10"/>
        <color rgb="FF000000"/>
        <rFont val="JRFonts"/>
        <charset val="134"/>
      </rPr>
      <t>27-07-2026 11:35</t>
    </r>
  </si>
  <si>
    <r>
      <rPr>
        <sz val="10"/>
        <color rgb="FF0000FF"/>
        <rFont val="JRFonts"/>
        <charset val="134"/>
      </rPr>
      <t>21285</t>
    </r>
  </si>
  <si>
    <r>
      <rPr>
        <sz val="10"/>
        <color rgb="FF000000"/>
        <rFont val="JRFonts"/>
        <charset val="134"/>
      </rPr>
      <t>29-07-2026 14:37</t>
    </r>
  </si>
  <si>
    <r>
      <rPr>
        <sz val="10"/>
        <color rgb="FF000000"/>
        <rFont val="JRFonts"/>
        <charset val="134"/>
      </rPr>
      <t>27-07-2026 11:36</t>
    </r>
  </si>
  <si>
    <t>21285</t>
  </si>
  <si>
    <t>Resolved with SLA - reopned by business reply</t>
  </si>
  <si>
    <t>21288</t>
  </si>
  <si>
    <r>
      <rPr>
        <sz val="10"/>
        <color rgb="FF000000"/>
        <rFont val="JRFonts"/>
        <charset val="134"/>
      </rPr>
      <t>31-07-2026 18:01</t>
    </r>
  </si>
  <si>
    <r>
      <rPr>
        <sz val="10"/>
        <color rgb="FF000000"/>
        <rFont val="JRFonts"/>
        <charset val="134"/>
      </rPr>
      <t>27-07-2026 11:50</t>
    </r>
  </si>
  <si>
    <r>
      <rPr>
        <sz val="10"/>
        <color rgb="FF0000FF"/>
        <rFont val="JRFonts"/>
        <charset val="134"/>
      </rPr>
      <t>21289</t>
    </r>
  </si>
  <si>
    <r>
      <rPr>
        <sz val="10"/>
        <color rgb="FF000000"/>
        <rFont val="JRFonts"/>
        <charset val="134"/>
      </rPr>
      <t>27-07-2026 14:14</t>
    </r>
  </si>
  <si>
    <r>
      <rPr>
        <sz val="10"/>
        <color rgb="FF000000"/>
        <rFont val="JRFonts"/>
        <charset val="134"/>
      </rPr>
      <t>27-07-2026 13:08</t>
    </r>
  </si>
  <si>
    <r>
      <rPr>
        <sz val="10"/>
        <color rgb="FF0000FF"/>
        <rFont val="JRFonts"/>
        <charset val="134"/>
      </rPr>
      <t>21290</t>
    </r>
  </si>
  <si>
    <r>
      <rPr>
        <sz val="10"/>
        <color rgb="FF000000"/>
        <rFont val="JRFonts"/>
        <charset val="134"/>
      </rPr>
      <t>28-07-2026 11:17</t>
    </r>
  </si>
  <si>
    <r>
      <rPr>
        <sz val="10"/>
        <color rgb="FF000000"/>
        <rFont val="JRFonts"/>
        <charset val="134"/>
      </rPr>
      <t>27-07-2026 11:55</t>
    </r>
  </si>
  <si>
    <r>
      <rPr>
        <sz val="10"/>
        <color rgb="FF0000FF"/>
        <rFont val="JRFonts"/>
        <charset val="134"/>
      </rPr>
      <t>21291</t>
    </r>
  </si>
  <si>
    <r>
      <rPr>
        <sz val="10"/>
        <color rgb="FF000000"/>
        <rFont val="JRFonts"/>
        <charset val="134"/>
      </rPr>
      <t>03-08-2026 11:19</t>
    </r>
  </si>
  <si>
    <r>
      <rPr>
        <sz val="10"/>
        <color rgb="FF000000"/>
        <rFont val="JRFonts"/>
        <charset val="134"/>
      </rPr>
      <t>27-07-2026 11:53</t>
    </r>
  </si>
  <si>
    <r>
      <rPr>
        <sz val="10"/>
        <color rgb="FF0000FF"/>
        <rFont val="JRFonts"/>
        <charset val="134"/>
      </rPr>
      <t>21292</t>
    </r>
  </si>
  <si>
    <r>
      <rPr>
        <sz val="10"/>
        <color rgb="FF000000"/>
        <rFont val="JRFonts"/>
        <charset val="134"/>
      </rPr>
      <t>27-07-2026 17:10</t>
    </r>
  </si>
  <si>
    <r>
      <rPr>
        <sz val="10"/>
        <color rgb="FF000000"/>
        <rFont val="JRFonts"/>
        <charset val="134"/>
      </rPr>
      <t>27-07-2026 11:59</t>
    </r>
  </si>
  <si>
    <r>
      <rPr>
        <sz val="10"/>
        <color rgb="FF0000FF"/>
        <rFont val="JRFonts"/>
        <charset val="134"/>
      </rPr>
      <t>21294</t>
    </r>
  </si>
  <si>
    <r>
      <rPr>
        <sz val="10"/>
        <color rgb="FF000000"/>
        <rFont val="JRFonts"/>
        <charset val="134"/>
      </rPr>
      <t>27-07-2026 11:39</t>
    </r>
  </si>
  <si>
    <r>
      <rPr>
        <sz val="10"/>
        <color rgb="FF000000"/>
        <rFont val="JRFonts"/>
        <charset val="134"/>
      </rPr>
      <t>27-07-2026 17:08</t>
    </r>
  </si>
  <si>
    <r>
      <rPr>
        <sz val="10"/>
        <color rgb="FF0000FF"/>
        <rFont val="JRFonts"/>
        <charset val="134"/>
      </rPr>
      <t>21295</t>
    </r>
  </si>
  <si>
    <r>
      <rPr>
        <sz val="10"/>
        <color rgb="FF000000"/>
        <rFont val="JRFonts"/>
        <charset val="134"/>
      </rPr>
      <t>27-07-2026 15:42</t>
    </r>
  </si>
  <si>
    <r>
      <rPr>
        <sz val="10"/>
        <color rgb="FF000000"/>
        <rFont val="JRFonts"/>
        <charset val="134"/>
      </rPr>
      <t>27-07-2026 12:03</t>
    </r>
  </si>
  <si>
    <r>
      <rPr>
        <sz val="10"/>
        <color rgb="FF0000FF"/>
        <rFont val="JRFonts"/>
        <charset val="134"/>
      </rPr>
      <t>21297</t>
    </r>
  </si>
  <si>
    <r>
      <rPr>
        <sz val="10"/>
        <color rgb="FF000000"/>
        <rFont val="JRFonts"/>
        <charset val="134"/>
      </rPr>
      <t>27-07-2026 11:45</t>
    </r>
  </si>
  <si>
    <r>
      <rPr>
        <sz val="10"/>
        <color rgb="FF000000"/>
        <rFont val="JRFonts"/>
        <charset val="134"/>
      </rPr>
      <t>27-07-2026 17:21</t>
    </r>
  </si>
  <si>
    <r>
      <rPr>
        <sz val="10"/>
        <color rgb="FF000000"/>
        <rFont val="JRFonts"/>
        <charset val="134"/>
      </rPr>
      <t>27-07-2026 12:05</t>
    </r>
  </si>
  <si>
    <r>
      <rPr>
        <sz val="10"/>
        <color rgb="FF0000FF"/>
        <rFont val="JRFonts"/>
        <charset val="134"/>
      </rPr>
      <t>21298</t>
    </r>
  </si>
  <si>
    <r>
      <rPr>
        <sz val="10"/>
        <color rgb="FF000000"/>
        <rFont val="JRFonts"/>
        <charset val="134"/>
      </rPr>
      <t>28-07-2026 14:31</t>
    </r>
  </si>
  <si>
    <r>
      <rPr>
        <sz val="10"/>
        <color rgb="FF000000"/>
        <rFont val="JRFonts"/>
        <charset val="134"/>
      </rPr>
      <t>27-07-2026 12:06</t>
    </r>
  </si>
  <si>
    <r>
      <rPr>
        <sz val="10"/>
        <color rgb="FF0000FF"/>
        <rFont val="JRFonts"/>
        <charset val="134"/>
      </rPr>
      <t>21299</t>
    </r>
  </si>
  <si>
    <r>
      <rPr>
        <sz val="10"/>
        <color rgb="FF000000"/>
        <rFont val="JRFonts"/>
        <charset val="134"/>
      </rPr>
      <t>28-07-2026 14:35</t>
    </r>
  </si>
  <si>
    <r>
      <rPr>
        <sz val="10"/>
        <color rgb="FF000000"/>
        <rFont val="JRFonts"/>
        <charset val="134"/>
      </rPr>
      <t>27-07-2026 12:08</t>
    </r>
  </si>
  <si>
    <t>Priority updated from P4 to P3
Day 1 (27-07-2026) - 5 hrs 52 mins
Day 2 (28-07-2026) - 4 hrs 35 mins
Allowed SLA - 9 hrs
Actual resolution time - 10 hrs 27 mins</t>
  </si>
  <si>
    <r>
      <rPr>
        <sz val="10"/>
        <color rgb="FF0000FF"/>
        <rFont val="JRFonts"/>
        <charset val="134"/>
      </rPr>
      <t>21300</t>
    </r>
  </si>
  <si>
    <r>
      <rPr>
        <sz val="10"/>
        <color rgb="FF000000"/>
        <rFont val="JRFonts"/>
        <charset val="134"/>
      </rPr>
      <t>27-07-2026 11:51</t>
    </r>
  </si>
  <si>
    <r>
      <rPr>
        <sz val="10"/>
        <color rgb="FF000000"/>
        <rFont val="JRFonts"/>
        <charset val="134"/>
      </rPr>
      <t>28-07-2026 14:22</t>
    </r>
  </si>
  <si>
    <r>
      <rPr>
        <sz val="10"/>
        <color rgb="FF000000"/>
        <rFont val="JRFonts"/>
        <charset val="134"/>
      </rPr>
      <t>27-07-2026 12:37</t>
    </r>
  </si>
  <si>
    <t>21300</t>
  </si>
  <si>
    <t>business ticket for code in file</t>
  </si>
  <si>
    <r>
      <rPr>
        <sz val="10"/>
        <color rgb="FF0000FF"/>
        <rFont val="JRFonts"/>
        <charset val="134"/>
      </rPr>
      <t>21301</t>
    </r>
  </si>
  <si>
    <r>
      <rPr>
        <sz val="10"/>
        <color rgb="FF000000"/>
        <rFont val="JRFonts"/>
        <charset val="134"/>
      </rPr>
      <t>03-08-2026 15:11</t>
    </r>
  </si>
  <si>
    <r>
      <rPr>
        <sz val="10"/>
        <color rgb="FF000000"/>
        <rFont val="JRFonts"/>
        <charset val="134"/>
      </rPr>
      <t>27-07-2026 12:41</t>
    </r>
  </si>
  <si>
    <r>
      <rPr>
        <sz val="10"/>
        <color rgb="FF0000FF"/>
        <rFont val="JRFonts"/>
        <charset val="134"/>
      </rPr>
      <t>21302</t>
    </r>
  </si>
  <si>
    <r>
      <rPr>
        <sz val="10"/>
        <color rgb="FF000000"/>
        <rFont val="JRFonts"/>
        <charset val="134"/>
      </rPr>
      <t>27-07-2026 11:54</t>
    </r>
  </si>
  <si>
    <r>
      <rPr>
        <sz val="10"/>
        <color rgb="FF000000"/>
        <rFont val="JRFonts"/>
        <charset val="134"/>
      </rPr>
      <t>03-08-2026 15:18</t>
    </r>
  </si>
  <si>
    <r>
      <rPr>
        <sz val="10"/>
        <color rgb="FF000000"/>
        <rFont val="JRFonts"/>
        <charset val="134"/>
      </rPr>
      <t>27-07-2026 12:09</t>
    </r>
  </si>
  <si>
    <r>
      <rPr>
        <sz val="10"/>
        <color rgb="FF0000FF"/>
        <rFont val="JRFonts"/>
        <charset val="134"/>
      </rPr>
      <t>21304</t>
    </r>
  </si>
  <si>
    <r>
      <rPr>
        <sz val="10"/>
        <color rgb="FF000000"/>
        <rFont val="JRFonts"/>
        <charset val="134"/>
      </rPr>
      <t>27-07-2026 15:44</t>
    </r>
  </si>
  <si>
    <t>21304</t>
  </si>
  <si>
    <r>
      <rPr>
        <sz val="10"/>
        <color rgb="FF0000FF"/>
        <rFont val="JRFonts"/>
        <charset val="134"/>
      </rPr>
      <t>21306</t>
    </r>
  </si>
  <si>
    <r>
      <rPr>
        <sz val="10"/>
        <color rgb="FF000000"/>
        <rFont val="JRFonts"/>
        <charset val="134"/>
      </rPr>
      <t>27-07-2026 11:57</t>
    </r>
  </si>
  <si>
    <r>
      <rPr>
        <sz val="10"/>
        <color rgb="FF000000"/>
        <rFont val="JRFonts"/>
        <charset val="134"/>
      </rPr>
      <t>27-07-2026 12:16</t>
    </r>
  </si>
  <si>
    <r>
      <rPr>
        <sz val="10"/>
        <color rgb="FF0000FF"/>
        <rFont val="JRFonts"/>
        <charset val="134"/>
      </rPr>
      <t>21308</t>
    </r>
  </si>
  <si>
    <r>
      <rPr>
        <sz val="10"/>
        <color rgb="FF000000"/>
        <rFont val="JRFonts"/>
        <charset val="134"/>
      </rPr>
      <t>27-07-2026 12:17</t>
    </r>
  </si>
  <si>
    <r>
      <rPr>
        <sz val="10"/>
        <color rgb="FF000000"/>
        <rFont val="JRFonts"/>
        <charset val="134"/>
      </rPr>
      <t>27-07-2026 12:11</t>
    </r>
  </si>
  <si>
    <r>
      <rPr>
        <sz val="10"/>
        <color rgb="FF0000FF"/>
        <rFont val="JRFonts"/>
        <charset val="134"/>
      </rPr>
      <t>21309</t>
    </r>
  </si>
  <si>
    <r>
      <rPr>
        <sz val="10"/>
        <color rgb="FF000000"/>
        <rFont val="JRFonts"/>
        <charset val="134"/>
      </rPr>
      <t>05-08-2026 16:01</t>
    </r>
  </si>
  <si>
    <t>21309</t>
  </si>
  <si>
    <r>
      <rPr>
        <sz val="10"/>
        <color rgb="FF0000FF"/>
        <rFont val="JRFonts"/>
        <charset val="134"/>
      </rPr>
      <t>21310</t>
    </r>
  </si>
  <si>
    <r>
      <rPr>
        <sz val="10"/>
        <color rgb="FF000000"/>
        <rFont val="JRFonts"/>
        <charset val="134"/>
      </rPr>
      <t>28-07-2026 14:55</t>
    </r>
  </si>
  <si>
    <r>
      <rPr>
        <sz val="10"/>
        <color rgb="FF000000"/>
        <rFont val="JRFonts"/>
        <charset val="134"/>
      </rPr>
      <t>27-07-2026 12:12</t>
    </r>
  </si>
  <si>
    <r>
      <rPr>
        <sz val="10"/>
        <color rgb="FF0000FF"/>
        <rFont val="JRFonts"/>
        <charset val="134"/>
      </rPr>
      <t>21311</t>
    </r>
  </si>
  <si>
    <r>
      <rPr>
        <sz val="10"/>
        <color rgb="FF000000"/>
        <rFont val="JRFonts"/>
        <charset val="134"/>
      </rPr>
      <t>27-07-2026 12:28</t>
    </r>
  </si>
  <si>
    <r>
      <rPr>
        <sz val="10"/>
        <color rgb="FF000000"/>
        <rFont val="JRFonts"/>
        <charset val="134"/>
      </rPr>
      <t>27-07-2026 12:14</t>
    </r>
  </si>
  <si>
    <r>
      <rPr>
        <sz val="10"/>
        <color rgb="FF0000FF"/>
        <rFont val="JRFonts"/>
        <charset val="134"/>
      </rPr>
      <t>21312</t>
    </r>
  </si>
  <si>
    <r>
      <rPr>
        <sz val="10"/>
        <color rgb="FF000000"/>
        <rFont val="JRFonts"/>
        <charset val="134"/>
      </rPr>
      <t>27-07-2026 12:18</t>
    </r>
  </si>
  <si>
    <r>
      <rPr>
        <sz val="10"/>
        <color rgb="FF0000FF"/>
        <rFont val="JRFonts"/>
        <charset val="134"/>
      </rPr>
      <t>21313</t>
    </r>
  </si>
  <si>
    <r>
      <rPr>
        <sz val="10"/>
        <color rgb="FF000000"/>
        <rFont val="JRFonts"/>
        <charset val="134"/>
      </rPr>
      <t>05-08-2026 16:00</t>
    </r>
  </si>
  <si>
    <r>
      <rPr>
        <sz val="10"/>
        <color rgb="FF000000"/>
        <rFont val="JRFonts"/>
        <charset val="134"/>
      </rPr>
      <t>28-07-2026 11:00</t>
    </r>
  </si>
  <si>
    <t>21313</t>
  </si>
  <si>
    <r>
      <rPr>
        <sz val="10"/>
        <color rgb="FF0000FF"/>
        <rFont val="JRFonts"/>
        <charset val="134"/>
      </rPr>
      <t>21314</t>
    </r>
  </si>
  <si>
    <r>
      <rPr>
        <sz val="10"/>
        <color rgb="FF000000"/>
        <rFont val="JRFonts"/>
        <charset val="134"/>
      </rPr>
      <t>27-07-2026 12:07</t>
    </r>
  </si>
  <si>
    <r>
      <rPr>
        <sz val="10"/>
        <color rgb="FF000000"/>
        <rFont val="JRFonts"/>
        <charset val="134"/>
      </rPr>
      <t>30-07-2026 10:20</t>
    </r>
  </si>
  <si>
    <r>
      <rPr>
        <sz val="10"/>
        <color rgb="FF000000"/>
        <rFont val="JRFonts"/>
        <charset val="134"/>
      </rPr>
      <t>28-07-2026 10:20</t>
    </r>
  </si>
  <si>
    <t>21314</t>
  </si>
  <si>
    <r>
      <rPr>
        <sz val="10"/>
        <color rgb="FF0000FF"/>
        <rFont val="JRFonts"/>
        <charset val="134"/>
      </rPr>
      <t>21315</t>
    </r>
  </si>
  <si>
    <r>
      <rPr>
        <sz val="10"/>
        <color rgb="FF000000"/>
        <rFont val="JRFonts"/>
        <charset val="134"/>
      </rPr>
      <t>28-07-2026 14:39</t>
    </r>
  </si>
  <si>
    <r>
      <rPr>
        <sz val="10"/>
        <color rgb="FF000000"/>
        <rFont val="JRFonts"/>
        <charset val="134"/>
      </rPr>
      <t>28-07-2026 10:21</t>
    </r>
  </si>
  <si>
    <r>
      <rPr>
        <sz val="10"/>
        <color rgb="FF0000FF"/>
        <rFont val="JRFonts"/>
        <charset val="134"/>
      </rPr>
      <t>21316</t>
    </r>
  </si>
  <si>
    <r>
      <rPr>
        <sz val="10"/>
        <color rgb="FF000000"/>
        <rFont val="JRFonts"/>
        <charset val="134"/>
      </rPr>
      <t>27-07-2026 12:10</t>
    </r>
  </si>
  <si>
    <r>
      <rPr>
        <sz val="10"/>
        <color rgb="FF000000"/>
        <rFont val="JRFonts"/>
        <charset val="134"/>
      </rPr>
      <t>05-08-2026 17:24</t>
    </r>
  </si>
  <si>
    <r>
      <rPr>
        <sz val="10"/>
        <color rgb="FF000000"/>
        <rFont val="JRFonts"/>
        <charset val="134"/>
      </rPr>
      <t>28-07-2026 10:26</t>
    </r>
  </si>
  <si>
    <t>21316</t>
  </si>
  <si>
    <r>
      <rPr>
        <sz val="10"/>
        <color rgb="FF0000FF"/>
        <rFont val="JRFonts"/>
        <charset val="134"/>
      </rPr>
      <t>21317</t>
    </r>
  </si>
  <si>
    <r>
      <rPr>
        <sz val="10"/>
        <color rgb="FF000000"/>
        <rFont val="JRFonts"/>
        <charset val="134"/>
      </rPr>
      <t>27-07-2026 12:13</t>
    </r>
  </si>
  <si>
    <r>
      <rPr>
        <sz val="10"/>
        <color rgb="FF000000"/>
        <rFont val="JRFonts"/>
        <charset val="134"/>
      </rPr>
      <t>05-08-2026 15:59</t>
    </r>
  </si>
  <si>
    <r>
      <rPr>
        <sz val="10"/>
        <color rgb="FF000000"/>
        <rFont val="JRFonts"/>
        <charset val="134"/>
      </rPr>
      <t>27-07-2026 15:18</t>
    </r>
  </si>
  <si>
    <t>21317</t>
  </si>
  <si>
    <r>
      <rPr>
        <sz val="10"/>
        <color rgb="FF0000FF"/>
        <rFont val="JRFonts"/>
        <charset val="134"/>
      </rPr>
      <t>21318</t>
    </r>
  </si>
  <si>
    <r>
      <rPr>
        <sz val="10"/>
        <color rgb="FF000000"/>
        <rFont val="JRFonts"/>
        <charset val="134"/>
      </rPr>
      <t>29-07-2026 12:55</t>
    </r>
  </si>
  <si>
    <r>
      <rPr>
        <sz val="10"/>
        <color rgb="FF000000"/>
        <rFont val="JRFonts"/>
        <charset val="134"/>
      </rPr>
      <t>28-07-2026 10:27</t>
    </r>
  </si>
  <si>
    <r>
      <rPr>
        <sz val="10"/>
        <color rgb="FF0000FF"/>
        <rFont val="JRFonts"/>
        <charset val="134"/>
      </rPr>
      <t>21319</t>
    </r>
  </si>
  <si>
    <r>
      <rPr>
        <sz val="10"/>
        <color rgb="FF000000"/>
        <rFont val="JRFonts"/>
        <charset val="134"/>
      </rPr>
      <t>28-07-2026 14:42</t>
    </r>
  </si>
  <si>
    <t>21320</t>
  </si>
  <si>
    <r>
      <rPr>
        <sz val="10"/>
        <color rgb="FF000000"/>
        <rFont val="JRFonts"/>
        <charset val="134"/>
      </rPr>
      <t>31-07-2026 17:30</t>
    </r>
  </si>
  <si>
    <r>
      <rPr>
        <sz val="10"/>
        <color rgb="FF000000"/>
        <rFont val="JRFonts"/>
        <charset val="134"/>
      </rPr>
      <t>27-07-2026 17:38</t>
    </r>
  </si>
  <si>
    <r>
      <rPr>
        <sz val="10"/>
        <color rgb="FF0000FF"/>
        <rFont val="JRFonts"/>
        <charset val="134"/>
      </rPr>
      <t>21320</t>
    </r>
  </si>
  <si>
    <r>
      <rPr>
        <sz val="10"/>
        <color rgb="FF0000FF"/>
        <rFont val="JRFonts"/>
        <charset val="134"/>
      </rPr>
      <t>21321</t>
    </r>
  </si>
  <si>
    <r>
      <rPr>
        <sz val="10"/>
        <color rgb="FF000000"/>
        <rFont val="JRFonts"/>
        <charset val="134"/>
      </rPr>
      <t>05-08-2026 00:23</t>
    </r>
  </si>
  <si>
    <r>
      <rPr>
        <sz val="10"/>
        <color rgb="FF000000"/>
        <rFont val="JRFonts"/>
        <charset val="134"/>
      </rPr>
      <t>28-07-2026 10:30</t>
    </r>
  </si>
  <si>
    <t>21321</t>
  </si>
  <si>
    <r>
      <rPr>
        <sz val="10"/>
        <color rgb="FF0000FF"/>
        <rFont val="JRFonts"/>
        <charset val="134"/>
      </rPr>
      <t>21322</t>
    </r>
  </si>
  <si>
    <r>
      <rPr>
        <sz val="10"/>
        <color rgb="FF000000"/>
        <rFont val="JRFonts"/>
        <charset val="134"/>
      </rPr>
      <t>28-07-2026 14:48</t>
    </r>
  </si>
  <si>
    <r>
      <rPr>
        <sz val="10"/>
        <color rgb="FF000000"/>
        <rFont val="JRFonts"/>
        <charset val="134"/>
      </rPr>
      <t>28-07-2026 10:39</t>
    </r>
  </si>
  <si>
    <r>
      <rPr>
        <sz val="10"/>
        <color rgb="FF0000FF"/>
        <rFont val="JRFonts"/>
        <charset val="134"/>
      </rPr>
      <t>21323</t>
    </r>
  </si>
  <si>
    <r>
      <rPr>
        <sz val="10"/>
        <color rgb="FF000000"/>
        <rFont val="JRFonts"/>
        <charset val="134"/>
      </rPr>
      <t>27-07-2026 12:19</t>
    </r>
  </si>
  <si>
    <r>
      <rPr>
        <sz val="10"/>
        <color rgb="FF000000"/>
        <rFont val="JRFonts"/>
        <charset val="134"/>
      </rPr>
      <t>05-08-2026 15:58</t>
    </r>
  </si>
  <si>
    <r>
      <rPr>
        <sz val="10"/>
        <color rgb="FF000000"/>
        <rFont val="JRFonts"/>
        <charset val="134"/>
      </rPr>
      <t>28-07-2026 10:45</t>
    </r>
  </si>
  <si>
    <t>21323</t>
  </si>
  <si>
    <r>
      <rPr>
        <sz val="10"/>
        <color rgb="FF0000FF"/>
        <rFont val="JRFonts"/>
        <charset val="134"/>
      </rPr>
      <t>21324</t>
    </r>
  </si>
  <si>
    <r>
      <rPr>
        <sz val="10"/>
        <color rgb="FF000000"/>
        <rFont val="JRFonts"/>
        <charset val="134"/>
      </rPr>
      <t>28-07-2026 15:14</t>
    </r>
  </si>
  <si>
    <r>
      <rPr>
        <sz val="10"/>
        <color rgb="FF000000"/>
        <rFont val="JRFonts"/>
        <charset val="134"/>
      </rPr>
      <t>28-07-2026 10:46</t>
    </r>
  </si>
  <si>
    <r>
      <rPr>
        <sz val="10"/>
        <color rgb="FF0000FF"/>
        <rFont val="JRFonts"/>
        <charset val="134"/>
      </rPr>
      <t>21326</t>
    </r>
  </si>
  <si>
    <r>
      <rPr>
        <sz val="10"/>
        <color rgb="FF000000"/>
        <rFont val="JRFonts"/>
        <charset val="134"/>
      </rPr>
      <t>28-07-2026 15:02</t>
    </r>
  </si>
  <si>
    <r>
      <rPr>
        <sz val="10"/>
        <color rgb="FF0000FF"/>
        <rFont val="JRFonts"/>
        <charset val="134"/>
      </rPr>
      <t>21327</t>
    </r>
  </si>
  <si>
    <r>
      <rPr>
        <sz val="10"/>
        <color rgb="FF000000"/>
        <rFont val="JRFonts"/>
        <charset val="134"/>
      </rPr>
      <t>13-08-2026 10:15</t>
    </r>
  </si>
  <si>
    <r>
      <rPr>
        <sz val="10"/>
        <color rgb="FF000000"/>
        <rFont val="JRFonts"/>
        <charset val="134"/>
      </rPr>
      <t>30-07-2026 15:20</t>
    </r>
  </si>
  <si>
    <t>21327</t>
  </si>
  <si>
    <r>
      <rPr>
        <sz val="10"/>
        <color rgb="FF0000FF"/>
        <rFont val="JRFonts"/>
        <charset val="134"/>
      </rPr>
      <t>21328</t>
    </r>
  </si>
  <si>
    <r>
      <rPr>
        <sz val="10"/>
        <color rgb="FF000000"/>
        <rFont val="JRFonts"/>
        <charset val="134"/>
      </rPr>
      <t>03-08-2026 15:26</t>
    </r>
  </si>
  <si>
    <r>
      <rPr>
        <sz val="10"/>
        <color rgb="FF000000"/>
        <rFont val="JRFonts"/>
        <charset val="134"/>
      </rPr>
      <t>28-07-2026 10:48</t>
    </r>
  </si>
  <si>
    <r>
      <rPr>
        <sz val="10"/>
        <color rgb="FF0000FF"/>
        <rFont val="JRFonts"/>
        <charset val="134"/>
      </rPr>
      <t>21329</t>
    </r>
  </si>
  <si>
    <r>
      <rPr>
        <sz val="10"/>
        <color rgb="FF000000"/>
        <rFont val="JRFonts"/>
        <charset val="134"/>
      </rPr>
      <t>Rahul Giri</t>
    </r>
  </si>
  <si>
    <r>
      <rPr>
        <sz val="10"/>
        <color rgb="FF000000"/>
        <rFont val="JRFonts"/>
        <charset val="134"/>
      </rPr>
      <t>27-07-2026 20:14</t>
    </r>
  </si>
  <si>
    <r>
      <rPr>
        <sz val="10"/>
        <color rgb="FF000000"/>
        <rFont val="JRFonts"/>
        <charset val="134"/>
      </rPr>
      <t>27-07-2026 17:34</t>
    </r>
  </si>
  <si>
    <r>
      <rPr>
        <sz val="10"/>
        <color rgb="FF0000FF"/>
        <rFont val="JRFonts"/>
        <charset val="134"/>
      </rPr>
      <t>21330</t>
    </r>
  </si>
  <si>
    <r>
      <rPr>
        <sz val="10"/>
        <color rgb="FF000000"/>
        <rFont val="JRFonts"/>
        <charset val="134"/>
      </rPr>
      <t>27-07-2026 13:02</t>
    </r>
  </si>
  <si>
    <r>
      <rPr>
        <sz val="10"/>
        <color rgb="FF000000"/>
        <rFont val="JRFonts"/>
        <charset val="134"/>
      </rPr>
      <t>27-07-2026 12:46</t>
    </r>
  </si>
  <si>
    <r>
      <rPr>
        <sz val="10"/>
        <color rgb="FF0000FF"/>
        <rFont val="JRFonts"/>
        <charset val="134"/>
      </rPr>
      <t>21331</t>
    </r>
  </si>
  <si>
    <r>
      <rPr>
        <sz val="10"/>
        <color rgb="FF000000"/>
        <rFont val="JRFonts"/>
        <charset val="134"/>
      </rPr>
      <t>29-07-2026 10:21</t>
    </r>
  </si>
  <si>
    <r>
      <rPr>
        <sz val="10"/>
        <color rgb="FF000000"/>
        <rFont val="JRFonts"/>
        <charset val="134"/>
      </rPr>
      <t>27-07-2026 12:48</t>
    </r>
  </si>
  <si>
    <t>21331</t>
  </si>
  <si>
    <r>
      <rPr>
        <sz val="10"/>
        <color rgb="FF0000FF"/>
        <rFont val="JRFonts"/>
        <charset val="134"/>
      </rPr>
      <t>21332</t>
    </r>
  </si>
  <si>
    <r>
      <rPr>
        <sz val="10"/>
        <color rgb="FF000000"/>
        <rFont val="JRFonts"/>
        <charset val="134"/>
      </rPr>
      <t>27-07-2026 12:31</t>
    </r>
  </si>
  <si>
    <r>
      <rPr>
        <sz val="10"/>
        <color rgb="FF000000"/>
        <rFont val="JRFonts"/>
        <charset val="134"/>
      </rPr>
      <t>05-08-2026 15:55</t>
    </r>
  </si>
  <si>
    <r>
      <rPr>
        <sz val="10"/>
        <color rgb="FF000000"/>
        <rFont val="JRFonts"/>
        <charset val="134"/>
      </rPr>
      <t>27-07-2026 12:42</t>
    </r>
  </si>
  <si>
    <t>21332</t>
  </si>
  <si>
    <r>
      <rPr>
        <sz val="10"/>
        <color rgb="FF0000FF"/>
        <rFont val="JRFonts"/>
        <charset val="134"/>
      </rPr>
      <t>21333</t>
    </r>
  </si>
  <si>
    <r>
      <rPr>
        <sz val="10"/>
        <color rgb="FF000000"/>
        <rFont val="JRFonts"/>
        <charset val="134"/>
      </rPr>
      <t>27-07-2026 17:11</t>
    </r>
  </si>
  <si>
    <r>
      <rPr>
        <sz val="10"/>
        <color rgb="FF000000"/>
        <rFont val="JRFonts"/>
        <charset val="134"/>
      </rPr>
      <t>27-07-2026 12:43</t>
    </r>
  </si>
  <si>
    <r>
      <rPr>
        <sz val="10"/>
        <color rgb="FF0000FF"/>
        <rFont val="JRFonts"/>
        <charset val="134"/>
      </rPr>
      <t>21334</t>
    </r>
  </si>
  <si>
    <r>
      <rPr>
        <sz val="10"/>
        <color rgb="FF000000"/>
        <rFont val="JRFonts"/>
        <charset val="134"/>
      </rPr>
      <t>27-07-2026 16:20</t>
    </r>
  </si>
  <si>
    <r>
      <rPr>
        <sz val="10"/>
        <color rgb="FF000000"/>
        <rFont val="JRFonts"/>
        <charset val="134"/>
      </rPr>
      <t>27-07-2026 12:44</t>
    </r>
  </si>
  <si>
    <r>
      <rPr>
        <sz val="10"/>
        <color rgb="FF0000FF"/>
        <rFont val="JRFonts"/>
        <charset val="134"/>
      </rPr>
      <t>21335</t>
    </r>
  </si>
  <si>
    <r>
      <rPr>
        <sz val="10"/>
        <color rgb="FF000000"/>
        <rFont val="JRFonts"/>
        <charset val="134"/>
      </rPr>
      <t>27-07-2026 12:40</t>
    </r>
  </si>
  <si>
    <r>
      <rPr>
        <sz val="10"/>
        <color rgb="FF000000"/>
        <rFont val="JRFonts"/>
        <charset val="134"/>
      </rPr>
      <t>05-08-2026 15:51</t>
    </r>
  </si>
  <si>
    <r>
      <rPr>
        <sz val="10"/>
        <color rgb="FF000000"/>
        <rFont val="JRFonts"/>
        <charset val="134"/>
      </rPr>
      <t>27-07-2026 14:23</t>
    </r>
  </si>
  <si>
    <t>21335</t>
  </si>
  <si>
    <r>
      <rPr>
        <sz val="10"/>
        <color rgb="FF0000FF"/>
        <rFont val="JRFonts"/>
        <charset val="134"/>
      </rPr>
      <t>21336</t>
    </r>
  </si>
  <si>
    <r>
      <rPr>
        <sz val="10"/>
        <color rgb="FF000000"/>
        <rFont val="JRFonts"/>
        <charset val="134"/>
      </rPr>
      <t>12-08-2026 12:40</t>
    </r>
  </si>
  <si>
    <r>
      <rPr>
        <sz val="10"/>
        <color rgb="FF0000FF"/>
        <rFont val="JRFonts"/>
        <charset val="134"/>
      </rPr>
      <t>21337</t>
    </r>
  </si>
  <si>
    <r>
      <rPr>
        <sz val="10"/>
        <color rgb="FF000000"/>
        <rFont val="JRFonts"/>
        <charset val="134"/>
      </rPr>
      <t>29-07-2026 10:23</t>
    </r>
  </si>
  <si>
    <r>
      <rPr>
        <sz val="10"/>
        <color rgb="FF000000"/>
        <rFont val="JRFonts"/>
        <charset val="134"/>
      </rPr>
      <t>27-07-2026 14:30</t>
    </r>
  </si>
  <si>
    <r>
      <rPr>
        <sz val="10"/>
        <color rgb="FF0000FF"/>
        <rFont val="JRFonts"/>
        <charset val="134"/>
      </rPr>
      <t>21338</t>
    </r>
  </si>
  <si>
    <r>
      <rPr>
        <sz val="10"/>
        <color rgb="FF000000"/>
        <rFont val="JRFonts"/>
        <charset val="134"/>
      </rPr>
      <t>28-07-2026 14:58</t>
    </r>
  </si>
  <si>
    <r>
      <rPr>
        <sz val="10"/>
        <color rgb="FF000000"/>
        <rFont val="JRFonts"/>
        <charset val="134"/>
      </rPr>
      <t>27-07-2026 14:32</t>
    </r>
  </si>
  <si>
    <r>
      <rPr>
        <sz val="10"/>
        <color rgb="FF0000FF"/>
        <rFont val="JRFonts"/>
        <charset val="134"/>
      </rPr>
      <t>21339</t>
    </r>
  </si>
  <si>
    <r>
      <rPr>
        <sz val="10"/>
        <color rgb="FF000000"/>
        <rFont val="JRFonts"/>
        <charset val="134"/>
      </rPr>
      <t>29-07-2026 10:26</t>
    </r>
  </si>
  <si>
    <r>
      <rPr>
        <sz val="10"/>
        <color rgb="FF0000FF"/>
        <rFont val="JRFonts"/>
        <charset val="134"/>
      </rPr>
      <t>21340</t>
    </r>
  </si>
  <si>
    <r>
      <rPr>
        <sz val="10"/>
        <color rgb="FF000000"/>
        <rFont val="JRFonts"/>
        <charset val="134"/>
      </rPr>
      <t>27-07-2026 12:49</t>
    </r>
  </si>
  <si>
    <r>
      <rPr>
        <sz val="10"/>
        <color rgb="FF000000"/>
        <rFont val="JRFonts"/>
        <charset val="134"/>
      </rPr>
      <t>03-08-2026 11:21</t>
    </r>
  </si>
  <si>
    <r>
      <rPr>
        <sz val="10"/>
        <color rgb="FF000000"/>
        <rFont val="JRFonts"/>
        <charset val="134"/>
      </rPr>
      <t>27-07-2026 14:34</t>
    </r>
  </si>
  <si>
    <t>Tentetive bill generation issue , MLI has updated more than 10 L records , which took time</t>
  </si>
  <si>
    <t>21341</t>
  </si>
  <si>
    <r>
      <rPr>
        <sz val="10"/>
        <color rgb="FF000000"/>
        <rFont val="JRFonts"/>
        <charset val="134"/>
      </rPr>
      <t>27-07-2026 12:52</t>
    </r>
  </si>
  <si>
    <r>
      <rPr>
        <sz val="10"/>
        <color rgb="FF000000"/>
        <rFont val="JRFonts"/>
        <charset val="134"/>
      </rPr>
      <t>04-08-2026 15:37</t>
    </r>
  </si>
  <si>
    <r>
      <rPr>
        <sz val="10"/>
        <color rgb="FF000000"/>
        <rFont val="JRFonts"/>
        <charset val="134"/>
      </rPr>
      <t>27-07-2026 14:35</t>
    </r>
  </si>
  <si>
    <r>
      <rPr>
        <sz val="10"/>
        <color rgb="FF0000FF"/>
        <rFont val="JRFonts"/>
        <charset val="134"/>
      </rPr>
      <t>21341</t>
    </r>
  </si>
  <si>
    <r>
      <rPr>
        <sz val="10"/>
        <color rgb="FF0000FF"/>
        <rFont val="JRFonts"/>
        <charset val="134"/>
      </rPr>
      <t>21342</t>
    </r>
  </si>
  <si>
    <r>
      <rPr>
        <sz val="10"/>
        <color rgb="FF000000"/>
        <rFont val="JRFonts"/>
        <charset val="134"/>
      </rPr>
      <t>27-07-2026 12:56</t>
    </r>
  </si>
  <si>
    <r>
      <rPr>
        <sz val="10"/>
        <color rgb="FF000000"/>
        <rFont val="JRFonts"/>
        <charset val="134"/>
      </rPr>
      <t>29-07-2026 10:31</t>
    </r>
  </si>
  <si>
    <r>
      <rPr>
        <sz val="10"/>
        <color rgb="FF000000"/>
        <rFont val="JRFonts"/>
        <charset val="134"/>
      </rPr>
      <t>27-07-2026 12:58</t>
    </r>
  </si>
  <si>
    <t>21342</t>
  </si>
  <si>
    <r>
      <rPr>
        <sz val="10"/>
        <color rgb="FF0000FF"/>
        <rFont val="JRFonts"/>
        <charset val="134"/>
      </rPr>
      <t>21344</t>
    </r>
  </si>
  <si>
    <r>
      <rPr>
        <sz val="10"/>
        <color rgb="FF000000"/>
        <rFont val="JRFonts"/>
        <charset val="134"/>
      </rPr>
      <t>27-07-2026 13:05</t>
    </r>
  </si>
  <si>
    <r>
      <rPr>
        <sz val="10"/>
        <color rgb="FF000000"/>
        <rFont val="JRFonts"/>
        <charset val="134"/>
      </rPr>
      <t>05-08-2026 17:15</t>
    </r>
  </si>
  <si>
    <r>
      <rPr>
        <sz val="10"/>
        <color rgb="FF000000"/>
        <rFont val="JRFonts"/>
        <charset val="134"/>
      </rPr>
      <t>28-07-2026 11:11</t>
    </r>
  </si>
  <si>
    <t>21344</t>
  </si>
  <si>
    <r>
      <rPr>
        <sz val="10"/>
        <color rgb="FF0000FF"/>
        <rFont val="JRFonts"/>
        <charset val="134"/>
      </rPr>
      <t>21345</t>
    </r>
  </si>
  <si>
    <r>
      <rPr>
        <sz val="10"/>
        <color rgb="FF000000"/>
        <rFont val="JRFonts"/>
        <charset val="134"/>
      </rPr>
      <t>03-08-2026 15:36</t>
    </r>
  </si>
  <si>
    <r>
      <rPr>
        <sz val="10"/>
        <color rgb="FF000000"/>
        <rFont val="JRFonts"/>
        <charset val="134"/>
      </rPr>
      <t>27-07-2026 14:37</t>
    </r>
  </si>
  <si>
    <r>
      <rPr>
        <sz val="10"/>
        <color rgb="FF0000FF"/>
        <rFont val="JRFonts"/>
        <charset val="134"/>
      </rPr>
      <t>21346</t>
    </r>
  </si>
  <si>
    <r>
      <rPr>
        <sz val="10"/>
        <color rgb="FF000000"/>
        <rFont val="JRFonts"/>
        <charset val="134"/>
      </rPr>
      <t>28-07-2026 14:51</t>
    </r>
  </si>
  <si>
    <r>
      <rPr>
        <sz val="10"/>
        <color rgb="FF000000"/>
        <rFont val="JRFonts"/>
        <charset val="134"/>
      </rPr>
      <t>27-07-2026 14:39</t>
    </r>
  </si>
  <si>
    <r>
      <rPr>
        <sz val="10"/>
        <color rgb="FF0000FF"/>
        <rFont val="JRFonts"/>
        <charset val="134"/>
      </rPr>
      <t>21347</t>
    </r>
  </si>
  <si>
    <r>
      <rPr>
        <sz val="10"/>
        <color rgb="FF000000"/>
        <rFont val="JRFonts"/>
        <charset val="134"/>
      </rPr>
      <t>27-07-2026 17:13</t>
    </r>
  </si>
  <si>
    <r>
      <rPr>
        <sz val="10"/>
        <color rgb="FF000000"/>
        <rFont val="JRFonts"/>
        <charset val="134"/>
      </rPr>
      <t>27-07-2026 14:40</t>
    </r>
  </si>
  <si>
    <r>
      <rPr>
        <sz val="10"/>
        <color rgb="FF0000FF"/>
        <rFont val="JRFonts"/>
        <charset val="134"/>
      </rPr>
      <t>21348</t>
    </r>
  </si>
  <si>
    <r>
      <rPr>
        <sz val="10"/>
        <color rgb="FF000000"/>
        <rFont val="JRFonts"/>
        <charset val="134"/>
      </rPr>
      <t>05-08-2026 16:03</t>
    </r>
  </si>
  <si>
    <r>
      <rPr>
        <sz val="10"/>
        <color rgb="FF000000"/>
        <rFont val="JRFonts"/>
        <charset val="134"/>
      </rPr>
      <t>27-07-2026 14:47</t>
    </r>
  </si>
  <si>
    <t>21348</t>
  </si>
  <si>
    <r>
      <rPr>
        <sz val="10"/>
        <color rgb="FF0000FF"/>
        <rFont val="JRFonts"/>
        <charset val="134"/>
      </rPr>
      <t>21350</t>
    </r>
  </si>
  <si>
    <r>
      <rPr>
        <sz val="10"/>
        <color rgb="FF000000"/>
        <rFont val="JRFonts"/>
        <charset val="134"/>
      </rPr>
      <t>27-07-2026 13:11</t>
    </r>
  </si>
  <si>
    <r>
      <rPr>
        <sz val="10"/>
        <color rgb="FF000000"/>
        <rFont val="JRFonts"/>
        <charset val="134"/>
      </rPr>
      <t>05-08-2026 15:50</t>
    </r>
  </si>
  <si>
    <t>21350</t>
  </si>
  <si>
    <r>
      <rPr>
        <sz val="10"/>
        <color rgb="FF0000FF"/>
        <rFont val="JRFonts"/>
        <charset val="134"/>
      </rPr>
      <t>21352</t>
    </r>
  </si>
  <si>
    <r>
      <rPr>
        <sz val="10"/>
        <color rgb="FF000000"/>
        <rFont val="JRFonts"/>
        <charset val="134"/>
      </rPr>
      <t>27-07-2026 13:14</t>
    </r>
  </si>
  <si>
    <r>
      <rPr>
        <sz val="10"/>
        <color rgb="FF000000"/>
        <rFont val="JRFonts"/>
        <charset val="134"/>
      </rPr>
      <t>07-08-2026 16:31</t>
    </r>
  </si>
  <si>
    <r>
      <rPr>
        <sz val="10"/>
        <color rgb="FF000000"/>
        <rFont val="JRFonts"/>
        <charset val="134"/>
      </rPr>
      <t>27-07-2026 14:48</t>
    </r>
  </si>
  <si>
    <r>
      <rPr>
        <sz val="10"/>
        <color rgb="FF0000FF"/>
        <rFont val="JRFonts"/>
        <charset val="134"/>
      </rPr>
      <t>21353</t>
    </r>
  </si>
  <si>
    <r>
      <rPr>
        <sz val="10"/>
        <color rgb="FF000000"/>
        <rFont val="JRFonts"/>
        <charset val="134"/>
      </rPr>
      <t>27-07-2026 13:17</t>
    </r>
  </si>
  <si>
    <r>
      <rPr>
        <sz val="10"/>
        <color rgb="FF000000"/>
        <rFont val="JRFonts"/>
        <charset val="134"/>
      </rPr>
      <t>03-08-2026 16:20</t>
    </r>
  </si>
  <si>
    <r>
      <rPr>
        <sz val="10"/>
        <color rgb="FF000000"/>
        <rFont val="JRFonts"/>
        <charset val="134"/>
      </rPr>
      <t>27-07-2026 14:50</t>
    </r>
  </si>
  <si>
    <r>
      <rPr>
        <sz val="10"/>
        <color rgb="FF0000FF"/>
        <rFont val="JRFonts"/>
        <charset val="134"/>
      </rPr>
      <t>21354</t>
    </r>
  </si>
  <si>
    <r>
      <rPr>
        <sz val="10"/>
        <color rgb="FF000000"/>
        <rFont val="JRFonts"/>
        <charset val="134"/>
      </rPr>
      <t>27-07-2026 14:54</t>
    </r>
  </si>
  <si>
    <r>
      <rPr>
        <sz val="10"/>
        <color rgb="FF0000FF"/>
        <rFont val="JRFonts"/>
        <charset val="134"/>
      </rPr>
      <t>21355</t>
    </r>
  </si>
  <si>
    <r>
      <rPr>
        <sz val="10"/>
        <color rgb="FF000000"/>
        <rFont val="JRFonts"/>
        <charset val="134"/>
      </rPr>
      <t>27-07-2026 17:14</t>
    </r>
  </si>
  <si>
    <r>
      <rPr>
        <sz val="10"/>
        <color rgb="FF000000"/>
        <rFont val="JRFonts"/>
        <charset val="134"/>
      </rPr>
      <t>27-07-2026 14:56</t>
    </r>
  </si>
  <si>
    <r>
      <rPr>
        <sz val="10"/>
        <color rgb="FF0000FF"/>
        <rFont val="JRFonts"/>
        <charset val="134"/>
      </rPr>
      <t>21356</t>
    </r>
  </si>
  <si>
    <r>
      <rPr>
        <sz val="10"/>
        <color rgb="FF000000"/>
        <rFont val="JRFonts"/>
        <charset val="134"/>
      </rPr>
      <t>27-07-2026 13:23</t>
    </r>
  </si>
  <si>
    <r>
      <rPr>
        <sz val="10"/>
        <color rgb="FF000000"/>
        <rFont val="JRFonts"/>
        <charset val="134"/>
      </rPr>
      <t>03-08-2026 16:22</t>
    </r>
  </si>
  <si>
    <r>
      <rPr>
        <sz val="10"/>
        <color rgb="FF000000"/>
        <rFont val="JRFonts"/>
        <charset val="134"/>
      </rPr>
      <t>27-07-2026 14:57</t>
    </r>
  </si>
  <si>
    <r>
      <rPr>
        <sz val="10"/>
        <color rgb="FF0000FF"/>
        <rFont val="JRFonts"/>
        <charset val="134"/>
      </rPr>
      <t>21357</t>
    </r>
  </si>
  <si>
    <r>
      <rPr>
        <sz val="10"/>
        <color rgb="FF000000"/>
        <rFont val="JRFonts"/>
        <charset val="134"/>
      </rPr>
      <t>27-07-2026 13:29</t>
    </r>
  </si>
  <si>
    <r>
      <rPr>
        <sz val="10"/>
        <color rgb="FF000000"/>
        <rFont val="JRFonts"/>
        <charset val="134"/>
      </rPr>
      <t>30-07-2026 10:19</t>
    </r>
  </si>
  <si>
    <r>
      <rPr>
        <sz val="10"/>
        <color rgb="FF000000"/>
        <rFont val="JRFonts"/>
        <charset val="134"/>
      </rPr>
      <t>27-07-2026 14:58</t>
    </r>
  </si>
  <si>
    <t>21357</t>
  </si>
  <si>
    <r>
      <rPr>
        <sz val="10"/>
        <color rgb="FF0000FF"/>
        <rFont val="JRFonts"/>
        <charset val="134"/>
      </rPr>
      <t>21358</t>
    </r>
  </si>
  <si>
    <r>
      <rPr>
        <sz val="10"/>
        <color rgb="FF000000"/>
        <rFont val="JRFonts"/>
        <charset val="134"/>
      </rPr>
      <t>27-07-2026 13:32</t>
    </r>
  </si>
  <si>
    <r>
      <rPr>
        <sz val="10"/>
        <color rgb="FF000000"/>
        <rFont val="JRFonts"/>
        <charset val="134"/>
      </rPr>
      <t>27-07-2026 17:15</t>
    </r>
  </si>
  <si>
    <r>
      <rPr>
        <sz val="10"/>
        <color rgb="FF000000"/>
        <rFont val="JRFonts"/>
        <charset val="134"/>
      </rPr>
      <t>27-07-2026 14:59</t>
    </r>
  </si>
  <si>
    <r>
      <rPr>
        <sz val="10"/>
        <color rgb="FF0000FF"/>
        <rFont val="JRFonts"/>
        <charset val="134"/>
      </rPr>
      <t>21359</t>
    </r>
  </si>
  <si>
    <r>
      <rPr>
        <sz val="10"/>
        <color rgb="FF000000"/>
        <rFont val="JRFonts"/>
        <charset val="134"/>
      </rPr>
      <t>05-08-2026 15:44</t>
    </r>
  </si>
  <si>
    <r>
      <rPr>
        <sz val="10"/>
        <color rgb="FF000000"/>
        <rFont val="JRFonts"/>
        <charset val="134"/>
      </rPr>
      <t>27-07-2026 15:00</t>
    </r>
  </si>
  <si>
    <t>21359</t>
  </si>
  <si>
    <r>
      <rPr>
        <sz val="10"/>
        <color rgb="FF0000FF"/>
        <rFont val="JRFonts"/>
        <charset val="134"/>
      </rPr>
      <t>21360</t>
    </r>
  </si>
  <si>
    <r>
      <rPr>
        <sz val="10"/>
        <color rgb="FF000000"/>
        <rFont val="JRFonts"/>
        <charset val="134"/>
      </rPr>
      <t>27-07-2026 13:35</t>
    </r>
  </si>
  <si>
    <r>
      <rPr>
        <sz val="10"/>
        <color rgb="FF000000"/>
        <rFont val="JRFonts"/>
        <charset val="134"/>
      </rPr>
      <t>03-08-2026 16:24</t>
    </r>
  </si>
  <si>
    <r>
      <rPr>
        <sz val="10"/>
        <color rgb="FF000000"/>
        <rFont val="JRFonts"/>
        <charset val="134"/>
      </rPr>
      <t>28-07-2026 10:50</t>
    </r>
  </si>
  <si>
    <r>
      <rPr>
        <sz val="10"/>
        <color rgb="FF0000FF"/>
        <rFont val="JRFonts"/>
        <charset val="134"/>
      </rPr>
      <t>21363</t>
    </r>
  </si>
  <si>
    <r>
      <rPr>
        <sz val="10"/>
        <color rgb="FF000000"/>
        <rFont val="JRFonts"/>
        <charset val="134"/>
      </rPr>
      <t>27-07-2026 13:45</t>
    </r>
  </si>
  <si>
    <r>
      <rPr>
        <sz val="10"/>
        <color rgb="FF000000"/>
        <rFont val="JRFonts"/>
        <charset val="134"/>
      </rPr>
      <t>27-07-2026 17:16</t>
    </r>
  </si>
  <si>
    <r>
      <rPr>
        <sz val="10"/>
        <color rgb="FF000000"/>
        <rFont val="JRFonts"/>
        <charset val="134"/>
      </rPr>
      <t>27-07-2026 15:01</t>
    </r>
  </si>
  <si>
    <r>
      <rPr>
        <sz val="10"/>
        <color rgb="FF0000FF"/>
        <rFont val="JRFonts"/>
        <charset val="134"/>
      </rPr>
      <t>21364</t>
    </r>
  </si>
  <si>
    <r>
      <rPr>
        <sz val="10"/>
        <color rgb="FF000000"/>
        <rFont val="JRFonts"/>
        <charset val="134"/>
      </rPr>
      <t>27-07-2026 17:17</t>
    </r>
  </si>
  <si>
    <r>
      <rPr>
        <sz val="10"/>
        <color rgb="FF0000FF"/>
        <rFont val="JRFonts"/>
        <charset val="134"/>
      </rPr>
      <t>21365</t>
    </r>
  </si>
  <si>
    <r>
      <rPr>
        <sz val="10"/>
        <color rgb="FF000000"/>
        <rFont val="JRFonts"/>
        <charset val="134"/>
      </rPr>
      <t>27-07-2026 13:54</t>
    </r>
  </si>
  <si>
    <r>
      <rPr>
        <sz val="10"/>
        <color rgb="FF000000"/>
        <rFont val="JRFonts"/>
        <charset val="134"/>
      </rPr>
      <t>03-08-2026 16:25</t>
    </r>
  </si>
  <si>
    <r>
      <rPr>
        <sz val="10"/>
        <color rgb="FF000000"/>
        <rFont val="JRFonts"/>
        <charset val="134"/>
      </rPr>
      <t>27-07-2026 15:06</t>
    </r>
  </si>
  <si>
    <t>21365</t>
  </si>
  <si>
    <r>
      <rPr>
        <sz val="10"/>
        <color rgb="FF0000FF"/>
        <rFont val="JRFonts"/>
        <charset val="134"/>
      </rPr>
      <t>21366</t>
    </r>
  </si>
  <si>
    <r>
      <rPr>
        <sz val="10"/>
        <color rgb="FF000000"/>
        <rFont val="JRFonts"/>
        <charset val="134"/>
      </rPr>
      <t>27-07-2026 13:57</t>
    </r>
  </si>
  <si>
    <r>
      <rPr>
        <sz val="10"/>
        <color rgb="FF000000"/>
        <rFont val="JRFonts"/>
        <charset val="134"/>
      </rPr>
      <t>30-07-2026 16:36</t>
    </r>
  </si>
  <si>
    <r>
      <rPr>
        <sz val="10"/>
        <color rgb="FF000000"/>
        <rFont val="JRFonts"/>
        <charset val="134"/>
      </rPr>
      <t>27-07-2026 16:59</t>
    </r>
  </si>
  <si>
    <t>21366</t>
  </si>
  <si>
    <r>
      <rPr>
        <sz val="10"/>
        <color rgb="FF0000FF"/>
        <rFont val="JRFonts"/>
        <charset val="134"/>
      </rPr>
      <t>21367</t>
    </r>
  </si>
  <si>
    <r>
      <rPr>
        <sz val="10"/>
        <color rgb="FF000000"/>
        <rFont val="JRFonts"/>
        <charset val="134"/>
      </rPr>
      <t>27-07-2026 14:00</t>
    </r>
  </si>
  <si>
    <r>
      <rPr>
        <sz val="10"/>
        <color rgb="FF000000"/>
        <rFont val="JRFonts"/>
        <charset val="134"/>
      </rPr>
      <t>03-08-2026 16:46</t>
    </r>
  </si>
  <si>
    <r>
      <rPr>
        <sz val="10"/>
        <color rgb="FF000000"/>
        <rFont val="JRFonts"/>
        <charset val="134"/>
      </rPr>
      <t>28-07-2026 10:51</t>
    </r>
  </si>
  <si>
    <r>
      <rPr>
        <sz val="10"/>
        <color rgb="FF0000FF"/>
        <rFont val="JRFonts"/>
        <charset val="134"/>
      </rPr>
      <t>21368</t>
    </r>
  </si>
  <si>
    <r>
      <rPr>
        <sz val="10"/>
        <color rgb="FF000000"/>
        <rFont val="JRFonts"/>
        <charset val="134"/>
      </rPr>
      <t>27-07-2026 14:03</t>
    </r>
  </si>
  <si>
    <r>
      <rPr>
        <sz val="10"/>
        <color rgb="FF000000"/>
        <rFont val="JRFonts"/>
        <charset val="134"/>
      </rPr>
      <t>03-08-2026 16:47</t>
    </r>
  </si>
  <si>
    <r>
      <rPr>
        <sz val="10"/>
        <color rgb="FF000000"/>
        <rFont val="JRFonts"/>
        <charset val="134"/>
      </rPr>
      <t>28-07-2026 11:12</t>
    </r>
  </si>
  <si>
    <r>
      <rPr>
        <sz val="10"/>
        <color rgb="FF0000FF"/>
        <rFont val="JRFonts"/>
        <charset val="134"/>
      </rPr>
      <t>21369</t>
    </r>
  </si>
  <si>
    <r>
      <rPr>
        <sz val="10"/>
        <color rgb="FF000000"/>
        <rFont val="JRFonts"/>
        <charset val="134"/>
      </rPr>
      <t>03-08-2026 11:22</t>
    </r>
  </si>
  <si>
    <r>
      <rPr>
        <sz val="10"/>
        <color rgb="FF000000"/>
        <rFont val="JRFonts"/>
        <charset val="134"/>
      </rPr>
      <t>28-07-2026 11:13</t>
    </r>
  </si>
  <si>
    <r>
      <rPr>
        <sz val="10"/>
        <color rgb="FF0000FF"/>
        <rFont val="JRFonts"/>
        <charset val="134"/>
      </rPr>
      <t>21370</t>
    </r>
  </si>
  <si>
    <r>
      <rPr>
        <sz val="10"/>
        <color rgb="FF000000"/>
        <rFont val="JRFonts"/>
        <charset val="134"/>
      </rPr>
      <t>27-07-2026 14:06</t>
    </r>
  </si>
  <si>
    <r>
      <rPr>
        <sz val="10"/>
        <color rgb="FF000000"/>
        <rFont val="JRFonts"/>
        <charset val="134"/>
      </rPr>
      <t>03-08-2026 16:48</t>
    </r>
  </si>
  <si>
    <r>
      <rPr>
        <sz val="10"/>
        <color rgb="FF000000"/>
        <rFont val="JRFonts"/>
        <charset val="134"/>
      </rPr>
      <t>27-07-2026 15:09</t>
    </r>
  </si>
  <si>
    <t>21370</t>
  </si>
  <si>
    <r>
      <rPr>
        <sz val="10"/>
        <color rgb="FF0000FF"/>
        <rFont val="JRFonts"/>
        <charset val="134"/>
      </rPr>
      <t>21371</t>
    </r>
  </si>
  <si>
    <r>
      <rPr>
        <sz val="10"/>
        <color rgb="FF000000"/>
        <rFont val="JRFonts"/>
        <charset val="134"/>
      </rPr>
      <t>03-08-2026 16:49</t>
    </r>
  </si>
  <si>
    <r>
      <rPr>
        <sz val="10"/>
        <color rgb="FF000000"/>
        <rFont val="JRFonts"/>
        <charset val="134"/>
      </rPr>
      <t>27-07-2026 15:10</t>
    </r>
  </si>
  <si>
    <r>
      <rPr>
        <sz val="10"/>
        <color rgb="FF0000FF"/>
        <rFont val="JRFonts"/>
        <charset val="134"/>
      </rPr>
      <t>21372</t>
    </r>
  </si>
  <si>
    <r>
      <rPr>
        <sz val="10"/>
        <color rgb="FF000000"/>
        <rFont val="JRFonts"/>
        <charset val="134"/>
      </rPr>
      <t>27-07-2026 15:13</t>
    </r>
  </si>
  <si>
    <t>21372</t>
  </si>
  <si>
    <r>
      <rPr>
        <sz val="10"/>
        <color rgb="FF0000FF"/>
        <rFont val="JRFonts"/>
        <charset val="134"/>
      </rPr>
      <t>21373</t>
    </r>
  </si>
  <si>
    <r>
      <rPr>
        <sz val="10"/>
        <color rgb="FF000000"/>
        <rFont val="JRFonts"/>
        <charset val="134"/>
      </rPr>
      <t>27-07-2026 14:09</t>
    </r>
  </si>
  <si>
    <r>
      <rPr>
        <sz val="10"/>
        <color rgb="FF000000"/>
        <rFont val="JRFonts"/>
        <charset val="134"/>
      </rPr>
      <t>29-07-2026 10:34</t>
    </r>
  </si>
  <si>
    <r>
      <rPr>
        <sz val="10"/>
        <color rgb="FF000000"/>
        <rFont val="JRFonts"/>
        <charset val="134"/>
      </rPr>
      <t>27-07-2026 15:19</t>
    </r>
  </si>
  <si>
    <r>
      <rPr>
        <sz val="10"/>
        <color rgb="FF0000FF"/>
        <rFont val="JRFonts"/>
        <charset val="134"/>
      </rPr>
      <t>21374</t>
    </r>
  </si>
  <si>
    <r>
      <rPr>
        <sz val="10"/>
        <color rgb="FF000000"/>
        <rFont val="JRFonts"/>
        <charset val="134"/>
      </rPr>
      <t>27-07-2026 17:19</t>
    </r>
  </si>
  <si>
    <r>
      <rPr>
        <sz val="10"/>
        <color rgb="FF000000"/>
        <rFont val="JRFonts"/>
        <charset val="134"/>
      </rPr>
      <t>27-07-2026 15:21</t>
    </r>
  </si>
  <si>
    <r>
      <rPr>
        <sz val="10"/>
        <color rgb="FF0000FF"/>
        <rFont val="JRFonts"/>
        <charset val="134"/>
      </rPr>
      <t>21375</t>
    </r>
  </si>
  <si>
    <r>
      <rPr>
        <sz val="10"/>
        <color rgb="FF000000"/>
        <rFont val="JRFonts"/>
        <charset val="134"/>
      </rPr>
      <t>03-08-2026 16:50</t>
    </r>
  </si>
  <si>
    <r>
      <rPr>
        <sz val="10"/>
        <color rgb="FF000000"/>
        <rFont val="JRFonts"/>
        <charset val="134"/>
      </rPr>
      <t>28-07-2026 11:15</t>
    </r>
  </si>
  <si>
    <r>
      <rPr>
        <sz val="10"/>
        <color rgb="FF0000FF"/>
        <rFont val="JRFonts"/>
        <charset val="134"/>
      </rPr>
      <t>21376</t>
    </r>
  </si>
  <si>
    <r>
      <rPr>
        <sz val="10"/>
        <color rgb="FF000000"/>
        <rFont val="JRFonts"/>
        <charset val="134"/>
      </rPr>
      <t>27-07-2026 14:21</t>
    </r>
  </si>
  <si>
    <r>
      <rPr>
        <sz val="10"/>
        <color rgb="FF000000"/>
        <rFont val="JRFonts"/>
        <charset val="134"/>
      </rPr>
      <t>03-08-2026 16:51</t>
    </r>
  </si>
  <si>
    <r>
      <rPr>
        <sz val="10"/>
        <color rgb="FF000000"/>
        <rFont val="JRFonts"/>
        <charset val="134"/>
      </rPr>
      <t>28-07-2026 16:18</t>
    </r>
  </si>
  <si>
    <r>
      <rPr>
        <sz val="10"/>
        <color rgb="FF0000FF"/>
        <rFont val="JRFonts"/>
        <charset val="134"/>
      </rPr>
      <t>21378</t>
    </r>
  </si>
  <si>
    <r>
      <rPr>
        <sz val="10"/>
        <color rgb="FF000000"/>
        <rFont val="JRFonts"/>
        <charset val="134"/>
      </rPr>
      <t>27-07-2026 14:33</t>
    </r>
  </si>
  <si>
    <r>
      <rPr>
        <sz val="10"/>
        <color rgb="FF000000"/>
        <rFont val="JRFonts"/>
        <charset val="134"/>
      </rPr>
      <t>06-08-2026 17:14</t>
    </r>
  </si>
  <si>
    <r>
      <rPr>
        <sz val="10"/>
        <color rgb="FF000000"/>
        <rFont val="JRFonts"/>
        <charset val="134"/>
      </rPr>
      <t>28-07-2026 11:28</t>
    </r>
  </si>
  <si>
    <t>21378</t>
  </si>
  <si>
    <r>
      <rPr>
        <sz val="10"/>
        <color rgb="FF0000FF"/>
        <rFont val="JRFonts"/>
        <charset val="134"/>
      </rPr>
      <t>21379</t>
    </r>
  </si>
  <si>
    <r>
      <rPr>
        <sz val="10"/>
        <color rgb="FF000000"/>
        <rFont val="JRFonts"/>
        <charset val="134"/>
      </rPr>
      <t>28-07-2026 16:11</t>
    </r>
  </si>
  <si>
    <r>
      <rPr>
        <sz val="10"/>
        <color rgb="FF000000"/>
        <rFont val="JRFonts"/>
        <charset val="134"/>
      </rPr>
      <t>27-07-2026 15:22</t>
    </r>
  </si>
  <si>
    <t>21380</t>
  </si>
  <si>
    <r>
      <rPr>
        <sz val="10"/>
        <color rgb="FF000000"/>
        <rFont val="JRFonts"/>
        <charset val="134"/>
      </rPr>
      <t>27-07-2026 14:46</t>
    </r>
  </si>
  <si>
    <r>
      <rPr>
        <sz val="10"/>
        <color rgb="FF000000"/>
        <rFont val="JRFonts"/>
        <charset val="134"/>
      </rPr>
      <t>14-08-2026 16:00</t>
    </r>
  </si>
  <si>
    <r>
      <rPr>
        <sz val="10"/>
        <color rgb="FF0000FF"/>
        <rFont val="JRFonts"/>
        <charset val="134"/>
      </rPr>
      <t>21380</t>
    </r>
  </si>
  <si>
    <r>
      <rPr>
        <sz val="10"/>
        <color rgb="FF0000FF"/>
        <rFont val="JRFonts"/>
        <charset val="134"/>
      </rPr>
      <t>21382</t>
    </r>
  </si>
  <si>
    <r>
      <rPr>
        <sz val="10"/>
        <color rgb="FF000000"/>
        <rFont val="JRFonts"/>
        <charset val="134"/>
      </rPr>
      <t>27-07-2026 14:49</t>
    </r>
  </si>
  <si>
    <r>
      <rPr>
        <sz val="10"/>
        <color rgb="FF000000"/>
        <rFont val="JRFonts"/>
        <charset val="134"/>
      </rPr>
      <t>29-07-2026 10:36</t>
    </r>
  </si>
  <si>
    <r>
      <rPr>
        <sz val="10"/>
        <color rgb="FF000000"/>
        <rFont val="JRFonts"/>
        <charset val="134"/>
      </rPr>
      <t>28-07-2026 11:30</t>
    </r>
  </si>
  <si>
    <r>
      <rPr>
        <sz val="10"/>
        <color rgb="FF0000FF"/>
        <rFont val="JRFonts"/>
        <charset val="134"/>
      </rPr>
      <t>21384</t>
    </r>
  </si>
  <si>
    <r>
      <rPr>
        <sz val="10"/>
        <color rgb="FF000000"/>
        <rFont val="JRFonts"/>
        <charset val="134"/>
      </rPr>
      <t>27-07-2026 14:52</t>
    </r>
  </si>
  <si>
    <r>
      <rPr>
        <sz val="10"/>
        <color rgb="FF000000"/>
        <rFont val="JRFonts"/>
        <charset val="134"/>
      </rPr>
      <t>03-08-2026 17:22</t>
    </r>
  </si>
  <si>
    <r>
      <rPr>
        <sz val="10"/>
        <color rgb="FF000000"/>
        <rFont val="JRFonts"/>
        <charset val="134"/>
      </rPr>
      <t>27-07-2026 15:23</t>
    </r>
  </si>
  <si>
    <r>
      <rPr>
        <sz val="10"/>
        <color rgb="FF0000FF"/>
        <rFont val="JRFonts"/>
        <charset val="134"/>
      </rPr>
      <t>21385</t>
    </r>
  </si>
  <si>
    <r>
      <rPr>
        <sz val="10"/>
        <color rgb="FF000000"/>
        <rFont val="JRFonts"/>
        <charset val="134"/>
      </rPr>
      <t>28-07-2026 00:17</t>
    </r>
  </si>
  <si>
    <r>
      <rPr>
        <sz val="10"/>
        <color rgb="FF000000"/>
        <rFont val="JRFonts"/>
        <charset val="134"/>
      </rPr>
      <t>27-07-2026 15:24</t>
    </r>
  </si>
  <si>
    <r>
      <rPr>
        <sz val="10"/>
        <color rgb="FF0000FF"/>
        <rFont val="JRFonts"/>
        <charset val="134"/>
      </rPr>
      <t>21386</t>
    </r>
  </si>
  <si>
    <r>
      <rPr>
        <sz val="10"/>
        <color rgb="FF000000"/>
        <rFont val="JRFonts"/>
        <charset val="134"/>
      </rPr>
      <t>03-08-2026 17:23</t>
    </r>
  </si>
  <si>
    <r>
      <rPr>
        <sz val="10"/>
        <color rgb="FF000000"/>
        <rFont val="JRFonts"/>
        <charset val="134"/>
      </rPr>
      <t>27-07-2026 15:27</t>
    </r>
  </si>
  <si>
    <r>
      <rPr>
        <sz val="10"/>
        <color rgb="FF0000FF"/>
        <rFont val="JRFonts"/>
        <charset val="134"/>
      </rPr>
      <t>21388</t>
    </r>
  </si>
  <si>
    <r>
      <rPr>
        <sz val="10"/>
        <color rgb="FF000000"/>
        <rFont val="JRFonts"/>
        <charset val="134"/>
      </rPr>
      <t>28-07-2026 00:13</t>
    </r>
  </si>
  <si>
    <r>
      <rPr>
        <sz val="10"/>
        <color rgb="FF000000"/>
        <rFont val="JRFonts"/>
        <charset val="134"/>
      </rPr>
      <t>27-07-2026 15:28</t>
    </r>
  </si>
  <si>
    <r>
      <rPr>
        <sz val="10"/>
        <color rgb="FF0000FF"/>
        <rFont val="JRFonts"/>
        <charset val="134"/>
      </rPr>
      <t>21391</t>
    </r>
  </si>
  <si>
    <r>
      <rPr>
        <sz val="10"/>
        <color rgb="FF000000"/>
        <rFont val="JRFonts"/>
        <charset val="134"/>
      </rPr>
      <t>28-07-2026 14:41</t>
    </r>
  </si>
  <si>
    <r>
      <rPr>
        <sz val="10"/>
        <color rgb="FF000000"/>
        <rFont val="JRFonts"/>
        <charset val="134"/>
      </rPr>
      <t>27-07-2026 15:30</t>
    </r>
  </si>
  <si>
    <r>
      <rPr>
        <sz val="10"/>
        <color rgb="FF0000FF"/>
        <rFont val="JRFonts"/>
        <charset val="134"/>
      </rPr>
      <t>21392</t>
    </r>
  </si>
  <si>
    <r>
      <rPr>
        <sz val="10"/>
        <color rgb="FF000000"/>
        <rFont val="JRFonts"/>
        <charset val="134"/>
      </rPr>
      <t>27-07-2026 15:25</t>
    </r>
  </si>
  <si>
    <r>
      <rPr>
        <sz val="10"/>
        <color rgb="FF000000"/>
        <rFont val="JRFonts"/>
        <charset val="134"/>
      </rPr>
      <t>03-08-2026 17:24</t>
    </r>
  </si>
  <si>
    <r>
      <rPr>
        <sz val="10"/>
        <color rgb="FF000000"/>
        <rFont val="JRFonts"/>
        <charset val="134"/>
      </rPr>
      <t>28-07-2026 11:31</t>
    </r>
  </si>
  <si>
    <r>
      <rPr>
        <sz val="10"/>
        <color rgb="FF0000FF"/>
        <rFont val="JRFonts"/>
        <charset val="134"/>
      </rPr>
      <t>21393</t>
    </r>
  </si>
  <si>
    <r>
      <rPr>
        <sz val="10"/>
        <color rgb="FF000000"/>
        <rFont val="JRFonts"/>
        <charset val="134"/>
      </rPr>
      <t>12-08-2026 12:45</t>
    </r>
  </si>
  <si>
    <r>
      <rPr>
        <sz val="10"/>
        <color rgb="FF000000"/>
        <rFont val="JRFonts"/>
        <charset val="134"/>
      </rPr>
      <t>27-07-2026 15:31</t>
    </r>
  </si>
  <si>
    <t>21393</t>
  </si>
  <si>
    <t>21395</t>
  </si>
  <si>
    <r>
      <rPr>
        <sz val="10"/>
        <color rgb="FF000000"/>
        <rFont val="JRFonts"/>
        <charset val="134"/>
      </rPr>
      <t>03-08-2026 11:45</t>
    </r>
  </si>
  <si>
    <r>
      <rPr>
        <sz val="10"/>
        <color rgb="FF000000"/>
        <rFont val="JRFonts"/>
        <charset val="134"/>
      </rPr>
      <t>28-07-2026 11:33</t>
    </r>
  </si>
  <si>
    <r>
      <rPr>
        <sz val="10"/>
        <color rgb="FF0000FF"/>
        <rFont val="JRFonts"/>
        <charset val="134"/>
      </rPr>
      <t>21395</t>
    </r>
  </si>
  <si>
    <r>
      <rPr>
        <sz val="10"/>
        <color rgb="FF0000FF"/>
        <rFont val="JRFonts"/>
        <charset val="134"/>
      </rPr>
      <t>21397</t>
    </r>
  </si>
  <si>
    <r>
      <rPr>
        <sz val="10"/>
        <color rgb="FF000000"/>
        <rFont val="JRFonts"/>
        <charset val="134"/>
      </rPr>
      <t>27-07-2026 15:35</t>
    </r>
  </si>
  <si>
    <r>
      <rPr>
        <sz val="10"/>
        <color rgb="FF000000"/>
        <rFont val="JRFonts"/>
        <charset val="134"/>
      </rPr>
      <t>29-07-2026 18:34</t>
    </r>
  </si>
  <si>
    <r>
      <rPr>
        <sz val="10"/>
        <color rgb="FF000000"/>
        <rFont val="JRFonts"/>
        <charset val="134"/>
      </rPr>
      <t>27-07-2026 15:45</t>
    </r>
  </si>
  <si>
    <t>21397</t>
  </si>
  <si>
    <r>
      <rPr>
        <sz val="10"/>
        <color rgb="FF0000FF"/>
        <rFont val="JRFonts"/>
        <charset val="134"/>
      </rPr>
      <t>21398</t>
    </r>
  </si>
  <si>
    <r>
      <rPr>
        <sz val="10"/>
        <color rgb="FF000000"/>
        <rFont val="JRFonts"/>
        <charset val="134"/>
      </rPr>
      <t>28-07-2026 00:11</t>
    </r>
  </si>
  <si>
    <r>
      <rPr>
        <sz val="10"/>
        <color rgb="FF000000"/>
        <rFont val="JRFonts"/>
        <charset val="134"/>
      </rPr>
      <t>27-07-2026 15:46</t>
    </r>
  </si>
  <si>
    <r>
      <rPr>
        <sz val="10"/>
        <color rgb="FF0000FF"/>
        <rFont val="JRFonts"/>
        <charset val="134"/>
      </rPr>
      <t>21399</t>
    </r>
  </si>
  <si>
    <r>
      <rPr>
        <sz val="10"/>
        <color rgb="FF000000"/>
        <rFont val="JRFonts"/>
        <charset val="134"/>
      </rPr>
      <t>28-07-2026 00:09</t>
    </r>
  </si>
  <si>
    <r>
      <rPr>
        <sz val="10"/>
        <color rgb="FF000000"/>
        <rFont val="JRFonts"/>
        <charset val="134"/>
      </rPr>
      <t>27-07-2026 16:10</t>
    </r>
  </si>
  <si>
    <r>
      <rPr>
        <sz val="10"/>
        <color rgb="FF0000FF"/>
        <rFont val="JRFonts"/>
        <charset val="134"/>
      </rPr>
      <t>21400</t>
    </r>
  </si>
  <si>
    <r>
      <rPr>
        <sz val="10"/>
        <color rgb="FF000000"/>
        <rFont val="JRFonts"/>
        <charset val="134"/>
      </rPr>
      <t>27-07-2026 17:20</t>
    </r>
  </si>
  <si>
    <r>
      <rPr>
        <sz val="10"/>
        <color rgb="FF0000FF"/>
        <rFont val="JRFonts"/>
        <charset val="134"/>
      </rPr>
      <t>21401</t>
    </r>
  </si>
  <si>
    <r>
      <rPr>
        <sz val="10"/>
        <color rgb="FF000000"/>
        <rFont val="JRFonts"/>
        <charset val="134"/>
      </rPr>
      <t>27-07-2026 15:53</t>
    </r>
  </si>
  <si>
    <r>
      <rPr>
        <sz val="10"/>
        <color rgb="FF000000"/>
        <rFont val="JRFonts"/>
        <charset val="134"/>
      </rPr>
      <t>29-07-2026 11:18</t>
    </r>
  </si>
  <si>
    <r>
      <rPr>
        <sz val="10"/>
        <color rgb="FF000000"/>
        <rFont val="JRFonts"/>
        <charset val="134"/>
      </rPr>
      <t>28-07-2026 11:34</t>
    </r>
  </si>
  <si>
    <r>
      <rPr>
        <sz val="10"/>
        <color rgb="FF0000FF"/>
        <rFont val="JRFonts"/>
        <charset val="134"/>
      </rPr>
      <t>21403</t>
    </r>
  </si>
  <si>
    <r>
      <rPr>
        <sz val="10"/>
        <color rgb="FF000000"/>
        <rFont val="JRFonts"/>
        <charset val="134"/>
      </rPr>
      <t>27-07-2026 15:59</t>
    </r>
  </si>
  <si>
    <r>
      <rPr>
        <sz val="10"/>
        <color rgb="FF000000"/>
        <rFont val="JRFonts"/>
        <charset val="134"/>
      </rPr>
      <t>31-07-2026 11:27</t>
    </r>
  </si>
  <si>
    <r>
      <rPr>
        <sz val="10"/>
        <color rgb="FF000000"/>
        <rFont val="JRFonts"/>
        <charset val="134"/>
      </rPr>
      <t>27-07-2026 16:08</t>
    </r>
  </si>
  <si>
    <t>21403</t>
  </si>
  <si>
    <r>
      <rPr>
        <sz val="10"/>
        <color rgb="FF0000FF"/>
        <rFont val="JRFonts"/>
        <charset val="134"/>
      </rPr>
      <t>21404</t>
    </r>
  </si>
  <si>
    <r>
      <rPr>
        <sz val="10"/>
        <color rgb="FF000000"/>
        <rFont val="JRFonts"/>
        <charset val="134"/>
      </rPr>
      <t>05-08-2026 16:02</t>
    </r>
  </si>
  <si>
    <r>
      <rPr>
        <sz val="10"/>
        <color rgb="FF000000"/>
        <rFont val="JRFonts"/>
        <charset val="134"/>
      </rPr>
      <t>27-07-2026 16:09</t>
    </r>
  </si>
  <si>
    <t>21404</t>
  </si>
  <si>
    <r>
      <rPr>
        <sz val="10"/>
        <color rgb="FF0000FF"/>
        <rFont val="JRFonts"/>
        <charset val="134"/>
      </rPr>
      <t>21405</t>
    </r>
  </si>
  <si>
    <r>
      <rPr>
        <sz val="10"/>
        <color rgb="FF000000"/>
        <rFont val="JRFonts"/>
        <charset val="134"/>
      </rPr>
      <t>28-07-2026 00:08</t>
    </r>
  </si>
  <si>
    <r>
      <rPr>
        <sz val="10"/>
        <color rgb="FF000000"/>
        <rFont val="JRFonts"/>
        <charset val="134"/>
      </rPr>
      <t>27-07-2026 16:12</t>
    </r>
  </si>
  <si>
    <r>
      <rPr>
        <sz val="10"/>
        <color rgb="FF0000FF"/>
        <rFont val="JRFonts"/>
        <charset val="134"/>
      </rPr>
      <t>21407</t>
    </r>
  </si>
  <si>
    <r>
      <rPr>
        <sz val="10"/>
        <color rgb="FF000000"/>
        <rFont val="JRFonts"/>
        <charset val="134"/>
      </rPr>
      <t>27-07-2026 16:02</t>
    </r>
  </si>
  <si>
    <r>
      <rPr>
        <sz val="10"/>
        <color rgb="FF000000"/>
        <rFont val="JRFonts"/>
        <charset val="134"/>
      </rPr>
      <t>28-07-2026 00:03</t>
    </r>
  </si>
  <si>
    <r>
      <rPr>
        <sz val="10"/>
        <color rgb="FF000000"/>
        <rFont val="JRFonts"/>
        <charset val="134"/>
      </rPr>
      <t>27-07-2026 16:16</t>
    </r>
  </si>
  <si>
    <r>
      <rPr>
        <sz val="10"/>
        <color rgb="FF0000FF"/>
        <rFont val="JRFonts"/>
        <charset val="134"/>
      </rPr>
      <t>21408</t>
    </r>
  </si>
  <si>
    <r>
      <rPr>
        <sz val="10"/>
        <color rgb="FF000000"/>
        <rFont val="JRFonts"/>
        <charset val="134"/>
      </rPr>
      <t>27-07-2026 16:05</t>
    </r>
  </si>
  <si>
    <r>
      <rPr>
        <sz val="10"/>
        <color rgb="FF000000"/>
        <rFont val="JRFonts"/>
        <charset val="134"/>
      </rPr>
      <t>29-07-2026 10:40</t>
    </r>
  </si>
  <si>
    <r>
      <rPr>
        <sz val="10"/>
        <color rgb="FF000000"/>
        <rFont val="JRFonts"/>
        <charset val="134"/>
      </rPr>
      <t>28-07-2026 11:35</t>
    </r>
  </si>
  <si>
    <r>
      <rPr>
        <sz val="10"/>
        <color rgb="FF0000FF"/>
        <rFont val="JRFonts"/>
        <charset val="134"/>
      </rPr>
      <t>21410</t>
    </r>
  </si>
  <si>
    <r>
      <rPr>
        <sz val="10"/>
        <color rgb="FF000000"/>
        <rFont val="JRFonts"/>
        <charset val="134"/>
      </rPr>
      <t>03-08-2026 17:38</t>
    </r>
  </si>
  <si>
    <r>
      <rPr>
        <sz val="10"/>
        <color rgb="FF000000"/>
        <rFont val="JRFonts"/>
        <charset val="134"/>
      </rPr>
      <t>28-07-2026 11:37</t>
    </r>
  </si>
  <si>
    <r>
      <rPr>
        <sz val="10"/>
        <color rgb="FF0000FF"/>
        <rFont val="JRFonts"/>
        <charset val="134"/>
      </rPr>
      <t>21411</t>
    </r>
  </si>
  <si>
    <r>
      <rPr>
        <sz val="10"/>
        <color rgb="FF000000"/>
        <rFont val="JRFonts"/>
        <charset val="134"/>
      </rPr>
      <t>29-07-2026 10:43</t>
    </r>
  </si>
  <si>
    <r>
      <rPr>
        <sz val="10"/>
        <color rgb="FF000000"/>
        <rFont val="JRFonts"/>
        <charset val="134"/>
      </rPr>
      <t>28-07-2026 11:43</t>
    </r>
  </si>
  <si>
    <r>
      <rPr>
        <sz val="10"/>
        <color rgb="FF0000FF"/>
        <rFont val="JRFonts"/>
        <charset val="134"/>
      </rPr>
      <t>21413</t>
    </r>
  </si>
  <si>
    <r>
      <rPr>
        <sz val="10"/>
        <color rgb="FF000000"/>
        <rFont val="JRFonts"/>
        <charset val="134"/>
      </rPr>
      <t>30-07-2026 14:08</t>
    </r>
  </si>
  <si>
    <r>
      <rPr>
        <sz val="10"/>
        <color rgb="FF000000"/>
        <rFont val="JRFonts"/>
        <charset val="134"/>
      </rPr>
      <t>27-07-2026 16:14</t>
    </r>
  </si>
  <si>
    <t>Priority got updated form P4 to P1 and resolved within SLA post approval for deletion</t>
  </si>
  <si>
    <r>
      <rPr>
        <sz val="10"/>
        <color rgb="FF0000FF"/>
        <rFont val="JRFonts"/>
        <charset val="134"/>
      </rPr>
      <t>21416</t>
    </r>
  </si>
  <si>
    <r>
      <rPr>
        <sz val="10"/>
        <color rgb="FF000000"/>
        <rFont val="JRFonts"/>
        <charset val="134"/>
      </rPr>
      <t>28-07-2026 14:14</t>
    </r>
  </si>
  <si>
    <r>
      <rPr>
        <sz val="10"/>
        <color rgb="FF000000"/>
        <rFont val="JRFonts"/>
        <charset val="134"/>
      </rPr>
      <t>28-07-2026 11:55</t>
    </r>
  </si>
  <si>
    <r>
      <rPr>
        <sz val="10"/>
        <color rgb="FF0000FF"/>
        <rFont val="JRFonts"/>
        <charset val="134"/>
      </rPr>
      <t>21417</t>
    </r>
  </si>
  <si>
    <r>
      <rPr>
        <sz val="10"/>
        <color rgb="FF000000"/>
        <rFont val="JRFonts"/>
        <charset val="134"/>
      </rPr>
      <t>27-07-2026 16:15</t>
    </r>
  </si>
  <si>
    <r>
      <rPr>
        <sz val="10"/>
        <color rgb="FF000000"/>
        <rFont val="JRFonts"/>
        <charset val="134"/>
      </rPr>
      <t>07-08-2026 15:47</t>
    </r>
  </si>
  <si>
    <r>
      <rPr>
        <sz val="10"/>
        <color rgb="FF000000"/>
        <rFont val="JRFonts"/>
        <charset val="134"/>
      </rPr>
      <t>27-07-2026 16:50</t>
    </r>
  </si>
  <si>
    <r>
      <rPr>
        <sz val="10"/>
        <color rgb="FF0000FF"/>
        <rFont val="JRFonts"/>
        <charset val="134"/>
      </rPr>
      <t>21418</t>
    </r>
  </si>
  <si>
    <r>
      <rPr>
        <sz val="10"/>
        <color rgb="FF000000"/>
        <rFont val="JRFonts"/>
        <charset val="134"/>
      </rPr>
      <t>05-08-2026 15:47</t>
    </r>
  </si>
  <si>
    <r>
      <rPr>
        <sz val="10"/>
        <color rgb="FF000000"/>
        <rFont val="JRFonts"/>
        <charset val="134"/>
      </rPr>
      <t>27-07-2026 16:31</t>
    </r>
  </si>
  <si>
    <t>21418</t>
  </si>
  <si>
    <r>
      <rPr>
        <sz val="10"/>
        <color rgb="FF0000FF"/>
        <rFont val="JRFonts"/>
        <charset val="134"/>
      </rPr>
      <t>21420</t>
    </r>
  </si>
  <si>
    <r>
      <rPr>
        <sz val="10"/>
        <color rgb="FF000000"/>
        <rFont val="JRFonts"/>
        <charset val="134"/>
      </rPr>
      <t>04-08-2026 10:26</t>
    </r>
  </si>
  <si>
    <r>
      <rPr>
        <sz val="10"/>
        <color rgb="FF000000"/>
        <rFont val="JRFonts"/>
        <charset val="134"/>
      </rPr>
      <t>27-07-2026 16:39</t>
    </r>
  </si>
  <si>
    <t># 21413  Duplicate ticket  , which is resolved within SLA post approval</t>
  </si>
  <si>
    <r>
      <rPr>
        <sz val="10"/>
        <color rgb="FF0000FF"/>
        <rFont val="JRFonts"/>
        <charset val="134"/>
      </rPr>
      <t>21421</t>
    </r>
  </si>
  <si>
    <r>
      <rPr>
        <sz val="10"/>
        <color rgb="FF000000"/>
        <rFont val="JRFonts"/>
        <charset val="134"/>
      </rPr>
      <t>05-08-2026 16:24</t>
    </r>
  </si>
  <si>
    <r>
      <rPr>
        <sz val="10"/>
        <color rgb="FF000000"/>
        <rFont val="JRFonts"/>
        <charset val="134"/>
      </rPr>
      <t>27-07-2026 16:52</t>
    </r>
  </si>
  <si>
    <t>21421</t>
  </si>
  <si>
    <r>
      <rPr>
        <sz val="10"/>
        <color rgb="FF0000FF"/>
        <rFont val="JRFonts"/>
        <charset val="134"/>
      </rPr>
      <t>21422</t>
    </r>
  </si>
  <si>
    <r>
      <rPr>
        <sz val="10"/>
        <color rgb="FF000000"/>
        <rFont val="JRFonts"/>
        <charset val="134"/>
      </rPr>
      <t>27-07-2026 16:21</t>
    </r>
  </si>
  <si>
    <r>
      <rPr>
        <sz val="10"/>
        <color rgb="FF000000"/>
        <rFont val="JRFonts"/>
        <charset val="134"/>
      </rPr>
      <t>03-08-2026 17:43</t>
    </r>
  </si>
  <si>
    <r>
      <rPr>
        <sz val="10"/>
        <color rgb="FF0000FF"/>
        <rFont val="JRFonts"/>
        <charset val="134"/>
      </rPr>
      <t>21424</t>
    </r>
  </si>
  <si>
    <r>
      <rPr>
        <sz val="10"/>
        <color rgb="FF000000"/>
        <rFont val="JRFonts"/>
        <charset val="134"/>
      </rPr>
      <t>27-07-2026 16:27</t>
    </r>
  </si>
  <si>
    <r>
      <rPr>
        <sz val="10"/>
        <color rgb="FF000000"/>
        <rFont val="JRFonts"/>
        <charset val="134"/>
      </rPr>
      <t>27-07-2026 16:42</t>
    </r>
  </si>
  <si>
    <r>
      <rPr>
        <sz val="10"/>
        <color rgb="FF0000FF"/>
        <rFont val="JRFonts"/>
        <charset val="134"/>
      </rPr>
      <t>21425</t>
    </r>
  </si>
  <si>
    <r>
      <rPr>
        <sz val="10"/>
        <color rgb="FF000000"/>
        <rFont val="JRFonts"/>
        <charset val="134"/>
      </rPr>
      <t>27-07-2026 16:30</t>
    </r>
  </si>
  <si>
    <r>
      <rPr>
        <sz val="10"/>
        <color rgb="FF000000"/>
        <rFont val="JRFonts"/>
        <charset val="134"/>
      </rPr>
      <t>27-07-2026 17:23</t>
    </r>
  </si>
  <si>
    <r>
      <rPr>
        <sz val="10"/>
        <color rgb="FF000000"/>
        <rFont val="JRFonts"/>
        <charset val="134"/>
      </rPr>
      <t>27-07-2026 16:44</t>
    </r>
  </si>
  <si>
    <r>
      <rPr>
        <sz val="10"/>
        <color rgb="FF0000FF"/>
        <rFont val="JRFonts"/>
        <charset val="134"/>
      </rPr>
      <t>21428</t>
    </r>
  </si>
  <si>
    <r>
      <rPr>
        <sz val="10"/>
        <color rgb="FF000000"/>
        <rFont val="JRFonts"/>
        <charset val="134"/>
      </rPr>
      <t>28-07-2026 16:29</t>
    </r>
  </si>
  <si>
    <r>
      <rPr>
        <sz val="10"/>
        <color rgb="FF000000"/>
        <rFont val="JRFonts"/>
        <charset val="134"/>
      </rPr>
      <t>27-07-2026 18:10</t>
    </r>
  </si>
  <si>
    <r>
      <rPr>
        <sz val="10"/>
        <color rgb="FF0000FF"/>
        <rFont val="JRFonts"/>
        <charset val="134"/>
      </rPr>
      <t>21429</t>
    </r>
  </si>
  <si>
    <r>
      <rPr>
        <sz val="10"/>
        <color rgb="FF000000"/>
        <rFont val="JRFonts"/>
        <charset val="134"/>
      </rPr>
      <t>27-07-2026 16:55</t>
    </r>
  </si>
  <si>
    <r>
      <rPr>
        <sz val="10"/>
        <color rgb="FF000000"/>
        <rFont val="JRFonts"/>
        <charset val="134"/>
      </rPr>
      <t>27-07-2026 23:04</t>
    </r>
  </si>
  <si>
    <r>
      <rPr>
        <sz val="10"/>
        <color rgb="FF000000"/>
        <rFont val="JRFonts"/>
        <charset val="134"/>
      </rPr>
      <t>27-07-2026 18:11</t>
    </r>
  </si>
  <si>
    <r>
      <rPr>
        <sz val="10"/>
        <color rgb="FF0000FF"/>
        <rFont val="JRFonts"/>
        <charset val="134"/>
      </rPr>
      <t>21432</t>
    </r>
  </si>
  <si>
    <r>
      <rPr>
        <sz val="10"/>
        <color rgb="FF000000"/>
        <rFont val="JRFonts"/>
        <charset val="134"/>
      </rPr>
      <t>27-07-2026 17:01</t>
    </r>
  </si>
  <si>
    <r>
      <rPr>
        <sz val="10"/>
        <color rgb="FF000000"/>
        <rFont val="JRFonts"/>
        <charset val="134"/>
      </rPr>
      <t>28-07-2026 12:09</t>
    </r>
  </si>
  <si>
    <r>
      <rPr>
        <sz val="10"/>
        <color rgb="FF000000"/>
        <rFont val="JRFonts"/>
        <charset val="134"/>
      </rPr>
      <t>27-07-2026 17:07</t>
    </r>
  </si>
  <si>
    <r>
      <rPr>
        <sz val="10"/>
        <color rgb="FF0000FF"/>
        <rFont val="JRFonts"/>
        <charset val="134"/>
      </rPr>
      <t>21433</t>
    </r>
  </si>
  <si>
    <r>
      <rPr>
        <sz val="10"/>
        <color rgb="FF000000"/>
        <rFont val="JRFonts"/>
        <charset val="134"/>
      </rPr>
      <t>27-07-2026 17:04</t>
    </r>
  </si>
  <si>
    <r>
      <rPr>
        <sz val="10"/>
        <color rgb="FF000000"/>
        <rFont val="JRFonts"/>
        <charset val="134"/>
      </rPr>
      <t>27-07-2026 18:14</t>
    </r>
  </si>
  <si>
    <t>21433</t>
  </si>
  <si>
    <r>
      <rPr>
        <sz val="10"/>
        <color rgb="FF0000FF"/>
        <rFont val="JRFonts"/>
        <charset val="134"/>
      </rPr>
      <t>21434</t>
    </r>
  </si>
  <si>
    <r>
      <rPr>
        <sz val="10"/>
        <color rgb="FF000000"/>
        <rFont val="JRFonts"/>
        <charset val="134"/>
      </rPr>
      <t>29-07-2026 15:16</t>
    </r>
  </si>
  <si>
    <r>
      <rPr>
        <sz val="10"/>
        <color rgb="FF000000"/>
        <rFont val="JRFonts"/>
        <charset val="134"/>
      </rPr>
      <t>27-07-2026 18:06</t>
    </r>
  </si>
  <si>
    <t>21434</t>
  </si>
  <si>
    <r>
      <rPr>
        <sz val="10"/>
        <color rgb="FF0000FF"/>
        <rFont val="JRFonts"/>
        <charset val="134"/>
      </rPr>
      <t>21435</t>
    </r>
  </si>
  <si>
    <r>
      <rPr>
        <sz val="10"/>
        <color rgb="FF000000"/>
        <rFont val="JRFonts"/>
        <charset val="134"/>
      </rPr>
      <t>03-08-2026 17:44</t>
    </r>
  </si>
  <si>
    <r>
      <rPr>
        <sz val="10"/>
        <color rgb="FF000000"/>
        <rFont val="JRFonts"/>
        <charset val="134"/>
      </rPr>
      <t>27-07-2026 17:25</t>
    </r>
  </si>
  <si>
    <r>
      <rPr>
        <sz val="10"/>
        <color rgb="FF0000FF"/>
        <rFont val="JRFonts"/>
        <charset val="134"/>
      </rPr>
      <t>21436</t>
    </r>
  </si>
  <si>
    <r>
      <rPr>
        <sz val="10"/>
        <color rgb="FF000000"/>
        <rFont val="JRFonts"/>
        <charset val="134"/>
      </rPr>
      <t>28-07-2026 11:50</t>
    </r>
  </si>
  <si>
    <r>
      <rPr>
        <sz val="10"/>
        <color rgb="FF000000"/>
        <rFont val="JRFonts"/>
        <charset val="134"/>
      </rPr>
      <t>27-07-2026 18:15</t>
    </r>
  </si>
  <si>
    <r>
      <rPr>
        <sz val="10"/>
        <color rgb="FF0000FF"/>
        <rFont val="JRFonts"/>
        <charset val="134"/>
      </rPr>
      <t>21437</t>
    </r>
  </si>
  <si>
    <r>
      <rPr>
        <sz val="10"/>
        <color rgb="FF000000"/>
        <rFont val="JRFonts"/>
        <charset val="134"/>
      </rPr>
      <t>28-07-2026 11:46</t>
    </r>
  </si>
  <si>
    <r>
      <rPr>
        <sz val="10"/>
        <color rgb="FF000000"/>
        <rFont val="JRFonts"/>
        <charset val="134"/>
      </rPr>
      <t>27-07-2026 17:51</t>
    </r>
  </si>
  <si>
    <r>
      <rPr>
        <sz val="10"/>
        <color rgb="FF0000FF"/>
        <rFont val="JRFonts"/>
        <charset val="134"/>
      </rPr>
      <t>21438</t>
    </r>
  </si>
  <si>
    <r>
      <rPr>
        <sz val="10"/>
        <color rgb="FF000000"/>
        <rFont val="JRFonts"/>
        <charset val="134"/>
      </rPr>
      <t>05-08-2026 18:09</t>
    </r>
  </si>
  <si>
    <t>21438</t>
  </si>
  <si>
    <r>
      <rPr>
        <sz val="10"/>
        <color rgb="FF0000FF"/>
        <rFont val="JRFonts"/>
        <charset val="134"/>
      </rPr>
      <t>21439</t>
    </r>
  </si>
  <si>
    <r>
      <rPr>
        <sz val="10"/>
        <color rgb="FF000000"/>
        <rFont val="JRFonts"/>
        <charset val="134"/>
      </rPr>
      <t>29-07-2026 16:42</t>
    </r>
  </si>
  <si>
    <r>
      <rPr>
        <sz val="10"/>
        <color rgb="FF000000"/>
        <rFont val="JRFonts"/>
        <charset val="134"/>
      </rPr>
      <t>27-07-2026 17:24</t>
    </r>
  </si>
  <si>
    <t>21439</t>
  </si>
  <si>
    <r>
      <rPr>
        <sz val="10"/>
        <color rgb="FF0000FF"/>
        <rFont val="JRFonts"/>
        <charset val="134"/>
      </rPr>
      <t>21443</t>
    </r>
  </si>
  <si>
    <r>
      <rPr>
        <sz val="10"/>
        <color rgb="FF000000"/>
        <rFont val="JRFonts"/>
        <charset val="134"/>
      </rPr>
      <t>28-07-2026 11:07</t>
    </r>
  </si>
  <si>
    <r>
      <rPr>
        <sz val="10"/>
        <color rgb="FF000000"/>
        <rFont val="JRFonts"/>
        <charset val="134"/>
      </rPr>
      <t>27-07-2026 17:49</t>
    </r>
  </si>
  <si>
    <r>
      <rPr>
        <sz val="10"/>
        <color rgb="FF0000FF"/>
        <rFont val="JRFonts"/>
        <charset val="134"/>
      </rPr>
      <t>21445</t>
    </r>
  </si>
  <si>
    <r>
      <rPr>
        <sz val="10"/>
        <color rgb="FF000000"/>
        <rFont val="JRFonts"/>
        <charset val="134"/>
      </rPr>
      <t>27-07-2026 17:27</t>
    </r>
  </si>
  <si>
    <r>
      <rPr>
        <sz val="10"/>
        <color rgb="FF000000"/>
        <rFont val="JRFonts"/>
        <charset val="134"/>
      </rPr>
      <t>28-07-2026 11:42</t>
    </r>
  </si>
  <si>
    <r>
      <rPr>
        <sz val="10"/>
        <color rgb="FF0000FF"/>
        <rFont val="JRFonts"/>
        <charset val="134"/>
      </rPr>
      <t>21446</t>
    </r>
  </si>
  <si>
    <r>
      <rPr>
        <sz val="10"/>
        <color rgb="FF000000"/>
        <rFont val="JRFonts"/>
        <charset val="134"/>
      </rPr>
      <t>27-07-2026 17:30</t>
    </r>
  </si>
  <si>
    <r>
      <rPr>
        <sz val="10"/>
        <color rgb="FF000000"/>
        <rFont val="JRFonts"/>
        <charset val="134"/>
      </rPr>
      <t>03-08-2026 17:45</t>
    </r>
  </si>
  <si>
    <r>
      <rPr>
        <sz val="10"/>
        <color rgb="FF000000"/>
        <rFont val="JRFonts"/>
        <charset val="134"/>
      </rPr>
      <t>27-07-2026 18:16</t>
    </r>
  </si>
  <si>
    <r>
      <rPr>
        <sz val="10"/>
        <color rgb="FF0000FF"/>
        <rFont val="JRFonts"/>
        <charset val="134"/>
      </rPr>
      <t>21447</t>
    </r>
  </si>
  <si>
    <r>
      <rPr>
        <sz val="10"/>
        <color rgb="FF000000"/>
        <rFont val="JRFonts"/>
        <charset val="134"/>
      </rPr>
      <t>03-08-2026 17:47</t>
    </r>
  </si>
  <si>
    <r>
      <rPr>
        <sz val="10"/>
        <color rgb="FF000000"/>
        <rFont val="JRFonts"/>
        <charset val="134"/>
      </rPr>
      <t>27-07-2026 18:17</t>
    </r>
  </si>
  <si>
    <t>21447</t>
  </si>
  <si>
    <r>
      <rPr>
        <sz val="10"/>
        <color rgb="FF0000FF"/>
        <rFont val="JRFonts"/>
        <charset val="134"/>
      </rPr>
      <t>21448</t>
    </r>
  </si>
  <si>
    <r>
      <rPr>
        <sz val="10"/>
        <color rgb="FF000000"/>
        <rFont val="JRFonts"/>
        <charset val="134"/>
      </rPr>
      <t>27-07-2026 17:33</t>
    </r>
  </si>
  <si>
    <r>
      <rPr>
        <sz val="10"/>
        <color rgb="FF000000"/>
        <rFont val="JRFonts"/>
        <charset val="134"/>
      </rPr>
      <t>28-07-2026 11:06</t>
    </r>
  </si>
  <si>
    <r>
      <rPr>
        <sz val="10"/>
        <color rgb="FF000000"/>
        <rFont val="JRFonts"/>
        <charset val="134"/>
      </rPr>
      <t>27-07-2026 17:50</t>
    </r>
  </si>
  <si>
    <r>
      <rPr>
        <sz val="10"/>
        <color rgb="FF0000FF"/>
        <rFont val="JRFonts"/>
        <charset val="134"/>
      </rPr>
      <t>21449</t>
    </r>
  </si>
  <si>
    <r>
      <rPr>
        <sz val="10"/>
        <color rgb="FF000000"/>
        <rFont val="JRFonts"/>
        <charset val="134"/>
      </rPr>
      <t>27-07-2026 17:36</t>
    </r>
  </si>
  <si>
    <r>
      <rPr>
        <sz val="10"/>
        <color rgb="FF000000"/>
        <rFont val="JRFonts"/>
        <charset val="134"/>
      </rPr>
      <t>27-07-2026 17:48</t>
    </r>
  </si>
  <si>
    <r>
      <rPr>
        <sz val="10"/>
        <color rgb="FF0000FF"/>
        <rFont val="JRFonts"/>
        <charset val="134"/>
      </rPr>
      <t>21450</t>
    </r>
  </si>
  <si>
    <r>
      <rPr>
        <sz val="10"/>
        <color rgb="FF000000"/>
        <rFont val="JRFonts"/>
        <charset val="134"/>
      </rPr>
      <t>27-07-2026 23:01</t>
    </r>
  </si>
  <si>
    <r>
      <rPr>
        <sz val="10"/>
        <color rgb="FF000000"/>
        <rFont val="JRFonts"/>
        <charset val="134"/>
      </rPr>
      <t>27-07-2026 17:40</t>
    </r>
  </si>
  <si>
    <r>
      <rPr>
        <sz val="10"/>
        <color rgb="FF0000FF"/>
        <rFont val="JRFonts"/>
        <charset val="134"/>
      </rPr>
      <t>21451</t>
    </r>
  </si>
  <si>
    <r>
      <rPr>
        <sz val="10"/>
        <color rgb="FF000000"/>
        <rFont val="JRFonts"/>
        <charset val="134"/>
      </rPr>
      <t>27-07-2026 17:39</t>
    </r>
  </si>
  <si>
    <r>
      <rPr>
        <sz val="10"/>
        <color rgb="FF000000"/>
        <rFont val="JRFonts"/>
        <charset val="134"/>
      </rPr>
      <t>21-08-2026 11:00</t>
    </r>
  </si>
  <si>
    <r>
      <rPr>
        <sz val="10"/>
        <color rgb="FF000000"/>
        <rFont val="JRFonts"/>
        <charset val="134"/>
      </rPr>
      <t>27-07-2026 17:45</t>
    </r>
  </si>
  <si>
    <t>21451</t>
  </si>
  <si>
    <r>
      <rPr>
        <sz val="10"/>
        <color rgb="FF0000FF"/>
        <rFont val="JRFonts"/>
        <charset val="134"/>
      </rPr>
      <t>21452</t>
    </r>
  </si>
  <si>
    <r>
      <rPr>
        <sz val="10"/>
        <color rgb="FF000000"/>
        <rFont val="JRFonts"/>
        <charset val="134"/>
      </rPr>
      <t>27-07-2026 17:42</t>
    </r>
  </si>
  <si>
    <r>
      <rPr>
        <sz val="10"/>
        <color rgb="FF000000"/>
        <rFont val="JRFonts"/>
        <charset val="134"/>
      </rPr>
      <t>28-07-2026 11:16</t>
    </r>
  </si>
  <si>
    <r>
      <rPr>
        <sz val="10"/>
        <color rgb="FF000000"/>
        <rFont val="JRFonts"/>
        <charset val="134"/>
      </rPr>
      <t>27-07-2026 17:44</t>
    </r>
  </si>
  <si>
    <r>
      <rPr>
        <sz val="10"/>
        <color rgb="FF0000FF"/>
        <rFont val="JRFonts"/>
        <charset val="134"/>
      </rPr>
      <t>21453</t>
    </r>
  </si>
  <si>
    <r>
      <rPr>
        <sz val="10"/>
        <color rgb="FF000000"/>
        <rFont val="JRFonts"/>
        <charset val="134"/>
      </rPr>
      <t>06-08-2026 17:08</t>
    </r>
  </si>
  <si>
    <r>
      <rPr>
        <sz val="10"/>
        <color rgb="FF000000"/>
        <rFont val="JRFonts"/>
        <charset val="134"/>
      </rPr>
      <t>30-07-2026 10:06</t>
    </r>
  </si>
  <si>
    <t>21453</t>
  </si>
  <si>
    <r>
      <rPr>
        <sz val="10"/>
        <color rgb="FF0000FF"/>
        <rFont val="JRFonts"/>
        <charset val="134"/>
      </rPr>
      <t>21454</t>
    </r>
  </si>
  <si>
    <r>
      <rPr>
        <sz val="10"/>
        <color rgb="FF000000"/>
        <rFont val="JRFonts"/>
        <charset val="134"/>
      </rPr>
      <t>27-07-2026 17:43</t>
    </r>
  </si>
  <si>
    <r>
      <rPr>
        <sz val="10"/>
        <color rgb="FF000000"/>
        <rFont val="JRFonts"/>
        <charset val="134"/>
      </rPr>
      <t>27-07-2026 22:55</t>
    </r>
  </si>
  <si>
    <r>
      <rPr>
        <sz val="10"/>
        <color rgb="FF000000"/>
        <rFont val="JRFonts"/>
        <charset val="134"/>
      </rPr>
      <t>27-07-2026 18:21</t>
    </r>
  </si>
  <si>
    <r>
      <rPr>
        <sz val="10"/>
        <color rgb="FF0000FF"/>
        <rFont val="JRFonts"/>
        <charset val="134"/>
      </rPr>
      <t>21455</t>
    </r>
  </si>
  <si>
    <r>
      <rPr>
        <sz val="10"/>
        <color rgb="FF000000"/>
        <rFont val="JRFonts"/>
        <charset val="134"/>
      </rPr>
      <t>27-07-2026 17:46</t>
    </r>
  </si>
  <si>
    <r>
      <rPr>
        <sz val="10"/>
        <color rgb="FF000000"/>
        <rFont val="JRFonts"/>
        <charset val="134"/>
      </rPr>
      <t>03-08-2026 16:18</t>
    </r>
  </si>
  <si>
    <r>
      <rPr>
        <sz val="10"/>
        <color rgb="FF000000"/>
        <rFont val="JRFonts"/>
        <charset val="134"/>
      </rPr>
      <t>29-07-2026 15:56</t>
    </r>
  </si>
  <si>
    <t>21455</t>
  </si>
  <si>
    <r>
      <rPr>
        <sz val="10"/>
        <color rgb="FF0000FF"/>
        <rFont val="JRFonts"/>
        <charset val="134"/>
      </rPr>
      <t>21456</t>
    </r>
  </si>
  <si>
    <r>
      <rPr>
        <sz val="10"/>
        <color rgb="FF000000"/>
        <rFont val="JRFonts"/>
        <charset val="134"/>
      </rPr>
      <t>27-07-2026 17:52</t>
    </r>
  </si>
  <si>
    <r>
      <rPr>
        <sz val="10"/>
        <color rgb="FF000000"/>
        <rFont val="JRFonts"/>
        <charset val="134"/>
      </rPr>
      <t>05-08-2026 16:38</t>
    </r>
  </si>
  <si>
    <r>
      <rPr>
        <sz val="10"/>
        <color rgb="FF000000"/>
        <rFont val="JRFonts"/>
        <charset val="134"/>
      </rPr>
      <t>27-07-2026 18:05</t>
    </r>
  </si>
  <si>
    <t>21456</t>
  </si>
  <si>
    <r>
      <rPr>
        <sz val="10"/>
        <color rgb="FF0000FF"/>
        <rFont val="JRFonts"/>
        <charset val="134"/>
      </rPr>
      <t>21457</t>
    </r>
  </si>
  <si>
    <r>
      <rPr>
        <sz val="10"/>
        <color rgb="FF000000"/>
        <rFont val="JRFonts"/>
        <charset val="134"/>
      </rPr>
      <t>27-07-2026 18:03</t>
    </r>
  </si>
  <si>
    <r>
      <rPr>
        <sz val="10"/>
        <color rgb="FF0000FF"/>
        <rFont val="JRFonts"/>
        <charset val="134"/>
      </rPr>
      <t>21458</t>
    </r>
  </si>
  <si>
    <r>
      <rPr>
        <sz val="10"/>
        <color rgb="FF000000"/>
        <rFont val="JRFonts"/>
        <charset val="134"/>
      </rPr>
      <t>27-07-2026 17:58</t>
    </r>
  </si>
  <si>
    <r>
      <rPr>
        <sz val="10"/>
        <color rgb="FF000000"/>
        <rFont val="JRFonts"/>
        <charset val="134"/>
      </rPr>
      <t>03-08-2026 17:54</t>
    </r>
  </si>
  <si>
    <r>
      <rPr>
        <sz val="10"/>
        <color rgb="FF000000"/>
        <rFont val="JRFonts"/>
        <charset val="134"/>
      </rPr>
      <t>27-07-2026 18:24</t>
    </r>
  </si>
  <si>
    <r>
      <rPr>
        <sz val="10"/>
        <color rgb="FF0000FF"/>
        <rFont val="JRFonts"/>
        <charset val="134"/>
      </rPr>
      <t>21459</t>
    </r>
  </si>
  <si>
    <r>
      <rPr>
        <sz val="10"/>
        <color rgb="FF000000"/>
        <rFont val="JRFonts"/>
        <charset val="134"/>
      </rPr>
      <t>28-07-2026 11:40</t>
    </r>
  </si>
  <si>
    <r>
      <rPr>
        <sz val="10"/>
        <color rgb="FF000000"/>
        <rFont val="JRFonts"/>
        <charset val="134"/>
      </rPr>
      <t>27-07-2026 18:25</t>
    </r>
  </si>
  <si>
    <r>
      <rPr>
        <sz val="10"/>
        <color rgb="FF0000FF"/>
        <rFont val="JRFonts"/>
        <charset val="134"/>
      </rPr>
      <t>21460</t>
    </r>
  </si>
  <si>
    <r>
      <rPr>
        <sz val="10"/>
        <color rgb="FF000000"/>
        <rFont val="JRFonts"/>
        <charset val="134"/>
      </rPr>
      <t>27-07-2026 22:59</t>
    </r>
  </si>
  <si>
    <r>
      <rPr>
        <sz val="10"/>
        <color rgb="FF000000"/>
        <rFont val="JRFonts"/>
        <charset val="134"/>
      </rPr>
      <t>27-07-2026 18:30</t>
    </r>
  </si>
  <si>
    <r>
      <rPr>
        <sz val="10"/>
        <color rgb="FF0000FF"/>
        <rFont val="JRFonts"/>
        <charset val="134"/>
      </rPr>
      <t>21461</t>
    </r>
  </si>
  <si>
    <r>
      <rPr>
        <sz val="10"/>
        <color rgb="FF000000"/>
        <rFont val="JRFonts"/>
        <charset val="134"/>
      </rPr>
      <t>27-07-2026 18:20</t>
    </r>
  </si>
  <si>
    <r>
      <rPr>
        <sz val="10"/>
        <color rgb="FF000000"/>
        <rFont val="JRFonts"/>
        <charset val="134"/>
      </rPr>
      <t>27-07-2026 22:54</t>
    </r>
  </si>
  <si>
    <r>
      <rPr>
        <sz val="10"/>
        <color rgb="FF000000"/>
        <rFont val="JRFonts"/>
        <charset val="134"/>
      </rPr>
      <t>27-07-2026 18:32</t>
    </r>
  </si>
  <si>
    <r>
      <rPr>
        <sz val="10"/>
        <color rgb="FF0000FF"/>
        <rFont val="JRFonts"/>
        <charset val="134"/>
      </rPr>
      <t>21462</t>
    </r>
  </si>
  <si>
    <r>
      <rPr>
        <sz val="10"/>
        <color rgb="FF000000"/>
        <rFont val="JRFonts"/>
        <charset val="134"/>
      </rPr>
      <t>27-07-2026 18:26</t>
    </r>
  </si>
  <si>
    <r>
      <rPr>
        <sz val="10"/>
        <color rgb="FF000000"/>
        <rFont val="JRFonts"/>
        <charset val="134"/>
      </rPr>
      <t>27-07-2026 18:33</t>
    </r>
  </si>
  <si>
    <r>
      <rPr>
        <sz val="10"/>
        <color rgb="FF0000FF"/>
        <rFont val="JRFonts"/>
        <charset val="134"/>
      </rPr>
      <t>21463</t>
    </r>
  </si>
  <si>
    <r>
      <rPr>
        <sz val="10"/>
        <color rgb="FF000000"/>
        <rFont val="JRFonts"/>
        <charset val="134"/>
      </rPr>
      <t>29-07-2026 16:05</t>
    </r>
  </si>
  <si>
    <r>
      <rPr>
        <sz val="10"/>
        <color rgb="FF000000"/>
        <rFont val="JRFonts"/>
        <charset val="134"/>
      </rPr>
      <t>28-07-2026 12:02</t>
    </r>
  </si>
  <si>
    <t>21463</t>
  </si>
  <si>
    <r>
      <rPr>
        <sz val="10"/>
        <color rgb="FF0000FF"/>
        <rFont val="JRFonts"/>
        <charset val="134"/>
      </rPr>
      <t>21465</t>
    </r>
  </si>
  <si>
    <r>
      <rPr>
        <sz val="10"/>
        <color rgb="FF000000"/>
        <rFont val="JRFonts"/>
        <charset val="134"/>
      </rPr>
      <t>27-07-2026 18:35</t>
    </r>
  </si>
  <si>
    <r>
      <rPr>
        <sz val="10"/>
        <color rgb="FF000000"/>
        <rFont val="JRFonts"/>
        <charset val="134"/>
      </rPr>
      <t>29-07-2026 10:47</t>
    </r>
  </si>
  <si>
    <r>
      <rPr>
        <sz val="10"/>
        <color rgb="FF000000"/>
        <rFont val="JRFonts"/>
        <charset val="134"/>
      </rPr>
      <t>28-07-2026 10:54</t>
    </r>
  </si>
  <si>
    <r>
      <rPr>
        <sz val="10"/>
        <color rgb="FF0000FF"/>
        <rFont val="JRFonts"/>
        <charset val="134"/>
      </rPr>
      <t>21466</t>
    </r>
  </si>
  <si>
    <r>
      <rPr>
        <sz val="10"/>
        <color rgb="FF000000"/>
        <rFont val="JRFonts"/>
        <charset val="134"/>
      </rPr>
      <t>03-08-2026 17:55</t>
    </r>
  </si>
  <si>
    <r>
      <rPr>
        <sz val="10"/>
        <color rgb="FF000000"/>
        <rFont val="JRFonts"/>
        <charset val="134"/>
      </rPr>
      <t>28-07-2026 10:55</t>
    </r>
  </si>
  <si>
    <r>
      <rPr>
        <sz val="10"/>
        <color rgb="FF0000FF"/>
        <rFont val="JRFonts"/>
        <charset val="134"/>
      </rPr>
      <t>21468</t>
    </r>
  </si>
  <si>
    <r>
      <rPr>
        <sz val="10"/>
        <color rgb="FF000000"/>
        <rFont val="JRFonts"/>
        <charset val="134"/>
      </rPr>
      <t>27-07-2026 18:44</t>
    </r>
  </si>
  <si>
    <r>
      <rPr>
        <sz val="10"/>
        <color rgb="FF000000"/>
        <rFont val="JRFonts"/>
        <charset val="134"/>
      </rPr>
      <t>06-08-2026 10:59</t>
    </r>
  </si>
  <si>
    <r>
      <rPr>
        <sz val="10"/>
        <color rgb="FF000000"/>
        <rFont val="JRFonts"/>
        <charset val="134"/>
      </rPr>
      <t>28-07-2026 11:45</t>
    </r>
  </si>
  <si>
    <t>21468</t>
  </si>
  <si>
    <t>Initial issues resolved with in SLA , MLI has reopened ticket with new request , priority got updated</t>
  </si>
  <si>
    <r>
      <rPr>
        <sz val="10"/>
        <color rgb="FF0000FF"/>
        <rFont val="JRFonts"/>
        <charset val="134"/>
      </rPr>
      <t>21469</t>
    </r>
  </si>
  <si>
    <r>
      <rPr>
        <sz val="10"/>
        <color rgb="FF000000"/>
        <rFont val="JRFonts"/>
        <charset val="134"/>
      </rPr>
      <t>03-08-2026 17:56</t>
    </r>
  </si>
  <si>
    <r>
      <rPr>
        <sz val="10"/>
        <color rgb="FF000000"/>
        <rFont val="JRFonts"/>
        <charset val="134"/>
      </rPr>
      <t>28-07-2026 10:57</t>
    </r>
  </si>
  <si>
    <r>
      <rPr>
        <sz val="10"/>
        <color rgb="FF0000FF"/>
        <rFont val="JRFonts"/>
        <charset val="134"/>
      </rPr>
      <t>21471</t>
    </r>
  </si>
  <si>
    <r>
      <rPr>
        <sz val="10"/>
        <color rgb="FF000000"/>
        <rFont val="JRFonts"/>
        <charset val="134"/>
      </rPr>
      <t>27-07-2026 18:50</t>
    </r>
  </si>
  <si>
    <r>
      <rPr>
        <sz val="10"/>
        <color rgb="FF000000"/>
        <rFont val="JRFonts"/>
        <charset val="134"/>
      </rPr>
      <t>12-08-2026 12:57</t>
    </r>
  </si>
  <si>
    <r>
      <rPr>
        <sz val="10"/>
        <color rgb="FF000000"/>
        <rFont val="JRFonts"/>
        <charset val="134"/>
      </rPr>
      <t>28-07-2026 10:58</t>
    </r>
  </si>
  <si>
    <r>
      <rPr>
        <sz val="10"/>
        <color rgb="FF0000FF"/>
        <rFont val="JRFonts"/>
        <charset val="134"/>
      </rPr>
      <t>21472</t>
    </r>
  </si>
  <si>
    <r>
      <rPr>
        <sz val="10"/>
        <color rgb="FF000000"/>
        <rFont val="JRFonts"/>
        <charset val="134"/>
      </rPr>
      <t>27-07-2026 19:05</t>
    </r>
  </si>
  <si>
    <r>
      <rPr>
        <sz val="10"/>
        <color rgb="FF000000"/>
        <rFont val="JRFonts"/>
        <charset val="134"/>
      </rPr>
      <t>29-07-2026 15:10</t>
    </r>
  </si>
  <si>
    <r>
      <rPr>
        <sz val="10"/>
        <color rgb="FF000000"/>
        <rFont val="JRFonts"/>
        <charset val="134"/>
      </rPr>
      <t>28-07-2026 12:04</t>
    </r>
  </si>
  <si>
    <r>
      <rPr>
        <sz val="10"/>
        <color rgb="FF0000FF"/>
        <rFont val="JRFonts"/>
        <charset val="134"/>
      </rPr>
      <t>21473</t>
    </r>
  </si>
  <si>
    <r>
      <rPr>
        <sz val="10"/>
        <color rgb="FF000000"/>
        <rFont val="JRFonts"/>
        <charset val="134"/>
      </rPr>
      <t>27-07-2026 19:08</t>
    </r>
  </si>
  <si>
    <r>
      <rPr>
        <sz val="10"/>
        <color rgb="FF000000"/>
        <rFont val="JRFonts"/>
        <charset val="134"/>
      </rPr>
      <t>05-08-2026 15:33</t>
    </r>
  </si>
  <si>
    <r>
      <rPr>
        <sz val="10"/>
        <color rgb="FF000000"/>
        <rFont val="JRFonts"/>
        <charset val="134"/>
      </rPr>
      <t>28-07-2026 12:05</t>
    </r>
  </si>
  <si>
    <t>21473</t>
  </si>
  <si>
    <r>
      <rPr>
        <sz val="10"/>
        <color rgb="FF0000FF"/>
        <rFont val="JRFonts"/>
        <charset val="134"/>
      </rPr>
      <t>21474</t>
    </r>
  </si>
  <si>
    <r>
      <rPr>
        <sz val="10"/>
        <color rgb="FF000000"/>
        <rFont val="JRFonts"/>
        <charset val="134"/>
      </rPr>
      <t>27-07-2026 19:11</t>
    </r>
  </si>
  <si>
    <r>
      <rPr>
        <sz val="10"/>
        <color rgb="FF000000"/>
        <rFont val="JRFonts"/>
        <charset val="134"/>
      </rPr>
      <t>29-07-2026 14:39</t>
    </r>
  </si>
  <si>
    <r>
      <rPr>
        <sz val="10"/>
        <color rgb="FF000000"/>
        <rFont val="JRFonts"/>
        <charset val="134"/>
      </rPr>
      <t>28-07-2026 12:47</t>
    </r>
  </si>
  <si>
    <r>
      <rPr>
        <sz val="10"/>
        <color rgb="FF0000FF"/>
        <rFont val="JRFonts"/>
        <charset val="134"/>
      </rPr>
      <t>21478</t>
    </r>
  </si>
  <si>
    <r>
      <rPr>
        <sz val="10"/>
        <color rgb="FF000000"/>
        <rFont val="JRFonts"/>
        <charset val="134"/>
      </rPr>
      <t>27-07-2026 19:42</t>
    </r>
  </si>
  <si>
    <r>
      <rPr>
        <sz val="10"/>
        <color rgb="FF000000"/>
        <rFont val="JRFonts"/>
        <charset val="134"/>
      </rPr>
      <t>28-07-2026 14:37</t>
    </r>
  </si>
  <si>
    <r>
      <rPr>
        <sz val="10"/>
        <color rgb="FF000000"/>
        <rFont val="JRFonts"/>
        <charset val="134"/>
      </rPr>
      <t>28-07-2026 12:48</t>
    </r>
  </si>
  <si>
    <r>
      <rPr>
        <sz val="10"/>
        <color rgb="FF0000FF"/>
        <rFont val="JRFonts"/>
        <charset val="134"/>
      </rPr>
      <t>21479</t>
    </r>
  </si>
  <si>
    <r>
      <rPr>
        <sz val="10"/>
        <color rgb="FF000000"/>
        <rFont val="JRFonts"/>
        <charset val="134"/>
      </rPr>
      <t>27-07-2026 20:06</t>
    </r>
  </si>
  <si>
    <r>
      <rPr>
        <sz val="10"/>
        <color rgb="FF000000"/>
        <rFont val="JRFonts"/>
        <charset val="134"/>
      </rPr>
      <t>03-08-2026 17:59</t>
    </r>
  </si>
  <si>
    <r>
      <rPr>
        <sz val="10"/>
        <color rgb="FF000000"/>
        <rFont val="JRFonts"/>
        <charset val="134"/>
      </rPr>
      <t>28-07-2026 11:56</t>
    </r>
  </si>
  <si>
    <r>
      <rPr>
        <sz val="10"/>
        <color rgb="FF0000FF"/>
        <rFont val="JRFonts"/>
        <charset val="134"/>
      </rPr>
      <t>21481</t>
    </r>
  </si>
  <si>
    <r>
      <rPr>
        <sz val="10"/>
        <color rgb="FF000000"/>
        <rFont val="JRFonts"/>
        <charset val="134"/>
      </rPr>
      <t>28-07-2026 09:55</t>
    </r>
  </si>
  <si>
    <r>
      <rPr>
        <sz val="10"/>
        <color rgb="FF000000"/>
        <rFont val="JRFonts"/>
        <charset val="134"/>
      </rPr>
      <t>03-08-2026 18:00</t>
    </r>
  </si>
  <si>
    <r>
      <rPr>
        <sz val="10"/>
        <color rgb="FF000000"/>
        <rFont val="JRFonts"/>
        <charset val="134"/>
      </rPr>
      <t>28-07-2026 11:58</t>
    </r>
  </si>
  <si>
    <r>
      <rPr>
        <sz val="10"/>
        <color rgb="FF0000FF"/>
        <rFont val="JRFonts"/>
        <charset val="134"/>
      </rPr>
      <t>21482</t>
    </r>
  </si>
  <si>
    <r>
      <rPr>
        <sz val="10"/>
        <color rgb="FF000000"/>
        <rFont val="JRFonts"/>
        <charset val="134"/>
      </rPr>
      <t>28-07-2026 10:04</t>
    </r>
  </si>
  <si>
    <r>
      <rPr>
        <sz val="10"/>
        <color rgb="FF000000"/>
        <rFont val="JRFonts"/>
        <charset val="134"/>
      </rPr>
      <t>03-08-2026 18:01</t>
    </r>
  </si>
  <si>
    <r>
      <rPr>
        <sz val="10"/>
        <color rgb="FF000000"/>
        <rFont val="JRFonts"/>
        <charset val="134"/>
      </rPr>
      <t>28-07-2026 12:49</t>
    </r>
  </si>
  <si>
    <r>
      <rPr>
        <sz val="10"/>
        <color rgb="FF0000FF"/>
        <rFont val="JRFonts"/>
        <charset val="134"/>
      </rPr>
      <t>21483</t>
    </r>
  </si>
  <si>
    <r>
      <rPr>
        <sz val="10"/>
        <color rgb="FF000000"/>
        <rFont val="JRFonts"/>
        <charset val="134"/>
      </rPr>
      <t>29-07-2026 11:24</t>
    </r>
  </si>
  <si>
    <r>
      <rPr>
        <sz val="10"/>
        <color rgb="FF000000"/>
        <rFont val="JRFonts"/>
        <charset val="134"/>
      </rPr>
      <t>28-07-2026 12:50</t>
    </r>
  </si>
  <si>
    <r>
      <rPr>
        <sz val="10"/>
        <color rgb="FF0000FF"/>
        <rFont val="JRFonts"/>
        <charset val="134"/>
      </rPr>
      <t>21484</t>
    </r>
  </si>
  <si>
    <r>
      <rPr>
        <sz val="10"/>
        <color rgb="FF000000"/>
        <rFont val="JRFonts"/>
        <charset val="134"/>
      </rPr>
      <t>28-07-2026 10:07</t>
    </r>
  </si>
  <si>
    <r>
      <rPr>
        <sz val="10"/>
        <color rgb="FF000000"/>
        <rFont val="JRFonts"/>
        <charset val="134"/>
      </rPr>
      <t>03-08-2026 18:02</t>
    </r>
  </si>
  <si>
    <r>
      <rPr>
        <sz val="10"/>
        <color rgb="FF000000"/>
        <rFont val="JRFonts"/>
        <charset val="134"/>
      </rPr>
      <t>28-07-2026 12:51</t>
    </r>
  </si>
  <si>
    <r>
      <rPr>
        <sz val="10"/>
        <color rgb="FF0000FF"/>
        <rFont val="JRFonts"/>
        <charset val="134"/>
      </rPr>
      <t>21485</t>
    </r>
  </si>
  <si>
    <r>
      <rPr>
        <sz val="10"/>
        <color rgb="FF000000"/>
        <rFont val="JRFonts"/>
        <charset val="134"/>
      </rPr>
      <t>28-07-2026 11:23</t>
    </r>
  </si>
  <si>
    <r>
      <rPr>
        <sz val="10"/>
        <color rgb="FF0000FF"/>
        <rFont val="JRFonts"/>
        <charset val="134"/>
      </rPr>
      <t>21488</t>
    </r>
  </si>
  <si>
    <r>
      <rPr>
        <sz val="10"/>
        <color rgb="FF000000"/>
        <rFont val="JRFonts"/>
        <charset val="134"/>
      </rPr>
      <t>28-07-2026 10:13</t>
    </r>
  </si>
  <si>
    <r>
      <rPr>
        <sz val="10"/>
        <color rgb="FF000000"/>
        <rFont val="JRFonts"/>
        <charset val="134"/>
      </rPr>
      <t>12-08-2026 14:09</t>
    </r>
  </si>
  <si>
    <r>
      <rPr>
        <sz val="10"/>
        <color rgb="FF000000"/>
        <rFont val="JRFonts"/>
        <charset val="134"/>
      </rPr>
      <t>28-07-2026 17:21</t>
    </r>
  </si>
  <si>
    <t>21488</t>
  </si>
  <si>
    <r>
      <rPr>
        <sz val="10"/>
        <color rgb="FF0000FF"/>
        <rFont val="JRFonts"/>
        <charset val="134"/>
      </rPr>
      <t>21489</t>
    </r>
  </si>
  <si>
    <r>
      <rPr>
        <sz val="10"/>
        <color rgb="FF000000"/>
        <rFont val="JRFonts"/>
        <charset val="134"/>
      </rPr>
      <t>28-07-2026 10:16</t>
    </r>
  </si>
  <si>
    <r>
      <rPr>
        <sz val="10"/>
        <color rgb="FF000000"/>
        <rFont val="JRFonts"/>
        <charset val="134"/>
      </rPr>
      <t>03-08-2026 16:33</t>
    </r>
  </si>
  <si>
    <r>
      <rPr>
        <sz val="10"/>
        <color rgb="FF000000"/>
        <rFont val="JRFonts"/>
        <charset val="134"/>
      </rPr>
      <t>28-07-2026 12:06</t>
    </r>
  </si>
  <si>
    <t>21489</t>
  </si>
  <si>
    <r>
      <rPr>
        <sz val="10"/>
        <color rgb="FF0000FF"/>
        <rFont val="JRFonts"/>
        <charset val="134"/>
      </rPr>
      <t>21490</t>
    </r>
  </si>
  <si>
    <r>
      <rPr>
        <sz val="10"/>
        <color rgb="FF000000"/>
        <rFont val="JRFonts"/>
        <charset val="134"/>
      </rPr>
      <t>28-07-2026 10:19</t>
    </r>
  </si>
  <si>
    <r>
      <rPr>
        <sz val="10"/>
        <color rgb="FF000000"/>
        <rFont val="JRFonts"/>
        <charset val="134"/>
      </rPr>
      <t>28-07-2026 11:19</t>
    </r>
  </si>
  <si>
    <r>
      <rPr>
        <sz val="10"/>
        <color rgb="FF000000"/>
        <rFont val="JRFonts"/>
        <charset val="134"/>
      </rPr>
      <t>28-07-2026 11:18</t>
    </r>
  </si>
  <si>
    <r>
      <rPr>
        <sz val="10"/>
        <color rgb="FF0000FF"/>
        <rFont val="JRFonts"/>
        <charset val="134"/>
      </rPr>
      <t>21491</t>
    </r>
  </si>
  <si>
    <r>
      <rPr>
        <sz val="10"/>
        <color rgb="FF000000"/>
        <rFont val="JRFonts"/>
        <charset val="134"/>
      </rPr>
      <t>28-07-2026 10:22</t>
    </r>
  </si>
  <si>
    <r>
      <rPr>
        <sz val="10"/>
        <color rgb="FF000000"/>
        <rFont val="JRFonts"/>
        <charset val="134"/>
      </rPr>
      <t>03-08-2026 18:03</t>
    </r>
  </si>
  <si>
    <r>
      <rPr>
        <sz val="10"/>
        <color rgb="FF000000"/>
        <rFont val="JRFonts"/>
        <charset val="134"/>
      </rPr>
      <t>28-07-2026 12:10</t>
    </r>
  </si>
  <si>
    <r>
      <rPr>
        <sz val="10"/>
        <color rgb="FF0000FF"/>
        <rFont val="JRFonts"/>
        <charset val="134"/>
      </rPr>
      <t>21492</t>
    </r>
  </si>
  <si>
    <r>
      <rPr>
        <sz val="10"/>
        <color rgb="FF000000"/>
        <rFont val="JRFonts"/>
        <charset val="134"/>
      </rPr>
      <t>28-07-2026 10:28</t>
    </r>
  </si>
  <si>
    <r>
      <rPr>
        <sz val="10"/>
        <color rgb="FF000000"/>
        <rFont val="JRFonts"/>
        <charset val="134"/>
      </rPr>
      <t>28-07-2026 14:23</t>
    </r>
  </si>
  <si>
    <r>
      <rPr>
        <sz val="10"/>
        <color rgb="FF0000FF"/>
        <rFont val="JRFonts"/>
        <charset val="134"/>
      </rPr>
      <t>21493</t>
    </r>
  </si>
  <si>
    <r>
      <rPr>
        <sz val="10"/>
        <color rgb="FF000000"/>
        <rFont val="JRFonts"/>
        <charset val="134"/>
      </rPr>
      <t>28-07-2026 10:31</t>
    </r>
  </si>
  <si>
    <r>
      <rPr>
        <sz val="10"/>
        <color rgb="FF000000"/>
        <rFont val="JRFonts"/>
        <charset val="134"/>
      </rPr>
      <t>05-08-2026 15:48</t>
    </r>
  </si>
  <si>
    <r>
      <rPr>
        <sz val="10"/>
        <color rgb="FF000000"/>
        <rFont val="JRFonts"/>
        <charset val="134"/>
      </rPr>
      <t>28-07-2026 12:12</t>
    </r>
  </si>
  <si>
    <t>21493</t>
  </si>
  <si>
    <r>
      <rPr>
        <sz val="10"/>
        <color rgb="FF0000FF"/>
        <rFont val="JRFonts"/>
        <charset val="134"/>
      </rPr>
      <t>21494</t>
    </r>
  </si>
  <si>
    <r>
      <rPr>
        <sz val="10"/>
        <color rgb="FF000000"/>
        <rFont val="JRFonts"/>
        <charset val="134"/>
      </rPr>
      <t>29-07-2026 22:06</t>
    </r>
  </si>
  <si>
    <r>
      <rPr>
        <sz val="10"/>
        <color rgb="FF000000"/>
        <rFont val="JRFonts"/>
        <charset val="134"/>
      </rPr>
      <t>28-07-2026 14:24</t>
    </r>
  </si>
  <si>
    <t>Bill generation took time  , resolved in non-working hrs
Day 1 (28-07-2026) - 3 hrs 36 mins
Day 2 (29-07-2026) - 8 hrs 00 mins (10:00 AM–6:00 PM; resolution at 10:06 PM is outside working hours)
Allowed SLA - 12 hrs
Actual resolution time - 11 hrs 36 mins</t>
  </si>
  <si>
    <r>
      <rPr>
        <sz val="10"/>
        <color rgb="FF0000FF"/>
        <rFont val="JRFonts"/>
        <charset val="134"/>
      </rPr>
      <t>21495</t>
    </r>
  </si>
  <si>
    <r>
      <rPr>
        <sz val="10"/>
        <color rgb="FF000000"/>
        <rFont val="JRFonts"/>
        <charset val="134"/>
      </rPr>
      <t>28-07-2026 10:37</t>
    </r>
  </si>
  <si>
    <r>
      <rPr>
        <sz val="10"/>
        <color rgb="FF000000"/>
        <rFont val="JRFonts"/>
        <charset val="134"/>
      </rPr>
      <t>03-08-2026 18:04</t>
    </r>
  </si>
  <si>
    <r>
      <rPr>
        <sz val="10"/>
        <color rgb="FF000000"/>
        <rFont val="JRFonts"/>
        <charset val="134"/>
      </rPr>
      <t>28-07-2026 12:13</t>
    </r>
  </si>
  <si>
    <r>
      <rPr>
        <sz val="10"/>
        <color rgb="FF0000FF"/>
        <rFont val="JRFonts"/>
        <charset val="134"/>
      </rPr>
      <t>21499</t>
    </r>
  </si>
  <si>
    <r>
      <rPr>
        <sz val="10"/>
        <color rgb="FF000000"/>
        <rFont val="JRFonts"/>
        <charset val="134"/>
      </rPr>
      <t>03-08-2026 18:05</t>
    </r>
  </si>
  <si>
    <r>
      <rPr>
        <sz val="10"/>
        <color rgb="FF000000"/>
        <rFont val="JRFonts"/>
        <charset val="134"/>
      </rPr>
      <t>28-07-2026 12:22</t>
    </r>
  </si>
  <si>
    <t>21499</t>
  </si>
  <si>
    <r>
      <rPr>
        <sz val="10"/>
        <color rgb="FF0000FF"/>
        <rFont val="JRFonts"/>
        <charset val="134"/>
      </rPr>
      <t>21500</t>
    </r>
  </si>
  <si>
    <r>
      <rPr>
        <sz val="10"/>
        <color rgb="FF000000"/>
        <rFont val="JRFonts"/>
        <charset val="134"/>
      </rPr>
      <t>28-07-2026 10:53</t>
    </r>
  </si>
  <si>
    <r>
      <rPr>
        <sz val="10"/>
        <color rgb="FF000000"/>
        <rFont val="JRFonts"/>
        <charset val="134"/>
      </rPr>
      <t>28-07-2026 16:13</t>
    </r>
  </si>
  <si>
    <r>
      <rPr>
        <sz val="10"/>
        <color rgb="FF000000"/>
        <rFont val="JRFonts"/>
        <charset val="134"/>
      </rPr>
      <t>28-07-2026 12:23</t>
    </r>
  </si>
  <si>
    <r>
      <rPr>
        <sz val="10"/>
        <color rgb="FF0000FF"/>
        <rFont val="JRFonts"/>
        <charset val="134"/>
      </rPr>
      <t>21501</t>
    </r>
  </si>
  <si>
    <r>
      <rPr>
        <sz val="10"/>
        <color rgb="FF000000"/>
        <rFont val="JRFonts"/>
        <charset val="134"/>
      </rPr>
      <t>05-08-2026 15:25</t>
    </r>
  </si>
  <si>
    <r>
      <rPr>
        <sz val="10"/>
        <color rgb="FF000000"/>
        <rFont val="JRFonts"/>
        <charset val="134"/>
      </rPr>
      <t>28-07-2026 12:24</t>
    </r>
  </si>
  <si>
    <t>21501</t>
  </si>
  <si>
    <r>
      <rPr>
        <sz val="10"/>
        <color rgb="FF0000FF"/>
        <rFont val="JRFonts"/>
        <charset val="134"/>
      </rPr>
      <t>21502</t>
    </r>
  </si>
  <si>
    <r>
      <rPr>
        <sz val="10"/>
        <color rgb="FF000000"/>
        <rFont val="JRFonts"/>
        <charset val="134"/>
      </rPr>
      <t>07-08-2026 15:48</t>
    </r>
  </si>
  <si>
    <r>
      <rPr>
        <sz val="10"/>
        <color rgb="FF000000"/>
        <rFont val="JRFonts"/>
        <charset val="134"/>
      </rPr>
      <t>28-07-2026 12:25</t>
    </r>
  </si>
  <si>
    <r>
      <rPr>
        <sz val="10"/>
        <color rgb="FF0000FF"/>
        <rFont val="JRFonts"/>
        <charset val="134"/>
      </rPr>
      <t>21503</t>
    </r>
  </si>
  <si>
    <r>
      <rPr>
        <sz val="10"/>
        <color rgb="FF000000"/>
        <rFont val="JRFonts"/>
        <charset val="134"/>
      </rPr>
      <t>28-07-2026 10:56</t>
    </r>
  </si>
  <si>
    <r>
      <rPr>
        <sz val="10"/>
        <color rgb="FF000000"/>
        <rFont val="JRFonts"/>
        <charset val="134"/>
      </rPr>
      <t>28-07-2026 16:16</t>
    </r>
  </si>
  <si>
    <r>
      <rPr>
        <sz val="10"/>
        <color rgb="FF000000"/>
        <rFont val="JRFonts"/>
        <charset val="134"/>
      </rPr>
      <t>28-07-2026 12:26</t>
    </r>
  </si>
  <si>
    <r>
      <rPr>
        <sz val="10"/>
        <color rgb="FF0000FF"/>
        <rFont val="JRFonts"/>
        <charset val="134"/>
      </rPr>
      <t>21504</t>
    </r>
  </si>
  <si>
    <r>
      <rPr>
        <sz val="10"/>
        <color rgb="FF000000"/>
        <rFont val="JRFonts"/>
        <charset val="134"/>
      </rPr>
      <t>28-07-2026 15:33</t>
    </r>
  </si>
  <si>
    <r>
      <rPr>
        <sz val="10"/>
        <color rgb="FF000000"/>
        <rFont val="JRFonts"/>
        <charset val="134"/>
      </rPr>
      <t>28-07-2026 12:27</t>
    </r>
  </si>
  <si>
    <r>
      <rPr>
        <sz val="10"/>
        <color rgb="FF0000FF"/>
        <rFont val="JRFonts"/>
        <charset val="134"/>
      </rPr>
      <t>21505</t>
    </r>
  </si>
  <si>
    <r>
      <rPr>
        <sz val="10"/>
        <color rgb="FF000000"/>
        <rFont val="JRFonts"/>
        <charset val="134"/>
      </rPr>
      <t>04-08-2026 12:01</t>
    </r>
  </si>
  <si>
    <r>
      <rPr>
        <sz val="10"/>
        <color rgb="FF000000"/>
        <rFont val="JRFonts"/>
        <charset val="134"/>
      </rPr>
      <t>28-07-2026 12:28</t>
    </r>
  </si>
  <si>
    <r>
      <rPr>
        <sz val="10"/>
        <color rgb="FF0000FF"/>
        <rFont val="JRFonts"/>
        <charset val="134"/>
      </rPr>
      <t>21506</t>
    </r>
  </si>
  <si>
    <r>
      <rPr>
        <sz val="10"/>
        <color rgb="FF000000"/>
        <rFont val="JRFonts"/>
        <charset val="134"/>
      </rPr>
      <t>28-07-2026 10:59</t>
    </r>
  </si>
  <si>
    <r>
      <rPr>
        <sz val="10"/>
        <color rgb="FF000000"/>
        <rFont val="JRFonts"/>
        <charset val="134"/>
      </rPr>
      <t>12-08-2026 14:15</t>
    </r>
  </si>
  <si>
    <r>
      <rPr>
        <sz val="10"/>
        <color rgb="FF000000"/>
        <rFont val="JRFonts"/>
        <charset val="134"/>
      </rPr>
      <t>28-07-2026 12:33</t>
    </r>
  </si>
  <si>
    <t>21506</t>
  </si>
  <si>
    <r>
      <rPr>
        <sz val="10"/>
        <color rgb="FF0000FF"/>
        <rFont val="JRFonts"/>
        <charset val="134"/>
      </rPr>
      <t>21507</t>
    </r>
  </si>
  <si>
    <r>
      <rPr>
        <sz val="10"/>
        <color rgb="FF000000"/>
        <rFont val="JRFonts"/>
        <charset val="134"/>
      </rPr>
      <t>28-07-2026 11:05</t>
    </r>
  </si>
  <si>
    <r>
      <rPr>
        <sz val="10"/>
        <color rgb="FF000000"/>
        <rFont val="JRFonts"/>
        <charset val="134"/>
      </rPr>
      <t>28-07-2026 11:26</t>
    </r>
  </si>
  <si>
    <r>
      <rPr>
        <sz val="10"/>
        <color rgb="FF000000"/>
        <rFont val="JRFonts"/>
        <charset val="134"/>
      </rPr>
      <t>28-07-2026 14:26</t>
    </r>
  </si>
  <si>
    <r>
      <rPr>
        <sz val="10"/>
        <color rgb="FF0000FF"/>
        <rFont val="JRFonts"/>
        <charset val="134"/>
      </rPr>
      <t>21508</t>
    </r>
  </si>
  <si>
    <r>
      <rPr>
        <sz val="10"/>
        <color rgb="FF000000"/>
        <rFont val="JRFonts"/>
        <charset val="134"/>
      </rPr>
      <t>21-08-2026 12:34</t>
    </r>
  </si>
  <si>
    <r>
      <rPr>
        <sz val="10"/>
        <color rgb="FF000000"/>
        <rFont val="JRFonts"/>
        <charset val="134"/>
      </rPr>
      <t>28-07-2026 12:38</t>
    </r>
  </si>
  <si>
    <t>21508</t>
  </si>
  <si>
    <r>
      <rPr>
        <sz val="10"/>
        <color rgb="FF0000FF"/>
        <rFont val="JRFonts"/>
        <charset val="134"/>
      </rPr>
      <t>21509</t>
    </r>
  </si>
  <si>
    <r>
      <rPr>
        <sz val="10"/>
        <color rgb="FF000000"/>
        <rFont val="JRFonts"/>
        <charset val="134"/>
      </rPr>
      <t>04-08-2026 12:03</t>
    </r>
  </si>
  <si>
    <r>
      <rPr>
        <sz val="10"/>
        <color rgb="FF000000"/>
        <rFont val="JRFonts"/>
        <charset val="134"/>
      </rPr>
      <t>28-07-2026 12:39</t>
    </r>
  </si>
  <si>
    <r>
      <rPr>
        <sz val="10"/>
        <color rgb="FF0000FF"/>
        <rFont val="JRFonts"/>
        <charset val="134"/>
      </rPr>
      <t>21510</t>
    </r>
  </si>
  <si>
    <r>
      <rPr>
        <sz val="10"/>
        <color rgb="FF000000"/>
        <rFont val="JRFonts"/>
        <charset val="134"/>
      </rPr>
      <t>31-07-2026 12:03</t>
    </r>
  </si>
  <si>
    <r>
      <rPr>
        <sz val="10"/>
        <color rgb="FF000000"/>
        <rFont val="JRFonts"/>
        <charset val="134"/>
      </rPr>
      <t>28-07-2026 12:41</t>
    </r>
  </si>
  <si>
    <t>21510</t>
  </si>
  <si>
    <r>
      <rPr>
        <sz val="10"/>
        <color rgb="FF0000FF"/>
        <rFont val="JRFonts"/>
        <charset val="134"/>
      </rPr>
      <t>21512</t>
    </r>
  </si>
  <si>
    <r>
      <rPr>
        <sz val="10"/>
        <color rgb="FF000000"/>
        <rFont val="JRFonts"/>
        <charset val="134"/>
      </rPr>
      <t>28-07-2026 11:21</t>
    </r>
  </si>
  <si>
    <r>
      <rPr>
        <sz val="10"/>
        <color rgb="FF000000"/>
        <rFont val="JRFonts"/>
        <charset val="134"/>
      </rPr>
      <t>03-08-2026 16:34</t>
    </r>
  </si>
  <si>
    <t>21512</t>
  </si>
  <si>
    <r>
      <rPr>
        <sz val="10"/>
        <color rgb="FF0000FF"/>
        <rFont val="JRFonts"/>
        <charset val="134"/>
      </rPr>
      <t>21513</t>
    </r>
  </si>
  <si>
    <r>
      <rPr>
        <sz val="10"/>
        <color rgb="FF000000"/>
        <rFont val="JRFonts"/>
        <charset val="134"/>
      </rPr>
      <t>28-07-2026 11:27</t>
    </r>
  </si>
  <si>
    <r>
      <rPr>
        <sz val="10"/>
        <color rgb="FF000000"/>
        <rFont val="JRFonts"/>
        <charset val="134"/>
      </rPr>
      <t>30-07-2026 11:20</t>
    </r>
  </si>
  <si>
    <r>
      <rPr>
        <sz val="10"/>
        <color rgb="FF000000"/>
        <rFont val="JRFonts"/>
        <charset val="134"/>
      </rPr>
      <t>28-07-2026 12:43</t>
    </r>
  </si>
  <si>
    <t>21513</t>
  </si>
  <si>
    <r>
      <rPr>
        <sz val="10"/>
        <color rgb="FF0000FF"/>
        <rFont val="JRFonts"/>
        <charset val="134"/>
      </rPr>
      <t>21514</t>
    </r>
  </si>
  <si>
    <r>
      <rPr>
        <sz val="10"/>
        <color rgb="FF000000"/>
        <rFont val="JRFonts"/>
        <charset val="134"/>
      </rPr>
      <t>04-08-2026 12:20</t>
    </r>
  </si>
  <si>
    <r>
      <rPr>
        <sz val="10"/>
        <color rgb="FF000000"/>
        <rFont val="JRFonts"/>
        <charset val="134"/>
      </rPr>
      <t>28-07-2026 12:54</t>
    </r>
  </si>
  <si>
    <r>
      <rPr>
        <sz val="10"/>
        <color rgb="FF0000FF"/>
        <rFont val="JRFonts"/>
        <charset val="134"/>
      </rPr>
      <t>21516</t>
    </r>
  </si>
  <si>
    <r>
      <rPr>
        <sz val="10"/>
        <color rgb="FF000000"/>
        <rFont val="JRFonts"/>
        <charset val="134"/>
      </rPr>
      <t>30-07-2026 11:19</t>
    </r>
  </si>
  <si>
    <r>
      <rPr>
        <sz val="10"/>
        <color rgb="FF000000"/>
        <rFont val="JRFonts"/>
        <charset val="134"/>
      </rPr>
      <t>28-07-2026 12:55</t>
    </r>
  </si>
  <si>
    <t>21516</t>
  </si>
  <si>
    <r>
      <rPr>
        <sz val="10"/>
        <color rgb="FF0000FF"/>
        <rFont val="JRFonts"/>
        <charset val="134"/>
      </rPr>
      <t>21517</t>
    </r>
  </si>
  <si>
    <r>
      <rPr>
        <sz val="10"/>
        <color rgb="FF000000"/>
        <rFont val="JRFonts"/>
        <charset val="134"/>
      </rPr>
      <t>28-07-2026 11:36</t>
    </r>
  </si>
  <si>
    <r>
      <rPr>
        <sz val="10"/>
        <color rgb="FF000000"/>
        <rFont val="JRFonts"/>
        <charset val="134"/>
      </rPr>
      <t>29-07-2026 15:09</t>
    </r>
  </si>
  <si>
    <r>
      <rPr>
        <sz val="10"/>
        <color rgb="FF000000"/>
        <rFont val="JRFonts"/>
        <charset val="134"/>
      </rPr>
      <t>28-07-2026 12:57</t>
    </r>
  </si>
  <si>
    <r>
      <rPr>
        <sz val="10"/>
        <color rgb="FF0000FF"/>
        <rFont val="JRFonts"/>
        <charset val="134"/>
      </rPr>
      <t>21518</t>
    </r>
  </si>
  <si>
    <r>
      <rPr>
        <sz val="10"/>
        <color rgb="FF000000"/>
        <rFont val="JRFonts"/>
        <charset val="134"/>
      </rPr>
      <t>28-07-2026 11:39</t>
    </r>
  </si>
  <si>
    <r>
      <rPr>
        <sz val="10"/>
        <color rgb="FF000000"/>
        <rFont val="JRFonts"/>
        <charset val="134"/>
      </rPr>
      <t>05-08-2026 17:58</t>
    </r>
  </si>
  <si>
    <r>
      <rPr>
        <sz val="10"/>
        <color rgb="FF000000"/>
        <rFont val="JRFonts"/>
        <charset val="134"/>
      </rPr>
      <t>28-07-2026 12:59</t>
    </r>
  </si>
  <si>
    <t>21518</t>
  </si>
  <si>
    <r>
      <rPr>
        <sz val="10"/>
        <color rgb="FF0000FF"/>
        <rFont val="JRFonts"/>
        <charset val="134"/>
      </rPr>
      <t>21519</t>
    </r>
  </si>
  <si>
    <r>
      <rPr>
        <sz val="10"/>
        <color rgb="FF000000"/>
        <rFont val="JRFonts"/>
        <charset val="134"/>
      </rPr>
      <t>28-07-2026 11:57</t>
    </r>
  </si>
  <si>
    <r>
      <rPr>
        <sz val="10"/>
        <color rgb="FF000000"/>
        <rFont val="JRFonts"/>
        <charset val="134"/>
      </rPr>
      <t>29-07-2026 12:11</t>
    </r>
  </si>
  <si>
    <r>
      <rPr>
        <sz val="10"/>
        <color rgb="FF000000"/>
        <rFont val="JRFonts"/>
        <charset val="134"/>
      </rPr>
      <t>28-07-2026 13:00</t>
    </r>
  </si>
  <si>
    <r>
      <rPr>
        <sz val="10"/>
        <color rgb="FF0000FF"/>
        <rFont val="JRFonts"/>
        <charset val="134"/>
      </rPr>
      <t>21520</t>
    </r>
  </si>
  <si>
    <r>
      <rPr>
        <sz val="10"/>
        <color rgb="FF000000"/>
        <rFont val="JRFonts"/>
        <charset val="134"/>
      </rPr>
      <t>29-07-2026 12:49</t>
    </r>
  </si>
  <si>
    <r>
      <rPr>
        <sz val="10"/>
        <color rgb="FF0000FF"/>
        <rFont val="JRFonts"/>
        <charset val="134"/>
      </rPr>
      <t>21521</t>
    </r>
  </si>
  <si>
    <r>
      <rPr>
        <sz val="10"/>
        <color rgb="FF000000"/>
        <rFont val="JRFonts"/>
        <charset val="134"/>
      </rPr>
      <t>28-07-2026 12:00</t>
    </r>
  </si>
  <si>
    <r>
      <rPr>
        <sz val="10"/>
        <color rgb="FF000000"/>
        <rFont val="JRFonts"/>
        <charset val="134"/>
      </rPr>
      <t>28-07-2026 16:10</t>
    </r>
  </si>
  <si>
    <r>
      <rPr>
        <sz val="10"/>
        <color rgb="FF000000"/>
        <rFont val="JRFonts"/>
        <charset val="134"/>
      </rPr>
      <t>28-07-2026 13:02</t>
    </r>
  </si>
  <si>
    <r>
      <rPr>
        <sz val="10"/>
        <color rgb="FF0000FF"/>
        <rFont val="JRFonts"/>
        <charset val="134"/>
      </rPr>
      <t>21524</t>
    </r>
  </si>
  <si>
    <r>
      <rPr>
        <sz val="10"/>
        <color rgb="FF000000"/>
        <rFont val="JRFonts"/>
        <charset val="134"/>
      </rPr>
      <t>28-07-2026 12:07</t>
    </r>
  </si>
  <si>
    <r>
      <rPr>
        <sz val="10"/>
        <color rgb="FF000000"/>
        <rFont val="JRFonts"/>
        <charset val="134"/>
      </rPr>
      <t>30-07-2026 16:07</t>
    </r>
  </si>
  <si>
    <r>
      <rPr>
        <sz val="10"/>
        <color rgb="FF000000"/>
        <rFont val="JRFonts"/>
        <charset val="134"/>
      </rPr>
      <t>28-07-2026 14:28</t>
    </r>
  </si>
  <si>
    <t>21524</t>
  </si>
  <si>
    <r>
      <rPr>
        <sz val="10"/>
        <color rgb="FF0000FF"/>
        <rFont val="JRFonts"/>
        <charset val="134"/>
      </rPr>
      <t>21525</t>
    </r>
  </si>
  <si>
    <r>
      <rPr>
        <sz val="10"/>
        <color rgb="FF000000"/>
        <rFont val="JRFonts"/>
        <charset val="134"/>
      </rPr>
      <t>28-07-2026 16:30</t>
    </r>
  </si>
  <si>
    <r>
      <rPr>
        <sz val="10"/>
        <color rgb="FF000000"/>
        <rFont val="JRFonts"/>
        <charset val="134"/>
      </rPr>
      <t>28-07-2026 14:30</t>
    </r>
  </si>
  <si>
    <r>
      <rPr>
        <sz val="10"/>
        <color rgb="FF0000FF"/>
        <rFont val="JRFonts"/>
        <charset val="134"/>
      </rPr>
      <t>21526</t>
    </r>
  </si>
  <si>
    <r>
      <rPr>
        <sz val="10"/>
        <color rgb="FF000000"/>
        <rFont val="JRFonts"/>
        <charset val="134"/>
      </rPr>
      <t>04-08-2026 12:49</t>
    </r>
  </si>
  <si>
    <r>
      <rPr>
        <sz val="10"/>
        <color rgb="FF000000"/>
        <rFont val="JRFonts"/>
        <charset val="134"/>
      </rPr>
      <t>28-07-2026 15:04</t>
    </r>
  </si>
  <si>
    <t>21526</t>
  </si>
  <si>
    <r>
      <rPr>
        <sz val="10"/>
        <color rgb="FF0000FF"/>
        <rFont val="JRFonts"/>
        <charset val="134"/>
      </rPr>
      <t>21527</t>
    </r>
  </si>
  <si>
    <r>
      <rPr>
        <sz val="10"/>
        <color rgb="FF000000"/>
        <rFont val="JRFonts"/>
        <charset val="134"/>
      </rPr>
      <t>28-07-2026 12:16</t>
    </r>
  </si>
  <si>
    <r>
      <rPr>
        <sz val="10"/>
        <color rgb="FF000000"/>
        <rFont val="JRFonts"/>
        <charset val="134"/>
      </rPr>
      <t>12-08-2026 14:19</t>
    </r>
  </si>
  <si>
    <r>
      <rPr>
        <sz val="10"/>
        <color rgb="FF000000"/>
        <rFont val="JRFonts"/>
        <charset val="134"/>
      </rPr>
      <t>28-07-2026 15:06</t>
    </r>
  </si>
  <si>
    <r>
      <rPr>
        <sz val="10"/>
        <color rgb="FF0000FF"/>
        <rFont val="JRFonts"/>
        <charset val="134"/>
      </rPr>
      <t>21528</t>
    </r>
  </si>
  <si>
    <r>
      <rPr>
        <sz val="10"/>
        <color rgb="FF000000"/>
        <rFont val="JRFonts"/>
        <charset val="134"/>
      </rPr>
      <t>04-08-2026 15:19</t>
    </r>
  </si>
  <si>
    <r>
      <rPr>
        <sz val="10"/>
        <color rgb="FF000000"/>
        <rFont val="JRFonts"/>
        <charset val="134"/>
      </rPr>
      <t>28-07-2026 15:11</t>
    </r>
  </si>
  <si>
    <r>
      <rPr>
        <sz val="10"/>
        <color rgb="FF0000FF"/>
        <rFont val="JRFonts"/>
        <charset val="134"/>
      </rPr>
      <t>21529</t>
    </r>
  </si>
  <si>
    <r>
      <rPr>
        <sz val="10"/>
        <color rgb="FF000000"/>
        <rFont val="JRFonts"/>
        <charset val="134"/>
      </rPr>
      <t>28-07-2026 12:34</t>
    </r>
  </si>
  <si>
    <r>
      <rPr>
        <sz val="10"/>
        <color rgb="FF000000"/>
        <rFont val="JRFonts"/>
        <charset val="134"/>
      </rPr>
      <t>29-07-2026 15:22</t>
    </r>
  </si>
  <si>
    <r>
      <rPr>
        <sz val="10"/>
        <color rgb="FF000000"/>
        <rFont val="JRFonts"/>
        <charset val="134"/>
      </rPr>
      <t>28-07-2026 15:17</t>
    </r>
  </si>
  <si>
    <r>
      <rPr>
        <sz val="10"/>
        <color rgb="FF0000FF"/>
        <rFont val="JRFonts"/>
        <charset val="134"/>
      </rPr>
      <t>21531</t>
    </r>
  </si>
  <si>
    <r>
      <rPr>
        <sz val="10"/>
        <color rgb="FF000000"/>
        <rFont val="JRFonts"/>
        <charset val="134"/>
      </rPr>
      <t>12-08-2026 14:27</t>
    </r>
  </si>
  <si>
    <r>
      <rPr>
        <sz val="10"/>
        <color rgb="FF000000"/>
        <rFont val="JRFonts"/>
        <charset val="134"/>
      </rPr>
      <t>28-07-2026 15:19</t>
    </r>
  </si>
  <si>
    <t>21531</t>
  </si>
  <si>
    <r>
      <rPr>
        <sz val="10"/>
        <color rgb="FF0000FF"/>
        <rFont val="JRFonts"/>
        <charset val="134"/>
      </rPr>
      <t>21532</t>
    </r>
  </si>
  <si>
    <r>
      <rPr>
        <sz val="10"/>
        <color rgb="FF000000"/>
        <rFont val="JRFonts"/>
        <charset val="134"/>
      </rPr>
      <t>30-07-2026 11:17</t>
    </r>
  </si>
  <si>
    <r>
      <rPr>
        <sz val="10"/>
        <color rgb="FF000000"/>
        <rFont val="JRFonts"/>
        <charset val="134"/>
      </rPr>
      <t>28-07-2026 15:22</t>
    </r>
  </si>
  <si>
    <r>
      <rPr>
        <sz val="10"/>
        <color rgb="FF0000FF"/>
        <rFont val="JRFonts"/>
        <charset val="134"/>
      </rPr>
      <t>21534</t>
    </r>
  </si>
  <si>
    <r>
      <rPr>
        <sz val="10"/>
        <color rgb="FF000000"/>
        <rFont val="JRFonts"/>
        <charset val="134"/>
      </rPr>
      <t>28-07-2026 13:08</t>
    </r>
  </si>
  <si>
    <r>
      <rPr>
        <sz val="10"/>
        <color rgb="FF000000"/>
        <rFont val="JRFonts"/>
        <charset val="134"/>
      </rPr>
      <t>29-07-2026 15:40</t>
    </r>
  </si>
  <si>
    <r>
      <rPr>
        <sz val="10"/>
        <color rgb="FF000000"/>
        <rFont val="JRFonts"/>
        <charset val="134"/>
      </rPr>
      <t>28-07-2026 15:23</t>
    </r>
  </si>
  <si>
    <r>
      <rPr>
        <sz val="10"/>
        <color rgb="FF0000FF"/>
        <rFont val="JRFonts"/>
        <charset val="134"/>
      </rPr>
      <t>21535</t>
    </r>
  </si>
  <si>
    <r>
      <rPr>
        <sz val="10"/>
        <color rgb="FF000000"/>
        <rFont val="JRFonts"/>
        <charset val="134"/>
      </rPr>
      <t>28-07-2026 13:14</t>
    </r>
  </si>
  <si>
    <r>
      <rPr>
        <sz val="10"/>
        <color rgb="FF000000"/>
        <rFont val="JRFonts"/>
        <charset val="134"/>
      </rPr>
      <t>30-07-2026 11:29</t>
    </r>
  </si>
  <si>
    <r>
      <rPr>
        <sz val="10"/>
        <color rgb="FF000000"/>
        <rFont val="JRFonts"/>
        <charset val="134"/>
      </rPr>
      <t>28-07-2026 15:24</t>
    </r>
  </si>
  <si>
    <t>21535</t>
  </si>
  <si>
    <r>
      <rPr>
        <sz val="10"/>
        <color rgb="FF0000FF"/>
        <rFont val="JRFonts"/>
        <charset val="134"/>
      </rPr>
      <t>21537</t>
    </r>
  </si>
  <si>
    <r>
      <rPr>
        <sz val="10"/>
        <color rgb="FF000000"/>
        <rFont val="JRFonts"/>
        <charset val="134"/>
      </rPr>
      <t>28-07-2026 13:32</t>
    </r>
  </si>
  <si>
    <r>
      <rPr>
        <sz val="10"/>
        <color rgb="FF000000"/>
        <rFont val="JRFonts"/>
        <charset val="134"/>
      </rPr>
      <t>28-07-2026 16:37</t>
    </r>
  </si>
  <si>
    <r>
      <rPr>
        <sz val="10"/>
        <color rgb="FF000000"/>
        <rFont val="JRFonts"/>
        <charset val="134"/>
      </rPr>
      <t>28-07-2026 15:26</t>
    </r>
  </si>
  <si>
    <r>
      <rPr>
        <sz val="10"/>
        <color rgb="FF0000FF"/>
        <rFont val="JRFonts"/>
        <charset val="134"/>
      </rPr>
      <t>21540</t>
    </r>
  </si>
  <si>
    <r>
      <rPr>
        <sz val="10"/>
        <color rgb="FF000000"/>
        <rFont val="JRFonts"/>
        <charset val="134"/>
      </rPr>
      <t>28-07-2026 13:39</t>
    </r>
  </si>
  <si>
    <r>
      <rPr>
        <sz val="10"/>
        <color rgb="FF000000"/>
        <rFont val="JRFonts"/>
        <charset val="134"/>
      </rPr>
      <t>30-07-2026 11:16</t>
    </r>
  </si>
  <si>
    <r>
      <rPr>
        <sz val="10"/>
        <color rgb="FF000000"/>
        <rFont val="JRFonts"/>
        <charset val="134"/>
      </rPr>
      <t>28-07-2026 15:28</t>
    </r>
  </si>
  <si>
    <r>
      <rPr>
        <sz val="10"/>
        <color rgb="FF0000FF"/>
        <rFont val="JRFonts"/>
        <charset val="134"/>
      </rPr>
      <t>21543</t>
    </r>
  </si>
  <si>
    <r>
      <rPr>
        <sz val="10"/>
        <color rgb="FF000000"/>
        <rFont val="JRFonts"/>
        <charset val="134"/>
      </rPr>
      <t>28-07-2026 13:57</t>
    </r>
  </si>
  <si>
    <r>
      <rPr>
        <sz val="10"/>
        <color rgb="FF000000"/>
        <rFont val="JRFonts"/>
        <charset val="134"/>
      </rPr>
      <t>28-07-2026 15:30</t>
    </r>
  </si>
  <si>
    <r>
      <rPr>
        <sz val="10"/>
        <color rgb="FF0000FF"/>
        <rFont val="JRFonts"/>
        <charset val="134"/>
      </rPr>
      <t>21544</t>
    </r>
  </si>
  <si>
    <r>
      <rPr>
        <sz val="10"/>
        <color rgb="FF000000"/>
        <rFont val="JRFonts"/>
        <charset val="134"/>
      </rPr>
      <t>28-07-2026 14:03</t>
    </r>
  </si>
  <si>
    <r>
      <rPr>
        <sz val="10"/>
        <color rgb="FF000000"/>
        <rFont val="JRFonts"/>
        <charset val="134"/>
      </rPr>
      <t>08-09-2026 15:51</t>
    </r>
  </si>
  <si>
    <r>
      <rPr>
        <sz val="10"/>
        <color rgb="FF000000"/>
        <rFont val="JRFonts"/>
        <charset val="134"/>
      </rPr>
      <t>08-09-2026 12:59</t>
    </r>
  </si>
  <si>
    <r>
      <rPr>
        <sz val="10"/>
        <color rgb="FF0000FF"/>
        <rFont val="JRFonts"/>
        <charset val="134"/>
      </rPr>
      <t>21546</t>
    </r>
  </si>
  <si>
    <r>
      <rPr>
        <sz val="10"/>
        <color rgb="FF000000"/>
        <rFont val="JRFonts"/>
        <charset val="134"/>
      </rPr>
      <t>03-08-2026 15:44</t>
    </r>
  </si>
  <si>
    <r>
      <rPr>
        <sz val="10"/>
        <color rgb="FF000000"/>
        <rFont val="JRFonts"/>
        <charset val="134"/>
      </rPr>
      <t>28-07-2026 15:35</t>
    </r>
  </si>
  <si>
    <r>
      <rPr>
        <sz val="10"/>
        <color rgb="FF0000FF"/>
        <rFont val="JRFonts"/>
        <charset val="134"/>
      </rPr>
      <t>21547</t>
    </r>
  </si>
  <si>
    <r>
      <rPr>
        <sz val="10"/>
        <color rgb="FF000000"/>
        <rFont val="JRFonts"/>
        <charset val="134"/>
      </rPr>
      <t>04-08-2026 15:21</t>
    </r>
  </si>
  <si>
    <r>
      <rPr>
        <sz val="10"/>
        <color rgb="FF000000"/>
        <rFont val="JRFonts"/>
        <charset val="134"/>
      </rPr>
      <t>28-07-2026 15:39</t>
    </r>
  </si>
  <si>
    <r>
      <rPr>
        <sz val="10"/>
        <color rgb="FF0000FF"/>
        <rFont val="JRFonts"/>
        <charset val="134"/>
      </rPr>
      <t>21548</t>
    </r>
  </si>
  <si>
    <r>
      <rPr>
        <sz val="10"/>
        <color rgb="FF000000"/>
        <rFont val="JRFonts"/>
        <charset val="134"/>
      </rPr>
      <t>28-07-2026 14:40</t>
    </r>
  </si>
  <si>
    <r>
      <rPr>
        <sz val="10"/>
        <color rgb="FF000000"/>
        <rFont val="JRFonts"/>
        <charset val="134"/>
      </rPr>
      <t>10-08-2026 15:23</t>
    </r>
  </si>
  <si>
    <r>
      <rPr>
        <sz val="10"/>
        <color rgb="FF000000"/>
        <rFont val="JRFonts"/>
        <charset val="134"/>
      </rPr>
      <t>28-07-2026 15:42</t>
    </r>
  </si>
  <si>
    <r>
      <rPr>
        <sz val="10"/>
        <color rgb="FF0000FF"/>
        <rFont val="JRFonts"/>
        <charset val="134"/>
      </rPr>
      <t>21550</t>
    </r>
  </si>
  <si>
    <r>
      <rPr>
        <sz val="10"/>
        <color rgb="FF000000"/>
        <rFont val="JRFonts"/>
        <charset val="134"/>
      </rPr>
      <t>28-07-2026 14:49</t>
    </r>
  </si>
  <si>
    <r>
      <rPr>
        <sz val="10"/>
        <color rgb="FF000000"/>
        <rFont val="JRFonts"/>
        <charset val="134"/>
      </rPr>
      <t>29-07-2026 22:05</t>
    </r>
  </si>
  <si>
    <r>
      <rPr>
        <sz val="10"/>
        <color rgb="FF000000"/>
        <rFont val="JRFonts"/>
        <charset val="134"/>
      </rPr>
      <t>28-07-2026 15:45</t>
    </r>
  </si>
  <si>
    <t>21550</t>
  </si>
  <si>
    <r>
      <rPr>
        <sz val="10"/>
        <color rgb="FF0000FF"/>
        <rFont val="JRFonts"/>
        <charset val="134"/>
      </rPr>
      <t>21551</t>
    </r>
  </si>
  <si>
    <r>
      <rPr>
        <sz val="10"/>
        <color rgb="FF000000"/>
        <rFont val="JRFonts"/>
        <charset val="134"/>
      </rPr>
      <t>28-07-2026 14:52</t>
    </r>
  </si>
  <si>
    <r>
      <rPr>
        <sz val="10"/>
        <color rgb="FF000000"/>
        <rFont val="JRFonts"/>
        <charset val="134"/>
      </rPr>
      <t>04-08-2026 15:23</t>
    </r>
  </si>
  <si>
    <r>
      <rPr>
        <sz val="10"/>
        <color rgb="FF000000"/>
        <rFont val="JRFonts"/>
        <charset val="134"/>
      </rPr>
      <t>28-07-2026 15:47</t>
    </r>
  </si>
  <si>
    <r>
      <rPr>
        <sz val="10"/>
        <color rgb="FF0000FF"/>
        <rFont val="JRFonts"/>
        <charset val="134"/>
      </rPr>
      <t>21553</t>
    </r>
  </si>
  <si>
    <r>
      <rPr>
        <sz val="10"/>
        <color rgb="FF000000"/>
        <rFont val="JRFonts"/>
        <charset val="134"/>
      </rPr>
      <t>28-07-2026 15:52</t>
    </r>
  </si>
  <si>
    <r>
      <rPr>
        <sz val="10"/>
        <color rgb="FF0000FF"/>
        <rFont val="JRFonts"/>
        <charset val="134"/>
      </rPr>
      <t>21554</t>
    </r>
  </si>
  <si>
    <r>
      <rPr>
        <sz val="10"/>
        <color rgb="FF000000"/>
        <rFont val="JRFonts"/>
        <charset val="134"/>
      </rPr>
      <t>29-07-2026 12:59</t>
    </r>
  </si>
  <si>
    <r>
      <rPr>
        <sz val="10"/>
        <color rgb="FF000000"/>
        <rFont val="JRFonts"/>
        <charset val="134"/>
      </rPr>
      <t>28-07-2026 15:54</t>
    </r>
  </si>
  <si>
    <r>
      <rPr>
        <sz val="10"/>
        <color rgb="FF0000FF"/>
        <rFont val="JRFonts"/>
        <charset val="134"/>
      </rPr>
      <t>21555</t>
    </r>
  </si>
  <si>
    <r>
      <rPr>
        <sz val="10"/>
        <color rgb="FF000000"/>
        <rFont val="JRFonts"/>
        <charset val="134"/>
      </rPr>
      <t>05-08-2026 15:19</t>
    </r>
  </si>
  <si>
    <r>
      <rPr>
        <sz val="10"/>
        <color rgb="FF000000"/>
        <rFont val="JRFonts"/>
        <charset val="134"/>
      </rPr>
      <t>28-07-2026 15:55</t>
    </r>
  </si>
  <si>
    <t>21555</t>
  </si>
  <si>
    <r>
      <rPr>
        <sz val="10"/>
        <color rgb="FF0000FF"/>
        <rFont val="JRFonts"/>
        <charset val="134"/>
      </rPr>
      <t>21556</t>
    </r>
  </si>
  <si>
    <r>
      <rPr>
        <sz val="10"/>
        <color rgb="FF000000"/>
        <rFont val="JRFonts"/>
        <charset val="134"/>
      </rPr>
      <t>31-07-2026 14:37</t>
    </r>
  </si>
  <si>
    <r>
      <rPr>
        <sz val="10"/>
        <color rgb="FF000000"/>
        <rFont val="JRFonts"/>
        <charset val="134"/>
      </rPr>
      <t>28-07-2026 15:56</t>
    </r>
  </si>
  <si>
    <t>21556</t>
  </si>
  <si>
    <r>
      <rPr>
        <sz val="10"/>
        <color rgb="FF0000FF"/>
        <rFont val="JRFonts"/>
        <charset val="134"/>
      </rPr>
      <t>21558</t>
    </r>
  </si>
  <si>
    <r>
      <rPr>
        <sz val="10"/>
        <color rgb="FF000000"/>
        <rFont val="JRFonts"/>
        <charset val="134"/>
      </rPr>
      <t>28-07-2026 15:41</t>
    </r>
  </si>
  <si>
    <r>
      <rPr>
        <sz val="10"/>
        <color rgb="FF000000"/>
        <rFont val="JRFonts"/>
        <charset val="134"/>
      </rPr>
      <t>04-08-2026 16:14</t>
    </r>
  </si>
  <si>
    <r>
      <rPr>
        <sz val="10"/>
        <color rgb="FF000000"/>
        <rFont val="JRFonts"/>
        <charset val="134"/>
      </rPr>
      <t>28-07-2026 16:02</t>
    </r>
  </si>
  <si>
    <r>
      <rPr>
        <sz val="10"/>
        <color rgb="FF0000FF"/>
        <rFont val="JRFonts"/>
        <charset val="134"/>
      </rPr>
      <t>21559</t>
    </r>
  </si>
  <si>
    <r>
      <rPr>
        <sz val="10"/>
        <color rgb="FF000000"/>
        <rFont val="JRFonts"/>
        <charset val="134"/>
      </rPr>
      <t>30-07-2026 11:13</t>
    </r>
  </si>
  <si>
    <r>
      <rPr>
        <sz val="10"/>
        <color rgb="FF000000"/>
        <rFont val="JRFonts"/>
        <charset val="134"/>
      </rPr>
      <t>28-07-2026 16:04</t>
    </r>
  </si>
  <si>
    <r>
      <rPr>
        <sz val="10"/>
        <color rgb="FF0000FF"/>
        <rFont val="JRFonts"/>
        <charset val="134"/>
      </rPr>
      <t>21560</t>
    </r>
  </si>
  <si>
    <r>
      <rPr>
        <sz val="10"/>
        <color rgb="FF000000"/>
        <rFont val="JRFonts"/>
        <charset val="134"/>
      </rPr>
      <t>28-07-2026 15:44</t>
    </r>
  </si>
  <si>
    <r>
      <rPr>
        <sz val="10"/>
        <color rgb="FF000000"/>
        <rFont val="JRFonts"/>
        <charset val="134"/>
      </rPr>
      <t>30-07-2026 11:10</t>
    </r>
  </si>
  <si>
    <r>
      <rPr>
        <sz val="10"/>
        <color rgb="FF000000"/>
        <rFont val="JRFonts"/>
        <charset val="134"/>
      </rPr>
      <t>28-07-2026 16:06</t>
    </r>
  </si>
  <si>
    <r>
      <rPr>
        <sz val="10"/>
        <color rgb="FF0000FF"/>
        <rFont val="JRFonts"/>
        <charset val="134"/>
      </rPr>
      <t>21561</t>
    </r>
  </si>
  <si>
    <r>
      <rPr>
        <sz val="10"/>
        <color rgb="FF000000"/>
        <rFont val="JRFonts"/>
        <charset val="134"/>
      </rPr>
      <t>28-07-2026 16:08</t>
    </r>
  </si>
  <si>
    <r>
      <rPr>
        <sz val="10"/>
        <color rgb="FF0000FF"/>
        <rFont val="JRFonts"/>
        <charset val="134"/>
      </rPr>
      <t>21564</t>
    </r>
  </si>
  <si>
    <r>
      <rPr>
        <sz val="10"/>
        <color rgb="FF000000"/>
        <rFont val="JRFonts"/>
        <charset val="134"/>
      </rPr>
      <t>04-08-2026 15:25</t>
    </r>
  </si>
  <si>
    <r>
      <rPr>
        <sz val="10"/>
        <color rgb="FF000000"/>
        <rFont val="JRFonts"/>
        <charset val="134"/>
      </rPr>
      <t>28-07-2026 16:21</t>
    </r>
  </si>
  <si>
    <r>
      <rPr>
        <sz val="10"/>
        <color rgb="FF0000FF"/>
        <rFont val="JRFonts"/>
        <charset val="134"/>
      </rPr>
      <t>21565</t>
    </r>
  </si>
  <si>
    <r>
      <rPr>
        <sz val="10"/>
        <color rgb="FF000000"/>
        <rFont val="JRFonts"/>
        <charset val="134"/>
      </rPr>
      <t>28-07-2026 15:59</t>
    </r>
  </si>
  <si>
    <r>
      <rPr>
        <sz val="10"/>
        <color rgb="FF000000"/>
        <rFont val="JRFonts"/>
        <charset val="134"/>
      </rPr>
      <t>28-07-2026 16:58</t>
    </r>
  </si>
  <si>
    <t>21565</t>
  </si>
  <si>
    <r>
      <rPr>
        <sz val="10"/>
        <color rgb="FF0000FF"/>
        <rFont val="JRFonts"/>
        <charset val="134"/>
      </rPr>
      <t>21566</t>
    </r>
  </si>
  <si>
    <r>
      <rPr>
        <sz val="10"/>
        <color rgb="FF000000"/>
        <rFont val="JRFonts"/>
        <charset val="134"/>
      </rPr>
      <t>28-07-2026 16:05</t>
    </r>
  </si>
  <si>
    <r>
      <rPr>
        <sz val="10"/>
        <color rgb="FF000000"/>
        <rFont val="JRFonts"/>
        <charset val="134"/>
      </rPr>
      <t>07-08-2026 15:49</t>
    </r>
  </si>
  <si>
    <r>
      <rPr>
        <sz val="10"/>
        <color rgb="FF000000"/>
        <rFont val="JRFonts"/>
        <charset val="134"/>
      </rPr>
      <t>28-07-2026 16:26</t>
    </r>
  </si>
  <si>
    <r>
      <rPr>
        <sz val="10"/>
        <color rgb="FF0000FF"/>
        <rFont val="JRFonts"/>
        <charset val="134"/>
      </rPr>
      <t>21567</t>
    </r>
  </si>
  <si>
    <r>
      <rPr>
        <sz val="10"/>
        <color rgb="FF000000"/>
        <rFont val="JRFonts"/>
        <charset val="134"/>
      </rPr>
      <t>28-07-2026 16:27</t>
    </r>
  </si>
  <si>
    <r>
      <rPr>
        <sz val="10"/>
        <color rgb="FF0000FF"/>
        <rFont val="JRFonts"/>
        <charset val="134"/>
      </rPr>
      <t>21569</t>
    </r>
  </si>
  <si>
    <r>
      <rPr>
        <sz val="10"/>
        <color rgb="FF000000"/>
        <rFont val="JRFonts"/>
        <charset val="134"/>
      </rPr>
      <t>28-07-2026 16:14</t>
    </r>
  </si>
  <si>
    <r>
      <rPr>
        <sz val="10"/>
        <color rgb="FF000000"/>
        <rFont val="JRFonts"/>
        <charset val="134"/>
      </rPr>
      <t>04-08-2026 15:44</t>
    </r>
  </si>
  <si>
    <r>
      <rPr>
        <sz val="10"/>
        <color rgb="FF000000"/>
        <rFont val="JRFonts"/>
        <charset val="134"/>
      </rPr>
      <t>28-07-2026 16:39</t>
    </r>
  </si>
  <si>
    <r>
      <rPr>
        <sz val="10"/>
        <color rgb="FF0000FF"/>
        <rFont val="JRFonts"/>
        <charset val="134"/>
      </rPr>
      <t>21570</t>
    </r>
  </si>
  <si>
    <r>
      <rPr>
        <sz val="10"/>
        <color rgb="FF000000"/>
        <rFont val="JRFonts"/>
        <charset val="134"/>
      </rPr>
      <t>04-08-2026 15:45</t>
    </r>
  </si>
  <si>
    <r>
      <rPr>
        <sz val="10"/>
        <color rgb="FF000000"/>
        <rFont val="JRFonts"/>
        <charset val="134"/>
      </rPr>
      <t>28-07-2026 16:41</t>
    </r>
  </si>
  <si>
    <r>
      <rPr>
        <sz val="10"/>
        <color rgb="FF0000FF"/>
        <rFont val="JRFonts"/>
        <charset val="134"/>
      </rPr>
      <t>21571</t>
    </r>
  </si>
  <si>
    <r>
      <rPr>
        <sz val="10"/>
        <color rgb="FF000000"/>
        <rFont val="JRFonts"/>
        <charset val="134"/>
      </rPr>
      <t>10-08-2026 15:25</t>
    </r>
  </si>
  <si>
    <r>
      <rPr>
        <sz val="10"/>
        <color rgb="FF000000"/>
        <rFont val="JRFonts"/>
        <charset val="134"/>
      </rPr>
      <t>28-07-2026 17:00</t>
    </r>
  </si>
  <si>
    <t>21571</t>
  </si>
  <si>
    <r>
      <rPr>
        <sz val="10"/>
        <color rgb="FF0000FF"/>
        <rFont val="JRFonts"/>
        <charset val="134"/>
      </rPr>
      <t>21573</t>
    </r>
  </si>
  <si>
    <r>
      <rPr>
        <sz val="10"/>
        <color rgb="FF000000"/>
        <rFont val="JRFonts"/>
        <charset val="134"/>
      </rPr>
      <t>28-07-2026 16:33</t>
    </r>
  </si>
  <si>
    <r>
      <rPr>
        <sz val="10"/>
        <color rgb="FF000000"/>
        <rFont val="JRFonts"/>
        <charset val="134"/>
      </rPr>
      <t>05-08-2026 15:10</t>
    </r>
  </si>
  <si>
    <r>
      <rPr>
        <sz val="10"/>
        <color rgb="FF000000"/>
        <rFont val="JRFonts"/>
        <charset val="134"/>
      </rPr>
      <t>28-07-2026 17:02</t>
    </r>
  </si>
  <si>
    <t>21573</t>
  </si>
  <si>
    <r>
      <rPr>
        <sz val="10"/>
        <color rgb="FF0000FF"/>
        <rFont val="JRFonts"/>
        <charset val="134"/>
      </rPr>
      <t>21574</t>
    </r>
  </si>
  <si>
    <r>
      <rPr>
        <sz val="10"/>
        <color rgb="FF000000"/>
        <rFont val="JRFonts"/>
        <charset val="134"/>
      </rPr>
      <t>04-08-2026 15:46</t>
    </r>
  </si>
  <si>
    <r>
      <rPr>
        <sz val="10"/>
        <color rgb="FF000000"/>
        <rFont val="JRFonts"/>
        <charset val="134"/>
      </rPr>
      <t>28-07-2026 17:06</t>
    </r>
  </si>
  <si>
    <r>
      <rPr>
        <sz val="10"/>
        <color rgb="FF0000FF"/>
        <rFont val="JRFonts"/>
        <charset val="134"/>
      </rPr>
      <t>21576</t>
    </r>
  </si>
  <si>
    <r>
      <rPr>
        <sz val="10"/>
        <color rgb="FF000000"/>
        <rFont val="JRFonts"/>
        <charset val="134"/>
      </rPr>
      <t>04-08-2026 17:04</t>
    </r>
  </si>
  <si>
    <r>
      <rPr>
        <sz val="10"/>
        <color rgb="FF000000"/>
        <rFont val="JRFonts"/>
        <charset val="134"/>
      </rPr>
      <t>28-07-2026 17:09</t>
    </r>
  </si>
  <si>
    <r>
      <rPr>
        <sz val="10"/>
        <color rgb="FF0000FF"/>
        <rFont val="JRFonts"/>
        <charset val="134"/>
      </rPr>
      <t>21577</t>
    </r>
  </si>
  <si>
    <r>
      <rPr>
        <sz val="10"/>
        <color rgb="FF000000"/>
        <rFont val="JRFonts"/>
        <charset val="134"/>
      </rPr>
      <t>05-08-2026 15:08</t>
    </r>
  </si>
  <si>
    <r>
      <rPr>
        <sz val="10"/>
        <color rgb="FF000000"/>
        <rFont val="JRFonts"/>
        <charset val="134"/>
      </rPr>
      <t>28-07-2026 17:24</t>
    </r>
  </si>
  <si>
    <t>21577</t>
  </si>
  <si>
    <r>
      <rPr>
        <sz val="10"/>
        <color rgb="FF0000FF"/>
        <rFont val="JRFonts"/>
        <charset val="134"/>
      </rPr>
      <t>21578</t>
    </r>
  </si>
  <si>
    <r>
      <rPr>
        <sz val="10"/>
        <color rgb="FF000000"/>
        <rFont val="JRFonts"/>
        <charset val="134"/>
      </rPr>
      <t>28-07-2026 17:03</t>
    </r>
  </si>
  <si>
    <r>
      <rPr>
        <sz val="10"/>
        <color rgb="FF000000"/>
        <rFont val="JRFonts"/>
        <charset val="134"/>
      </rPr>
      <t>04-08-2026 14:23</t>
    </r>
  </si>
  <si>
    <r>
      <rPr>
        <sz val="10"/>
        <color rgb="FF000000"/>
        <rFont val="JRFonts"/>
        <charset val="134"/>
      </rPr>
      <t>28-07-2026 17:25</t>
    </r>
  </si>
  <si>
    <t>21578</t>
  </si>
  <si>
    <r>
      <rPr>
        <sz val="10"/>
        <color rgb="FF0000FF"/>
        <rFont val="JRFonts"/>
        <charset val="134"/>
      </rPr>
      <t>21579</t>
    </r>
  </si>
  <si>
    <r>
      <rPr>
        <sz val="10"/>
        <color rgb="FF000000"/>
        <rFont val="JRFonts"/>
        <charset val="134"/>
      </rPr>
      <t>04-08-2026 15:51</t>
    </r>
  </si>
  <si>
    <r>
      <rPr>
        <sz val="10"/>
        <color rgb="FF000000"/>
        <rFont val="JRFonts"/>
        <charset val="134"/>
      </rPr>
      <t>28-07-2026 17:10</t>
    </r>
  </si>
  <si>
    <t>21579</t>
  </si>
  <si>
    <r>
      <rPr>
        <sz val="10"/>
        <color rgb="FF0000FF"/>
        <rFont val="JRFonts"/>
        <charset val="134"/>
      </rPr>
      <t>21581</t>
    </r>
  </si>
  <si>
    <r>
      <rPr>
        <sz val="10"/>
        <color rgb="FF000000"/>
        <rFont val="JRFonts"/>
        <charset val="134"/>
      </rPr>
      <t>28-07-2026 17:07</t>
    </r>
  </si>
  <si>
    <r>
      <rPr>
        <sz val="10"/>
        <color rgb="FF000000"/>
        <rFont val="JRFonts"/>
        <charset val="134"/>
      </rPr>
      <t>04-08-2026 15:53</t>
    </r>
  </si>
  <si>
    <r>
      <rPr>
        <sz val="10"/>
        <color rgb="FF000000"/>
        <rFont val="JRFonts"/>
        <charset val="134"/>
      </rPr>
      <t>28-07-2026 17:30</t>
    </r>
  </si>
  <si>
    <r>
      <rPr>
        <sz val="10"/>
        <color rgb="FF0000FF"/>
        <rFont val="JRFonts"/>
        <charset val="134"/>
      </rPr>
      <t>21582</t>
    </r>
  </si>
  <si>
    <r>
      <rPr>
        <sz val="10"/>
        <color rgb="FF000000"/>
        <rFont val="JRFonts"/>
        <charset val="134"/>
      </rPr>
      <t>05-08-2026 14:26</t>
    </r>
  </si>
  <si>
    <r>
      <rPr>
        <sz val="10"/>
        <color rgb="FF000000"/>
        <rFont val="JRFonts"/>
        <charset val="134"/>
      </rPr>
      <t>28-07-2026 17:31</t>
    </r>
  </si>
  <si>
    <t>21582</t>
  </si>
  <si>
    <r>
      <rPr>
        <sz val="10"/>
        <color rgb="FF0000FF"/>
        <rFont val="JRFonts"/>
        <charset val="134"/>
      </rPr>
      <t>21585</t>
    </r>
  </si>
  <si>
    <r>
      <rPr>
        <sz val="10"/>
        <color rgb="FF000000"/>
        <rFont val="JRFonts"/>
        <charset val="134"/>
      </rPr>
      <t>28-07-2026 17:22</t>
    </r>
  </si>
  <si>
    <r>
      <rPr>
        <sz val="10"/>
        <color rgb="FF000000"/>
        <rFont val="JRFonts"/>
        <charset val="134"/>
      </rPr>
      <t>29-07-2026 12:57</t>
    </r>
  </si>
  <si>
    <r>
      <rPr>
        <sz val="10"/>
        <color rgb="FF000000"/>
        <rFont val="JRFonts"/>
        <charset val="134"/>
      </rPr>
      <t>28-07-2026 17:37</t>
    </r>
  </si>
  <si>
    <r>
      <rPr>
        <sz val="10"/>
        <color rgb="FF0000FF"/>
        <rFont val="JRFonts"/>
        <charset val="134"/>
      </rPr>
      <t>21586</t>
    </r>
  </si>
  <si>
    <r>
      <rPr>
        <sz val="10"/>
        <color rgb="FF000000"/>
        <rFont val="JRFonts"/>
        <charset val="134"/>
      </rPr>
      <t>30-07-2026 10:18</t>
    </r>
  </si>
  <si>
    <r>
      <rPr>
        <sz val="10"/>
        <color rgb="FF000000"/>
        <rFont val="JRFonts"/>
        <charset val="134"/>
      </rPr>
      <t>28-07-2026 17:38</t>
    </r>
  </si>
  <si>
    <r>
      <rPr>
        <sz val="10"/>
        <color rgb="FF0000FF"/>
        <rFont val="JRFonts"/>
        <charset val="134"/>
      </rPr>
      <t>21587</t>
    </r>
  </si>
  <si>
    <r>
      <rPr>
        <sz val="10"/>
        <color rgb="FF000000"/>
        <rFont val="JRFonts"/>
        <charset val="134"/>
      </rPr>
      <t>04-08-2026 15:54</t>
    </r>
  </si>
  <si>
    <r>
      <rPr>
        <sz val="10"/>
        <color rgb="FF000000"/>
        <rFont val="JRFonts"/>
        <charset val="134"/>
      </rPr>
      <t>28-07-2026 17:39</t>
    </r>
  </si>
  <si>
    <r>
      <rPr>
        <sz val="10"/>
        <color rgb="FF0000FF"/>
        <rFont val="JRFonts"/>
        <charset val="134"/>
      </rPr>
      <t>21590</t>
    </r>
  </si>
  <si>
    <r>
      <rPr>
        <sz val="10"/>
        <color rgb="FF000000"/>
        <rFont val="JRFonts"/>
        <charset val="134"/>
      </rPr>
      <t>28-07-2026 17:43</t>
    </r>
  </si>
  <si>
    <r>
      <rPr>
        <sz val="10"/>
        <color rgb="FF000000"/>
        <rFont val="JRFonts"/>
        <charset val="134"/>
      </rPr>
      <t>12-08-2026 14:28</t>
    </r>
  </si>
  <si>
    <r>
      <rPr>
        <sz val="10"/>
        <color rgb="FF000000"/>
        <rFont val="JRFonts"/>
        <charset val="134"/>
      </rPr>
      <t>28-07-2026 17:47</t>
    </r>
  </si>
  <si>
    <t>21590</t>
  </si>
  <si>
    <r>
      <rPr>
        <sz val="10"/>
        <color rgb="FF0000FF"/>
        <rFont val="JRFonts"/>
        <charset val="134"/>
      </rPr>
      <t>21592</t>
    </r>
  </si>
  <si>
    <r>
      <rPr>
        <sz val="10"/>
        <color rgb="FF000000"/>
        <rFont val="JRFonts"/>
        <charset val="134"/>
      </rPr>
      <t>28-07-2026 17:46</t>
    </r>
  </si>
  <si>
    <r>
      <rPr>
        <sz val="10"/>
        <color rgb="FF000000"/>
        <rFont val="JRFonts"/>
        <charset val="134"/>
      </rPr>
      <t>29-07-2026 10:08</t>
    </r>
  </si>
  <si>
    <r>
      <rPr>
        <sz val="10"/>
        <color rgb="FF000000"/>
        <rFont val="JRFonts"/>
        <charset val="134"/>
      </rPr>
      <t>28-07-2026 17:50</t>
    </r>
  </si>
  <si>
    <r>
      <rPr>
        <sz val="10"/>
        <color rgb="FF0000FF"/>
        <rFont val="JRFonts"/>
        <charset val="134"/>
      </rPr>
      <t>21595</t>
    </r>
  </si>
  <si>
    <r>
      <rPr>
        <sz val="10"/>
        <color rgb="FF000000"/>
        <rFont val="JRFonts"/>
        <charset val="134"/>
      </rPr>
      <t>28-07-2026 18:02</t>
    </r>
  </si>
  <si>
    <r>
      <rPr>
        <sz val="10"/>
        <color rgb="FF000000"/>
        <rFont val="JRFonts"/>
        <charset val="134"/>
      </rPr>
      <t>04-08-2026 16:26</t>
    </r>
  </si>
  <si>
    <r>
      <rPr>
        <sz val="10"/>
        <color rgb="FF000000"/>
        <rFont val="JRFonts"/>
        <charset val="134"/>
      </rPr>
      <t>28-07-2026 18:07</t>
    </r>
  </si>
  <si>
    <r>
      <rPr>
        <sz val="10"/>
        <color rgb="FF0000FF"/>
        <rFont val="JRFonts"/>
        <charset val="134"/>
      </rPr>
      <t>21598</t>
    </r>
  </si>
  <si>
    <r>
      <rPr>
        <sz val="10"/>
        <color rgb="FF000000"/>
        <rFont val="JRFonts"/>
        <charset val="134"/>
      </rPr>
      <t>28-07-2026 18:20</t>
    </r>
  </si>
  <si>
    <r>
      <rPr>
        <sz val="10"/>
        <color rgb="FF000000"/>
        <rFont val="JRFonts"/>
        <charset val="134"/>
      </rPr>
      <t>04-08-2026 14:21</t>
    </r>
  </si>
  <si>
    <r>
      <rPr>
        <sz val="10"/>
        <color rgb="FF000000"/>
        <rFont val="JRFonts"/>
        <charset val="134"/>
      </rPr>
      <t>29-07-2026 10:18</t>
    </r>
  </si>
  <si>
    <t>21598</t>
  </si>
  <si>
    <r>
      <rPr>
        <sz val="10"/>
        <color rgb="FF0000FF"/>
        <rFont val="JRFonts"/>
        <charset val="134"/>
      </rPr>
      <t>21600</t>
    </r>
  </si>
  <si>
    <r>
      <rPr>
        <sz val="10"/>
        <color rgb="FF000000"/>
        <rFont val="JRFonts"/>
        <charset val="134"/>
      </rPr>
      <t>28-07-2026 18:29</t>
    </r>
  </si>
  <si>
    <r>
      <rPr>
        <sz val="10"/>
        <color rgb="FF000000"/>
        <rFont val="JRFonts"/>
        <charset val="134"/>
      </rPr>
      <t>05-08-2026 15:23</t>
    </r>
  </si>
  <si>
    <r>
      <rPr>
        <sz val="10"/>
        <color rgb="FF000000"/>
        <rFont val="JRFonts"/>
        <charset val="134"/>
      </rPr>
      <t>29-07-2026 14:16</t>
    </r>
  </si>
  <si>
    <t>21600</t>
  </si>
  <si>
    <r>
      <rPr>
        <sz val="10"/>
        <color rgb="FF0000FF"/>
        <rFont val="JRFonts"/>
        <charset val="134"/>
      </rPr>
      <t>21601</t>
    </r>
  </si>
  <si>
    <r>
      <rPr>
        <sz val="10"/>
        <color rgb="FF000000"/>
        <rFont val="JRFonts"/>
        <charset val="134"/>
      </rPr>
      <t>28-07-2026 18:32</t>
    </r>
  </si>
  <si>
    <r>
      <rPr>
        <sz val="10"/>
        <color rgb="FF000000"/>
        <rFont val="JRFonts"/>
        <charset val="134"/>
      </rPr>
      <t>30-07-2026 11:07</t>
    </r>
  </si>
  <si>
    <r>
      <rPr>
        <sz val="10"/>
        <color rgb="FF0000FF"/>
        <rFont val="JRFonts"/>
        <charset val="134"/>
      </rPr>
      <t>21602</t>
    </r>
  </si>
  <si>
    <r>
      <rPr>
        <sz val="10"/>
        <color rgb="FF000000"/>
        <rFont val="JRFonts"/>
        <charset val="134"/>
      </rPr>
      <t>28-07-2026 18:57</t>
    </r>
  </si>
  <si>
    <r>
      <rPr>
        <sz val="10"/>
        <color rgb="FF000000"/>
        <rFont val="JRFonts"/>
        <charset val="134"/>
      </rPr>
      <t>04-08-2026 14:19</t>
    </r>
  </si>
  <si>
    <r>
      <rPr>
        <sz val="10"/>
        <color rgb="FF000000"/>
        <rFont val="JRFonts"/>
        <charset val="134"/>
      </rPr>
      <t>29-07-2026 10:52</t>
    </r>
  </si>
  <si>
    <t>21602</t>
  </si>
  <si>
    <r>
      <rPr>
        <sz val="10"/>
        <color rgb="FF0000FF"/>
        <rFont val="JRFonts"/>
        <charset val="134"/>
      </rPr>
      <t>21604</t>
    </r>
  </si>
  <si>
    <r>
      <rPr>
        <sz val="10"/>
        <color rgb="FF000000"/>
        <rFont val="JRFonts"/>
        <charset val="134"/>
      </rPr>
      <t>28-07-2026 19:18</t>
    </r>
  </si>
  <si>
    <r>
      <rPr>
        <sz val="10"/>
        <color rgb="FF000000"/>
        <rFont val="JRFonts"/>
        <charset val="134"/>
      </rPr>
      <t>04-08-2026 16:27</t>
    </r>
  </si>
  <si>
    <r>
      <rPr>
        <sz val="10"/>
        <color rgb="FF000000"/>
        <rFont val="JRFonts"/>
        <charset val="134"/>
      </rPr>
      <t>29-07-2026 10:53</t>
    </r>
  </si>
  <si>
    <r>
      <rPr>
        <sz val="10"/>
        <color rgb="FF0000FF"/>
        <rFont val="JRFonts"/>
        <charset val="134"/>
      </rPr>
      <t>21605</t>
    </r>
  </si>
  <si>
    <r>
      <rPr>
        <sz val="10"/>
        <color rgb="FF000000"/>
        <rFont val="JRFonts"/>
        <charset val="134"/>
      </rPr>
      <t>28-07-2026 19:30</t>
    </r>
  </si>
  <si>
    <r>
      <rPr>
        <sz val="10"/>
        <color rgb="FF000000"/>
        <rFont val="JRFonts"/>
        <charset val="134"/>
      </rPr>
      <t>30-07-2026 16:29</t>
    </r>
  </si>
  <si>
    <r>
      <rPr>
        <sz val="10"/>
        <color rgb="FF000000"/>
        <rFont val="JRFonts"/>
        <charset val="134"/>
      </rPr>
      <t>29-07-2026 10:59</t>
    </r>
  </si>
  <si>
    <t>21605</t>
  </si>
  <si>
    <r>
      <rPr>
        <sz val="10"/>
        <color rgb="FF0000FF"/>
        <rFont val="JRFonts"/>
        <charset val="134"/>
      </rPr>
      <t>21608</t>
    </r>
  </si>
  <si>
    <r>
      <rPr>
        <sz val="10"/>
        <color rgb="FF000000"/>
        <rFont val="JRFonts"/>
        <charset val="134"/>
      </rPr>
      <t>29-07-2026 09:13</t>
    </r>
  </si>
  <si>
    <r>
      <rPr>
        <sz val="10"/>
        <color rgb="FF000000"/>
        <rFont val="JRFonts"/>
        <charset val="134"/>
      </rPr>
      <t>30-07-2026 11:05</t>
    </r>
  </si>
  <si>
    <r>
      <rPr>
        <sz val="10"/>
        <color rgb="FF000000"/>
        <rFont val="JRFonts"/>
        <charset val="134"/>
      </rPr>
      <t>29-07-2026 11:00</t>
    </r>
  </si>
  <si>
    <r>
      <rPr>
        <sz val="10"/>
        <color rgb="FF0000FF"/>
        <rFont val="JRFonts"/>
        <charset val="134"/>
      </rPr>
      <t>21609</t>
    </r>
  </si>
  <si>
    <r>
      <rPr>
        <sz val="10"/>
        <color rgb="FF000000"/>
        <rFont val="JRFonts"/>
        <charset val="134"/>
      </rPr>
      <t>04-08-2026 16:28</t>
    </r>
  </si>
  <si>
    <r>
      <rPr>
        <sz val="10"/>
        <color rgb="FF000000"/>
        <rFont val="JRFonts"/>
        <charset val="134"/>
      </rPr>
      <t>29-07-2026 11:01</t>
    </r>
  </si>
  <si>
    <r>
      <rPr>
        <sz val="10"/>
        <color rgb="FF0000FF"/>
        <rFont val="JRFonts"/>
        <charset val="134"/>
      </rPr>
      <t>21610</t>
    </r>
  </si>
  <si>
    <r>
      <rPr>
        <sz val="10"/>
        <color rgb="FF000000"/>
        <rFont val="JRFonts"/>
        <charset val="134"/>
      </rPr>
      <t>29-07-2026 09:56</t>
    </r>
  </si>
  <si>
    <r>
      <rPr>
        <sz val="10"/>
        <color rgb="FF000000"/>
        <rFont val="JRFonts"/>
        <charset val="134"/>
      </rPr>
      <t>04-08-2026 16:29</t>
    </r>
  </si>
  <si>
    <r>
      <rPr>
        <sz val="10"/>
        <color rgb="FF000000"/>
        <rFont val="JRFonts"/>
        <charset val="134"/>
      </rPr>
      <t>29-07-2026 11:07</t>
    </r>
  </si>
  <si>
    <t>21610</t>
  </si>
  <si>
    <r>
      <rPr>
        <sz val="10"/>
        <color rgb="FF0000FF"/>
        <rFont val="JRFonts"/>
        <charset val="134"/>
      </rPr>
      <t>21612</t>
    </r>
  </si>
  <si>
    <r>
      <rPr>
        <sz val="10"/>
        <color rgb="FF000000"/>
        <rFont val="JRFonts"/>
        <charset val="134"/>
      </rPr>
      <t>29-07-2026 13:00</t>
    </r>
  </si>
  <si>
    <r>
      <rPr>
        <sz val="10"/>
        <color rgb="FF000000"/>
        <rFont val="JRFonts"/>
        <charset val="134"/>
      </rPr>
      <t>29-07-2026 11:08</t>
    </r>
  </si>
  <si>
    <r>
      <rPr>
        <sz val="10"/>
        <color rgb="FF0000FF"/>
        <rFont val="JRFonts"/>
        <charset val="134"/>
      </rPr>
      <t>21613</t>
    </r>
  </si>
  <si>
    <r>
      <rPr>
        <sz val="10"/>
        <color rgb="FF000000"/>
        <rFont val="JRFonts"/>
        <charset val="134"/>
      </rPr>
      <t>29-07-2026 12:41</t>
    </r>
  </si>
  <si>
    <r>
      <rPr>
        <sz val="10"/>
        <color rgb="FF000000"/>
        <rFont val="JRFonts"/>
        <charset val="134"/>
      </rPr>
      <t>29-07-2026 11:09</t>
    </r>
  </si>
  <si>
    <r>
      <rPr>
        <sz val="10"/>
        <color rgb="FF0000FF"/>
        <rFont val="JRFonts"/>
        <charset val="134"/>
      </rPr>
      <t>21615</t>
    </r>
  </si>
  <si>
    <r>
      <rPr>
        <sz val="10"/>
        <color rgb="FF000000"/>
        <rFont val="JRFonts"/>
        <charset val="134"/>
      </rPr>
      <t>29-07-2026 10:11</t>
    </r>
  </si>
  <si>
    <r>
      <rPr>
        <sz val="10"/>
        <color rgb="FF000000"/>
        <rFont val="JRFonts"/>
        <charset val="134"/>
      </rPr>
      <t>29-07-2026 11:03</t>
    </r>
  </si>
  <si>
    <r>
      <rPr>
        <sz val="10"/>
        <color rgb="FF0000FF"/>
        <rFont val="JRFonts"/>
        <charset val="134"/>
      </rPr>
      <t>21617</t>
    </r>
  </si>
  <si>
    <r>
      <rPr>
        <sz val="10"/>
        <color rgb="FF000000"/>
        <rFont val="JRFonts"/>
        <charset val="134"/>
      </rPr>
      <t>29-07-2026 10:17</t>
    </r>
  </si>
  <si>
    <r>
      <rPr>
        <sz val="10"/>
        <color rgb="FF000000"/>
        <rFont val="JRFonts"/>
        <charset val="134"/>
      </rPr>
      <t>31-07-2026 18:25</t>
    </r>
  </si>
  <si>
    <r>
      <rPr>
        <sz val="10"/>
        <color rgb="FF000000"/>
        <rFont val="JRFonts"/>
        <charset val="134"/>
      </rPr>
      <t>30-07-2026 14:12</t>
    </r>
  </si>
  <si>
    <t>21617</t>
  </si>
  <si>
    <t xml:space="preserve">Was pending IT approval </t>
  </si>
  <si>
    <r>
      <rPr>
        <sz val="10"/>
        <color rgb="FF0000FF"/>
        <rFont val="JRFonts"/>
        <charset val="134"/>
      </rPr>
      <t>21618</t>
    </r>
  </si>
  <si>
    <r>
      <rPr>
        <sz val="10"/>
        <color rgb="FF000000"/>
        <rFont val="JRFonts"/>
        <charset val="134"/>
      </rPr>
      <t>29-07-2026 10:20</t>
    </r>
  </si>
  <si>
    <r>
      <rPr>
        <sz val="10"/>
        <color rgb="FF000000"/>
        <rFont val="JRFonts"/>
        <charset val="134"/>
      </rPr>
      <t>05-08-2026 15:07</t>
    </r>
  </si>
  <si>
    <r>
      <rPr>
        <sz val="10"/>
        <color rgb="FF000000"/>
        <rFont val="JRFonts"/>
        <charset val="134"/>
      </rPr>
      <t>29-07-2026 11:11</t>
    </r>
  </si>
  <si>
    <t>21618</t>
  </si>
  <si>
    <r>
      <rPr>
        <sz val="10"/>
        <color rgb="FF0000FF"/>
        <rFont val="JRFonts"/>
        <charset val="134"/>
      </rPr>
      <t>21619</t>
    </r>
  </si>
  <si>
    <r>
      <rPr>
        <sz val="10"/>
        <color rgb="FF000000"/>
        <rFont val="JRFonts"/>
        <charset val="134"/>
      </rPr>
      <t>29-07-2026 12:42</t>
    </r>
  </si>
  <si>
    <r>
      <rPr>
        <sz val="10"/>
        <color rgb="FF000000"/>
        <rFont val="JRFonts"/>
        <charset val="134"/>
      </rPr>
      <t>29-07-2026 11:12</t>
    </r>
  </si>
  <si>
    <r>
      <rPr>
        <sz val="10"/>
        <color rgb="FF0000FF"/>
        <rFont val="JRFonts"/>
        <charset val="134"/>
      </rPr>
      <t>21620</t>
    </r>
  </si>
  <si>
    <r>
      <rPr>
        <sz val="10"/>
        <color rgb="FF000000"/>
        <rFont val="JRFonts"/>
        <charset val="134"/>
      </rPr>
      <t>04-08-2026 16:30</t>
    </r>
  </si>
  <si>
    <r>
      <rPr>
        <sz val="10"/>
        <color rgb="FF000000"/>
        <rFont val="JRFonts"/>
        <charset val="134"/>
      </rPr>
      <t>29-07-2026 11:13</t>
    </r>
  </si>
  <si>
    <r>
      <rPr>
        <sz val="10"/>
        <color rgb="FF0000FF"/>
        <rFont val="JRFonts"/>
        <charset val="134"/>
      </rPr>
      <t>21621</t>
    </r>
  </si>
  <si>
    <r>
      <rPr>
        <sz val="10"/>
        <color rgb="FF000000"/>
        <rFont val="JRFonts"/>
        <charset val="134"/>
      </rPr>
      <t>04-08-2026 17:42</t>
    </r>
  </si>
  <si>
    <r>
      <rPr>
        <sz val="10"/>
        <color rgb="FF000000"/>
        <rFont val="JRFonts"/>
        <charset val="134"/>
      </rPr>
      <t>29-07-2026 11:15</t>
    </r>
  </si>
  <si>
    <r>
      <rPr>
        <sz val="10"/>
        <color rgb="FF0000FF"/>
        <rFont val="JRFonts"/>
        <charset val="134"/>
      </rPr>
      <t>21622</t>
    </r>
  </si>
  <si>
    <r>
      <rPr>
        <sz val="10"/>
        <color rgb="FF000000"/>
        <rFont val="JRFonts"/>
        <charset val="134"/>
      </rPr>
      <t>29-07-2026 10:32</t>
    </r>
  </si>
  <si>
    <r>
      <rPr>
        <sz val="10"/>
        <color rgb="FF000000"/>
        <rFont val="JRFonts"/>
        <charset val="134"/>
      </rPr>
      <t>29-07-2026 12:00</t>
    </r>
  </si>
  <si>
    <r>
      <rPr>
        <sz val="10"/>
        <color rgb="FF000000"/>
        <rFont val="JRFonts"/>
        <charset val="134"/>
      </rPr>
      <t>29-07-2026 11:17</t>
    </r>
  </si>
  <si>
    <r>
      <rPr>
        <sz val="10"/>
        <color rgb="FF0000FF"/>
        <rFont val="JRFonts"/>
        <charset val="134"/>
      </rPr>
      <t>21623</t>
    </r>
  </si>
  <si>
    <r>
      <rPr>
        <sz val="10"/>
        <color rgb="FF000000"/>
        <rFont val="JRFonts"/>
        <charset val="134"/>
      </rPr>
      <t>06-08-2026 11:08</t>
    </r>
  </si>
  <si>
    <r>
      <rPr>
        <sz val="10"/>
        <color rgb="FF000000"/>
        <rFont val="JRFonts"/>
        <charset val="134"/>
      </rPr>
      <t>30-07-2026 18:25</t>
    </r>
  </si>
  <si>
    <t>21623</t>
  </si>
  <si>
    <r>
      <rPr>
        <sz val="10"/>
        <color rgb="FF0000FF"/>
        <rFont val="JRFonts"/>
        <charset val="134"/>
      </rPr>
      <t>21624</t>
    </r>
  </si>
  <si>
    <r>
      <rPr>
        <sz val="10"/>
        <color rgb="FF000000"/>
        <rFont val="JRFonts"/>
        <charset val="134"/>
      </rPr>
      <t>29-07-2026 10:38</t>
    </r>
  </si>
  <si>
    <r>
      <rPr>
        <sz val="10"/>
        <color rgb="FF000000"/>
        <rFont val="JRFonts"/>
        <charset val="134"/>
      </rPr>
      <t>29-07-2026 12:25</t>
    </r>
  </si>
  <si>
    <r>
      <rPr>
        <sz val="10"/>
        <color rgb="FF000000"/>
        <rFont val="JRFonts"/>
        <charset val="134"/>
      </rPr>
      <t>29-07-2026 11:27</t>
    </r>
  </si>
  <si>
    <r>
      <rPr>
        <sz val="10"/>
        <color rgb="FF0000FF"/>
        <rFont val="JRFonts"/>
        <charset val="134"/>
      </rPr>
      <t>21625</t>
    </r>
  </si>
  <si>
    <r>
      <rPr>
        <sz val="10"/>
        <color rgb="FF000000"/>
        <rFont val="JRFonts"/>
        <charset val="134"/>
      </rPr>
      <t>31-07-2026 10:41</t>
    </r>
  </si>
  <si>
    <r>
      <rPr>
        <sz val="10"/>
        <color rgb="FF000000"/>
        <rFont val="JRFonts"/>
        <charset val="134"/>
      </rPr>
      <t>29-07-2026 11:28</t>
    </r>
  </si>
  <si>
    <t>21625</t>
  </si>
  <si>
    <r>
      <rPr>
        <sz val="10"/>
        <color rgb="FF0000FF"/>
        <rFont val="JRFonts"/>
        <charset val="134"/>
      </rPr>
      <t>21626</t>
    </r>
  </si>
  <si>
    <r>
      <rPr>
        <sz val="10"/>
        <color rgb="FF000000"/>
        <rFont val="JRFonts"/>
        <charset val="134"/>
      </rPr>
      <t>06-08-2026 11:47</t>
    </r>
  </si>
  <si>
    <t>21626</t>
  </si>
  <si>
    <r>
      <rPr>
        <sz val="10"/>
        <color rgb="FF0000FF"/>
        <rFont val="JRFonts"/>
        <charset val="134"/>
      </rPr>
      <t>21628</t>
    </r>
  </si>
  <si>
    <r>
      <rPr>
        <sz val="10"/>
        <color rgb="FF000000"/>
        <rFont val="JRFonts"/>
        <charset val="134"/>
      </rPr>
      <t>04-08-2026 17:43</t>
    </r>
  </si>
  <si>
    <r>
      <rPr>
        <sz val="10"/>
        <color rgb="FF000000"/>
        <rFont val="JRFonts"/>
        <charset val="134"/>
      </rPr>
      <t>29-07-2026 11:30</t>
    </r>
  </si>
  <si>
    <r>
      <rPr>
        <sz val="10"/>
        <color rgb="FF0000FF"/>
        <rFont val="JRFonts"/>
        <charset val="134"/>
      </rPr>
      <t>21629</t>
    </r>
  </si>
  <si>
    <r>
      <rPr>
        <sz val="10"/>
        <color rgb="FF000000"/>
        <rFont val="JRFonts"/>
        <charset val="134"/>
      </rPr>
      <t>29-07-2026 10:41</t>
    </r>
  </si>
  <si>
    <r>
      <rPr>
        <sz val="10"/>
        <color rgb="FF000000"/>
        <rFont val="JRFonts"/>
        <charset val="134"/>
      </rPr>
      <t>29-07-2026 11:32</t>
    </r>
  </si>
  <si>
    <t>21629</t>
  </si>
  <si>
    <r>
      <rPr>
        <sz val="10"/>
        <color rgb="FF0000FF"/>
        <rFont val="JRFonts"/>
        <charset val="134"/>
      </rPr>
      <t>21630</t>
    </r>
  </si>
  <si>
    <r>
      <rPr>
        <sz val="10"/>
        <color rgb="FF000000"/>
        <rFont val="JRFonts"/>
        <charset val="134"/>
      </rPr>
      <t>04-08-2026 17:44</t>
    </r>
  </si>
  <si>
    <r>
      <rPr>
        <sz val="10"/>
        <color rgb="FF000000"/>
        <rFont val="JRFonts"/>
        <charset val="134"/>
      </rPr>
      <t>29-07-2026 11:33</t>
    </r>
  </si>
  <si>
    <r>
      <rPr>
        <sz val="10"/>
        <color rgb="FF0000FF"/>
        <rFont val="JRFonts"/>
        <charset val="134"/>
      </rPr>
      <t>21631</t>
    </r>
  </si>
  <si>
    <r>
      <rPr>
        <sz val="10"/>
        <color rgb="FF000000"/>
        <rFont val="JRFonts"/>
        <charset val="134"/>
      </rPr>
      <t>29-07-2026 11:39</t>
    </r>
  </si>
  <si>
    <r>
      <rPr>
        <sz val="10"/>
        <color rgb="FF000000"/>
        <rFont val="JRFonts"/>
        <charset val="134"/>
      </rPr>
      <t>29-07-2026 11:06</t>
    </r>
  </si>
  <si>
    <r>
      <rPr>
        <sz val="10"/>
        <color rgb="FF0000FF"/>
        <rFont val="JRFonts"/>
        <charset val="134"/>
      </rPr>
      <t>21633</t>
    </r>
  </si>
  <si>
    <r>
      <rPr>
        <sz val="10"/>
        <color rgb="FF000000"/>
        <rFont val="JRFonts"/>
        <charset val="134"/>
      </rPr>
      <t>29-07-2026 10:45</t>
    </r>
  </si>
  <si>
    <r>
      <rPr>
        <sz val="10"/>
        <color rgb="FF000000"/>
        <rFont val="JRFonts"/>
        <charset val="134"/>
      </rPr>
      <t>04-08-2026 17:45</t>
    </r>
  </si>
  <si>
    <r>
      <rPr>
        <sz val="10"/>
        <color rgb="FF000000"/>
        <rFont val="JRFonts"/>
        <charset val="134"/>
      </rPr>
      <t>29-07-2026 11:36</t>
    </r>
  </si>
  <si>
    <r>
      <rPr>
        <sz val="10"/>
        <color rgb="FF0000FF"/>
        <rFont val="JRFonts"/>
        <charset val="134"/>
      </rPr>
      <t>21634</t>
    </r>
  </si>
  <si>
    <r>
      <rPr>
        <sz val="10"/>
        <color rgb="FF000000"/>
        <rFont val="JRFonts"/>
        <charset val="134"/>
      </rPr>
      <t>29-07-2026 10:51</t>
    </r>
  </si>
  <si>
    <r>
      <rPr>
        <sz val="10"/>
        <color rgb="FF000000"/>
        <rFont val="JRFonts"/>
        <charset val="134"/>
      </rPr>
      <t>29-07-2026 12:45</t>
    </r>
  </si>
  <si>
    <r>
      <rPr>
        <sz val="10"/>
        <color rgb="FF000000"/>
        <rFont val="JRFonts"/>
        <charset val="134"/>
      </rPr>
      <t>29-07-2026 11:40</t>
    </r>
  </si>
  <si>
    <r>
      <rPr>
        <sz val="10"/>
        <color rgb="FF0000FF"/>
        <rFont val="JRFonts"/>
        <charset val="134"/>
      </rPr>
      <t>21635</t>
    </r>
  </si>
  <si>
    <r>
      <rPr>
        <sz val="10"/>
        <color rgb="FF000000"/>
        <rFont val="JRFonts"/>
        <charset val="134"/>
      </rPr>
      <t>29-07-2026 10:57</t>
    </r>
  </si>
  <si>
    <r>
      <rPr>
        <sz val="10"/>
        <color rgb="FF000000"/>
        <rFont val="JRFonts"/>
        <charset val="134"/>
      </rPr>
      <t>04-08-2026 17:46</t>
    </r>
  </si>
  <si>
    <r>
      <rPr>
        <sz val="10"/>
        <color rgb="FF000000"/>
        <rFont val="JRFonts"/>
        <charset val="134"/>
      </rPr>
      <t>29-07-2026 11:42</t>
    </r>
  </si>
  <si>
    <r>
      <rPr>
        <sz val="10"/>
        <color rgb="FF0000FF"/>
        <rFont val="JRFonts"/>
        <charset val="134"/>
      </rPr>
      <t>21636</t>
    </r>
  </si>
  <si>
    <r>
      <rPr>
        <sz val="10"/>
        <color rgb="FF000000"/>
        <rFont val="JRFonts"/>
        <charset val="134"/>
      </rPr>
      <t>29-07-2026 16:22</t>
    </r>
  </si>
  <si>
    <r>
      <rPr>
        <sz val="10"/>
        <color rgb="FF000000"/>
        <rFont val="JRFonts"/>
        <charset val="134"/>
      </rPr>
      <t>29-07-2026 11:51</t>
    </r>
  </si>
  <si>
    <r>
      <rPr>
        <sz val="10"/>
        <color rgb="FF0000FF"/>
        <rFont val="JRFonts"/>
        <charset val="134"/>
      </rPr>
      <t>21638</t>
    </r>
  </si>
  <si>
    <r>
      <rPr>
        <sz val="10"/>
        <color rgb="FF000000"/>
        <rFont val="JRFonts"/>
        <charset val="134"/>
      </rPr>
      <t>04-08-2026 17:47</t>
    </r>
  </si>
  <si>
    <r>
      <rPr>
        <sz val="10"/>
        <color rgb="FF000000"/>
        <rFont val="JRFonts"/>
        <charset val="134"/>
      </rPr>
      <t>29-07-2026 11:56</t>
    </r>
  </si>
  <si>
    <t>21638</t>
  </si>
  <si>
    <r>
      <rPr>
        <sz val="10"/>
        <color rgb="FF0000FF"/>
        <rFont val="JRFonts"/>
        <charset val="134"/>
      </rPr>
      <t>21639</t>
    </r>
  </si>
  <si>
    <r>
      <rPr>
        <sz val="10"/>
        <color rgb="FF000000"/>
        <rFont val="JRFonts"/>
        <charset val="134"/>
      </rPr>
      <t>29-07-2026 11:05</t>
    </r>
  </si>
  <si>
    <r>
      <rPr>
        <sz val="10"/>
        <color rgb="FF0000FF"/>
        <rFont val="JRFonts"/>
        <charset val="134"/>
      </rPr>
      <t>21640</t>
    </r>
  </si>
  <si>
    <r>
      <rPr>
        <sz val="10"/>
        <color rgb="FF000000"/>
        <rFont val="JRFonts"/>
        <charset val="134"/>
      </rPr>
      <t>04-08-2026 17:48</t>
    </r>
  </si>
  <si>
    <r>
      <rPr>
        <sz val="10"/>
        <color rgb="FF000000"/>
        <rFont val="JRFonts"/>
        <charset val="134"/>
      </rPr>
      <t>29-07-2026 11:57</t>
    </r>
  </si>
  <si>
    <r>
      <rPr>
        <sz val="10"/>
        <color rgb="FF0000FF"/>
        <rFont val="JRFonts"/>
        <charset val="134"/>
      </rPr>
      <t>21642</t>
    </r>
  </si>
  <si>
    <r>
      <rPr>
        <sz val="10"/>
        <color rgb="FF000000"/>
        <rFont val="JRFonts"/>
        <charset val="134"/>
      </rPr>
      <t>04-08-2026 18:02</t>
    </r>
  </si>
  <si>
    <r>
      <rPr>
        <sz val="10"/>
        <color rgb="FF000000"/>
        <rFont val="JRFonts"/>
        <charset val="134"/>
      </rPr>
      <t>29-07-2026 12:03</t>
    </r>
  </si>
  <si>
    <r>
      <rPr>
        <sz val="10"/>
        <color rgb="FF0000FF"/>
        <rFont val="JRFonts"/>
        <charset val="134"/>
      </rPr>
      <t>21643</t>
    </r>
  </si>
  <si>
    <r>
      <rPr>
        <sz val="10"/>
        <color rgb="FF000000"/>
        <rFont val="JRFonts"/>
        <charset val="134"/>
      </rPr>
      <t>04-08-2026 17:23</t>
    </r>
  </si>
  <si>
    <r>
      <rPr>
        <sz val="10"/>
        <color rgb="FF000000"/>
        <rFont val="JRFonts"/>
        <charset val="134"/>
      </rPr>
      <t>29-07-2026 12:05</t>
    </r>
  </si>
  <si>
    <t>21643</t>
  </si>
  <si>
    <r>
      <rPr>
        <sz val="10"/>
        <color rgb="FF0000FF"/>
        <rFont val="JRFonts"/>
        <charset val="134"/>
      </rPr>
      <t>21651</t>
    </r>
  </si>
  <si>
    <r>
      <rPr>
        <sz val="10"/>
        <color rgb="FF000000"/>
        <rFont val="JRFonts"/>
        <charset val="134"/>
      </rPr>
      <t>29-07-2026 16:18</t>
    </r>
  </si>
  <si>
    <r>
      <rPr>
        <sz val="10"/>
        <color rgb="FF000000"/>
        <rFont val="JRFonts"/>
        <charset val="134"/>
      </rPr>
      <t>29-07-2026 12:15</t>
    </r>
  </si>
  <si>
    <r>
      <rPr>
        <sz val="10"/>
        <color rgb="FF0000FF"/>
        <rFont val="JRFonts"/>
        <charset val="134"/>
      </rPr>
      <t>21653</t>
    </r>
  </si>
  <si>
    <r>
      <rPr>
        <sz val="10"/>
        <color rgb="FF000000"/>
        <rFont val="JRFonts"/>
        <charset val="134"/>
      </rPr>
      <t>04-08-2026 18:04</t>
    </r>
  </si>
  <si>
    <r>
      <rPr>
        <sz val="10"/>
        <color rgb="FF000000"/>
        <rFont val="JRFonts"/>
        <charset val="134"/>
      </rPr>
      <t>29-07-2026 12:23</t>
    </r>
  </si>
  <si>
    <r>
      <rPr>
        <sz val="10"/>
        <color rgb="FF0000FF"/>
        <rFont val="JRFonts"/>
        <charset val="134"/>
      </rPr>
      <t>21654</t>
    </r>
  </si>
  <si>
    <r>
      <rPr>
        <sz val="10"/>
        <color rgb="FF000000"/>
        <rFont val="JRFonts"/>
        <charset val="134"/>
      </rPr>
      <t>29-07-2026 11:34</t>
    </r>
  </si>
  <si>
    <r>
      <rPr>
        <sz val="10"/>
        <color rgb="FF000000"/>
        <rFont val="JRFonts"/>
        <charset val="134"/>
      </rPr>
      <t>29-07-2026 12:39</t>
    </r>
  </si>
  <si>
    <r>
      <rPr>
        <sz val="10"/>
        <color rgb="FF000000"/>
        <rFont val="JRFonts"/>
        <charset val="134"/>
      </rPr>
      <t>29-07-2026 12:27</t>
    </r>
  </si>
  <si>
    <r>
      <rPr>
        <sz val="10"/>
        <color rgb="FF0000FF"/>
        <rFont val="JRFonts"/>
        <charset val="134"/>
      </rPr>
      <t>21657</t>
    </r>
  </si>
  <si>
    <r>
      <rPr>
        <sz val="10"/>
        <color rgb="FF000000"/>
        <rFont val="JRFonts"/>
        <charset val="134"/>
      </rPr>
      <t>14-08-2026 11:16</t>
    </r>
  </si>
  <si>
    <r>
      <rPr>
        <sz val="10"/>
        <color rgb="FF000000"/>
        <rFont val="JRFonts"/>
        <charset val="134"/>
      </rPr>
      <t>14-08-2026 10:55</t>
    </r>
  </si>
  <si>
    <r>
      <rPr>
        <sz val="10"/>
        <color rgb="FF0000FF"/>
        <rFont val="JRFonts"/>
        <charset val="134"/>
      </rPr>
      <t>21658</t>
    </r>
  </si>
  <si>
    <r>
      <rPr>
        <sz val="10"/>
        <color rgb="FF000000"/>
        <rFont val="JRFonts"/>
        <charset val="134"/>
      </rPr>
      <t>29-07-2026 11:43</t>
    </r>
  </si>
  <si>
    <r>
      <rPr>
        <sz val="10"/>
        <color rgb="FF000000"/>
        <rFont val="JRFonts"/>
        <charset val="134"/>
      </rPr>
      <t>29-07-2026 12:28</t>
    </r>
  </si>
  <si>
    <r>
      <rPr>
        <sz val="10"/>
        <color rgb="FF0000FF"/>
        <rFont val="JRFonts"/>
        <charset val="134"/>
      </rPr>
      <t>21659</t>
    </r>
  </si>
  <si>
    <r>
      <rPr>
        <sz val="10"/>
        <color rgb="FF000000"/>
        <rFont val="JRFonts"/>
        <charset val="134"/>
      </rPr>
      <t>30-07-2026 10:58</t>
    </r>
  </si>
  <si>
    <r>
      <rPr>
        <sz val="10"/>
        <color rgb="FF000000"/>
        <rFont val="JRFonts"/>
        <charset val="134"/>
      </rPr>
      <t>29-07-2026 12:30</t>
    </r>
  </si>
  <si>
    <r>
      <rPr>
        <sz val="10"/>
        <color rgb="FF0000FF"/>
        <rFont val="JRFonts"/>
        <charset val="134"/>
      </rPr>
      <t>21663</t>
    </r>
  </si>
  <si>
    <r>
      <rPr>
        <sz val="10"/>
        <color rgb="FF000000"/>
        <rFont val="JRFonts"/>
        <charset val="134"/>
      </rPr>
      <t>29-07-2026 11:55</t>
    </r>
  </si>
  <si>
    <r>
      <rPr>
        <sz val="10"/>
        <color rgb="FF000000"/>
        <rFont val="JRFonts"/>
        <charset val="134"/>
      </rPr>
      <t>04-08-2026 18:05</t>
    </r>
  </si>
  <si>
    <r>
      <rPr>
        <sz val="10"/>
        <color rgb="FF000000"/>
        <rFont val="JRFonts"/>
        <charset val="134"/>
      </rPr>
      <t>29-07-2026 12:31</t>
    </r>
  </si>
  <si>
    <r>
      <rPr>
        <sz val="10"/>
        <color rgb="FF0000FF"/>
        <rFont val="JRFonts"/>
        <charset val="134"/>
      </rPr>
      <t>21665</t>
    </r>
  </si>
  <si>
    <r>
      <rPr>
        <sz val="10"/>
        <color rgb="FF000000"/>
        <rFont val="JRFonts"/>
        <charset val="134"/>
      </rPr>
      <t>29-07-2026 12:01</t>
    </r>
  </si>
  <si>
    <r>
      <rPr>
        <sz val="10"/>
        <color rgb="FF000000"/>
        <rFont val="JRFonts"/>
        <charset val="134"/>
      </rPr>
      <t>29-07-2026 12:09</t>
    </r>
  </si>
  <si>
    <r>
      <rPr>
        <sz val="10"/>
        <color rgb="FF000000"/>
        <rFont val="JRFonts"/>
        <charset val="134"/>
      </rPr>
      <t>29-07-2026 12:06</t>
    </r>
  </si>
  <si>
    <r>
      <rPr>
        <sz val="10"/>
        <color rgb="FF0000FF"/>
        <rFont val="JRFonts"/>
        <charset val="134"/>
      </rPr>
      <t>21666</t>
    </r>
  </si>
  <si>
    <r>
      <rPr>
        <sz val="10"/>
        <color rgb="FF000000"/>
        <rFont val="JRFonts"/>
        <charset val="134"/>
      </rPr>
      <t>29-07-2026 12:04</t>
    </r>
  </si>
  <si>
    <r>
      <rPr>
        <sz val="10"/>
        <color rgb="FF000000"/>
        <rFont val="JRFonts"/>
        <charset val="134"/>
      </rPr>
      <t>05-08-2026 10:22</t>
    </r>
  </si>
  <si>
    <r>
      <rPr>
        <sz val="10"/>
        <color rgb="FF000000"/>
        <rFont val="JRFonts"/>
        <charset val="134"/>
      </rPr>
      <t>29-07-2026 12:34</t>
    </r>
  </si>
  <si>
    <t>21666</t>
  </si>
  <si>
    <r>
      <rPr>
        <sz val="10"/>
        <color rgb="FF0000FF"/>
        <rFont val="JRFonts"/>
        <charset val="134"/>
      </rPr>
      <t>21667</t>
    </r>
  </si>
  <si>
    <r>
      <rPr>
        <sz val="10"/>
        <color rgb="FF000000"/>
        <rFont val="JRFonts"/>
        <charset val="134"/>
      </rPr>
      <t>29-07-2026 16:11</t>
    </r>
  </si>
  <si>
    <r>
      <rPr>
        <sz val="10"/>
        <color rgb="FF000000"/>
        <rFont val="JRFonts"/>
        <charset val="134"/>
      </rPr>
      <t>29-07-2026 12:36</t>
    </r>
  </si>
  <si>
    <r>
      <rPr>
        <sz val="10"/>
        <color rgb="FF0000FF"/>
        <rFont val="JRFonts"/>
        <charset val="134"/>
      </rPr>
      <t>21668</t>
    </r>
  </si>
  <si>
    <r>
      <rPr>
        <sz val="10"/>
        <color rgb="FF000000"/>
        <rFont val="JRFonts"/>
        <charset val="134"/>
      </rPr>
      <t>31-07-2026 14:28</t>
    </r>
  </si>
  <si>
    <r>
      <rPr>
        <sz val="10"/>
        <color rgb="FF000000"/>
        <rFont val="JRFonts"/>
        <charset val="134"/>
      </rPr>
      <t>29-07-2026 13:01</t>
    </r>
  </si>
  <si>
    <t>21668</t>
  </si>
  <si>
    <r>
      <rPr>
        <sz val="10"/>
        <color rgb="FF0000FF"/>
        <rFont val="JRFonts"/>
        <charset val="134"/>
      </rPr>
      <t>21672</t>
    </r>
  </si>
  <si>
    <r>
      <rPr>
        <sz val="10"/>
        <color rgb="FF000000"/>
        <rFont val="JRFonts"/>
        <charset val="134"/>
      </rPr>
      <t>29-07-2026 12:56</t>
    </r>
  </si>
  <si>
    <r>
      <rPr>
        <sz val="10"/>
        <color rgb="FF000000"/>
        <rFont val="JRFonts"/>
        <charset val="134"/>
      </rPr>
      <t>30-07-2026 10:54</t>
    </r>
  </si>
  <si>
    <r>
      <rPr>
        <sz val="10"/>
        <color rgb="FF000000"/>
        <rFont val="JRFonts"/>
        <charset val="134"/>
      </rPr>
      <t>29-07-2026 14:23</t>
    </r>
  </si>
  <si>
    <t>21673</t>
  </si>
  <si>
    <r>
      <rPr>
        <sz val="10"/>
        <color rgb="FF000000"/>
        <rFont val="JRFonts"/>
        <charset val="134"/>
      </rPr>
      <t>05-08-2026 15:06</t>
    </r>
  </si>
  <si>
    <r>
      <rPr>
        <sz val="10"/>
        <color rgb="FF000000"/>
        <rFont val="JRFonts"/>
        <charset val="134"/>
      </rPr>
      <t>29-07-2026 13:05</t>
    </r>
  </si>
  <si>
    <r>
      <rPr>
        <sz val="10"/>
        <color rgb="FF0000FF"/>
        <rFont val="JRFonts"/>
        <charset val="134"/>
      </rPr>
      <t>21681</t>
    </r>
  </si>
  <si>
    <r>
      <rPr>
        <sz val="10"/>
        <color rgb="FF000000"/>
        <rFont val="JRFonts"/>
        <charset val="134"/>
      </rPr>
      <t>29-07-2026 13:45</t>
    </r>
  </si>
  <si>
    <r>
      <rPr>
        <sz val="10"/>
        <color rgb="FF000000"/>
        <rFont val="JRFonts"/>
        <charset val="134"/>
      </rPr>
      <t>04-08-2026 18:06</t>
    </r>
  </si>
  <si>
    <r>
      <rPr>
        <sz val="10"/>
        <color rgb="FF000000"/>
        <rFont val="JRFonts"/>
        <charset val="134"/>
      </rPr>
      <t>29-07-2026 14:25</t>
    </r>
  </si>
  <si>
    <t>21681</t>
  </si>
  <si>
    <r>
      <rPr>
        <sz val="10"/>
        <color rgb="FF0000FF"/>
        <rFont val="JRFonts"/>
        <charset val="134"/>
      </rPr>
      <t>21682</t>
    </r>
  </si>
  <si>
    <r>
      <rPr>
        <sz val="10"/>
        <color rgb="FF000000"/>
        <rFont val="JRFonts"/>
        <charset val="134"/>
      </rPr>
      <t>29-07-2026 13:48</t>
    </r>
  </si>
  <si>
    <r>
      <rPr>
        <sz val="10"/>
        <color rgb="FF000000"/>
        <rFont val="JRFonts"/>
        <charset val="134"/>
      </rPr>
      <t>29-07-2026 17:36</t>
    </r>
  </si>
  <si>
    <r>
      <rPr>
        <sz val="10"/>
        <color rgb="FF000000"/>
        <rFont val="JRFonts"/>
        <charset val="134"/>
      </rPr>
      <t>29-07-2026 14:21</t>
    </r>
  </si>
  <si>
    <t>21682</t>
  </si>
  <si>
    <r>
      <rPr>
        <sz val="10"/>
        <color rgb="FF0000FF"/>
        <rFont val="JRFonts"/>
        <charset val="134"/>
      </rPr>
      <t>21683</t>
    </r>
  </si>
  <si>
    <r>
      <rPr>
        <sz val="10"/>
        <color rgb="FF000000"/>
        <rFont val="JRFonts"/>
        <charset val="134"/>
      </rPr>
      <t>29-07-2026 13:54</t>
    </r>
  </si>
  <si>
    <r>
      <rPr>
        <sz val="10"/>
        <color rgb="FF000000"/>
        <rFont val="JRFonts"/>
        <charset val="134"/>
      </rPr>
      <t>13-08-2026 12:30</t>
    </r>
  </si>
  <si>
    <r>
      <rPr>
        <sz val="10"/>
        <color rgb="FF000000"/>
        <rFont val="JRFonts"/>
        <charset val="134"/>
      </rPr>
      <t>29-07-2026 14:27</t>
    </r>
  </si>
  <si>
    <t>21683</t>
  </si>
  <si>
    <r>
      <rPr>
        <sz val="10"/>
        <color rgb="FF0000FF"/>
        <rFont val="JRFonts"/>
        <charset val="134"/>
      </rPr>
      <t>21684</t>
    </r>
  </si>
  <si>
    <r>
      <rPr>
        <sz val="10"/>
        <color rgb="FF000000"/>
        <rFont val="JRFonts"/>
        <charset val="134"/>
      </rPr>
      <t>04-08-2026 18:08</t>
    </r>
  </si>
  <si>
    <r>
      <rPr>
        <sz val="10"/>
        <color rgb="FF000000"/>
        <rFont val="JRFonts"/>
        <charset val="134"/>
      </rPr>
      <t>29-07-2026 14:29</t>
    </r>
  </si>
  <si>
    <t>21684</t>
  </si>
  <si>
    <r>
      <rPr>
        <sz val="10"/>
        <color rgb="FF0000FF"/>
        <rFont val="JRFonts"/>
        <charset val="134"/>
      </rPr>
      <t>21685</t>
    </r>
  </si>
  <si>
    <r>
      <rPr>
        <sz val="10"/>
        <color rgb="FF000000"/>
        <rFont val="JRFonts"/>
        <charset val="134"/>
      </rPr>
      <t>29-07-2026 13:57</t>
    </r>
  </si>
  <si>
    <r>
      <rPr>
        <sz val="10"/>
        <color rgb="FF000000"/>
        <rFont val="JRFonts"/>
        <charset val="134"/>
      </rPr>
      <t>04-08-2026 18:09</t>
    </r>
  </si>
  <si>
    <r>
      <rPr>
        <sz val="10"/>
        <color rgb="FF000000"/>
        <rFont val="JRFonts"/>
        <charset val="134"/>
      </rPr>
      <t>29-07-2026 14:30</t>
    </r>
  </si>
  <si>
    <t>21685</t>
  </si>
  <si>
    <r>
      <rPr>
        <sz val="10"/>
        <color rgb="FF0000FF"/>
        <rFont val="JRFonts"/>
        <charset val="134"/>
      </rPr>
      <t>21686</t>
    </r>
  </si>
  <si>
    <r>
      <rPr>
        <sz val="10"/>
        <color rgb="FF000000"/>
        <rFont val="JRFonts"/>
        <charset val="134"/>
      </rPr>
      <t>29-07-2026 14:00</t>
    </r>
  </si>
  <si>
    <r>
      <rPr>
        <sz val="10"/>
        <color rgb="FF000000"/>
        <rFont val="JRFonts"/>
        <charset val="134"/>
      </rPr>
      <t>04-08-2026 18:10</t>
    </r>
  </si>
  <si>
    <r>
      <rPr>
        <sz val="10"/>
        <color rgb="FF000000"/>
        <rFont val="JRFonts"/>
        <charset val="134"/>
      </rPr>
      <t>29-07-2026 14:32</t>
    </r>
  </si>
  <si>
    <t>21686</t>
  </si>
  <si>
    <r>
      <rPr>
        <sz val="10"/>
        <color rgb="FF0000FF"/>
        <rFont val="JRFonts"/>
        <charset val="134"/>
      </rPr>
      <t>21687</t>
    </r>
  </si>
  <si>
    <r>
      <rPr>
        <sz val="10"/>
        <color rgb="FF000000"/>
        <rFont val="JRFonts"/>
        <charset val="134"/>
      </rPr>
      <t>04-08-2026 18:11</t>
    </r>
  </si>
  <si>
    <r>
      <rPr>
        <sz val="10"/>
        <color rgb="FF000000"/>
        <rFont val="JRFonts"/>
        <charset val="134"/>
      </rPr>
      <t>29-07-2026 14:40</t>
    </r>
  </si>
  <si>
    <t>21687</t>
  </si>
  <si>
    <r>
      <rPr>
        <sz val="10"/>
        <color rgb="FF0000FF"/>
        <rFont val="JRFonts"/>
        <charset val="134"/>
      </rPr>
      <t>21688</t>
    </r>
  </si>
  <si>
    <r>
      <rPr>
        <sz val="10"/>
        <color rgb="FF000000"/>
        <rFont val="JRFonts"/>
        <charset val="134"/>
      </rPr>
      <t>29-07-2026 14:06</t>
    </r>
  </si>
  <si>
    <r>
      <rPr>
        <sz val="10"/>
        <color rgb="FF000000"/>
        <rFont val="JRFonts"/>
        <charset val="134"/>
      </rPr>
      <t>29-07-2026 15:06</t>
    </r>
  </si>
  <si>
    <r>
      <rPr>
        <sz val="10"/>
        <color rgb="FF000000"/>
        <rFont val="JRFonts"/>
        <charset val="134"/>
      </rPr>
      <t>29-07-2026 14:22</t>
    </r>
  </si>
  <si>
    <r>
      <rPr>
        <sz val="10"/>
        <color rgb="FF0000FF"/>
        <rFont val="JRFonts"/>
        <charset val="134"/>
      </rPr>
      <t>21689</t>
    </r>
  </si>
  <si>
    <r>
      <rPr>
        <sz val="10"/>
        <color rgb="FF000000"/>
        <rFont val="JRFonts"/>
        <charset val="134"/>
      </rPr>
      <t>29-07-2026 14:15</t>
    </r>
  </si>
  <si>
    <r>
      <rPr>
        <sz val="10"/>
        <color rgb="FF000000"/>
        <rFont val="JRFonts"/>
        <charset val="134"/>
      </rPr>
      <t>29-07-2026 16:09</t>
    </r>
  </si>
  <si>
    <r>
      <rPr>
        <sz val="10"/>
        <color rgb="FF000000"/>
        <rFont val="JRFonts"/>
        <charset val="134"/>
      </rPr>
      <t>29-07-2026 14:42</t>
    </r>
  </si>
  <si>
    <r>
      <rPr>
        <sz val="10"/>
        <color rgb="FF0000FF"/>
        <rFont val="JRFonts"/>
        <charset val="134"/>
      </rPr>
      <t>21690</t>
    </r>
  </si>
  <si>
    <r>
      <rPr>
        <sz val="10"/>
        <color rgb="FF000000"/>
        <rFont val="JRFonts"/>
        <charset val="134"/>
      </rPr>
      <t>29-07-2026 15:19</t>
    </r>
  </si>
  <si>
    <r>
      <rPr>
        <sz val="10"/>
        <color rgb="FF000000"/>
        <rFont val="JRFonts"/>
        <charset val="134"/>
      </rPr>
      <t>29-07-2026 14:43</t>
    </r>
  </si>
  <si>
    <r>
      <rPr>
        <sz val="10"/>
        <color rgb="FF0000FF"/>
        <rFont val="JRFonts"/>
        <charset val="134"/>
      </rPr>
      <t>21691</t>
    </r>
  </si>
  <si>
    <r>
      <rPr>
        <sz val="10"/>
        <color rgb="FF000000"/>
        <rFont val="JRFonts"/>
        <charset val="134"/>
      </rPr>
      <t>29-07-2026 15:36</t>
    </r>
  </si>
  <si>
    <r>
      <rPr>
        <sz val="10"/>
        <color rgb="FF000000"/>
        <rFont val="JRFonts"/>
        <charset val="134"/>
      </rPr>
      <t>29-07-2026 14:45</t>
    </r>
  </si>
  <si>
    <r>
      <rPr>
        <sz val="10"/>
        <color rgb="FF0000FF"/>
        <rFont val="JRFonts"/>
        <charset val="134"/>
      </rPr>
      <t>21692</t>
    </r>
  </si>
  <si>
    <r>
      <rPr>
        <sz val="10"/>
        <color rgb="FF000000"/>
        <rFont val="JRFonts"/>
        <charset val="134"/>
      </rPr>
      <t>05-08-2026 18:14</t>
    </r>
  </si>
  <si>
    <r>
      <rPr>
        <sz val="10"/>
        <color rgb="FF000000"/>
        <rFont val="JRFonts"/>
        <charset val="134"/>
      </rPr>
      <t>29-07-2026 14:46</t>
    </r>
  </si>
  <si>
    <t>21692</t>
  </si>
  <si>
    <r>
      <rPr>
        <sz val="10"/>
        <color rgb="FF0000FF"/>
        <rFont val="JRFonts"/>
        <charset val="134"/>
      </rPr>
      <t>21694</t>
    </r>
  </si>
  <si>
    <r>
      <rPr>
        <sz val="10"/>
        <color rgb="FF000000"/>
        <rFont val="JRFonts"/>
        <charset val="134"/>
      </rPr>
      <t>29-07-2026 14:49</t>
    </r>
  </si>
  <si>
    <r>
      <rPr>
        <sz val="10"/>
        <color rgb="FF000000"/>
        <rFont val="JRFonts"/>
        <charset val="134"/>
      </rPr>
      <t>04-08-2026 18:12</t>
    </r>
  </si>
  <si>
    <r>
      <rPr>
        <sz val="10"/>
        <color rgb="FF000000"/>
        <rFont val="JRFonts"/>
        <charset val="134"/>
      </rPr>
      <t>29-07-2026 14:56</t>
    </r>
  </si>
  <si>
    <t>21694</t>
  </si>
  <si>
    <r>
      <rPr>
        <sz val="10"/>
        <color rgb="FF0000FF"/>
        <rFont val="JRFonts"/>
        <charset val="134"/>
      </rPr>
      <t>21695</t>
    </r>
  </si>
  <si>
    <r>
      <rPr>
        <sz val="10"/>
        <color rgb="FF000000"/>
        <rFont val="JRFonts"/>
        <charset val="134"/>
      </rPr>
      <t>29-07-2026 14:52</t>
    </r>
  </si>
  <si>
    <r>
      <rPr>
        <sz val="10"/>
        <color rgb="FF000000"/>
        <rFont val="JRFonts"/>
        <charset val="134"/>
      </rPr>
      <t>05-08-2026 15:21</t>
    </r>
  </si>
  <si>
    <r>
      <rPr>
        <sz val="10"/>
        <color rgb="FF000000"/>
        <rFont val="JRFonts"/>
        <charset val="134"/>
      </rPr>
      <t>29-07-2026 15:03</t>
    </r>
  </si>
  <si>
    <t>21695</t>
  </si>
  <si>
    <r>
      <rPr>
        <sz val="10"/>
        <color rgb="FF0000FF"/>
        <rFont val="JRFonts"/>
        <charset val="134"/>
      </rPr>
      <t>21696</t>
    </r>
  </si>
  <si>
    <r>
      <rPr>
        <sz val="10"/>
        <color rgb="FF000000"/>
        <rFont val="JRFonts"/>
        <charset val="134"/>
      </rPr>
      <t>30-07-2026 10:53</t>
    </r>
  </si>
  <si>
    <r>
      <rPr>
        <sz val="10"/>
        <color rgb="FF000000"/>
        <rFont val="JRFonts"/>
        <charset val="134"/>
      </rPr>
      <t>29-07-2026 14:59</t>
    </r>
  </si>
  <si>
    <r>
      <rPr>
        <sz val="10"/>
        <color rgb="FF0000FF"/>
        <rFont val="JRFonts"/>
        <charset val="134"/>
      </rPr>
      <t>21697</t>
    </r>
  </si>
  <si>
    <r>
      <rPr>
        <sz val="10"/>
        <color rgb="FF000000"/>
        <rFont val="JRFonts"/>
        <charset val="134"/>
      </rPr>
      <t>12-08-2026 14:39</t>
    </r>
  </si>
  <si>
    <r>
      <rPr>
        <sz val="10"/>
        <color rgb="FF000000"/>
        <rFont val="JRFonts"/>
        <charset val="134"/>
      </rPr>
      <t>29-07-2026 15:17</t>
    </r>
  </si>
  <si>
    <t>21697</t>
  </si>
  <si>
    <r>
      <rPr>
        <sz val="10"/>
        <color rgb="FF0000FF"/>
        <rFont val="JRFonts"/>
        <charset val="134"/>
      </rPr>
      <t>21699</t>
    </r>
  </si>
  <si>
    <r>
      <rPr>
        <sz val="10"/>
        <color rgb="FF000000"/>
        <rFont val="JRFonts"/>
        <charset val="134"/>
      </rPr>
      <t>29-07-2026 15:04</t>
    </r>
  </si>
  <si>
    <r>
      <rPr>
        <sz val="10"/>
        <color rgb="FF000000"/>
        <rFont val="JRFonts"/>
        <charset val="134"/>
      </rPr>
      <t>04-08-2026 13:09</t>
    </r>
  </si>
  <si>
    <r>
      <rPr>
        <sz val="10"/>
        <color rgb="FF000000"/>
        <rFont val="JRFonts"/>
        <charset val="134"/>
      </rPr>
      <t>29-07-2026 15:12</t>
    </r>
  </si>
  <si>
    <t>21699</t>
  </si>
  <si>
    <r>
      <rPr>
        <sz val="10"/>
        <color rgb="FF0000FF"/>
        <rFont val="JRFonts"/>
        <charset val="134"/>
      </rPr>
      <t>21702</t>
    </r>
  </si>
  <si>
    <r>
      <rPr>
        <sz val="10"/>
        <color rgb="FF000000"/>
        <rFont val="JRFonts"/>
        <charset val="134"/>
      </rPr>
      <t>29-07-2026 15:20</t>
    </r>
  </si>
  <si>
    <r>
      <rPr>
        <sz val="10"/>
        <color rgb="FF000000"/>
        <rFont val="JRFonts"/>
        <charset val="134"/>
      </rPr>
      <t>30-07-2026 10:52</t>
    </r>
  </si>
  <si>
    <r>
      <rPr>
        <sz val="10"/>
        <color rgb="FF000000"/>
        <rFont val="JRFonts"/>
        <charset val="134"/>
      </rPr>
      <t>29-07-2026 16:02</t>
    </r>
  </si>
  <si>
    <r>
      <rPr>
        <sz val="10"/>
        <color rgb="FF0000FF"/>
        <rFont val="JRFonts"/>
        <charset val="134"/>
      </rPr>
      <t>21703</t>
    </r>
  </si>
  <si>
    <r>
      <rPr>
        <sz val="10"/>
        <color rgb="FF000000"/>
        <rFont val="JRFonts"/>
        <charset val="134"/>
      </rPr>
      <t>29-07-2026 15:23</t>
    </r>
  </si>
  <si>
    <r>
      <rPr>
        <sz val="10"/>
        <color rgb="FF000000"/>
        <rFont val="JRFonts"/>
        <charset val="134"/>
      </rPr>
      <t>30-07-2026 10:50</t>
    </r>
  </si>
  <si>
    <r>
      <rPr>
        <sz val="10"/>
        <color rgb="FF000000"/>
        <rFont val="JRFonts"/>
        <charset val="134"/>
      </rPr>
      <t>29-07-2026 15:27</t>
    </r>
  </si>
  <si>
    <r>
      <rPr>
        <sz val="10"/>
        <color rgb="FF0000FF"/>
        <rFont val="JRFonts"/>
        <charset val="134"/>
      </rPr>
      <t>21704</t>
    </r>
  </si>
  <si>
    <r>
      <rPr>
        <sz val="10"/>
        <color rgb="FF000000"/>
        <rFont val="JRFonts"/>
        <charset val="134"/>
      </rPr>
      <t>29-07-2026 15:26</t>
    </r>
  </si>
  <si>
    <r>
      <rPr>
        <sz val="10"/>
        <color rgb="FF000000"/>
        <rFont val="JRFonts"/>
        <charset val="134"/>
      </rPr>
      <t>04-08-2026 18:43</t>
    </r>
  </si>
  <si>
    <r>
      <rPr>
        <sz val="10"/>
        <color rgb="FF000000"/>
        <rFont val="JRFonts"/>
        <charset val="134"/>
      </rPr>
      <t>29-07-2026 15:33</t>
    </r>
  </si>
  <si>
    <t>21704</t>
  </si>
  <si>
    <r>
      <rPr>
        <sz val="10"/>
        <color rgb="FF0000FF"/>
        <rFont val="JRFonts"/>
        <charset val="134"/>
      </rPr>
      <t>21705</t>
    </r>
  </si>
  <si>
    <r>
      <rPr>
        <sz val="10"/>
        <color rgb="FF000000"/>
        <rFont val="JRFonts"/>
        <charset val="134"/>
      </rPr>
      <t>30-07-2026 10:47</t>
    </r>
  </si>
  <si>
    <r>
      <rPr>
        <sz val="10"/>
        <color rgb="FF000000"/>
        <rFont val="JRFonts"/>
        <charset val="134"/>
      </rPr>
      <t>29-07-2026 16:16</t>
    </r>
  </si>
  <si>
    <r>
      <rPr>
        <sz val="10"/>
        <color rgb="FF0000FF"/>
        <rFont val="JRFonts"/>
        <charset val="134"/>
      </rPr>
      <t>21706</t>
    </r>
  </si>
  <si>
    <r>
      <rPr>
        <sz val="10"/>
        <color rgb="FF000000"/>
        <rFont val="JRFonts"/>
        <charset val="134"/>
      </rPr>
      <t>30-07-2026 10:43</t>
    </r>
  </si>
  <si>
    <r>
      <rPr>
        <sz val="10"/>
        <color rgb="FF000000"/>
        <rFont val="JRFonts"/>
        <charset val="134"/>
      </rPr>
      <t>29-07-2026 15:38</t>
    </r>
  </si>
  <si>
    <r>
      <rPr>
        <sz val="10"/>
        <color rgb="FF0000FF"/>
        <rFont val="JRFonts"/>
        <charset val="134"/>
      </rPr>
      <t>21707</t>
    </r>
  </si>
  <si>
    <r>
      <rPr>
        <sz val="10"/>
        <color rgb="FF000000"/>
        <rFont val="JRFonts"/>
        <charset val="134"/>
      </rPr>
      <t>30-07-2026 10:42</t>
    </r>
  </si>
  <si>
    <r>
      <rPr>
        <sz val="10"/>
        <color rgb="FF000000"/>
        <rFont val="JRFonts"/>
        <charset val="134"/>
      </rPr>
      <t>29-07-2026 15:41</t>
    </r>
  </si>
  <si>
    <r>
      <rPr>
        <sz val="10"/>
        <color rgb="FF0000FF"/>
        <rFont val="JRFonts"/>
        <charset val="134"/>
      </rPr>
      <t>21708</t>
    </r>
  </si>
  <si>
    <r>
      <rPr>
        <sz val="10"/>
        <color rgb="FF000000"/>
        <rFont val="JRFonts"/>
        <charset val="134"/>
      </rPr>
      <t>04-08-2026 18:44</t>
    </r>
  </si>
  <si>
    <r>
      <rPr>
        <sz val="10"/>
        <color rgb="FF000000"/>
        <rFont val="JRFonts"/>
        <charset val="134"/>
      </rPr>
      <t>29-07-2026 16:32</t>
    </r>
  </si>
  <si>
    <t>21708</t>
  </si>
  <si>
    <r>
      <rPr>
        <sz val="10"/>
        <color rgb="FF0000FF"/>
        <rFont val="JRFonts"/>
        <charset val="134"/>
      </rPr>
      <t>21709</t>
    </r>
  </si>
  <si>
    <r>
      <rPr>
        <sz val="10"/>
        <color rgb="FF000000"/>
        <rFont val="JRFonts"/>
        <charset val="134"/>
      </rPr>
      <t>30-07-2026 10:40</t>
    </r>
  </si>
  <si>
    <r>
      <rPr>
        <sz val="10"/>
        <color rgb="FF000000"/>
        <rFont val="JRFonts"/>
        <charset val="134"/>
      </rPr>
      <t>29-07-2026 16:34</t>
    </r>
  </si>
  <si>
    <r>
      <rPr>
        <sz val="10"/>
        <color rgb="FF0000FF"/>
        <rFont val="JRFonts"/>
        <charset val="134"/>
      </rPr>
      <t>21710</t>
    </r>
  </si>
  <si>
    <r>
      <rPr>
        <sz val="10"/>
        <color rgb="FF000000"/>
        <rFont val="JRFonts"/>
        <charset val="134"/>
      </rPr>
      <t>04-08-2026 18:45</t>
    </r>
  </si>
  <si>
    <r>
      <rPr>
        <sz val="10"/>
        <color rgb="FF000000"/>
        <rFont val="JRFonts"/>
        <charset val="134"/>
      </rPr>
      <t>29-07-2026 16:37</t>
    </r>
  </si>
  <si>
    <t>21710</t>
  </si>
  <si>
    <r>
      <rPr>
        <sz val="10"/>
        <color rgb="FF0000FF"/>
        <rFont val="JRFonts"/>
        <charset val="134"/>
      </rPr>
      <t>21711</t>
    </r>
  </si>
  <si>
    <r>
      <rPr>
        <sz val="10"/>
        <color rgb="FF000000"/>
        <rFont val="JRFonts"/>
        <charset val="134"/>
      </rPr>
      <t>30-07-2026 10:34</t>
    </r>
  </si>
  <si>
    <r>
      <rPr>
        <sz val="10"/>
        <color rgb="FF000000"/>
        <rFont val="JRFonts"/>
        <charset val="134"/>
      </rPr>
      <t>29-07-2026 16:40</t>
    </r>
  </si>
  <si>
    <r>
      <rPr>
        <sz val="10"/>
        <color rgb="FF0000FF"/>
        <rFont val="JRFonts"/>
        <charset val="134"/>
      </rPr>
      <t>21712</t>
    </r>
  </si>
  <si>
    <r>
      <rPr>
        <sz val="10"/>
        <color rgb="FF000000"/>
        <rFont val="JRFonts"/>
        <charset val="134"/>
      </rPr>
      <t>06-08-2026 10:11</t>
    </r>
  </si>
  <si>
    <r>
      <rPr>
        <sz val="10"/>
        <color rgb="FF000000"/>
        <rFont val="JRFonts"/>
        <charset val="134"/>
      </rPr>
      <t>29-07-2026 16:29</t>
    </r>
  </si>
  <si>
    <t>21712</t>
  </si>
  <si>
    <r>
      <rPr>
        <sz val="10"/>
        <color rgb="FF0000FF"/>
        <rFont val="JRFonts"/>
        <charset val="134"/>
      </rPr>
      <t>21713</t>
    </r>
  </si>
  <si>
    <r>
      <rPr>
        <sz val="10"/>
        <color rgb="FF000000"/>
        <rFont val="JRFonts"/>
        <charset val="134"/>
      </rPr>
      <t>29-07-2026 15:53</t>
    </r>
  </si>
  <si>
    <r>
      <rPr>
        <sz val="10"/>
        <color rgb="FF000000"/>
        <rFont val="JRFonts"/>
        <charset val="134"/>
      </rPr>
      <t>04-08-2026 14:36</t>
    </r>
  </si>
  <si>
    <r>
      <rPr>
        <sz val="10"/>
        <color rgb="FF000000"/>
        <rFont val="JRFonts"/>
        <charset val="134"/>
      </rPr>
      <t>29-07-2026 16:46</t>
    </r>
  </si>
  <si>
    <t>21713</t>
  </si>
  <si>
    <r>
      <rPr>
        <sz val="10"/>
        <color rgb="FF0000FF"/>
        <rFont val="JRFonts"/>
        <charset val="134"/>
      </rPr>
      <t>21714</t>
    </r>
  </si>
  <si>
    <r>
      <rPr>
        <sz val="10"/>
        <color rgb="FF000000"/>
        <rFont val="JRFonts"/>
        <charset val="134"/>
      </rPr>
      <t>29-07-2026 16:21</t>
    </r>
  </si>
  <si>
    <r>
      <rPr>
        <sz val="10"/>
        <color rgb="FF000000"/>
        <rFont val="JRFonts"/>
        <charset val="134"/>
      </rPr>
      <t>29-07-2026 16:47</t>
    </r>
  </si>
  <si>
    <r>
      <rPr>
        <sz val="10"/>
        <color rgb="FF0000FF"/>
        <rFont val="JRFonts"/>
        <charset val="134"/>
      </rPr>
      <t>21715</t>
    </r>
  </si>
  <si>
    <r>
      <rPr>
        <sz val="10"/>
        <color rgb="FF000000"/>
        <rFont val="JRFonts"/>
        <charset val="134"/>
      </rPr>
      <t>29-07-2026 16:15</t>
    </r>
  </si>
  <si>
    <r>
      <rPr>
        <sz val="10"/>
        <color rgb="FF000000"/>
        <rFont val="JRFonts"/>
        <charset val="134"/>
      </rPr>
      <t>05-08-2026 10:26</t>
    </r>
  </si>
  <si>
    <r>
      <rPr>
        <sz val="10"/>
        <color rgb="FF000000"/>
        <rFont val="JRFonts"/>
        <charset val="134"/>
      </rPr>
      <t>29-07-2026 16:48</t>
    </r>
  </si>
  <si>
    <t>21715</t>
  </si>
  <si>
    <r>
      <rPr>
        <sz val="10"/>
        <color rgb="FF0000FF"/>
        <rFont val="JRFonts"/>
        <charset val="134"/>
      </rPr>
      <t>21716</t>
    </r>
  </si>
  <si>
    <r>
      <rPr>
        <sz val="10"/>
        <color rgb="FF000000"/>
        <rFont val="JRFonts"/>
        <charset val="134"/>
      </rPr>
      <t>30-09-2026 10:26</t>
    </r>
  </si>
  <si>
    <r>
      <rPr>
        <sz val="10"/>
        <color rgb="FF000000"/>
        <rFont val="JRFonts"/>
        <charset val="134"/>
      </rPr>
      <t>30-07-2026 14:13</t>
    </r>
  </si>
  <si>
    <t>21716</t>
  </si>
  <si>
    <r>
      <rPr>
        <sz val="10"/>
        <color rgb="FF0000FF"/>
        <rFont val="JRFonts"/>
        <charset val="134"/>
      </rPr>
      <t>21717</t>
    </r>
  </si>
  <si>
    <r>
      <rPr>
        <sz val="10"/>
        <color rgb="FF000000"/>
        <rFont val="JRFonts"/>
        <charset val="134"/>
      </rPr>
      <t>30-07-2026 10:24</t>
    </r>
  </si>
  <si>
    <r>
      <rPr>
        <sz val="10"/>
        <color rgb="FF000000"/>
        <rFont val="JRFonts"/>
        <charset val="134"/>
      </rPr>
      <t>29-07-2026 16:26</t>
    </r>
  </si>
  <si>
    <r>
      <rPr>
        <sz val="10"/>
        <color rgb="FF0000FF"/>
        <rFont val="JRFonts"/>
        <charset val="134"/>
      </rPr>
      <t>21719</t>
    </r>
  </si>
  <si>
    <r>
      <rPr>
        <sz val="10"/>
        <color rgb="FF000000"/>
        <rFont val="JRFonts"/>
        <charset val="134"/>
      </rPr>
      <t>30-07-2026 10:38</t>
    </r>
  </si>
  <si>
    <r>
      <rPr>
        <sz val="10"/>
        <color rgb="FF000000"/>
        <rFont val="JRFonts"/>
        <charset val="134"/>
      </rPr>
      <t>29-07-2026 16:24</t>
    </r>
  </si>
  <si>
    <r>
      <rPr>
        <sz val="10"/>
        <color rgb="FF0000FF"/>
        <rFont val="JRFonts"/>
        <charset val="134"/>
      </rPr>
      <t>21722</t>
    </r>
  </si>
  <si>
    <r>
      <rPr>
        <sz val="10"/>
        <color rgb="FF000000"/>
        <rFont val="JRFonts"/>
        <charset val="134"/>
      </rPr>
      <t>30-07-2026 17:19</t>
    </r>
  </si>
  <si>
    <r>
      <rPr>
        <sz val="10"/>
        <color rgb="FF000000"/>
        <rFont val="JRFonts"/>
        <charset val="134"/>
      </rPr>
      <t>29-07-2026 16:50</t>
    </r>
  </si>
  <si>
    <r>
      <rPr>
        <sz val="10"/>
        <color rgb="FF0000FF"/>
        <rFont val="JRFonts"/>
        <charset val="134"/>
      </rPr>
      <t>21723</t>
    </r>
  </si>
  <si>
    <r>
      <rPr>
        <sz val="10"/>
        <color rgb="FF000000"/>
        <rFont val="JRFonts"/>
        <charset val="134"/>
      </rPr>
      <t>05-08-2026 10:48</t>
    </r>
  </si>
  <si>
    <r>
      <rPr>
        <sz val="10"/>
        <color rgb="FF000000"/>
        <rFont val="JRFonts"/>
        <charset val="134"/>
      </rPr>
      <t>29-07-2026 17:19</t>
    </r>
  </si>
  <si>
    <t>21723</t>
  </si>
  <si>
    <r>
      <rPr>
        <sz val="10"/>
        <color rgb="FF0000FF"/>
        <rFont val="JRFonts"/>
        <charset val="134"/>
      </rPr>
      <t>21724</t>
    </r>
  </si>
  <si>
    <r>
      <rPr>
        <sz val="10"/>
        <color rgb="FF000000"/>
        <rFont val="JRFonts"/>
        <charset val="134"/>
      </rPr>
      <t>30-07-2026 10:22</t>
    </r>
  </si>
  <si>
    <r>
      <rPr>
        <sz val="10"/>
        <color rgb="FF000000"/>
        <rFont val="JRFonts"/>
        <charset val="134"/>
      </rPr>
      <t>29-07-2026 17:07</t>
    </r>
  </si>
  <si>
    <t>21725</t>
  </si>
  <si>
    <r>
      <rPr>
        <sz val="10"/>
        <color rgb="FF000000"/>
        <rFont val="JRFonts"/>
        <charset val="134"/>
      </rPr>
      <t>05-08-2026 15:32</t>
    </r>
  </si>
  <si>
    <r>
      <rPr>
        <sz val="10"/>
        <color rgb="FF000000"/>
        <rFont val="JRFonts"/>
        <charset val="134"/>
      </rPr>
      <t>31-07-2026 14:30</t>
    </r>
  </si>
  <si>
    <r>
      <rPr>
        <sz val="10"/>
        <color rgb="FF0000FF"/>
        <rFont val="JRFonts"/>
        <charset val="134"/>
      </rPr>
      <t>21726</t>
    </r>
  </si>
  <si>
    <r>
      <rPr>
        <sz val="10"/>
        <color rgb="FF000000"/>
        <rFont val="JRFonts"/>
        <charset val="134"/>
      </rPr>
      <t>29-07-2026 17:06</t>
    </r>
  </si>
  <si>
    <r>
      <rPr>
        <sz val="10"/>
        <color rgb="FF000000"/>
        <rFont val="JRFonts"/>
        <charset val="134"/>
      </rPr>
      <t>05-08-2026 10:49</t>
    </r>
  </si>
  <si>
    <r>
      <rPr>
        <sz val="10"/>
        <color rgb="FF000000"/>
        <rFont val="JRFonts"/>
        <charset val="134"/>
      </rPr>
      <t>29-07-2026 17:15</t>
    </r>
  </si>
  <si>
    <t>21726</t>
  </si>
  <si>
    <r>
      <rPr>
        <sz val="10"/>
        <color rgb="FF0000FF"/>
        <rFont val="JRFonts"/>
        <charset val="134"/>
      </rPr>
      <t>21728</t>
    </r>
  </si>
  <si>
    <r>
      <rPr>
        <sz val="10"/>
        <color rgb="FF000000"/>
        <rFont val="JRFonts"/>
        <charset val="134"/>
      </rPr>
      <t>29-07-2026 17:10</t>
    </r>
  </si>
  <si>
    <r>
      <rPr>
        <sz val="10"/>
        <color rgb="FF000000"/>
        <rFont val="JRFonts"/>
        <charset val="134"/>
      </rPr>
      <t>05-08-2026 10:50</t>
    </r>
  </si>
  <si>
    <r>
      <rPr>
        <sz val="10"/>
        <color rgb="FF000000"/>
        <rFont val="JRFonts"/>
        <charset val="134"/>
      </rPr>
      <t>29-07-2026 17:21</t>
    </r>
  </si>
  <si>
    <t>21728</t>
  </si>
  <si>
    <r>
      <rPr>
        <sz val="10"/>
        <color rgb="FF0000FF"/>
        <rFont val="JRFonts"/>
        <charset val="134"/>
      </rPr>
      <t>21729</t>
    </r>
  </si>
  <si>
    <r>
      <rPr>
        <sz val="10"/>
        <color rgb="FF000000"/>
        <rFont val="JRFonts"/>
        <charset val="134"/>
      </rPr>
      <t>29-07-2026 17:13</t>
    </r>
  </si>
  <si>
    <r>
      <rPr>
        <sz val="10"/>
        <color rgb="FF000000"/>
        <rFont val="JRFonts"/>
        <charset val="134"/>
      </rPr>
      <t>05-08-2026 10:51</t>
    </r>
  </si>
  <si>
    <r>
      <rPr>
        <sz val="10"/>
        <color rgb="FF000000"/>
        <rFont val="JRFonts"/>
        <charset val="134"/>
      </rPr>
      <t>29-07-2026 17:17</t>
    </r>
  </si>
  <si>
    <t>21729</t>
  </si>
  <si>
    <r>
      <rPr>
        <sz val="10"/>
        <color rgb="FF0000FF"/>
        <rFont val="JRFonts"/>
        <charset val="134"/>
      </rPr>
      <t>21732</t>
    </r>
  </si>
  <si>
    <r>
      <rPr>
        <sz val="10"/>
        <color rgb="FF000000"/>
        <rFont val="JRFonts"/>
        <charset val="134"/>
      </rPr>
      <t>29-07-2026 17:49</t>
    </r>
  </si>
  <si>
    <r>
      <rPr>
        <sz val="10"/>
        <color rgb="FF000000"/>
        <rFont val="JRFonts"/>
        <charset val="134"/>
      </rPr>
      <t>05-08-2026 10:52</t>
    </r>
  </si>
  <si>
    <r>
      <rPr>
        <sz val="10"/>
        <color rgb="FF000000"/>
        <rFont val="JRFonts"/>
        <charset val="134"/>
      </rPr>
      <t>29-07-2026 17:58</t>
    </r>
  </si>
  <si>
    <t>21732</t>
  </si>
  <si>
    <r>
      <rPr>
        <sz val="10"/>
        <color rgb="FF0000FF"/>
        <rFont val="JRFonts"/>
        <charset val="134"/>
      </rPr>
      <t>21737</t>
    </r>
  </si>
  <si>
    <r>
      <rPr>
        <sz val="10"/>
        <color rgb="FF000000"/>
        <rFont val="JRFonts"/>
        <charset val="134"/>
      </rPr>
      <t>29-07-2026 18:35</t>
    </r>
  </si>
  <si>
    <r>
      <rPr>
        <sz val="10"/>
        <color rgb="FF000000"/>
        <rFont val="JRFonts"/>
        <charset val="134"/>
      </rPr>
      <t>04-08-2026 14:14</t>
    </r>
  </si>
  <si>
    <r>
      <rPr>
        <sz val="10"/>
        <color rgb="FF000000"/>
        <rFont val="JRFonts"/>
        <charset val="134"/>
      </rPr>
      <t>30-07-2026 10:04</t>
    </r>
  </si>
  <si>
    <t>21737</t>
  </si>
  <si>
    <r>
      <rPr>
        <sz val="10"/>
        <color rgb="FF0000FF"/>
        <rFont val="JRFonts"/>
        <charset val="134"/>
      </rPr>
      <t>21739</t>
    </r>
  </si>
  <si>
    <r>
      <rPr>
        <sz val="10"/>
        <color rgb="FF000000"/>
        <rFont val="JRFonts"/>
        <charset val="134"/>
      </rPr>
      <t>29-07-2026 18:41</t>
    </r>
  </si>
  <si>
    <r>
      <rPr>
        <sz val="10"/>
        <color rgb="FF000000"/>
        <rFont val="JRFonts"/>
        <charset val="134"/>
      </rPr>
      <t>03-08-2026 13:01</t>
    </r>
  </si>
  <si>
    <r>
      <rPr>
        <sz val="10"/>
        <color rgb="FF000000"/>
        <rFont val="JRFonts"/>
        <charset val="134"/>
      </rPr>
      <t>30-07-2026 11:50</t>
    </r>
  </si>
  <si>
    <t>21739</t>
  </si>
  <si>
    <r>
      <rPr>
        <sz val="10"/>
        <color rgb="FF0000FF"/>
        <rFont val="JRFonts"/>
        <charset val="134"/>
      </rPr>
      <t>21740</t>
    </r>
  </si>
  <si>
    <r>
      <rPr>
        <sz val="10"/>
        <color rgb="FF000000"/>
        <rFont val="JRFonts"/>
        <charset val="134"/>
      </rPr>
      <t>29-07-2026 19:02</t>
    </r>
  </si>
  <si>
    <r>
      <rPr>
        <sz val="10"/>
        <color rgb="FF000000"/>
        <rFont val="JRFonts"/>
        <charset val="134"/>
      </rPr>
      <t>05-08-2026 10:53</t>
    </r>
  </si>
  <si>
    <r>
      <rPr>
        <sz val="10"/>
        <color rgb="FF000000"/>
        <rFont val="JRFonts"/>
        <charset val="134"/>
      </rPr>
      <t>30-07-2026 11:51</t>
    </r>
  </si>
  <si>
    <t>21740</t>
  </si>
  <si>
    <r>
      <rPr>
        <sz val="10"/>
        <color rgb="FF0000FF"/>
        <rFont val="JRFonts"/>
        <charset val="134"/>
      </rPr>
      <t>21742</t>
    </r>
  </si>
  <si>
    <r>
      <rPr>
        <sz val="10"/>
        <color rgb="FF000000"/>
        <rFont val="JRFonts"/>
        <charset val="134"/>
      </rPr>
      <t>29-07-2026 19:29</t>
    </r>
  </si>
  <si>
    <r>
      <rPr>
        <sz val="10"/>
        <color rgb="FF000000"/>
        <rFont val="JRFonts"/>
        <charset val="134"/>
      </rPr>
      <t>05-08-2026 10:54</t>
    </r>
  </si>
  <si>
    <r>
      <rPr>
        <sz val="10"/>
        <color rgb="FF000000"/>
        <rFont val="JRFonts"/>
        <charset val="134"/>
      </rPr>
      <t>30-07-2026 11:52</t>
    </r>
  </si>
  <si>
    <t>21742</t>
  </si>
  <si>
    <r>
      <rPr>
        <sz val="10"/>
        <color rgb="FF0000FF"/>
        <rFont val="JRFonts"/>
        <charset val="134"/>
      </rPr>
      <t>21744</t>
    </r>
  </si>
  <si>
    <r>
      <rPr>
        <sz val="10"/>
        <color rgb="FF000000"/>
        <rFont val="JRFonts"/>
        <charset val="134"/>
      </rPr>
      <t>29-07-2026 19:42</t>
    </r>
  </si>
  <si>
    <r>
      <rPr>
        <sz val="10"/>
        <color rgb="FF000000"/>
        <rFont val="JRFonts"/>
        <charset val="134"/>
      </rPr>
      <t>04-08-2026 14:28</t>
    </r>
  </si>
  <si>
    <r>
      <rPr>
        <sz val="10"/>
        <color rgb="FF000000"/>
        <rFont val="JRFonts"/>
        <charset val="134"/>
      </rPr>
      <t>30-07-2026 11:53</t>
    </r>
  </si>
  <si>
    <t>21744</t>
  </si>
  <si>
    <r>
      <rPr>
        <sz val="10"/>
        <color rgb="FF0000FF"/>
        <rFont val="JRFonts"/>
        <charset val="134"/>
      </rPr>
      <t>21745</t>
    </r>
  </si>
  <si>
    <r>
      <rPr>
        <sz val="10"/>
        <color rgb="FF000000"/>
        <rFont val="JRFonts"/>
        <charset val="134"/>
      </rPr>
      <t>29-07-2026 19:54</t>
    </r>
  </si>
  <si>
    <r>
      <rPr>
        <sz val="10"/>
        <color rgb="FF000000"/>
        <rFont val="JRFonts"/>
        <charset val="134"/>
      </rPr>
      <t>05-08-2026 12:12</t>
    </r>
  </si>
  <si>
    <r>
      <rPr>
        <sz val="10"/>
        <color rgb="FF000000"/>
        <rFont val="JRFonts"/>
        <charset val="134"/>
      </rPr>
      <t>30-07-2026 11:55</t>
    </r>
  </si>
  <si>
    <t>21745</t>
  </si>
  <si>
    <r>
      <rPr>
        <sz val="10"/>
        <color rgb="FF0000FF"/>
        <rFont val="JRFonts"/>
        <charset val="134"/>
      </rPr>
      <t>21749</t>
    </r>
  </si>
  <si>
    <r>
      <rPr>
        <sz val="10"/>
        <color rgb="FF000000"/>
        <rFont val="JRFonts"/>
        <charset val="134"/>
      </rPr>
      <t>29-07-2026 20:09</t>
    </r>
  </si>
  <si>
    <r>
      <rPr>
        <sz val="10"/>
        <color rgb="FF000000"/>
        <rFont val="JRFonts"/>
        <charset val="134"/>
      </rPr>
      <t>12-08-2026 14:45</t>
    </r>
  </si>
  <si>
    <r>
      <rPr>
        <sz val="10"/>
        <color rgb="FF000000"/>
        <rFont val="JRFonts"/>
        <charset val="134"/>
      </rPr>
      <t>30-07-2026 11:56</t>
    </r>
  </si>
  <si>
    <t>21749</t>
  </si>
  <si>
    <r>
      <rPr>
        <sz val="10"/>
        <color rgb="FF0000FF"/>
        <rFont val="JRFonts"/>
        <charset val="134"/>
      </rPr>
      <t>21750</t>
    </r>
  </si>
  <si>
    <r>
      <rPr>
        <sz val="10"/>
        <color rgb="FF000000"/>
        <rFont val="JRFonts"/>
        <charset val="134"/>
      </rPr>
      <t>30-07-2026 08:21</t>
    </r>
  </si>
  <si>
    <r>
      <rPr>
        <sz val="10"/>
        <color rgb="FF000000"/>
        <rFont val="JRFonts"/>
        <charset val="134"/>
      </rPr>
      <t>05-08-2026 12:13</t>
    </r>
  </si>
  <si>
    <r>
      <rPr>
        <sz val="10"/>
        <color rgb="FF000000"/>
        <rFont val="JRFonts"/>
        <charset val="134"/>
      </rPr>
      <t>30-07-2026 11:57</t>
    </r>
  </si>
  <si>
    <t>21750</t>
  </si>
  <si>
    <r>
      <rPr>
        <sz val="10"/>
        <color rgb="FF0000FF"/>
        <rFont val="JRFonts"/>
        <charset val="134"/>
      </rPr>
      <t>21751</t>
    </r>
  </si>
  <si>
    <r>
      <rPr>
        <sz val="10"/>
        <color rgb="FF000000"/>
        <rFont val="JRFonts"/>
        <charset val="134"/>
      </rPr>
      <t>30-07-2026 09:01</t>
    </r>
  </si>
  <si>
    <r>
      <rPr>
        <sz val="10"/>
        <color rgb="FF000000"/>
        <rFont val="JRFonts"/>
        <charset val="134"/>
      </rPr>
      <t>12-08-2026 15:57</t>
    </r>
  </si>
  <si>
    <r>
      <rPr>
        <sz val="10"/>
        <color rgb="FF000000"/>
        <rFont val="JRFonts"/>
        <charset val="134"/>
      </rPr>
      <t>30-07-2026 11:59</t>
    </r>
  </si>
  <si>
    <t>21751</t>
  </si>
  <si>
    <r>
      <rPr>
        <sz val="10"/>
        <color rgb="FF0000FF"/>
        <rFont val="JRFonts"/>
        <charset val="134"/>
      </rPr>
      <t>21753</t>
    </r>
  </si>
  <si>
    <r>
      <rPr>
        <sz val="10"/>
        <color rgb="FF000000"/>
        <rFont val="JRFonts"/>
        <charset val="134"/>
      </rPr>
      <t>30-07-2026 09:52</t>
    </r>
  </si>
  <si>
    <r>
      <rPr>
        <sz val="10"/>
        <color rgb="FF000000"/>
        <rFont val="JRFonts"/>
        <charset val="134"/>
      </rPr>
      <t>22-08-2026 10:50</t>
    </r>
  </si>
  <si>
    <r>
      <rPr>
        <sz val="10"/>
        <color rgb="FF000000"/>
        <rFont val="JRFonts"/>
        <charset val="134"/>
      </rPr>
      <t>30-07-2026 12:02</t>
    </r>
  </si>
  <si>
    <t>21753</t>
  </si>
  <si>
    <r>
      <rPr>
        <sz val="10"/>
        <color rgb="FF0000FF"/>
        <rFont val="JRFonts"/>
        <charset val="134"/>
      </rPr>
      <t>21756</t>
    </r>
  </si>
  <si>
    <r>
      <rPr>
        <sz val="10"/>
        <color rgb="FF000000"/>
        <rFont val="JRFonts"/>
        <charset val="134"/>
      </rPr>
      <t>12-08-2026 17:14</t>
    </r>
  </si>
  <si>
    <r>
      <rPr>
        <sz val="10"/>
        <color rgb="FF000000"/>
        <rFont val="JRFonts"/>
        <charset val="134"/>
      </rPr>
      <t>30-07-2026 12:04</t>
    </r>
  </si>
  <si>
    <t>21756</t>
  </si>
  <si>
    <r>
      <rPr>
        <sz val="10"/>
        <color rgb="FF0000FF"/>
        <rFont val="JRFonts"/>
        <charset val="134"/>
      </rPr>
      <t>21760</t>
    </r>
  </si>
  <si>
    <r>
      <rPr>
        <sz val="10"/>
        <color rgb="FF000000"/>
        <rFont val="JRFonts"/>
        <charset val="134"/>
      </rPr>
      <t>30-07-2026 10:25</t>
    </r>
  </si>
  <si>
    <r>
      <rPr>
        <sz val="10"/>
        <color rgb="FF000000"/>
        <rFont val="JRFonts"/>
        <charset val="134"/>
      </rPr>
      <t>30-07-2026 12:05</t>
    </r>
  </si>
  <si>
    <r>
      <rPr>
        <sz val="10"/>
        <color rgb="FF0000FF"/>
        <rFont val="JRFonts"/>
        <charset val="134"/>
      </rPr>
      <t>21761</t>
    </r>
  </si>
  <si>
    <r>
      <rPr>
        <sz val="10"/>
        <color rgb="FF000000"/>
        <rFont val="JRFonts"/>
        <charset val="134"/>
      </rPr>
      <t>30-07-2026 10:29</t>
    </r>
  </si>
  <si>
    <r>
      <rPr>
        <sz val="10"/>
        <color rgb="FF000000"/>
        <rFont val="JRFonts"/>
        <charset val="134"/>
      </rPr>
      <t>04-08-2026 14:33</t>
    </r>
  </si>
  <si>
    <r>
      <rPr>
        <sz val="10"/>
        <color rgb="FF000000"/>
        <rFont val="JRFonts"/>
        <charset val="134"/>
      </rPr>
      <t>30-07-2026 12:06</t>
    </r>
  </si>
  <si>
    <t>21761</t>
  </si>
  <si>
    <r>
      <rPr>
        <sz val="10"/>
        <color rgb="FF0000FF"/>
        <rFont val="JRFonts"/>
        <charset val="134"/>
      </rPr>
      <t>21763</t>
    </r>
  </si>
  <si>
    <r>
      <rPr>
        <sz val="10"/>
        <color rgb="FF000000"/>
        <rFont val="JRFonts"/>
        <charset val="134"/>
      </rPr>
      <t>30-07-2026 10:35</t>
    </r>
  </si>
  <si>
    <r>
      <rPr>
        <sz val="10"/>
        <color rgb="FF000000"/>
        <rFont val="JRFonts"/>
        <charset val="134"/>
      </rPr>
      <t>20-08-2026 21:12</t>
    </r>
  </si>
  <si>
    <r>
      <rPr>
        <sz val="10"/>
        <color rgb="FF000000"/>
        <rFont val="JRFonts"/>
        <charset val="134"/>
      </rPr>
      <t>30-07-2026 12:08</t>
    </r>
  </si>
  <si>
    <t>21763</t>
  </si>
  <si>
    <t xml:space="preserve">change in condition --&gt; SHG minimum limit at the loan account wise bypassing </t>
  </si>
  <si>
    <r>
      <rPr>
        <sz val="10"/>
        <color rgb="FF0000FF"/>
        <rFont val="JRFonts"/>
        <charset val="134"/>
      </rPr>
      <t>21764</t>
    </r>
  </si>
  <si>
    <r>
      <rPr>
        <sz val="10"/>
        <color rgb="FF000000"/>
        <rFont val="JRFonts"/>
        <charset val="134"/>
      </rPr>
      <t>30-07-2026 10:41</t>
    </r>
  </si>
  <si>
    <r>
      <rPr>
        <sz val="10"/>
        <color rgb="FF000000"/>
        <rFont val="JRFonts"/>
        <charset val="134"/>
      </rPr>
      <t>05-08-2026 12:20</t>
    </r>
  </si>
  <si>
    <r>
      <rPr>
        <sz val="10"/>
        <color rgb="FF000000"/>
        <rFont val="JRFonts"/>
        <charset val="134"/>
      </rPr>
      <t>30-07-2026 12:09</t>
    </r>
  </si>
  <si>
    <t>21764</t>
  </si>
  <si>
    <r>
      <rPr>
        <sz val="10"/>
        <color rgb="FF0000FF"/>
        <rFont val="JRFonts"/>
        <charset val="134"/>
      </rPr>
      <t>21767</t>
    </r>
  </si>
  <si>
    <r>
      <rPr>
        <sz val="10"/>
        <color rgb="FF000000"/>
        <rFont val="JRFonts"/>
        <charset val="134"/>
      </rPr>
      <t>30-07-2026 10:44</t>
    </r>
  </si>
  <si>
    <r>
      <rPr>
        <sz val="10"/>
        <color rgb="FF000000"/>
        <rFont val="JRFonts"/>
        <charset val="134"/>
      </rPr>
      <t>02-08-2026 08:14</t>
    </r>
  </si>
  <si>
    <r>
      <rPr>
        <sz val="10"/>
        <color rgb="FF000000"/>
        <rFont val="JRFonts"/>
        <charset val="134"/>
      </rPr>
      <t>30-07-2026 11:49</t>
    </r>
  </si>
  <si>
    <r>
      <rPr>
        <sz val="10"/>
        <color rgb="FF0000FF"/>
        <rFont val="JRFonts"/>
        <charset val="134"/>
      </rPr>
      <t>21768</t>
    </r>
  </si>
  <si>
    <r>
      <rPr>
        <sz val="10"/>
        <color rgb="FF000000"/>
        <rFont val="JRFonts"/>
        <charset val="134"/>
      </rPr>
      <t>30-07-2026 23:45</t>
    </r>
  </si>
  <si>
    <r>
      <rPr>
        <sz val="10"/>
        <color rgb="FF0000FF"/>
        <rFont val="JRFonts"/>
        <charset val="134"/>
      </rPr>
      <t>21769</t>
    </r>
  </si>
  <si>
    <r>
      <rPr>
        <sz val="10"/>
        <color rgb="FF000000"/>
        <rFont val="JRFonts"/>
        <charset val="134"/>
      </rPr>
      <t>30-07-2026 16:16</t>
    </r>
  </si>
  <si>
    <r>
      <rPr>
        <sz val="10"/>
        <color rgb="FF000000"/>
        <rFont val="JRFonts"/>
        <charset val="134"/>
      </rPr>
      <t>30-07-2026 12:13</t>
    </r>
  </si>
  <si>
    <r>
      <rPr>
        <sz val="10"/>
        <color rgb="FF0000FF"/>
        <rFont val="JRFonts"/>
        <charset val="134"/>
      </rPr>
      <t>21770</t>
    </r>
  </si>
  <si>
    <r>
      <rPr>
        <sz val="10"/>
        <color rgb="FF000000"/>
        <rFont val="JRFonts"/>
        <charset val="134"/>
      </rPr>
      <t>30-07-2026 18:13</t>
    </r>
  </si>
  <si>
    <r>
      <rPr>
        <sz val="10"/>
        <color rgb="FF0000FF"/>
        <rFont val="JRFonts"/>
        <charset val="134"/>
      </rPr>
      <t>21771</t>
    </r>
  </si>
  <si>
    <r>
      <rPr>
        <sz val="10"/>
        <color rgb="FF000000"/>
        <rFont val="JRFonts"/>
        <charset val="134"/>
      </rPr>
      <t>07-08-2026 17:22</t>
    </r>
  </si>
  <si>
    <r>
      <rPr>
        <sz val="10"/>
        <color rgb="FF000000"/>
        <rFont val="JRFonts"/>
        <charset val="134"/>
      </rPr>
      <t>30-07-2026 12:16</t>
    </r>
  </si>
  <si>
    <t>21771</t>
  </si>
  <si>
    <r>
      <rPr>
        <sz val="10"/>
        <color rgb="FF0000FF"/>
        <rFont val="JRFonts"/>
        <charset val="134"/>
      </rPr>
      <t>21772</t>
    </r>
  </si>
  <si>
    <r>
      <rPr>
        <sz val="10"/>
        <color rgb="FF000000"/>
        <rFont val="JRFonts"/>
        <charset val="134"/>
      </rPr>
      <t>05-08-2026 00:42</t>
    </r>
  </si>
  <si>
    <r>
      <rPr>
        <sz val="10"/>
        <color rgb="FF000000"/>
        <rFont val="JRFonts"/>
        <charset val="134"/>
      </rPr>
      <t>30-07-2026 12:17</t>
    </r>
  </si>
  <si>
    <t>Priority got updated form P4 to P2
Initial request has been resolved within SLA , MLI has reopened ticket with new issue</t>
  </si>
  <si>
    <r>
      <rPr>
        <sz val="10"/>
        <color rgb="FF0000FF"/>
        <rFont val="JRFonts"/>
        <charset val="134"/>
      </rPr>
      <t>21775</t>
    </r>
  </si>
  <si>
    <r>
      <rPr>
        <sz val="10"/>
        <color rgb="FF000000"/>
        <rFont val="JRFonts"/>
        <charset val="134"/>
      </rPr>
      <t>30-07-2026 11:08</t>
    </r>
  </si>
  <si>
    <r>
      <rPr>
        <sz val="10"/>
        <color rgb="FF000000"/>
        <rFont val="JRFonts"/>
        <charset val="134"/>
      </rPr>
      <t>05-08-2026 12:31</t>
    </r>
  </si>
  <si>
    <r>
      <rPr>
        <sz val="10"/>
        <color rgb="FF000000"/>
        <rFont val="JRFonts"/>
        <charset val="134"/>
      </rPr>
      <t>30-07-2026 12:19</t>
    </r>
  </si>
  <si>
    <t>21775</t>
  </si>
  <si>
    <r>
      <rPr>
        <sz val="10"/>
        <color rgb="FF0000FF"/>
        <rFont val="JRFonts"/>
        <charset val="134"/>
      </rPr>
      <t>21776</t>
    </r>
  </si>
  <si>
    <r>
      <rPr>
        <sz val="10"/>
        <color rgb="FF000000"/>
        <rFont val="JRFonts"/>
        <charset val="134"/>
      </rPr>
      <t>30-07-2026 11:11</t>
    </r>
  </si>
  <si>
    <r>
      <rPr>
        <sz val="10"/>
        <color rgb="FF000000"/>
        <rFont val="JRFonts"/>
        <charset val="134"/>
      </rPr>
      <t>07-08-2026 11:26</t>
    </r>
  </si>
  <si>
    <r>
      <rPr>
        <sz val="10"/>
        <color rgb="FF000000"/>
        <rFont val="JRFonts"/>
        <charset val="134"/>
      </rPr>
      <t>30-07-2026 12:20</t>
    </r>
  </si>
  <si>
    <t>21776</t>
  </si>
  <si>
    <r>
      <rPr>
        <sz val="10"/>
        <color rgb="FF0000FF"/>
        <rFont val="JRFonts"/>
        <charset val="134"/>
      </rPr>
      <t>21777</t>
    </r>
  </si>
  <si>
    <r>
      <rPr>
        <sz val="10"/>
        <color rgb="FF000000"/>
        <rFont val="JRFonts"/>
        <charset val="134"/>
      </rPr>
      <t>26-08-2026 14:52</t>
    </r>
  </si>
  <si>
    <r>
      <rPr>
        <sz val="10"/>
        <color rgb="FF000000"/>
        <rFont val="JRFonts"/>
        <charset val="134"/>
      </rPr>
      <t>30-07-2026 12:24</t>
    </r>
  </si>
  <si>
    <t>21777</t>
  </si>
  <si>
    <r>
      <rPr>
        <sz val="10"/>
        <color rgb="FF0000FF"/>
        <rFont val="JRFonts"/>
        <charset val="134"/>
      </rPr>
      <t>21778</t>
    </r>
  </si>
  <si>
    <r>
      <rPr>
        <sz val="10"/>
        <color rgb="FF000000"/>
        <rFont val="JRFonts"/>
        <charset val="134"/>
      </rPr>
      <t>30-07-2026 14:59</t>
    </r>
  </si>
  <si>
    <r>
      <rPr>
        <sz val="10"/>
        <color rgb="FF000000"/>
        <rFont val="JRFonts"/>
        <charset val="134"/>
      </rPr>
      <t>30-07-2026 12:26</t>
    </r>
  </si>
  <si>
    <r>
      <rPr>
        <sz val="10"/>
        <color rgb="FF0000FF"/>
        <rFont val="JRFonts"/>
        <charset val="134"/>
      </rPr>
      <t>21780</t>
    </r>
  </si>
  <si>
    <r>
      <rPr>
        <sz val="10"/>
        <color rgb="FF000000"/>
        <rFont val="JRFonts"/>
        <charset val="134"/>
      </rPr>
      <t>31-07-2026 10:39</t>
    </r>
  </si>
  <si>
    <r>
      <rPr>
        <sz val="10"/>
        <color rgb="FF000000"/>
        <rFont val="JRFonts"/>
        <charset val="134"/>
      </rPr>
      <t>30-07-2026 12:33</t>
    </r>
  </si>
  <si>
    <r>
      <rPr>
        <sz val="10"/>
        <color rgb="FF0000FF"/>
        <rFont val="JRFonts"/>
        <charset val="134"/>
      </rPr>
      <t>21781</t>
    </r>
  </si>
  <si>
    <r>
      <rPr>
        <sz val="10"/>
        <color rgb="FF000000"/>
        <rFont val="JRFonts"/>
        <charset val="134"/>
      </rPr>
      <t>30-07-2026 11:24</t>
    </r>
  </si>
  <si>
    <r>
      <rPr>
        <sz val="10"/>
        <color rgb="FF000000"/>
        <rFont val="JRFonts"/>
        <charset val="134"/>
      </rPr>
      <t>17-08-2026 14:29</t>
    </r>
  </si>
  <si>
    <t>21781</t>
  </si>
  <si>
    <r>
      <rPr>
        <sz val="10"/>
        <color rgb="FF0000FF"/>
        <rFont val="JRFonts"/>
        <charset val="134"/>
      </rPr>
      <t>21782</t>
    </r>
  </si>
  <si>
    <r>
      <rPr>
        <sz val="10"/>
        <color rgb="FF000000"/>
        <rFont val="JRFonts"/>
        <charset val="134"/>
      </rPr>
      <t>05-08-2026 12:32</t>
    </r>
  </si>
  <si>
    <r>
      <rPr>
        <sz val="10"/>
        <color rgb="FF000000"/>
        <rFont val="JRFonts"/>
        <charset val="134"/>
      </rPr>
      <t>30-07-2026 12:29</t>
    </r>
  </si>
  <si>
    <t>21782</t>
  </si>
  <si>
    <r>
      <rPr>
        <sz val="10"/>
        <color rgb="FF0000FF"/>
        <rFont val="JRFonts"/>
        <charset val="134"/>
      </rPr>
      <t>21784</t>
    </r>
  </si>
  <si>
    <r>
      <rPr>
        <sz val="10"/>
        <color rgb="FF000000"/>
        <rFont val="JRFonts"/>
        <charset val="134"/>
      </rPr>
      <t>03-08-2026 10:32</t>
    </r>
  </si>
  <si>
    <r>
      <rPr>
        <sz val="10"/>
        <color rgb="FF000000"/>
        <rFont val="JRFonts"/>
        <charset val="134"/>
      </rPr>
      <t>30-07-2026 12:31</t>
    </r>
  </si>
  <si>
    <t>21784</t>
  </si>
  <si>
    <r>
      <rPr>
        <sz val="10"/>
        <color rgb="FF0000FF"/>
        <rFont val="JRFonts"/>
        <charset val="134"/>
      </rPr>
      <t>21786</t>
    </r>
  </si>
  <si>
    <r>
      <rPr>
        <sz val="10"/>
        <color rgb="FF000000"/>
        <rFont val="JRFonts"/>
        <charset val="134"/>
      </rPr>
      <t>30-07-2026 12:36</t>
    </r>
  </si>
  <si>
    <t>21786</t>
  </si>
  <si>
    <r>
      <rPr>
        <sz val="10"/>
        <color rgb="FF0000FF"/>
        <rFont val="JRFonts"/>
        <charset val="134"/>
      </rPr>
      <t>21789</t>
    </r>
  </si>
  <si>
    <r>
      <rPr>
        <sz val="10"/>
        <color rgb="FF000000"/>
        <rFont val="JRFonts"/>
        <charset val="134"/>
      </rPr>
      <t>04-08-2026 14:55</t>
    </r>
  </si>
  <si>
    <t>21789</t>
  </si>
  <si>
    <r>
      <rPr>
        <sz val="10"/>
        <color rgb="FF0000FF"/>
        <rFont val="JRFonts"/>
        <charset val="134"/>
      </rPr>
      <t>21790</t>
    </r>
  </si>
  <si>
    <r>
      <rPr>
        <sz val="10"/>
        <color rgb="FF000000"/>
        <rFont val="JRFonts"/>
        <charset val="134"/>
      </rPr>
      <t>30-07-2026 14:42</t>
    </r>
  </si>
  <si>
    <r>
      <rPr>
        <sz val="10"/>
        <color rgb="FF000000"/>
        <rFont val="JRFonts"/>
        <charset val="134"/>
      </rPr>
      <t>30-07-2026 12:38</t>
    </r>
  </si>
  <si>
    <r>
      <rPr>
        <sz val="10"/>
        <color rgb="FF0000FF"/>
        <rFont val="JRFonts"/>
        <charset val="134"/>
      </rPr>
      <t>21792</t>
    </r>
  </si>
  <si>
    <r>
      <rPr>
        <sz val="10"/>
        <color rgb="FF000000"/>
        <rFont val="JRFonts"/>
        <charset val="134"/>
      </rPr>
      <t>30-07-2026 11:58</t>
    </r>
  </si>
  <si>
    <r>
      <rPr>
        <sz val="10"/>
        <color rgb="FF000000"/>
        <rFont val="JRFonts"/>
        <charset val="134"/>
      </rPr>
      <t>05-08-2026 12:33</t>
    </r>
  </si>
  <si>
    <r>
      <rPr>
        <sz val="10"/>
        <color rgb="FF000000"/>
        <rFont val="JRFonts"/>
        <charset val="134"/>
      </rPr>
      <t>30-07-2026 12:40</t>
    </r>
  </si>
  <si>
    <t>21792</t>
  </si>
  <si>
    <r>
      <rPr>
        <sz val="10"/>
        <color rgb="FF0000FF"/>
        <rFont val="JRFonts"/>
        <charset val="134"/>
      </rPr>
      <t>21793</t>
    </r>
  </si>
  <si>
    <r>
      <rPr>
        <sz val="10"/>
        <color rgb="FF000000"/>
        <rFont val="JRFonts"/>
        <charset val="134"/>
      </rPr>
      <t>30-07-2026 12:01</t>
    </r>
  </si>
  <si>
    <r>
      <rPr>
        <sz val="10"/>
        <color rgb="FF000000"/>
        <rFont val="JRFonts"/>
        <charset val="134"/>
      </rPr>
      <t>05-08-2026 12:34</t>
    </r>
  </si>
  <si>
    <r>
      <rPr>
        <sz val="10"/>
        <color rgb="FF000000"/>
        <rFont val="JRFonts"/>
        <charset val="134"/>
      </rPr>
      <t>30-07-2026 12:41</t>
    </r>
  </si>
  <si>
    <t>21793</t>
  </si>
  <si>
    <r>
      <rPr>
        <sz val="10"/>
        <color rgb="FF0000FF"/>
        <rFont val="JRFonts"/>
        <charset val="134"/>
      </rPr>
      <t>21794</t>
    </r>
  </si>
  <si>
    <r>
      <rPr>
        <sz val="10"/>
        <color rgb="FF000000"/>
        <rFont val="JRFonts"/>
        <charset val="134"/>
      </rPr>
      <t>02-08-2026 14:00</t>
    </r>
  </si>
  <si>
    <r>
      <rPr>
        <sz val="10"/>
        <color rgb="FF000000"/>
        <rFont val="JRFonts"/>
        <charset val="134"/>
      </rPr>
      <t>30-07-2026 12:43</t>
    </r>
  </si>
  <si>
    <t>21794</t>
  </si>
  <si>
    <r>
      <rPr>
        <sz val="10"/>
        <color rgb="FF0000FF"/>
        <rFont val="JRFonts"/>
        <charset val="134"/>
      </rPr>
      <t>21795</t>
    </r>
  </si>
  <si>
    <r>
      <rPr>
        <sz val="10"/>
        <color rgb="FF000000"/>
        <rFont val="JRFonts"/>
        <charset val="134"/>
      </rPr>
      <t>30-07-2026 12:07</t>
    </r>
  </si>
  <si>
    <r>
      <rPr>
        <sz val="10"/>
        <color rgb="FF000000"/>
        <rFont val="JRFonts"/>
        <charset val="134"/>
      </rPr>
      <t>30-07-2026 15:23</t>
    </r>
  </si>
  <si>
    <r>
      <rPr>
        <sz val="10"/>
        <color rgb="FF000000"/>
        <rFont val="JRFonts"/>
        <charset val="134"/>
      </rPr>
      <t>30-07-2026 12:47</t>
    </r>
  </si>
  <si>
    <r>
      <rPr>
        <sz val="10"/>
        <color rgb="FF0000FF"/>
        <rFont val="JRFonts"/>
        <charset val="134"/>
      </rPr>
      <t>21796</t>
    </r>
  </si>
  <si>
    <r>
      <rPr>
        <sz val="10"/>
        <color rgb="FF000000"/>
        <rFont val="JRFonts"/>
        <charset val="134"/>
      </rPr>
      <t>31-08-2026 09:54</t>
    </r>
  </si>
  <si>
    <r>
      <rPr>
        <sz val="10"/>
        <color rgb="FF000000"/>
        <rFont val="JRFonts"/>
        <charset val="134"/>
      </rPr>
      <t>30-07-2026 12:48</t>
    </r>
  </si>
  <si>
    <t>21796</t>
  </si>
  <si>
    <r>
      <rPr>
        <sz val="10"/>
        <color rgb="FF0000FF"/>
        <rFont val="JRFonts"/>
        <charset val="134"/>
      </rPr>
      <t>21797</t>
    </r>
  </si>
  <si>
    <r>
      <rPr>
        <sz val="10"/>
        <color rgb="FF000000"/>
        <rFont val="JRFonts"/>
        <charset val="134"/>
      </rPr>
      <t>30-07-2026 12:10</t>
    </r>
  </si>
  <si>
    <r>
      <rPr>
        <sz val="10"/>
        <color rgb="FF000000"/>
        <rFont val="JRFonts"/>
        <charset val="134"/>
      </rPr>
      <t>30-07-2026 14:19</t>
    </r>
  </si>
  <si>
    <r>
      <rPr>
        <sz val="10"/>
        <color rgb="FF000000"/>
        <rFont val="JRFonts"/>
        <charset val="134"/>
      </rPr>
      <t>30-07-2026 12:49</t>
    </r>
  </si>
  <si>
    <r>
      <rPr>
        <sz val="10"/>
        <color rgb="FF0000FF"/>
        <rFont val="JRFonts"/>
        <charset val="134"/>
      </rPr>
      <t>21799</t>
    </r>
  </si>
  <si>
    <r>
      <rPr>
        <sz val="10"/>
        <color rgb="FF000000"/>
        <rFont val="JRFonts"/>
        <charset val="134"/>
      </rPr>
      <t>04-08-2026 14:58</t>
    </r>
  </si>
  <si>
    <r>
      <rPr>
        <sz val="10"/>
        <color rgb="FF000000"/>
        <rFont val="JRFonts"/>
        <charset val="134"/>
      </rPr>
      <t>30-07-2026 12:51</t>
    </r>
  </si>
  <si>
    <t>21799</t>
  </si>
  <si>
    <r>
      <rPr>
        <sz val="10"/>
        <color rgb="FF0000FF"/>
        <rFont val="JRFonts"/>
        <charset val="134"/>
      </rPr>
      <t>21800</t>
    </r>
  </si>
  <si>
    <r>
      <rPr>
        <sz val="10"/>
        <color rgb="FF000000"/>
        <rFont val="JRFonts"/>
        <charset val="134"/>
      </rPr>
      <t>30-07-2026 15:07</t>
    </r>
  </si>
  <si>
    <r>
      <rPr>
        <sz val="10"/>
        <color rgb="FF000000"/>
        <rFont val="JRFonts"/>
        <charset val="134"/>
      </rPr>
      <t>30-07-2026 12:52</t>
    </r>
  </si>
  <si>
    <r>
      <rPr>
        <sz val="10"/>
        <color rgb="FF0000FF"/>
        <rFont val="JRFonts"/>
        <charset val="134"/>
      </rPr>
      <t>21801</t>
    </r>
  </si>
  <si>
    <r>
      <rPr>
        <sz val="10"/>
        <color rgb="FF000000"/>
        <rFont val="JRFonts"/>
        <charset val="134"/>
      </rPr>
      <t>04-08-2026 16:38</t>
    </r>
  </si>
  <si>
    <t>21801</t>
  </si>
  <si>
    <r>
      <rPr>
        <sz val="10"/>
        <color rgb="FF0000FF"/>
        <rFont val="JRFonts"/>
        <charset val="134"/>
      </rPr>
      <t>21802</t>
    </r>
  </si>
  <si>
    <r>
      <rPr>
        <sz val="10"/>
        <color rgb="FF000000"/>
        <rFont val="JRFonts"/>
        <charset val="134"/>
      </rPr>
      <t>30-07-2026 12:28</t>
    </r>
  </si>
  <si>
    <r>
      <rPr>
        <sz val="10"/>
        <color rgb="FF000000"/>
        <rFont val="JRFonts"/>
        <charset val="134"/>
      </rPr>
      <t>05-08-2026 12:35</t>
    </r>
  </si>
  <si>
    <r>
      <rPr>
        <sz val="10"/>
        <color rgb="FF000000"/>
        <rFont val="JRFonts"/>
        <charset val="134"/>
      </rPr>
      <t>30-07-2026 13:01</t>
    </r>
  </si>
  <si>
    <t>21802</t>
  </si>
  <si>
    <r>
      <rPr>
        <sz val="10"/>
        <color rgb="FF0000FF"/>
        <rFont val="JRFonts"/>
        <charset val="134"/>
      </rPr>
      <t>21803</t>
    </r>
  </si>
  <si>
    <r>
      <rPr>
        <sz val="10"/>
        <color rgb="FF000000"/>
        <rFont val="JRFonts"/>
        <charset val="134"/>
      </rPr>
      <t>30-07-2026 12:34</t>
    </r>
  </si>
  <si>
    <r>
      <rPr>
        <sz val="10"/>
        <color rgb="FF000000"/>
        <rFont val="JRFonts"/>
        <charset val="134"/>
      </rPr>
      <t>07-08-2026 17:23</t>
    </r>
  </si>
  <si>
    <t>21803</t>
  </si>
  <si>
    <r>
      <rPr>
        <sz val="10"/>
        <color rgb="FF0000FF"/>
        <rFont val="JRFonts"/>
        <charset val="134"/>
      </rPr>
      <t>21804</t>
    </r>
  </si>
  <si>
    <r>
      <rPr>
        <sz val="10"/>
        <color rgb="FF000000"/>
        <rFont val="JRFonts"/>
        <charset val="134"/>
      </rPr>
      <t>06-08-2026 10:27</t>
    </r>
  </si>
  <si>
    <r>
      <rPr>
        <sz val="10"/>
        <color rgb="FF000000"/>
        <rFont val="JRFonts"/>
        <charset val="134"/>
      </rPr>
      <t>30-07-2026 13:02</t>
    </r>
  </si>
  <si>
    <t>21804</t>
  </si>
  <si>
    <r>
      <rPr>
        <sz val="10"/>
        <color rgb="FF0000FF"/>
        <rFont val="JRFonts"/>
        <charset val="134"/>
      </rPr>
      <t>21805</t>
    </r>
  </si>
  <si>
    <r>
      <rPr>
        <sz val="10"/>
        <color rgb="FF000000"/>
        <rFont val="JRFonts"/>
        <charset val="134"/>
      </rPr>
      <t>31-07-2026 12:15</t>
    </r>
  </si>
  <si>
    <r>
      <rPr>
        <sz val="10"/>
        <color rgb="FF000000"/>
        <rFont val="JRFonts"/>
        <charset val="134"/>
      </rPr>
      <t>30-07-2026 14:14</t>
    </r>
  </si>
  <si>
    <r>
      <rPr>
        <sz val="10"/>
        <color rgb="FF0000FF"/>
        <rFont val="JRFonts"/>
        <charset val="134"/>
      </rPr>
      <t>21806</t>
    </r>
  </si>
  <si>
    <r>
      <rPr>
        <sz val="10"/>
        <color rgb="FF000000"/>
        <rFont val="JRFonts"/>
        <charset val="134"/>
      </rPr>
      <t>30-07-2026 17:29</t>
    </r>
  </si>
  <si>
    <r>
      <rPr>
        <sz val="10"/>
        <color rgb="FF000000"/>
        <rFont val="JRFonts"/>
        <charset val="134"/>
      </rPr>
      <t>30-07-2026 14:22</t>
    </r>
  </si>
  <si>
    <t>21806</t>
  </si>
  <si>
    <r>
      <rPr>
        <sz val="10"/>
        <color rgb="FF0000FF"/>
        <rFont val="JRFonts"/>
        <charset val="134"/>
      </rPr>
      <t>21807</t>
    </r>
  </si>
  <si>
    <r>
      <rPr>
        <sz val="10"/>
        <color rgb="FF000000"/>
        <rFont val="JRFonts"/>
        <charset val="134"/>
      </rPr>
      <t>05-08-2026 12:36</t>
    </r>
  </si>
  <si>
    <r>
      <rPr>
        <sz val="10"/>
        <color rgb="FF000000"/>
        <rFont val="JRFonts"/>
        <charset val="134"/>
      </rPr>
      <t>30-07-2026 14:24</t>
    </r>
  </si>
  <si>
    <t>21807</t>
  </si>
  <si>
    <r>
      <rPr>
        <sz val="10"/>
        <color rgb="FF0000FF"/>
        <rFont val="JRFonts"/>
        <charset val="134"/>
      </rPr>
      <t>21808</t>
    </r>
  </si>
  <si>
    <r>
      <rPr>
        <sz val="10"/>
        <color rgb="FF000000"/>
        <rFont val="JRFonts"/>
        <charset val="134"/>
      </rPr>
      <t>30-07-2026 12:44</t>
    </r>
  </si>
  <si>
    <r>
      <rPr>
        <sz val="10"/>
        <color rgb="FF000000"/>
        <rFont val="JRFonts"/>
        <charset val="134"/>
      </rPr>
      <t>05-08-2026 15:29</t>
    </r>
  </si>
  <si>
    <r>
      <rPr>
        <sz val="10"/>
        <color rgb="FF000000"/>
        <rFont val="JRFonts"/>
        <charset val="134"/>
      </rPr>
      <t>30-07-2026 12:57</t>
    </r>
  </si>
  <si>
    <t>21808</t>
  </si>
  <si>
    <r>
      <rPr>
        <sz val="10"/>
        <color rgb="FF0000FF"/>
        <rFont val="JRFonts"/>
        <charset val="134"/>
      </rPr>
      <t>21810</t>
    </r>
  </si>
  <si>
    <r>
      <rPr>
        <sz val="10"/>
        <color rgb="FF000000"/>
        <rFont val="JRFonts"/>
        <charset val="134"/>
      </rPr>
      <t>30-07-2026 12:50</t>
    </r>
  </si>
  <si>
    <r>
      <rPr>
        <sz val="10"/>
        <color rgb="FF000000"/>
        <rFont val="JRFonts"/>
        <charset val="134"/>
      </rPr>
      <t>05-08-2026 12:42</t>
    </r>
  </si>
  <si>
    <r>
      <rPr>
        <sz val="10"/>
        <color rgb="FF000000"/>
        <rFont val="JRFonts"/>
        <charset val="134"/>
      </rPr>
      <t>30-07-2026 14:26</t>
    </r>
  </si>
  <si>
    <t>21810</t>
  </si>
  <si>
    <r>
      <rPr>
        <sz val="10"/>
        <color rgb="FF0000FF"/>
        <rFont val="JRFonts"/>
        <charset val="134"/>
      </rPr>
      <t>21812</t>
    </r>
  </si>
  <si>
    <r>
      <rPr>
        <sz val="10"/>
        <color rgb="FF000000"/>
        <rFont val="JRFonts"/>
        <charset val="134"/>
      </rPr>
      <t>30-07-2026 12:59</t>
    </r>
  </si>
  <si>
    <r>
      <rPr>
        <sz val="10"/>
        <color rgb="FF000000"/>
        <rFont val="JRFonts"/>
        <charset val="134"/>
      </rPr>
      <t>26-08-2026 14:58</t>
    </r>
  </si>
  <si>
    <r>
      <rPr>
        <sz val="10"/>
        <color rgb="FF000000"/>
        <rFont val="JRFonts"/>
        <charset val="134"/>
      </rPr>
      <t>30-07-2026 14:30</t>
    </r>
  </si>
  <si>
    <t>21812</t>
  </si>
  <si>
    <r>
      <rPr>
        <sz val="10"/>
        <color rgb="FF0000FF"/>
        <rFont val="JRFonts"/>
        <charset val="134"/>
      </rPr>
      <t>21813</t>
    </r>
  </si>
  <si>
    <r>
      <rPr>
        <sz val="10"/>
        <color rgb="FF000000"/>
        <rFont val="JRFonts"/>
        <charset val="134"/>
      </rPr>
      <t>30-07-2026 14:17</t>
    </r>
  </si>
  <si>
    <r>
      <rPr>
        <sz val="10"/>
        <color rgb="FF000000"/>
        <rFont val="JRFonts"/>
        <charset val="134"/>
      </rPr>
      <t>30-07-2026 14:15</t>
    </r>
  </si>
  <si>
    <r>
      <rPr>
        <sz val="10"/>
        <color rgb="FF0000FF"/>
        <rFont val="JRFonts"/>
        <charset val="134"/>
      </rPr>
      <t>21815</t>
    </r>
  </si>
  <si>
    <r>
      <rPr>
        <sz val="10"/>
        <color rgb="FF000000"/>
        <rFont val="JRFonts"/>
        <charset val="134"/>
      </rPr>
      <t>30-07-2026 13:08</t>
    </r>
  </si>
  <si>
    <r>
      <rPr>
        <sz val="10"/>
        <color rgb="FF000000"/>
        <rFont val="JRFonts"/>
        <charset val="134"/>
      </rPr>
      <t>30-07-2026 14:29</t>
    </r>
  </si>
  <si>
    <r>
      <rPr>
        <sz val="10"/>
        <color rgb="FF000000"/>
        <rFont val="JRFonts"/>
        <charset val="134"/>
      </rPr>
      <t>30-07-2026 14:27</t>
    </r>
  </si>
  <si>
    <r>
      <rPr>
        <sz val="10"/>
        <color rgb="FF0000FF"/>
        <rFont val="JRFonts"/>
        <charset val="134"/>
      </rPr>
      <t>21816</t>
    </r>
  </si>
  <si>
    <r>
      <rPr>
        <sz val="10"/>
        <color rgb="FF000000"/>
        <rFont val="JRFonts"/>
        <charset val="134"/>
      </rPr>
      <t>30-07-2026 13:11</t>
    </r>
  </si>
  <si>
    <r>
      <rPr>
        <sz val="10"/>
        <color rgb="FF000000"/>
        <rFont val="JRFonts"/>
        <charset val="134"/>
      </rPr>
      <t>05-08-2026 12:43</t>
    </r>
  </si>
  <si>
    <r>
      <rPr>
        <sz val="10"/>
        <color rgb="FF000000"/>
        <rFont val="JRFonts"/>
        <charset val="134"/>
      </rPr>
      <t>30-07-2026 14:32</t>
    </r>
  </si>
  <si>
    <t>21816</t>
  </si>
  <si>
    <r>
      <rPr>
        <sz val="10"/>
        <color rgb="FF0000FF"/>
        <rFont val="JRFonts"/>
        <charset val="134"/>
      </rPr>
      <t>21817</t>
    </r>
  </si>
  <si>
    <r>
      <rPr>
        <sz val="10"/>
        <color rgb="FF000000"/>
        <rFont val="JRFonts"/>
        <charset val="134"/>
      </rPr>
      <t>30-07-2026 13:14</t>
    </r>
  </si>
  <si>
    <r>
      <rPr>
        <sz val="10"/>
        <color rgb="FF000000"/>
        <rFont val="JRFonts"/>
        <charset val="134"/>
      </rPr>
      <t>30-07-2026 15:05</t>
    </r>
  </si>
  <si>
    <r>
      <rPr>
        <sz val="10"/>
        <color rgb="FF000000"/>
        <rFont val="JRFonts"/>
        <charset val="134"/>
      </rPr>
      <t>30-07-2026 14:33</t>
    </r>
  </si>
  <si>
    <r>
      <rPr>
        <sz val="10"/>
        <color rgb="FF0000FF"/>
        <rFont val="JRFonts"/>
        <charset val="134"/>
      </rPr>
      <t>21822</t>
    </r>
  </si>
  <si>
    <r>
      <rPr>
        <sz val="10"/>
        <color rgb="FF000000"/>
        <rFont val="JRFonts"/>
        <charset val="134"/>
      </rPr>
      <t>30-07-2026 13:51</t>
    </r>
  </si>
  <si>
    <r>
      <rPr>
        <sz val="10"/>
        <color rgb="FF000000"/>
        <rFont val="JRFonts"/>
        <charset val="134"/>
      </rPr>
      <t>31-07-2026 17:28</t>
    </r>
  </si>
  <si>
    <r>
      <rPr>
        <sz val="10"/>
        <color rgb="FF000000"/>
        <rFont val="JRFonts"/>
        <charset val="134"/>
      </rPr>
      <t>30-07-2026 14:35</t>
    </r>
  </si>
  <si>
    <r>
      <rPr>
        <sz val="10"/>
        <color rgb="FF0000FF"/>
        <rFont val="JRFonts"/>
        <charset val="134"/>
      </rPr>
      <t>21823</t>
    </r>
  </si>
  <si>
    <r>
      <rPr>
        <sz val="10"/>
        <color rgb="FF000000"/>
        <rFont val="JRFonts"/>
        <charset val="134"/>
      </rPr>
      <t>30-07-2026 13:54</t>
    </r>
  </si>
  <si>
    <r>
      <rPr>
        <sz val="10"/>
        <color rgb="FF000000"/>
        <rFont val="JRFonts"/>
        <charset val="134"/>
      </rPr>
      <t>16-09-2026 15:18</t>
    </r>
  </si>
  <si>
    <r>
      <rPr>
        <sz val="10"/>
        <color rgb="FF000000"/>
        <rFont val="JRFonts"/>
        <charset val="134"/>
      </rPr>
      <t>30-07-2026 14:36</t>
    </r>
  </si>
  <si>
    <t>21823</t>
  </si>
  <si>
    <r>
      <rPr>
        <sz val="10"/>
        <color rgb="FF0000FF"/>
        <rFont val="JRFonts"/>
        <charset val="134"/>
      </rPr>
      <t>21824</t>
    </r>
  </si>
  <si>
    <r>
      <rPr>
        <sz val="10"/>
        <color rgb="FF000000"/>
        <rFont val="JRFonts"/>
        <charset val="134"/>
      </rPr>
      <t>30-07-2026 14:00</t>
    </r>
  </si>
  <si>
    <r>
      <rPr>
        <sz val="10"/>
        <color rgb="FF000000"/>
        <rFont val="JRFonts"/>
        <charset val="134"/>
      </rPr>
      <t>01-09-2026 10:12</t>
    </r>
  </si>
  <si>
    <r>
      <rPr>
        <sz val="10"/>
        <color rgb="FF000000"/>
        <rFont val="JRFonts"/>
        <charset val="134"/>
      </rPr>
      <t>30-07-2026 14:39</t>
    </r>
  </si>
  <si>
    <t>21824</t>
  </si>
  <si>
    <r>
      <rPr>
        <sz val="10"/>
        <color rgb="FF0000FF"/>
        <rFont val="JRFonts"/>
        <charset val="134"/>
      </rPr>
      <t>21827</t>
    </r>
  </si>
  <si>
    <r>
      <rPr>
        <sz val="10"/>
        <color rgb="FF000000"/>
        <rFont val="JRFonts"/>
        <charset val="134"/>
      </rPr>
      <t>30-07-2026 15:25</t>
    </r>
  </si>
  <si>
    <r>
      <rPr>
        <sz val="10"/>
        <color rgb="FF000000"/>
        <rFont val="JRFonts"/>
        <charset val="134"/>
      </rPr>
      <t>30-07-2026 14:46</t>
    </r>
  </si>
  <si>
    <r>
      <rPr>
        <sz val="10"/>
        <color rgb="FF0000FF"/>
        <rFont val="JRFonts"/>
        <charset val="134"/>
      </rPr>
      <t>21828</t>
    </r>
  </si>
  <si>
    <r>
      <rPr>
        <sz val="10"/>
        <color rgb="FF000000"/>
        <rFont val="JRFonts"/>
        <charset val="134"/>
      </rPr>
      <t>30-07-2026 14:21</t>
    </r>
  </si>
  <si>
    <r>
      <rPr>
        <sz val="10"/>
        <color rgb="FF000000"/>
        <rFont val="JRFonts"/>
        <charset val="134"/>
      </rPr>
      <t>30-07-2026 15:10</t>
    </r>
  </si>
  <si>
    <r>
      <rPr>
        <sz val="10"/>
        <color rgb="FF000000"/>
        <rFont val="JRFonts"/>
        <charset val="134"/>
      </rPr>
      <t>30-07-2026 14:47</t>
    </r>
  </si>
  <si>
    <r>
      <rPr>
        <sz val="10"/>
        <color rgb="FF0000FF"/>
        <rFont val="JRFonts"/>
        <charset val="134"/>
      </rPr>
      <t>21829</t>
    </r>
  </si>
  <si>
    <r>
      <rPr>
        <sz val="10"/>
        <color rgb="FF000000"/>
        <rFont val="JRFonts"/>
        <charset val="134"/>
      </rPr>
      <t>31-07-2026 15:56</t>
    </r>
  </si>
  <si>
    <r>
      <rPr>
        <sz val="10"/>
        <color rgb="FF0000FF"/>
        <rFont val="JRFonts"/>
        <charset val="134"/>
      </rPr>
      <t>21830</t>
    </r>
  </si>
  <si>
    <r>
      <rPr>
        <sz val="10"/>
        <color rgb="FF000000"/>
        <rFont val="JRFonts"/>
        <charset val="134"/>
      </rPr>
      <t>07-08-2026 17:24</t>
    </r>
  </si>
  <si>
    <r>
      <rPr>
        <sz val="10"/>
        <color rgb="FF000000"/>
        <rFont val="JRFonts"/>
        <charset val="134"/>
      </rPr>
      <t>30-07-2026 14:49</t>
    </r>
  </si>
  <si>
    <t>21830</t>
  </si>
  <si>
    <r>
      <rPr>
        <sz val="10"/>
        <color rgb="FF0000FF"/>
        <rFont val="JRFonts"/>
        <charset val="134"/>
      </rPr>
      <t>21833</t>
    </r>
  </si>
  <si>
    <r>
      <rPr>
        <sz val="10"/>
        <color rgb="FF000000"/>
        <rFont val="JRFonts"/>
        <charset val="134"/>
      </rPr>
      <t>30-07-2026 14:45</t>
    </r>
  </si>
  <si>
    <r>
      <rPr>
        <sz val="10"/>
        <color rgb="FF000000"/>
        <rFont val="JRFonts"/>
        <charset val="134"/>
      </rPr>
      <t>03-08-2026 10:33</t>
    </r>
  </si>
  <si>
    <r>
      <rPr>
        <sz val="10"/>
        <color rgb="FF000000"/>
        <rFont val="JRFonts"/>
        <charset val="134"/>
      </rPr>
      <t>30-07-2026 15:21</t>
    </r>
  </si>
  <si>
    <r>
      <rPr>
        <sz val="10"/>
        <color rgb="FF0000FF"/>
        <rFont val="JRFonts"/>
        <charset val="134"/>
      </rPr>
      <t>21834</t>
    </r>
  </si>
  <si>
    <r>
      <rPr>
        <sz val="10"/>
        <color rgb="FF000000"/>
        <rFont val="JRFonts"/>
        <charset val="134"/>
      </rPr>
      <t>01-09-2026 10:11</t>
    </r>
  </si>
  <si>
    <r>
      <rPr>
        <sz val="10"/>
        <color rgb="FF000000"/>
        <rFont val="JRFonts"/>
        <charset val="134"/>
      </rPr>
      <t>30-07-2026 15:22</t>
    </r>
  </si>
  <si>
    <t>21834</t>
  </si>
  <si>
    <r>
      <rPr>
        <sz val="10"/>
        <color rgb="FF0000FF"/>
        <rFont val="JRFonts"/>
        <charset val="134"/>
      </rPr>
      <t>21835</t>
    </r>
  </si>
  <si>
    <r>
      <rPr>
        <sz val="10"/>
        <color rgb="FF000000"/>
        <rFont val="JRFonts"/>
        <charset val="134"/>
      </rPr>
      <t>14-08-2026 12:50</t>
    </r>
  </si>
  <si>
    <r>
      <rPr>
        <sz val="10"/>
        <color rgb="FF000000"/>
        <rFont val="JRFonts"/>
        <charset val="134"/>
      </rPr>
      <t>30-07-2026 15:29</t>
    </r>
  </si>
  <si>
    <t>21835</t>
  </si>
  <si>
    <r>
      <rPr>
        <sz val="10"/>
        <color rgb="FF0000FF"/>
        <rFont val="JRFonts"/>
        <charset val="134"/>
      </rPr>
      <t>21836</t>
    </r>
  </si>
  <si>
    <r>
      <rPr>
        <sz val="10"/>
        <color rgb="FF000000"/>
        <rFont val="JRFonts"/>
        <charset val="134"/>
      </rPr>
      <t>31-07-2026 12:18</t>
    </r>
  </si>
  <si>
    <r>
      <rPr>
        <sz val="10"/>
        <color rgb="FF000000"/>
        <rFont val="JRFonts"/>
        <charset val="134"/>
      </rPr>
      <t>30-07-2026 15:30</t>
    </r>
  </si>
  <si>
    <r>
      <rPr>
        <sz val="10"/>
        <color rgb="FF0000FF"/>
        <rFont val="JRFonts"/>
        <charset val="134"/>
      </rPr>
      <t>21837</t>
    </r>
  </si>
  <si>
    <r>
      <rPr>
        <sz val="10"/>
        <color rgb="FF000000"/>
        <rFont val="JRFonts"/>
        <charset val="134"/>
      </rPr>
      <t>31-07-2026 12:17</t>
    </r>
  </si>
  <si>
    <r>
      <rPr>
        <sz val="10"/>
        <color rgb="FF000000"/>
        <rFont val="JRFonts"/>
        <charset val="134"/>
      </rPr>
      <t>30-07-2026 15:31</t>
    </r>
  </si>
  <si>
    <r>
      <rPr>
        <sz val="10"/>
        <color rgb="FF0000FF"/>
        <rFont val="JRFonts"/>
        <charset val="134"/>
      </rPr>
      <t>21838</t>
    </r>
  </si>
  <si>
    <r>
      <rPr>
        <sz val="10"/>
        <color rgb="FF000000"/>
        <rFont val="JRFonts"/>
        <charset val="134"/>
      </rPr>
      <t>30-07-2026 15:00</t>
    </r>
  </si>
  <si>
    <r>
      <rPr>
        <sz val="10"/>
        <color rgb="FF000000"/>
        <rFont val="JRFonts"/>
        <charset val="134"/>
      </rPr>
      <t>31-07-2026 16:50</t>
    </r>
  </si>
  <si>
    <r>
      <rPr>
        <sz val="10"/>
        <color rgb="FF000000"/>
        <rFont val="JRFonts"/>
        <charset val="134"/>
      </rPr>
      <t>31-07-2026 16:48</t>
    </r>
  </si>
  <si>
    <r>
      <rPr>
        <sz val="10"/>
        <color rgb="FF0000FF"/>
        <rFont val="JRFonts"/>
        <charset val="134"/>
      </rPr>
      <t>21839</t>
    </r>
  </si>
  <si>
    <r>
      <rPr>
        <sz val="10"/>
        <color rgb="FF000000"/>
        <rFont val="JRFonts"/>
        <charset val="134"/>
      </rPr>
      <t>30-07-2026 15:03</t>
    </r>
  </si>
  <si>
    <r>
      <rPr>
        <sz val="10"/>
        <color rgb="FF000000"/>
        <rFont val="JRFonts"/>
        <charset val="134"/>
      </rPr>
      <t>07-08-2026 16:30</t>
    </r>
  </si>
  <si>
    <r>
      <rPr>
        <sz val="10"/>
        <color rgb="FF000000"/>
        <rFont val="JRFonts"/>
        <charset val="134"/>
      </rPr>
      <t>30-07-2026 15:32</t>
    </r>
  </si>
  <si>
    <t>21839</t>
  </si>
  <si>
    <r>
      <rPr>
        <sz val="10"/>
        <color rgb="FF0000FF"/>
        <rFont val="JRFonts"/>
        <charset val="134"/>
      </rPr>
      <t>21840</t>
    </r>
  </si>
  <si>
    <r>
      <rPr>
        <sz val="10"/>
        <color rgb="FF000000"/>
        <rFont val="JRFonts"/>
        <charset val="134"/>
      </rPr>
      <t>31-07-2026 11:04</t>
    </r>
  </si>
  <si>
    <r>
      <rPr>
        <sz val="10"/>
        <color rgb="FF000000"/>
        <rFont val="JRFonts"/>
        <charset val="134"/>
      </rPr>
      <t>30-07-2026 15:44</t>
    </r>
  </si>
  <si>
    <r>
      <rPr>
        <sz val="10"/>
        <color rgb="FF0000FF"/>
        <rFont val="JRFonts"/>
        <charset val="134"/>
      </rPr>
      <t>21842</t>
    </r>
  </si>
  <si>
    <r>
      <rPr>
        <sz val="10"/>
        <color rgb="FF000000"/>
        <rFont val="JRFonts"/>
        <charset val="134"/>
      </rPr>
      <t>05-08-2026 12:44</t>
    </r>
  </si>
  <si>
    <r>
      <rPr>
        <sz val="10"/>
        <color rgb="FF000000"/>
        <rFont val="JRFonts"/>
        <charset val="134"/>
      </rPr>
      <t>30-07-2026 15:41</t>
    </r>
  </si>
  <si>
    <t>21842</t>
  </si>
  <si>
    <r>
      <rPr>
        <sz val="10"/>
        <color rgb="FF0000FF"/>
        <rFont val="JRFonts"/>
        <charset val="134"/>
      </rPr>
      <t>21843</t>
    </r>
  </si>
  <si>
    <r>
      <rPr>
        <sz val="10"/>
        <color rgb="FF000000"/>
        <rFont val="JRFonts"/>
        <charset val="134"/>
      </rPr>
      <t>31-07-2026 12:32</t>
    </r>
  </si>
  <si>
    <r>
      <rPr>
        <sz val="10"/>
        <color rgb="FF000000"/>
        <rFont val="JRFonts"/>
        <charset val="134"/>
      </rPr>
      <t>30-07-2026 15:45</t>
    </r>
  </si>
  <si>
    <r>
      <rPr>
        <sz val="10"/>
        <color rgb="FF0000FF"/>
        <rFont val="JRFonts"/>
        <charset val="134"/>
      </rPr>
      <t>21844</t>
    </r>
  </si>
  <si>
    <r>
      <rPr>
        <sz val="10"/>
        <color rgb="FF000000"/>
        <rFont val="JRFonts"/>
        <charset val="134"/>
      </rPr>
      <t>30-07-2026 15:40</t>
    </r>
  </si>
  <si>
    <r>
      <rPr>
        <sz val="10"/>
        <color rgb="FF000000"/>
        <rFont val="JRFonts"/>
        <charset val="134"/>
      </rPr>
      <t>05-08-2026 12:49</t>
    </r>
  </si>
  <si>
    <r>
      <rPr>
        <sz val="10"/>
        <color rgb="FF000000"/>
        <rFont val="JRFonts"/>
        <charset val="134"/>
      </rPr>
      <t>30-07-2026 15:46</t>
    </r>
  </si>
  <si>
    <t>21844</t>
  </si>
  <si>
    <r>
      <rPr>
        <sz val="10"/>
        <color rgb="FF0000FF"/>
        <rFont val="JRFonts"/>
        <charset val="134"/>
      </rPr>
      <t>21845</t>
    </r>
  </si>
  <si>
    <r>
      <rPr>
        <sz val="10"/>
        <color rgb="FF000000"/>
        <rFont val="JRFonts"/>
        <charset val="134"/>
      </rPr>
      <t>04-08-2026 16:36</t>
    </r>
  </si>
  <si>
    <r>
      <rPr>
        <sz val="10"/>
        <color rgb="FF000000"/>
        <rFont val="JRFonts"/>
        <charset val="134"/>
      </rPr>
      <t>30-07-2026 15:50</t>
    </r>
  </si>
  <si>
    <t>21845</t>
  </si>
  <si>
    <r>
      <rPr>
        <sz val="10"/>
        <color rgb="FF0000FF"/>
        <rFont val="JRFonts"/>
        <charset val="134"/>
      </rPr>
      <t>21846</t>
    </r>
  </si>
  <si>
    <r>
      <rPr>
        <sz val="10"/>
        <color rgb="FF000000"/>
        <rFont val="JRFonts"/>
        <charset val="134"/>
      </rPr>
      <t>30-07-2026 23:47</t>
    </r>
  </si>
  <si>
    <r>
      <rPr>
        <sz val="10"/>
        <color rgb="FF000000"/>
        <rFont val="JRFonts"/>
        <charset val="134"/>
      </rPr>
      <t>30-07-2026 15:51</t>
    </r>
  </si>
  <si>
    <t>21846</t>
  </si>
  <si>
    <r>
      <rPr>
        <sz val="10"/>
        <color rgb="FF0000FF"/>
        <rFont val="JRFonts"/>
        <charset val="134"/>
      </rPr>
      <t>21848</t>
    </r>
  </si>
  <si>
    <r>
      <rPr>
        <sz val="10"/>
        <color rgb="FF000000"/>
        <rFont val="JRFonts"/>
        <charset val="134"/>
      </rPr>
      <t>30-07-2026 15:52</t>
    </r>
  </si>
  <si>
    <r>
      <rPr>
        <sz val="10"/>
        <color rgb="FF000000"/>
        <rFont val="JRFonts"/>
        <charset val="134"/>
      </rPr>
      <t>03-08-2026 10:42</t>
    </r>
  </si>
  <si>
    <r>
      <rPr>
        <sz val="10"/>
        <color rgb="FF000000"/>
        <rFont val="JRFonts"/>
        <charset val="134"/>
      </rPr>
      <t>30-07-2026 15:55</t>
    </r>
  </si>
  <si>
    <r>
      <rPr>
        <sz val="10"/>
        <color rgb="FF0000FF"/>
        <rFont val="JRFonts"/>
        <charset val="134"/>
      </rPr>
      <t>21850</t>
    </r>
  </si>
  <si>
    <r>
      <rPr>
        <sz val="10"/>
        <color rgb="FF000000"/>
        <rFont val="JRFonts"/>
        <charset val="134"/>
      </rPr>
      <t>30-07-2026 16:04</t>
    </r>
  </si>
  <si>
    <r>
      <rPr>
        <sz val="10"/>
        <color rgb="FF000000"/>
        <rFont val="JRFonts"/>
        <charset val="134"/>
      </rPr>
      <t>05-08-2026 11:19</t>
    </r>
  </si>
  <si>
    <r>
      <rPr>
        <sz val="10"/>
        <color rgb="FF000000"/>
        <rFont val="JRFonts"/>
        <charset val="134"/>
      </rPr>
      <t>30-07-2026 16:40</t>
    </r>
  </si>
  <si>
    <t>21850</t>
  </si>
  <si>
    <r>
      <rPr>
        <sz val="10"/>
        <color rgb="FF0000FF"/>
        <rFont val="JRFonts"/>
        <charset val="134"/>
      </rPr>
      <t>21851</t>
    </r>
  </si>
  <si>
    <r>
      <rPr>
        <sz val="10"/>
        <color rgb="FF000000"/>
        <rFont val="JRFonts"/>
        <charset val="134"/>
      </rPr>
      <t>03-08-2026 10:39</t>
    </r>
  </si>
  <si>
    <r>
      <rPr>
        <sz val="10"/>
        <color rgb="FF000000"/>
        <rFont val="JRFonts"/>
        <charset val="134"/>
      </rPr>
      <t>30-07-2026 16:22</t>
    </r>
  </si>
  <si>
    <r>
      <rPr>
        <sz val="10"/>
        <color rgb="FF0000FF"/>
        <rFont val="JRFonts"/>
        <charset val="134"/>
      </rPr>
      <t>21852</t>
    </r>
  </si>
  <si>
    <r>
      <rPr>
        <sz val="10"/>
        <color rgb="FF000000"/>
        <rFont val="JRFonts"/>
        <charset val="134"/>
      </rPr>
      <t>05-08-2026 15:01</t>
    </r>
  </si>
  <si>
    <r>
      <rPr>
        <sz val="10"/>
        <color rgb="FF000000"/>
        <rFont val="JRFonts"/>
        <charset val="134"/>
      </rPr>
      <t>30-07-2026 16:50</t>
    </r>
  </si>
  <si>
    <t>21852</t>
  </si>
  <si>
    <r>
      <rPr>
        <sz val="10"/>
        <color rgb="FF0000FF"/>
        <rFont val="JRFonts"/>
        <charset val="134"/>
      </rPr>
      <t>21853</t>
    </r>
  </si>
  <si>
    <r>
      <rPr>
        <sz val="10"/>
        <color rgb="FF000000"/>
        <rFont val="JRFonts"/>
        <charset val="134"/>
      </rPr>
      <t>30-07-2026 16:17</t>
    </r>
  </si>
  <si>
    <r>
      <rPr>
        <sz val="10"/>
        <color rgb="FF000000"/>
        <rFont val="JRFonts"/>
        <charset val="134"/>
      </rPr>
      <t>24-08-2026 12:23</t>
    </r>
  </si>
  <si>
    <r>
      <rPr>
        <sz val="10"/>
        <color rgb="FF000000"/>
        <rFont val="JRFonts"/>
        <charset val="134"/>
      </rPr>
      <t>30-07-2026 16:20</t>
    </r>
  </si>
  <si>
    <t>21853</t>
  </si>
  <si>
    <r>
      <rPr>
        <sz val="10"/>
        <color rgb="FF0000FF"/>
        <rFont val="JRFonts"/>
        <charset val="134"/>
      </rPr>
      <t>21854</t>
    </r>
  </si>
  <si>
    <r>
      <rPr>
        <sz val="10"/>
        <color rgb="FF000000"/>
        <rFont val="JRFonts"/>
        <charset val="134"/>
      </rPr>
      <t>31-07-2026 11:16</t>
    </r>
  </si>
  <si>
    <r>
      <rPr>
        <sz val="10"/>
        <color rgb="FF000000"/>
        <rFont val="JRFonts"/>
        <charset val="134"/>
      </rPr>
      <t>30-07-2026 16:25</t>
    </r>
  </si>
  <si>
    <r>
      <rPr>
        <sz val="10"/>
        <color rgb="FF0000FF"/>
        <rFont val="JRFonts"/>
        <charset val="134"/>
      </rPr>
      <t>21855</t>
    </r>
  </si>
  <si>
    <r>
      <rPr>
        <sz val="10"/>
        <color rgb="FF000000"/>
        <rFont val="JRFonts"/>
        <charset val="134"/>
      </rPr>
      <t>22-08-2026 10:33</t>
    </r>
  </si>
  <si>
    <r>
      <rPr>
        <sz val="10"/>
        <color rgb="FF000000"/>
        <rFont val="JRFonts"/>
        <charset val="134"/>
      </rPr>
      <t>30-07-2026 16:47</t>
    </r>
  </si>
  <si>
    <t>21855</t>
  </si>
  <si>
    <r>
      <rPr>
        <sz val="10"/>
        <color rgb="FF0000FF"/>
        <rFont val="JRFonts"/>
        <charset val="134"/>
      </rPr>
      <t>21857</t>
    </r>
  </si>
  <si>
    <r>
      <rPr>
        <sz val="10"/>
        <color rgb="FF000000"/>
        <rFont val="JRFonts"/>
        <charset val="134"/>
      </rPr>
      <t>03-08-2026 10:38</t>
    </r>
  </si>
  <si>
    <r>
      <rPr>
        <sz val="10"/>
        <color rgb="FF000000"/>
        <rFont val="JRFonts"/>
        <charset val="134"/>
      </rPr>
      <t>30-07-2026 16:52</t>
    </r>
  </si>
  <si>
    <t>21857</t>
  </si>
  <si>
    <r>
      <rPr>
        <sz val="10"/>
        <color rgb="FF0000FF"/>
        <rFont val="JRFonts"/>
        <charset val="134"/>
      </rPr>
      <t>21858</t>
    </r>
  </si>
  <si>
    <r>
      <rPr>
        <sz val="10"/>
        <color rgb="FF000000"/>
        <rFont val="JRFonts"/>
        <charset val="134"/>
      </rPr>
      <t>30-07-2026 16:26</t>
    </r>
  </si>
  <si>
    <r>
      <rPr>
        <sz val="10"/>
        <color rgb="FF000000"/>
        <rFont val="JRFonts"/>
        <charset val="134"/>
      </rPr>
      <t>05-08-2026 15:27</t>
    </r>
  </si>
  <si>
    <r>
      <rPr>
        <sz val="10"/>
        <color rgb="FF000000"/>
        <rFont val="JRFonts"/>
        <charset val="134"/>
      </rPr>
      <t>30-07-2026 16:53</t>
    </r>
  </si>
  <si>
    <t>21858</t>
  </si>
  <si>
    <r>
      <rPr>
        <sz val="10"/>
        <color rgb="FF0000FF"/>
        <rFont val="JRFonts"/>
        <charset val="134"/>
      </rPr>
      <t>21859</t>
    </r>
  </si>
  <si>
    <r>
      <rPr>
        <sz val="10"/>
        <color rgb="FF000000"/>
        <rFont val="JRFonts"/>
        <charset val="134"/>
      </rPr>
      <t>30-07-2026 16:32</t>
    </r>
  </si>
  <si>
    <r>
      <rPr>
        <sz val="10"/>
        <color rgb="FF000000"/>
        <rFont val="JRFonts"/>
        <charset val="134"/>
      </rPr>
      <t>07-08-2026 15:53</t>
    </r>
  </si>
  <si>
    <r>
      <rPr>
        <sz val="10"/>
        <color rgb="FF000000"/>
        <rFont val="JRFonts"/>
        <charset val="134"/>
      </rPr>
      <t>30-07-2026 16:46</t>
    </r>
  </si>
  <si>
    <t>21859</t>
  </si>
  <si>
    <r>
      <rPr>
        <sz val="10"/>
        <color rgb="FF0000FF"/>
        <rFont val="JRFonts"/>
        <charset val="134"/>
      </rPr>
      <t>21861</t>
    </r>
  </si>
  <si>
    <r>
      <rPr>
        <sz val="10"/>
        <color rgb="FF000000"/>
        <rFont val="JRFonts"/>
        <charset val="134"/>
      </rPr>
      <t>30-07-2026 16:35</t>
    </r>
  </si>
  <si>
    <r>
      <rPr>
        <sz val="10"/>
        <color rgb="FF000000"/>
        <rFont val="JRFonts"/>
        <charset val="134"/>
      </rPr>
      <t>31-07-2026 10:30</t>
    </r>
  </si>
  <si>
    <r>
      <rPr>
        <sz val="10"/>
        <color rgb="FF000000"/>
        <rFont val="JRFonts"/>
        <charset val="134"/>
      </rPr>
      <t>30-07-2026 16:38</t>
    </r>
  </si>
  <si>
    <r>
      <rPr>
        <sz val="10"/>
        <color rgb="FF0000FF"/>
        <rFont val="JRFonts"/>
        <charset val="134"/>
      </rPr>
      <t>21863</t>
    </r>
  </si>
  <si>
    <r>
      <rPr>
        <sz val="10"/>
        <color rgb="FF000000"/>
        <rFont val="JRFonts"/>
        <charset val="134"/>
      </rPr>
      <t>30-07-2026 16:44</t>
    </r>
  </si>
  <si>
    <r>
      <rPr>
        <sz val="10"/>
        <color rgb="FF000000"/>
        <rFont val="JRFonts"/>
        <charset val="134"/>
      </rPr>
      <t>07-08-2026 17:25</t>
    </r>
  </si>
  <si>
    <r>
      <rPr>
        <sz val="10"/>
        <color rgb="FF000000"/>
        <rFont val="JRFonts"/>
        <charset val="134"/>
      </rPr>
      <t>30-07-2026 16:51</t>
    </r>
  </si>
  <si>
    <t>21863</t>
  </si>
  <si>
    <r>
      <rPr>
        <sz val="10"/>
        <color rgb="FF0000FF"/>
        <rFont val="JRFonts"/>
        <charset val="134"/>
      </rPr>
      <t>21864</t>
    </r>
  </si>
  <si>
    <r>
      <rPr>
        <sz val="10"/>
        <color rgb="FF000000"/>
        <rFont val="JRFonts"/>
        <charset val="134"/>
      </rPr>
      <t>03-08-2026 10:31</t>
    </r>
  </si>
  <si>
    <r>
      <rPr>
        <sz val="10"/>
        <color rgb="FF000000"/>
        <rFont val="JRFonts"/>
        <charset val="134"/>
      </rPr>
      <t>30-07-2026 17:13</t>
    </r>
  </si>
  <si>
    <r>
      <rPr>
        <sz val="10"/>
        <color rgb="FF0000FF"/>
        <rFont val="JRFonts"/>
        <charset val="134"/>
      </rPr>
      <t>21867</t>
    </r>
  </si>
  <si>
    <r>
      <rPr>
        <sz val="10"/>
        <color rgb="FF000000"/>
        <rFont val="JRFonts"/>
        <charset val="134"/>
      </rPr>
      <t>22-08-2026 11:03</t>
    </r>
  </si>
  <si>
    <t>21867</t>
  </si>
  <si>
    <r>
      <rPr>
        <sz val="10"/>
        <color rgb="FF0000FF"/>
        <rFont val="JRFonts"/>
        <charset val="134"/>
      </rPr>
      <t>21868</t>
    </r>
  </si>
  <si>
    <r>
      <rPr>
        <sz val="10"/>
        <color rgb="FF000000"/>
        <rFont val="JRFonts"/>
        <charset val="134"/>
      </rPr>
      <t>07-08-2026 11:15</t>
    </r>
  </si>
  <si>
    <r>
      <rPr>
        <sz val="10"/>
        <color rgb="FF000000"/>
        <rFont val="JRFonts"/>
        <charset val="134"/>
      </rPr>
      <t>30-07-2026 16:54</t>
    </r>
  </si>
  <si>
    <t>21868</t>
  </si>
  <si>
    <r>
      <rPr>
        <sz val="10"/>
        <color rgb="FF0000FF"/>
        <rFont val="JRFonts"/>
        <charset val="134"/>
      </rPr>
      <t>21869</t>
    </r>
  </si>
  <si>
    <r>
      <rPr>
        <sz val="10"/>
        <color rgb="FF000000"/>
        <rFont val="JRFonts"/>
        <charset val="134"/>
      </rPr>
      <t>03-08-2026 10:29</t>
    </r>
  </si>
  <si>
    <r>
      <rPr>
        <sz val="10"/>
        <color rgb="FF000000"/>
        <rFont val="JRFonts"/>
        <charset val="134"/>
      </rPr>
      <t>31-07-2026 10:43</t>
    </r>
  </si>
  <si>
    <t>21869</t>
  </si>
  <si>
    <r>
      <rPr>
        <sz val="10"/>
        <color rgb="FF0000FF"/>
        <rFont val="JRFonts"/>
        <charset val="134"/>
      </rPr>
      <t>21870</t>
    </r>
  </si>
  <si>
    <r>
      <rPr>
        <sz val="10"/>
        <color rgb="FF000000"/>
        <rFont val="JRFonts"/>
        <charset val="134"/>
      </rPr>
      <t>30-07-2026 17:05</t>
    </r>
  </si>
  <si>
    <r>
      <rPr>
        <sz val="10"/>
        <color rgb="FF000000"/>
        <rFont val="JRFonts"/>
        <charset val="134"/>
      </rPr>
      <t>31-07-2026 18:40</t>
    </r>
  </si>
  <si>
    <r>
      <rPr>
        <sz val="10"/>
        <color rgb="FF000000"/>
        <rFont val="JRFonts"/>
        <charset val="134"/>
      </rPr>
      <t>31-07-2026 10:44</t>
    </r>
  </si>
  <si>
    <r>
      <rPr>
        <sz val="10"/>
        <color rgb="FF0000FF"/>
        <rFont val="JRFonts"/>
        <charset val="134"/>
      </rPr>
      <t>21871</t>
    </r>
  </si>
  <si>
    <r>
      <rPr>
        <sz val="10"/>
        <color rgb="FF000000"/>
        <rFont val="JRFonts"/>
        <charset val="134"/>
      </rPr>
      <t>30-07-2026 17:08</t>
    </r>
  </si>
  <si>
    <r>
      <rPr>
        <sz val="10"/>
        <color rgb="FF000000"/>
        <rFont val="JRFonts"/>
        <charset val="134"/>
      </rPr>
      <t>31-07-2026 15:47</t>
    </r>
  </si>
  <si>
    <r>
      <rPr>
        <sz val="10"/>
        <color rgb="FF000000"/>
        <rFont val="JRFonts"/>
        <charset val="134"/>
      </rPr>
      <t>30-07-2026 17:15</t>
    </r>
  </si>
  <si>
    <r>
      <rPr>
        <sz val="10"/>
        <color rgb="FF0000FF"/>
        <rFont val="JRFonts"/>
        <charset val="134"/>
      </rPr>
      <t>21872</t>
    </r>
  </si>
  <si>
    <r>
      <rPr>
        <sz val="10"/>
        <color rgb="FF000000"/>
        <rFont val="JRFonts"/>
        <charset val="134"/>
      </rPr>
      <t>03-08-2026 10:35</t>
    </r>
  </si>
  <si>
    <r>
      <rPr>
        <sz val="10"/>
        <color rgb="FF000000"/>
        <rFont val="JRFonts"/>
        <charset val="134"/>
      </rPr>
      <t>30-07-2026 17:16</t>
    </r>
  </si>
  <si>
    <r>
      <rPr>
        <sz val="10"/>
        <color rgb="FF0000FF"/>
        <rFont val="JRFonts"/>
        <charset val="134"/>
      </rPr>
      <t>21873</t>
    </r>
  </si>
  <si>
    <r>
      <rPr>
        <sz val="10"/>
        <color rgb="FF000000"/>
        <rFont val="JRFonts"/>
        <charset val="134"/>
      </rPr>
      <t>30-07-2026 17:14</t>
    </r>
  </si>
  <si>
    <r>
      <rPr>
        <sz val="10"/>
        <color rgb="FF000000"/>
        <rFont val="JRFonts"/>
        <charset val="134"/>
      </rPr>
      <t>11-08-2026 12:57</t>
    </r>
  </si>
  <si>
    <r>
      <rPr>
        <sz val="10"/>
        <color rgb="FF000000"/>
        <rFont val="JRFonts"/>
        <charset val="134"/>
      </rPr>
      <t>30-07-2026 17:46</t>
    </r>
  </si>
  <si>
    <t>21873</t>
  </si>
  <si>
    <r>
      <rPr>
        <sz val="10"/>
        <color rgb="FF0000FF"/>
        <rFont val="JRFonts"/>
        <charset val="134"/>
      </rPr>
      <t>21874</t>
    </r>
  </si>
  <si>
    <r>
      <rPr>
        <sz val="10"/>
        <color rgb="FF000000"/>
        <rFont val="JRFonts"/>
        <charset val="134"/>
      </rPr>
      <t>30-07-2026 17:17</t>
    </r>
  </si>
  <si>
    <r>
      <rPr>
        <sz val="10"/>
        <color rgb="FF000000"/>
        <rFont val="JRFonts"/>
        <charset val="134"/>
      </rPr>
      <t>07-08-2026 15:54</t>
    </r>
  </si>
  <si>
    <r>
      <rPr>
        <sz val="10"/>
        <color rgb="FF000000"/>
        <rFont val="JRFonts"/>
        <charset val="134"/>
      </rPr>
      <t>30-07-2026 17:39</t>
    </r>
  </si>
  <si>
    <t>21874</t>
  </si>
  <si>
    <r>
      <rPr>
        <sz val="10"/>
        <color rgb="FF0000FF"/>
        <rFont val="JRFonts"/>
        <charset val="134"/>
      </rPr>
      <t>21875</t>
    </r>
  </si>
  <si>
    <r>
      <rPr>
        <sz val="10"/>
        <color rgb="FF000000"/>
        <rFont val="JRFonts"/>
        <charset val="134"/>
      </rPr>
      <t>30-07-2026 17:18</t>
    </r>
  </si>
  <si>
    <r>
      <rPr>
        <sz val="10"/>
        <color rgb="FF000000"/>
        <rFont val="JRFonts"/>
        <charset val="134"/>
      </rPr>
      <t>03-08-2026 10:36</t>
    </r>
  </si>
  <si>
    <r>
      <rPr>
        <sz val="10"/>
        <color rgb="FF000000"/>
        <rFont val="JRFonts"/>
        <charset val="134"/>
      </rPr>
      <t>30-07-2026 17:40</t>
    </r>
  </si>
  <si>
    <r>
      <rPr>
        <sz val="10"/>
        <color rgb="FF0000FF"/>
        <rFont val="JRFonts"/>
        <charset val="134"/>
      </rPr>
      <t>21876</t>
    </r>
  </si>
  <si>
    <r>
      <rPr>
        <sz val="10"/>
        <color rgb="FF000000"/>
        <rFont val="JRFonts"/>
        <charset val="134"/>
      </rPr>
      <t>30-07-2026 17:24</t>
    </r>
  </si>
  <si>
    <r>
      <rPr>
        <sz val="10"/>
        <color rgb="FF000000"/>
        <rFont val="JRFonts"/>
        <charset val="134"/>
      </rPr>
      <t>30-07-2026 17:34</t>
    </r>
  </si>
  <si>
    <r>
      <rPr>
        <sz val="10"/>
        <color rgb="FF0000FF"/>
        <rFont val="JRFonts"/>
        <charset val="134"/>
      </rPr>
      <t>21877</t>
    </r>
  </si>
  <si>
    <r>
      <rPr>
        <sz val="10"/>
        <color rgb="FF000000"/>
        <rFont val="JRFonts"/>
        <charset val="134"/>
      </rPr>
      <t>30-07-2026 17:33</t>
    </r>
  </si>
  <si>
    <r>
      <rPr>
        <sz val="10"/>
        <color rgb="FF000000"/>
        <rFont val="JRFonts"/>
        <charset val="134"/>
      </rPr>
      <t>30-07-2026 17:43</t>
    </r>
  </si>
  <si>
    <r>
      <rPr>
        <sz val="10"/>
        <color rgb="FF0000FF"/>
        <rFont val="JRFonts"/>
        <charset val="134"/>
      </rPr>
      <t>21879</t>
    </r>
  </si>
  <si>
    <r>
      <rPr>
        <sz val="10"/>
        <color rgb="FF000000"/>
        <rFont val="JRFonts"/>
        <charset val="134"/>
      </rPr>
      <t>05-08-2026 00:34</t>
    </r>
  </si>
  <si>
    <r>
      <rPr>
        <sz val="10"/>
        <color rgb="FF000000"/>
        <rFont val="JRFonts"/>
        <charset val="134"/>
      </rPr>
      <t>30-07-2026 17:45</t>
    </r>
  </si>
  <si>
    <t>21879</t>
  </si>
  <si>
    <r>
      <rPr>
        <sz val="10"/>
        <color rgb="FF0000FF"/>
        <rFont val="JRFonts"/>
        <charset val="134"/>
      </rPr>
      <t>21880</t>
    </r>
  </si>
  <si>
    <r>
      <rPr>
        <sz val="10"/>
        <color rgb="FF000000"/>
        <rFont val="JRFonts"/>
        <charset val="134"/>
      </rPr>
      <t>30-07-2026 17:42</t>
    </r>
  </si>
  <si>
    <r>
      <rPr>
        <sz val="10"/>
        <color rgb="FF000000"/>
        <rFont val="JRFonts"/>
        <charset val="134"/>
      </rPr>
      <t>05-08-2026 14:44</t>
    </r>
  </si>
  <si>
    <r>
      <rPr>
        <sz val="10"/>
        <color rgb="FF000000"/>
        <rFont val="JRFonts"/>
        <charset val="134"/>
      </rPr>
      <t>30-07-2026 18:35</t>
    </r>
  </si>
  <si>
    <t>21880</t>
  </si>
  <si>
    <r>
      <rPr>
        <sz val="10"/>
        <color rgb="FF0000FF"/>
        <rFont val="JRFonts"/>
        <charset val="134"/>
      </rPr>
      <t>21881</t>
    </r>
  </si>
  <si>
    <r>
      <rPr>
        <sz val="10"/>
        <color rgb="FF000000"/>
        <rFont val="JRFonts"/>
        <charset val="134"/>
      </rPr>
      <t>30-07-2026 17:48</t>
    </r>
  </si>
  <si>
    <r>
      <rPr>
        <sz val="10"/>
        <color rgb="FF000000"/>
        <rFont val="JRFonts"/>
        <charset val="134"/>
      </rPr>
      <t>03-08-2026 10:28</t>
    </r>
  </si>
  <si>
    <r>
      <rPr>
        <sz val="10"/>
        <color rgb="FF000000"/>
        <rFont val="JRFonts"/>
        <charset val="134"/>
      </rPr>
      <t>30-07-2026 18:18</t>
    </r>
  </si>
  <si>
    <r>
      <rPr>
        <sz val="10"/>
        <color rgb="FF0000FF"/>
        <rFont val="JRFonts"/>
        <charset val="134"/>
      </rPr>
      <t>21882</t>
    </r>
  </si>
  <si>
    <r>
      <rPr>
        <sz val="10"/>
        <color rgb="FF000000"/>
        <rFont val="JRFonts"/>
        <charset val="134"/>
      </rPr>
      <t>30-07-2026 17:57</t>
    </r>
  </si>
  <si>
    <r>
      <rPr>
        <sz val="10"/>
        <color rgb="FF000000"/>
        <rFont val="JRFonts"/>
        <charset val="134"/>
      </rPr>
      <t>31-07-2026 10:35</t>
    </r>
  </si>
  <si>
    <r>
      <rPr>
        <sz val="10"/>
        <color rgb="FF000000"/>
        <rFont val="JRFonts"/>
        <charset val="134"/>
      </rPr>
      <t>30-07-2026 18:19</t>
    </r>
  </si>
  <si>
    <r>
      <rPr>
        <sz val="10"/>
        <color rgb="FF0000FF"/>
        <rFont val="JRFonts"/>
        <charset val="134"/>
      </rPr>
      <t>21883</t>
    </r>
  </si>
  <si>
    <r>
      <rPr>
        <sz val="10"/>
        <color rgb="FF000000"/>
        <rFont val="JRFonts"/>
        <charset val="134"/>
      </rPr>
      <t>30-07-2026 18:03</t>
    </r>
  </si>
  <si>
    <r>
      <rPr>
        <sz val="10"/>
        <color rgb="FF000000"/>
        <rFont val="JRFonts"/>
        <charset val="134"/>
      </rPr>
      <t>03-08-2026 10:25</t>
    </r>
  </si>
  <si>
    <r>
      <rPr>
        <sz val="10"/>
        <color rgb="FF000000"/>
        <rFont val="JRFonts"/>
        <charset val="134"/>
      </rPr>
      <t>30-07-2026 18:24</t>
    </r>
  </si>
  <si>
    <r>
      <rPr>
        <sz val="10"/>
        <color rgb="FF0000FF"/>
        <rFont val="JRFonts"/>
        <charset val="134"/>
      </rPr>
      <t>21884</t>
    </r>
  </si>
  <si>
    <r>
      <rPr>
        <sz val="10"/>
        <color rgb="FF000000"/>
        <rFont val="JRFonts"/>
        <charset val="134"/>
      </rPr>
      <t>30-07-2026 18:17</t>
    </r>
  </si>
  <si>
    <r>
      <rPr>
        <sz val="10"/>
        <color rgb="FF0000FF"/>
        <rFont val="JRFonts"/>
        <charset val="134"/>
      </rPr>
      <t>21886</t>
    </r>
  </si>
  <si>
    <r>
      <rPr>
        <sz val="10"/>
        <color rgb="FF000000"/>
        <rFont val="JRFonts"/>
        <charset val="134"/>
      </rPr>
      <t>30-07-2026 18:34</t>
    </r>
  </si>
  <si>
    <r>
      <rPr>
        <sz val="10"/>
        <color rgb="FF000000"/>
        <rFont val="JRFonts"/>
        <charset val="134"/>
      </rPr>
      <t>31-07-2026 10:32</t>
    </r>
  </si>
  <si>
    <r>
      <rPr>
        <sz val="10"/>
        <color rgb="FF000000"/>
        <rFont val="JRFonts"/>
        <charset val="134"/>
      </rPr>
      <t>30-07-2026 18:37</t>
    </r>
  </si>
  <si>
    <r>
      <rPr>
        <sz val="10"/>
        <color rgb="FF0000FF"/>
        <rFont val="JRFonts"/>
        <charset val="134"/>
      </rPr>
      <t>21887</t>
    </r>
  </si>
  <si>
    <r>
      <rPr>
        <sz val="10"/>
        <color rgb="FF000000"/>
        <rFont val="JRFonts"/>
        <charset val="134"/>
      </rPr>
      <t>30-07-2026 18:45</t>
    </r>
  </si>
  <si>
    <r>
      <rPr>
        <sz val="10"/>
        <color rgb="FF000000"/>
        <rFont val="JRFonts"/>
        <charset val="134"/>
      </rPr>
      <t>31-07-2026 10:47</t>
    </r>
  </si>
  <si>
    <t>21887</t>
  </si>
  <si>
    <r>
      <rPr>
        <sz val="10"/>
        <color rgb="FF0000FF"/>
        <rFont val="JRFonts"/>
        <charset val="134"/>
      </rPr>
      <t>21888</t>
    </r>
  </si>
  <si>
    <r>
      <rPr>
        <sz val="10"/>
        <color rgb="FF0000FF"/>
        <rFont val="JRFonts"/>
        <charset val="134"/>
      </rPr>
      <t>21891</t>
    </r>
  </si>
  <si>
    <r>
      <rPr>
        <sz val="10"/>
        <color rgb="FF000000"/>
        <rFont val="JRFonts"/>
        <charset val="134"/>
      </rPr>
      <t>30-07-2026 19:19</t>
    </r>
  </si>
  <si>
    <r>
      <rPr>
        <sz val="10"/>
        <color rgb="FF000000"/>
        <rFont val="JRFonts"/>
        <charset val="134"/>
      </rPr>
      <t>31-07-2026 10:48</t>
    </r>
  </si>
  <si>
    <r>
      <rPr>
        <sz val="10"/>
        <color rgb="FF0000FF"/>
        <rFont val="JRFonts"/>
        <charset val="134"/>
      </rPr>
      <t>21892</t>
    </r>
  </si>
  <si>
    <r>
      <rPr>
        <sz val="10"/>
        <color rgb="FF000000"/>
        <rFont val="JRFonts"/>
        <charset val="134"/>
      </rPr>
      <t>03-08-2026 10:27</t>
    </r>
  </si>
  <si>
    <r>
      <rPr>
        <sz val="10"/>
        <color rgb="FF000000"/>
        <rFont val="JRFonts"/>
        <charset val="134"/>
      </rPr>
      <t>31-07-2026 10:49</t>
    </r>
  </si>
  <si>
    <r>
      <rPr>
        <sz val="10"/>
        <color rgb="FF0000FF"/>
        <rFont val="JRFonts"/>
        <charset val="134"/>
      </rPr>
      <t>21893</t>
    </r>
  </si>
  <si>
    <r>
      <rPr>
        <sz val="10"/>
        <color rgb="FF000000"/>
        <rFont val="JRFonts"/>
        <charset val="134"/>
      </rPr>
      <t>30-07-2026 19:28</t>
    </r>
  </si>
  <si>
    <r>
      <rPr>
        <sz val="10"/>
        <color rgb="FF000000"/>
        <rFont val="JRFonts"/>
        <charset val="134"/>
      </rPr>
      <t>31-07-2026 10:50</t>
    </r>
  </si>
  <si>
    <t>21893</t>
  </si>
  <si>
    <r>
      <rPr>
        <sz val="10"/>
        <color rgb="FF0000FF"/>
        <rFont val="JRFonts"/>
        <charset val="134"/>
      </rPr>
      <t>21894</t>
    </r>
  </si>
  <si>
    <r>
      <rPr>
        <sz val="10"/>
        <color rgb="FF000000"/>
        <rFont val="JRFonts"/>
        <charset val="134"/>
      </rPr>
      <t>30-07-2026 19:55</t>
    </r>
  </si>
  <si>
    <r>
      <rPr>
        <sz val="10"/>
        <color rgb="FF000000"/>
        <rFont val="JRFonts"/>
        <charset val="134"/>
      </rPr>
      <t>24-08-2026 15:25</t>
    </r>
  </si>
  <si>
    <r>
      <rPr>
        <sz val="10"/>
        <color rgb="FF000000"/>
        <rFont val="JRFonts"/>
        <charset val="134"/>
      </rPr>
      <t>31-07-2026 10:51</t>
    </r>
  </si>
  <si>
    <t>21894</t>
  </si>
  <si>
    <r>
      <rPr>
        <sz val="10"/>
        <color rgb="FF0000FF"/>
        <rFont val="JRFonts"/>
        <charset val="134"/>
      </rPr>
      <t>21896</t>
    </r>
  </si>
  <si>
    <r>
      <rPr>
        <sz val="10"/>
        <color rgb="FF000000"/>
        <rFont val="JRFonts"/>
        <charset val="134"/>
      </rPr>
      <t>30-07-2026 20:14</t>
    </r>
  </si>
  <si>
    <r>
      <rPr>
        <sz val="10"/>
        <color rgb="FF000000"/>
        <rFont val="JRFonts"/>
        <charset val="134"/>
      </rPr>
      <t>31-07-2026 18:35</t>
    </r>
  </si>
  <si>
    <r>
      <rPr>
        <sz val="10"/>
        <color rgb="FF000000"/>
        <rFont val="JRFonts"/>
        <charset val="134"/>
      </rPr>
      <t>31-07-2026 10:53</t>
    </r>
  </si>
  <si>
    <r>
      <rPr>
        <sz val="10"/>
        <color rgb="FF0000FF"/>
        <rFont val="JRFonts"/>
        <charset val="134"/>
      </rPr>
      <t>21897</t>
    </r>
  </si>
  <si>
    <r>
      <rPr>
        <sz val="10"/>
        <color rgb="FF000000"/>
        <rFont val="JRFonts"/>
        <charset val="134"/>
      </rPr>
      <t>31-07-2026 18:33</t>
    </r>
  </si>
  <si>
    <r>
      <rPr>
        <sz val="10"/>
        <color rgb="FF000000"/>
        <rFont val="JRFonts"/>
        <charset val="134"/>
      </rPr>
      <t>31-07-2026 10:54</t>
    </r>
  </si>
  <si>
    <r>
      <rPr>
        <sz val="10"/>
        <color rgb="FF0000FF"/>
        <rFont val="JRFonts"/>
        <charset val="134"/>
      </rPr>
      <t>21901</t>
    </r>
  </si>
  <si>
    <r>
      <rPr>
        <sz val="10"/>
        <color rgb="FF000000"/>
        <rFont val="JRFonts"/>
        <charset val="134"/>
      </rPr>
      <t>30-07-2026 22:12</t>
    </r>
  </si>
  <si>
    <r>
      <rPr>
        <sz val="10"/>
        <color rgb="FF000000"/>
        <rFont val="JRFonts"/>
        <charset val="134"/>
      </rPr>
      <t>31-07-2026 10:55</t>
    </r>
  </si>
  <si>
    <r>
      <rPr>
        <sz val="10"/>
        <color rgb="FF0000FF"/>
        <rFont val="JRFonts"/>
        <charset val="134"/>
      </rPr>
      <t>21903</t>
    </r>
  </si>
  <si>
    <r>
      <rPr>
        <sz val="10"/>
        <color rgb="FF000000"/>
        <rFont val="JRFonts"/>
        <charset val="134"/>
      </rPr>
      <t>30-07-2026 23:43</t>
    </r>
  </si>
  <si>
    <r>
      <rPr>
        <sz val="10"/>
        <color rgb="FF000000"/>
        <rFont val="JRFonts"/>
        <charset val="134"/>
      </rPr>
      <t>03-08-2026 10:30</t>
    </r>
  </si>
  <si>
    <r>
      <rPr>
        <sz val="10"/>
        <color rgb="FF000000"/>
        <rFont val="JRFonts"/>
        <charset val="134"/>
      </rPr>
      <t>31-07-2026 11:11</t>
    </r>
  </si>
  <si>
    <t>21904</t>
  </si>
  <si>
    <r>
      <rPr>
        <sz val="10"/>
        <color rgb="FF000000"/>
        <rFont val="JRFonts"/>
        <charset val="134"/>
      </rPr>
      <t>30-07-2026 23:53</t>
    </r>
  </si>
  <si>
    <r>
      <rPr>
        <sz val="10"/>
        <color rgb="FF000000"/>
        <rFont val="JRFonts"/>
        <charset val="134"/>
      </rPr>
      <t>05-08-2026 17:04</t>
    </r>
  </si>
  <si>
    <r>
      <rPr>
        <sz val="10"/>
        <color rgb="FF000000"/>
        <rFont val="JRFonts"/>
        <charset val="134"/>
      </rPr>
      <t>31-07-2026 11:12</t>
    </r>
  </si>
  <si>
    <r>
      <rPr>
        <sz val="10"/>
        <color rgb="FF0000FF"/>
        <rFont val="JRFonts"/>
        <charset val="134"/>
      </rPr>
      <t>21904</t>
    </r>
  </si>
  <si>
    <r>
      <rPr>
        <sz val="10"/>
        <color rgb="FF0000FF"/>
        <rFont val="JRFonts"/>
        <charset val="134"/>
      </rPr>
      <t>21906</t>
    </r>
  </si>
  <si>
    <r>
      <rPr>
        <sz val="10"/>
        <color rgb="FF000000"/>
        <rFont val="JRFonts"/>
        <charset val="134"/>
      </rPr>
      <t>31-07-2026 08:07</t>
    </r>
  </si>
  <si>
    <r>
      <rPr>
        <sz val="10"/>
        <color rgb="FF000000"/>
        <rFont val="JRFonts"/>
        <charset val="134"/>
      </rPr>
      <t>31-07-2026 10:56</t>
    </r>
  </si>
  <si>
    <r>
      <rPr>
        <sz val="10"/>
        <color rgb="FF0000FF"/>
        <rFont val="JRFonts"/>
        <charset val="134"/>
      </rPr>
      <t>21907</t>
    </r>
  </si>
  <si>
    <r>
      <rPr>
        <sz val="10"/>
        <color rgb="FF000000"/>
        <rFont val="JRFonts"/>
        <charset val="134"/>
      </rPr>
      <t>31-07-2026 09:26</t>
    </r>
  </si>
  <si>
    <r>
      <rPr>
        <sz val="10"/>
        <color rgb="FF000000"/>
        <rFont val="JRFonts"/>
        <charset val="134"/>
      </rPr>
      <t>31-07-2026 11:13</t>
    </r>
  </si>
  <si>
    <t>21907</t>
  </si>
  <si>
    <r>
      <rPr>
        <sz val="10"/>
        <color rgb="FF0000FF"/>
        <rFont val="JRFonts"/>
        <charset val="134"/>
      </rPr>
      <t>21909</t>
    </r>
  </si>
  <si>
    <r>
      <rPr>
        <sz val="10"/>
        <color rgb="FF000000"/>
        <rFont val="JRFonts"/>
        <charset val="134"/>
      </rPr>
      <t>31-07-2026 09:41</t>
    </r>
  </si>
  <si>
    <r>
      <rPr>
        <sz val="10"/>
        <color rgb="FF000000"/>
        <rFont val="JRFonts"/>
        <charset val="134"/>
      </rPr>
      <t>06-08-2026 12:06</t>
    </r>
  </si>
  <si>
    <r>
      <rPr>
        <sz val="10"/>
        <color rgb="FF000000"/>
        <rFont val="JRFonts"/>
        <charset val="134"/>
      </rPr>
      <t>31-07-2026 11:17</t>
    </r>
  </si>
  <si>
    <t>21909</t>
  </si>
  <si>
    <r>
      <rPr>
        <sz val="10"/>
        <color rgb="FF0000FF"/>
        <rFont val="JRFonts"/>
        <charset val="134"/>
      </rPr>
      <t>21911</t>
    </r>
  </si>
  <si>
    <r>
      <rPr>
        <sz val="10"/>
        <color rgb="FF000000"/>
        <rFont val="JRFonts"/>
        <charset val="134"/>
      </rPr>
      <t>31-07-2026 10:08</t>
    </r>
  </si>
  <si>
    <r>
      <rPr>
        <sz val="10"/>
        <color rgb="FF000000"/>
        <rFont val="JRFonts"/>
        <charset val="134"/>
      </rPr>
      <t>05-08-2026 00:20</t>
    </r>
  </si>
  <si>
    <r>
      <rPr>
        <sz val="10"/>
        <color rgb="FF000000"/>
        <rFont val="JRFonts"/>
        <charset val="134"/>
      </rPr>
      <t>31-07-2026 11:19</t>
    </r>
  </si>
  <si>
    <t>21911</t>
  </si>
  <si>
    <r>
      <rPr>
        <sz val="10"/>
        <color rgb="FF0000FF"/>
        <rFont val="JRFonts"/>
        <charset val="134"/>
      </rPr>
      <t>21912</t>
    </r>
  </si>
  <si>
    <r>
      <rPr>
        <sz val="10"/>
        <color rgb="FF000000"/>
        <rFont val="JRFonts"/>
        <charset val="134"/>
      </rPr>
      <t>31-07-2026 10:14</t>
    </r>
  </si>
  <si>
    <r>
      <rPr>
        <sz val="10"/>
        <color rgb="FF000000"/>
        <rFont val="JRFonts"/>
        <charset val="134"/>
      </rPr>
      <t>30-09-2026 10:29</t>
    </r>
  </si>
  <si>
    <r>
      <rPr>
        <sz val="10"/>
        <color rgb="FF000000"/>
        <rFont val="JRFonts"/>
        <charset val="134"/>
      </rPr>
      <t>31-07-2026 11:21</t>
    </r>
  </si>
  <si>
    <t>21912</t>
  </si>
  <si>
    <r>
      <rPr>
        <sz val="10"/>
        <color rgb="FF0000FF"/>
        <rFont val="JRFonts"/>
        <charset val="134"/>
      </rPr>
      <t>21913</t>
    </r>
  </si>
  <si>
    <r>
      <rPr>
        <sz val="10"/>
        <color rgb="FF000000"/>
        <rFont val="JRFonts"/>
        <charset val="134"/>
      </rPr>
      <t>06-08-2026 15:47</t>
    </r>
  </si>
  <si>
    <r>
      <rPr>
        <sz val="10"/>
        <color rgb="FF000000"/>
        <rFont val="JRFonts"/>
        <charset val="134"/>
      </rPr>
      <t>31-07-2026 11:47</t>
    </r>
  </si>
  <si>
    <t>21913</t>
  </si>
  <si>
    <r>
      <rPr>
        <sz val="10"/>
        <color rgb="FF0000FF"/>
        <rFont val="JRFonts"/>
        <charset val="134"/>
      </rPr>
      <t>21914</t>
    </r>
  </si>
  <si>
    <r>
      <rPr>
        <sz val="10"/>
        <color rgb="FF000000"/>
        <rFont val="JRFonts"/>
        <charset val="134"/>
      </rPr>
      <t>31-07-2026 10:17</t>
    </r>
  </si>
  <si>
    <r>
      <rPr>
        <sz val="10"/>
        <color rgb="FF000000"/>
        <rFont val="JRFonts"/>
        <charset val="134"/>
      </rPr>
      <t>05-08-2026 00:32</t>
    </r>
  </si>
  <si>
    <r>
      <rPr>
        <sz val="10"/>
        <color rgb="FF000000"/>
        <rFont val="JRFonts"/>
        <charset val="134"/>
      </rPr>
      <t>31-07-2026 11:48</t>
    </r>
  </si>
  <si>
    <t>21914</t>
  </si>
  <si>
    <r>
      <rPr>
        <sz val="10"/>
        <color rgb="FF0000FF"/>
        <rFont val="JRFonts"/>
        <charset val="134"/>
      </rPr>
      <t>21915</t>
    </r>
  </si>
  <si>
    <r>
      <rPr>
        <sz val="10"/>
        <color rgb="FF000000"/>
        <rFont val="JRFonts"/>
        <charset val="134"/>
      </rPr>
      <t>31-07-2026 10:21</t>
    </r>
  </si>
  <si>
    <r>
      <rPr>
        <sz val="10"/>
        <color rgb="FF000000"/>
        <rFont val="JRFonts"/>
        <charset val="134"/>
      </rPr>
      <t>04-08-2026 11:31</t>
    </r>
  </si>
  <si>
    <r>
      <rPr>
        <sz val="10"/>
        <color rgb="FF000000"/>
        <rFont val="JRFonts"/>
        <charset val="134"/>
      </rPr>
      <t>31-07-2026 12:20</t>
    </r>
  </si>
  <si>
    <t>21915</t>
  </si>
  <si>
    <r>
      <rPr>
        <sz val="10"/>
        <color rgb="FF0000FF"/>
        <rFont val="JRFonts"/>
        <charset val="134"/>
      </rPr>
      <t>21916</t>
    </r>
  </si>
  <si>
    <r>
      <rPr>
        <sz val="10"/>
        <color rgb="FF000000"/>
        <rFont val="JRFonts"/>
        <charset val="134"/>
      </rPr>
      <t>31-07-2026 10:27</t>
    </r>
  </si>
  <si>
    <r>
      <rPr>
        <sz val="10"/>
        <color rgb="FF000000"/>
        <rFont val="JRFonts"/>
        <charset val="134"/>
      </rPr>
      <t>31-07-2026 12:21</t>
    </r>
  </si>
  <si>
    <r>
      <rPr>
        <sz val="10"/>
        <color rgb="FF0000FF"/>
        <rFont val="JRFonts"/>
        <charset val="134"/>
      </rPr>
      <t>21917</t>
    </r>
  </si>
  <si>
    <r>
      <rPr>
        <sz val="10"/>
        <color rgb="FF000000"/>
        <rFont val="JRFonts"/>
        <charset val="134"/>
      </rPr>
      <t>31-07-2026 16:53</t>
    </r>
  </si>
  <si>
    <r>
      <rPr>
        <sz val="10"/>
        <color rgb="FF0000FF"/>
        <rFont val="JRFonts"/>
        <charset val="134"/>
      </rPr>
      <t>21918</t>
    </r>
  </si>
  <si>
    <r>
      <rPr>
        <sz val="10"/>
        <color rgb="FF000000"/>
        <rFont val="JRFonts"/>
        <charset val="134"/>
      </rPr>
      <t>31-07-2026 10:33</t>
    </r>
  </si>
  <si>
    <r>
      <rPr>
        <sz val="10"/>
        <color rgb="FF000000"/>
        <rFont val="JRFonts"/>
        <charset val="134"/>
      </rPr>
      <t>31-07-2026 12:22</t>
    </r>
  </si>
  <si>
    <r>
      <rPr>
        <sz val="10"/>
        <color rgb="FF0000FF"/>
        <rFont val="JRFonts"/>
        <charset val="134"/>
      </rPr>
      <t>21919</t>
    </r>
  </si>
  <si>
    <r>
      <rPr>
        <sz val="10"/>
        <color rgb="FF000000"/>
        <rFont val="JRFonts"/>
        <charset val="134"/>
      </rPr>
      <t>03-08-2026 10:26</t>
    </r>
  </si>
  <si>
    <r>
      <rPr>
        <sz val="10"/>
        <color rgb="FF000000"/>
        <rFont val="JRFonts"/>
        <charset val="134"/>
      </rPr>
      <t>31-07-2026 12:36</t>
    </r>
  </si>
  <si>
    <r>
      <rPr>
        <sz val="10"/>
        <color rgb="FF0000FF"/>
        <rFont val="JRFonts"/>
        <charset val="134"/>
      </rPr>
      <t>21920</t>
    </r>
  </si>
  <si>
    <r>
      <rPr>
        <sz val="10"/>
        <color rgb="FF000000"/>
        <rFont val="JRFonts"/>
        <charset val="134"/>
      </rPr>
      <t>22-08-2026 10:10</t>
    </r>
  </si>
  <si>
    <r>
      <rPr>
        <sz val="10"/>
        <color rgb="FF000000"/>
        <rFont val="JRFonts"/>
        <charset val="134"/>
      </rPr>
      <t>31-07-2026 12:40</t>
    </r>
  </si>
  <si>
    <t>21920</t>
  </si>
  <si>
    <r>
      <rPr>
        <sz val="10"/>
        <color rgb="FF0000FF"/>
        <rFont val="JRFonts"/>
        <charset val="134"/>
      </rPr>
      <t>21921</t>
    </r>
  </si>
  <si>
    <r>
      <rPr>
        <sz val="10"/>
        <color rgb="FF000000"/>
        <rFont val="JRFonts"/>
        <charset val="134"/>
      </rPr>
      <t>03-08-2026 10:24</t>
    </r>
  </si>
  <si>
    <r>
      <rPr>
        <sz val="10"/>
        <color rgb="FF000000"/>
        <rFont val="JRFonts"/>
        <charset val="134"/>
      </rPr>
      <t>31-07-2026 12:44</t>
    </r>
  </si>
  <si>
    <r>
      <rPr>
        <sz val="10"/>
        <color rgb="FF0000FF"/>
        <rFont val="JRFonts"/>
        <charset val="134"/>
      </rPr>
      <t>21922</t>
    </r>
  </si>
  <si>
    <r>
      <rPr>
        <sz val="10"/>
        <color rgb="FF000000"/>
        <rFont val="JRFonts"/>
        <charset val="134"/>
      </rPr>
      <t>31-07-2026 10:36</t>
    </r>
  </si>
  <si>
    <r>
      <rPr>
        <sz val="10"/>
        <color rgb="FF000000"/>
        <rFont val="JRFonts"/>
        <charset val="134"/>
      </rPr>
      <t>31-07-2026 12:45</t>
    </r>
  </si>
  <si>
    <r>
      <rPr>
        <sz val="10"/>
        <color rgb="FF0000FF"/>
        <rFont val="JRFonts"/>
        <charset val="134"/>
      </rPr>
      <t>21923</t>
    </r>
  </si>
  <si>
    <r>
      <rPr>
        <sz val="10"/>
        <color rgb="FF000000"/>
        <rFont val="JRFonts"/>
        <charset val="134"/>
      </rPr>
      <t>31-07-2026 10:42</t>
    </r>
  </si>
  <si>
    <r>
      <rPr>
        <sz val="10"/>
        <color rgb="FF000000"/>
        <rFont val="JRFonts"/>
        <charset val="134"/>
      </rPr>
      <t>04-08-2026 11:05</t>
    </r>
  </si>
  <si>
    <r>
      <rPr>
        <sz val="10"/>
        <color rgb="FF000000"/>
        <rFont val="JRFonts"/>
        <charset val="134"/>
      </rPr>
      <t>31-07-2026 12:46</t>
    </r>
  </si>
  <si>
    <t>21923</t>
  </si>
  <si>
    <r>
      <rPr>
        <sz val="10"/>
        <color rgb="FF0000FF"/>
        <rFont val="JRFonts"/>
        <charset val="134"/>
      </rPr>
      <t>21924</t>
    </r>
  </si>
  <si>
    <r>
      <rPr>
        <sz val="10"/>
        <color rgb="FF000000"/>
        <rFont val="JRFonts"/>
        <charset val="134"/>
      </rPr>
      <t>31-07-2026 11:25</t>
    </r>
  </si>
  <si>
    <r>
      <rPr>
        <sz val="10"/>
        <color rgb="FF0000FF"/>
        <rFont val="JRFonts"/>
        <charset val="134"/>
      </rPr>
      <t>21925</t>
    </r>
  </si>
  <si>
    <r>
      <rPr>
        <sz val="10"/>
        <color rgb="FF000000"/>
        <rFont val="JRFonts"/>
        <charset val="134"/>
      </rPr>
      <t>04-08-2026 12:38</t>
    </r>
  </si>
  <si>
    <r>
      <rPr>
        <sz val="10"/>
        <color rgb="FF000000"/>
        <rFont val="JRFonts"/>
        <charset val="134"/>
      </rPr>
      <t>31-07-2026 11:30</t>
    </r>
  </si>
  <si>
    <t>Change in condition as we are considering timestamp for dates fields in backend</t>
  </si>
  <si>
    <r>
      <rPr>
        <sz val="10"/>
        <color rgb="FF0000FF"/>
        <rFont val="JRFonts"/>
        <charset val="134"/>
      </rPr>
      <t>21927</t>
    </r>
  </si>
  <si>
    <r>
      <rPr>
        <sz val="10"/>
        <color rgb="FF000000"/>
        <rFont val="JRFonts"/>
        <charset val="134"/>
      </rPr>
      <t>31-07-2026 10:57</t>
    </r>
  </si>
  <si>
    <r>
      <rPr>
        <sz val="10"/>
        <color rgb="FF000000"/>
        <rFont val="JRFonts"/>
        <charset val="134"/>
      </rPr>
      <t>22-08-2026 10:14</t>
    </r>
  </si>
  <si>
    <r>
      <rPr>
        <sz val="10"/>
        <color rgb="FF000000"/>
        <rFont val="JRFonts"/>
        <charset val="134"/>
      </rPr>
      <t>10-08-2026 17:05</t>
    </r>
  </si>
  <si>
    <t>21927</t>
  </si>
  <si>
    <r>
      <rPr>
        <sz val="10"/>
        <color rgb="FF0000FF"/>
        <rFont val="JRFonts"/>
        <charset val="134"/>
      </rPr>
      <t>21928</t>
    </r>
  </si>
  <si>
    <r>
      <rPr>
        <sz val="10"/>
        <color rgb="FF000000"/>
        <rFont val="JRFonts"/>
        <charset val="134"/>
      </rPr>
      <t>31-07-2026 11:00</t>
    </r>
  </si>
  <si>
    <r>
      <rPr>
        <sz val="10"/>
        <color rgb="FF000000"/>
        <rFont val="JRFonts"/>
        <charset val="134"/>
      </rPr>
      <t>07-08-2026 14:40</t>
    </r>
  </si>
  <si>
    <r>
      <rPr>
        <sz val="10"/>
        <color rgb="FF000000"/>
        <rFont val="JRFonts"/>
        <charset val="134"/>
      </rPr>
      <t>31-07-2026 11:33</t>
    </r>
  </si>
  <si>
    <t>21928</t>
  </si>
  <si>
    <t>was pending business discussion , post confirmation ticket has been closed</t>
  </si>
  <si>
    <r>
      <rPr>
        <sz val="10"/>
        <color rgb="FF0000FF"/>
        <rFont val="JRFonts"/>
        <charset val="134"/>
      </rPr>
      <t>21930</t>
    </r>
  </si>
  <si>
    <r>
      <rPr>
        <sz val="10"/>
        <color rgb="FF000000"/>
        <rFont val="JRFonts"/>
        <charset val="134"/>
      </rPr>
      <t>31-07-2026 11:03</t>
    </r>
  </si>
  <si>
    <r>
      <rPr>
        <sz val="10"/>
        <color rgb="FF000000"/>
        <rFont val="JRFonts"/>
        <charset val="134"/>
      </rPr>
      <t>31-07-2026 12:05</t>
    </r>
  </si>
  <si>
    <r>
      <rPr>
        <sz val="10"/>
        <color rgb="FF000000"/>
        <rFont val="JRFonts"/>
        <charset val="134"/>
      </rPr>
      <t>31-07-2026 11:42</t>
    </r>
  </si>
  <si>
    <r>
      <rPr>
        <sz val="10"/>
        <color rgb="FF0000FF"/>
        <rFont val="JRFonts"/>
        <charset val="134"/>
      </rPr>
      <t>21931</t>
    </r>
  </si>
  <si>
    <r>
      <rPr>
        <sz val="10"/>
        <color rgb="FF000000"/>
        <rFont val="JRFonts"/>
        <charset val="134"/>
      </rPr>
      <t>07-08-2026 17:26</t>
    </r>
  </si>
  <si>
    <r>
      <rPr>
        <sz val="10"/>
        <color rgb="FF000000"/>
        <rFont val="JRFonts"/>
        <charset val="134"/>
      </rPr>
      <t>31-07-2026 12:47</t>
    </r>
  </si>
  <si>
    <t>21931</t>
  </si>
  <si>
    <r>
      <rPr>
        <sz val="10"/>
        <color rgb="FF0000FF"/>
        <rFont val="JRFonts"/>
        <charset val="134"/>
      </rPr>
      <t>21932</t>
    </r>
  </si>
  <si>
    <r>
      <rPr>
        <sz val="10"/>
        <color rgb="FF000000"/>
        <rFont val="JRFonts"/>
        <charset val="134"/>
      </rPr>
      <t>03-08-2026 10:23</t>
    </r>
  </si>
  <si>
    <r>
      <rPr>
        <sz val="10"/>
        <color rgb="FF000000"/>
        <rFont val="JRFonts"/>
        <charset val="134"/>
      </rPr>
      <t>31-07-2026 12:48</t>
    </r>
  </si>
  <si>
    <r>
      <rPr>
        <sz val="10"/>
        <color rgb="FF0000FF"/>
        <rFont val="JRFonts"/>
        <charset val="134"/>
      </rPr>
      <t>21933</t>
    </r>
  </si>
  <si>
    <r>
      <rPr>
        <sz val="10"/>
        <color rgb="FF000000"/>
        <rFont val="JRFonts"/>
        <charset val="134"/>
      </rPr>
      <t>03-08-2026 10:22</t>
    </r>
  </si>
  <si>
    <r>
      <rPr>
        <sz val="10"/>
        <color rgb="FF000000"/>
        <rFont val="JRFonts"/>
        <charset val="134"/>
      </rPr>
      <t>31-07-2026 12:49</t>
    </r>
  </si>
  <si>
    <r>
      <rPr>
        <sz val="10"/>
        <color rgb="FF0000FF"/>
        <rFont val="JRFonts"/>
        <charset val="134"/>
      </rPr>
      <t>21934</t>
    </r>
  </si>
  <si>
    <r>
      <rPr>
        <sz val="10"/>
        <color rgb="FF000000"/>
        <rFont val="JRFonts"/>
        <charset val="134"/>
      </rPr>
      <t>31-07-2026 14:16</t>
    </r>
  </si>
  <si>
    <r>
      <rPr>
        <sz val="10"/>
        <color rgb="FF000000"/>
        <rFont val="JRFonts"/>
        <charset val="134"/>
      </rPr>
      <t>31-07-2026 12:50</t>
    </r>
  </si>
  <si>
    <r>
      <rPr>
        <sz val="10"/>
        <color rgb="FF0000FF"/>
        <rFont val="JRFonts"/>
        <charset val="134"/>
      </rPr>
      <t>21935</t>
    </r>
  </si>
  <si>
    <r>
      <rPr>
        <sz val="10"/>
        <color rgb="FF000000"/>
        <rFont val="JRFonts"/>
        <charset val="134"/>
      </rPr>
      <t>31-07-2026 11:22</t>
    </r>
  </si>
  <si>
    <r>
      <rPr>
        <sz val="10"/>
        <color rgb="FF000000"/>
        <rFont val="JRFonts"/>
        <charset val="134"/>
      </rPr>
      <t>31-07-2026 12:51</t>
    </r>
  </si>
  <si>
    <r>
      <rPr>
        <sz val="10"/>
        <color rgb="FF0000FF"/>
        <rFont val="JRFonts"/>
        <charset val="134"/>
      </rPr>
      <t>21938</t>
    </r>
  </si>
  <si>
    <r>
      <rPr>
        <sz val="10"/>
        <color rgb="FF000000"/>
        <rFont val="JRFonts"/>
        <charset val="134"/>
      </rPr>
      <t>31-07-2026 11:31</t>
    </r>
  </si>
  <si>
    <r>
      <rPr>
        <sz val="10"/>
        <color rgb="FF000000"/>
        <rFont val="JRFonts"/>
        <charset val="134"/>
      </rPr>
      <t>01-08-2026 17:49</t>
    </r>
  </si>
  <si>
    <r>
      <rPr>
        <sz val="10"/>
        <color rgb="FF000000"/>
        <rFont val="JRFonts"/>
        <charset val="134"/>
      </rPr>
      <t>31-07-2026 12:52</t>
    </r>
  </si>
  <si>
    <r>
      <rPr>
        <sz val="10"/>
        <color rgb="FF0000FF"/>
        <rFont val="JRFonts"/>
        <charset val="134"/>
      </rPr>
      <t>21939</t>
    </r>
  </si>
  <si>
    <r>
      <rPr>
        <sz val="10"/>
        <color rgb="FF000000"/>
        <rFont val="JRFonts"/>
        <charset val="134"/>
      </rPr>
      <t>03-08-2026 10:21</t>
    </r>
  </si>
  <si>
    <r>
      <rPr>
        <sz val="10"/>
        <color rgb="FF000000"/>
        <rFont val="JRFonts"/>
        <charset val="134"/>
      </rPr>
      <t>31-07-2026 12:53</t>
    </r>
  </si>
  <si>
    <r>
      <rPr>
        <sz val="10"/>
        <color rgb="FF0000FF"/>
        <rFont val="JRFonts"/>
        <charset val="134"/>
      </rPr>
      <t>21940</t>
    </r>
  </si>
  <si>
    <r>
      <rPr>
        <sz val="10"/>
        <color rgb="FF000000"/>
        <rFont val="JRFonts"/>
        <charset val="134"/>
      </rPr>
      <t>01-08-2026 20:39</t>
    </r>
  </si>
  <si>
    <r>
      <rPr>
        <sz val="10"/>
        <color rgb="FF000000"/>
        <rFont val="JRFonts"/>
        <charset val="134"/>
      </rPr>
      <t>31-07-2026 12:54</t>
    </r>
  </si>
  <si>
    <r>
      <rPr>
        <sz val="10"/>
        <color rgb="FF0000FF"/>
        <rFont val="JRFonts"/>
        <charset val="134"/>
      </rPr>
      <t>21941</t>
    </r>
  </si>
  <si>
    <r>
      <rPr>
        <sz val="10"/>
        <color rgb="FF000000"/>
        <rFont val="JRFonts"/>
        <charset val="134"/>
      </rPr>
      <t>31-07-2026 11:40</t>
    </r>
  </si>
  <si>
    <r>
      <rPr>
        <sz val="10"/>
        <color rgb="FF000000"/>
        <rFont val="JRFonts"/>
        <charset val="134"/>
      </rPr>
      <t>31-07-2026 15:55</t>
    </r>
  </si>
  <si>
    <r>
      <rPr>
        <sz val="10"/>
        <color rgb="FF000000"/>
        <rFont val="JRFonts"/>
        <charset val="134"/>
      </rPr>
      <t>31-07-2026 11:44</t>
    </r>
  </si>
  <si>
    <t>Ticket took time to analysis the issue</t>
  </si>
  <si>
    <r>
      <rPr>
        <sz val="10"/>
        <color rgb="FF0000FF"/>
        <rFont val="JRFonts"/>
        <charset val="134"/>
      </rPr>
      <t>21942</t>
    </r>
  </si>
  <si>
    <r>
      <rPr>
        <sz val="10"/>
        <color rgb="FF000000"/>
        <rFont val="JRFonts"/>
        <charset val="134"/>
      </rPr>
      <t>31-07-2026 17:26</t>
    </r>
  </si>
  <si>
    <r>
      <rPr>
        <sz val="10"/>
        <color rgb="FF000000"/>
        <rFont val="JRFonts"/>
        <charset val="134"/>
      </rPr>
      <t>31-07-2026 12:59</t>
    </r>
  </si>
  <si>
    <r>
      <rPr>
        <sz val="10"/>
        <color rgb="FF0000FF"/>
        <rFont val="JRFonts"/>
        <charset val="134"/>
      </rPr>
      <t>21943</t>
    </r>
  </si>
  <si>
    <r>
      <rPr>
        <sz val="10"/>
        <color rgb="FF000000"/>
        <rFont val="JRFonts"/>
        <charset val="134"/>
      </rPr>
      <t>31-07-2026 11:43</t>
    </r>
  </si>
  <si>
    <r>
      <rPr>
        <sz val="10"/>
        <color rgb="FF000000"/>
        <rFont val="JRFonts"/>
        <charset val="134"/>
      </rPr>
      <t>01-08-2026 19:26</t>
    </r>
  </si>
  <si>
    <r>
      <rPr>
        <sz val="10"/>
        <color rgb="FF000000"/>
        <rFont val="JRFonts"/>
        <charset val="134"/>
      </rPr>
      <t>31-07-2026 13:00</t>
    </r>
  </si>
  <si>
    <r>
      <rPr>
        <sz val="10"/>
        <color rgb="FF0000FF"/>
        <rFont val="JRFonts"/>
        <charset val="134"/>
      </rPr>
      <t>21944</t>
    </r>
  </si>
  <si>
    <r>
      <rPr>
        <sz val="10"/>
        <color rgb="FF000000"/>
        <rFont val="JRFonts"/>
        <charset val="134"/>
      </rPr>
      <t>31-07-2026 14:14</t>
    </r>
  </si>
  <si>
    <r>
      <rPr>
        <sz val="10"/>
        <color rgb="FF000000"/>
        <rFont val="JRFonts"/>
        <charset val="134"/>
      </rPr>
      <t>31-07-2026 14:02</t>
    </r>
  </si>
  <si>
    <r>
      <rPr>
        <sz val="10"/>
        <color rgb="FF0000FF"/>
        <rFont val="JRFonts"/>
        <charset val="134"/>
      </rPr>
      <t>21947</t>
    </r>
  </si>
  <si>
    <r>
      <rPr>
        <sz val="10"/>
        <color rgb="FF000000"/>
        <rFont val="JRFonts"/>
        <charset val="134"/>
      </rPr>
      <t>31-07-2026 11:52</t>
    </r>
  </si>
  <si>
    <r>
      <rPr>
        <sz val="10"/>
        <color rgb="FF000000"/>
        <rFont val="JRFonts"/>
        <charset val="134"/>
      </rPr>
      <t>07-08-2026 13:07</t>
    </r>
  </si>
  <si>
    <r>
      <rPr>
        <sz val="10"/>
        <color rgb="FF000000"/>
        <rFont val="JRFonts"/>
        <charset val="134"/>
      </rPr>
      <t>31-07-2026 12:08</t>
    </r>
  </si>
  <si>
    <t>21947</t>
  </si>
  <si>
    <r>
      <rPr>
        <sz val="10"/>
        <color rgb="FF0000FF"/>
        <rFont val="JRFonts"/>
        <charset val="134"/>
      </rPr>
      <t>21948</t>
    </r>
  </si>
  <si>
    <r>
      <rPr>
        <sz val="10"/>
        <color rgb="FF000000"/>
        <rFont val="JRFonts"/>
        <charset val="134"/>
      </rPr>
      <t>06-08-2026 11:02</t>
    </r>
  </si>
  <si>
    <r>
      <rPr>
        <sz val="10"/>
        <color rgb="FF000000"/>
        <rFont val="JRFonts"/>
        <charset val="134"/>
      </rPr>
      <t>31-07-2026 14:04</t>
    </r>
  </si>
  <si>
    <t>21948</t>
  </si>
  <si>
    <r>
      <rPr>
        <sz val="10"/>
        <color rgb="FF0000FF"/>
        <rFont val="JRFonts"/>
        <charset val="134"/>
      </rPr>
      <t>21949</t>
    </r>
  </si>
  <si>
    <r>
      <rPr>
        <sz val="10"/>
        <color rgb="FF000000"/>
        <rFont val="JRFonts"/>
        <charset val="134"/>
      </rPr>
      <t>31-07-2026 11:58</t>
    </r>
  </si>
  <si>
    <r>
      <rPr>
        <sz val="10"/>
        <color rgb="FF000000"/>
        <rFont val="JRFonts"/>
        <charset val="134"/>
      </rPr>
      <t>06-08-2026 12:07</t>
    </r>
  </si>
  <si>
    <r>
      <rPr>
        <sz val="10"/>
        <color rgb="FF000000"/>
        <rFont val="JRFonts"/>
        <charset val="134"/>
      </rPr>
      <t>31-07-2026 14:06</t>
    </r>
  </si>
  <si>
    <t>21949</t>
  </si>
  <si>
    <r>
      <rPr>
        <sz val="10"/>
        <color rgb="FF0000FF"/>
        <rFont val="JRFonts"/>
        <charset val="134"/>
      </rPr>
      <t>21950</t>
    </r>
  </si>
  <si>
    <r>
      <rPr>
        <sz val="10"/>
        <color rgb="FF000000"/>
        <rFont val="JRFonts"/>
        <charset val="134"/>
      </rPr>
      <t>31-07-2026 12:01</t>
    </r>
  </si>
  <si>
    <r>
      <rPr>
        <sz val="10"/>
        <color rgb="FF000000"/>
        <rFont val="JRFonts"/>
        <charset val="134"/>
      </rPr>
      <t>31-07-2026 13:09</t>
    </r>
  </si>
  <si>
    <r>
      <rPr>
        <sz val="10"/>
        <color rgb="FF0000FF"/>
        <rFont val="JRFonts"/>
        <charset val="134"/>
      </rPr>
      <t>21951</t>
    </r>
  </si>
  <si>
    <r>
      <rPr>
        <sz val="10"/>
        <color rgb="FF000000"/>
        <rFont val="JRFonts"/>
        <charset val="134"/>
      </rPr>
      <t>31-07-2026 12:43</t>
    </r>
  </si>
  <si>
    <r>
      <rPr>
        <sz val="10"/>
        <color rgb="FF000000"/>
        <rFont val="JRFonts"/>
        <charset val="134"/>
      </rPr>
      <t>31-07-2026 12:41</t>
    </r>
  </si>
  <si>
    <r>
      <rPr>
        <sz val="10"/>
        <color rgb="FF0000FF"/>
        <rFont val="JRFonts"/>
        <charset val="134"/>
      </rPr>
      <t>21955</t>
    </r>
  </si>
  <si>
    <r>
      <rPr>
        <sz val="10"/>
        <color rgb="FF000000"/>
        <rFont val="JRFonts"/>
        <charset val="134"/>
      </rPr>
      <t>31-07-2026 12:26</t>
    </r>
  </si>
  <si>
    <r>
      <rPr>
        <sz val="10"/>
        <color rgb="FF000000"/>
        <rFont val="JRFonts"/>
        <charset val="134"/>
      </rPr>
      <t>31-07-2026 14:18</t>
    </r>
  </si>
  <si>
    <r>
      <rPr>
        <sz val="10"/>
        <color rgb="FF0000FF"/>
        <rFont val="JRFonts"/>
        <charset val="134"/>
      </rPr>
      <t>21956</t>
    </r>
  </si>
  <si>
    <r>
      <rPr>
        <sz val="10"/>
        <color rgb="FF000000"/>
        <rFont val="JRFonts"/>
        <charset val="134"/>
      </rPr>
      <t>31-07-2026 12:29</t>
    </r>
  </si>
  <si>
    <r>
      <rPr>
        <sz val="10"/>
        <color rgb="FF000000"/>
        <rFont val="JRFonts"/>
        <charset val="134"/>
      </rPr>
      <t>02-08-2026 08:08</t>
    </r>
  </si>
  <si>
    <r>
      <rPr>
        <sz val="10"/>
        <color rgb="FF000000"/>
        <rFont val="JRFonts"/>
        <charset val="134"/>
      </rPr>
      <t>31-07-2026 14:19</t>
    </r>
  </si>
  <si>
    <r>
      <rPr>
        <sz val="10"/>
        <color rgb="FF0000FF"/>
        <rFont val="JRFonts"/>
        <charset val="134"/>
      </rPr>
      <t>21957</t>
    </r>
  </si>
  <si>
    <r>
      <rPr>
        <sz val="10"/>
        <color rgb="FF000000"/>
        <rFont val="JRFonts"/>
        <charset val="134"/>
      </rPr>
      <t>31-07-2026 12:35</t>
    </r>
  </si>
  <si>
    <r>
      <rPr>
        <sz val="10"/>
        <color rgb="FF000000"/>
        <rFont val="JRFonts"/>
        <charset val="134"/>
      </rPr>
      <t>31-08-2026 16:08</t>
    </r>
  </si>
  <si>
    <r>
      <rPr>
        <sz val="10"/>
        <color rgb="FF000000"/>
        <rFont val="JRFonts"/>
        <charset val="134"/>
      </rPr>
      <t>31-07-2026 14:21</t>
    </r>
  </si>
  <si>
    <t>21957</t>
  </si>
  <si>
    <r>
      <rPr>
        <sz val="10"/>
        <color rgb="FF0000FF"/>
        <rFont val="JRFonts"/>
        <charset val="134"/>
      </rPr>
      <t>21958</t>
    </r>
  </si>
  <si>
    <r>
      <rPr>
        <sz val="10"/>
        <color rgb="FF000000"/>
        <rFont val="JRFonts"/>
        <charset val="134"/>
      </rPr>
      <t>31-07-2026 16:54</t>
    </r>
  </si>
  <si>
    <r>
      <rPr>
        <sz val="10"/>
        <color rgb="FF000000"/>
        <rFont val="JRFonts"/>
        <charset val="134"/>
      </rPr>
      <t>31-07-2026 14:23</t>
    </r>
  </si>
  <si>
    <r>
      <rPr>
        <sz val="10"/>
        <color rgb="FF0000FF"/>
        <rFont val="JRFonts"/>
        <charset val="134"/>
      </rPr>
      <t>21959</t>
    </r>
  </si>
  <si>
    <r>
      <rPr>
        <sz val="10"/>
        <color rgb="FF000000"/>
        <rFont val="JRFonts"/>
        <charset val="134"/>
      </rPr>
      <t>31-07-2026 16:56</t>
    </r>
  </si>
  <si>
    <r>
      <rPr>
        <sz val="10"/>
        <color rgb="FF000000"/>
        <rFont val="JRFonts"/>
        <charset val="134"/>
      </rPr>
      <t>31-07-2026 14:24</t>
    </r>
  </si>
  <si>
    <r>
      <rPr>
        <sz val="10"/>
        <color rgb="FF0000FF"/>
        <rFont val="JRFonts"/>
        <charset val="134"/>
      </rPr>
      <t>21960</t>
    </r>
  </si>
  <si>
    <r>
      <rPr>
        <sz val="10"/>
        <color rgb="FF000000"/>
        <rFont val="JRFonts"/>
        <charset val="134"/>
      </rPr>
      <t>22-08-2026 10:49</t>
    </r>
  </si>
  <si>
    <r>
      <rPr>
        <sz val="10"/>
        <color rgb="FF000000"/>
        <rFont val="JRFonts"/>
        <charset val="134"/>
      </rPr>
      <t>31-07-2026 14:25</t>
    </r>
  </si>
  <si>
    <t>21960</t>
  </si>
  <si>
    <r>
      <rPr>
        <sz val="10"/>
        <color rgb="FF0000FF"/>
        <rFont val="JRFonts"/>
        <charset val="134"/>
      </rPr>
      <t>21962</t>
    </r>
  </si>
  <si>
    <r>
      <rPr>
        <sz val="10"/>
        <color rgb="FF000000"/>
        <rFont val="JRFonts"/>
        <charset val="134"/>
      </rPr>
      <t>31-07-2026 13:15</t>
    </r>
  </si>
  <si>
    <r>
      <rPr>
        <sz val="10"/>
        <color rgb="FF000000"/>
        <rFont val="JRFonts"/>
        <charset val="134"/>
      </rPr>
      <t>22-08-2026 10:47</t>
    </r>
  </si>
  <si>
    <r>
      <rPr>
        <sz val="10"/>
        <color rgb="FF000000"/>
        <rFont val="JRFonts"/>
        <charset val="134"/>
      </rPr>
      <t>31-07-2026 14:26</t>
    </r>
  </si>
  <si>
    <t>21962</t>
  </si>
  <si>
    <r>
      <rPr>
        <sz val="10"/>
        <color rgb="FF0000FF"/>
        <rFont val="JRFonts"/>
        <charset val="134"/>
      </rPr>
      <t>21963</t>
    </r>
  </si>
  <si>
    <r>
      <rPr>
        <sz val="10"/>
        <color rgb="FF000000"/>
        <rFont val="JRFonts"/>
        <charset val="134"/>
      </rPr>
      <t>31-07-2026 13:18</t>
    </r>
  </si>
  <si>
    <r>
      <rPr>
        <sz val="10"/>
        <color rgb="FF000000"/>
        <rFont val="JRFonts"/>
        <charset val="134"/>
      </rPr>
      <t>03-08-2026 14:57</t>
    </r>
  </si>
  <si>
    <r>
      <rPr>
        <sz val="10"/>
        <color rgb="FF0000FF"/>
        <rFont val="JRFonts"/>
        <charset val="134"/>
      </rPr>
      <t>21967</t>
    </r>
  </si>
  <si>
    <r>
      <rPr>
        <sz val="10"/>
        <color rgb="FF000000"/>
        <rFont val="JRFonts"/>
        <charset val="134"/>
      </rPr>
      <t>31-07-2026 13:45</t>
    </r>
  </si>
  <si>
    <r>
      <rPr>
        <sz val="10"/>
        <color rgb="FF000000"/>
        <rFont val="JRFonts"/>
        <charset val="134"/>
      </rPr>
      <t>03-08-2026 10:19</t>
    </r>
  </si>
  <si>
    <r>
      <rPr>
        <sz val="10"/>
        <color rgb="FF000000"/>
        <rFont val="JRFonts"/>
        <charset val="134"/>
      </rPr>
      <t>31-07-2026 14:31</t>
    </r>
  </si>
  <si>
    <r>
      <rPr>
        <sz val="10"/>
        <color rgb="FF0000FF"/>
        <rFont val="JRFonts"/>
        <charset val="134"/>
      </rPr>
      <t>21968</t>
    </r>
  </si>
  <si>
    <r>
      <rPr>
        <sz val="10"/>
        <color rgb="FF000000"/>
        <rFont val="JRFonts"/>
        <charset val="134"/>
      </rPr>
      <t>31-07-2026 13:54</t>
    </r>
  </si>
  <si>
    <r>
      <rPr>
        <sz val="10"/>
        <color rgb="FF000000"/>
        <rFont val="JRFonts"/>
        <charset val="134"/>
      </rPr>
      <t>22-08-2026 10:44</t>
    </r>
  </si>
  <si>
    <r>
      <rPr>
        <sz val="10"/>
        <color rgb="FF000000"/>
        <rFont val="JRFonts"/>
        <charset val="134"/>
      </rPr>
      <t>31-07-2026 14:32</t>
    </r>
  </si>
  <si>
    <t>21968</t>
  </si>
  <si>
    <r>
      <rPr>
        <sz val="10"/>
        <color rgb="FF0000FF"/>
        <rFont val="JRFonts"/>
        <charset val="134"/>
      </rPr>
      <t>21969</t>
    </r>
  </si>
  <si>
    <r>
      <rPr>
        <sz val="10"/>
        <color rgb="FF000000"/>
        <rFont val="JRFonts"/>
        <charset val="134"/>
      </rPr>
      <t>05-08-2026 00:40</t>
    </r>
  </si>
  <si>
    <r>
      <rPr>
        <sz val="10"/>
        <color rgb="FF000000"/>
        <rFont val="JRFonts"/>
        <charset val="134"/>
      </rPr>
      <t>31-07-2026 14:34</t>
    </r>
  </si>
  <si>
    <r>
      <rPr>
        <sz val="10"/>
        <color rgb="FF0000FF"/>
        <rFont val="JRFonts"/>
        <charset val="134"/>
      </rPr>
      <t>21970</t>
    </r>
  </si>
  <si>
    <r>
      <rPr>
        <sz val="10"/>
        <color rgb="FF000000"/>
        <rFont val="JRFonts"/>
        <charset val="134"/>
      </rPr>
      <t>31-07-2026 14:00</t>
    </r>
  </si>
  <si>
    <r>
      <rPr>
        <sz val="10"/>
        <color rgb="FF000000"/>
        <rFont val="JRFonts"/>
        <charset val="134"/>
      </rPr>
      <t>22-08-2026 11:11</t>
    </r>
  </si>
  <si>
    <r>
      <rPr>
        <sz val="10"/>
        <color rgb="FF000000"/>
        <rFont val="JRFonts"/>
        <charset val="134"/>
      </rPr>
      <t>31-07-2026 14:42</t>
    </r>
  </si>
  <si>
    <t>21970</t>
  </si>
  <si>
    <r>
      <rPr>
        <sz val="10"/>
        <color rgb="FF0000FF"/>
        <rFont val="JRFonts"/>
        <charset val="134"/>
      </rPr>
      <t>21971</t>
    </r>
  </si>
  <si>
    <r>
      <rPr>
        <sz val="10"/>
        <color rgb="FF000000"/>
        <rFont val="JRFonts"/>
        <charset val="134"/>
      </rPr>
      <t>31-07-2026 14:13</t>
    </r>
  </si>
  <si>
    <r>
      <rPr>
        <sz val="10"/>
        <color rgb="FF000000"/>
        <rFont val="JRFonts"/>
        <charset val="134"/>
      </rPr>
      <t>01-08-2026 20:43</t>
    </r>
  </si>
  <si>
    <r>
      <rPr>
        <sz val="10"/>
        <color rgb="FF000000"/>
        <rFont val="JRFonts"/>
        <charset val="134"/>
      </rPr>
      <t>31-07-2026 14:45</t>
    </r>
  </si>
  <si>
    <r>
      <rPr>
        <sz val="10"/>
        <color rgb="FF0000FF"/>
        <rFont val="JRFonts"/>
        <charset val="134"/>
      </rPr>
      <t>21972</t>
    </r>
  </si>
  <si>
    <r>
      <rPr>
        <sz val="10"/>
        <color rgb="FF000000"/>
        <rFont val="JRFonts"/>
        <charset val="134"/>
      </rPr>
      <t>31-07-2026 14:48</t>
    </r>
  </si>
  <si>
    <r>
      <rPr>
        <sz val="10"/>
        <color rgb="FF000000"/>
        <rFont val="JRFonts"/>
        <charset val="134"/>
      </rPr>
      <t>31-07-2026 14:47</t>
    </r>
  </si>
  <si>
    <r>
      <rPr>
        <sz val="10"/>
        <color rgb="FF0000FF"/>
        <rFont val="JRFonts"/>
        <charset val="134"/>
      </rPr>
      <t>21973</t>
    </r>
  </si>
  <si>
    <r>
      <rPr>
        <sz val="10"/>
        <color rgb="FF000000"/>
        <rFont val="JRFonts"/>
        <charset val="134"/>
      </rPr>
      <t>31-07-2026 17:58</t>
    </r>
  </si>
  <si>
    <r>
      <rPr>
        <sz val="10"/>
        <color rgb="FF000000"/>
        <rFont val="JRFonts"/>
        <charset val="134"/>
      </rPr>
      <t>31-07-2026 14:50</t>
    </r>
  </si>
  <si>
    <r>
      <rPr>
        <sz val="10"/>
        <color rgb="FF0000FF"/>
        <rFont val="JRFonts"/>
        <charset val="134"/>
      </rPr>
      <t>21974</t>
    </r>
  </si>
  <si>
    <r>
      <rPr>
        <sz val="10"/>
        <color rgb="FF000000"/>
        <rFont val="JRFonts"/>
        <charset val="134"/>
      </rPr>
      <t>07-08-2026 12:51</t>
    </r>
  </si>
  <si>
    <r>
      <rPr>
        <sz val="10"/>
        <color rgb="FF000000"/>
        <rFont val="JRFonts"/>
        <charset val="134"/>
      </rPr>
      <t>31-07-2026 15:01</t>
    </r>
  </si>
  <si>
    <t>21974</t>
  </si>
  <si>
    <t>21975</t>
  </si>
  <si>
    <r>
      <rPr>
        <sz val="10"/>
        <color rgb="FF000000"/>
        <rFont val="JRFonts"/>
        <charset val="134"/>
      </rPr>
      <t>12-08-2026 11:11</t>
    </r>
  </si>
  <si>
    <r>
      <rPr>
        <sz val="10"/>
        <color rgb="FF000000"/>
        <rFont val="JRFonts"/>
        <charset val="134"/>
      </rPr>
      <t>31-07-2026 14:53</t>
    </r>
  </si>
  <si>
    <r>
      <rPr>
        <sz val="10"/>
        <color rgb="FF0000FF"/>
        <rFont val="JRFonts"/>
        <charset val="134"/>
      </rPr>
      <t>21975</t>
    </r>
  </si>
  <si>
    <r>
      <rPr>
        <sz val="10"/>
        <color rgb="FF0000FF"/>
        <rFont val="JRFonts"/>
        <charset val="134"/>
      </rPr>
      <t>21976</t>
    </r>
  </si>
  <si>
    <r>
      <rPr>
        <sz val="10"/>
        <color rgb="FF000000"/>
        <rFont val="JRFonts"/>
        <charset val="134"/>
      </rPr>
      <t>31-07-2026 17:57</t>
    </r>
  </si>
  <si>
    <r>
      <rPr>
        <sz val="10"/>
        <color rgb="FF000000"/>
        <rFont val="JRFonts"/>
        <charset val="134"/>
      </rPr>
      <t>31-07-2026 14:55</t>
    </r>
  </si>
  <si>
    <r>
      <rPr>
        <sz val="10"/>
        <color rgb="FF0000FF"/>
        <rFont val="JRFonts"/>
        <charset val="134"/>
      </rPr>
      <t>21979</t>
    </r>
  </si>
  <si>
    <r>
      <rPr>
        <sz val="10"/>
        <color rgb="FF000000"/>
        <rFont val="JRFonts"/>
        <charset val="134"/>
      </rPr>
      <t>31-07-2026 14:58</t>
    </r>
  </si>
  <si>
    <r>
      <rPr>
        <sz val="10"/>
        <color rgb="FF000000"/>
        <rFont val="JRFonts"/>
        <charset val="134"/>
      </rPr>
      <t>02-08-2026 08:15</t>
    </r>
  </si>
  <si>
    <r>
      <rPr>
        <sz val="10"/>
        <color rgb="FF000000"/>
        <rFont val="JRFonts"/>
        <charset val="134"/>
      </rPr>
      <t>31-07-2026 15:16</t>
    </r>
  </si>
  <si>
    <r>
      <rPr>
        <sz val="10"/>
        <color rgb="FF0000FF"/>
        <rFont val="JRFonts"/>
        <charset val="134"/>
      </rPr>
      <t>21980</t>
    </r>
  </si>
  <si>
    <r>
      <rPr>
        <sz val="10"/>
        <color rgb="FF000000"/>
        <rFont val="JRFonts"/>
        <charset val="134"/>
      </rPr>
      <t>31-07-2026 18:30</t>
    </r>
  </si>
  <si>
    <r>
      <rPr>
        <sz val="10"/>
        <color rgb="FF000000"/>
        <rFont val="JRFonts"/>
        <charset val="134"/>
      </rPr>
      <t>31-07-2026 15:51</t>
    </r>
  </si>
  <si>
    <r>
      <rPr>
        <sz val="10"/>
        <color rgb="FF0000FF"/>
        <rFont val="JRFonts"/>
        <charset val="134"/>
      </rPr>
      <t>21981</t>
    </r>
  </si>
  <si>
    <r>
      <rPr>
        <sz val="10"/>
        <color rgb="FF000000"/>
        <rFont val="JRFonts"/>
        <charset val="134"/>
      </rPr>
      <t>31-07-2026 18:22</t>
    </r>
  </si>
  <si>
    <r>
      <rPr>
        <sz val="10"/>
        <color rgb="FF000000"/>
        <rFont val="JRFonts"/>
        <charset val="134"/>
      </rPr>
      <t>31-07-2026 15:52</t>
    </r>
  </si>
  <si>
    <r>
      <rPr>
        <sz val="10"/>
        <color rgb="FF0000FF"/>
        <rFont val="JRFonts"/>
        <charset val="134"/>
      </rPr>
      <t>21982</t>
    </r>
  </si>
  <si>
    <r>
      <rPr>
        <sz val="10"/>
        <color rgb="FF000000"/>
        <rFont val="JRFonts"/>
        <charset val="134"/>
      </rPr>
      <t>31-07-2026 15:04</t>
    </r>
  </si>
  <si>
    <r>
      <rPr>
        <sz val="10"/>
        <color rgb="FF000000"/>
        <rFont val="JRFonts"/>
        <charset val="134"/>
      </rPr>
      <t>31-07-2026 16:05</t>
    </r>
  </si>
  <si>
    <r>
      <rPr>
        <sz val="10"/>
        <color rgb="FF000000"/>
        <rFont val="JRFonts"/>
        <charset val="134"/>
      </rPr>
      <t>31-07-2026 15:53</t>
    </r>
  </si>
  <si>
    <r>
      <rPr>
        <sz val="10"/>
        <color rgb="FF0000FF"/>
        <rFont val="JRFonts"/>
        <charset val="134"/>
      </rPr>
      <t>21983</t>
    </r>
  </si>
  <si>
    <r>
      <rPr>
        <sz val="10"/>
        <color rgb="FF000000"/>
        <rFont val="JRFonts"/>
        <charset val="134"/>
      </rPr>
      <t>02-08-2026 13:21</t>
    </r>
  </si>
  <si>
    <r>
      <rPr>
        <sz val="10"/>
        <color rgb="FF0000FF"/>
        <rFont val="JRFonts"/>
        <charset val="134"/>
      </rPr>
      <t>21984</t>
    </r>
  </si>
  <si>
    <r>
      <rPr>
        <sz val="10"/>
        <color rgb="FF000000"/>
        <rFont val="JRFonts"/>
        <charset val="134"/>
      </rPr>
      <t>31-07-2026 15:07</t>
    </r>
  </si>
  <si>
    <r>
      <rPr>
        <sz val="10"/>
        <color rgb="FF000000"/>
        <rFont val="JRFonts"/>
        <charset val="134"/>
      </rPr>
      <t>02-08-2026 08:21</t>
    </r>
  </si>
  <si>
    <r>
      <rPr>
        <sz val="10"/>
        <color rgb="FF000000"/>
        <rFont val="JRFonts"/>
        <charset val="134"/>
      </rPr>
      <t>31-07-2026 15:58</t>
    </r>
  </si>
  <si>
    <r>
      <rPr>
        <sz val="10"/>
        <color rgb="FF0000FF"/>
        <rFont val="JRFonts"/>
        <charset val="134"/>
      </rPr>
      <t>21985</t>
    </r>
  </si>
  <si>
    <r>
      <rPr>
        <sz val="10"/>
        <color rgb="FF000000"/>
        <rFont val="JRFonts"/>
        <charset val="134"/>
      </rPr>
      <t>31-07-2026 17:24</t>
    </r>
  </si>
  <si>
    <r>
      <rPr>
        <sz val="10"/>
        <color rgb="FF000000"/>
        <rFont val="JRFonts"/>
        <charset val="134"/>
      </rPr>
      <t>31-07-2026 15:59</t>
    </r>
  </si>
  <si>
    <r>
      <rPr>
        <sz val="10"/>
        <color rgb="FF0000FF"/>
        <rFont val="JRFonts"/>
        <charset val="134"/>
      </rPr>
      <t>21986</t>
    </r>
  </si>
  <si>
    <r>
      <rPr>
        <sz val="10"/>
        <color rgb="FF000000"/>
        <rFont val="JRFonts"/>
        <charset val="134"/>
      </rPr>
      <t>31-07-2026 15:10</t>
    </r>
  </si>
  <si>
    <r>
      <rPr>
        <sz val="10"/>
        <color rgb="FF000000"/>
        <rFont val="JRFonts"/>
        <charset val="134"/>
      </rPr>
      <t>03-08-2026 14:50</t>
    </r>
  </si>
  <si>
    <r>
      <rPr>
        <sz val="10"/>
        <color rgb="FF000000"/>
        <rFont val="JRFonts"/>
        <charset val="134"/>
      </rPr>
      <t>31-07-2026 16:01</t>
    </r>
  </si>
  <si>
    <r>
      <rPr>
        <sz val="10"/>
        <color rgb="FF0000FF"/>
        <rFont val="JRFonts"/>
        <charset val="134"/>
      </rPr>
      <t>21987</t>
    </r>
  </si>
  <si>
    <r>
      <rPr>
        <sz val="10"/>
        <color rgb="FF000000"/>
        <rFont val="JRFonts"/>
        <charset val="134"/>
      </rPr>
      <t>31-07-2026 15:17</t>
    </r>
  </si>
  <si>
    <r>
      <rPr>
        <sz val="10"/>
        <color rgb="FF000000"/>
        <rFont val="JRFonts"/>
        <charset val="134"/>
      </rPr>
      <t>22-08-2026 10:45</t>
    </r>
  </si>
  <si>
    <r>
      <rPr>
        <sz val="10"/>
        <color rgb="FF000000"/>
        <rFont val="JRFonts"/>
        <charset val="134"/>
      </rPr>
      <t>31-07-2026 16:02</t>
    </r>
  </si>
  <si>
    <t>21987</t>
  </si>
  <si>
    <r>
      <rPr>
        <sz val="10"/>
        <color rgb="FF0000FF"/>
        <rFont val="JRFonts"/>
        <charset val="134"/>
      </rPr>
      <t>21989</t>
    </r>
  </si>
  <si>
    <r>
      <rPr>
        <sz val="10"/>
        <color rgb="FF000000"/>
        <rFont val="JRFonts"/>
        <charset val="134"/>
      </rPr>
      <t>31-07-2026 15:20</t>
    </r>
  </si>
  <si>
    <r>
      <rPr>
        <sz val="10"/>
        <color rgb="FF000000"/>
        <rFont val="JRFonts"/>
        <charset val="134"/>
      </rPr>
      <t>02-08-2026 13:33</t>
    </r>
  </si>
  <si>
    <r>
      <rPr>
        <sz val="10"/>
        <color rgb="FF000000"/>
        <rFont val="JRFonts"/>
        <charset val="134"/>
      </rPr>
      <t>31-07-2026 16:06</t>
    </r>
  </si>
  <si>
    <r>
      <rPr>
        <sz val="10"/>
        <color rgb="FF0000FF"/>
        <rFont val="JRFonts"/>
        <charset val="134"/>
      </rPr>
      <t>21990</t>
    </r>
  </si>
  <si>
    <r>
      <rPr>
        <sz val="10"/>
        <color rgb="FF000000"/>
        <rFont val="JRFonts"/>
        <charset val="134"/>
      </rPr>
      <t>31-07-2026 15:23</t>
    </r>
  </si>
  <si>
    <r>
      <rPr>
        <sz val="10"/>
        <color rgb="FF000000"/>
        <rFont val="JRFonts"/>
        <charset val="134"/>
      </rPr>
      <t>02-08-2026 14:10</t>
    </r>
  </si>
  <si>
    <r>
      <rPr>
        <sz val="10"/>
        <color rgb="FF000000"/>
        <rFont val="JRFonts"/>
        <charset val="134"/>
      </rPr>
      <t>31-07-2026 16:10</t>
    </r>
  </si>
  <si>
    <r>
      <rPr>
        <sz val="10"/>
        <color rgb="FF0000FF"/>
        <rFont val="JRFonts"/>
        <charset val="134"/>
      </rPr>
      <t>21991</t>
    </r>
  </si>
  <si>
    <r>
      <rPr>
        <sz val="10"/>
        <color rgb="FF000000"/>
        <rFont val="JRFonts"/>
        <charset val="134"/>
      </rPr>
      <t>31-07-2026 15:29</t>
    </r>
  </si>
  <si>
    <r>
      <rPr>
        <sz val="10"/>
        <color rgb="FF000000"/>
        <rFont val="JRFonts"/>
        <charset val="134"/>
      </rPr>
      <t>02-08-2026 14:11</t>
    </r>
  </si>
  <si>
    <r>
      <rPr>
        <sz val="10"/>
        <color rgb="FF000000"/>
        <rFont val="JRFonts"/>
        <charset val="134"/>
      </rPr>
      <t>31-07-2026 16:13</t>
    </r>
  </si>
  <si>
    <r>
      <rPr>
        <sz val="10"/>
        <color rgb="FF0000FF"/>
        <rFont val="JRFonts"/>
        <charset val="134"/>
      </rPr>
      <t>21992</t>
    </r>
  </si>
  <si>
    <r>
      <rPr>
        <sz val="10"/>
        <color rgb="FF000000"/>
        <rFont val="JRFonts"/>
        <charset val="134"/>
      </rPr>
      <t>04-08-2026 16:11</t>
    </r>
  </si>
  <si>
    <r>
      <rPr>
        <sz val="10"/>
        <color rgb="FF000000"/>
        <rFont val="JRFonts"/>
        <charset val="134"/>
      </rPr>
      <t>31-07-2026 16:14</t>
    </r>
  </si>
  <si>
    <t>21992</t>
  </si>
  <si>
    <r>
      <rPr>
        <sz val="10"/>
        <color rgb="FF0000FF"/>
        <rFont val="JRFonts"/>
        <charset val="134"/>
      </rPr>
      <t>21993</t>
    </r>
  </si>
  <si>
    <r>
      <rPr>
        <sz val="10"/>
        <color rgb="FF000000"/>
        <rFont val="JRFonts"/>
        <charset val="134"/>
      </rPr>
      <t>31-07-2026 16:15</t>
    </r>
  </si>
  <si>
    <r>
      <rPr>
        <sz val="10"/>
        <color rgb="FF0000FF"/>
        <rFont val="JRFonts"/>
        <charset val="134"/>
      </rPr>
      <t>21994</t>
    </r>
  </si>
  <si>
    <r>
      <rPr>
        <sz val="10"/>
        <color rgb="FF000000"/>
        <rFont val="JRFonts"/>
        <charset val="134"/>
      </rPr>
      <t>31-07-2026 15:32</t>
    </r>
  </si>
  <si>
    <r>
      <rPr>
        <sz val="10"/>
        <color rgb="FF000000"/>
        <rFont val="JRFonts"/>
        <charset val="134"/>
      </rPr>
      <t>03-08-2026 10:18</t>
    </r>
  </si>
  <si>
    <r>
      <rPr>
        <sz val="10"/>
        <color rgb="FF000000"/>
        <rFont val="JRFonts"/>
        <charset val="134"/>
      </rPr>
      <t>31-07-2026 16:16</t>
    </r>
  </si>
  <si>
    <r>
      <rPr>
        <sz val="10"/>
        <color rgb="FF0000FF"/>
        <rFont val="JRFonts"/>
        <charset val="134"/>
      </rPr>
      <t>21995</t>
    </r>
  </si>
  <si>
    <r>
      <rPr>
        <sz val="10"/>
        <color rgb="FF000000"/>
        <rFont val="JRFonts"/>
        <charset val="134"/>
      </rPr>
      <t>31-07-2026 15:35</t>
    </r>
  </si>
  <si>
    <r>
      <rPr>
        <sz val="10"/>
        <color rgb="FF000000"/>
        <rFont val="JRFonts"/>
        <charset val="134"/>
      </rPr>
      <t>24-08-2026 12:22</t>
    </r>
  </si>
  <si>
    <r>
      <rPr>
        <sz val="10"/>
        <color rgb="FF000000"/>
        <rFont val="JRFonts"/>
        <charset val="134"/>
      </rPr>
      <t>31-07-2026 16:17</t>
    </r>
  </si>
  <si>
    <t>21995</t>
  </si>
  <si>
    <r>
      <rPr>
        <sz val="10"/>
        <color rgb="FF0000FF"/>
        <rFont val="JRFonts"/>
        <charset val="134"/>
      </rPr>
      <t>21996</t>
    </r>
  </si>
  <si>
    <r>
      <rPr>
        <sz val="10"/>
        <color rgb="FF000000"/>
        <rFont val="JRFonts"/>
        <charset val="134"/>
      </rPr>
      <t>31-07-2026 15:41</t>
    </r>
  </si>
  <si>
    <r>
      <rPr>
        <sz val="10"/>
        <color rgb="FF000000"/>
        <rFont val="JRFonts"/>
        <charset val="134"/>
      </rPr>
      <t>22-08-2026 10:51</t>
    </r>
  </si>
  <si>
    <r>
      <rPr>
        <sz val="10"/>
        <color rgb="FF000000"/>
        <rFont val="JRFonts"/>
        <charset val="134"/>
      </rPr>
      <t>31-07-2026 16:19</t>
    </r>
  </si>
  <si>
    <t>21996</t>
  </si>
  <si>
    <r>
      <rPr>
        <sz val="10"/>
        <color rgb="FF0000FF"/>
        <rFont val="JRFonts"/>
        <charset val="134"/>
      </rPr>
      <t>21997</t>
    </r>
  </si>
  <si>
    <r>
      <rPr>
        <sz val="10"/>
        <color rgb="FF000000"/>
        <rFont val="JRFonts"/>
        <charset val="134"/>
      </rPr>
      <t>31-07-2026 16:26</t>
    </r>
  </si>
  <si>
    <r>
      <rPr>
        <sz val="10"/>
        <color rgb="FF0000FF"/>
        <rFont val="JRFonts"/>
        <charset val="134"/>
      </rPr>
      <t>21999</t>
    </r>
  </si>
  <si>
    <r>
      <rPr>
        <sz val="10"/>
        <color rgb="FF000000"/>
        <rFont val="JRFonts"/>
        <charset val="134"/>
      </rPr>
      <t>31-07-2026 15:50</t>
    </r>
  </si>
  <si>
    <r>
      <rPr>
        <sz val="10"/>
        <color rgb="FF000000"/>
        <rFont val="JRFonts"/>
        <charset val="134"/>
      </rPr>
      <t>31-07-2026 18:20</t>
    </r>
  </si>
  <si>
    <r>
      <rPr>
        <sz val="10"/>
        <color rgb="FF000000"/>
        <rFont val="JRFonts"/>
        <charset val="134"/>
      </rPr>
      <t>31-07-2026 16:34</t>
    </r>
  </si>
  <si>
    <r>
      <rPr>
        <sz val="10"/>
        <color rgb="FF0000FF"/>
        <rFont val="JRFonts"/>
        <charset val="134"/>
      </rPr>
      <t>22002</t>
    </r>
  </si>
  <si>
    <r>
      <rPr>
        <sz val="10"/>
        <color rgb="FF000000"/>
        <rFont val="JRFonts"/>
        <charset val="134"/>
      </rPr>
      <t>31-07-2026 16:09</t>
    </r>
  </si>
  <si>
    <r>
      <rPr>
        <sz val="10"/>
        <color rgb="FF000000"/>
        <rFont val="JRFonts"/>
        <charset val="134"/>
      </rPr>
      <t>03-08-2026 11:16</t>
    </r>
  </si>
  <si>
    <r>
      <rPr>
        <sz val="10"/>
        <color rgb="FF000000"/>
        <rFont val="JRFonts"/>
        <charset val="134"/>
      </rPr>
      <t>31-07-2026 16:35</t>
    </r>
  </si>
  <si>
    <r>
      <rPr>
        <sz val="10"/>
        <color rgb="FF0000FF"/>
        <rFont val="JRFonts"/>
        <charset val="134"/>
      </rPr>
      <t>22003</t>
    </r>
  </si>
  <si>
    <r>
      <rPr>
        <sz val="10"/>
        <color rgb="FF000000"/>
        <rFont val="JRFonts"/>
        <charset val="134"/>
      </rPr>
      <t>31-07-2026 16:18</t>
    </r>
  </si>
  <si>
    <r>
      <rPr>
        <sz val="10"/>
        <color rgb="FF000000"/>
        <rFont val="JRFonts"/>
        <charset val="134"/>
      </rPr>
      <t>31-07-2026 16:36</t>
    </r>
  </si>
  <si>
    <r>
      <rPr>
        <sz val="10"/>
        <color rgb="FF0000FF"/>
        <rFont val="JRFonts"/>
        <charset val="134"/>
      </rPr>
      <t>22004</t>
    </r>
  </si>
  <si>
    <r>
      <rPr>
        <sz val="10"/>
        <color rgb="FF000000"/>
        <rFont val="JRFonts"/>
        <charset val="134"/>
      </rPr>
      <t>31-07-2026 16:21</t>
    </r>
  </si>
  <si>
    <r>
      <rPr>
        <sz val="10"/>
        <color rgb="FF000000"/>
        <rFont val="JRFonts"/>
        <charset val="134"/>
      </rPr>
      <t>04-08-2026 10:53</t>
    </r>
  </si>
  <si>
    <r>
      <rPr>
        <sz val="10"/>
        <color rgb="FF000000"/>
        <rFont val="JRFonts"/>
        <charset val="134"/>
      </rPr>
      <t>31-07-2026 16:37</t>
    </r>
  </si>
  <si>
    <r>
      <rPr>
        <sz val="10"/>
        <color rgb="FF0000FF"/>
        <rFont val="JRFonts"/>
        <charset val="134"/>
      </rPr>
      <t>22005</t>
    </r>
  </si>
  <si>
    <r>
      <rPr>
        <sz val="10"/>
        <color rgb="FF000000"/>
        <rFont val="JRFonts"/>
        <charset val="134"/>
      </rPr>
      <t>03-08-2026 12:39</t>
    </r>
  </si>
  <si>
    <r>
      <rPr>
        <sz val="10"/>
        <color rgb="FF000000"/>
        <rFont val="JRFonts"/>
        <charset val="134"/>
      </rPr>
      <t>31-07-2026 16:32</t>
    </r>
  </si>
  <si>
    <r>
      <rPr>
        <sz val="10"/>
        <color rgb="FF0000FF"/>
        <rFont val="JRFonts"/>
        <charset val="134"/>
      </rPr>
      <t>22006</t>
    </r>
  </si>
  <si>
    <r>
      <rPr>
        <sz val="10"/>
        <color rgb="FF000000"/>
        <rFont val="JRFonts"/>
        <charset val="134"/>
      </rPr>
      <t>31-07-2026 16:24</t>
    </r>
  </si>
  <si>
    <r>
      <rPr>
        <sz val="10"/>
        <color rgb="FF000000"/>
        <rFont val="JRFonts"/>
        <charset val="134"/>
      </rPr>
      <t>31-07-2026 16:39</t>
    </r>
  </si>
  <si>
    <t>22006</t>
  </si>
  <si>
    <r>
      <rPr>
        <sz val="10"/>
        <color rgb="FF0000FF"/>
        <rFont val="JRFonts"/>
        <charset val="134"/>
      </rPr>
      <t>22008</t>
    </r>
  </si>
  <si>
    <r>
      <rPr>
        <sz val="10"/>
        <color rgb="FF000000"/>
        <rFont val="JRFonts"/>
        <charset val="134"/>
      </rPr>
      <t>31-07-2026 16:45</t>
    </r>
  </si>
  <si>
    <r>
      <rPr>
        <sz val="10"/>
        <color rgb="FF000000"/>
        <rFont val="JRFonts"/>
        <charset val="134"/>
      </rPr>
      <t>03-08-2026 10:17</t>
    </r>
  </si>
  <si>
    <r>
      <rPr>
        <sz val="10"/>
        <color rgb="FF000000"/>
        <rFont val="JRFonts"/>
        <charset val="134"/>
      </rPr>
      <t>31-07-2026 16:51</t>
    </r>
  </si>
  <si>
    <r>
      <rPr>
        <sz val="10"/>
        <color rgb="FF0000FF"/>
        <rFont val="JRFonts"/>
        <charset val="134"/>
      </rPr>
      <t>22009</t>
    </r>
  </si>
  <si>
    <r>
      <rPr>
        <sz val="10"/>
        <color rgb="FF000000"/>
        <rFont val="JRFonts"/>
        <charset val="134"/>
      </rPr>
      <t>31-07-2026 16:57</t>
    </r>
  </si>
  <si>
    <r>
      <rPr>
        <sz val="10"/>
        <color rgb="FF000000"/>
        <rFont val="JRFonts"/>
        <charset val="134"/>
      </rPr>
      <t>04-08-2026 10:29</t>
    </r>
  </si>
  <si>
    <r>
      <rPr>
        <sz val="10"/>
        <color rgb="FF000000"/>
        <rFont val="JRFonts"/>
        <charset val="134"/>
      </rPr>
      <t>31-07-2026 17:36</t>
    </r>
  </si>
  <si>
    <r>
      <rPr>
        <sz val="10"/>
        <color rgb="FF0000FF"/>
        <rFont val="JRFonts"/>
        <charset val="134"/>
      </rPr>
      <t>22010</t>
    </r>
  </si>
  <si>
    <r>
      <rPr>
        <sz val="10"/>
        <color rgb="FF000000"/>
        <rFont val="JRFonts"/>
        <charset val="134"/>
      </rPr>
      <t>05-08-2026 18:38</t>
    </r>
  </si>
  <si>
    <r>
      <rPr>
        <sz val="10"/>
        <color rgb="FF000000"/>
        <rFont val="JRFonts"/>
        <charset val="134"/>
      </rPr>
      <t>31-07-2026 17:11</t>
    </r>
  </si>
  <si>
    <t>22010</t>
  </si>
  <si>
    <r>
      <rPr>
        <sz val="10"/>
        <color rgb="FF0000FF"/>
        <rFont val="JRFonts"/>
        <charset val="134"/>
      </rPr>
      <t>22012</t>
    </r>
  </si>
  <si>
    <r>
      <rPr>
        <sz val="10"/>
        <color rgb="FF000000"/>
        <rFont val="JRFonts"/>
        <charset val="134"/>
      </rPr>
      <t>31-07-2026 17:03</t>
    </r>
  </si>
  <si>
    <r>
      <rPr>
        <sz val="10"/>
        <color rgb="FF000000"/>
        <rFont val="JRFonts"/>
        <charset val="134"/>
      </rPr>
      <t>02-08-2026 21:33</t>
    </r>
  </si>
  <si>
    <r>
      <rPr>
        <sz val="10"/>
        <color rgb="FF000000"/>
        <rFont val="JRFonts"/>
        <charset val="134"/>
      </rPr>
      <t>31-07-2026 17:06</t>
    </r>
  </si>
  <si>
    <r>
      <rPr>
        <sz val="10"/>
        <color rgb="FF0000FF"/>
        <rFont val="JRFonts"/>
        <charset val="134"/>
      </rPr>
      <t>22015</t>
    </r>
  </si>
  <si>
    <r>
      <rPr>
        <sz val="10"/>
        <color rgb="FF000000"/>
        <rFont val="JRFonts"/>
        <charset val="134"/>
      </rPr>
      <t>03-08-2026 16:16</t>
    </r>
  </si>
  <si>
    <r>
      <rPr>
        <sz val="10"/>
        <color rgb="FF000000"/>
        <rFont val="JRFonts"/>
        <charset val="134"/>
      </rPr>
      <t>31-07-2026 18:11</t>
    </r>
  </si>
  <si>
    <r>
      <rPr>
        <sz val="10"/>
        <color rgb="FF0000FF"/>
        <rFont val="JRFonts"/>
        <charset val="134"/>
      </rPr>
      <t>22017</t>
    </r>
  </si>
  <si>
    <r>
      <rPr>
        <sz val="10"/>
        <color rgb="FF000000"/>
        <rFont val="JRFonts"/>
        <charset val="134"/>
      </rPr>
      <t>31-07-2026 17:31</t>
    </r>
  </si>
  <si>
    <r>
      <rPr>
        <sz val="10"/>
        <color rgb="FF000000"/>
        <rFont val="JRFonts"/>
        <charset val="134"/>
      </rPr>
      <t>03-08-2026 15:29</t>
    </r>
  </si>
  <si>
    <r>
      <rPr>
        <sz val="10"/>
        <color rgb="FF000000"/>
        <rFont val="JRFonts"/>
        <charset val="134"/>
      </rPr>
      <t>31-07-2026 18:10</t>
    </r>
  </si>
  <si>
    <r>
      <rPr>
        <sz val="10"/>
        <color rgb="FF0000FF"/>
        <rFont val="JRFonts"/>
        <charset val="134"/>
      </rPr>
      <t>22018</t>
    </r>
  </si>
  <si>
    <r>
      <rPr>
        <sz val="10"/>
        <color rgb="FF000000"/>
        <rFont val="JRFonts"/>
        <charset val="134"/>
      </rPr>
      <t>31-07-2026 17:52</t>
    </r>
  </si>
  <si>
    <r>
      <rPr>
        <sz val="10"/>
        <color rgb="FF000000"/>
        <rFont val="JRFonts"/>
        <charset val="134"/>
      </rPr>
      <t>31-07-2026 18:17</t>
    </r>
  </si>
  <si>
    <t>22020</t>
  </si>
  <si>
    <r>
      <rPr>
        <sz val="10"/>
        <color rgb="FF000000"/>
        <rFont val="JRFonts"/>
        <charset val="134"/>
      </rPr>
      <t>03-08-2026 12:27</t>
    </r>
  </si>
  <si>
    <r>
      <rPr>
        <sz val="10"/>
        <color rgb="FF0000FF"/>
        <rFont val="JRFonts"/>
        <charset val="134"/>
      </rPr>
      <t>22020</t>
    </r>
  </si>
  <si>
    <r>
      <rPr>
        <sz val="10"/>
        <color rgb="FF0000FF"/>
        <rFont val="JRFonts"/>
        <charset val="134"/>
      </rPr>
      <t>22021</t>
    </r>
  </si>
  <si>
    <r>
      <rPr>
        <sz val="10"/>
        <color rgb="FF000000"/>
        <rFont val="JRFonts"/>
        <charset val="134"/>
      </rPr>
      <t>05-08-2026 14:32</t>
    </r>
  </si>
  <si>
    <r>
      <rPr>
        <sz val="10"/>
        <color rgb="FF000000"/>
        <rFont val="JRFonts"/>
        <charset val="134"/>
      </rPr>
      <t>31-07-2026 18:18</t>
    </r>
  </si>
  <si>
    <t>22021</t>
  </si>
  <si>
    <r>
      <rPr>
        <sz val="10"/>
        <color rgb="FF0000FF"/>
        <rFont val="JRFonts"/>
        <charset val="134"/>
      </rPr>
      <t>22022</t>
    </r>
  </si>
  <si>
    <r>
      <rPr>
        <sz val="10"/>
        <color rgb="FF000000"/>
        <rFont val="JRFonts"/>
        <charset val="134"/>
      </rPr>
      <t>05-08-2026 15:26</t>
    </r>
  </si>
  <si>
    <r>
      <rPr>
        <sz val="10"/>
        <color rgb="FF000000"/>
        <rFont val="JRFonts"/>
        <charset val="134"/>
      </rPr>
      <t>03-08-2026 14:14</t>
    </r>
  </si>
  <si>
    <t>22022</t>
  </si>
  <si>
    <r>
      <rPr>
        <sz val="10"/>
        <color rgb="FF0000FF"/>
        <rFont val="JRFonts"/>
        <charset val="134"/>
      </rPr>
      <t>22025</t>
    </r>
  </si>
  <si>
    <r>
      <rPr>
        <sz val="10"/>
        <color rgb="FF000000"/>
        <rFont val="JRFonts"/>
        <charset val="134"/>
      </rPr>
      <t>31-07-2026 18:04</t>
    </r>
  </si>
  <si>
    <r>
      <rPr>
        <sz val="10"/>
        <color rgb="FF000000"/>
        <rFont val="JRFonts"/>
        <charset val="134"/>
      </rPr>
      <t>03-08-2026 10:16</t>
    </r>
  </si>
  <si>
    <r>
      <rPr>
        <sz val="10"/>
        <color rgb="FF000000"/>
        <rFont val="JRFonts"/>
        <charset val="134"/>
      </rPr>
      <t>31-07-2026 18:09</t>
    </r>
  </si>
  <si>
    <r>
      <rPr>
        <sz val="10"/>
        <color rgb="FF0000FF"/>
        <rFont val="JRFonts"/>
        <charset val="134"/>
      </rPr>
      <t>22028</t>
    </r>
  </si>
  <si>
    <r>
      <rPr>
        <sz val="10"/>
        <color rgb="FF000000"/>
        <rFont val="JRFonts"/>
        <charset val="134"/>
      </rPr>
      <t>31-07-2026 18:29</t>
    </r>
  </si>
  <si>
    <r>
      <rPr>
        <sz val="10"/>
        <color rgb="FF000000"/>
        <rFont val="JRFonts"/>
        <charset val="134"/>
      </rPr>
      <t>04-08-2026 16:40</t>
    </r>
  </si>
  <si>
    <r>
      <rPr>
        <sz val="10"/>
        <color rgb="FF000000"/>
        <rFont val="JRFonts"/>
        <charset val="134"/>
      </rPr>
      <t>03-08-2026 15:45</t>
    </r>
  </si>
  <si>
    <t>22028</t>
  </si>
  <si>
    <r>
      <rPr>
        <sz val="10"/>
        <color rgb="FF0000FF"/>
        <rFont val="JRFonts"/>
        <charset val="134"/>
      </rPr>
      <t>22030</t>
    </r>
  </si>
  <si>
    <r>
      <rPr>
        <sz val="10"/>
        <color rgb="FF000000"/>
        <rFont val="JRFonts"/>
        <charset val="134"/>
      </rPr>
      <t>31-07-2026 18:41</t>
    </r>
  </si>
  <si>
    <r>
      <rPr>
        <sz val="10"/>
        <color rgb="FF000000"/>
        <rFont val="JRFonts"/>
        <charset val="134"/>
      </rPr>
      <t>12-08-2026 10:35</t>
    </r>
  </si>
  <si>
    <r>
      <rPr>
        <sz val="10"/>
        <color rgb="FF000000"/>
        <rFont val="JRFonts"/>
        <charset val="134"/>
      </rPr>
      <t>03-08-2026 10:13</t>
    </r>
  </si>
  <si>
    <t>22030</t>
  </si>
  <si>
    <r>
      <rPr>
        <sz val="10"/>
        <color rgb="FF0000FF"/>
        <rFont val="JRFonts"/>
        <charset val="134"/>
      </rPr>
      <t>22032</t>
    </r>
  </si>
  <si>
    <r>
      <rPr>
        <sz val="10"/>
        <color rgb="FF000000"/>
        <rFont val="JRFonts"/>
        <charset val="134"/>
      </rPr>
      <t>31-07-2026 19:05</t>
    </r>
  </si>
  <si>
    <r>
      <rPr>
        <sz val="10"/>
        <color rgb="FF000000"/>
        <rFont val="JRFonts"/>
        <charset val="134"/>
      </rPr>
      <t>17-08-2026 17:42</t>
    </r>
  </si>
  <si>
    <r>
      <rPr>
        <sz val="10"/>
        <color rgb="FF000000"/>
        <rFont val="JRFonts"/>
        <charset val="134"/>
      </rPr>
      <t>03-08-2026 12:17</t>
    </r>
  </si>
  <si>
    <t>22032</t>
  </si>
  <si>
    <r>
      <rPr>
        <sz val="10"/>
        <color rgb="FF0000FF"/>
        <rFont val="JRFonts"/>
        <charset val="134"/>
      </rPr>
      <t>22033</t>
    </r>
  </si>
  <si>
    <r>
      <rPr>
        <sz val="10"/>
        <color rgb="FF000000"/>
        <rFont val="JRFonts"/>
        <charset val="134"/>
      </rPr>
      <t>05-08-2026 15:00</t>
    </r>
  </si>
  <si>
    <r>
      <rPr>
        <sz val="10"/>
        <color rgb="FF000000"/>
        <rFont val="JRFonts"/>
        <charset val="134"/>
      </rPr>
      <t>04-08-2026 11:49</t>
    </r>
  </si>
  <si>
    <r>
      <rPr>
        <sz val="10"/>
        <color rgb="FF0000FF"/>
        <rFont val="JRFonts"/>
        <charset val="134"/>
      </rPr>
      <t>22036</t>
    </r>
  </si>
  <si>
    <r>
      <rPr>
        <sz val="10"/>
        <color rgb="FF000000"/>
        <rFont val="JRFonts"/>
        <charset val="134"/>
      </rPr>
      <t>31-07-2026 20:03</t>
    </r>
  </si>
  <si>
    <r>
      <rPr>
        <sz val="10"/>
        <color rgb="FF000000"/>
        <rFont val="JRFonts"/>
        <charset val="134"/>
      </rPr>
      <t>03-08-2026 11:56</t>
    </r>
  </si>
  <si>
    <r>
      <rPr>
        <sz val="10"/>
        <color rgb="FF000000"/>
        <rFont val="JRFonts"/>
        <charset val="134"/>
      </rPr>
      <t>03-08-2026 11:55</t>
    </r>
  </si>
  <si>
    <r>
      <rPr>
        <sz val="10"/>
        <color rgb="FF0000FF"/>
        <rFont val="JRFonts"/>
        <charset val="134"/>
      </rPr>
      <t>22038</t>
    </r>
  </si>
  <si>
    <r>
      <rPr>
        <sz val="10"/>
        <color rgb="FF000000"/>
        <rFont val="JRFonts"/>
        <charset val="134"/>
      </rPr>
      <t>31-07-2026 23:27</t>
    </r>
  </si>
  <si>
    <r>
      <rPr>
        <sz val="10"/>
        <color rgb="FF000000"/>
        <rFont val="JRFonts"/>
        <charset val="134"/>
      </rPr>
      <t>03-08-2026 11:58</t>
    </r>
  </si>
  <si>
    <r>
      <rPr>
        <sz val="10"/>
        <color rgb="FF000000"/>
        <rFont val="JRFonts"/>
        <charset val="134"/>
      </rPr>
      <t>03-08-2026 11:57</t>
    </r>
  </si>
  <si>
    <r>
      <rPr>
        <sz val="10"/>
        <color rgb="FF0000FF"/>
        <rFont val="JRFonts"/>
        <charset val="134"/>
      </rPr>
      <t>22039</t>
    </r>
  </si>
  <si>
    <r>
      <rPr>
        <sz val="10"/>
        <color rgb="FF000000"/>
        <rFont val="JRFonts"/>
        <charset val="134"/>
      </rPr>
      <t>31-07-2026 23:54</t>
    </r>
  </si>
  <si>
    <r>
      <rPr>
        <sz val="10"/>
        <color rgb="FF000000"/>
        <rFont val="JRFonts"/>
        <charset val="134"/>
      </rPr>
      <t>03-08-2026 12:41</t>
    </r>
  </si>
  <si>
    <r>
      <rPr>
        <sz val="10"/>
        <color rgb="FF000000"/>
        <rFont val="JRFonts"/>
        <charset val="134"/>
      </rPr>
      <t>03-08-2026 12:40</t>
    </r>
  </si>
  <si>
    <r>
      <rPr>
        <sz val="10"/>
        <color rgb="FF0000FF"/>
        <rFont val="JRFonts"/>
        <charset val="134"/>
      </rPr>
      <t>22040</t>
    </r>
  </si>
  <si>
    <r>
      <rPr>
        <sz val="10"/>
        <color rgb="FF000000"/>
        <rFont val="JRFonts"/>
        <charset val="134"/>
      </rPr>
      <t>01-08-2026 09:43</t>
    </r>
  </si>
  <si>
    <r>
      <rPr>
        <sz val="10"/>
        <color rgb="FF000000"/>
        <rFont val="JRFonts"/>
        <charset val="134"/>
      </rPr>
      <t>22-08-2026 10:46</t>
    </r>
  </si>
  <si>
    <r>
      <rPr>
        <sz val="10"/>
        <color rgb="FF000000"/>
        <rFont val="JRFonts"/>
        <charset val="134"/>
      </rPr>
      <t>03-08-2026 12:42</t>
    </r>
  </si>
  <si>
    <r>
      <rPr>
        <sz val="10"/>
        <color rgb="FF0000FF"/>
        <rFont val="JRFonts"/>
        <charset val="134"/>
      </rPr>
      <t>22041</t>
    </r>
  </si>
  <si>
    <r>
      <rPr>
        <sz val="10"/>
        <color rgb="FF000000"/>
        <rFont val="JRFonts"/>
        <charset val="134"/>
      </rPr>
      <t>01-08-2026 10:31</t>
    </r>
  </si>
  <si>
    <r>
      <rPr>
        <sz val="10"/>
        <color rgb="FF000000"/>
        <rFont val="JRFonts"/>
        <charset val="134"/>
      </rPr>
      <t>05-08-2026 18:27</t>
    </r>
  </si>
  <si>
    <r>
      <rPr>
        <sz val="10"/>
        <color rgb="FF000000"/>
        <rFont val="JRFonts"/>
        <charset val="134"/>
      </rPr>
      <t>03-08-2026 15:47</t>
    </r>
  </si>
  <si>
    <t>22041</t>
  </si>
  <si>
    <r>
      <rPr>
        <sz val="10"/>
        <color rgb="FF0000FF"/>
        <rFont val="JRFonts"/>
        <charset val="134"/>
      </rPr>
      <t>22042</t>
    </r>
  </si>
  <si>
    <r>
      <rPr>
        <sz val="10"/>
        <color rgb="FF000000"/>
        <rFont val="JRFonts"/>
        <charset val="134"/>
      </rPr>
      <t>01-08-2026 10:46</t>
    </r>
  </si>
  <si>
    <r>
      <rPr>
        <sz val="10"/>
        <color rgb="FF000000"/>
        <rFont val="JRFonts"/>
        <charset val="134"/>
      </rPr>
      <t>06-08-2026 10:25</t>
    </r>
  </si>
  <si>
    <r>
      <rPr>
        <sz val="10"/>
        <color rgb="FF000000"/>
        <rFont val="JRFonts"/>
        <charset val="134"/>
      </rPr>
      <t>03-08-2026 12:44</t>
    </r>
  </si>
  <si>
    <r>
      <rPr>
        <sz val="10"/>
        <color rgb="FF0000FF"/>
        <rFont val="JRFonts"/>
        <charset val="134"/>
      </rPr>
      <t>22045</t>
    </r>
  </si>
  <si>
    <r>
      <rPr>
        <sz val="10"/>
        <color rgb="FF000000"/>
        <rFont val="JRFonts"/>
        <charset val="134"/>
      </rPr>
      <t>01-08-2026 11:11</t>
    </r>
  </si>
  <si>
    <r>
      <rPr>
        <sz val="10"/>
        <color rgb="FF000000"/>
        <rFont val="JRFonts"/>
        <charset val="134"/>
      </rPr>
      <t>07-08-2026 15:56</t>
    </r>
  </si>
  <si>
    <r>
      <rPr>
        <sz val="10"/>
        <color rgb="FF000000"/>
        <rFont val="JRFonts"/>
        <charset val="134"/>
      </rPr>
      <t>03-08-2026 12:55</t>
    </r>
  </si>
  <si>
    <t>22045</t>
  </si>
  <si>
    <r>
      <rPr>
        <sz val="10"/>
        <color rgb="FF0000FF"/>
        <rFont val="JRFonts"/>
        <charset val="134"/>
      </rPr>
      <t>22048</t>
    </r>
  </si>
  <si>
    <r>
      <rPr>
        <sz val="10"/>
        <color rgb="FF000000"/>
        <rFont val="JRFonts"/>
        <charset val="134"/>
      </rPr>
      <t>01-08-2026 11:35</t>
    </r>
  </si>
  <si>
    <r>
      <rPr>
        <sz val="10"/>
        <color rgb="FF000000"/>
        <rFont val="JRFonts"/>
        <charset val="134"/>
      </rPr>
      <t>11-08-2026 11:57</t>
    </r>
  </si>
  <si>
    <r>
      <rPr>
        <sz val="10"/>
        <color rgb="FF000000"/>
        <rFont val="JRFonts"/>
        <charset val="134"/>
      </rPr>
      <t>04-08-2026 10:58</t>
    </r>
  </si>
  <si>
    <t>22048</t>
  </si>
  <si>
    <r>
      <rPr>
        <sz val="10"/>
        <color rgb="FF0000FF"/>
        <rFont val="JRFonts"/>
        <charset val="134"/>
      </rPr>
      <t>22049</t>
    </r>
  </si>
  <si>
    <r>
      <rPr>
        <sz val="10"/>
        <color rgb="FF000000"/>
        <rFont val="JRFonts"/>
        <charset val="134"/>
      </rPr>
      <t>01-08-2026 11:38</t>
    </r>
  </si>
  <si>
    <r>
      <rPr>
        <sz val="10"/>
        <color rgb="FF000000"/>
        <rFont val="JRFonts"/>
        <charset val="134"/>
      </rPr>
      <t>03-08-2026 17:34</t>
    </r>
  </si>
  <si>
    <r>
      <rPr>
        <sz val="10"/>
        <color rgb="FF0000FF"/>
        <rFont val="JRFonts"/>
        <charset val="134"/>
      </rPr>
      <t>22050</t>
    </r>
  </si>
  <si>
    <r>
      <rPr>
        <sz val="10"/>
        <color rgb="FF000000"/>
        <rFont val="JRFonts"/>
        <charset val="134"/>
      </rPr>
      <t>01-08-2026 12:36</t>
    </r>
  </si>
  <si>
    <r>
      <rPr>
        <sz val="10"/>
        <color rgb="FF000000"/>
        <rFont val="JRFonts"/>
        <charset val="134"/>
      </rPr>
      <t>18-08-2026 12:50</t>
    </r>
  </si>
  <si>
    <r>
      <rPr>
        <sz val="10"/>
        <color rgb="FF000000"/>
        <rFont val="JRFonts"/>
        <charset val="134"/>
      </rPr>
      <t>04-08-2026 11:50</t>
    </r>
  </si>
  <si>
    <t>22050</t>
  </si>
  <si>
    <t>Was pending for approval</t>
  </si>
  <si>
    <r>
      <rPr>
        <sz val="10"/>
        <color rgb="FF0000FF"/>
        <rFont val="JRFonts"/>
        <charset val="134"/>
      </rPr>
      <t>22052</t>
    </r>
  </si>
  <si>
    <r>
      <rPr>
        <sz val="10"/>
        <color rgb="FF000000"/>
        <rFont val="JRFonts"/>
        <charset val="134"/>
      </rPr>
      <t>01-08-2026 12:48</t>
    </r>
  </si>
  <si>
    <r>
      <rPr>
        <sz val="10"/>
        <color rgb="FF000000"/>
        <rFont val="JRFonts"/>
        <charset val="134"/>
      </rPr>
      <t>07-08-2026 15:57</t>
    </r>
  </si>
  <si>
    <r>
      <rPr>
        <sz val="10"/>
        <color rgb="FF000000"/>
        <rFont val="JRFonts"/>
        <charset val="134"/>
      </rPr>
      <t>03-08-2026 14:15</t>
    </r>
  </si>
  <si>
    <t>22052</t>
  </si>
  <si>
    <r>
      <rPr>
        <sz val="10"/>
        <color rgb="FF0000FF"/>
        <rFont val="JRFonts"/>
        <charset val="134"/>
      </rPr>
      <t>22053</t>
    </r>
  </si>
  <si>
    <r>
      <rPr>
        <sz val="10"/>
        <color rgb="FF000000"/>
        <rFont val="JRFonts"/>
        <charset val="134"/>
      </rPr>
      <t>02-08-2026 14:07</t>
    </r>
  </si>
  <si>
    <r>
      <rPr>
        <sz val="10"/>
        <color rgb="FF0000FF"/>
        <rFont val="JRFonts"/>
        <charset val="134"/>
      </rPr>
      <t>22054</t>
    </r>
  </si>
  <si>
    <r>
      <rPr>
        <sz val="10"/>
        <color rgb="FF000000"/>
        <rFont val="JRFonts"/>
        <charset val="134"/>
      </rPr>
      <t>01-08-2026 12:51</t>
    </r>
  </si>
  <si>
    <r>
      <rPr>
        <sz val="10"/>
        <color rgb="FF000000"/>
        <rFont val="JRFonts"/>
        <charset val="134"/>
      </rPr>
      <t>22-08-2026 10:27</t>
    </r>
  </si>
  <si>
    <r>
      <rPr>
        <sz val="10"/>
        <color rgb="FF000000"/>
        <rFont val="JRFonts"/>
        <charset val="134"/>
      </rPr>
      <t>03-08-2026 14:16</t>
    </r>
  </si>
  <si>
    <r>
      <rPr>
        <sz val="10"/>
        <color rgb="FF0000FF"/>
        <rFont val="JRFonts"/>
        <charset val="134"/>
      </rPr>
      <t>22055</t>
    </r>
  </si>
  <si>
    <r>
      <rPr>
        <sz val="10"/>
        <color rgb="FF000000"/>
        <rFont val="JRFonts"/>
        <charset val="134"/>
      </rPr>
      <t>02-08-2026 08:13</t>
    </r>
  </si>
  <si>
    <r>
      <rPr>
        <sz val="10"/>
        <color rgb="FF000000"/>
        <rFont val="JRFonts"/>
        <charset val="134"/>
      </rPr>
      <t>02-08-2026 08:12</t>
    </r>
  </si>
  <si>
    <r>
      <rPr>
        <sz val="10"/>
        <color rgb="FF0000FF"/>
        <rFont val="JRFonts"/>
        <charset val="134"/>
      </rPr>
      <t>22058</t>
    </r>
  </si>
  <si>
    <r>
      <rPr>
        <sz val="10"/>
        <color rgb="FF000000"/>
        <rFont val="JRFonts"/>
        <charset val="134"/>
      </rPr>
      <t>01-08-2026 13:31</t>
    </r>
  </si>
  <si>
    <r>
      <rPr>
        <sz val="10"/>
        <color rgb="FF000000"/>
        <rFont val="JRFonts"/>
        <charset val="134"/>
      </rPr>
      <t>03-08-2026 18:39</t>
    </r>
  </si>
  <si>
    <r>
      <rPr>
        <sz val="10"/>
        <color rgb="FF000000"/>
        <rFont val="JRFonts"/>
        <charset val="134"/>
      </rPr>
      <t>03-08-2026 14:18</t>
    </r>
  </si>
  <si>
    <t>22059</t>
  </si>
  <si>
    <r>
      <rPr>
        <sz val="10"/>
        <color rgb="FF000000"/>
        <rFont val="JRFonts"/>
        <charset val="134"/>
      </rPr>
      <t>01-08-2026 13:49</t>
    </r>
  </si>
  <si>
    <r>
      <rPr>
        <sz val="10"/>
        <color rgb="FF000000"/>
        <rFont val="JRFonts"/>
        <charset val="134"/>
      </rPr>
      <t>05-08-2026 12:59</t>
    </r>
  </si>
  <si>
    <r>
      <rPr>
        <sz val="10"/>
        <color rgb="FF000000"/>
        <rFont val="JRFonts"/>
        <charset val="134"/>
      </rPr>
      <t>03-08-2026 12:47</t>
    </r>
  </si>
  <si>
    <r>
      <rPr>
        <sz val="10"/>
        <color rgb="FF0000FF"/>
        <rFont val="JRFonts"/>
        <charset val="134"/>
      </rPr>
      <t>22061</t>
    </r>
  </si>
  <si>
    <r>
      <rPr>
        <sz val="10"/>
        <color rgb="FF000000"/>
        <rFont val="JRFonts"/>
        <charset val="134"/>
      </rPr>
      <t>01-08-2026 14:35</t>
    </r>
  </si>
  <si>
    <r>
      <rPr>
        <sz val="10"/>
        <color rgb="FF000000"/>
        <rFont val="JRFonts"/>
        <charset val="134"/>
      </rPr>
      <t>03-08-2026 15:14</t>
    </r>
  </si>
  <si>
    <r>
      <rPr>
        <sz val="10"/>
        <color rgb="FF0000FF"/>
        <rFont val="JRFonts"/>
        <charset val="134"/>
      </rPr>
      <t>22067</t>
    </r>
  </si>
  <si>
    <r>
      <rPr>
        <sz val="10"/>
        <color rgb="FF000000"/>
        <rFont val="JRFonts"/>
        <charset val="134"/>
      </rPr>
      <t>01-08-2026 14:59</t>
    </r>
  </si>
  <si>
    <r>
      <rPr>
        <sz val="10"/>
        <color rgb="FF000000"/>
        <rFont val="JRFonts"/>
        <charset val="134"/>
      </rPr>
      <t>07-08-2026 15:58</t>
    </r>
  </si>
  <si>
    <r>
      <rPr>
        <sz val="10"/>
        <color rgb="FF000000"/>
        <rFont val="JRFonts"/>
        <charset val="134"/>
      </rPr>
      <t>04-08-2026 11:53</t>
    </r>
  </si>
  <si>
    <t>22067</t>
  </si>
  <si>
    <r>
      <rPr>
        <sz val="10"/>
        <color rgb="FF0000FF"/>
        <rFont val="JRFonts"/>
        <charset val="134"/>
      </rPr>
      <t>22069</t>
    </r>
  </si>
  <si>
    <r>
      <rPr>
        <sz val="10"/>
        <color rgb="FF000000"/>
        <rFont val="JRFonts"/>
        <charset val="134"/>
      </rPr>
      <t>01-08-2026 15:38</t>
    </r>
  </si>
  <si>
    <r>
      <rPr>
        <sz val="10"/>
        <color rgb="FF000000"/>
        <rFont val="JRFonts"/>
        <charset val="134"/>
      </rPr>
      <t>06-08-2026 12:18</t>
    </r>
  </si>
  <si>
    <r>
      <rPr>
        <sz val="10"/>
        <color rgb="FF000000"/>
        <rFont val="JRFonts"/>
        <charset val="134"/>
      </rPr>
      <t>03-08-2026 16:01</t>
    </r>
  </si>
  <si>
    <t>22069</t>
  </si>
  <si>
    <r>
      <rPr>
        <sz val="10"/>
        <color rgb="FF0000FF"/>
        <rFont val="JRFonts"/>
        <charset val="134"/>
      </rPr>
      <t>22071</t>
    </r>
  </si>
  <si>
    <r>
      <rPr>
        <sz val="10"/>
        <color rgb="FF000000"/>
        <rFont val="JRFonts"/>
        <charset val="134"/>
      </rPr>
      <t>01-08-2026 15:54</t>
    </r>
  </si>
  <si>
    <r>
      <rPr>
        <sz val="10"/>
        <color rgb="FF000000"/>
        <rFont val="JRFonts"/>
        <charset val="134"/>
      </rPr>
      <t>02-08-2026 08:17</t>
    </r>
  </si>
  <si>
    <r>
      <rPr>
        <sz val="10"/>
        <color rgb="FF000000"/>
        <rFont val="JRFonts"/>
        <charset val="134"/>
      </rPr>
      <t>02-08-2026 08:16</t>
    </r>
  </si>
  <si>
    <r>
      <rPr>
        <sz val="10"/>
        <color rgb="FF0000FF"/>
        <rFont val="JRFonts"/>
        <charset val="134"/>
      </rPr>
      <t>22072</t>
    </r>
  </si>
  <si>
    <r>
      <rPr>
        <sz val="10"/>
        <color rgb="FF000000"/>
        <rFont val="JRFonts"/>
        <charset val="134"/>
      </rPr>
      <t>01-08-2026 16:48</t>
    </r>
  </si>
  <si>
    <r>
      <rPr>
        <sz val="10"/>
        <color rgb="FF000000"/>
        <rFont val="JRFonts"/>
        <charset val="134"/>
      </rPr>
      <t>05-08-2026 11:02</t>
    </r>
  </si>
  <si>
    <r>
      <rPr>
        <sz val="10"/>
        <color rgb="FF0000FF"/>
        <rFont val="JRFonts"/>
        <charset val="134"/>
      </rPr>
      <t>22075</t>
    </r>
  </si>
  <si>
    <r>
      <rPr>
        <sz val="10"/>
        <color rgb="FF000000"/>
        <rFont val="JRFonts"/>
        <charset val="134"/>
      </rPr>
      <t>01-08-2026 17:06</t>
    </r>
  </si>
  <si>
    <r>
      <rPr>
        <sz val="10"/>
        <color rgb="FF000000"/>
        <rFont val="JRFonts"/>
        <charset val="134"/>
      </rPr>
      <t>04-08-2026 14:29</t>
    </r>
  </si>
  <si>
    <r>
      <rPr>
        <sz val="10"/>
        <color rgb="FF000000"/>
        <rFont val="JRFonts"/>
        <charset val="134"/>
      </rPr>
      <t>04-08-2026 12:27</t>
    </r>
  </si>
  <si>
    <r>
      <rPr>
        <sz val="10"/>
        <color rgb="FF0000FF"/>
        <rFont val="JRFonts"/>
        <charset val="134"/>
      </rPr>
      <t>22080</t>
    </r>
  </si>
  <si>
    <r>
      <rPr>
        <sz val="10"/>
        <color rgb="FF000000"/>
        <rFont val="JRFonts"/>
        <charset val="134"/>
      </rPr>
      <t>01-08-2026 17:58</t>
    </r>
  </si>
  <si>
    <r>
      <rPr>
        <sz val="10"/>
        <color rgb="FF000000"/>
        <rFont val="JRFonts"/>
        <charset val="134"/>
      </rPr>
      <t>11-08-2026 14:18</t>
    </r>
  </si>
  <si>
    <r>
      <rPr>
        <sz val="10"/>
        <color rgb="FF000000"/>
        <rFont val="JRFonts"/>
        <charset val="134"/>
      </rPr>
      <t>03-08-2026 10:55</t>
    </r>
  </si>
  <si>
    <t>22080</t>
  </si>
  <si>
    <r>
      <rPr>
        <sz val="10"/>
        <color rgb="FF0000FF"/>
        <rFont val="JRFonts"/>
        <charset val="134"/>
      </rPr>
      <t>22082</t>
    </r>
  </si>
  <si>
    <r>
      <rPr>
        <sz val="10"/>
        <color rgb="FF000000"/>
        <rFont val="JRFonts"/>
        <charset val="134"/>
      </rPr>
      <t>01-08-2026 19:45</t>
    </r>
  </si>
  <si>
    <r>
      <rPr>
        <sz val="10"/>
        <color rgb="FF000000"/>
        <rFont val="JRFonts"/>
        <charset val="134"/>
      </rPr>
      <t>03-08-2026 10:41</t>
    </r>
  </si>
  <si>
    <r>
      <rPr>
        <sz val="10"/>
        <color rgb="FF0000FF"/>
        <rFont val="JRFonts"/>
        <charset val="134"/>
      </rPr>
      <t>22083</t>
    </r>
  </si>
  <si>
    <r>
      <rPr>
        <sz val="10"/>
        <color rgb="FF000000"/>
        <rFont val="JRFonts"/>
        <charset val="134"/>
      </rPr>
      <t>01-08-2026 21:25</t>
    </r>
  </si>
  <si>
    <r>
      <rPr>
        <sz val="10"/>
        <color rgb="FF000000"/>
        <rFont val="JRFonts"/>
        <charset val="134"/>
      </rPr>
      <t>04-08-2026 18:31</t>
    </r>
  </si>
  <si>
    <r>
      <rPr>
        <sz val="10"/>
        <color rgb="FF0000FF"/>
        <rFont val="JRFonts"/>
        <charset val="134"/>
      </rPr>
      <t>22084</t>
    </r>
  </si>
  <si>
    <r>
      <rPr>
        <sz val="10"/>
        <color rgb="FF000000"/>
        <rFont val="JRFonts"/>
        <charset val="134"/>
      </rPr>
      <t>01-08-2026 21:43</t>
    </r>
  </si>
  <si>
    <r>
      <rPr>
        <sz val="10"/>
        <color rgb="FF000000"/>
        <rFont val="JRFonts"/>
        <charset val="134"/>
      </rPr>
      <t>22-08-2026 10:31</t>
    </r>
  </si>
  <si>
    <r>
      <rPr>
        <sz val="10"/>
        <color rgb="FF0000FF"/>
        <rFont val="JRFonts"/>
        <charset val="134"/>
      </rPr>
      <t>22085</t>
    </r>
  </si>
  <si>
    <r>
      <rPr>
        <sz val="10"/>
        <color rgb="FF000000"/>
        <rFont val="JRFonts"/>
        <charset val="134"/>
      </rPr>
      <t>01-08-2026 23:23</t>
    </r>
  </si>
  <si>
    <r>
      <rPr>
        <sz val="10"/>
        <color rgb="FF000000"/>
        <rFont val="JRFonts"/>
        <charset val="134"/>
      </rPr>
      <t>22-08-2026 11:05</t>
    </r>
  </si>
  <si>
    <r>
      <rPr>
        <sz val="10"/>
        <color rgb="FF0000FF"/>
        <rFont val="JRFonts"/>
        <charset val="134"/>
      </rPr>
      <t>22086</t>
    </r>
  </si>
  <si>
    <r>
      <rPr>
        <sz val="10"/>
        <color rgb="FF000000"/>
        <rFont val="JRFonts"/>
        <charset val="134"/>
      </rPr>
      <t>01-08-2026 23:50</t>
    </r>
  </si>
  <si>
    <r>
      <rPr>
        <sz val="10"/>
        <color rgb="FF000000"/>
        <rFont val="JRFonts"/>
        <charset val="134"/>
      </rPr>
      <t>24-08-2026 10:05</t>
    </r>
  </si>
  <si>
    <r>
      <rPr>
        <sz val="10"/>
        <color rgb="FF0000FF"/>
        <rFont val="JRFonts"/>
        <charset val="134"/>
      </rPr>
      <t>22087</t>
    </r>
  </si>
  <si>
    <r>
      <rPr>
        <sz val="10"/>
        <color rgb="FF000000"/>
        <rFont val="JRFonts"/>
        <charset val="134"/>
      </rPr>
      <t>01-08-2026 23:53</t>
    </r>
  </si>
  <si>
    <r>
      <rPr>
        <sz val="10"/>
        <color rgb="FF000000"/>
        <rFont val="JRFonts"/>
        <charset val="134"/>
      </rPr>
      <t>25-08-2026 10:11</t>
    </r>
  </si>
  <si>
    <r>
      <rPr>
        <sz val="10"/>
        <color rgb="FF0000FF"/>
        <rFont val="JRFonts"/>
        <charset val="134"/>
      </rPr>
      <t>22088</t>
    </r>
  </si>
  <si>
    <r>
      <rPr>
        <sz val="10"/>
        <color rgb="FF000000"/>
        <rFont val="JRFonts"/>
        <charset val="134"/>
      </rPr>
      <t>02-08-2026 09:32</t>
    </r>
  </si>
  <si>
    <r>
      <rPr>
        <sz val="10"/>
        <color rgb="FF000000"/>
        <rFont val="JRFonts"/>
        <charset val="134"/>
      </rPr>
      <t>03-08-2026 10:48</t>
    </r>
  </si>
  <si>
    <r>
      <rPr>
        <sz val="10"/>
        <color rgb="FF000000"/>
        <rFont val="JRFonts"/>
        <charset val="134"/>
      </rPr>
      <t>03-08-2026 10:47</t>
    </r>
  </si>
  <si>
    <r>
      <rPr>
        <sz val="10"/>
        <color rgb="FF0000FF"/>
        <rFont val="JRFonts"/>
        <charset val="134"/>
      </rPr>
      <t>22089</t>
    </r>
  </si>
  <si>
    <r>
      <rPr>
        <sz val="10"/>
        <color rgb="FF000000"/>
        <rFont val="JRFonts"/>
        <charset val="134"/>
      </rPr>
      <t>02-08-2026 19:12</t>
    </r>
  </si>
  <si>
    <r>
      <rPr>
        <sz val="10"/>
        <color rgb="FF000000"/>
        <rFont val="JRFonts"/>
        <charset val="134"/>
      </rPr>
      <t>22-08-2026 13:16</t>
    </r>
  </si>
  <si>
    <r>
      <rPr>
        <sz val="10"/>
        <color rgb="FF000000"/>
        <rFont val="JRFonts"/>
        <charset val="134"/>
      </rPr>
      <t>03-08-2026 10:49</t>
    </r>
  </si>
  <si>
    <r>
      <rPr>
        <sz val="10"/>
        <color rgb="FF0000FF"/>
        <rFont val="JRFonts"/>
        <charset val="134"/>
      </rPr>
      <t>22090</t>
    </r>
  </si>
  <si>
    <r>
      <rPr>
        <sz val="10"/>
        <color rgb="FF000000"/>
        <rFont val="JRFonts"/>
        <charset val="134"/>
      </rPr>
      <t>02-08-2026 19:18</t>
    </r>
  </si>
  <si>
    <r>
      <rPr>
        <sz val="10"/>
        <color rgb="FF000000"/>
        <rFont val="JRFonts"/>
        <charset val="134"/>
      </rPr>
      <t>22-08-2026 13:23</t>
    </r>
  </si>
  <si>
    <r>
      <rPr>
        <sz val="10"/>
        <color rgb="FF000000"/>
        <rFont val="JRFonts"/>
        <charset val="134"/>
      </rPr>
      <t>03-08-2026 10:50</t>
    </r>
  </si>
  <si>
    <r>
      <rPr>
        <sz val="10"/>
        <color rgb="FF0000FF"/>
        <rFont val="JRFonts"/>
        <charset val="134"/>
      </rPr>
      <t>22092</t>
    </r>
  </si>
  <si>
    <r>
      <rPr>
        <sz val="10"/>
        <color rgb="FF000000"/>
        <rFont val="JRFonts"/>
        <charset val="134"/>
      </rPr>
      <t>03-08-2026 10:01</t>
    </r>
  </si>
  <si>
    <r>
      <rPr>
        <sz val="10"/>
        <color rgb="FF000000"/>
        <rFont val="JRFonts"/>
        <charset val="134"/>
      </rPr>
      <t>03-08-2026 17:19</t>
    </r>
  </si>
  <si>
    <r>
      <rPr>
        <sz val="10"/>
        <color rgb="FF000000"/>
        <rFont val="JRFonts"/>
        <charset val="134"/>
      </rPr>
      <t>03-08-2026 10:52</t>
    </r>
  </si>
  <si>
    <r>
      <rPr>
        <sz val="10"/>
        <color rgb="FF0000FF"/>
        <rFont val="JRFonts"/>
        <charset val="134"/>
      </rPr>
      <t>22093</t>
    </r>
  </si>
  <si>
    <r>
      <rPr>
        <sz val="10"/>
        <color rgb="FF000000"/>
        <rFont val="JRFonts"/>
        <charset val="134"/>
      </rPr>
      <t>25-08-2026 11:58</t>
    </r>
  </si>
  <si>
    <r>
      <rPr>
        <sz val="10"/>
        <color rgb="FF000000"/>
        <rFont val="JRFonts"/>
        <charset val="134"/>
      </rPr>
      <t>03-08-2026 10:54</t>
    </r>
  </si>
  <si>
    <r>
      <rPr>
        <sz val="10"/>
        <color rgb="FF0000FF"/>
        <rFont val="JRFonts"/>
        <charset val="134"/>
      </rPr>
      <t>22094</t>
    </r>
  </si>
  <si>
    <r>
      <rPr>
        <sz val="10"/>
        <color rgb="FF000000"/>
        <rFont val="JRFonts"/>
        <charset val="134"/>
      </rPr>
      <t>05-08-2026 00:31</t>
    </r>
  </si>
  <si>
    <r>
      <rPr>
        <sz val="10"/>
        <color rgb="FF000000"/>
        <rFont val="JRFonts"/>
        <charset val="134"/>
      </rPr>
      <t>03-08-2026 10:56</t>
    </r>
  </si>
  <si>
    <r>
      <rPr>
        <sz val="10"/>
        <color rgb="FF0000FF"/>
        <rFont val="JRFonts"/>
        <charset val="134"/>
      </rPr>
      <t>22095</t>
    </r>
  </si>
  <si>
    <r>
      <rPr>
        <sz val="10"/>
        <color rgb="FF000000"/>
        <rFont val="JRFonts"/>
        <charset val="134"/>
      </rPr>
      <t>03-08-2026 17:30</t>
    </r>
  </si>
  <si>
    <r>
      <rPr>
        <sz val="10"/>
        <color rgb="FF0000FF"/>
        <rFont val="JRFonts"/>
        <charset val="134"/>
      </rPr>
      <t>22097</t>
    </r>
  </si>
  <si>
    <r>
      <rPr>
        <sz val="10"/>
        <color rgb="FF000000"/>
        <rFont val="JRFonts"/>
        <charset val="134"/>
      </rPr>
      <t>03-08-2026 10:34</t>
    </r>
  </si>
  <si>
    <r>
      <rPr>
        <sz val="10"/>
        <color rgb="FF000000"/>
        <rFont val="JRFonts"/>
        <charset val="134"/>
      </rPr>
      <t>06-08-2026 11:04</t>
    </r>
  </si>
  <si>
    <r>
      <rPr>
        <sz val="10"/>
        <color rgb="FF000000"/>
        <rFont val="JRFonts"/>
        <charset val="134"/>
      </rPr>
      <t>03-08-2026 10:59</t>
    </r>
  </si>
  <si>
    <r>
      <rPr>
        <sz val="10"/>
        <color rgb="FF0000FF"/>
        <rFont val="JRFonts"/>
        <charset val="134"/>
      </rPr>
      <t>22098</t>
    </r>
  </si>
  <si>
    <r>
      <rPr>
        <sz val="10"/>
        <color rgb="FF000000"/>
        <rFont val="JRFonts"/>
        <charset val="134"/>
      </rPr>
      <t>07-08-2026 17:56</t>
    </r>
  </si>
  <si>
    <r>
      <rPr>
        <sz val="10"/>
        <color rgb="FF000000"/>
        <rFont val="JRFonts"/>
        <charset val="134"/>
      </rPr>
      <t>03-08-2026 11:03</t>
    </r>
  </si>
  <si>
    <r>
      <rPr>
        <sz val="10"/>
        <color rgb="FF0000FF"/>
        <rFont val="JRFonts"/>
        <charset val="134"/>
      </rPr>
      <t>22099</t>
    </r>
  </si>
  <si>
    <r>
      <rPr>
        <sz val="10"/>
        <color rgb="FF000000"/>
        <rFont val="JRFonts"/>
        <charset val="134"/>
      </rPr>
      <t>03-08-2026 11:54</t>
    </r>
  </si>
  <si>
    <r>
      <rPr>
        <sz val="10"/>
        <color rgb="FF000000"/>
        <rFont val="JRFonts"/>
        <charset val="134"/>
      </rPr>
      <t>03-08-2026 11:05</t>
    </r>
  </si>
  <si>
    <r>
      <rPr>
        <sz val="10"/>
        <color rgb="FF0000FF"/>
        <rFont val="JRFonts"/>
        <charset val="134"/>
      </rPr>
      <t>22100</t>
    </r>
  </si>
  <si>
    <r>
      <rPr>
        <sz val="10"/>
        <color rgb="FF000000"/>
        <rFont val="JRFonts"/>
        <charset val="134"/>
      </rPr>
      <t>03-08-2026 14:12</t>
    </r>
  </si>
  <si>
    <r>
      <rPr>
        <sz val="10"/>
        <color rgb="FF000000"/>
        <rFont val="JRFonts"/>
        <charset val="134"/>
      </rPr>
      <t>03-08-2026 11:06</t>
    </r>
  </si>
  <si>
    <r>
      <rPr>
        <sz val="10"/>
        <color rgb="FF0000FF"/>
        <rFont val="JRFonts"/>
        <charset val="134"/>
      </rPr>
      <t>22102</t>
    </r>
  </si>
  <si>
    <r>
      <rPr>
        <sz val="10"/>
        <color rgb="FF000000"/>
        <rFont val="JRFonts"/>
        <charset val="134"/>
      </rPr>
      <t>03-08-2026 12:12</t>
    </r>
  </si>
  <si>
    <r>
      <rPr>
        <sz val="10"/>
        <color rgb="FF000000"/>
        <rFont val="JRFonts"/>
        <charset val="134"/>
      </rPr>
      <t>03-08-2026 11:07</t>
    </r>
  </si>
  <si>
    <r>
      <rPr>
        <sz val="10"/>
        <color rgb="FF0000FF"/>
        <rFont val="JRFonts"/>
        <charset val="134"/>
      </rPr>
      <t>22103</t>
    </r>
  </si>
  <si>
    <r>
      <rPr>
        <sz val="10"/>
        <color rgb="FF000000"/>
        <rFont val="JRFonts"/>
        <charset val="134"/>
      </rPr>
      <t>06-08-2026 10:28</t>
    </r>
  </si>
  <si>
    <r>
      <rPr>
        <sz val="10"/>
        <color rgb="FF000000"/>
        <rFont val="JRFonts"/>
        <charset val="134"/>
      </rPr>
      <t>03-08-2026 11:08</t>
    </r>
  </si>
  <si>
    <r>
      <rPr>
        <sz val="10"/>
        <color rgb="FF0000FF"/>
        <rFont val="JRFonts"/>
        <charset val="134"/>
      </rPr>
      <t>22104</t>
    </r>
  </si>
  <si>
    <r>
      <rPr>
        <sz val="10"/>
        <color rgb="FF000000"/>
        <rFont val="JRFonts"/>
        <charset val="134"/>
      </rPr>
      <t>03-08-2026 10:53</t>
    </r>
  </si>
  <si>
    <r>
      <rPr>
        <sz val="10"/>
        <color rgb="FF000000"/>
        <rFont val="JRFonts"/>
        <charset val="134"/>
      </rPr>
      <t>04-08-2026 14:26</t>
    </r>
  </si>
  <si>
    <r>
      <rPr>
        <sz val="10"/>
        <color rgb="FF000000"/>
        <rFont val="JRFonts"/>
        <charset val="134"/>
      </rPr>
      <t>03-08-2026 11:10</t>
    </r>
  </si>
  <si>
    <r>
      <rPr>
        <sz val="10"/>
        <color rgb="FF0000FF"/>
        <rFont val="JRFonts"/>
        <charset val="134"/>
      </rPr>
      <t>22105</t>
    </r>
  </si>
  <si>
    <r>
      <rPr>
        <sz val="10"/>
        <color rgb="FF000000"/>
        <rFont val="JRFonts"/>
        <charset val="134"/>
      </rPr>
      <t>07-08-2026 17:57</t>
    </r>
  </si>
  <si>
    <r>
      <rPr>
        <sz val="10"/>
        <color rgb="FF000000"/>
        <rFont val="JRFonts"/>
        <charset val="134"/>
      </rPr>
      <t>03-08-2026 11:28</t>
    </r>
  </si>
  <si>
    <r>
      <rPr>
        <sz val="10"/>
        <color rgb="FF0000FF"/>
        <rFont val="JRFonts"/>
        <charset val="134"/>
      </rPr>
      <t>22107</t>
    </r>
  </si>
  <si>
    <r>
      <rPr>
        <sz val="10"/>
        <color rgb="FF000000"/>
        <rFont val="JRFonts"/>
        <charset val="134"/>
      </rPr>
      <t>03-08-2026 11:11</t>
    </r>
  </si>
  <si>
    <r>
      <rPr>
        <sz val="10"/>
        <color rgb="FF000000"/>
        <rFont val="JRFonts"/>
        <charset val="134"/>
      </rPr>
      <t>04-08-2026 14:40</t>
    </r>
  </si>
  <si>
    <r>
      <rPr>
        <sz val="10"/>
        <color rgb="FF000000"/>
        <rFont val="JRFonts"/>
        <charset val="134"/>
      </rPr>
      <t>03-08-2026 11:33</t>
    </r>
  </si>
  <si>
    <r>
      <rPr>
        <sz val="10"/>
        <color rgb="FF0000FF"/>
        <rFont val="JRFonts"/>
        <charset val="134"/>
      </rPr>
      <t>22108</t>
    </r>
  </si>
  <si>
    <r>
      <rPr>
        <sz val="10"/>
        <color rgb="FF000000"/>
        <rFont val="JRFonts"/>
        <charset val="134"/>
      </rPr>
      <t>11-08-2026 15:43</t>
    </r>
  </si>
  <si>
    <r>
      <rPr>
        <sz val="10"/>
        <color rgb="FF000000"/>
        <rFont val="JRFonts"/>
        <charset val="134"/>
      </rPr>
      <t>04-08-2026 12:14</t>
    </r>
  </si>
  <si>
    <t>22108</t>
  </si>
  <si>
    <r>
      <rPr>
        <sz val="10"/>
        <color rgb="FF0000FF"/>
        <rFont val="JRFonts"/>
        <charset val="134"/>
      </rPr>
      <t>22110</t>
    </r>
  </si>
  <si>
    <r>
      <rPr>
        <sz val="10"/>
        <color rgb="FF000000"/>
        <rFont val="JRFonts"/>
        <charset val="134"/>
      </rPr>
      <t>05-08-2026 14:45</t>
    </r>
  </si>
  <si>
    <r>
      <rPr>
        <sz val="10"/>
        <color rgb="FF000000"/>
        <rFont val="JRFonts"/>
        <charset val="134"/>
      </rPr>
      <t>04-08-2026 11:52</t>
    </r>
  </si>
  <si>
    <r>
      <rPr>
        <sz val="10"/>
        <color rgb="FF0000FF"/>
        <rFont val="JRFonts"/>
        <charset val="134"/>
      </rPr>
      <t>22111</t>
    </r>
  </si>
  <si>
    <r>
      <rPr>
        <sz val="10"/>
        <color rgb="FF000000"/>
        <rFont val="JRFonts"/>
        <charset val="134"/>
      </rPr>
      <t>03-08-2026 11:24</t>
    </r>
  </si>
  <si>
    <r>
      <rPr>
        <sz val="10"/>
        <color rgb="FF000000"/>
        <rFont val="JRFonts"/>
        <charset val="134"/>
      </rPr>
      <t>21-08-2026 13:01</t>
    </r>
  </si>
  <si>
    <r>
      <rPr>
        <sz val="10"/>
        <color rgb="FF000000"/>
        <rFont val="JRFonts"/>
        <charset val="134"/>
      </rPr>
      <t>03-08-2026 11:59</t>
    </r>
  </si>
  <si>
    <r>
      <rPr>
        <sz val="10"/>
        <color rgb="FF0000FF"/>
        <rFont val="JRFonts"/>
        <charset val="134"/>
      </rPr>
      <t>22112</t>
    </r>
  </si>
  <si>
    <r>
      <rPr>
        <sz val="10"/>
        <color rgb="FF000000"/>
        <rFont val="JRFonts"/>
        <charset val="134"/>
      </rPr>
      <t>05-08-2026 00:29</t>
    </r>
  </si>
  <si>
    <r>
      <rPr>
        <sz val="10"/>
        <color rgb="FF000000"/>
        <rFont val="JRFonts"/>
        <charset val="134"/>
      </rPr>
      <t>03-08-2026 12:02</t>
    </r>
  </si>
  <si>
    <t>22113</t>
  </si>
  <si>
    <r>
      <rPr>
        <sz val="10"/>
        <color rgb="FF000000"/>
        <rFont val="JRFonts"/>
        <charset val="134"/>
      </rPr>
      <t>03-08-2026 11:27</t>
    </r>
  </si>
  <si>
    <r>
      <rPr>
        <sz val="10"/>
        <color rgb="FF000000"/>
        <rFont val="JRFonts"/>
        <charset val="134"/>
      </rPr>
      <t>04-08-2026 10:44</t>
    </r>
  </si>
  <si>
    <r>
      <rPr>
        <sz val="10"/>
        <color rgb="FF000000"/>
        <rFont val="JRFonts"/>
        <charset val="134"/>
      </rPr>
      <t>03-08-2026 11:35</t>
    </r>
  </si>
  <si>
    <r>
      <rPr>
        <sz val="10"/>
        <color rgb="FF0000FF"/>
        <rFont val="JRFonts"/>
        <charset val="134"/>
      </rPr>
      <t>22113</t>
    </r>
  </si>
  <si>
    <r>
      <rPr>
        <sz val="10"/>
        <color rgb="FF0000FF"/>
        <rFont val="JRFonts"/>
        <charset val="134"/>
      </rPr>
      <t>22114</t>
    </r>
  </si>
  <si>
    <r>
      <rPr>
        <sz val="10"/>
        <color rgb="FF000000"/>
        <rFont val="JRFonts"/>
        <charset val="134"/>
      </rPr>
      <t>03-08-2026 12:32</t>
    </r>
  </si>
  <si>
    <r>
      <rPr>
        <sz val="10"/>
        <color rgb="FF000000"/>
        <rFont val="JRFonts"/>
        <charset val="134"/>
      </rPr>
      <t>03-08-2026 12:05</t>
    </r>
  </si>
  <si>
    <r>
      <rPr>
        <sz val="10"/>
        <color rgb="FF0000FF"/>
        <rFont val="JRFonts"/>
        <charset val="134"/>
      </rPr>
      <t>22116</t>
    </r>
  </si>
  <si>
    <r>
      <rPr>
        <sz val="10"/>
        <color rgb="FF000000"/>
        <rFont val="JRFonts"/>
        <charset val="134"/>
      </rPr>
      <t>03-08-2026 11:39</t>
    </r>
  </si>
  <si>
    <r>
      <rPr>
        <sz val="10"/>
        <color rgb="FF000000"/>
        <rFont val="JRFonts"/>
        <charset val="134"/>
      </rPr>
      <t>18-09-2026 18:17</t>
    </r>
  </si>
  <si>
    <r>
      <rPr>
        <sz val="10"/>
        <color rgb="FF000000"/>
        <rFont val="JRFonts"/>
        <charset val="134"/>
      </rPr>
      <t>03-08-2026 12:07</t>
    </r>
  </si>
  <si>
    <t>22116</t>
  </si>
  <si>
    <r>
      <rPr>
        <sz val="10"/>
        <color rgb="FF0000FF"/>
        <rFont val="JRFonts"/>
        <charset val="134"/>
      </rPr>
      <t>22117</t>
    </r>
  </si>
  <si>
    <r>
      <rPr>
        <sz val="10"/>
        <color rgb="FF000000"/>
        <rFont val="JRFonts"/>
        <charset val="134"/>
      </rPr>
      <t>04-08-2026 12:39</t>
    </r>
  </si>
  <si>
    <r>
      <rPr>
        <sz val="10"/>
        <color rgb="FF000000"/>
        <rFont val="JRFonts"/>
        <charset val="134"/>
      </rPr>
      <t>03-08-2026 12:10</t>
    </r>
  </si>
  <si>
    <r>
      <rPr>
        <sz val="10"/>
        <color rgb="FF0000FF"/>
        <rFont val="JRFonts"/>
        <charset val="134"/>
      </rPr>
      <t>22118</t>
    </r>
  </si>
  <si>
    <r>
      <rPr>
        <sz val="10"/>
        <color rgb="FF000000"/>
        <rFont val="JRFonts"/>
        <charset val="134"/>
      </rPr>
      <t>03-08-2026 11:51</t>
    </r>
  </si>
  <si>
    <r>
      <rPr>
        <sz val="10"/>
        <color rgb="FF000000"/>
        <rFont val="JRFonts"/>
        <charset val="134"/>
      </rPr>
      <t>31-08-2026 16:37</t>
    </r>
  </si>
  <si>
    <r>
      <rPr>
        <sz val="10"/>
        <color rgb="FF000000"/>
        <rFont val="JRFonts"/>
        <charset val="134"/>
      </rPr>
      <t>04-08-2026 11:43</t>
    </r>
  </si>
  <si>
    <r>
      <rPr>
        <sz val="10"/>
        <color rgb="FF0000FF"/>
        <rFont val="JRFonts"/>
        <charset val="134"/>
      </rPr>
      <t>22119</t>
    </r>
  </si>
  <si>
    <r>
      <rPr>
        <sz val="10"/>
        <color rgb="FF000000"/>
        <rFont val="JRFonts"/>
        <charset val="134"/>
      </rPr>
      <t>03-08-2026 12:03</t>
    </r>
  </si>
  <si>
    <r>
      <rPr>
        <sz val="10"/>
        <color rgb="FF000000"/>
        <rFont val="JRFonts"/>
        <charset val="134"/>
      </rPr>
      <t>05-08-2026 12:47</t>
    </r>
  </si>
  <si>
    <r>
      <rPr>
        <sz val="10"/>
        <color rgb="FF000000"/>
        <rFont val="JRFonts"/>
        <charset val="134"/>
      </rPr>
      <t>03-08-2026 12:13</t>
    </r>
  </si>
  <si>
    <t>22119</t>
  </si>
  <si>
    <r>
      <rPr>
        <sz val="10"/>
        <color rgb="FF0000FF"/>
        <rFont val="JRFonts"/>
        <charset val="134"/>
      </rPr>
      <t>22121</t>
    </r>
  </si>
  <si>
    <r>
      <rPr>
        <sz val="10"/>
        <color rgb="FF0000FF"/>
        <rFont val="JRFonts"/>
        <charset val="134"/>
      </rPr>
      <t>22123</t>
    </r>
  </si>
  <si>
    <r>
      <rPr>
        <sz val="10"/>
        <color rgb="FF000000"/>
        <rFont val="JRFonts"/>
        <charset val="134"/>
      </rPr>
      <t>03-08-2026 12:22</t>
    </r>
  </si>
  <si>
    <r>
      <rPr>
        <sz val="10"/>
        <color rgb="FF000000"/>
        <rFont val="JRFonts"/>
        <charset val="134"/>
      </rPr>
      <t>04-08-2026 13:01</t>
    </r>
  </si>
  <si>
    <r>
      <rPr>
        <sz val="10"/>
        <color rgb="FF000000"/>
        <rFont val="JRFonts"/>
        <charset val="134"/>
      </rPr>
      <t>03-08-2026 12:29</t>
    </r>
  </si>
  <si>
    <r>
      <rPr>
        <sz val="10"/>
        <color rgb="FF0000FF"/>
        <rFont val="JRFonts"/>
        <charset val="134"/>
      </rPr>
      <t>22124</t>
    </r>
  </si>
  <si>
    <r>
      <rPr>
        <sz val="10"/>
        <color rgb="FF000000"/>
        <rFont val="JRFonts"/>
        <charset val="134"/>
      </rPr>
      <t>03-08-2026 12:33</t>
    </r>
  </si>
  <si>
    <t>22124</t>
  </si>
  <si>
    <r>
      <rPr>
        <sz val="10"/>
        <color rgb="FF0000FF"/>
        <rFont val="JRFonts"/>
        <charset val="134"/>
      </rPr>
      <t>22126</t>
    </r>
  </si>
  <si>
    <r>
      <rPr>
        <sz val="10"/>
        <color rgb="FF000000"/>
        <rFont val="JRFonts"/>
        <charset val="134"/>
      </rPr>
      <t>04-08-2026 11:39</t>
    </r>
  </si>
  <si>
    <t>22126</t>
  </si>
  <si>
    <r>
      <rPr>
        <sz val="10"/>
        <color rgb="FF0000FF"/>
        <rFont val="JRFonts"/>
        <charset val="134"/>
      </rPr>
      <t>22127</t>
    </r>
  </si>
  <si>
    <r>
      <rPr>
        <sz val="10"/>
        <color rgb="FF000000"/>
        <rFont val="JRFonts"/>
        <charset val="134"/>
      </rPr>
      <t>03-08-2026 12:37</t>
    </r>
  </si>
  <si>
    <r>
      <rPr>
        <sz val="10"/>
        <color rgb="FF000000"/>
        <rFont val="JRFonts"/>
        <charset val="134"/>
      </rPr>
      <t>30-09-2026 10:30</t>
    </r>
  </si>
  <si>
    <r>
      <rPr>
        <sz val="10"/>
        <color rgb="FF000000"/>
        <rFont val="JRFonts"/>
        <charset val="134"/>
      </rPr>
      <t>06-08-2026 10:38</t>
    </r>
  </si>
  <si>
    <t>22127</t>
  </si>
  <si>
    <r>
      <rPr>
        <sz val="10"/>
        <color rgb="FF0000FF"/>
        <rFont val="JRFonts"/>
        <charset val="134"/>
      </rPr>
      <t>22128</t>
    </r>
  </si>
  <si>
    <r>
      <rPr>
        <sz val="10"/>
        <color rgb="FF000000"/>
        <rFont val="JRFonts"/>
        <charset val="134"/>
      </rPr>
      <t>03-08-2026 14:56</t>
    </r>
  </si>
  <si>
    <r>
      <rPr>
        <sz val="10"/>
        <color rgb="FF0000FF"/>
        <rFont val="JRFonts"/>
        <charset val="134"/>
      </rPr>
      <t>22129</t>
    </r>
  </si>
  <si>
    <r>
      <rPr>
        <sz val="10"/>
        <color rgb="FF000000"/>
        <rFont val="JRFonts"/>
        <charset val="134"/>
      </rPr>
      <t>03-08-2026 12:43</t>
    </r>
  </si>
  <si>
    <r>
      <rPr>
        <sz val="10"/>
        <color rgb="FF000000"/>
        <rFont val="JRFonts"/>
        <charset val="134"/>
      </rPr>
      <t>03-08-2026 17:32</t>
    </r>
  </si>
  <si>
    <r>
      <rPr>
        <sz val="10"/>
        <color rgb="FF000000"/>
        <rFont val="JRFonts"/>
        <charset val="134"/>
      </rPr>
      <t>03-08-2026 14:20</t>
    </r>
  </si>
  <si>
    <r>
      <rPr>
        <sz val="10"/>
        <color rgb="FF0000FF"/>
        <rFont val="JRFonts"/>
        <charset val="134"/>
      </rPr>
      <t>22130</t>
    </r>
  </si>
  <si>
    <r>
      <rPr>
        <sz val="10"/>
        <color rgb="FF000000"/>
        <rFont val="JRFonts"/>
        <charset val="134"/>
      </rPr>
      <t>03-08-2026 12:46</t>
    </r>
  </si>
  <si>
    <r>
      <rPr>
        <sz val="10"/>
        <color rgb="FF000000"/>
        <rFont val="JRFonts"/>
        <charset val="134"/>
      </rPr>
      <t>03-08-2026 12:54</t>
    </r>
  </si>
  <si>
    <r>
      <rPr>
        <sz val="10"/>
        <color rgb="FF0000FF"/>
        <rFont val="JRFonts"/>
        <charset val="134"/>
      </rPr>
      <t>22131</t>
    </r>
  </si>
  <si>
    <r>
      <rPr>
        <sz val="10"/>
        <color rgb="FF000000"/>
        <rFont val="JRFonts"/>
        <charset val="134"/>
      </rPr>
      <t>03-08-2026 12:57</t>
    </r>
  </si>
  <si>
    <r>
      <rPr>
        <sz val="10"/>
        <color rgb="FF000000"/>
        <rFont val="JRFonts"/>
        <charset val="134"/>
      </rPr>
      <t>03-08-2026 12:56</t>
    </r>
  </si>
  <si>
    <r>
      <rPr>
        <sz val="10"/>
        <color rgb="FF0000FF"/>
        <rFont val="JRFonts"/>
        <charset val="134"/>
      </rPr>
      <t>22133</t>
    </r>
  </si>
  <si>
    <r>
      <rPr>
        <sz val="10"/>
        <color rgb="FF000000"/>
        <rFont val="JRFonts"/>
        <charset val="134"/>
      </rPr>
      <t>04-08-2026 10:36</t>
    </r>
  </si>
  <si>
    <r>
      <rPr>
        <sz val="10"/>
        <color rgb="FF000000"/>
        <rFont val="JRFonts"/>
        <charset val="134"/>
      </rPr>
      <t>03-08-2026 14:21</t>
    </r>
  </si>
  <si>
    <r>
      <rPr>
        <sz val="10"/>
        <color rgb="FF0000FF"/>
        <rFont val="JRFonts"/>
        <charset val="134"/>
      </rPr>
      <t>22135</t>
    </r>
  </si>
  <si>
    <r>
      <rPr>
        <sz val="10"/>
        <color rgb="FF000000"/>
        <rFont val="JRFonts"/>
        <charset val="134"/>
      </rPr>
      <t>17-08-2026 17:26</t>
    </r>
  </si>
  <si>
    <r>
      <rPr>
        <sz val="10"/>
        <color rgb="FF000000"/>
        <rFont val="JRFonts"/>
        <charset val="134"/>
      </rPr>
      <t>03-08-2026 14:27</t>
    </r>
  </si>
  <si>
    <t>22135</t>
  </si>
  <si>
    <r>
      <rPr>
        <sz val="10"/>
        <color rgb="FF0000FF"/>
        <rFont val="JRFonts"/>
        <charset val="134"/>
      </rPr>
      <t>22137</t>
    </r>
  </si>
  <si>
    <r>
      <rPr>
        <sz val="10"/>
        <color rgb="FF000000"/>
        <rFont val="JRFonts"/>
        <charset val="134"/>
      </rPr>
      <t>03-08-2026 13:10</t>
    </r>
  </si>
  <si>
    <r>
      <rPr>
        <sz val="10"/>
        <color rgb="FF000000"/>
        <rFont val="JRFonts"/>
        <charset val="134"/>
      </rPr>
      <t>03-08-2026 14:25</t>
    </r>
  </si>
  <si>
    <r>
      <rPr>
        <sz val="10"/>
        <color rgb="FF000000"/>
        <rFont val="JRFonts"/>
        <charset val="134"/>
      </rPr>
      <t>03-08-2026 14:28</t>
    </r>
  </si>
  <si>
    <r>
      <rPr>
        <sz val="10"/>
        <color rgb="FF0000FF"/>
        <rFont val="JRFonts"/>
        <charset val="134"/>
      </rPr>
      <t>22138</t>
    </r>
  </si>
  <si>
    <r>
      <rPr>
        <sz val="10"/>
        <color rgb="FF000000"/>
        <rFont val="JRFonts"/>
        <charset val="134"/>
      </rPr>
      <t>03-08-2026 13:17</t>
    </r>
  </si>
  <si>
    <r>
      <rPr>
        <sz val="10"/>
        <color rgb="FF000000"/>
        <rFont val="JRFonts"/>
        <charset val="134"/>
      </rPr>
      <t>03-08-2026 16:28</t>
    </r>
  </si>
  <si>
    <r>
      <rPr>
        <sz val="10"/>
        <color rgb="FF0000FF"/>
        <rFont val="JRFonts"/>
        <charset val="134"/>
      </rPr>
      <t>22139</t>
    </r>
  </si>
  <si>
    <r>
      <rPr>
        <sz val="10"/>
        <color rgb="FF000000"/>
        <rFont val="JRFonts"/>
        <charset val="134"/>
      </rPr>
      <t>03-08-2026 13:20</t>
    </r>
  </si>
  <si>
    <r>
      <rPr>
        <sz val="10"/>
        <color rgb="FF000000"/>
        <rFont val="JRFonts"/>
        <charset val="134"/>
      </rPr>
      <t>03-08-2026 17:11</t>
    </r>
  </si>
  <si>
    <r>
      <rPr>
        <sz val="10"/>
        <color rgb="FF000000"/>
        <rFont val="JRFonts"/>
        <charset val="134"/>
      </rPr>
      <t>03-08-2026 14:29</t>
    </r>
  </si>
  <si>
    <r>
      <rPr>
        <sz val="10"/>
        <color rgb="FF0000FF"/>
        <rFont val="JRFonts"/>
        <charset val="134"/>
      </rPr>
      <t>22140</t>
    </r>
  </si>
  <si>
    <r>
      <rPr>
        <sz val="10"/>
        <color rgb="FF000000"/>
        <rFont val="JRFonts"/>
        <charset val="134"/>
      </rPr>
      <t>03-08-2026 14:31</t>
    </r>
  </si>
  <si>
    <t>22140</t>
  </si>
  <si>
    <r>
      <rPr>
        <sz val="10"/>
        <color rgb="FF0000FF"/>
        <rFont val="JRFonts"/>
        <charset val="134"/>
      </rPr>
      <t>22141</t>
    </r>
  </si>
  <si>
    <r>
      <rPr>
        <sz val="10"/>
        <color rgb="FF000000"/>
        <rFont val="JRFonts"/>
        <charset val="134"/>
      </rPr>
      <t>03-08-2026 15:58</t>
    </r>
  </si>
  <si>
    <r>
      <rPr>
        <sz val="10"/>
        <color rgb="FF000000"/>
        <rFont val="JRFonts"/>
        <charset val="134"/>
      </rPr>
      <t>03-08-2026 14:32</t>
    </r>
  </si>
  <si>
    <r>
      <rPr>
        <sz val="10"/>
        <color rgb="FF0000FF"/>
        <rFont val="JRFonts"/>
        <charset val="134"/>
      </rPr>
      <t>22145</t>
    </r>
  </si>
  <si>
    <r>
      <rPr>
        <sz val="10"/>
        <color rgb="FF000000"/>
        <rFont val="JRFonts"/>
        <charset val="134"/>
      </rPr>
      <t>03-08-2026 13:59</t>
    </r>
  </si>
  <si>
    <r>
      <rPr>
        <sz val="10"/>
        <color rgb="FF000000"/>
        <rFont val="JRFonts"/>
        <charset val="134"/>
      </rPr>
      <t>04-08-2026 11:55</t>
    </r>
  </si>
  <si>
    <r>
      <rPr>
        <sz val="10"/>
        <color rgb="FF000000"/>
        <rFont val="JRFonts"/>
        <charset val="134"/>
      </rPr>
      <t>03-08-2026 17:04</t>
    </r>
  </si>
  <si>
    <t>22146</t>
  </si>
  <si>
    <r>
      <rPr>
        <sz val="10"/>
        <color rgb="FF000000"/>
        <rFont val="JRFonts"/>
        <charset val="134"/>
      </rPr>
      <t>03-08-2026 14:08</t>
    </r>
  </si>
  <si>
    <r>
      <rPr>
        <sz val="10"/>
        <color rgb="FF000000"/>
        <rFont val="JRFonts"/>
        <charset val="134"/>
      </rPr>
      <t>03-08-2026 17:42</t>
    </r>
  </si>
  <si>
    <r>
      <rPr>
        <sz val="10"/>
        <color rgb="FF000000"/>
        <rFont val="JRFonts"/>
        <charset val="134"/>
      </rPr>
      <t>03-08-2026 14:34</t>
    </r>
  </si>
  <si>
    <r>
      <rPr>
        <sz val="10"/>
        <color rgb="FF0000FF"/>
        <rFont val="JRFonts"/>
        <charset val="134"/>
      </rPr>
      <t>22146</t>
    </r>
  </si>
  <si>
    <r>
      <rPr>
        <sz val="10"/>
        <color rgb="FF0000FF"/>
        <rFont val="JRFonts"/>
        <charset val="134"/>
      </rPr>
      <t>22147</t>
    </r>
  </si>
  <si>
    <r>
      <rPr>
        <sz val="10"/>
        <color rgb="FF000000"/>
        <rFont val="JRFonts"/>
        <charset val="134"/>
      </rPr>
      <t>04-08-2026 10:54</t>
    </r>
  </si>
  <si>
    <r>
      <rPr>
        <sz val="10"/>
        <color rgb="FF000000"/>
        <rFont val="JRFonts"/>
        <charset val="134"/>
      </rPr>
      <t>03-08-2026 14:35</t>
    </r>
  </si>
  <si>
    <r>
      <rPr>
        <sz val="10"/>
        <color rgb="FF0000FF"/>
        <rFont val="JRFonts"/>
        <charset val="134"/>
      </rPr>
      <t>22149</t>
    </r>
  </si>
  <si>
    <r>
      <rPr>
        <sz val="10"/>
        <color rgb="FF000000"/>
        <rFont val="JRFonts"/>
        <charset val="134"/>
      </rPr>
      <t>04-08-2026 10:52</t>
    </r>
  </si>
  <si>
    <r>
      <rPr>
        <sz val="10"/>
        <color rgb="FF000000"/>
        <rFont val="JRFonts"/>
        <charset val="134"/>
      </rPr>
      <t>03-08-2026 15:49</t>
    </r>
  </si>
  <si>
    <r>
      <rPr>
        <sz val="10"/>
        <color rgb="FF0000FF"/>
        <rFont val="JRFonts"/>
        <charset val="134"/>
      </rPr>
      <t>22150</t>
    </r>
  </si>
  <si>
    <r>
      <rPr>
        <sz val="10"/>
        <color rgb="FF000000"/>
        <rFont val="JRFonts"/>
        <charset val="134"/>
      </rPr>
      <t>03-08-2026 15:00</t>
    </r>
  </si>
  <si>
    <r>
      <rPr>
        <sz val="10"/>
        <color rgb="FF0000FF"/>
        <rFont val="JRFonts"/>
        <charset val="134"/>
      </rPr>
      <t>22153</t>
    </r>
  </si>
  <si>
    <r>
      <rPr>
        <sz val="10"/>
        <color rgb="FF000000"/>
        <rFont val="JRFonts"/>
        <charset val="134"/>
      </rPr>
      <t>03-08-2026 14:42</t>
    </r>
  </si>
  <si>
    <r>
      <rPr>
        <sz val="10"/>
        <color rgb="FF000000"/>
        <rFont val="JRFonts"/>
        <charset val="134"/>
      </rPr>
      <t>03-08-2026 16:36</t>
    </r>
  </si>
  <si>
    <r>
      <rPr>
        <sz val="10"/>
        <color rgb="FF000000"/>
        <rFont val="JRFonts"/>
        <charset val="134"/>
      </rPr>
      <t>03-08-2026 15:54</t>
    </r>
  </si>
  <si>
    <r>
      <rPr>
        <sz val="10"/>
        <color rgb="FF0000FF"/>
        <rFont val="JRFonts"/>
        <charset val="134"/>
      </rPr>
      <t>22154</t>
    </r>
  </si>
  <si>
    <r>
      <rPr>
        <sz val="10"/>
        <color rgb="FF000000"/>
        <rFont val="JRFonts"/>
        <charset val="134"/>
      </rPr>
      <t>03-08-2026 15:09</t>
    </r>
  </si>
  <si>
    <r>
      <rPr>
        <sz val="10"/>
        <color rgb="FF000000"/>
        <rFont val="JRFonts"/>
        <charset val="134"/>
      </rPr>
      <t>05-08-2026 13:02</t>
    </r>
  </si>
  <si>
    <r>
      <rPr>
        <sz val="10"/>
        <color rgb="FF000000"/>
        <rFont val="JRFonts"/>
        <charset val="134"/>
      </rPr>
      <t>04-08-2026 15:55</t>
    </r>
  </si>
  <si>
    <r>
      <rPr>
        <sz val="10"/>
        <color rgb="FF0000FF"/>
        <rFont val="JRFonts"/>
        <charset val="134"/>
      </rPr>
      <t>22156</t>
    </r>
  </si>
  <si>
    <r>
      <rPr>
        <sz val="10"/>
        <color rgb="FF000000"/>
        <rFont val="JRFonts"/>
        <charset val="134"/>
      </rPr>
      <t>11-08-2026 12:45</t>
    </r>
  </si>
  <si>
    <r>
      <rPr>
        <sz val="10"/>
        <color rgb="FF000000"/>
        <rFont val="JRFonts"/>
        <charset val="134"/>
      </rPr>
      <t>03-08-2026 15:23</t>
    </r>
  </si>
  <si>
    <t>22156</t>
  </si>
  <si>
    <r>
      <rPr>
        <sz val="10"/>
        <color rgb="FF0000FF"/>
        <rFont val="JRFonts"/>
        <charset val="134"/>
      </rPr>
      <t>22159</t>
    </r>
  </si>
  <si>
    <r>
      <rPr>
        <sz val="10"/>
        <color rgb="FF000000"/>
        <rFont val="JRFonts"/>
        <charset val="134"/>
      </rPr>
      <t>03-08-2026 15:43</t>
    </r>
  </si>
  <si>
    <r>
      <rPr>
        <sz val="10"/>
        <color rgb="FF000000"/>
        <rFont val="JRFonts"/>
        <charset val="134"/>
      </rPr>
      <t>03-08-2026 17:08</t>
    </r>
  </si>
  <si>
    <r>
      <rPr>
        <sz val="10"/>
        <color rgb="FF000000"/>
        <rFont val="JRFonts"/>
        <charset val="134"/>
      </rPr>
      <t>03-08-2026 15:48</t>
    </r>
  </si>
  <si>
    <r>
      <rPr>
        <sz val="10"/>
        <color rgb="FF0000FF"/>
        <rFont val="JRFonts"/>
        <charset val="134"/>
      </rPr>
      <t>22161</t>
    </r>
  </si>
  <si>
    <r>
      <rPr>
        <sz val="10"/>
        <color rgb="FF000000"/>
        <rFont val="JRFonts"/>
        <charset val="134"/>
      </rPr>
      <t>03-08-2026 16:56</t>
    </r>
  </si>
  <si>
    <r>
      <rPr>
        <sz val="10"/>
        <color rgb="FF0000FF"/>
        <rFont val="JRFonts"/>
        <charset val="134"/>
      </rPr>
      <t>22162</t>
    </r>
  </si>
  <si>
    <r>
      <rPr>
        <sz val="10"/>
        <color rgb="FF000000"/>
        <rFont val="JRFonts"/>
        <charset val="134"/>
      </rPr>
      <t>03-08-2026 16:04</t>
    </r>
  </si>
  <si>
    <r>
      <rPr>
        <sz val="10"/>
        <color rgb="FF000000"/>
        <rFont val="JRFonts"/>
        <charset val="134"/>
      </rPr>
      <t>05-08-2026 15:09</t>
    </r>
  </si>
  <si>
    <r>
      <rPr>
        <sz val="10"/>
        <color rgb="FF000000"/>
        <rFont val="JRFonts"/>
        <charset val="134"/>
      </rPr>
      <t>03-08-2026 17:12</t>
    </r>
  </si>
  <si>
    <t>22162</t>
  </si>
  <si>
    <t>initial request resolved within SLA , MLI has reopened ticket with new request and priority changes from P4 to P2</t>
  </si>
  <si>
    <r>
      <rPr>
        <sz val="10"/>
        <color rgb="FF0000FF"/>
        <rFont val="JRFonts"/>
        <charset val="134"/>
      </rPr>
      <t>22163</t>
    </r>
  </si>
  <si>
    <r>
      <rPr>
        <sz val="10"/>
        <color rgb="FF000000"/>
        <rFont val="JRFonts"/>
        <charset val="134"/>
      </rPr>
      <t>12-08-2026 14:05</t>
    </r>
  </si>
  <si>
    <r>
      <rPr>
        <sz val="10"/>
        <color rgb="FF000000"/>
        <rFont val="JRFonts"/>
        <charset val="134"/>
      </rPr>
      <t>03-08-2026 16:13</t>
    </r>
  </si>
  <si>
    <t>22163</t>
  </si>
  <si>
    <r>
      <rPr>
        <sz val="10"/>
        <color rgb="FF0000FF"/>
        <rFont val="JRFonts"/>
        <charset val="134"/>
      </rPr>
      <t>22166</t>
    </r>
  </si>
  <si>
    <r>
      <rPr>
        <sz val="10"/>
        <color rgb="FF000000"/>
        <rFont val="JRFonts"/>
        <charset val="134"/>
      </rPr>
      <t>03-08-2026 16:19</t>
    </r>
  </si>
  <si>
    <r>
      <rPr>
        <sz val="10"/>
        <color rgb="FF000000"/>
        <rFont val="JRFonts"/>
        <charset val="134"/>
      </rPr>
      <t>31-08-2026 14:59</t>
    </r>
  </si>
  <si>
    <r>
      <rPr>
        <sz val="10"/>
        <color rgb="FF000000"/>
        <rFont val="JRFonts"/>
        <charset val="134"/>
      </rPr>
      <t>03-08-2026 16:38</t>
    </r>
  </si>
  <si>
    <r>
      <rPr>
        <sz val="10"/>
        <color rgb="FF0000FF"/>
        <rFont val="JRFonts"/>
        <charset val="134"/>
      </rPr>
      <t>22167</t>
    </r>
  </si>
  <si>
    <r>
      <rPr>
        <sz val="10"/>
        <color rgb="FF000000"/>
        <rFont val="JRFonts"/>
        <charset val="134"/>
      </rPr>
      <t>03-08-2026 18:11</t>
    </r>
  </si>
  <si>
    <r>
      <rPr>
        <sz val="10"/>
        <color rgb="FF000000"/>
        <rFont val="JRFonts"/>
        <charset val="134"/>
      </rPr>
      <t>03-08-2026 16:37</t>
    </r>
  </si>
  <si>
    <r>
      <rPr>
        <sz val="10"/>
        <color rgb="FF0000FF"/>
        <rFont val="JRFonts"/>
        <charset val="134"/>
      </rPr>
      <t>22168</t>
    </r>
  </si>
  <si>
    <r>
      <rPr>
        <sz val="10"/>
        <color rgb="FF000000"/>
        <rFont val="JRFonts"/>
        <charset val="134"/>
      </rPr>
      <t>04-08-2026 11:37</t>
    </r>
  </si>
  <si>
    <r>
      <rPr>
        <sz val="10"/>
        <color rgb="FF000000"/>
        <rFont val="JRFonts"/>
        <charset val="134"/>
      </rPr>
      <t>03-08-2026 16:41</t>
    </r>
  </si>
  <si>
    <r>
      <rPr>
        <sz val="10"/>
        <color rgb="FF0000FF"/>
        <rFont val="JRFonts"/>
        <charset val="134"/>
      </rPr>
      <t>22170</t>
    </r>
  </si>
  <si>
    <r>
      <rPr>
        <sz val="10"/>
        <color rgb="FF000000"/>
        <rFont val="JRFonts"/>
        <charset val="134"/>
      </rPr>
      <t>03-08-2026 16:29</t>
    </r>
  </si>
  <si>
    <r>
      <rPr>
        <sz val="10"/>
        <color rgb="FF000000"/>
        <rFont val="JRFonts"/>
        <charset val="134"/>
      </rPr>
      <t>07-08-2026 15:59</t>
    </r>
  </si>
  <si>
    <r>
      <rPr>
        <sz val="10"/>
        <color rgb="FF000000"/>
        <rFont val="JRFonts"/>
        <charset val="134"/>
      </rPr>
      <t>03-08-2026 16:44</t>
    </r>
  </si>
  <si>
    <t>22170</t>
  </si>
  <si>
    <r>
      <rPr>
        <sz val="10"/>
        <color rgb="FF0000FF"/>
        <rFont val="JRFonts"/>
        <charset val="134"/>
      </rPr>
      <t>22172</t>
    </r>
  </si>
  <si>
    <r>
      <rPr>
        <sz val="10"/>
        <color rgb="FF000000"/>
        <rFont val="JRFonts"/>
        <charset val="134"/>
      </rPr>
      <t>07-08-2026 15:17</t>
    </r>
  </si>
  <si>
    <r>
      <rPr>
        <sz val="10"/>
        <color rgb="FF000000"/>
        <rFont val="JRFonts"/>
        <charset val="134"/>
      </rPr>
      <t>03-08-2026 16:55</t>
    </r>
  </si>
  <si>
    <t>22172</t>
  </si>
  <si>
    <r>
      <rPr>
        <sz val="10"/>
        <color rgb="FF0000FF"/>
        <rFont val="JRFonts"/>
        <charset val="134"/>
      </rPr>
      <t>22173</t>
    </r>
  </si>
  <si>
    <r>
      <rPr>
        <sz val="10"/>
        <color rgb="FF000000"/>
        <rFont val="JRFonts"/>
        <charset val="134"/>
      </rPr>
      <t>03-08-2026 16:53</t>
    </r>
  </si>
  <si>
    <r>
      <rPr>
        <sz val="10"/>
        <color rgb="FF000000"/>
        <rFont val="JRFonts"/>
        <charset val="134"/>
      </rPr>
      <t>21-08-2026 09:26</t>
    </r>
  </si>
  <si>
    <r>
      <rPr>
        <sz val="10"/>
        <color rgb="FF000000"/>
        <rFont val="JRFonts"/>
        <charset val="134"/>
      </rPr>
      <t>03-08-2026 17:10</t>
    </r>
  </si>
  <si>
    <r>
      <rPr>
        <sz val="10"/>
        <color rgb="FF0000FF"/>
        <rFont val="JRFonts"/>
        <charset val="134"/>
      </rPr>
      <t>22174</t>
    </r>
  </si>
  <si>
    <r>
      <rPr>
        <sz val="10"/>
        <color rgb="FF000000"/>
        <rFont val="JRFonts"/>
        <charset val="134"/>
      </rPr>
      <t>03-08-2026 17:02</t>
    </r>
  </si>
  <si>
    <r>
      <rPr>
        <sz val="10"/>
        <color rgb="FF000000"/>
        <rFont val="JRFonts"/>
        <charset val="134"/>
      </rPr>
      <t>04-08-2026 17:18</t>
    </r>
  </si>
  <si>
    <r>
      <rPr>
        <sz val="10"/>
        <color rgb="FF0000FF"/>
        <rFont val="JRFonts"/>
        <charset val="134"/>
      </rPr>
      <t>22175</t>
    </r>
  </si>
  <si>
    <r>
      <rPr>
        <sz val="10"/>
        <color rgb="FF000000"/>
        <rFont val="JRFonts"/>
        <charset val="134"/>
      </rPr>
      <t>07-08-2026 16:00</t>
    </r>
  </si>
  <si>
    <r>
      <rPr>
        <sz val="10"/>
        <color rgb="FF000000"/>
        <rFont val="JRFonts"/>
        <charset val="134"/>
      </rPr>
      <t>03-08-2026 17:09</t>
    </r>
  </si>
  <si>
    <t>22175</t>
  </si>
  <si>
    <r>
      <rPr>
        <sz val="10"/>
        <color rgb="FF0000FF"/>
        <rFont val="JRFonts"/>
        <charset val="134"/>
      </rPr>
      <t>22178</t>
    </r>
  </si>
  <si>
    <r>
      <rPr>
        <sz val="10"/>
        <color rgb="FF000000"/>
        <rFont val="JRFonts"/>
        <charset val="134"/>
      </rPr>
      <t>03-08-2026 17:20</t>
    </r>
  </si>
  <si>
    <r>
      <rPr>
        <sz val="10"/>
        <color rgb="FF000000"/>
        <rFont val="JRFonts"/>
        <charset val="134"/>
      </rPr>
      <t>03-08-2026 17:35</t>
    </r>
  </si>
  <si>
    <t>22178</t>
  </si>
  <si>
    <r>
      <rPr>
        <sz val="10"/>
        <color rgb="FF0000FF"/>
        <rFont val="JRFonts"/>
        <charset val="134"/>
      </rPr>
      <t>22180</t>
    </r>
  </si>
  <si>
    <r>
      <rPr>
        <sz val="10"/>
        <color rgb="FF000000"/>
        <rFont val="JRFonts"/>
        <charset val="134"/>
      </rPr>
      <t>04-08-2026 10:41</t>
    </r>
  </si>
  <si>
    <r>
      <rPr>
        <sz val="10"/>
        <color rgb="FF000000"/>
        <rFont val="JRFonts"/>
        <charset val="134"/>
      </rPr>
      <t>03-08-2026 18:27</t>
    </r>
  </si>
  <si>
    <r>
      <rPr>
        <sz val="10"/>
        <color rgb="FF0000FF"/>
        <rFont val="JRFonts"/>
        <charset val="134"/>
      </rPr>
      <t>22181</t>
    </r>
  </si>
  <si>
    <r>
      <rPr>
        <sz val="10"/>
        <color rgb="FF000000"/>
        <rFont val="JRFonts"/>
        <charset val="134"/>
      </rPr>
      <t>03-08-2026 17:51</t>
    </r>
  </si>
  <si>
    <r>
      <rPr>
        <sz val="10"/>
        <color rgb="FF000000"/>
        <rFont val="JRFonts"/>
        <charset val="134"/>
      </rPr>
      <t>03-08-2026 18:37</t>
    </r>
  </si>
  <si>
    <r>
      <rPr>
        <sz val="10"/>
        <color rgb="FF000000"/>
        <rFont val="JRFonts"/>
        <charset val="134"/>
      </rPr>
      <t>03-08-2026 18:21</t>
    </r>
  </si>
  <si>
    <r>
      <rPr>
        <sz val="10"/>
        <color rgb="FF0000FF"/>
        <rFont val="JRFonts"/>
        <charset val="134"/>
      </rPr>
      <t>22182</t>
    </r>
  </si>
  <si>
    <r>
      <rPr>
        <sz val="10"/>
        <color rgb="FF000000"/>
        <rFont val="JRFonts"/>
        <charset val="134"/>
      </rPr>
      <t>14-08-2026 13:01</t>
    </r>
  </si>
  <si>
    <t>22182</t>
  </si>
  <si>
    <r>
      <rPr>
        <sz val="10"/>
        <color rgb="FF0000FF"/>
        <rFont val="JRFonts"/>
        <charset val="134"/>
      </rPr>
      <t>22183</t>
    </r>
  </si>
  <si>
    <r>
      <rPr>
        <sz val="10"/>
        <color rgb="FF000000"/>
        <rFont val="JRFonts"/>
        <charset val="134"/>
      </rPr>
      <t>04-08-2026 10:39</t>
    </r>
  </si>
  <si>
    <r>
      <rPr>
        <sz val="10"/>
        <color rgb="FF000000"/>
        <rFont val="JRFonts"/>
        <charset val="134"/>
      </rPr>
      <t>03-08-2026 18:22</t>
    </r>
  </si>
  <si>
    <r>
      <rPr>
        <sz val="10"/>
        <color rgb="FF0000FF"/>
        <rFont val="JRFonts"/>
        <charset val="134"/>
      </rPr>
      <t>22184</t>
    </r>
  </si>
  <si>
    <r>
      <rPr>
        <sz val="10"/>
        <color rgb="FF000000"/>
        <rFont val="JRFonts"/>
        <charset val="134"/>
      </rPr>
      <t>18-08-2026 12:18</t>
    </r>
  </si>
  <si>
    <r>
      <rPr>
        <sz val="10"/>
        <color rgb="FF000000"/>
        <rFont val="JRFonts"/>
        <charset val="134"/>
      </rPr>
      <t>04-08-2026 10:20</t>
    </r>
  </si>
  <si>
    <t>22184</t>
  </si>
  <si>
    <r>
      <rPr>
        <sz val="10"/>
        <color rgb="FF0000FF"/>
        <rFont val="JRFonts"/>
        <charset val="134"/>
      </rPr>
      <t>22185</t>
    </r>
  </si>
  <si>
    <r>
      <rPr>
        <sz val="10"/>
        <color rgb="FF000000"/>
        <rFont val="JRFonts"/>
        <charset val="134"/>
      </rPr>
      <t>07-08-2026 16:29</t>
    </r>
  </si>
  <si>
    <r>
      <rPr>
        <sz val="10"/>
        <color rgb="FF000000"/>
        <rFont val="JRFonts"/>
        <charset val="134"/>
      </rPr>
      <t>03-08-2026 18:20</t>
    </r>
  </si>
  <si>
    <t>22185</t>
  </si>
  <si>
    <r>
      <rPr>
        <sz val="10"/>
        <color rgb="FF0000FF"/>
        <rFont val="JRFonts"/>
        <charset val="134"/>
      </rPr>
      <t>22186</t>
    </r>
  </si>
  <si>
    <r>
      <rPr>
        <sz val="10"/>
        <color rgb="FF000000"/>
        <rFont val="JRFonts"/>
        <charset val="134"/>
      </rPr>
      <t>04-08-2026 10:37</t>
    </r>
  </si>
  <si>
    <r>
      <rPr>
        <sz val="10"/>
        <color rgb="FF000000"/>
        <rFont val="JRFonts"/>
        <charset val="134"/>
      </rPr>
      <t>03-08-2026 18:24</t>
    </r>
  </si>
  <si>
    <r>
      <rPr>
        <sz val="10"/>
        <color rgb="FF0000FF"/>
        <rFont val="JRFonts"/>
        <charset val="134"/>
      </rPr>
      <t>22187</t>
    </r>
  </si>
  <si>
    <r>
      <rPr>
        <sz val="10"/>
        <color rgb="FF000000"/>
        <rFont val="JRFonts"/>
        <charset val="134"/>
      </rPr>
      <t>03-08-2026 18:06</t>
    </r>
  </si>
  <si>
    <r>
      <rPr>
        <sz val="10"/>
        <color rgb="FF000000"/>
        <rFont val="JRFonts"/>
        <charset val="134"/>
      </rPr>
      <t>04-08-2026 12:07</t>
    </r>
  </si>
  <si>
    <r>
      <rPr>
        <sz val="10"/>
        <color rgb="FF000000"/>
        <rFont val="JRFonts"/>
        <charset val="134"/>
      </rPr>
      <t>04-08-2026 11:47</t>
    </r>
  </si>
  <si>
    <r>
      <rPr>
        <sz val="10"/>
        <color rgb="FF0000FF"/>
        <rFont val="JRFonts"/>
        <charset val="134"/>
      </rPr>
      <t>22188</t>
    </r>
  </si>
  <si>
    <r>
      <rPr>
        <sz val="10"/>
        <color rgb="FF000000"/>
        <rFont val="JRFonts"/>
        <charset val="134"/>
      </rPr>
      <t>03-08-2026 18:15</t>
    </r>
  </si>
  <si>
    <r>
      <rPr>
        <sz val="10"/>
        <color rgb="FF000000"/>
        <rFont val="JRFonts"/>
        <charset val="134"/>
      </rPr>
      <t>04-08-2026 10:33</t>
    </r>
  </si>
  <si>
    <r>
      <rPr>
        <sz val="10"/>
        <color rgb="FF000000"/>
        <rFont val="JRFonts"/>
        <charset val="134"/>
      </rPr>
      <t>03-08-2026 18:32</t>
    </r>
  </si>
  <si>
    <r>
      <rPr>
        <sz val="10"/>
        <color rgb="FF0000FF"/>
        <rFont val="JRFonts"/>
        <charset val="134"/>
      </rPr>
      <t>22189</t>
    </r>
  </si>
  <si>
    <r>
      <rPr>
        <sz val="10"/>
        <color rgb="FF000000"/>
        <rFont val="JRFonts"/>
        <charset val="134"/>
      </rPr>
      <t>03-08-2026 18:33</t>
    </r>
  </si>
  <si>
    <r>
      <rPr>
        <sz val="10"/>
        <color rgb="FF000000"/>
        <rFont val="JRFonts"/>
        <charset val="134"/>
      </rPr>
      <t>24-08-2026 10:13</t>
    </r>
  </si>
  <si>
    <r>
      <rPr>
        <sz val="10"/>
        <color rgb="FF000000"/>
        <rFont val="JRFonts"/>
        <charset val="134"/>
      </rPr>
      <t>04-08-2026 11:24</t>
    </r>
  </si>
  <si>
    <r>
      <rPr>
        <sz val="10"/>
        <color rgb="FF0000FF"/>
        <rFont val="JRFonts"/>
        <charset val="134"/>
      </rPr>
      <t>22192</t>
    </r>
  </si>
  <si>
    <r>
      <rPr>
        <sz val="10"/>
        <color rgb="FF000000"/>
        <rFont val="JRFonts"/>
        <charset val="134"/>
      </rPr>
      <t>03-08-2026 18:58</t>
    </r>
  </si>
  <si>
    <r>
      <rPr>
        <sz val="10"/>
        <color rgb="FF000000"/>
        <rFont val="JRFonts"/>
        <charset val="134"/>
      </rPr>
      <t>04-08-2026 12:21</t>
    </r>
  </si>
  <si>
    <r>
      <rPr>
        <sz val="10"/>
        <color rgb="FF000000"/>
        <rFont val="JRFonts"/>
        <charset val="134"/>
      </rPr>
      <t>04-08-2026 11:18</t>
    </r>
  </si>
  <si>
    <r>
      <rPr>
        <sz val="10"/>
        <color rgb="FF0000FF"/>
        <rFont val="JRFonts"/>
        <charset val="134"/>
      </rPr>
      <t>22193</t>
    </r>
  </si>
  <si>
    <r>
      <rPr>
        <sz val="10"/>
        <color rgb="FF000000"/>
        <rFont val="JRFonts"/>
        <charset val="134"/>
      </rPr>
      <t>03-08-2026 19:01</t>
    </r>
  </si>
  <si>
    <r>
      <rPr>
        <sz val="10"/>
        <color rgb="FF000000"/>
        <rFont val="JRFonts"/>
        <charset val="134"/>
      </rPr>
      <t>05-08-2026 15:15</t>
    </r>
  </si>
  <si>
    <r>
      <rPr>
        <sz val="10"/>
        <color rgb="FF000000"/>
        <rFont val="JRFonts"/>
        <charset val="134"/>
      </rPr>
      <t>04-08-2026 11:17</t>
    </r>
  </si>
  <si>
    <r>
      <rPr>
        <sz val="10"/>
        <color rgb="FF0000FF"/>
        <rFont val="JRFonts"/>
        <charset val="134"/>
      </rPr>
      <t>22197</t>
    </r>
  </si>
  <si>
    <r>
      <rPr>
        <sz val="10"/>
        <color rgb="FF000000"/>
        <rFont val="JRFonts"/>
        <charset val="134"/>
      </rPr>
      <t>03-08-2026 21:54</t>
    </r>
  </si>
  <si>
    <r>
      <rPr>
        <sz val="10"/>
        <color rgb="FF000000"/>
        <rFont val="JRFonts"/>
        <charset val="134"/>
      </rPr>
      <t>04-08-2026 12:10</t>
    </r>
  </si>
  <si>
    <r>
      <rPr>
        <sz val="10"/>
        <color rgb="FF000000"/>
        <rFont val="JRFonts"/>
        <charset val="134"/>
      </rPr>
      <t>04-08-2026 10:59</t>
    </r>
  </si>
  <si>
    <r>
      <rPr>
        <sz val="10"/>
        <color rgb="FF0000FF"/>
        <rFont val="JRFonts"/>
        <charset val="134"/>
      </rPr>
      <t>22200</t>
    </r>
  </si>
  <si>
    <r>
      <rPr>
        <sz val="10"/>
        <color rgb="FF000000"/>
        <rFont val="JRFonts"/>
        <charset val="134"/>
      </rPr>
      <t>04-08-2026 10:24</t>
    </r>
  </si>
  <si>
    <r>
      <rPr>
        <sz val="10"/>
        <color rgb="FF000000"/>
        <rFont val="JRFonts"/>
        <charset val="134"/>
      </rPr>
      <t>22-08-2026 10:34</t>
    </r>
  </si>
  <si>
    <r>
      <rPr>
        <sz val="10"/>
        <color rgb="FF000000"/>
        <rFont val="JRFonts"/>
        <charset val="134"/>
      </rPr>
      <t>04-08-2026 11:03</t>
    </r>
  </si>
  <si>
    <r>
      <rPr>
        <sz val="10"/>
        <color rgb="FF0000FF"/>
        <rFont val="JRFonts"/>
        <charset val="134"/>
      </rPr>
      <t>22201</t>
    </r>
  </si>
  <si>
    <r>
      <rPr>
        <sz val="10"/>
        <color rgb="FF000000"/>
        <rFont val="JRFonts"/>
        <charset val="134"/>
      </rPr>
      <t>05-08-2026 00:22</t>
    </r>
  </si>
  <si>
    <r>
      <rPr>
        <sz val="10"/>
        <color rgb="FF000000"/>
        <rFont val="JRFonts"/>
        <charset val="134"/>
      </rPr>
      <t>04-08-2026 11:02</t>
    </r>
  </si>
  <si>
    <r>
      <rPr>
        <sz val="10"/>
        <color rgb="FF0000FF"/>
        <rFont val="JRFonts"/>
        <charset val="134"/>
      </rPr>
      <t>22202</t>
    </r>
  </si>
  <si>
    <r>
      <rPr>
        <sz val="10"/>
        <color rgb="FF000000"/>
        <rFont val="JRFonts"/>
        <charset val="134"/>
      </rPr>
      <t>04-08-2026 10:30</t>
    </r>
  </si>
  <si>
    <r>
      <rPr>
        <sz val="10"/>
        <color rgb="FF000000"/>
        <rFont val="JRFonts"/>
        <charset val="134"/>
      </rPr>
      <t>26-08-2026 14:40</t>
    </r>
  </si>
  <si>
    <r>
      <rPr>
        <sz val="10"/>
        <color rgb="FF000000"/>
        <rFont val="JRFonts"/>
        <charset val="134"/>
      </rPr>
      <t>04-08-2026 17:35</t>
    </r>
  </si>
  <si>
    <r>
      <rPr>
        <sz val="10"/>
        <color rgb="FF0000FF"/>
        <rFont val="JRFonts"/>
        <charset val="134"/>
      </rPr>
      <t>22203</t>
    </r>
  </si>
  <si>
    <r>
      <rPr>
        <sz val="10"/>
        <color rgb="FF000000"/>
        <rFont val="JRFonts"/>
        <charset val="134"/>
      </rPr>
      <t>05-08-2026 16:05</t>
    </r>
  </si>
  <si>
    <t>22203</t>
  </si>
  <si>
    <r>
      <rPr>
        <sz val="10"/>
        <color rgb="FF0000FF"/>
        <rFont val="JRFonts"/>
        <charset val="134"/>
      </rPr>
      <t>22205</t>
    </r>
  </si>
  <si>
    <r>
      <rPr>
        <sz val="10"/>
        <color rgb="FF000000"/>
        <rFont val="JRFonts"/>
        <charset val="134"/>
      </rPr>
      <t>04-08-2026 10:42</t>
    </r>
  </si>
  <si>
    <r>
      <rPr>
        <sz val="10"/>
        <color rgb="FF000000"/>
        <rFont val="JRFonts"/>
        <charset val="134"/>
      </rPr>
      <t>10-08-2026 10:51</t>
    </r>
  </si>
  <si>
    <r>
      <rPr>
        <sz val="10"/>
        <color rgb="FF000000"/>
        <rFont val="JRFonts"/>
        <charset val="134"/>
      </rPr>
      <t>04-08-2026 11:10</t>
    </r>
  </si>
  <si>
    <t>22205</t>
  </si>
  <si>
    <r>
      <rPr>
        <sz val="10"/>
        <color rgb="FF0000FF"/>
        <rFont val="JRFonts"/>
        <charset val="134"/>
      </rPr>
      <t>22206</t>
    </r>
  </si>
  <si>
    <r>
      <rPr>
        <sz val="10"/>
        <color rgb="FF000000"/>
        <rFont val="JRFonts"/>
        <charset val="134"/>
      </rPr>
      <t>04-08-2026 16:24</t>
    </r>
  </si>
  <si>
    <r>
      <rPr>
        <sz val="10"/>
        <color rgb="FF000000"/>
        <rFont val="JRFonts"/>
        <charset val="134"/>
      </rPr>
      <t>04-08-2026 11:26</t>
    </r>
  </si>
  <si>
    <r>
      <rPr>
        <sz val="10"/>
        <color rgb="FF0000FF"/>
        <rFont val="JRFonts"/>
        <charset val="134"/>
      </rPr>
      <t>22207</t>
    </r>
  </si>
  <si>
    <r>
      <rPr>
        <sz val="10"/>
        <color rgb="FF000000"/>
        <rFont val="JRFonts"/>
        <charset val="134"/>
      </rPr>
      <t>05-08-2026 00:38</t>
    </r>
  </si>
  <si>
    <r>
      <rPr>
        <sz val="10"/>
        <color rgb="FF0000FF"/>
        <rFont val="JRFonts"/>
        <charset val="134"/>
      </rPr>
      <t>22209</t>
    </r>
  </si>
  <si>
    <r>
      <rPr>
        <sz val="10"/>
        <color rgb="FF000000"/>
        <rFont val="JRFonts"/>
        <charset val="134"/>
      </rPr>
      <t>04-08-2026 10:51</t>
    </r>
  </si>
  <si>
    <r>
      <rPr>
        <sz val="10"/>
        <color rgb="FF000000"/>
        <rFont val="JRFonts"/>
        <charset val="134"/>
      </rPr>
      <t>05-08-2026 00:07</t>
    </r>
  </si>
  <si>
    <r>
      <rPr>
        <sz val="10"/>
        <color rgb="FF000000"/>
        <rFont val="JRFonts"/>
        <charset val="134"/>
      </rPr>
      <t>04-08-2026 11:07</t>
    </r>
  </si>
  <si>
    <r>
      <rPr>
        <sz val="10"/>
        <color rgb="FF0000FF"/>
        <rFont val="JRFonts"/>
        <charset val="134"/>
      </rPr>
      <t>22211</t>
    </r>
  </si>
  <si>
    <r>
      <rPr>
        <sz val="10"/>
        <color rgb="FF000000"/>
        <rFont val="JRFonts"/>
        <charset val="134"/>
      </rPr>
      <t>04-08-2026 11:00</t>
    </r>
  </si>
  <si>
    <r>
      <rPr>
        <sz val="10"/>
        <color rgb="FF000000"/>
        <rFont val="JRFonts"/>
        <charset val="134"/>
      </rPr>
      <t>04-08-2026 12:05</t>
    </r>
  </si>
  <si>
    <r>
      <rPr>
        <sz val="10"/>
        <color rgb="FF000000"/>
        <rFont val="JRFonts"/>
        <charset val="134"/>
      </rPr>
      <t>04-08-2026 11:48</t>
    </r>
  </si>
  <si>
    <r>
      <rPr>
        <sz val="10"/>
        <color rgb="FF0000FF"/>
        <rFont val="JRFonts"/>
        <charset val="134"/>
      </rPr>
      <t>22212</t>
    </r>
  </si>
  <si>
    <r>
      <rPr>
        <sz val="10"/>
        <color rgb="FF000000"/>
        <rFont val="JRFonts"/>
        <charset val="134"/>
      </rPr>
      <t>04-08-2026 11:13</t>
    </r>
  </si>
  <si>
    <r>
      <rPr>
        <sz val="10"/>
        <color rgb="FF0000FF"/>
        <rFont val="JRFonts"/>
        <charset val="134"/>
      </rPr>
      <t>22214</t>
    </r>
  </si>
  <si>
    <r>
      <rPr>
        <sz val="10"/>
        <color rgb="FF000000"/>
        <rFont val="JRFonts"/>
        <charset val="134"/>
      </rPr>
      <t>04-08-2026 11:06</t>
    </r>
  </si>
  <si>
    <r>
      <rPr>
        <sz val="10"/>
        <color rgb="FF000000"/>
        <rFont val="JRFonts"/>
        <charset val="134"/>
      </rPr>
      <t>07-08-2026 16:01</t>
    </r>
  </si>
  <si>
    <r>
      <rPr>
        <sz val="10"/>
        <color rgb="FF000000"/>
        <rFont val="JRFonts"/>
        <charset val="134"/>
      </rPr>
      <t>04-08-2026 11:14</t>
    </r>
  </si>
  <si>
    <t>22214</t>
  </si>
  <si>
    <r>
      <rPr>
        <sz val="10"/>
        <color rgb="FF0000FF"/>
        <rFont val="JRFonts"/>
        <charset val="134"/>
      </rPr>
      <t>22217</t>
    </r>
  </si>
  <si>
    <r>
      <rPr>
        <sz val="10"/>
        <color rgb="FF000000"/>
        <rFont val="JRFonts"/>
        <charset val="134"/>
      </rPr>
      <t>04-08-2026 11:19</t>
    </r>
  </si>
  <si>
    <r>
      <rPr>
        <sz val="10"/>
        <color rgb="FF000000"/>
        <rFont val="JRFonts"/>
        <charset val="134"/>
      </rPr>
      <t>05-08-2026 14:30</t>
    </r>
  </si>
  <si>
    <r>
      <rPr>
        <sz val="10"/>
        <color rgb="FF000000"/>
        <rFont val="JRFonts"/>
        <charset val="134"/>
      </rPr>
      <t>04-08-2026 11:27</t>
    </r>
  </si>
  <si>
    <r>
      <rPr>
        <sz val="10"/>
        <color rgb="FF0000FF"/>
        <rFont val="JRFonts"/>
        <charset val="134"/>
      </rPr>
      <t>22218</t>
    </r>
  </si>
  <si>
    <r>
      <rPr>
        <sz val="10"/>
        <color rgb="FF000000"/>
        <rFont val="JRFonts"/>
        <charset val="134"/>
      </rPr>
      <t>04-08-2026 11:25</t>
    </r>
  </si>
  <si>
    <r>
      <rPr>
        <sz val="10"/>
        <color rgb="FF000000"/>
        <rFont val="JRFonts"/>
        <charset val="134"/>
      </rPr>
      <t>05-08-2026 00:16</t>
    </r>
  </si>
  <si>
    <r>
      <rPr>
        <sz val="10"/>
        <color rgb="FF000000"/>
        <rFont val="JRFonts"/>
        <charset val="134"/>
      </rPr>
      <t>04-08-2026 12:44</t>
    </r>
  </si>
  <si>
    <r>
      <rPr>
        <sz val="10"/>
        <color rgb="FF0000FF"/>
        <rFont val="JRFonts"/>
        <charset val="134"/>
      </rPr>
      <t>22219</t>
    </r>
  </si>
  <si>
    <r>
      <rPr>
        <sz val="10"/>
        <color rgb="FF000000"/>
        <rFont val="JRFonts"/>
        <charset val="134"/>
      </rPr>
      <t>07-08-2026 13:08</t>
    </r>
  </si>
  <si>
    <r>
      <rPr>
        <sz val="10"/>
        <color rgb="FF000000"/>
        <rFont val="JRFonts"/>
        <charset val="134"/>
      </rPr>
      <t>04-08-2026 11:42</t>
    </r>
  </si>
  <si>
    <t>22219</t>
  </si>
  <si>
    <r>
      <rPr>
        <sz val="10"/>
        <color rgb="FF0000FF"/>
        <rFont val="JRFonts"/>
        <charset val="134"/>
      </rPr>
      <t>22220</t>
    </r>
  </si>
  <si>
    <r>
      <rPr>
        <sz val="10"/>
        <color rgb="FF000000"/>
        <rFont val="JRFonts"/>
        <charset val="134"/>
      </rPr>
      <t>04-08-2026 12:43</t>
    </r>
  </si>
  <si>
    <r>
      <rPr>
        <sz val="10"/>
        <color rgb="FF000000"/>
        <rFont val="JRFonts"/>
        <charset val="134"/>
      </rPr>
      <t>04-08-2026 11:45</t>
    </r>
  </si>
  <si>
    <r>
      <rPr>
        <sz val="10"/>
        <color rgb="FF0000FF"/>
        <rFont val="JRFonts"/>
        <charset val="134"/>
      </rPr>
      <t>22221</t>
    </r>
  </si>
  <si>
    <r>
      <rPr>
        <sz val="10"/>
        <color rgb="FF000000"/>
        <rFont val="JRFonts"/>
        <charset val="134"/>
      </rPr>
      <t>04-08-2026 11:40</t>
    </r>
  </si>
  <si>
    <r>
      <rPr>
        <sz val="10"/>
        <color rgb="FF000000"/>
        <rFont val="JRFonts"/>
        <charset val="134"/>
      </rPr>
      <t>04-08-2026 12:13</t>
    </r>
  </si>
  <si>
    <r>
      <rPr>
        <sz val="10"/>
        <color rgb="FF0000FF"/>
        <rFont val="JRFonts"/>
        <charset val="134"/>
      </rPr>
      <t>22222</t>
    </r>
  </si>
  <si>
    <r>
      <rPr>
        <sz val="10"/>
        <color rgb="FF000000"/>
        <rFont val="JRFonts"/>
        <charset val="134"/>
      </rPr>
      <t>24-08-2026 10:06</t>
    </r>
  </si>
  <si>
    <r>
      <rPr>
        <sz val="10"/>
        <color rgb="FF000000"/>
        <rFont val="JRFonts"/>
        <charset val="134"/>
      </rPr>
      <t>04-08-2026 11:58</t>
    </r>
  </si>
  <si>
    <r>
      <rPr>
        <sz val="10"/>
        <color rgb="FF0000FF"/>
        <rFont val="JRFonts"/>
        <charset val="134"/>
      </rPr>
      <t>22223</t>
    </r>
  </si>
  <si>
    <r>
      <rPr>
        <sz val="10"/>
        <color rgb="FF000000"/>
        <rFont val="JRFonts"/>
        <charset val="134"/>
      </rPr>
      <t>07-08-2026 16:02</t>
    </r>
  </si>
  <si>
    <r>
      <rPr>
        <sz val="10"/>
        <color rgb="FF000000"/>
        <rFont val="JRFonts"/>
        <charset val="134"/>
      </rPr>
      <t>04-08-2026 11:57</t>
    </r>
  </si>
  <si>
    <t>22223</t>
  </si>
  <si>
    <r>
      <rPr>
        <sz val="10"/>
        <color rgb="FF0000FF"/>
        <rFont val="JRFonts"/>
        <charset val="134"/>
      </rPr>
      <t>22225</t>
    </r>
  </si>
  <si>
    <r>
      <rPr>
        <sz val="10"/>
        <color rgb="FF000000"/>
        <rFont val="JRFonts"/>
        <charset val="134"/>
      </rPr>
      <t>05-08-2026 14:34</t>
    </r>
  </si>
  <si>
    <r>
      <rPr>
        <sz val="10"/>
        <color rgb="FF000000"/>
        <rFont val="JRFonts"/>
        <charset val="134"/>
      </rPr>
      <t>04-08-2026 12:16</t>
    </r>
  </si>
  <si>
    <r>
      <rPr>
        <sz val="10"/>
        <color rgb="FF0000FF"/>
        <rFont val="JRFonts"/>
        <charset val="134"/>
      </rPr>
      <t>22226</t>
    </r>
  </si>
  <si>
    <r>
      <rPr>
        <sz val="10"/>
        <color rgb="FF000000"/>
        <rFont val="JRFonts"/>
        <charset val="134"/>
      </rPr>
      <t>04-08-2026 11:59</t>
    </r>
  </si>
  <si>
    <r>
      <rPr>
        <sz val="10"/>
        <color rgb="FF000000"/>
        <rFont val="JRFonts"/>
        <charset val="134"/>
      </rPr>
      <t>05-08-2026 00:15</t>
    </r>
  </si>
  <si>
    <r>
      <rPr>
        <sz val="10"/>
        <color rgb="FF000000"/>
        <rFont val="JRFonts"/>
        <charset val="134"/>
      </rPr>
      <t>04-08-2026 16:48</t>
    </r>
  </si>
  <si>
    <r>
      <rPr>
        <sz val="10"/>
        <color rgb="FF0000FF"/>
        <rFont val="JRFonts"/>
        <charset val="134"/>
      </rPr>
      <t>22228</t>
    </r>
  </si>
  <si>
    <r>
      <rPr>
        <sz val="10"/>
        <color rgb="FF000000"/>
        <rFont val="JRFonts"/>
        <charset val="134"/>
      </rPr>
      <t>04-08-2026 12:02</t>
    </r>
  </si>
  <si>
    <r>
      <rPr>
        <sz val="10"/>
        <color rgb="FF000000"/>
        <rFont val="JRFonts"/>
        <charset val="134"/>
      </rPr>
      <t>06-08-2026 14:43</t>
    </r>
  </si>
  <si>
    <r>
      <rPr>
        <sz val="10"/>
        <color rgb="FF000000"/>
        <rFont val="JRFonts"/>
        <charset val="134"/>
      </rPr>
      <t>04-08-2026 12:15</t>
    </r>
  </si>
  <si>
    <r>
      <rPr>
        <sz val="10"/>
        <color rgb="FF0000FF"/>
        <rFont val="JRFonts"/>
        <charset val="134"/>
      </rPr>
      <t>22230</t>
    </r>
  </si>
  <si>
    <r>
      <rPr>
        <sz val="10"/>
        <color rgb="FF000000"/>
        <rFont val="JRFonts"/>
        <charset val="134"/>
      </rPr>
      <t>04-08-2026 12:08</t>
    </r>
  </si>
  <si>
    <r>
      <rPr>
        <sz val="10"/>
        <color rgb="FF000000"/>
        <rFont val="JRFonts"/>
        <charset val="134"/>
      </rPr>
      <t>11-08-2026 10:28</t>
    </r>
  </si>
  <si>
    <r>
      <rPr>
        <sz val="10"/>
        <color rgb="FF000000"/>
        <rFont val="JRFonts"/>
        <charset val="134"/>
      </rPr>
      <t>04-08-2026 12:11</t>
    </r>
  </si>
  <si>
    <t>22230</t>
  </si>
  <si>
    <r>
      <rPr>
        <sz val="10"/>
        <color rgb="FF0000FF"/>
        <rFont val="JRFonts"/>
        <charset val="134"/>
      </rPr>
      <t>22231</t>
    </r>
  </si>
  <si>
    <r>
      <rPr>
        <sz val="10"/>
        <color rgb="FF000000"/>
        <rFont val="JRFonts"/>
        <charset val="134"/>
      </rPr>
      <t>04-08-2026 15:29</t>
    </r>
  </si>
  <si>
    <r>
      <rPr>
        <sz val="10"/>
        <color rgb="FF000000"/>
        <rFont val="JRFonts"/>
        <charset val="134"/>
      </rPr>
      <t>04-08-2026 12:17</t>
    </r>
  </si>
  <si>
    <r>
      <rPr>
        <sz val="10"/>
        <color rgb="FF0000FF"/>
        <rFont val="JRFonts"/>
        <charset val="134"/>
      </rPr>
      <t>22232</t>
    </r>
  </si>
  <si>
    <r>
      <rPr>
        <sz val="10"/>
        <color rgb="FF000000"/>
        <rFont val="JRFonts"/>
        <charset val="134"/>
      </rPr>
      <t>11-08-2026 17:10</t>
    </r>
  </si>
  <si>
    <r>
      <rPr>
        <sz val="10"/>
        <color rgb="FF000000"/>
        <rFont val="JRFonts"/>
        <charset val="134"/>
      </rPr>
      <t>10-08-2026 11:02</t>
    </r>
  </si>
  <si>
    <t>22232</t>
  </si>
  <si>
    <r>
      <rPr>
        <sz val="10"/>
        <color rgb="FF0000FF"/>
        <rFont val="JRFonts"/>
        <charset val="134"/>
      </rPr>
      <t>22234</t>
    </r>
  </si>
  <si>
    <r>
      <rPr>
        <sz val="10"/>
        <color rgb="FF000000"/>
        <rFont val="JRFonts"/>
        <charset val="134"/>
      </rPr>
      <t>04-08-2026 12:34</t>
    </r>
  </si>
  <si>
    <t>22234</t>
  </si>
  <si>
    <r>
      <rPr>
        <sz val="10"/>
        <color rgb="FF0000FF"/>
        <rFont val="JRFonts"/>
        <charset val="134"/>
      </rPr>
      <t>22235</t>
    </r>
  </si>
  <si>
    <r>
      <rPr>
        <sz val="10"/>
        <color rgb="FF000000"/>
        <rFont val="JRFonts"/>
        <charset val="134"/>
      </rPr>
      <t>04-08-2026 12:23</t>
    </r>
  </si>
  <si>
    <r>
      <rPr>
        <sz val="10"/>
        <color rgb="FF000000"/>
        <rFont val="JRFonts"/>
        <charset val="134"/>
      </rPr>
      <t>04-08-2026 15:27</t>
    </r>
  </si>
  <si>
    <r>
      <rPr>
        <sz val="10"/>
        <color rgb="FF000000"/>
        <rFont val="JRFonts"/>
        <charset val="134"/>
      </rPr>
      <t>04-08-2026 12:30</t>
    </r>
  </si>
  <si>
    <r>
      <rPr>
        <sz val="10"/>
        <color rgb="FF0000FF"/>
        <rFont val="JRFonts"/>
        <charset val="134"/>
      </rPr>
      <t>22236</t>
    </r>
  </si>
  <si>
    <r>
      <rPr>
        <sz val="10"/>
        <color rgb="FF000000"/>
        <rFont val="JRFonts"/>
        <charset val="134"/>
      </rPr>
      <t>04-08-2026 12:26</t>
    </r>
  </si>
  <si>
    <r>
      <rPr>
        <sz val="10"/>
        <color rgb="FF000000"/>
        <rFont val="JRFonts"/>
        <charset val="134"/>
      </rPr>
      <t>05-08-2026 00:18</t>
    </r>
  </si>
  <si>
    <r>
      <rPr>
        <sz val="10"/>
        <color rgb="FF000000"/>
        <rFont val="JRFonts"/>
        <charset val="134"/>
      </rPr>
      <t>04-08-2026 12:28</t>
    </r>
  </si>
  <si>
    <r>
      <rPr>
        <sz val="10"/>
        <color rgb="FF0000FF"/>
        <rFont val="JRFonts"/>
        <charset val="134"/>
      </rPr>
      <t>22237</t>
    </r>
  </si>
  <si>
    <r>
      <rPr>
        <sz val="10"/>
        <color rgb="FF000000"/>
        <rFont val="JRFonts"/>
        <charset val="134"/>
      </rPr>
      <t>04-08-2026 12:47</t>
    </r>
  </si>
  <si>
    <r>
      <rPr>
        <sz val="10"/>
        <color rgb="FF000000"/>
        <rFont val="JRFonts"/>
        <charset val="134"/>
      </rPr>
      <t>10-08-2026 15:02</t>
    </r>
  </si>
  <si>
    <r>
      <rPr>
        <sz val="10"/>
        <color rgb="FF000000"/>
        <rFont val="JRFonts"/>
        <charset val="134"/>
      </rPr>
      <t>04-08-2026 14:05</t>
    </r>
  </si>
  <si>
    <t>22237</t>
  </si>
  <si>
    <t>22238</t>
  </si>
  <si>
    <r>
      <rPr>
        <sz val="10"/>
        <color rgb="FF000000"/>
        <rFont val="JRFonts"/>
        <charset val="134"/>
      </rPr>
      <t>04-08-2026 12:51</t>
    </r>
  </si>
  <si>
    <r>
      <rPr>
        <sz val="10"/>
        <color rgb="FF000000"/>
        <rFont val="JRFonts"/>
        <charset val="134"/>
      </rPr>
      <t>05-08-2026 12:28</t>
    </r>
  </si>
  <si>
    <r>
      <rPr>
        <sz val="10"/>
        <color rgb="FF000000"/>
        <rFont val="JRFonts"/>
        <charset val="134"/>
      </rPr>
      <t>04-08-2026 14:10</t>
    </r>
  </si>
  <si>
    <r>
      <rPr>
        <sz val="10"/>
        <color rgb="FF0000FF"/>
        <rFont val="JRFonts"/>
        <charset val="134"/>
      </rPr>
      <t>22238</t>
    </r>
  </si>
  <si>
    <r>
      <rPr>
        <sz val="10"/>
        <color rgb="FF0000FF"/>
        <rFont val="JRFonts"/>
        <charset val="134"/>
      </rPr>
      <t>22239</t>
    </r>
  </si>
  <si>
    <r>
      <rPr>
        <sz val="10"/>
        <color rgb="FF000000"/>
        <rFont val="JRFonts"/>
        <charset val="134"/>
      </rPr>
      <t>04-08-2026 12:54</t>
    </r>
  </si>
  <si>
    <r>
      <rPr>
        <sz val="10"/>
        <color rgb="FF000000"/>
        <rFont val="JRFonts"/>
        <charset val="134"/>
      </rPr>
      <t>06-08-2026 14:00</t>
    </r>
  </si>
  <si>
    <r>
      <rPr>
        <sz val="10"/>
        <color rgb="FF000000"/>
        <rFont val="JRFonts"/>
        <charset val="134"/>
      </rPr>
      <t>06-08-2026 11:09</t>
    </r>
  </si>
  <si>
    <r>
      <rPr>
        <sz val="10"/>
        <color rgb="FF0000FF"/>
        <rFont val="JRFonts"/>
        <charset val="134"/>
      </rPr>
      <t>22240</t>
    </r>
  </si>
  <si>
    <r>
      <rPr>
        <sz val="10"/>
        <color rgb="FF000000"/>
        <rFont val="JRFonts"/>
        <charset val="134"/>
      </rPr>
      <t>04-08-2026 14:09</t>
    </r>
  </si>
  <si>
    <t>22240</t>
  </si>
  <si>
    <r>
      <rPr>
        <sz val="10"/>
        <color rgb="FF0000FF"/>
        <rFont val="JRFonts"/>
        <charset val="134"/>
      </rPr>
      <t>22243</t>
    </r>
  </si>
  <si>
    <r>
      <rPr>
        <sz val="10"/>
        <color rgb="FF000000"/>
        <rFont val="JRFonts"/>
        <charset val="134"/>
      </rPr>
      <t>04-08-2026 13:40</t>
    </r>
  </si>
  <si>
    <r>
      <rPr>
        <sz val="10"/>
        <color rgb="FF000000"/>
        <rFont val="JRFonts"/>
        <charset val="134"/>
      </rPr>
      <t>05-08-2026 14:37</t>
    </r>
  </si>
  <si>
    <r>
      <rPr>
        <sz val="10"/>
        <color rgb="FF000000"/>
        <rFont val="JRFonts"/>
        <charset val="134"/>
      </rPr>
      <t>04-08-2026 14:08</t>
    </r>
  </si>
  <si>
    <r>
      <rPr>
        <sz val="10"/>
        <color rgb="FF0000FF"/>
        <rFont val="JRFonts"/>
        <charset val="134"/>
      </rPr>
      <t>22244</t>
    </r>
  </si>
  <si>
    <r>
      <rPr>
        <sz val="10"/>
        <color rgb="FF000000"/>
        <rFont val="JRFonts"/>
        <charset val="134"/>
      </rPr>
      <t>07-08-2026 16:03</t>
    </r>
  </si>
  <si>
    <r>
      <rPr>
        <sz val="10"/>
        <color rgb="FF000000"/>
        <rFont val="JRFonts"/>
        <charset val="134"/>
      </rPr>
      <t>04-08-2026 14:07</t>
    </r>
  </si>
  <si>
    <t>22244</t>
  </si>
  <si>
    <r>
      <rPr>
        <sz val="10"/>
        <color rgb="FF0000FF"/>
        <rFont val="JRFonts"/>
        <charset val="134"/>
      </rPr>
      <t>22246</t>
    </r>
  </si>
  <si>
    <r>
      <rPr>
        <sz val="10"/>
        <color rgb="FF000000"/>
        <rFont val="JRFonts"/>
        <charset val="134"/>
      </rPr>
      <t>04-08-2026 13:49</t>
    </r>
  </si>
  <si>
    <r>
      <rPr>
        <sz val="10"/>
        <color rgb="FF000000"/>
        <rFont val="JRFonts"/>
        <charset val="134"/>
      </rPr>
      <t>04-08-2026 14:41</t>
    </r>
  </si>
  <si>
    <t>22246</t>
  </si>
  <si>
    <r>
      <rPr>
        <sz val="10"/>
        <color rgb="FF0000FF"/>
        <rFont val="JRFonts"/>
        <charset val="134"/>
      </rPr>
      <t>22248</t>
    </r>
  </si>
  <si>
    <r>
      <rPr>
        <sz val="10"/>
        <color rgb="FF000000"/>
        <rFont val="JRFonts"/>
        <charset val="134"/>
      </rPr>
      <t>04-08-2026 14:01</t>
    </r>
  </si>
  <si>
    <r>
      <rPr>
        <sz val="10"/>
        <color rgb="FF000000"/>
        <rFont val="JRFonts"/>
        <charset val="134"/>
      </rPr>
      <t>20-08-2026 10:21</t>
    </r>
  </si>
  <si>
    <r>
      <rPr>
        <sz val="10"/>
        <color rgb="FF000000"/>
        <rFont val="JRFonts"/>
        <charset val="134"/>
      </rPr>
      <t>04-08-2026 14:43</t>
    </r>
  </si>
  <si>
    <t>22248</t>
  </si>
  <si>
    <r>
      <rPr>
        <sz val="10"/>
        <color rgb="FF0000FF"/>
        <rFont val="JRFonts"/>
        <charset val="134"/>
      </rPr>
      <t>22250</t>
    </r>
  </si>
  <si>
    <r>
      <rPr>
        <sz val="10"/>
        <color rgb="FF000000"/>
        <rFont val="JRFonts"/>
        <charset val="134"/>
      </rPr>
      <t>17-08-2026 17:15</t>
    </r>
  </si>
  <si>
    <t>22250</t>
  </si>
  <si>
    <r>
      <rPr>
        <sz val="10"/>
        <color rgb="FF0000FF"/>
        <rFont val="JRFonts"/>
        <charset val="134"/>
      </rPr>
      <t>22251</t>
    </r>
  </si>
  <si>
    <r>
      <rPr>
        <sz val="10"/>
        <color rgb="FF000000"/>
        <rFont val="JRFonts"/>
        <charset val="134"/>
      </rPr>
      <t>04-08-2026 14:34</t>
    </r>
  </si>
  <si>
    <r>
      <rPr>
        <sz val="10"/>
        <color rgb="FF000000"/>
        <rFont val="JRFonts"/>
        <charset val="134"/>
      </rPr>
      <t>07-08-2026 11:34</t>
    </r>
  </si>
  <si>
    <r>
      <rPr>
        <sz val="10"/>
        <color rgb="FF000000"/>
        <rFont val="JRFonts"/>
        <charset val="134"/>
      </rPr>
      <t>04-08-2026 15:07</t>
    </r>
  </si>
  <si>
    <t>22251</t>
  </si>
  <si>
    <r>
      <rPr>
        <sz val="10"/>
        <color rgb="FF0000FF"/>
        <rFont val="JRFonts"/>
        <charset val="134"/>
      </rPr>
      <t>22252</t>
    </r>
  </si>
  <si>
    <r>
      <rPr>
        <sz val="10"/>
        <color rgb="FF000000"/>
        <rFont val="JRFonts"/>
        <charset val="134"/>
      </rPr>
      <t>04-08-2026 14:44</t>
    </r>
  </si>
  <si>
    <r>
      <rPr>
        <sz val="10"/>
        <color rgb="FF000000"/>
        <rFont val="JRFonts"/>
        <charset val="134"/>
      </rPr>
      <t>21-08-2026 12:07</t>
    </r>
  </si>
  <si>
    <r>
      <rPr>
        <sz val="10"/>
        <color rgb="FF000000"/>
        <rFont val="JRFonts"/>
        <charset val="134"/>
      </rPr>
      <t>04-08-2026 15:00</t>
    </r>
  </si>
  <si>
    <r>
      <rPr>
        <sz val="10"/>
        <color rgb="FF0000FF"/>
        <rFont val="JRFonts"/>
        <charset val="134"/>
      </rPr>
      <t>22253</t>
    </r>
  </si>
  <si>
    <r>
      <rPr>
        <sz val="10"/>
        <color rgb="FF000000"/>
        <rFont val="JRFonts"/>
        <charset val="134"/>
      </rPr>
      <t>04-08-2026 14:47</t>
    </r>
  </si>
  <si>
    <r>
      <rPr>
        <sz val="10"/>
        <color rgb="FF000000"/>
        <rFont val="JRFonts"/>
        <charset val="134"/>
      </rPr>
      <t>10-08-2026 11:38</t>
    </r>
  </si>
  <si>
    <r>
      <rPr>
        <sz val="10"/>
        <color rgb="FF000000"/>
        <rFont val="JRFonts"/>
        <charset val="134"/>
      </rPr>
      <t>04-08-2026 15:08</t>
    </r>
  </si>
  <si>
    <t>22253</t>
  </si>
  <si>
    <r>
      <rPr>
        <sz val="10"/>
        <color rgb="FF0000FF"/>
        <rFont val="JRFonts"/>
        <charset val="134"/>
      </rPr>
      <t>22254</t>
    </r>
  </si>
  <si>
    <r>
      <rPr>
        <sz val="10"/>
        <color rgb="FF000000"/>
        <rFont val="JRFonts"/>
        <charset val="134"/>
      </rPr>
      <t>10-08-2026 11:39</t>
    </r>
  </si>
  <si>
    <r>
      <rPr>
        <sz val="10"/>
        <color rgb="FF000000"/>
        <rFont val="JRFonts"/>
        <charset val="134"/>
      </rPr>
      <t>04-08-2026 16:49</t>
    </r>
  </si>
  <si>
    <t>22254</t>
  </si>
  <si>
    <r>
      <rPr>
        <sz val="10"/>
        <color rgb="FF0000FF"/>
        <rFont val="JRFonts"/>
        <charset val="134"/>
      </rPr>
      <t>22255</t>
    </r>
  </si>
  <si>
    <r>
      <rPr>
        <sz val="10"/>
        <color rgb="FF000000"/>
        <rFont val="JRFonts"/>
        <charset val="134"/>
      </rPr>
      <t>04-08-2026 17:55</t>
    </r>
  </si>
  <si>
    <r>
      <rPr>
        <sz val="10"/>
        <color rgb="FF000000"/>
        <rFont val="JRFonts"/>
        <charset val="134"/>
      </rPr>
      <t>04-08-2026 14:56</t>
    </r>
  </si>
  <si>
    <t>22256</t>
  </si>
  <si>
    <r>
      <rPr>
        <sz val="10"/>
        <color rgb="FF000000"/>
        <rFont val="JRFonts"/>
        <charset val="134"/>
      </rPr>
      <t>04-08-2026 18:28</t>
    </r>
  </si>
  <si>
    <r>
      <rPr>
        <sz val="10"/>
        <color rgb="FF000000"/>
        <rFont val="JRFonts"/>
        <charset val="134"/>
      </rPr>
      <t>04-08-2026 15:05</t>
    </r>
  </si>
  <si>
    <t>All EL report tickets are marked as P1 -Need clarification as extracting report with P1 time is difficult</t>
  </si>
  <si>
    <t>Confirmation - jatin</t>
  </si>
  <si>
    <r>
      <rPr>
        <sz val="10"/>
        <color rgb="FF0000FF"/>
        <rFont val="JRFonts"/>
        <charset val="134"/>
      </rPr>
      <t>22257</t>
    </r>
  </si>
  <si>
    <r>
      <rPr>
        <sz val="10"/>
        <color rgb="FF000000"/>
        <rFont val="JRFonts"/>
        <charset val="134"/>
      </rPr>
      <t>04-08-2026 15:02</t>
    </r>
  </si>
  <si>
    <r>
      <rPr>
        <sz val="10"/>
        <color rgb="FF000000"/>
        <rFont val="JRFonts"/>
        <charset val="134"/>
      </rPr>
      <t>07-08-2026 14:22</t>
    </r>
  </si>
  <si>
    <r>
      <rPr>
        <sz val="10"/>
        <color rgb="FF000000"/>
        <rFont val="JRFonts"/>
        <charset val="134"/>
      </rPr>
      <t>04-08-2026 16:04</t>
    </r>
  </si>
  <si>
    <t>22257</t>
  </si>
  <si>
    <t>Data has been shared with MLI within SLA , there was file access issue at MLI side</t>
  </si>
  <si>
    <r>
      <rPr>
        <sz val="10"/>
        <color rgb="FF0000FF"/>
        <rFont val="JRFonts"/>
        <charset val="134"/>
      </rPr>
      <t>22259</t>
    </r>
  </si>
  <si>
    <r>
      <rPr>
        <sz val="10"/>
        <color rgb="FF000000"/>
        <rFont val="JRFonts"/>
        <charset val="134"/>
      </rPr>
      <t>07-08-2026 16:34</t>
    </r>
  </si>
  <si>
    <r>
      <rPr>
        <sz val="10"/>
        <color rgb="FF000000"/>
        <rFont val="JRFonts"/>
        <charset val="134"/>
      </rPr>
      <t>04-08-2026 15:17</t>
    </r>
  </si>
  <si>
    <t>22259</t>
  </si>
  <si>
    <r>
      <rPr>
        <sz val="10"/>
        <color rgb="FF0000FF"/>
        <rFont val="JRFonts"/>
        <charset val="134"/>
      </rPr>
      <t>22260</t>
    </r>
  </si>
  <si>
    <r>
      <rPr>
        <sz val="10"/>
        <color rgb="FF000000"/>
        <rFont val="JRFonts"/>
        <charset val="134"/>
      </rPr>
      <t>04-08-2026 15:11</t>
    </r>
  </si>
  <si>
    <r>
      <rPr>
        <sz val="10"/>
        <color rgb="FF000000"/>
        <rFont val="JRFonts"/>
        <charset val="134"/>
      </rPr>
      <t>04-08-2026 15:14</t>
    </r>
  </si>
  <si>
    <t>22260</t>
  </si>
  <si>
    <r>
      <rPr>
        <sz val="10"/>
        <color rgb="FF0000FF"/>
        <rFont val="JRFonts"/>
        <charset val="134"/>
      </rPr>
      <t>22261</t>
    </r>
  </si>
  <si>
    <r>
      <rPr>
        <sz val="10"/>
        <color rgb="FF000000"/>
        <rFont val="JRFonts"/>
        <charset val="134"/>
      </rPr>
      <t>05-08-2026 00:35</t>
    </r>
  </si>
  <si>
    <r>
      <rPr>
        <sz val="10"/>
        <color rgb="FF000000"/>
        <rFont val="JRFonts"/>
        <charset val="134"/>
      </rPr>
      <t>04-08-2026 15:33</t>
    </r>
  </si>
  <si>
    <r>
      <rPr>
        <sz val="10"/>
        <color rgb="FF0000FF"/>
        <rFont val="JRFonts"/>
        <charset val="134"/>
      </rPr>
      <t>22262</t>
    </r>
  </si>
  <si>
    <r>
      <rPr>
        <sz val="10"/>
        <color rgb="FF000000"/>
        <rFont val="JRFonts"/>
        <charset val="134"/>
      </rPr>
      <t>04-08-2026 15:20</t>
    </r>
  </si>
  <si>
    <r>
      <rPr>
        <sz val="10"/>
        <color rgb="FF000000"/>
        <rFont val="JRFonts"/>
        <charset val="134"/>
      </rPr>
      <t>04-08-2026 15:31</t>
    </r>
  </si>
  <si>
    <t>22262</t>
  </si>
  <si>
    <r>
      <rPr>
        <sz val="10"/>
        <color rgb="FF0000FF"/>
        <rFont val="JRFonts"/>
        <charset val="134"/>
      </rPr>
      <t>22263</t>
    </r>
  </si>
  <si>
    <r>
      <rPr>
        <sz val="10"/>
        <color rgb="FF000000"/>
        <rFont val="JRFonts"/>
        <charset val="134"/>
      </rPr>
      <t>07-08-2026 16:04</t>
    </r>
  </si>
  <si>
    <r>
      <rPr>
        <sz val="10"/>
        <color rgb="FF000000"/>
        <rFont val="JRFonts"/>
        <charset val="134"/>
      </rPr>
      <t>04-08-2026 15:32</t>
    </r>
  </si>
  <si>
    <t>22263</t>
  </si>
  <si>
    <r>
      <rPr>
        <sz val="10"/>
        <color rgb="FF0000FF"/>
        <rFont val="JRFonts"/>
        <charset val="134"/>
      </rPr>
      <t>22265</t>
    </r>
  </si>
  <si>
    <r>
      <rPr>
        <sz val="10"/>
        <color rgb="FF000000"/>
        <rFont val="JRFonts"/>
        <charset val="134"/>
      </rPr>
      <t>04-08-2026 15:26</t>
    </r>
  </si>
  <si>
    <r>
      <rPr>
        <sz val="10"/>
        <color rgb="FF000000"/>
        <rFont val="JRFonts"/>
        <charset val="134"/>
      </rPr>
      <t>04-08-2026 16:50</t>
    </r>
  </si>
  <si>
    <t>22265</t>
  </si>
  <si>
    <r>
      <rPr>
        <sz val="10"/>
        <color rgb="FF0000FF"/>
        <rFont val="JRFonts"/>
        <charset val="134"/>
      </rPr>
      <t>22266</t>
    </r>
  </si>
  <si>
    <r>
      <rPr>
        <sz val="10"/>
        <color rgb="FF000000"/>
        <rFont val="JRFonts"/>
        <charset val="134"/>
      </rPr>
      <t>04-08-2026 15:36</t>
    </r>
  </si>
  <si>
    <r>
      <rPr>
        <sz val="10"/>
        <color rgb="FF000000"/>
        <rFont val="JRFonts"/>
        <charset val="134"/>
      </rPr>
      <t>04-08-2026 16:46</t>
    </r>
  </si>
  <si>
    <r>
      <rPr>
        <sz val="10"/>
        <color rgb="FF000000"/>
        <rFont val="JRFonts"/>
        <charset val="134"/>
      </rPr>
      <t>04-08-2026 16:45</t>
    </r>
  </si>
  <si>
    <r>
      <rPr>
        <sz val="10"/>
        <color rgb="FF0000FF"/>
        <rFont val="JRFonts"/>
        <charset val="134"/>
      </rPr>
      <t>22270</t>
    </r>
  </si>
  <si>
    <r>
      <rPr>
        <sz val="10"/>
        <color rgb="FF000000"/>
        <rFont val="JRFonts"/>
        <charset val="134"/>
      </rPr>
      <t>17-08-2026 17:12</t>
    </r>
  </si>
  <si>
    <r>
      <rPr>
        <sz val="10"/>
        <color rgb="FF000000"/>
        <rFont val="JRFonts"/>
        <charset val="134"/>
      </rPr>
      <t>04-08-2026 16:42</t>
    </r>
  </si>
  <si>
    <t>22270</t>
  </si>
  <si>
    <r>
      <rPr>
        <sz val="10"/>
        <color rgb="FF0000FF"/>
        <rFont val="JRFonts"/>
        <charset val="134"/>
      </rPr>
      <t>22271</t>
    </r>
  </si>
  <si>
    <r>
      <rPr>
        <sz val="10"/>
        <color rgb="FF000000"/>
        <rFont val="JRFonts"/>
        <charset val="134"/>
      </rPr>
      <t>17-08-2026 12:39</t>
    </r>
  </si>
  <si>
    <r>
      <rPr>
        <sz val="10"/>
        <color rgb="FF000000"/>
        <rFont val="JRFonts"/>
        <charset val="134"/>
      </rPr>
      <t>04-08-2026 16:43</t>
    </r>
  </si>
  <si>
    <r>
      <rPr>
        <sz val="10"/>
        <color rgb="FF0000FF"/>
        <rFont val="JRFonts"/>
        <charset val="134"/>
      </rPr>
      <t>22273</t>
    </r>
  </si>
  <si>
    <r>
      <rPr>
        <sz val="10"/>
        <color rgb="FF000000"/>
        <rFont val="JRFonts"/>
        <charset val="134"/>
      </rPr>
      <t>22-08-2026 12:25</t>
    </r>
  </si>
  <si>
    <r>
      <rPr>
        <sz val="10"/>
        <color rgb="FF000000"/>
        <rFont val="JRFonts"/>
        <charset val="134"/>
      </rPr>
      <t>04-08-2026 17:29</t>
    </r>
  </si>
  <si>
    <r>
      <rPr>
        <sz val="10"/>
        <color rgb="FF0000FF"/>
        <rFont val="JRFonts"/>
        <charset val="134"/>
      </rPr>
      <t>22274</t>
    </r>
  </si>
  <si>
    <r>
      <rPr>
        <sz val="10"/>
        <color rgb="FF000000"/>
        <rFont val="JRFonts"/>
        <charset val="134"/>
      </rPr>
      <t>04-08-2026 16:52</t>
    </r>
  </si>
  <si>
    <r>
      <rPr>
        <sz val="10"/>
        <color rgb="FF000000"/>
        <rFont val="JRFonts"/>
        <charset val="134"/>
      </rPr>
      <t>05-08-2026 12:40</t>
    </r>
  </si>
  <si>
    <r>
      <rPr>
        <sz val="10"/>
        <color rgb="FF000000"/>
        <rFont val="JRFonts"/>
        <charset val="134"/>
      </rPr>
      <t>04-08-2026 17:14</t>
    </r>
  </si>
  <si>
    <r>
      <rPr>
        <sz val="10"/>
        <color rgb="FF0000FF"/>
        <rFont val="JRFonts"/>
        <charset val="134"/>
      </rPr>
      <t>22275</t>
    </r>
  </si>
  <si>
    <r>
      <rPr>
        <sz val="10"/>
        <color rgb="FF000000"/>
        <rFont val="JRFonts"/>
        <charset val="134"/>
      </rPr>
      <t>04-08-2026 16:55</t>
    </r>
  </si>
  <si>
    <r>
      <rPr>
        <sz val="10"/>
        <color rgb="FF000000"/>
        <rFont val="JRFonts"/>
        <charset val="134"/>
      </rPr>
      <t>21-08-2026 13:02</t>
    </r>
  </si>
  <si>
    <r>
      <rPr>
        <sz val="10"/>
        <color rgb="FF000000"/>
        <rFont val="JRFonts"/>
        <charset val="134"/>
      </rPr>
      <t>04-08-2026 17:37</t>
    </r>
  </si>
  <si>
    <r>
      <rPr>
        <sz val="10"/>
        <color rgb="FF0000FF"/>
        <rFont val="JRFonts"/>
        <charset val="134"/>
      </rPr>
      <t>22278</t>
    </r>
  </si>
  <si>
    <r>
      <rPr>
        <sz val="10"/>
        <color rgb="FF000000"/>
        <rFont val="JRFonts"/>
        <charset val="134"/>
      </rPr>
      <t>04-08-2026 17:10</t>
    </r>
  </si>
  <si>
    <t>22278</t>
  </si>
  <si>
    <r>
      <rPr>
        <sz val="10"/>
        <color rgb="FF0000FF"/>
        <rFont val="JRFonts"/>
        <charset val="134"/>
      </rPr>
      <t>22279</t>
    </r>
  </si>
  <si>
    <r>
      <rPr>
        <sz val="10"/>
        <color rgb="FF000000"/>
        <rFont val="JRFonts"/>
        <charset val="134"/>
      </rPr>
      <t>07-08-2026 16:05</t>
    </r>
  </si>
  <si>
    <r>
      <rPr>
        <sz val="10"/>
        <color rgb="FF000000"/>
        <rFont val="JRFonts"/>
        <charset val="134"/>
      </rPr>
      <t>04-08-2026 17:12</t>
    </r>
  </si>
  <si>
    <t>22279</t>
  </si>
  <si>
    <r>
      <rPr>
        <sz val="10"/>
        <color rgb="FF0000FF"/>
        <rFont val="JRFonts"/>
        <charset val="134"/>
      </rPr>
      <t>22282</t>
    </r>
  </si>
  <si>
    <r>
      <rPr>
        <sz val="10"/>
        <color rgb="FF000000"/>
        <rFont val="JRFonts"/>
        <charset val="134"/>
      </rPr>
      <t>07-08-2026 16:42</t>
    </r>
  </si>
  <si>
    <r>
      <rPr>
        <sz val="10"/>
        <color rgb="FF000000"/>
        <rFont val="JRFonts"/>
        <charset val="134"/>
      </rPr>
      <t>04-08-2026 17:27</t>
    </r>
  </si>
  <si>
    <t>22282</t>
  </si>
  <si>
    <r>
      <rPr>
        <sz val="10"/>
        <color rgb="FF0000FF"/>
        <rFont val="JRFonts"/>
        <charset val="134"/>
      </rPr>
      <t>22283</t>
    </r>
  </si>
  <si>
    <r>
      <rPr>
        <sz val="10"/>
        <color rgb="FF000000"/>
        <rFont val="JRFonts"/>
        <charset val="134"/>
      </rPr>
      <t>04-08-2026 17:34</t>
    </r>
  </si>
  <si>
    <r>
      <rPr>
        <sz val="10"/>
        <color rgb="FF000000"/>
        <rFont val="JRFonts"/>
        <charset val="134"/>
      </rPr>
      <t>31-08-2026 12:34</t>
    </r>
  </si>
  <si>
    <r>
      <rPr>
        <sz val="10"/>
        <color rgb="FF000000"/>
        <rFont val="JRFonts"/>
        <charset val="134"/>
      </rPr>
      <t>04-08-2026 17:53</t>
    </r>
  </si>
  <si>
    <r>
      <rPr>
        <sz val="10"/>
        <color rgb="FF0000FF"/>
        <rFont val="JRFonts"/>
        <charset val="134"/>
      </rPr>
      <t>22286</t>
    </r>
  </si>
  <si>
    <r>
      <rPr>
        <sz val="10"/>
        <color rgb="FF000000"/>
        <rFont val="JRFonts"/>
        <charset val="134"/>
      </rPr>
      <t>05-08-2026 10:27</t>
    </r>
  </si>
  <si>
    <r>
      <rPr>
        <sz val="10"/>
        <color rgb="FF000000"/>
        <rFont val="JRFonts"/>
        <charset val="134"/>
      </rPr>
      <t>04-08-2026 18:25</t>
    </r>
  </si>
  <si>
    <r>
      <rPr>
        <sz val="10"/>
        <color rgb="FF0000FF"/>
        <rFont val="JRFonts"/>
        <charset val="134"/>
      </rPr>
      <t>22287</t>
    </r>
  </si>
  <si>
    <r>
      <rPr>
        <sz val="10"/>
        <color rgb="FF000000"/>
        <rFont val="JRFonts"/>
        <charset val="134"/>
      </rPr>
      <t>05-08-2026 17:10</t>
    </r>
  </si>
  <si>
    <r>
      <rPr>
        <sz val="10"/>
        <color rgb="FF000000"/>
        <rFont val="JRFonts"/>
        <charset val="134"/>
      </rPr>
      <t>04-08-2026 18:20</t>
    </r>
  </si>
  <si>
    <t>22287</t>
  </si>
  <si>
    <r>
      <rPr>
        <sz val="10"/>
        <color rgb="FF0000FF"/>
        <rFont val="JRFonts"/>
        <charset val="134"/>
      </rPr>
      <t>22288</t>
    </r>
  </si>
  <si>
    <r>
      <rPr>
        <sz val="10"/>
        <color rgb="FF000000"/>
        <rFont val="JRFonts"/>
        <charset val="134"/>
      </rPr>
      <t>18-09-2026 16:56</t>
    </r>
  </si>
  <si>
    <r>
      <rPr>
        <sz val="10"/>
        <color rgb="FF000000"/>
        <rFont val="JRFonts"/>
        <charset val="134"/>
      </rPr>
      <t>04-08-2026 18:16</t>
    </r>
  </si>
  <si>
    <t>22288</t>
  </si>
  <si>
    <r>
      <rPr>
        <sz val="10"/>
        <color rgb="FF0000FF"/>
        <rFont val="JRFonts"/>
        <charset val="134"/>
      </rPr>
      <t>22290</t>
    </r>
  </si>
  <si>
    <r>
      <rPr>
        <sz val="10"/>
        <color rgb="FF000000"/>
        <rFont val="JRFonts"/>
        <charset val="134"/>
      </rPr>
      <t>05-08-2026 11:43</t>
    </r>
  </si>
  <si>
    <r>
      <rPr>
        <sz val="10"/>
        <color rgb="FF000000"/>
        <rFont val="JRFonts"/>
        <charset val="134"/>
      </rPr>
      <t>04-08-2026 18:18</t>
    </r>
  </si>
  <si>
    <r>
      <rPr>
        <sz val="10"/>
        <color rgb="FF0000FF"/>
        <rFont val="JRFonts"/>
        <charset val="134"/>
      </rPr>
      <t>22291</t>
    </r>
  </si>
  <si>
    <r>
      <rPr>
        <sz val="10"/>
        <color rgb="FF000000"/>
        <rFont val="JRFonts"/>
        <charset val="134"/>
      </rPr>
      <t>04-08-2026 18:17</t>
    </r>
  </si>
  <si>
    <r>
      <rPr>
        <sz val="10"/>
        <color rgb="FF000000"/>
        <rFont val="JRFonts"/>
        <charset val="134"/>
      </rPr>
      <t>07-08-2026 16:07</t>
    </r>
  </si>
  <si>
    <r>
      <rPr>
        <sz val="10"/>
        <color rgb="FF000000"/>
        <rFont val="JRFonts"/>
        <charset val="134"/>
      </rPr>
      <t>04-08-2026 18:19</t>
    </r>
  </si>
  <si>
    <t>22291</t>
  </si>
  <si>
    <r>
      <rPr>
        <sz val="10"/>
        <color rgb="FF0000FF"/>
        <rFont val="JRFonts"/>
        <charset val="134"/>
      </rPr>
      <t>22293</t>
    </r>
  </si>
  <si>
    <r>
      <rPr>
        <sz val="10"/>
        <color rgb="FF000000"/>
        <rFont val="JRFonts"/>
        <charset val="134"/>
      </rPr>
      <t>04-08-2026 18:29</t>
    </r>
  </si>
  <si>
    <r>
      <rPr>
        <sz val="10"/>
        <color rgb="FF000000"/>
        <rFont val="JRFonts"/>
        <charset val="134"/>
      </rPr>
      <t>31-08-2026 14:31</t>
    </r>
  </si>
  <si>
    <r>
      <rPr>
        <sz val="10"/>
        <color rgb="FF000000"/>
        <rFont val="JRFonts"/>
        <charset val="134"/>
      </rPr>
      <t>05-08-2026 14:07</t>
    </r>
  </si>
  <si>
    <t>22293</t>
  </si>
  <si>
    <r>
      <rPr>
        <sz val="10"/>
        <color rgb="FF0000FF"/>
        <rFont val="JRFonts"/>
        <charset val="134"/>
      </rPr>
      <t>22295</t>
    </r>
  </si>
  <si>
    <r>
      <rPr>
        <sz val="10"/>
        <color rgb="FF000000"/>
        <rFont val="JRFonts"/>
        <charset val="134"/>
      </rPr>
      <t>04-08-2026 18:47</t>
    </r>
  </si>
  <si>
    <r>
      <rPr>
        <sz val="10"/>
        <color rgb="FF000000"/>
        <rFont val="JRFonts"/>
        <charset val="134"/>
      </rPr>
      <t>05-08-2026 10:17</t>
    </r>
  </si>
  <si>
    <t>22295</t>
  </si>
  <si>
    <r>
      <rPr>
        <sz val="10"/>
        <color rgb="FF0000FF"/>
        <rFont val="JRFonts"/>
        <charset val="134"/>
      </rPr>
      <t>22298</t>
    </r>
  </si>
  <si>
    <r>
      <rPr>
        <sz val="10"/>
        <color rgb="FF000000"/>
        <rFont val="JRFonts"/>
        <charset val="134"/>
      </rPr>
      <t>04-08-2026 20:19</t>
    </r>
  </si>
  <si>
    <r>
      <rPr>
        <sz val="10"/>
        <color rgb="FF000000"/>
        <rFont val="JRFonts"/>
        <charset val="134"/>
      </rPr>
      <t>05-08-2026 11:56</t>
    </r>
  </si>
  <si>
    <r>
      <rPr>
        <sz val="10"/>
        <color rgb="FF000000"/>
        <rFont val="JRFonts"/>
        <charset val="134"/>
      </rPr>
      <t>05-08-2026 10:16</t>
    </r>
  </si>
  <si>
    <r>
      <rPr>
        <sz val="10"/>
        <color rgb="FF0000FF"/>
        <rFont val="JRFonts"/>
        <charset val="134"/>
      </rPr>
      <t>22299</t>
    </r>
  </si>
  <si>
    <r>
      <rPr>
        <sz val="10"/>
        <color rgb="FF000000"/>
        <rFont val="JRFonts"/>
        <charset val="134"/>
      </rPr>
      <t>04-08-2026 20:40</t>
    </r>
  </si>
  <si>
    <r>
      <rPr>
        <sz val="10"/>
        <color rgb="FF000000"/>
        <rFont val="JRFonts"/>
        <charset val="134"/>
      </rPr>
      <t>07-08-2026 16:08</t>
    </r>
  </si>
  <si>
    <r>
      <rPr>
        <sz val="10"/>
        <color rgb="FF000000"/>
        <rFont val="JRFonts"/>
        <charset val="134"/>
      </rPr>
      <t>05-08-2026 10:19</t>
    </r>
  </si>
  <si>
    <t>22299</t>
  </si>
  <si>
    <r>
      <rPr>
        <sz val="10"/>
        <color rgb="FF0000FF"/>
        <rFont val="JRFonts"/>
        <charset val="134"/>
      </rPr>
      <t>22302</t>
    </r>
  </si>
  <si>
    <r>
      <rPr>
        <sz val="10"/>
        <color rgb="FF000000"/>
        <rFont val="JRFonts"/>
        <charset val="134"/>
      </rPr>
      <t>05-08-2026 10:14</t>
    </r>
  </si>
  <si>
    <r>
      <rPr>
        <sz val="10"/>
        <color rgb="FF000000"/>
        <rFont val="JRFonts"/>
        <charset val="134"/>
      </rPr>
      <t>05-08-2026 11:20</t>
    </r>
  </si>
  <si>
    <r>
      <rPr>
        <sz val="10"/>
        <color rgb="FF0000FF"/>
        <rFont val="JRFonts"/>
        <charset val="134"/>
      </rPr>
      <t>22303</t>
    </r>
  </si>
  <si>
    <r>
      <rPr>
        <sz val="10"/>
        <color rgb="FF000000"/>
        <rFont val="JRFonts"/>
        <charset val="134"/>
      </rPr>
      <t>05-08-2026 10:33</t>
    </r>
  </si>
  <si>
    <r>
      <rPr>
        <sz val="10"/>
        <color rgb="FF000000"/>
        <rFont val="JRFonts"/>
        <charset val="134"/>
      </rPr>
      <t>05-08-2026 10:20</t>
    </r>
  </si>
  <si>
    <r>
      <rPr>
        <sz val="10"/>
        <color rgb="FF0000FF"/>
        <rFont val="JRFonts"/>
        <charset val="134"/>
      </rPr>
      <t>22305</t>
    </r>
  </si>
  <si>
    <r>
      <rPr>
        <sz val="10"/>
        <color rgb="FF000000"/>
        <rFont val="JRFonts"/>
        <charset val="134"/>
      </rPr>
      <t>05-08-2026 10:23</t>
    </r>
  </si>
  <si>
    <r>
      <rPr>
        <sz val="10"/>
        <color rgb="FF000000"/>
        <rFont val="JRFonts"/>
        <charset val="134"/>
      </rPr>
      <t>05-08-2026 16:36</t>
    </r>
  </si>
  <si>
    <r>
      <rPr>
        <sz val="10"/>
        <color rgb="FF000000"/>
        <rFont val="JRFonts"/>
        <charset val="134"/>
      </rPr>
      <t>05-08-2026 10:38</t>
    </r>
  </si>
  <si>
    <r>
      <rPr>
        <sz val="10"/>
        <color rgb="FF0000FF"/>
        <rFont val="JRFonts"/>
        <charset val="134"/>
      </rPr>
      <t>22306</t>
    </r>
  </si>
  <si>
    <r>
      <rPr>
        <sz val="10"/>
        <color rgb="FF000000"/>
        <rFont val="JRFonts"/>
        <charset val="134"/>
      </rPr>
      <t>05-08-2026 15:13</t>
    </r>
  </si>
  <si>
    <r>
      <rPr>
        <sz val="10"/>
        <color rgb="FF000000"/>
        <rFont val="JRFonts"/>
        <charset val="134"/>
      </rPr>
      <t>05-08-2026 10:41</t>
    </r>
  </si>
  <si>
    <r>
      <rPr>
        <sz val="10"/>
        <color rgb="FF0000FF"/>
        <rFont val="JRFonts"/>
        <charset val="134"/>
      </rPr>
      <t>22307</t>
    </r>
  </si>
  <si>
    <r>
      <rPr>
        <sz val="10"/>
        <color rgb="FF000000"/>
        <rFont val="JRFonts"/>
        <charset val="134"/>
      </rPr>
      <t>05-08-2026 10:29</t>
    </r>
  </si>
  <si>
    <r>
      <rPr>
        <sz val="10"/>
        <color rgb="FF000000"/>
        <rFont val="JRFonts"/>
        <charset val="134"/>
      </rPr>
      <t>10-08-2026 17:40</t>
    </r>
  </si>
  <si>
    <r>
      <rPr>
        <sz val="10"/>
        <color rgb="FF000000"/>
        <rFont val="JRFonts"/>
        <charset val="134"/>
      </rPr>
      <t>05-08-2026 10:35</t>
    </r>
  </si>
  <si>
    <t>22307</t>
  </si>
  <si>
    <r>
      <rPr>
        <sz val="10"/>
        <color rgb="FF0000FF"/>
        <rFont val="JRFonts"/>
        <charset val="134"/>
      </rPr>
      <t>22308</t>
    </r>
  </si>
  <si>
    <r>
      <rPr>
        <sz val="10"/>
        <color rgb="FF000000"/>
        <rFont val="JRFonts"/>
        <charset val="134"/>
      </rPr>
      <t>05-08-2026 14:04</t>
    </r>
  </si>
  <si>
    <r>
      <rPr>
        <sz val="10"/>
        <color rgb="FF000000"/>
        <rFont val="JRFonts"/>
        <charset val="134"/>
      </rPr>
      <t>05-08-2026 10:44</t>
    </r>
  </si>
  <si>
    <r>
      <rPr>
        <sz val="10"/>
        <color rgb="FF0000FF"/>
        <rFont val="JRFonts"/>
        <charset val="134"/>
      </rPr>
      <t>22309</t>
    </r>
  </si>
  <si>
    <r>
      <rPr>
        <sz val="10"/>
        <color rgb="FF000000"/>
        <rFont val="JRFonts"/>
        <charset val="134"/>
      </rPr>
      <t>05-08-2026 14:17</t>
    </r>
  </si>
  <si>
    <r>
      <rPr>
        <sz val="10"/>
        <color rgb="FF000000"/>
        <rFont val="JRFonts"/>
        <charset val="134"/>
      </rPr>
      <t>05-08-2026 11:04</t>
    </r>
  </si>
  <si>
    <r>
      <rPr>
        <sz val="10"/>
        <color rgb="FF0000FF"/>
        <rFont val="JRFonts"/>
        <charset val="134"/>
      </rPr>
      <t>22310</t>
    </r>
  </si>
  <si>
    <r>
      <rPr>
        <sz val="10"/>
        <color rgb="FF000000"/>
        <rFont val="JRFonts"/>
        <charset val="134"/>
      </rPr>
      <t>05-08-2026 10:47</t>
    </r>
  </si>
  <si>
    <r>
      <rPr>
        <sz val="10"/>
        <color rgb="FF000000"/>
        <rFont val="JRFonts"/>
        <charset val="134"/>
      </rPr>
      <t>05-08-2026 14:29</t>
    </r>
  </si>
  <si>
    <r>
      <rPr>
        <sz val="10"/>
        <color rgb="FF000000"/>
        <rFont val="JRFonts"/>
        <charset val="134"/>
      </rPr>
      <t>05-08-2026 11:44</t>
    </r>
  </si>
  <si>
    <r>
      <rPr>
        <sz val="10"/>
        <color rgb="FF0000FF"/>
        <rFont val="JRFonts"/>
        <charset val="134"/>
      </rPr>
      <t>22312</t>
    </r>
  </si>
  <si>
    <r>
      <rPr>
        <sz val="10"/>
        <color rgb="FF000000"/>
        <rFont val="JRFonts"/>
        <charset val="134"/>
      </rPr>
      <t>05-08-2026 17:13</t>
    </r>
  </si>
  <si>
    <r>
      <rPr>
        <sz val="10"/>
        <color rgb="FF000000"/>
        <rFont val="JRFonts"/>
        <charset val="134"/>
      </rPr>
      <t>05-08-2026 11:09</t>
    </r>
  </si>
  <si>
    <r>
      <rPr>
        <sz val="10"/>
        <color rgb="FF0000FF"/>
        <rFont val="JRFonts"/>
        <charset val="134"/>
      </rPr>
      <t>22313</t>
    </r>
  </si>
  <si>
    <r>
      <rPr>
        <sz val="10"/>
        <color rgb="FF000000"/>
        <rFont val="JRFonts"/>
        <charset val="134"/>
      </rPr>
      <t>05-08-2026 11:11</t>
    </r>
  </si>
  <si>
    <t>22313</t>
  </si>
  <si>
    <r>
      <rPr>
        <sz val="10"/>
        <color rgb="FF0000FF"/>
        <rFont val="JRFonts"/>
        <charset val="134"/>
      </rPr>
      <t>22314</t>
    </r>
  </si>
  <si>
    <r>
      <rPr>
        <sz val="10"/>
        <color rgb="FF000000"/>
        <rFont val="JRFonts"/>
        <charset val="134"/>
      </rPr>
      <t>05-08-2026 10:59</t>
    </r>
  </si>
  <si>
    <r>
      <rPr>
        <sz val="10"/>
        <color rgb="FF000000"/>
        <rFont val="JRFonts"/>
        <charset val="134"/>
      </rPr>
      <t>05-08-2026 18:12</t>
    </r>
  </si>
  <si>
    <r>
      <rPr>
        <sz val="10"/>
        <color rgb="FF000000"/>
        <rFont val="JRFonts"/>
        <charset val="134"/>
      </rPr>
      <t>05-08-2026 11:13</t>
    </r>
  </si>
  <si>
    <t>22314</t>
  </si>
  <si>
    <r>
      <rPr>
        <sz val="10"/>
        <color rgb="FF0000FF"/>
        <rFont val="JRFonts"/>
        <charset val="134"/>
      </rPr>
      <t>22315</t>
    </r>
  </si>
  <si>
    <r>
      <rPr>
        <sz val="10"/>
        <color rgb="FF000000"/>
        <rFont val="JRFonts"/>
        <charset val="134"/>
      </rPr>
      <t>10-08-2026 17:33</t>
    </r>
  </si>
  <si>
    <r>
      <rPr>
        <sz val="10"/>
        <color rgb="FF000000"/>
        <rFont val="JRFonts"/>
        <charset val="134"/>
      </rPr>
      <t>05-08-2026 11:16</t>
    </r>
  </si>
  <si>
    <t>22315</t>
  </si>
  <si>
    <r>
      <rPr>
        <sz val="10"/>
        <color rgb="FF0000FF"/>
        <rFont val="JRFonts"/>
        <charset val="134"/>
      </rPr>
      <t>22316</t>
    </r>
  </si>
  <si>
    <r>
      <rPr>
        <sz val="10"/>
        <color rgb="FF000000"/>
        <rFont val="JRFonts"/>
        <charset val="134"/>
      </rPr>
      <t>05-08-2026 11:21</t>
    </r>
  </si>
  <si>
    <r>
      <rPr>
        <sz val="10"/>
        <color rgb="FF000000"/>
        <rFont val="JRFonts"/>
        <charset val="134"/>
      </rPr>
      <t>05-08-2026 15:16</t>
    </r>
  </si>
  <si>
    <r>
      <rPr>
        <sz val="10"/>
        <color rgb="FF000000"/>
        <rFont val="JRFonts"/>
        <charset val="134"/>
      </rPr>
      <t>05-08-2026 11:51</t>
    </r>
  </si>
  <si>
    <r>
      <rPr>
        <sz val="10"/>
        <color rgb="FF0000FF"/>
        <rFont val="JRFonts"/>
        <charset val="134"/>
      </rPr>
      <t>22317</t>
    </r>
  </si>
  <si>
    <r>
      <rPr>
        <sz val="10"/>
        <color rgb="FF000000"/>
        <rFont val="JRFonts"/>
        <charset val="134"/>
      </rPr>
      <t>03-09-2026 15:05</t>
    </r>
  </si>
  <si>
    <r>
      <rPr>
        <sz val="10"/>
        <color rgb="FF000000"/>
        <rFont val="JRFonts"/>
        <charset val="134"/>
      </rPr>
      <t>05-08-2026 11:40</t>
    </r>
  </si>
  <si>
    <t>22317</t>
  </si>
  <si>
    <r>
      <rPr>
        <sz val="10"/>
        <color rgb="FF0000FF"/>
        <rFont val="JRFonts"/>
        <charset val="134"/>
      </rPr>
      <t>22321</t>
    </r>
  </si>
  <si>
    <r>
      <rPr>
        <sz val="10"/>
        <color rgb="FF000000"/>
        <rFont val="JRFonts"/>
        <charset val="134"/>
      </rPr>
      <t>05-08-2026 11:39</t>
    </r>
  </si>
  <si>
    <r>
      <rPr>
        <sz val="10"/>
        <color rgb="FF000000"/>
        <rFont val="JRFonts"/>
        <charset val="134"/>
      </rPr>
      <t>11-08-2026 18:34</t>
    </r>
  </si>
  <si>
    <r>
      <rPr>
        <sz val="10"/>
        <color rgb="FF000000"/>
        <rFont val="JRFonts"/>
        <charset val="134"/>
      </rPr>
      <t>05-08-2026 12:02</t>
    </r>
  </si>
  <si>
    <t>22321</t>
  </si>
  <si>
    <r>
      <rPr>
        <sz val="10"/>
        <color rgb="FF0000FF"/>
        <rFont val="JRFonts"/>
        <charset val="134"/>
      </rPr>
      <t>22324</t>
    </r>
  </si>
  <si>
    <r>
      <rPr>
        <sz val="10"/>
        <color rgb="FF000000"/>
        <rFont val="JRFonts"/>
        <charset val="134"/>
      </rPr>
      <t>05-08-2026 11:45</t>
    </r>
  </si>
  <si>
    <r>
      <rPr>
        <sz val="10"/>
        <color rgb="FF000000"/>
        <rFont val="JRFonts"/>
        <charset val="134"/>
      </rPr>
      <t>05-08-2026 17:33</t>
    </r>
  </si>
  <si>
    <r>
      <rPr>
        <sz val="10"/>
        <color rgb="FF000000"/>
        <rFont val="JRFonts"/>
        <charset val="134"/>
      </rPr>
      <t>05-08-2026 12:07</t>
    </r>
  </si>
  <si>
    <r>
      <rPr>
        <sz val="10"/>
        <color rgb="FF0000FF"/>
        <rFont val="JRFonts"/>
        <charset val="134"/>
      </rPr>
      <t>22325</t>
    </r>
  </si>
  <si>
    <r>
      <rPr>
        <sz val="10"/>
        <color rgb="FF000000"/>
        <rFont val="JRFonts"/>
        <charset val="134"/>
      </rPr>
      <t>05-08-2026 11:48</t>
    </r>
  </si>
  <si>
    <r>
      <rPr>
        <sz val="10"/>
        <color rgb="FF000000"/>
        <rFont val="JRFonts"/>
        <charset val="134"/>
      </rPr>
      <t>05-08-2026 15:12</t>
    </r>
  </si>
  <si>
    <r>
      <rPr>
        <sz val="10"/>
        <color rgb="FF0000FF"/>
        <rFont val="JRFonts"/>
        <charset val="134"/>
      </rPr>
      <t>22327</t>
    </r>
  </si>
  <si>
    <r>
      <rPr>
        <sz val="10"/>
        <color rgb="FF000000"/>
        <rFont val="JRFonts"/>
        <charset val="134"/>
      </rPr>
      <t>05-08-2026 11:54</t>
    </r>
  </si>
  <si>
    <r>
      <rPr>
        <sz val="10"/>
        <color rgb="FF000000"/>
        <rFont val="JRFonts"/>
        <charset val="134"/>
      </rPr>
      <t>05-08-2026 17:48</t>
    </r>
  </si>
  <si>
    <r>
      <rPr>
        <sz val="10"/>
        <color rgb="FF000000"/>
        <rFont val="JRFonts"/>
        <charset val="134"/>
      </rPr>
      <t>05-08-2026 12:04</t>
    </r>
  </si>
  <si>
    <r>
      <rPr>
        <sz val="10"/>
        <color rgb="FF0000FF"/>
        <rFont val="JRFonts"/>
        <charset val="134"/>
      </rPr>
      <t>22328</t>
    </r>
  </si>
  <si>
    <r>
      <rPr>
        <sz val="10"/>
        <color rgb="FF000000"/>
        <rFont val="JRFonts"/>
        <charset val="134"/>
      </rPr>
      <t>05-08-2026 11:57</t>
    </r>
  </si>
  <si>
    <r>
      <rPr>
        <sz val="10"/>
        <color rgb="FF000000"/>
        <rFont val="JRFonts"/>
        <charset val="134"/>
      </rPr>
      <t>06-08-2026 12:31</t>
    </r>
  </si>
  <si>
    <r>
      <rPr>
        <sz val="10"/>
        <color rgb="FF000000"/>
        <rFont val="JRFonts"/>
        <charset val="134"/>
      </rPr>
      <t>05-08-2026 12:05</t>
    </r>
  </si>
  <si>
    <r>
      <rPr>
        <sz val="10"/>
        <color rgb="FF0000FF"/>
        <rFont val="JRFonts"/>
        <charset val="134"/>
      </rPr>
      <t>22329</t>
    </r>
  </si>
  <si>
    <r>
      <rPr>
        <sz val="10"/>
        <color rgb="FF000000"/>
        <rFont val="JRFonts"/>
        <charset val="134"/>
      </rPr>
      <t>05-08-2026 12:25</t>
    </r>
  </si>
  <si>
    <t>22329</t>
  </si>
  <si>
    <r>
      <rPr>
        <sz val="10"/>
        <color rgb="FF0000FF"/>
        <rFont val="JRFonts"/>
        <charset val="134"/>
      </rPr>
      <t>22330</t>
    </r>
  </si>
  <si>
    <r>
      <rPr>
        <sz val="10"/>
        <color rgb="FF000000"/>
        <rFont val="JRFonts"/>
        <charset val="134"/>
      </rPr>
      <t>05-08-2026 12:39</t>
    </r>
  </si>
  <si>
    <r>
      <rPr>
        <sz val="10"/>
        <color rgb="FF000000"/>
        <rFont val="JRFonts"/>
        <charset val="134"/>
      </rPr>
      <t>05-08-2026 12:26</t>
    </r>
  </si>
  <si>
    <r>
      <rPr>
        <sz val="10"/>
        <color rgb="FF0000FF"/>
        <rFont val="JRFonts"/>
        <charset val="134"/>
      </rPr>
      <t>22331</t>
    </r>
  </si>
  <si>
    <r>
      <rPr>
        <sz val="10"/>
        <color rgb="FF000000"/>
        <rFont val="JRFonts"/>
        <charset val="134"/>
      </rPr>
      <t>05-08-2026 12:16</t>
    </r>
  </si>
  <si>
    <r>
      <rPr>
        <sz val="10"/>
        <color rgb="FF000000"/>
        <rFont val="JRFonts"/>
        <charset val="134"/>
      </rPr>
      <t>05-08-2026 12:53</t>
    </r>
  </si>
  <si>
    <r>
      <rPr>
        <sz val="10"/>
        <color rgb="FF000000"/>
        <rFont val="JRFonts"/>
        <charset val="134"/>
      </rPr>
      <t>05-08-2026 12:23</t>
    </r>
  </si>
  <si>
    <r>
      <rPr>
        <sz val="10"/>
        <color rgb="FF0000FF"/>
        <rFont val="JRFonts"/>
        <charset val="134"/>
      </rPr>
      <t>22333</t>
    </r>
  </si>
  <si>
    <t>22333</t>
  </si>
  <si>
    <r>
      <rPr>
        <sz val="10"/>
        <color rgb="FF0000FF"/>
        <rFont val="JRFonts"/>
        <charset val="134"/>
      </rPr>
      <t>22334</t>
    </r>
  </si>
  <si>
    <r>
      <rPr>
        <sz val="10"/>
        <color rgb="FF000000"/>
        <rFont val="JRFonts"/>
        <charset val="134"/>
      </rPr>
      <t>31-08-2026 14:18</t>
    </r>
  </si>
  <si>
    <r>
      <rPr>
        <sz val="10"/>
        <color rgb="FF000000"/>
        <rFont val="JRFonts"/>
        <charset val="134"/>
      </rPr>
      <t>05-08-2026 12:29</t>
    </r>
  </si>
  <si>
    <t>22334</t>
  </si>
  <si>
    <r>
      <rPr>
        <sz val="10"/>
        <color rgb="FF0000FF"/>
        <rFont val="JRFonts"/>
        <charset val="134"/>
      </rPr>
      <t>22337</t>
    </r>
  </si>
  <si>
    <r>
      <rPr>
        <sz val="10"/>
        <color rgb="FF000000"/>
        <rFont val="JRFonts"/>
        <charset val="134"/>
      </rPr>
      <t>17-08-2026 14:21</t>
    </r>
  </si>
  <si>
    <r>
      <rPr>
        <sz val="10"/>
        <color rgb="FF000000"/>
        <rFont val="JRFonts"/>
        <charset val="134"/>
      </rPr>
      <t>05-08-2026 14:13</t>
    </r>
  </si>
  <si>
    <t>22337</t>
  </si>
  <si>
    <r>
      <rPr>
        <sz val="10"/>
        <color rgb="FF0000FF"/>
        <rFont val="JRFonts"/>
        <charset val="134"/>
      </rPr>
      <t>22338</t>
    </r>
  </si>
  <si>
    <r>
      <rPr>
        <sz val="10"/>
        <color rgb="FF000000"/>
        <rFont val="JRFonts"/>
        <charset val="134"/>
      </rPr>
      <t>Other</t>
    </r>
  </si>
  <si>
    <r>
      <rPr>
        <sz val="10"/>
        <color rgb="FF000000"/>
        <rFont val="JRFonts"/>
        <charset val="134"/>
      </rPr>
      <t>16-09-2026 15:20</t>
    </r>
  </si>
  <si>
    <r>
      <rPr>
        <sz val="10"/>
        <color rgb="FF000000"/>
        <rFont val="JRFonts"/>
        <charset val="134"/>
      </rPr>
      <t>05-08-2026 12:57</t>
    </r>
  </si>
  <si>
    <t>22338</t>
  </si>
  <si>
    <r>
      <rPr>
        <sz val="10"/>
        <color rgb="FF0000FF"/>
        <rFont val="JRFonts"/>
        <charset val="134"/>
      </rPr>
      <t>22339</t>
    </r>
  </si>
  <si>
    <r>
      <rPr>
        <sz val="10"/>
        <color rgb="FF000000"/>
        <rFont val="JRFonts"/>
        <charset val="134"/>
      </rPr>
      <t>05-08-2026 15:18</t>
    </r>
  </si>
  <si>
    <r>
      <rPr>
        <sz val="10"/>
        <color rgb="FF0000FF"/>
        <rFont val="JRFonts"/>
        <charset val="134"/>
      </rPr>
      <t>22341</t>
    </r>
  </si>
  <si>
    <r>
      <rPr>
        <sz val="10"/>
        <color rgb="FF000000"/>
        <rFont val="JRFonts"/>
        <charset val="134"/>
      </rPr>
      <t>05-08-2026 12:52</t>
    </r>
  </si>
  <si>
    <r>
      <rPr>
        <sz val="10"/>
        <color rgb="FF000000"/>
        <rFont val="JRFonts"/>
        <charset val="134"/>
      </rPr>
      <t>05-08-2026 15:05</t>
    </r>
  </si>
  <si>
    <r>
      <rPr>
        <sz val="10"/>
        <color rgb="FF000000"/>
        <rFont val="JRFonts"/>
        <charset val="134"/>
      </rPr>
      <t>05-08-2026 12:58</t>
    </r>
  </si>
  <si>
    <r>
      <rPr>
        <sz val="10"/>
        <color rgb="FF0000FF"/>
        <rFont val="JRFonts"/>
        <charset val="134"/>
      </rPr>
      <t>22342</t>
    </r>
  </si>
  <si>
    <r>
      <rPr>
        <sz val="10"/>
        <color rgb="FF000000"/>
        <rFont val="JRFonts"/>
        <charset val="134"/>
      </rPr>
      <t>05-08-2026 13:05</t>
    </r>
  </si>
  <si>
    <r>
      <rPr>
        <sz val="10"/>
        <color rgb="FF000000"/>
        <rFont val="JRFonts"/>
        <charset val="134"/>
      </rPr>
      <t>05-08-2026 14:52</t>
    </r>
  </si>
  <si>
    <r>
      <rPr>
        <sz val="10"/>
        <color rgb="FF000000"/>
        <rFont val="JRFonts"/>
        <charset val="134"/>
      </rPr>
      <t>05-08-2026 14:10</t>
    </r>
  </si>
  <si>
    <r>
      <rPr>
        <sz val="10"/>
        <color rgb="FF0000FF"/>
        <rFont val="JRFonts"/>
        <charset val="134"/>
      </rPr>
      <t>22343</t>
    </r>
  </si>
  <si>
    <r>
      <rPr>
        <sz val="10"/>
        <color rgb="FF000000"/>
        <rFont val="JRFonts"/>
        <charset val="134"/>
      </rPr>
      <t>05-08-2026 13:20</t>
    </r>
  </si>
  <si>
    <r>
      <rPr>
        <sz val="10"/>
        <color rgb="FF000000"/>
        <rFont val="JRFonts"/>
        <charset val="134"/>
      </rPr>
      <t>07-08-2026 16:09</t>
    </r>
  </si>
  <si>
    <r>
      <rPr>
        <sz val="10"/>
        <color rgb="FF000000"/>
        <rFont val="JRFonts"/>
        <charset val="134"/>
      </rPr>
      <t>05-08-2026 14:09</t>
    </r>
  </si>
  <si>
    <t>22343</t>
  </si>
  <si>
    <r>
      <rPr>
        <sz val="10"/>
        <color rgb="FF0000FF"/>
        <rFont val="JRFonts"/>
        <charset val="134"/>
      </rPr>
      <t>22345</t>
    </r>
  </si>
  <si>
    <r>
      <rPr>
        <sz val="10"/>
        <color rgb="FF000000"/>
        <rFont val="JRFonts"/>
        <charset val="134"/>
      </rPr>
      <t>05-08-2026 13:53</t>
    </r>
  </si>
  <si>
    <r>
      <rPr>
        <sz val="10"/>
        <color rgb="FF000000"/>
        <rFont val="JRFonts"/>
        <charset val="134"/>
      </rPr>
      <t>05-08-2026 14:06</t>
    </r>
  </si>
  <si>
    <t>22345</t>
  </si>
  <si>
    <r>
      <rPr>
        <sz val="10"/>
        <color rgb="FF0000FF"/>
        <rFont val="JRFonts"/>
        <charset val="134"/>
      </rPr>
      <t>22346</t>
    </r>
  </si>
  <si>
    <r>
      <rPr>
        <sz val="10"/>
        <color rgb="FF000000"/>
        <rFont val="JRFonts"/>
        <charset val="134"/>
      </rPr>
      <t>05-08-2026 13:56</t>
    </r>
  </si>
  <si>
    <r>
      <rPr>
        <sz val="10"/>
        <color rgb="FF000000"/>
        <rFont val="JRFonts"/>
        <charset val="134"/>
      </rPr>
      <t>05-08-2026 14:27</t>
    </r>
  </si>
  <si>
    <r>
      <rPr>
        <sz val="10"/>
        <color rgb="FF000000"/>
        <rFont val="JRFonts"/>
        <charset val="134"/>
      </rPr>
      <t>05-08-2026 14:05</t>
    </r>
  </si>
  <si>
    <r>
      <rPr>
        <sz val="10"/>
        <color rgb="FF0000FF"/>
        <rFont val="JRFonts"/>
        <charset val="134"/>
      </rPr>
      <t>22347</t>
    </r>
  </si>
  <si>
    <r>
      <rPr>
        <sz val="10"/>
        <color rgb="FF000000"/>
        <rFont val="JRFonts"/>
        <charset val="134"/>
      </rPr>
      <t>05-08-2026 14:15</t>
    </r>
  </si>
  <si>
    <r>
      <rPr>
        <sz val="10"/>
        <color rgb="FF000000"/>
        <rFont val="JRFonts"/>
        <charset val="134"/>
      </rPr>
      <t>06-08-2026 10:05</t>
    </r>
  </si>
  <si>
    <r>
      <rPr>
        <sz val="10"/>
        <color rgb="FF000000"/>
        <rFont val="JRFonts"/>
        <charset val="134"/>
      </rPr>
      <t>05-08-2026 16:06</t>
    </r>
  </si>
  <si>
    <r>
      <rPr>
        <sz val="10"/>
        <color rgb="FF0000FF"/>
        <rFont val="JRFonts"/>
        <charset val="134"/>
      </rPr>
      <t>22348</t>
    </r>
  </si>
  <si>
    <r>
      <rPr>
        <sz val="10"/>
        <color rgb="FF000000"/>
        <rFont val="JRFonts"/>
        <charset val="134"/>
      </rPr>
      <t>05-08-2026 15:30</t>
    </r>
  </si>
  <si>
    <r>
      <rPr>
        <sz val="10"/>
        <color rgb="FF000000"/>
        <rFont val="JRFonts"/>
        <charset val="134"/>
      </rPr>
      <t>05-08-2026 14:35</t>
    </r>
  </si>
  <si>
    <r>
      <rPr>
        <sz val="10"/>
        <color rgb="FF0000FF"/>
        <rFont val="JRFonts"/>
        <charset val="134"/>
      </rPr>
      <t>22349</t>
    </r>
  </si>
  <si>
    <r>
      <rPr>
        <sz val="10"/>
        <color rgb="FF000000"/>
        <rFont val="JRFonts"/>
        <charset val="134"/>
      </rPr>
      <t>12-08-2026 16:17</t>
    </r>
  </si>
  <si>
    <r>
      <rPr>
        <sz val="10"/>
        <color rgb="FF000000"/>
        <rFont val="JRFonts"/>
        <charset val="134"/>
      </rPr>
      <t>05-08-2026 16:08</t>
    </r>
  </si>
  <si>
    <r>
      <rPr>
        <sz val="10"/>
        <color rgb="FF0000FF"/>
        <rFont val="JRFonts"/>
        <charset val="134"/>
      </rPr>
      <t>22350</t>
    </r>
  </si>
  <si>
    <r>
      <rPr>
        <sz val="10"/>
        <color rgb="FF000000"/>
        <rFont val="JRFonts"/>
        <charset val="134"/>
      </rPr>
      <t>13-08-2026 12:01</t>
    </r>
  </si>
  <si>
    <r>
      <rPr>
        <sz val="10"/>
        <color rgb="FF000000"/>
        <rFont val="JRFonts"/>
        <charset val="134"/>
      </rPr>
      <t>05-08-2026 16:09</t>
    </r>
  </si>
  <si>
    <t>22350</t>
  </si>
  <si>
    <t>Duplicate of # 22349</t>
  </si>
  <si>
    <r>
      <rPr>
        <sz val="10"/>
        <color rgb="FF0000FF"/>
        <rFont val="JRFonts"/>
        <charset val="134"/>
      </rPr>
      <t>22351</t>
    </r>
  </si>
  <si>
    <r>
      <rPr>
        <sz val="10"/>
        <color rgb="FF000000"/>
        <rFont val="JRFonts"/>
        <charset val="134"/>
      </rPr>
      <t>10-08-2026 11:40</t>
    </r>
  </si>
  <si>
    <r>
      <rPr>
        <sz val="10"/>
        <color rgb="FF000000"/>
        <rFont val="JRFonts"/>
        <charset val="134"/>
      </rPr>
      <t>05-08-2026 16:13</t>
    </r>
  </si>
  <si>
    <t>22351</t>
  </si>
  <si>
    <r>
      <rPr>
        <sz val="10"/>
        <color rgb="FF0000FF"/>
        <rFont val="JRFonts"/>
        <charset val="134"/>
      </rPr>
      <t>22352</t>
    </r>
  </si>
  <si>
    <r>
      <rPr>
        <sz val="10"/>
        <color rgb="FF000000"/>
        <rFont val="JRFonts"/>
        <charset val="134"/>
      </rPr>
      <t>05-08-2026 14:48</t>
    </r>
  </si>
  <si>
    <r>
      <rPr>
        <sz val="10"/>
        <color rgb="FF000000"/>
        <rFont val="JRFonts"/>
        <charset val="134"/>
      </rPr>
      <t>07-08-2026 16:12</t>
    </r>
  </si>
  <si>
    <r>
      <rPr>
        <sz val="10"/>
        <color rgb="FF000000"/>
        <rFont val="JRFonts"/>
        <charset val="134"/>
      </rPr>
      <t>05-08-2026 16:14</t>
    </r>
  </si>
  <si>
    <t>22352</t>
  </si>
  <si>
    <r>
      <rPr>
        <sz val="10"/>
        <color rgb="FF0000FF"/>
        <rFont val="JRFonts"/>
        <charset val="134"/>
      </rPr>
      <t>22353</t>
    </r>
  </si>
  <si>
    <r>
      <rPr>
        <sz val="10"/>
        <color rgb="FF000000"/>
        <rFont val="JRFonts"/>
        <charset val="134"/>
      </rPr>
      <t>05-08-2026 17:26</t>
    </r>
  </si>
  <si>
    <r>
      <rPr>
        <sz val="10"/>
        <color rgb="FF000000"/>
        <rFont val="JRFonts"/>
        <charset val="134"/>
      </rPr>
      <t>05-08-2026 16:56</t>
    </r>
  </si>
  <si>
    <r>
      <rPr>
        <sz val="10"/>
        <color rgb="FF0000FF"/>
        <rFont val="JRFonts"/>
        <charset val="134"/>
      </rPr>
      <t>22354</t>
    </r>
  </si>
  <si>
    <r>
      <rPr>
        <sz val="10"/>
        <color rgb="FF000000"/>
        <rFont val="JRFonts"/>
        <charset val="134"/>
      </rPr>
      <t>05-08-2026 14:51</t>
    </r>
  </si>
  <si>
    <r>
      <rPr>
        <sz val="10"/>
        <color rgb="FF000000"/>
        <rFont val="JRFonts"/>
        <charset val="134"/>
      </rPr>
      <t>05-08-2026 15:53</t>
    </r>
  </si>
  <si>
    <r>
      <rPr>
        <sz val="10"/>
        <color rgb="FF000000"/>
        <rFont val="JRFonts"/>
        <charset val="134"/>
      </rPr>
      <t>05-08-2026 15:52</t>
    </r>
  </si>
  <si>
    <r>
      <rPr>
        <sz val="10"/>
        <color rgb="FF0000FF"/>
        <rFont val="JRFonts"/>
        <charset val="134"/>
      </rPr>
      <t>22359</t>
    </r>
  </si>
  <si>
    <r>
      <rPr>
        <sz val="10"/>
        <color rgb="FF000000"/>
        <rFont val="JRFonts"/>
        <charset val="134"/>
      </rPr>
      <t>07-08-2026 16:13</t>
    </r>
  </si>
  <si>
    <r>
      <rPr>
        <sz val="10"/>
        <color rgb="FF000000"/>
        <rFont val="JRFonts"/>
        <charset val="134"/>
      </rPr>
      <t>05-08-2026 16:16</t>
    </r>
  </si>
  <si>
    <t>22359</t>
  </si>
  <si>
    <r>
      <rPr>
        <sz val="10"/>
        <color rgb="FF0000FF"/>
        <rFont val="JRFonts"/>
        <charset val="134"/>
      </rPr>
      <t>22360</t>
    </r>
  </si>
  <si>
    <r>
      <rPr>
        <sz val="10"/>
        <color rgb="FF000000"/>
        <rFont val="JRFonts"/>
        <charset val="134"/>
      </rPr>
      <t>05-08-2026 15:34</t>
    </r>
  </si>
  <si>
    <r>
      <rPr>
        <sz val="10"/>
        <color rgb="FF000000"/>
        <rFont val="JRFonts"/>
        <charset val="134"/>
      </rPr>
      <t>07-08-2026 16:14</t>
    </r>
  </si>
  <si>
    <t>22360</t>
  </si>
  <si>
    <r>
      <rPr>
        <sz val="10"/>
        <color rgb="FF0000FF"/>
        <rFont val="JRFonts"/>
        <charset val="134"/>
      </rPr>
      <t>22364</t>
    </r>
  </si>
  <si>
    <r>
      <rPr>
        <sz val="10"/>
        <color rgb="FF000000"/>
        <rFont val="JRFonts"/>
        <charset val="134"/>
      </rPr>
      <t>05-08-2026 15:46</t>
    </r>
  </si>
  <si>
    <r>
      <rPr>
        <sz val="10"/>
        <color rgb="FF000000"/>
        <rFont val="JRFonts"/>
        <charset val="134"/>
      </rPr>
      <t>05-08-2026 16:17</t>
    </r>
  </si>
  <si>
    <t>22364</t>
  </si>
  <si>
    <r>
      <rPr>
        <sz val="10"/>
        <color rgb="FF0000FF"/>
        <rFont val="JRFonts"/>
        <charset val="134"/>
      </rPr>
      <t>22365</t>
    </r>
  </si>
  <si>
    <r>
      <rPr>
        <sz val="10"/>
        <color rgb="FF000000"/>
        <rFont val="JRFonts"/>
        <charset val="134"/>
      </rPr>
      <t>05-08-2026 15:49</t>
    </r>
  </si>
  <si>
    <r>
      <rPr>
        <sz val="10"/>
        <color rgb="FF000000"/>
        <rFont val="JRFonts"/>
        <charset val="134"/>
      </rPr>
      <t>05-08-2026 17:53</t>
    </r>
  </si>
  <si>
    <r>
      <rPr>
        <sz val="10"/>
        <color rgb="FF0000FF"/>
        <rFont val="JRFonts"/>
        <charset val="134"/>
      </rPr>
      <t>22366</t>
    </r>
  </si>
  <si>
    <r>
      <rPr>
        <sz val="10"/>
        <color rgb="FF000000"/>
        <rFont val="JRFonts"/>
        <charset val="134"/>
      </rPr>
      <t>06-08-2026 10:23</t>
    </r>
  </si>
  <si>
    <r>
      <rPr>
        <sz val="10"/>
        <color rgb="FF000000"/>
        <rFont val="JRFonts"/>
        <charset val="134"/>
      </rPr>
      <t>05-08-2026 16:19</t>
    </r>
  </si>
  <si>
    <r>
      <rPr>
        <sz val="10"/>
        <color rgb="FF0000FF"/>
        <rFont val="JRFonts"/>
        <charset val="134"/>
      </rPr>
      <t>22367</t>
    </r>
  </si>
  <si>
    <r>
      <rPr>
        <sz val="10"/>
        <color rgb="FF000000"/>
        <rFont val="JRFonts"/>
        <charset val="134"/>
      </rPr>
      <t>06-08-2026 10:21</t>
    </r>
  </si>
  <si>
    <r>
      <rPr>
        <sz val="10"/>
        <color rgb="FF000000"/>
        <rFont val="JRFonts"/>
        <charset val="134"/>
      </rPr>
      <t>05-08-2026 16:28</t>
    </r>
  </si>
  <si>
    <r>
      <rPr>
        <sz val="10"/>
        <color rgb="FF0000FF"/>
        <rFont val="JRFonts"/>
        <charset val="134"/>
      </rPr>
      <t>22368</t>
    </r>
  </si>
  <si>
    <r>
      <rPr>
        <sz val="10"/>
        <color rgb="FF000000"/>
        <rFont val="JRFonts"/>
        <charset val="134"/>
      </rPr>
      <t>05-08-2026 18:39</t>
    </r>
  </si>
  <si>
    <r>
      <rPr>
        <sz val="10"/>
        <color rgb="FF0000FF"/>
        <rFont val="JRFonts"/>
        <charset val="134"/>
      </rPr>
      <t>22369</t>
    </r>
  </si>
  <si>
    <r>
      <rPr>
        <sz val="10"/>
        <color rgb="FF000000"/>
        <rFont val="JRFonts"/>
        <charset val="134"/>
      </rPr>
      <t>06-08-2026 10:47</t>
    </r>
  </si>
  <si>
    <r>
      <rPr>
        <sz val="10"/>
        <color rgb="FF000000"/>
        <rFont val="JRFonts"/>
        <charset val="134"/>
      </rPr>
      <t>05-08-2026 16:32</t>
    </r>
  </si>
  <si>
    <t>22370</t>
  </si>
  <si>
    <r>
      <rPr>
        <sz val="10"/>
        <color rgb="FF000000"/>
        <rFont val="JRFonts"/>
        <charset val="134"/>
      </rPr>
      <t>06-08-2026 12:12</t>
    </r>
  </si>
  <si>
    <r>
      <rPr>
        <sz val="10"/>
        <color rgb="FF000000"/>
        <rFont val="JRFonts"/>
        <charset val="134"/>
      </rPr>
      <t>05-08-2026 16:26</t>
    </r>
  </si>
  <si>
    <r>
      <rPr>
        <sz val="10"/>
        <color rgb="FF0000FF"/>
        <rFont val="JRFonts"/>
        <charset val="134"/>
      </rPr>
      <t>22372</t>
    </r>
  </si>
  <si>
    <r>
      <rPr>
        <sz val="10"/>
        <color rgb="FF000000"/>
        <rFont val="JRFonts"/>
        <charset val="134"/>
      </rPr>
      <t>07-08-2026 14:23</t>
    </r>
  </si>
  <si>
    <r>
      <rPr>
        <sz val="10"/>
        <color rgb="FF000000"/>
        <rFont val="JRFonts"/>
        <charset val="134"/>
      </rPr>
      <t>05-08-2026 16:52</t>
    </r>
  </si>
  <si>
    <t>22372</t>
  </si>
  <si>
    <r>
      <rPr>
        <sz val="10"/>
        <color rgb="FF0000FF"/>
        <rFont val="JRFonts"/>
        <charset val="134"/>
      </rPr>
      <t>22374</t>
    </r>
  </si>
  <si>
    <r>
      <rPr>
        <sz val="10"/>
        <color rgb="FF000000"/>
        <rFont val="JRFonts"/>
        <charset val="134"/>
      </rPr>
      <t>06-08-2026 10:20</t>
    </r>
  </si>
  <si>
    <r>
      <rPr>
        <sz val="10"/>
        <color rgb="FF000000"/>
        <rFont val="JRFonts"/>
        <charset val="134"/>
      </rPr>
      <t>05-08-2026 16:58</t>
    </r>
  </si>
  <si>
    <r>
      <rPr>
        <sz val="10"/>
        <color rgb="FF0000FF"/>
        <rFont val="JRFonts"/>
        <charset val="134"/>
      </rPr>
      <t>22375</t>
    </r>
  </si>
  <si>
    <r>
      <rPr>
        <sz val="10"/>
        <color rgb="FF000000"/>
        <rFont val="JRFonts"/>
        <charset val="134"/>
      </rPr>
      <t>06-08-2026 12:55</t>
    </r>
  </si>
  <si>
    <r>
      <rPr>
        <sz val="10"/>
        <color rgb="FF0000FF"/>
        <rFont val="JRFonts"/>
        <charset val="134"/>
      </rPr>
      <t>22376</t>
    </r>
  </si>
  <si>
    <r>
      <rPr>
        <sz val="10"/>
        <color rgb="FF000000"/>
        <rFont val="JRFonts"/>
        <charset val="134"/>
      </rPr>
      <t>05-08-2026 16:47</t>
    </r>
  </si>
  <si>
    <r>
      <rPr>
        <sz val="10"/>
        <color rgb="FF000000"/>
        <rFont val="JRFonts"/>
        <charset val="134"/>
      </rPr>
      <t>31-08-2026 11:21</t>
    </r>
  </si>
  <si>
    <r>
      <rPr>
        <sz val="10"/>
        <color rgb="FF000000"/>
        <rFont val="JRFonts"/>
        <charset val="134"/>
      </rPr>
      <t>05-08-2026 17:00</t>
    </r>
  </si>
  <si>
    <r>
      <rPr>
        <sz val="10"/>
        <color rgb="FF0000FF"/>
        <rFont val="JRFonts"/>
        <charset val="134"/>
      </rPr>
      <t>22377</t>
    </r>
  </si>
  <si>
    <r>
      <rPr>
        <sz val="10"/>
        <color rgb="FF000000"/>
        <rFont val="JRFonts"/>
        <charset val="134"/>
      </rPr>
      <t>05-08-2026 16:53</t>
    </r>
  </si>
  <si>
    <r>
      <rPr>
        <sz val="10"/>
        <color rgb="FF000000"/>
        <rFont val="JRFonts"/>
        <charset val="134"/>
      </rPr>
      <t>05-08-2026 17:41</t>
    </r>
  </si>
  <si>
    <r>
      <rPr>
        <sz val="10"/>
        <color rgb="FF000000"/>
        <rFont val="JRFonts"/>
        <charset val="134"/>
      </rPr>
      <t>05-08-2026 17:02</t>
    </r>
  </si>
  <si>
    <r>
      <rPr>
        <sz val="10"/>
        <color rgb="FF0000FF"/>
        <rFont val="JRFonts"/>
        <charset val="134"/>
      </rPr>
      <t>22379</t>
    </r>
  </si>
  <si>
    <r>
      <rPr>
        <sz val="10"/>
        <color rgb="FF000000"/>
        <rFont val="JRFonts"/>
        <charset val="134"/>
      </rPr>
      <t>06-08-2026 17:53</t>
    </r>
  </si>
  <si>
    <r>
      <rPr>
        <sz val="10"/>
        <color rgb="FF000000"/>
        <rFont val="JRFonts"/>
        <charset val="134"/>
      </rPr>
      <t>05-08-2026 17:22</t>
    </r>
  </si>
  <si>
    <r>
      <rPr>
        <sz val="10"/>
        <color rgb="FF0000FF"/>
        <rFont val="JRFonts"/>
        <charset val="134"/>
      </rPr>
      <t>22380</t>
    </r>
  </si>
  <si>
    <r>
      <rPr>
        <sz val="10"/>
        <color rgb="FF000000"/>
        <rFont val="JRFonts"/>
        <charset val="134"/>
      </rPr>
      <t>05-08-2026 17:11</t>
    </r>
  </si>
  <si>
    <r>
      <rPr>
        <sz val="10"/>
        <color rgb="FF000000"/>
        <rFont val="JRFonts"/>
        <charset val="134"/>
      </rPr>
      <t>05-08-2026 18:20</t>
    </r>
  </si>
  <si>
    <r>
      <rPr>
        <sz val="10"/>
        <color rgb="FF000000"/>
        <rFont val="JRFonts"/>
        <charset val="134"/>
      </rPr>
      <t>05-08-2026 17:23</t>
    </r>
  </si>
  <si>
    <r>
      <rPr>
        <sz val="10"/>
        <color rgb="FF0000FF"/>
        <rFont val="JRFonts"/>
        <charset val="134"/>
      </rPr>
      <t>22382</t>
    </r>
  </si>
  <si>
    <r>
      <rPr>
        <sz val="10"/>
        <color rgb="FF000000"/>
        <rFont val="JRFonts"/>
        <charset val="134"/>
      </rPr>
      <t>05-08-2026 17:17</t>
    </r>
  </si>
  <si>
    <r>
      <rPr>
        <sz val="10"/>
        <color rgb="FF000000"/>
        <rFont val="JRFonts"/>
        <charset val="134"/>
      </rPr>
      <t>05-08-2026 17:28</t>
    </r>
  </si>
  <si>
    <t>22382</t>
  </si>
  <si>
    <r>
      <rPr>
        <sz val="10"/>
        <color rgb="FF0000FF"/>
        <rFont val="JRFonts"/>
        <charset val="134"/>
      </rPr>
      <t>22383</t>
    </r>
  </si>
  <si>
    <r>
      <rPr>
        <sz val="10"/>
        <color rgb="FF000000"/>
        <rFont val="JRFonts"/>
        <charset val="134"/>
      </rPr>
      <t>05-08-2026 17:27</t>
    </r>
  </si>
  <si>
    <r>
      <rPr>
        <sz val="10"/>
        <color rgb="FF000000"/>
        <rFont val="JRFonts"/>
        <charset val="134"/>
      </rPr>
      <t>05-08-2026 18:26</t>
    </r>
  </si>
  <si>
    <r>
      <rPr>
        <sz val="10"/>
        <color rgb="FF000000"/>
        <rFont val="JRFonts"/>
        <charset val="134"/>
      </rPr>
      <t>05-08-2026 17:30</t>
    </r>
  </si>
  <si>
    <r>
      <rPr>
        <sz val="10"/>
        <color rgb="FF0000FF"/>
        <rFont val="JRFonts"/>
        <charset val="134"/>
      </rPr>
      <t>22384</t>
    </r>
  </si>
  <si>
    <r>
      <rPr>
        <sz val="10"/>
        <color rgb="FF000000"/>
        <rFont val="JRFonts"/>
        <charset val="134"/>
      </rPr>
      <t>05-08-2026 17:36</t>
    </r>
  </si>
  <si>
    <r>
      <rPr>
        <sz val="10"/>
        <color rgb="FF000000"/>
        <rFont val="JRFonts"/>
        <charset val="134"/>
      </rPr>
      <t>05-08-2026 17:50</t>
    </r>
  </si>
  <si>
    <t>22384</t>
  </si>
  <si>
    <r>
      <rPr>
        <sz val="10"/>
        <color rgb="FF0000FF"/>
        <rFont val="JRFonts"/>
        <charset val="134"/>
      </rPr>
      <t>22386</t>
    </r>
  </si>
  <si>
    <r>
      <rPr>
        <sz val="10"/>
        <color rgb="FF000000"/>
        <rFont val="JRFonts"/>
        <charset val="134"/>
      </rPr>
      <t>05-08-2026 17:54</t>
    </r>
  </si>
  <si>
    <r>
      <rPr>
        <sz val="10"/>
        <color rgb="FF000000"/>
        <rFont val="JRFonts"/>
        <charset val="134"/>
      </rPr>
      <t>07-08-2026 16:15</t>
    </r>
  </si>
  <si>
    <r>
      <rPr>
        <sz val="10"/>
        <color rgb="FF000000"/>
        <rFont val="JRFonts"/>
        <charset val="134"/>
      </rPr>
      <t>05-08-2026 18:05</t>
    </r>
  </si>
  <si>
    <t>22386</t>
  </si>
  <si>
    <r>
      <rPr>
        <sz val="10"/>
        <color rgb="FF0000FF"/>
        <rFont val="JRFonts"/>
        <charset val="134"/>
      </rPr>
      <t>22387</t>
    </r>
  </si>
  <si>
    <r>
      <rPr>
        <sz val="10"/>
        <color rgb="FF000000"/>
        <rFont val="JRFonts"/>
        <charset val="134"/>
      </rPr>
      <t>25-08-2026 17:18</t>
    </r>
  </si>
  <si>
    <r>
      <rPr>
        <sz val="10"/>
        <color rgb="FF000000"/>
        <rFont val="JRFonts"/>
        <charset val="134"/>
      </rPr>
      <t>07-08-2026 11:11</t>
    </r>
  </si>
  <si>
    <r>
      <rPr>
        <sz val="10"/>
        <color rgb="FF0000FF"/>
        <rFont val="JRFonts"/>
        <charset val="134"/>
      </rPr>
      <t>22388</t>
    </r>
  </si>
  <si>
    <r>
      <rPr>
        <sz val="10"/>
        <color rgb="FF000000"/>
        <rFont val="JRFonts"/>
        <charset val="134"/>
      </rPr>
      <t>05-08-2026 18:06</t>
    </r>
  </si>
  <si>
    <r>
      <rPr>
        <sz val="10"/>
        <color rgb="FF000000"/>
        <rFont val="JRFonts"/>
        <charset val="134"/>
      </rPr>
      <t>06-08-2026 16:12</t>
    </r>
  </si>
  <si>
    <r>
      <rPr>
        <sz val="10"/>
        <color rgb="FF000000"/>
        <rFont val="JRFonts"/>
        <charset val="134"/>
      </rPr>
      <t>05-08-2026 18:17</t>
    </r>
  </si>
  <si>
    <r>
      <rPr>
        <sz val="10"/>
        <color rgb="FF0000FF"/>
        <rFont val="JRFonts"/>
        <charset val="134"/>
      </rPr>
      <t>22390</t>
    </r>
  </si>
  <si>
    <r>
      <rPr>
        <sz val="10"/>
        <color rgb="FF000000"/>
        <rFont val="JRFonts"/>
        <charset val="134"/>
      </rPr>
      <t>05-08-2026 18:21</t>
    </r>
  </si>
  <si>
    <r>
      <rPr>
        <sz val="10"/>
        <color rgb="FF000000"/>
        <rFont val="JRFonts"/>
        <charset val="134"/>
      </rPr>
      <t>05-08-2026 18:31</t>
    </r>
  </si>
  <si>
    <t>22390</t>
  </si>
  <si>
    <r>
      <rPr>
        <sz val="10"/>
        <color rgb="FF0000FF"/>
        <rFont val="JRFonts"/>
        <charset val="134"/>
      </rPr>
      <t>22391</t>
    </r>
  </si>
  <si>
    <r>
      <rPr>
        <sz val="10"/>
        <color rgb="FF000000"/>
        <rFont val="JRFonts"/>
        <charset val="134"/>
      </rPr>
      <t>05-08-2026 18:24</t>
    </r>
  </si>
  <si>
    <r>
      <rPr>
        <sz val="10"/>
        <color rgb="FF000000"/>
        <rFont val="JRFonts"/>
        <charset val="134"/>
      </rPr>
      <t>05-08-2026 18:32</t>
    </r>
  </si>
  <si>
    <t>22391</t>
  </si>
  <si>
    <r>
      <rPr>
        <sz val="10"/>
        <color rgb="FF0000FF"/>
        <rFont val="JRFonts"/>
        <charset val="134"/>
      </rPr>
      <t>22395</t>
    </r>
  </si>
  <si>
    <r>
      <rPr>
        <sz val="10"/>
        <color rgb="FF000000"/>
        <rFont val="JRFonts"/>
        <charset val="134"/>
      </rPr>
      <t>05-08-2026 18:49</t>
    </r>
  </si>
  <si>
    <r>
      <rPr>
        <sz val="10"/>
        <color rgb="FF000000"/>
        <rFont val="JRFonts"/>
        <charset val="134"/>
      </rPr>
      <t>31-08-2026 12:23</t>
    </r>
  </si>
  <si>
    <r>
      <rPr>
        <sz val="10"/>
        <color rgb="FF000000"/>
        <rFont val="JRFonts"/>
        <charset val="134"/>
      </rPr>
      <t>06-08-2026 10:42</t>
    </r>
  </si>
  <si>
    <r>
      <rPr>
        <sz val="10"/>
        <color rgb="FF0000FF"/>
        <rFont val="JRFonts"/>
        <charset val="134"/>
      </rPr>
      <t>22401</t>
    </r>
  </si>
  <si>
    <r>
      <rPr>
        <sz val="10"/>
        <color rgb="FF000000"/>
        <rFont val="JRFonts"/>
        <charset val="134"/>
      </rPr>
      <t>05-08-2026 19:50</t>
    </r>
  </si>
  <si>
    <r>
      <rPr>
        <sz val="10"/>
        <color rgb="FF000000"/>
        <rFont val="JRFonts"/>
        <charset val="134"/>
      </rPr>
      <t>06-08-2026 10:32</t>
    </r>
  </si>
  <si>
    <t>22401</t>
  </si>
  <si>
    <r>
      <rPr>
        <sz val="10"/>
        <color rgb="FF0000FF"/>
        <rFont val="JRFonts"/>
        <charset val="134"/>
      </rPr>
      <t>22403</t>
    </r>
  </si>
  <si>
    <r>
      <rPr>
        <sz val="10"/>
        <color rgb="FF000000"/>
        <rFont val="JRFonts"/>
        <charset val="134"/>
      </rPr>
      <t>06-08-2026 00:50</t>
    </r>
  </si>
  <si>
    <r>
      <rPr>
        <sz val="10"/>
        <color rgb="FF000000"/>
        <rFont val="JRFonts"/>
        <charset val="134"/>
      </rPr>
      <t>06-08-2026 11:57</t>
    </r>
  </si>
  <si>
    <r>
      <rPr>
        <sz val="10"/>
        <color rgb="FF0000FF"/>
        <rFont val="JRFonts"/>
        <charset val="134"/>
      </rPr>
      <t>22404</t>
    </r>
  </si>
  <si>
    <r>
      <rPr>
        <sz val="10"/>
        <color rgb="FF000000"/>
        <rFont val="JRFonts"/>
        <charset val="134"/>
      </rPr>
      <t>06-08-2026 15:07</t>
    </r>
  </si>
  <si>
    <r>
      <rPr>
        <sz val="10"/>
        <color rgb="FF000000"/>
        <rFont val="JRFonts"/>
        <charset val="134"/>
      </rPr>
      <t>06-08-2026 10:35</t>
    </r>
  </si>
  <si>
    <r>
      <rPr>
        <sz val="10"/>
        <color rgb="FF0000FF"/>
        <rFont val="JRFonts"/>
        <charset val="134"/>
      </rPr>
      <t>22407</t>
    </r>
  </si>
  <si>
    <r>
      <rPr>
        <sz val="10"/>
        <color rgb="FF000000"/>
        <rFont val="JRFonts"/>
        <charset val="134"/>
      </rPr>
      <t>06-08-2026 10:45</t>
    </r>
  </si>
  <si>
    <r>
      <rPr>
        <sz val="10"/>
        <color rgb="FF000000"/>
        <rFont val="JRFonts"/>
        <charset val="134"/>
      </rPr>
      <t>06-08-2026 14:49</t>
    </r>
  </si>
  <si>
    <r>
      <rPr>
        <sz val="10"/>
        <color rgb="FF000000"/>
        <rFont val="JRFonts"/>
        <charset val="134"/>
      </rPr>
      <t>06-08-2026 10:49</t>
    </r>
  </si>
  <si>
    <r>
      <rPr>
        <sz val="10"/>
        <color rgb="FF0000FF"/>
        <rFont val="JRFonts"/>
        <charset val="134"/>
      </rPr>
      <t>22410</t>
    </r>
  </si>
  <si>
    <r>
      <rPr>
        <sz val="10"/>
        <color rgb="FF000000"/>
        <rFont val="JRFonts"/>
        <charset val="134"/>
      </rPr>
      <t>06-08-2026 10:57</t>
    </r>
  </si>
  <si>
    <r>
      <rPr>
        <sz val="10"/>
        <color rgb="FF000000"/>
        <rFont val="JRFonts"/>
        <charset val="134"/>
      </rPr>
      <t>22-08-2026 10:20</t>
    </r>
  </si>
  <si>
    <r>
      <rPr>
        <sz val="10"/>
        <color rgb="FF000000"/>
        <rFont val="JRFonts"/>
        <charset val="134"/>
      </rPr>
      <t>06-08-2026 11:15</t>
    </r>
  </si>
  <si>
    <r>
      <rPr>
        <sz val="10"/>
        <color rgb="FF0000FF"/>
        <rFont val="JRFonts"/>
        <charset val="134"/>
      </rPr>
      <t>22411</t>
    </r>
  </si>
  <si>
    <r>
      <rPr>
        <sz val="10"/>
        <color rgb="FF000000"/>
        <rFont val="JRFonts"/>
        <charset val="134"/>
      </rPr>
      <t>06-08-2026 11:00</t>
    </r>
  </si>
  <si>
    <r>
      <rPr>
        <sz val="10"/>
        <color rgb="FF000000"/>
        <rFont val="JRFonts"/>
        <charset val="134"/>
      </rPr>
      <t>06-08-2026 11:41</t>
    </r>
  </si>
  <si>
    <r>
      <rPr>
        <sz val="10"/>
        <color rgb="FF000000"/>
        <rFont val="JRFonts"/>
        <charset val="134"/>
      </rPr>
      <t>06-08-2026 11:14</t>
    </r>
  </si>
  <si>
    <r>
      <rPr>
        <sz val="10"/>
        <color rgb="FF0000FF"/>
        <rFont val="JRFonts"/>
        <charset val="134"/>
      </rPr>
      <t>22413</t>
    </r>
  </si>
  <si>
    <r>
      <rPr>
        <sz val="10"/>
        <color rgb="FF000000"/>
        <rFont val="JRFonts"/>
        <charset val="134"/>
      </rPr>
      <t>06-08-2026 11:03</t>
    </r>
  </si>
  <si>
    <r>
      <rPr>
        <sz val="10"/>
        <color rgb="FF000000"/>
        <rFont val="JRFonts"/>
        <charset val="134"/>
      </rPr>
      <t>06-08-2026 11:56</t>
    </r>
  </si>
  <si>
    <r>
      <rPr>
        <sz val="10"/>
        <color rgb="FF000000"/>
        <rFont val="JRFonts"/>
        <charset val="134"/>
      </rPr>
      <t>06-08-2026 11:27</t>
    </r>
  </si>
  <si>
    <r>
      <rPr>
        <sz val="10"/>
        <color rgb="FF0000FF"/>
        <rFont val="JRFonts"/>
        <charset val="134"/>
      </rPr>
      <t>22414</t>
    </r>
  </si>
  <si>
    <r>
      <rPr>
        <sz val="10"/>
        <color rgb="FF000000"/>
        <rFont val="JRFonts"/>
        <charset val="134"/>
      </rPr>
      <t>06-08-2026 11:13</t>
    </r>
  </si>
  <si>
    <r>
      <rPr>
        <sz val="10"/>
        <color rgb="FF000000"/>
        <rFont val="JRFonts"/>
        <charset val="134"/>
      </rPr>
      <t>07-08-2026 16:20</t>
    </r>
  </si>
  <si>
    <r>
      <rPr>
        <sz val="10"/>
        <color rgb="FF000000"/>
        <rFont val="JRFonts"/>
        <charset val="134"/>
      </rPr>
      <t>06-08-2026 11:31</t>
    </r>
  </si>
  <si>
    <t>22414</t>
  </si>
  <si>
    <r>
      <rPr>
        <sz val="10"/>
        <color rgb="FF0000FF"/>
        <rFont val="JRFonts"/>
        <charset val="134"/>
      </rPr>
      <t>22415</t>
    </r>
  </si>
  <si>
    <r>
      <rPr>
        <sz val="10"/>
        <color rgb="FF000000"/>
        <rFont val="JRFonts"/>
        <charset val="134"/>
      </rPr>
      <t>06-08-2026 11:19</t>
    </r>
  </si>
  <si>
    <r>
      <rPr>
        <sz val="10"/>
        <color rgb="FF000000"/>
        <rFont val="JRFonts"/>
        <charset val="134"/>
      </rPr>
      <t>19-08-2026 10:18</t>
    </r>
  </si>
  <si>
    <r>
      <rPr>
        <sz val="10"/>
        <color rgb="FF000000"/>
        <rFont val="JRFonts"/>
        <charset val="134"/>
      </rPr>
      <t>06-08-2026 11:28</t>
    </r>
  </si>
  <si>
    <t>22415</t>
  </si>
  <si>
    <r>
      <rPr>
        <sz val="10"/>
        <color rgb="FF0000FF"/>
        <rFont val="JRFonts"/>
        <charset val="134"/>
      </rPr>
      <t>22416</t>
    </r>
  </si>
  <si>
    <r>
      <rPr>
        <sz val="10"/>
        <color rgb="FF000000"/>
        <rFont val="JRFonts"/>
        <charset val="134"/>
      </rPr>
      <t>07-08-2026 10:47</t>
    </r>
  </si>
  <si>
    <r>
      <rPr>
        <sz val="10"/>
        <color rgb="FF000000"/>
        <rFont val="JRFonts"/>
        <charset val="134"/>
      </rPr>
      <t>06-08-2026 12:51</t>
    </r>
  </si>
  <si>
    <r>
      <rPr>
        <sz val="10"/>
        <color rgb="FF0000FF"/>
        <rFont val="JRFonts"/>
        <charset val="134"/>
      </rPr>
      <t>22418</t>
    </r>
  </si>
  <si>
    <r>
      <rPr>
        <sz val="10"/>
        <color rgb="FF000000"/>
        <rFont val="JRFonts"/>
        <charset val="134"/>
      </rPr>
      <t>11-08-2026 12:56</t>
    </r>
  </si>
  <si>
    <r>
      <rPr>
        <sz val="10"/>
        <color rgb="FF000000"/>
        <rFont val="JRFonts"/>
        <charset val="134"/>
      </rPr>
      <t>06-08-2026 12:42</t>
    </r>
  </si>
  <si>
    <t>22418</t>
  </si>
  <si>
    <t>Resolved with SLA - reopned by MLI  reply</t>
  </si>
  <si>
    <r>
      <rPr>
        <sz val="10"/>
        <color rgb="FF0000FF"/>
        <rFont val="JRFonts"/>
        <charset val="134"/>
      </rPr>
      <t>22419</t>
    </r>
  </si>
  <si>
    <r>
      <rPr>
        <sz val="10"/>
        <color rgb="FF000000"/>
        <rFont val="JRFonts"/>
        <charset val="134"/>
      </rPr>
      <t>07-09-2026 17:38</t>
    </r>
  </si>
  <si>
    <r>
      <rPr>
        <sz val="10"/>
        <color rgb="FF000000"/>
        <rFont val="JRFonts"/>
        <charset val="134"/>
      </rPr>
      <t>07-09-2026 11:23</t>
    </r>
  </si>
  <si>
    <r>
      <rPr>
        <sz val="10"/>
        <color rgb="FF0000FF"/>
        <rFont val="JRFonts"/>
        <charset val="134"/>
      </rPr>
      <t>22420</t>
    </r>
  </si>
  <si>
    <r>
      <rPr>
        <sz val="10"/>
        <color rgb="FF000000"/>
        <rFont val="JRFonts"/>
        <charset val="134"/>
      </rPr>
      <t>06-08-2026 11:34</t>
    </r>
  </si>
  <si>
    <r>
      <rPr>
        <sz val="10"/>
        <color rgb="FF000000"/>
        <rFont val="JRFonts"/>
        <charset val="134"/>
      </rPr>
      <t>21-08-2026 17:51</t>
    </r>
  </si>
  <si>
    <r>
      <rPr>
        <sz val="10"/>
        <color rgb="FF000000"/>
        <rFont val="JRFonts"/>
        <charset val="134"/>
      </rPr>
      <t>06-08-2026 11:50</t>
    </r>
  </si>
  <si>
    <t>22420</t>
  </si>
  <si>
    <r>
      <rPr>
        <sz val="10"/>
        <color rgb="FF0000FF"/>
        <rFont val="JRFonts"/>
        <charset val="134"/>
      </rPr>
      <t>22422</t>
    </r>
  </si>
  <si>
    <r>
      <rPr>
        <sz val="10"/>
        <color rgb="FF000000"/>
        <rFont val="JRFonts"/>
        <charset val="134"/>
      </rPr>
      <t>06-08-2026 11:40</t>
    </r>
  </si>
  <si>
    <r>
      <rPr>
        <sz val="10"/>
        <color rgb="FF000000"/>
        <rFont val="JRFonts"/>
        <charset val="134"/>
      </rPr>
      <t>06-08-2026 12:19</t>
    </r>
  </si>
  <si>
    <t>22422</t>
  </si>
  <si>
    <r>
      <rPr>
        <sz val="10"/>
        <color rgb="FF0000FF"/>
        <rFont val="JRFonts"/>
        <charset val="134"/>
      </rPr>
      <t>22425</t>
    </r>
  </si>
  <si>
    <r>
      <rPr>
        <sz val="10"/>
        <color rgb="FF000000"/>
        <rFont val="JRFonts"/>
        <charset val="134"/>
      </rPr>
      <t>06-08-2026 11:59</t>
    </r>
  </si>
  <si>
    <r>
      <rPr>
        <sz val="10"/>
        <color rgb="FF000000"/>
        <rFont val="JRFonts"/>
        <charset val="134"/>
      </rPr>
      <t>17-08-2026 17:03</t>
    </r>
  </si>
  <si>
    <r>
      <rPr>
        <sz val="10"/>
        <color rgb="FF000000"/>
        <rFont val="JRFonts"/>
        <charset val="134"/>
      </rPr>
      <t>06-08-2026 15:12</t>
    </r>
  </si>
  <si>
    <t>22425</t>
  </si>
  <si>
    <r>
      <rPr>
        <sz val="10"/>
        <color rgb="FF0000FF"/>
        <rFont val="JRFonts"/>
        <charset val="134"/>
      </rPr>
      <t>22427</t>
    </r>
  </si>
  <si>
    <r>
      <rPr>
        <sz val="10"/>
        <color rgb="FF000000"/>
        <rFont val="JRFonts"/>
        <charset val="134"/>
      </rPr>
      <t>17-08-2026 17:01</t>
    </r>
  </si>
  <si>
    <r>
      <rPr>
        <sz val="10"/>
        <color rgb="FF000000"/>
        <rFont val="JRFonts"/>
        <charset val="134"/>
      </rPr>
      <t>06-08-2026 12:15</t>
    </r>
  </si>
  <si>
    <t>22427</t>
  </si>
  <si>
    <r>
      <rPr>
        <sz val="10"/>
        <color rgb="FF0000FF"/>
        <rFont val="JRFonts"/>
        <charset val="134"/>
      </rPr>
      <t>22428</t>
    </r>
  </si>
  <si>
    <r>
      <rPr>
        <sz val="10"/>
        <color rgb="FF000000"/>
        <rFont val="JRFonts"/>
        <charset val="134"/>
      </rPr>
      <t>06-08-2026 12:08</t>
    </r>
  </si>
  <si>
    <r>
      <rPr>
        <sz val="10"/>
        <color rgb="FF000000"/>
        <rFont val="JRFonts"/>
        <charset val="134"/>
      </rPr>
      <t>26-08-2026 14:05</t>
    </r>
  </si>
  <si>
    <r>
      <rPr>
        <sz val="10"/>
        <color rgb="FF000000"/>
        <rFont val="JRFonts"/>
        <charset val="134"/>
      </rPr>
      <t>06-08-2026 12:16</t>
    </r>
  </si>
  <si>
    <t>22428</t>
  </si>
  <si>
    <r>
      <rPr>
        <sz val="10"/>
        <color rgb="FF0000FF"/>
        <rFont val="JRFonts"/>
        <charset val="134"/>
      </rPr>
      <t>22429</t>
    </r>
  </si>
  <si>
    <r>
      <rPr>
        <sz val="10"/>
        <color rgb="FF000000"/>
        <rFont val="JRFonts"/>
        <charset val="134"/>
      </rPr>
      <t>06-08-2026 12:14</t>
    </r>
  </si>
  <si>
    <r>
      <rPr>
        <sz val="10"/>
        <color rgb="FF000000"/>
        <rFont val="JRFonts"/>
        <charset val="134"/>
      </rPr>
      <t>10-08-2026 14:03</t>
    </r>
  </si>
  <si>
    <r>
      <rPr>
        <sz val="10"/>
        <color rgb="FF000000"/>
        <rFont val="JRFonts"/>
        <charset val="134"/>
      </rPr>
      <t>10-08-2026 10:31</t>
    </r>
  </si>
  <si>
    <r>
      <rPr>
        <sz val="10"/>
        <color rgb="FF0000FF"/>
        <rFont val="JRFonts"/>
        <charset val="134"/>
      </rPr>
      <t>22430</t>
    </r>
  </si>
  <si>
    <r>
      <rPr>
        <sz val="10"/>
        <color rgb="FF000000"/>
        <rFont val="JRFonts"/>
        <charset val="134"/>
      </rPr>
      <t>06-08-2026 12:26</t>
    </r>
  </si>
  <si>
    <r>
      <rPr>
        <sz val="10"/>
        <color rgb="FF000000"/>
        <rFont val="JRFonts"/>
        <charset val="134"/>
      </rPr>
      <t>26-08-2026 14:51</t>
    </r>
  </si>
  <si>
    <r>
      <rPr>
        <sz val="10"/>
        <color rgb="FF000000"/>
        <rFont val="JRFonts"/>
        <charset val="134"/>
      </rPr>
      <t>06-08-2026 12:33</t>
    </r>
  </si>
  <si>
    <r>
      <rPr>
        <sz val="10"/>
        <color rgb="FF0000FF"/>
        <rFont val="JRFonts"/>
        <charset val="134"/>
      </rPr>
      <t>22431</t>
    </r>
  </si>
  <si>
    <r>
      <rPr>
        <sz val="10"/>
        <color rgb="FF000000"/>
        <rFont val="JRFonts"/>
        <charset val="134"/>
      </rPr>
      <t>06-08-2026 12:29</t>
    </r>
  </si>
  <si>
    <r>
      <rPr>
        <sz val="10"/>
        <color rgb="FF000000"/>
        <rFont val="JRFonts"/>
        <charset val="134"/>
      </rPr>
      <t>06-08-2026 14:52</t>
    </r>
  </si>
  <si>
    <r>
      <rPr>
        <sz val="10"/>
        <color rgb="FF000000"/>
        <rFont val="JRFonts"/>
        <charset val="134"/>
      </rPr>
      <t>06-08-2026 12:46</t>
    </r>
  </si>
  <si>
    <r>
      <rPr>
        <sz val="10"/>
        <color rgb="FF0000FF"/>
        <rFont val="JRFonts"/>
        <charset val="134"/>
      </rPr>
      <t>22433</t>
    </r>
  </si>
  <si>
    <r>
      <rPr>
        <sz val="10"/>
        <color rgb="FF000000"/>
        <rFont val="JRFonts"/>
        <charset val="134"/>
      </rPr>
      <t>06-08-2026 12:50</t>
    </r>
  </si>
  <si>
    <r>
      <rPr>
        <sz val="10"/>
        <color rgb="FF000000"/>
        <rFont val="JRFonts"/>
        <charset val="134"/>
      </rPr>
      <t>06-08-2026 14:03</t>
    </r>
  </si>
  <si>
    <r>
      <rPr>
        <sz val="10"/>
        <color rgb="FF0000FF"/>
        <rFont val="JRFonts"/>
        <charset val="134"/>
      </rPr>
      <t>22434</t>
    </r>
  </si>
  <si>
    <r>
      <rPr>
        <sz val="10"/>
        <color rgb="FF000000"/>
        <rFont val="JRFonts"/>
        <charset val="134"/>
      </rPr>
      <t>06-08-2026 13:03</t>
    </r>
  </si>
  <si>
    <r>
      <rPr>
        <sz val="10"/>
        <color rgb="FF000000"/>
        <rFont val="JRFonts"/>
        <charset val="134"/>
      </rPr>
      <t>30-09-2026 10:31</t>
    </r>
  </si>
  <si>
    <r>
      <rPr>
        <sz val="10"/>
        <color rgb="FF000000"/>
        <rFont val="JRFonts"/>
        <charset val="134"/>
      </rPr>
      <t>06-08-2026 15:04</t>
    </r>
  </si>
  <si>
    <t>22434</t>
  </si>
  <si>
    <r>
      <rPr>
        <sz val="10"/>
        <color rgb="FF0000FF"/>
        <rFont val="JRFonts"/>
        <charset val="134"/>
      </rPr>
      <t>22435</t>
    </r>
  </si>
  <si>
    <r>
      <rPr>
        <sz val="10"/>
        <color rgb="FF000000"/>
        <rFont val="JRFonts"/>
        <charset val="134"/>
      </rPr>
      <t>06-08-2026 13:06</t>
    </r>
  </si>
  <si>
    <r>
      <rPr>
        <sz val="10"/>
        <color rgb="FF000000"/>
        <rFont val="JRFonts"/>
        <charset val="134"/>
      </rPr>
      <t>09-08-2026 18:44</t>
    </r>
  </si>
  <si>
    <r>
      <rPr>
        <sz val="10"/>
        <color rgb="FF000000"/>
        <rFont val="JRFonts"/>
        <charset val="134"/>
      </rPr>
      <t>06-08-2026 14:04</t>
    </r>
  </si>
  <si>
    <t>22435</t>
  </si>
  <si>
    <r>
      <rPr>
        <sz val="10"/>
        <color rgb="FF0000FF"/>
        <rFont val="JRFonts"/>
        <charset val="134"/>
      </rPr>
      <t>22436</t>
    </r>
  </si>
  <si>
    <r>
      <rPr>
        <sz val="10"/>
        <color rgb="FF000000"/>
        <rFont val="JRFonts"/>
        <charset val="134"/>
      </rPr>
      <t>06-08-2026 13:12</t>
    </r>
  </si>
  <si>
    <r>
      <rPr>
        <sz val="10"/>
        <color rgb="FF000000"/>
        <rFont val="JRFonts"/>
        <charset val="134"/>
      </rPr>
      <t>06-08-2026 14:06</t>
    </r>
  </si>
  <si>
    <r>
      <rPr>
        <sz val="10"/>
        <color rgb="FF0000FF"/>
        <rFont val="JRFonts"/>
        <charset val="134"/>
      </rPr>
      <t>22437</t>
    </r>
  </si>
  <si>
    <r>
      <rPr>
        <sz val="10"/>
        <color rgb="FF000000"/>
        <rFont val="JRFonts"/>
        <charset val="134"/>
      </rPr>
      <t>06-08-2026 13:15</t>
    </r>
  </si>
  <si>
    <r>
      <rPr>
        <sz val="10"/>
        <color rgb="FF000000"/>
        <rFont val="JRFonts"/>
        <charset val="134"/>
      </rPr>
      <t>06-08-2026 14:53</t>
    </r>
  </si>
  <si>
    <r>
      <rPr>
        <sz val="10"/>
        <color rgb="FF000000"/>
        <rFont val="JRFonts"/>
        <charset val="134"/>
      </rPr>
      <t>06-08-2026 14:07</t>
    </r>
  </si>
  <si>
    <r>
      <rPr>
        <sz val="10"/>
        <color rgb="FF0000FF"/>
        <rFont val="JRFonts"/>
        <charset val="134"/>
      </rPr>
      <t>22438</t>
    </r>
  </si>
  <si>
    <r>
      <rPr>
        <sz val="10"/>
        <color rgb="FF000000"/>
        <rFont val="JRFonts"/>
        <charset val="134"/>
      </rPr>
      <t>06-08-2026 13:27</t>
    </r>
  </si>
  <si>
    <r>
      <rPr>
        <sz val="10"/>
        <color rgb="FF000000"/>
        <rFont val="JRFonts"/>
        <charset val="134"/>
      </rPr>
      <t>06-08-2026 14:10</t>
    </r>
  </si>
  <si>
    <t>22438</t>
  </si>
  <si>
    <r>
      <rPr>
        <sz val="10"/>
        <color rgb="FF0000FF"/>
        <rFont val="JRFonts"/>
        <charset val="134"/>
      </rPr>
      <t>22440</t>
    </r>
  </si>
  <si>
    <r>
      <rPr>
        <sz val="10"/>
        <color rgb="FF000000"/>
        <rFont val="JRFonts"/>
        <charset val="134"/>
      </rPr>
      <t>06-08-2026 13:36</t>
    </r>
  </si>
  <si>
    <r>
      <rPr>
        <sz val="10"/>
        <color rgb="FF000000"/>
        <rFont val="JRFonts"/>
        <charset val="134"/>
      </rPr>
      <t>06-08-2026 15:37</t>
    </r>
  </si>
  <si>
    <r>
      <rPr>
        <sz val="10"/>
        <color rgb="FF000000"/>
        <rFont val="JRFonts"/>
        <charset val="134"/>
      </rPr>
      <t>06-08-2026 14:13</t>
    </r>
  </si>
  <si>
    <r>
      <rPr>
        <sz val="10"/>
        <color rgb="FF0000FF"/>
        <rFont val="JRFonts"/>
        <charset val="134"/>
      </rPr>
      <t>22441</t>
    </r>
  </si>
  <si>
    <r>
      <rPr>
        <sz val="10"/>
        <color rgb="FF000000"/>
        <rFont val="JRFonts"/>
        <charset val="134"/>
      </rPr>
      <t>06-08-2026 13:39</t>
    </r>
  </si>
  <si>
    <r>
      <rPr>
        <sz val="10"/>
        <color rgb="FF000000"/>
        <rFont val="JRFonts"/>
        <charset val="134"/>
      </rPr>
      <t>06-08-2026 14:17</t>
    </r>
  </si>
  <si>
    <r>
      <rPr>
        <sz val="10"/>
        <color rgb="FF0000FF"/>
        <rFont val="JRFonts"/>
        <charset val="134"/>
      </rPr>
      <t>22442</t>
    </r>
  </si>
  <si>
    <r>
      <rPr>
        <sz val="10"/>
        <color rgb="FF000000"/>
        <rFont val="JRFonts"/>
        <charset val="134"/>
      </rPr>
      <t>07-08-2026 16:21</t>
    </r>
  </si>
  <si>
    <r>
      <rPr>
        <sz val="10"/>
        <color rgb="FF000000"/>
        <rFont val="JRFonts"/>
        <charset val="134"/>
      </rPr>
      <t>06-08-2026 14:20</t>
    </r>
  </si>
  <si>
    <r>
      <rPr>
        <sz val="10"/>
        <color rgb="FF0000FF"/>
        <rFont val="JRFonts"/>
        <charset val="134"/>
      </rPr>
      <t>22443</t>
    </r>
  </si>
  <si>
    <r>
      <rPr>
        <sz val="10"/>
        <color rgb="FF000000"/>
        <rFont val="JRFonts"/>
        <charset val="134"/>
      </rPr>
      <t>07-08-2026 10:30</t>
    </r>
  </si>
  <si>
    <r>
      <rPr>
        <sz val="10"/>
        <color rgb="FF000000"/>
        <rFont val="JRFonts"/>
        <charset val="134"/>
      </rPr>
      <t>06-08-2026 14:21</t>
    </r>
  </si>
  <si>
    <r>
      <rPr>
        <sz val="10"/>
        <color rgb="FF0000FF"/>
        <rFont val="JRFonts"/>
        <charset val="134"/>
      </rPr>
      <t>22444</t>
    </r>
  </si>
  <si>
    <r>
      <rPr>
        <sz val="10"/>
        <color rgb="FF000000"/>
        <rFont val="JRFonts"/>
        <charset val="134"/>
      </rPr>
      <t>06-08-2026 15:30</t>
    </r>
  </si>
  <si>
    <r>
      <rPr>
        <sz val="10"/>
        <color rgb="FF000000"/>
        <rFont val="JRFonts"/>
        <charset val="134"/>
      </rPr>
      <t>06-08-2026 14:23</t>
    </r>
  </si>
  <si>
    <r>
      <rPr>
        <sz val="10"/>
        <color rgb="FF0000FF"/>
        <rFont val="JRFonts"/>
        <charset val="134"/>
      </rPr>
      <t>22448</t>
    </r>
  </si>
  <si>
    <r>
      <rPr>
        <sz val="10"/>
        <color rgb="FF000000"/>
        <rFont val="JRFonts"/>
        <charset val="134"/>
      </rPr>
      <t>12-08-2026 16:02</t>
    </r>
  </si>
  <si>
    <r>
      <rPr>
        <sz val="10"/>
        <color rgb="FF000000"/>
        <rFont val="JRFonts"/>
        <charset val="134"/>
      </rPr>
      <t>06-08-2026 15:02</t>
    </r>
  </si>
  <si>
    <t>22448</t>
  </si>
  <si>
    <r>
      <rPr>
        <sz val="10"/>
        <color rgb="FF0000FF"/>
        <rFont val="JRFonts"/>
        <charset val="134"/>
      </rPr>
      <t>22450</t>
    </r>
  </si>
  <si>
    <r>
      <rPr>
        <sz val="10"/>
        <color rgb="FF000000"/>
        <rFont val="JRFonts"/>
        <charset val="134"/>
      </rPr>
      <t>06-08-2026 14:58</t>
    </r>
  </si>
  <si>
    <r>
      <rPr>
        <sz val="10"/>
        <color rgb="FF000000"/>
        <rFont val="JRFonts"/>
        <charset val="134"/>
      </rPr>
      <t>06-08-2026 15:17</t>
    </r>
  </si>
  <si>
    <r>
      <rPr>
        <sz val="10"/>
        <color rgb="FF0000FF"/>
        <rFont val="JRFonts"/>
        <charset val="134"/>
      </rPr>
      <t>22451</t>
    </r>
  </si>
  <si>
    <r>
      <rPr>
        <sz val="10"/>
        <color rgb="FF000000"/>
        <rFont val="JRFonts"/>
        <charset val="134"/>
      </rPr>
      <t>06-08-2026 15:11</t>
    </r>
  </si>
  <si>
    <r>
      <rPr>
        <sz val="10"/>
        <color rgb="FF0000FF"/>
        <rFont val="JRFonts"/>
        <charset val="134"/>
      </rPr>
      <t>22452</t>
    </r>
  </si>
  <si>
    <r>
      <rPr>
        <sz val="10"/>
        <color rgb="FF000000"/>
        <rFont val="JRFonts"/>
        <charset val="134"/>
      </rPr>
      <t>06-08-2026 16:05</t>
    </r>
  </si>
  <si>
    <r>
      <rPr>
        <sz val="10"/>
        <color rgb="FF000000"/>
        <rFont val="JRFonts"/>
        <charset val="134"/>
      </rPr>
      <t>06-08-2026 15:13</t>
    </r>
  </si>
  <si>
    <r>
      <rPr>
        <sz val="10"/>
        <color rgb="FF0000FF"/>
        <rFont val="JRFonts"/>
        <charset val="134"/>
      </rPr>
      <t>22453</t>
    </r>
  </si>
  <si>
    <r>
      <rPr>
        <sz val="10"/>
        <color rgb="FF000000"/>
        <rFont val="JRFonts"/>
        <charset val="134"/>
      </rPr>
      <t>11-08-2026 14:38</t>
    </r>
  </si>
  <si>
    <r>
      <rPr>
        <sz val="10"/>
        <color rgb="FF000000"/>
        <rFont val="JRFonts"/>
        <charset val="134"/>
      </rPr>
      <t>10-08-2026 11:42</t>
    </r>
  </si>
  <si>
    <t>22453</t>
  </si>
  <si>
    <r>
      <rPr>
        <sz val="10"/>
        <color rgb="FF0000FF"/>
        <rFont val="JRFonts"/>
        <charset val="134"/>
      </rPr>
      <t>22454</t>
    </r>
  </si>
  <si>
    <r>
      <rPr>
        <sz val="10"/>
        <color rgb="FF000000"/>
        <rFont val="JRFonts"/>
        <charset val="134"/>
      </rPr>
      <t>11-08-2026 12:49</t>
    </r>
  </si>
  <si>
    <r>
      <rPr>
        <sz val="10"/>
        <color rgb="FF000000"/>
        <rFont val="JRFonts"/>
        <charset val="134"/>
      </rPr>
      <t>06-08-2026 15:22</t>
    </r>
  </si>
  <si>
    <r>
      <rPr>
        <sz val="10"/>
        <color rgb="FF0000FF"/>
        <rFont val="JRFonts"/>
        <charset val="134"/>
      </rPr>
      <t>22456</t>
    </r>
  </si>
  <si>
    <r>
      <rPr>
        <sz val="10"/>
        <color rgb="FF000000"/>
        <rFont val="JRFonts"/>
        <charset val="134"/>
      </rPr>
      <t>06-08-2026 15:26</t>
    </r>
  </si>
  <si>
    <r>
      <rPr>
        <sz val="10"/>
        <color rgb="FF000000"/>
        <rFont val="JRFonts"/>
        <charset val="134"/>
      </rPr>
      <t>06-08-2026 15:51</t>
    </r>
  </si>
  <si>
    <r>
      <rPr>
        <sz val="10"/>
        <color rgb="FF000000"/>
        <rFont val="JRFonts"/>
        <charset val="134"/>
      </rPr>
      <t>06-08-2026 15:33</t>
    </r>
  </si>
  <si>
    <r>
      <rPr>
        <sz val="10"/>
        <color rgb="FF0000FF"/>
        <rFont val="JRFonts"/>
        <charset val="134"/>
      </rPr>
      <t>22457</t>
    </r>
  </si>
  <si>
    <r>
      <rPr>
        <sz val="10"/>
        <color rgb="FF000000"/>
        <rFont val="JRFonts"/>
        <charset val="134"/>
      </rPr>
      <t>06-08-2026 16:54</t>
    </r>
  </si>
  <si>
    <r>
      <rPr>
        <sz val="10"/>
        <color rgb="FF000000"/>
        <rFont val="JRFonts"/>
        <charset val="134"/>
      </rPr>
      <t>06-08-2026 15:34</t>
    </r>
  </si>
  <si>
    <r>
      <rPr>
        <sz val="10"/>
        <color rgb="FF0000FF"/>
        <rFont val="JRFonts"/>
        <charset val="134"/>
      </rPr>
      <t>22458</t>
    </r>
  </si>
  <si>
    <r>
      <rPr>
        <sz val="10"/>
        <color rgb="FF000000"/>
        <rFont val="JRFonts"/>
        <charset val="134"/>
      </rPr>
      <t>06-08-2026 17:10</t>
    </r>
  </si>
  <si>
    <r>
      <rPr>
        <sz val="10"/>
        <color rgb="FF000000"/>
        <rFont val="JRFonts"/>
        <charset val="134"/>
      </rPr>
      <t>06-08-2026 15:48</t>
    </r>
  </si>
  <si>
    <r>
      <rPr>
        <sz val="10"/>
        <color rgb="FF0000FF"/>
        <rFont val="JRFonts"/>
        <charset val="134"/>
      </rPr>
      <t>22459</t>
    </r>
  </si>
  <si>
    <r>
      <rPr>
        <sz val="10"/>
        <color rgb="FF000000"/>
        <rFont val="JRFonts"/>
        <charset val="134"/>
      </rPr>
      <t>06-08-2026 15:32</t>
    </r>
  </si>
  <si>
    <r>
      <rPr>
        <sz val="10"/>
        <color rgb="FF000000"/>
        <rFont val="JRFonts"/>
        <charset val="134"/>
      </rPr>
      <t>06-08-2026 17:12</t>
    </r>
  </si>
  <si>
    <r>
      <rPr>
        <sz val="10"/>
        <color rgb="FF000000"/>
        <rFont val="JRFonts"/>
        <charset val="134"/>
      </rPr>
      <t>06-08-2026 15:55</t>
    </r>
  </si>
  <si>
    <r>
      <rPr>
        <sz val="10"/>
        <color rgb="FF0000FF"/>
        <rFont val="JRFonts"/>
        <charset val="134"/>
      </rPr>
      <t>22460</t>
    </r>
  </si>
  <si>
    <r>
      <rPr>
        <sz val="10"/>
        <color rgb="FF000000"/>
        <rFont val="JRFonts"/>
        <charset val="134"/>
      </rPr>
      <t>06-08-2026 15:35</t>
    </r>
  </si>
  <si>
    <r>
      <rPr>
        <sz val="10"/>
        <color rgb="FF000000"/>
        <rFont val="JRFonts"/>
        <charset val="134"/>
      </rPr>
      <t>06-08-2026 15:49</t>
    </r>
  </si>
  <si>
    <r>
      <rPr>
        <sz val="10"/>
        <color rgb="FF0000FF"/>
        <rFont val="JRFonts"/>
        <charset val="134"/>
      </rPr>
      <t>22461</t>
    </r>
  </si>
  <si>
    <r>
      <rPr>
        <sz val="10"/>
        <color rgb="FF000000"/>
        <rFont val="JRFonts"/>
        <charset val="134"/>
      </rPr>
      <t>06-08-2026 15:54</t>
    </r>
  </si>
  <si>
    <r>
      <rPr>
        <sz val="10"/>
        <color rgb="FF0000FF"/>
        <rFont val="JRFonts"/>
        <charset val="134"/>
      </rPr>
      <t>22463</t>
    </r>
  </si>
  <si>
    <r>
      <rPr>
        <sz val="10"/>
        <color rgb="FF000000"/>
        <rFont val="JRFonts"/>
        <charset val="134"/>
      </rPr>
      <t>06-08-2026 15:59</t>
    </r>
  </si>
  <si>
    <r>
      <rPr>
        <sz val="10"/>
        <color rgb="FF000000"/>
        <rFont val="JRFonts"/>
        <charset val="134"/>
      </rPr>
      <t>07-08-2026 16:22</t>
    </r>
  </si>
  <si>
    <r>
      <rPr>
        <sz val="10"/>
        <color rgb="FF000000"/>
        <rFont val="JRFonts"/>
        <charset val="134"/>
      </rPr>
      <t>06-08-2026 16:14</t>
    </r>
  </si>
  <si>
    <r>
      <rPr>
        <sz val="10"/>
        <color rgb="FF0000FF"/>
        <rFont val="JRFonts"/>
        <charset val="134"/>
      </rPr>
      <t>22466</t>
    </r>
  </si>
  <si>
    <r>
      <rPr>
        <sz val="10"/>
        <color rgb="FF000000"/>
        <rFont val="JRFonts"/>
        <charset val="134"/>
      </rPr>
      <t>09-08-2026 18:45</t>
    </r>
  </si>
  <si>
    <r>
      <rPr>
        <sz val="10"/>
        <color rgb="FF000000"/>
        <rFont val="JRFonts"/>
        <charset val="134"/>
      </rPr>
      <t>06-08-2026 16:21</t>
    </r>
  </si>
  <si>
    <r>
      <rPr>
        <sz val="10"/>
        <color rgb="FF0000FF"/>
        <rFont val="JRFonts"/>
        <charset val="134"/>
      </rPr>
      <t>22467</t>
    </r>
  </si>
  <si>
    <r>
      <rPr>
        <sz val="10"/>
        <color rgb="FF000000"/>
        <rFont val="JRFonts"/>
        <charset val="134"/>
      </rPr>
      <t>06-08-2026 16:30</t>
    </r>
  </si>
  <si>
    <r>
      <rPr>
        <sz val="10"/>
        <color rgb="FF000000"/>
        <rFont val="JRFonts"/>
        <charset val="134"/>
      </rPr>
      <t>06-08-2026 17:52</t>
    </r>
  </si>
  <si>
    <r>
      <rPr>
        <sz val="10"/>
        <color rgb="FF000000"/>
        <rFont val="JRFonts"/>
        <charset val="134"/>
      </rPr>
      <t>06-08-2026 16:38</t>
    </r>
  </si>
  <si>
    <r>
      <rPr>
        <sz val="10"/>
        <color rgb="FF0000FF"/>
        <rFont val="JRFonts"/>
        <charset val="134"/>
      </rPr>
      <t>22468</t>
    </r>
  </si>
  <si>
    <r>
      <rPr>
        <sz val="10"/>
        <color rgb="FF000000"/>
        <rFont val="JRFonts"/>
        <charset val="134"/>
      </rPr>
      <t>06-08-2026 16:39</t>
    </r>
  </si>
  <si>
    <r>
      <rPr>
        <sz val="10"/>
        <color rgb="FF000000"/>
        <rFont val="JRFonts"/>
        <charset val="134"/>
      </rPr>
      <t>18-08-2026 12:46</t>
    </r>
  </si>
  <si>
    <r>
      <rPr>
        <sz val="10"/>
        <color rgb="FF000000"/>
        <rFont val="JRFonts"/>
        <charset val="134"/>
      </rPr>
      <t>06-08-2026 18:01</t>
    </r>
  </si>
  <si>
    <t>22468</t>
  </si>
  <si>
    <r>
      <rPr>
        <sz val="10"/>
        <color rgb="FF0000FF"/>
        <rFont val="JRFonts"/>
        <charset val="134"/>
      </rPr>
      <t>22469</t>
    </r>
  </si>
  <si>
    <r>
      <rPr>
        <sz val="10"/>
        <color rgb="FF000000"/>
        <rFont val="JRFonts"/>
        <charset val="134"/>
      </rPr>
      <t>06-08-2026 16:42</t>
    </r>
  </si>
  <si>
    <r>
      <rPr>
        <sz val="10"/>
        <color rgb="FF000000"/>
        <rFont val="JRFonts"/>
        <charset val="134"/>
      </rPr>
      <t>06-08-2026 16:50</t>
    </r>
  </si>
  <si>
    <r>
      <rPr>
        <sz val="10"/>
        <color rgb="FF0000FF"/>
        <rFont val="JRFonts"/>
        <charset val="134"/>
      </rPr>
      <t>22470</t>
    </r>
  </si>
  <si>
    <r>
      <rPr>
        <sz val="10"/>
        <color rgb="FF000000"/>
        <rFont val="JRFonts"/>
        <charset val="134"/>
      </rPr>
      <t>12-08-2026 10:19</t>
    </r>
  </si>
  <si>
    <r>
      <rPr>
        <sz val="10"/>
        <color rgb="FF000000"/>
        <rFont val="JRFonts"/>
        <charset val="134"/>
      </rPr>
      <t>06-08-2026 17:00</t>
    </r>
  </si>
  <si>
    <t>22470</t>
  </si>
  <si>
    <r>
      <rPr>
        <sz val="10"/>
        <color rgb="FF0000FF"/>
        <rFont val="JRFonts"/>
        <charset val="134"/>
      </rPr>
      <t>22472</t>
    </r>
  </si>
  <si>
    <r>
      <rPr>
        <sz val="10"/>
        <color rgb="FF000000"/>
        <rFont val="JRFonts"/>
        <charset val="134"/>
      </rPr>
      <t>06-08-2026 17:03</t>
    </r>
  </si>
  <si>
    <r>
      <rPr>
        <sz val="10"/>
        <color rgb="FF000000"/>
        <rFont val="JRFonts"/>
        <charset val="134"/>
      </rPr>
      <t>12-08-2026 14:16</t>
    </r>
  </si>
  <si>
    <r>
      <rPr>
        <sz val="10"/>
        <color rgb="FF000000"/>
        <rFont val="JRFonts"/>
        <charset val="134"/>
      </rPr>
      <t>06-08-2026 17:31</t>
    </r>
  </si>
  <si>
    <t>22472</t>
  </si>
  <si>
    <r>
      <rPr>
        <sz val="10"/>
        <color rgb="FF0000FF"/>
        <rFont val="JRFonts"/>
        <charset val="134"/>
      </rPr>
      <t>22473</t>
    </r>
  </si>
  <si>
    <r>
      <rPr>
        <sz val="10"/>
        <color rgb="FF000000"/>
        <rFont val="JRFonts"/>
        <charset val="134"/>
      </rPr>
      <t>06-08-2026 17:09</t>
    </r>
  </si>
  <si>
    <r>
      <rPr>
        <sz val="10"/>
        <color rgb="FF000000"/>
        <rFont val="JRFonts"/>
        <charset val="134"/>
      </rPr>
      <t>02-09-2026 17:34</t>
    </r>
  </si>
  <si>
    <t>22473</t>
  </si>
  <si>
    <r>
      <rPr>
        <sz val="10"/>
        <color rgb="FF0000FF"/>
        <rFont val="JRFonts"/>
        <charset val="134"/>
      </rPr>
      <t>22474</t>
    </r>
  </si>
  <si>
    <r>
      <rPr>
        <sz val="10"/>
        <color rgb="FF000000"/>
        <rFont val="JRFonts"/>
        <charset val="134"/>
      </rPr>
      <t>06-08-2026 17:43</t>
    </r>
  </si>
  <si>
    <r>
      <rPr>
        <sz val="10"/>
        <color rgb="FF000000"/>
        <rFont val="JRFonts"/>
        <charset val="134"/>
      </rPr>
      <t>09-08-2026 18:46</t>
    </r>
  </si>
  <si>
    <r>
      <rPr>
        <sz val="10"/>
        <color rgb="FF000000"/>
        <rFont val="JRFonts"/>
        <charset val="134"/>
      </rPr>
      <t>06-08-2026 17:47</t>
    </r>
  </si>
  <si>
    <r>
      <rPr>
        <sz val="10"/>
        <color rgb="FF0000FF"/>
        <rFont val="JRFonts"/>
        <charset val="134"/>
      </rPr>
      <t>22475</t>
    </r>
  </si>
  <si>
    <r>
      <rPr>
        <sz val="10"/>
        <color rgb="FF000000"/>
        <rFont val="JRFonts"/>
        <charset val="134"/>
      </rPr>
      <t>07-08-2026 11:32</t>
    </r>
  </si>
  <si>
    <r>
      <rPr>
        <sz val="10"/>
        <color rgb="FF000000"/>
        <rFont val="JRFonts"/>
        <charset val="134"/>
      </rPr>
      <t>06-08-2026 17:46</t>
    </r>
  </si>
  <si>
    <r>
      <rPr>
        <sz val="10"/>
        <color rgb="FF0000FF"/>
        <rFont val="JRFonts"/>
        <charset val="134"/>
      </rPr>
      <t>22478</t>
    </r>
  </si>
  <si>
    <r>
      <rPr>
        <sz val="10"/>
        <color rgb="FF000000"/>
        <rFont val="JRFonts"/>
        <charset val="134"/>
      </rPr>
      <t>07-08-2026 10:20</t>
    </r>
  </si>
  <si>
    <r>
      <rPr>
        <sz val="10"/>
        <color rgb="FF000000"/>
        <rFont val="JRFonts"/>
        <charset val="134"/>
      </rPr>
      <t>07-08-2026 10:16</t>
    </r>
  </si>
  <si>
    <r>
      <rPr>
        <sz val="10"/>
        <color rgb="FF0000FF"/>
        <rFont val="JRFonts"/>
        <charset val="134"/>
      </rPr>
      <t>22480</t>
    </r>
  </si>
  <si>
    <r>
      <rPr>
        <sz val="10"/>
        <color rgb="FF000000"/>
        <rFont val="JRFonts"/>
        <charset val="134"/>
      </rPr>
      <t>26-08-2026 09:53</t>
    </r>
  </si>
  <si>
    <r>
      <rPr>
        <sz val="10"/>
        <color rgb="FF000000"/>
        <rFont val="JRFonts"/>
        <charset val="134"/>
      </rPr>
      <t>12-08-2026 09:58</t>
    </r>
  </si>
  <si>
    <t>22480</t>
  </si>
  <si>
    <r>
      <rPr>
        <sz val="10"/>
        <color rgb="FF0000FF"/>
        <rFont val="JRFonts"/>
        <charset val="134"/>
      </rPr>
      <t>22483</t>
    </r>
  </si>
  <si>
    <r>
      <rPr>
        <sz val="10"/>
        <color rgb="FF000000"/>
        <rFont val="JRFonts"/>
        <charset val="134"/>
      </rPr>
      <t>06-08-2026 19:30</t>
    </r>
  </si>
  <si>
    <r>
      <rPr>
        <sz val="10"/>
        <color rgb="FF000000"/>
        <rFont val="JRFonts"/>
        <charset val="134"/>
      </rPr>
      <t>17-08-2026 11:26</t>
    </r>
  </si>
  <si>
    <r>
      <rPr>
        <sz val="10"/>
        <color rgb="FF000000"/>
        <rFont val="JRFonts"/>
        <charset val="134"/>
      </rPr>
      <t>07-08-2026 10:26</t>
    </r>
  </si>
  <si>
    <t>22483</t>
  </si>
  <si>
    <r>
      <rPr>
        <sz val="10"/>
        <color rgb="FF0000FF"/>
        <rFont val="JRFonts"/>
        <charset val="134"/>
      </rPr>
      <t>22485</t>
    </r>
  </si>
  <si>
    <r>
      <rPr>
        <sz val="10"/>
        <color rgb="FF000000"/>
        <rFont val="JRFonts"/>
        <charset val="134"/>
      </rPr>
      <t>06-08-2026 20:46</t>
    </r>
  </si>
  <si>
    <r>
      <rPr>
        <sz val="10"/>
        <color rgb="FF000000"/>
        <rFont val="JRFonts"/>
        <charset val="134"/>
      </rPr>
      <t>07-08-2026 10:28</t>
    </r>
  </si>
  <si>
    <r>
      <rPr>
        <sz val="10"/>
        <color rgb="FF000000"/>
        <rFont val="JRFonts"/>
        <charset val="134"/>
      </rPr>
      <t>07-08-2026 10:27</t>
    </r>
  </si>
  <si>
    <r>
      <rPr>
        <sz val="10"/>
        <color rgb="FF0000FF"/>
        <rFont val="JRFonts"/>
        <charset val="134"/>
      </rPr>
      <t>22486</t>
    </r>
  </si>
  <si>
    <r>
      <rPr>
        <sz val="10"/>
        <color rgb="FF000000"/>
        <rFont val="JRFonts"/>
        <charset val="134"/>
      </rPr>
      <t>07-08-2026 09:52</t>
    </r>
  </si>
  <si>
    <r>
      <rPr>
        <sz val="10"/>
        <color rgb="FF000000"/>
        <rFont val="JRFonts"/>
        <charset val="134"/>
      </rPr>
      <t>18-08-2026 14:37</t>
    </r>
  </si>
  <si>
    <r>
      <rPr>
        <sz val="10"/>
        <color rgb="FF000000"/>
        <rFont val="JRFonts"/>
        <charset val="134"/>
      </rPr>
      <t>07-08-2026 10:32</t>
    </r>
  </si>
  <si>
    <t>22486</t>
  </si>
  <si>
    <r>
      <rPr>
        <sz val="10"/>
        <color rgb="FF0000FF"/>
        <rFont val="JRFonts"/>
        <charset val="134"/>
      </rPr>
      <t>22488</t>
    </r>
  </si>
  <si>
    <r>
      <rPr>
        <sz val="10"/>
        <color rgb="FF000000"/>
        <rFont val="JRFonts"/>
        <charset val="134"/>
      </rPr>
      <t>07-08-2026 10:17</t>
    </r>
  </si>
  <si>
    <r>
      <rPr>
        <sz val="10"/>
        <color rgb="FF000000"/>
        <rFont val="JRFonts"/>
        <charset val="134"/>
      </rPr>
      <t>26-08-2026 14:17</t>
    </r>
  </si>
  <si>
    <r>
      <rPr>
        <sz val="10"/>
        <color rgb="FF000000"/>
        <rFont val="JRFonts"/>
        <charset val="134"/>
      </rPr>
      <t>07-08-2026 10:36</t>
    </r>
  </si>
  <si>
    <t>22488</t>
  </si>
  <si>
    <r>
      <rPr>
        <sz val="10"/>
        <color rgb="FF0000FF"/>
        <rFont val="JRFonts"/>
        <charset val="134"/>
      </rPr>
      <t>22491</t>
    </r>
  </si>
  <si>
    <r>
      <rPr>
        <sz val="10"/>
        <color rgb="FF000000"/>
        <rFont val="JRFonts"/>
        <charset val="134"/>
      </rPr>
      <t>07-08-2026 10:29</t>
    </r>
  </si>
  <si>
    <r>
      <rPr>
        <sz val="10"/>
        <color rgb="FF000000"/>
        <rFont val="JRFonts"/>
        <charset val="134"/>
      </rPr>
      <t>11-08-2026 12:13</t>
    </r>
  </si>
  <si>
    <r>
      <rPr>
        <sz val="10"/>
        <color rgb="FF000000"/>
        <rFont val="JRFonts"/>
        <charset val="134"/>
      </rPr>
      <t>07-08-2026 10:37</t>
    </r>
  </si>
  <si>
    <t>22491</t>
  </si>
  <si>
    <r>
      <rPr>
        <sz val="10"/>
        <color rgb="FF0000FF"/>
        <rFont val="JRFonts"/>
        <charset val="134"/>
      </rPr>
      <t>22492</t>
    </r>
  </si>
  <si>
    <r>
      <rPr>
        <sz val="10"/>
        <color rgb="FF000000"/>
        <rFont val="JRFonts"/>
        <charset val="134"/>
      </rPr>
      <t>07-08-2026 11:06</t>
    </r>
  </si>
  <si>
    <r>
      <rPr>
        <sz val="10"/>
        <color rgb="FF000000"/>
        <rFont val="JRFonts"/>
        <charset val="134"/>
      </rPr>
      <t>07-08-2026 11:05</t>
    </r>
  </si>
  <si>
    <r>
      <rPr>
        <sz val="10"/>
        <color rgb="FF0000FF"/>
        <rFont val="JRFonts"/>
        <charset val="134"/>
      </rPr>
      <t>22493</t>
    </r>
  </si>
  <si>
    <r>
      <rPr>
        <sz val="10"/>
        <color rgb="FF000000"/>
        <rFont val="JRFonts"/>
        <charset val="134"/>
      </rPr>
      <t>07-08-2026 11:44</t>
    </r>
  </si>
  <si>
    <r>
      <rPr>
        <sz val="10"/>
        <color rgb="FF000000"/>
        <rFont val="JRFonts"/>
        <charset val="134"/>
      </rPr>
      <t>07-08-2026 11:07</t>
    </r>
  </si>
  <si>
    <r>
      <rPr>
        <sz val="10"/>
        <color rgb="FF0000FF"/>
        <rFont val="JRFonts"/>
        <charset val="134"/>
      </rPr>
      <t>22494</t>
    </r>
  </si>
  <si>
    <r>
      <rPr>
        <sz val="10"/>
        <color rgb="FF000000"/>
        <rFont val="JRFonts"/>
        <charset val="134"/>
      </rPr>
      <t>07-08-2026 10:38</t>
    </r>
  </si>
  <si>
    <r>
      <rPr>
        <sz val="10"/>
        <color rgb="FF000000"/>
        <rFont val="JRFonts"/>
        <charset val="134"/>
      </rPr>
      <t>10-08-2026 11:41</t>
    </r>
  </si>
  <si>
    <r>
      <rPr>
        <sz val="10"/>
        <color rgb="FF000000"/>
        <rFont val="JRFonts"/>
        <charset val="134"/>
      </rPr>
      <t>07-08-2026 11:13</t>
    </r>
  </si>
  <si>
    <r>
      <rPr>
        <sz val="10"/>
        <color rgb="FF0000FF"/>
        <rFont val="JRFonts"/>
        <charset val="134"/>
      </rPr>
      <t>22496</t>
    </r>
  </si>
  <si>
    <r>
      <rPr>
        <sz val="10"/>
        <color rgb="FF0000FF"/>
        <rFont val="JRFonts"/>
        <charset val="134"/>
      </rPr>
      <t>22497</t>
    </r>
  </si>
  <si>
    <r>
      <rPr>
        <sz val="10"/>
        <color rgb="FF000000"/>
        <rFont val="JRFonts"/>
        <charset val="134"/>
      </rPr>
      <t>07-08-2026 10:44</t>
    </r>
  </si>
  <si>
    <r>
      <rPr>
        <sz val="10"/>
        <color rgb="FF000000"/>
        <rFont val="JRFonts"/>
        <charset val="134"/>
      </rPr>
      <t>07-08-2026 11:00</t>
    </r>
  </si>
  <si>
    <r>
      <rPr>
        <sz val="10"/>
        <color rgb="FF000000"/>
        <rFont val="JRFonts"/>
        <charset val="134"/>
      </rPr>
      <t>07-08-2026 10:59</t>
    </r>
  </si>
  <si>
    <r>
      <rPr>
        <sz val="10"/>
        <color rgb="FF0000FF"/>
        <rFont val="JRFonts"/>
        <charset val="134"/>
      </rPr>
      <t>22498</t>
    </r>
  </si>
  <si>
    <r>
      <rPr>
        <sz val="10"/>
        <color rgb="FF000000"/>
        <rFont val="JRFonts"/>
        <charset val="134"/>
      </rPr>
      <t>07-08-2026 17:59</t>
    </r>
  </si>
  <si>
    <r>
      <rPr>
        <sz val="10"/>
        <color rgb="FF000000"/>
        <rFont val="JRFonts"/>
        <charset val="134"/>
      </rPr>
      <t>07-08-2026 11:28</t>
    </r>
  </si>
  <si>
    <r>
      <rPr>
        <sz val="10"/>
        <color rgb="FF0000FF"/>
        <rFont val="JRFonts"/>
        <charset val="134"/>
      </rPr>
      <t>22499</t>
    </r>
  </si>
  <si>
    <r>
      <rPr>
        <sz val="10"/>
        <color rgb="FF000000"/>
        <rFont val="JRFonts"/>
        <charset val="134"/>
      </rPr>
      <t>07-08-2026 11:08</t>
    </r>
  </si>
  <si>
    <r>
      <rPr>
        <sz val="10"/>
        <color rgb="FF0000FF"/>
        <rFont val="JRFonts"/>
        <charset val="134"/>
      </rPr>
      <t>22500</t>
    </r>
  </si>
  <si>
    <r>
      <rPr>
        <sz val="10"/>
        <color rgb="FF000000"/>
        <rFont val="JRFonts"/>
        <charset val="134"/>
      </rPr>
      <t>07-08-2026 10:53</t>
    </r>
  </si>
  <si>
    <r>
      <rPr>
        <sz val="10"/>
        <color rgb="FF000000"/>
        <rFont val="JRFonts"/>
        <charset val="134"/>
      </rPr>
      <t>07-08-2026 14:29</t>
    </r>
  </si>
  <si>
    <r>
      <rPr>
        <sz val="10"/>
        <color rgb="FF000000"/>
        <rFont val="JRFonts"/>
        <charset val="134"/>
      </rPr>
      <t>07-08-2026 11:27</t>
    </r>
  </si>
  <si>
    <r>
      <rPr>
        <sz val="10"/>
        <color rgb="FF0000FF"/>
        <rFont val="JRFonts"/>
        <charset val="134"/>
      </rPr>
      <t>22503</t>
    </r>
  </si>
  <si>
    <r>
      <rPr>
        <sz val="10"/>
        <color rgb="FF000000"/>
        <rFont val="JRFonts"/>
        <charset val="134"/>
      </rPr>
      <t>20-08-2026 15:06</t>
    </r>
  </si>
  <si>
    <r>
      <rPr>
        <sz val="10"/>
        <color rgb="FF000000"/>
        <rFont val="JRFonts"/>
        <charset val="134"/>
      </rPr>
      <t>10-08-2026 11:04</t>
    </r>
  </si>
  <si>
    <r>
      <rPr>
        <sz val="10"/>
        <color rgb="FF0000FF"/>
        <rFont val="JRFonts"/>
        <charset val="134"/>
      </rPr>
      <t>22504</t>
    </r>
  </si>
  <si>
    <r>
      <rPr>
        <sz val="10"/>
        <color rgb="FF000000"/>
        <rFont val="JRFonts"/>
        <charset val="134"/>
      </rPr>
      <t>07-08-2026 11:02</t>
    </r>
  </si>
  <si>
    <r>
      <rPr>
        <sz val="10"/>
        <color rgb="FF000000"/>
        <rFont val="JRFonts"/>
        <charset val="134"/>
      </rPr>
      <t>07-08-2026 14:16</t>
    </r>
  </si>
  <si>
    <r>
      <rPr>
        <sz val="10"/>
        <color rgb="FF000000"/>
        <rFont val="JRFonts"/>
        <charset val="134"/>
      </rPr>
      <t>07-08-2026 11:23</t>
    </r>
  </si>
  <si>
    <r>
      <rPr>
        <sz val="10"/>
        <color rgb="FF0000FF"/>
        <rFont val="JRFonts"/>
        <charset val="134"/>
      </rPr>
      <t>22506</t>
    </r>
  </si>
  <si>
    <r>
      <rPr>
        <sz val="10"/>
        <color rgb="FF000000"/>
        <rFont val="JRFonts"/>
        <charset val="134"/>
      </rPr>
      <t>07-08-2026 11:12</t>
    </r>
  </si>
  <si>
    <r>
      <rPr>
        <sz val="10"/>
        <color rgb="FF000000"/>
        <rFont val="JRFonts"/>
        <charset val="134"/>
      </rPr>
      <t>24-08-2026 10:02</t>
    </r>
  </si>
  <si>
    <r>
      <rPr>
        <sz val="10"/>
        <color rgb="FF000000"/>
        <rFont val="JRFonts"/>
        <charset val="134"/>
      </rPr>
      <t>07-08-2026 11:29</t>
    </r>
  </si>
  <si>
    <r>
      <rPr>
        <sz val="10"/>
        <color rgb="FF0000FF"/>
        <rFont val="JRFonts"/>
        <charset val="134"/>
      </rPr>
      <t>22508</t>
    </r>
  </si>
  <si>
    <r>
      <rPr>
        <sz val="10"/>
        <color rgb="FF0000FF"/>
        <rFont val="JRFonts"/>
        <charset val="134"/>
      </rPr>
      <t>22511</t>
    </r>
  </si>
  <si>
    <r>
      <rPr>
        <sz val="10"/>
        <color rgb="FF000000"/>
        <rFont val="JRFonts"/>
        <charset val="134"/>
      </rPr>
      <t>07-08-2026 11:30</t>
    </r>
  </si>
  <si>
    <r>
      <rPr>
        <sz val="10"/>
        <color rgb="FF000000"/>
        <rFont val="JRFonts"/>
        <charset val="134"/>
      </rPr>
      <t>10-08-2026 14:08</t>
    </r>
  </si>
  <si>
    <r>
      <rPr>
        <sz val="10"/>
        <color rgb="FF000000"/>
        <rFont val="JRFonts"/>
        <charset val="134"/>
      </rPr>
      <t>07-08-2026 11:54</t>
    </r>
  </si>
  <si>
    <r>
      <rPr>
        <sz val="10"/>
        <color rgb="FF0000FF"/>
        <rFont val="JRFonts"/>
        <charset val="134"/>
      </rPr>
      <t>22512</t>
    </r>
  </si>
  <si>
    <r>
      <rPr>
        <sz val="10"/>
        <color rgb="FF000000"/>
        <rFont val="JRFonts"/>
        <charset val="134"/>
      </rPr>
      <t>07-08-2026 11:42</t>
    </r>
  </si>
  <si>
    <r>
      <rPr>
        <sz val="10"/>
        <color rgb="FF000000"/>
        <rFont val="JRFonts"/>
        <charset val="134"/>
      </rPr>
      <t>17-08-2026 16:58</t>
    </r>
  </si>
  <si>
    <r>
      <rPr>
        <sz val="10"/>
        <color rgb="FF000000"/>
        <rFont val="JRFonts"/>
        <charset val="134"/>
      </rPr>
      <t>07-08-2026 11:56</t>
    </r>
  </si>
  <si>
    <t>22512</t>
  </si>
  <si>
    <r>
      <rPr>
        <sz val="10"/>
        <color rgb="FF0000FF"/>
        <rFont val="JRFonts"/>
        <charset val="134"/>
      </rPr>
      <t>22514</t>
    </r>
  </si>
  <si>
    <r>
      <rPr>
        <sz val="10"/>
        <color rgb="FF000000"/>
        <rFont val="JRFonts"/>
        <charset val="134"/>
      </rPr>
      <t>07-08-2026 11:45</t>
    </r>
  </si>
  <si>
    <r>
      <rPr>
        <sz val="10"/>
        <color rgb="FF000000"/>
        <rFont val="JRFonts"/>
        <charset val="134"/>
      </rPr>
      <t>07-08-2026 13:19</t>
    </r>
  </si>
  <si>
    <r>
      <rPr>
        <sz val="10"/>
        <color rgb="FF000000"/>
        <rFont val="JRFonts"/>
        <charset val="134"/>
      </rPr>
      <t>07-08-2026 11:59</t>
    </r>
  </si>
  <si>
    <r>
      <rPr>
        <sz val="10"/>
        <color rgb="FF0000FF"/>
        <rFont val="JRFonts"/>
        <charset val="134"/>
      </rPr>
      <t>22515</t>
    </r>
  </si>
  <si>
    <r>
      <rPr>
        <sz val="10"/>
        <color rgb="FF000000"/>
        <rFont val="JRFonts"/>
        <charset val="134"/>
      </rPr>
      <t>10-08-2026 16:16</t>
    </r>
  </si>
  <si>
    <r>
      <rPr>
        <sz val="10"/>
        <color rgb="FF000000"/>
        <rFont val="JRFonts"/>
        <charset val="134"/>
      </rPr>
      <t>07-08-2026 12:21</t>
    </r>
  </si>
  <si>
    <r>
      <rPr>
        <sz val="10"/>
        <color rgb="FF0000FF"/>
        <rFont val="JRFonts"/>
        <charset val="134"/>
      </rPr>
      <t>22519</t>
    </r>
  </si>
  <si>
    <r>
      <rPr>
        <sz val="10"/>
        <color rgb="FF000000"/>
        <rFont val="JRFonts"/>
        <charset val="134"/>
      </rPr>
      <t>07-08-2026 11:57</t>
    </r>
  </si>
  <si>
    <r>
      <rPr>
        <sz val="10"/>
        <color rgb="FF000000"/>
        <rFont val="JRFonts"/>
        <charset val="134"/>
      </rPr>
      <t>19-08-2026 10:24</t>
    </r>
  </si>
  <si>
    <r>
      <rPr>
        <sz val="10"/>
        <color rgb="FF000000"/>
        <rFont val="JRFonts"/>
        <charset val="134"/>
      </rPr>
      <t>18-08-2026 15:16</t>
    </r>
  </si>
  <si>
    <t>22519</t>
  </si>
  <si>
    <r>
      <rPr>
        <sz val="10"/>
        <color rgb="FF0000FF"/>
        <rFont val="JRFonts"/>
        <charset val="134"/>
      </rPr>
      <t>22520</t>
    </r>
  </si>
  <si>
    <r>
      <rPr>
        <sz val="10"/>
        <color rgb="FF000000"/>
        <rFont val="JRFonts"/>
        <charset val="134"/>
      </rPr>
      <t>07-08-2026 12:00</t>
    </r>
  </si>
  <si>
    <r>
      <rPr>
        <sz val="10"/>
        <color rgb="FF000000"/>
        <rFont val="JRFonts"/>
        <charset val="134"/>
      </rPr>
      <t>19-08-2026 12:57</t>
    </r>
  </si>
  <si>
    <r>
      <rPr>
        <sz val="10"/>
        <color rgb="FF000000"/>
        <rFont val="JRFonts"/>
        <charset val="134"/>
      </rPr>
      <t>07-08-2026 12:23</t>
    </r>
  </si>
  <si>
    <t>22520</t>
  </si>
  <si>
    <r>
      <rPr>
        <sz val="10"/>
        <color rgb="FF0000FF"/>
        <rFont val="JRFonts"/>
        <charset val="134"/>
      </rPr>
      <t>22521</t>
    </r>
  </si>
  <si>
    <r>
      <rPr>
        <sz val="10"/>
        <color rgb="FF000000"/>
        <rFont val="JRFonts"/>
        <charset val="134"/>
      </rPr>
      <t>07-08-2026 12:03</t>
    </r>
  </si>
  <si>
    <r>
      <rPr>
        <sz val="10"/>
        <color rgb="FF000000"/>
        <rFont val="JRFonts"/>
        <charset val="134"/>
      </rPr>
      <t>26-08-2026 17:21</t>
    </r>
  </si>
  <si>
    <r>
      <rPr>
        <sz val="10"/>
        <color rgb="FF000000"/>
        <rFont val="JRFonts"/>
        <charset val="134"/>
      </rPr>
      <t>20-08-2026 11:49</t>
    </r>
  </si>
  <si>
    <t>22521</t>
  </si>
  <si>
    <r>
      <rPr>
        <sz val="10"/>
        <color rgb="FF0000FF"/>
        <rFont val="JRFonts"/>
        <charset val="134"/>
      </rPr>
      <t>22524</t>
    </r>
  </si>
  <si>
    <r>
      <rPr>
        <sz val="10"/>
        <color rgb="FF000000"/>
        <rFont val="JRFonts"/>
        <charset val="134"/>
      </rPr>
      <t>07-08-2026 12:10</t>
    </r>
  </si>
  <si>
    <r>
      <rPr>
        <sz val="10"/>
        <color rgb="FF0000FF"/>
        <rFont val="JRFonts"/>
        <charset val="134"/>
      </rPr>
      <t>22525</t>
    </r>
  </si>
  <si>
    <r>
      <rPr>
        <sz val="10"/>
        <color rgb="FF000000"/>
        <rFont val="JRFonts"/>
        <charset val="134"/>
      </rPr>
      <t>10-08-2026 11:43</t>
    </r>
  </si>
  <si>
    <r>
      <rPr>
        <sz val="10"/>
        <color rgb="FF000000"/>
        <rFont val="JRFonts"/>
        <charset val="134"/>
      </rPr>
      <t>07-08-2026 12:27</t>
    </r>
  </si>
  <si>
    <r>
      <rPr>
        <sz val="10"/>
        <color rgb="FF0000FF"/>
        <rFont val="JRFonts"/>
        <charset val="134"/>
      </rPr>
      <t>22526</t>
    </r>
  </si>
  <si>
    <r>
      <rPr>
        <sz val="10"/>
        <color rgb="FF000000"/>
        <rFont val="JRFonts"/>
        <charset val="134"/>
      </rPr>
      <t>26-08-2026 14:11</t>
    </r>
  </si>
  <si>
    <r>
      <rPr>
        <sz val="10"/>
        <color rgb="FF000000"/>
        <rFont val="JRFonts"/>
        <charset val="134"/>
      </rPr>
      <t>07-08-2026 12:28</t>
    </r>
  </si>
  <si>
    <r>
      <rPr>
        <sz val="10"/>
        <color rgb="FF0000FF"/>
        <rFont val="JRFonts"/>
        <charset val="134"/>
      </rPr>
      <t>22527</t>
    </r>
  </si>
  <si>
    <r>
      <rPr>
        <sz val="10"/>
        <color rgb="FF000000"/>
        <rFont val="JRFonts"/>
        <charset val="134"/>
      </rPr>
      <t>07-08-2026 12:19</t>
    </r>
  </si>
  <si>
    <r>
      <rPr>
        <sz val="10"/>
        <color rgb="FF000000"/>
        <rFont val="JRFonts"/>
        <charset val="134"/>
      </rPr>
      <t>07-08-2026 14:34</t>
    </r>
  </si>
  <si>
    <r>
      <rPr>
        <sz val="10"/>
        <color rgb="FF000000"/>
        <rFont val="JRFonts"/>
        <charset val="134"/>
      </rPr>
      <t>07-08-2026 12:29</t>
    </r>
  </si>
  <si>
    <r>
      <rPr>
        <sz val="10"/>
        <color rgb="FF0000FF"/>
        <rFont val="JRFonts"/>
        <charset val="134"/>
      </rPr>
      <t>22528</t>
    </r>
  </si>
  <si>
    <r>
      <rPr>
        <sz val="10"/>
        <color rgb="FF000000"/>
        <rFont val="JRFonts"/>
        <charset val="134"/>
      </rPr>
      <t>10-08-2026 11:23</t>
    </r>
  </si>
  <si>
    <r>
      <rPr>
        <sz val="10"/>
        <color rgb="FF000000"/>
        <rFont val="JRFonts"/>
        <charset val="134"/>
      </rPr>
      <t>07-08-2026 12:30</t>
    </r>
  </si>
  <si>
    <r>
      <rPr>
        <sz val="10"/>
        <color rgb="FF0000FF"/>
        <rFont val="JRFonts"/>
        <charset val="134"/>
      </rPr>
      <t>22529</t>
    </r>
  </si>
  <si>
    <r>
      <rPr>
        <sz val="10"/>
        <color rgb="FF000000"/>
        <rFont val="JRFonts"/>
        <charset val="134"/>
      </rPr>
      <t>10-08-2026 11:44</t>
    </r>
  </si>
  <si>
    <r>
      <rPr>
        <sz val="10"/>
        <color rgb="FF0000FF"/>
        <rFont val="JRFonts"/>
        <charset val="134"/>
      </rPr>
      <t>22531</t>
    </r>
  </si>
  <si>
    <r>
      <rPr>
        <sz val="10"/>
        <color rgb="FF000000"/>
        <rFont val="JRFonts"/>
        <charset val="134"/>
      </rPr>
      <t>07-08-2026 12:34</t>
    </r>
  </si>
  <si>
    <r>
      <rPr>
        <sz val="10"/>
        <color rgb="FF000000"/>
        <rFont val="JRFonts"/>
        <charset val="134"/>
      </rPr>
      <t>07-08-2026 13:01</t>
    </r>
  </si>
  <si>
    <r>
      <rPr>
        <sz val="10"/>
        <color rgb="FF000000"/>
        <rFont val="JRFonts"/>
        <charset val="134"/>
      </rPr>
      <t>07-08-2026 12:45</t>
    </r>
  </si>
  <si>
    <r>
      <rPr>
        <sz val="10"/>
        <color rgb="FF0000FF"/>
        <rFont val="JRFonts"/>
        <charset val="134"/>
      </rPr>
      <t>22532</t>
    </r>
  </si>
  <si>
    <r>
      <rPr>
        <sz val="10"/>
        <color rgb="FF000000"/>
        <rFont val="JRFonts"/>
        <charset val="134"/>
      </rPr>
      <t>07-08-2026 12:37</t>
    </r>
  </si>
  <si>
    <r>
      <rPr>
        <sz val="10"/>
        <color rgb="FF000000"/>
        <rFont val="JRFonts"/>
        <charset val="134"/>
      </rPr>
      <t>10-08-2026 11:00</t>
    </r>
  </si>
  <si>
    <r>
      <rPr>
        <sz val="10"/>
        <color rgb="FF000000"/>
        <rFont val="JRFonts"/>
        <charset val="134"/>
      </rPr>
      <t>07-08-2026 12:44</t>
    </r>
  </si>
  <si>
    <r>
      <rPr>
        <sz val="10"/>
        <color rgb="FF0000FF"/>
        <rFont val="JRFonts"/>
        <charset val="134"/>
      </rPr>
      <t>22533</t>
    </r>
  </si>
  <si>
    <r>
      <rPr>
        <sz val="10"/>
        <color rgb="FF000000"/>
        <rFont val="JRFonts"/>
        <charset val="134"/>
      </rPr>
      <t>07-08-2026 12:46</t>
    </r>
  </si>
  <si>
    <r>
      <rPr>
        <sz val="10"/>
        <color rgb="FF000000"/>
        <rFont val="JRFonts"/>
        <charset val="134"/>
      </rPr>
      <t>07-08-2026 12:52</t>
    </r>
  </si>
  <si>
    <r>
      <rPr>
        <sz val="10"/>
        <color rgb="FF0000FF"/>
        <rFont val="JRFonts"/>
        <charset val="134"/>
      </rPr>
      <t>22534</t>
    </r>
  </si>
  <si>
    <r>
      <rPr>
        <sz val="10"/>
        <color rgb="FF000000"/>
        <rFont val="JRFonts"/>
        <charset val="134"/>
      </rPr>
      <t>07-08-2026 13:56</t>
    </r>
  </si>
  <si>
    <r>
      <rPr>
        <sz val="10"/>
        <color rgb="FF0000FF"/>
        <rFont val="JRFonts"/>
        <charset val="134"/>
      </rPr>
      <t>22535</t>
    </r>
  </si>
  <si>
    <r>
      <rPr>
        <sz val="10"/>
        <color rgb="FF000000"/>
        <rFont val="JRFonts"/>
        <charset val="134"/>
      </rPr>
      <t>07-08-2026 15:11</t>
    </r>
  </si>
  <si>
    <r>
      <rPr>
        <sz val="10"/>
        <color rgb="FF0000FF"/>
        <rFont val="JRFonts"/>
        <charset val="134"/>
      </rPr>
      <t>22537</t>
    </r>
  </si>
  <si>
    <r>
      <rPr>
        <sz val="10"/>
        <color rgb="FF000000"/>
        <rFont val="JRFonts"/>
        <charset val="134"/>
      </rPr>
      <t>07-08-2026 13:29</t>
    </r>
  </si>
  <si>
    <r>
      <rPr>
        <sz val="10"/>
        <color rgb="FF000000"/>
        <rFont val="JRFonts"/>
        <charset val="134"/>
      </rPr>
      <t>09-09-2026 15:57</t>
    </r>
  </si>
  <si>
    <r>
      <rPr>
        <sz val="10"/>
        <color rgb="FF000000"/>
        <rFont val="JRFonts"/>
        <charset val="134"/>
      </rPr>
      <t>07-08-2026 13:58</t>
    </r>
  </si>
  <si>
    <t>22537</t>
  </si>
  <si>
    <r>
      <rPr>
        <sz val="10"/>
        <color rgb="FF0000FF"/>
        <rFont val="JRFonts"/>
        <charset val="134"/>
      </rPr>
      <t>22538</t>
    </r>
  </si>
  <si>
    <r>
      <rPr>
        <sz val="10"/>
        <color rgb="FF000000"/>
        <rFont val="JRFonts"/>
        <charset val="134"/>
      </rPr>
      <t>07-08-2026 13:38</t>
    </r>
  </si>
  <si>
    <r>
      <rPr>
        <sz val="10"/>
        <color rgb="FF000000"/>
        <rFont val="JRFonts"/>
        <charset val="134"/>
      </rPr>
      <t>07-08-2026 13:59</t>
    </r>
  </si>
  <si>
    <r>
      <rPr>
        <sz val="10"/>
        <color rgb="FF0000FF"/>
        <rFont val="JRFonts"/>
        <charset val="134"/>
      </rPr>
      <t>22539</t>
    </r>
  </si>
  <si>
    <r>
      <rPr>
        <sz val="10"/>
        <color rgb="FF000000"/>
        <rFont val="JRFonts"/>
        <charset val="134"/>
      </rPr>
      <t>07-08-2026 15:08</t>
    </r>
  </si>
  <si>
    <r>
      <rPr>
        <sz val="10"/>
        <color rgb="FF000000"/>
        <rFont val="JRFonts"/>
        <charset val="134"/>
      </rPr>
      <t>07-08-2026 14:00</t>
    </r>
  </si>
  <si>
    <r>
      <rPr>
        <sz val="10"/>
        <color rgb="FF0000FF"/>
        <rFont val="JRFonts"/>
        <charset val="134"/>
      </rPr>
      <t>22540</t>
    </r>
  </si>
  <si>
    <r>
      <rPr>
        <sz val="10"/>
        <color rgb="FF000000"/>
        <rFont val="JRFonts"/>
        <charset val="134"/>
      </rPr>
      <t>10-08-2026 11:47</t>
    </r>
  </si>
  <si>
    <r>
      <rPr>
        <sz val="10"/>
        <color rgb="FF000000"/>
        <rFont val="JRFonts"/>
        <charset val="134"/>
      </rPr>
      <t>07-08-2026 14:36</t>
    </r>
  </si>
  <si>
    <r>
      <rPr>
        <sz val="10"/>
        <color rgb="FF0000FF"/>
        <rFont val="JRFonts"/>
        <charset val="134"/>
      </rPr>
      <t>22541</t>
    </r>
  </si>
  <si>
    <r>
      <rPr>
        <sz val="10"/>
        <color rgb="FF000000"/>
        <rFont val="JRFonts"/>
        <charset val="134"/>
      </rPr>
      <t>07-08-2026 14:08</t>
    </r>
  </si>
  <si>
    <r>
      <rPr>
        <sz val="10"/>
        <color rgb="FF000000"/>
        <rFont val="JRFonts"/>
        <charset val="134"/>
      </rPr>
      <t>07-08-2026 15:21</t>
    </r>
  </si>
  <si>
    <r>
      <rPr>
        <sz val="10"/>
        <color rgb="FF0000FF"/>
        <rFont val="JRFonts"/>
        <charset val="134"/>
      </rPr>
      <t>22542</t>
    </r>
  </si>
  <si>
    <r>
      <rPr>
        <sz val="10"/>
        <color rgb="FF000000"/>
        <rFont val="JRFonts"/>
        <charset val="134"/>
      </rPr>
      <t>07-08-2026 14:11</t>
    </r>
  </si>
  <si>
    <r>
      <rPr>
        <sz val="10"/>
        <color rgb="FF000000"/>
        <rFont val="JRFonts"/>
        <charset val="134"/>
      </rPr>
      <t>07-08-2026 19:01</t>
    </r>
  </si>
  <si>
    <r>
      <rPr>
        <sz val="10"/>
        <color rgb="FF000000"/>
        <rFont val="JRFonts"/>
        <charset val="134"/>
      </rPr>
      <t>07-08-2026 14:41</t>
    </r>
  </si>
  <si>
    <r>
      <rPr>
        <sz val="10"/>
        <color rgb="FF0000FF"/>
        <rFont val="JRFonts"/>
        <charset val="134"/>
      </rPr>
      <t>22544</t>
    </r>
  </si>
  <si>
    <r>
      <rPr>
        <sz val="10"/>
        <color rgb="FF000000"/>
        <rFont val="JRFonts"/>
        <charset val="134"/>
      </rPr>
      <t>07-08-2026 14:24</t>
    </r>
  </si>
  <si>
    <r>
      <rPr>
        <sz val="10"/>
        <color rgb="FF000000"/>
        <rFont val="JRFonts"/>
        <charset val="134"/>
      </rPr>
      <t>10-08-2026 10:58</t>
    </r>
  </si>
  <si>
    <r>
      <rPr>
        <sz val="10"/>
        <color rgb="FF000000"/>
        <rFont val="JRFonts"/>
        <charset val="134"/>
      </rPr>
      <t>07-08-2026 14:49</t>
    </r>
  </si>
  <si>
    <r>
      <rPr>
        <sz val="10"/>
        <color rgb="FF0000FF"/>
        <rFont val="JRFonts"/>
        <charset val="134"/>
      </rPr>
      <t>22546</t>
    </r>
  </si>
  <si>
    <r>
      <rPr>
        <sz val="10"/>
        <color rgb="FF000000"/>
        <rFont val="JRFonts"/>
        <charset val="134"/>
      </rPr>
      <t>10-08-2026 13:04</t>
    </r>
  </si>
  <si>
    <r>
      <rPr>
        <sz val="10"/>
        <color rgb="FF000000"/>
        <rFont val="JRFonts"/>
        <charset val="134"/>
      </rPr>
      <t>07-08-2026 14:50</t>
    </r>
  </si>
  <si>
    <r>
      <rPr>
        <sz val="10"/>
        <color rgb="FF0000FF"/>
        <rFont val="JRFonts"/>
        <charset val="134"/>
      </rPr>
      <t>22547</t>
    </r>
  </si>
  <si>
    <r>
      <rPr>
        <sz val="10"/>
        <color rgb="FF000000"/>
        <rFont val="JRFonts"/>
        <charset val="134"/>
      </rPr>
      <t>07-08-2026 14:51</t>
    </r>
  </si>
  <si>
    <r>
      <rPr>
        <sz val="10"/>
        <color rgb="FF000000"/>
        <rFont val="JRFonts"/>
        <charset val="134"/>
      </rPr>
      <t>07-08-2026 16:44</t>
    </r>
  </si>
  <si>
    <r>
      <rPr>
        <sz val="10"/>
        <color rgb="FF000000"/>
        <rFont val="JRFonts"/>
        <charset val="134"/>
      </rPr>
      <t>07-08-2026 15:25</t>
    </r>
  </si>
  <si>
    <r>
      <rPr>
        <sz val="10"/>
        <color rgb="FF0000FF"/>
        <rFont val="JRFonts"/>
        <charset val="134"/>
      </rPr>
      <t>22549</t>
    </r>
  </si>
  <si>
    <r>
      <rPr>
        <sz val="10"/>
        <color rgb="FF000000"/>
        <rFont val="JRFonts"/>
        <charset val="134"/>
      </rPr>
      <t>07-08-2026 14:57</t>
    </r>
  </si>
  <si>
    <r>
      <rPr>
        <sz val="10"/>
        <color rgb="FF000000"/>
        <rFont val="JRFonts"/>
        <charset val="134"/>
      </rPr>
      <t>07-08-2026 15:41</t>
    </r>
  </si>
  <si>
    <r>
      <rPr>
        <sz val="10"/>
        <color rgb="FF000000"/>
        <rFont val="JRFonts"/>
        <charset val="134"/>
      </rPr>
      <t>07-08-2026 15:35</t>
    </r>
  </si>
  <si>
    <r>
      <rPr>
        <sz val="10"/>
        <color rgb="FF0000FF"/>
        <rFont val="JRFonts"/>
        <charset val="134"/>
      </rPr>
      <t>22551</t>
    </r>
  </si>
  <si>
    <r>
      <rPr>
        <sz val="10"/>
        <color rgb="FF000000"/>
        <rFont val="JRFonts"/>
        <charset val="134"/>
      </rPr>
      <t>07-08-2026 15:12</t>
    </r>
  </si>
  <si>
    <r>
      <rPr>
        <sz val="10"/>
        <color rgb="FF000000"/>
        <rFont val="JRFonts"/>
        <charset val="134"/>
      </rPr>
      <t>10-08-2026 12:00</t>
    </r>
  </si>
  <si>
    <r>
      <rPr>
        <sz val="10"/>
        <color rgb="FF000000"/>
        <rFont val="JRFonts"/>
        <charset val="134"/>
      </rPr>
      <t>07-08-2026 15:36</t>
    </r>
  </si>
  <si>
    <r>
      <rPr>
        <sz val="10"/>
        <color rgb="FF0000FF"/>
        <rFont val="JRFonts"/>
        <charset val="134"/>
      </rPr>
      <t>22552</t>
    </r>
  </si>
  <si>
    <r>
      <rPr>
        <sz val="10"/>
        <color rgb="FF000000"/>
        <rFont val="JRFonts"/>
        <charset val="134"/>
      </rPr>
      <t>07-08-2026 15:27</t>
    </r>
  </si>
  <si>
    <r>
      <rPr>
        <sz val="10"/>
        <color rgb="FF000000"/>
        <rFont val="JRFonts"/>
        <charset val="134"/>
      </rPr>
      <t>17-08-2026 16:04</t>
    </r>
  </si>
  <si>
    <r>
      <rPr>
        <sz val="10"/>
        <color rgb="FF000000"/>
        <rFont val="JRFonts"/>
        <charset val="134"/>
      </rPr>
      <t>07-08-2026 15:37</t>
    </r>
  </si>
  <si>
    <t>22552</t>
  </si>
  <si>
    <r>
      <rPr>
        <sz val="10"/>
        <color rgb="FF0000FF"/>
        <rFont val="JRFonts"/>
        <charset val="134"/>
      </rPr>
      <t>22554</t>
    </r>
  </si>
  <si>
    <r>
      <rPr>
        <sz val="10"/>
        <color rgb="FF000000"/>
        <rFont val="JRFonts"/>
        <charset val="134"/>
      </rPr>
      <t>11-08-2026 17:27</t>
    </r>
  </si>
  <si>
    <r>
      <rPr>
        <sz val="10"/>
        <color rgb="FF000000"/>
        <rFont val="JRFonts"/>
        <charset val="134"/>
      </rPr>
      <t>07-08-2026 16:57</t>
    </r>
  </si>
  <si>
    <t>22554</t>
  </si>
  <si>
    <r>
      <rPr>
        <sz val="10"/>
        <color rgb="FF0000FF"/>
        <rFont val="JRFonts"/>
        <charset val="134"/>
      </rPr>
      <t>22556</t>
    </r>
  </si>
  <si>
    <r>
      <rPr>
        <sz val="10"/>
        <color rgb="FF000000"/>
        <rFont val="JRFonts"/>
        <charset val="134"/>
      </rPr>
      <t>10-08-2026 12:13</t>
    </r>
  </si>
  <si>
    <r>
      <rPr>
        <sz val="10"/>
        <color rgb="FF0000FF"/>
        <rFont val="JRFonts"/>
        <charset val="134"/>
      </rPr>
      <t>22557</t>
    </r>
  </si>
  <si>
    <r>
      <rPr>
        <sz val="10"/>
        <color rgb="FF000000"/>
        <rFont val="JRFonts"/>
        <charset val="134"/>
      </rPr>
      <t>07-08-2026 16:10</t>
    </r>
  </si>
  <si>
    <r>
      <rPr>
        <sz val="10"/>
        <color rgb="FF000000"/>
        <rFont val="JRFonts"/>
        <charset val="134"/>
      </rPr>
      <t>07-08-2026 17:02</t>
    </r>
  </si>
  <si>
    <r>
      <rPr>
        <sz val="10"/>
        <color rgb="FF000000"/>
        <rFont val="JRFonts"/>
        <charset val="134"/>
      </rPr>
      <t>07-08-2026 16:59</t>
    </r>
  </si>
  <si>
    <r>
      <rPr>
        <sz val="10"/>
        <color rgb="FF0000FF"/>
        <rFont val="JRFonts"/>
        <charset val="134"/>
      </rPr>
      <t>22558</t>
    </r>
  </si>
  <si>
    <r>
      <rPr>
        <sz val="10"/>
        <color rgb="FF000000"/>
        <rFont val="JRFonts"/>
        <charset val="134"/>
      </rPr>
      <t>18-08-2026 17:15</t>
    </r>
  </si>
  <si>
    <r>
      <rPr>
        <sz val="10"/>
        <color rgb="FF000000"/>
        <rFont val="JRFonts"/>
        <charset val="134"/>
      </rPr>
      <t>07-08-2026 17:00</t>
    </r>
  </si>
  <si>
    <t>22558</t>
  </si>
  <si>
    <r>
      <rPr>
        <sz val="10"/>
        <color rgb="FF0000FF"/>
        <rFont val="JRFonts"/>
        <charset val="134"/>
      </rPr>
      <t>22559</t>
    </r>
  </si>
  <si>
    <r>
      <rPr>
        <sz val="10"/>
        <color rgb="FF000000"/>
        <rFont val="JRFonts"/>
        <charset val="134"/>
      </rPr>
      <t>07-08-2026 16:16</t>
    </r>
  </si>
  <si>
    <r>
      <rPr>
        <sz val="10"/>
        <color rgb="FF000000"/>
        <rFont val="JRFonts"/>
        <charset val="134"/>
      </rPr>
      <t>07-08-2026 17:03</t>
    </r>
  </si>
  <si>
    <r>
      <rPr>
        <sz val="10"/>
        <color rgb="FF0000FF"/>
        <rFont val="JRFonts"/>
        <charset val="134"/>
      </rPr>
      <t>22560</t>
    </r>
  </si>
  <si>
    <r>
      <rPr>
        <sz val="10"/>
        <color rgb="FF000000"/>
        <rFont val="JRFonts"/>
        <charset val="134"/>
      </rPr>
      <t>31-08-2026 16:31</t>
    </r>
  </si>
  <si>
    <r>
      <rPr>
        <sz val="10"/>
        <color rgb="FF000000"/>
        <rFont val="JRFonts"/>
        <charset val="134"/>
      </rPr>
      <t>10-08-2026 10:42</t>
    </r>
  </si>
  <si>
    <t>22560</t>
  </si>
  <si>
    <r>
      <rPr>
        <sz val="10"/>
        <color rgb="FF0000FF"/>
        <rFont val="JRFonts"/>
        <charset val="134"/>
      </rPr>
      <t>22561</t>
    </r>
  </si>
  <si>
    <r>
      <rPr>
        <sz val="10"/>
        <color rgb="FF000000"/>
        <rFont val="JRFonts"/>
        <charset val="134"/>
      </rPr>
      <t>08-08-2026 13:00</t>
    </r>
  </si>
  <si>
    <r>
      <rPr>
        <sz val="10"/>
        <color rgb="FF000000"/>
        <rFont val="JRFonts"/>
        <charset val="134"/>
      </rPr>
      <t>07-08-2026 17:01</t>
    </r>
  </si>
  <si>
    <r>
      <rPr>
        <sz val="10"/>
        <color rgb="FF0000FF"/>
        <rFont val="JRFonts"/>
        <charset val="134"/>
      </rPr>
      <t>22564</t>
    </r>
  </si>
  <si>
    <r>
      <rPr>
        <sz val="10"/>
        <color rgb="FF000000"/>
        <rFont val="JRFonts"/>
        <charset val="134"/>
      </rPr>
      <t>07-08-2026 16:25</t>
    </r>
  </si>
  <si>
    <r>
      <rPr>
        <sz val="10"/>
        <color rgb="FF000000"/>
        <rFont val="JRFonts"/>
        <charset val="134"/>
      </rPr>
      <t>10-08-2026 14:36</t>
    </r>
  </si>
  <si>
    <r>
      <rPr>
        <sz val="10"/>
        <color rgb="FF0000FF"/>
        <rFont val="JRFonts"/>
        <charset val="134"/>
      </rPr>
      <t>22566</t>
    </r>
  </si>
  <si>
    <r>
      <rPr>
        <sz val="10"/>
        <color rgb="FF000000"/>
        <rFont val="JRFonts"/>
        <charset val="134"/>
      </rPr>
      <t>07-08-2026 16:41</t>
    </r>
  </si>
  <si>
    <r>
      <rPr>
        <sz val="10"/>
        <color rgb="FF000000"/>
        <rFont val="JRFonts"/>
        <charset val="134"/>
      </rPr>
      <t>10-08-2026 14:38</t>
    </r>
  </si>
  <si>
    <r>
      <rPr>
        <sz val="10"/>
        <color rgb="FF000000"/>
        <rFont val="JRFonts"/>
        <charset val="134"/>
      </rPr>
      <t>07-08-2026 17:06</t>
    </r>
  </si>
  <si>
    <r>
      <rPr>
        <sz val="10"/>
        <color rgb="FF0000FF"/>
        <rFont val="JRFonts"/>
        <charset val="134"/>
      </rPr>
      <t>22567</t>
    </r>
  </si>
  <si>
    <r>
      <rPr>
        <sz val="10"/>
        <color rgb="FF000000"/>
        <rFont val="JRFonts"/>
        <charset val="134"/>
      </rPr>
      <t>10-08-2026 11:10</t>
    </r>
  </si>
  <si>
    <r>
      <rPr>
        <sz val="10"/>
        <color rgb="FF000000"/>
        <rFont val="JRFonts"/>
        <charset val="134"/>
      </rPr>
      <t>07-08-2026 17:12</t>
    </r>
  </si>
  <si>
    <r>
      <rPr>
        <sz val="10"/>
        <color rgb="FF0000FF"/>
        <rFont val="JRFonts"/>
        <charset val="134"/>
      </rPr>
      <t>22568</t>
    </r>
  </si>
  <si>
    <r>
      <rPr>
        <sz val="10"/>
        <color rgb="FF000000"/>
        <rFont val="JRFonts"/>
        <charset val="134"/>
      </rPr>
      <t>07-08-2026 17:08</t>
    </r>
  </si>
  <si>
    <r>
      <rPr>
        <sz val="10"/>
        <color rgb="FF0000FF"/>
        <rFont val="JRFonts"/>
        <charset val="134"/>
      </rPr>
      <t>22570</t>
    </r>
  </si>
  <si>
    <r>
      <rPr>
        <sz val="10"/>
        <color rgb="FF000000"/>
        <rFont val="JRFonts"/>
        <charset val="134"/>
      </rPr>
      <t>10-08-2026 14:41</t>
    </r>
  </si>
  <si>
    <r>
      <rPr>
        <sz val="10"/>
        <color rgb="FF000000"/>
        <rFont val="JRFonts"/>
        <charset val="134"/>
      </rPr>
      <t>07-08-2026 17:14</t>
    </r>
  </si>
  <si>
    <r>
      <rPr>
        <sz val="10"/>
        <color rgb="FF0000FF"/>
        <rFont val="JRFonts"/>
        <charset val="134"/>
      </rPr>
      <t>22572</t>
    </r>
  </si>
  <si>
    <r>
      <rPr>
        <sz val="10"/>
        <color rgb="FF000000"/>
        <rFont val="JRFonts"/>
        <charset val="134"/>
      </rPr>
      <t>07-08-2026 16:56</t>
    </r>
  </si>
  <si>
    <r>
      <rPr>
        <sz val="10"/>
        <color rgb="FF000000"/>
        <rFont val="JRFonts"/>
        <charset val="134"/>
      </rPr>
      <t>07-08-2026 17:35</t>
    </r>
  </si>
  <si>
    <r>
      <rPr>
        <sz val="10"/>
        <color rgb="FF0000FF"/>
        <rFont val="JRFonts"/>
        <charset val="134"/>
      </rPr>
      <t>22573</t>
    </r>
  </si>
  <si>
    <r>
      <rPr>
        <sz val="10"/>
        <color rgb="FF000000"/>
        <rFont val="JRFonts"/>
        <charset val="134"/>
      </rPr>
      <t>11-08-2026 12:08</t>
    </r>
  </si>
  <si>
    <r>
      <rPr>
        <sz val="10"/>
        <color rgb="FF0000FF"/>
        <rFont val="JRFonts"/>
        <charset val="134"/>
      </rPr>
      <t>22575</t>
    </r>
  </si>
  <si>
    <r>
      <rPr>
        <sz val="10"/>
        <color rgb="FF000000"/>
        <rFont val="JRFonts"/>
        <charset val="134"/>
      </rPr>
      <t>13-08-2026 15:52</t>
    </r>
  </si>
  <si>
    <r>
      <rPr>
        <sz val="10"/>
        <color rgb="FF000000"/>
        <rFont val="JRFonts"/>
        <charset val="134"/>
      </rPr>
      <t>13-08-2026 16:23</t>
    </r>
  </si>
  <si>
    <r>
      <rPr>
        <sz val="10"/>
        <color rgb="FF0000FF"/>
        <rFont val="JRFonts"/>
        <charset val="134"/>
      </rPr>
      <t>22579</t>
    </r>
  </si>
  <si>
    <r>
      <rPr>
        <sz val="10"/>
        <color rgb="FF000000"/>
        <rFont val="JRFonts"/>
        <charset val="134"/>
      </rPr>
      <t>10-08-2026 14:43</t>
    </r>
  </si>
  <si>
    <r>
      <rPr>
        <sz val="10"/>
        <color rgb="FF000000"/>
        <rFont val="JRFonts"/>
        <charset val="134"/>
      </rPr>
      <t>07-08-2026 17:51</t>
    </r>
  </si>
  <si>
    <r>
      <rPr>
        <sz val="10"/>
        <color rgb="FF0000FF"/>
        <rFont val="JRFonts"/>
        <charset val="134"/>
      </rPr>
      <t>22580</t>
    </r>
  </si>
  <si>
    <r>
      <rPr>
        <sz val="10"/>
        <color rgb="FF000000"/>
        <rFont val="JRFonts"/>
        <charset val="134"/>
      </rPr>
      <t>11-08-2026 17:18</t>
    </r>
  </si>
  <si>
    <r>
      <rPr>
        <sz val="10"/>
        <color rgb="FF000000"/>
        <rFont val="JRFonts"/>
        <charset val="134"/>
      </rPr>
      <t>10-08-2026 17:06</t>
    </r>
  </si>
  <si>
    <r>
      <rPr>
        <sz val="10"/>
        <color rgb="FF0000FF"/>
        <rFont val="JRFonts"/>
        <charset val="134"/>
      </rPr>
      <t>22581</t>
    </r>
  </si>
  <si>
    <r>
      <rPr>
        <sz val="10"/>
        <color rgb="FF000000"/>
        <rFont val="JRFonts"/>
        <charset val="134"/>
      </rPr>
      <t>07-08-2026 17:29</t>
    </r>
  </si>
  <si>
    <r>
      <rPr>
        <sz val="10"/>
        <color rgb="FF000000"/>
        <rFont val="JRFonts"/>
        <charset val="134"/>
      </rPr>
      <t>10-08-2026 14:45</t>
    </r>
  </si>
  <si>
    <r>
      <rPr>
        <sz val="10"/>
        <color rgb="FF0000FF"/>
        <rFont val="JRFonts"/>
        <charset val="134"/>
      </rPr>
      <t>22585</t>
    </r>
  </si>
  <si>
    <r>
      <rPr>
        <sz val="10"/>
        <color rgb="FF000000"/>
        <rFont val="JRFonts"/>
        <charset val="134"/>
      </rPr>
      <t>07-08-2026 17:39</t>
    </r>
  </si>
  <si>
    <r>
      <rPr>
        <sz val="10"/>
        <color rgb="FF000000"/>
        <rFont val="JRFonts"/>
        <charset val="134"/>
      </rPr>
      <t>10-08-2026 17:14</t>
    </r>
  </si>
  <si>
    <r>
      <rPr>
        <sz val="10"/>
        <color rgb="FF000000"/>
        <rFont val="JRFonts"/>
        <charset val="134"/>
      </rPr>
      <t>07-08-2026 17:52</t>
    </r>
  </si>
  <si>
    <r>
      <rPr>
        <sz val="10"/>
        <color rgb="FF0000FF"/>
        <rFont val="JRFonts"/>
        <charset val="134"/>
      </rPr>
      <t>22586</t>
    </r>
  </si>
  <si>
    <r>
      <rPr>
        <sz val="10"/>
        <color rgb="FF000000"/>
        <rFont val="JRFonts"/>
        <charset val="134"/>
      </rPr>
      <t>07-08-2026 17:42</t>
    </r>
  </si>
  <si>
    <r>
      <rPr>
        <sz val="10"/>
        <color rgb="FF000000"/>
        <rFont val="JRFonts"/>
        <charset val="134"/>
      </rPr>
      <t>31-08-2026 13:10</t>
    </r>
  </si>
  <si>
    <r>
      <rPr>
        <sz val="10"/>
        <color rgb="FF000000"/>
        <rFont val="JRFonts"/>
        <charset val="134"/>
      </rPr>
      <t>10-08-2026 12:16</t>
    </r>
  </si>
  <si>
    <r>
      <rPr>
        <sz val="10"/>
        <color rgb="FF0000FF"/>
        <rFont val="JRFonts"/>
        <charset val="134"/>
      </rPr>
      <t>22587</t>
    </r>
  </si>
  <si>
    <r>
      <rPr>
        <sz val="10"/>
        <color rgb="FF000000"/>
        <rFont val="JRFonts"/>
        <charset val="134"/>
      </rPr>
      <t>12-08-2026 16:48</t>
    </r>
  </si>
  <si>
    <r>
      <rPr>
        <sz val="10"/>
        <color rgb="FF000000"/>
        <rFont val="JRFonts"/>
        <charset val="134"/>
      </rPr>
      <t>07-08-2026 17:53</t>
    </r>
  </si>
  <si>
    <r>
      <rPr>
        <sz val="10"/>
        <color rgb="FF0000FF"/>
        <rFont val="JRFonts"/>
        <charset val="134"/>
      </rPr>
      <t>22588</t>
    </r>
  </si>
  <si>
    <r>
      <rPr>
        <sz val="10"/>
        <color rgb="FF000000"/>
        <rFont val="JRFonts"/>
        <charset val="134"/>
      </rPr>
      <t>07-08-2026 17:54</t>
    </r>
  </si>
  <si>
    <r>
      <rPr>
        <sz val="10"/>
        <color rgb="FF000000"/>
        <rFont val="JRFonts"/>
        <charset val="134"/>
      </rPr>
      <t>10-08-2026 14:47</t>
    </r>
  </si>
  <si>
    <r>
      <rPr>
        <sz val="10"/>
        <color rgb="FF0000FF"/>
        <rFont val="JRFonts"/>
        <charset val="134"/>
      </rPr>
      <t>22589</t>
    </r>
  </si>
  <si>
    <r>
      <rPr>
        <sz val="10"/>
        <color rgb="FF000000"/>
        <rFont val="JRFonts"/>
        <charset val="134"/>
      </rPr>
      <t>11-08-2026 16:53</t>
    </r>
  </si>
  <si>
    <t>22589</t>
  </si>
  <si>
    <r>
      <rPr>
        <sz val="10"/>
        <color rgb="FF0000FF"/>
        <rFont val="JRFonts"/>
        <charset val="134"/>
      </rPr>
      <t>22590</t>
    </r>
  </si>
  <si>
    <r>
      <rPr>
        <sz val="10"/>
        <color rgb="FF000000"/>
        <rFont val="JRFonts"/>
        <charset val="134"/>
      </rPr>
      <t>12-08-2026 10:13</t>
    </r>
  </si>
  <si>
    <r>
      <rPr>
        <sz val="10"/>
        <color rgb="FF0000FF"/>
        <rFont val="JRFonts"/>
        <charset val="134"/>
      </rPr>
      <t>22592</t>
    </r>
  </si>
  <si>
    <r>
      <rPr>
        <sz val="10"/>
        <color rgb="FF000000"/>
        <rFont val="JRFonts"/>
        <charset val="134"/>
      </rPr>
      <t>07-08-2026 18:18</t>
    </r>
  </si>
  <si>
    <r>
      <rPr>
        <sz val="10"/>
        <color rgb="FF000000"/>
        <rFont val="JRFonts"/>
        <charset val="134"/>
      </rPr>
      <t>12-08-2026 12:36</t>
    </r>
  </si>
  <si>
    <r>
      <rPr>
        <sz val="10"/>
        <color rgb="FF000000"/>
        <rFont val="JRFonts"/>
        <charset val="134"/>
      </rPr>
      <t>10-08-2026 11:45</t>
    </r>
  </si>
  <si>
    <t>22592</t>
  </si>
  <si>
    <r>
      <rPr>
        <sz val="10"/>
        <color rgb="FF0000FF"/>
        <rFont val="JRFonts"/>
        <charset val="134"/>
      </rPr>
      <t>22596</t>
    </r>
  </si>
  <si>
    <r>
      <rPr>
        <sz val="10"/>
        <color rgb="FF000000"/>
        <rFont val="JRFonts"/>
        <charset val="134"/>
      </rPr>
      <t>07-08-2026 18:49</t>
    </r>
  </si>
  <si>
    <r>
      <rPr>
        <sz val="10"/>
        <color rgb="FF000000"/>
        <rFont val="JRFonts"/>
        <charset val="134"/>
      </rPr>
      <t>10-08-2026 14:48</t>
    </r>
  </si>
  <si>
    <r>
      <rPr>
        <sz val="10"/>
        <color rgb="FF000000"/>
        <rFont val="JRFonts"/>
        <charset val="134"/>
      </rPr>
      <t>10-08-2026 11:51</t>
    </r>
  </si>
  <si>
    <r>
      <rPr>
        <sz val="10"/>
        <color rgb="FF0000FF"/>
        <rFont val="JRFonts"/>
        <charset val="134"/>
      </rPr>
      <t>22598</t>
    </r>
  </si>
  <si>
    <r>
      <rPr>
        <sz val="10"/>
        <color rgb="FF000000"/>
        <rFont val="JRFonts"/>
        <charset val="134"/>
      </rPr>
      <t>07-08-2026 19:13</t>
    </r>
  </si>
  <si>
    <r>
      <rPr>
        <sz val="10"/>
        <color rgb="FF000000"/>
        <rFont val="JRFonts"/>
        <charset val="134"/>
      </rPr>
      <t>10-08-2026 11:14</t>
    </r>
  </si>
  <si>
    <r>
      <rPr>
        <sz val="10"/>
        <color rgb="FF000000"/>
        <rFont val="JRFonts"/>
        <charset val="134"/>
      </rPr>
      <t>10-08-2026 10:27</t>
    </r>
  </si>
  <si>
    <r>
      <rPr>
        <sz val="10"/>
        <color rgb="FF0000FF"/>
        <rFont val="JRFonts"/>
        <charset val="134"/>
      </rPr>
      <t>22600</t>
    </r>
  </si>
  <si>
    <r>
      <rPr>
        <sz val="10"/>
        <color rgb="FF000000"/>
        <rFont val="JRFonts"/>
        <charset val="134"/>
      </rPr>
      <t>07-08-2026 20:02</t>
    </r>
  </si>
  <si>
    <r>
      <rPr>
        <sz val="10"/>
        <color rgb="FF000000"/>
        <rFont val="JRFonts"/>
        <charset val="134"/>
      </rPr>
      <t>01-09-2026 10:13</t>
    </r>
  </si>
  <si>
    <r>
      <rPr>
        <sz val="10"/>
        <color rgb="FF000000"/>
        <rFont val="JRFonts"/>
        <charset val="134"/>
      </rPr>
      <t>10-08-2026 10:33</t>
    </r>
  </si>
  <si>
    <r>
      <rPr>
        <sz val="10"/>
        <color rgb="FF0000FF"/>
        <rFont val="JRFonts"/>
        <charset val="134"/>
      </rPr>
      <t>22601</t>
    </r>
  </si>
  <si>
    <r>
      <rPr>
        <sz val="10"/>
        <color rgb="FF000000"/>
        <rFont val="JRFonts"/>
        <charset val="134"/>
      </rPr>
      <t>07-08-2026 22:12</t>
    </r>
  </si>
  <si>
    <r>
      <rPr>
        <sz val="10"/>
        <color rgb="FF000000"/>
        <rFont val="JRFonts"/>
        <charset val="134"/>
      </rPr>
      <t>17-08-2026 16:55</t>
    </r>
  </si>
  <si>
    <t>22602</t>
  </si>
  <si>
    <r>
      <rPr>
        <sz val="10"/>
        <color rgb="FF000000"/>
        <rFont val="JRFonts"/>
        <charset val="134"/>
      </rPr>
      <t>08-08-2026 14:20</t>
    </r>
  </si>
  <si>
    <r>
      <rPr>
        <sz val="10"/>
        <color rgb="FF000000"/>
        <rFont val="JRFonts"/>
        <charset val="134"/>
      </rPr>
      <t>28-09-2026 14:28</t>
    </r>
  </si>
  <si>
    <r>
      <rPr>
        <sz val="10"/>
        <color rgb="FF000000"/>
        <rFont val="JRFonts"/>
        <charset val="134"/>
      </rPr>
      <t>10-08-2026 10:36</t>
    </r>
  </si>
  <si>
    <r>
      <rPr>
        <sz val="10"/>
        <color rgb="FF0000FF"/>
        <rFont val="JRFonts"/>
        <charset val="134"/>
      </rPr>
      <t>22603</t>
    </r>
  </si>
  <si>
    <r>
      <rPr>
        <sz val="10"/>
        <color rgb="FF000000"/>
        <rFont val="JRFonts"/>
        <charset val="134"/>
      </rPr>
      <t>08-08-2026 14:29</t>
    </r>
  </si>
  <si>
    <r>
      <rPr>
        <sz val="10"/>
        <color rgb="FF000000"/>
        <rFont val="JRFonts"/>
        <charset val="134"/>
      </rPr>
      <t>10-08-2026 10:40</t>
    </r>
  </si>
  <si>
    <r>
      <rPr>
        <sz val="10"/>
        <color rgb="FF0000FF"/>
        <rFont val="JRFonts"/>
        <charset val="134"/>
      </rPr>
      <t>22604</t>
    </r>
  </si>
  <si>
    <r>
      <rPr>
        <sz val="10"/>
        <color rgb="FF000000"/>
        <rFont val="JRFonts"/>
        <charset val="134"/>
      </rPr>
      <t>08-08-2026 15:09</t>
    </r>
  </si>
  <si>
    <r>
      <rPr>
        <sz val="10"/>
        <color rgb="FF000000"/>
        <rFont val="JRFonts"/>
        <charset val="134"/>
      </rPr>
      <t>10-08-2026 16:19</t>
    </r>
  </si>
  <si>
    <r>
      <rPr>
        <sz val="10"/>
        <color rgb="FF000000"/>
        <rFont val="JRFonts"/>
        <charset val="134"/>
      </rPr>
      <t>10-08-2026 10:41</t>
    </r>
  </si>
  <si>
    <r>
      <rPr>
        <sz val="10"/>
        <color rgb="FF0000FF"/>
        <rFont val="JRFonts"/>
        <charset val="134"/>
      </rPr>
      <t>22606</t>
    </r>
  </si>
  <si>
    <r>
      <rPr>
        <sz val="10"/>
        <color rgb="FF000000"/>
        <rFont val="JRFonts"/>
        <charset val="134"/>
      </rPr>
      <t>08-08-2026 15:18</t>
    </r>
  </si>
  <si>
    <r>
      <rPr>
        <sz val="10"/>
        <color rgb="FF000000"/>
        <rFont val="JRFonts"/>
        <charset val="134"/>
      </rPr>
      <t>11-08-2026 12:07</t>
    </r>
  </si>
  <si>
    <r>
      <rPr>
        <sz val="10"/>
        <color rgb="FF000000"/>
        <rFont val="JRFonts"/>
        <charset val="134"/>
      </rPr>
      <t>10-08-2026 10:26</t>
    </r>
  </si>
  <si>
    <r>
      <rPr>
        <sz val="10"/>
        <color rgb="FF0000FF"/>
        <rFont val="JRFonts"/>
        <charset val="134"/>
      </rPr>
      <t>22607</t>
    </r>
  </si>
  <si>
    <r>
      <rPr>
        <sz val="10"/>
        <color rgb="FF000000"/>
        <rFont val="JRFonts"/>
        <charset val="134"/>
      </rPr>
      <t>08-08-2026 15:21</t>
    </r>
  </si>
  <si>
    <r>
      <rPr>
        <sz val="10"/>
        <color rgb="FF000000"/>
        <rFont val="JRFonts"/>
        <charset val="134"/>
      </rPr>
      <t>10-08-2026 16:22</t>
    </r>
  </si>
  <si>
    <r>
      <rPr>
        <sz val="10"/>
        <color rgb="FF000000"/>
        <rFont val="JRFonts"/>
        <charset val="134"/>
      </rPr>
      <t>10-08-2026 10:25</t>
    </r>
  </si>
  <si>
    <r>
      <rPr>
        <sz val="10"/>
        <color rgb="FF0000FF"/>
        <rFont val="JRFonts"/>
        <charset val="134"/>
      </rPr>
      <t>22608</t>
    </r>
  </si>
  <si>
    <r>
      <rPr>
        <sz val="10"/>
        <color rgb="FF000000"/>
        <rFont val="JRFonts"/>
        <charset val="134"/>
      </rPr>
      <t>08-08-2026 15:42</t>
    </r>
  </si>
  <si>
    <r>
      <rPr>
        <sz val="10"/>
        <color rgb="FF000000"/>
        <rFont val="JRFonts"/>
        <charset val="134"/>
      </rPr>
      <t>20-08-2026 10:23</t>
    </r>
  </si>
  <si>
    <r>
      <rPr>
        <sz val="10"/>
        <color rgb="FF000000"/>
        <rFont val="JRFonts"/>
        <charset val="134"/>
      </rPr>
      <t>10-08-2026 10:44</t>
    </r>
  </si>
  <si>
    <t>22608</t>
  </si>
  <si>
    <r>
      <rPr>
        <sz val="10"/>
        <color rgb="FF0000FF"/>
        <rFont val="JRFonts"/>
        <charset val="134"/>
      </rPr>
      <t>22609</t>
    </r>
  </si>
  <si>
    <r>
      <rPr>
        <sz val="10"/>
        <color rgb="FF000000"/>
        <rFont val="JRFonts"/>
        <charset val="134"/>
      </rPr>
      <t>09-08-2026 07:56</t>
    </r>
  </si>
  <si>
    <r>
      <rPr>
        <sz val="10"/>
        <color rgb="FF000000"/>
        <rFont val="JRFonts"/>
        <charset val="134"/>
      </rPr>
      <t>11-08-2026 16:52</t>
    </r>
  </si>
  <si>
    <t>22609</t>
  </si>
  <si>
    <r>
      <rPr>
        <sz val="10"/>
        <color rgb="FF0000FF"/>
        <rFont val="JRFonts"/>
        <charset val="134"/>
      </rPr>
      <t>22610</t>
    </r>
  </si>
  <si>
    <r>
      <rPr>
        <sz val="10"/>
        <color rgb="FF000000"/>
        <rFont val="JRFonts"/>
        <charset val="134"/>
      </rPr>
      <t>09-08-2026 08:05</t>
    </r>
  </si>
  <si>
    <r>
      <rPr>
        <sz val="10"/>
        <color rgb="FF000000"/>
        <rFont val="JRFonts"/>
        <charset val="134"/>
      </rPr>
      <t>20-08-2026 10:19</t>
    </r>
  </si>
  <si>
    <r>
      <rPr>
        <sz val="10"/>
        <color rgb="FF000000"/>
        <rFont val="JRFonts"/>
        <charset val="134"/>
      </rPr>
      <t>10-08-2026 10:45</t>
    </r>
  </si>
  <si>
    <t>22610</t>
  </si>
  <si>
    <r>
      <rPr>
        <sz val="10"/>
        <color rgb="FF0000FF"/>
        <rFont val="JRFonts"/>
        <charset val="134"/>
      </rPr>
      <t>22612</t>
    </r>
  </si>
  <si>
    <r>
      <rPr>
        <sz val="10"/>
        <color rgb="FF000000"/>
        <rFont val="JRFonts"/>
        <charset val="134"/>
      </rPr>
      <t>10-08-2026 10:01</t>
    </r>
  </si>
  <si>
    <r>
      <rPr>
        <sz val="10"/>
        <color rgb="FF000000"/>
        <rFont val="JRFonts"/>
        <charset val="134"/>
      </rPr>
      <t>18-08-2026 13:00</t>
    </r>
  </si>
  <si>
    <r>
      <rPr>
        <sz val="10"/>
        <color rgb="FF000000"/>
        <rFont val="JRFonts"/>
        <charset val="134"/>
      </rPr>
      <t>10-08-2026 10:24</t>
    </r>
  </si>
  <si>
    <t>22612</t>
  </si>
  <si>
    <r>
      <rPr>
        <sz val="10"/>
        <color rgb="FF0000FF"/>
        <rFont val="JRFonts"/>
        <charset val="134"/>
      </rPr>
      <t>22613</t>
    </r>
  </si>
  <si>
    <r>
      <rPr>
        <sz val="10"/>
        <color rgb="FF000000"/>
        <rFont val="JRFonts"/>
        <charset val="134"/>
      </rPr>
      <t>10-08-2026 10:04</t>
    </r>
  </si>
  <si>
    <r>
      <rPr>
        <sz val="10"/>
        <color rgb="FF000000"/>
        <rFont val="JRFonts"/>
        <charset val="134"/>
      </rPr>
      <t>12-08-2026 16:03</t>
    </r>
  </si>
  <si>
    <r>
      <rPr>
        <sz val="10"/>
        <color rgb="FF000000"/>
        <rFont val="JRFonts"/>
        <charset val="134"/>
      </rPr>
      <t>10-08-2026 10:46</t>
    </r>
  </si>
  <si>
    <t>22613</t>
  </si>
  <si>
    <r>
      <rPr>
        <sz val="10"/>
        <color rgb="FF0000FF"/>
        <rFont val="JRFonts"/>
        <charset val="134"/>
      </rPr>
      <t>22614</t>
    </r>
  </si>
  <si>
    <r>
      <rPr>
        <sz val="10"/>
        <color rgb="FF000000"/>
        <rFont val="JRFonts"/>
        <charset val="134"/>
      </rPr>
      <t>10-08-2026 10:13</t>
    </r>
  </si>
  <si>
    <r>
      <rPr>
        <sz val="10"/>
        <color rgb="FF000000"/>
        <rFont val="JRFonts"/>
        <charset val="134"/>
      </rPr>
      <t>12-08-2026 10:05</t>
    </r>
  </si>
  <si>
    <r>
      <rPr>
        <sz val="10"/>
        <color rgb="FF000000"/>
        <rFont val="JRFonts"/>
        <charset val="134"/>
      </rPr>
      <t>10-08-2026 10:47</t>
    </r>
  </si>
  <si>
    <t>22614</t>
  </si>
  <si>
    <r>
      <rPr>
        <sz val="10"/>
        <color rgb="FF0000FF"/>
        <rFont val="JRFonts"/>
        <charset val="134"/>
      </rPr>
      <t>22615</t>
    </r>
  </si>
  <si>
    <r>
      <rPr>
        <sz val="10"/>
        <color rgb="FF000000"/>
        <rFont val="JRFonts"/>
        <charset val="134"/>
      </rPr>
      <t>10-08-2026 10:29</t>
    </r>
  </si>
  <si>
    <r>
      <rPr>
        <sz val="10"/>
        <color rgb="FF000000"/>
        <rFont val="JRFonts"/>
        <charset val="134"/>
      </rPr>
      <t>17-08-2026 16:53</t>
    </r>
  </si>
  <si>
    <r>
      <rPr>
        <sz val="10"/>
        <color rgb="FF000000"/>
        <rFont val="JRFonts"/>
        <charset val="134"/>
      </rPr>
      <t>10-08-2026 10:56</t>
    </r>
  </si>
  <si>
    <t>22615</t>
  </si>
  <si>
    <r>
      <rPr>
        <sz val="10"/>
        <color rgb="FF0000FF"/>
        <rFont val="JRFonts"/>
        <charset val="134"/>
      </rPr>
      <t>22616</t>
    </r>
  </si>
  <si>
    <r>
      <rPr>
        <sz val="10"/>
        <color rgb="FF000000"/>
        <rFont val="JRFonts"/>
        <charset val="134"/>
      </rPr>
      <t>10-08-2026 10:35</t>
    </r>
  </si>
  <si>
    <r>
      <rPr>
        <sz val="10"/>
        <color rgb="FF000000"/>
        <rFont val="JRFonts"/>
        <charset val="134"/>
      </rPr>
      <t>11-08-2026 10:53</t>
    </r>
  </si>
  <si>
    <r>
      <rPr>
        <sz val="10"/>
        <color rgb="FF000000"/>
        <rFont val="JRFonts"/>
        <charset val="134"/>
      </rPr>
      <t>10-08-2026 11:07</t>
    </r>
  </si>
  <si>
    <r>
      <rPr>
        <sz val="10"/>
        <color rgb="FF0000FF"/>
        <rFont val="JRFonts"/>
        <charset val="134"/>
      </rPr>
      <t>22617</t>
    </r>
  </si>
  <si>
    <r>
      <rPr>
        <sz val="10"/>
        <color rgb="FF000000"/>
        <rFont val="JRFonts"/>
        <charset val="134"/>
      </rPr>
      <t>10-08-2026 11:17</t>
    </r>
  </si>
  <si>
    <r>
      <rPr>
        <sz val="10"/>
        <color rgb="FF000000"/>
        <rFont val="JRFonts"/>
        <charset val="134"/>
      </rPr>
      <t>10-08-2026 11:08</t>
    </r>
  </si>
  <si>
    <r>
      <rPr>
        <sz val="10"/>
        <color rgb="FF0000FF"/>
        <rFont val="JRFonts"/>
        <charset val="134"/>
      </rPr>
      <t>22618</t>
    </r>
  </si>
  <si>
    <r>
      <rPr>
        <sz val="10"/>
        <color rgb="FF000000"/>
        <rFont val="JRFonts"/>
        <charset val="134"/>
      </rPr>
      <t>10-08-2026 17:37</t>
    </r>
  </si>
  <si>
    <r>
      <rPr>
        <sz val="10"/>
        <color rgb="FF000000"/>
        <rFont val="JRFonts"/>
        <charset val="134"/>
      </rPr>
      <t>10-08-2026 11:12</t>
    </r>
  </si>
  <si>
    <r>
      <rPr>
        <sz val="10"/>
        <color rgb="FF0000FF"/>
        <rFont val="JRFonts"/>
        <charset val="134"/>
      </rPr>
      <t>22619</t>
    </r>
  </si>
  <si>
    <r>
      <rPr>
        <sz val="10"/>
        <color rgb="FF000000"/>
        <rFont val="JRFonts"/>
        <charset val="134"/>
      </rPr>
      <t>10-08-2026 11:03</t>
    </r>
  </si>
  <si>
    <r>
      <rPr>
        <sz val="10"/>
        <color rgb="FF000000"/>
        <rFont val="JRFonts"/>
        <charset val="134"/>
      </rPr>
      <t>10-08-2026 12:07</t>
    </r>
  </si>
  <si>
    <r>
      <rPr>
        <sz val="10"/>
        <color rgb="FF000000"/>
        <rFont val="JRFonts"/>
        <charset val="134"/>
      </rPr>
      <t>10-08-2026 11:18</t>
    </r>
  </si>
  <si>
    <r>
      <rPr>
        <sz val="10"/>
        <color rgb="FF0000FF"/>
        <rFont val="JRFonts"/>
        <charset val="134"/>
      </rPr>
      <t>22620</t>
    </r>
  </si>
  <si>
    <r>
      <rPr>
        <sz val="10"/>
        <color rgb="FF000000"/>
        <rFont val="JRFonts"/>
        <charset val="134"/>
      </rPr>
      <t>10-08-2026 11:06</t>
    </r>
  </si>
  <si>
    <r>
      <rPr>
        <sz val="10"/>
        <color rgb="FF000000"/>
        <rFont val="JRFonts"/>
        <charset val="134"/>
      </rPr>
      <t>10-08-2026 12:04</t>
    </r>
  </si>
  <si>
    <r>
      <rPr>
        <sz val="10"/>
        <color rgb="FF000000"/>
        <rFont val="JRFonts"/>
        <charset val="134"/>
      </rPr>
      <t>10-08-2026 11:20</t>
    </r>
  </si>
  <si>
    <r>
      <rPr>
        <sz val="10"/>
        <color rgb="FF0000FF"/>
        <rFont val="JRFonts"/>
        <charset val="134"/>
      </rPr>
      <t>22621</t>
    </r>
  </si>
  <si>
    <r>
      <rPr>
        <sz val="10"/>
        <color rgb="FF000000"/>
        <rFont val="JRFonts"/>
        <charset val="134"/>
      </rPr>
      <t>17-08-2026 15:02</t>
    </r>
  </si>
  <si>
    <r>
      <rPr>
        <sz val="10"/>
        <color rgb="FF000000"/>
        <rFont val="JRFonts"/>
        <charset val="134"/>
      </rPr>
      <t>10-08-2026 11:24</t>
    </r>
  </si>
  <si>
    <t>22621</t>
  </si>
  <si>
    <r>
      <rPr>
        <sz val="10"/>
        <color rgb="FF0000FF"/>
        <rFont val="JRFonts"/>
        <charset val="134"/>
      </rPr>
      <t>22623</t>
    </r>
  </si>
  <si>
    <r>
      <rPr>
        <sz val="10"/>
        <color rgb="FF000000"/>
        <rFont val="JRFonts"/>
        <charset val="134"/>
      </rPr>
      <t>17-08-2026 16:51</t>
    </r>
  </si>
  <si>
    <r>
      <rPr>
        <sz val="10"/>
        <color rgb="FF000000"/>
        <rFont val="JRFonts"/>
        <charset val="134"/>
      </rPr>
      <t>10-08-2026 11:27</t>
    </r>
  </si>
  <si>
    <t>22623</t>
  </si>
  <si>
    <r>
      <rPr>
        <sz val="10"/>
        <color rgb="FF0000FF"/>
        <rFont val="JRFonts"/>
        <charset val="134"/>
      </rPr>
      <t>22624</t>
    </r>
  </si>
  <si>
    <r>
      <rPr>
        <sz val="10"/>
        <color rgb="FF000000"/>
        <rFont val="JRFonts"/>
        <charset val="134"/>
      </rPr>
      <t>10-08-2026 11:33</t>
    </r>
  </si>
  <si>
    <r>
      <rPr>
        <sz val="10"/>
        <color rgb="FF000000"/>
        <rFont val="JRFonts"/>
        <charset val="134"/>
      </rPr>
      <t>10-08-2026 17:21</t>
    </r>
  </si>
  <si>
    <r>
      <rPr>
        <sz val="10"/>
        <color rgb="FF000000"/>
        <rFont val="JRFonts"/>
        <charset val="134"/>
      </rPr>
      <t>10-08-2026 11:52</t>
    </r>
  </si>
  <si>
    <r>
      <rPr>
        <sz val="10"/>
        <color rgb="FF0000FF"/>
        <rFont val="JRFonts"/>
        <charset val="134"/>
      </rPr>
      <t>22625</t>
    </r>
  </si>
  <si>
    <r>
      <rPr>
        <sz val="10"/>
        <color rgb="FF000000"/>
        <rFont val="JRFonts"/>
        <charset val="134"/>
      </rPr>
      <t>11-08-2026 17:13</t>
    </r>
  </si>
  <si>
    <r>
      <rPr>
        <sz val="10"/>
        <color rgb="FF000000"/>
        <rFont val="JRFonts"/>
        <charset val="134"/>
      </rPr>
      <t>10-08-2026 11:53</t>
    </r>
  </si>
  <si>
    <t>22625</t>
  </si>
  <si>
    <r>
      <rPr>
        <sz val="10"/>
        <color rgb="FF0000FF"/>
        <rFont val="JRFonts"/>
        <charset val="134"/>
      </rPr>
      <t>22626</t>
    </r>
  </si>
  <si>
    <r>
      <rPr>
        <sz val="10"/>
        <color rgb="FF000000"/>
        <rFont val="JRFonts"/>
        <charset val="134"/>
      </rPr>
      <t>10-08-2026 11:48</t>
    </r>
  </si>
  <si>
    <r>
      <rPr>
        <sz val="10"/>
        <color rgb="FF000000"/>
        <rFont val="JRFonts"/>
        <charset val="134"/>
      </rPr>
      <t>11-08-2026 13:17</t>
    </r>
  </si>
  <si>
    <r>
      <rPr>
        <sz val="10"/>
        <color rgb="FF000000"/>
        <rFont val="JRFonts"/>
        <charset val="134"/>
      </rPr>
      <t>10-08-2026 11:55</t>
    </r>
  </si>
  <si>
    <r>
      <rPr>
        <sz val="10"/>
        <color rgb="FF0000FF"/>
        <rFont val="JRFonts"/>
        <charset val="134"/>
      </rPr>
      <t>22627</t>
    </r>
  </si>
  <si>
    <r>
      <rPr>
        <sz val="10"/>
        <color rgb="FF000000"/>
        <rFont val="JRFonts"/>
        <charset val="134"/>
      </rPr>
      <t>10-08-2026 11:54</t>
    </r>
  </si>
  <si>
    <r>
      <rPr>
        <sz val="10"/>
        <color rgb="FF000000"/>
        <rFont val="JRFonts"/>
        <charset val="134"/>
      </rPr>
      <t>01-09-2026 10:14</t>
    </r>
  </si>
  <si>
    <r>
      <rPr>
        <sz val="10"/>
        <color rgb="FF000000"/>
        <rFont val="JRFonts"/>
        <charset val="134"/>
      </rPr>
      <t>10-08-2026 12:11</t>
    </r>
  </si>
  <si>
    <r>
      <rPr>
        <sz val="10"/>
        <color rgb="FF0000FF"/>
        <rFont val="JRFonts"/>
        <charset val="134"/>
      </rPr>
      <t>22628</t>
    </r>
  </si>
  <si>
    <r>
      <rPr>
        <sz val="10"/>
        <color rgb="FF000000"/>
        <rFont val="JRFonts"/>
        <charset val="134"/>
      </rPr>
      <t>11-08-2026 12:05</t>
    </r>
  </si>
  <si>
    <r>
      <rPr>
        <sz val="10"/>
        <color rgb="FF000000"/>
        <rFont val="JRFonts"/>
        <charset val="134"/>
      </rPr>
      <t>10-08-2026 12:18</t>
    </r>
  </si>
  <si>
    <r>
      <rPr>
        <sz val="10"/>
        <color rgb="FF0000FF"/>
        <rFont val="JRFonts"/>
        <charset val="134"/>
      </rPr>
      <t>22629</t>
    </r>
  </si>
  <si>
    <r>
      <rPr>
        <sz val="10"/>
        <color rgb="FF000000"/>
        <rFont val="JRFonts"/>
        <charset val="134"/>
      </rPr>
      <t>10-08-2026 15:20</t>
    </r>
  </si>
  <si>
    <r>
      <rPr>
        <sz val="10"/>
        <color rgb="FF000000"/>
        <rFont val="JRFonts"/>
        <charset val="134"/>
      </rPr>
      <t>10-08-2026 12:19</t>
    </r>
  </si>
  <si>
    <r>
      <rPr>
        <sz val="10"/>
        <color rgb="FF0000FF"/>
        <rFont val="JRFonts"/>
        <charset val="134"/>
      </rPr>
      <t>22631</t>
    </r>
  </si>
  <si>
    <r>
      <rPr>
        <sz val="10"/>
        <color rgb="FF000000"/>
        <rFont val="JRFonts"/>
        <charset val="134"/>
      </rPr>
      <t>10-08-2026 12:10</t>
    </r>
  </si>
  <si>
    <r>
      <rPr>
        <sz val="10"/>
        <color rgb="FF000000"/>
        <rFont val="JRFonts"/>
        <charset val="134"/>
      </rPr>
      <t>11-08-2026 10:50</t>
    </r>
  </si>
  <si>
    <r>
      <rPr>
        <sz val="10"/>
        <color rgb="FF000000"/>
        <rFont val="JRFonts"/>
        <charset val="134"/>
      </rPr>
      <t>10-08-2026 12:46</t>
    </r>
  </si>
  <si>
    <r>
      <rPr>
        <sz val="10"/>
        <color rgb="FF0000FF"/>
        <rFont val="JRFonts"/>
        <charset val="134"/>
      </rPr>
      <t>22632</t>
    </r>
  </si>
  <si>
    <r>
      <rPr>
        <sz val="10"/>
        <color rgb="FF000000"/>
        <rFont val="JRFonts"/>
        <charset val="134"/>
      </rPr>
      <t>10-08-2026 17:34</t>
    </r>
  </si>
  <si>
    <r>
      <rPr>
        <sz val="10"/>
        <color rgb="FF000000"/>
        <rFont val="JRFonts"/>
        <charset val="134"/>
      </rPr>
      <t>10-08-2026 12:20</t>
    </r>
  </si>
  <si>
    <t>22632</t>
  </si>
  <si>
    <r>
      <rPr>
        <sz val="10"/>
        <color rgb="FF0000FF"/>
        <rFont val="JRFonts"/>
        <charset val="134"/>
      </rPr>
      <t>22633</t>
    </r>
  </si>
  <si>
    <r>
      <rPr>
        <sz val="10"/>
        <color rgb="FF000000"/>
        <rFont val="JRFonts"/>
        <charset val="134"/>
      </rPr>
      <t>26-08-2026 14:16</t>
    </r>
  </si>
  <si>
    <r>
      <rPr>
        <sz val="10"/>
        <color rgb="FF000000"/>
        <rFont val="JRFonts"/>
        <charset val="134"/>
      </rPr>
      <t>10-08-2026 12:31</t>
    </r>
  </si>
  <si>
    <r>
      <rPr>
        <sz val="10"/>
        <color rgb="FF0000FF"/>
        <rFont val="JRFonts"/>
        <charset val="134"/>
      </rPr>
      <t>22634</t>
    </r>
  </si>
  <si>
    <r>
      <rPr>
        <sz val="10"/>
        <color rgb="FF000000"/>
        <rFont val="JRFonts"/>
        <charset val="134"/>
      </rPr>
      <t>11-08-2026 15:47</t>
    </r>
  </si>
  <si>
    <r>
      <rPr>
        <sz val="10"/>
        <color rgb="FF000000"/>
        <rFont val="JRFonts"/>
        <charset val="134"/>
      </rPr>
      <t>10-08-2026 12:33</t>
    </r>
  </si>
  <si>
    <r>
      <rPr>
        <sz val="10"/>
        <color rgb="FF0000FF"/>
        <rFont val="JRFonts"/>
        <charset val="134"/>
      </rPr>
      <t>22635</t>
    </r>
  </si>
  <si>
    <r>
      <rPr>
        <sz val="10"/>
        <color rgb="FF000000"/>
        <rFont val="JRFonts"/>
        <charset val="134"/>
      </rPr>
      <t>11-08-2026 16:40</t>
    </r>
  </si>
  <si>
    <r>
      <rPr>
        <sz val="10"/>
        <color rgb="FF000000"/>
        <rFont val="JRFonts"/>
        <charset val="134"/>
      </rPr>
      <t>10-08-2026 12:23</t>
    </r>
  </si>
  <si>
    <t>22635</t>
  </si>
  <si>
    <r>
      <rPr>
        <sz val="10"/>
        <color rgb="FF0000FF"/>
        <rFont val="JRFonts"/>
        <charset val="134"/>
      </rPr>
      <t>22636</t>
    </r>
  </si>
  <si>
    <r>
      <rPr>
        <sz val="10"/>
        <color rgb="FF000000"/>
        <rFont val="JRFonts"/>
        <charset val="134"/>
      </rPr>
      <t>10-08-2026 12:22</t>
    </r>
  </si>
  <si>
    <r>
      <rPr>
        <sz val="10"/>
        <color rgb="FF000000"/>
        <rFont val="JRFonts"/>
        <charset val="134"/>
      </rPr>
      <t>14-08-2026 14:19</t>
    </r>
  </si>
  <si>
    <r>
      <rPr>
        <sz val="10"/>
        <color rgb="FF000000"/>
        <rFont val="JRFonts"/>
        <charset val="134"/>
      </rPr>
      <t>10-08-2026 12:28</t>
    </r>
  </si>
  <si>
    <t>22636</t>
  </si>
  <si>
    <r>
      <rPr>
        <sz val="10"/>
        <color rgb="FF0000FF"/>
        <rFont val="JRFonts"/>
        <charset val="134"/>
      </rPr>
      <t>22639</t>
    </r>
  </si>
  <si>
    <r>
      <rPr>
        <sz val="10"/>
        <color rgb="FF000000"/>
        <rFont val="JRFonts"/>
        <charset val="134"/>
      </rPr>
      <t>17-08-2026 16:50</t>
    </r>
  </si>
  <si>
    <r>
      <rPr>
        <sz val="10"/>
        <color rgb="FF000000"/>
        <rFont val="JRFonts"/>
        <charset val="134"/>
      </rPr>
      <t>10-08-2026 12:48</t>
    </r>
  </si>
  <si>
    <t>22639</t>
  </si>
  <si>
    <r>
      <rPr>
        <sz val="10"/>
        <color rgb="FF0000FF"/>
        <rFont val="JRFonts"/>
        <charset val="134"/>
      </rPr>
      <t>22640</t>
    </r>
  </si>
  <si>
    <r>
      <rPr>
        <sz val="10"/>
        <color rgb="FF000000"/>
        <rFont val="JRFonts"/>
        <charset val="134"/>
      </rPr>
      <t>10-08-2026 12:34</t>
    </r>
  </si>
  <si>
    <r>
      <rPr>
        <sz val="10"/>
        <color rgb="FF000000"/>
        <rFont val="JRFonts"/>
        <charset val="134"/>
      </rPr>
      <t>11-08-2026 16:24</t>
    </r>
  </si>
  <si>
    <r>
      <rPr>
        <sz val="10"/>
        <color rgb="FF000000"/>
        <rFont val="JRFonts"/>
        <charset val="134"/>
      </rPr>
      <t>10-08-2026 12:50</t>
    </r>
  </si>
  <si>
    <r>
      <rPr>
        <sz val="10"/>
        <color rgb="FF0000FF"/>
        <rFont val="JRFonts"/>
        <charset val="134"/>
      </rPr>
      <t>22641</t>
    </r>
  </si>
  <si>
    <r>
      <rPr>
        <sz val="10"/>
        <color rgb="FF000000"/>
        <rFont val="JRFonts"/>
        <charset val="134"/>
      </rPr>
      <t>10-08-2026 12:40</t>
    </r>
  </si>
  <si>
    <r>
      <rPr>
        <sz val="10"/>
        <color rgb="FF000000"/>
        <rFont val="JRFonts"/>
        <charset val="134"/>
      </rPr>
      <t>10-08-2026 18:20</t>
    </r>
  </si>
  <si>
    <r>
      <rPr>
        <sz val="10"/>
        <color rgb="FF000000"/>
        <rFont val="JRFonts"/>
        <charset val="134"/>
      </rPr>
      <t>10-08-2026 12:51</t>
    </r>
  </si>
  <si>
    <r>
      <rPr>
        <sz val="10"/>
        <color rgb="FF0000FF"/>
        <rFont val="JRFonts"/>
        <charset val="134"/>
      </rPr>
      <t>22642</t>
    </r>
  </si>
  <si>
    <r>
      <rPr>
        <sz val="10"/>
        <color rgb="FF000000"/>
        <rFont val="JRFonts"/>
        <charset val="134"/>
      </rPr>
      <t>10-08-2026 12:43</t>
    </r>
  </si>
  <si>
    <r>
      <rPr>
        <sz val="10"/>
        <color rgb="FF000000"/>
        <rFont val="JRFonts"/>
        <charset val="134"/>
      </rPr>
      <t>11-08-2026 16:23</t>
    </r>
  </si>
  <si>
    <r>
      <rPr>
        <sz val="10"/>
        <color rgb="FF0000FF"/>
        <rFont val="JRFonts"/>
        <charset val="134"/>
      </rPr>
      <t>22643</t>
    </r>
  </si>
  <si>
    <r>
      <rPr>
        <sz val="10"/>
        <color rgb="FF000000"/>
        <rFont val="JRFonts"/>
        <charset val="134"/>
      </rPr>
      <t>11-08-2026 16:22</t>
    </r>
  </si>
  <si>
    <r>
      <rPr>
        <sz val="10"/>
        <color rgb="FF000000"/>
        <rFont val="JRFonts"/>
        <charset val="134"/>
      </rPr>
      <t>10-08-2026 12:52</t>
    </r>
  </si>
  <si>
    <r>
      <rPr>
        <sz val="10"/>
        <color rgb="FF0000FF"/>
        <rFont val="JRFonts"/>
        <charset val="134"/>
      </rPr>
      <t>22644</t>
    </r>
  </si>
  <si>
    <r>
      <rPr>
        <sz val="10"/>
        <color rgb="FF000000"/>
        <rFont val="JRFonts"/>
        <charset val="134"/>
      </rPr>
      <t>11-08-2026 12:01</t>
    </r>
  </si>
  <si>
    <r>
      <rPr>
        <sz val="10"/>
        <color rgb="FF000000"/>
        <rFont val="JRFonts"/>
        <charset val="134"/>
      </rPr>
      <t>10-08-2026 12:53</t>
    </r>
  </si>
  <si>
    <r>
      <rPr>
        <sz val="10"/>
        <color rgb="FF0000FF"/>
        <rFont val="JRFonts"/>
        <charset val="134"/>
      </rPr>
      <t>22645</t>
    </r>
  </si>
  <si>
    <r>
      <rPr>
        <sz val="10"/>
        <color rgb="FF000000"/>
        <rFont val="JRFonts"/>
        <charset val="134"/>
      </rPr>
      <t>11-08-2026 11:59</t>
    </r>
  </si>
  <si>
    <r>
      <rPr>
        <sz val="10"/>
        <color rgb="FF000000"/>
        <rFont val="JRFonts"/>
        <charset val="134"/>
      </rPr>
      <t>10-08-2026 12:54</t>
    </r>
  </si>
  <si>
    <r>
      <rPr>
        <sz val="10"/>
        <color rgb="FF0000FF"/>
        <rFont val="JRFonts"/>
        <charset val="134"/>
      </rPr>
      <t>22646</t>
    </r>
  </si>
  <si>
    <r>
      <rPr>
        <sz val="10"/>
        <color rgb="FF000000"/>
        <rFont val="JRFonts"/>
        <charset val="134"/>
      </rPr>
      <t>11-08-2026 11:46</t>
    </r>
  </si>
  <si>
    <r>
      <rPr>
        <sz val="10"/>
        <color rgb="FF000000"/>
        <rFont val="JRFonts"/>
        <charset val="134"/>
      </rPr>
      <t>10-08-2026 12:56</t>
    </r>
  </si>
  <si>
    <r>
      <rPr>
        <sz val="10"/>
        <color rgb="FF0000FF"/>
        <rFont val="JRFonts"/>
        <charset val="134"/>
      </rPr>
      <t>22647</t>
    </r>
  </si>
  <si>
    <r>
      <rPr>
        <sz val="10"/>
        <color rgb="FF000000"/>
        <rFont val="JRFonts"/>
        <charset val="134"/>
      </rPr>
      <t>11-08-2026 16:20</t>
    </r>
  </si>
  <si>
    <r>
      <rPr>
        <sz val="10"/>
        <color rgb="FF000000"/>
        <rFont val="JRFonts"/>
        <charset val="134"/>
      </rPr>
      <t>10-08-2026 12:57</t>
    </r>
  </si>
  <si>
    <r>
      <rPr>
        <sz val="10"/>
        <color rgb="FF0000FF"/>
        <rFont val="JRFonts"/>
        <charset val="134"/>
      </rPr>
      <t>22648</t>
    </r>
  </si>
  <si>
    <r>
      <rPr>
        <sz val="10"/>
        <color rgb="FF000000"/>
        <rFont val="JRFonts"/>
        <charset val="134"/>
      </rPr>
      <t>14-08-2026 16:56</t>
    </r>
  </si>
  <si>
    <r>
      <rPr>
        <sz val="10"/>
        <color rgb="FF000000"/>
        <rFont val="JRFonts"/>
        <charset val="134"/>
      </rPr>
      <t>10-08-2026 12:59</t>
    </r>
  </si>
  <si>
    <t>22648</t>
  </si>
  <si>
    <r>
      <rPr>
        <sz val="10"/>
        <color rgb="FF0000FF"/>
        <rFont val="JRFonts"/>
        <charset val="134"/>
      </rPr>
      <t>22649</t>
    </r>
  </si>
  <si>
    <r>
      <rPr>
        <sz val="10"/>
        <color rgb="FF000000"/>
        <rFont val="JRFonts"/>
        <charset val="134"/>
      </rPr>
      <t>10-08-2026 12:58</t>
    </r>
  </si>
  <si>
    <r>
      <rPr>
        <sz val="10"/>
        <color rgb="FF0000FF"/>
        <rFont val="JRFonts"/>
        <charset val="134"/>
      </rPr>
      <t>22654</t>
    </r>
  </si>
  <si>
    <r>
      <rPr>
        <sz val="10"/>
        <color rgb="FF000000"/>
        <rFont val="JRFonts"/>
        <charset val="134"/>
      </rPr>
      <t>10-08-2026 13:17</t>
    </r>
  </si>
  <si>
    <r>
      <rPr>
        <sz val="10"/>
        <color rgb="FF000000"/>
        <rFont val="JRFonts"/>
        <charset val="134"/>
      </rPr>
      <t>12-08-2026 14:54</t>
    </r>
  </si>
  <si>
    <r>
      <rPr>
        <sz val="10"/>
        <color rgb="FF000000"/>
        <rFont val="JRFonts"/>
        <charset val="134"/>
      </rPr>
      <t>10-08-2026 14:24</t>
    </r>
  </si>
  <si>
    <t>22654</t>
  </si>
  <si>
    <r>
      <rPr>
        <sz val="10"/>
        <color rgb="FF0000FF"/>
        <rFont val="JRFonts"/>
        <charset val="134"/>
      </rPr>
      <t>22655</t>
    </r>
  </si>
  <si>
    <r>
      <rPr>
        <sz val="10"/>
        <color rgb="FF000000"/>
        <rFont val="JRFonts"/>
        <charset val="134"/>
      </rPr>
      <t>10-08-2026 13:26</t>
    </r>
  </si>
  <si>
    <r>
      <rPr>
        <sz val="10"/>
        <color rgb="FF000000"/>
        <rFont val="JRFonts"/>
        <charset val="134"/>
      </rPr>
      <t>11-08-2026 11:44</t>
    </r>
  </si>
  <si>
    <r>
      <rPr>
        <sz val="10"/>
        <color rgb="FF000000"/>
        <rFont val="JRFonts"/>
        <charset val="134"/>
      </rPr>
      <t>10-08-2026 14:23</t>
    </r>
  </si>
  <si>
    <r>
      <rPr>
        <sz val="10"/>
        <color rgb="FF0000FF"/>
        <rFont val="JRFonts"/>
        <charset val="134"/>
      </rPr>
      <t>22656</t>
    </r>
  </si>
  <si>
    <r>
      <rPr>
        <sz val="10"/>
        <color rgb="FF000000"/>
        <rFont val="JRFonts"/>
        <charset val="134"/>
      </rPr>
      <t>10-08-2026 13:41</t>
    </r>
  </si>
  <si>
    <r>
      <rPr>
        <sz val="10"/>
        <color rgb="FF000000"/>
        <rFont val="JRFonts"/>
        <charset val="134"/>
      </rPr>
      <t>11-08-2026 10:23</t>
    </r>
  </si>
  <si>
    <r>
      <rPr>
        <sz val="10"/>
        <color rgb="FF000000"/>
        <rFont val="JRFonts"/>
        <charset val="134"/>
      </rPr>
      <t>10-08-2026 14:25</t>
    </r>
  </si>
  <si>
    <r>
      <rPr>
        <sz val="10"/>
        <color rgb="FF0000FF"/>
        <rFont val="JRFonts"/>
        <charset val="134"/>
      </rPr>
      <t>22657</t>
    </r>
  </si>
  <si>
    <r>
      <rPr>
        <sz val="10"/>
        <color rgb="FF000000"/>
        <rFont val="JRFonts"/>
        <charset val="134"/>
      </rPr>
      <t>10-08-2026 13:50</t>
    </r>
  </si>
  <si>
    <r>
      <rPr>
        <sz val="10"/>
        <color rgb="FF000000"/>
        <rFont val="JRFonts"/>
        <charset val="134"/>
      </rPr>
      <t>10-08-2026 14:26</t>
    </r>
  </si>
  <si>
    <r>
      <rPr>
        <sz val="10"/>
        <color rgb="FF0000FF"/>
        <rFont val="JRFonts"/>
        <charset val="134"/>
      </rPr>
      <t>22658</t>
    </r>
  </si>
  <si>
    <r>
      <rPr>
        <sz val="10"/>
        <color rgb="FF000000"/>
        <rFont val="JRFonts"/>
        <charset val="134"/>
      </rPr>
      <t>10-08-2026 14:06</t>
    </r>
  </si>
  <si>
    <r>
      <rPr>
        <sz val="10"/>
        <color rgb="FF000000"/>
        <rFont val="JRFonts"/>
        <charset val="134"/>
      </rPr>
      <t>10-08-2026 15:09</t>
    </r>
  </si>
  <si>
    <r>
      <rPr>
        <sz val="10"/>
        <color rgb="FF000000"/>
        <rFont val="JRFonts"/>
        <charset val="134"/>
      </rPr>
      <t>10-08-2026 14:27</t>
    </r>
  </si>
  <si>
    <r>
      <rPr>
        <sz val="10"/>
        <color rgb="FF0000FF"/>
        <rFont val="JRFonts"/>
        <charset val="134"/>
      </rPr>
      <t>22659</t>
    </r>
  </si>
  <si>
    <r>
      <rPr>
        <sz val="10"/>
        <color rgb="FF000000"/>
        <rFont val="JRFonts"/>
        <charset val="134"/>
      </rPr>
      <t>10-08-2026 18:01</t>
    </r>
  </si>
  <si>
    <r>
      <rPr>
        <sz val="10"/>
        <color rgb="FF000000"/>
        <rFont val="JRFonts"/>
        <charset val="134"/>
      </rPr>
      <t>10-08-2026 14:28</t>
    </r>
  </si>
  <si>
    <r>
      <rPr>
        <sz val="10"/>
        <color rgb="FF0000FF"/>
        <rFont val="JRFonts"/>
        <charset val="134"/>
      </rPr>
      <t>22660</t>
    </r>
  </si>
  <si>
    <r>
      <rPr>
        <sz val="10"/>
        <color rgb="FF000000"/>
        <rFont val="JRFonts"/>
        <charset val="134"/>
      </rPr>
      <t>10-08-2026 14:21</t>
    </r>
  </si>
  <si>
    <r>
      <rPr>
        <sz val="10"/>
        <color rgb="FF000000"/>
        <rFont val="JRFonts"/>
        <charset val="134"/>
      </rPr>
      <t>22-09-2026 11:29</t>
    </r>
  </si>
  <si>
    <r>
      <rPr>
        <sz val="10"/>
        <color rgb="FF000000"/>
        <rFont val="JRFonts"/>
        <charset val="134"/>
      </rPr>
      <t>09-09-2026 14:12</t>
    </r>
  </si>
  <si>
    <t>22660</t>
  </si>
  <si>
    <r>
      <rPr>
        <sz val="10"/>
        <color rgb="FF0000FF"/>
        <rFont val="JRFonts"/>
        <charset val="134"/>
      </rPr>
      <t>22661</t>
    </r>
  </si>
  <si>
    <r>
      <rPr>
        <sz val="10"/>
        <color rgb="FF000000"/>
        <rFont val="JRFonts"/>
        <charset val="134"/>
      </rPr>
      <t>10-08-2026 15:47</t>
    </r>
  </si>
  <si>
    <r>
      <rPr>
        <sz val="10"/>
        <color rgb="FF000000"/>
        <rFont val="JRFonts"/>
        <charset val="134"/>
      </rPr>
      <t>10-08-2026 14:55</t>
    </r>
  </si>
  <si>
    <t>22662</t>
  </si>
  <si>
    <r>
      <rPr>
        <sz val="10"/>
        <color rgb="FF000000"/>
        <rFont val="JRFonts"/>
        <charset val="134"/>
      </rPr>
      <t>18-08-2026 14:30</t>
    </r>
  </si>
  <si>
    <r>
      <rPr>
        <sz val="10"/>
        <color rgb="FF000000"/>
        <rFont val="JRFonts"/>
        <charset val="134"/>
      </rPr>
      <t>10-08-2026 14:57</t>
    </r>
  </si>
  <si>
    <r>
      <rPr>
        <sz val="10"/>
        <color rgb="FF0000FF"/>
        <rFont val="JRFonts"/>
        <charset val="134"/>
      </rPr>
      <t>22663</t>
    </r>
  </si>
  <si>
    <r>
      <rPr>
        <sz val="10"/>
        <color rgb="FF000000"/>
        <rFont val="JRFonts"/>
        <charset val="134"/>
      </rPr>
      <t>10-08-2026 14:39</t>
    </r>
  </si>
  <si>
    <r>
      <rPr>
        <sz val="10"/>
        <color rgb="FF000000"/>
        <rFont val="JRFonts"/>
        <charset val="134"/>
      </rPr>
      <t>20-08-2026 11:43</t>
    </r>
  </si>
  <si>
    <r>
      <rPr>
        <sz val="10"/>
        <color rgb="FF000000"/>
        <rFont val="JRFonts"/>
        <charset val="134"/>
      </rPr>
      <t>11-08-2026 12:43</t>
    </r>
  </si>
  <si>
    <r>
      <rPr>
        <sz val="10"/>
        <color rgb="FF0000FF"/>
        <rFont val="JRFonts"/>
        <charset val="134"/>
      </rPr>
      <t>22664</t>
    </r>
  </si>
  <si>
    <r>
      <rPr>
        <sz val="10"/>
        <color rgb="FF000000"/>
        <rFont val="JRFonts"/>
        <charset val="134"/>
      </rPr>
      <t>17-08-2026 16:49</t>
    </r>
  </si>
  <si>
    <r>
      <rPr>
        <sz val="10"/>
        <color rgb="FF000000"/>
        <rFont val="JRFonts"/>
        <charset val="134"/>
      </rPr>
      <t>10-08-2026 15:00</t>
    </r>
  </si>
  <si>
    <r>
      <rPr>
        <sz val="10"/>
        <color rgb="FF0000FF"/>
        <rFont val="JRFonts"/>
        <charset val="134"/>
      </rPr>
      <t>22665</t>
    </r>
  </si>
  <si>
    <r>
      <rPr>
        <sz val="10"/>
        <color rgb="FF000000"/>
        <rFont val="JRFonts"/>
        <charset val="134"/>
      </rPr>
      <t>10-08-2026 15:19</t>
    </r>
  </si>
  <si>
    <r>
      <rPr>
        <sz val="10"/>
        <color rgb="FF000000"/>
        <rFont val="JRFonts"/>
        <charset val="134"/>
      </rPr>
      <t>13-08-2026 10:31</t>
    </r>
  </si>
  <si>
    <r>
      <rPr>
        <sz val="10"/>
        <color rgb="FF000000"/>
        <rFont val="JRFonts"/>
        <charset val="134"/>
      </rPr>
      <t>10-08-2026 15:36</t>
    </r>
  </si>
  <si>
    <t>22665</t>
  </si>
  <si>
    <r>
      <rPr>
        <sz val="10"/>
        <color rgb="FF0000FF"/>
        <rFont val="JRFonts"/>
        <charset val="134"/>
      </rPr>
      <t>22667</t>
    </r>
  </si>
  <si>
    <r>
      <rPr>
        <sz val="10"/>
        <color rgb="FF000000"/>
        <rFont val="JRFonts"/>
        <charset val="134"/>
      </rPr>
      <t>10-08-2026 15:28</t>
    </r>
  </si>
  <si>
    <r>
      <rPr>
        <sz val="10"/>
        <color rgb="FF000000"/>
        <rFont val="JRFonts"/>
        <charset val="134"/>
      </rPr>
      <t>26-08-2026 14:59</t>
    </r>
  </si>
  <si>
    <r>
      <rPr>
        <sz val="10"/>
        <color rgb="FF000000"/>
        <rFont val="JRFonts"/>
        <charset val="134"/>
      </rPr>
      <t>10-08-2026 15:35</t>
    </r>
  </si>
  <si>
    <t>22668</t>
  </si>
  <si>
    <r>
      <rPr>
        <sz val="10"/>
        <color rgb="FF000000"/>
        <rFont val="JRFonts"/>
        <charset val="134"/>
      </rPr>
      <t>10-08-2026 15:37</t>
    </r>
  </si>
  <si>
    <r>
      <rPr>
        <sz val="10"/>
        <color rgb="FF000000"/>
        <rFont val="JRFonts"/>
        <charset val="134"/>
      </rPr>
      <t>20-08-2026 10:15</t>
    </r>
  </si>
  <si>
    <r>
      <rPr>
        <sz val="10"/>
        <color rgb="FF000000"/>
        <rFont val="JRFonts"/>
        <charset val="134"/>
      </rPr>
      <t>10-08-2026 16:25</t>
    </r>
  </si>
  <si>
    <r>
      <rPr>
        <sz val="10"/>
        <color rgb="FF0000FF"/>
        <rFont val="JRFonts"/>
        <charset val="134"/>
      </rPr>
      <t>22669</t>
    </r>
  </si>
  <si>
    <r>
      <rPr>
        <sz val="10"/>
        <color rgb="FF000000"/>
        <rFont val="JRFonts"/>
        <charset val="134"/>
      </rPr>
      <t>21-08-2026 10:09</t>
    </r>
  </si>
  <si>
    <r>
      <rPr>
        <sz val="10"/>
        <color rgb="FF000000"/>
        <rFont val="JRFonts"/>
        <charset val="134"/>
      </rPr>
      <t>10-08-2026 16:49</t>
    </r>
  </si>
  <si>
    <r>
      <rPr>
        <sz val="10"/>
        <color rgb="FF0000FF"/>
        <rFont val="JRFonts"/>
        <charset val="134"/>
      </rPr>
      <t>22671</t>
    </r>
  </si>
  <si>
    <r>
      <rPr>
        <sz val="10"/>
        <color rgb="FF000000"/>
        <rFont val="JRFonts"/>
        <charset val="134"/>
      </rPr>
      <t>10-08-2026 15:43</t>
    </r>
  </si>
  <si>
    <r>
      <rPr>
        <sz val="10"/>
        <color rgb="FF000000"/>
        <rFont val="JRFonts"/>
        <charset val="134"/>
      </rPr>
      <t>11-08-2026 11:22</t>
    </r>
  </si>
  <si>
    <r>
      <rPr>
        <sz val="10"/>
        <color rgb="FF000000"/>
        <rFont val="JRFonts"/>
        <charset val="134"/>
      </rPr>
      <t>10-08-2026 15:48</t>
    </r>
  </si>
  <si>
    <r>
      <rPr>
        <sz val="10"/>
        <color rgb="FF0000FF"/>
        <rFont val="JRFonts"/>
        <charset val="134"/>
      </rPr>
      <t>22672</t>
    </r>
  </si>
  <si>
    <r>
      <rPr>
        <sz val="10"/>
        <color rgb="FF000000"/>
        <rFont val="JRFonts"/>
        <charset val="134"/>
      </rPr>
      <t>10-08-2026 15:52</t>
    </r>
  </si>
  <si>
    <r>
      <rPr>
        <sz val="10"/>
        <color rgb="FF000000"/>
        <rFont val="JRFonts"/>
        <charset val="134"/>
      </rPr>
      <t>11-08-2026 15:45</t>
    </r>
  </si>
  <si>
    <t>22673</t>
  </si>
  <si>
    <r>
      <rPr>
        <sz val="10"/>
        <color rgb="FF000000"/>
        <rFont val="JRFonts"/>
        <charset val="134"/>
      </rPr>
      <t>24-08-2026 11:58</t>
    </r>
  </si>
  <si>
    <r>
      <rPr>
        <sz val="10"/>
        <color rgb="FF000000"/>
        <rFont val="JRFonts"/>
        <charset val="134"/>
      </rPr>
      <t>12-08-2026 10:18</t>
    </r>
  </si>
  <si>
    <r>
      <rPr>
        <sz val="10"/>
        <color rgb="FF0000FF"/>
        <rFont val="JRFonts"/>
        <charset val="134"/>
      </rPr>
      <t>22674</t>
    </r>
  </si>
  <si>
    <r>
      <rPr>
        <sz val="10"/>
        <color rgb="FF000000"/>
        <rFont val="JRFonts"/>
        <charset val="134"/>
      </rPr>
      <t>18-09-2026 18:30</t>
    </r>
  </si>
  <si>
    <r>
      <rPr>
        <sz val="10"/>
        <color rgb="FF000000"/>
        <rFont val="JRFonts"/>
        <charset val="134"/>
      </rPr>
      <t>10-08-2026 16:00</t>
    </r>
  </si>
  <si>
    <t>22674</t>
  </si>
  <si>
    <r>
      <rPr>
        <sz val="10"/>
        <color rgb="FF0000FF"/>
        <rFont val="JRFonts"/>
        <charset val="134"/>
      </rPr>
      <t>22675</t>
    </r>
  </si>
  <si>
    <r>
      <rPr>
        <sz val="10"/>
        <color rgb="FF000000"/>
        <rFont val="JRFonts"/>
        <charset val="134"/>
      </rPr>
      <t>10-08-2026 16:04</t>
    </r>
  </si>
  <si>
    <r>
      <rPr>
        <sz val="10"/>
        <color rgb="FF000000"/>
        <rFont val="JRFonts"/>
        <charset val="134"/>
      </rPr>
      <t>11-08-2026 11:18</t>
    </r>
  </si>
  <si>
    <r>
      <rPr>
        <sz val="10"/>
        <color rgb="FF000000"/>
        <rFont val="JRFonts"/>
        <charset val="134"/>
      </rPr>
      <t>10-08-2026 16:10</t>
    </r>
  </si>
  <si>
    <r>
      <rPr>
        <sz val="10"/>
        <color rgb="FF0000FF"/>
        <rFont val="JRFonts"/>
        <charset val="134"/>
      </rPr>
      <t>22676</t>
    </r>
  </si>
  <si>
    <r>
      <rPr>
        <sz val="10"/>
        <color rgb="FF000000"/>
        <rFont val="JRFonts"/>
        <charset val="134"/>
      </rPr>
      <t>10-08-2026 16:20</t>
    </r>
  </si>
  <si>
    <r>
      <rPr>
        <sz val="10"/>
        <color rgb="FF000000"/>
        <rFont val="JRFonts"/>
        <charset val="134"/>
      </rPr>
      <t>10-08-2026 16:40</t>
    </r>
  </si>
  <si>
    <r>
      <rPr>
        <sz val="10"/>
        <color rgb="FF000000"/>
        <rFont val="JRFonts"/>
        <charset val="134"/>
      </rPr>
      <t>10-08-2026 16:24</t>
    </r>
  </si>
  <si>
    <r>
      <rPr>
        <sz val="10"/>
        <color rgb="FF0000FF"/>
        <rFont val="JRFonts"/>
        <charset val="134"/>
      </rPr>
      <t>22677</t>
    </r>
  </si>
  <si>
    <r>
      <rPr>
        <sz val="10"/>
        <color rgb="FF000000"/>
        <rFont val="JRFonts"/>
        <charset val="134"/>
      </rPr>
      <t>10-08-2026 16:23</t>
    </r>
  </si>
  <si>
    <r>
      <rPr>
        <sz val="10"/>
        <color rgb="FF000000"/>
        <rFont val="JRFonts"/>
        <charset val="134"/>
      </rPr>
      <t>11-08-2026 10:25</t>
    </r>
  </si>
  <si>
    <r>
      <rPr>
        <sz val="10"/>
        <color rgb="FF000000"/>
        <rFont val="JRFonts"/>
        <charset val="134"/>
      </rPr>
      <t>10-08-2026 16:37</t>
    </r>
  </si>
  <si>
    <r>
      <rPr>
        <sz val="10"/>
        <color rgb="FF0000FF"/>
        <rFont val="JRFonts"/>
        <charset val="134"/>
      </rPr>
      <t>22681</t>
    </r>
  </si>
  <si>
    <r>
      <rPr>
        <sz val="10"/>
        <color rgb="FF000000"/>
        <rFont val="JRFonts"/>
        <charset val="134"/>
      </rPr>
      <t>10-08-2026 16:32</t>
    </r>
  </si>
  <si>
    <r>
      <rPr>
        <sz val="10"/>
        <color rgb="FF000000"/>
        <rFont val="JRFonts"/>
        <charset val="134"/>
      </rPr>
      <t>11-08-2026 11:16</t>
    </r>
  </si>
  <si>
    <r>
      <rPr>
        <sz val="10"/>
        <color rgb="FF000000"/>
        <rFont val="JRFonts"/>
        <charset val="134"/>
      </rPr>
      <t>10-08-2026 16:50</t>
    </r>
  </si>
  <si>
    <r>
      <rPr>
        <sz val="10"/>
        <color rgb="FF0000FF"/>
        <rFont val="JRFonts"/>
        <charset val="134"/>
      </rPr>
      <t>22684</t>
    </r>
  </si>
  <si>
    <r>
      <rPr>
        <sz val="10"/>
        <color rgb="FF000000"/>
        <rFont val="JRFonts"/>
        <charset val="134"/>
      </rPr>
      <t>10-08-2026 16:42</t>
    </r>
  </si>
  <si>
    <r>
      <rPr>
        <sz val="10"/>
        <color rgb="FF000000"/>
        <rFont val="JRFonts"/>
        <charset val="134"/>
      </rPr>
      <t>18-08-2026 12:26</t>
    </r>
  </si>
  <si>
    <t>22684</t>
  </si>
  <si>
    <r>
      <rPr>
        <sz val="10"/>
        <color rgb="FF0000FF"/>
        <rFont val="JRFonts"/>
        <charset val="134"/>
      </rPr>
      <t>22685</t>
    </r>
  </si>
  <si>
    <r>
      <rPr>
        <sz val="10"/>
        <color rgb="FF000000"/>
        <rFont val="JRFonts"/>
        <charset val="134"/>
      </rPr>
      <t>10-08-2026 16:51</t>
    </r>
  </si>
  <si>
    <r>
      <rPr>
        <sz val="10"/>
        <color rgb="FF000000"/>
        <rFont val="JRFonts"/>
        <charset val="134"/>
      </rPr>
      <t>10-08-2026 17:54</t>
    </r>
  </si>
  <si>
    <r>
      <rPr>
        <sz val="10"/>
        <color rgb="FF0000FF"/>
        <rFont val="JRFonts"/>
        <charset val="134"/>
      </rPr>
      <t>22686</t>
    </r>
  </si>
  <si>
    <r>
      <rPr>
        <sz val="10"/>
        <color rgb="FF000000"/>
        <rFont val="JRFonts"/>
        <charset val="134"/>
      </rPr>
      <t>10-08-2026 16:54</t>
    </r>
  </si>
  <si>
    <r>
      <rPr>
        <sz val="10"/>
        <color rgb="FF000000"/>
        <rFont val="JRFonts"/>
        <charset val="134"/>
      </rPr>
      <t>11-08-2026 11:13</t>
    </r>
  </si>
  <si>
    <r>
      <rPr>
        <sz val="10"/>
        <color rgb="FF000000"/>
        <rFont val="JRFonts"/>
        <charset val="134"/>
      </rPr>
      <t>10-08-2026 17:07</t>
    </r>
  </si>
  <si>
    <r>
      <rPr>
        <sz val="10"/>
        <color rgb="FF0000FF"/>
        <rFont val="JRFonts"/>
        <charset val="134"/>
      </rPr>
      <t>22687</t>
    </r>
  </si>
  <si>
    <r>
      <rPr>
        <sz val="10"/>
        <color rgb="FF000000"/>
        <rFont val="JRFonts"/>
        <charset val="134"/>
      </rPr>
      <t>10-08-2026 17:03</t>
    </r>
  </si>
  <si>
    <r>
      <rPr>
        <sz val="10"/>
        <color rgb="FF000000"/>
        <rFont val="JRFonts"/>
        <charset val="134"/>
      </rPr>
      <t>17-08-2026 15:21</t>
    </r>
  </si>
  <si>
    <r>
      <rPr>
        <sz val="10"/>
        <color rgb="FF000000"/>
        <rFont val="JRFonts"/>
        <charset val="134"/>
      </rPr>
      <t>10-08-2026 18:06</t>
    </r>
  </si>
  <si>
    <r>
      <rPr>
        <sz val="10"/>
        <color rgb="FF0000FF"/>
        <rFont val="JRFonts"/>
        <charset val="134"/>
      </rPr>
      <t>22688</t>
    </r>
  </si>
  <si>
    <r>
      <rPr>
        <sz val="10"/>
        <color rgb="FF000000"/>
        <rFont val="JRFonts"/>
        <charset val="134"/>
      </rPr>
      <t>10-08-2026 17:12</t>
    </r>
  </si>
  <si>
    <r>
      <rPr>
        <sz val="10"/>
        <color rgb="FF000000"/>
        <rFont val="JRFonts"/>
        <charset val="134"/>
      </rPr>
      <t>10-08-2026 17:38</t>
    </r>
  </si>
  <si>
    <r>
      <rPr>
        <sz val="10"/>
        <color rgb="FF000000"/>
        <rFont val="JRFonts"/>
        <charset val="134"/>
      </rPr>
      <t>10-08-2026 17:16</t>
    </r>
  </si>
  <si>
    <r>
      <rPr>
        <sz val="10"/>
        <color rgb="FF0000FF"/>
        <rFont val="JRFonts"/>
        <charset val="134"/>
      </rPr>
      <t>22689</t>
    </r>
  </si>
  <si>
    <r>
      <rPr>
        <sz val="10"/>
        <color rgb="FF000000"/>
        <rFont val="JRFonts"/>
        <charset val="134"/>
      </rPr>
      <t>10-08-2026 17:48</t>
    </r>
  </si>
  <si>
    <r>
      <rPr>
        <sz val="10"/>
        <color rgb="FF0000FF"/>
        <rFont val="JRFonts"/>
        <charset val="134"/>
      </rPr>
      <t>22690</t>
    </r>
  </si>
  <si>
    <r>
      <rPr>
        <sz val="10"/>
        <color rgb="FF000000"/>
        <rFont val="JRFonts"/>
        <charset val="134"/>
      </rPr>
      <t>10-08-2026 17:19</t>
    </r>
  </si>
  <si>
    <r>
      <rPr>
        <sz val="10"/>
        <color rgb="FF000000"/>
        <rFont val="JRFonts"/>
        <charset val="134"/>
      </rPr>
      <t>12-08-2026 15:58</t>
    </r>
  </si>
  <si>
    <r>
      <rPr>
        <sz val="10"/>
        <color rgb="FF000000"/>
        <rFont val="JRFonts"/>
        <charset val="134"/>
      </rPr>
      <t>12-08-2026 15:51</t>
    </r>
  </si>
  <si>
    <r>
      <rPr>
        <sz val="10"/>
        <color rgb="FF0000FF"/>
        <rFont val="JRFonts"/>
        <charset val="134"/>
      </rPr>
      <t>22691</t>
    </r>
  </si>
  <si>
    <r>
      <rPr>
        <sz val="10"/>
        <color rgb="FF000000"/>
        <rFont val="JRFonts"/>
        <charset val="134"/>
      </rPr>
      <t>10-08-2026 17:24</t>
    </r>
  </si>
  <si>
    <r>
      <rPr>
        <sz val="10"/>
        <color rgb="FF000000"/>
        <rFont val="JRFonts"/>
        <charset val="134"/>
      </rPr>
      <t>11-08-2026 10:24</t>
    </r>
  </si>
  <si>
    <r>
      <rPr>
        <sz val="10"/>
        <color rgb="FF000000"/>
        <rFont val="JRFonts"/>
        <charset val="134"/>
      </rPr>
      <t>10-08-2026 17:41</t>
    </r>
  </si>
  <si>
    <r>
      <rPr>
        <sz val="10"/>
        <color rgb="FF0000FF"/>
        <rFont val="JRFonts"/>
        <charset val="134"/>
      </rPr>
      <t>22692</t>
    </r>
  </si>
  <si>
    <r>
      <rPr>
        <sz val="10"/>
        <color rgb="FF000000"/>
        <rFont val="JRFonts"/>
        <charset val="134"/>
      </rPr>
      <t>10-08-2026 17:30</t>
    </r>
  </si>
  <si>
    <r>
      <rPr>
        <sz val="10"/>
        <color rgb="FF000000"/>
        <rFont val="JRFonts"/>
        <charset val="134"/>
      </rPr>
      <t>31-08-2026 15:08</t>
    </r>
  </si>
  <si>
    <r>
      <rPr>
        <sz val="10"/>
        <color rgb="FF000000"/>
        <rFont val="JRFonts"/>
        <charset val="134"/>
      </rPr>
      <t>12-08-2026 11:39</t>
    </r>
  </si>
  <si>
    <t>22692</t>
  </si>
  <si>
    <r>
      <rPr>
        <sz val="10"/>
        <color rgb="FF0000FF"/>
        <rFont val="JRFonts"/>
        <charset val="134"/>
      </rPr>
      <t>22697</t>
    </r>
  </si>
  <si>
    <r>
      <rPr>
        <sz val="10"/>
        <color rgb="FF000000"/>
        <rFont val="JRFonts"/>
        <charset val="134"/>
      </rPr>
      <t>10-08-2026 17:55</t>
    </r>
  </si>
  <si>
    <r>
      <rPr>
        <sz val="10"/>
        <color rgb="FF000000"/>
        <rFont val="JRFonts"/>
        <charset val="134"/>
      </rPr>
      <t>10-08-2026 18:07</t>
    </r>
  </si>
  <si>
    <r>
      <rPr>
        <sz val="10"/>
        <color rgb="FF000000"/>
        <rFont val="JRFonts"/>
        <charset val="134"/>
      </rPr>
      <t>10-08-2026 18:03</t>
    </r>
  </si>
  <si>
    <r>
      <rPr>
        <sz val="10"/>
        <color rgb="FF0000FF"/>
        <rFont val="JRFonts"/>
        <charset val="134"/>
      </rPr>
      <t>22699</t>
    </r>
  </si>
  <si>
    <r>
      <rPr>
        <sz val="10"/>
        <color rgb="FF000000"/>
        <rFont val="JRFonts"/>
        <charset val="134"/>
      </rPr>
      <t>10-08-2026 18:13</t>
    </r>
  </si>
  <si>
    <r>
      <rPr>
        <sz val="10"/>
        <color rgb="FF000000"/>
        <rFont val="JRFonts"/>
        <charset val="134"/>
      </rPr>
      <t>14-08-2026 11:55</t>
    </r>
  </si>
  <si>
    <r>
      <rPr>
        <sz val="10"/>
        <color rgb="FF000000"/>
        <rFont val="JRFonts"/>
        <charset val="134"/>
      </rPr>
      <t>14-08-2026 11:56</t>
    </r>
  </si>
  <si>
    <r>
      <rPr>
        <sz val="10"/>
        <color rgb="FF0000FF"/>
        <rFont val="JRFonts"/>
        <charset val="134"/>
      </rPr>
      <t>22701</t>
    </r>
  </si>
  <si>
    <r>
      <rPr>
        <sz val="10"/>
        <color rgb="FF000000"/>
        <rFont val="JRFonts"/>
        <charset val="134"/>
      </rPr>
      <t>10-08-2026 18:25</t>
    </r>
  </si>
  <si>
    <r>
      <rPr>
        <sz val="10"/>
        <color rgb="FF000000"/>
        <rFont val="JRFonts"/>
        <charset val="134"/>
      </rPr>
      <t>13-08-2026 11:49</t>
    </r>
  </si>
  <si>
    <r>
      <rPr>
        <sz val="10"/>
        <color rgb="FF000000"/>
        <rFont val="JRFonts"/>
        <charset val="134"/>
      </rPr>
      <t>10-08-2026 18:41</t>
    </r>
  </si>
  <si>
    <t>22701</t>
  </si>
  <si>
    <r>
      <rPr>
        <sz val="10"/>
        <color rgb="FF0000FF"/>
        <rFont val="JRFonts"/>
        <charset val="134"/>
      </rPr>
      <t>22703</t>
    </r>
  </si>
  <si>
    <r>
      <rPr>
        <sz val="10"/>
        <color rgb="FF000000"/>
        <rFont val="JRFonts"/>
        <charset val="134"/>
      </rPr>
      <t>10-08-2026 18:31</t>
    </r>
  </si>
  <si>
    <r>
      <rPr>
        <sz val="10"/>
        <color rgb="FF000000"/>
        <rFont val="JRFonts"/>
        <charset val="134"/>
      </rPr>
      <t>11-08-2026 10:21</t>
    </r>
  </si>
  <si>
    <r>
      <rPr>
        <sz val="10"/>
        <color rgb="FF000000"/>
        <rFont val="JRFonts"/>
        <charset val="134"/>
      </rPr>
      <t>10-08-2026 18:40</t>
    </r>
  </si>
  <si>
    <r>
      <rPr>
        <sz val="10"/>
        <color rgb="FF0000FF"/>
        <rFont val="JRFonts"/>
        <charset val="134"/>
      </rPr>
      <t>22704</t>
    </r>
  </si>
  <si>
    <r>
      <rPr>
        <sz val="10"/>
        <color rgb="FF000000"/>
        <rFont val="JRFonts"/>
        <charset val="134"/>
      </rPr>
      <t>10-08-2026 18:34</t>
    </r>
  </si>
  <si>
    <r>
      <rPr>
        <sz val="10"/>
        <color rgb="FF000000"/>
        <rFont val="JRFonts"/>
        <charset val="134"/>
      </rPr>
      <t>18-08-2026 12:34</t>
    </r>
  </si>
  <si>
    <r>
      <rPr>
        <sz val="10"/>
        <color rgb="FF000000"/>
        <rFont val="JRFonts"/>
        <charset val="134"/>
      </rPr>
      <t>10-08-2026 18:39</t>
    </r>
  </si>
  <si>
    <t>22704</t>
  </si>
  <si>
    <r>
      <rPr>
        <sz val="10"/>
        <color rgb="FF0000FF"/>
        <rFont val="JRFonts"/>
        <charset val="134"/>
      </rPr>
      <t>22705</t>
    </r>
  </si>
  <si>
    <r>
      <rPr>
        <sz val="10"/>
        <color rgb="FF000000"/>
        <rFont val="JRFonts"/>
        <charset val="134"/>
      </rPr>
      <t>10-08-2026 18:38</t>
    </r>
  </si>
  <si>
    <r>
      <rPr>
        <sz val="10"/>
        <color rgb="FF000000"/>
        <rFont val="JRFonts"/>
        <charset val="134"/>
      </rPr>
      <t>13-08-2026 11:44</t>
    </r>
  </si>
  <si>
    <r>
      <rPr>
        <sz val="10"/>
        <color rgb="FF000000"/>
        <rFont val="JRFonts"/>
        <charset val="134"/>
      </rPr>
      <t>11-08-2026 10:38</t>
    </r>
  </si>
  <si>
    <t>22705</t>
  </si>
  <si>
    <r>
      <rPr>
        <sz val="10"/>
        <color rgb="FF0000FF"/>
        <rFont val="JRFonts"/>
        <charset val="134"/>
      </rPr>
      <t>22706</t>
    </r>
  </si>
  <si>
    <r>
      <rPr>
        <sz val="10"/>
        <color rgb="FF000000"/>
        <rFont val="JRFonts"/>
        <charset val="134"/>
      </rPr>
      <t>11-08-2026 10:52</t>
    </r>
  </si>
  <si>
    <r>
      <rPr>
        <sz val="10"/>
        <color rgb="FF0000FF"/>
        <rFont val="JRFonts"/>
        <charset val="134"/>
      </rPr>
      <t>22707</t>
    </r>
  </si>
  <si>
    <r>
      <rPr>
        <sz val="10"/>
        <color rgb="FF000000"/>
        <rFont val="JRFonts"/>
        <charset val="134"/>
      </rPr>
      <t>10-08-2026 18:47</t>
    </r>
  </si>
  <si>
    <r>
      <rPr>
        <sz val="10"/>
        <color rgb="FF000000"/>
        <rFont val="JRFonts"/>
        <charset val="134"/>
      </rPr>
      <t>25-08-2026 16:29</t>
    </r>
  </si>
  <si>
    <r>
      <rPr>
        <sz val="10"/>
        <color rgb="FF000000"/>
        <rFont val="JRFonts"/>
        <charset val="134"/>
      </rPr>
      <t>11-08-2026 10:39</t>
    </r>
  </si>
  <si>
    <r>
      <rPr>
        <sz val="10"/>
        <color rgb="FF0000FF"/>
        <rFont val="JRFonts"/>
        <charset val="134"/>
      </rPr>
      <t>22708</t>
    </r>
  </si>
  <si>
    <r>
      <rPr>
        <sz val="10"/>
        <color rgb="FF000000"/>
        <rFont val="JRFonts"/>
        <charset val="134"/>
      </rPr>
      <t>10-08-2026 19:11</t>
    </r>
  </si>
  <si>
    <r>
      <rPr>
        <sz val="10"/>
        <color rgb="FF000000"/>
        <rFont val="JRFonts"/>
        <charset val="134"/>
      </rPr>
      <t>01-09-2026 14:34</t>
    </r>
  </si>
  <si>
    <r>
      <rPr>
        <sz val="10"/>
        <color rgb="FF000000"/>
        <rFont val="JRFonts"/>
        <charset val="134"/>
      </rPr>
      <t>11-08-2026 10:40</t>
    </r>
  </si>
  <si>
    <t>22708</t>
  </si>
  <si>
    <r>
      <rPr>
        <sz val="10"/>
        <color rgb="FF0000FF"/>
        <rFont val="JRFonts"/>
        <charset val="134"/>
      </rPr>
      <t>22709</t>
    </r>
  </si>
  <si>
    <r>
      <rPr>
        <sz val="10"/>
        <color rgb="FF000000"/>
        <rFont val="JRFonts"/>
        <charset val="134"/>
      </rPr>
      <t>10-08-2026 19:14</t>
    </r>
  </si>
  <si>
    <r>
      <rPr>
        <sz val="10"/>
        <color rgb="FF000000"/>
        <rFont val="JRFonts"/>
        <charset val="134"/>
      </rPr>
      <t>13-08-2026 11:41</t>
    </r>
  </si>
  <si>
    <r>
      <rPr>
        <sz val="10"/>
        <color rgb="FF000000"/>
        <rFont val="JRFonts"/>
        <charset val="134"/>
      </rPr>
      <t>11-08-2026 10:42</t>
    </r>
  </si>
  <si>
    <t>22709</t>
  </si>
  <si>
    <r>
      <rPr>
        <sz val="10"/>
        <color rgb="FF0000FF"/>
        <rFont val="JRFonts"/>
        <charset val="134"/>
      </rPr>
      <t>22710</t>
    </r>
  </si>
  <si>
    <r>
      <rPr>
        <sz val="10"/>
        <color rgb="FF000000"/>
        <rFont val="JRFonts"/>
        <charset val="134"/>
      </rPr>
      <t>10-08-2026 19:35</t>
    </r>
  </si>
  <si>
    <r>
      <rPr>
        <sz val="10"/>
        <color rgb="FF000000"/>
        <rFont val="JRFonts"/>
        <charset val="134"/>
      </rPr>
      <t>11-08-2026 10:54</t>
    </r>
  </si>
  <si>
    <r>
      <rPr>
        <sz val="10"/>
        <color rgb="FF0000FF"/>
        <rFont val="JRFonts"/>
        <charset val="134"/>
      </rPr>
      <t>22713</t>
    </r>
  </si>
  <si>
    <r>
      <rPr>
        <sz val="10"/>
        <color rgb="FF000000"/>
        <rFont val="JRFonts"/>
        <charset val="134"/>
      </rPr>
      <t>10-08-2026 20:18</t>
    </r>
  </si>
  <si>
    <r>
      <rPr>
        <sz val="10"/>
        <color rgb="FF000000"/>
        <rFont val="JRFonts"/>
        <charset val="134"/>
      </rPr>
      <t>13-08-2026 11:36</t>
    </r>
  </si>
  <si>
    <r>
      <rPr>
        <sz val="10"/>
        <color rgb="FF000000"/>
        <rFont val="JRFonts"/>
        <charset val="134"/>
      </rPr>
      <t>11-08-2026 10:43</t>
    </r>
  </si>
  <si>
    <t>22713</t>
  </si>
  <si>
    <r>
      <rPr>
        <sz val="10"/>
        <color rgb="FF0000FF"/>
        <rFont val="JRFonts"/>
        <charset val="134"/>
      </rPr>
      <t>22715</t>
    </r>
  </si>
  <si>
    <r>
      <rPr>
        <sz val="10"/>
        <color rgb="FF000000"/>
        <rFont val="JRFonts"/>
        <charset val="134"/>
      </rPr>
      <t>11-08-2026 10:15</t>
    </r>
  </si>
  <si>
    <r>
      <rPr>
        <sz val="10"/>
        <color rgb="FF000000"/>
        <rFont val="JRFonts"/>
        <charset val="134"/>
      </rPr>
      <t>11-08-2026 12:54</t>
    </r>
  </si>
  <si>
    <r>
      <rPr>
        <sz val="10"/>
        <color rgb="FF000000"/>
        <rFont val="JRFonts"/>
        <charset val="134"/>
      </rPr>
      <t>11-08-2026 10:44</t>
    </r>
  </si>
  <si>
    <r>
      <rPr>
        <sz val="10"/>
        <color rgb="FF0000FF"/>
        <rFont val="JRFonts"/>
        <charset val="134"/>
      </rPr>
      <t>22718</t>
    </r>
  </si>
  <si>
    <r>
      <rPr>
        <sz val="10"/>
        <color rgb="FF000000"/>
        <rFont val="JRFonts"/>
        <charset val="134"/>
      </rPr>
      <t>11-08-2026 10:22</t>
    </r>
  </si>
  <si>
    <r>
      <rPr>
        <sz val="10"/>
        <color rgb="FF000000"/>
        <rFont val="JRFonts"/>
        <charset val="134"/>
      </rPr>
      <t>21-08-2026 08:39</t>
    </r>
  </si>
  <si>
    <r>
      <rPr>
        <sz val="10"/>
        <color rgb="FF000000"/>
        <rFont val="JRFonts"/>
        <charset val="134"/>
      </rPr>
      <t>11-08-2026 11:28</t>
    </r>
  </si>
  <si>
    <r>
      <rPr>
        <sz val="10"/>
        <color rgb="FF0000FF"/>
        <rFont val="JRFonts"/>
        <charset val="134"/>
      </rPr>
      <t>22720</t>
    </r>
  </si>
  <si>
    <r>
      <rPr>
        <sz val="10"/>
        <color rgb="FF000000"/>
        <rFont val="JRFonts"/>
        <charset val="134"/>
      </rPr>
      <t>11-08-2026 10:31</t>
    </r>
  </si>
  <si>
    <r>
      <rPr>
        <sz val="10"/>
        <color rgb="FF000000"/>
        <rFont val="JRFonts"/>
        <charset val="134"/>
      </rPr>
      <t>21-08-2026 14:33</t>
    </r>
  </si>
  <si>
    <r>
      <rPr>
        <sz val="10"/>
        <color rgb="FF000000"/>
        <rFont val="JRFonts"/>
        <charset val="134"/>
      </rPr>
      <t>11-08-2026 10:57</t>
    </r>
  </si>
  <si>
    <r>
      <rPr>
        <sz val="10"/>
        <color rgb="FF0000FF"/>
        <rFont val="JRFonts"/>
        <charset val="134"/>
      </rPr>
      <t>22724</t>
    </r>
  </si>
  <si>
    <r>
      <rPr>
        <sz val="10"/>
        <color rgb="FF000000"/>
        <rFont val="JRFonts"/>
        <charset val="134"/>
      </rPr>
      <t>11-08-2026 11:01</t>
    </r>
  </si>
  <si>
    <r>
      <rPr>
        <sz val="10"/>
        <color rgb="FF000000"/>
        <rFont val="JRFonts"/>
        <charset val="134"/>
      </rPr>
      <t>17-08-2026 12:09</t>
    </r>
  </si>
  <si>
    <r>
      <rPr>
        <sz val="10"/>
        <color rgb="FF000000"/>
        <rFont val="JRFonts"/>
        <charset val="134"/>
      </rPr>
      <t>11-08-2026 11:34</t>
    </r>
  </si>
  <si>
    <t>22724</t>
  </si>
  <si>
    <r>
      <rPr>
        <sz val="10"/>
        <color rgb="FF0000FF"/>
        <rFont val="JRFonts"/>
        <charset val="134"/>
      </rPr>
      <t>22725</t>
    </r>
  </si>
  <si>
    <r>
      <rPr>
        <sz val="10"/>
        <color rgb="FF000000"/>
        <rFont val="JRFonts"/>
        <charset val="134"/>
      </rPr>
      <t>13-08-2026 11:18</t>
    </r>
  </si>
  <si>
    <t>22725</t>
  </si>
  <si>
    <r>
      <rPr>
        <sz val="10"/>
        <color rgb="FF0000FF"/>
        <rFont val="JRFonts"/>
        <charset val="134"/>
      </rPr>
      <t>22728</t>
    </r>
  </si>
  <si>
    <r>
      <rPr>
        <sz val="10"/>
        <color rgb="FF000000"/>
        <rFont val="JRFonts"/>
        <charset val="134"/>
      </rPr>
      <t>11-08-2026 11:20</t>
    </r>
  </si>
  <si>
    <r>
      <rPr>
        <sz val="10"/>
        <color rgb="FF000000"/>
        <rFont val="JRFonts"/>
        <charset val="134"/>
      </rPr>
      <t>24-08-2026 11:40</t>
    </r>
  </si>
  <si>
    <r>
      <rPr>
        <sz val="10"/>
        <color rgb="FF000000"/>
        <rFont val="JRFonts"/>
        <charset val="134"/>
      </rPr>
      <t>11-08-2026 11:23</t>
    </r>
  </si>
  <si>
    <r>
      <rPr>
        <sz val="10"/>
        <color rgb="FF0000FF"/>
        <rFont val="JRFonts"/>
        <charset val="134"/>
      </rPr>
      <t>22729</t>
    </r>
  </si>
  <si>
    <r>
      <rPr>
        <sz val="10"/>
        <color rgb="FF000000"/>
        <rFont val="JRFonts"/>
        <charset val="134"/>
      </rPr>
      <t>12-08-2026 16:42</t>
    </r>
  </si>
  <si>
    <r>
      <rPr>
        <sz val="10"/>
        <color rgb="FF000000"/>
        <rFont val="JRFonts"/>
        <charset val="134"/>
      </rPr>
      <t>11-08-2026 11:35</t>
    </r>
  </si>
  <si>
    <t>22729</t>
  </si>
  <si>
    <r>
      <rPr>
        <sz val="10"/>
        <color rgb="FF0000FF"/>
        <rFont val="JRFonts"/>
        <charset val="134"/>
      </rPr>
      <t>22730</t>
    </r>
  </si>
  <si>
    <r>
      <rPr>
        <sz val="10"/>
        <color rgb="FF000000"/>
        <rFont val="JRFonts"/>
        <charset val="134"/>
      </rPr>
      <t>18-08-2026 14:29</t>
    </r>
  </si>
  <si>
    <r>
      <rPr>
        <sz val="10"/>
        <color rgb="FF000000"/>
        <rFont val="JRFonts"/>
        <charset val="134"/>
      </rPr>
      <t>11-08-2026 11:36</t>
    </r>
  </si>
  <si>
    <t>22730</t>
  </si>
  <si>
    <r>
      <rPr>
        <sz val="10"/>
        <color rgb="FF0000FF"/>
        <rFont val="JRFonts"/>
        <charset val="134"/>
      </rPr>
      <t>22732</t>
    </r>
  </si>
  <si>
    <r>
      <rPr>
        <sz val="10"/>
        <color rgb="FF000000"/>
        <rFont val="JRFonts"/>
        <charset val="134"/>
      </rPr>
      <t>11-08-2026 11:32</t>
    </r>
  </si>
  <si>
    <r>
      <rPr>
        <sz val="10"/>
        <color rgb="FF000000"/>
        <rFont val="JRFonts"/>
        <charset val="134"/>
      </rPr>
      <t>31-08-2026 15:41</t>
    </r>
  </si>
  <si>
    <r>
      <rPr>
        <sz val="10"/>
        <color rgb="FF000000"/>
        <rFont val="JRFonts"/>
        <charset val="134"/>
      </rPr>
      <t>11-08-2026 11:40</t>
    </r>
  </si>
  <si>
    <r>
      <rPr>
        <sz val="10"/>
        <color rgb="FF0000FF"/>
        <rFont val="JRFonts"/>
        <charset val="134"/>
      </rPr>
      <t>22733</t>
    </r>
  </si>
  <si>
    <r>
      <rPr>
        <sz val="10"/>
        <color rgb="FF000000"/>
        <rFont val="JRFonts"/>
        <charset val="134"/>
      </rPr>
      <t>11-08-2026 11:47</t>
    </r>
  </si>
  <si>
    <r>
      <rPr>
        <sz val="10"/>
        <color rgb="FF000000"/>
        <rFont val="JRFonts"/>
        <charset val="134"/>
      </rPr>
      <t>12-08-2026 12:01</t>
    </r>
  </si>
  <si>
    <r>
      <rPr>
        <sz val="10"/>
        <color rgb="FF000000"/>
        <rFont val="JRFonts"/>
        <charset val="134"/>
      </rPr>
      <t>11-08-2026 11:54</t>
    </r>
  </si>
  <si>
    <r>
      <rPr>
        <sz val="10"/>
        <color rgb="FF0000FF"/>
        <rFont val="JRFonts"/>
        <charset val="134"/>
      </rPr>
      <t>22735</t>
    </r>
  </si>
  <si>
    <r>
      <rPr>
        <sz val="10"/>
        <color rgb="FF000000"/>
        <rFont val="JRFonts"/>
        <charset val="134"/>
      </rPr>
      <t>11-08-2026 12:02</t>
    </r>
  </si>
  <si>
    <r>
      <rPr>
        <sz val="10"/>
        <color rgb="FF000000"/>
        <rFont val="JRFonts"/>
        <charset val="134"/>
      </rPr>
      <t>24-08-2026 14:58</t>
    </r>
  </si>
  <si>
    <r>
      <rPr>
        <sz val="10"/>
        <color rgb="FF000000"/>
        <rFont val="JRFonts"/>
        <charset val="134"/>
      </rPr>
      <t>11-08-2026 12:09</t>
    </r>
  </si>
  <si>
    <r>
      <rPr>
        <sz val="10"/>
        <color rgb="FF0000FF"/>
        <rFont val="JRFonts"/>
        <charset val="134"/>
      </rPr>
      <t>22736</t>
    </r>
  </si>
  <si>
    <r>
      <rPr>
        <sz val="10"/>
        <color rgb="FF000000"/>
        <rFont val="JRFonts"/>
        <charset val="134"/>
      </rPr>
      <t>13-08-2026 11:14</t>
    </r>
  </si>
  <si>
    <t>22736</t>
  </si>
  <si>
    <r>
      <rPr>
        <sz val="10"/>
        <color rgb="FF0000FF"/>
        <rFont val="JRFonts"/>
        <charset val="134"/>
      </rPr>
      <t>22737</t>
    </r>
  </si>
  <si>
    <r>
      <rPr>
        <sz val="10"/>
        <color rgb="FF000000"/>
        <rFont val="JRFonts"/>
        <charset val="134"/>
      </rPr>
      <t>27-08-2026 11:48</t>
    </r>
  </si>
  <si>
    <r>
      <rPr>
        <sz val="10"/>
        <color rgb="FF000000"/>
        <rFont val="JRFonts"/>
        <charset val="134"/>
      </rPr>
      <t>11-08-2026 12:17</t>
    </r>
  </si>
  <si>
    <r>
      <rPr>
        <sz val="10"/>
        <color rgb="FF0000FF"/>
        <rFont val="JRFonts"/>
        <charset val="134"/>
      </rPr>
      <t>22738</t>
    </r>
  </si>
  <si>
    <r>
      <rPr>
        <sz val="10"/>
        <color rgb="FF000000"/>
        <rFont val="JRFonts"/>
        <charset val="134"/>
      </rPr>
      <t>11-08-2026 12:47</t>
    </r>
  </si>
  <si>
    <r>
      <rPr>
        <sz val="10"/>
        <color rgb="FF000000"/>
        <rFont val="JRFonts"/>
        <charset val="134"/>
      </rPr>
      <t>11-08-2026 12:21</t>
    </r>
  </si>
  <si>
    <r>
      <rPr>
        <sz val="10"/>
        <color rgb="FF0000FF"/>
        <rFont val="JRFonts"/>
        <charset val="134"/>
      </rPr>
      <t>22740</t>
    </r>
  </si>
  <si>
    <r>
      <rPr>
        <sz val="10"/>
        <color rgb="FF000000"/>
        <rFont val="JRFonts"/>
        <charset val="134"/>
      </rPr>
      <t>11-08-2026 12:30</t>
    </r>
  </si>
  <si>
    <r>
      <rPr>
        <sz val="10"/>
        <color rgb="FF000000"/>
        <rFont val="JRFonts"/>
        <charset val="134"/>
      </rPr>
      <t>31-08-2026 09:46</t>
    </r>
  </si>
  <si>
    <r>
      <rPr>
        <sz val="10"/>
        <color rgb="FF000000"/>
        <rFont val="JRFonts"/>
        <charset val="134"/>
      </rPr>
      <t>11-08-2026 12:46</t>
    </r>
  </si>
  <si>
    <t>22740</t>
  </si>
  <si>
    <r>
      <rPr>
        <sz val="10"/>
        <color rgb="FF0000FF"/>
        <rFont val="JRFonts"/>
        <charset val="134"/>
      </rPr>
      <t>22741</t>
    </r>
  </si>
  <si>
    <r>
      <rPr>
        <sz val="10"/>
        <color rgb="FF000000"/>
        <rFont val="JRFonts"/>
        <charset val="134"/>
      </rPr>
      <t>11-08-2026 12:36</t>
    </r>
  </si>
  <si>
    <r>
      <rPr>
        <sz val="10"/>
        <color rgb="FF000000"/>
        <rFont val="JRFonts"/>
        <charset val="134"/>
      </rPr>
      <t>24-08-2026 14:46</t>
    </r>
  </si>
  <si>
    <r>
      <rPr>
        <sz val="10"/>
        <color rgb="FF000000"/>
        <rFont val="JRFonts"/>
        <charset val="134"/>
      </rPr>
      <t>11-08-2026 12:41</t>
    </r>
  </si>
  <si>
    <t>22741</t>
  </si>
  <si>
    <t xml:space="preserve"> API Integration Issue - issue is from Antraweb side</t>
  </si>
  <si>
    <r>
      <rPr>
        <sz val="10"/>
        <color rgb="FF0000FF"/>
        <rFont val="JRFonts"/>
        <charset val="134"/>
      </rPr>
      <t>22742</t>
    </r>
  </si>
  <si>
    <r>
      <rPr>
        <sz val="10"/>
        <color rgb="FF000000"/>
        <rFont val="JRFonts"/>
        <charset val="134"/>
      </rPr>
      <t>17-08-2026 16:40</t>
    </r>
  </si>
  <si>
    <t>22742</t>
  </si>
  <si>
    <r>
      <rPr>
        <sz val="10"/>
        <color rgb="FF0000FF"/>
        <rFont val="JRFonts"/>
        <charset val="134"/>
      </rPr>
      <t>22743</t>
    </r>
  </si>
  <si>
    <r>
      <rPr>
        <sz val="10"/>
        <color rgb="FF000000"/>
        <rFont val="JRFonts"/>
        <charset val="134"/>
      </rPr>
      <t>11-08-2026 12:42</t>
    </r>
  </si>
  <si>
    <r>
      <rPr>
        <sz val="10"/>
        <color rgb="FF000000"/>
        <rFont val="JRFonts"/>
        <charset val="134"/>
      </rPr>
      <t>11-08-2026 14:49</t>
    </r>
  </si>
  <si>
    <r>
      <rPr>
        <sz val="10"/>
        <color rgb="FF000000"/>
        <rFont val="JRFonts"/>
        <charset val="134"/>
      </rPr>
      <t>11-08-2026 12:50</t>
    </r>
  </si>
  <si>
    <r>
      <rPr>
        <sz val="10"/>
        <color rgb="FF0000FF"/>
        <rFont val="JRFonts"/>
        <charset val="134"/>
      </rPr>
      <t>22746</t>
    </r>
  </si>
  <si>
    <r>
      <rPr>
        <sz val="10"/>
        <color rgb="FF000000"/>
        <rFont val="JRFonts"/>
        <charset val="134"/>
      </rPr>
      <t>11-08-2026 13:00</t>
    </r>
  </si>
  <si>
    <r>
      <rPr>
        <sz val="10"/>
        <color rgb="FF000000"/>
        <rFont val="JRFonts"/>
        <charset val="134"/>
      </rPr>
      <t>11-08-2026 14:58</t>
    </r>
  </si>
  <si>
    <t>22746</t>
  </si>
  <si>
    <r>
      <rPr>
        <sz val="10"/>
        <color rgb="FF0000FF"/>
        <rFont val="JRFonts"/>
        <charset val="134"/>
      </rPr>
      <t>22747</t>
    </r>
  </si>
  <si>
    <r>
      <rPr>
        <sz val="10"/>
        <color rgb="FF000000"/>
        <rFont val="JRFonts"/>
        <charset val="134"/>
      </rPr>
      <t>11-08-2026 13:09</t>
    </r>
  </si>
  <si>
    <r>
      <rPr>
        <sz val="10"/>
        <color rgb="FF000000"/>
        <rFont val="JRFonts"/>
        <charset val="134"/>
      </rPr>
      <t>11-08-2026 18:27</t>
    </r>
  </si>
  <si>
    <r>
      <rPr>
        <sz val="10"/>
        <color rgb="FF000000"/>
        <rFont val="JRFonts"/>
        <charset val="134"/>
      </rPr>
      <t>11-08-2026 14:08</t>
    </r>
  </si>
  <si>
    <r>
      <rPr>
        <sz val="10"/>
        <color rgb="FF0000FF"/>
        <rFont val="JRFonts"/>
        <charset val="134"/>
      </rPr>
      <t>22748</t>
    </r>
  </si>
  <si>
    <r>
      <rPr>
        <sz val="10"/>
        <color rgb="FF000000"/>
        <rFont val="JRFonts"/>
        <charset val="134"/>
      </rPr>
      <t>11-08-2026 13:22</t>
    </r>
  </si>
  <si>
    <r>
      <rPr>
        <sz val="10"/>
        <color rgb="FF000000"/>
        <rFont val="JRFonts"/>
        <charset val="134"/>
      </rPr>
      <t>12-08-2026 10:33</t>
    </r>
  </si>
  <si>
    <r>
      <rPr>
        <sz val="10"/>
        <color rgb="FF000000"/>
        <rFont val="JRFonts"/>
        <charset val="134"/>
      </rPr>
      <t>11-08-2026 14:09</t>
    </r>
  </si>
  <si>
    <r>
      <rPr>
        <sz val="10"/>
        <color rgb="FF0000FF"/>
        <rFont val="JRFonts"/>
        <charset val="134"/>
      </rPr>
      <t>22749</t>
    </r>
  </si>
  <si>
    <r>
      <rPr>
        <sz val="10"/>
        <color rgb="FF000000"/>
        <rFont val="JRFonts"/>
        <charset val="134"/>
      </rPr>
      <t>11-08-2026 13:25</t>
    </r>
  </si>
  <si>
    <r>
      <rPr>
        <sz val="10"/>
        <color rgb="FF000000"/>
        <rFont val="JRFonts"/>
        <charset val="134"/>
      </rPr>
      <t>11-08-2026 14:45</t>
    </r>
  </si>
  <si>
    <r>
      <rPr>
        <sz val="10"/>
        <color rgb="FF000000"/>
        <rFont val="JRFonts"/>
        <charset val="134"/>
      </rPr>
      <t>11-08-2026 14:11</t>
    </r>
  </si>
  <si>
    <r>
      <rPr>
        <sz val="10"/>
        <color rgb="FF0000FF"/>
        <rFont val="JRFonts"/>
        <charset val="134"/>
      </rPr>
      <t>22750</t>
    </r>
  </si>
  <si>
    <r>
      <rPr>
        <sz val="10"/>
        <color rgb="FF000000"/>
        <rFont val="JRFonts"/>
        <charset val="134"/>
      </rPr>
      <t>11-08-2026 13:28</t>
    </r>
  </si>
  <si>
    <r>
      <rPr>
        <sz val="10"/>
        <color rgb="FF000000"/>
        <rFont val="JRFonts"/>
        <charset val="134"/>
      </rPr>
      <t>13-08-2026 11:12</t>
    </r>
  </si>
  <si>
    <r>
      <rPr>
        <sz val="10"/>
        <color rgb="FF000000"/>
        <rFont val="JRFonts"/>
        <charset val="134"/>
      </rPr>
      <t>11-08-2026 14:12</t>
    </r>
  </si>
  <si>
    <t>22750</t>
  </si>
  <si>
    <r>
      <rPr>
        <sz val="10"/>
        <color rgb="FF0000FF"/>
        <rFont val="JRFonts"/>
        <charset val="134"/>
      </rPr>
      <t>22751</t>
    </r>
  </si>
  <si>
    <r>
      <rPr>
        <sz val="10"/>
        <color rgb="FF000000"/>
        <rFont val="JRFonts"/>
        <charset val="134"/>
      </rPr>
      <t>11-08-2026 13:37</t>
    </r>
  </si>
  <si>
    <r>
      <rPr>
        <sz val="10"/>
        <color rgb="FF000000"/>
        <rFont val="JRFonts"/>
        <charset val="134"/>
      </rPr>
      <t>11-08-2026 16:10</t>
    </r>
  </si>
  <si>
    <r>
      <rPr>
        <sz val="10"/>
        <color rgb="FF000000"/>
        <rFont val="JRFonts"/>
        <charset val="134"/>
      </rPr>
      <t>11-08-2026 15:59</t>
    </r>
  </si>
  <si>
    <r>
      <rPr>
        <sz val="10"/>
        <color rgb="FF0000FF"/>
        <rFont val="JRFonts"/>
        <charset val="134"/>
      </rPr>
      <t>22754</t>
    </r>
  </si>
  <si>
    <r>
      <rPr>
        <sz val="10"/>
        <color rgb="FF000000"/>
        <rFont val="JRFonts"/>
        <charset val="134"/>
      </rPr>
      <t>11-08-2026 13:46</t>
    </r>
  </si>
  <si>
    <r>
      <rPr>
        <sz val="10"/>
        <color rgb="FF000000"/>
        <rFont val="JRFonts"/>
        <charset val="134"/>
      </rPr>
      <t>12-08-2026 18:02</t>
    </r>
  </si>
  <si>
    <r>
      <rPr>
        <sz val="10"/>
        <color rgb="FF000000"/>
        <rFont val="JRFonts"/>
        <charset val="134"/>
      </rPr>
      <t>12-08-2026 17:30</t>
    </r>
  </si>
  <si>
    <r>
      <rPr>
        <sz val="10"/>
        <color rgb="FF0000FF"/>
        <rFont val="JRFonts"/>
        <charset val="134"/>
      </rPr>
      <t>22755</t>
    </r>
  </si>
  <si>
    <r>
      <rPr>
        <sz val="10"/>
        <color rgb="FF000000"/>
        <rFont val="JRFonts"/>
        <charset val="134"/>
      </rPr>
      <t>11-08-2026 14:25</t>
    </r>
  </si>
  <si>
    <r>
      <rPr>
        <sz val="10"/>
        <color rgb="FF000000"/>
        <rFont val="JRFonts"/>
        <charset val="134"/>
      </rPr>
      <t>11-08-2026 17:01</t>
    </r>
  </si>
  <si>
    <r>
      <rPr>
        <sz val="10"/>
        <color rgb="FF000000"/>
        <rFont val="JRFonts"/>
        <charset val="134"/>
      </rPr>
      <t>11-08-2026 14:33</t>
    </r>
  </si>
  <si>
    <r>
      <rPr>
        <sz val="10"/>
        <color rgb="FF0000FF"/>
        <rFont val="JRFonts"/>
        <charset val="134"/>
      </rPr>
      <t>22756</t>
    </r>
  </si>
  <si>
    <r>
      <rPr>
        <sz val="10"/>
        <color rgb="FF000000"/>
        <rFont val="JRFonts"/>
        <charset val="134"/>
      </rPr>
      <t>03-09-2026 16:13</t>
    </r>
  </si>
  <si>
    <r>
      <rPr>
        <sz val="10"/>
        <color rgb="FF000000"/>
        <rFont val="JRFonts"/>
        <charset val="134"/>
      </rPr>
      <t>11-08-2026 14:42</t>
    </r>
  </si>
  <si>
    <t>22756</t>
  </si>
  <si>
    <r>
      <rPr>
        <sz val="10"/>
        <color rgb="FF0000FF"/>
        <rFont val="JRFonts"/>
        <charset val="134"/>
      </rPr>
      <t>22758</t>
    </r>
  </si>
  <si>
    <r>
      <rPr>
        <sz val="10"/>
        <color rgb="FF000000"/>
        <rFont val="JRFonts"/>
        <charset val="134"/>
      </rPr>
      <t>11-08-2026 14:47</t>
    </r>
  </si>
  <si>
    <r>
      <rPr>
        <sz val="10"/>
        <color rgb="FF000000"/>
        <rFont val="JRFonts"/>
        <charset val="134"/>
      </rPr>
      <t>11-08-2026 15:56</t>
    </r>
  </si>
  <si>
    <r>
      <rPr>
        <sz val="10"/>
        <color rgb="FF000000"/>
        <rFont val="JRFonts"/>
        <charset val="134"/>
      </rPr>
      <t>11-08-2026 15:09</t>
    </r>
  </si>
  <si>
    <r>
      <rPr>
        <sz val="10"/>
        <color rgb="FF0000FF"/>
        <rFont val="JRFonts"/>
        <charset val="134"/>
      </rPr>
      <t>22759</t>
    </r>
  </si>
  <si>
    <r>
      <rPr>
        <sz val="10"/>
        <color rgb="FF000000"/>
        <rFont val="JRFonts"/>
        <charset val="134"/>
      </rPr>
      <t>11-08-2026 14:53</t>
    </r>
  </si>
  <si>
    <r>
      <rPr>
        <sz val="10"/>
        <color rgb="FF000000"/>
        <rFont val="JRFonts"/>
        <charset val="134"/>
      </rPr>
      <t>11-08-2026 18:25</t>
    </r>
  </si>
  <si>
    <r>
      <rPr>
        <sz val="10"/>
        <color rgb="FF000000"/>
        <rFont val="JRFonts"/>
        <charset val="134"/>
      </rPr>
      <t>11-08-2026 15:10</t>
    </r>
  </si>
  <si>
    <r>
      <rPr>
        <sz val="10"/>
        <color rgb="FF0000FF"/>
        <rFont val="JRFonts"/>
        <charset val="134"/>
      </rPr>
      <t>22763</t>
    </r>
  </si>
  <si>
    <r>
      <rPr>
        <sz val="10"/>
        <color rgb="FF000000"/>
        <rFont val="JRFonts"/>
        <charset val="134"/>
      </rPr>
      <t>11-08-2026 15:02</t>
    </r>
  </si>
  <si>
    <r>
      <rPr>
        <sz val="10"/>
        <color rgb="FF000000"/>
        <rFont val="JRFonts"/>
        <charset val="134"/>
      </rPr>
      <t>11-08-2026 15:05</t>
    </r>
  </si>
  <si>
    <r>
      <rPr>
        <sz val="10"/>
        <color rgb="FF0000FF"/>
        <rFont val="JRFonts"/>
        <charset val="134"/>
      </rPr>
      <t>22770</t>
    </r>
  </si>
  <si>
    <r>
      <rPr>
        <sz val="10"/>
        <color rgb="FF000000"/>
        <rFont val="JRFonts"/>
        <charset val="134"/>
      </rPr>
      <t>11-08-2026 15:48</t>
    </r>
  </si>
  <si>
    <r>
      <rPr>
        <sz val="10"/>
        <color rgb="FF000000"/>
        <rFont val="JRFonts"/>
        <charset val="134"/>
      </rPr>
      <t>11-08-2026 16:11</t>
    </r>
  </si>
  <si>
    <r>
      <rPr>
        <sz val="10"/>
        <color rgb="FF000000"/>
        <rFont val="JRFonts"/>
        <charset val="134"/>
      </rPr>
      <t>11-08-2026 16:00</t>
    </r>
  </si>
  <si>
    <r>
      <rPr>
        <sz val="10"/>
        <color rgb="FF0000FF"/>
        <rFont val="JRFonts"/>
        <charset val="134"/>
      </rPr>
      <t>22774</t>
    </r>
  </si>
  <si>
    <r>
      <rPr>
        <sz val="10"/>
        <color rgb="FF000000"/>
        <rFont val="JRFonts"/>
        <charset val="134"/>
      </rPr>
      <t>11-08-2026 15:57</t>
    </r>
  </si>
  <si>
    <r>
      <rPr>
        <sz val="10"/>
        <color rgb="FF000000"/>
        <rFont val="JRFonts"/>
        <charset val="134"/>
      </rPr>
      <t>13-08-2026 11:05</t>
    </r>
  </si>
  <si>
    <r>
      <rPr>
        <sz val="10"/>
        <color rgb="FF000000"/>
        <rFont val="JRFonts"/>
        <charset val="134"/>
      </rPr>
      <t>11-08-2026 16:01</t>
    </r>
  </si>
  <si>
    <r>
      <rPr>
        <sz val="10"/>
        <color rgb="FF0000FF"/>
        <rFont val="JRFonts"/>
        <charset val="134"/>
      </rPr>
      <t>22775</t>
    </r>
  </si>
  <si>
    <r>
      <rPr>
        <sz val="10"/>
        <color rgb="FF000000"/>
        <rFont val="JRFonts"/>
        <charset val="134"/>
      </rPr>
      <t>12-08-2026 16:29</t>
    </r>
  </si>
  <si>
    <r>
      <rPr>
        <sz val="10"/>
        <color rgb="FF000000"/>
        <rFont val="JRFonts"/>
        <charset val="134"/>
      </rPr>
      <t>11-08-2026 16:02</t>
    </r>
  </si>
  <si>
    <r>
      <rPr>
        <sz val="10"/>
        <color rgb="FF0000FF"/>
        <rFont val="JRFonts"/>
        <charset val="134"/>
      </rPr>
      <t>22776</t>
    </r>
  </si>
  <si>
    <r>
      <rPr>
        <sz val="10"/>
        <color rgb="FF000000"/>
        <rFont val="JRFonts"/>
        <charset val="134"/>
      </rPr>
      <t>11-08-2026 16:06</t>
    </r>
  </si>
  <si>
    <r>
      <rPr>
        <sz val="10"/>
        <color rgb="FF000000"/>
        <rFont val="JRFonts"/>
        <charset val="134"/>
      </rPr>
      <t>13-08-2026 11:02</t>
    </r>
  </si>
  <si>
    <r>
      <rPr>
        <sz val="10"/>
        <color rgb="FF000000"/>
        <rFont val="JRFonts"/>
        <charset val="134"/>
      </rPr>
      <t>11-08-2026 16:34</t>
    </r>
  </si>
  <si>
    <r>
      <rPr>
        <sz val="10"/>
        <color rgb="FF0000FF"/>
        <rFont val="JRFonts"/>
        <charset val="134"/>
      </rPr>
      <t>22779</t>
    </r>
  </si>
  <si>
    <r>
      <rPr>
        <sz val="10"/>
        <color rgb="FF000000"/>
        <rFont val="JRFonts"/>
        <charset val="134"/>
      </rPr>
      <t>11-08-2026 17:25</t>
    </r>
  </si>
  <si>
    <r>
      <rPr>
        <sz val="10"/>
        <color rgb="FF000000"/>
        <rFont val="JRFonts"/>
        <charset val="134"/>
      </rPr>
      <t>11-08-2026 16:35</t>
    </r>
  </si>
  <si>
    <r>
      <rPr>
        <sz val="10"/>
        <color rgb="FF0000FF"/>
        <rFont val="JRFonts"/>
        <charset val="134"/>
      </rPr>
      <t>22780</t>
    </r>
  </si>
  <si>
    <r>
      <rPr>
        <sz val="10"/>
        <color rgb="FF000000"/>
        <rFont val="JRFonts"/>
        <charset val="134"/>
      </rPr>
      <t>11-08-2026 17:24</t>
    </r>
  </si>
  <si>
    <r>
      <rPr>
        <sz val="10"/>
        <color rgb="FF000000"/>
        <rFont val="JRFonts"/>
        <charset val="134"/>
      </rPr>
      <t>11-08-2026 16:36</t>
    </r>
  </si>
  <si>
    <r>
      <rPr>
        <sz val="10"/>
        <color rgb="FF0000FF"/>
        <rFont val="JRFonts"/>
        <charset val="134"/>
      </rPr>
      <t>22781</t>
    </r>
  </si>
  <si>
    <r>
      <rPr>
        <sz val="10"/>
        <color rgb="FF000000"/>
        <rFont val="JRFonts"/>
        <charset val="134"/>
      </rPr>
      <t>11-08-2026 16:30</t>
    </r>
  </si>
  <si>
    <r>
      <rPr>
        <sz val="10"/>
        <color rgb="FF000000"/>
        <rFont val="JRFonts"/>
        <charset val="134"/>
      </rPr>
      <t>19-08-2026 10:20</t>
    </r>
  </si>
  <si>
    <r>
      <rPr>
        <sz val="10"/>
        <color rgb="FF000000"/>
        <rFont val="JRFonts"/>
        <charset val="134"/>
      </rPr>
      <t>11-08-2026 16:43</t>
    </r>
  </si>
  <si>
    <t>22781</t>
  </si>
  <si>
    <r>
      <rPr>
        <sz val="10"/>
        <color rgb="FF0000FF"/>
        <rFont val="JRFonts"/>
        <charset val="134"/>
      </rPr>
      <t>22783</t>
    </r>
  </si>
  <si>
    <r>
      <rPr>
        <sz val="10"/>
        <color rgb="FF000000"/>
        <rFont val="JRFonts"/>
        <charset val="134"/>
      </rPr>
      <t>11-08-2026 16:46</t>
    </r>
  </si>
  <si>
    <r>
      <rPr>
        <sz val="10"/>
        <color rgb="FF000000"/>
        <rFont val="JRFonts"/>
        <charset val="134"/>
      </rPr>
      <t>13-08-2026 14:24</t>
    </r>
  </si>
  <si>
    <r>
      <rPr>
        <sz val="10"/>
        <color rgb="FF000000"/>
        <rFont val="JRFonts"/>
        <charset val="134"/>
      </rPr>
      <t>11-08-2026 16:54</t>
    </r>
  </si>
  <si>
    <r>
      <rPr>
        <sz val="10"/>
        <color rgb="FF0000FF"/>
        <rFont val="JRFonts"/>
        <charset val="134"/>
      </rPr>
      <t>22785</t>
    </r>
  </si>
  <si>
    <r>
      <rPr>
        <sz val="10"/>
        <color rgb="FF000000"/>
        <rFont val="JRFonts"/>
        <charset val="134"/>
      </rPr>
      <t>11-08-2026 17:07</t>
    </r>
  </si>
  <si>
    <r>
      <rPr>
        <sz val="10"/>
        <color rgb="FF000000"/>
        <rFont val="JRFonts"/>
        <charset val="134"/>
      </rPr>
      <t>12-08-2026 11:40</t>
    </r>
  </si>
  <si>
    <r>
      <rPr>
        <sz val="10"/>
        <color rgb="FF000000"/>
        <rFont val="JRFonts"/>
        <charset val="134"/>
      </rPr>
      <t>11-08-2026 17:16</t>
    </r>
  </si>
  <si>
    <r>
      <rPr>
        <sz val="10"/>
        <color rgb="FF0000FF"/>
        <rFont val="JRFonts"/>
        <charset val="134"/>
      </rPr>
      <t>22786</t>
    </r>
  </si>
  <si>
    <r>
      <rPr>
        <sz val="10"/>
        <color rgb="FF000000"/>
        <rFont val="JRFonts"/>
        <charset val="134"/>
      </rPr>
      <t>11-08-2026 17:19</t>
    </r>
  </si>
  <si>
    <r>
      <rPr>
        <sz val="10"/>
        <color rgb="FF0000FF"/>
        <rFont val="JRFonts"/>
        <charset val="134"/>
      </rPr>
      <t>22787</t>
    </r>
  </si>
  <si>
    <r>
      <rPr>
        <sz val="10"/>
        <color rgb="FF000000"/>
        <rFont val="JRFonts"/>
        <charset val="134"/>
      </rPr>
      <t>12-08-2026 15:48</t>
    </r>
  </si>
  <si>
    <r>
      <rPr>
        <sz val="10"/>
        <color rgb="FF000000"/>
        <rFont val="JRFonts"/>
        <charset val="134"/>
      </rPr>
      <t>11-08-2026 17:35</t>
    </r>
  </si>
  <si>
    <r>
      <rPr>
        <sz val="10"/>
        <color rgb="FF0000FF"/>
        <rFont val="JRFonts"/>
        <charset val="134"/>
      </rPr>
      <t>22793</t>
    </r>
  </si>
  <si>
    <r>
      <rPr>
        <sz val="10"/>
        <color rgb="FF000000"/>
        <rFont val="JRFonts"/>
        <charset val="134"/>
      </rPr>
      <t>11-08-2026 17:59</t>
    </r>
  </si>
  <si>
    <r>
      <rPr>
        <sz val="10"/>
        <color rgb="FF000000"/>
        <rFont val="JRFonts"/>
        <charset val="134"/>
      </rPr>
      <t>12-08-2026 15:43</t>
    </r>
  </si>
  <si>
    <r>
      <rPr>
        <sz val="10"/>
        <color rgb="FF000000"/>
        <rFont val="JRFonts"/>
        <charset val="134"/>
      </rPr>
      <t>11-08-2026 18:05</t>
    </r>
  </si>
  <si>
    <r>
      <rPr>
        <sz val="10"/>
        <color rgb="FF0000FF"/>
        <rFont val="JRFonts"/>
        <charset val="134"/>
      </rPr>
      <t>22794</t>
    </r>
  </si>
  <si>
    <r>
      <rPr>
        <sz val="10"/>
        <color rgb="FF000000"/>
        <rFont val="JRFonts"/>
        <charset val="134"/>
      </rPr>
      <t>12-08-2026 11:37</t>
    </r>
  </si>
  <si>
    <r>
      <rPr>
        <sz val="10"/>
        <color rgb="FF000000"/>
        <rFont val="JRFonts"/>
        <charset val="134"/>
      </rPr>
      <t>11-08-2026 18:07</t>
    </r>
  </si>
  <si>
    <r>
      <rPr>
        <sz val="10"/>
        <color rgb="FF0000FF"/>
        <rFont val="JRFonts"/>
        <charset val="134"/>
      </rPr>
      <t>22795</t>
    </r>
  </si>
  <si>
    <r>
      <rPr>
        <sz val="10"/>
        <color rgb="FF000000"/>
        <rFont val="JRFonts"/>
        <charset val="134"/>
      </rPr>
      <t>11-08-2026 18:19</t>
    </r>
  </si>
  <si>
    <r>
      <rPr>
        <sz val="10"/>
        <color rgb="FF000000"/>
        <rFont val="JRFonts"/>
        <charset val="134"/>
      </rPr>
      <t>11-08-2026 18:09</t>
    </r>
  </si>
  <si>
    <r>
      <rPr>
        <sz val="10"/>
        <color rgb="FF0000FF"/>
        <rFont val="JRFonts"/>
        <charset val="134"/>
      </rPr>
      <t>22796</t>
    </r>
  </si>
  <si>
    <r>
      <rPr>
        <sz val="10"/>
        <color rgb="FF000000"/>
        <rFont val="JRFonts"/>
        <charset val="134"/>
      </rPr>
      <t>12-08-2026 15:41</t>
    </r>
  </si>
  <si>
    <r>
      <rPr>
        <sz val="10"/>
        <color rgb="FF000000"/>
        <rFont val="JRFonts"/>
        <charset val="134"/>
      </rPr>
      <t>11-08-2026 18:10</t>
    </r>
  </si>
  <si>
    <r>
      <rPr>
        <sz val="10"/>
        <color rgb="FF0000FF"/>
        <rFont val="JRFonts"/>
        <charset val="134"/>
      </rPr>
      <t>22797</t>
    </r>
  </si>
  <si>
    <r>
      <rPr>
        <sz val="10"/>
        <color rgb="FF000000"/>
        <rFont val="JRFonts"/>
        <charset val="134"/>
      </rPr>
      <t>22-08-2026 10:35</t>
    </r>
  </si>
  <si>
    <r>
      <rPr>
        <sz val="10"/>
        <color rgb="FF000000"/>
        <rFont val="JRFonts"/>
        <charset val="134"/>
      </rPr>
      <t>11-08-2026 18:11</t>
    </r>
  </si>
  <si>
    <t>22797</t>
  </si>
  <si>
    <r>
      <rPr>
        <sz val="10"/>
        <color rgb="FF0000FF"/>
        <rFont val="JRFonts"/>
        <charset val="134"/>
      </rPr>
      <t>22799</t>
    </r>
  </si>
  <si>
    <r>
      <rPr>
        <sz val="10"/>
        <color rgb="FF000000"/>
        <rFont val="JRFonts"/>
        <charset val="134"/>
      </rPr>
      <t>11-08-2026 18:08</t>
    </r>
  </si>
  <si>
    <r>
      <rPr>
        <sz val="10"/>
        <color rgb="FF000000"/>
        <rFont val="JRFonts"/>
        <charset val="134"/>
      </rPr>
      <t>12-08-2026 15:28</t>
    </r>
  </si>
  <si>
    <r>
      <rPr>
        <sz val="10"/>
        <color rgb="FF000000"/>
        <rFont val="JRFonts"/>
        <charset val="134"/>
      </rPr>
      <t>11-08-2026 18:21</t>
    </r>
  </si>
  <si>
    <r>
      <rPr>
        <sz val="10"/>
        <color rgb="FF0000FF"/>
        <rFont val="JRFonts"/>
        <charset val="134"/>
      </rPr>
      <t>22800</t>
    </r>
  </si>
  <si>
    <r>
      <rPr>
        <sz val="10"/>
        <color rgb="FF000000"/>
        <rFont val="JRFonts"/>
        <charset val="134"/>
      </rPr>
      <t>11-08-2026 18:14</t>
    </r>
  </si>
  <si>
    <r>
      <rPr>
        <sz val="10"/>
        <color rgb="FF000000"/>
        <rFont val="JRFonts"/>
        <charset val="134"/>
      </rPr>
      <t>12-08-2026 14:51</t>
    </r>
  </si>
  <si>
    <r>
      <rPr>
        <sz val="10"/>
        <color rgb="FF000000"/>
        <rFont val="JRFonts"/>
        <charset val="134"/>
      </rPr>
      <t>11-08-2026 18:22</t>
    </r>
  </si>
  <si>
    <r>
      <rPr>
        <sz val="10"/>
        <color rgb="FF0000FF"/>
        <rFont val="JRFonts"/>
        <charset val="134"/>
      </rPr>
      <t>22801</t>
    </r>
  </si>
  <si>
    <r>
      <rPr>
        <sz val="10"/>
        <color rgb="FF000000"/>
        <rFont val="JRFonts"/>
        <charset val="134"/>
      </rPr>
      <t>11-08-2026 18:35</t>
    </r>
  </si>
  <si>
    <r>
      <rPr>
        <sz val="10"/>
        <color rgb="FF000000"/>
        <rFont val="JRFonts"/>
        <charset val="134"/>
      </rPr>
      <t>13-08-2026 11:01</t>
    </r>
  </si>
  <si>
    <r>
      <rPr>
        <sz val="10"/>
        <color rgb="FF000000"/>
        <rFont val="JRFonts"/>
        <charset val="134"/>
      </rPr>
      <t>12-08-2026 10:43</t>
    </r>
  </si>
  <si>
    <r>
      <rPr>
        <sz val="10"/>
        <color rgb="FF0000FF"/>
        <rFont val="JRFonts"/>
        <charset val="134"/>
      </rPr>
      <t>22804</t>
    </r>
  </si>
  <si>
    <r>
      <rPr>
        <sz val="10"/>
        <color rgb="FF000000"/>
        <rFont val="JRFonts"/>
        <charset val="134"/>
      </rPr>
      <t>11-08-2026 20:24</t>
    </r>
  </si>
  <si>
    <r>
      <rPr>
        <sz val="10"/>
        <color rgb="FF000000"/>
        <rFont val="JRFonts"/>
        <charset val="134"/>
      </rPr>
      <t>17-08-2026 11:25</t>
    </r>
  </si>
  <si>
    <r>
      <rPr>
        <sz val="10"/>
        <color rgb="FF000000"/>
        <rFont val="JRFonts"/>
        <charset val="134"/>
      </rPr>
      <t>12-08-2026 10:44</t>
    </r>
  </si>
  <si>
    <t>22804</t>
  </si>
  <si>
    <r>
      <rPr>
        <sz val="10"/>
        <color rgb="FF0000FF"/>
        <rFont val="JRFonts"/>
        <charset val="134"/>
      </rPr>
      <t>22806</t>
    </r>
  </si>
  <si>
    <r>
      <rPr>
        <sz val="10"/>
        <color rgb="FF000000"/>
        <rFont val="JRFonts"/>
        <charset val="134"/>
      </rPr>
      <t>12-08-2026 08:19</t>
    </r>
  </si>
  <si>
    <r>
      <rPr>
        <sz val="10"/>
        <color rgb="FF000000"/>
        <rFont val="JRFonts"/>
        <charset val="134"/>
      </rPr>
      <t>13-08-2026 10:56</t>
    </r>
  </si>
  <si>
    <r>
      <rPr>
        <sz val="10"/>
        <color rgb="FF0000FF"/>
        <rFont val="JRFonts"/>
        <charset val="134"/>
      </rPr>
      <t>22807</t>
    </r>
  </si>
  <si>
    <r>
      <rPr>
        <sz val="10"/>
        <color rgb="FF000000"/>
        <rFont val="JRFonts"/>
        <charset val="134"/>
      </rPr>
      <t>12-08-2026 09:47</t>
    </r>
  </si>
  <si>
    <r>
      <rPr>
        <sz val="10"/>
        <color rgb="FF000000"/>
        <rFont val="JRFonts"/>
        <charset val="134"/>
      </rPr>
      <t>17-08-2026 12:58</t>
    </r>
  </si>
  <si>
    <r>
      <rPr>
        <sz val="10"/>
        <color rgb="FF000000"/>
        <rFont val="JRFonts"/>
        <charset val="134"/>
      </rPr>
      <t>12-08-2026 10:45</t>
    </r>
  </si>
  <si>
    <t>22807</t>
  </si>
  <si>
    <r>
      <rPr>
        <sz val="10"/>
        <color rgb="FF0000FF"/>
        <rFont val="JRFonts"/>
        <charset val="134"/>
      </rPr>
      <t>22809</t>
    </r>
  </si>
  <si>
    <r>
      <rPr>
        <sz val="10"/>
        <color rgb="FF000000"/>
        <rFont val="JRFonts"/>
        <charset val="134"/>
      </rPr>
      <t>12-08-2026 10:27</t>
    </r>
  </si>
  <si>
    <r>
      <rPr>
        <sz val="10"/>
        <color rgb="FF000000"/>
        <rFont val="JRFonts"/>
        <charset val="134"/>
      </rPr>
      <t>12-08-2026 14:59</t>
    </r>
  </si>
  <si>
    <r>
      <rPr>
        <sz val="10"/>
        <color rgb="FF000000"/>
        <rFont val="JRFonts"/>
        <charset val="134"/>
      </rPr>
      <t>12-08-2026 10:46</t>
    </r>
  </si>
  <si>
    <r>
      <rPr>
        <sz val="10"/>
        <color rgb="FF0000FF"/>
        <rFont val="JRFonts"/>
        <charset val="134"/>
      </rPr>
      <t>22811</t>
    </r>
  </si>
  <si>
    <r>
      <rPr>
        <sz val="10"/>
        <color rgb="FF000000"/>
        <rFont val="JRFonts"/>
        <charset val="134"/>
      </rPr>
      <t>12-08-2026 10:36</t>
    </r>
  </si>
  <si>
    <r>
      <rPr>
        <sz val="10"/>
        <color rgb="FF000000"/>
        <rFont val="JRFonts"/>
        <charset val="134"/>
      </rPr>
      <t>12-08-2026 13:03</t>
    </r>
  </si>
  <si>
    <r>
      <rPr>
        <sz val="10"/>
        <color rgb="FF000000"/>
        <rFont val="JRFonts"/>
        <charset val="134"/>
      </rPr>
      <t>12-08-2026 10:47</t>
    </r>
  </si>
  <si>
    <r>
      <rPr>
        <sz val="10"/>
        <color rgb="FF0000FF"/>
        <rFont val="JRFonts"/>
        <charset val="134"/>
      </rPr>
      <t>22812</t>
    </r>
  </si>
  <si>
    <r>
      <rPr>
        <sz val="10"/>
        <color rgb="FF000000"/>
        <rFont val="JRFonts"/>
        <charset val="134"/>
      </rPr>
      <t>12-08-2026 10:42</t>
    </r>
  </si>
  <si>
    <r>
      <rPr>
        <sz val="10"/>
        <color rgb="FF000000"/>
        <rFont val="JRFonts"/>
        <charset val="134"/>
      </rPr>
      <t>12-08-2026 11:31</t>
    </r>
  </si>
  <si>
    <r>
      <rPr>
        <sz val="10"/>
        <color rgb="FF000000"/>
        <rFont val="JRFonts"/>
        <charset val="134"/>
      </rPr>
      <t>12-08-2026 10:49</t>
    </r>
  </si>
  <si>
    <r>
      <rPr>
        <sz val="10"/>
        <color rgb="FF0000FF"/>
        <rFont val="JRFonts"/>
        <charset val="134"/>
      </rPr>
      <t>22813</t>
    </r>
  </si>
  <si>
    <r>
      <rPr>
        <sz val="10"/>
        <color rgb="FF000000"/>
        <rFont val="JRFonts"/>
        <charset val="134"/>
      </rPr>
      <t>12-08-2026 10:51</t>
    </r>
  </si>
  <si>
    <r>
      <rPr>
        <sz val="10"/>
        <color rgb="FF000000"/>
        <rFont val="JRFonts"/>
        <charset val="134"/>
      </rPr>
      <t>12-08-2026 11:26</t>
    </r>
  </si>
  <si>
    <r>
      <rPr>
        <sz val="10"/>
        <color rgb="FF000000"/>
        <rFont val="JRFonts"/>
        <charset val="134"/>
      </rPr>
      <t>12-08-2026 10:53</t>
    </r>
  </si>
  <si>
    <r>
      <rPr>
        <sz val="10"/>
        <color rgb="FF0000FF"/>
        <rFont val="JRFonts"/>
        <charset val="134"/>
      </rPr>
      <t>22815</t>
    </r>
  </si>
  <si>
    <r>
      <rPr>
        <sz val="10"/>
        <color rgb="FF000000"/>
        <rFont val="JRFonts"/>
        <charset val="134"/>
      </rPr>
      <t>12-08-2026 11:12</t>
    </r>
  </si>
  <si>
    <r>
      <rPr>
        <sz val="10"/>
        <color rgb="FF000000"/>
        <rFont val="JRFonts"/>
        <charset val="134"/>
      </rPr>
      <t>12-08-2026 11:20</t>
    </r>
  </si>
  <si>
    <t>22815</t>
  </si>
  <si>
    <r>
      <rPr>
        <sz val="10"/>
        <color rgb="FF0000FF"/>
        <rFont val="JRFonts"/>
        <charset val="134"/>
      </rPr>
      <t>22816</t>
    </r>
  </si>
  <si>
    <r>
      <rPr>
        <sz val="10"/>
        <color rgb="FF000000"/>
        <rFont val="JRFonts"/>
        <charset val="134"/>
      </rPr>
      <t>12-08-2026 11:15</t>
    </r>
  </si>
  <si>
    <r>
      <rPr>
        <sz val="10"/>
        <color rgb="FF000000"/>
        <rFont val="JRFonts"/>
        <charset val="134"/>
      </rPr>
      <t>12-08-2026 11:21</t>
    </r>
  </si>
  <si>
    <r>
      <rPr>
        <sz val="10"/>
        <color rgb="FF0000FF"/>
        <rFont val="JRFonts"/>
        <charset val="134"/>
      </rPr>
      <t>22818</t>
    </r>
  </si>
  <si>
    <r>
      <rPr>
        <sz val="10"/>
        <color rgb="FF000000"/>
        <rFont val="JRFonts"/>
        <charset val="134"/>
      </rPr>
      <t>12-08-2026 12:14</t>
    </r>
  </si>
  <si>
    <t>22818</t>
  </si>
  <si>
    <r>
      <rPr>
        <sz val="10"/>
        <color rgb="FF0000FF"/>
        <rFont val="JRFonts"/>
        <charset val="134"/>
      </rPr>
      <t>22819</t>
    </r>
  </si>
  <si>
    <r>
      <rPr>
        <sz val="10"/>
        <color rgb="FF000000"/>
        <rFont val="JRFonts"/>
        <charset val="134"/>
      </rPr>
      <t>14-08-2026 14:48</t>
    </r>
  </si>
  <si>
    <r>
      <rPr>
        <sz val="10"/>
        <color rgb="FF000000"/>
        <rFont val="JRFonts"/>
        <charset val="134"/>
      </rPr>
      <t>12-08-2026 11:50</t>
    </r>
  </si>
  <si>
    <t>22819</t>
  </si>
  <si>
    <r>
      <rPr>
        <sz val="10"/>
        <color rgb="FF0000FF"/>
        <rFont val="JRFonts"/>
        <charset val="134"/>
      </rPr>
      <t>22821</t>
    </r>
  </si>
  <si>
    <r>
      <rPr>
        <sz val="10"/>
        <color rgb="FF000000"/>
        <rFont val="JRFonts"/>
        <charset val="134"/>
      </rPr>
      <t>12-08-2026 11:46</t>
    </r>
  </si>
  <si>
    <r>
      <rPr>
        <sz val="10"/>
        <color rgb="FF000000"/>
        <rFont val="JRFonts"/>
        <charset val="134"/>
      </rPr>
      <t>12-08-2026 12:12</t>
    </r>
  </si>
  <si>
    <r>
      <rPr>
        <sz val="10"/>
        <color rgb="FF000000"/>
        <rFont val="JRFonts"/>
        <charset val="134"/>
      </rPr>
      <t>12-08-2026 12:07</t>
    </r>
  </si>
  <si>
    <r>
      <rPr>
        <sz val="10"/>
        <color rgb="FF0000FF"/>
        <rFont val="JRFonts"/>
        <charset val="134"/>
      </rPr>
      <t>22822</t>
    </r>
  </si>
  <si>
    <r>
      <rPr>
        <sz val="10"/>
        <color rgb="FF000000"/>
        <rFont val="JRFonts"/>
        <charset val="134"/>
      </rPr>
      <t>21-08-2026 13:55</t>
    </r>
  </si>
  <si>
    <t>22822</t>
  </si>
  <si>
    <r>
      <rPr>
        <sz val="10"/>
        <color rgb="FF0000FF"/>
        <rFont val="JRFonts"/>
        <charset val="134"/>
      </rPr>
      <t>22826</t>
    </r>
  </si>
  <si>
    <r>
      <rPr>
        <sz val="10"/>
        <color rgb="FF000000"/>
        <rFont val="JRFonts"/>
        <charset val="134"/>
      </rPr>
      <t>12-08-2026 11:58</t>
    </r>
  </si>
  <si>
    <r>
      <rPr>
        <sz val="10"/>
        <color rgb="FF000000"/>
        <rFont val="JRFonts"/>
        <charset val="134"/>
      </rPr>
      <t>13-08-2026 10:52</t>
    </r>
  </si>
  <si>
    <r>
      <rPr>
        <sz val="10"/>
        <color rgb="FF000000"/>
        <rFont val="JRFonts"/>
        <charset val="134"/>
      </rPr>
      <t>12-08-2026 12:08</t>
    </r>
  </si>
  <si>
    <r>
      <rPr>
        <sz val="10"/>
        <color rgb="FF0000FF"/>
        <rFont val="JRFonts"/>
        <charset val="134"/>
      </rPr>
      <t>22828</t>
    </r>
  </si>
  <si>
    <r>
      <rPr>
        <sz val="10"/>
        <color rgb="FF000000"/>
        <rFont val="JRFonts"/>
        <charset val="134"/>
      </rPr>
      <t>12-08-2026 12:04</t>
    </r>
  </si>
  <si>
    <r>
      <rPr>
        <sz val="10"/>
        <color rgb="FF000000"/>
        <rFont val="JRFonts"/>
        <charset val="134"/>
      </rPr>
      <t>12-08-2026 16:01</t>
    </r>
  </si>
  <si>
    <r>
      <rPr>
        <sz val="10"/>
        <color rgb="FF000000"/>
        <rFont val="JRFonts"/>
        <charset val="134"/>
      </rPr>
      <t>12-08-2026 12:09</t>
    </r>
  </si>
  <si>
    <r>
      <rPr>
        <sz val="10"/>
        <color rgb="FF0000FF"/>
        <rFont val="JRFonts"/>
        <charset val="134"/>
      </rPr>
      <t>22829</t>
    </r>
  </si>
  <si>
    <r>
      <rPr>
        <sz val="10"/>
        <color rgb="FF000000"/>
        <rFont val="JRFonts"/>
        <charset val="134"/>
      </rPr>
      <t>12-08-2026 12:10</t>
    </r>
  </si>
  <si>
    <r>
      <rPr>
        <sz val="10"/>
        <color rgb="FF000000"/>
        <rFont val="JRFonts"/>
        <charset val="134"/>
      </rPr>
      <t>20-08-2026 17:29</t>
    </r>
  </si>
  <si>
    <r>
      <rPr>
        <sz val="10"/>
        <color rgb="FF000000"/>
        <rFont val="JRFonts"/>
        <charset val="134"/>
      </rPr>
      <t>12-08-2026 12:13</t>
    </r>
  </si>
  <si>
    <t>22829</t>
  </si>
  <si>
    <r>
      <rPr>
        <sz val="10"/>
        <color rgb="FF0000FF"/>
        <rFont val="JRFonts"/>
        <charset val="134"/>
      </rPr>
      <t>22831</t>
    </r>
  </si>
  <si>
    <r>
      <rPr>
        <sz val="10"/>
        <color rgb="FF000000"/>
        <rFont val="JRFonts"/>
        <charset val="134"/>
      </rPr>
      <t>12-08-2026 12:17</t>
    </r>
  </si>
  <si>
    <r>
      <rPr>
        <sz val="10"/>
        <color rgb="FF000000"/>
        <rFont val="JRFonts"/>
        <charset val="134"/>
      </rPr>
      <t>12-08-2026 18:41</t>
    </r>
  </si>
  <si>
    <r>
      <rPr>
        <sz val="10"/>
        <color rgb="FF000000"/>
        <rFont val="JRFonts"/>
        <charset val="134"/>
      </rPr>
      <t>12-08-2026 16:20</t>
    </r>
  </si>
  <si>
    <r>
      <rPr>
        <sz val="10"/>
        <color rgb="FF0000FF"/>
        <rFont val="JRFonts"/>
        <charset val="134"/>
      </rPr>
      <t>22835</t>
    </r>
  </si>
  <si>
    <r>
      <rPr>
        <sz val="10"/>
        <color rgb="FF000000"/>
        <rFont val="JRFonts"/>
        <charset val="134"/>
      </rPr>
      <t>12-08-2026 12:44</t>
    </r>
  </si>
  <si>
    <r>
      <rPr>
        <sz val="10"/>
        <color rgb="FF000000"/>
        <rFont val="JRFonts"/>
        <charset val="134"/>
      </rPr>
      <t>14-08-2026 15:35</t>
    </r>
  </si>
  <si>
    <r>
      <rPr>
        <sz val="10"/>
        <color rgb="FF000000"/>
        <rFont val="JRFonts"/>
        <charset val="134"/>
      </rPr>
      <t>12-08-2026 12:49</t>
    </r>
  </si>
  <si>
    <t>22835</t>
  </si>
  <si>
    <r>
      <rPr>
        <sz val="10"/>
        <color rgb="FF0000FF"/>
        <rFont val="JRFonts"/>
        <charset val="134"/>
      </rPr>
      <t>22836</t>
    </r>
  </si>
  <si>
    <r>
      <rPr>
        <sz val="10"/>
        <color rgb="FF000000"/>
        <rFont val="JRFonts"/>
        <charset val="134"/>
      </rPr>
      <t>12-08-2026 12:56</t>
    </r>
  </si>
  <si>
    <r>
      <rPr>
        <sz val="10"/>
        <color rgb="FF000000"/>
        <rFont val="JRFonts"/>
        <charset val="134"/>
      </rPr>
      <t>19-08-2026 10:15</t>
    </r>
  </si>
  <si>
    <r>
      <rPr>
        <sz val="10"/>
        <color rgb="FF000000"/>
        <rFont val="JRFonts"/>
        <charset val="134"/>
      </rPr>
      <t>14-08-2026 16:05</t>
    </r>
  </si>
  <si>
    <t>22836</t>
  </si>
  <si>
    <r>
      <rPr>
        <sz val="10"/>
        <color rgb="FF0000FF"/>
        <rFont val="JRFonts"/>
        <charset val="134"/>
      </rPr>
      <t>22837</t>
    </r>
  </si>
  <si>
    <r>
      <rPr>
        <sz val="10"/>
        <color rgb="FF000000"/>
        <rFont val="JRFonts"/>
        <charset val="134"/>
      </rPr>
      <t>12-08-2026 13:02</t>
    </r>
  </si>
  <si>
    <r>
      <rPr>
        <sz val="10"/>
        <color rgb="FF000000"/>
        <rFont val="JRFonts"/>
        <charset val="134"/>
      </rPr>
      <t>20-08-2026 17:28</t>
    </r>
  </si>
  <si>
    <r>
      <rPr>
        <sz val="10"/>
        <color rgb="FF000000"/>
        <rFont val="JRFonts"/>
        <charset val="134"/>
      </rPr>
      <t>12-08-2026 14:11</t>
    </r>
  </si>
  <si>
    <t>22837</t>
  </si>
  <si>
    <r>
      <rPr>
        <sz val="10"/>
        <color rgb="FF0000FF"/>
        <rFont val="JRFonts"/>
        <charset val="134"/>
      </rPr>
      <t>22839</t>
    </r>
  </si>
  <si>
    <r>
      <rPr>
        <sz val="10"/>
        <color rgb="FF000000"/>
        <rFont val="JRFonts"/>
        <charset val="134"/>
      </rPr>
      <t>12-08-2026 13:08</t>
    </r>
  </si>
  <si>
    <r>
      <rPr>
        <sz val="10"/>
        <color rgb="FF000000"/>
        <rFont val="JRFonts"/>
        <charset val="134"/>
      </rPr>
      <t>12-08-2026 15:35</t>
    </r>
  </si>
  <si>
    <r>
      <rPr>
        <sz val="10"/>
        <color rgb="FF000000"/>
        <rFont val="JRFonts"/>
        <charset val="134"/>
      </rPr>
      <t>12-08-2026 14:12</t>
    </r>
  </si>
  <si>
    <r>
      <rPr>
        <sz val="10"/>
        <color rgb="FF0000FF"/>
        <rFont val="JRFonts"/>
        <charset val="134"/>
      </rPr>
      <t>22840</t>
    </r>
  </si>
  <si>
    <r>
      <rPr>
        <sz val="10"/>
        <color rgb="FF000000"/>
        <rFont val="JRFonts"/>
        <charset val="134"/>
      </rPr>
      <t>12-08-2026 13:11</t>
    </r>
  </si>
  <si>
    <r>
      <rPr>
        <sz val="10"/>
        <color rgb="FF000000"/>
        <rFont val="JRFonts"/>
        <charset val="134"/>
      </rPr>
      <t>12-08-2026 15:31</t>
    </r>
  </si>
  <si>
    <r>
      <rPr>
        <sz val="10"/>
        <color rgb="FF000000"/>
        <rFont val="JRFonts"/>
        <charset val="134"/>
      </rPr>
      <t>12-08-2026 14:13</t>
    </r>
  </si>
  <si>
    <r>
      <rPr>
        <sz val="10"/>
        <color rgb="FF0000FF"/>
        <rFont val="JRFonts"/>
        <charset val="134"/>
      </rPr>
      <t>22842</t>
    </r>
  </si>
  <si>
    <r>
      <rPr>
        <sz val="10"/>
        <color rgb="FF000000"/>
        <rFont val="JRFonts"/>
        <charset val="134"/>
      </rPr>
      <t>12-08-2026 13:21</t>
    </r>
  </si>
  <si>
    <r>
      <rPr>
        <sz val="10"/>
        <color rgb="FF000000"/>
        <rFont val="JRFonts"/>
        <charset val="134"/>
      </rPr>
      <t>22-08-2026 12:31</t>
    </r>
  </si>
  <si>
    <r>
      <rPr>
        <sz val="10"/>
        <color rgb="FF000000"/>
        <rFont val="JRFonts"/>
        <charset val="134"/>
      </rPr>
      <t>12-08-2026 14:29</t>
    </r>
  </si>
  <si>
    <r>
      <rPr>
        <sz val="10"/>
        <color rgb="FF0000FF"/>
        <rFont val="JRFonts"/>
        <charset val="134"/>
      </rPr>
      <t>22843</t>
    </r>
  </si>
  <si>
    <r>
      <rPr>
        <sz val="10"/>
        <color rgb="FF000000"/>
        <rFont val="JRFonts"/>
        <charset val="134"/>
      </rPr>
      <t>12-08-2026 13:52</t>
    </r>
  </si>
  <si>
    <r>
      <rPr>
        <sz val="10"/>
        <color rgb="FF000000"/>
        <rFont val="JRFonts"/>
        <charset val="134"/>
      </rPr>
      <t>12-08-2026 15:25</t>
    </r>
  </si>
  <si>
    <r>
      <rPr>
        <sz val="10"/>
        <color rgb="FF000000"/>
        <rFont val="JRFonts"/>
        <charset val="134"/>
      </rPr>
      <t>12-08-2026 14:32</t>
    </r>
  </si>
  <si>
    <r>
      <rPr>
        <sz val="10"/>
        <color rgb="FF0000FF"/>
        <rFont val="JRFonts"/>
        <charset val="134"/>
      </rPr>
      <t>22844</t>
    </r>
  </si>
  <si>
    <r>
      <rPr>
        <sz val="10"/>
        <color rgb="FF000000"/>
        <rFont val="JRFonts"/>
        <charset val="134"/>
      </rPr>
      <t>12-08-2026 13:55</t>
    </r>
  </si>
  <si>
    <r>
      <rPr>
        <sz val="10"/>
        <color rgb="FF000000"/>
        <rFont val="JRFonts"/>
        <charset val="134"/>
      </rPr>
      <t>13-08-2026 10:48</t>
    </r>
  </si>
  <si>
    <r>
      <rPr>
        <sz val="10"/>
        <color rgb="FF000000"/>
        <rFont val="JRFonts"/>
        <charset val="134"/>
      </rPr>
      <t>12-08-2026 14:33</t>
    </r>
  </si>
  <si>
    <r>
      <rPr>
        <sz val="10"/>
        <color rgb="FF0000FF"/>
        <rFont val="JRFonts"/>
        <charset val="134"/>
      </rPr>
      <t>22848</t>
    </r>
  </si>
  <si>
    <r>
      <rPr>
        <sz val="10"/>
        <color rgb="FF000000"/>
        <rFont val="JRFonts"/>
        <charset val="134"/>
      </rPr>
      <t>12-08-2026 14:10</t>
    </r>
  </si>
  <si>
    <r>
      <rPr>
        <sz val="10"/>
        <color rgb="FF000000"/>
        <rFont val="JRFonts"/>
        <charset val="134"/>
      </rPr>
      <t>20-08-2026 17:32</t>
    </r>
  </si>
  <si>
    <r>
      <rPr>
        <sz val="10"/>
        <color rgb="FF000000"/>
        <rFont val="JRFonts"/>
        <charset val="134"/>
      </rPr>
      <t>12-08-2026 14:34</t>
    </r>
  </si>
  <si>
    <t>22848</t>
  </si>
  <si>
    <r>
      <rPr>
        <sz val="10"/>
        <color rgb="FF0000FF"/>
        <rFont val="JRFonts"/>
        <charset val="134"/>
      </rPr>
      <t>22849</t>
    </r>
  </si>
  <si>
    <r>
      <rPr>
        <sz val="10"/>
        <color rgb="FF000000"/>
        <rFont val="JRFonts"/>
        <charset val="134"/>
      </rPr>
      <t>13-08-2026 10:46</t>
    </r>
  </si>
  <si>
    <r>
      <rPr>
        <sz val="10"/>
        <color rgb="FF000000"/>
        <rFont val="JRFonts"/>
        <charset val="134"/>
      </rPr>
      <t>12-08-2026 14:35</t>
    </r>
  </si>
  <si>
    <r>
      <rPr>
        <sz val="10"/>
        <color rgb="FF0000FF"/>
        <rFont val="JRFonts"/>
        <charset val="134"/>
      </rPr>
      <t>22851</t>
    </r>
  </si>
  <si>
    <r>
      <rPr>
        <sz val="10"/>
        <color rgb="FF000000"/>
        <rFont val="JRFonts"/>
        <charset val="134"/>
      </rPr>
      <t>12-08-2026 14:40</t>
    </r>
  </si>
  <si>
    <r>
      <rPr>
        <sz val="10"/>
        <color rgb="FF000000"/>
        <rFont val="JRFonts"/>
        <charset val="134"/>
      </rPr>
      <t>17-08-2026 11:24</t>
    </r>
  </si>
  <si>
    <r>
      <rPr>
        <sz val="10"/>
        <color rgb="FF000000"/>
        <rFont val="JRFonts"/>
        <charset val="134"/>
      </rPr>
      <t>12-08-2026 15:05</t>
    </r>
  </si>
  <si>
    <t>22851</t>
  </si>
  <si>
    <r>
      <rPr>
        <sz val="10"/>
        <color rgb="FF0000FF"/>
        <rFont val="JRFonts"/>
        <charset val="134"/>
      </rPr>
      <t>22856</t>
    </r>
  </si>
  <si>
    <r>
      <rPr>
        <sz val="10"/>
        <color rgb="FF000000"/>
        <rFont val="JRFonts"/>
        <charset val="134"/>
      </rPr>
      <t>12-08-2026 15:17</t>
    </r>
  </si>
  <si>
    <r>
      <rPr>
        <sz val="10"/>
        <color rgb="FF000000"/>
        <rFont val="JRFonts"/>
        <charset val="134"/>
      </rPr>
      <t>31-08-2026 10:30</t>
    </r>
  </si>
  <si>
    <r>
      <rPr>
        <sz val="10"/>
        <color rgb="FF000000"/>
        <rFont val="JRFonts"/>
        <charset val="134"/>
      </rPr>
      <t>12-08-2026 15:19</t>
    </r>
  </si>
  <si>
    <t>22856</t>
  </si>
  <si>
    <r>
      <rPr>
        <sz val="10"/>
        <color rgb="FF0000FF"/>
        <rFont val="JRFonts"/>
        <charset val="134"/>
      </rPr>
      <t>22857</t>
    </r>
  </si>
  <si>
    <r>
      <rPr>
        <sz val="10"/>
        <color rgb="FF000000"/>
        <rFont val="JRFonts"/>
        <charset val="134"/>
      </rPr>
      <t>12-08-2026 15:23</t>
    </r>
  </si>
  <si>
    <r>
      <rPr>
        <sz val="10"/>
        <color rgb="FF0000FF"/>
        <rFont val="JRFonts"/>
        <charset val="134"/>
      </rPr>
      <t>22861</t>
    </r>
  </si>
  <si>
    <r>
      <rPr>
        <sz val="10"/>
        <color rgb="FF000000"/>
        <rFont val="JRFonts"/>
        <charset val="134"/>
      </rPr>
      <t>20-08-2026 17:33</t>
    </r>
  </si>
  <si>
    <r>
      <rPr>
        <sz val="10"/>
        <color rgb="FF000000"/>
        <rFont val="JRFonts"/>
        <charset val="134"/>
      </rPr>
      <t>12-08-2026 15:29</t>
    </r>
  </si>
  <si>
    <t>22861</t>
  </si>
  <si>
    <r>
      <rPr>
        <sz val="10"/>
        <color rgb="FF0000FF"/>
        <rFont val="JRFonts"/>
        <charset val="134"/>
      </rPr>
      <t>22862</t>
    </r>
  </si>
  <si>
    <r>
      <rPr>
        <sz val="10"/>
        <color rgb="FF000000"/>
        <rFont val="JRFonts"/>
        <charset val="134"/>
      </rPr>
      <t>12-08-2026 15:26</t>
    </r>
  </si>
  <si>
    <r>
      <rPr>
        <sz val="10"/>
        <color rgb="FF000000"/>
        <rFont val="JRFonts"/>
        <charset val="134"/>
      </rPr>
      <t>17-08-2026 11:57</t>
    </r>
  </si>
  <si>
    <t>22862</t>
  </si>
  <si>
    <r>
      <rPr>
        <sz val="10"/>
        <color rgb="FF0000FF"/>
        <rFont val="JRFonts"/>
        <charset val="134"/>
      </rPr>
      <t>22863</t>
    </r>
  </si>
  <si>
    <r>
      <rPr>
        <sz val="10"/>
        <color rgb="FF000000"/>
        <rFont val="JRFonts"/>
        <charset val="134"/>
      </rPr>
      <t>12-08-2026 15:56</t>
    </r>
  </si>
  <si>
    <r>
      <rPr>
        <sz val="10"/>
        <color rgb="FF000000"/>
        <rFont val="JRFonts"/>
        <charset val="134"/>
      </rPr>
      <t>12-08-2026 15:44</t>
    </r>
  </si>
  <si>
    <r>
      <rPr>
        <sz val="10"/>
        <color rgb="FF0000FF"/>
        <rFont val="JRFonts"/>
        <charset val="134"/>
      </rPr>
      <t>22865</t>
    </r>
  </si>
  <si>
    <r>
      <rPr>
        <sz val="10"/>
        <color rgb="FF000000"/>
        <rFont val="JRFonts"/>
        <charset val="134"/>
      </rPr>
      <t>12-08-2026 15:53</t>
    </r>
  </si>
  <si>
    <r>
      <rPr>
        <sz val="10"/>
        <color rgb="FF000000"/>
        <rFont val="JRFonts"/>
        <charset val="134"/>
      </rPr>
      <t>21-08-2026 08:20</t>
    </r>
  </si>
  <si>
    <r>
      <rPr>
        <sz val="10"/>
        <color rgb="FF000000"/>
        <rFont val="JRFonts"/>
        <charset val="134"/>
      </rPr>
      <t>12-08-2026 16:09</t>
    </r>
  </si>
  <si>
    <r>
      <rPr>
        <sz val="10"/>
        <color rgb="FF0000FF"/>
        <rFont val="JRFonts"/>
        <charset val="134"/>
      </rPr>
      <t>22868</t>
    </r>
  </si>
  <si>
    <r>
      <rPr>
        <sz val="10"/>
        <color rgb="FF000000"/>
        <rFont val="JRFonts"/>
        <charset val="134"/>
      </rPr>
      <t>12-08-2026 16:21</t>
    </r>
  </si>
  <si>
    <r>
      <rPr>
        <sz val="10"/>
        <color rgb="FF000000"/>
        <rFont val="JRFonts"/>
        <charset val="134"/>
      </rPr>
      <t>22-08-2026 12:50</t>
    </r>
  </si>
  <si>
    <r>
      <rPr>
        <sz val="10"/>
        <color rgb="FF000000"/>
        <rFont val="JRFonts"/>
        <charset val="134"/>
      </rPr>
      <t>12-08-2026 16:25</t>
    </r>
  </si>
  <si>
    <r>
      <rPr>
        <sz val="10"/>
        <color rgb="FF0000FF"/>
        <rFont val="JRFonts"/>
        <charset val="134"/>
      </rPr>
      <t>22869</t>
    </r>
  </si>
  <si>
    <r>
      <rPr>
        <sz val="10"/>
        <color rgb="FF000000"/>
        <rFont val="JRFonts"/>
        <charset val="134"/>
      </rPr>
      <t>12-08-2026 16:24</t>
    </r>
  </si>
  <si>
    <r>
      <rPr>
        <sz val="10"/>
        <color rgb="FF000000"/>
        <rFont val="JRFonts"/>
        <charset val="134"/>
      </rPr>
      <t>30-08-2026 18:57</t>
    </r>
  </si>
  <si>
    <r>
      <rPr>
        <sz val="10"/>
        <color rgb="FF000000"/>
        <rFont val="JRFonts"/>
        <charset val="134"/>
      </rPr>
      <t>12-08-2026 16:34</t>
    </r>
  </si>
  <si>
    <t>22869</t>
  </si>
  <si>
    <r>
      <rPr>
        <sz val="10"/>
        <color rgb="FF0000FF"/>
        <rFont val="JRFonts"/>
        <charset val="134"/>
      </rPr>
      <t>22870</t>
    </r>
  </si>
  <si>
    <r>
      <rPr>
        <sz val="10"/>
        <color rgb="FF000000"/>
        <rFont val="JRFonts"/>
        <charset val="134"/>
      </rPr>
      <t>12-08-2026 16:27</t>
    </r>
  </si>
  <si>
    <r>
      <rPr>
        <sz val="10"/>
        <color rgb="FF000000"/>
        <rFont val="JRFonts"/>
        <charset val="134"/>
      </rPr>
      <t>13-08-2026 10:12</t>
    </r>
  </si>
  <si>
    <r>
      <rPr>
        <sz val="10"/>
        <color rgb="FF000000"/>
        <rFont val="JRFonts"/>
        <charset val="134"/>
      </rPr>
      <t>12-08-2026 16:32</t>
    </r>
  </si>
  <si>
    <r>
      <rPr>
        <sz val="10"/>
        <color rgb="FF0000FF"/>
        <rFont val="JRFonts"/>
        <charset val="134"/>
      </rPr>
      <t>22871</t>
    </r>
  </si>
  <si>
    <r>
      <rPr>
        <sz val="10"/>
        <color rgb="FF000000"/>
        <rFont val="JRFonts"/>
        <charset val="134"/>
      </rPr>
      <t>12-08-2026 16:30</t>
    </r>
  </si>
  <si>
    <r>
      <rPr>
        <sz val="10"/>
        <color rgb="FF000000"/>
        <rFont val="JRFonts"/>
        <charset val="134"/>
      </rPr>
      <t>13-08-2026 10:09</t>
    </r>
  </si>
  <si>
    <r>
      <rPr>
        <sz val="10"/>
        <color rgb="FF000000"/>
        <rFont val="JRFonts"/>
        <charset val="134"/>
      </rPr>
      <t>12-08-2026 18:23</t>
    </r>
  </si>
  <si>
    <r>
      <rPr>
        <sz val="10"/>
        <color rgb="FF0000FF"/>
        <rFont val="JRFonts"/>
        <charset val="134"/>
      </rPr>
      <t>22872</t>
    </r>
  </si>
  <si>
    <r>
      <rPr>
        <sz val="10"/>
        <color rgb="FF000000"/>
        <rFont val="JRFonts"/>
        <charset val="134"/>
      </rPr>
      <t>12-08-2026 17:53</t>
    </r>
  </si>
  <si>
    <r>
      <rPr>
        <sz val="10"/>
        <color rgb="FF000000"/>
        <rFont val="JRFonts"/>
        <charset val="134"/>
      </rPr>
      <t>12-08-2026 17:48</t>
    </r>
  </si>
  <si>
    <r>
      <rPr>
        <sz val="10"/>
        <color rgb="FF0000FF"/>
        <rFont val="JRFonts"/>
        <charset val="134"/>
      </rPr>
      <t>22873</t>
    </r>
  </si>
  <si>
    <r>
      <rPr>
        <sz val="10"/>
        <color rgb="FF000000"/>
        <rFont val="JRFonts"/>
        <charset val="134"/>
      </rPr>
      <t>21-08-2026 11:57</t>
    </r>
  </si>
  <si>
    <r>
      <rPr>
        <sz val="10"/>
        <color rgb="FF000000"/>
        <rFont val="JRFonts"/>
        <charset val="134"/>
      </rPr>
      <t>13-08-2026 11:42</t>
    </r>
  </si>
  <si>
    <t>22873</t>
  </si>
  <si>
    <r>
      <rPr>
        <sz val="10"/>
        <color rgb="FF0000FF"/>
        <rFont val="JRFonts"/>
        <charset val="134"/>
      </rPr>
      <t>22874</t>
    </r>
  </si>
  <si>
    <r>
      <rPr>
        <sz val="10"/>
        <color rgb="FF000000"/>
        <rFont val="JRFonts"/>
        <charset val="134"/>
      </rPr>
      <t>12-08-2026 16:54</t>
    </r>
  </si>
  <si>
    <r>
      <rPr>
        <sz val="10"/>
        <color rgb="FF000000"/>
        <rFont val="JRFonts"/>
        <charset val="134"/>
      </rPr>
      <t>09-09-2026 17:57</t>
    </r>
  </si>
  <si>
    <r>
      <rPr>
        <sz val="10"/>
        <color rgb="FF000000"/>
        <rFont val="JRFonts"/>
        <charset val="134"/>
      </rPr>
      <t>12-08-2026 17:51</t>
    </r>
  </si>
  <si>
    <t>22874</t>
  </si>
  <si>
    <r>
      <rPr>
        <sz val="10"/>
        <color rgb="FF0000FF"/>
        <rFont val="JRFonts"/>
        <charset val="134"/>
      </rPr>
      <t>22877</t>
    </r>
  </si>
  <si>
    <r>
      <rPr>
        <sz val="10"/>
        <color rgb="FF000000"/>
        <rFont val="JRFonts"/>
        <charset val="134"/>
      </rPr>
      <t>12-08-2026 17:28</t>
    </r>
  </si>
  <si>
    <r>
      <rPr>
        <sz val="10"/>
        <color rgb="FF000000"/>
        <rFont val="JRFonts"/>
        <charset val="134"/>
      </rPr>
      <t>17-08-2026 11:55</t>
    </r>
  </si>
  <si>
    <r>
      <rPr>
        <sz val="10"/>
        <color rgb="FF000000"/>
        <rFont val="JRFonts"/>
        <charset val="134"/>
      </rPr>
      <t>12-08-2026 17:52</t>
    </r>
  </si>
  <si>
    <t>22877</t>
  </si>
  <si>
    <r>
      <rPr>
        <sz val="10"/>
        <color rgb="FF0000FF"/>
        <rFont val="JRFonts"/>
        <charset val="134"/>
      </rPr>
      <t>22880</t>
    </r>
  </si>
  <si>
    <r>
      <rPr>
        <sz val="10"/>
        <color rgb="FF000000"/>
        <rFont val="JRFonts"/>
        <charset val="134"/>
      </rPr>
      <t>12-08-2026 18:05</t>
    </r>
  </si>
  <si>
    <r>
      <rPr>
        <sz val="10"/>
        <color rgb="FF000000"/>
        <rFont val="JRFonts"/>
        <charset val="134"/>
      </rPr>
      <t>17-08-2026 11:54</t>
    </r>
  </si>
  <si>
    <r>
      <rPr>
        <sz val="10"/>
        <color rgb="FF000000"/>
        <rFont val="JRFonts"/>
        <charset val="134"/>
      </rPr>
      <t>12-08-2026 18:08</t>
    </r>
  </si>
  <si>
    <t>22880</t>
  </si>
  <si>
    <r>
      <rPr>
        <sz val="10"/>
        <color rgb="FF0000FF"/>
        <rFont val="JRFonts"/>
        <charset val="134"/>
      </rPr>
      <t>22881</t>
    </r>
  </si>
  <si>
    <r>
      <rPr>
        <sz val="10"/>
        <color rgb="FF000000"/>
        <rFont val="JRFonts"/>
        <charset val="134"/>
      </rPr>
      <t>12-08-2026 18:17</t>
    </r>
  </si>
  <si>
    <r>
      <rPr>
        <sz val="10"/>
        <color rgb="FF000000"/>
        <rFont val="JRFonts"/>
        <charset val="134"/>
      </rPr>
      <t>18-08-2026 10:19</t>
    </r>
  </si>
  <si>
    <t>22881</t>
  </si>
  <si>
    <r>
      <rPr>
        <sz val="10"/>
        <color rgb="FF0000FF"/>
        <rFont val="JRFonts"/>
        <charset val="134"/>
      </rPr>
      <t>22882</t>
    </r>
  </si>
  <si>
    <r>
      <rPr>
        <sz val="10"/>
        <color rgb="FF000000"/>
        <rFont val="JRFonts"/>
        <charset val="134"/>
      </rPr>
      <t>13-08-2026 10:49</t>
    </r>
  </si>
  <si>
    <r>
      <rPr>
        <sz val="10"/>
        <color rgb="FF000000"/>
        <rFont val="JRFonts"/>
        <charset val="134"/>
      </rPr>
      <t>13-08-2026 10:33</t>
    </r>
  </si>
  <si>
    <r>
      <rPr>
        <sz val="10"/>
        <color rgb="FF0000FF"/>
        <rFont val="JRFonts"/>
        <charset val="134"/>
      </rPr>
      <t>22886</t>
    </r>
  </si>
  <si>
    <r>
      <rPr>
        <sz val="10"/>
        <color rgb="FF000000"/>
        <rFont val="JRFonts"/>
        <charset val="134"/>
      </rPr>
      <t>12-08-2026 20:04</t>
    </r>
  </si>
  <si>
    <r>
      <rPr>
        <sz val="10"/>
        <color rgb="FF000000"/>
        <rFont val="JRFonts"/>
        <charset val="134"/>
      </rPr>
      <t>21-08-2026 09:41</t>
    </r>
  </si>
  <si>
    <r>
      <rPr>
        <sz val="10"/>
        <color rgb="FF000000"/>
        <rFont val="JRFonts"/>
        <charset val="134"/>
      </rPr>
      <t>13-08-2026 10:27</t>
    </r>
  </si>
  <si>
    <r>
      <rPr>
        <sz val="10"/>
        <color rgb="FF0000FF"/>
        <rFont val="JRFonts"/>
        <charset val="134"/>
      </rPr>
      <t>22887</t>
    </r>
  </si>
  <si>
    <r>
      <rPr>
        <sz val="10"/>
        <color rgb="FF000000"/>
        <rFont val="JRFonts"/>
        <charset val="134"/>
      </rPr>
      <t>13-08-2026 10:06</t>
    </r>
  </si>
  <si>
    <r>
      <rPr>
        <sz val="10"/>
        <color rgb="FF000000"/>
        <rFont val="JRFonts"/>
        <charset val="134"/>
      </rPr>
      <t>17-08-2026 11:23</t>
    </r>
  </si>
  <si>
    <r>
      <rPr>
        <sz val="10"/>
        <color rgb="FF000000"/>
        <rFont val="JRFonts"/>
        <charset val="134"/>
      </rPr>
      <t>13-08-2026 11:09</t>
    </r>
  </si>
  <si>
    <t>22887</t>
  </si>
  <si>
    <r>
      <rPr>
        <sz val="10"/>
        <color rgb="FF0000FF"/>
        <rFont val="JRFonts"/>
        <charset val="134"/>
      </rPr>
      <t>22891</t>
    </r>
  </si>
  <si>
    <r>
      <rPr>
        <sz val="10"/>
        <color rgb="FF000000"/>
        <rFont val="JRFonts"/>
        <charset val="134"/>
      </rPr>
      <t>13-08-2026 10:24</t>
    </r>
  </si>
  <si>
    <r>
      <rPr>
        <sz val="10"/>
        <color rgb="FF000000"/>
        <rFont val="JRFonts"/>
        <charset val="134"/>
      </rPr>
      <t>19-08-2026 09:51</t>
    </r>
  </si>
  <si>
    <r>
      <rPr>
        <sz val="10"/>
        <color rgb="FF000000"/>
        <rFont val="JRFonts"/>
        <charset val="134"/>
      </rPr>
      <t>13-08-2026 10:37</t>
    </r>
  </si>
  <si>
    <t>22891</t>
  </si>
  <si>
    <r>
      <rPr>
        <sz val="10"/>
        <color rgb="FF0000FF"/>
        <rFont val="JRFonts"/>
        <charset val="134"/>
      </rPr>
      <t>22892</t>
    </r>
  </si>
  <si>
    <r>
      <rPr>
        <sz val="10"/>
        <color rgb="FF000000"/>
        <rFont val="JRFonts"/>
        <charset val="134"/>
      </rPr>
      <t>13-08-2026 11:15</t>
    </r>
  </si>
  <si>
    <r>
      <rPr>
        <sz val="10"/>
        <color rgb="FF000000"/>
        <rFont val="JRFonts"/>
        <charset val="134"/>
      </rPr>
      <t>13-08-2026 10:50</t>
    </r>
  </si>
  <si>
    <r>
      <rPr>
        <sz val="10"/>
        <color rgb="FF0000FF"/>
        <rFont val="JRFonts"/>
        <charset val="134"/>
      </rPr>
      <t>22893</t>
    </r>
  </si>
  <si>
    <r>
      <rPr>
        <sz val="10"/>
        <color rgb="FF000000"/>
        <rFont val="JRFonts"/>
        <charset val="134"/>
      </rPr>
      <t>02-09-2026 14:08</t>
    </r>
  </si>
  <si>
    <r>
      <rPr>
        <sz val="10"/>
        <color rgb="FF000000"/>
        <rFont val="JRFonts"/>
        <charset val="134"/>
      </rPr>
      <t>25-08-2026 13:52</t>
    </r>
  </si>
  <si>
    <t>22893</t>
  </si>
  <si>
    <r>
      <rPr>
        <sz val="10"/>
        <color rgb="FF0000FF"/>
        <rFont val="JRFonts"/>
        <charset val="134"/>
      </rPr>
      <t>22894</t>
    </r>
  </si>
  <si>
    <r>
      <rPr>
        <sz val="10"/>
        <color rgb="FF0000FF"/>
        <rFont val="JRFonts"/>
        <charset val="134"/>
      </rPr>
      <t>22895</t>
    </r>
  </si>
  <si>
    <r>
      <rPr>
        <sz val="10"/>
        <color rgb="FF000000"/>
        <rFont val="JRFonts"/>
        <charset val="134"/>
      </rPr>
      <t>20-08-2026 10:38</t>
    </r>
  </si>
  <si>
    <r>
      <rPr>
        <sz val="10"/>
        <color rgb="FF000000"/>
        <rFont val="JRFonts"/>
        <charset val="134"/>
      </rPr>
      <t>13-08-2026 11:07</t>
    </r>
  </si>
  <si>
    <r>
      <rPr>
        <sz val="10"/>
        <color rgb="FF0000FF"/>
        <rFont val="JRFonts"/>
        <charset val="134"/>
      </rPr>
      <t>22896</t>
    </r>
  </si>
  <si>
    <r>
      <rPr>
        <sz val="10"/>
        <color rgb="FF000000"/>
        <rFont val="JRFonts"/>
        <charset val="134"/>
      </rPr>
      <t>13-08-2026 11:16</t>
    </r>
  </si>
  <si>
    <r>
      <rPr>
        <sz val="10"/>
        <color rgb="FF000000"/>
        <rFont val="JRFonts"/>
        <charset val="134"/>
      </rPr>
      <t>13-08-2026 11:06</t>
    </r>
  </si>
  <si>
    <r>
      <rPr>
        <sz val="10"/>
        <color rgb="FF0000FF"/>
        <rFont val="JRFonts"/>
        <charset val="134"/>
      </rPr>
      <t>22897</t>
    </r>
  </si>
  <si>
    <r>
      <rPr>
        <sz val="10"/>
        <color rgb="FF000000"/>
        <rFont val="JRFonts"/>
        <charset val="134"/>
      </rPr>
      <t>31-08-2026 11:10</t>
    </r>
  </si>
  <si>
    <r>
      <rPr>
        <sz val="10"/>
        <color rgb="FF000000"/>
        <rFont val="JRFonts"/>
        <charset val="134"/>
      </rPr>
      <t>13-08-2026 11:30</t>
    </r>
  </si>
  <si>
    <t>22897</t>
  </si>
  <si>
    <r>
      <rPr>
        <sz val="10"/>
        <color rgb="FF0000FF"/>
        <rFont val="JRFonts"/>
        <charset val="134"/>
      </rPr>
      <t>22898</t>
    </r>
  </si>
  <si>
    <r>
      <rPr>
        <sz val="10"/>
        <color rgb="FF000000"/>
        <rFont val="JRFonts"/>
        <charset val="134"/>
      </rPr>
      <t>31-08-2026 14:14</t>
    </r>
  </si>
  <si>
    <r>
      <rPr>
        <sz val="10"/>
        <color rgb="FF000000"/>
        <rFont val="JRFonts"/>
        <charset val="134"/>
      </rPr>
      <t>13-08-2026 11:21</t>
    </r>
  </si>
  <si>
    <r>
      <rPr>
        <sz val="10"/>
        <color rgb="FF0000FF"/>
        <rFont val="JRFonts"/>
        <charset val="134"/>
      </rPr>
      <t>22899</t>
    </r>
  </si>
  <si>
    <r>
      <rPr>
        <sz val="10"/>
        <color rgb="FF000000"/>
        <rFont val="JRFonts"/>
        <charset val="134"/>
      </rPr>
      <t>13-08-2026 11:45</t>
    </r>
  </si>
  <si>
    <r>
      <rPr>
        <sz val="10"/>
        <color rgb="FF000000"/>
        <rFont val="JRFonts"/>
        <charset val="134"/>
      </rPr>
      <t>13-08-2026 11:32</t>
    </r>
  </si>
  <si>
    <r>
      <rPr>
        <sz val="10"/>
        <color rgb="FF0000FF"/>
        <rFont val="JRFonts"/>
        <charset val="134"/>
      </rPr>
      <t>22900</t>
    </r>
  </si>
  <si>
    <r>
      <rPr>
        <sz val="10"/>
        <color rgb="FF000000"/>
        <rFont val="JRFonts"/>
        <charset val="134"/>
      </rPr>
      <t>13-08-2026 11:19</t>
    </r>
  </si>
  <si>
    <r>
      <rPr>
        <sz val="10"/>
        <color rgb="FF000000"/>
        <rFont val="JRFonts"/>
        <charset val="134"/>
      </rPr>
      <t>13-08-2026 12:08</t>
    </r>
  </si>
  <si>
    <r>
      <rPr>
        <sz val="10"/>
        <color rgb="FF000000"/>
        <rFont val="JRFonts"/>
        <charset val="134"/>
      </rPr>
      <t>13-08-2026 11:22</t>
    </r>
  </si>
  <si>
    <r>
      <rPr>
        <sz val="10"/>
        <color rgb="FF0000FF"/>
        <rFont val="JRFonts"/>
        <charset val="134"/>
      </rPr>
      <t>22901</t>
    </r>
  </si>
  <si>
    <r>
      <rPr>
        <sz val="10"/>
        <color rgb="FF000000"/>
        <rFont val="JRFonts"/>
        <charset val="134"/>
      </rPr>
      <t>13-08-2026 12:16</t>
    </r>
  </si>
  <si>
    <r>
      <rPr>
        <sz val="10"/>
        <color rgb="FF000000"/>
        <rFont val="JRFonts"/>
        <charset val="134"/>
      </rPr>
      <t>13-08-2026 11:29</t>
    </r>
  </si>
  <si>
    <r>
      <rPr>
        <sz val="10"/>
        <color rgb="FF0000FF"/>
        <rFont val="JRFonts"/>
        <charset val="134"/>
      </rPr>
      <t>22903</t>
    </r>
  </si>
  <si>
    <r>
      <rPr>
        <sz val="10"/>
        <color rgb="FF000000"/>
        <rFont val="JRFonts"/>
        <charset val="134"/>
      </rPr>
      <t>17-08-2026 16:01</t>
    </r>
  </si>
  <si>
    <t>22903</t>
  </si>
  <si>
    <r>
      <rPr>
        <sz val="10"/>
        <color rgb="FF0000FF"/>
        <rFont val="JRFonts"/>
        <charset val="134"/>
      </rPr>
      <t>22905</t>
    </r>
  </si>
  <si>
    <r>
      <rPr>
        <sz val="10"/>
        <color rgb="FF000000"/>
        <rFont val="JRFonts"/>
        <charset val="134"/>
      </rPr>
      <t>13-08-2026 11:50</t>
    </r>
  </si>
  <si>
    <r>
      <rPr>
        <sz val="10"/>
        <color rgb="FF000000"/>
        <rFont val="JRFonts"/>
        <charset val="134"/>
      </rPr>
      <t>13-08-2026 18:24</t>
    </r>
  </si>
  <si>
    <r>
      <rPr>
        <sz val="10"/>
        <color rgb="FF000000"/>
        <rFont val="JRFonts"/>
        <charset val="134"/>
      </rPr>
      <t>13-08-2026 12:26</t>
    </r>
  </si>
  <si>
    <r>
      <rPr>
        <sz val="10"/>
        <color rgb="FF0000FF"/>
        <rFont val="JRFonts"/>
        <charset val="134"/>
      </rPr>
      <t>22907</t>
    </r>
  </si>
  <si>
    <r>
      <rPr>
        <sz val="10"/>
        <color rgb="FF000000"/>
        <rFont val="JRFonts"/>
        <charset val="134"/>
      </rPr>
      <t>13-08-2026 11:56</t>
    </r>
  </si>
  <si>
    <r>
      <rPr>
        <sz val="10"/>
        <color rgb="FF000000"/>
        <rFont val="JRFonts"/>
        <charset val="134"/>
      </rPr>
      <t>14-08-2026 10:49</t>
    </r>
  </si>
  <si>
    <r>
      <rPr>
        <sz val="10"/>
        <color rgb="FF000000"/>
        <rFont val="JRFonts"/>
        <charset val="134"/>
      </rPr>
      <t>13-08-2026 12:02</t>
    </r>
  </si>
  <si>
    <t>22907</t>
  </si>
  <si>
    <r>
      <rPr>
        <sz val="10"/>
        <color rgb="FF0000FF"/>
        <rFont val="JRFonts"/>
        <charset val="134"/>
      </rPr>
      <t>22908</t>
    </r>
  </si>
  <si>
    <r>
      <rPr>
        <sz val="10"/>
        <color rgb="FF000000"/>
        <rFont val="JRFonts"/>
        <charset val="134"/>
      </rPr>
      <t>13-08-2026 12:14</t>
    </r>
  </si>
  <si>
    <r>
      <rPr>
        <sz val="10"/>
        <color rgb="FF000000"/>
        <rFont val="JRFonts"/>
        <charset val="134"/>
      </rPr>
      <t>22-08-2026 10:24</t>
    </r>
  </si>
  <si>
    <r>
      <rPr>
        <sz val="10"/>
        <color rgb="FF000000"/>
        <rFont val="JRFonts"/>
        <charset val="134"/>
      </rPr>
      <t>13-08-2026 12:28</t>
    </r>
  </si>
  <si>
    <r>
      <rPr>
        <sz val="10"/>
        <color rgb="FF0000FF"/>
        <rFont val="JRFonts"/>
        <charset val="134"/>
      </rPr>
      <t>22909</t>
    </r>
  </si>
  <si>
    <r>
      <rPr>
        <sz val="10"/>
        <color rgb="FF000000"/>
        <rFont val="JRFonts"/>
        <charset val="134"/>
      </rPr>
      <t>13-08-2026 12:27</t>
    </r>
  </si>
  <si>
    <r>
      <rPr>
        <sz val="10"/>
        <color rgb="FF000000"/>
        <rFont val="JRFonts"/>
        <charset val="134"/>
      </rPr>
      <t>13-08-2026 14:33</t>
    </r>
  </si>
  <si>
    <r>
      <rPr>
        <sz val="10"/>
        <color rgb="FF000000"/>
        <rFont val="JRFonts"/>
        <charset val="134"/>
      </rPr>
      <t>13-08-2026 14:07</t>
    </r>
  </si>
  <si>
    <r>
      <rPr>
        <sz val="10"/>
        <color rgb="FF0000FF"/>
        <rFont val="JRFonts"/>
        <charset val="134"/>
      </rPr>
      <t>22912</t>
    </r>
  </si>
  <si>
    <r>
      <rPr>
        <sz val="10"/>
        <color rgb="FF000000"/>
        <rFont val="JRFonts"/>
        <charset val="134"/>
      </rPr>
      <t>13-08-2026 12:36</t>
    </r>
  </si>
  <si>
    <r>
      <rPr>
        <sz val="10"/>
        <color rgb="FF000000"/>
        <rFont val="JRFonts"/>
        <charset val="134"/>
      </rPr>
      <t>13-08-2026 15:08</t>
    </r>
  </si>
  <si>
    <r>
      <rPr>
        <sz val="10"/>
        <color rgb="FF000000"/>
        <rFont val="JRFonts"/>
        <charset val="134"/>
      </rPr>
      <t>13-08-2026 12:42</t>
    </r>
  </si>
  <si>
    <r>
      <rPr>
        <sz val="10"/>
        <color rgb="FF0000FF"/>
        <rFont val="JRFonts"/>
        <charset val="134"/>
      </rPr>
      <t>22913</t>
    </r>
  </si>
  <si>
    <r>
      <rPr>
        <sz val="10"/>
        <color rgb="FF000000"/>
        <rFont val="JRFonts"/>
        <charset val="134"/>
      </rPr>
      <t>13-08-2026 12:45</t>
    </r>
  </si>
  <si>
    <r>
      <rPr>
        <sz val="10"/>
        <color rgb="FF000000"/>
        <rFont val="JRFonts"/>
        <charset val="134"/>
      </rPr>
      <t>14-08-2026 14:57</t>
    </r>
  </si>
  <si>
    <r>
      <rPr>
        <sz val="10"/>
        <color rgb="FF000000"/>
        <rFont val="JRFonts"/>
        <charset val="134"/>
      </rPr>
      <t>13-08-2026 12:51</t>
    </r>
  </si>
  <si>
    <r>
      <rPr>
        <sz val="10"/>
        <color rgb="FF0000FF"/>
        <rFont val="JRFonts"/>
        <charset val="134"/>
      </rPr>
      <t>22915</t>
    </r>
  </si>
  <si>
    <r>
      <rPr>
        <sz val="10"/>
        <color rgb="FF000000"/>
        <rFont val="JRFonts"/>
        <charset val="134"/>
      </rPr>
      <t>19-08-2026 11:12</t>
    </r>
  </si>
  <si>
    <r>
      <rPr>
        <sz val="10"/>
        <color rgb="FF000000"/>
        <rFont val="JRFonts"/>
        <charset val="134"/>
      </rPr>
      <t>13-08-2026 15:30</t>
    </r>
  </si>
  <si>
    <t>22915</t>
  </si>
  <si>
    <r>
      <rPr>
        <sz val="10"/>
        <color rgb="FF0000FF"/>
        <rFont val="JRFonts"/>
        <charset val="134"/>
      </rPr>
      <t>22916</t>
    </r>
  </si>
  <si>
    <r>
      <rPr>
        <sz val="10"/>
        <color rgb="FF000000"/>
        <rFont val="JRFonts"/>
        <charset val="134"/>
      </rPr>
      <t>14-08-2026 11:44</t>
    </r>
  </si>
  <si>
    <r>
      <rPr>
        <sz val="10"/>
        <color rgb="FF000000"/>
        <rFont val="JRFonts"/>
        <charset val="134"/>
      </rPr>
      <t>13-08-2026 12:56</t>
    </r>
  </si>
  <si>
    <r>
      <rPr>
        <sz val="10"/>
        <color rgb="FF0000FF"/>
        <rFont val="JRFonts"/>
        <charset val="134"/>
      </rPr>
      <t>22918</t>
    </r>
  </si>
  <si>
    <r>
      <rPr>
        <sz val="10"/>
        <color rgb="FF000000"/>
        <rFont val="JRFonts"/>
        <charset val="134"/>
      </rPr>
      <t>13-08-2026 13:07</t>
    </r>
  </si>
  <si>
    <r>
      <rPr>
        <sz val="10"/>
        <color rgb="FF000000"/>
        <rFont val="JRFonts"/>
        <charset val="134"/>
      </rPr>
      <t>20-08-2026 14:51</t>
    </r>
  </si>
  <si>
    <r>
      <rPr>
        <sz val="10"/>
        <color rgb="FF000000"/>
        <rFont val="JRFonts"/>
        <charset val="134"/>
      </rPr>
      <t>13-08-2026 14:10</t>
    </r>
  </si>
  <si>
    <t>22918</t>
  </si>
  <si>
    <r>
      <rPr>
        <sz val="10"/>
        <color rgb="FF0000FF"/>
        <rFont val="JRFonts"/>
        <charset val="134"/>
      </rPr>
      <t>22919</t>
    </r>
  </si>
  <si>
    <r>
      <rPr>
        <sz val="10"/>
        <color rgb="FF000000"/>
        <rFont val="JRFonts"/>
        <charset val="134"/>
      </rPr>
      <t>13-08-2026 13:15</t>
    </r>
  </si>
  <si>
    <r>
      <rPr>
        <sz val="10"/>
        <color rgb="FF000000"/>
        <rFont val="JRFonts"/>
        <charset val="134"/>
      </rPr>
      <t>02-09-2026 17:33</t>
    </r>
  </si>
  <si>
    <r>
      <rPr>
        <sz val="10"/>
        <color rgb="FF000000"/>
        <rFont val="JRFonts"/>
        <charset val="134"/>
      </rPr>
      <t>14-08-2026 15:48</t>
    </r>
  </si>
  <si>
    <t>22919</t>
  </si>
  <si>
    <r>
      <rPr>
        <sz val="10"/>
        <color rgb="FF0000FF"/>
        <rFont val="JRFonts"/>
        <charset val="134"/>
      </rPr>
      <t>22920</t>
    </r>
  </si>
  <si>
    <r>
      <rPr>
        <sz val="10"/>
        <color rgb="FF000000"/>
        <rFont val="JRFonts"/>
        <charset val="134"/>
      </rPr>
      <t>13-08-2026 13:21</t>
    </r>
  </si>
  <si>
    <r>
      <rPr>
        <sz val="10"/>
        <color rgb="FF000000"/>
        <rFont val="JRFonts"/>
        <charset val="134"/>
      </rPr>
      <t>13-08-2026 17:06</t>
    </r>
  </si>
  <si>
    <r>
      <rPr>
        <sz val="10"/>
        <color rgb="FF000000"/>
        <rFont val="JRFonts"/>
        <charset val="134"/>
      </rPr>
      <t>13-08-2026 14:12</t>
    </r>
  </si>
  <si>
    <r>
      <rPr>
        <sz val="10"/>
        <color rgb="FF0000FF"/>
        <rFont val="JRFonts"/>
        <charset val="134"/>
      </rPr>
      <t>22927</t>
    </r>
  </si>
  <si>
    <r>
      <rPr>
        <sz val="10"/>
        <color rgb="FF000000"/>
        <rFont val="JRFonts"/>
        <charset val="134"/>
      </rPr>
      <t>17-08-2026 11:48</t>
    </r>
  </si>
  <si>
    <r>
      <rPr>
        <sz val="10"/>
        <color rgb="FF000000"/>
        <rFont val="JRFonts"/>
        <charset val="134"/>
      </rPr>
      <t>13-08-2026 14:18</t>
    </r>
  </si>
  <si>
    <t>22927</t>
  </si>
  <si>
    <r>
      <rPr>
        <sz val="10"/>
        <color rgb="FF0000FF"/>
        <rFont val="JRFonts"/>
        <charset val="134"/>
      </rPr>
      <t>22928</t>
    </r>
  </si>
  <si>
    <r>
      <rPr>
        <sz val="10"/>
        <color rgb="FF000000"/>
        <rFont val="JRFonts"/>
        <charset val="134"/>
      </rPr>
      <t>13-08-2026 14:37</t>
    </r>
  </si>
  <si>
    <r>
      <rPr>
        <sz val="10"/>
        <color rgb="FF000000"/>
        <rFont val="JRFonts"/>
        <charset val="134"/>
      </rPr>
      <t>20-08-2026 11:25</t>
    </r>
  </si>
  <si>
    <r>
      <rPr>
        <sz val="10"/>
        <color rgb="FF000000"/>
        <rFont val="JRFonts"/>
        <charset val="134"/>
      </rPr>
      <t>19-08-2026 10:38</t>
    </r>
  </si>
  <si>
    <r>
      <rPr>
        <sz val="10"/>
        <color rgb="FF0000FF"/>
        <rFont val="JRFonts"/>
        <charset val="134"/>
      </rPr>
      <t>22929</t>
    </r>
  </si>
  <si>
    <r>
      <rPr>
        <sz val="10"/>
        <color rgb="FF000000"/>
        <rFont val="JRFonts"/>
        <charset val="134"/>
      </rPr>
      <t>13-08-2026 14:46</t>
    </r>
  </si>
  <si>
    <r>
      <rPr>
        <sz val="10"/>
        <color rgb="FF000000"/>
        <rFont val="JRFonts"/>
        <charset val="134"/>
      </rPr>
      <t>20-08-2026 17:30</t>
    </r>
  </si>
  <si>
    <r>
      <rPr>
        <sz val="10"/>
        <color rgb="FF000000"/>
        <rFont val="JRFonts"/>
        <charset val="134"/>
      </rPr>
      <t>13-08-2026 14:49</t>
    </r>
  </si>
  <si>
    <t>22929</t>
  </si>
  <si>
    <t>OCR ticket</t>
  </si>
  <si>
    <r>
      <rPr>
        <sz val="10"/>
        <color rgb="FF0000FF"/>
        <rFont val="JRFonts"/>
        <charset val="134"/>
      </rPr>
      <t>22931</t>
    </r>
  </si>
  <si>
    <r>
      <rPr>
        <sz val="10"/>
        <color rgb="FF000000"/>
        <rFont val="JRFonts"/>
        <charset val="134"/>
      </rPr>
      <t>13-08-2026 14:59</t>
    </r>
  </si>
  <si>
    <r>
      <rPr>
        <sz val="10"/>
        <color rgb="FF000000"/>
        <rFont val="JRFonts"/>
        <charset val="134"/>
      </rPr>
      <t>14-08-2026 11:40</t>
    </r>
  </si>
  <si>
    <r>
      <rPr>
        <sz val="10"/>
        <color rgb="FF000000"/>
        <rFont val="JRFonts"/>
        <charset val="134"/>
      </rPr>
      <t>13-08-2026 15:03</t>
    </r>
  </si>
  <si>
    <r>
      <rPr>
        <sz val="10"/>
        <color rgb="FF0000FF"/>
        <rFont val="JRFonts"/>
        <charset val="134"/>
      </rPr>
      <t>22933</t>
    </r>
  </si>
  <si>
    <r>
      <rPr>
        <sz val="10"/>
        <color rgb="FF000000"/>
        <rFont val="JRFonts"/>
        <charset val="134"/>
      </rPr>
      <t>13-08-2026 15:20</t>
    </r>
  </si>
  <si>
    <r>
      <rPr>
        <sz val="10"/>
        <color rgb="FF000000"/>
        <rFont val="JRFonts"/>
        <charset val="134"/>
      </rPr>
      <t>14-08-2026 11:37</t>
    </r>
  </si>
  <si>
    <r>
      <rPr>
        <sz val="10"/>
        <color rgb="FF000000"/>
        <rFont val="JRFonts"/>
        <charset val="134"/>
      </rPr>
      <t>13-08-2026 15:26</t>
    </r>
  </si>
  <si>
    <r>
      <rPr>
        <sz val="10"/>
        <color rgb="FF0000FF"/>
        <rFont val="JRFonts"/>
        <charset val="134"/>
      </rPr>
      <t>22934</t>
    </r>
  </si>
  <si>
    <r>
      <rPr>
        <sz val="10"/>
        <color rgb="FF000000"/>
        <rFont val="JRFonts"/>
        <charset val="134"/>
      </rPr>
      <t>20-08-2026 17:36</t>
    </r>
  </si>
  <si>
    <r>
      <rPr>
        <sz val="10"/>
        <color rgb="FF000000"/>
        <rFont val="JRFonts"/>
        <charset val="134"/>
      </rPr>
      <t>13-08-2026 15:28</t>
    </r>
  </si>
  <si>
    <t>22934</t>
  </si>
  <si>
    <r>
      <rPr>
        <sz val="10"/>
        <color rgb="FF0000FF"/>
        <rFont val="JRFonts"/>
        <charset val="134"/>
      </rPr>
      <t>22935</t>
    </r>
  </si>
  <si>
    <r>
      <rPr>
        <sz val="10"/>
        <color rgb="FF000000"/>
        <rFont val="JRFonts"/>
        <charset val="134"/>
      </rPr>
      <t>14-08-2026 11:35</t>
    </r>
  </si>
  <si>
    <r>
      <rPr>
        <sz val="10"/>
        <color rgb="FF000000"/>
        <rFont val="JRFonts"/>
        <charset val="134"/>
      </rPr>
      <t>13-08-2026 15:27</t>
    </r>
  </si>
  <si>
    <r>
      <rPr>
        <sz val="10"/>
        <color rgb="FF0000FF"/>
        <rFont val="JRFonts"/>
        <charset val="134"/>
      </rPr>
      <t>22937</t>
    </r>
  </si>
  <si>
    <r>
      <rPr>
        <sz val="10"/>
        <color rgb="FF000000"/>
        <rFont val="JRFonts"/>
        <charset val="134"/>
      </rPr>
      <t>24-08-2026 18:11</t>
    </r>
  </si>
  <si>
    <r>
      <rPr>
        <sz val="10"/>
        <color rgb="FF000000"/>
        <rFont val="JRFonts"/>
        <charset val="134"/>
      </rPr>
      <t>13-08-2026 15:33</t>
    </r>
  </si>
  <si>
    <t>22937</t>
  </si>
  <si>
    <r>
      <rPr>
        <sz val="10"/>
        <color rgb="FF0000FF"/>
        <rFont val="JRFonts"/>
        <charset val="134"/>
      </rPr>
      <t>22941</t>
    </r>
  </si>
  <si>
    <r>
      <rPr>
        <sz val="10"/>
        <color rgb="FF000000"/>
        <rFont val="JRFonts"/>
        <charset val="134"/>
      </rPr>
      <t>13-08-2026 15:50</t>
    </r>
  </si>
  <si>
    <r>
      <rPr>
        <sz val="10"/>
        <color rgb="FF000000"/>
        <rFont val="JRFonts"/>
        <charset val="134"/>
      </rPr>
      <t>25-08-2026 12:51</t>
    </r>
  </si>
  <si>
    <r>
      <rPr>
        <sz val="10"/>
        <color rgb="FF000000"/>
        <rFont val="JRFonts"/>
        <charset val="134"/>
      </rPr>
      <t>14-08-2026 14:25</t>
    </r>
  </si>
  <si>
    <r>
      <rPr>
        <sz val="10"/>
        <color rgb="FF0000FF"/>
        <rFont val="JRFonts"/>
        <charset val="134"/>
      </rPr>
      <t>22943</t>
    </r>
  </si>
  <si>
    <r>
      <rPr>
        <sz val="10"/>
        <color rgb="FF000000"/>
        <rFont val="JRFonts"/>
        <charset val="134"/>
      </rPr>
      <t>13-08-2026 16:03</t>
    </r>
  </si>
  <si>
    <r>
      <rPr>
        <sz val="10"/>
        <color rgb="FF000000"/>
        <rFont val="JRFonts"/>
        <charset val="134"/>
      </rPr>
      <t>13-08-2026 16:10</t>
    </r>
  </si>
  <si>
    <t>22943</t>
  </si>
  <si>
    <r>
      <rPr>
        <sz val="10"/>
        <color rgb="FF0000FF"/>
        <rFont val="JRFonts"/>
        <charset val="134"/>
      </rPr>
      <t>22944</t>
    </r>
  </si>
  <si>
    <r>
      <rPr>
        <sz val="10"/>
        <color rgb="FF000000"/>
        <rFont val="JRFonts"/>
        <charset val="134"/>
      </rPr>
      <t>13-08-2026 16:21</t>
    </r>
  </si>
  <si>
    <r>
      <rPr>
        <sz val="10"/>
        <color rgb="FF000000"/>
        <rFont val="JRFonts"/>
        <charset val="134"/>
      </rPr>
      <t>13-08-2026 16:08</t>
    </r>
  </si>
  <si>
    <r>
      <rPr>
        <sz val="10"/>
        <color rgb="FF0000FF"/>
        <rFont val="JRFonts"/>
        <charset val="134"/>
      </rPr>
      <t>22945</t>
    </r>
  </si>
  <si>
    <r>
      <rPr>
        <sz val="10"/>
        <color rgb="FF000000"/>
        <rFont val="JRFonts"/>
        <charset val="134"/>
      </rPr>
      <t>24-08-2026 16:45</t>
    </r>
  </si>
  <si>
    <r>
      <rPr>
        <sz val="10"/>
        <color rgb="FF000000"/>
        <rFont val="JRFonts"/>
        <charset val="134"/>
      </rPr>
      <t>13-08-2026 17:00</t>
    </r>
  </si>
  <si>
    <r>
      <rPr>
        <sz val="10"/>
        <color rgb="FF0000FF"/>
        <rFont val="JRFonts"/>
        <charset val="134"/>
      </rPr>
      <t>22948</t>
    </r>
  </si>
  <si>
    <r>
      <rPr>
        <sz val="10"/>
        <color rgb="FF000000"/>
        <rFont val="JRFonts"/>
        <charset val="134"/>
      </rPr>
      <t>13-08-2026 16:55</t>
    </r>
  </si>
  <si>
    <r>
      <rPr>
        <sz val="10"/>
        <color rgb="FF000000"/>
        <rFont val="JRFonts"/>
        <charset val="134"/>
      </rPr>
      <t>13-08-2026 16:27</t>
    </r>
  </si>
  <si>
    <r>
      <rPr>
        <sz val="10"/>
        <color rgb="FF0000FF"/>
        <rFont val="JRFonts"/>
        <charset val="134"/>
      </rPr>
      <t>22949</t>
    </r>
  </si>
  <si>
    <r>
      <rPr>
        <sz val="10"/>
        <color rgb="FF000000"/>
        <rFont val="JRFonts"/>
        <charset val="134"/>
      </rPr>
      <t>13-08-2026 16:24</t>
    </r>
  </si>
  <si>
    <r>
      <rPr>
        <sz val="10"/>
        <color rgb="FF000000"/>
        <rFont val="JRFonts"/>
        <charset val="134"/>
      </rPr>
      <t>13-08-2026 16:51</t>
    </r>
  </si>
  <si>
    <r>
      <rPr>
        <sz val="10"/>
        <color rgb="FF000000"/>
        <rFont val="JRFonts"/>
        <charset val="134"/>
      </rPr>
      <t>13-08-2026 16:41</t>
    </r>
  </si>
  <si>
    <r>
      <rPr>
        <sz val="10"/>
        <color rgb="FF0000FF"/>
        <rFont val="JRFonts"/>
        <charset val="134"/>
      </rPr>
      <t>22950</t>
    </r>
  </si>
  <si>
    <r>
      <rPr>
        <sz val="10"/>
        <color rgb="FF000000"/>
        <rFont val="JRFonts"/>
        <charset val="134"/>
      </rPr>
      <t>13-08-2026 16:30</t>
    </r>
  </si>
  <si>
    <r>
      <rPr>
        <sz val="10"/>
        <color rgb="FF000000"/>
        <rFont val="JRFonts"/>
        <charset val="134"/>
      </rPr>
      <t>03-09-2026 15:07</t>
    </r>
  </si>
  <si>
    <r>
      <rPr>
        <sz val="10"/>
        <color rgb="FF000000"/>
        <rFont val="JRFonts"/>
        <charset val="134"/>
      </rPr>
      <t>13-08-2026 16:43</t>
    </r>
  </si>
  <si>
    <t>22950</t>
  </si>
  <si>
    <r>
      <rPr>
        <sz val="10"/>
        <color rgb="FF0000FF"/>
        <rFont val="JRFonts"/>
        <charset val="134"/>
      </rPr>
      <t>22951</t>
    </r>
  </si>
  <si>
    <r>
      <rPr>
        <sz val="10"/>
        <color rgb="FF000000"/>
        <rFont val="JRFonts"/>
        <charset val="134"/>
      </rPr>
      <t>13-08-2026 16:33</t>
    </r>
  </si>
  <si>
    <r>
      <rPr>
        <sz val="10"/>
        <color rgb="FF000000"/>
        <rFont val="JRFonts"/>
        <charset val="134"/>
      </rPr>
      <t>13-08-2026 17:04</t>
    </r>
  </si>
  <si>
    <t>22951</t>
  </si>
  <si>
    <r>
      <rPr>
        <sz val="10"/>
        <color rgb="FF0000FF"/>
        <rFont val="JRFonts"/>
        <charset val="134"/>
      </rPr>
      <t>22952</t>
    </r>
  </si>
  <si>
    <r>
      <rPr>
        <sz val="10"/>
        <color rgb="FF000000"/>
        <rFont val="JRFonts"/>
        <charset val="134"/>
      </rPr>
      <t>13-08-2026 16:48</t>
    </r>
  </si>
  <si>
    <r>
      <rPr>
        <sz val="10"/>
        <color rgb="FF000000"/>
        <rFont val="JRFonts"/>
        <charset val="134"/>
      </rPr>
      <t>13-08-2026 17:20</t>
    </r>
  </si>
  <si>
    <r>
      <rPr>
        <sz val="10"/>
        <color rgb="FF000000"/>
        <rFont val="JRFonts"/>
        <charset val="134"/>
      </rPr>
      <t>13-08-2026 17:03</t>
    </r>
  </si>
  <si>
    <r>
      <rPr>
        <sz val="10"/>
        <color rgb="FF0000FF"/>
        <rFont val="JRFonts"/>
        <charset val="134"/>
      </rPr>
      <t>22953</t>
    </r>
  </si>
  <si>
    <r>
      <rPr>
        <sz val="10"/>
        <color rgb="FF000000"/>
        <rFont val="JRFonts"/>
        <charset val="134"/>
      </rPr>
      <t>22-08-2026 22:21</t>
    </r>
  </si>
  <si>
    <r>
      <rPr>
        <sz val="10"/>
        <color rgb="FF000000"/>
        <rFont val="JRFonts"/>
        <charset val="134"/>
      </rPr>
      <t>22-08-2026 14:49</t>
    </r>
  </si>
  <si>
    <r>
      <rPr>
        <sz val="10"/>
        <color rgb="FF0000FF"/>
        <rFont val="JRFonts"/>
        <charset val="134"/>
      </rPr>
      <t>22954</t>
    </r>
  </si>
  <si>
    <r>
      <rPr>
        <sz val="10"/>
        <color rgb="FF000000"/>
        <rFont val="JRFonts"/>
        <charset val="134"/>
      </rPr>
      <t>13-08-2026 16:54</t>
    </r>
  </si>
  <si>
    <r>
      <rPr>
        <sz val="10"/>
        <color rgb="FF000000"/>
        <rFont val="JRFonts"/>
        <charset val="134"/>
      </rPr>
      <t>30-09-2026 14:39</t>
    </r>
  </si>
  <si>
    <r>
      <rPr>
        <sz val="10"/>
        <color rgb="FF000000"/>
        <rFont val="JRFonts"/>
        <charset val="134"/>
      </rPr>
      <t>30-09-2026 12:32</t>
    </r>
  </si>
  <si>
    <r>
      <rPr>
        <sz val="10"/>
        <color rgb="FF0000FF"/>
        <rFont val="JRFonts"/>
        <charset val="134"/>
      </rPr>
      <t>22955</t>
    </r>
  </si>
  <si>
    <r>
      <rPr>
        <sz val="10"/>
        <color rgb="FF000000"/>
        <rFont val="JRFonts"/>
        <charset val="134"/>
      </rPr>
      <t>13-08-2026 17:10</t>
    </r>
  </si>
  <si>
    <r>
      <rPr>
        <sz val="10"/>
        <color rgb="FF000000"/>
        <rFont val="JRFonts"/>
        <charset val="134"/>
      </rPr>
      <t>30-09-2026 10:28</t>
    </r>
  </si>
  <si>
    <r>
      <rPr>
        <sz val="10"/>
        <color rgb="FF000000"/>
        <rFont val="JRFonts"/>
        <charset val="134"/>
      </rPr>
      <t>13-08-2026 17:23</t>
    </r>
  </si>
  <si>
    <r>
      <rPr>
        <sz val="10"/>
        <color rgb="FF0000FF"/>
        <rFont val="JRFonts"/>
        <charset val="134"/>
      </rPr>
      <t>22956</t>
    </r>
  </si>
  <si>
    <r>
      <rPr>
        <sz val="10"/>
        <color rgb="FF000000"/>
        <rFont val="JRFonts"/>
        <charset val="134"/>
      </rPr>
      <t>31-08-2026 14:35</t>
    </r>
  </si>
  <si>
    <r>
      <rPr>
        <sz val="10"/>
        <color rgb="FF000000"/>
        <rFont val="JRFonts"/>
        <charset val="134"/>
      </rPr>
      <t>13-08-2026 18:15</t>
    </r>
  </si>
  <si>
    <t>22956</t>
  </si>
  <si>
    <r>
      <rPr>
        <sz val="10"/>
        <color rgb="FF0000FF"/>
        <rFont val="JRFonts"/>
        <charset val="134"/>
      </rPr>
      <t>22957</t>
    </r>
  </si>
  <si>
    <r>
      <rPr>
        <sz val="10"/>
        <color rgb="FF000000"/>
        <rFont val="JRFonts"/>
        <charset val="134"/>
      </rPr>
      <t>13-08-2026 17:22</t>
    </r>
  </si>
  <si>
    <r>
      <rPr>
        <sz val="10"/>
        <color rgb="FF000000"/>
        <rFont val="JRFonts"/>
        <charset val="134"/>
      </rPr>
      <t>14-08-2026 12:17</t>
    </r>
  </si>
  <si>
    <r>
      <rPr>
        <sz val="10"/>
        <color rgb="FF000000"/>
        <rFont val="JRFonts"/>
        <charset val="134"/>
      </rPr>
      <t>13-08-2026 17:31</t>
    </r>
  </si>
  <si>
    <r>
      <rPr>
        <sz val="10"/>
        <color rgb="FF0000FF"/>
        <rFont val="JRFonts"/>
        <charset val="134"/>
      </rPr>
      <t>22959</t>
    </r>
  </si>
  <si>
    <r>
      <rPr>
        <sz val="10"/>
        <color rgb="FF000000"/>
        <rFont val="JRFonts"/>
        <charset val="134"/>
      </rPr>
      <t>13-08-2026 17:25</t>
    </r>
  </si>
  <si>
    <r>
      <rPr>
        <sz val="10"/>
        <color rgb="FF000000"/>
        <rFont val="JRFonts"/>
        <charset val="134"/>
      </rPr>
      <t>03-09-2026 12:58</t>
    </r>
  </si>
  <si>
    <r>
      <rPr>
        <sz val="10"/>
        <color rgb="FF000000"/>
        <rFont val="JRFonts"/>
        <charset val="134"/>
      </rPr>
      <t>13-08-2026 18:21</t>
    </r>
  </si>
  <si>
    <t>22959</t>
  </si>
  <si>
    <r>
      <rPr>
        <sz val="10"/>
        <color rgb="FF0000FF"/>
        <rFont val="JRFonts"/>
        <charset val="134"/>
      </rPr>
      <t>22960</t>
    </r>
  </si>
  <si>
    <r>
      <rPr>
        <sz val="10"/>
        <color rgb="FF000000"/>
        <rFont val="JRFonts"/>
        <charset val="134"/>
      </rPr>
      <t>13-08-2026 17:37</t>
    </r>
  </si>
  <si>
    <r>
      <rPr>
        <sz val="10"/>
        <color rgb="FF000000"/>
        <rFont val="JRFonts"/>
        <charset val="134"/>
      </rPr>
      <t>14-08-2026 11:12</t>
    </r>
  </si>
  <si>
    <r>
      <rPr>
        <sz val="10"/>
        <color rgb="FF000000"/>
        <rFont val="JRFonts"/>
        <charset val="134"/>
      </rPr>
      <t>14-08-2026 11:10</t>
    </r>
  </si>
  <si>
    <r>
      <rPr>
        <sz val="10"/>
        <color rgb="FF0000FF"/>
        <rFont val="JRFonts"/>
        <charset val="134"/>
      </rPr>
      <t>22961</t>
    </r>
  </si>
  <si>
    <r>
      <rPr>
        <sz val="10"/>
        <color rgb="FF000000"/>
        <rFont val="JRFonts"/>
        <charset val="134"/>
      </rPr>
      <t>13-08-2026 17:40</t>
    </r>
  </si>
  <si>
    <r>
      <rPr>
        <sz val="10"/>
        <color rgb="FF000000"/>
        <rFont val="JRFonts"/>
        <charset val="134"/>
      </rPr>
      <t>14-08-2026 11:57</t>
    </r>
  </si>
  <si>
    <r>
      <rPr>
        <sz val="10"/>
        <color rgb="FF000000"/>
        <rFont val="JRFonts"/>
        <charset val="134"/>
      </rPr>
      <t>13-08-2026 17:47</t>
    </r>
  </si>
  <si>
    <r>
      <rPr>
        <sz val="10"/>
        <color rgb="FF0000FF"/>
        <rFont val="JRFonts"/>
        <charset val="134"/>
      </rPr>
      <t>22962</t>
    </r>
  </si>
  <si>
    <r>
      <rPr>
        <sz val="10"/>
        <color rgb="FF000000"/>
        <rFont val="JRFonts"/>
        <charset val="134"/>
      </rPr>
      <t>13-08-2026 17:43</t>
    </r>
  </si>
  <si>
    <r>
      <rPr>
        <sz val="10"/>
        <color rgb="FF000000"/>
        <rFont val="JRFonts"/>
        <charset val="134"/>
      </rPr>
      <t>13-08-2026 17:49</t>
    </r>
  </si>
  <si>
    <r>
      <rPr>
        <sz val="10"/>
        <color rgb="FF0000FF"/>
        <rFont val="JRFonts"/>
        <charset val="134"/>
      </rPr>
      <t>22963</t>
    </r>
  </si>
  <si>
    <r>
      <rPr>
        <sz val="10"/>
        <color rgb="FF000000"/>
        <rFont val="JRFonts"/>
        <charset val="134"/>
      </rPr>
      <t>14-08-2026 10:50</t>
    </r>
  </si>
  <si>
    <r>
      <rPr>
        <sz val="10"/>
        <color rgb="FF000000"/>
        <rFont val="JRFonts"/>
        <charset val="134"/>
      </rPr>
      <t>13-08-2026 18:18</t>
    </r>
  </si>
  <si>
    <r>
      <rPr>
        <sz val="10"/>
        <color rgb="FF0000FF"/>
        <rFont val="JRFonts"/>
        <charset val="134"/>
      </rPr>
      <t>22964</t>
    </r>
  </si>
  <si>
    <r>
      <rPr>
        <sz val="10"/>
        <color rgb="FF000000"/>
        <rFont val="JRFonts"/>
        <charset val="134"/>
      </rPr>
      <t>13-08-2026 18:04</t>
    </r>
  </si>
  <si>
    <r>
      <rPr>
        <sz val="10"/>
        <color rgb="FF000000"/>
        <rFont val="JRFonts"/>
        <charset val="134"/>
      </rPr>
      <t>17-08-2026 10:46</t>
    </r>
  </si>
  <si>
    <r>
      <rPr>
        <sz val="10"/>
        <color rgb="FF000000"/>
        <rFont val="JRFonts"/>
        <charset val="134"/>
      </rPr>
      <t>14-08-2026 12:04</t>
    </r>
  </si>
  <si>
    <r>
      <rPr>
        <sz val="10"/>
        <color rgb="FF0000FF"/>
        <rFont val="JRFonts"/>
        <charset val="134"/>
      </rPr>
      <t>22966</t>
    </r>
  </si>
  <si>
    <r>
      <rPr>
        <sz val="10"/>
        <color rgb="FF000000"/>
        <rFont val="JRFonts"/>
        <charset val="134"/>
      </rPr>
      <t>13-08-2026 18:17</t>
    </r>
  </si>
  <si>
    <r>
      <rPr>
        <sz val="10"/>
        <color rgb="FF000000"/>
        <rFont val="JRFonts"/>
        <charset val="134"/>
      </rPr>
      <t>31-08-2026 15:19</t>
    </r>
  </si>
  <si>
    <r>
      <rPr>
        <sz val="10"/>
        <color rgb="FF000000"/>
        <rFont val="JRFonts"/>
        <charset val="134"/>
      </rPr>
      <t>14-08-2026 10:34</t>
    </r>
  </si>
  <si>
    <t>22966</t>
  </si>
  <si>
    <r>
      <rPr>
        <sz val="10"/>
        <color rgb="FF0000FF"/>
        <rFont val="JRFonts"/>
        <charset val="134"/>
      </rPr>
      <t>22967</t>
    </r>
  </si>
  <si>
    <r>
      <rPr>
        <sz val="10"/>
        <color rgb="FF000000"/>
        <rFont val="JRFonts"/>
        <charset val="134"/>
      </rPr>
      <t>13-08-2026 18:44</t>
    </r>
  </si>
  <si>
    <r>
      <rPr>
        <sz val="10"/>
        <color rgb="FF000000"/>
        <rFont val="JRFonts"/>
        <charset val="134"/>
      </rPr>
      <t>19-08-2026 11:11</t>
    </r>
  </si>
  <si>
    <r>
      <rPr>
        <sz val="10"/>
        <color rgb="FF000000"/>
        <rFont val="JRFonts"/>
        <charset val="134"/>
      </rPr>
      <t>14-08-2026 12:06</t>
    </r>
  </si>
  <si>
    <t>22967</t>
  </si>
  <si>
    <r>
      <rPr>
        <sz val="10"/>
        <color rgb="FF0000FF"/>
        <rFont val="JRFonts"/>
        <charset val="134"/>
      </rPr>
      <t>22968</t>
    </r>
  </si>
  <si>
    <r>
      <rPr>
        <sz val="10"/>
        <color rgb="FF000000"/>
        <rFont val="JRFonts"/>
        <charset val="134"/>
      </rPr>
      <t>13-08-2026 18:50</t>
    </r>
  </si>
  <si>
    <r>
      <rPr>
        <sz val="10"/>
        <color rgb="FF000000"/>
        <rFont val="JRFonts"/>
        <charset val="134"/>
      </rPr>
      <t>30-09-2026 10:27</t>
    </r>
  </si>
  <si>
    <r>
      <rPr>
        <sz val="10"/>
        <color rgb="FF000000"/>
        <rFont val="JRFonts"/>
        <charset val="134"/>
      </rPr>
      <t>14-08-2026 14:39</t>
    </r>
  </si>
  <si>
    <r>
      <rPr>
        <sz val="10"/>
        <color rgb="FF0000FF"/>
        <rFont val="JRFonts"/>
        <charset val="134"/>
      </rPr>
      <t>22971</t>
    </r>
  </si>
  <si>
    <r>
      <rPr>
        <sz val="10"/>
        <color rgb="FF000000"/>
        <rFont val="JRFonts"/>
        <charset val="134"/>
      </rPr>
      <t>13-08-2026 18:56</t>
    </r>
  </si>
  <si>
    <r>
      <rPr>
        <sz val="10"/>
        <color rgb="FF000000"/>
        <rFont val="JRFonts"/>
        <charset val="134"/>
      </rPr>
      <t>14-08-2026 10:40</t>
    </r>
  </si>
  <si>
    <t>22971</t>
  </si>
  <si>
    <r>
      <rPr>
        <sz val="10"/>
        <color rgb="FF0000FF"/>
        <rFont val="JRFonts"/>
        <charset val="134"/>
      </rPr>
      <t>22972</t>
    </r>
  </si>
  <si>
    <r>
      <rPr>
        <sz val="10"/>
        <color rgb="FF000000"/>
        <rFont val="JRFonts"/>
        <charset val="134"/>
      </rPr>
      <t>13-08-2026 20:18</t>
    </r>
  </si>
  <si>
    <r>
      <rPr>
        <sz val="10"/>
        <color rgb="FF000000"/>
        <rFont val="JRFonts"/>
        <charset val="134"/>
      </rPr>
      <t>17-08-2026 10:55</t>
    </r>
  </si>
  <si>
    <r>
      <rPr>
        <sz val="10"/>
        <color rgb="FF000000"/>
        <rFont val="JRFonts"/>
        <charset val="134"/>
      </rPr>
      <t>14-08-2026 10:27</t>
    </r>
  </si>
  <si>
    <r>
      <rPr>
        <sz val="10"/>
        <color rgb="FF0000FF"/>
        <rFont val="JRFonts"/>
        <charset val="134"/>
      </rPr>
      <t>22973</t>
    </r>
  </si>
  <si>
    <r>
      <rPr>
        <sz val="10"/>
        <color rgb="FF000000"/>
        <rFont val="JRFonts"/>
        <charset val="134"/>
      </rPr>
      <t>13-08-2026 20:21</t>
    </r>
  </si>
  <si>
    <r>
      <rPr>
        <sz val="10"/>
        <color rgb="FF000000"/>
        <rFont val="JRFonts"/>
        <charset val="134"/>
      </rPr>
      <t>17-08-2026 10:57</t>
    </r>
  </si>
  <si>
    <r>
      <rPr>
        <sz val="10"/>
        <color rgb="FF0000FF"/>
        <rFont val="JRFonts"/>
        <charset val="134"/>
      </rPr>
      <t>22974</t>
    </r>
  </si>
  <si>
    <r>
      <rPr>
        <sz val="10"/>
        <color rgb="FF000000"/>
        <rFont val="JRFonts"/>
        <charset val="134"/>
      </rPr>
      <t>13-08-2026 21:37</t>
    </r>
  </si>
  <si>
    <r>
      <rPr>
        <sz val="10"/>
        <color rgb="FF000000"/>
        <rFont val="JRFonts"/>
        <charset val="134"/>
      </rPr>
      <t>17-08-2026 16:10</t>
    </r>
  </si>
  <si>
    <r>
      <rPr>
        <sz val="10"/>
        <color rgb="FF000000"/>
        <rFont val="JRFonts"/>
        <charset val="134"/>
      </rPr>
      <t>14-08-2026 10:28</t>
    </r>
  </si>
  <si>
    <t>22974</t>
  </si>
  <si>
    <r>
      <rPr>
        <sz val="10"/>
        <color rgb="FF0000FF"/>
        <rFont val="JRFonts"/>
        <charset val="134"/>
      </rPr>
      <t>22976</t>
    </r>
  </si>
  <si>
    <r>
      <rPr>
        <sz val="10"/>
        <color rgb="FF000000"/>
        <rFont val="JRFonts"/>
        <charset val="134"/>
      </rPr>
      <t>14-08-2026 10:03</t>
    </r>
  </si>
  <si>
    <r>
      <rPr>
        <sz val="10"/>
        <color rgb="FF000000"/>
        <rFont val="JRFonts"/>
        <charset val="134"/>
      </rPr>
      <t>25-08-2026 10:33</t>
    </r>
  </si>
  <si>
    <r>
      <rPr>
        <sz val="10"/>
        <color rgb="FF000000"/>
        <rFont val="JRFonts"/>
        <charset val="134"/>
      </rPr>
      <t>14-08-2026 10:29</t>
    </r>
  </si>
  <si>
    <r>
      <rPr>
        <sz val="10"/>
        <color rgb="FF0000FF"/>
        <rFont val="JRFonts"/>
        <charset val="134"/>
      </rPr>
      <t>22977</t>
    </r>
  </si>
  <si>
    <r>
      <rPr>
        <sz val="10"/>
        <color rgb="FF000000"/>
        <rFont val="JRFonts"/>
        <charset val="134"/>
      </rPr>
      <t>14-08-2026 10:12</t>
    </r>
  </si>
  <si>
    <r>
      <rPr>
        <sz val="10"/>
        <color rgb="FF000000"/>
        <rFont val="JRFonts"/>
        <charset val="134"/>
      </rPr>
      <t>25-08-2026 10:37</t>
    </r>
  </si>
  <si>
    <r>
      <rPr>
        <sz val="10"/>
        <color rgb="FF000000"/>
        <rFont val="JRFonts"/>
        <charset val="134"/>
      </rPr>
      <t>14-08-2026 10:30</t>
    </r>
  </si>
  <si>
    <r>
      <rPr>
        <sz val="10"/>
        <color rgb="FF0000FF"/>
        <rFont val="JRFonts"/>
        <charset val="134"/>
      </rPr>
      <t>22978</t>
    </r>
  </si>
  <si>
    <r>
      <rPr>
        <sz val="10"/>
        <color rgb="FF000000"/>
        <rFont val="JRFonts"/>
        <charset val="134"/>
      </rPr>
      <t>14-08-2026 10:15</t>
    </r>
  </si>
  <si>
    <r>
      <rPr>
        <sz val="10"/>
        <color rgb="FF000000"/>
        <rFont val="JRFonts"/>
        <charset val="134"/>
      </rPr>
      <t>14-08-2026 10:31</t>
    </r>
  </si>
  <si>
    <r>
      <rPr>
        <sz val="10"/>
        <color rgb="FF0000FF"/>
        <rFont val="JRFonts"/>
        <charset val="134"/>
      </rPr>
      <t>22980</t>
    </r>
  </si>
  <si>
    <r>
      <rPr>
        <sz val="10"/>
        <color rgb="FF000000"/>
        <rFont val="JRFonts"/>
        <charset val="134"/>
      </rPr>
      <t>14-08-2026 10:33</t>
    </r>
  </si>
  <si>
    <r>
      <rPr>
        <sz val="10"/>
        <color rgb="FF0000FF"/>
        <rFont val="JRFonts"/>
        <charset val="134"/>
      </rPr>
      <t>22981</t>
    </r>
  </si>
  <si>
    <r>
      <rPr>
        <sz val="10"/>
        <color rgb="FF000000"/>
        <rFont val="JRFonts"/>
        <charset val="134"/>
      </rPr>
      <t>14-08-2026 11:03</t>
    </r>
  </si>
  <si>
    <r>
      <rPr>
        <sz val="10"/>
        <color rgb="FF000000"/>
        <rFont val="JRFonts"/>
        <charset val="134"/>
      </rPr>
      <t>14-08-2026 10:41</t>
    </r>
  </si>
  <si>
    <r>
      <rPr>
        <sz val="10"/>
        <color rgb="FF0000FF"/>
        <rFont val="JRFonts"/>
        <charset val="134"/>
      </rPr>
      <t>22983</t>
    </r>
  </si>
  <si>
    <r>
      <rPr>
        <sz val="10"/>
        <color rgb="FF000000"/>
        <rFont val="JRFonts"/>
        <charset val="134"/>
      </rPr>
      <t>14-08-2026 10:36</t>
    </r>
  </si>
  <si>
    <r>
      <rPr>
        <sz val="10"/>
        <color rgb="FF000000"/>
        <rFont val="JRFonts"/>
        <charset val="134"/>
      </rPr>
      <t>31-08-2026 10:21</t>
    </r>
  </si>
  <si>
    <r>
      <rPr>
        <sz val="10"/>
        <color rgb="FF000000"/>
        <rFont val="JRFonts"/>
        <charset val="134"/>
      </rPr>
      <t>14-08-2026 10:44</t>
    </r>
  </si>
  <si>
    <t>22983</t>
  </si>
  <si>
    <r>
      <rPr>
        <sz val="10"/>
        <color rgb="FF0000FF"/>
        <rFont val="JRFonts"/>
        <charset val="134"/>
      </rPr>
      <t>22984</t>
    </r>
  </si>
  <si>
    <r>
      <rPr>
        <sz val="10"/>
        <color rgb="FF000000"/>
        <rFont val="JRFonts"/>
        <charset val="134"/>
      </rPr>
      <t>14-08-2026 10:45</t>
    </r>
  </si>
  <si>
    <r>
      <rPr>
        <sz val="10"/>
        <color rgb="FF000000"/>
        <rFont val="JRFonts"/>
        <charset val="134"/>
      </rPr>
      <t>25-08-2026 10:45</t>
    </r>
  </si>
  <si>
    <r>
      <rPr>
        <sz val="10"/>
        <color rgb="FF000000"/>
        <rFont val="JRFonts"/>
        <charset val="134"/>
      </rPr>
      <t>14-08-2026 10:51</t>
    </r>
  </si>
  <si>
    <r>
      <rPr>
        <sz val="10"/>
        <color rgb="FF0000FF"/>
        <rFont val="JRFonts"/>
        <charset val="134"/>
      </rPr>
      <t>22986</t>
    </r>
  </si>
  <si>
    <r>
      <rPr>
        <sz val="10"/>
        <color rgb="FF000000"/>
        <rFont val="JRFonts"/>
        <charset val="134"/>
      </rPr>
      <t>14-08-2026 11:13</t>
    </r>
  </si>
  <si>
    <r>
      <rPr>
        <sz val="10"/>
        <color rgb="FF000000"/>
        <rFont val="JRFonts"/>
        <charset val="134"/>
      </rPr>
      <t>14-08-2026 11:51</t>
    </r>
  </si>
  <si>
    <r>
      <rPr>
        <sz val="10"/>
        <color rgb="FF000000"/>
        <rFont val="JRFonts"/>
        <charset val="134"/>
      </rPr>
      <t>14-08-2026 11:28</t>
    </r>
  </si>
  <si>
    <r>
      <rPr>
        <sz val="10"/>
        <color rgb="FF0000FF"/>
        <rFont val="JRFonts"/>
        <charset val="134"/>
      </rPr>
      <t>22987</t>
    </r>
  </si>
  <si>
    <r>
      <rPr>
        <sz val="10"/>
        <color rgb="FF000000"/>
        <rFont val="JRFonts"/>
        <charset val="134"/>
      </rPr>
      <t>14-08-2026 11:31</t>
    </r>
  </si>
  <si>
    <r>
      <rPr>
        <sz val="10"/>
        <color rgb="FF000000"/>
        <rFont val="JRFonts"/>
        <charset val="134"/>
      </rPr>
      <t>19-08-2026 21:59</t>
    </r>
  </si>
  <si>
    <r>
      <rPr>
        <sz val="10"/>
        <color rgb="FF000000"/>
        <rFont val="JRFonts"/>
        <charset val="134"/>
      </rPr>
      <t>14-08-2026 12:07</t>
    </r>
  </si>
  <si>
    <r>
      <rPr>
        <sz val="10"/>
        <color rgb="FF0000FF"/>
        <rFont val="JRFonts"/>
        <charset val="134"/>
      </rPr>
      <t>22989</t>
    </r>
  </si>
  <si>
    <r>
      <rPr>
        <sz val="10"/>
        <color rgb="FF000000"/>
        <rFont val="JRFonts"/>
        <charset val="134"/>
      </rPr>
      <t>14-08-2026 11:52</t>
    </r>
  </si>
  <si>
    <r>
      <rPr>
        <sz val="10"/>
        <color rgb="FF000000"/>
        <rFont val="JRFonts"/>
        <charset val="134"/>
      </rPr>
      <t>17-08-2026 14:46</t>
    </r>
  </si>
  <si>
    <t>22989</t>
  </si>
  <si>
    <r>
      <rPr>
        <sz val="10"/>
        <color rgb="FF0000FF"/>
        <rFont val="JRFonts"/>
        <charset val="134"/>
      </rPr>
      <t>22990</t>
    </r>
  </si>
  <si>
    <r>
      <rPr>
        <sz val="10"/>
        <color rgb="FF000000"/>
        <rFont val="JRFonts"/>
        <charset val="134"/>
      </rPr>
      <t>14-08-2026 12:09</t>
    </r>
  </si>
  <si>
    <r>
      <rPr>
        <sz val="10"/>
        <color rgb="FF0000FF"/>
        <rFont val="JRFonts"/>
        <charset val="134"/>
      </rPr>
      <t>22991</t>
    </r>
  </si>
  <si>
    <r>
      <rPr>
        <sz val="10"/>
        <color rgb="FF000000"/>
        <rFont val="JRFonts"/>
        <charset val="134"/>
      </rPr>
      <t>19-08-2026 10:13</t>
    </r>
  </si>
  <si>
    <r>
      <rPr>
        <sz val="10"/>
        <color rgb="FF000000"/>
        <rFont val="JRFonts"/>
        <charset val="134"/>
      </rPr>
      <t>17-08-2026 11:03</t>
    </r>
  </si>
  <si>
    <r>
      <rPr>
        <sz val="10"/>
        <color rgb="FF0000FF"/>
        <rFont val="JRFonts"/>
        <charset val="134"/>
      </rPr>
      <t>22993</t>
    </r>
  </si>
  <si>
    <r>
      <rPr>
        <sz val="10"/>
        <color rgb="FF000000"/>
        <rFont val="JRFonts"/>
        <charset val="134"/>
      </rPr>
      <t>20-08-2026 17:53</t>
    </r>
  </si>
  <si>
    <r>
      <rPr>
        <sz val="10"/>
        <color rgb="FF000000"/>
        <rFont val="JRFonts"/>
        <charset val="134"/>
      </rPr>
      <t>14-08-2026 12:34</t>
    </r>
  </si>
  <si>
    <t>22993</t>
  </si>
  <si>
    <r>
      <rPr>
        <sz val="10"/>
        <color rgb="FF0000FF"/>
        <rFont val="JRFonts"/>
        <charset val="134"/>
      </rPr>
      <t>22994</t>
    </r>
  </si>
  <si>
    <r>
      <rPr>
        <sz val="10"/>
        <color rgb="FF000000"/>
        <rFont val="JRFonts"/>
        <charset val="134"/>
      </rPr>
      <t>14-08-2026 12:33</t>
    </r>
  </si>
  <si>
    <r>
      <rPr>
        <sz val="10"/>
        <color rgb="FF0000FF"/>
        <rFont val="JRFonts"/>
        <charset val="134"/>
      </rPr>
      <t>22996</t>
    </r>
  </si>
  <si>
    <r>
      <rPr>
        <sz val="10"/>
        <color rgb="FF000000"/>
        <rFont val="JRFonts"/>
        <charset val="134"/>
      </rPr>
      <t>14-08-2026 12:20</t>
    </r>
  </si>
  <si>
    <r>
      <rPr>
        <sz val="10"/>
        <color rgb="FF000000"/>
        <rFont val="JRFonts"/>
        <charset val="134"/>
      </rPr>
      <t>21-08-2026 08:21</t>
    </r>
  </si>
  <si>
    <r>
      <rPr>
        <sz val="10"/>
        <color rgb="FF000000"/>
        <rFont val="JRFonts"/>
        <charset val="134"/>
      </rPr>
      <t>14-08-2026 12:36</t>
    </r>
  </si>
  <si>
    <r>
      <rPr>
        <sz val="10"/>
        <color rgb="FF0000FF"/>
        <rFont val="JRFonts"/>
        <charset val="134"/>
      </rPr>
      <t>22999</t>
    </r>
  </si>
  <si>
    <r>
      <rPr>
        <sz val="10"/>
        <color rgb="FF000000"/>
        <rFont val="JRFonts"/>
        <charset val="134"/>
      </rPr>
      <t>14-08-2026 12:32</t>
    </r>
  </si>
  <si>
    <r>
      <rPr>
        <sz val="10"/>
        <color rgb="FF000000"/>
        <rFont val="JRFonts"/>
        <charset val="134"/>
      </rPr>
      <t>17-08-2026 15:52</t>
    </r>
  </si>
  <si>
    <r>
      <rPr>
        <sz val="10"/>
        <color rgb="FF000000"/>
        <rFont val="JRFonts"/>
        <charset val="134"/>
      </rPr>
      <t>14-08-2026 12:38</t>
    </r>
  </si>
  <si>
    <t>22999</t>
  </si>
  <si>
    <r>
      <rPr>
        <sz val="10"/>
        <color rgb="FF0000FF"/>
        <rFont val="JRFonts"/>
        <charset val="134"/>
      </rPr>
      <t>23005</t>
    </r>
  </si>
  <si>
    <r>
      <rPr>
        <sz val="10"/>
        <color rgb="FF000000"/>
        <rFont val="JRFonts"/>
        <charset val="134"/>
      </rPr>
      <t>14-08-2026 13:05</t>
    </r>
  </si>
  <si>
    <r>
      <rPr>
        <sz val="10"/>
        <color rgb="FF000000"/>
        <rFont val="JRFonts"/>
        <charset val="134"/>
      </rPr>
      <t>18-08-2026 16:55</t>
    </r>
  </si>
  <si>
    <r>
      <rPr>
        <sz val="10"/>
        <color rgb="FF000000"/>
        <rFont val="JRFonts"/>
        <charset val="134"/>
      </rPr>
      <t>14-08-2026 14:08</t>
    </r>
  </si>
  <si>
    <r>
      <rPr>
        <sz val="10"/>
        <color rgb="FF0000FF"/>
        <rFont val="JRFonts"/>
        <charset val="134"/>
      </rPr>
      <t>23007</t>
    </r>
  </si>
  <si>
    <r>
      <rPr>
        <sz val="10"/>
        <color rgb="FF000000"/>
        <rFont val="JRFonts"/>
        <charset val="134"/>
      </rPr>
      <t>14-08-2026 13:30</t>
    </r>
  </si>
  <si>
    <r>
      <rPr>
        <sz val="10"/>
        <color rgb="FF000000"/>
        <rFont val="JRFonts"/>
        <charset val="134"/>
      </rPr>
      <t>19-08-2026 10:46</t>
    </r>
  </si>
  <si>
    <r>
      <rPr>
        <sz val="10"/>
        <color rgb="FF000000"/>
        <rFont val="JRFonts"/>
        <charset val="134"/>
      </rPr>
      <t>17-08-2026 14:54</t>
    </r>
  </si>
  <si>
    <t>23007</t>
  </si>
  <si>
    <r>
      <rPr>
        <sz val="10"/>
        <color rgb="FF0000FF"/>
        <rFont val="JRFonts"/>
        <charset val="134"/>
      </rPr>
      <t>23009</t>
    </r>
  </si>
  <si>
    <r>
      <rPr>
        <sz val="10"/>
        <color rgb="FF000000"/>
        <rFont val="JRFonts"/>
        <charset val="134"/>
      </rPr>
      <t>14-08-2026 14:06</t>
    </r>
  </si>
  <si>
    <r>
      <rPr>
        <sz val="10"/>
        <color rgb="FF000000"/>
        <rFont val="JRFonts"/>
        <charset val="134"/>
      </rPr>
      <t>14-08-2026 17:55</t>
    </r>
  </si>
  <si>
    <r>
      <rPr>
        <sz val="10"/>
        <color rgb="FF000000"/>
        <rFont val="JRFonts"/>
        <charset val="134"/>
      </rPr>
      <t>14-08-2026 14:21</t>
    </r>
  </si>
  <si>
    <r>
      <rPr>
        <sz val="10"/>
        <color rgb="FF0000FF"/>
        <rFont val="JRFonts"/>
        <charset val="134"/>
      </rPr>
      <t>23010</t>
    </r>
  </si>
  <si>
    <r>
      <rPr>
        <sz val="10"/>
        <color rgb="FF000000"/>
        <rFont val="JRFonts"/>
        <charset val="134"/>
      </rPr>
      <t>14-08-2026 15:11</t>
    </r>
  </si>
  <si>
    <r>
      <rPr>
        <sz val="10"/>
        <color rgb="FF000000"/>
        <rFont val="JRFonts"/>
        <charset val="134"/>
      </rPr>
      <t>14-08-2026 14:23</t>
    </r>
  </si>
  <si>
    <r>
      <rPr>
        <sz val="10"/>
        <color rgb="FF0000FF"/>
        <rFont val="JRFonts"/>
        <charset val="134"/>
      </rPr>
      <t>23011</t>
    </r>
  </si>
  <si>
    <r>
      <rPr>
        <sz val="10"/>
        <color rgb="FF000000"/>
        <rFont val="JRFonts"/>
        <charset val="134"/>
      </rPr>
      <t>14-08-2026 14:18</t>
    </r>
  </si>
  <si>
    <r>
      <rPr>
        <sz val="10"/>
        <color rgb="FF000000"/>
        <rFont val="JRFonts"/>
        <charset val="134"/>
      </rPr>
      <t>17-08-2026 11:15</t>
    </r>
  </si>
  <si>
    <r>
      <rPr>
        <sz val="10"/>
        <color rgb="FF000000"/>
        <rFont val="JRFonts"/>
        <charset val="134"/>
      </rPr>
      <t>14-08-2026 14:26</t>
    </r>
  </si>
  <si>
    <r>
      <rPr>
        <sz val="10"/>
        <color rgb="FF0000FF"/>
        <rFont val="JRFonts"/>
        <charset val="134"/>
      </rPr>
      <t>23012</t>
    </r>
  </si>
  <si>
    <r>
      <rPr>
        <sz val="10"/>
        <color rgb="FF000000"/>
        <rFont val="JRFonts"/>
        <charset val="134"/>
      </rPr>
      <t>14-08-2026 14:24</t>
    </r>
  </si>
  <si>
    <r>
      <rPr>
        <sz val="10"/>
        <color rgb="FF000000"/>
        <rFont val="JRFonts"/>
        <charset val="134"/>
      </rPr>
      <t>03-09-2026 14:16</t>
    </r>
  </si>
  <si>
    <r>
      <rPr>
        <sz val="10"/>
        <color rgb="FF000000"/>
        <rFont val="JRFonts"/>
        <charset val="134"/>
      </rPr>
      <t>14-08-2026 14:49</t>
    </r>
  </si>
  <si>
    <t>23012</t>
  </si>
  <si>
    <r>
      <rPr>
        <sz val="10"/>
        <color rgb="FF0000FF"/>
        <rFont val="JRFonts"/>
        <charset val="134"/>
      </rPr>
      <t>23013</t>
    </r>
  </si>
  <si>
    <r>
      <rPr>
        <sz val="10"/>
        <color rgb="FF000000"/>
        <rFont val="JRFonts"/>
        <charset val="134"/>
      </rPr>
      <t>14-08-2026 15:30</t>
    </r>
  </si>
  <si>
    <r>
      <rPr>
        <sz val="10"/>
        <color rgb="FF000000"/>
        <rFont val="JRFonts"/>
        <charset val="134"/>
      </rPr>
      <t>14-08-2026 14:27</t>
    </r>
  </si>
  <si>
    <r>
      <rPr>
        <sz val="10"/>
        <color rgb="FF0000FF"/>
        <rFont val="JRFonts"/>
        <charset val="134"/>
      </rPr>
      <t>23014</t>
    </r>
  </si>
  <si>
    <r>
      <rPr>
        <sz val="10"/>
        <color rgb="FF000000"/>
        <rFont val="JRFonts"/>
        <charset val="134"/>
      </rPr>
      <t>18-08-2026 18:36</t>
    </r>
  </si>
  <si>
    <t>23014</t>
  </si>
  <si>
    <r>
      <rPr>
        <sz val="10"/>
        <color rgb="FF0000FF"/>
        <rFont val="JRFonts"/>
        <charset val="134"/>
      </rPr>
      <t>23015</t>
    </r>
  </si>
  <si>
    <r>
      <rPr>
        <sz val="10"/>
        <color rgb="FF000000"/>
        <rFont val="JRFonts"/>
        <charset val="134"/>
      </rPr>
      <t>14-08-2026 14:36</t>
    </r>
  </si>
  <si>
    <r>
      <rPr>
        <sz val="10"/>
        <color rgb="FF000000"/>
        <rFont val="JRFonts"/>
        <charset val="134"/>
      </rPr>
      <t>14-08-2026 16:12</t>
    </r>
  </si>
  <si>
    <r>
      <rPr>
        <sz val="10"/>
        <color rgb="FF000000"/>
        <rFont val="JRFonts"/>
        <charset val="134"/>
      </rPr>
      <t>14-08-2026 14:41</t>
    </r>
  </si>
  <si>
    <r>
      <rPr>
        <sz val="10"/>
        <color rgb="FF0000FF"/>
        <rFont val="JRFonts"/>
        <charset val="134"/>
      </rPr>
      <t>23019</t>
    </r>
  </si>
  <si>
    <r>
      <rPr>
        <sz val="10"/>
        <color rgb="FF000000"/>
        <rFont val="JRFonts"/>
        <charset val="134"/>
      </rPr>
      <t>14-08-2026 15:10</t>
    </r>
  </si>
  <si>
    <r>
      <rPr>
        <sz val="10"/>
        <color rgb="FF000000"/>
        <rFont val="JRFonts"/>
        <charset val="134"/>
      </rPr>
      <t>17-08-2026 12:16</t>
    </r>
  </si>
  <si>
    <r>
      <rPr>
        <sz val="10"/>
        <color rgb="FF000000"/>
        <rFont val="JRFonts"/>
        <charset val="134"/>
      </rPr>
      <t>14-08-2026 15:52</t>
    </r>
  </si>
  <si>
    <r>
      <rPr>
        <sz val="10"/>
        <color rgb="FF0000FF"/>
        <rFont val="JRFonts"/>
        <charset val="134"/>
      </rPr>
      <t>23020</t>
    </r>
  </si>
  <si>
    <r>
      <rPr>
        <sz val="10"/>
        <color rgb="FF000000"/>
        <rFont val="JRFonts"/>
        <charset val="134"/>
      </rPr>
      <t>14-08-2026 15:13</t>
    </r>
  </si>
  <si>
    <r>
      <rPr>
        <sz val="10"/>
        <color rgb="FF000000"/>
        <rFont val="JRFonts"/>
        <charset val="134"/>
      </rPr>
      <t>14-08-2026 15:38</t>
    </r>
  </si>
  <si>
    <r>
      <rPr>
        <sz val="10"/>
        <color rgb="FF000000"/>
        <rFont val="JRFonts"/>
        <charset val="134"/>
      </rPr>
      <t>14-08-2026 16:54</t>
    </r>
  </si>
  <si>
    <r>
      <rPr>
        <sz val="10"/>
        <color rgb="FF0000FF"/>
        <rFont val="JRFonts"/>
        <charset val="134"/>
      </rPr>
      <t>23022</t>
    </r>
  </si>
  <si>
    <r>
      <rPr>
        <sz val="10"/>
        <color rgb="FF000000"/>
        <rFont val="JRFonts"/>
        <charset val="134"/>
      </rPr>
      <t>14-08-2026 15:31</t>
    </r>
  </si>
  <si>
    <r>
      <rPr>
        <sz val="10"/>
        <color rgb="FF000000"/>
        <rFont val="JRFonts"/>
        <charset val="134"/>
      </rPr>
      <t>14-08-2026 16:42</t>
    </r>
  </si>
  <si>
    <r>
      <rPr>
        <sz val="10"/>
        <color rgb="FF000000"/>
        <rFont val="JRFonts"/>
        <charset val="134"/>
      </rPr>
      <t>14-08-2026 15:36</t>
    </r>
  </si>
  <si>
    <t>23024</t>
  </si>
  <si>
    <r>
      <rPr>
        <sz val="10"/>
        <color rgb="FF000000"/>
        <rFont val="JRFonts"/>
        <charset val="134"/>
      </rPr>
      <t>14-08-2026 15:59</t>
    </r>
  </si>
  <si>
    <r>
      <rPr>
        <sz val="10"/>
        <color rgb="FF000000"/>
        <rFont val="JRFonts"/>
        <charset val="134"/>
      </rPr>
      <t>17-08-2026 14:28</t>
    </r>
  </si>
  <si>
    <r>
      <rPr>
        <sz val="10"/>
        <color rgb="FF000000"/>
        <rFont val="JRFonts"/>
        <charset val="134"/>
      </rPr>
      <t>14-08-2026 16:08</t>
    </r>
  </si>
  <si>
    <r>
      <rPr>
        <sz val="10"/>
        <color rgb="FF0000FF"/>
        <rFont val="JRFonts"/>
        <charset val="134"/>
      </rPr>
      <t>23024</t>
    </r>
  </si>
  <si>
    <r>
      <rPr>
        <sz val="10"/>
        <color rgb="FF0000FF"/>
        <rFont val="JRFonts"/>
        <charset val="134"/>
      </rPr>
      <t>23026</t>
    </r>
  </si>
  <si>
    <r>
      <rPr>
        <sz val="10"/>
        <color rgb="FF000000"/>
        <rFont val="JRFonts"/>
        <charset val="134"/>
      </rPr>
      <t>14-08-2026 16:02</t>
    </r>
  </si>
  <si>
    <r>
      <rPr>
        <sz val="10"/>
        <color rgb="FF000000"/>
        <rFont val="JRFonts"/>
        <charset val="134"/>
      </rPr>
      <t>14-08-2026 16:29</t>
    </r>
  </si>
  <si>
    <r>
      <rPr>
        <sz val="10"/>
        <color rgb="FF000000"/>
        <rFont val="JRFonts"/>
        <charset val="134"/>
      </rPr>
      <t>14-08-2026 16:07</t>
    </r>
  </si>
  <si>
    <r>
      <rPr>
        <sz val="10"/>
        <color rgb="FF0000FF"/>
        <rFont val="JRFonts"/>
        <charset val="134"/>
      </rPr>
      <t>23027</t>
    </r>
  </si>
  <si>
    <r>
      <rPr>
        <sz val="10"/>
        <color rgb="FF000000"/>
        <rFont val="JRFonts"/>
        <charset val="134"/>
      </rPr>
      <t>14-08-2026 16:17</t>
    </r>
  </si>
  <si>
    <r>
      <rPr>
        <sz val="10"/>
        <color rgb="FF000000"/>
        <rFont val="JRFonts"/>
        <charset val="134"/>
      </rPr>
      <t>01-09-2026 17:12</t>
    </r>
  </si>
  <si>
    <r>
      <rPr>
        <sz val="10"/>
        <color rgb="FF000000"/>
        <rFont val="JRFonts"/>
        <charset val="134"/>
      </rPr>
      <t>14-08-2026 17:01</t>
    </r>
  </si>
  <si>
    <t>23027</t>
  </si>
  <si>
    <r>
      <rPr>
        <sz val="10"/>
        <color rgb="FF0000FF"/>
        <rFont val="JRFonts"/>
        <charset val="134"/>
      </rPr>
      <t>23031</t>
    </r>
  </si>
  <si>
    <r>
      <rPr>
        <sz val="10"/>
        <color rgb="FF000000"/>
        <rFont val="JRFonts"/>
        <charset val="134"/>
      </rPr>
      <t>14-08-2026 16:35</t>
    </r>
  </si>
  <si>
    <r>
      <rPr>
        <sz val="10"/>
        <color rgb="FF000000"/>
        <rFont val="JRFonts"/>
        <charset val="134"/>
      </rPr>
      <t>03-09-2026 18:22</t>
    </r>
  </si>
  <si>
    <r>
      <rPr>
        <sz val="10"/>
        <color rgb="FF000000"/>
        <rFont val="JRFonts"/>
        <charset val="134"/>
      </rPr>
      <t>14-08-2026 16:57</t>
    </r>
  </si>
  <si>
    <t>23031</t>
  </si>
  <si>
    <r>
      <rPr>
        <sz val="10"/>
        <color rgb="FF0000FF"/>
        <rFont val="JRFonts"/>
        <charset val="134"/>
      </rPr>
      <t>23034</t>
    </r>
  </si>
  <si>
    <r>
      <rPr>
        <sz val="10"/>
        <color rgb="FF000000"/>
        <rFont val="JRFonts"/>
        <charset val="134"/>
      </rPr>
      <t>14-08-2026 16:44</t>
    </r>
  </si>
  <si>
    <r>
      <rPr>
        <sz val="10"/>
        <color rgb="FF000000"/>
        <rFont val="JRFonts"/>
        <charset val="134"/>
      </rPr>
      <t>14-08-2026 18:07</t>
    </r>
  </si>
  <si>
    <r>
      <rPr>
        <sz val="10"/>
        <color rgb="FF0000FF"/>
        <rFont val="JRFonts"/>
        <charset val="134"/>
      </rPr>
      <t>23035</t>
    </r>
  </si>
  <si>
    <r>
      <rPr>
        <sz val="10"/>
        <color rgb="FF000000"/>
        <rFont val="JRFonts"/>
        <charset val="134"/>
      </rPr>
      <t>14-08-2026 16:45</t>
    </r>
  </si>
  <si>
    <r>
      <rPr>
        <sz val="10"/>
        <color rgb="FF000000"/>
        <rFont val="JRFonts"/>
        <charset val="134"/>
      </rPr>
      <t>22-08-2026 22:26</t>
    </r>
  </si>
  <si>
    <r>
      <rPr>
        <sz val="10"/>
        <color rgb="FF000000"/>
        <rFont val="JRFonts"/>
        <charset val="134"/>
      </rPr>
      <t>14-08-2026 18:19</t>
    </r>
  </si>
  <si>
    <t>23035</t>
  </si>
  <si>
    <r>
      <rPr>
        <sz val="10"/>
        <color rgb="FF0000FF"/>
        <rFont val="JRFonts"/>
        <charset val="134"/>
      </rPr>
      <t>23037</t>
    </r>
  </si>
  <si>
    <r>
      <rPr>
        <sz val="10"/>
        <color rgb="FF000000"/>
        <rFont val="JRFonts"/>
        <charset val="134"/>
      </rPr>
      <t>21-08-2026 14:12</t>
    </r>
  </si>
  <si>
    <r>
      <rPr>
        <sz val="10"/>
        <color rgb="FF000000"/>
        <rFont val="JRFonts"/>
        <charset val="134"/>
      </rPr>
      <t>14-08-2026 17:03</t>
    </r>
  </si>
  <si>
    <r>
      <rPr>
        <sz val="10"/>
        <color rgb="FF0000FF"/>
        <rFont val="JRFonts"/>
        <charset val="134"/>
      </rPr>
      <t>23039</t>
    </r>
  </si>
  <si>
    <r>
      <rPr>
        <sz val="10"/>
        <color rgb="FF000000"/>
        <rFont val="JRFonts"/>
        <charset val="134"/>
      </rPr>
      <t>14-08-2026 17:12</t>
    </r>
  </si>
  <si>
    <r>
      <rPr>
        <sz val="10"/>
        <color rgb="FF000000"/>
        <rFont val="JRFonts"/>
        <charset val="134"/>
      </rPr>
      <t>17-08-2026 11:21</t>
    </r>
  </si>
  <si>
    <r>
      <rPr>
        <sz val="10"/>
        <color rgb="FF000000"/>
        <rFont val="JRFonts"/>
        <charset val="134"/>
      </rPr>
      <t>14-08-2026 17:15</t>
    </r>
  </si>
  <si>
    <r>
      <rPr>
        <sz val="10"/>
        <color rgb="FF0000FF"/>
        <rFont val="JRFonts"/>
        <charset val="134"/>
      </rPr>
      <t>23040</t>
    </r>
  </si>
  <si>
    <r>
      <rPr>
        <sz val="10"/>
        <color rgb="FF000000"/>
        <rFont val="JRFonts"/>
        <charset val="134"/>
      </rPr>
      <t>14-08-2026 17:18</t>
    </r>
  </si>
  <si>
    <r>
      <rPr>
        <sz val="10"/>
        <color rgb="FF000000"/>
        <rFont val="JRFonts"/>
        <charset val="134"/>
      </rPr>
      <t>17-08-2026 14:44</t>
    </r>
  </si>
  <si>
    <r>
      <rPr>
        <sz val="10"/>
        <color rgb="FF000000"/>
        <rFont val="JRFonts"/>
        <charset val="134"/>
      </rPr>
      <t>17-08-2026 14:43</t>
    </r>
  </si>
  <si>
    <r>
      <rPr>
        <sz val="10"/>
        <color rgb="FF0000FF"/>
        <rFont val="JRFonts"/>
        <charset val="134"/>
      </rPr>
      <t>23041</t>
    </r>
  </si>
  <si>
    <r>
      <rPr>
        <sz val="10"/>
        <color rgb="FF000000"/>
        <rFont val="JRFonts"/>
        <charset val="134"/>
      </rPr>
      <t>17-08-2026 12:12</t>
    </r>
  </si>
  <si>
    <r>
      <rPr>
        <sz val="10"/>
        <color rgb="FF000000"/>
        <rFont val="JRFonts"/>
        <charset val="134"/>
      </rPr>
      <t>14-08-2026 17:41</t>
    </r>
  </si>
  <si>
    <r>
      <rPr>
        <sz val="10"/>
        <color rgb="FF0000FF"/>
        <rFont val="JRFonts"/>
        <charset val="134"/>
      </rPr>
      <t>23044</t>
    </r>
  </si>
  <si>
    <r>
      <rPr>
        <sz val="10"/>
        <color rgb="FF000000"/>
        <rFont val="JRFonts"/>
        <charset val="134"/>
      </rPr>
      <t>14-08-2026 17:49</t>
    </r>
  </si>
  <si>
    <r>
      <rPr>
        <sz val="10"/>
        <color rgb="FF000000"/>
        <rFont val="JRFonts"/>
        <charset val="134"/>
      </rPr>
      <t>22-08-2026 13:04</t>
    </r>
  </si>
  <si>
    <r>
      <rPr>
        <sz val="10"/>
        <color rgb="FF000000"/>
        <rFont val="JRFonts"/>
        <charset val="134"/>
      </rPr>
      <t>19-08-2026 12:27</t>
    </r>
  </si>
  <si>
    <t>23044</t>
  </si>
  <si>
    <r>
      <rPr>
        <sz val="10"/>
        <color rgb="FF0000FF"/>
        <rFont val="JRFonts"/>
        <charset val="134"/>
      </rPr>
      <t>23045</t>
    </r>
  </si>
  <si>
    <r>
      <rPr>
        <sz val="10"/>
        <color rgb="FF000000"/>
        <rFont val="JRFonts"/>
        <charset val="134"/>
      </rPr>
      <t>14-08-2026 18:22</t>
    </r>
  </si>
  <si>
    <r>
      <rPr>
        <sz val="10"/>
        <color rgb="FF000000"/>
        <rFont val="JRFonts"/>
        <charset val="134"/>
      </rPr>
      <t>17-08-2026 11:22</t>
    </r>
  </si>
  <si>
    <r>
      <rPr>
        <sz val="10"/>
        <color rgb="FF000000"/>
        <rFont val="JRFonts"/>
        <charset val="134"/>
      </rPr>
      <t>14-08-2026 18:34</t>
    </r>
  </si>
  <si>
    <r>
      <rPr>
        <sz val="10"/>
        <color rgb="FF0000FF"/>
        <rFont val="JRFonts"/>
        <charset val="134"/>
      </rPr>
      <t>23046</t>
    </r>
  </si>
  <si>
    <r>
      <rPr>
        <sz val="10"/>
        <color rgb="FF000000"/>
        <rFont val="JRFonts"/>
        <charset val="134"/>
      </rPr>
      <t>14-08-2026 18:40</t>
    </r>
  </si>
  <si>
    <r>
      <rPr>
        <sz val="10"/>
        <color rgb="FF000000"/>
        <rFont val="JRFonts"/>
        <charset val="134"/>
      </rPr>
      <t>17-08-2026 11:19</t>
    </r>
  </si>
  <si>
    <r>
      <rPr>
        <sz val="10"/>
        <color rgb="FF000000"/>
        <rFont val="JRFonts"/>
        <charset val="134"/>
      </rPr>
      <t>17-08-2026 10:17</t>
    </r>
  </si>
  <si>
    <r>
      <rPr>
        <sz val="10"/>
        <color rgb="FF0000FF"/>
        <rFont val="JRFonts"/>
        <charset val="134"/>
      </rPr>
      <t>23049</t>
    </r>
  </si>
  <si>
    <r>
      <rPr>
        <sz val="10"/>
        <color rgb="FF000000"/>
        <rFont val="JRFonts"/>
        <charset val="134"/>
      </rPr>
      <t>14-08-2026 22:18</t>
    </r>
  </si>
  <si>
    <r>
      <rPr>
        <sz val="10"/>
        <color rgb="FF000000"/>
        <rFont val="JRFonts"/>
        <charset val="134"/>
      </rPr>
      <t>20-08-2026 10:27</t>
    </r>
  </si>
  <si>
    <r>
      <rPr>
        <sz val="10"/>
        <color rgb="FF000000"/>
        <rFont val="JRFonts"/>
        <charset val="134"/>
      </rPr>
      <t>17-08-2026 11:33</t>
    </r>
  </si>
  <si>
    <r>
      <rPr>
        <sz val="10"/>
        <color rgb="FF0000FF"/>
        <rFont val="JRFonts"/>
        <charset val="134"/>
      </rPr>
      <t>23050</t>
    </r>
  </si>
  <si>
    <r>
      <rPr>
        <sz val="10"/>
        <color rgb="FF000000"/>
        <rFont val="JRFonts"/>
        <charset val="134"/>
      </rPr>
      <t>15-08-2026 12:42</t>
    </r>
  </si>
  <si>
    <r>
      <rPr>
        <sz val="10"/>
        <color rgb="FF000000"/>
        <rFont val="JRFonts"/>
        <charset val="134"/>
      </rPr>
      <t>18-08-2026 12:31</t>
    </r>
  </si>
  <si>
    <r>
      <rPr>
        <sz val="10"/>
        <color rgb="FF000000"/>
        <rFont val="JRFonts"/>
        <charset val="134"/>
      </rPr>
      <t>17-08-2026 11:02</t>
    </r>
  </si>
  <si>
    <r>
      <rPr>
        <sz val="10"/>
        <color rgb="FF0000FF"/>
        <rFont val="JRFonts"/>
        <charset val="134"/>
      </rPr>
      <t>23054</t>
    </r>
  </si>
  <si>
    <r>
      <rPr>
        <sz val="10"/>
        <color rgb="FF000000"/>
        <rFont val="JRFonts"/>
        <charset val="134"/>
      </rPr>
      <t>17-08-2026 10:33</t>
    </r>
  </si>
  <si>
    <r>
      <rPr>
        <sz val="10"/>
        <color rgb="FF000000"/>
        <rFont val="JRFonts"/>
        <charset val="134"/>
      </rPr>
      <t>17-08-2026 10:59</t>
    </r>
  </si>
  <si>
    <r>
      <rPr>
        <sz val="10"/>
        <color rgb="FF000000"/>
        <rFont val="JRFonts"/>
        <charset val="134"/>
      </rPr>
      <t>17-08-2026 10:49</t>
    </r>
  </si>
  <si>
    <r>
      <rPr>
        <sz val="10"/>
        <color rgb="FF0000FF"/>
        <rFont val="JRFonts"/>
        <charset val="134"/>
      </rPr>
      <t>23055</t>
    </r>
  </si>
  <si>
    <r>
      <rPr>
        <sz val="10"/>
        <color rgb="FF000000"/>
        <rFont val="JRFonts"/>
        <charset val="134"/>
      </rPr>
      <t>17-08-2026 10:39</t>
    </r>
  </si>
  <si>
    <r>
      <rPr>
        <sz val="10"/>
        <color rgb="FF000000"/>
        <rFont val="JRFonts"/>
        <charset val="134"/>
      </rPr>
      <t>17-08-2026 11:27</t>
    </r>
  </si>
  <si>
    <r>
      <rPr>
        <sz val="10"/>
        <color rgb="FF000000"/>
        <rFont val="JRFonts"/>
        <charset val="134"/>
      </rPr>
      <t>17-08-2026 11:00</t>
    </r>
  </si>
  <si>
    <r>
      <rPr>
        <sz val="10"/>
        <color rgb="FF0000FF"/>
        <rFont val="JRFonts"/>
        <charset val="134"/>
      </rPr>
      <t>23058</t>
    </r>
  </si>
  <si>
    <r>
      <rPr>
        <sz val="10"/>
        <color rgb="FF000000"/>
        <rFont val="JRFonts"/>
        <charset val="134"/>
      </rPr>
      <t>19-08-2026 11:03</t>
    </r>
  </si>
  <si>
    <r>
      <rPr>
        <sz val="10"/>
        <color rgb="FF000000"/>
        <rFont val="JRFonts"/>
        <charset val="134"/>
      </rPr>
      <t>17-08-2026 14:08</t>
    </r>
  </si>
  <si>
    <r>
      <rPr>
        <sz val="10"/>
        <color rgb="FF0000FF"/>
        <rFont val="JRFonts"/>
        <charset val="134"/>
      </rPr>
      <t>23059</t>
    </r>
  </si>
  <si>
    <r>
      <rPr>
        <sz val="10"/>
        <color rgb="FF000000"/>
        <rFont val="JRFonts"/>
        <charset val="134"/>
      </rPr>
      <t>17-08-2026 11:18</t>
    </r>
  </si>
  <si>
    <r>
      <rPr>
        <sz val="10"/>
        <color rgb="FF000000"/>
        <rFont val="JRFonts"/>
        <charset val="134"/>
      </rPr>
      <t>17-08-2026 14:24</t>
    </r>
  </si>
  <si>
    <r>
      <rPr>
        <sz val="10"/>
        <color rgb="FF000000"/>
        <rFont val="JRFonts"/>
        <charset val="134"/>
      </rPr>
      <t>17-08-2026 11:28</t>
    </r>
  </si>
  <si>
    <r>
      <rPr>
        <sz val="10"/>
        <color rgb="FF0000FF"/>
        <rFont val="JRFonts"/>
        <charset val="134"/>
      </rPr>
      <t>23060</t>
    </r>
  </si>
  <si>
    <r>
      <rPr>
        <sz val="10"/>
        <color rgb="FF000000"/>
        <rFont val="JRFonts"/>
        <charset val="134"/>
      </rPr>
      <t>29-08-2026 17:31</t>
    </r>
  </si>
  <si>
    <r>
      <rPr>
        <sz val="10"/>
        <color rgb="FF000000"/>
        <rFont val="JRFonts"/>
        <charset val="134"/>
      </rPr>
      <t>19-08-2026 12:10</t>
    </r>
  </si>
  <si>
    <r>
      <rPr>
        <sz val="10"/>
        <color rgb="FF0000FF"/>
        <rFont val="JRFonts"/>
        <charset val="134"/>
      </rPr>
      <t>23062</t>
    </r>
  </si>
  <si>
    <r>
      <rPr>
        <sz val="10"/>
        <color rgb="FF000000"/>
        <rFont val="JRFonts"/>
        <charset val="134"/>
      </rPr>
      <t>17-08-2026 11:40</t>
    </r>
  </si>
  <si>
    <r>
      <rPr>
        <sz val="10"/>
        <color rgb="FF000000"/>
        <rFont val="JRFonts"/>
        <charset val="134"/>
      </rPr>
      <t>17-08-2026 16:07</t>
    </r>
  </si>
  <si>
    <r>
      <rPr>
        <sz val="10"/>
        <color rgb="FF000000"/>
        <rFont val="JRFonts"/>
        <charset val="134"/>
      </rPr>
      <t>17-08-2026 12:06</t>
    </r>
  </si>
  <si>
    <r>
      <rPr>
        <sz val="10"/>
        <color rgb="FF0000FF"/>
        <rFont val="JRFonts"/>
        <charset val="134"/>
      </rPr>
      <t>23063</t>
    </r>
  </si>
  <si>
    <r>
      <rPr>
        <sz val="10"/>
        <color rgb="FF000000"/>
        <rFont val="JRFonts"/>
        <charset val="134"/>
      </rPr>
      <t>17-08-2026 11:52</t>
    </r>
  </si>
  <si>
    <r>
      <rPr>
        <sz val="10"/>
        <color rgb="FF000000"/>
        <rFont val="JRFonts"/>
        <charset val="134"/>
      </rPr>
      <t>31-08-2026 12:35</t>
    </r>
  </si>
  <si>
    <r>
      <rPr>
        <sz val="10"/>
        <color rgb="FF000000"/>
        <rFont val="JRFonts"/>
        <charset val="134"/>
      </rPr>
      <t>17-08-2026 12:40</t>
    </r>
  </si>
  <si>
    <t>23063</t>
  </si>
  <si>
    <r>
      <rPr>
        <sz val="10"/>
        <color rgb="FF0000FF"/>
        <rFont val="JRFonts"/>
        <charset val="134"/>
      </rPr>
      <t>23064</t>
    </r>
  </si>
  <si>
    <r>
      <rPr>
        <sz val="10"/>
        <color rgb="FF000000"/>
        <rFont val="JRFonts"/>
        <charset val="134"/>
      </rPr>
      <t>17-08-2026 12:25</t>
    </r>
  </si>
  <si>
    <r>
      <rPr>
        <sz val="10"/>
        <color rgb="FF000000"/>
        <rFont val="JRFonts"/>
        <charset val="134"/>
      </rPr>
      <t>26-08-2026 14:14</t>
    </r>
  </si>
  <si>
    <r>
      <rPr>
        <sz val="10"/>
        <color rgb="FF000000"/>
        <rFont val="JRFonts"/>
        <charset val="134"/>
      </rPr>
      <t>17-08-2026 12:33</t>
    </r>
  </si>
  <si>
    <r>
      <rPr>
        <sz val="10"/>
        <color rgb="FF0000FF"/>
        <rFont val="JRFonts"/>
        <charset val="134"/>
      </rPr>
      <t>23066</t>
    </r>
  </si>
  <si>
    <r>
      <rPr>
        <sz val="10"/>
        <color rgb="FF000000"/>
        <rFont val="JRFonts"/>
        <charset val="134"/>
      </rPr>
      <t>17-08-2026 12:28</t>
    </r>
  </si>
  <si>
    <r>
      <rPr>
        <sz val="10"/>
        <color rgb="FF000000"/>
        <rFont val="JRFonts"/>
        <charset val="134"/>
      </rPr>
      <t>31-08-2026 14:23</t>
    </r>
  </si>
  <si>
    <r>
      <rPr>
        <sz val="10"/>
        <color rgb="FF000000"/>
        <rFont val="JRFonts"/>
        <charset val="134"/>
      </rPr>
      <t>17-08-2026 12:31</t>
    </r>
  </si>
  <si>
    <t>23066</t>
  </si>
  <si>
    <r>
      <rPr>
        <sz val="10"/>
        <color rgb="FF0000FF"/>
        <rFont val="JRFonts"/>
        <charset val="134"/>
      </rPr>
      <t>23068</t>
    </r>
  </si>
  <si>
    <r>
      <rPr>
        <sz val="10"/>
        <color rgb="FF000000"/>
        <rFont val="JRFonts"/>
        <charset val="134"/>
      </rPr>
      <t>17-08-2026 12:37</t>
    </r>
  </si>
  <si>
    <r>
      <rPr>
        <sz val="10"/>
        <color rgb="FF000000"/>
        <rFont val="JRFonts"/>
        <charset val="134"/>
      </rPr>
      <t>21-08-2026 13:49</t>
    </r>
  </si>
  <si>
    <r>
      <rPr>
        <sz val="10"/>
        <color rgb="FF000000"/>
        <rFont val="JRFonts"/>
        <charset val="134"/>
      </rPr>
      <t>17-08-2026 12:42</t>
    </r>
  </si>
  <si>
    <t>23068</t>
  </si>
  <si>
    <r>
      <rPr>
        <sz val="10"/>
        <color rgb="FF0000FF"/>
        <rFont val="JRFonts"/>
        <charset val="134"/>
      </rPr>
      <t>23070</t>
    </r>
  </si>
  <si>
    <r>
      <rPr>
        <sz val="10"/>
        <color rgb="FF000000"/>
        <rFont val="JRFonts"/>
        <charset val="134"/>
      </rPr>
      <t>17-08-2026 12:47</t>
    </r>
  </si>
  <si>
    <r>
      <rPr>
        <sz val="10"/>
        <color rgb="FF000000"/>
        <rFont val="JRFonts"/>
        <charset val="134"/>
      </rPr>
      <t>17-08-2026 14:06</t>
    </r>
  </si>
  <si>
    <r>
      <rPr>
        <sz val="10"/>
        <color rgb="FF000000"/>
        <rFont val="JRFonts"/>
        <charset val="134"/>
      </rPr>
      <t>17-08-2026 12:57</t>
    </r>
  </si>
  <si>
    <r>
      <rPr>
        <sz val="10"/>
        <color rgb="FF0000FF"/>
        <rFont val="JRFonts"/>
        <charset val="134"/>
      </rPr>
      <t>23071</t>
    </r>
  </si>
  <si>
    <r>
      <rPr>
        <sz val="10"/>
        <color rgb="FF000000"/>
        <rFont val="JRFonts"/>
        <charset val="134"/>
      </rPr>
      <t>17-08-2026 12:59</t>
    </r>
  </si>
  <si>
    <r>
      <rPr>
        <sz val="10"/>
        <color rgb="FF000000"/>
        <rFont val="JRFonts"/>
        <charset val="134"/>
      </rPr>
      <t>03-09-2026 15:02</t>
    </r>
  </si>
  <si>
    <r>
      <rPr>
        <sz val="10"/>
        <color rgb="FF000000"/>
        <rFont val="JRFonts"/>
        <charset val="134"/>
      </rPr>
      <t>17-08-2026 14:10</t>
    </r>
  </si>
  <si>
    <t>23071</t>
  </si>
  <si>
    <r>
      <rPr>
        <sz val="10"/>
        <color rgb="FF0000FF"/>
        <rFont val="JRFonts"/>
        <charset val="134"/>
      </rPr>
      <t>23072</t>
    </r>
  </si>
  <si>
    <r>
      <rPr>
        <sz val="10"/>
        <color rgb="FF000000"/>
        <rFont val="JRFonts"/>
        <charset val="134"/>
      </rPr>
      <t>17-08-2026 13:05</t>
    </r>
  </si>
  <si>
    <r>
      <rPr>
        <sz val="10"/>
        <color rgb="FF000000"/>
        <rFont val="JRFonts"/>
        <charset val="134"/>
      </rPr>
      <t>18-08-2026 14:12</t>
    </r>
  </si>
  <si>
    <r>
      <rPr>
        <sz val="10"/>
        <color rgb="FF000000"/>
        <rFont val="JRFonts"/>
        <charset val="134"/>
      </rPr>
      <t>17-08-2026 14:11</t>
    </r>
  </si>
  <si>
    <r>
      <rPr>
        <sz val="10"/>
        <color rgb="FF0000FF"/>
        <rFont val="JRFonts"/>
        <charset val="134"/>
      </rPr>
      <t>23074</t>
    </r>
  </si>
  <si>
    <r>
      <rPr>
        <sz val="10"/>
        <color rgb="FF000000"/>
        <rFont val="JRFonts"/>
        <charset val="134"/>
      </rPr>
      <t>17-08-2026 13:11</t>
    </r>
  </si>
  <si>
    <r>
      <rPr>
        <sz val="10"/>
        <color rgb="FF000000"/>
        <rFont val="JRFonts"/>
        <charset val="134"/>
      </rPr>
      <t>19-08-2026 12:25</t>
    </r>
  </si>
  <si>
    <r>
      <rPr>
        <sz val="10"/>
        <color rgb="FF000000"/>
        <rFont val="JRFonts"/>
        <charset val="134"/>
      </rPr>
      <t>17-08-2026 14:12</t>
    </r>
  </si>
  <si>
    <t>23074</t>
  </si>
  <si>
    <r>
      <rPr>
        <sz val="10"/>
        <color rgb="FF0000FF"/>
        <rFont val="JRFonts"/>
        <charset val="134"/>
      </rPr>
      <t>23075</t>
    </r>
  </si>
  <si>
    <r>
      <rPr>
        <sz val="10"/>
        <color rgb="FF000000"/>
        <rFont val="JRFonts"/>
        <charset val="134"/>
      </rPr>
      <t>17-08-2026 13:17</t>
    </r>
  </si>
  <si>
    <r>
      <rPr>
        <sz val="10"/>
        <color rgb="FF000000"/>
        <rFont val="JRFonts"/>
        <charset val="134"/>
      </rPr>
      <t>17-08-2026 14:32</t>
    </r>
  </si>
  <si>
    <r>
      <rPr>
        <sz val="10"/>
        <color rgb="FF000000"/>
        <rFont val="JRFonts"/>
        <charset val="134"/>
      </rPr>
      <t>17-08-2026 14:19</t>
    </r>
  </si>
  <si>
    <r>
      <rPr>
        <sz val="10"/>
        <color rgb="FF0000FF"/>
        <rFont val="JRFonts"/>
        <charset val="134"/>
      </rPr>
      <t>23076</t>
    </r>
  </si>
  <si>
    <r>
      <rPr>
        <sz val="10"/>
        <color rgb="FF000000"/>
        <rFont val="JRFonts"/>
        <charset val="134"/>
      </rPr>
      <t>17-08-2026 13:29</t>
    </r>
  </si>
  <si>
    <r>
      <rPr>
        <sz val="10"/>
        <color rgb="FF0000FF"/>
        <rFont val="JRFonts"/>
        <charset val="134"/>
      </rPr>
      <t>23082</t>
    </r>
  </si>
  <si>
    <r>
      <rPr>
        <sz val="10"/>
        <color rgb="FF000000"/>
        <rFont val="JRFonts"/>
        <charset val="134"/>
      </rPr>
      <t>17-08-2026 14:39</t>
    </r>
  </si>
  <si>
    <r>
      <rPr>
        <sz val="10"/>
        <color rgb="FF000000"/>
        <rFont val="JRFonts"/>
        <charset val="134"/>
      </rPr>
      <t>17-08-2026 15:33</t>
    </r>
  </si>
  <si>
    <r>
      <rPr>
        <sz val="10"/>
        <color rgb="FF000000"/>
        <rFont val="JRFonts"/>
        <charset val="134"/>
      </rPr>
      <t>17-08-2026 14:42</t>
    </r>
  </si>
  <si>
    <r>
      <rPr>
        <sz val="10"/>
        <color rgb="FF0000FF"/>
        <rFont val="JRFonts"/>
        <charset val="134"/>
      </rPr>
      <t>23084</t>
    </r>
  </si>
  <si>
    <r>
      <rPr>
        <sz val="10"/>
        <color rgb="FF000000"/>
        <rFont val="JRFonts"/>
        <charset val="134"/>
      </rPr>
      <t>18-08-2026 11:04</t>
    </r>
  </si>
  <si>
    <r>
      <rPr>
        <sz val="10"/>
        <color rgb="FF0000FF"/>
        <rFont val="JRFonts"/>
        <charset val="134"/>
      </rPr>
      <t>23085</t>
    </r>
  </si>
  <si>
    <r>
      <rPr>
        <sz val="10"/>
        <color rgb="FF000000"/>
        <rFont val="JRFonts"/>
        <charset val="134"/>
      </rPr>
      <t>17-08-2026 14:48</t>
    </r>
  </si>
  <si>
    <r>
      <rPr>
        <sz val="10"/>
        <color rgb="FF000000"/>
        <rFont val="JRFonts"/>
        <charset val="134"/>
      </rPr>
      <t>25-08-2026 16:45</t>
    </r>
  </si>
  <si>
    <r>
      <rPr>
        <sz val="10"/>
        <color rgb="FF000000"/>
        <rFont val="JRFonts"/>
        <charset val="134"/>
      </rPr>
      <t>17-08-2026 14:55</t>
    </r>
  </si>
  <si>
    <t>23085</t>
  </si>
  <si>
    <r>
      <rPr>
        <sz val="10"/>
        <color rgb="FF0000FF"/>
        <rFont val="JRFonts"/>
        <charset val="134"/>
      </rPr>
      <t>23087</t>
    </r>
  </si>
  <si>
    <r>
      <rPr>
        <sz val="10"/>
        <color rgb="FF000000"/>
        <rFont val="JRFonts"/>
        <charset val="134"/>
      </rPr>
      <t>17-08-2026 14:51</t>
    </r>
  </si>
  <si>
    <r>
      <rPr>
        <sz val="10"/>
        <color rgb="FF000000"/>
        <rFont val="JRFonts"/>
        <charset val="134"/>
      </rPr>
      <t>18-08-2026 12:09</t>
    </r>
  </si>
  <si>
    <r>
      <rPr>
        <sz val="10"/>
        <color rgb="FF000000"/>
        <rFont val="JRFonts"/>
        <charset val="134"/>
      </rPr>
      <t>17-08-2026 15:06</t>
    </r>
  </si>
  <si>
    <r>
      <rPr>
        <sz val="10"/>
        <color rgb="FF0000FF"/>
        <rFont val="JRFonts"/>
        <charset val="134"/>
      </rPr>
      <t>23091</t>
    </r>
  </si>
  <si>
    <r>
      <rPr>
        <sz val="10"/>
        <color rgb="FF000000"/>
        <rFont val="JRFonts"/>
        <charset val="134"/>
      </rPr>
      <t>17-08-2026 15:22</t>
    </r>
  </si>
  <si>
    <r>
      <rPr>
        <sz val="10"/>
        <color rgb="FF000000"/>
        <rFont val="JRFonts"/>
        <charset val="134"/>
      </rPr>
      <t>18-08-2026 11:11</t>
    </r>
  </si>
  <si>
    <r>
      <rPr>
        <sz val="10"/>
        <color rgb="FF000000"/>
        <rFont val="JRFonts"/>
        <charset val="134"/>
      </rPr>
      <t>17-08-2026 15:44</t>
    </r>
  </si>
  <si>
    <r>
      <rPr>
        <sz val="10"/>
        <color rgb="FF0000FF"/>
        <rFont val="JRFonts"/>
        <charset val="134"/>
      </rPr>
      <t>23092</t>
    </r>
  </si>
  <si>
    <r>
      <rPr>
        <sz val="10"/>
        <color rgb="FF000000"/>
        <rFont val="JRFonts"/>
        <charset val="134"/>
      </rPr>
      <t>17-08-2026 15:34</t>
    </r>
  </si>
  <si>
    <r>
      <rPr>
        <sz val="10"/>
        <color rgb="FF000000"/>
        <rFont val="JRFonts"/>
        <charset val="134"/>
      </rPr>
      <t>17-08-2026 16:36</t>
    </r>
  </si>
  <si>
    <r>
      <rPr>
        <sz val="10"/>
        <color rgb="FF000000"/>
        <rFont val="JRFonts"/>
        <charset val="134"/>
      </rPr>
      <t>17-08-2026 16:25</t>
    </r>
  </si>
  <si>
    <r>
      <rPr>
        <sz val="10"/>
        <color rgb="FF0000FF"/>
        <rFont val="JRFonts"/>
        <charset val="134"/>
      </rPr>
      <t>23094</t>
    </r>
  </si>
  <si>
    <r>
      <rPr>
        <sz val="10"/>
        <color rgb="FF000000"/>
        <rFont val="JRFonts"/>
        <charset val="134"/>
      </rPr>
      <t>18-08-2026 10:07</t>
    </r>
  </si>
  <si>
    <r>
      <rPr>
        <sz val="10"/>
        <color rgb="FF000000"/>
        <rFont val="JRFonts"/>
        <charset val="134"/>
      </rPr>
      <t>17-08-2026 15:45</t>
    </r>
  </si>
  <si>
    <r>
      <rPr>
        <sz val="10"/>
        <color rgb="FF0000FF"/>
        <rFont val="JRFonts"/>
        <charset val="134"/>
      </rPr>
      <t>23095</t>
    </r>
  </si>
  <si>
    <r>
      <rPr>
        <sz val="10"/>
        <color rgb="FF000000"/>
        <rFont val="JRFonts"/>
        <charset val="134"/>
      </rPr>
      <t>17-08-2026 15:37</t>
    </r>
  </si>
  <si>
    <r>
      <rPr>
        <sz val="10"/>
        <color rgb="FF000000"/>
        <rFont val="JRFonts"/>
        <charset val="134"/>
      </rPr>
      <t>17-08-2026 16:29</t>
    </r>
  </si>
  <si>
    <r>
      <rPr>
        <sz val="10"/>
        <color rgb="FF000000"/>
        <rFont val="JRFonts"/>
        <charset val="134"/>
      </rPr>
      <t>17-08-2026 15:47</t>
    </r>
  </si>
  <si>
    <r>
      <rPr>
        <sz val="10"/>
        <color rgb="FF0000FF"/>
        <rFont val="JRFonts"/>
        <charset val="134"/>
      </rPr>
      <t>23099</t>
    </r>
  </si>
  <si>
    <r>
      <rPr>
        <sz val="10"/>
        <color rgb="FF000000"/>
        <rFont val="JRFonts"/>
        <charset val="134"/>
      </rPr>
      <t>17-08-2026 15:58</t>
    </r>
  </si>
  <si>
    <r>
      <rPr>
        <sz val="10"/>
        <color rgb="FF000000"/>
        <rFont val="JRFonts"/>
        <charset val="134"/>
      </rPr>
      <t>19-08-2026 17:48</t>
    </r>
  </si>
  <si>
    <r>
      <rPr>
        <sz val="10"/>
        <color rgb="FF000000"/>
        <rFont val="JRFonts"/>
        <charset val="134"/>
      </rPr>
      <t>17-08-2026 16:09</t>
    </r>
  </si>
  <si>
    <t>23099</t>
  </si>
  <si>
    <r>
      <rPr>
        <sz val="10"/>
        <color rgb="FF0000FF"/>
        <rFont val="JRFonts"/>
        <charset val="134"/>
      </rPr>
      <t>23100</t>
    </r>
  </si>
  <si>
    <r>
      <rPr>
        <sz val="10"/>
        <color rgb="FF000000"/>
        <rFont val="JRFonts"/>
        <charset val="134"/>
      </rPr>
      <t>18-08-2026 14:11</t>
    </r>
  </si>
  <si>
    <r>
      <rPr>
        <sz val="10"/>
        <color rgb="FF000000"/>
        <rFont val="JRFonts"/>
        <charset val="134"/>
      </rPr>
      <t>17-08-2026 16:06</t>
    </r>
  </si>
  <si>
    <r>
      <rPr>
        <sz val="10"/>
        <color rgb="FF0000FF"/>
        <rFont val="JRFonts"/>
        <charset val="134"/>
      </rPr>
      <t>23101</t>
    </r>
  </si>
  <si>
    <r>
      <rPr>
        <sz val="10"/>
        <color rgb="FF000000"/>
        <rFont val="JRFonts"/>
        <charset val="134"/>
      </rPr>
      <t>17-08-2026 16:27</t>
    </r>
  </si>
  <si>
    <r>
      <rPr>
        <sz val="10"/>
        <color rgb="FF0000FF"/>
        <rFont val="JRFonts"/>
        <charset val="134"/>
      </rPr>
      <t>23102</t>
    </r>
  </si>
  <si>
    <r>
      <rPr>
        <sz val="10"/>
        <color rgb="FF000000"/>
        <rFont val="JRFonts"/>
        <charset val="134"/>
      </rPr>
      <t>18-08-2026 11:15</t>
    </r>
  </si>
  <si>
    <r>
      <rPr>
        <sz val="10"/>
        <color rgb="FF000000"/>
        <rFont val="JRFonts"/>
        <charset val="134"/>
      </rPr>
      <t>17-08-2026 16:05</t>
    </r>
  </si>
  <si>
    <r>
      <rPr>
        <sz val="10"/>
        <color rgb="FF0000FF"/>
        <rFont val="JRFonts"/>
        <charset val="134"/>
      </rPr>
      <t>23103</t>
    </r>
  </si>
  <si>
    <r>
      <rPr>
        <sz val="10"/>
        <color rgb="FF000000"/>
        <rFont val="JRFonts"/>
        <charset val="134"/>
      </rPr>
      <t>17-08-2026 16:32</t>
    </r>
  </si>
  <si>
    <r>
      <rPr>
        <sz val="10"/>
        <color rgb="FF000000"/>
        <rFont val="JRFonts"/>
        <charset val="134"/>
      </rPr>
      <t>17-08-2026 16:21</t>
    </r>
  </si>
  <si>
    <r>
      <rPr>
        <sz val="10"/>
        <color rgb="FF0000FF"/>
        <rFont val="JRFonts"/>
        <charset val="134"/>
      </rPr>
      <t>23104</t>
    </r>
  </si>
  <si>
    <r>
      <rPr>
        <sz val="10"/>
        <color rgb="FF000000"/>
        <rFont val="JRFonts"/>
        <charset val="134"/>
      </rPr>
      <t>17-08-2026 16:19</t>
    </r>
  </si>
  <si>
    <r>
      <rPr>
        <sz val="10"/>
        <color rgb="FF000000"/>
        <rFont val="JRFonts"/>
        <charset val="134"/>
      </rPr>
      <t>17-08-2026 16:30</t>
    </r>
  </si>
  <si>
    <r>
      <rPr>
        <sz val="10"/>
        <color rgb="FF000000"/>
        <rFont val="JRFonts"/>
        <charset val="134"/>
      </rPr>
      <t>17-08-2026 16:26</t>
    </r>
  </si>
  <si>
    <r>
      <rPr>
        <sz val="10"/>
        <color rgb="FF0000FF"/>
        <rFont val="JRFonts"/>
        <charset val="134"/>
      </rPr>
      <t>23105</t>
    </r>
  </si>
  <si>
    <r>
      <rPr>
        <sz val="10"/>
        <color rgb="FF000000"/>
        <rFont val="JRFonts"/>
        <charset val="134"/>
      </rPr>
      <t>18-08-2026 12:23</t>
    </r>
  </si>
  <si>
    <r>
      <rPr>
        <sz val="10"/>
        <color rgb="FF000000"/>
        <rFont val="JRFonts"/>
        <charset val="134"/>
      </rPr>
      <t>17-08-2026 16:33</t>
    </r>
  </si>
  <si>
    <r>
      <rPr>
        <sz val="10"/>
        <color rgb="FF0000FF"/>
        <rFont val="JRFonts"/>
        <charset val="134"/>
      </rPr>
      <t>23107</t>
    </r>
  </si>
  <si>
    <r>
      <rPr>
        <sz val="10"/>
        <color rgb="FF000000"/>
        <rFont val="JRFonts"/>
        <charset val="134"/>
      </rPr>
      <t>17-08-2026 16:41</t>
    </r>
  </si>
  <si>
    <r>
      <rPr>
        <sz val="10"/>
        <color rgb="FF000000"/>
        <rFont val="JRFonts"/>
        <charset val="134"/>
      </rPr>
      <t>17-08-2026 17:00</t>
    </r>
  </si>
  <si>
    <r>
      <rPr>
        <sz val="10"/>
        <color rgb="FF0000FF"/>
        <rFont val="JRFonts"/>
        <charset val="134"/>
      </rPr>
      <t>23108</t>
    </r>
  </si>
  <si>
    <r>
      <rPr>
        <sz val="10"/>
        <color rgb="FF0000FF"/>
        <rFont val="JRFonts"/>
        <charset val="134"/>
      </rPr>
      <t>23109</t>
    </r>
  </si>
  <si>
    <r>
      <rPr>
        <sz val="10"/>
        <color rgb="FF000000"/>
        <rFont val="JRFonts"/>
        <charset val="134"/>
      </rPr>
      <t>17-08-2026 16:59</t>
    </r>
  </si>
  <si>
    <r>
      <rPr>
        <sz val="10"/>
        <color rgb="FF000000"/>
        <rFont val="JRFonts"/>
        <charset val="134"/>
      </rPr>
      <t>18-08-2026 14:36</t>
    </r>
  </si>
  <si>
    <r>
      <rPr>
        <sz val="10"/>
        <color rgb="FF000000"/>
        <rFont val="JRFonts"/>
        <charset val="134"/>
      </rPr>
      <t>17-08-2026 17:06</t>
    </r>
  </si>
  <si>
    <t>23109</t>
  </si>
  <si>
    <r>
      <rPr>
        <sz val="10"/>
        <color rgb="FF0000FF"/>
        <rFont val="JRFonts"/>
        <charset val="134"/>
      </rPr>
      <t>23111</t>
    </r>
  </si>
  <si>
    <r>
      <rPr>
        <sz val="10"/>
        <color rgb="FF000000"/>
        <rFont val="JRFonts"/>
        <charset val="134"/>
      </rPr>
      <t>17-08-2026 17:19</t>
    </r>
  </si>
  <si>
    <r>
      <rPr>
        <sz val="10"/>
        <color rgb="FF000000"/>
        <rFont val="JRFonts"/>
        <charset val="134"/>
      </rPr>
      <t>17-08-2026 17:07</t>
    </r>
  </si>
  <si>
    <r>
      <rPr>
        <sz val="10"/>
        <color rgb="FF0000FF"/>
        <rFont val="JRFonts"/>
        <charset val="134"/>
      </rPr>
      <t>23115</t>
    </r>
  </si>
  <si>
    <r>
      <rPr>
        <sz val="10"/>
        <color rgb="FF000000"/>
        <rFont val="JRFonts"/>
        <charset val="134"/>
      </rPr>
      <t>17-08-2026 17:05</t>
    </r>
  </si>
  <si>
    <r>
      <rPr>
        <sz val="10"/>
        <color rgb="FF000000"/>
        <rFont val="JRFonts"/>
        <charset val="134"/>
      </rPr>
      <t>17-08-2026 17:40</t>
    </r>
  </si>
  <si>
    <r>
      <rPr>
        <sz val="10"/>
        <color rgb="FF000000"/>
        <rFont val="JRFonts"/>
        <charset val="134"/>
      </rPr>
      <t>17-08-2026 17:23</t>
    </r>
  </si>
  <si>
    <r>
      <rPr>
        <sz val="10"/>
        <color rgb="FF0000FF"/>
        <rFont val="JRFonts"/>
        <charset val="134"/>
      </rPr>
      <t>23117</t>
    </r>
  </si>
  <si>
    <r>
      <rPr>
        <sz val="10"/>
        <color rgb="FF000000"/>
        <rFont val="JRFonts"/>
        <charset val="134"/>
      </rPr>
      <t>17-08-2026 17:11</t>
    </r>
  </si>
  <si>
    <r>
      <rPr>
        <sz val="10"/>
        <color rgb="FF000000"/>
        <rFont val="JRFonts"/>
        <charset val="134"/>
      </rPr>
      <t>18-08-2026 11:14</t>
    </r>
  </si>
  <si>
    <r>
      <rPr>
        <sz val="10"/>
        <color rgb="FF000000"/>
        <rFont val="JRFonts"/>
        <charset val="134"/>
      </rPr>
      <t>17-08-2026 17:20</t>
    </r>
  </si>
  <si>
    <r>
      <rPr>
        <sz val="10"/>
        <color rgb="FF0000FF"/>
        <rFont val="JRFonts"/>
        <charset val="134"/>
      </rPr>
      <t>23120</t>
    </r>
  </si>
  <si>
    <r>
      <rPr>
        <sz val="10"/>
        <color rgb="FF000000"/>
        <rFont val="JRFonts"/>
        <charset val="134"/>
      </rPr>
      <t>31-08-2026 15:22</t>
    </r>
  </si>
  <si>
    <r>
      <rPr>
        <sz val="10"/>
        <color rgb="FF000000"/>
        <rFont val="JRFonts"/>
        <charset val="134"/>
      </rPr>
      <t>18-08-2026 10:14</t>
    </r>
  </si>
  <si>
    <t>23120</t>
  </si>
  <si>
    <r>
      <rPr>
        <sz val="10"/>
        <color rgb="FF0000FF"/>
        <rFont val="JRFonts"/>
        <charset val="134"/>
      </rPr>
      <t>23122</t>
    </r>
  </si>
  <si>
    <r>
      <rPr>
        <sz val="10"/>
        <color rgb="FF000000"/>
        <rFont val="JRFonts"/>
        <charset val="134"/>
      </rPr>
      <t>17-08-2026 17:33</t>
    </r>
  </si>
  <si>
    <r>
      <rPr>
        <sz val="10"/>
        <color rgb="FF000000"/>
        <rFont val="JRFonts"/>
        <charset val="134"/>
      </rPr>
      <t>17-08-2026 23:10</t>
    </r>
  </si>
  <si>
    <r>
      <rPr>
        <sz val="10"/>
        <color rgb="FF000000"/>
        <rFont val="JRFonts"/>
        <charset val="134"/>
      </rPr>
      <t>17-08-2026 17:49</t>
    </r>
  </si>
  <si>
    <r>
      <rPr>
        <sz val="10"/>
        <color rgb="FF0000FF"/>
        <rFont val="JRFonts"/>
        <charset val="134"/>
      </rPr>
      <t>23123</t>
    </r>
  </si>
  <si>
    <r>
      <rPr>
        <sz val="10"/>
        <color rgb="FF000000"/>
        <rFont val="JRFonts"/>
        <charset val="134"/>
      </rPr>
      <t>17-08-2026 18:08</t>
    </r>
  </si>
  <si>
    <r>
      <rPr>
        <sz val="10"/>
        <color rgb="FF000000"/>
        <rFont val="JRFonts"/>
        <charset val="134"/>
      </rPr>
      <t>17-08-2026 17:51</t>
    </r>
  </si>
  <si>
    <r>
      <rPr>
        <sz val="10"/>
        <color rgb="FF0000FF"/>
        <rFont val="JRFonts"/>
        <charset val="134"/>
      </rPr>
      <t>23124</t>
    </r>
  </si>
  <si>
    <r>
      <rPr>
        <sz val="10"/>
        <color rgb="FF000000"/>
        <rFont val="JRFonts"/>
        <charset val="134"/>
      </rPr>
      <t>24-08-2026 16:12</t>
    </r>
  </si>
  <si>
    <r>
      <rPr>
        <sz val="10"/>
        <color rgb="FF000000"/>
        <rFont val="JRFonts"/>
        <charset val="134"/>
      </rPr>
      <t>17-08-2026 17:52</t>
    </r>
  </si>
  <si>
    <r>
      <rPr>
        <sz val="10"/>
        <color rgb="FF0000FF"/>
        <rFont val="JRFonts"/>
        <charset val="134"/>
      </rPr>
      <t>23128</t>
    </r>
  </si>
  <si>
    <r>
      <rPr>
        <sz val="10"/>
        <color rgb="FF000000"/>
        <rFont val="JRFonts"/>
        <charset val="134"/>
      </rPr>
      <t>17-08-2026 18:00</t>
    </r>
  </si>
  <si>
    <r>
      <rPr>
        <sz val="10"/>
        <color rgb="FF000000"/>
        <rFont val="JRFonts"/>
        <charset val="134"/>
      </rPr>
      <t>17-08-2026 18:28</t>
    </r>
  </si>
  <si>
    <r>
      <rPr>
        <sz val="10"/>
        <color rgb="FF000000"/>
        <rFont val="JRFonts"/>
        <charset val="134"/>
      </rPr>
      <t>17-08-2026 18:10</t>
    </r>
  </si>
  <si>
    <r>
      <rPr>
        <sz val="10"/>
        <color rgb="FF0000FF"/>
        <rFont val="JRFonts"/>
        <charset val="134"/>
      </rPr>
      <t>23129</t>
    </r>
  </si>
  <si>
    <r>
      <rPr>
        <sz val="10"/>
        <color rgb="FF000000"/>
        <rFont val="JRFonts"/>
        <charset val="134"/>
      </rPr>
      <t>17-08-2026 18:03</t>
    </r>
  </si>
  <si>
    <r>
      <rPr>
        <sz val="10"/>
        <color rgb="FF000000"/>
        <rFont val="JRFonts"/>
        <charset val="134"/>
      </rPr>
      <t>17-08-2026 18:35</t>
    </r>
  </si>
  <si>
    <r>
      <rPr>
        <sz val="10"/>
        <color rgb="FF000000"/>
        <rFont val="JRFonts"/>
        <charset val="134"/>
      </rPr>
      <t>17-08-2026 18:11</t>
    </r>
  </si>
  <si>
    <r>
      <rPr>
        <sz val="10"/>
        <color rgb="FF0000FF"/>
        <rFont val="JRFonts"/>
        <charset val="134"/>
      </rPr>
      <t>23132</t>
    </r>
  </si>
  <si>
    <r>
      <rPr>
        <sz val="10"/>
        <color rgb="FF000000"/>
        <rFont val="JRFonts"/>
        <charset val="134"/>
      </rPr>
      <t>17-08-2026 18:09</t>
    </r>
  </si>
  <si>
    <r>
      <rPr>
        <sz val="10"/>
        <color rgb="FF000000"/>
        <rFont val="JRFonts"/>
        <charset val="134"/>
      </rPr>
      <t>18-08-2026 10:30</t>
    </r>
  </si>
  <si>
    <r>
      <rPr>
        <sz val="10"/>
        <color rgb="FF000000"/>
        <rFont val="JRFonts"/>
        <charset val="134"/>
      </rPr>
      <t>17-08-2026 18:19</t>
    </r>
  </si>
  <si>
    <r>
      <rPr>
        <sz val="10"/>
        <color rgb="FF0000FF"/>
        <rFont val="JRFonts"/>
        <charset val="134"/>
      </rPr>
      <t>23133</t>
    </r>
  </si>
  <si>
    <r>
      <rPr>
        <sz val="10"/>
        <color rgb="FF000000"/>
        <rFont val="JRFonts"/>
        <charset val="134"/>
      </rPr>
      <t>17-08-2026 18:15</t>
    </r>
  </si>
  <si>
    <r>
      <rPr>
        <sz val="10"/>
        <color rgb="FF000000"/>
        <rFont val="JRFonts"/>
        <charset val="134"/>
      </rPr>
      <t>18-08-2026 10:49</t>
    </r>
  </si>
  <si>
    <r>
      <rPr>
        <sz val="10"/>
        <color rgb="FF000000"/>
        <rFont val="JRFonts"/>
        <charset val="134"/>
      </rPr>
      <t>18-08-2026 10:25</t>
    </r>
  </si>
  <si>
    <r>
      <rPr>
        <sz val="10"/>
        <color rgb="FF0000FF"/>
        <rFont val="JRFonts"/>
        <charset val="134"/>
      </rPr>
      <t>23134</t>
    </r>
  </si>
  <si>
    <r>
      <rPr>
        <sz val="10"/>
        <color rgb="FF000000"/>
        <rFont val="JRFonts"/>
        <charset val="134"/>
      </rPr>
      <t>18-08-2026 12:16</t>
    </r>
  </si>
  <si>
    <r>
      <rPr>
        <sz val="10"/>
        <color rgb="FF000000"/>
        <rFont val="JRFonts"/>
        <charset val="134"/>
      </rPr>
      <t>17-08-2026 18:20</t>
    </r>
  </si>
  <si>
    <r>
      <rPr>
        <sz val="10"/>
        <color rgb="FF0000FF"/>
        <rFont val="JRFonts"/>
        <charset val="134"/>
      </rPr>
      <t>23136</t>
    </r>
  </si>
  <si>
    <r>
      <rPr>
        <sz val="10"/>
        <color rgb="FF000000"/>
        <rFont val="JRFonts"/>
        <charset val="134"/>
      </rPr>
      <t>17-08-2026 18:21</t>
    </r>
  </si>
  <si>
    <r>
      <rPr>
        <sz val="10"/>
        <color rgb="FF000000"/>
        <rFont val="JRFonts"/>
        <charset val="134"/>
      </rPr>
      <t>20-08-2026 10:16</t>
    </r>
  </si>
  <si>
    <r>
      <rPr>
        <sz val="10"/>
        <color rgb="FF0000FF"/>
        <rFont val="JRFonts"/>
        <charset val="134"/>
      </rPr>
      <t>23137</t>
    </r>
  </si>
  <si>
    <r>
      <rPr>
        <sz val="10"/>
        <color rgb="FF000000"/>
        <rFont val="JRFonts"/>
        <charset val="134"/>
      </rPr>
      <t>18-08-2026 10:32</t>
    </r>
  </si>
  <si>
    <r>
      <rPr>
        <sz val="10"/>
        <color rgb="FF000000"/>
        <rFont val="JRFonts"/>
        <charset val="134"/>
      </rPr>
      <t>17-08-2026 18:23</t>
    </r>
  </si>
  <si>
    <r>
      <rPr>
        <sz val="10"/>
        <color rgb="FF0000FF"/>
        <rFont val="JRFonts"/>
        <charset val="134"/>
      </rPr>
      <t>23141</t>
    </r>
  </si>
  <si>
    <r>
      <rPr>
        <sz val="10"/>
        <color rgb="FF000000"/>
        <rFont val="JRFonts"/>
        <charset val="134"/>
      </rPr>
      <t>18-08-2026 10:22</t>
    </r>
  </si>
  <si>
    <r>
      <rPr>
        <sz val="10"/>
        <color rgb="FF000000"/>
        <rFont val="JRFonts"/>
        <charset val="134"/>
      </rPr>
      <t>18-08-2026 11:02</t>
    </r>
  </si>
  <si>
    <r>
      <rPr>
        <sz val="10"/>
        <color rgb="FF000000"/>
        <rFont val="JRFonts"/>
        <charset val="134"/>
      </rPr>
      <t>18-08-2026 10:34</t>
    </r>
  </si>
  <si>
    <r>
      <rPr>
        <sz val="10"/>
        <color rgb="FF0000FF"/>
        <rFont val="JRFonts"/>
        <charset val="134"/>
      </rPr>
      <t>23142</t>
    </r>
  </si>
  <si>
    <r>
      <rPr>
        <sz val="10"/>
        <color rgb="FF000000"/>
        <rFont val="JRFonts"/>
        <charset val="134"/>
      </rPr>
      <t>18-08-2026 10:28</t>
    </r>
  </si>
  <si>
    <r>
      <rPr>
        <sz val="10"/>
        <color rgb="FF000000"/>
        <rFont val="JRFonts"/>
        <charset val="134"/>
      </rPr>
      <t>24-08-2026 12:08</t>
    </r>
  </si>
  <si>
    <r>
      <rPr>
        <sz val="10"/>
        <color rgb="FF000000"/>
        <rFont val="JRFonts"/>
        <charset val="134"/>
      </rPr>
      <t>18-08-2026 10:35</t>
    </r>
  </si>
  <si>
    <t>23142</t>
  </si>
  <si>
    <r>
      <rPr>
        <sz val="10"/>
        <color rgb="FF0000FF"/>
        <rFont val="JRFonts"/>
        <charset val="134"/>
      </rPr>
      <t>23143</t>
    </r>
  </si>
  <si>
    <r>
      <rPr>
        <sz val="10"/>
        <color rgb="FF000000"/>
        <rFont val="JRFonts"/>
        <charset val="134"/>
      </rPr>
      <t>18-08-2026 17:51</t>
    </r>
  </si>
  <si>
    <r>
      <rPr>
        <sz val="10"/>
        <color rgb="FF000000"/>
        <rFont val="JRFonts"/>
        <charset val="134"/>
      </rPr>
      <t>18-08-2026 10:37</t>
    </r>
  </si>
  <si>
    <r>
      <rPr>
        <sz val="10"/>
        <color rgb="FF0000FF"/>
        <rFont val="JRFonts"/>
        <charset val="134"/>
      </rPr>
      <t>23144</t>
    </r>
  </si>
  <si>
    <r>
      <rPr>
        <sz val="10"/>
        <color rgb="FF000000"/>
        <rFont val="JRFonts"/>
        <charset val="134"/>
      </rPr>
      <t>19-08-2026 09:59</t>
    </r>
  </si>
  <si>
    <r>
      <rPr>
        <sz val="10"/>
        <color rgb="FF000000"/>
        <rFont val="JRFonts"/>
        <charset val="134"/>
      </rPr>
      <t>18-08-2026 10:36</t>
    </r>
  </si>
  <si>
    <r>
      <rPr>
        <sz val="10"/>
        <color rgb="FF0000FF"/>
        <rFont val="JRFonts"/>
        <charset val="134"/>
      </rPr>
      <t>23146</t>
    </r>
  </si>
  <si>
    <r>
      <rPr>
        <sz val="10"/>
        <color rgb="FF000000"/>
        <rFont val="JRFonts"/>
        <charset val="134"/>
      </rPr>
      <t>18-08-2026 10:40</t>
    </r>
  </si>
  <si>
    <r>
      <rPr>
        <sz val="10"/>
        <color rgb="FF000000"/>
        <rFont val="JRFonts"/>
        <charset val="134"/>
      </rPr>
      <t>25-08-2026 12:12</t>
    </r>
  </si>
  <si>
    <r>
      <rPr>
        <sz val="10"/>
        <color rgb="FF000000"/>
        <rFont val="JRFonts"/>
        <charset val="134"/>
      </rPr>
      <t>18-08-2026 10:47</t>
    </r>
  </si>
  <si>
    <t>23146</t>
  </si>
  <si>
    <r>
      <rPr>
        <sz val="10"/>
        <color rgb="FF0000FF"/>
        <rFont val="JRFonts"/>
        <charset val="134"/>
      </rPr>
      <t>23148</t>
    </r>
  </si>
  <si>
    <r>
      <rPr>
        <sz val="10"/>
        <color rgb="FF000000"/>
        <rFont val="JRFonts"/>
        <charset val="134"/>
      </rPr>
      <t>19-08-2026 11:51</t>
    </r>
  </si>
  <si>
    <r>
      <rPr>
        <sz val="10"/>
        <color rgb="FF000000"/>
        <rFont val="JRFonts"/>
        <charset val="134"/>
      </rPr>
      <t>18-08-2026 11:22</t>
    </r>
  </si>
  <si>
    <r>
      <rPr>
        <sz val="10"/>
        <color rgb="FF0000FF"/>
        <rFont val="JRFonts"/>
        <charset val="134"/>
      </rPr>
      <t>23149</t>
    </r>
  </si>
  <si>
    <r>
      <rPr>
        <sz val="10"/>
        <color rgb="FF000000"/>
        <rFont val="JRFonts"/>
        <charset val="134"/>
      </rPr>
      <t>18-08-2026 11:23</t>
    </r>
  </si>
  <si>
    <r>
      <rPr>
        <sz val="10"/>
        <color rgb="FF000000"/>
        <rFont val="JRFonts"/>
        <charset val="134"/>
      </rPr>
      <t>21-08-2026 08:10</t>
    </r>
  </si>
  <si>
    <r>
      <rPr>
        <sz val="10"/>
        <color rgb="FF000000"/>
        <rFont val="JRFonts"/>
        <charset val="134"/>
      </rPr>
      <t>18-08-2026 11:25</t>
    </r>
  </si>
  <si>
    <r>
      <rPr>
        <sz val="10"/>
        <color rgb="FF0000FF"/>
        <rFont val="JRFonts"/>
        <charset val="134"/>
      </rPr>
      <t>23152</t>
    </r>
  </si>
  <si>
    <r>
      <rPr>
        <sz val="10"/>
        <color rgb="FF000000"/>
        <rFont val="JRFonts"/>
        <charset val="134"/>
      </rPr>
      <t>18-08-2026 11:41</t>
    </r>
  </si>
  <si>
    <r>
      <rPr>
        <sz val="10"/>
        <color rgb="FF000000"/>
        <rFont val="JRFonts"/>
        <charset val="134"/>
      </rPr>
      <t>24-08-2026 18:19</t>
    </r>
  </si>
  <si>
    <r>
      <rPr>
        <sz val="10"/>
        <color rgb="FF000000"/>
        <rFont val="JRFonts"/>
        <charset val="134"/>
      </rPr>
      <t>18-08-2026 11:52</t>
    </r>
  </si>
  <si>
    <t>23152</t>
  </si>
  <si>
    <r>
      <rPr>
        <sz val="10"/>
        <color rgb="FF0000FF"/>
        <rFont val="JRFonts"/>
        <charset val="134"/>
      </rPr>
      <t>23154</t>
    </r>
  </si>
  <si>
    <r>
      <rPr>
        <sz val="10"/>
        <color rgb="FF000000"/>
        <rFont val="JRFonts"/>
        <charset val="134"/>
      </rPr>
      <t>18-08-2026 11:57</t>
    </r>
  </si>
  <si>
    <r>
      <rPr>
        <sz val="10"/>
        <color rgb="FF000000"/>
        <rFont val="JRFonts"/>
        <charset val="134"/>
      </rPr>
      <t>22-08-2026 11:39</t>
    </r>
  </si>
  <si>
    <r>
      <rPr>
        <sz val="10"/>
        <color rgb="FF000000"/>
        <rFont val="JRFonts"/>
        <charset val="134"/>
      </rPr>
      <t>19-08-2026 15:26</t>
    </r>
  </si>
  <si>
    <t>23154</t>
  </si>
  <si>
    <r>
      <rPr>
        <sz val="10"/>
        <color rgb="FF0000FF"/>
        <rFont val="JRFonts"/>
        <charset val="134"/>
      </rPr>
      <t>23155</t>
    </r>
  </si>
  <si>
    <r>
      <rPr>
        <sz val="10"/>
        <color rgb="FF000000"/>
        <rFont val="JRFonts"/>
        <charset val="134"/>
      </rPr>
      <t>18-08-2026 12:06</t>
    </r>
  </si>
  <si>
    <r>
      <rPr>
        <sz val="10"/>
        <color rgb="FF000000"/>
        <rFont val="JRFonts"/>
        <charset val="134"/>
      </rPr>
      <t>26-08-2026 12:35</t>
    </r>
  </si>
  <si>
    <r>
      <rPr>
        <sz val="10"/>
        <color rgb="FF000000"/>
        <rFont val="JRFonts"/>
        <charset val="134"/>
      </rPr>
      <t>18-08-2026 12:54</t>
    </r>
  </si>
  <si>
    <t>23155</t>
  </si>
  <si>
    <r>
      <rPr>
        <sz val="10"/>
        <color rgb="FF0000FF"/>
        <rFont val="JRFonts"/>
        <charset val="134"/>
      </rPr>
      <t>23161</t>
    </r>
  </si>
  <si>
    <r>
      <rPr>
        <sz val="10"/>
        <color rgb="FF000000"/>
        <rFont val="JRFonts"/>
        <charset val="134"/>
      </rPr>
      <t>18-08-2026 12:30</t>
    </r>
  </si>
  <si>
    <r>
      <rPr>
        <sz val="10"/>
        <color rgb="FF000000"/>
        <rFont val="JRFonts"/>
        <charset val="134"/>
      </rPr>
      <t>18-08-2026 17:50</t>
    </r>
  </si>
  <si>
    <r>
      <rPr>
        <sz val="10"/>
        <color rgb="FF000000"/>
        <rFont val="JRFonts"/>
        <charset val="134"/>
      </rPr>
      <t>18-08-2026 12:35</t>
    </r>
  </si>
  <si>
    <r>
      <rPr>
        <sz val="10"/>
        <color rgb="FF0000FF"/>
        <rFont val="JRFonts"/>
        <charset val="134"/>
      </rPr>
      <t>23163</t>
    </r>
  </si>
  <si>
    <r>
      <rPr>
        <sz val="10"/>
        <color rgb="FF000000"/>
        <rFont val="JRFonts"/>
        <charset val="134"/>
      </rPr>
      <t>18-08-2026 12:36</t>
    </r>
  </si>
  <si>
    <r>
      <rPr>
        <sz val="10"/>
        <color rgb="FF000000"/>
        <rFont val="JRFonts"/>
        <charset val="134"/>
      </rPr>
      <t>31-08-2026 11:51</t>
    </r>
  </si>
  <si>
    <r>
      <rPr>
        <sz val="10"/>
        <color rgb="FF000000"/>
        <rFont val="JRFonts"/>
        <charset val="134"/>
      </rPr>
      <t>18-08-2026 12:45</t>
    </r>
  </si>
  <si>
    <r>
      <rPr>
        <sz val="10"/>
        <color rgb="FF0000FF"/>
        <rFont val="JRFonts"/>
        <charset val="134"/>
      </rPr>
      <t>23164</t>
    </r>
  </si>
  <si>
    <r>
      <rPr>
        <sz val="10"/>
        <color rgb="FF000000"/>
        <rFont val="JRFonts"/>
        <charset val="134"/>
      </rPr>
      <t>18-08-2026 14:06</t>
    </r>
  </si>
  <si>
    <r>
      <rPr>
        <sz val="10"/>
        <color rgb="FF000000"/>
        <rFont val="JRFonts"/>
        <charset val="134"/>
      </rPr>
      <t>18-08-2026 13:01</t>
    </r>
  </si>
  <si>
    <r>
      <rPr>
        <sz val="10"/>
        <color rgb="FF0000FF"/>
        <rFont val="JRFonts"/>
        <charset val="134"/>
      </rPr>
      <t>23165</t>
    </r>
  </si>
  <si>
    <r>
      <rPr>
        <sz val="10"/>
        <color rgb="FF000000"/>
        <rFont val="JRFonts"/>
        <charset val="134"/>
      </rPr>
      <t>18-08-2026 12:39</t>
    </r>
  </si>
  <si>
    <r>
      <rPr>
        <sz val="10"/>
        <color rgb="FF000000"/>
        <rFont val="JRFonts"/>
        <charset val="134"/>
      </rPr>
      <t>21-08-2026 07:42</t>
    </r>
  </si>
  <si>
    <r>
      <rPr>
        <sz val="10"/>
        <color rgb="FF000000"/>
        <rFont val="JRFonts"/>
        <charset val="134"/>
      </rPr>
      <t>18-08-2026 12:43</t>
    </r>
  </si>
  <si>
    <r>
      <rPr>
        <sz val="10"/>
        <color rgb="FF0000FF"/>
        <rFont val="JRFonts"/>
        <charset val="134"/>
      </rPr>
      <t>23166</t>
    </r>
  </si>
  <si>
    <r>
      <rPr>
        <sz val="10"/>
        <color rgb="FF000000"/>
        <rFont val="JRFonts"/>
        <charset val="134"/>
      </rPr>
      <t>18-08-2026 13:04</t>
    </r>
  </si>
  <si>
    <r>
      <rPr>
        <sz val="10"/>
        <color rgb="FF000000"/>
        <rFont val="JRFonts"/>
        <charset val="134"/>
      </rPr>
      <t>22-08-2026 18:26</t>
    </r>
  </si>
  <si>
    <r>
      <rPr>
        <sz val="10"/>
        <color rgb="FF000000"/>
        <rFont val="JRFonts"/>
        <charset val="134"/>
      </rPr>
      <t>18-08-2026 14:14</t>
    </r>
  </si>
  <si>
    <r>
      <rPr>
        <sz val="10"/>
        <color rgb="FF0000FF"/>
        <rFont val="JRFonts"/>
        <charset val="134"/>
      </rPr>
      <t>23171</t>
    </r>
  </si>
  <si>
    <r>
      <rPr>
        <sz val="10"/>
        <color rgb="FF000000"/>
        <rFont val="JRFonts"/>
        <charset val="134"/>
      </rPr>
      <t>18-08-2026 13:19</t>
    </r>
  </si>
  <si>
    <r>
      <rPr>
        <sz val="10"/>
        <color rgb="FF000000"/>
        <rFont val="JRFonts"/>
        <charset val="134"/>
      </rPr>
      <t>20-08-2026 11:14</t>
    </r>
  </si>
  <si>
    <r>
      <rPr>
        <sz val="10"/>
        <color rgb="FF000000"/>
        <rFont val="JRFonts"/>
        <charset val="134"/>
      </rPr>
      <t>18-08-2026 14:16</t>
    </r>
  </si>
  <si>
    <t>23171</t>
  </si>
  <si>
    <r>
      <rPr>
        <sz val="10"/>
        <color rgb="FF0000FF"/>
        <rFont val="JRFonts"/>
        <charset val="134"/>
      </rPr>
      <t>23172</t>
    </r>
  </si>
  <si>
    <r>
      <rPr>
        <sz val="10"/>
        <color rgb="FF000000"/>
        <rFont val="JRFonts"/>
        <charset val="134"/>
      </rPr>
      <t>18-08-2026 13:31</t>
    </r>
  </si>
  <si>
    <r>
      <rPr>
        <sz val="10"/>
        <color rgb="FF000000"/>
        <rFont val="JRFonts"/>
        <charset val="134"/>
      </rPr>
      <t>22-08-2026 11:57</t>
    </r>
  </si>
  <si>
    <r>
      <rPr>
        <sz val="10"/>
        <color rgb="FF000000"/>
        <rFont val="JRFonts"/>
        <charset val="134"/>
      </rPr>
      <t>18-08-2026 14:17</t>
    </r>
  </si>
  <si>
    <r>
      <rPr>
        <sz val="10"/>
        <color rgb="FF0000FF"/>
        <rFont val="JRFonts"/>
        <charset val="134"/>
      </rPr>
      <t>23173</t>
    </r>
  </si>
  <si>
    <r>
      <rPr>
        <sz val="10"/>
        <color rgb="FF000000"/>
        <rFont val="JRFonts"/>
        <charset val="134"/>
      </rPr>
      <t>18-08-2026 13:37</t>
    </r>
  </si>
  <si>
    <r>
      <rPr>
        <sz val="10"/>
        <color rgb="FF000000"/>
        <rFont val="JRFonts"/>
        <charset val="134"/>
      </rPr>
      <t>18-08-2026 14:32</t>
    </r>
  </si>
  <si>
    <r>
      <rPr>
        <sz val="10"/>
        <color rgb="FF000000"/>
        <rFont val="JRFonts"/>
        <charset val="134"/>
      </rPr>
      <t>18-08-2026 14:18</t>
    </r>
  </si>
  <si>
    <r>
      <rPr>
        <sz val="10"/>
        <color rgb="FF0000FF"/>
        <rFont val="JRFonts"/>
        <charset val="134"/>
      </rPr>
      <t>23174</t>
    </r>
  </si>
  <si>
    <r>
      <rPr>
        <sz val="10"/>
        <color rgb="FF000000"/>
        <rFont val="JRFonts"/>
        <charset val="134"/>
      </rPr>
      <t>18-08-2026 13:40</t>
    </r>
  </si>
  <si>
    <r>
      <rPr>
        <sz val="10"/>
        <color rgb="FF000000"/>
        <rFont val="JRFonts"/>
        <charset val="134"/>
      </rPr>
      <t>31-08-2026 15:01</t>
    </r>
  </si>
  <si>
    <r>
      <rPr>
        <sz val="10"/>
        <color rgb="FF000000"/>
        <rFont val="JRFonts"/>
        <charset val="134"/>
      </rPr>
      <t>18-08-2026 14:20</t>
    </r>
  </si>
  <si>
    <r>
      <rPr>
        <sz val="10"/>
        <color rgb="FF0000FF"/>
        <rFont val="JRFonts"/>
        <charset val="134"/>
      </rPr>
      <t>23175</t>
    </r>
  </si>
  <si>
    <r>
      <rPr>
        <sz val="10"/>
        <color rgb="FF000000"/>
        <rFont val="JRFonts"/>
        <charset val="134"/>
      </rPr>
      <t>19-08-2026 12:19</t>
    </r>
  </si>
  <si>
    <r>
      <rPr>
        <sz val="10"/>
        <color rgb="FF000000"/>
        <rFont val="JRFonts"/>
        <charset val="134"/>
      </rPr>
      <t>18-08-2026 14:22</t>
    </r>
  </si>
  <si>
    <r>
      <rPr>
        <sz val="10"/>
        <color rgb="FF0000FF"/>
        <rFont val="JRFonts"/>
        <charset val="134"/>
      </rPr>
      <t>23176</t>
    </r>
  </si>
  <si>
    <r>
      <rPr>
        <sz val="10"/>
        <color rgb="FF000000"/>
        <rFont val="JRFonts"/>
        <charset val="134"/>
      </rPr>
      <t>18-08-2026 13:55</t>
    </r>
  </si>
  <si>
    <r>
      <rPr>
        <sz val="10"/>
        <color rgb="FF000000"/>
        <rFont val="JRFonts"/>
        <charset val="134"/>
      </rPr>
      <t>19-08-2026 14:58</t>
    </r>
  </si>
  <si>
    <r>
      <rPr>
        <sz val="10"/>
        <color rgb="FF000000"/>
        <rFont val="JRFonts"/>
        <charset val="134"/>
      </rPr>
      <t>18-08-2026 14:23</t>
    </r>
  </si>
  <si>
    <r>
      <rPr>
        <sz val="10"/>
        <color rgb="FF0000FF"/>
        <rFont val="JRFonts"/>
        <charset val="134"/>
      </rPr>
      <t>23178</t>
    </r>
  </si>
  <si>
    <r>
      <rPr>
        <sz val="10"/>
        <color rgb="FF000000"/>
        <rFont val="JRFonts"/>
        <charset val="134"/>
      </rPr>
      <t>18-08-2026 14:38</t>
    </r>
  </si>
  <si>
    <r>
      <rPr>
        <sz val="10"/>
        <color rgb="FF000000"/>
        <rFont val="JRFonts"/>
        <charset val="134"/>
      </rPr>
      <t>31-08-2026 16:25</t>
    </r>
  </si>
  <si>
    <r>
      <rPr>
        <sz val="10"/>
        <color rgb="FF000000"/>
        <rFont val="JRFonts"/>
        <charset val="134"/>
      </rPr>
      <t>18-08-2026 14:53</t>
    </r>
  </si>
  <si>
    <r>
      <rPr>
        <sz val="10"/>
        <color rgb="FF0000FF"/>
        <rFont val="JRFonts"/>
        <charset val="134"/>
      </rPr>
      <t>23180</t>
    </r>
  </si>
  <si>
    <r>
      <rPr>
        <sz val="10"/>
        <color rgb="FF000000"/>
        <rFont val="JRFonts"/>
        <charset val="134"/>
      </rPr>
      <t>18-08-2026 14:50</t>
    </r>
  </si>
  <si>
    <r>
      <rPr>
        <sz val="10"/>
        <color rgb="FF000000"/>
        <rFont val="JRFonts"/>
        <charset val="134"/>
      </rPr>
      <t>01-09-2026 14:54</t>
    </r>
  </si>
  <si>
    <r>
      <rPr>
        <sz val="10"/>
        <color rgb="FF000000"/>
        <rFont val="JRFonts"/>
        <charset val="134"/>
      </rPr>
      <t>01-09-2026 12:56</t>
    </r>
  </si>
  <si>
    <r>
      <rPr>
        <sz val="10"/>
        <color rgb="FF0000FF"/>
        <rFont val="JRFonts"/>
        <charset val="134"/>
      </rPr>
      <t>23181</t>
    </r>
  </si>
  <si>
    <r>
      <rPr>
        <sz val="10"/>
        <color rgb="FF000000"/>
        <rFont val="JRFonts"/>
        <charset val="134"/>
      </rPr>
      <t>19-08-2026 16:41</t>
    </r>
  </si>
  <si>
    <r>
      <rPr>
        <sz val="10"/>
        <color rgb="FF000000"/>
        <rFont val="JRFonts"/>
        <charset val="134"/>
      </rPr>
      <t>18-08-2026 14:57</t>
    </r>
  </si>
  <si>
    <r>
      <rPr>
        <sz val="10"/>
        <color rgb="FF0000FF"/>
        <rFont val="JRFonts"/>
        <charset val="134"/>
      </rPr>
      <t>23184</t>
    </r>
  </si>
  <si>
    <r>
      <rPr>
        <sz val="10"/>
        <color rgb="FF000000"/>
        <rFont val="JRFonts"/>
        <charset val="134"/>
      </rPr>
      <t>18-08-2026 15:02</t>
    </r>
  </si>
  <si>
    <r>
      <rPr>
        <sz val="10"/>
        <color rgb="FF000000"/>
        <rFont val="JRFonts"/>
        <charset val="134"/>
      </rPr>
      <t>18-08-2026 15:12</t>
    </r>
  </si>
  <si>
    <r>
      <rPr>
        <sz val="10"/>
        <color rgb="FF000000"/>
        <rFont val="JRFonts"/>
        <charset val="134"/>
      </rPr>
      <t>18-08-2026 15:06</t>
    </r>
  </si>
  <si>
    <r>
      <rPr>
        <sz val="10"/>
        <color rgb="FF0000FF"/>
        <rFont val="JRFonts"/>
        <charset val="134"/>
      </rPr>
      <t>23185</t>
    </r>
  </si>
  <si>
    <r>
      <rPr>
        <sz val="10"/>
        <color rgb="FF000000"/>
        <rFont val="JRFonts"/>
        <charset val="134"/>
      </rPr>
      <t>18-08-2026 15:08</t>
    </r>
  </si>
  <si>
    <r>
      <rPr>
        <sz val="10"/>
        <color rgb="FF000000"/>
        <rFont val="JRFonts"/>
        <charset val="134"/>
      </rPr>
      <t>18-08-2026 16:23</t>
    </r>
  </si>
  <si>
    <r>
      <rPr>
        <sz val="10"/>
        <color rgb="FF000000"/>
        <rFont val="JRFonts"/>
        <charset val="134"/>
      </rPr>
      <t>18-08-2026 15:18</t>
    </r>
  </si>
  <si>
    <r>
      <rPr>
        <sz val="10"/>
        <color rgb="FF0000FF"/>
        <rFont val="JRFonts"/>
        <charset val="134"/>
      </rPr>
      <t>23186</t>
    </r>
  </si>
  <si>
    <r>
      <rPr>
        <sz val="10"/>
        <color rgb="FF000000"/>
        <rFont val="JRFonts"/>
        <charset val="134"/>
      </rPr>
      <t>21-08-2026 15:14</t>
    </r>
  </si>
  <si>
    <r>
      <rPr>
        <sz val="10"/>
        <color rgb="FF000000"/>
        <rFont val="JRFonts"/>
        <charset val="134"/>
      </rPr>
      <t>21-08-2026 10:38</t>
    </r>
  </si>
  <si>
    <r>
      <rPr>
        <sz val="10"/>
        <color rgb="FF0000FF"/>
        <rFont val="JRFonts"/>
        <charset val="134"/>
      </rPr>
      <t>23189</t>
    </r>
  </si>
  <si>
    <r>
      <rPr>
        <sz val="10"/>
        <color rgb="FF000000"/>
        <rFont val="JRFonts"/>
        <charset val="134"/>
      </rPr>
      <t>18-08-2026 15:14</t>
    </r>
  </si>
  <si>
    <r>
      <rPr>
        <sz val="10"/>
        <color rgb="FF000000"/>
        <rFont val="JRFonts"/>
        <charset val="134"/>
      </rPr>
      <t>18-08-2026 16:54</t>
    </r>
  </si>
  <si>
    <r>
      <rPr>
        <sz val="10"/>
        <color rgb="FF000000"/>
        <rFont val="JRFonts"/>
        <charset val="134"/>
      </rPr>
      <t>18-08-2026 15:19</t>
    </r>
  </si>
  <si>
    <r>
      <rPr>
        <sz val="10"/>
        <color rgb="FF0000FF"/>
        <rFont val="JRFonts"/>
        <charset val="134"/>
      </rPr>
      <t>23190</t>
    </r>
  </si>
  <si>
    <r>
      <rPr>
        <sz val="10"/>
        <color rgb="FF000000"/>
        <rFont val="JRFonts"/>
        <charset val="134"/>
      </rPr>
      <t>18-08-2026 15:27</t>
    </r>
  </si>
  <si>
    <r>
      <rPr>
        <sz val="10"/>
        <color rgb="FF000000"/>
        <rFont val="JRFonts"/>
        <charset val="134"/>
      </rPr>
      <t>19-08-2026 12:17</t>
    </r>
  </si>
  <si>
    <r>
      <rPr>
        <sz val="10"/>
        <color rgb="FF000000"/>
        <rFont val="JRFonts"/>
        <charset val="134"/>
      </rPr>
      <t>18-08-2026 15:30</t>
    </r>
  </si>
  <si>
    <r>
      <rPr>
        <sz val="10"/>
        <color rgb="FF0000FF"/>
        <rFont val="JRFonts"/>
        <charset val="134"/>
      </rPr>
      <t>23193</t>
    </r>
  </si>
  <si>
    <r>
      <rPr>
        <sz val="10"/>
        <color rgb="FF000000"/>
        <rFont val="JRFonts"/>
        <charset val="134"/>
      </rPr>
      <t>18-08-2026 15:42</t>
    </r>
  </si>
  <si>
    <r>
      <rPr>
        <sz val="10"/>
        <color rgb="FF000000"/>
        <rFont val="JRFonts"/>
        <charset val="134"/>
      </rPr>
      <t>21-08-2026 07:41</t>
    </r>
  </si>
  <si>
    <r>
      <rPr>
        <sz val="10"/>
        <color rgb="FF000000"/>
        <rFont val="JRFonts"/>
        <charset val="134"/>
      </rPr>
      <t>18-08-2026 15:46</t>
    </r>
  </si>
  <si>
    <t>23193</t>
  </si>
  <si>
    <r>
      <rPr>
        <sz val="10"/>
        <color rgb="FF0000FF"/>
        <rFont val="JRFonts"/>
        <charset val="134"/>
      </rPr>
      <t>23194</t>
    </r>
  </si>
  <si>
    <r>
      <rPr>
        <sz val="10"/>
        <color rgb="FF000000"/>
        <rFont val="JRFonts"/>
        <charset val="134"/>
      </rPr>
      <t>18-08-2026 15:45</t>
    </r>
  </si>
  <si>
    <r>
      <rPr>
        <sz val="10"/>
        <color rgb="FF000000"/>
        <rFont val="JRFonts"/>
        <charset val="134"/>
      </rPr>
      <t>19-08-2026 12:15</t>
    </r>
  </si>
  <si>
    <r>
      <rPr>
        <sz val="10"/>
        <color rgb="FF000000"/>
        <rFont val="JRFonts"/>
        <charset val="134"/>
      </rPr>
      <t>18-08-2026 16:08</t>
    </r>
  </si>
  <si>
    <r>
      <rPr>
        <sz val="10"/>
        <color rgb="FF0000FF"/>
        <rFont val="JRFonts"/>
        <charset val="134"/>
      </rPr>
      <t>23196</t>
    </r>
  </si>
  <si>
    <r>
      <rPr>
        <sz val="10"/>
        <color rgb="FF000000"/>
        <rFont val="JRFonts"/>
        <charset val="134"/>
      </rPr>
      <t>18-08-2026 15:48</t>
    </r>
  </si>
  <si>
    <r>
      <rPr>
        <sz val="10"/>
        <color rgb="FF000000"/>
        <rFont val="JRFonts"/>
        <charset val="134"/>
      </rPr>
      <t>18-08-2026 17:24</t>
    </r>
  </si>
  <si>
    <r>
      <rPr>
        <sz val="10"/>
        <color rgb="FF000000"/>
        <rFont val="JRFonts"/>
        <charset val="134"/>
      </rPr>
      <t>18-08-2026 15:50</t>
    </r>
  </si>
  <si>
    <r>
      <rPr>
        <sz val="10"/>
        <color rgb="FF0000FF"/>
        <rFont val="JRFonts"/>
        <charset val="134"/>
      </rPr>
      <t>23197</t>
    </r>
  </si>
  <si>
    <r>
      <rPr>
        <sz val="10"/>
        <color rgb="FF000000"/>
        <rFont val="JRFonts"/>
        <charset val="134"/>
      </rPr>
      <t>18-08-2026 15:51</t>
    </r>
  </si>
  <si>
    <r>
      <rPr>
        <sz val="10"/>
        <color rgb="FF000000"/>
        <rFont val="JRFonts"/>
        <charset val="134"/>
      </rPr>
      <t>24-08-2026 12:42</t>
    </r>
  </si>
  <si>
    <r>
      <rPr>
        <sz val="10"/>
        <color rgb="FF000000"/>
        <rFont val="JRFonts"/>
        <charset val="134"/>
      </rPr>
      <t>18-08-2026 16:09</t>
    </r>
  </si>
  <si>
    <t>23197</t>
  </si>
  <si>
    <r>
      <rPr>
        <sz val="10"/>
        <color rgb="FF0000FF"/>
        <rFont val="JRFonts"/>
        <charset val="134"/>
      </rPr>
      <t>23199</t>
    </r>
  </si>
  <si>
    <r>
      <rPr>
        <sz val="10"/>
        <color rgb="FF000000"/>
        <rFont val="JRFonts"/>
        <charset val="134"/>
      </rPr>
      <t>18-08-2026 15:54</t>
    </r>
  </si>
  <si>
    <r>
      <rPr>
        <sz val="10"/>
        <color rgb="FF000000"/>
        <rFont val="JRFonts"/>
        <charset val="134"/>
      </rPr>
      <t>18-08-2026 16:11</t>
    </r>
  </si>
  <si>
    <r>
      <rPr>
        <sz val="10"/>
        <color rgb="FF0000FF"/>
        <rFont val="JRFonts"/>
        <charset val="134"/>
      </rPr>
      <t>23200</t>
    </r>
  </si>
  <si>
    <r>
      <rPr>
        <sz val="10"/>
        <color rgb="FF000000"/>
        <rFont val="JRFonts"/>
        <charset val="134"/>
      </rPr>
      <t>18-08-2026 15:57</t>
    </r>
  </si>
  <si>
    <r>
      <rPr>
        <sz val="10"/>
        <color rgb="FF000000"/>
        <rFont val="JRFonts"/>
        <charset val="134"/>
      </rPr>
      <t>18-08-2026 17:45</t>
    </r>
  </si>
  <si>
    <r>
      <rPr>
        <sz val="10"/>
        <color rgb="FF000000"/>
        <rFont val="JRFonts"/>
        <charset val="134"/>
      </rPr>
      <t>18-08-2026 16:02</t>
    </r>
  </si>
  <si>
    <r>
      <rPr>
        <sz val="10"/>
        <color rgb="FF0000FF"/>
        <rFont val="JRFonts"/>
        <charset val="134"/>
      </rPr>
      <t>23201</t>
    </r>
  </si>
  <si>
    <r>
      <rPr>
        <sz val="10"/>
        <color rgb="FF000000"/>
        <rFont val="JRFonts"/>
        <charset val="134"/>
      </rPr>
      <t>18-08-2026 16:03</t>
    </r>
  </si>
  <si>
    <r>
      <rPr>
        <sz val="10"/>
        <color rgb="FF000000"/>
        <rFont val="JRFonts"/>
        <charset val="134"/>
      </rPr>
      <t>19-08-2026 17:14</t>
    </r>
  </si>
  <si>
    <r>
      <rPr>
        <sz val="10"/>
        <color rgb="FF000000"/>
        <rFont val="JRFonts"/>
        <charset val="134"/>
      </rPr>
      <t>18-08-2026 16:12</t>
    </r>
  </si>
  <si>
    <r>
      <rPr>
        <sz val="10"/>
        <color rgb="FF0000FF"/>
        <rFont val="JRFonts"/>
        <charset val="134"/>
      </rPr>
      <t>23202</t>
    </r>
  </si>
  <si>
    <r>
      <rPr>
        <sz val="10"/>
        <color rgb="FF000000"/>
        <rFont val="JRFonts"/>
        <charset val="134"/>
      </rPr>
      <t>22-08-2026 11:51</t>
    </r>
  </si>
  <si>
    <r>
      <rPr>
        <sz val="10"/>
        <color rgb="FF000000"/>
        <rFont val="JRFonts"/>
        <charset val="134"/>
      </rPr>
      <t>18-08-2026 16:27</t>
    </r>
  </si>
  <si>
    <t>23202</t>
  </si>
  <si>
    <r>
      <rPr>
        <sz val="10"/>
        <color rgb="FF0000FF"/>
        <rFont val="JRFonts"/>
        <charset val="134"/>
      </rPr>
      <t>23203</t>
    </r>
  </si>
  <si>
    <r>
      <rPr>
        <sz val="10"/>
        <color rgb="FF000000"/>
        <rFont val="JRFonts"/>
        <charset val="134"/>
      </rPr>
      <t>18-08-2026 16:18</t>
    </r>
  </si>
  <si>
    <r>
      <rPr>
        <sz val="10"/>
        <color rgb="FF000000"/>
        <rFont val="JRFonts"/>
        <charset val="134"/>
      </rPr>
      <t>19-08-2026 12:14</t>
    </r>
  </si>
  <si>
    <r>
      <rPr>
        <sz val="10"/>
        <color rgb="FF000000"/>
        <rFont val="JRFonts"/>
        <charset val="134"/>
      </rPr>
      <t>18-08-2026 16:29</t>
    </r>
  </si>
  <si>
    <r>
      <rPr>
        <sz val="10"/>
        <color rgb="FF0000FF"/>
        <rFont val="JRFonts"/>
        <charset val="134"/>
      </rPr>
      <t>23206</t>
    </r>
  </si>
  <si>
    <r>
      <rPr>
        <sz val="10"/>
        <color rgb="FF000000"/>
        <rFont val="JRFonts"/>
        <charset val="134"/>
      </rPr>
      <t>18-08-2026 16:34</t>
    </r>
  </si>
  <si>
    <r>
      <rPr>
        <sz val="10"/>
        <color rgb="FF000000"/>
        <rFont val="JRFonts"/>
        <charset val="134"/>
      </rPr>
      <t>11-09-2026 12:36</t>
    </r>
  </si>
  <si>
    <r>
      <rPr>
        <sz val="10"/>
        <color rgb="FF000000"/>
        <rFont val="JRFonts"/>
        <charset val="134"/>
      </rPr>
      <t>07-09-2026 15:10</t>
    </r>
  </si>
  <si>
    <t>23206</t>
  </si>
  <si>
    <r>
      <rPr>
        <sz val="10"/>
        <color rgb="FF0000FF"/>
        <rFont val="JRFonts"/>
        <charset val="134"/>
      </rPr>
      <t>23207</t>
    </r>
  </si>
  <si>
    <r>
      <rPr>
        <sz val="10"/>
        <color rgb="FF000000"/>
        <rFont val="JRFonts"/>
        <charset val="134"/>
      </rPr>
      <t>18-08-2026 16:37</t>
    </r>
  </si>
  <si>
    <r>
      <rPr>
        <sz val="10"/>
        <color rgb="FF000000"/>
        <rFont val="JRFonts"/>
        <charset val="134"/>
      </rPr>
      <t>10-09-2026 12:05</t>
    </r>
  </si>
  <si>
    <r>
      <rPr>
        <sz val="10"/>
        <color rgb="FF000000"/>
        <rFont val="JRFonts"/>
        <charset val="134"/>
      </rPr>
      <t>19-08-2026 11:43</t>
    </r>
  </si>
  <si>
    <t>23207</t>
  </si>
  <si>
    <r>
      <rPr>
        <sz val="10"/>
        <color rgb="FF0000FF"/>
        <rFont val="JRFonts"/>
        <charset val="134"/>
      </rPr>
      <t>23208</t>
    </r>
  </si>
  <si>
    <r>
      <rPr>
        <sz val="10"/>
        <color rgb="FF000000"/>
        <rFont val="JRFonts"/>
        <charset val="134"/>
      </rPr>
      <t>18-08-2026 16:46</t>
    </r>
  </si>
  <si>
    <r>
      <rPr>
        <sz val="10"/>
        <color rgb="FF000000"/>
        <rFont val="JRFonts"/>
        <charset val="134"/>
      </rPr>
      <t>20-08-2026 11:31</t>
    </r>
  </si>
  <si>
    <r>
      <rPr>
        <sz val="10"/>
        <color rgb="FF000000"/>
        <rFont val="JRFonts"/>
        <charset val="134"/>
      </rPr>
      <t>18-08-2026 16:59</t>
    </r>
  </si>
  <si>
    <r>
      <rPr>
        <sz val="10"/>
        <color rgb="FF0000FF"/>
        <rFont val="JRFonts"/>
        <charset val="134"/>
      </rPr>
      <t>23209</t>
    </r>
  </si>
  <si>
    <r>
      <rPr>
        <sz val="10"/>
        <color rgb="FF000000"/>
        <rFont val="JRFonts"/>
        <charset val="134"/>
      </rPr>
      <t>18-08-2026 17:01</t>
    </r>
  </si>
  <si>
    <r>
      <rPr>
        <sz val="10"/>
        <color rgb="FF000000"/>
        <rFont val="JRFonts"/>
        <charset val="134"/>
      </rPr>
      <t>18-08-2026 17:13</t>
    </r>
  </si>
  <si>
    <r>
      <rPr>
        <sz val="10"/>
        <color rgb="FF000000"/>
        <rFont val="JRFonts"/>
        <charset val="134"/>
      </rPr>
      <t>18-08-2026 17:07</t>
    </r>
  </si>
  <si>
    <r>
      <rPr>
        <sz val="10"/>
        <color rgb="FF0000FF"/>
        <rFont val="JRFonts"/>
        <charset val="134"/>
      </rPr>
      <t>23210</t>
    </r>
  </si>
  <si>
    <r>
      <rPr>
        <sz val="10"/>
        <color rgb="FF000000"/>
        <rFont val="JRFonts"/>
        <charset val="134"/>
      </rPr>
      <t>24-08-2026 11:16</t>
    </r>
  </si>
  <si>
    <r>
      <rPr>
        <sz val="10"/>
        <color rgb="FF000000"/>
        <rFont val="JRFonts"/>
        <charset val="134"/>
      </rPr>
      <t>21-08-2026 12:57</t>
    </r>
  </si>
  <si>
    <t>23210</t>
  </si>
  <si>
    <r>
      <rPr>
        <sz val="10"/>
        <color rgb="FF0000FF"/>
        <rFont val="JRFonts"/>
        <charset val="134"/>
      </rPr>
      <t>23211</t>
    </r>
  </si>
  <si>
    <r>
      <rPr>
        <sz val="10"/>
        <color rgb="FF000000"/>
        <rFont val="JRFonts"/>
        <charset val="134"/>
      </rPr>
      <t>19-08-2026 12:04</t>
    </r>
  </si>
  <si>
    <r>
      <rPr>
        <sz val="10"/>
        <color rgb="FF000000"/>
        <rFont val="JRFonts"/>
        <charset val="134"/>
      </rPr>
      <t>18-08-2026 17:19</t>
    </r>
  </si>
  <si>
    <r>
      <rPr>
        <sz val="10"/>
        <color rgb="FF0000FF"/>
        <rFont val="JRFonts"/>
        <charset val="134"/>
      </rPr>
      <t>23212</t>
    </r>
  </si>
  <si>
    <r>
      <rPr>
        <sz val="10"/>
        <color rgb="FF000000"/>
        <rFont val="JRFonts"/>
        <charset val="134"/>
      </rPr>
      <t>18-08-2026 17:22</t>
    </r>
  </si>
  <si>
    <r>
      <rPr>
        <sz val="10"/>
        <color rgb="FF000000"/>
        <rFont val="JRFonts"/>
        <charset val="134"/>
      </rPr>
      <t>26-08-2026 17:11</t>
    </r>
  </si>
  <si>
    <r>
      <rPr>
        <sz val="10"/>
        <color rgb="FF000000"/>
        <rFont val="JRFonts"/>
        <charset val="134"/>
      </rPr>
      <t>18-08-2026 17:31</t>
    </r>
  </si>
  <si>
    <t>23212</t>
  </si>
  <si>
    <r>
      <rPr>
        <sz val="10"/>
        <color rgb="FF0000FF"/>
        <rFont val="JRFonts"/>
        <charset val="134"/>
      </rPr>
      <t>23214</t>
    </r>
  </si>
  <si>
    <r>
      <rPr>
        <sz val="10"/>
        <color rgb="FF000000"/>
        <rFont val="JRFonts"/>
        <charset val="134"/>
      </rPr>
      <t>19-08-2026 12:02</t>
    </r>
  </si>
  <si>
    <r>
      <rPr>
        <sz val="10"/>
        <color rgb="FF000000"/>
        <rFont val="JRFonts"/>
        <charset val="134"/>
      </rPr>
      <t>18-08-2026 17:38</t>
    </r>
  </si>
  <si>
    <r>
      <rPr>
        <sz val="10"/>
        <color rgb="FF0000FF"/>
        <rFont val="JRFonts"/>
        <charset val="134"/>
      </rPr>
      <t>23216</t>
    </r>
  </si>
  <si>
    <r>
      <rPr>
        <sz val="10"/>
        <color rgb="FF000000"/>
        <rFont val="JRFonts"/>
        <charset val="134"/>
      </rPr>
      <t>18-08-2026 17:43</t>
    </r>
  </si>
  <si>
    <r>
      <rPr>
        <sz val="10"/>
        <color rgb="FF000000"/>
        <rFont val="JRFonts"/>
        <charset val="134"/>
      </rPr>
      <t>21-08-2026 10:01</t>
    </r>
  </si>
  <si>
    <t>23216</t>
  </si>
  <si>
    <r>
      <rPr>
        <sz val="10"/>
        <color rgb="FF0000FF"/>
        <rFont val="JRFonts"/>
        <charset val="134"/>
      </rPr>
      <t>23218</t>
    </r>
  </si>
  <si>
    <r>
      <rPr>
        <sz val="10"/>
        <color rgb="FF000000"/>
        <rFont val="JRFonts"/>
        <charset val="134"/>
      </rPr>
      <t>18-08-2026 19:30</t>
    </r>
  </si>
  <si>
    <r>
      <rPr>
        <sz val="10"/>
        <color rgb="FF000000"/>
        <rFont val="JRFonts"/>
        <charset val="134"/>
      </rPr>
      <t>19-08-2026 17:39</t>
    </r>
  </si>
  <si>
    <r>
      <rPr>
        <sz val="10"/>
        <color rgb="FF000000"/>
        <rFont val="JRFonts"/>
        <charset val="134"/>
      </rPr>
      <t>19-08-2026 10:16</t>
    </r>
  </si>
  <si>
    <r>
      <rPr>
        <sz val="10"/>
        <color rgb="FF0000FF"/>
        <rFont val="JRFonts"/>
        <charset val="134"/>
      </rPr>
      <t>23219</t>
    </r>
  </si>
  <si>
    <r>
      <rPr>
        <sz val="10"/>
        <color rgb="FF000000"/>
        <rFont val="JRFonts"/>
        <charset val="134"/>
      </rPr>
      <t>18-08-2026 19:48</t>
    </r>
  </si>
  <si>
    <r>
      <rPr>
        <sz val="10"/>
        <color rgb="FF000000"/>
        <rFont val="JRFonts"/>
        <charset val="134"/>
      </rPr>
      <t>25-08-2026 11:02</t>
    </r>
  </si>
  <si>
    <r>
      <rPr>
        <sz val="10"/>
        <color rgb="FF000000"/>
        <rFont val="JRFonts"/>
        <charset val="134"/>
      </rPr>
      <t>19-08-2026 10:17</t>
    </r>
  </si>
  <si>
    <t>23219</t>
  </si>
  <si>
    <r>
      <rPr>
        <sz val="10"/>
        <color rgb="FF0000FF"/>
        <rFont val="JRFonts"/>
        <charset val="134"/>
      </rPr>
      <t>23222</t>
    </r>
  </si>
  <si>
    <r>
      <rPr>
        <sz val="10"/>
        <color rgb="FF000000"/>
        <rFont val="JRFonts"/>
        <charset val="134"/>
      </rPr>
      <t>26-08-2026 14:13</t>
    </r>
  </si>
  <si>
    <r>
      <rPr>
        <sz val="10"/>
        <color rgb="FF000000"/>
        <rFont val="JRFonts"/>
        <charset val="134"/>
      </rPr>
      <t>19-08-2026 10:19</t>
    </r>
  </si>
  <si>
    <r>
      <rPr>
        <sz val="10"/>
        <color rgb="FF0000FF"/>
        <rFont val="JRFonts"/>
        <charset val="134"/>
      </rPr>
      <t>23223</t>
    </r>
  </si>
  <si>
    <r>
      <rPr>
        <sz val="10"/>
        <color rgb="FF000000"/>
        <rFont val="JRFonts"/>
        <charset val="134"/>
      </rPr>
      <t>19-08-2026 17:37</t>
    </r>
  </si>
  <si>
    <r>
      <rPr>
        <sz val="10"/>
        <color rgb="FF000000"/>
        <rFont val="JRFonts"/>
        <charset val="134"/>
      </rPr>
      <t>19-08-2026 10:22</t>
    </r>
  </si>
  <si>
    <r>
      <rPr>
        <sz val="10"/>
        <color rgb="FF0000FF"/>
        <rFont val="JRFonts"/>
        <charset val="134"/>
      </rPr>
      <t>23224</t>
    </r>
  </si>
  <si>
    <r>
      <rPr>
        <sz val="10"/>
        <color rgb="FF000000"/>
        <rFont val="JRFonts"/>
        <charset val="134"/>
      </rPr>
      <t>19-08-2026 10:27</t>
    </r>
  </si>
  <si>
    <r>
      <rPr>
        <sz val="10"/>
        <color rgb="FF000000"/>
        <rFont val="JRFonts"/>
        <charset val="134"/>
      </rPr>
      <t>19-08-2026 10:44</t>
    </r>
  </si>
  <si>
    <r>
      <rPr>
        <sz val="10"/>
        <color rgb="FF000000"/>
        <rFont val="JRFonts"/>
        <charset val="134"/>
      </rPr>
      <t>19-08-2026 10:31</t>
    </r>
  </si>
  <si>
    <r>
      <rPr>
        <sz val="10"/>
        <color rgb="FF0000FF"/>
        <rFont val="JRFonts"/>
        <charset val="134"/>
      </rPr>
      <t>23225</t>
    </r>
  </si>
  <si>
    <r>
      <rPr>
        <sz val="10"/>
        <color rgb="FF000000"/>
        <rFont val="JRFonts"/>
        <charset val="134"/>
      </rPr>
      <t>25-08-2026 18:14</t>
    </r>
  </si>
  <si>
    <r>
      <rPr>
        <sz val="10"/>
        <color rgb="FF000000"/>
        <rFont val="JRFonts"/>
        <charset val="134"/>
      </rPr>
      <t>19-08-2026 10:33</t>
    </r>
  </si>
  <si>
    <t>23225</t>
  </si>
  <si>
    <r>
      <rPr>
        <sz val="10"/>
        <color rgb="FF0000FF"/>
        <rFont val="JRFonts"/>
        <charset val="134"/>
      </rPr>
      <t>23226</t>
    </r>
  </si>
  <si>
    <r>
      <rPr>
        <sz val="10"/>
        <color rgb="FF000000"/>
        <rFont val="JRFonts"/>
        <charset val="134"/>
      </rPr>
      <t>19-08-2026 10:28</t>
    </r>
  </si>
  <si>
    <r>
      <rPr>
        <sz val="10"/>
        <color rgb="FF000000"/>
        <rFont val="JRFonts"/>
        <charset val="134"/>
      </rPr>
      <t>02-09-2026 17:38</t>
    </r>
  </si>
  <si>
    <r>
      <rPr>
        <sz val="10"/>
        <color rgb="FF000000"/>
        <rFont val="JRFonts"/>
        <charset val="134"/>
      </rPr>
      <t>19-08-2026 10:30</t>
    </r>
  </si>
  <si>
    <t>23226</t>
  </si>
  <si>
    <r>
      <rPr>
        <sz val="10"/>
        <color rgb="FF0000FF"/>
        <rFont val="JRFonts"/>
        <charset val="134"/>
      </rPr>
      <t>23227</t>
    </r>
  </si>
  <si>
    <r>
      <rPr>
        <sz val="10"/>
        <color rgb="FF000000"/>
        <rFont val="JRFonts"/>
        <charset val="134"/>
      </rPr>
      <t>01-09-2026 10:15</t>
    </r>
  </si>
  <si>
    <r>
      <rPr>
        <sz val="10"/>
        <color rgb="FF000000"/>
        <rFont val="JRFonts"/>
        <charset val="134"/>
      </rPr>
      <t>19-08-2026 10:35</t>
    </r>
  </si>
  <si>
    <r>
      <rPr>
        <sz val="10"/>
        <color rgb="FF0000FF"/>
        <rFont val="JRFonts"/>
        <charset val="134"/>
      </rPr>
      <t>23228</t>
    </r>
  </si>
  <si>
    <r>
      <rPr>
        <sz val="10"/>
        <color rgb="FF000000"/>
        <rFont val="JRFonts"/>
        <charset val="134"/>
      </rPr>
      <t>19-08-2026 10:34</t>
    </r>
  </si>
  <si>
    <r>
      <rPr>
        <sz val="10"/>
        <color rgb="FF000000"/>
        <rFont val="JRFonts"/>
        <charset val="134"/>
      </rPr>
      <t>01-09-2026 17:19</t>
    </r>
  </si>
  <si>
    <r>
      <rPr>
        <sz val="10"/>
        <color rgb="FF000000"/>
        <rFont val="JRFonts"/>
        <charset val="134"/>
      </rPr>
      <t>19-08-2026 10:36</t>
    </r>
  </si>
  <si>
    <t>23228</t>
  </si>
  <si>
    <r>
      <rPr>
        <sz val="10"/>
        <color rgb="FF0000FF"/>
        <rFont val="JRFonts"/>
        <charset val="134"/>
      </rPr>
      <t>23229</t>
    </r>
  </si>
  <si>
    <r>
      <rPr>
        <sz val="10"/>
        <color rgb="FF000000"/>
        <rFont val="JRFonts"/>
        <charset val="134"/>
      </rPr>
      <t>19-08-2026 10:37</t>
    </r>
  </si>
  <si>
    <r>
      <rPr>
        <sz val="10"/>
        <color rgb="FF000000"/>
        <rFont val="JRFonts"/>
        <charset val="134"/>
      </rPr>
      <t>19-08-2026 16:13</t>
    </r>
  </si>
  <si>
    <r>
      <rPr>
        <sz val="10"/>
        <color rgb="FF000000"/>
        <rFont val="JRFonts"/>
        <charset val="134"/>
      </rPr>
      <t>19-08-2026 14:25</t>
    </r>
  </si>
  <si>
    <r>
      <rPr>
        <sz val="10"/>
        <color rgb="FF0000FF"/>
        <rFont val="JRFonts"/>
        <charset val="134"/>
      </rPr>
      <t>23230</t>
    </r>
  </si>
  <si>
    <r>
      <rPr>
        <sz val="10"/>
        <color rgb="FF000000"/>
        <rFont val="JRFonts"/>
        <charset val="134"/>
      </rPr>
      <t>19-08-2026 10:40</t>
    </r>
  </si>
  <si>
    <r>
      <rPr>
        <sz val="10"/>
        <color rgb="FF000000"/>
        <rFont val="JRFonts"/>
        <charset val="134"/>
      </rPr>
      <t>19-08-2026 18:55</t>
    </r>
  </si>
  <si>
    <r>
      <rPr>
        <sz val="10"/>
        <color rgb="FF000000"/>
        <rFont val="JRFonts"/>
        <charset val="134"/>
      </rPr>
      <t>19-08-2026 10:45</t>
    </r>
  </si>
  <si>
    <r>
      <rPr>
        <sz val="10"/>
        <color rgb="FF0000FF"/>
        <rFont val="JRFonts"/>
        <charset val="134"/>
      </rPr>
      <t>23231</t>
    </r>
  </si>
  <si>
    <r>
      <rPr>
        <sz val="10"/>
        <color rgb="FF000000"/>
        <rFont val="JRFonts"/>
        <charset val="134"/>
      </rPr>
      <t>19-08-2026 10:43</t>
    </r>
  </si>
  <si>
    <r>
      <rPr>
        <sz val="10"/>
        <color rgb="FF000000"/>
        <rFont val="JRFonts"/>
        <charset val="134"/>
      </rPr>
      <t>20-08-2026 10:12</t>
    </r>
  </si>
  <si>
    <r>
      <rPr>
        <sz val="10"/>
        <color rgb="FF000000"/>
        <rFont val="JRFonts"/>
        <charset val="134"/>
      </rPr>
      <t>19-08-2026 10:50</t>
    </r>
  </si>
  <si>
    <r>
      <rPr>
        <sz val="10"/>
        <color rgb="FF0000FF"/>
        <rFont val="JRFonts"/>
        <charset val="134"/>
      </rPr>
      <t>23232</t>
    </r>
  </si>
  <si>
    <r>
      <rPr>
        <sz val="10"/>
        <color rgb="FF000000"/>
        <rFont val="JRFonts"/>
        <charset val="134"/>
      </rPr>
      <t>19-08-2026 10:49</t>
    </r>
  </si>
  <si>
    <r>
      <rPr>
        <sz val="10"/>
        <color rgb="FF0000FF"/>
        <rFont val="JRFonts"/>
        <charset val="134"/>
      </rPr>
      <t>23235</t>
    </r>
  </si>
  <si>
    <r>
      <rPr>
        <sz val="10"/>
        <color rgb="FF000000"/>
        <rFont val="JRFonts"/>
        <charset val="134"/>
      </rPr>
      <t>19-08-2026 10:58</t>
    </r>
  </si>
  <si>
    <r>
      <rPr>
        <sz val="10"/>
        <color rgb="FF000000"/>
        <rFont val="JRFonts"/>
        <charset val="134"/>
      </rPr>
      <t>19-08-2026 17:45</t>
    </r>
  </si>
  <si>
    <r>
      <rPr>
        <sz val="10"/>
        <color rgb="FF000000"/>
        <rFont val="JRFonts"/>
        <charset val="134"/>
      </rPr>
      <t>19-08-2026 11:34</t>
    </r>
  </si>
  <si>
    <r>
      <rPr>
        <sz val="10"/>
        <color rgb="FF0000FF"/>
        <rFont val="JRFonts"/>
        <charset val="134"/>
      </rPr>
      <t>23237</t>
    </r>
  </si>
  <si>
    <r>
      <rPr>
        <sz val="10"/>
        <color rgb="FF000000"/>
        <rFont val="JRFonts"/>
        <charset val="134"/>
      </rPr>
      <t>19-08-2026 11:07</t>
    </r>
  </si>
  <si>
    <r>
      <rPr>
        <sz val="10"/>
        <color rgb="FF000000"/>
        <rFont val="JRFonts"/>
        <charset val="134"/>
      </rPr>
      <t>19-08-2026 11:47</t>
    </r>
  </si>
  <si>
    <r>
      <rPr>
        <sz val="10"/>
        <color rgb="FF000000"/>
        <rFont val="JRFonts"/>
        <charset val="134"/>
      </rPr>
      <t>19-08-2026 11:21</t>
    </r>
  </si>
  <si>
    <r>
      <rPr>
        <sz val="10"/>
        <color rgb="FF0000FF"/>
        <rFont val="JRFonts"/>
        <charset val="134"/>
      </rPr>
      <t>23239</t>
    </r>
  </si>
  <si>
    <r>
      <rPr>
        <sz val="10"/>
        <color rgb="FF000000"/>
        <rFont val="JRFonts"/>
        <charset val="134"/>
      </rPr>
      <t>19-08-2026 11:29</t>
    </r>
  </si>
  <si>
    <r>
      <rPr>
        <sz val="10"/>
        <color rgb="FF000000"/>
        <rFont val="JRFonts"/>
        <charset val="134"/>
      </rPr>
      <t>19-08-2026 12:07</t>
    </r>
  </si>
  <si>
    <r>
      <rPr>
        <sz val="10"/>
        <color rgb="FF000000"/>
        <rFont val="JRFonts"/>
        <charset val="134"/>
      </rPr>
      <t>19-08-2026 11:33</t>
    </r>
  </si>
  <si>
    <t>23240</t>
  </si>
  <si>
    <r>
      <rPr>
        <sz val="10"/>
        <color rgb="FF000000"/>
        <rFont val="JRFonts"/>
        <charset val="134"/>
      </rPr>
      <t>19-08-2026 16:09</t>
    </r>
  </si>
  <si>
    <r>
      <rPr>
        <sz val="10"/>
        <color rgb="FF000000"/>
        <rFont val="JRFonts"/>
        <charset val="134"/>
      </rPr>
      <t>19-08-2026 11:36</t>
    </r>
  </si>
  <si>
    <r>
      <rPr>
        <sz val="10"/>
        <color rgb="FF0000FF"/>
        <rFont val="JRFonts"/>
        <charset val="134"/>
      </rPr>
      <t>23241</t>
    </r>
  </si>
  <si>
    <r>
      <rPr>
        <sz val="10"/>
        <color rgb="FF000000"/>
        <rFont val="JRFonts"/>
        <charset val="134"/>
      </rPr>
      <t>19-08-2026 11:32</t>
    </r>
  </si>
  <si>
    <r>
      <rPr>
        <sz val="10"/>
        <color rgb="FF000000"/>
        <rFont val="JRFonts"/>
        <charset val="134"/>
      </rPr>
      <t>24-08-2026 11:43</t>
    </r>
  </si>
  <si>
    <r>
      <rPr>
        <sz val="10"/>
        <color rgb="FF000000"/>
        <rFont val="JRFonts"/>
        <charset val="134"/>
      </rPr>
      <t>19-08-2026 11:39</t>
    </r>
  </si>
  <si>
    <r>
      <rPr>
        <sz val="10"/>
        <color rgb="FF0000FF"/>
        <rFont val="JRFonts"/>
        <charset val="134"/>
      </rPr>
      <t>23242</t>
    </r>
  </si>
  <si>
    <r>
      <rPr>
        <sz val="10"/>
        <color rgb="FF000000"/>
        <rFont val="JRFonts"/>
        <charset val="134"/>
      </rPr>
      <t>19-08-2026 11:44</t>
    </r>
  </si>
  <si>
    <r>
      <rPr>
        <sz val="10"/>
        <color rgb="FF000000"/>
        <rFont val="JRFonts"/>
        <charset val="134"/>
      </rPr>
      <t>19-08-2026 12:22</t>
    </r>
  </si>
  <si>
    <r>
      <rPr>
        <sz val="10"/>
        <color rgb="FF000000"/>
        <rFont val="JRFonts"/>
        <charset val="134"/>
      </rPr>
      <t>19-08-2026 11:50</t>
    </r>
  </si>
  <si>
    <r>
      <rPr>
        <sz val="10"/>
        <color rgb="FF0000FF"/>
        <rFont val="JRFonts"/>
        <charset val="134"/>
      </rPr>
      <t>23244</t>
    </r>
  </si>
  <si>
    <r>
      <rPr>
        <sz val="10"/>
        <color rgb="FF000000"/>
        <rFont val="JRFonts"/>
        <charset val="134"/>
      </rPr>
      <t>20-08-2026 16:13</t>
    </r>
  </si>
  <si>
    <r>
      <rPr>
        <sz val="10"/>
        <color rgb="FF000000"/>
        <rFont val="JRFonts"/>
        <charset val="134"/>
      </rPr>
      <t>19-08-2026 11:55</t>
    </r>
  </si>
  <si>
    <t>23244</t>
  </si>
  <si>
    <r>
      <rPr>
        <sz val="10"/>
        <color rgb="FF0000FF"/>
        <rFont val="JRFonts"/>
        <charset val="134"/>
      </rPr>
      <t>23245</t>
    </r>
  </si>
  <si>
    <r>
      <rPr>
        <sz val="10"/>
        <color rgb="FF000000"/>
        <rFont val="JRFonts"/>
        <charset val="134"/>
      </rPr>
      <t>19-08-2026 11:53</t>
    </r>
  </si>
  <si>
    <r>
      <rPr>
        <sz val="10"/>
        <color rgb="FF000000"/>
        <rFont val="JRFonts"/>
        <charset val="134"/>
      </rPr>
      <t>19-08-2026 16:03</t>
    </r>
  </si>
  <si>
    <r>
      <rPr>
        <sz val="10"/>
        <color rgb="FF000000"/>
        <rFont val="JRFonts"/>
        <charset val="134"/>
      </rPr>
      <t>19-08-2026 11:58</t>
    </r>
  </si>
  <si>
    <r>
      <rPr>
        <sz val="10"/>
        <color rgb="FF0000FF"/>
        <rFont val="JRFonts"/>
        <charset val="134"/>
      </rPr>
      <t>23246</t>
    </r>
  </si>
  <si>
    <r>
      <rPr>
        <sz val="10"/>
        <color rgb="FF000000"/>
        <rFont val="JRFonts"/>
        <charset val="134"/>
      </rPr>
      <t>19-08-2026 11:57</t>
    </r>
  </si>
  <si>
    <r>
      <rPr>
        <sz val="10"/>
        <color rgb="FF0000FF"/>
        <rFont val="JRFonts"/>
        <charset val="134"/>
      </rPr>
      <t>23247</t>
    </r>
  </si>
  <si>
    <r>
      <rPr>
        <sz val="10"/>
        <color rgb="FF000000"/>
        <rFont val="JRFonts"/>
        <charset val="134"/>
      </rPr>
      <t>19-08-2026 11:56</t>
    </r>
  </si>
  <si>
    <r>
      <rPr>
        <sz val="10"/>
        <color rgb="FF000000"/>
        <rFont val="JRFonts"/>
        <charset val="134"/>
      </rPr>
      <t>19-08-2026 13:54</t>
    </r>
  </si>
  <si>
    <r>
      <rPr>
        <sz val="10"/>
        <color rgb="FF000000"/>
        <rFont val="JRFonts"/>
        <charset val="134"/>
      </rPr>
      <t>19-08-2026 12:05</t>
    </r>
  </si>
  <si>
    <r>
      <rPr>
        <sz val="10"/>
        <color rgb="FF0000FF"/>
        <rFont val="JRFonts"/>
        <charset val="134"/>
      </rPr>
      <t>23248</t>
    </r>
  </si>
  <si>
    <r>
      <rPr>
        <sz val="10"/>
        <color rgb="FF000000"/>
        <rFont val="JRFonts"/>
        <charset val="134"/>
      </rPr>
      <t>19-08-2026 11:59</t>
    </r>
  </si>
  <si>
    <r>
      <rPr>
        <sz val="10"/>
        <color rgb="FF000000"/>
        <rFont val="JRFonts"/>
        <charset val="134"/>
      </rPr>
      <t>21-08-2026 08:12</t>
    </r>
  </si>
  <si>
    <r>
      <rPr>
        <sz val="10"/>
        <color rgb="FF0000FF"/>
        <rFont val="JRFonts"/>
        <charset val="134"/>
      </rPr>
      <t>23249</t>
    </r>
  </si>
  <si>
    <r>
      <rPr>
        <sz val="10"/>
        <color rgb="FF000000"/>
        <rFont val="JRFonts"/>
        <charset val="134"/>
      </rPr>
      <t>31-08-2026 15:20</t>
    </r>
  </si>
  <si>
    <r>
      <rPr>
        <sz val="10"/>
        <color rgb="FF000000"/>
        <rFont val="JRFonts"/>
        <charset val="134"/>
      </rPr>
      <t>19-08-2026 12:08</t>
    </r>
  </si>
  <si>
    <r>
      <rPr>
        <sz val="10"/>
        <color rgb="FF0000FF"/>
        <rFont val="JRFonts"/>
        <charset val="134"/>
      </rPr>
      <t>23250</t>
    </r>
  </si>
  <si>
    <r>
      <rPr>
        <sz val="10"/>
        <color rgb="FF000000"/>
        <rFont val="JRFonts"/>
        <charset val="134"/>
      </rPr>
      <t>07-09-2026 17:36</t>
    </r>
  </si>
  <si>
    <r>
      <rPr>
        <sz val="10"/>
        <color rgb="FF000000"/>
        <rFont val="JRFonts"/>
        <charset val="134"/>
      </rPr>
      <t>19-08-2026 15:18</t>
    </r>
  </si>
  <si>
    <t>23250</t>
  </si>
  <si>
    <r>
      <rPr>
        <sz val="10"/>
        <color rgb="FF0000FF"/>
        <rFont val="JRFonts"/>
        <charset val="134"/>
      </rPr>
      <t>23256</t>
    </r>
  </si>
  <si>
    <r>
      <rPr>
        <sz val="10"/>
        <color rgb="FF000000"/>
        <rFont val="JRFonts"/>
        <charset val="134"/>
      </rPr>
      <t>19-08-2026 12:33</t>
    </r>
  </si>
  <si>
    <r>
      <rPr>
        <sz val="10"/>
        <color rgb="FF000000"/>
        <rFont val="JRFonts"/>
        <charset val="134"/>
      </rPr>
      <t>01-09-2026 22:22</t>
    </r>
  </si>
  <si>
    <r>
      <rPr>
        <sz val="10"/>
        <color rgb="FF000000"/>
        <rFont val="JRFonts"/>
        <charset val="134"/>
      </rPr>
      <t>19-08-2026 12:41</t>
    </r>
  </si>
  <si>
    <r>
      <rPr>
        <sz val="10"/>
        <color rgb="FF0000FF"/>
        <rFont val="JRFonts"/>
        <charset val="134"/>
      </rPr>
      <t>23257</t>
    </r>
  </si>
  <si>
    <r>
      <rPr>
        <sz val="10"/>
        <color rgb="FF000000"/>
        <rFont val="JRFonts"/>
        <charset val="134"/>
      </rPr>
      <t>19-08-2026 12:48</t>
    </r>
  </si>
  <si>
    <r>
      <rPr>
        <sz val="10"/>
        <color rgb="FF000000"/>
        <rFont val="JRFonts"/>
        <charset val="134"/>
      </rPr>
      <t>19-08-2026 14:29</t>
    </r>
  </si>
  <si>
    <r>
      <rPr>
        <sz val="10"/>
        <color rgb="FF0000FF"/>
        <rFont val="JRFonts"/>
        <charset val="134"/>
      </rPr>
      <t>23260</t>
    </r>
  </si>
  <si>
    <r>
      <rPr>
        <sz val="10"/>
        <color rgb="FF000000"/>
        <rFont val="JRFonts"/>
        <charset val="134"/>
      </rPr>
      <t>19-08-2026 13:16</t>
    </r>
  </si>
  <si>
    <r>
      <rPr>
        <sz val="10"/>
        <color rgb="FF000000"/>
        <rFont val="JRFonts"/>
        <charset val="134"/>
      </rPr>
      <t>19-08-2026 16:23</t>
    </r>
  </si>
  <si>
    <r>
      <rPr>
        <sz val="10"/>
        <color rgb="FF000000"/>
        <rFont val="JRFonts"/>
        <charset val="134"/>
      </rPr>
      <t>19-08-2026 13:58</t>
    </r>
  </si>
  <si>
    <r>
      <rPr>
        <sz val="10"/>
        <color rgb="FF0000FF"/>
        <rFont val="JRFonts"/>
        <charset val="134"/>
      </rPr>
      <t>23261</t>
    </r>
  </si>
  <si>
    <r>
      <rPr>
        <sz val="10"/>
        <color rgb="FF000000"/>
        <rFont val="JRFonts"/>
        <charset val="134"/>
      </rPr>
      <t>19-08-2026 13:22</t>
    </r>
  </si>
  <si>
    <r>
      <rPr>
        <sz val="10"/>
        <color rgb="FF000000"/>
        <rFont val="JRFonts"/>
        <charset val="134"/>
      </rPr>
      <t>19-08-2026 17:34</t>
    </r>
  </si>
  <si>
    <r>
      <rPr>
        <sz val="10"/>
        <color rgb="FF000000"/>
        <rFont val="JRFonts"/>
        <charset val="134"/>
      </rPr>
      <t>19-08-2026 13:57</t>
    </r>
  </si>
  <si>
    <r>
      <rPr>
        <sz val="10"/>
        <color rgb="FF0000FF"/>
        <rFont val="JRFonts"/>
        <charset val="134"/>
      </rPr>
      <t>23263</t>
    </r>
  </si>
  <si>
    <r>
      <rPr>
        <sz val="10"/>
        <color rgb="FF000000"/>
        <rFont val="JRFonts"/>
        <charset val="134"/>
      </rPr>
      <t>19-08-2026 13:37</t>
    </r>
  </si>
  <si>
    <r>
      <rPr>
        <sz val="10"/>
        <color rgb="FF000000"/>
        <rFont val="JRFonts"/>
        <charset val="134"/>
      </rPr>
      <t>20-08-2026 18:03</t>
    </r>
  </si>
  <si>
    <r>
      <rPr>
        <sz val="10"/>
        <color rgb="FF000000"/>
        <rFont val="JRFonts"/>
        <charset val="134"/>
      </rPr>
      <t>19-08-2026 13:56</t>
    </r>
  </si>
  <si>
    <t>23263</t>
  </si>
  <si>
    <r>
      <rPr>
        <sz val="10"/>
        <color rgb="FF0000FF"/>
        <rFont val="JRFonts"/>
        <charset val="134"/>
      </rPr>
      <t>23266</t>
    </r>
  </si>
  <si>
    <r>
      <rPr>
        <sz val="10"/>
        <color rgb="FF000000"/>
        <rFont val="JRFonts"/>
        <charset val="134"/>
      </rPr>
      <t>19-08-2026 14:01</t>
    </r>
  </si>
  <si>
    <r>
      <rPr>
        <sz val="10"/>
        <color rgb="FF000000"/>
        <rFont val="JRFonts"/>
        <charset val="134"/>
      </rPr>
      <t>19-08-2026 17:30</t>
    </r>
  </si>
  <si>
    <r>
      <rPr>
        <sz val="10"/>
        <color rgb="FF000000"/>
        <rFont val="JRFonts"/>
        <charset val="134"/>
      </rPr>
      <t>19-08-2026 14:03</t>
    </r>
  </si>
  <si>
    <r>
      <rPr>
        <sz val="10"/>
        <color rgb="FF0000FF"/>
        <rFont val="JRFonts"/>
        <charset val="134"/>
      </rPr>
      <t>23267</t>
    </r>
  </si>
  <si>
    <r>
      <rPr>
        <sz val="10"/>
        <color rgb="FF000000"/>
        <rFont val="JRFonts"/>
        <charset val="134"/>
      </rPr>
      <t>19-08-2026 17:28</t>
    </r>
  </si>
  <si>
    <r>
      <rPr>
        <sz val="10"/>
        <color rgb="FF000000"/>
        <rFont val="JRFonts"/>
        <charset val="134"/>
      </rPr>
      <t>19-08-2026 14:30</t>
    </r>
  </si>
  <si>
    <r>
      <rPr>
        <sz val="10"/>
        <color rgb="FF0000FF"/>
        <rFont val="JRFonts"/>
        <charset val="134"/>
      </rPr>
      <t>23268</t>
    </r>
  </si>
  <si>
    <r>
      <rPr>
        <sz val="10"/>
        <color rgb="FF000000"/>
        <rFont val="JRFonts"/>
        <charset val="134"/>
      </rPr>
      <t>19-08-2026 14:56</t>
    </r>
  </si>
  <si>
    <r>
      <rPr>
        <sz val="10"/>
        <color rgb="FF000000"/>
        <rFont val="JRFonts"/>
        <charset val="134"/>
      </rPr>
      <t>19-08-2026 16:53</t>
    </r>
  </si>
  <si>
    <r>
      <rPr>
        <sz val="10"/>
        <color rgb="FF000000"/>
        <rFont val="JRFonts"/>
        <charset val="134"/>
      </rPr>
      <t>19-08-2026 15:08</t>
    </r>
  </si>
  <si>
    <r>
      <rPr>
        <sz val="10"/>
        <color rgb="FF0000FF"/>
        <rFont val="JRFonts"/>
        <charset val="134"/>
      </rPr>
      <t>23269</t>
    </r>
  </si>
  <si>
    <r>
      <rPr>
        <sz val="10"/>
        <color rgb="FF000000"/>
        <rFont val="JRFonts"/>
        <charset val="134"/>
      </rPr>
      <t>19-08-2026 14:59</t>
    </r>
  </si>
  <si>
    <r>
      <rPr>
        <sz val="10"/>
        <color rgb="FF000000"/>
        <rFont val="JRFonts"/>
        <charset val="134"/>
      </rPr>
      <t>19-08-2026 17:16</t>
    </r>
  </si>
  <si>
    <r>
      <rPr>
        <sz val="10"/>
        <color rgb="FF000000"/>
        <rFont val="JRFonts"/>
        <charset val="134"/>
      </rPr>
      <t>19-08-2026 15:10</t>
    </r>
  </si>
  <si>
    <r>
      <rPr>
        <sz val="10"/>
        <color rgb="FF0000FF"/>
        <rFont val="JRFonts"/>
        <charset val="134"/>
      </rPr>
      <t>23270</t>
    </r>
  </si>
  <si>
    <r>
      <rPr>
        <sz val="10"/>
        <color rgb="FF000000"/>
        <rFont val="JRFonts"/>
        <charset val="134"/>
      </rPr>
      <t>19-08-2026 15:05</t>
    </r>
  </si>
  <si>
    <r>
      <rPr>
        <sz val="10"/>
        <color rgb="FF000000"/>
        <rFont val="JRFonts"/>
        <charset val="134"/>
      </rPr>
      <t>19-08-2026 15:16</t>
    </r>
  </si>
  <si>
    <r>
      <rPr>
        <sz val="10"/>
        <color rgb="FF000000"/>
        <rFont val="JRFonts"/>
        <charset val="134"/>
      </rPr>
      <t>19-08-2026 15:12</t>
    </r>
  </si>
  <si>
    <r>
      <rPr>
        <sz val="10"/>
        <color rgb="FF0000FF"/>
        <rFont val="JRFonts"/>
        <charset val="134"/>
      </rPr>
      <t>23271</t>
    </r>
  </si>
  <si>
    <r>
      <rPr>
        <sz val="10"/>
        <color rgb="FF000000"/>
        <rFont val="JRFonts"/>
        <charset val="134"/>
      </rPr>
      <t>19-08-2026 15:50</t>
    </r>
  </si>
  <si>
    <r>
      <rPr>
        <sz val="10"/>
        <color rgb="FF000000"/>
        <rFont val="JRFonts"/>
        <charset val="134"/>
      </rPr>
      <t>19-08-2026 15:23</t>
    </r>
  </si>
  <si>
    <r>
      <rPr>
        <sz val="10"/>
        <color rgb="FF0000FF"/>
        <rFont val="JRFonts"/>
        <charset val="134"/>
      </rPr>
      <t>23272</t>
    </r>
  </si>
  <si>
    <r>
      <rPr>
        <sz val="10"/>
        <color rgb="FF000000"/>
        <rFont val="JRFonts"/>
        <charset val="134"/>
      </rPr>
      <t>19-08-2026 15:20</t>
    </r>
  </si>
  <si>
    <r>
      <rPr>
        <sz val="10"/>
        <color rgb="FF000000"/>
        <rFont val="JRFonts"/>
        <charset val="134"/>
      </rPr>
      <t>24-08-2026 13:55</t>
    </r>
  </si>
  <si>
    <r>
      <rPr>
        <sz val="10"/>
        <color rgb="FF000000"/>
        <rFont val="JRFonts"/>
        <charset val="134"/>
      </rPr>
      <t>19-08-2026 15:51</t>
    </r>
  </si>
  <si>
    <r>
      <rPr>
        <sz val="10"/>
        <color rgb="FF0000FF"/>
        <rFont val="JRFonts"/>
        <charset val="134"/>
      </rPr>
      <t>23273</t>
    </r>
  </si>
  <si>
    <r>
      <rPr>
        <sz val="10"/>
        <color rgb="FF000000"/>
        <rFont val="JRFonts"/>
        <charset val="134"/>
      </rPr>
      <t>19-08-2026 15:35</t>
    </r>
  </si>
  <si>
    <r>
      <rPr>
        <sz val="10"/>
        <color rgb="FF000000"/>
        <rFont val="JRFonts"/>
        <charset val="134"/>
      </rPr>
      <t>25-08-2026 11:09</t>
    </r>
  </si>
  <si>
    <r>
      <rPr>
        <sz val="10"/>
        <color rgb="FF000000"/>
        <rFont val="JRFonts"/>
        <charset val="134"/>
      </rPr>
      <t>19-08-2026 15:47</t>
    </r>
  </si>
  <si>
    <t>23273</t>
  </si>
  <si>
    <r>
      <rPr>
        <sz val="10"/>
        <color rgb="FF0000FF"/>
        <rFont val="JRFonts"/>
        <charset val="134"/>
      </rPr>
      <t>23274</t>
    </r>
  </si>
  <si>
    <r>
      <rPr>
        <sz val="10"/>
        <color rgb="FF000000"/>
        <rFont val="JRFonts"/>
        <charset val="134"/>
      </rPr>
      <t>19-08-2026 15:42</t>
    </r>
  </si>
  <si>
    <r>
      <rPr>
        <sz val="10"/>
        <color rgb="FF000000"/>
        <rFont val="JRFonts"/>
        <charset val="134"/>
      </rPr>
      <t>20-08-2026 11:58</t>
    </r>
  </si>
  <si>
    <r>
      <rPr>
        <sz val="10"/>
        <color rgb="FF000000"/>
        <rFont val="JRFonts"/>
        <charset val="134"/>
      </rPr>
      <t>20-08-2026 11:26</t>
    </r>
  </si>
  <si>
    <r>
      <rPr>
        <sz val="10"/>
        <color rgb="FF0000FF"/>
        <rFont val="JRFonts"/>
        <charset val="134"/>
      </rPr>
      <t>23275</t>
    </r>
  </si>
  <si>
    <r>
      <rPr>
        <sz val="10"/>
        <color rgb="FF000000"/>
        <rFont val="JRFonts"/>
        <charset val="134"/>
      </rPr>
      <t>19-08-2026 15:57</t>
    </r>
  </si>
  <si>
    <r>
      <rPr>
        <sz val="10"/>
        <color rgb="FF000000"/>
        <rFont val="JRFonts"/>
        <charset val="134"/>
      </rPr>
      <t>22-08-2026 12:40</t>
    </r>
  </si>
  <si>
    <r>
      <rPr>
        <sz val="10"/>
        <color rgb="FF000000"/>
        <rFont val="JRFonts"/>
        <charset val="134"/>
      </rPr>
      <t>19-08-2026 16:05</t>
    </r>
  </si>
  <si>
    <r>
      <rPr>
        <sz val="10"/>
        <color rgb="FF0000FF"/>
        <rFont val="JRFonts"/>
        <charset val="134"/>
      </rPr>
      <t>23276</t>
    </r>
  </si>
  <si>
    <r>
      <rPr>
        <sz val="10"/>
        <color rgb="FF000000"/>
        <rFont val="JRFonts"/>
        <charset val="134"/>
      </rPr>
      <t>01-09-2026 10:48</t>
    </r>
  </si>
  <si>
    <r>
      <rPr>
        <sz val="10"/>
        <color rgb="FF000000"/>
        <rFont val="JRFonts"/>
        <charset val="134"/>
      </rPr>
      <t>19-08-2026 16:24</t>
    </r>
  </si>
  <si>
    <t>23276</t>
  </si>
  <si>
    <r>
      <rPr>
        <sz val="10"/>
        <color rgb="FF0000FF"/>
        <rFont val="JRFonts"/>
        <charset val="134"/>
      </rPr>
      <t>23277</t>
    </r>
  </si>
  <si>
    <r>
      <rPr>
        <sz val="10"/>
        <color rgb="FF000000"/>
        <rFont val="JRFonts"/>
        <charset val="134"/>
      </rPr>
      <t>19-08-2026 17:10</t>
    </r>
  </si>
  <si>
    <r>
      <rPr>
        <sz val="10"/>
        <color rgb="FF000000"/>
        <rFont val="JRFonts"/>
        <charset val="134"/>
      </rPr>
      <t>19-08-2026 17:08</t>
    </r>
  </si>
  <si>
    <r>
      <rPr>
        <sz val="10"/>
        <color rgb="FF0000FF"/>
        <rFont val="JRFonts"/>
        <charset val="134"/>
      </rPr>
      <t>23279</t>
    </r>
  </si>
  <si>
    <r>
      <rPr>
        <sz val="10"/>
        <color rgb="FF000000"/>
        <rFont val="JRFonts"/>
        <charset val="134"/>
      </rPr>
      <t>19-08-2026 16:27</t>
    </r>
  </si>
  <si>
    <r>
      <rPr>
        <sz val="10"/>
        <color rgb="FF000000"/>
        <rFont val="JRFonts"/>
        <charset val="134"/>
      </rPr>
      <t>24-08-2026 12:27</t>
    </r>
  </si>
  <si>
    <r>
      <rPr>
        <sz val="10"/>
        <color rgb="FF000000"/>
        <rFont val="JRFonts"/>
        <charset val="134"/>
      </rPr>
      <t>19-08-2026 16:30</t>
    </r>
  </si>
  <si>
    <r>
      <rPr>
        <sz val="10"/>
        <color rgb="FF0000FF"/>
        <rFont val="JRFonts"/>
        <charset val="134"/>
      </rPr>
      <t>23281</t>
    </r>
  </si>
  <si>
    <r>
      <rPr>
        <sz val="10"/>
        <color rgb="FF000000"/>
        <rFont val="JRFonts"/>
        <charset val="134"/>
      </rPr>
      <t>19-08-2026 16:40</t>
    </r>
  </si>
  <si>
    <r>
      <rPr>
        <sz val="10"/>
        <color rgb="FF000000"/>
        <rFont val="JRFonts"/>
        <charset val="134"/>
      </rPr>
      <t>19-08-2026 16:43</t>
    </r>
  </si>
  <si>
    <r>
      <rPr>
        <sz val="10"/>
        <color rgb="FF0000FF"/>
        <rFont val="JRFonts"/>
        <charset val="134"/>
      </rPr>
      <t>23283</t>
    </r>
  </si>
  <si>
    <r>
      <rPr>
        <sz val="10"/>
        <color rgb="FF000000"/>
        <rFont val="JRFonts"/>
        <charset val="134"/>
      </rPr>
      <t>19-08-2026 17:01</t>
    </r>
  </si>
  <si>
    <r>
      <rPr>
        <sz val="10"/>
        <color rgb="FF000000"/>
        <rFont val="JRFonts"/>
        <charset val="134"/>
      </rPr>
      <t>21-08-2026 08:13</t>
    </r>
  </si>
  <si>
    <r>
      <rPr>
        <sz val="10"/>
        <color rgb="FF000000"/>
        <rFont val="JRFonts"/>
        <charset val="134"/>
      </rPr>
      <t>19-08-2026 17:12</t>
    </r>
  </si>
  <si>
    <r>
      <rPr>
        <sz val="10"/>
        <color rgb="FF0000FF"/>
        <rFont val="JRFonts"/>
        <charset val="134"/>
      </rPr>
      <t>23284</t>
    </r>
  </si>
  <si>
    <r>
      <rPr>
        <sz val="10"/>
        <color rgb="FF000000"/>
        <rFont val="JRFonts"/>
        <charset val="134"/>
      </rPr>
      <t>19-08-2026 17:07</t>
    </r>
  </si>
  <si>
    <r>
      <rPr>
        <sz val="10"/>
        <color rgb="FF000000"/>
        <rFont val="JRFonts"/>
        <charset val="134"/>
      </rPr>
      <t>21-08-2026 08:53</t>
    </r>
  </si>
  <si>
    <r>
      <rPr>
        <sz val="10"/>
        <color rgb="FF000000"/>
        <rFont val="JRFonts"/>
        <charset val="134"/>
      </rPr>
      <t>19-08-2026 17:13</t>
    </r>
  </si>
  <si>
    <r>
      <rPr>
        <sz val="10"/>
        <color rgb="FF0000FF"/>
        <rFont val="JRFonts"/>
        <charset val="134"/>
      </rPr>
      <t>23286</t>
    </r>
  </si>
  <si>
    <r>
      <rPr>
        <sz val="10"/>
        <color rgb="FF000000"/>
        <rFont val="JRFonts"/>
        <charset val="134"/>
      </rPr>
      <t>22-08-2026 13:17</t>
    </r>
  </si>
  <si>
    <r>
      <rPr>
        <sz val="10"/>
        <color rgb="FF000000"/>
        <rFont val="JRFonts"/>
        <charset val="134"/>
      </rPr>
      <t>19-08-2026 17:21</t>
    </r>
  </si>
  <si>
    <t>23286</t>
  </si>
  <si>
    <r>
      <rPr>
        <sz val="10"/>
        <color rgb="FF0000FF"/>
        <rFont val="JRFonts"/>
        <charset val="134"/>
      </rPr>
      <t>23287</t>
    </r>
  </si>
  <si>
    <r>
      <rPr>
        <sz val="10"/>
        <color rgb="FF000000"/>
        <rFont val="JRFonts"/>
        <charset val="134"/>
      </rPr>
      <t>19-08-2026 18:02</t>
    </r>
  </si>
  <si>
    <r>
      <rPr>
        <sz val="10"/>
        <color rgb="FF000000"/>
        <rFont val="JRFonts"/>
        <charset val="134"/>
      </rPr>
      <t>19-08-2026 18:01</t>
    </r>
  </si>
  <si>
    <r>
      <rPr>
        <sz val="10"/>
        <color rgb="FF0000FF"/>
        <rFont val="JRFonts"/>
        <charset val="134"/>
      </rPr>
      <t>23289</t>
    </r>
  </si>
  <si>
    <r>
      <rPr>
        <sz val="10"/>
        <color rgb="FF000000"/>
        <rFont val="JRFonts"/>
        <charset val="134"/>
      </rPr>
      <t>21-08-2026 08:57</t>
    </r>
  </si>
  <si>
    <r>
      <rPr>
        <sz val="10"/>
        <color rgb="FF000000"/>
        <rFont val="JRFonts"/>
        <charset val="134"/>
      </rPr>
      <t>19-08-2026 17:35</t>
    </r>
  </si>
  <si>
    <r>
      <rPr>
        <sz val="10"/>
        <color rgb="FF0000FF"/>
        <rFont val="JRFonts"/>
        <charset val="134"/>
      </rPr>
      <t>23290</t>
    </r>
  </si>
  <si>
    <r>
      <rPr>
        <sz val="10"/>
        <color rgb="FF000000"/>
        <rFont val="JRFonts"/>
        <charset val="134"/>
      </rPr>
      <t>27-08-2026 15:04</t>
    </r>
  </si>
  <si>
    <r>
      <rPr>
        <sz val="10"/>
        <color rgb="FF000000"/>
        <rFont val="JRFonts"/>
        <charset val="134"/>
      </rPr>
      <t>19-08-2026 17:46</t>
    </r>
  </si>
  <si>
    <t>23290</t>
  </si>
  <si>
    <r>
      <rPr>
        <sz val="10"/>
        <color rgb="FF0000FF"/>
        <rFont val="JRFonts"/>
        <charset val="134"/>
      </rPr>
      <t>23292</t>
    </r>
  </si>
  <si>
    <r>
      <rPr>
        <sz val="10"/>
        <color rgb="FF000000"/>
        <rFont val="JRFonts"/>
        <charset val="134"/>
      </rPr>
      <t>24-08-2026 12:19</t>
    </r>
  </si>
  <si>
    <r>
      <rPr>
        <sz val="10"/>
        <color rgb="FF000000"/>
        <rFont val="JRFonts"/>
        <charset val="134"/>
      </rPr>
      <t>19-08-2026 17:56</t>
    </r>
  </si>
  <si>
    <r>
      <rPr>
        <sz val="10"/>
        <color rgb="FF0000FF"/>
        <rFont val="JRFonts"/>
        <charset val="134"/>
      </rPr>
      <t>23293</t>
    </r>
  </si>
  <si>
    <r>
      <rPr>
        <sz val="10"/>
        <color rgb="FF000000"/>
        <rFont val="JRFonts"/>
        <charset val="134"/>
      </rPr>
      <t>20-08-2026 11:55</t>
    </r>
  </si>
  <si>
    <r>
      <rPr>
        <sz val="10"/>
        <color rgb="FF000000"/>
        <rFont val="JRFonts"/>
        <charset val="134"/>
      </rPr>
      <t>19-08-2026 18:05</t>
    </r>
  </si>
  <si>
    <r>
      <rPr>
        <sz val="10"/>
        <color rgb="FF0000FF"/>
        <rFont val="JRFonts"/>
        <charset val="134"/>
      </rPr>
      <t>23294</t>
    </r>
  </si>
  <si>
    <r>
      <rPr>
        <sz val="10"/>
        <color rgb="FF000000"/>
        <rFont val="JRFonts"/>
        <charset val="134"/>
      </rPr>
      <t>19-08-2026 17:49</t>
    </r>
  </si>
  <si>
    <r>
      <rPr>
        <sz val="10"/>
        <color rgb="FF000000"/>
        <rFont val="JRFonts"/>
        <charset val="134"/>
      </rPr>
      <t>19-08-2026 17:58</t>
    </r>
  </si>
  <si>
    <r>
      <rPr>
        <sz val="10"/>
        <color rgb="FF0000FF"/>
        <rFont val="JRFonts"/>
        <charset val="134"/>
      </rPr>
      <t>23296</t>
    </r>
  </si>
  <si>
    <r>
      <rPr>
        <sz val="10"/>
        <color rgb="FF000000"/>
        <rFont val="JRFonts"/>
        <charset val="134"/>
      </rPr>
      <t>19-08-2026 17:53</t>
    </r>
  </si>
  <si>
    <r>
      <rPr>
        <sz val="10"/>
        <color rgb="FF000000"/>
        <rFont val="JRFonts"/>
        <charset val="134"/>
      </rPr>
      <t>20-08-2026 12:16</t>
    </r>
  </si>
  <si>
    <r>
      <rPr>
        <sz val="10"/>
        <color rgb="FF000000"/>
        <rFont val="JRFonts"/>
        <charset val="134"/>
      </rPr>
      <t>19-08-2026 17:59</t>
    </r>
  </si>
  <si>
    <r>
      <rPr>
        <sz val="10"/>
        <color rgb="FF0000FF"/>
        <rFont val="JRFonts"/>
        <charset val="134"/>
      </rPr>
      <t>23297</t>
    </r>
  </si>
  <si>
    <r>
      <rPr>
        <sz val="10"/>
        <color rgb="FF000000"/>
        <rFont val="JRFonts"/>
        <charset val="134"/>
      </rPr>
      <t>20-08-2026 12:14</t>
    </r>
  </si>
  <si>
    <r>
      <rPr>
        <sz val="10"/>
        <color rgb="FF000000"/>
        <rFont val="JRFonts"/>
        <charset val="134"/>
      </rPr>
      <t>19-08-2026 18:03</t>
    </r>
  </si>
  <si>
    <r>
      <rPr>
        <sz val="10"/>
        <color rgb="FF0000FF"/>
        <rFont val="JRFonts"/>
        <charset val="134"/>
      </rPr>
      <t>23298</t>
    </r>
  </si>
  <si>
    <r>
      <rPr>
        <sz val="10"/>
        <color rgb="FF000000"/>
        <rFont val="JRFonts"/>
        <charset val="134"/>
      </rPr>
      <t>21-08-2026 14:57</t>
    </r>
  </si>
  <si>
    <r>
      <rPr>
        <sz val="10"/>
        <color rgb="FF000000"/>
        <rFont val="JRFonts"/>
        <charset val="134"/>
      </rPr>
      <t>19-08-2026 18:25</t>
    </r>
  </si>
  <si>
    <r>
      <rPr>
        <sz val="10"/>
        <color rgb="FF0000FF"/>
        <rFont val="JRFonts"/>
        <charset val="134"/>
      </rPr>
      <t>23299</t>
    </r>
  </si>
  <si>
    <r>
      <rPr>
        <sz val="10"/>
        <color rgb="FF000000"/>
        <rFont val="JRFonts"/>
        <charset val="134"/>
      </rPr>
      <t>21-08-2026 09:34</t>
    </r>
  </si>
  <si>
    <r>
      <rPr>
        <sz val="10"/>
        <color rgb="FF000000"/>
        <rFont val="JRFonts"/>
        <charset val="134"/>
      </rPr>
      <t>19-08-2026 18:07</t>
    </r>
  </si>
  <si>
    <r>
      <rPr>
        <sz val="10"/>
        <color rgb="FF0000FF"/>
        <rFont val="JRFonts"/>
        <charset val="134"/>
      </rPr>
      <t>23300</t>
    </r>
  </si>
  <si>
    <r>
      <rPr>
        <sz val="10"/>
        <color rgb="FF000000"/>
        <rFont val="JRFonts"/>
        <charset val="134"/>
      </rPr>
      <t>24-08-2026 14:07</t>
    </r>
  </si>
  <si>
    <r>
      <rPr>
        <sz val="10"/>
        <color rgb="FF000000"/>
        <rFont val="JRFonts"/>
        <charset val="134"/>
      </rPr>
      <t>19-08-2026 18:08</t>
    </r>
  </si>
  <si>
    <t>23300</t>
  </si>
  <si>
    <r>
      <rPr>
        <sz val="10"/>
        <color rgb="FF0000FF"/>
        <rFont val="JRFonts"/>
        <charset val="134"/>
      </rPr>
      <t>23301</t>
    </r>
  </si>
  <si>
    <r>
      <rPr>
        <sz val="10"/>
        <color rgb="FF000000"/>
        <rFont val="JRFonts"/>
        <charset val="134"/>
      </rPr>
      <t>19-08-2026 18:11</t>
    </r>
  </si>
  <si>
    <r>
      <rPr>
        <sz val="10"/>
        <color rgb="FF000000"/>
        <rFont val="JRFonts"/>
        <charset val="134"/>
      </rPr>
      <t>29-08-2026 17:38</t>
    </r>
  </si>
  <si>
    <r>
      <rPr>
        <sz val="10"/>
        <color rgb="FF000000"/>
        <rFont val="JRFonts"/>
        <charset val="134"/>
      </rPr>
      <t>27-08-2026 13:02</t>
    </r>
  </si>
  <si>
    <r>
      <rPr>
        <sz val="10"/>
        <color rgb="FF0000FF"/>
        <rFont val="JRFonts"/>
        <charset val="134"/>
      </rPr>
      <t>23302</t>
    </r>
  </si>
  <si>
    <r>
      <rPr>
        <sz val="10"/>
        <color rgb="FF000000"/>
        <rFont val="JRFonts"/>
        <charset val="134"/>
      </rPr>
      <t>19-08-2026 18:26</t>
    </r>
  </si>
  <si>
    <r>
      <rPr>
        <sz val="10"/>
        <color rgb="FF000000"/>
        <rFont val="JRFonts"/>
        <charset val="134"/>
      </rPr>
      <t>02-09-2026 15:46</t>
    </r>
  </si>
  <si>
    <r>
      <rPr>
        <sz val="10"/>
        <color rgb="FF000000"/>
        <rFont val="JRFonts"/>
        <charset val="134"/>
      </rPr>
      <t>02-09-2026 15:19</t>
    </r>
  </si>
  <si>
    <r>
      <rPr>
        <sz val="10"/>
        <color rgb="FF0000FF"/>
        <rFont val="JRFonts"/>
        <charset val="134"/>
      </rPr>
      <t>23303</t>
    </r>
  </si>
  <si>
    <r>
      <rPr>
        <sz val="10"/>
        <color rgb="FF000000"/>
        <rFont val="JRFonts"/>
        <charset val="134"/>
      </rPr>
      <t>19-08-2026 18:38</t>
    </r>
  </si>
  <si>
    <r>
      <rPr>
        <sz val="10"/>
        <color rgb="FF000000"/>
        <rFont val="JRFonts"/>
        <charset val="134"/>
      </rPr>
      <t>21-08-2026 18:17</t>
    </r>
  </si>
  <si>
    <r>
      <rPr>
        <sz val="10"/>
        <color rgb="FF000000"/>
        <rFont val="JRFonts"/>
        <charset val="134"/>
      </rPr>
      <t>20-08-2026 11:09</t>
    </r>
  </si>
  <si>
    <t>23303</t>
  </si>
  <si>
    <r>
      <rPr>
        <sz val="10"/>
        <color rgb="FF0000FF"/>
        <rFont val="JRFonts"/>
        <charset val="134"/>
      </rPr>
      <t>23304</t>
    </r>
  </si>
  <si>
    <r>
      <rPr>
        <sz val="10"/>
        <color rgb="FF000000"/>
        <rFont val="JRFonts"/>
        <charset val="134"/>
      </rPr>
      <t>19-08-2026 19:00</t>
    </r>
  </si>
  <si>
    <r>
      <rPr>
        <sz val="10"/>
        <color rgb="FF0000FF"/>
        <rFont val="JRFonts"/>
        <charset val="134"/>
      </rPr>
      <t>23305</t>
    </r>
  </si>
  <si>
    <r>
      <rPr>
        <sz val="10"/>
        <color rgb="FF000000"/>
        <rFont val="JRFonts"/>
        <charset val="134"/>
      </rPr>
      <t>19-08-2026 19:09</t>
    </r>
  </si>
  <si>
    <r>
      <rPr>
        <sz val="10"/>
        <color rgb="FF000000"/>
        <rFont val="JRFonts"/>
        <charset val="134"/>
      </rPr>
      <t>20-08-2026 12:21</t>
    </r>
  </si>
  <si>
    <r>
      <rPr>
        <sz val="10"/>
        <color rgb="FF000000"/>
        <rFont val="JRFonts"/>
        <charset val="134"/>
      </rPr>
      <t>20-08-2026 10:26</t>
    </r>
  </si>
  <si>
    <r>
      <rPr>
        <sz val="10"/>
        <color rgb="FF0000FF"/>
        <rFont val="JRFonts"/>
        <charset val="134"/>
      </rPr>
      <t>23307</t>
    </r>
  </si>
  <si>
    <r>
      <rPr>
        <sz val="10"/>
        <color rgb="FF000000"/>
        <rFont val="JRFonts"/>
        <charset val="134"/>
      </rPr>
      <t>22-08-2026 10:26</t>
    </r>
  </si>
  <si>
    <r>
      <rPr>
        <sz val="10"/>
        <color rgb="FF000000"/>
        <rFont val="JRFonts"/>
        <charset val="134"/>
      </rPr>
      <t>20-08-2026 10:34</t>
    </r>
  </si>
  <si>
    <r>
      <rPr>
        <sz val="10"/>
        <color rgb="FF0000FF"/>
        <rFont val="JRFonts"/>
        <charset val="134"/>
      </rPr>
      <t>23308</t>
    </r>
  </si>
  <si>
    <r>
      <rPr>
        <sz val="10"/>
        <color rgb="FF000000"/>
        <rFont val="JRFonts"/>
        <charset val="134"/>
      </rPr>
      <t>20-08-2026 10:33</t>
    </r>
  </si>
  <si>
    <r>
      <rPr>
        <sz val="10"/>
        <color rgb="FF000000"/>
        <rFont val="JRFonts"/>
        <charset val="134"/>
      </rPr>
      <t>20-08-2026 10:42</t>
    </r>
  </si>
  <si>
    <r>
      <rPr>
        <sz val="10"/>
        <color rgb="FF0000FF"/>
        <rFont val="JRFonts"/>
        <charset val="134"/>
      </rPr>
      <t>23309</t>
    </r>
  </si>
  <si>
    <r>
      <rPr>
        <sz val="10"/>
        <color rgb="FF000000"/>
        <rFont val="JRFonts"/>
        <charset val="134"/>
      </rPr>
      <t>20-08-2026 10:36</t>
    </r>
  </si>
  <si>
    <r>
      <rPr>
        <sz val="10"/>
        <color rgb="FF000000"/>
        <rFont val="JRFonts"/>
        <charset val="134"/>
      </rPr>
      <t>20-08-2026 18:33</t>
    </r>
  </si>
  <si>
    <r>
      <rPr>
        <sz val="10"/>
        <color rgb="FF000000"/>
        <rFont val="JRFonts"/>
        <charset val="134"/>
      </rPr>
      <t>20-08-2026 10:45</t>
    </r>
  </si>
  <si>
    <r>
      <rPr>
        <sz val="10"/>
        <color rgb="FF0000FF"/>
        <rFont val="JRFonts"/>
        <charset val="134"/>
      </rPr>
      <t>23310</t>
    </r>
  </si>
  <si>
    <r>
      <rPr>
        <sz val="10"/>
        <color rgb="FF000000"/>
        <rFont val="JRFonts"/>
        <charset val="134"/>
      </rPr>
      <t>20-08-2026 10:39</t>
    </r>
  </si>
  <si>
    <r>
      <rPr>
        <sz val="10"/>
        <color rgb="FF000000"/>
        <rFont val="JRFonts"/>
        <charset val="134"/>
      </rPr>
      <t>01-09-2026 14:38</t>
    </r>
  </si>
  <si>
    <r>
      <rPr>
        <sz val="10"/>
        <color rgb="FF000000"/>
        <rFont val="JRFonts"/>
        <charset val="134"/>
      </rPr>
      <t>20-08-2026 10:44</t>
    </r>
  </si>
  <si>
    <r>
      <rPr>
        <sz val="10"/>
        <color rgb="FF0000FF"/>
        <rFont val="JRFonts"/>
        <charset val="134"/>
      </rPr>
      <t>23312</t>
    </r>
  </si>
  <si>
    <r>
      <rPr>
        <sz val="10"/>
        <color rgb="FF000000"/>
        <rFont val="JRFonts"/>
        <charset val="134"/>
      </rPr>
      <t>20-08-2026 10:55</t>
    </r>
  </si>
  <si>
    <r>
      <rPr>
        <sz val="10"/>
        <color rgb="FF000000"/>
        <rFont val="JRFonts"/>
        <charset val="134"/>
      </rPr>
      <t>22-08-2026 16:20</t>
    </r>
  </si>
  <si>
    <r>
      <rPr>
        <sz val="10"/>
        <color rgb="FF000000"/>
        <rFont val="JRFonts"/>
        <charset val="134"/>
      </rPr>
      <t>20-08-2026 11:32</t>
    </r>
  </si>
  <si>
    <r>
      <rPr>
        <sz val="10"/>
        <color rgb="FF0000FF"/>
        <rFont val="JRFonts"/>
        <charset val="134"/>
      </rPr>
      <t>23313</t>
    </r>
  </si>
  <si>
    <r>
      <rPr>
        <sz val="10"/>
        <color rgb="FF000000"/>
        <rFont val="JRFonts"/>
        <charset val="134"/>
      </rPr>
      <t>20-08-2026 11:10</t>
    </r>
  </si>
  <si>
    <r>
      <rPr>
        <sz val="10"/>
        <color rgb="FF000000"/>
        <rFont val="JRFonts"/>
        <charset val="134"/>
      </rPr>
      <t>25-08-2026 12:53</t>
    </r>
  </si>
  <si>
    <r>
      <rPr>
        <sz val="10"/>
        <color rgb="FF000000"/>
        <rFont val="JRFonts"/>
        <charset val="134"/>
      </rPr>
      <t>20-08-2026 11:17</t>
    </r>
  </si>
  <si>
    <t>23313</t>
  </si>
  <si>
    <r>
      <rPr>
        <sz val="10"/>
        <color rgb="FF0000FF"/>
        <rFont val="JRFonts"/>
        <charset val="134"/>
      </rPr>
      <t>23314</t>
    </r>
  </si>
  <si>
    <r>
      <rPr>
        <sz val="10"/>
        <color rgb="FF000000"/>
        <rFont val="JRFonts"/>
        <charset val="134"/>
      </rPr>
      <t>31-08-2026 15:24</t>
    </r>
  </si>
  <si>
    <t>23314</t>
  </si>
  <si>
    <r>
      <rPr>
        <sz val="10"/>
        <color rgb="FF0000FF"/>
        <rFont val="JRFonts"/>
        <charset val="134"/>
      </rPr>
      <t>23315</t>
    </r>
  </si>
  <si>
    <r>
      <rPr>
        <sz val="10"/>
        <color rgb="FF000000"/>
        <rFont val="JRFonts"/>
        <charset val="134"/>
      </rPr>
      <t>21-08-2026 07:34</t>
    </r>
  </si>
  <si>
    <r>
      <rPr>
        <sz val="10"/>
        <color rgb="FF000000"/>
        <rFont val="JRFonts"/>
        <charset val="134"/>
      </rPr>
      <t>20-08-2026 11:12</t>
    </r>
  </si>
  <si>
    <r>
      <rPr>
        <sz val="10"/>
        <color rgb="FF0000FF"/>
        <rFont val="JRFonts"/>
        <charset val="134"/>
      </rPr>
      <t>23316</t>
    </r>
  </si>
  <si>
    <r>
      <rPr>
        <sz val="10"/>
        <color rgb="FF000000"/>
        <rFont val="JRFonts"/>
        <charset val="134"/>
      </rPr>
      <t>20-08-2026 11:22</t>
    </r>
  </si>
  <si>
    <r>
      <rPr>
        <sz val="10"/>
        <color rgb="FF000000"/>
        <rFont val="JRFonts"/>
        <charset val="134"/>
      </rPr>
      <t>20-08-2026 11:35</t>
    </r>
  </si>
  <si>
    <r>
      <rPr>
        <sz val="10"/>
        <color rgb="FF000000"/>
        <rFont val="JRFonts"/>
        <charset val="134"/>
      </rPr>
      <t>20-08-2026 11:24</t>
    </r>
  </si>
  <si>
    <r>
      <rPr>
        <sz val="10"/>
        <color rgb="FF0000FF"/>
        <rFont val="JRFonts"/>
        <charset val="134"/>
      </rPr>
      <t>23319</t>
    </r>
  </si>
  <si>
    <r>
      <rPr>
        <sz val="10"/>
        <color rgb="FF000000"/>
        <rFont val="JRFonts"/>
        <charset val="134"/>
      </rPr>
      <t>20-08-2026 11:46</t>
    </r>
  </si>
  <si>
    <r>
      <rPr>
        <sz val="10"/>
        <color rgb="FF000000"/>
        <rFont val="JRFonts"/>
        <charset val="134"/>
      </rPr>
      <t>20-08-2026 12:08</t>
    </r>
  </si>
  <si>
    <r>
      <rPr>
        <sz val="10"/>
        <color rgb="FF0000FF"/>
        <rFont val="JRFonts"/>
        <charset val="134"/>
      </rPr>
      <t>23322</t>
    </r>
  </si>
  <si>
    <r>
      <rPr>
        <sz val="10"/>
        <color rgb="FF000000"/>
        <rFont val="JRFonts"/>
        <charset val="134"/>
      </rPr>
      <t>20-08-2026 12:19</t>
    </r>
  </si>
  <si>
    <r>
      <rPr>
        <sz val="10"/>
        <color rgb="FF0000FF"/>
        <rFont val="JRFonts"/>
        <charset val="134"/>
      </rPr>
      <t>23323</t>
    </r>
  </si>
  <si>
    <r>
      <rPr>
        <sz val="10"/>
        <color rgb="FF000000"/>
        <rFont val="JRFonts"/>
        <charset val="134"/>
      </rPr>
      <t>20-08-2026 12:39</t>
    </r>
  </si>
  <si>
    <r>
      <rPr>
        <sz val="10"/>
        <color rgb="FF000000"/>
        <rFont val="JRFonts"/>
        <charset val="134"/>
      </rPr>
      <t>20-08-2026 12:22</t>
    </r>
  </si>
  <si>
    <r>
      <rPr>
        <sz val="10"/>
        <color rgb="FF0000FF"/>
        <rFont val="JRFonts"/>
        <charset val="134"/>
      </rPr>
      <t>23324</t>
    </r>
  </si>
  <si>
    <r>
      <rPr>
        <sz val="10"/>
        <color rgb="FF000000"/>
        <rFont val="JRFonts"/>
        <charset val="134"/>
      </rPr>
      <t>20-08-2026 12:32</t>
    </r>
  </si>
  <si>
    <r>
      <rPr>
        <sz val="10"/>
        <color rgb="FF000000"/>
        <rFont val="JRFonts"/>
        <charset val="134"/>
      </rPr>
      <t>31-08-2026 11:46</t>
    </r>
  </si>
  <si>
    <r>
      <rPr>
        <sz val="10"/>
        <color rgb="FF000000"/>
        <rFont val="JRFonts"/>
        <charset val="134"/>
      </rPr>
      <t>20-08-2026 12:56</t>
    </r>
  </si>
  <si>
    <t>23325</t>
  </si>
  <si>
    <r>
      <rPr>
        <sz val="10"/>
        <color rgb="FF000000"/>
        <rFont val="JRFonts"/>
        <charset val="134"/>
      </rPr>
      <t>20-08-2026 12:35</t>
    </r>
  </si>
  <si>
    <r>
      <rPr>
        <sz val="10"/>
        <color rgb="FF000000"/>
        <rFont val="JRFonts"/>
        <charset val="134"/>
      </rPr>
      <t>21-08-2026 11:28</t>
    </r>
  </si>
  <si>
    <r>
      <rPr>
        <sz val="10"/>
        <color rgb="FF000000"/>
        <rFont val="JRFonts"/>
        <charset val="134"/>
      </rPr>
      <t>20-08-2026 12:47</t>
    </r>
  </si>
  <si>
    <r>
      <rPr>
        <sz val="10"/>
        <color rgb="FF0000FF"/>
        <rFont val="JRFonts"/>
        <charset val="134"/>
      </rPr>
      <t>23325</t>
    </r>
  </si>
  <si>
    <r>
      <rPr>
        <sz val="10"/>
        <color rgb="FF0000FF"/>
        <rFont val="JRFonts"/>
        <charset val="134"/>
      </rPr>
      <t>23327</t>
    </r>
  </si>
  <si>
    <r>
      <rPr>
        <sz val="10"/>
        <color rgb="FF000000"/>
        <rFont val="JRFonts"/>
        <charset val="134"/>
      </rPr>
      <t>20-08-2026 13:36</t>
    </r>
  </si>
  <si>
    <r>
      <rPr>
        <sz val="10"/>
        <color rgb="FF000000"/>
        <rFont val="JRFonts"/>
        <charset val="134"/>
      </rPr>
      <t>20-08-2026 12:57</t>
    </r>
  </si>
  <si>
    <r>
      <rPr>
        <sz val="10"/>
        <color rgb="FF0000FF"/>
        <rFont val="JRFonts"/>
        <charset val="134"/>
      </rPr>
      <t>23328</t>
    </r>
  </si>
  <si>
    <r>
      <rPr>
        <sz val="10"/>
        <color rgb="FF000000"/>
        <rFont val="JRFonts"/>
        <charset val="134"/>
      </rPr>
      <t>20-08-2026 12:38</t>
    </r>
  </si>
  <si>
    <r>
      <rPr>
        <sz val="10"/>
        <color rgb="FF000000"/>
        <rFont val="JRFonts"/>
        <charset val="134"/>
      </rPr>
      <t>24-08-2026 18:03</t>
    </r>
  </si>
  <si>
    <r>
      <rPr>
        <sz val="10"/>
        <color rgb="FF000000"/>
        <rFont val="JRFonts"/>
        <charset val="134"/>
      </rPr>
      <t>20-08-2026 12:44</t>
    </r>
  </si>
  <si>
    <t>23328</t>
  </si>
  <si>
    <r>
      <rPr>
        <sz val="10"/>
        <color rgb="FF0000FF"/>
        <rFont val="JRFonts"/>
        <charset val="134"/>
      </rPr>
      <t>23329</t>
    </r>
  </si>
  <si>
    <r>
      <rPr>
        <sz val="10"/>
        <color rgb="FF000000"/>
        <rFont val="JRFonts"/>
        <charset val="134"/>
      </rPr>
      <t>25-08-2026 10:59</t>
    </r>
  </si>
  <si>
    <r>
      <rPr>
        <sz val="10"/>
        <color rgb="FF000000"/>
        <rFont val="JRFonts"/>
        <charset val="134"/>
      </rPr>
      <t>20-08-2026 12:45</t>
    </r>
  </si>
  <si>
    <t>23329</t>
  </si>
  <si>
    <r>
      <rPr>
        <sz val="10"/>
        <color rgb="FF0000FF"/>
        <rFont val="JRFonts"/>
        <charset val="134"/>
      </rPr>
      <t>23330</t>
    </r>
  </si>
  <si>
    <r>
      <rPr>
        <sz val="10"/>
        <color rgb="FF000000"/>
        <rFont val="JRFonts"/>
        <charset val="134"/>
      </rPr>
      <t>20-08-2026 15:38</t>
    </r>
  </si>
  <si>
    <r>
      <rPr>
        <sz val="10"/>
        <color rgb="FF000000"/>
        <rFont val="JRFonts"/>
        <charset val="134"/>
      </rPr>
      <t>20-08-2026 12:42</t>
    </r>
  </si>
  <si>
    <r>
      <rPr>
        <sz val="10"/>
        <color rgb="FF0000FF"/>
        <rFont val="JRFonts"/>
        <charset val="134"/>
      </rPr>
      <t>23331</t>
    </r>
  </si>
  <si>
    <r>
      <rPr>
        <sz val="10"/>
        <color rgb="FF000000"/>
        <rFont val="JRFonts"/>
        <charset val="134"/>
      </rPr>
      <t>20-08-2026 12:41</t>
    </r>
  </si>
  <si>
    <r>
      <rPr>
        <sz val="10"/>
        <color rgb="FF000000"/>
        <rFont val="JRFonts"/>
        <charset val="134"/>
      </rPr>
      <t>31-08-2026 15:26</t>
    </r>
  </si>
  <si>
    <r>
      <rPr>
        <sz val="10"/>
        <color rgb="FF000000"/>
        <rFont val="JRFonts"/>
        <charset val="134"/>
      </rPr>
      <t>20-08-2026 12:58</t>
    </r>
  </si>
  <si>
    <t>23331</t>
  </si>
  <si>
    <r>
      <rPr>
        <sz val="10"/>
        <color rgb="FF0000FF"/>
        <rFont val="JRFonts"/>
        <charset val="134"/>
      </rPr>
      <t>23334</t>
    </r>
  </si>
  <si>
    <r>
      <rPr>
        <sz val="10"/>
        <color rgb="FF000000"/>
        <rFont val="JRFonts"/>
        <charset val="134"/>
      </rPr>
      <t>20-08-2026 13:03</t>
    </r>
  </si>
  <si>
    <r>
      <rPr>
        <sz val="10"/>
        <color rgb="FF000000"/>
        <rFont val="JRFonts"/>
        <charset val="134"/>
      </rPr>
      <t>20-08-2026 15:30</t>
    </r>
  </si>
  <si>
    <r>
      <rPr>
        <sz val="10"/>
        <color rgb="FF000000"/>
        <rFont val="JRFonts"/>
        <charset val="134"/>
      </rPr>
      <t>20-08-2026 14:15</t>
    </r>
  </si>
  <si>
    <r>
      <rPr>
        <sz val="10"/>
        <color rgb="FF0000FF"/>
        <rFont val="JRFonts"/>
        <charset val="134"/>
      </rPr>
      <t>23335</t>
    </r>
  </si>
  <si>
    <r>
      <rPr>
        <sz val="10"/>
        <color rgb="FF000000"/>
        <rFont val="JRFonts"/>
        <charset val="134"/>
      </rPr>
      <t>20-08-2026 13:09</t>
    </r>
  </si>
  <si>
    <r>
      <rPr>
        <sz val="10"/>
        <color rgb="FF000000"/>
        <rFont val="JRFonts"/>
        <charset val="134"/>
      </rPr>
      <t>20-08-2026 14:13</t>
    </r>
  </si>
  <si>
    <r>
      <rPr>
        <sz val="10"/>
        <color rgb="FF0000FF"/>
        <rFont val="JRFonts"/>
        <charset val="134"/>
      </rPr>
      <t>23336</t>
    </r>
  </si>
  <si>
    <r>
      <rPr>
        <sz val="10"/>
        <color rgb="FF000000"/>
        <rFont val="JRFonts"/>
        <charset val="134"/>
      </rPr>
      <t>20-08-2026 16:07</t>
    </r>
  </si>
  <si>
    <r>
      <rPr>
        <sz val="10"/>
        <color rgb="FF000000"/>
        <rFont val="JRFonts"/>
        <charset val="134"/>
      </rPr>
      <t>20-08-2026 14:16</t>
    </r>
  </si>
  <si>
    <r>
      <rPr>
        <sz val="10"/>
        <color rgb="FF0000FF"/>
        <rFont val="JRFonts"/>
        <charset val="134"/>
      </rPr>
      <t>23338</t>
    </r>
  </si>
  <si>
    <r>
      <rPr>
        <sz val="10"/>
        <color rgb="FF000000"/>
        <rFont val="JRFonts"/>
        <charset val="134"/>
      </rPr>
      <t>20-08-2026 13:24</t>
    </r>
  </si>
  <si>
    <r>
      <rPr>
        <sz val="10"/>
        <color rgb="FF000000"/>
        <rFont val="JRFonts"/>
        <charset val="134"/>
      </rPr>
      <t>20-08-2026 14:32</t>
    </r>
  </si>
  <si>
    <r>
      <rPr>
        <sz val="10"/>
        <color rgb="FF000000"/>
        <rFont val="JRFonts"/>
        <charset val="134"/>
      </rPr>
      <t>20-08-2026 14:17</t>
    </r>
  </si>
  <si>
    <r>
      <rPr>
        <sz val="10"/>
        <color rgb="FF0000FF"/>
        <rFont val="JRFonts"/>
        <charset val="134"/>
      </rPr>
      <t>23339</t>
    </r>
  </si>
  <si>
    <r>
      <rPr>
        <sz val="10"/>
        <color rgb="FF000000"/>
        <rFont val="JRFonts"/>
        <charset val="134"/>
      </rPr>
      <t>20-08-2026 13:52</t>
    </r>
  </si>
  <si>
    <r>
      <rPr>
        <sz val="10"/>
        <color rgb="FF000000"/>
        <rFont val="JRFonts"/>
        <charset val="134"/>
      </rPr>
      <t>20-08-2026 15:20</t>
    </r>
  </si>
  <si>
    <r>
      <rPr>
        <sz val="10"/>
        <color rgb="FF000000"/>
        <rFont val="JRFonts"/>
        <charset val="134"/>
      </rPr>
      <t>20-08-2026 14:18</t>
    </r>
  </si>
  <si>
    <r>
      <rPr>
        <sz val="10"/>
        <color rgb="FF0000FF"/>
        <rFont val="JRFonts"/>
        <charset val="134"/>
      </rPr>
      <t>23340</t>
    </r>
  </si>
  <si>
    <r>
      <rPr>
        <sz val="10"/>
        <color rgb="FF000000"/>
        <rFont val="JRFonts"/>
        <charset val="134"/>
      </rPr>
      <t>20-08-2026 14:01</t>
    </r>
  </si>
  <si>
    <r>
      <rPr>
        <sz val="10"/>
        <color rgb="FF000000"/>
        <rFont val="JRFonts"/>
        <charset val="134"/>
      </rPr>
      <t>20-08-2026 15:21</t>
    </r>
  </si>
  <si>
    <r>
      <rPr>
        <sz val="10"/>
        <color rgb="FF0000FF"/>
        <rFont val="JRFonts"/>
        <charset val="134"/>
      </rPr>
      <t>23341</t>
    </r>
  </si>
  <si>
    <r>
      <rPr>
        <sz val="10"/>
        <color rgb="FF000000"/>
        <rFont val="JRFonts"/>
        <charset val="134"/>
      </rPr>
      <t>20-08-2026 14:07</t>
    </r>
  </si>
  <si>
    <r>
      <rPr>
        <sz val="10"/>
        <color rgb="FF000000"/>
        <rFont val="JRFonts"/>
        <charset val="134"/>
      </rPr>
      <t>20-08-2026 16:59</t>
    </r>
  </si>
  <si>
    <r>
      <rPr>
        <sz val="10"/>
        <color rgb="FF000000"/>
        <rFont val="JRFonts"/>
        <charset val="134"/>
      </rPr>
      <t>20-08-2026 14:19</t>
    </r>
  </si>
  <si>
    <r>
      <rPr>
        <sz val="10"/>
        <color rgb="FF0000FF"/>
        <rFont val="JRFonts"/>
        <charset val="134"/>
      </rPr>
      <t>23342</t>
    </r>
  </si>
  <si>
    <r>
      <rPr>
        <sz val="10"/>
        <color rgb="FF000000"/>
        <rFont val="JRFonts"/>
        <charset val="134"/>
      </rPr>
      <t>20-08-2026 14:49</t>
    </r>
  </si>
  <si>
    <r>
      <rPr>
        <sz val="10"/>
        <color rgb="FF000000"/>
        <rFont val="JRFonts"/>
        <charset val="134"/>
      </rPr>
      <t>24-08-2026 18:39</t>
    </r>
  </si>
  <si>
    <r>
      <rPr>
        <sz val="10"/>
        <color rgb="FF000000"/>
        <rFont val="JRFonts"/>
        <charset val="134"/>
      </rPr>
      <t>20-08-2026 16:04</t>
    </r>
  </si>
  <si>
    <r>
      <rPr>
        <sz val="10"/>
        <color rgb="FF0000FF"/>
        <rFont val="JRFonts"/>
        <charset val="134"/>
      </rPr>
      <t>23343</t>
    </r>
  </si>
  <si>
    <r>
      <rPr>
        <sz val="10"/>
        <color rgb="FF000000"/>
        <rFont val="JRFonts"/>
        <charset val="134"/>
      </rPr>
      <t>20-08-2026 15:07</t>
    </r>
  </si>
  <si>
    <r>
      <rPr>
        <sz val="10"/>
        <color rgb="FF000000"/>
        <rFont val="JRFonts"/>
        <charset val="134"/>
      </rPr>
      <t>03-09-2026 15:12</t>
    </r>
  </si>
  <si>
    <r>
      <rPr>
        <sz val="10"/>
        <color rgb="FF000000"/>
        <rFont val="JRFonts"/>
        <charset val="134"/>
      </rPr>
      <t>20-08-2026 15:28</t>
    </r>
  </si>
  <si>
    <t>23343</t>
  </si>
  <si>
    <t>Duplicate of # 21380</t>
  </si>
  <si>
    <r>
      <rPr>
        <sz val="10"/>
        <color rgb="FF0000FF"/>
        <rFont val="JRFonts"/>
        <charset val="134"/>
      </rPr>
      <t>23345</t>
    </r>
  </si>
  <si>
    <r>
      <rPr>
        <sz val="10"/>
        <color rgb="FF000000"/>
        <rFont val="JRFonts"/>
        <charset val="134"/>
      </rPr>
      <t>20-08-2026 15:14</t>
    </r>
  </si>
  <si>
    <r>
      <rPr>
        <sz val="10"/>
        <color rgb="FF000000"/>
        <rFont val="JRFonts"/>
        <charset val="134"/>
      </rPr>
      <t>31-08-2026 16:49</t>
    </r>
  </si>
  <si>
    <r>
      <rPr>
        <sz val="10"/>
        <color rgb="FF000000"/>
        <rFont val="JRFonts"/>
        <charset val="134"/>
      </rPr>
      <t>20-08-2026 15:40</t>
    </r>
  </si>
  <si>
    <t>23346</t>
  </si>
  <si>
    <r>
      <rPr>
        <sz val="10"/>
        <color rgb="FF000000"/>
        <rFont val="JRFonts"/>
        <charset val="134"/>
      </rPr>
      <t>07-09-2026 17:25</t>
    </r>
  </si>
  <si>
    <r>
      <rPr>
        <sz val="10"/>
        <color rgb="FF000000"/>
        <rFont val="JRFonts"/>
        <charset val="134"/>
      </rPr>
      <t>20-08-2026 17:12</t>
    </r>
  </si>
  <si>
    <r>
      <rPr>
        <sz val="10"/>
        <color rgb="FF0000FF"/>
        <rFont val="JRFonts"/>
        <charset val="134"/>
      </rPr>
      <t>23346</t>
    </r>
  </si>
  <si>
    <t>23348</t>
  </si>
  <si>
    <r>
      <rPr>
        <sz val="10"/>
        <color rgb="FF000000"/>
        <rFont val="JRFonts"/>
        <charset val="134"/>
      </rPr>
      <t>20-08-2026 15:26</t>
    </r>
  </si>
  <si>
    <r>
      <rPr>
        <sz val="10"/>
        <color rgb="FF000000"/>
        <rFont val="JRFonts"/>
        <charset val="134"/>
      </rPr>
      <t>01-09-2026 12:19</t>
    </r>
  </si>
  <si>
    <r>
      <rPr>
        <sz val="10"/>
        <color rgb="FF000000"/>
        <rFont val="JRFonts"/>
        <charset val="134"/>
      </rPr>
      <t>20-08-2026 16:44</t>
    </r>
  </si>
  <si>
    <r>
      <rPr>
        <sz val="10"/>
        <color rgb="FF0000FF"/>
        <rFont val="JRFonts"/>
        <charset val="134"/>
      </rPr>
      <t>23350</t>
    </r>
  </si>
  <si>
    <r>
      <rPr>
        <sz val="10"/>
        <color rgb="FF000000"/>
        <rFont val="JRFonts"/>
        <charset val="134"/>
      </rPr>
      <t>20-08-2026 15:29</t>
    </r>
  </si>
  <si>
    <r>
      <rPr>
        <sz val="10"/>
        <color rgb="FF000000"/>
        <rFont val="JRFonts"/>
        <charset val="134"/>
      </rPr>
      <t>20-08-2026 16:58</t>
    </r>
  </si>
  <si>
    <r>
      <rPr>
        <sz val="10"/>
        <color rgb="FF000000"/>
        <rFont val="JRFonts"/>
        <charset val="134"/>
      </rPr>
      <t>20-08-2026 15:45</t>
    </r>
  </si>
  <si>
    <r>
      <rPr>
        <sz val="10"/>
        <color rgb="FF0000FF"/>
        <rFont val="JRFonts"/>
        <charset val="134"/>
      </rPr>
      <t>23351</t>
    </r>
  </si>
  <si>
    <r>
      <rPr>
        <sz val="10"/>
        <color rgb="FF000000"/>
        <rFont val="JRFonts"/>
        <charset val="134"/>
      </rPr>
      <t>20-08-2026 15:59</t>
    </r>
  </si>
  <si>
    <r>
      <rPr>
        <sz val="10"/>
        <color rgb="FF000000"/>
        <rFont val="JRFonts"/>
        <charset val="134"/>
      </rPr>
      <t>20-08-2026 15:46</t>
    </r>
  </si>
  <si>
    <r>
      <rPr>
        <sz val="10"/>
        <color rgb="FF0000FF"/>
        <rFont val="JRFonts"/>
        <charset val="134"/>
      </rPr>
      <t>23352</t>
    </r>
  </si>
  <si>
    <r>
      <rPr>
        <sz val="10"/>
        <color rgb="FF0000FF"/>
        <rFont val="JRFonts"/>
        <charset val="134"/>
      </rPr>
      <t>23353</t>
    </r>
  </si>
  <si>
    <r>
      <rPr>
        <sz val="10"/>
        <color rgb="FF000000"/>
        <rFont val="JRFonts"/>
        <charset val="134"/>
      </rPr>
      <t>20-08-2026 16:02</t>
    </r>
  </si>
  <si>
    <r>
      <rPr>
        <sz val="10"/>
        <color rgb="FF000000"/>
        <rFont val="JRFonts"/>
        <charset val="134"/>
      </rPr>
      <t>21-08-2026 18:07</t>
    </r>
  </si>
  <si>
    <r>
      <rPr>
        <sz val="10"/>
        <color rgb="FF000000"/>
        <rFont val="JRFonts"/>
        <charset val="134"/>
      </rPr>
      <t>20-08-2026 16:08</t>
    </r>
  </si>
  <si>
    <r>
      <rPr>
        <sz val="10"/>
        <color rgb="FF0000FF"/>
        <rFont val="JRFonts"/>
        <charset val="134"/>
      </rPr>
      <t>23354</t>
    </r>
  </si>
  <si>
    <r>
      <rPr>
        <sz val="10"/>
        <color rgb="FF000000"/>
        <rFont val="JRFonts"/>
        <charset val="134"/>
      </rPr>
      <t>20-08-2026 16:27</t>
    </r>
  </si>
  <si>
    <r>
      <rPr>
        <sz val="10"/>
        <color rgb="FF000000"/>
        <rFont val="JRFonts"/>
        <charset val="134"/>
      </rPr>
      <t>31-08-2026 09:49</t>
    </r>
  </si>
  <si>
    <r>
      <rPr>
        <sz val="10"/>
        <color rgb="FF000000"/>
        <rFont val="JRFonts"/>
        <charset val="134"/>
      </rPr>
      <t>20-08-2026 16:42</t>
    </r>
  </si>
  <si>
    <r>
      <rPr>
        <sz val="10"/>
        <color rgb="FF0000FF"/>
        <rFont val="JRFonts"/>
        <charset val="134"/>
      </rPr>
      <t>23355</t>
    </r>
  </si>
  <si>
    <r>
      <rPr>
        <sz val="10"/>
        <color rgb="FF000000"/>
        <rFont val="JRFonts"/>
        <charset val="134"/>
      </rPr>
      <t>20-08-2026 16:30</t>
    </r>
  </si>
  <si>
    <r>
      <rPr>
        <sz val="10"/>
        <color rgb="FF000000"/>
        <rFont val="JRFonts"/>
        <charset val="134"/>
      </rPr>
      <t>22-08-2026 11:20</t>
    </r>
  </si>
  <si>
    <r>
      <rPr>
        <sz val="10"/>
        <color rgb="FF000000"/>
        <rFont val="JRFonts"/>
        <charset val="134"/>
      </rPr>
      <t>20-08-2026 16:39</t>
    </r>
  </si>
  <si>
    <r>
      <rPr>
        <sz val="10"/>
        <color rgb="FF0000FF"/>
        <rFont val="JRFonts"/>
        <charset val="134"/>
      </rPr>
      <t>23356</t>
    </r>
  </si>
  <si>
    <r>
      <rPr>
        <sz val="10"/>
        <color rgb="FF000000"/>
        <rFont val="JRFonts"/>
        <charset val="134"/>
      </rPr>
      <t>20-08-2026 18:16</t>
    </r>
  </si>
  <si>
    <r>
      <rPr>
        <sz val="10"/>
        <color rgb="FF000000"/>
        <rFont val="JRFonts"/>
        <charset val="134"/>
      </rPr>
      <t>28-08-2026 18:42</t>
    </r>
  </si>
  <si>
    <r>
      <rPr>
        <sz val="10"/>
        <color rgb="FF000000"/>
        <rFont val="JRFonts"/>
        <charset val="134"/>
      </rPr>
      <t>21-08-2026 10:14</t>
    </r>
  </si>
  <si>
    <t>23356</t>
  </si>
  <si>
    <r>
      <rPr>
        <sz val="10"/>
        <color rgb="FF0000FF"/>
        <rFont val="JRFonts"/>
        <charset val="134"/>
      </rPr>
      <t>23358</t>
    </r>
  </si>
  <si>
    <r>
      <rPr>
        <sz val="10"/>
        <color rgb="FF000000"/>
        <rFont val="JRFonts"/>
        <charset val="134"/>
      </rPr>
      <t>20-08-2026 19:08</t>
    </r>
  </si>
  <si>
    <r>
      <rPr>
        <sz val="10"/>
        <color rgb="FF000000"/>
        <rFont val="JRFonts"/>
        <charset val="134"/>
      </rPr>
      <t>22-08-2026 14:48</t>
    </r>
  </si>
  <si>
    <r>
      <rPr>
        <sz val="10"/>
        <color rgb="FF000000"/>
        <rFont val="JRFonts"/>
        <charset val="134"/>
      </rPr>
      <t>21-08-2026 10:16</t>
    </r>
  </si>
  <si>
    <r>
      <rPr>
        <sz val="10"/>
        <color rgb="FF0000FF"/>
        <rFont val="JRFonts"/>
        <charset val="134"/>
      </rPr>
      <t>23363</t>
    </r>
  </si>
  <si>
    <r>
      <rPr>
        <sz val="10"/>
        <color rgb="FF000000"/>
        <rFont val="JRFonts"/>
        <charset val="134"/>
      </rPr>
      <t>21-08-2026 11:05</t>
    </r>
  </si>
  <si>
    <r>
      <rPr>
        <sz val="10"/>
        <color rgb="FF000000"/>
        <rFont val="JRFonts"/>
        <charset val="134"/>
      </rPr>
      <t>21-08-2026 10:18</t>
    </r>
  </si>
  <si>
    <r>
      <rPr>
        <sz val="10"/>
        <color rgb="FF0000FF"/>
        <rFont val="JRFonts"/>
        <charset val="134"/>
      </rPr>
      <t>23364</t>
    </r>
  </si>
  <si>
    <r>
      <rPr>
        <sz val="10"/>
        <color rgb="FF000000"/>
        <rFont val="JRFonts"/>
        <charset val="134"/>
      </rPr>
      <t>21-08-2026 10:06</t>
    </r>
  </si>
  <si>
    <r>
      <rPr>
        <sz val="10"/>
        <color rgb="FF000000"/>
        <rFont val="JRFonts"/>
        <charset val="134"/>
      </rPr>
      <t>24-08-2026 12:37</t>
    </r>
  </si>
  <si>
    <r>
      <rPr>
        <sz val="10"/>
        <color rgb="FF000000"/>
        <rFont val="JRFonts"/>
        <charset val="134"/>
      </rPr>
      <t>24-08-2026 10:58</t>
    </r>
  </si>
  <si>
    <r>
      <rPr>
        <sz val="10"/>
        <color rgb="FF0000FF"/>
        <rFont val="JRFonts"/>
        <charset val="134"/>
      </rPr>
      <t>23365</t>
    </r>
  </si>
  <si>
    <r>
      <rPr>
        <sz val="10"/>
        <color rgb="FF000000"/>
        <rFont val="JRFonts"/>
        <charset val="134"/>
      </rPr>
      <t>21-08-2026 10:27</t>
    </r>
  </si>
  <si>
    <r>
      <rPr>
        <sz val="10"/>
        <color rgb="FF000000"/>
        <rFont val="JRFonts"/>
        <charset val="134"/>
      </rPr>
      <t>21-08-2026 12:08</t>
    </r>
  </si>
  <si>
    <r>
      <rPr>
        <sz val="10"/>
        <color rgb="FF000000"/>
        <rFont val="JRFonts"/>
        <charset val="134"/>
      </rPr>
      <t>21-08-2026 10:39</t>
    </r>
  </si>
  <si>
    <r>
      <rPr>
        <sz val="10"/>
        <color rgb="FF0000FF"/>
        <rFont val="JRFonts"/>
        <charset val="134"/>
      </rPr>
      <t>23366</t>
    </r>
  </si>
  <si>
    <r>
      <rPr>
        <sz val="10"/>
        <color rgb="FF000000"/>
        <rFont val="JRFonts"/>
        <charset val="134"/>
      </rPr>
      <t>21-08-2026 10:36</t>
    </r>
  </si>
  <si>
    <r>
      <rPr>
        <sz val="10"/>
        <color rgb="FF000000"/>
        <rFont val="JRFonts"/>
        <charset val="134"/>
      </rPr>
      <t>24-08-2026 15:08</t>
    </r>
  </si>
  <si>
    <r>
      <rPr>
        <sz val="10"/>
        <color rgb="FF000000"/>
        <rFont val="JRFonts"/>
        <charset val="134"/>
      </rPr>
      <t>21-08-2026 10:49</t>
    </r>
  </si>
  <si>
    <t>23366</t>
  </si>
  <si>
    <r>
      <rPr>
        <sz val="10"/>
        <color rgb="FF0000FF"/>
        <rFont val="JRFonts"/>
        <charset val="134"/>
      </rPr>
      <t>23367</t>
    </r>
  </si>
  <si>
    <r>
      <rPr>
        <sz val="10"/>
        <color rgb="FF000000"/>
        <rFont val="JRFonts"/>
        <charset val="134"/>
      </rPr>
      <t>21-08-2026 10:42</t>
    </r>
  </si>
  <si>
    <r>
      <rPr>
        <sz val="10"/>
        <color rgb="FF000000"/>
        <rFont val="JRFonts"/>
        <charset val="134"/>
      </rPr>
      <t>21-08-2026 12:41</t>
    </r>
  </si>
  <si>
    <r>
      <rPr>
        <sz val="10"/>
        <color rgb="FF000000"/>
        <rFont val="JRFonts"/>
        <charset val="134"/>
      </rPr>
      <t>21-08-2026 12:31</t>
    </r>
  </si>
  <si>
    <r>
      <rPr>
        <sz val="10"/>
        <color rgb="FF0000FF"/>
        <rFont val="JRFonts"/>
        <charset val="134"/>
      </rPr>
      <t>23368</t>
    </r>
  </si>
  <si>
    <r>
      <rPr>
        <sz val="10"/>
        <color rgb="FF000000"/>
        <rFont val="JRFonts"/>
        <charset val="134"/>
      </rPr>
      <t>21-08-2026 10:45</t>
    </r>
  </si>
  <si>
    <r>
      <rPr>
        <sz val="10"/>
        <color rgb="FF000000"/>
        <rFont val="JRFonts"/>
        <charset val="134"/>
      </rPr>
      <t>25-08-2026 17:41</t>
    </r>
  </si>
  <si>
    <r>
      <rPr>
        <sz val="10"/>
        <color rgb="FF0000FF"/>
        <rFont val="JRFonts"/>
        <charset val="134"/>
      </rPr>
      <t>23372</t>
    </r>
  </si>
  <si>
    <r>
      <rPr>
        <sz val="10"/>
        <color rgb="FF000000"/>
        <rFont val="JRFonts"/>
        <charset val="134"/>
      </rPr>
      <t>21-08-2026 11:13</t>
    </r>
  </si>
  <si>
    <r>
      <rPr>
        <sz val="10"/>
        <color rgb="FF000000"/>
        <rFont val="JRFonts"/>
        <charset val="134"/>
      </rPr>
      <t>24-08-2026 14:48</t>
    </r>
  </si>
  <si>
    <r>
      <rPr>
        <sz val="10"/>
        <color rgb="FF000000"/>
        <rFont val="JRFonts"/>
        <charset val="134"/>
      </rPr>
      <t>21-08-2026 11:18</t>
    </r>
  </si>
  <si>
    <r>
      <rPr>
        <sz val="10"/>
        <color rgb="FF0000FF"/>
        <rFont val="JRFonts"/>
        <charset val="134"/>
      </rPr>
      <t>23375</t>
    </r>
  </si>
  <si>
    <r>
      <rPr>
        <sz val="10"/>
        <color rgb="FF000000"/>
        <rFont val="JRFonts"/>
        <charset val="134"/>
      </rPr>
      <t>24-08-2026 18:25</t>
    </r>
  </si>
  <si>
    <r>
      <rPr>
        <sz val="10"/>
        <color rgb="FF000000"/>
        <rFont val="JRFonts"/>
        <charset val="134"/>
      </rPr>
      <t>21-08-2026 11:32</t>
    </r>
  </si>
  <si>
    <t>23375</t>
  </si>
  <si>
    <r>
      <rPr>
        <sz val="10"/>
        <color rgb="FF0000FF"/>
        <rFont val="JRFonts"/>
        <charset val="134"/>
      </rPr>
      <t>23379</t>
    </r>
  </si>
  <si>
    <r>
      <rPr>
        <sz val="10"/>
        <color rgb="FF000000"/>
        <rFont val="JRFonts"/>
        <charset val="134"/>
      </rPr>
      <t>21-08-2026 11:45</t>
    </r>
  </si>
  <si>
    <r>
      <rPr>
        <sz val="10"/>
        <color rgb="FF000000"/>
        <rFont val="JRFonts"/>
        <charset val="134"/>
      </rPr>
      <t>24-08-2026 17:34</t>
    </r>
  </si>
  <si>
    <r>
      <rPr>
        <sz val="10"/>
        <color rgb="FF000000"/>
        <rFont val="JRFonts"/>
        <charset val="134"/>
      </rPr>
      <t>21-08-2026 11:51</t>
    </r>
  </si>
  <si>
    <r>
      <rPr>
        <sz val="10"/>
        <color rgb="FF0000FF"/>
        <rFont val="JRFonts"/>
        <charset val="134"/>
      </rPr>
      <t>23387</t>
    </r>
  </si>
  <si>
    <r>
      <rPr>
        <sz val="10"/>
        <color rgb="FF000000"/>
        <rFont val="JRFonts"/>
        <charset val="134"/>
      </rPr>
      <t>21-08-2026 12:28</t>
    </r>
  </si>
  <si>
    <r>
      <rPr>
        <sz val="10"/>
        <color rgb="FF000000"/>
        <rFont val="JRFonts"/>
        <charset val="134"/>
      </rPr>
      <t>24-08-2026 17:39</t>
    </r>
  </si>
  <si>
    <r>
      <rPr>
        <sz val="10"/>
        <color rgb="FF0000FF"/>
        <rFont val="JRFonts"/>
        <charset val="134"/>
      </rPr>
      <t>23390</t>
    </r>
  </si>
  <si>
    <r>
      <rPr>
        <sz val="10"/>
        <color rgb="FF000000"/>
        <rFont val="JRFonts"/>
        <charset val="134"/>
      </rPr>
      <t>21-08-2026 12:49</t>
    </r>
  </si>
  <si>
    <r>
      <rPr>
        <sz val="10"/>
        <color rgb="FF000000"/>
        <rFont val="JRFonts"/>
        <charset val="134"/>
      </rPr>
      <t>03-09-2026 15:57</t>
    </r>
  </si>
  <si>
    <r>
      <rPr>
        <sz val="10"/>
        <color rgb="FF000000"/>
        <rFont val="JRFonts"/>
        <charset val="134"/>
      </rPr>
      <t>21-08-2026 12:52</t>
    </r>
  </si>
  <si>
    <t>23390</t>
  </si>
  <si>
    <r>
      <rPr>
        <sz val="10"/>
        <color rgb="FF0000FF"/>
        <rFont val="JRFonts"/>
        <charset val="134"/>
      </rPr>
      <t>23394</t>
    </r>
  </si>
  <si>
    <r>
      <rPr>
        <sz val="10"/>
        <color rgb="FF000000"/>
        <rFont val="JRFonts"/>
        <charset val="134"/>
      </rPr>
      <t>21-08-2026 12:55</t>
    </r>
  </si>
  <si>
    <r>
      <rPr>
        <sz val="10"/>
        <color rgb="FF000000"/>
        <rFont val="JRFonts"/>
        <charset val="134"/>
      </rPr>
      <t>25-08-2026 12:28</t>
    </r>
  </si>
  <si>
    <r>
      <rPr>
        <sz val="10"/>
        <color rgb="FF0000FF"/>
        <rFont val="JRFonts"/>
        <charset val="134"/>
      </rPr>
      <t>23395</t>
    </r>
  </si>
  <si>
    <r>
      <rPr>
        <sz val="10"/>
        <color rgb="FF000000"/>
        <rFont val="JRFonts"/>
        <charset val="134"/>
      </rPr>
      <t>21-08-2026 12:59</t>
    </r>
  </si>
  <si>
    <r>
      <rPr>
        <sz val="10"/>
        <color rgb="FF000000"/>
        <rFont val="JRFonts"/>
        <charset val="134"/>
      </rPr>
      <t>24-08-2026 11:38</t>
    </r>
  </si>
  <si>
    <r>
      <rPr>
        <sz val="10"/>
        <color rgb="FF0000FF"/>
        <rFont val="JRFonts"/>
        <charset val="134"/>
      </rPr>
      <t>23396</t>
    </r>
  </si>
  <si>
    <r>
      <rPr>
        <sz val="10"/>
        <color rgb="FF000000"/>
        <rFont val="JRFonts"/>
        <charset val="134"/>
      </rPr>
      <t>31-08-2026 12:07</t>
    </r>
  </si>
  <si>
    <r>
      <rPr>
        <sz val="10"/>
        <color rgb="FF000000"/>
        <rFont val="JRFonts"/>
        <charset val="134"/>
      </rPr>
      <t>21-08-2026 14:10</t>
    </r>
  </si>
  <si>
    <r>
      <rPr>
        <sz val="10"/>
        <color rgb="FF0000FF"/>
        <rFont val="JRFonts"/>
        <charset val="134"/>
      </rPr>
      <t>23398</t>
    </r>
  </si>
  <si>
    <r>
      <rPr>
        <sz val="10"/>
        <color rgb="FF000000"/>
        <rFont val="JRFonts"/>
        <charset val="134"/>
      </rPr>
      <t>25-08-2026 12:29</t>
    </r>
  </si>
  <si>
    <r>
      <rPr>
        <sz val="10"/>
        <color rgb="FF000000"/>
        <rFont val="JRFonts"/>
        <charset val="134"/>
      </rPr>
      <t>21-08-2026 14:14</t>
    </r>
  </si>
  <si>
    <r>
      <rPr>
        <sz val="10"/>
        <color rgb="FF0000FF"/>
        <rFont val="JRFonts"/>
        <charset val="134"/>
      </rPr>
      <t>23403</t>
    </r>
  </si>
  <si>
    <r>
      <rPr>
        <sz val="10"/>
        <color rgb="FF000000"/>
        <rFont val="JRFonts"/>
        <charset val="134"/>
      </rPr>
      <t>21-08-2026 13:26</t>
    </r>
  </si>
  <si>
    <r>
      <rPr>
        <sz val="10"/>
        <color rgb="FF000000"/>
        <rFont val="JRFonts"/>
        <charset val="134"/>
      </rPr>
      <t>21-08-2026 14:06</t>
    </r>
  </si>
  <si>
    <r>
      <rPr>
        <sz val="10"/>
        <color rgb="FF0000FF"/>
        <rFont val="JRFonts"/>
        <charset val="134"/>
      </rPr>
      <t>23408</t>
    </r>
  </si>
  <si>
    <r>
      <rPr>
        <sz val="10"/>
        <color rgb="FF000000"/>
        <rFont val="JRFonts"/>
        <charset val="134"/>
      </rPr>
      <t>21-08-2026 13:56</t>
    </r>
  </si>
  <si>
    <r>
      <rPr>
        <sz val="10"/>
        <color rgb="FF000000"/>
        <rFont val="JRFonts"/>
        <charset val="134"/>
      </rPr>
      <t>26-08-2026 12:09</t>
    </r>
  </si>
  <si>
    <r>
      <rPr>
        <sz val="10"/>
        <color rgb="FF000000"/>
        <rFont val="JRFonts"/>
        <charset val="134"/>
      </rPr>
      <t>21-08-2026 14:35</t>
    </r>
  </si>
  <si>
    <r>
      <rPr>
        <sz val="10"/>
        <color rgb="FF0000FF"/>
        <rFont val="JRFonts"/>
        <charset val="134"/>
      </rPr>
      <t>23410</t>
    </r>
  </si>
  <si>
    <r>
      <rPr>
        <sz val="10"/>
        <color rgb="FF000000"/>
        <rFont val="JRFonts"/>
        <charset val="134"/>
      </rPr>
      <t>21-08-2026 13:59</t>
    </r>
  </si>
  <si>
    <r>
      <rPr>
        <sz val="10"/>
        <color rgb="FF000000"/>
        <rFont val="JRFonts"/>
        <charset val="134"/>
      </rPr>
      <t>21-08-2026 17:34</t>
    </r>
  </si>
  <si>
    <r>
      <rPr>
        <sz val="10"/>
        <color rgb="FF000000"/>
        <rFont val="JRFonts"/>
        <charset val="134"/>
      </rPr>
      <t>21-08-2026 14:18</t>
    </r>
  </si>
  <si>
    <r>
      <rPr>
        <sz val="10"/>
        <color rgb="FF0000FF"/>
        <rFont val="JRFonts"/>
        <charset val="134"/>
      </rPr>
      <t>23412</t>
    </r>
  </si>
  <si>
    <r>
      <rPr>
        <sz val="10"/>
        <color rgb="FF000000"/>
        <rFont val="JRFonts"/>
        <charset val="134"/>
      </rPr>
      <t>21-08-2026 15:44</t>
    </r>
  </si>
  <si>
    <r>
      <rPr>
        <sz val="10"/>
        <color rgb="FF000000"/>
        <rFont val="JRFonts"/>
        <charset val="134"/>
      </rPr>
      <t>21-08-2026 14:20</t>
    </r>
  </si>
  <si>
    <r>
      <rPr>
        <sz val="10"/>
        <color rgb="FF0000FF"/>
        <rFont val="JRFonts"/>
        <charset val="134"/>
      </rPr>
      <t>23413</t>
    </r>
  </si>
  <si>
    <r>
      <rPr>
        <sz val="10"/>
        <color rgb="FF000000"/>
        <rFont val="JRFonts"/>
        <charset val="134"/>
      </rPr>
      <t>21-08-2026 15:40</t>
    </r>
  </si>
  <si>
    <r>
      <rPr>
        <sz val="10"/>
        <color rgb="FF000000"/>
        <rFont val="JRFonts"/>
        <charset val="134"/>
      </rPr>
      <t>21-08-2026 14:26</t>
    </r>
  </si>
  <si>
    <r>
      <rPr>
        <sz val="10"/>
        <color rgb="FF0000FF"/>
        <rFont val="JRFonts"/>
        <charset val="134"/>
      </rPr>
      <t>23415</t>
    </r>
  </si>
  <si>
    <r>
      <rPr>
        <sz val="10"/>
        <color rgb="FF000000"/>
        <rFont val="JRFonts"/>
        <charset val="134"/>
      </rPr>
      <t>21-08-2026 14:21</t>
    </r>
  </si>
  <si>
    <r>
      <rPr>
        <sz val="10"/>
        <color rgb="FF000000"/>
        <rFont val="JRFonts"/>
        <charset val="134"/>
      </rPr>
      <t>21-08-2026 14:27</t>
    </r>
  </si>
  <si>
    <r>
      <rPr>
        <sz val="10"/>
        <color rgb="FF0000FF"/>
        <rFont val="JRFonts"/>
        <charset val="134"/>
      </rPr>
      <t>23417</t>
    </r>
  </si>
  <si>
    <r>
      <rPr>
        <sz val="10"/>
        <color rgb="FF000000"/>
        <rFont val="JRFonts"/>
        <charset val="134"/>
      </rPr>
      <t>21-08-2026 15:41</t>
    </r>
  </si>
  <si>
    <r>
      <rPr>
        <sz val="10"/>
        <color rgb="FF000000"/>
        <rFont val="JRFonts"/>
        <charset val="134"/>
      </rPr>
      <t>21-08-2026 14:36</t>
    </r>
  </si>
  <si>
    <r>
      <rPr>
        <sz val="10"/>
        <color rgb="FF0000FF"/>
        <rFont val="JRFonts"/>
        <charset val="134"/>
      </rPr>
      <t>23418</t>
    </r>
  </si>
  <si>
    <r>
      <rPr>
        <sz val="10"/>
        <color rgb="FF000000"/>
        <rFont val="JRFonts"/>
        <charset val="134"/>
      </rPr>
      <t>21-08-2026 14:48</t>
    </r>
  </si>
  <si>
    <r>
      <rPr>
        <sz val="10"/>
        <color rgb="FF000000"/>
        <rFont val="JRFonts"/>
        <charset val="134"/>
      </rPr>
      <t>02-09-2026 17:18</t>
    </r>
  </si>
  <si>
    <t>23418</t>
  </si>
  <si>
    <r>
      <rPr>
        <sz val="10"/>
        <color rgb="FF0000FF"/>
        <rFont val="JRFonts"/>
        <charset val="134"/>
      </rPr>
      <t>23419</t>
    </r>
  </si>
  <si>
    <r>
      <rPr>
        <sz val="10"/>
        <color rgb="FF000000"/>
        <rFont val="JRFonts"/>
        <charset val="134"/>
      </rPr>
      <t>21-08-2026 14:51</t>
    </r>
  </si>
  <si>
    <r>
      <rPr>
        <sz val="10"/>
        <color rgb="FF000000"/>
        <rFont val="JRFonts"/>
        <charset val="134"/>
      </rPr>
      <t>21-08-2026 15:09</t>
    </r>
  </si>
  <si>
    <r>
      <rPr>
        <sz val="10"/>
        <color rgb="FF000000"/>
        <rFont val="JRFonts"/>
        <charset val="134"/>
      </rPr>
      <t>21-08-2026 14:58</t>
    </r>
  </si>
  <si>
    <r>
      <rPr>
        <sz val="10"/>
        <color rgb="FF0000FF"/>
        <rFont val="JRFonts"/>
        <charset val="134"/>
      </rPr>
      <t>23422</t>
    </r>
  </si>
  <si>
    <r>
      <rPr>
        <sz val="10"/>
        <color rgb="FF000000"/>
        <rFont val="JRFonts"/>
        <charset val="134"/>
      </rPr>
      <t>21-08-2026 15:06</t>
    </r>
  </si>
  <si>
    <r>
      <rPr>
        <sz val="10"/>
        <color rgb="FF000000"/>
        <rFont val="JRFonts"/>
        <charset val="134"/>
      </rPr>
      <t>21-08-2026 15:28</t>
    </r>
  </si>
  <si>
    <r>
      <rPr>
        <sz val="10"/>
        <color rgb="FF000000"/>
        <rFont val="JRFonts"/>
        <charset val="134"/>
      </rPr>
      <t>21-08-2026 15:16</t>
    </r>
  </si>
  <si>
    <r>
      <rPr>
        <sz val="10"/>
        <color rgb="FF0000FF"/>
        <rFont val="JRFonts"/>
        <charset val="134"/>
      </rPr>
      <t>23429</t>
    </r>
  </si>
  <si>
    <r>
      <rPr>
        <sz val="10"/>
        <color rgb="FF000000"/>
        <rFont val="JRFonts"/>
        <charset val="134"/>
      </rPr>
      <t>21-08-2026 15:34</t>
    </r>
  </si>
  <si>
    <r>
      <rPr>
        <sz val="10"/>
        <color rgb="FF000000"/>
        <rFont val="JRFonts"/>
        <charset val="134"/>
      </rPr>
      <t>21-08-2026 15:47</t>
    </r>
  </si>
  <si>
    <r>
      <rPr>
        <sz val="10"/>
        <color rgb="FF0000FF"/>
        <rFont val="JRFonts"/>
        <charset val="134"/>
      </rPr>
      <t>23430</t>
    </r>
  </si>
  <si>
    <r>
      <rPr>
        <sz val="10"/>
        <color rgb="FF000000"/>
        <rFont val="JRFonts"/>
        <charset val="134"/>
      </rPr>
      <t>01-09-2026 18:45</t>
    </r>
  </si>
  <si>
    <r>
      <rPr>
        <sz val="10"/>
        <color rgb="FF000000"/>
        <rFont val="JRFonts"/>
        <charset val="134"/>
      </rPr>
      <t>21-08-2026 15:48</t>
    </r>
  </si>
  <si>
    <t>23430</t>
  </si>
  <si>
    <r>
      <rPr>
        <sz val="10"/>
        <color rgb="FF0000FF"/>
        <rFont val="JRFonts"/>
        <charset val="134"/>
      </rPr>
      <t>23431</t>
    </r>
  </si>
  <si>
    <r>
      <rPr>
        <sz val="10"/>
        <color rgb="FF000000"/>
        <rFont val="JRFonts"/>
        <charset val="134"/>
      </rPr>
      <t>21-08-2026 15:49</t>
    </r>
  </si>
  <si>
    <r>
      <rPr>
        <sz val="10"/>
        <color rgb="FF000000"/>
        <rFont val="JRFonts"/>
        <charset val="134"/>
      </rPr>
      <t>22-08-2026 15:25</t>
    </r>
  </si>
  <si>
    <r>
      <rPr>
        <sz val="10"/>
        <color rgb="FF000000"/>
        <rFont val="JRFonts"/>
        <charset val="134"/>
      </rPr>
      <t>21-08-2026 15:54</t>
    </r>
  </si>
  <si>
    <r>
      <rPr>
        <sz val="10"/>
        <color rgb="FF0000FF"/>
        <rFont val="JRFonts"/>
        <charset val="134"/>
      </rPr>
      <t>23434</t>
    </r>
  </si>
  <si>
    <r>
      <rPr>
        <sz val="10"/>
        <color rgb="FF000000"/>
        <rFont val="JRFonts"/>
        <charset val="134"/>
      </rPr>
      <t>21-08-2026 16:07</t>
    </r>
  </si>
  <si>
    <r>
      <rPr>
        <sz val="10"/>
        <color rgb="FF000000"/>
        <rFont val="JRFonts"/>
        <charset val="134"/>
      </rPr>
      <t>31-08-2026 13:08</t>
    </r>
  </si>
  <si>
    <r>
      <rPr>
        <sz val="10"/>
        <color rgb="FF000000"/>
        <rFont val="JRFonts"/>
        <charset val="134"/>
      </rPr>
      <t>21-08-2026 16:13</t>
    </r>
  </si>
  <si>
    <t>23434</t>
  </si>
  <si>
    <r>
      <rPr>
        <sz val="10"/>
        <color rgb="FF0000FF"/>
        <rFont val="JRFonts"/>
        <charset val="134"/>
      </rPr>
      <t>23442</t>
    </r>
  </si>
  <si>
    <r>
      <rPr>
        <sz val="10"/>
        <color rgb="FF000000"/>
        <rFont val="JRFonts"/>
        <charset val="134"/>
      </rPr>
      <t>21-08-2026 16:29</t>
    </r>
  </si>
  <si>
    <r>
      <rPr>
        <sz val="10"/>
        <color rgb="FF000000"/>
        <rFont val="JRFonts"/>
        <charset val="134"/>
      </rPr>
      <t>21-08-2026 22:46</t>
    </r>
  </si>
  <si>
    <r>
      <rPr>
        <sz val="10"/>
        <color rgb="FF000000"/>
        <rFont val="JRFonts"/>
        <charset val="134"/>
      </rPr>
      <t>21-08-2026 16:34</t>
    </r>
  </si>
  <si>
    <t>23442</t>
  </si>
  <si>
    <t>Day 1 (21-08-2026) - 1 hr 26 mins (4:34 PM–6:00 PM; resolution at 10:46 PM is outside working hours)
Allowed SLA - 3 hrs
Actual resolution time - 1 hr 26 mins</t>
  </si>
  <si>
    <r>
      <rPr>
        <sz val="10"/>
        <color rgb="FF0000FF"/>
        <rFont val="JRFonts"/>
        <charset val="134"/>
      </rPr>
      <t>23446</t>
    </r>
  </si>
  <si>
    <r>
      <rPr>
        <sz val="10"/>
        <color rgb="FF000000"/>
        <rFont val="JRFonts"/>
        <charset val="134"/>
      </rPr>
      <t>21-08-2026 17:02</t>
    </r>
  </si>
  <si>
    <r>
      <rPr>
        <sz val="10"/>
        <color rgb="FF000000"/>
        <rFont val="JRFonts"/>
        <charset val="134"/>
      </rPr>
      <t>21-08-2026 17:14</t>
    </r>
  </si>
  <si>
    <r>
      <rPr>
        <sz val="10"/>
        <color rgb="FF0000FF"/>
        <rFont val="JRFonts"/>
        <charset val="134"/>
      </rPr>
      <t>23447</t>
    </r>
  </si>
  <si>
    <r>
      <rPr>
        <sz val="10"/>
        <color rgb="FF000000"/>
        <rFont val="JRFonts"/>
        <charset val="134"/>
      </rPr>
      <t>21-08-2026 17:08</t>
    </r>
  </si>
  <si>
    <r>
      <rPr>
        <sz val="10"/>
        <color rgb="FF000000"/>
        <rFont val="JRFonts"/>
        <charset val="134"/>
      </rPr>
      <t>18-09-2026 17:00</t>
    </r>
  </si>
  <si>
    <r>
      <rPr>
        <sz val="10"/>
        <color rgb="FF000000"/>
        <rFont val="JRFonts"/>
        <charset val="134"/>
      </rPr>
      <t>21-08-2026 17:11</t>
    </r>
  </si>
  <si>
    <t>23447</t>
  </si>
  <si>
    <r>
      <rPr>
        <sz val="10"/>
        <color rgb="FF0000FF"/>
        <rFont val="JRFonts"/>
        <charset val="134"/>
      </rPr>
      <t>23448</t>
    </r>
  </si>
  <si>
    <r>
      <rPr>
        <sz val="10"/>
        <color rgb="FF000000"/>
        <rFont val="JRFonts"/>
        <charset val="134"/>
      </rPr>
      <t>22-08-2026 11:17</t>
    </r>
  </si>
  <si>
    <r>
      <rPr>
        <sz val="10"/>
        <color rgb="FF000000"/>
        <rFont val="JRFonts"/>
        <charset val="134"/>
      </rPr>
      <t>21-08-2026 17:18</t>
    </r>
  </si>
  <si>
    <r>
      <rPr>
        <sz val="10"/>
        <color rgb="FF0000FF"/>
        <rFont val="JRFonts"/>
        <charset val="134"/>
      </rPr>
      <t>23450</t>
    </r>
  </si>
  <si>
    <r>
      <rPr>
        <sz val="10"/>
        <color rgb="FF000000"/>
        <rFont val="JRFonts"/>
        <charset val="134"/>
      </rPr>
      <t>21-08-2026 17:36</t>
    </r>
  </si>
  <si>
    <r>
      <rPr>
        <sz val="10"/>
        <color rgb="FF000000"/>
        <rFont val="JRFonts"/>
        <charset val="134"/>
      </rPr>
      <t>24-08-2026 17:20</t>
    </r>
  </si>
  <si>
    <r>
      <rPr>
        <sz val="10"/>
        <color rgb="FF000000"/>
        <rFont val="JRFonts"/>
        <charset val="134"/>
      </rPr>
      <t>21-08-2026 17:41</t>
    </r>
  </si>
  <si>
    <r>
      <rPr>
        <sz val="10"/>
        <color rgb="FF0000FF"/>
        <rFont val="JRFonts"/>
        <charset val="134"/>
      </rPr>
      <t>23451</t>
    </r>
  </si>
  <si>
    <r>
      <rPr>
        <sz val="10"/>
        <color rgb="FF000000"/>
        <rFont val="JRFonts"/>
        <charset val="134"/>
      </rPr>
      <t>21-08-2026 17:39</t>
    </r>
  </si>
  <si>
    <r>
      <rPr>
        <sz val="10"/>
        <color rgb="FF000000"/>
        <rFont val="JRFonts"/>
        <charset val="134"/>
      </rPr>
      <t>22-08-2026 11:19</t>
    </r>
  </si>
  <si>
    <r>
      <rPr>
        <sz val="10"/>
        <color rgb="FF000000"/>
        <rFont val="JRFonts"/>
        <charset val="134"/>
      </rPr>
      <t>21-08-2026 17:57</t>
    </r>
  </si>
  <si>
    <r>
      <rPr>
        <sz val="10"/>
        <color rgb="FF0000FF"/>
        <rFont val="JRFonts"/>
        <charset val="134"/>
      </rPr>
      <t>23452</t>
    </r>
  </si>
  <si>
    <r>
      <rPr>
        <sz val="10"/>
        <color rgb="FF000000"/>
        <rFont val="JRFonts"/>
        <charset val="134"/>
      </rPr>
      <t>24-08-2026 11:51</t>
    </r>
  </si>
  <si>
    <r>
      <rPr>
        <sz val="10"/>
        <color rgb="FF000000"/>
        <rFont val="JRFonts"/>
        <charset val="134"/>
      </rPr>
      <t>21-08-2026 17:58</t>
    </r>
  </si>
  <si>
    <r>
      <rPr>
        <sz val="10"/>
        <color rgb="FF0000FF"/>
        <rFont val="JRFonts"/>
        <charset val="134"/>
      </rPr>
      <t>23453</t>
    </r>
  </si>
  <si>
    <r>
      <rPr>
        <sz val="10"/>
        <color rgb="FF000000"/>
        <rFont val="JRFonts"/>
        <charset val="134"/>
      </rPr>
      <t>24-08-2026 14:28</t>
    </r>
  </si>
  <si>
    <r>
      <rPr>
        <sz val="10"/>
        <color rgb="FF000000"/>
        <rFont val="JRFonts"/>
        <charset val="134"/>
      </rPr>
      <t>21-08-2026 17:59</t>
    </r>
  </si>
  <si>
    <t>23453</t>
  </si>
  <si>
    <r>
      <rPr>
        <sz val="10"/>
        <color rgb="FF0000FF"/>
        <rFont val="JRFonts"/>
        <charset val="134"/>
      </rPr>
      <t>23454</t>
    </r>
  </si>
  <si>
    <r>
      <rPr>
        <sz val="10"/>
        <color rgb="FF000000"/>
        <rFont val="JRFonts"/>
        <charset val="134"/>
      </rPr>
      <t>21-08-2026 17:54</t>
    </r>
  </si>
  <si>
    <r>
      <rPr>
        <sz val="10"/>
        <color rgb="FF000000"/>
        <rFont val="JRFonts"/>
        <charset val="134"/>
      </rPr>
      <t>25-08-2026 14:43</t>
    </r>
  </si>
  <si>
    <r>
      <rPr>
        <sz val="10"/>
        <color rgb="FF000000"/>
        <rFont val="JRFonts"/>
        <charset val="134"/>
      </rPr>
      <t>21-08-2026 18:01</t>
    </r>
  </si>
  <si>
    <r>
      <rPr>
        <sz val="10"/>
        <color rgb="FF0000FF"/>
        <rFont val="JRFonts"/>
        <charset val="134"/>
      </rPr>
      <t>23455</t>
    </r>
  </si>
  <si>
    <r>
      <rPr>
        <sz val="10"/>
        <color rgb="FF000000"/>
        <rFont val="JRFonts"/>
        <charset val="134"/>
      </rPr>
      <t>21-08-2026 18:03</t>
    </r>
  </si>
  <si>
    <r>
      <rPr>
        <sz val="10"/>
        <color rgb="FF0000FF"/>
        <rFont val="JRFonts"/>
        <charset val="134"/>
      </rPr>
      <t>23456</t>
    </r>
  </si>
  <si>
    <r>
      <rPr>
        <sz val="10"/>
        <color rgb="FF000000"/>
        <rFont val="JRFonts"/>
        <charset val="134"/>
      </rPr>
      <t>21-08-2026 18:06</t>
    </r>
  </si>
  <si>
    <r>
      <rPr>
        <sz val="10"/>
        <color rgb="FF000000"/>
        <rFont val="JRFonts"/>
        <charset val="134"/>
      </rPr>
      <t>22-08-2026 11:18</t>
    </r>
  </si>
  <si>
    <r>
      <rPr>
        <sz val="10"/>
        <color rgb="FF000000"/>
        <rFont val="JRFonts"/>
        <charset val="134"/>
      </rPr>
      <t>21-08-2026 18:10</t>
    </r>
  </si>
  <si>
    <r>
      <rPr>
        <sz val="10"/>
        <color rgb="FF0000FF"/>
        <rFont val="JRFonts"/>
        <charset val="134"/>
      </rPr>
      <t>23461</t>
    </r>
  </si>
  <si>
    <r>
      <rPr>
        <sz val="10"/>
        <color rgb="FF000000"/>
        <rFont val="JRFonts"/>
        <charset val="134"/>
      </rPr>
      <t>21-08-2026 19:01</t>
    </r>
  </si>
  <si>
    <r>
      <rPr>
        <sz val="10"/>
        <color rgb="FF000000"/>
        <rFont val="JRFonts"/>
        <charset val="134"/>
      </rPr>
      <t>24-08-2026 10:54</t>
    </r>
  </si>
  <si>
    <r>
      <rPr>
        <sz val="10"/>
        <color rgb="FF000000"/>
        <rFont val="JRFonts"/>
        <charset val="134"/>
      </rPr>
      <t>24-08-2026 10:46</t>
    </r>
  </si>
  <si>
    <r>
      <rPr>
        <sz val="10"/>
        <color rgb="FF0000FF"/>
        <rFont val="JRFonts"/>
        <charset val="134"/>
      </rPr>
      <t>23463</t>
    </r>
  </si>
  <si>
    <r>
      <rPr>
        <sz val="10"/>
        <color rgb="FF000000"/>
        <rFont val="JRFonts"/>
        <charset val="134"/>
      </rPr>
      <t>21-08-2026 19:25</t>
    </r>
  </si>
  <si>
    <r>
      <rPr>
        <sz val="10"/>
        <color rgb="FF000000"/>
        <rFont val="JRFonts"/>
        <charset val="134"/>
      </rPr>
      <t>26-08-2026 12:11</t>
    </r>
  </si>
  <si>
    <r>
      <rPr>
        <sz val="10"/>
        <color rgb="FF000000"/>
        <rFont val="JRFonts"/>
        <charset val="134"/>
      </rPr>
      <t>24-08-2026 10:47</t>
    </r>
  </si>
  <si>
    <r>
      <rPr>
        <sz val="10"/>
        <color rgb="FF0000FF"/>
        <rFont val="JRFonts"/>
        <charset val="134"/>
      </rPr>
      <t>23464</t>
    </r>
  </si>
  <si>
    <r>
      <rPr>
        <sz val="10"/>
        <color rgb="FF000000"/>
        <rFont val="JRFonts"/>
        <charset val="134"/>
      </rPr>
      <t>21-08-2026 22:55</t>
    </r>
  </si>
  <si>
    <r>
      <rPr>
        <sz val="10"/>
        <color rgb="FF000000"/>
        <rFont val="JRFonts"/>
        <charset val="134"/>
      </rPr>
      <t>25-08-2026 14:34</t>
    </r>
  </si>
  <si>
    <r>
      <rPr>
        <sz val="10"/>
        <color rgb="FF000000"/>
        <rFont val="JRFonts"/>
        <charset val="134"/>
      </rPr>
      <t>24-08-2026 10:41</t>
    </r>
  </si>
  <si>
    <r>
      <rPr>
        <sz val="10"/>
        <color rgb="FF0000FF"/>
        <rFont val="JRFonts"/>
        <charset val="134"/>
      </rPr>
      <t>23468</t>
    </r>
  </si>
  <si>
    <r>
      <rPr>
        <sz val="10"/>
        <color rgb="FF000000"/>
        <rFont val="JRFonts"/>
        <charset val="134"/>
      </rPr>
      <t>22-08-2026 12:44</t>
    </r>
  </si>
  <si>
    <r>
      <rPr>
        <sz val="10"/>
        <color rgb="FF000000"/>
        <rFont val="JRFonts"/>
        <charset val="134"/>
      </rPr>
      <t>24-08-2026 18:30</t>
    </r>
  </si>
  <si>
    <r>
      <rPr>
        <sz val="10"/>
        <color rgb="FF000000"/>
        <rFont val="JRFonts"/>
        <charset val="134"/>
      </rPr>
      <t>24-08-2026 10:40</t>
    </r>
  </si>
  <si>
    <r>
      <rPr>
        <sz val="10"/>
        <color rgb="FF0000FF"/>
        <rFont val="JRFonts"/>
        <charset val="134"/>
      </rPr>
      <t>23469</t>
    </r>
  </si>
  <si>
    <r>
      <rPr>
        <sz val="10"/>
        <color rgb="FF000000"/>
        <rFont val="JRFonts"/>
        <charset val="134"/>
      </rPr>
      <t>26-08-2026 17:31</t>
    </r>
  </si>
  <si>
    <r>
      <rPr>
        <sz val="10"/>
        <color rgb="FF0000FF"/>
        <rFont val="JRFonts"/>
        <charset val="134"/>
      </rPr>
      <t>23470</t>
    </r>
  </si>
  <si>
    <r>
      <rPr>
        <sz val="10"/>
        <color rgb="FF000000"/>
        <rFont val="JRFonts"/>
        <charset val="134"/>
      </rPr>
      <t>22-08-2026 15:47</t>
    </r>
  </si>
  <si>
    <r>
      <rPr>
        <sz val="10"/>
        <color rgb="FF0000FF"/>
        <rFont val="JRFonts"/>
        <charset val="134"/>
      </rPr>
      <t>23472</t>
    </r>
  </si>
  <si>
    <r>
      <rPr>
        <sz val="10"/>
        <color rgb="FF000000"/>
        <rFont val="JRFonts"/>
        <charset val="134"/>
      </rPr>
      <t>22-08-2026 17:56</t>
    </r>
  </si>
  <si>
    <r>
      <rPr>
        <sz val="10"/>
        <color rgb="FF000000"/>
        <rFont val="JRFonts"/>
        <charset val="134"/>
      </rPr>
      <t>01-09-2026 17:20</t>
    </r>
  </si>
  <si>
    <r>
      <rPr>
        <sz val="10"/>
        <color rgb="FF000000"/>
        <rFont val="JRFonts"/>
        <charset val="134"/>
      </rPr>
      <t>24-08-2026 10:32</t>
    </r>
  </si>
  <si>
    <t>23472</t>
  </si>
  <si>
    <r>
      <rPr>
        <sz val="10"/>
        <color rgb="FF0000FF"/>
        <rFont val="JRFonts"/>
        <charset val="134"/>
      </rPr>
      <t>23476</t>
    </r>
  </si>
  <si>
    <r>
      <rPr>
        <sz val="10"/>
        <color rgb="FF000000"/>
        <rFont val="JRFonts"/>
        <charset val="134"/>
      </rPr>
      <t>22-08-2026 23:30</t>
    </r>
  </si>
  <si>
    <r>
      <rPr>
        <sz val="10"/>
        <color rgb="FF000000"/>
        <rFont val="JRFonts"/>
        <charset val="134"/>
      </rPr>
      <t>24-08-2026 10:26</t>
    </r>
  </si>
  <si>
    <t>23476</t>
  </si>
  <si>
    <r>
      <rPr>
        <sz val="10"/>
        <color rgb="FF0000FF"/>
        <rFont val="JRFonts"/>
        <charset val="134"/>
      </rPr>
      <t>23477</t>
    </r>
  </si>
  <si>
    <r>
      <rPr>
        <sz val="10"/>
        <color rgb="FF000000"/>
        <rFont val="JRFonts"/>
        <charset val="134"/>
      </rPr>
      <t>22-08-2026 23:36</t>
    </r>
  </si>
  <si>
    <r>
      <rPr>
        <sz val="10"/>
        <color rgb="FF000000"/>
        <rFont val="JRFonts"/>
        <charset val="134"/>
      </rPr>
      <t>26-08-2026 16:16</t>
    </r>
  </si>
  <si>
    <r>
      <rPr>
        <sz val="10"/>
        <color rgb="FF000000"/>
        <rFont val="JRFonts"/>
        <charset val="134"/>
      </rPr>
      <t>24-08-2026 10:34</t>
    </r>
  </si>
  <si>
    <t>23477</t>
  </si>
  <si>
    <r>
      <rPr>
        <sz val="10"/>
        <color rgb="FF0000FF"/>
        <rFont val="JRFonts"/>
        <charset val="134"/>
      </rPr>
      <t>23478</t>
    </r>
  </si>
  <si>
    <r>
      <rPr>
        <sz val="10"/>
        <color rgb="FF000000"/>
        <rFont val="JRFonts"/>
        <charset val="134"/>
      </rPr>
      <t>23-08-2026 23:14</t>
    </r>
  </si>
  <si>
    <r>
      <rPr>
        <sz val="10"/>
        <color rgb="FF000000"/>
        <rFont val="JRFonts"/>
        <charset val="134"/>
      </rPr>
      <t>24-08-2026 15:47</t>
    </r>
  </si>
  <si>
    <r>
      <rPr>
        <sz val="10"/>
        <color rgb="FF0000FF"/>
        <rFont val="JRFonts"/>
        <charset val="134"/>
      </rPr>
      <t>23479</t>
    </r>
  </si>
  <si>
    <r>
      <rPr>
        <sz val="10"/>
        <color rgb="FF000000"/>
        <rFont val="JRFonts"/>
        <charset val="134"/>
      </rPr>
      <t>24-08-2026 08:46</t>
    </r>
  </si>
  <si>
    <r>
      <rPr>
        <sz val="10"/>
        <color rgb="FF000000"/>
        <rFont val="JRFonts"/>
        <charset val="134"/>
      </rPr>
      <t>24-08-2026 11:01</t>
    </r>
  </si>
  <si>
    <r>
      <rPr>
        <sz val="10"/>
        <color rgb="FF000000"/>
        <rFont val="JRFonts"/>
        <charset val="134"/>
      </rPr>
      <t>24-08-2026 10:43</t>
    </r>
  </si>
  <si>
    <r>
      <rPr>
        <sz val="10"/>
        <color rgb="FF0000FF"/>
        <rFont val="JRFonts"/>
        <charset val="134"/>
      </rPr>
      <t>23482</t>
    </r>
  </si>
  <si>
    <r>
      <rPr>
        <sz val="10"/>
        <color rgb="FF000000"/>
        <rFont val="JRFonts"/>
        <charset val="134"/>
      </rPr>
      <t>24-08-2026 10:14</t>
    </r>
  </si>
  <si>
    <r>
      <rPr>
        <sz val="10"/>
        <color rgb="FF000000"/>
        <rFont val="JRFonts"/>
        <charset val="134"/>
      </rPr>
      <t>24-08-2026 10:45</t>
    </r>
  </si>
  <si>
    <r>
      <rPr>
        <sz val="10"/>
        <color rgb="FF000000"/>
        <rFont val="JRFonts"/>
        <charset val="134"/>
      </rPr>
      <t>24-08-2026 10:44</t>
    </r>
  </si>
  <si>
    <r>
      <rPr>
        <sz val="10"/>
        <color rgb="FF0000FF"/>
        <rFont val="JRFonts"/>
        <charset val="134"/>
      </rPr>
      <t>23483</t>
    </r>
  </si>
  <si>
    <r>
      <rPr>
        <sz val="10"/>
        <color rgb="FF000000"/>
        <rFont val="JRFonts"/>
        <charset val="134"/>
      </rPr>
      <t>24-08-2026 10:20</t>
    </r>
  </si>
  <si>
    <r>
      <rPr>
        <sz val="10"/>
        <color rgb="FF000000"/>
        <rFont val="JRFonts"/>
        <charset val="134"/>
      </rPr>
      <t>25-08-2026 11:25</t>
    </r>
  </si>
  <si>
    <r>
      <rPr>
        <sz val="10"/>
        <color rgb="FF000000"/>
        <rFont val="JRFonts"/>
        <charset val="134"/>
      </rPr>
      <t>24-08-2026 10:48</t>
    </r>
  </si>
  <si>
    <r>
      <rPr>
        <sz val="10"/>
        <color rgb="FF0000FF"/>
        <rFont val="JRFonts"/>
        <charset val="134"/>
      </rPr>
      <t>23485</t>
    </r>
  </si>
  <si>
    <r>
      <rPr>
        <sz val="10"/>
        <color rgb="FF000000"/>
        <rFont val="JRFonts"/>
        <charset val="134"/>
      </rPr>
      <t>24-08-2026 10:24</t>
    </r>
  </si>
  <si>
    <r>
      <rPr>
        <sz val="10"/>
        <color rgb="FF000000"/>
        <rFont val="JRFonts"/>
        <charset val="134"/>
      </rPr>
      <t>24-08-2026 10:55</t>
    </r>
  </si>
  <si>
    <r>
      <rPr>
        <sz val="10"/>
        <color rgb="FF000000"/>
        <rFont val="JRFonts"/>
        <charset val="134"/>
      </rPr>
      <t>24-08-2026 10:50</t>
    </r>
  </si>
  <si>
    <r>
      <rPr>
        <sz val="10"/>
        <color rgb="FF0000FF"/>
        <rFont val="JRFonts"/>
        <charset val="134"/>
      </rPr>
      <t>23486</t>
    </r>
  </si>
  <si>
    <r>
      <rPr>
        <sz val="10"/>
        <color rgb="FF000000"/>
        <rFont val="JRFonts"/>
        <charset val="134"/>
      </rPr>
      <t>24-08-2026 10:27</t>
    </r>
  </si>
  <si>
    <r>
      <rPr>
        <sz val="10"/>
        <color rgb="FF000000"/>
        <rFont val="JRFonts"/>
        <charset val="134"/>
      </rPr>
      <t>17-09-2026 15:11</t>
    </r>
  </si>
  <si>
    <t>23486</t>
  </si>
  <si>
    <r>
      <rPr>
        <sz val="10"/>
        <color rgb="FF0000FF"/>
        <rFont val="JRFonts"/>
        <charset val="134"/>
      </rPr>
      <t>23489</t>
    </r>
  </si>
  <si>
    <r>
      <rPr>
        <sz val="10"/>
        <color rgb="FF000000"/>
        <rFont val="JRFonts"/>
        <charset val="134"/>
      </rPr>
      <t>24-08-2026 10:36</t>
    </r>
  </si>
  <si>
    <r>
      <rPr>
        <sz val="10"/>
        <color rgb="FF000000"/>
        <rFont val="JRFonts"/>
        <charset val="134"/>
      </rPr>
      <t>24-08-2026 16:06</t>
    </r>
  </si>
  <si>
    <r>
      <rPr>
        <sz val="10"/>
        <color rgb="FF000000"/>
        <rFont val="JRFonts"/>
        <charset val="134"/>
      </rPr>
      <t>24-08-2026 11:02</t>
    </r>
  </si>
  <si>
    <r>
      <rPr>
        <sz val="10"/>
        <color rgb="FF0000FF"/>
        <rFont val="JRFonts"/>
        <charset val="134"/>
      </rPr>
      <t>23492</t>
    </r>
  </si>
  <si>
    <r>
      <rPr>
        <sz val="10"/>
        <color rgb="FF000000"/>
        <rFont val="JRFonts"/>
        <charset val="134"/>
      </rPr>
      <t>24-08-2026 10:39</t>
    </r>
  </si>
  <si>
    <r>
      <rPr>
        <sz val="10"/>
        <color rgb="FF000000"/>
        <rFont val="JRFonts"/>
        <charset val="134"/>
      </rPr>
      <t>26-08-2026 10:01</t>
    </r>
  </si>
  <si>
    <r>
      <rPr>
        <sz val="10"/>
        <color rgb="FF000000"/>
        <rFont val="JRFonts"/>
        <charset val="134"/>
      </rPr>
      <t>24-08-2026 16:56</t>
    </r>
  </si>
  <si>
    <r>
      <rPr>
        <sz val="10"/>
        <color rgb="FF0000FF"/>
        <rFont val="JRFonts"/>
        <charset val="134"/>
      </rPr>
      <t>23493</t>
    </r>
  </si>
  <si>
    <r>
      <rPr>
        <sz val="10"/>
        <color rgb="FF000000"/>
        <rFont val="JRFonts"/>
        <charset val="134"/>
      </rPr>
      <t>24-08-2026 12:44</t>
    </r>
  </si>
  <si>
    <r>
      <rPr>
        <sz val="10"/>
        <color rgb="FF000000"/>
        <rFont val="JRFonts"/>
        <charset val="134"/>
      </rPr>
      <t>24-08-2026 10:51</t>
    </r>
  </si>
  <si>
    <r>
      <rPr>
        <sz val="10"/>
        <color rgb="FF0000FF"/>
        <rFont val="JRFonts"/>
        <charset val="134"/>
      </rPr>
      <t>23494</t>
    </r>
  </si>
  <si>
    <r>
      <rPr>
        <sz val="10"/>
        <color rgb="FF000000"/>
        <rFont val="JRFonts"/>
        <charset val="134"/>
      </rPr>
      <t>26-08-2026 10:23</t>
    </r>
  </si>
  <si>
    <r>
      <rPr>
        <sz val="10"/>
        <color rgb="FF000000"/>
        <rFont val="JRFonts"/>
        <charset val="134"/>
      </rPr>
      <t>24-08-2026 10:59</t>
    </r>
  </si>
  <si>
    <r>
      <rPr>
        <sz val="10"/>
        <color rgb="FF0000FF"/>
        <rFont val="JRFonts"/>
        <charset val="134"/>
      </rPr>
      <t>23496</t>
    </r>
  </si>
  <si>
    <r>
      <rPr>
        <sz val="10"/>
        <color rgb="FF000000"/>
        <rFont val="JRFonts"/>
        <charset val="134"/>
      </rPr>
      <t>25-08-2026 15:34</t>
    </r>
  </si>
  <si>
    <r>
      <rPr>
        <sz val="10"/>
        <color rgb="FF000000"/>
        <rFont val="JRFonts"/>
        <charset val="134"/>
      </rPr>
      <t>24-08-2026 11:04</t>
    </r>
  </si>
  <si>
    <r>
      <rPr>
        <sz val="10"/>
        <color rgb="FF0000FF"/>
        <rFont val="JRFonts"/>
        <charset val="134"/>
      </rPr>
      <t>23502</t>
    </r>
  </si>
  <si>
    <r>
      <rPr>
        <sz val="10"/>
        <color rgb="FF000000"/>
        <rFont val="JRFonts"/>
        <charset val="134"/>
      </rPr>
      <t>03-09-2026 10:37</t>
    </r>
  </si>
  <si>
    <r>
      <rPr>
        <sz val="10"/>
        <color rgb="FF000000"/>
        <rFont val="JRFonts"/>
        <charset val="134"/>
      </rPr>
      <t>24-08-2026 11:55</t>
    </r>
  </si>
  <si>
    <t>23502</t>
  </si>
  <si>
    <r>
      <rPr>
        <sz val="10"/>
        <color rgb="FF0000FF"/>
        <rFont val="JRFonts"/>
        <charset val="134"/>
      </rPr>
      <t>23505</t>
    </r>
  </si>
  <si>
    <r>
      <rPr>
        <sz val="10"/>
        <color rgb="FF000000"/>
        <rFont val="JRFonts"/>
        <charset val="134"/>
      </rPr>
      <t>31-08-2026 15:10</t>
    </r>
  </si>
  <si>
    <r>
      <rPr>
        <sz val="10"/>
        <color rgb="FF000000"/>
        <rFont val="JRFonts"/>
        <charset val="134"/>
      </rPr>
      <t>24-08-2026 11:59</t>
    </r>
  </si>
  <si>
    <r>
      <rPr>
        <sz val="10"/>
        <color rgb="FF0000FF"/>
        <rFont val="JRFonts"/>
        <charset val="134"/>
      </rPr>
      <t>23506</t>
    </r>
  </si>
  <si>
    <r>
      <rPr>
        <sz val="10"/>
        <color rgb="FF000000"/>
        <rFont val="JRFonts"/>
        <charset val="134"/>
      </rPr>
      <t>24-08-2026 12:07</t>
    </r>
  </si>
  <si>
    <r>
      <rPr>
        <sz val="10"/>
        <color rgb="FF000000"/>
        <rFont val="JRFonts"/>
        <charset val="134"/>
      </rPr>
      <t>25-08-2026 16:51</t>
    </r>
  </si>
  <si>
    <r>
      <rPr>
        <sz val="10"/>
        <color rgb="FF000000"/>
        <rFont val="JRFonts"/>
        <charset val="134"/>
      </rPr>
      <t>25-08-2026 16:49</t>
    </r>
  </si>
  <si>
    <r>
      <rPr>
        <sz val="10"/>
        <color rgb="FF0000FF"/>
        <rFont val="JRFonts"/>
        <charset val="134"/>
      </rPr>
      <t>23507</t>
    </r>
  </si>
  <si>
    <r>
      <rPr>
        <sz val="10"/>
        <color rgb="FF000000"/>
        <rFont val="JRFonts"/>
        <charset val="134"/>
      </rPr>
      <t>24-08-2026 12:10</t>
    </r>
  </si>
  <si>
    <r>
      <rPr>
        <sz val="10"/>
        <color rgb="FF000000"/>
        <rFont val="JRFonts"/>
        <charset val="134"/>
      </rPr>
      <t>31-08-2026 11:18</t>
    </r>
  </si>
  <si>
    <r>
      <rPr>
        <sz val="10"/>
        <color rgb="FF000000"/>
        <rFont val="JRFonts"/>
        <charset val="134"/>
      </rPr>
      <t>24-08-2026 14:02</t>
    </r>
  </si>
  <si>
    <r>
      <rPr>
        <sz val="10"/>
        <color rgb="FF0000FF"/>
        <rFont val="JRFonts"/>
        <charset val="134"/>
      </rPr>
      <t>23511</t>
    </r>
  </si>
  <si>
    <r>
      <rPr>
        <sz val="10"/>
        <color rgb="FF000000"/>
        <rFont val="JRFonts"/>
        <charset val="134"/>
      </rPr>
      <t>24-08-2026 13:20</t>
    </r>
  </si>
  <si>
    <r>
      <rPr>
        <sz val="10"/>
        <color rgb="FF000000"/>
        <rFont val="JRFonts"/>
        <charset val="134"/>
      </rPr>
      <t>03-09-2026 10:38</t>
    </r>
  </si>
  <si>
    <r>
      <rPr>
        <sz val="10"/>
        <color rgb="FF000000"/>
        <rFont val="JRFonts"/>
        <charset val="134"/>
      </rPr>
      <t>02-09-2026 18:18</t>
    </r>
  </si>
  <si>
    <r>
      <rPr>
        <sz val="10"/>
        <color rgb="FF0000FF"/>
        <rFont val="JRFonts"/>
        <charset val="134"/>
      </rPr>
      <t>23512</t>
    </r>
  </si>
  <si>
    <r>
      <rPr>
        <sz val="10"/>
        <color rgb="FF000000"/>
        <rFont val="JRFonts"/>
        <charset val="134"/>
      </rPr>
      <t>25-08-2026 11:27</t>
    </r>
  </si>
  <si>
    <r>
      <rPr>
        <sz val="10"/>
        <color rgb="FF000000"/>
        <rFont val="JRFonts"/>
        <charset val="134"/>
      </rPr>
      <t>24-08-2026 14:06</t>
    </r>
  </si>
  <si>
    <r>
      <rPr>
        <sz val="10"/>
        <color rgb="FF0000FF"/>
        <rFont val="JRFonts"/>
        <charset val="134"/>
      </rPr>
      <t>23513</t>
    </r>
  </si>
  <si>
    <r>
      <rPr>
        <sz val="10"/>
        <color rgb="FF000000"/>
        <rFont val="JRFonts"/>
        <charset val="134"/>
      </rPr>
      <t>24-08-2026 13:42</t>
    </r>
  </si>
  <si>
    <r>
      <rPr>
        <sz val="10"/>
        <color rgb="FF000000"/>
        <rFont val="JRFonts"/>
        <charset val="134"/>
      </rPr>
      <t>24-08-2026 17:37</t>
    </r>
  </si>
  <si>
    <r>
      <rPr>
        <sz val="10"/>
        <color rgb="FF000000"/>
        <rFont val="JRFonts"/>
        <charset val="134"/>
      </rPr>
      <t>24-08-2026 16:58</t>
    </r>
  </si>
  <si>
    <r>
      <rPr>
        <sz val="10"/>
        <color rgb="FF0000FF"/>
        <rFont val="JRFonts"/>
        <charset val="134"/>
      </rPr>
      <t>23515</t>
    </r>
  </si>
  <si>
    <r>
      <rPr>
        <sz val="10"/>
        <color rgb="FF000000"/>
        <rFont val="JRFonts"/>
        <charset val="134"/>
      </rPr>
      <t>24-08-2026 14:03</t>
    </r>
  </si>
  <si>
    <r>
      <rPr>
        <sz val="10"/>
        <color rgb="FF000000"/>
        <rFont val="JRFonts"/>
        <charset val="134"/>
      </rPr>
      <t>24-08-2026 15:41</t>
    </r>
  </si>
  <si>
    <r>
      <rPr>
        <sz val="10"/>
        <color rgb="FF000000"/>
        <rFont val="JRFonts"/>
        <charset val="134"/>
      </rPr>
      <t>24-08-2026 15:11</t>
    </r>
  </si>
  <si>
    <r>
      <rPr>
        <sz val="10"/>
        <color rgb="FF0000FF"/>
        <rFont val="JRFonts"/>
        <charset val="134"/>
      </rPr>
      <t>23516</t>
    </r>
  </si>
  <si>
    <r>
      <rPr>
        <sz val="10"/>
        <color rgb="FF000000"/>
        <rFont val="JRFonts"/>
        <charset val="134"/>
      </rPr>
      <t>24-08-2026 14:09</t>
    </r>
  </si>
  <si>
    <r>
      <rPr>
        <sz val="10"/>
        <color rgb="FF000000"/>
        <rFont val="JRFonts"/>
        <charset val="134"/>
      </rPr>
      <t>24-08-2026 16:13</t>
    </r>
  </si>
  <si>
    <r>
      <rPr>
        <sz val="10"/>
        <color rgb="FF000000"/>
        <rFont val="JRFonts"/>
        <charset val="134"/>
      </rPr>
      <t>24-08-2026 15:12</t>
    </r>
  </si>
  <si>
    <r>
      <rPr>
        <sz val="10"/>
        <color rgb="FF0000FF"/>
        <rFont val="JRFonts"/>
        <charset val="134"/>
      </rPr>
      <t>23517</t>
    </r>
  </si>
  <si>
    <r>
      <rPr>
        <sz val="10"/>
        <color rgb="FF000000"/>
        <rFont val="JRFonts"/>
        <charset val="134"/>
      </rPr>
      <t>24-08-2026 14:27</t>
    </r>
  </si>
  <si>
    <r>
      <rPr>
        <sz val="10"/>
        <color rgb="FF000000"/>
        <rFont val="JRFonts"/>
        <charset val="134"/>
      </rPr>
      <t>24-08-2026 15:15</t>
    </r>
  </si>
  <si>
    <r>
      <rPr>
        <sz val="10"/>
        <color rgb="FF0000FF"/>
        <rFont val="JRFonts"/>
        <charset val="134"/>
      </rPr>
      <t>23519</t>
    </r>
  </si>
  <si>
    <r>
      <rPr>
        <sz val="10"/>
        <color rgb="FF000000"/>
        <rFont val="JRFonts"/>
        <charset val="134"/>
      </rPr>
      <t>24-08-2026 14:36</t>
    </r>
  </si>
  <si>
    <r>
      <rPr>
        <sz val="10"/>
        <color rgb="FF000000"/>
        <rFont val="JRFonts"/>
        <charset val="134"/>
      </rPr>
      <t>24-08-2026 16:15</t>
    </r>
  </si>
  <si>
    <r>
      <rPr>
        <sz val="10"/>
        <color rgb="FF000000"/>
        <rFont val="JRFonts"/>
        <charset val="134"/>
      </rPr>
      <t>24-08-2026 15:16</t>
    </r>
  </si>
  <si>
    <r>
      <rPr>
        <sz val="10"/>
        <color rgb="FF0000FF"/>
        <rFont val="JRFonts"/>
        <charset val="134"/>
      </rPr>
      <t>23521</t>
    </r>
  </si>
  <si>
    <r>
      <rPr>
        <sz val="10"/>
        <color rgb="FF000000"/>
        <rFont val="JRFonts"/>
        <charset val="134"/>
      </rPr>
      <t>24-08-2026 14:42</t>
    </r>
  </si>
  <si>
    <r>
      <rPr>
        <sz val="10"/>
        <color rgb="FF000000"/>
        <rFont val="JRFonts"/>
        <charset val="134"/>
      </rPr>
      <t>25-08-2026 12:33</t>
    </r>
  </si>
  <si>
    <r>
      <rPr>
        <sz val="10"/>
        <color rgb="FF000000"/>
        <rFont val="JRFonts"/>
        <charset val="134"/>
      </rPr>
      <t>24-08-2026 15:13</t>
    </r>
  </si>
  <si>
    <r>
      <rPr>
        <sz val="10"/>
        <color rgb="FF0000FF"/>
        <rFont val="JRFonts"/>
        <charset val="134"/>
      </rPr>
      <t>23523</t>
    </r>
  </si>
  <si>
    <r>
      <rPr>
        <sz val="10"/>
        <color rgb="FF000000"/>
        <rFont val="JRFonts"/>
        <charset val="134"/>
      </rPr>
      <t>31-08-2026 15:15</t>
    </r>
  </si>
  <si>
    <r>
      <rPr>
        <sz val="10"/>
        <color rgb="FF000000"/>
        <rFont val="JRFonts"/>
        <charset val="134"/>
      </rPr>
      <t>24-08-2026 14:57</t>
    </r>
  </si>
  <si>
    <t>23523</t>
  </si>
  <si>
    <r>
      <rPr>
        <sz val="10"/>
        <color rgb="FF0000FF"/>
        <rFont val="JRFonts"/>
        <charset val="134"/>
      </rPr>
      <t>23524</t>
    </r>
  </si>
  <si>
    <r>
      <rPr>
        <sz val="10"/>
        <color rgb="FF000000"/>
        <rFont val="JRFonts"/>
        <charset val="134"/>
      </rPr>
      <t>24-08-2026 14:51</t>
    </r>
  </si>
  <si>
    <r>
      <rPr>
        <sz val="10"/>
        <color rgb="FF000000"/>
        <rFont val="JRFonts"/>
        <charset val="134"/>
      </rPr>
      <t>24-08-2026 18:04</t>
    </r>
  </si>
  <si>
    <r>
      <rPr>
        <sz val="10"/>
        <color rgb="FF000000"/>
        <rFont val="JRFonts"/>
        <charset val="134"/>
      </rPr>
      <t>24-08-2026 14:59</t>
    </r>
  </si>
  <si>
    <r>
      <rPr>
        <sz val="10"/>
        <color rgb="FF0000FF"/>
        <rFont val="JRFonts"/>
        <charset val="134"/>
      </rPr>
      <t>23525</t>
    </r>
  </si>
  <si>
    <r>
      <rPr>
        <sz val="10"/>
        <color rgb="FF000000"/>
        <rFont val="JRFonts"/>
        <charset val="134"/>
      </rPr>
      <t>24-08-2026 15:01</t>
    </r>
  </si>
  <si>
    <r>
      <rPr>
        <sz val="10"/>
        <color rgb="FF000000"/>
        <rFont val="JRFonts"/>
        <charset val="134"/>
      </rPr>
      <t>24-08-2026 15:45</t>
    </r>
  </si>
  <si>
    <r>
      <rPr>
        <sz val="10"/>
        <color rgb="FF000000"/>
        <rFont val="JRFonts"/>
        <charset val="134"/>
      </rPr>
      <t>24-08-2026 15:17</t>
    </r>
  </si>
  <si>
    <r>
      <rPr>
        <sz val="10"/>
        <color rgb="FF0000FF"/>
        <rFont val="JRFonts"/>
        <charset val="134"/>
      </rPr>
      <t>23527</t>
    </r>
  </si>
  <si>
    <r>
      <rPr>
        <sz val="10"/>
        <color rgb="FF000000"/>
        <rFont val="JRFonts"/>
        <charset val="134"/>
      </rPr>
      <t>24-08-2026 15:10</t>
    </r>
  </si>
  <si>
    <r>
      <rPr>
        <sz val="10"/>
        <color rgb="FF000000"/>
        <rFont val="JRFonts"/>
        <charset val="134"/>
      </rPr>
      <t>26-08-2026 14:39</t>
    </r>
  </si>
  <si>
    <r>
      <rPr>
        <sz val="10"/>
        <color rgb="FF000000"/>
        <rFont val="JRFonts"/>
        <charset val="134"/>
      </rPr>
      <t>24-08-2026 15:18</t>
    </r>
  </si>
  <si>
    <r>
      <rPr>
        <sz val="10"/>
        <color rgb="FF0000FF"/>
        <rFont val="JRFonts"/>
        <charset val="134"/>
      </rPr>
      <t>23531</t>
    </r>
  </si>
  <si>
    <r>
      <rPr>
        <sz val="10"/>
        <color rgb="FF000000"/>
        <rFont val="JRFonts"/>
        <charset val="134"/>
      </rPr>
      <t>24-08-2026 15:43</t>
    </r>
  </si>
  <si>
    <r>
      <rPr>
        <sz val="10"/>
        <color rgb="FF000000"/>
        <rFont val="JRFonts"/>
        <charset val="134"/>
      </rPr>
      <t>01-09-2026 12:00</t>
    </r>
  </si>
  <si>
    <r>
      <rPr>
        <sz val="10"/>
        <color rgb="FF000000"/>
        <rFont val="JRFonts"/>
        <charset val="134"/>
      </rPr>
      <t>24-08-2026 16:33</t>
    </r>
  </si>
  <si>
    <t>23531</t>
  </si>
  <si>
    <r>
      <rPr>
        <sz val="10"/>
        <color rgb="FF0000FF"/>
        <rFont val="JRFonts"/>
        <charset val="134"/>
      </rPr>
      <t>23532</t>
    </r>
  </si>
  <si>
    <r>
      <rPr>
        <sz val="10"/>
        <color rgb="FF000000"/>
        <rFont val="JRFonts"/>
        <charset val="134"/>
      </rPr>
      <t>24-08-2026 16:07</t>
    </r>
  </si>
  <si>
    <r>
      <rPr>
        <sz val="10"/>
        <color rgb="FF000000"/>
        <rFont val="JRFonts"/>
        <charset val="134"/>
      </rPr>
      <t>25-08-2026 11:46</t>
    </r>
  </si>
  <si>
    <r>
      <rPr>
        <sz val="10"/>
        <color rgb="FF000000"/>
        <rFont val="JRFonts"/>
        <charset val="134"/>
      </rPr>
      <t>24-08-2026 16:10</t>
    </r>
  </si>
  <si>
    <r>
      <rPr>
        <sz val="10"/>
        <color rgb="FF0000FF"/>
        <rFont val="JRFonts"/>
        <charset val="134"/>
      </rPr>
      <t>23535</t>
    </r>
  </si>
  <si>
    <r>
      <rPr>
        <sz val="10"/>
        <color rgb="FF000000"/>
        <rFont val="JRFonts"/>
        <charset val="134"/>
      </rPr>
      <t>24-08-2026 16:29</t>
    </r>
  </si>
  <si>
    <r>
      <rPr>
        <sz val="10"/>
        <color rgb="FF000000"/>
        <rFont val="JRFonts"/>
        <charset val="134"/>
      </rPr>
      <t>30-08-2026 18:56</t>
    </r>
  </si>
  <si>
    <r>
      <rPr>
        <sz val="10"/>
        <color rgb="FF000000"/>
        <rFont val="JRFonts"/>
        <charset val="134"/>
      </rPr>
      <t>24-08-2026 16:32</t>
    </r>
  </si>
  <si>
    <r>
      <rPr>
        <sz val="10"/>
        <color rgb="FF0000FF"/>
        <rFont val="JRFonts"/>
        <charset val="134"/>
      </rPr>
      <t>23536</t>
    </r>
  </si>
  <si>
    <r>
      <rPr>
        <sz val="10"/>
        <color rgb="FF000000"/>
        <rFont val="JRFonts"/>
        <charset val="134"/>
      </rPr>
      <t>25-08-2026 14:35</t>
    </r>
  </si>
  <si>
    <r>
      <rPr>
        <sz val="10"/>
        <color rgb="FF000000"/>
        <rFont val="JRFonts"/>
        <charset val="134"/>
      </rPr>
      <t>24-08-2026 16:40</t>
    </r>
  </si>
  <si>
    <r>
      <rPr>
        <sz val="10"/>
        <color rgb="FF0000FF"/>
        <rFont val="JRFonts"/>
        <charset val="134"/>
      </rPr>
      <t>23539</t>
    </r>
  </si>
  <si>
    <r>
      <rPr>
        <sz val="10"/>
        <color rgb="FF000000"/>
        <rFont val="JRFonts"/>
        <charset val="134"/>
      </rPr>
      <t>24-08-2026 16:44</t>
    </r>
  </si>
  <si>
    <r>
      <rPr>
        <sz val="10"/>
        <color rgb="FF000000"/>
        <rFont val="JRFonts"/>
        <charset val="134"/>
      </rPr>
      <t>26-08-2026 10:35</t>
    </r>
  </si>
  <si>
    <r>
      <rPr>
        <sz val="10"/>
        <color rgb="FF000000"/>
        <rFont val="JRFonts"/>
        <charset val="134"/>
      </rPr>
      <t>25-08-2026 13:00</t>
    </r>
  </si>
  <si>
    <r>
      <rPr>
        <sz val="10"/>
        <color rgb="FF0000FF"/>
        <rFont val="JRFonts"/>
        <charset val="134"/>
      </rPr>
      <t>23540</t>
    </r>
  </si>
  <si>
    <r>
      <rPr>
        <sz val="10"/>
        <color rgb="FF000000"/>
        <rFont val="JRFonts"/>
        <charset val="134"/>
      </rPr>
      <t>24-08-2026 16:50</t>
    </r>
  </si>
  <si>
    <r>
      <rPr>
        <sz val="10"/>
        <color rgb="FF000000"/>
        <rFont val="JRFonts"/>
        <charset val="134"/>
      </rPr>
      <t>09-09-2026 16:50</t>
    </r>
  </si>
  <si>
    <r>
      <rPr>
        <sz val="10"/>
        <color rgb="FF000000"/>
        <rFont val="JRFonts"/>
        <charset val="134"/>
      </rPr>
      <t>24-08-2026 16:55</t>
    </r>
  </si>
  <si>
    <t>23540</t>
  </si>
  <si>
    <r>
      <rPr>
        <sz val="10"/>
        <color rgb="FF0000FF"/>
        <rFont val="JRFonts"/>
        <charset val="134"/>
      </rPr>
      <t>23541</t>
    </r>
  </si>
  <si>
    <r>
      <rPr>
        <sz val="10"/>
        <color rgb="FF000000"/>
        <rFont val="JRFonts"/>
        <charset val="134"/>
      </rPr>
      <t>24-08-2026 16:53</t>
    </r>
  </si>
  <si>
    <r>
      <rPr>
        <sz val="10"/>
        <color rgb="FF000000"/>
        <rFont val="JRFonts"/>
        <charset val="134"/>
      </rPr>
      <t>03-09-2026 15:03</t>
    </r>
  </si>
  <si>
    <r>
      <rPr>
        <sz val="10"/>
        <color rgb="FF000000"/>
        <rFont val="JRFonts"/>
        <charset val="134"/>
      </rPr>
      <t>24-08-2026 16:59</t>
    </r>
  </si>
  <si>
    <t>23541</t>
  </si>
  <si>
    <r>
      <rPr>
        <sz val="10"/>
        <color rgb="FF0000FF"/>
        <rFont val="JRFonts"/>
        <charset val="134"/>
      </rPr>
      <t>23544</t>
    </r>
  </si>
  <si>
    <r>
      <rPr>
        <sz val="10"/>
        <color rgb="FF000000"/>
        <rFont val="JRFonts"/>
        <charset val="134"/>
      </rPr>
      <t>24-08-2026 17:30</t>
    </r>
  </si>
  <si>
    <r>
      <rPr>
        <sz val="10"/>
        <color rgb="FF000000"/>
        <rFont val="JRFonts"/>
        <charset val="134"/>
      </rPr>
      <t>31-08-2026 15:12</t>
    </r>
  </si>
  <si>
    <r>
      <rPr>
        <sz val="10"/>
        <color rgb="FF000000"/>
        <rFont val="JRFonts"/>
        <charset val="134"/>
      </rPr>
      <t>24-08-2026 17:47</t>
    </r>
  </si>
  <si>
    <t>23544</t>
  </si>
  <si>
    <r>
      <rPr>
        <sz val="10"/>
        <color rgb="FF0000FF"/>
        <rFont val="JRFonts"/>
        <charset val="134"/>
      </rPr>
      <t>23545</t>
    </r>
  </si>
  <si>
    <r>
      <rPr>
        <sz val="10"/>
        <color rgb="FF000000"/>
        <rFont val="JRFonts"/>
        <charset val="134"/>
      </rPr>
      <t>25-08-2026 11:35</t>
    </r>
  </si>
  <si>
    <r>
      <rPr>
        <sz val="10"/>
        <color rgb="FF000000"/>
        <rFont val="JRFonts"/>
        <charset val="134"/>
      </rPr>
      <t>24-08-2026 17:48</t>
    </r>
  </si>
  <si>
    <r>
      <rPr>
        <sz val="10"/>
        <color rgb="FF0000FF"/>
        <rFont val="JRFonts"/>
        <charset val="134"/>
      </rPr>
      <t>23546</t>
    </r>
  </si>
  <si>
    <r>
      <rPr>
        <sz val="10"/>
        <color rgb="FF000000"/>
        <rFont val="JRFonts"/>
        <charset val="134"/>
      </rPr>
      <t>25-08-2026 11:47</t>
    </r>
  </si>
  <si>
    <r>
      <rPr>
        <sz val="10"/>
        <color rgb="FF0000FF"/>
        <rFont val="JRFonts"/>
        <charset val="134"/>
      </rPr>
      <t>23547</t>
    </r>
  </si>
  <si>
    <r>
      <rPr>
        <sz val="10"/>
        <color rgb="FF000000"/>
        <rFont val="JRFonts"/>
        <charset val="134"/>
      </rPr>
      <t>24-08-2026 17:33</t>
    </r>
  </si>
  <si>
    <r>
      <rPr>
        <sz val="10"/>
        <color rgb="FF000000"/>
        <rFont val="JRFonts"/>
        <charset val="134"/>
      </rPr>
      <t>27-08-2026 14:06</t>
    </r>
  </si>
  <si>
    <r>
      <rPr>
        <sz val="10"/>
        <color rgb="FF0000FF"/>
        <rFont val="JRFonts"/>
        <charset val="134"/>
      </rPr>
      <t>23548</t>
    </r>
  </si>
  <si>
    <r>
      <rPr>
        <sz val="10"/>
        <color rgb="FF000000"/>
        <rFont val="JRFonts"/>
        <charset val="134"/>
      </rPr>
      <t>24-08-2026 17:36</t>
    </r>
  </si>
  <si>
    <r>
      <rPr>
        <sz val="10"/>
        <color rgb="FF000000"/>
        <rFont val="JRFonts"/>
        <charset val="134"/>
      </rPr>
      <t>26-08-2026 13:45</t>
    </r>
  </si>
  <si>
    <r>
      <rPr>
        <sz val="10"/>
        <color rgb="FF000000"/>
        <rFont val="JRFonts"/>
        <charset val="134"/>
      </rPr>
      <t>24-08-2026 17:45</t>
    </r>
  </si>
  <si>
    <r>
      <rPr>
        <sz val="10"/>
        <color rgb="FF0000FF"/>
        <rFont val="JRFonts"/>
        <charset val="134"/>
      </rPr>
      <t>23549</t>
    </r>
  </si>
  <si>
    <r>
      <rPr>
        <sz val="10"/>
        <color rgb="FF000000"/>
        <rFont val="JRFonts"/>
        <charset val="134"/>
      </rPr>
      <t>24-08-2026 17:49</t>
    </r>
  </si>
  <si>
    <t>23549</t>
  </si>
  <si>
    <r>
      <rPr>
        <sz val="10"/>
        <color rgb="FF0000FF"/>
        <rFont val="JRFonts"/>
        <charset val="134"/>
      </rPr>
      <t>23550</t>
    </r>
  </si>
  <si>
    <r>
      <rPr>
        <sz val="10"/>
        <color rgb="FF000000"/>
        <rFont val="JRFonts"/>
        <charset val="134"/>
      </rPr>
      <t>25-08-2026 11:08</t>
    </r>
  </si>
  <si>
    <r>
      <rPr>
        <sz val="10"/>
        <color rgb="FF0000FF"/>
        <rFont val="JRFonts"/>
        <charset val="134"/>
      </rPr>
      <t>23551</t>
    </r>
  </si>
  <si>
    <r>
      <rPr>
        <sz val="10"/>
        <color rgb="FF000000"/>
        <rFont val="JRFonts"/>
        <charset val="134"/>
      </rPr>
      <t>25-08-2026 11:45</t>
    </r>
  </si>
  <si>
    <r>
      <rPr>
        <sz val="10"/>
        <color rgb="FF000000"/>
        <rFont val="JRFonts"/>
        <charset val="134"/>
      </rPr>
      <t>25-08-2026 11:07</t>
    </r>
  </si>
  <si>
    <r>
      <rPr>
        <sz val="10"/>
        <color rgb="FF0000FF"/>
        <rFont val="JRFonts"/>
        <charset val="134"/>
      </rPr>
      <t>23552</t>
    </r>
  </si>
  <si>
    <r>
      <rPr>
        <sz val="10"/>
        <color rgb="FF000000"/>
        <rFont val="JRFonts"/>
        <charset val="134"/>
      </rPr>
      <t>31-08-2026 15:23</t>
    </r>
  </si>
  <si>
    <r>
      <rPr>
        <sz val="10"/>
        <color rgb="FF0000FF"/>
        <rFont val="JRFonts"/>
        <charset val="134"/>
      </rPr>
      <t>23553</t>
    </r>
  </si>
  <si>
    <r>
      <rPr>
        <sz val="10"/>
        <color rgb="FF000000"/>
        <rFont val="JRFonts"/>
        <charset val="134"/>
      </rPr>
      <t>24-08-2026 17:57</t>
    </r>
  </si>
  <si>
    <r>
      <rPr>
        <sz val="10"/>
        <color rgb="FF000000"/>
        <rFont val="JRFonts"/>
        <charset val="134"/>
      </rPr>
      <t>25-08-2026 16:21</t>
    </r>
  </si>
  <si>
    <r>
      <rPr>
        <sz val="10"/>
        <color rgb="FF000000"/>
        <rFont val="JRFonts"/>
        <charset val="134"/>
      </rPr>
      <t>24-08-2026 18:06</t>
    </r>
  </si>
  <si>
    <r>
      <rPr>
        <sz val="10"/>
        <color rgb="FF0000FF"/>
        <rFont val="JRFonts"/>
        <charset val="134"/>
      </rPr>
      <t>23554</t>
    </r>
  </si>
  <si>
    <r>
      <rPr>
        <sz val="10"/>
        <color rgb="FF000000"/>
        <rFont val="JRFonts"/>
        <charset val="134"/>
      </rPr>
      <t>31-08-2026 12:39</t>
    </r>
  </si>
  <si>
    <r>
      <rPr>
        <sz val="10"/>
        <color rgb="FF000000"/>
        <rFont val="JRFonts"/>
        <charset val="134"/>
      </rPr>
      <t>24-08-2026 18:14</t>
    </r>
  </si>
  <si>
    <r>
      <rPr>
        <sz val="10"/>
        <color rgb="FF0000FF"/>
        <rFont val="JRFonts"/>
        <charset val="134"/>
      </rPr>
      <t>23556</t>
    </r>
  </si>
  <si>
    <r>
      <rPr>
        <sz val="10"/>
        <color rgb="FF000000"/>
        <rFont val="JRFonts"/>
        <charset val="134"/>
      </rPr>
      <t>24-08-2026 18:18</t>
    </r>
  </si>
  <si>
    <r>
      <rPr>
        <sz val="10"/>
        <color rgb="FF000000"/>
        <rFont val="JRFonts"/>
        <charset val="134"/>
      </rPr>
      <t>02-09-2026 17:16</t>
    </r>
  </si>
  <si>
    <r>
      <rPr>
        <sz val="10"/>
        <color rgb="FF000000"/>
        <rFont val="JRFonts"/>
        <charset val="134"/>
      </rPr>
      <t>24-08-2026 18:27</t>
    </r>
  </si>
  <si>
    <t>23556</t>
  </si>
  <si>
    <r>
      <rPr>
        <sz val="10"/>
        <color rgb="FF0000FF"/>
        <rFont val="JRFonts"/>
        <charset val="134"/>
      </rPr>
      <t>23559</t>
    </r>
  </si>
  <si>
    <r>
      <rPr>
        <sz val="10"/>
        <color rgb="FF000000"/>
        <rFont val="JRFonts"/>
        <charset val="134"/>
      </rPr>
      <t>25-08-2026 10:35</t>
    </r>
  </si>
  <si>
    <r>
      <rPr>
        <sz val="10"/>
        <color rgb="FF000000"/>
        <rFont val="JRFonts"/>
        <charset val="134"/>
      </rPr>
      <t>25-08-2026 11:15</t>
    </r>
  </si>
  <si>
    <r>
      <rPr>
        <sz val="10"/>
        <color rgb="FF000000"/>
        <rFont val="JRFonts"/>
        <charset val="134"/>
      </rPr>
      <t>25-08-2026 10:46</t>
    </r>
  </si>
  <si>
    <r>
      <rPr>
        <sz val="10"/>
        <color rgb="FF0000FF"/>
        <rFont val="JRFonts"/>
        <charset val="134"/>
      </rPr>
      <t>23561</t>
    </r>
  </si>
  <si>
    <r>
      <rPr>
        <sz val="10"/>
        <color rgb="FF000000"/>
        <rFont val="JRFonts"/>
        <charset val="134"/>
      </rPr>
      <t>25-08-2026 10:50</t>
    </r>
  </si>
  <si>
    <r>
      <rPr>
        <sz val="10"/>
        <color rgb="FF000000"/>
        <rFont val="JRFonts"/>
        <charset val="134"/>
      </rPr>
      <t>25-08-2026 17:13</t>
    </r>
  </si>
  <si>
    <r>
      <rPr>
        <sz val="10"/>
        <color rgb="FF000000"/>
        <rFont val="JRFonts"/>
        <charset val="134"/>
      </rPr>
      <t>25-08-2026 11:01</t>
    </r>
  </si>
  <si>
    <r>
      <rPr>
        <sz val="10"/>
        <color rgb="FF0000FF"/>
        <rFont val="JRFonts"/>
        <charset val="134"/>
      </rPr>
      <t>23563</t>
    </r>
  </si>
  <si>
    <r>
      <rPr>
        <sz val="10"/>
        <color rgb="FF000000"/>
        <rFont val="JRFonts"/>
        <charset val="134"/>
      </rPr>
      <t>25-08-2026 11:06</t>
    </r>
  </si>
  <si>
    <r>
      <rPr>
        <sz val="10"/>
        <color rgb="FF000000"/>
        <rFont val="JRFonts"/>
        <charset val="134"/>
      </rPr>
      <t>25-08-2026 11:26</t>
    </r>
  </si>
  <si>
    <r>
      <rPr>
        <sz val="10"/>
        <color rgb="FF000000"/>
        <rFont val="JRFonts"/>
        <charset val="134"/>
      </rPr>
      <t>25-08-2026 11:16</t>
    </r>
  </si>
  <si>
    <r>
      <rPr>
        <sz val="10"/>
        <color rgb="FF0000FF"/>
        <rFont val="JRFonts"/>
        <charset val="134"/>
      </rPr>
      <t>23564</t>
    </r>
  </si>
  <si>
    <r>
      <rPr>
        <sz val="10"/>
        <color rgb="FF000000"/>
        <rFont val="JRFonts"/>
        <charset val="134"/>
      </rPr>
      <t>25-08-2026 14:36</t>
    </r>
  </si>
  <si>
    <r>
      <rPr>
        <sz val="10"/>
        <color rgb="FF000000"/>
        <rFont val="JRFonts"/>
        <charset val="134"/>
      </rPr>
      <t>25-08-2026 11:10</t>
    </r>
  </si>
  <si>
    <r>
      <rPr>
        <sz val="10"/>
        <color rgb="FF0000FF"/>
        <rFont val="JRFonts"/>
        <charset val="134"/>
      </rPr>
      <t>23566</t>
    </r>
  </si>
  <si>
    <r>
      <rPr>
        <sz val="10"/>
        <color rgb="FF000000"/>
        <rFont val="JRFonts"/>
        <charset val="134"/>
      </rPr>
      <t>25-08-2026 11:18</t>
    </r>
  </si>
  <si>
    <r>
      <rPr>
        <sz val="10"/>
        <color rgb="FF000000"/>
        <rFont val="JRFonts"/>
        <charset val="134"/>
      </rPr>
      <t>26-08-2026 14:25</t>
    </r>
  </si>
  <si>
    <r>
      <rPr>
        <sz val="10"/>
        <color rgb="FF000000"/>
        <rFont val="JRFonts"/>
        <charset val="134"/>
      </rPr>
      <t>25-08-2026 11:22</t>
    </r>
  </si>
  <si>
    <r>
      <rPr>
        <sz val="10"/>
        <color rgb="FF0000FF"/>
        <rFont val="JRFonts"/>
        <charset val="134"/>
      </rPr>
      <t>23567</t>
    </r>
  </si>
  <si>
    <r>
      <rPr>
        <sz val="10"/>
        <color rgb="FF000000"/>
        <rFont val="JRFonts"/>
        <charset val="134"/>
      </rPr>
      <t>25-08-2026 11:33</t>
    </r>
  </si>
  <si>
    <r>
      <rPr>
        <sz val="10"/>
        <color rgb="FF000000"/>
        <rFont val="JRFonts"/>
        <charset val="134"/>
      </rPr>
      <t>25-08-2026 11:37</t>
    </r>
  </si>
  <si>
    <r>
      <rPr>
        <sz val="10"/>
        <color rgb="FF0000FF"/>
        <rFont val="JRFonts"/>
        <charset val="134"/>
      </rPr>
      <t>23569</t>
    </r>
  </si>
  <si>
    <r>
      <rPr>
        <sz val="10"/>
        <color rgb="FF000000"/>
        <rFont val="JRFonts"/>
        <charset val="134"/>
      </rPr>
      <t>25-08-2026 11:48</t>
    </r>
  </si>
  <si>
    <r>
      <rPr>
        <sz val="10"/>
        <color rgb="FF000000"/>
        <rFont val="JRFonts"/>
        <charset val="134"/>
      </rPr>
      <t>25-08-2026 11:53</t>
    </r>
  </si>
  <si>
    <t>23569</t>
  </si>
  <si>
    <r>
      <rPr>
        <sz val="10"/>
        <color rgb="FF0000FF"/>
        <rFont val="JRFonts"/>
        <charset val="134"/>
      </rPr>
      <t>23570</t>
    </r>
  </si>
  <si>
    <r>
      <rPr>
        <sz val="10"/>
        <color rgb="FF000000"/>
        <rFont val="JRFonts"/>
        <charset val="134"/>
      </rPr>
      <t>25-08-2026 12:09</t>
    </r>
  </si>
  <si>
    <r>
      <rPr>
        <sz val="10"/>
        <color rgb="FF000000"/>
        <rFont val="JRFonts"/>
        <charset val="134"/>
      </rPr>
      <t>25-08-2026 17:03</t>
    </r>
  </si>
  <si>
    <r>
      <rPr>
        <sz val="10"/>
        <color rgb="FF000000"/>
        <rFont val="JRFonts"/>
        <charset val="134"/>
      </rPr>
      <t>25-08-2026 12:20</t>
    </r>
  </si>
  <si>
    <r>
      <rPr>
        <sz val="10"/>
        <color rgb="FF0000FF"/>
        <rFont val="JRFonts"/>
        <charset val="134"/>
      </rPr>
      <t>23571</t>
    </r>
  </si>
  <si>
    <r>
      <rPr>
        <sz val="10"/>
        <color rgb="FF000000"/>
        <rFont val="JRFonts"/>
        <charset val="134"/>
      </rPr>
      <t>27-08-2026 21:35</t>
    </r>
  </si>
  <si>
    <r>
      <rPr>
        <sz val="10"/>
        <color rgb="FF000000"/>
        <rFont val="JRFonts"/>
        <charset val="134"/>
      </rPr>
      <t>25-08-2026 12:23</t>
    </r>
  </si>
  <si>
    <t>23571</t>
  </si>
  <si>
    <r>
      <rPr>
        <sz val="10"/>
        <color rgb="FF0000FF"/>
        <rFont val="JRFonts"/>
        <charset val="134"/>
      </rPr>
      <t>23573</t>
    </r>
  </si>
  <si>
    <r>
      <rPr>
        <sz val="10"/>
        <color rgb="FF000000"/>
        <rFont val="JRFonts"/>
        <charset val="134"/>
      </rPr>
      <t>25-08-2026 12:19</t>
    </r>
  </si>
  <si>
    <r>
      <rPr>
        <sz val="10"/>
        <color rgb="FF000000"/>
        <rFont val="JRFonts"/>
        <charset val="134"/>
      </rPr>
      <t>11-09-2026 15:42</t>
    </r>
  </si>
  <si>
    <t>23573</t>
  </si>
  <si>
    <r>
      <rPr>
        <sz val="10"/>
        <color rgb="FF0000FF"/>
        <rFont val="JRFonts"/>
        <charset val="134"/>
      </rPr>
      <t>23574</t>
    </r>
  </si>
  <si>
    <r>
      <rPr>
        <sz val="10"/>
        <color rgb="FF000000"/>
        <rFont val="JRFonts"/>
        <charset val="134"/>
      </rPr>
      <t>25-08-2026 12:22</t>
    </r>
  </si>
  <si>
    <r>
      <rPr>
        <sz val="10"/>
        <color rgb="FF000000"/>
        <rFont val="JRFonts"/>
        <charset val="134"/>
      </rPr>
      <t>25-08-2026 12:37</t>
    </r>
  </si>
  <si>
    <r>
      <rPr>
        <sz val="10"/>
        <color rgb="FF0000FF"/>
        <rFont val="JRFonts"/>
        <charset val="134"/>
      </rPr>
      <t>23576</t>
    </r>
  </si>
  <si>
    <r>
      <rPr>
        <sz val="10"/>
        <color rgb="FF000000"/>
        <rFont val="JRFonts"/>
        <charset val="134"/>
      </rPr>
      <t>25-08-2026 12:52</t>
    </r>
  </si>
  <si>
    <r>
      <rPr>
        <sz val="10"/>
        <color rgb="FF000000"/>
        <rFont val="JRFonts"/>
        <charset val="134"/>
      </rPr>
      <t>31-08-2026 15:32</t>
    </r>
  </si>
  <si>
    <r>
      <rPr>
        <sz val="10"/>
        <color rgb="FF000000"/>
        <rFont val="JRFonts"/>
        <charset val="134"/>
      </rPr>
      <t>25-08-2026 12:57</t>
    </r>
  </si>
  <si>
    <r>
      <rPr>
        <sz val="10"/>
        <color rgb="FF0000FF"/>
        <rFont val="JRFonts"/>
        <charset val="134"/>
      </rPr>
      <t>23577</t>
    </r>
  </si>
  <si>
    <r>
      <rPr>
        <sz val="10"/>
        <color rgb="FF000000"/>
        <rFont val="JRFonts"/>
        <charset val="134"/>
      </rPr>
      <t>26-08-2026 11:55</t>
    </r>
  </si>
  <si>
    <r>
      <rPr>
        <sz val="10"/>
        <color rgb="FF000000"/>
        <rFont val="JRFonts"/>
        <charset val="134"/>
      </rPr>
      <t>25-08-2026 15:59</t>
    </r>
  </si>
  <si>
    <r>
      <rPr>
        <sz val="10"/>
        <color rgb="FF0000FF"/>
        <rFont val="JRFonts"/>
        <charset val="134"/>
      </rPr>
      <t>23579</t>
    </r>
  </si>
  <si>
    <r>
      <rPr>
        <sz val="10"/>
        <color rgb="FF000000"/>
        <rFont val="JRFonts"/>
        <charset val="134"/>
      </rPr>
      <t>25-08-2026 13:04</t>
    </r>
  </si>
  <si>
    <r>
      <rPr>
        <sz val="10"/>
        <color rgb="FF000000"/>
        <rFont val="JRFonts"/>
        <charset val="134"/>
      </rPr>
      <t>07-09-2026 14:33</t>
    </r>
  </si>
  <si>
    <r>
      <rPr>
        <sz val="10"/>
        <color rgb="FF000000"/>
        <rFont val="JRFonts"/>
        <charset val="134"/>
      </rPr>
      <t>03-09-2026 15:11</t>
    </r>
  </si>
  <si>
    <t>23579</t>
  </si>
  <si>
    <t>Excluded holiday
03-Sep: 2h 49m
07-Sep: 4h 33m
7h 22m</t>
  </si>
  <si>
    <r>
      <rPr>
        <sz val="10"/>
        <color rgb="FF0000FF"/>
        <rFont val="JRFonts"/>
        <charset val="134"/>
      </rPr>
      <t>23581</t>
    </r>
  </si>
  <si>
    <r>
      <rPr>
        <sz val="10"/>
        <color rgb="FF000000"/>
        <rFont val="JRFonts"/>
        <charset val="134"/>
      </rPr>
      <t>25-08-2026 13:25</t>
    </r>
  </si>
  <si>
    <r>
      <rPr>
        <sz val="10"/>
        <color rgb="FF000000"/>
        <rFont val="JRFonts"/>
        <charset val="134"/>
      </rPr>
      <t>11-09-2026 10:26</t>
    </r>
  </si>
  <si>
    <r>
      <rPr>
        <sz val="10"/>
        <color rgb="FF000000"/>
        <rFont val="JRFonts"/>
        <charset val="134"/>
      </rPr>
      <t>25-08-2026 14:11</t>
    </r>
  </si>
  <si>
    <t>23581</t>
  </si>
  <si>
    <r>
      <rPr>
        <sz val="10"/>
        <color rgb="FF0000FF"/>
        <rFont val="JRFonts"/>
        <charset val="134"/>
      </rPr>
      <t>23583</t>
    </r>
  </si>
  <si>
    <r>
      <rPr>
        <sz val="10"/>
        <color rgb="FF000000"/>
        <rFont val="JRFonts"/>
        <charset val="134"/>
      </rPr>
      <t>25-08-2026 13:50</t>
    </r>
  </si>
  <si>
    <r>
      <rPr>
        <sz val="10"/>
        <color rgb="FF000000"/>
        <rFont val="JRFonts"/>
        <charset val="134"/>
      </rPr>
      <t>26-08-2026 14:12</t>
    </r>
  </si>
  <si>
    <r>
      <rPr>
        <sz val="10"/>
        <color rgb="FF000000"/>
        <rFont val="JRFonts"/>
        <charset val="134"/>
      </rPr>
      <t>25-08-2026 14:12</t>
    </r>
  </si>
  <si>
    <r>
      <rPr>
        <sz val="10"/>
        <color rgb="FF0000FF"/>
        <rFont val="JRFonts"/>
        <charset val="134"/>
      </rPr>
      <t>23585</t>
    </r>
  </si>
  <si>
    <r>
      <rPr>
        <sz val="10"/>
        <color rgb="FF000000"/>
        <rFont val="JRFonts"/>
        <charset val="134"/>
      </rPr>
      <t>25-08-2026 14:17</t>
    </r>
  </si>
  <si>
    <r>
      <rPr>
        <sz val="10"/>
        <color rgb="FF000000"/>
        <rFont val="JRFonts"/>
        <charset val="134"/>
      </rPr>
      <t>26-08-2026 14:26</t>
    </r>
  </si>
  <si>
    <r>
      <rPr>
        <sz val="10"/>
        <color rgb="FF000000"/>
        <rFont val="JRFonts"/>
        <charset val="134"/>
      </rPr>
      <t>25-08-2026 14:54</t>
    </r>
  </si>
  <si>
    <r>
      <rPr>
        <sz val="10"/>
        <color rgb="FF0000FF"/>
        <rFont val="JRFonts"/>
        <charset val="134"/>
      </rPr>
      <t>23587</t>
    </r>
  </si>
  <si>
    <r>
      <rPr>
        <sz val="10"/>
        <color rgb="FF000000"/>
        <rFont val="JRFonts"/>
        <charset val="134"/>
      </rPr>
      <t>25-08-2026 14:23</t>
    </r>
  </si>
  <si>
    <r>
      <rPr>
        <sz val="10"/>
        <color rgb="FF000000"/>
        <rFont val="JRFonts"/>
        <charset val="134"/>
      </rPr>
      <t>Not Assigned</t>
    </r>
  </si>
  <si>
    <r>
      <rPr>
        <sz val="10"/>
        <color rgb="FF000000"/>
        <rFont val="JRFonts"/>
        <charset val="134"/>
      </rPr>
      <t>Open</t>
    </r>
  </si>
  <si>
    <r>
      <rPr>
        <sz val="10"/>
        <color rgb="FF000000"/>
        <rFont val="JRFonts"/>
        <charset val="134"/>
      </rPr>
      <t>05-10-2026 16:37</t>
    </r>
  </si>
  <si>
    <r>
      <rPr>
        <sz val="10"/>
        <color rgb="FF0000FF"/>
        <rFont val="JRFonts"/>
        <charset val="134"/>
      </rPr>
      <t>23588</t>
    </r>
  </si>
  <si>
    <r>
      <rPr>
        <sz val="10"/>
        <color rgb="FF000000"/>
        <rFont val="JRFonts"/>
        <charset val="134"/>
      </rPr>
      <t>25-08-2026 14:42</t>
    </r>
  </si>
  <si>
    <r>
      <rPr>
        <sz val="10"/>
        <color rgb="FF000000"/>
        <rFont val="JRFonts"/>
        <charset val="134"/>
      </rPr>
      <t>25-08-2026 17:05</t>
    </r>
  </si>
  <si>
    <r>
      <rPr>
        <sz val="10"/>
        <color rgb="FF000000"/>
        <rFont val="JRFonts"/>
        <charset val="134"/>
      </rPr>
      <t>25-08-2026 14:47</t>
    </r>
  </si>
  <si>
    <r>
      <rPr>
        <sz val="10"/>
        <color rgb="FF0000FF"/>
        <rFont val="JRFonts"/>
        <charset val="134"/>
      </rPr>
      <t>23592</t>
    </r>
  </si>
  <si>
    <r>
      <rPr>
        <sz val="10"/>
        <color rgb="FF000000"/>
        <rFont val="JRFonts"/>
        <charset val="134"/>
      </rPr>
      <t>25-08-2026 15:06</t>
    </r>
  </si>
  <si>
    <r>
      <rPr>
        <sz val="10"/>
        <color rgb="FF000000"/>
        <rFont val="JRFonts"/>
        <charset val="134"/>
      </rPr>
      <t>26-08-2026 16:10</t>
    </r>
  </si>
  <si>
    <r>
      <rPr>
        <sz val="10"/>
        <color rgb="FF000000"/>
        <rFont val="JRFonts"/>
        <charset val="134"/>
      </rPr>
      <t>25-08-2026 15:09</t>
    </r>
  </si>
  <si>
    <r>
      <rPr>
        <sz val="10"/>
        <color rgb="FF0000FF"/>
        <rFont val="JRFonts"/>
        <charset val="134"/>
      </rPr>
      <t>23593</t>
    </r>
  </si>
  <si>
    <r>
      <rPr>
        <sz val="10"/>
        <color rgb="FF000000"/>
        <rFont val="JRFonts"/>
        <charset val="134"/>
      </rPr>
      <t>26-08-2026 16:12</t>
    </r>
  </si>
  <si>
    <r>
      <rPr>
        <sz val="10"/>
        <color rgb="FF000000"/>
        <rFont val="JRFonts"/>
        <charset val="134"/>
      </rPr>
      <t>25-08-2026 15:08</t>
    </r>
  </si>
  <si>
    <r>
      <rPr>
        <sz val="10"/>
        <color rgb="FF0000FF"/>
        <rFont val="JRFonts"/>
        <charset val="134"/>
      </rPr>
      <t>23594</t>
    </r>
  </si>
  <si>
    <r>
      <rPr>
        <sz val="10"/>
        <color rgb="FF000000"/>
        <rFont val="JRFonts"/>
        <charset val="134"/>
      </rPr>
      <t>25-08-2026 15:18</t>
    </r>
  </si>
  <si>
    <r>
      <rPr>
        <sz val="10"/>
        <color rgb="FF000000"/>
        <rFont val="JRFonts"/>
        <charset val="134"/>
      </rPr>
      <t>26-08-2026 09:58</t>
    </r>
  </si>
  <si>
    <r>
      <rPr>
        <sz val="10"/>
        <color rgb="FF000000"/>
        <rFont val="JRFonts"/>
        <charset val="134"/>
      </rPr>
      <t>25-08-2026 15:21</t>
    </r>
  </si>
  <si>
    <r>
      <rPr>
        <sz val="10"/>
        <color rgb="FF0000FF"/>
        <rFont val="JRFonts"/>
        <charset val="134"/>
      </rPr>
      <t>23595</t>
    </r>
  </si>
  <si>
    <r>
      <rPr>
        <sz val="10"/>
        <color rgb="FF000000"/>
        <rFont val="JRFonts"/>
        <charset val="134"/>
      </rPr>
      <t>02-09-2026 18:26</t>
    </r>
  </si>
  <si>
    <r>
      <rPr>
        <sz val="10"/>
        <color rgb="FF000000"/>
        <rFont val="JRFonts"/>
        <charset val="134"/>
      </rPr>
      <t>25-08-2026 15:30</t>
    </r>
  </si>
  <si>
    <t>23595</t>
  </si>
  <si>
    <r>
      <rPr>
        <sz val="10"/>
        <color rgb="FF0000FF"/>
        <rFont val="JRFonts"/>
        <charset val="134"/>
      </rPr>
      <t>23596</t>
    </r>
  </si>
  <si>
    <r>
      <rPr>
        <sz val="10"/>
        <color rgb="FF000000"/>
        <rFont val="JRFonts"/>
        <charset val="134"/>
      </rPr>
      <t>14-09-2026 15:05</t>
    </r>
  </si>
  <si>
    <r>
      <rPr>
        <sz val="10"/>
        <color rgb="FF000000"/>
        <rFont val="JRFonts"/>
        <charset val="134"/>
      </rPr>
      <t>25-08-2026 16:20</t>
    </r>
  </si>
  <si>
    <t>23596</t>
  </si>
  <si>
    <r>
      <rPr>
        <sz val="10"/>
        <color rgb="FF0000FF"/>
        <rFont val="JRFonts"/>
        <charset val="134"/>
      </rPr>
      <t>23597</t>
    </r>
  </si>
  <si>
    <r>
      <rPr>
        <sz val="10"/>
        <color rgb="FF000000"/>
        <rFont val="JRFonts"/>
        <charset val="134"/>
      </rPr>
      <t>25-08-2026 15:27</t>
    </r>
  </si>
  <si>
    <r>
      <rPr>
        <sz val="10"/>
        <color rgb="FF000000"/>
        <rFont val="JRFonts"/>
        <charset val="134"/>
      </rPr>
      <t>29-08-2026 14:23</t>
    </r>
  </si>
  <si>
    <r>
      <rPr>
        <sz val="10"/>
        <color rgb="FF000000"/>
        <rFont val="JRFonts"/>
        <charset val="134"/>
      </rPr>
      <t>25-08-2026 15:32</t>
    </r>
  </si>
  <si>
    <r>
      <rPr>
        <sz val="10"/>
        <color rgb="FF0000FF"/>
        <rFont val="JRFonts"/>
        <charset val="134"/>
      </rPr>
      <t>23599</t>
    </r>
  </si>
  <si>
    <r>
      <rPr>
        <sz val="10"/>
        <color rgb="FF000000"/>
        <rFont val="JRFonts"/>
        <charset val="134"/>
      </rPr>
      <t>25-08-2026 15:36</t>
    </r>
  </si>
  <si>
    <r>
      <rPr>
        <sz val="10"/>
        <color rgb="FF000000"/>
        <rFont val="JRFonts"/>
        <charset val="134"/>
      </rPr>
      <t>25-08-2026 16:23</t>
    </r>
  </si>
  <si>
    <r>
      <rPr>
        <sz val="10"/>
        <color rgb="FF000000"/>
        <rFont val="JRFonts"/>
        <charset val="134"/>
      </rPr>
      <t>25-08-2026 15:49</t>
    </r>
  </si>
  <si>
    <r>
      <rPr>
        <sz val="10"/>
        <color rgb="FF0000FF"/>
        <rFont val="JRFonts"/>
        <charset val="134"/>
      </rPr>
      <t>23603</t>
    </r>
  </si>
  <si>
    <r>
      <rPr>
        <sz val="10"/>
        <color rgb="FF000000"/>
        <rFont val="JRFonts"/>
        <charset val="134"/>
      </rPr>
      <t>25-08-2026 16:22</t>
    </r>
  </si>
  <si>
    <r>
      <rPr>
        <sz val="10"/>
        <color rgb="FF000000"/>
        <rFont val="JRFonts"/>
        <charset val="134"/>
      </rPr>
      <t>29-08-2026 14:42</t>
    </r>
  </si>
  <si>
    <r>
      <rPr>
        <sz val="10"/>
        <color rgb="FF000000"/>
        <rFont val="JRFonts"/>
        <charset val="134"/>
      </rPr>
      <t>28-08-2026 12:38</t>
    </r>
  </si>
  <si>
    <r>
      <rPr>
        <sz val="10"/>
        <color rgb="FF0000FF"/>
        <rFont val="JRFonts"/>
        <charset val="134"/>
      </rPr>
      <t>23604</t>
    </r>
  </si>
  <si>
    <r>
      <rPr>
        <sz val="10"/>
        <color rgb="FF000000"/>
        <rFont val="JRFonts"/>
        <charset val="134"/>
      </rPr>
      <t>25-08-2026 16:34</t>
    </r>
  </si>
  <si>
    <r>
      <rPr>
        <sz val="10"/>
        <color rgb="FF000000"/>
        <rFont val="JRFonts"/>
        <charset val="134"/>
      </rPr>
      <t>27-08-2026 14:12</t>
    </r>
  </si>
  <si>
    <r>
      <rPr>
        <sz val="10"/>
        <color rgb="FF000000"/>
        <rFont val="JRFonts"/>
        <charset val="134"/>
      </rPr>
      <t>25-08-2026 18:16</t>
    </r>
  </si>
  <si>
    <r>
      <rPr>
        <sz val="10"/>
        <color rgb="FF0000FF"/>
        <rFont val="JRFonts"/>
        <charset val="134"/>
      </rPr>
      <t>23605</t>
    </r>
  </si>
  <si>
    <r>
      <rPr>
        <sz val="10"/>
        <color rgb="FF000000"/>
        <rFont val="JRFonts"/>
        <charset val="134"/>
      </rPr>
      <t>25-08-2026 16:37</t>
    </r>
  </si>
  <si>
    <r>
      <rPr>
        <sz val="10"/>
        <color rgb="FF000000"/>
        <rFont val="JRFonts"/>
        <charset val="134"/>
      </rPr>
      <t>26-08-2026 12:53</t>
    </r>
  </si>
  <si>
    <r>
      <rPr>
        <sz val="10"/>
        <color rgb="FF000000"/>
        <rFont val="JRFonts"/>
        <charset val="134"/>
      </rPr>
      <t>25-08-2026 16:43</t>
    </r>
  </si>
  <si>
    <r>
      <rPr>
        <sz val="10"/>
        <color rgb="FF0000FF"/>
        <rFont val="JRFonts"/>
        <charset val="134"/>
      </rPr>
      <t>23606</t>
    </r>
  </si>
  <si>
    <r>
      <rPr>
        <sz val="10"/>
        <color rgb="FF000000"/>
        <rFont val="JRFonts"/>
        <charset val="134"/>
      </rPr>
      <t>25-08-2026 16:40</t>
    </r>
  </si>
  <si>
    <r>
      <rPr>
        <sz val="10"/>
        <color rgb="FF000000"/>
        <rFont val="JRFonts"/>
        <charset val="134"/>
      </rPr>
      <t>26-08-2026 13:49</t>
    </r>
  </si>
  <si>
    <r>
      <rPr>
        <sz val="10"/>
        <color rgb="FF0000FF"/>
        <rFont val="JRFonts"/>
        <charset val="134"/>
      </rPr>
      <t>23607</t>
    </r>
  </si>
  <si>
    <r>
      <rPr>
        <sz val="10"/>
        <color rgb="FF000000"/>
        <rFont val="JRFonts"/>
        <charset val="134"/>
      </rPr>
      <t>25-08-2026 16:55</t>
    </r>
  </si>
  <si>
    <r>
      <rPr>
        <sz val="10"/>
        <color rgb="FF000000"/>
        <rFont val="JRFonts"/>
        <charset val="134"/>
      </rPr>
      <t>26-08-2026 12:48</t>
    </r>
  </si>
  <si>
    <r>
      <rPr>
        <sz val="10"/>
        <color rgb="FF000000"/>
        <rFont val="JRFonts"/>
        <charset val="134"/>
      </rPr>
      <t>25-08-2026 17:00</t>
    </r>
  </si>
  <si>
    <r>
      <rPr>
        <sz val="10"/>
        <color rgb="FF0000FF"/>
        <rFont val="JRFonts"/>
        <charset val="134"/>
      </rPr>
      <t>23608</t>
    </r>
  </si>
  <si>
    <r>
      <rPr>
        <sz val="10"/>
        <color rgb="FF000000"/>
        <rFont val="JRFonts"/>
        <charset val="134"/>
      </rPr>
      <t>25-08-2026 17:02</t>
    </r>
  </si>
  <si>
    <r>
      <rPr>
        <sz val="10"/>
        <color rgb="FF000000"/>
        <rFont val="JRFonts"/>
        <charset val="134"/>
      </rPr>
      <t>25-08-2026 17:09</t>
    </r>
  </si>
  <si>
    <r>
      <rPr>
        <sz val="10"/>
        <color rgb="FF000000"/>
        <rFont val="JRFonts"/>
        <charset val="134"/>
      </rPr>
      <t>25-08-2026 17:04</t>
    </r>
  </si>
  <si>
    <r>
      <rPr>
        <sz val="10"/>
        <color rgb="FF0000FF"/>
        <rFont val="JRFonts"/>
        <charset val="134"/>
      </rPr>
      <t>23609</t>
    </r>
  </si>
  <si>
    <r>
      <rPr>
        <sz val="10"/>
        <color rgb="FF000000"/>
        <rFont val="JRFonts"/>
        <charset val="134"/>
      </rPr>
      <t>25-08-2026 17:22</t>
    </r>
  </si>
  <si>
    <r>
      <rPr>
        <sz val="10"/>
        <color rgb="FF000000"/>
        <rFont val="JRFonts"/>
        <charset val="134"/>
      </rPr>
      <t>25-08-2026 17:07</t>
    </r>
  </si>
  <si>
    <r>
      <rPr>
        <sz val="10"/>
        <color rgb="FF0000FF"/>
        <rFont val="JRFonts"/>
        <charset val="134"/>
      </rPr>
      <t>23611</t>
    </r>
  </si>
  <si>
    <r>
      <rPr>
        <sz val="10"/>
        <color rgb="FF000000"/>
        <rFont val="JRFonts"/>
        <charset val="134"/>
      </rPr>
      <t>25-08-2026 17:23</t>
    </r>
  </si>
  <si>
    <r>
      <rPr>
        <sz val="10"/>
        <color rgb="FF000000"/>
        <rFont val="JRFonts"/>
        <charset val="134"/>
      </rPr>
      <t>31-08-2026 15:28</t>
    </r>
  </si>
  <si>
    <r>
      <rPr>
        <sz val="10"/>
        <color rgb="FF000000"/>
        <rFont val="JRFonts"/>
        <charset val="134"/>
      </rPr>
      <t>25-08-2026 17:30</t>
    </r>
  </si>
  <si>
    <t>23611</t>
  </si>
  <si>
    <r>
      <rPr>
        <sz val="10"/>
        <color rgb="FF0000FF"/>
        <rFont val="JRFonts"/>
        <charset val="134"/>
      </rPr>
      <t>23612</t>
    </r>
  </si>
  <si>
    <r>
      <rPr>
        <sz val="10"/>
        <color rgb="FF000000"/>
        <rFont val="JRFonts"/>
        <charset val="134"/>
      </rPr>
      <t>25-08-2026 17:32</t>
    </r>
  </si>
  <si>
    <r>
      <rPr>
        <sz val="10"/>
        <color rgb="FF000000"/>
        <rFont val="JRFonts"/>
        <charset val="134"/>
      </rPr>
      <t>27-08-2026 11:24</t>
    </r>
  </si>
  <si>
    <r>
      <rPr>
        <sz val="10"/>
        <color rgb="FF000000"/>
        <rFont val="JRFonts"/>
        <charset val="134"/>
      </rPr>
      <t>25-08-2026 17:35</t>
    </r>
  </si>
  <si>
    <r>
      <rPr>
        <sz val="10"/>
        <color rgb="FF0000FF"/>
        <rFont val="JRFonts"/>
        <charset val="134"/>
      </rPr>
      <t>23613</t>
    </r>
  </si>
  <si>
    <r>
      <rPr>
        <sz val="10"/>
        <color rgb="FF000000"/>
        <rFont val="JRFonts"/>
        <charset val="134"/>
      </rPr>
      <t>25-08-2026 17:38</t>
    </r>
  </si>
  <si>
    <r>
      <rPr>
        <sz val="10"/>
        <color rgb="FF000000"/>
        <rFont val="JRFonts"/>
        <charset val="134"/>
      </rPr>
      <t>26-08-2026 14:27</t>
    </r>
  </si>
  <si>
    <r>
      <rPr>
        <sz val="10"/>
        <color rgb="FF000000"/>
        <rFont val="JRFonts"/>
        <charset val="134"/>
      </rPr>
      <t>25-08-2026 17:55</t>
    </r>
  </si>
  <si>
    <r>
      <rPr>
        <sz val="10"/>
        <color rgb="FF0000FF"/>
        <rFont val="JRFonts"/>
        <charset val="134"/>
      </rPr>
      <t>23615</t>
    </r>
  </si>
  <si>
    <r>
      <rPr>
        <sz val="10"/>
        <color rgb="FF000000"/>
        <rFont val="JRFonts"/>
        <charset val="134"/>
      </rPr>
      <t>25-08-2026 18:27</t>
    </r>
  </si>
  <si>
    <r>
      <rPr>
        <sz val="10"/>
        <color rgb="FF000000"/>
        <rFont val="JRFonts"/>
        <charset val="134"/>
      </rPr>
      <t>26-08-2026 10:24</t>
    </r>
  </si>
  <si>
    <r>
      <rPr>
        <sz val="10"/>
        <color rgb="FF000000"/>
        <rFont val="JRFonts"/>
        <charset val="134"/>
      </rPr>
      <t>25-08-2026 18:31</t>
    </r>
  </si>
  <si>
    <r>
      <rPr>
        <sz val="10"/>
        <color rgb="FF0000FF"/>
        <rFont val="JRFonts"/>
        <charset val="134"/>
      </rPr>
      <t>23618</t>
    </r>
  </si>
  <si>
    <r>
      <rPr>
        <sz val="10"/>
        <color rgb="FF000000"/>
        <rFont val="JRFonts"/>
        <charset val="134"/>
      </rPr>
      <t>25-08-2026 19:37</t>
    </r>
  </si>
  <si>
    <r>
      <rPr>
        <sz val="10"/>
        <color rgb="FF000000"/>
        <rFont val="JRFonts"/>
        <charset val="134"/>
      </rPr>
      <t>26-08-2026 10:11</t>
    </r>
  </si>
  <si>
    <r>
      <rPr>
        <sz val="10"/>
        <color rgb="FF0000FF"/>
        <rFont val="JRFonts"/>
        <charset val="134"/>
      </rPr>
      <t>23620</t>
    </r>
  </si>
  <si>
    <r>
      <rPr>
        <sz val="10"/>
        <color rgb="FF000000"/>
        <rFont val="JRFonts"/>
        <charset val="134"/>
      </rPr>
      <t>26-08-2026 11:02</t>
    </r>
  </si>
  <si>
    <r>
      <rPr>
        <sz val="10"/>
        <color rgb="FF000000"/>
        <rFont val="JRFonts"/>
        <charset val="134"/>
      </rPr>
      <t>27-08-2026 12:30</t>
    </r>
  </si>
  <si>
    <r>
      <rPr>
        <sz val="10"/>
        <color rgb="FF000000"/>
        <rFont val="JRFonts"/>
        <charset val="134"/>
      </rPr>
      <t>26-08-2026 11:14</t>
    </r>
  </si>
  <si>
    <t>23620</t>
  </si>
  <si>
    <r>
      <rPr>
        <sz val="10"/>
        <color rgb="FF0000FF"/>
        <rFont val="JRFonts"/>
        <charset val="134"/>
      </rPr>
      <t>23621</t>
    </r>
  </si>
  <si>
    <r>
      <rPr>
        <sz val="10"/>
        <color rgb="FF000000"/>
        <rFont val="JRFonts"/>
        <charset val="134"/>
      </rPr>
      <t>26-08-2026 11:20</t>
    </r>
  </si>
  <si>
    <r>
      <rPr>
        <sz val="10"/>
        <color rgb="FF000000"/>
        <rFont val="JRFonts"/>
        <charset val="134"/>
      </rPr>
      <t>03-09-2026 15:00</t>
    </r>
  </si>
  <si>
    <r>
      <rPr>
        <sz val="10"/>
        <color rgb="FF000000"/>
        <rFont val="JRFonts"/>
        <charset val="134"/>
      </rPr>
      <t>26-08-2026 11:30</t>
    </r>
  </si>
  <si>
    <t>23621</t>
  </si>
  <si>
    <r>
      <rPr>
        <sz val="10"/>
        <color rgb="FF0000FF"/>
        <rFont val="JRFonts"/>
        <charset val="134"/>
      </rPr>
      <t>23623</t>
    </r>
  </si>
  <si>
    <r>
      <rPr>
        <sz val="10"/>
        <color rgb="FF000000"/>
        <rFont val="JRFonts"/>
        <charset val="134"/>
      </rPr>
      <t>26-08-2026 12:52</t>
    </r>
  </si>
  <si>
    <r>
      <rPr>
        <sz val="10"/>
        <color rgb="FF000000"/>
        <rFont val="JRFonts"/>
        <charset val="134"/>
      </rPr>
      <t>26-08-2026 14:03</t>
    </r>
  </si>
  <si>
    <r>
      <rPr>
        <sz val="10"/>
        <color rgb="FF000000"/>
        <rFont val="JRFonts"/>
        <charset val="134"/>
      </rPr>
      <t>26-08-2026 12:56</t>
    </r>
  </si>
  <si>
    <r>
      <rPr>
        <sz val="10"/>
        <color rgb="FF0000FF"/>
        <rFont val="JRFonts"/>
        <charset val="134"/>
      </rPr>
      <t>23624</t>
    </r>
  </si>
  <si>
    <r>
      <rPr>
        <sz val="10"/>
        <color rgb="FF000000"/>
        <rFont val="JRFonts"/>
        <charset val="134"/>
      </rPr>
      <t>26-08-2026 13:43</t>
    </r>
  </si>
  <si>
    <t>23624</t>
  </si>
  <si>
    <r>
      <rPr>
        <sz val="10"/>
        <color rgb="FF0000FF"/>
        <rFont val="JRFonts"/>
        <charset val="134"/>
      </rPr>
      <t>23625</t>
    </r>
  </si>
  <si>
    <r>
      <rPr>
        <sz val="10"/>
        <color rgb="FF000000"/>
        <rFont val="JRFonts"/>
        <charset val="134"/>
      </rPr>
      <t>26-08-2026 14:35</t>
    </r>
  </si>
  <si>
    <r>
      <rPr>
        <sz val="10"/>
        <color rgb="FF000000"/>
        <rFont val="JRFonts"/>
        <charset val="134"/>
      </rPr>
      <t>31-08-2026 16:45</t>
    </r>
  </si>
  <si>
    <r>
      <rPr>
        <sz val="10"/>
        <color rgb="FF000000"/>
        <rFont val="JRFonts"/>
        <charset val="134"/>
      </rPr>
      <t>26-08-2026 15:23</t>
    </r>
  </si>
  <si>
    <r>
      <rPr>
        <sz val="10"/>
        <color rgb="FF0000FF"/>
        <rFont val="JRFonts"/>
        <charset val="134"/>
      </rPr>
      <t>23626</t>
    </r>
  </si>
  <si>
    <r>
      <rPr>
        <sz val="10"/>
        <color rgb="FF000000"/>
        <rFont val="JRFonts"/>
        <charset val="134"/>
      </rPr>
      <t>26-08-2026 15:35</t>
    </r>
  </si>
  <si>
    <r>
      <rPr>
        <sz val="10"/>
        <color rgb="FF000000"/>
        <rFont val="JRFonts"/>
        <charset val="134"/>
      </rPr>
      <t>29-08-2026 10:57</t>
    </r>
  </si>
  <si>
    <r>
      <rPr>
        <sz val="10"/>
        <color rgb="FF000000"/>
        <rFont val="JRFonts"/>
        <charset val="134"/>
      </rPr>
      <t>26-08-2026 15:48</t>
    </r>
  </si>
  <si>
    <t>23626</t>
  </si>
  <si>
    <r>
      <rPr>
        <sz val="10"/>
        <color rgb="FF0000FF"/>
        <rFont val="JRFonts"/>
        <charset val="134"/>
      </rPr>
      <t>23627</t>
    </r>
  </si>
  <si>
    <r>
      <rPr>
        <sz val="10"/>
        <color rgb="FF000000"/>
        <rFont val="JRFonts"/>
        <charset val="134"/>
      </rPr>
      <t>31-08-2026 12:38</t>
    </r>
  </si>
  <si>
    <r>
      <rPr>
        <sz val="10"/>
        <color rgb="FF000000"/>
        <rFont val="JRFonts"/>
        <charset val="134"/>
      </rPr>
      <t>26-08-2026 16:01</t>
    </r>
  </si>
  <si>
    <r>
      <rPr>
        <sz val="10"/>
        <color rgb="FF0000FF"/>
        <rFont val="JRFonts"/>
        <charset val="134"/>
      </rPr>
      <t>23629</t>
    </r>
  </si>
  <si>
    <r>
      <rPr>
        <sz val="10"/>
        <color rgb="FF000000"/>
        <rFont val="JRFonts"/>
        <charset val="134"/>
      </rPr>
      <t>27-08-2026 10:30</t>
    </r>
  </si>
  <si>
    <r>
      <rPr>
        <sz val="10"/>
        <color rgb="FF000000"/>
        <rFont val="JRFonts"/>
        <charset val="134"/>
      </rPr>
      <t>01-09-2026 12:10</t>
    </r>
  </si>
  <si>
    <r>
      <rPr>
        <sz val="10"/>
        <color rgb="FF000000"/>
        <rFont val="JRFonts"/>
        <charset val="134"/>
      </rPr>
      <t>27-08-2026 10:32</t>
    </r>
  </si>
  <si>
    <t>23629</t>
  </si>
  <si>
    <r>
      <rPr>
        <sz val="10"/>
        <color rgb="FF0000FF"/>
        <rFont val="JRFonts"/>
        <charset val="134"/>
      </rPr>
      <t>23632</t>
    </r>
  </si>
  <si>
    <r>
      <rPr>
        <sz val="10"/>
        <color rgb="FF000000"/>
        <rFont val="JRFonts"/>
        <charset val="134"/>
      </rPr>
      <t>27-08-2026 11:10</t>
    </r>
  </si>
  <si>
    <r>
      <rPr>
        <sz val="10"/>
        <color rgb="FF000000"/>
        <rFont val="JRFonts"/>
        <charset val="134"/>
      </rPr>
      <t>27-08-2026 11:21</t>
    </r>
  </si>
  <si>
    <r>
      <rPr>
        <sz val="10"/>
        <color rgb="FF000000"/>
        <rFont val="JRFonts"/>
        <charset val="134"/>
      </rPr>
      <t>27-08-2026 11:13</t>
    </r>
  </si>
  <si>
    <r>
      <rPr>
        <sz val="10"/>
        <color rgb="FF0000FF"/>
        <rFont val="JRFonts"/>
        <charset val="134"/>
      </rPr>
      <t>23634</t>
    </r>
  </si>
  <si>
    <r>
      <rPr>
        <sz val="10"/>
        <color rgb="FF000000"/>
        <rFont val="JRFonts"/>
        <charset val="134"/>
      </rPr>
      <t>27-08-2026 11:22</t>
    </r>
  </si>
  <si>
    <r>
      <rPr>
        <sz val="10"/>
        <color rgb="FF000000"/>
        <rFont val="JRFonts"/>
        <charset val="134"/>
      </rPr>
      <t>30-08-2026 19:15</t>
    </r>
  </si>
  <si>
    <r>
      <rPr>
        <sz val="10"/>
        <color rgb="FF000000"/>
        <rFont val="JRFonts"/>
        <charset val="134"/>
      </rPr>
      <t>27-08-2026 11:25</t>
    </r>
  </si>
  <si>
    <t>23634</t>
  </si>
  <si>
    <r>
      <rPr>
        <sz val="10"/>
        <color rgb="FF0000FF"/>
        <rFont val="JRFonts"/>
        <charset val="134"/>
      </rPr>
      <t>23635</t>
    </r>
  </si>
  <si>
    <r>
      <rPr>
        <sz val="10"/>
        <color rgb="FF000000"/>
        <rFont val="JRFonts"/>
        <charset val="134"/>
      </rPr>
      <t>27-08-2026 11:40</t>
    </r>
  </si>
  <si>
    <r>
      <rPr>
        <sz val="10"/>
        <color rgb="FF000000"/>
        <rFont val="JRFonts"/>
        <charset val="134"/>
      </rPr>
      <t>27-08-2026 11:27</t>
    </r>
  </si>
  <si>
    <r>
      <rPr>
        <sz val="10"/>
        <color rgb="FF0000FF"/>
        <rFont val="JRFonts"/>
        <charset val="134"/>
      </rPr>
      <t>23638</t>
    </r>
  </si>
  <si>
    <r>
      <rPr>
        <sz val="10"/>
        <color rgb="FF000000"/>
        <rFont val="JRFonts"/>
        <charset val="134"/>
      </rPr>
      <t>31-08-2026 11:24</t>
    </r>
  </si>
  <si>
    <r>
      <rPr>
        <sz val="10"/>
        <color rgb="FF000000"/>
        <rFont val="JRFonts"/>
        <charset val="134"/>
      </rPr>
      <t>27-08-2026 11:43</t>
    </r>
  </si>
  <si>
    <t>23638</t>
  </si>
  <si>
    <t>Excluded holiday
Initial issues resolved with in SLA , MLI has reopened ticket with new request
27-Aug: 6h 17m
31-Aug: 1h 24m
7h 41m</t>
  </si>
  <si>
    <r>
      <rPr>
        <sz val="10"/>
        <color rgb="FF0000FF"/>
        <rFont val="JRFonts"/>
        <charset val="134"/>
      </rPr>
      <t>23639</t>
    </r>
  </si>
  <si>
    <r>
      <rPr>
        <sz val="10"/>
        <color rgb="FF000000"/>
        <rFont val="JRFonts"/>
        <charset val="134"/>
      </rPr>
      <t>27-08-2026 11:46</t>
    </r>
  </si>
  <si>
    <r>
      <rPr>
        <sz val="10"/>
        <color rgb="FF000000"/>
        <rFont val="JRFonts"/>
        <charset val="134"/>
      </rPr>
      <t>31-08-2026 10:51</t>
    </r>
  </si>
  <si>
    <r>
      <rPr>
        <sz val="10"/>
        <color rgb="FF000000"/>
        <rFont val="JRFonts"/>
        <charset val="134"/>
      </rPr>
      <t>27-08-2026 11:50</t>
    </r>
  </si>
  <si>
    <t>23639</t>
  </si>
  <si>
    <t>Excluded holiday
Discussion involved with busines / IT
27-Aug: 6h 10m
31-Aug: 51m
7h 01m</t>
  </si>
  <si>
    <r>
      <rPr>
        <sz val="10"/>
        <color rgb="FF0000FF"/>
        <rFont val="JRFonts"/>
        <charset val="134"/>
      </rPr>
      <t>23640</t>
    </r>
  </si>
  <si>
    <r>
      <rPr>
        <sz val="10"/>
        <color rgb="FF000000"/>
        <rFont val="JRFonts"/>
        <charset val="134"/>
      </rPr>
      <t>27-08-2026 12:01</t>
    </r>
  </si>
  <si>
    <r>
      <rPr>
        <sz val="10"/>
        <color rgb="FF000000"/>
        <rFont val="JRFonts"/>
        <charset val="134"/>
      </rPr>
      <t>02-09-2026 12:10</t>
    </r>
  </si>
  <si>
    <r>
      <rPr>
        <sz val="10"/>
        <color rgb="FF000000"/>
        <rFont val="JRFonts"/>
        <charset val="134"/>
      </rPr>
      <t>27-08-2026 12:04</t>
    </r>
  </si>
  <si>
    <t>23640</t>
  </si>
  <si>
    <r>
      <rPr>
        <sz val="10"/>
        <color rgb="FF0000FF"/>
        <rFont val="JRFonts"/>
        <charset val="134"/>
      </rPr>
      <t>23644</t>
    </r>
  </si>
  <si>
    <r>
      <rPr>
        <sz val="10"/>
        <color rgb="FF000000"/>
        <rFont val="JRFonts"/>
        <charset val="134"/>
      </rPr>
      <t>27-08-2026 13:12</t>
    </r>
  </si>
  <si>
    <r>
      <rPr>
        <sz val="10"/>
        <color rgb="FF000000"/>
        <rFont val="JRFonts"/>
        <charset val="134"/>
      </rPr>
      <t>31-08-2026 15:14</t>
    </r>
  </si>
  <si>
    <r>
      <rPr>
        <sz val="10"/>
        <color rgb="FF000000"/>
        <rFont val="JRFonts"/>
        <charset val="134"/>
      </rPr>
      <t>27-08-2026 14:22</t>
    </r>
  </si>
  <si>
    <t>Excluded holiday
27-Aug: 3h 38m
31-Aug: 5h 14m
8h 52m</t>
  </si>
  <si>
    <r>
      <rPr>
        <sz val="10"/>
        <color rgb="FF0000FF"/>
        <rFont val="JRFonts"/>
        <charset val="134"/>
      </rPr>
      <t>23645</t>
    </r>
  </si>
  <si>
    <r>
      <rPr>
        <sz val="10"/>
        <color rgb="FF000000"/>
        <rFont val="JRFonts"/>
        <charset val="134"/>
      </rPr>
      <t>27-08-2026 13:15</t>
    </r>
  </si>
  <si>
    <r>
      <rPr>
        <sz val="10"/>
        <color rgb="FF000000"/>
        <rFont val="JRFonts"/>
        <charset val="134"/>
      </rPr>
      <t>31-08-2026 12:43</t>
    </r>
  </si>
  <si>
    <r>
      <rPr>
        <sz val="10"/>
        <color rgb="FF000000"/>
        <rFont val="JRFonts"/>
        <charset val="134"/>
      </rPr>
      <t>27-08-2026 14:18</t>
    </r>
  </si>
  <si>
    <t>Excluded holiday
27-Aug: 3h 42m
31-Aug: 2h 43m
6h 25m</t>
  </si>
  <si>
    <r>
      <rPr>
        <sz val="10"/>
        <color rgb="FF0000FF"/>
        <rFont val="JRFonts"/>
        <charset val="134"/>
      </rPr>
      <t>23646</t>
    </r>
  </si>
  <si>
    <r>
      <rPr>
        <sz val="10"/>
        <color rgb="FF000000"/>
        <rFont val="JRFonts"/>
        <charset val="134"/>
      </rPr>
      <t>27-08-2026 13:48</t>
    </r>
  </si>
  <si>
    <r>
      <rPr>
        <sz val="10"/>
        <color rgb="FF000000"/>
        <rFont val="JRFonts"/>
        <charset val="134"/>
      </rPr>
      <t>27-08-2026 14:16</t>
    </r>
  </si>
  <si>
    <t>23646</t>
  </si>
  <si>
    <r>
      <rPr>
        <sz val="10"/>
        <color rgb="FF0000FF"/>
        <rFont val="JRFonts"/>
        <charset val="134"/>
      </rPr>
      <t>23647</t>
    </r>
  </si>
  <si>
    <r>
      <rPr>
        <sz val="10"/>
        <color rgb="FF000000"/>
        <rFont val="JRFonts"/>
        <charset val="134"/>
      </rPr>
      <t>27-08-2026 14:46</t>
    </r>
  </si>
  <si>
    <r>
      <rPr>
        <sz val="10"/>
        <color rgb="FF000000"/>
        <rFont val="JRFonts"/>
        <charset val="134"/>
      </rPr>
      <t>27-08-2026 14:17</t>
    </r>
  </si>
  <si>
    <r>
      <rPr>
        <sz val="10"/>
        <color rgb="FF0000FF"/>
        <rFont val="JRFonts"/>
        <charset val="134"/>
      </rPr>
      <t>23648</t>
    </r>
  </si>
  <si>
    <r>
      <rPr>
        <sz val="10"/>
        <color rgb="FF000000"/>
        <rFont val="JRFonts"/>
        <charset val="134"/>
      </rPr>
      <t>27-08-2026 13:51</t>
    </r>
  </si>
  <si>
    <r>
      <rPr>
        <sz val="10"/>
        <color rgb="FF000000"/>
        <rFont val="JRFonts"/>
        <charset val="134"/>
      </rPr>
      <t>31-08-2026 12:37</t>
    </r>
  </si>
  <si>
    <r>
      <rPr>
        <sz val="10"/>
        <color rgb="FF000000"/>
        <rFont val="JRFonts"/>
        <charset val="134"/>
      </rPr>
      <t>27-08-2026 14:15</t>
    </r>
  </si>
  <si>
    <t>23648</t>
  </si>
  <si>
    <r>
      <rPr>
        <sz val="10"/>
        <color rgb="FF0000FF"/>
        <rFont val="JRFonts"/>
        <charset val="134"/>
      </rPr>
      <t>23649</t>
    </r>
  </si>
  <si>
    <r>
      <rPr>
        <sz val="10"/>
        <color rgb="FF000000"/>
        <rFont val="JRFonts"/>
        <charset val="134"/>
      </rPr>
      <t>27-08-2026 14:10</t>
    </r>
  </si>
  <si>
    <r>
      <rPr>
        <sz val="10"/>
        <color rgb="FF000000"/>
        <rFont val="JRFonts"/>
        <charset val="134"/>
      </rPr>
      <t>27-08-2026 15:07</t>
    </r>
  </si>
  <si>
    <t>Excluded holiday
27-Aug: 2h 53m
31-Aug: 5h 23m
8h 16m</t>
  </si>
  <si>
    <r>
      <rPr>
        <sz val="10"/>
        <color rgb="FF0000FF"/>
        <rFont val="JRFonts"/>
        <charset val="134"/>
      </rPr>
      <t>23650</t>
    </r>
  </si>
  <si>
    <r>
      <rPr>
        <sz val="10"/>
        <color rgb="FF000000"/>
        <rFont val="JRFonts"/>
        <charset val="134"/>
      </rPr>
      <t>27-08-2026 14:13</t>
    </r>
  </si>
  <si>
    <r>
      <rPr>
        <sz val="10"/>
        <color rgb="FF000000"/>
        <rFont val="JRFonts"/>
        <charset val="134"/>
      </rPr>
      <t>27-08-2026 15:26</t>
    </r>
  </si>
  <si>
    <r>
      <rPr>
        <sz val="10"/>
        <color rgb="FF000000"/>
        <rFont val="JRFonts"/>
        <charset val="134"/>
      </rPr>
      <t>27-08-2026 15:05</t>
    </r>
  </si>
  <si>
    <r>
      <rPr>
        <sz val="10"/>
        <color rgb="FF0000FF"/>
        <rFont val="JRFonts"/>
        <charset val="134"/>
      </rPr>
      <t>23651</t>
    </r>
  </si>
  <si>
    <r>
      <rPr>
        <sz val="10"/>
        <color rgb="FF000000"/>
        <rFont val="JRFonts"/>
        <charset val="134"/>
      </rPr>
      <t>27-08-2026 14:34</t>
    </r>
  </si>
  <si>
    <r>
      <rPr>
        <sz val="10"/>
        <color rgb="FF000000"/>
        <rFont val="JRFonts"/>
        <charset val="134"/>
      </rPr>
      <t>30-08-2026 19:03</t>
    </r>
  </si>
  <si>
    <r>
      <rPr>
        <sz val="10"/>
        <color rgb="FF000000"/>
        <rFont val="JRFonts"/>
        <charset val="134"/>
      </rPr>
      <t>27-08-2026 16:24</t>
    </r>
  </si>
  <si>
    <r>
      <rPr>
        <sz val="10"/>
        <color rgb="FF0000FF"/>
        <rFont val="JRFonts"/>
        <charset val="134"/>
      </rPr>
      <t>23652</t>
    </r>
  </si>
  <si>
    <r>
      <rPr>
        <sz val="10"/>
        <color rgb="FF000000"/>
        <rFont val="JRFonts"/>
        <charset val="134"/>
      </rPr>
      <t>02-09-2026 16:59</t>
    </r>
  </si>
  <si>
    <r>
      <rPr>
        <sz val="10"/>
        <color rgb="FF000000"/>
        <rFont val="JRFonts"/>
        <charset val="134"/>
      </rPr>
      <t>27-08-2026 15:16</t>
    </r>
  </si>
  <si>
    <t>23652</t>
  </si>
  <si>
    <r>
      <rPr>
        <sz val="10"/>
        <color rgb="FF0000FF"/>
        <rFont val="JRFonts"/>
        <charset val="134"/>
      </rPr>
      <t>23655</t>
    </r>
  </si>
  <si>
    <r>
      <rPr>
        <sz val="10"/>
        <color rgb="FF000000"/>
        <rFont val="JRFonts"/>
        <charset val="134"/>
      </rPr>
      <t>27-08-2026 15:41</t>
    </r>
  </si>
  <si>
    <r>
      <rPr>
        <sz val="10"/>
        <color rgb="FF000000"/>
        <rFont val="JRFonts"/>
        <charset val="134"/>
      </rPr>
      <t>02-09-2026 10:43</t>
    </r>
  </si>
  <si>
    <r>
      <rPr>
        <sz val="10"/>
        <color rgb="FF000000"/>
        <rFont val="JRFonts"/>
        <charset val="134"/>
      </rPr>
      <t>27-08-2026 15:46</t>
    </r>
  </si>
  <si>
    <t>23655</t>
  </si>
  <si>
    <r>
      <rPr>
        <sz val="10"/>
        <color rgb="FF0000FF"/>
        <rFont val="JRFonts"/>
        <charset val="134"/>
      </rPr>
      <t>23657</t>
    </r>
  </si>
  <si>
    <r>
      <rPr>
        <sz val="10"/>
        <color rgb="FF000000"/>
        <rFont val="JRFonts"/>
        <charset val="134"/>
      </rPr>
      <t>27-08-2026 15:53</t>
    </r>
  </si>
  <si>
    <r>
      <rPr>
        <sz val="10"/>
        <color rgb="FF000000"/>
        <rFont val="JRFonts"/>
        <charset val="134"/>
      </rPr>
      <t>31-08-2026 09:37</t>
    </r>
  </si>
  <si>
    <r>
      <rPr>
        <sz val="10"/>
        <color rgb="FF000000"/>
        <rFont val="JRFonts"/>
        <charset val="134"/>
      </rPr>
      <t>27-08-2026 15:58</t>
    </r>
  </si>
  <si>
    <t>Excluded holiday
27-Aug: 2h 02m
31-Aug: 0h
2h 02m</t>
  </si>
  <si>
    <r>
      <rPr>
        <sz val="10"/>
        <color rgb="FF0000FF"/>
        <rFont val="JRFonts"/>
        <charset val="134"/>
      </rPr>
      <t>23662</t>
    </r>
  </si>
  <si>
    <r>
      <rPr>
        <sz val="10"/>
        <color rgb="FF000000"/>
        <rFont val="JRFonts"/>
        <charset val="134"/>
      </rPr>
      <t>27-08-2026 17:07</t>
    </r>
  </si>
  <si>
    <r>
      <rPr>
        <sz val="10"/>
        <color rgb="FF000000"/>
        <rFont val="JRFonts"/>
        <charset val="134"/>
      </rPr>
      <t>08-09-2026 18:28</t>
    </r>
  </si>
  <si>
    <r>
      <rPr>
        <sz val="10"/>
        <color rgb="FF000000"/>
        <rFont val="JRFonts"/>
        <charset val="134"/>
      </rPr>
      <t>28-08-2026 11:21</t>
    </r>
  </si>
  <si>
    <t>23662</t>
  </si>
  <si>
    <r>
      <rPr>
        <sz val="10"/>
        <color rgb="FF0000FF"/>
        <rFont val="JRFonts"/>
        <charset val="134"/>
      </rPr>
      <t>23664</t>
    </r>
  </si>
  <si>
    <r>
      <rPr>
        <sz val="10"/>
        <color rgb="FF000000"/>
        <rFont val="JRFonts"/>
        <charset val="134"/>
      </rPr>
      <t>27-08-2026 17:10</t>
    </r>
  </si>
  <si>
    <r>
      <rPr>
        <sz val="10"/>
        <color rgb="FF000000"/>
        <rFont val="JRFonts"/>
        <charset val="134"/>
      </rPr>
      <t>28-08-2026 11:23</t>
    </r>
  </si>
  <si>
    <t>23664</t>
  </si>
  <si>
    <t>Discussion involved with busines / IT
+ Holiday 
28-Aug: Holiday
01-Sep: 2h
2 hrs</t>
  </si>
  <si>
    <r>
      <rPr>
        <sz val="10"/>
        <color rgb="FF0000FF"/>
        <rFont val="JRFonts"/>
        <charset val="134"/>
      </rPr>
      <t>23665</t>
    </r>
  </si>
  <si>
    <r>
      <rPr>
        <sz val="10"/>
        <color rgb="FF000000"/>
        <rFont val="JRFonts"/>
        <charset val="134"/>
      </rPr>
      <t>14-09-2026 10:59</t>
    </r>
  </si>
  <si>
    <r>
      <rPr>
        <sz val="10"/>
        <color rgb="FF000000"/>
        <rFont val="JRFonts"/>
        <charset val="134"/>
      </rPr>
      <t>27-08-2026 17:35</t>
    </r>
  </si>
  <si>
    <t>23665</t>
  </si>
  <si>
    <r>
      <rPr>
        <sz val="10"/>
        <color rgb="FF0000FF"/>
        <rFont val="JRFonts"/>
        <charset val="134"/>
      </rPr>
      <t>23666</t>
    </r>
  </si>
  <si>
    <r>
      <rPr>
        <sz val="10"/>
        <color rgb="FF000000"/>
        <rFont val="JRFonts"/>
        <charset val="134"/>
      </rPr>
      <t>27-08-2026 17:13</t>
    </r>
  </si>
  <si>
    <r>
      <rPr>
        <sz val="10"/>
        <color rgb="FF000000"/>
        <rFont val="JRFonts"/>
        <charset val="134"/>
      </rPr>
      <t>21-09-2026 18:19</t>
    </r>
  </si>
  <si>
    <t>23666</t>
  </si>
  <si>
    <r>
      <rPr>
        <sz val="10"/>
        <color rgb="FF0000FF"/>
        <rFont val="JRFonts"/>
        <charset val="134"/>
      </rPr>
      <t>23668</t>
    </r>
  </si>
  <si>
    <r>
      <rPr>
        <sz val="10"/>
        <color rgb="FF000000"/>
        <rFont val="JRFonts"/>
        <charset val="134"/>
      </rPr>
      <t>27-08-2026 17:31</t>
    </r>
  </si>
  <si>
    <r>
      <rPr>
        <sz val="10"/>
        <color rgb="FF000000"/>
        <rFont val="JRFonts"/>
        <charset val="134"/>
      </rPr>
      <t>28-08-2026 11:24</t>
    </r>
  </si>
  <si>
    <r>
      <rPr>
        <sz val="10"/>
        <color rgb="FF0000FF"/>
        <rFont val="JRFonts"/>
        <charset val="134"/>
      </rPr>
      <t>23669</t>
    </r>
  </si>
  <si>
    <r>
      <rPr>
        <sz val="10"/>
        <color rgb="FF000000"/>
        <rFont val="JRFonts"/>
        <charset val="134"/>
      </rPr>
      <t>27-08-2026 17:58</t>
    </r>
  </si>
  <si>
    <r>
      <rPr>
        <sz val="10"/>
        <color rgb="FF000000"/>
        <rFont val="JRFonts"/>
        <charset val="134"/>
      </rPr>
      <t>31-08-2026 11:04</t>
    </r>
  </si>
  <si>
    <r>
      <rPr>
        <sz val="10"/>
        <color rgb="FF000000"/>
        <rFont val="JRFonts"/>
        <charset val="134"/>
      </rPr>
      <t>28-08-2026 11:25</t>
    </r>
  </si>
  <si>
    <r>
      <rPr>
        <sz val="10"/>
        <color rgb="FF0000FF"/>
        <rFont val="JRFonts"/>
        <charset val="134"/>
      </rPr>
      <t>23670</t>
    </r>
  </si>
  <si>
    <r>
      <rPr>
        <sz val="10"/>
        <color rgb="FF000000"/>
        <rFont val="JRFonts"/>
        <charset val="134"/>
      </rPr>
      <t>27-08-2026 18:01</t>
    </r>
  </si>
  <si>
    <r>
      <rPr>
        <sz val="10"/>
        <color rgb="FF000000"/>
        <rFont val="JRFonts"/>
        <charset val="134"/>
      </rPr>
      <t>28-08-2026 11:26</t>
    </r>
  </si>
  <si>
    <r>
      <rPr>
        <sz val="10"/>
        <color rgb="FF0000FF"/>
        <rFont val="JRFonts"/>
        <charset val="134"/>
      </rPr>
      <t>23671</t>
    </r>
  </si>
  <si>
    <r>
      <rPr>
        <sz val="10"/>
        <color rgb="FF000000"/>
        <rFont val="JRFonts"/>
        <charset val="134"/>
      </rPr>
      <t>27-08-2026 18:05</t>
    </r>
  </si>
  <si>
    <r>
      <rPr>
        <sz val="10"/>
        <color rgb="FF000000"/>
        <rFont val="JRFonts"/>
        <charset val="134"/>
      </rPr>
      <t>29-08-2026 12:54</t>
    </r>
  </si>
  <si>
    <r>
      <rPr>
        <sz val="10"/>
        <color rgb="FF000000"/>
        <rFont val="JRFonts"/>
        <charset val="134"/>
      </rPr>
      <t>28-08-2026 11:29</t>
    </r>
  </si>
  <si>
    <r>
      <rPr>
        <sz val="10"/>
        <color rgb="FF0000FF"/>
        <rFont val="JRFonts"/>
        <charset val="134"/>
      </rPr>
      <t>23672</t>
    </r>
  </si>
  <si>
    <r>
      <rPr>
        <sz val="10"/>
        <color rgb="FF000000"/>
        <rFont val="JRFonts"/>
        <charset val="134"/>
      </rPr>
      <t>27-08-2026 18:26</t>
    </r>
  </si>
  <si>
    <r>
      <rPr>
        <sz val="10"/>
        <color rgb="FF000000"/>
        <rFont val="JRFonts"/>
        <charset val="134"/>
      </rPr>
      <t>01-09-2026 11:50</t>
    </r>
  </si>
  <si>
    <r>
      <rPr>
        <sz val="10"/>
        <color rgb="FF000000"/>
        <rFont val="JRFonts"/>
        <charset val="134"/>
      </rPr>
      <t>28-08-2026 11:31</t>
    </r>
  </si>
  <si>
    <t>23672</t>
  </si>
  <si>
    <t>28-Aug: Holiday
01-Sep: 1h 50m
1 hr 50 mins</t>
  </si>
  <si>
    <r>
      <rPr>
        <sz val="10"/>
        <color rgb="FF0000FF"/>
        <rFont val="JRFonts"/>
        <charset val="134"/>
      </rPr>
      <t>23673</t>
    </r>
  </si>
  <si>
    <r>
      <rPr>
        <sz val="10"/>
        <color rgb="FF000000"/>
        <rFont val="JRFonts"/>
        <charset val="134"/>
      </rPr>
      <t>27-08-2026 18:38</t>
    </r>
  </si>
  <si>
    <r>
      <rPr>
        <sz val="10"/>
        <color rgb="FF000000"/>
        <rFont val="JRFonts"/>
        <charset val="134"/>
      </rPr>
      <t>29-08-2026 18:05</t>
    </r>
  </si>
  <si>
    <r>
      <rPr>
        <sz val="10"/>
        <color rgb="FF0000FF"/>
        <rFont val="JRFonts"/>
        <charset val="134"/>
      </rPr>
      <t>23674</t>
    </r>
  </si>
  <si>
    <r>
      <rPr>
        <sz val="10"/>
        <color rgb="FF000000"/>
        <rFont val="JRFonts"/>
        <charset val="134"/>
      </rPr>
      <t>27-08-2026 18:54</t>
    </r>
  </si>
  <si>
    <r>
      <rPr>
        <sz val="10"/>
        <color rgb="FF000000"/>
        <rFont val="JRFonts"/>
        <charset val="134"/>
      </rPr>
      <t>11-09-2026 10:30</t>
    </r>
  </si>
  <si>
    <r>
      <rPr>
        <sz val="10"/>
        <color rgb="FF000000"/>
        <rFont val="JRFonts"/>
        <charset val="134"/>
      </rPr>
      <t>28-08-2026 11:32</t>
    </r>
  </si>
  <si>
    <t>23674</t>
  </si>
  <si>
    <r>
      <rPr>
        <sz val="10"/>
        <color rgb="FF0000FF"/>
        <rFont val="JRFonts"/>
        <charset val="134"/>
      </rPr>
      <t>23675</t>
    </r>
  </si>
  <si>
    <r>
      <rPr>
        <sz val="10"/>
        <color rgb="FF000000"/>
        <rFont val="JRFonts"/>
        <charset val="134"/>
      </rPr>
      <t>27-08-2026 20:00</t>
    </r>
  </si>
  <si>
    <r>
      <rPr>
        <sz val="10"/>
        <color rgb="FF000000"/>
        <rFont val="JRFonts"/>
        <charset val="134"/>
      </rPr>
      <t>01-09-2026 10:22</t>
    </r>
  </si>
  <si>
    <r>
      <rPr>
        <sz val="10"/>
        <color rgb="FF000000"/>
        <rFont val="JRFonts"/>
        <charset val="134"/>
      </rPr>
      <t>31-08-2026 09:44</t>
    </r>
  </si>
  <si>
    <r>
      <rPr>
        <sz val="10"/>
        <color rgb="FF0000FF"/>
        <rFont val="JRFonts"/>
        <charset val="134"/>
      </rPr>
      <t>23676</t>
    </r>
  </si>
  <si>
    <r>
      <rPr>
        <sz val="10"/>
        <color rgb="FF000000"/>
        <rFont val="JRFonts"/>
        <charset val="134"/>
      </rPr>
      <t>27-08-2026 20:03</t>
    </r>
  </si>
  <si>
    <r>
      <rPr>
        <sz val="10"/>
        <color rgb="FF000000"/>
        <rFont val="JRFonts"/>
        <charset val="134"/>
      </rPr>
      <t>31-08-2026 09:40</t>
    </r>
  </si>
  <si>
    <r>
      <rPr>
        <sz val="10"/>
        <color rgb="FF000000"/>
        <rFont val="JRFonts"/>
        <charset val="134"/>
      </rPr>
      <t>31-08-2026 09:39</t>
    </r>
  </si>
  <si>
    <r>
      <rPr>
        <sz val="10"/>
        <color rgb="FF0000FF"/>
        <rFont val="JRFonts"/>
        <charset val="134"/>
      </rPr>
      <t>23677</t>
    </r>
  </si>
  <si>
    <r>
      <rPr>
        <sz val="10"/>
        <color rgb="FF000000"/>
        <rFont val="JRFonts"/>
        <charset val="134"/>
      </rPr>
      <t>31-08-2026 09:41</t>
    </r>
  </si>
  <si>
    <r>
      <rPr>
        <sz val="10"/>
        <color rgb="FF0000FF"/>
        <rFont val="JRFonts"/>
        <charset val="134"/>
      </rPr>
      <t>23678</t>
    </r>
  </si>
  <si>
    <r>
      <rPr>
        <sz val="10"/>
        <color rgb="FF000000"/>
        <rFont val="JRFonts"/>
        <charset val="134"/>
      </rPr>
      <t>27-08-2026 21:25</t>
    </r>
  </si>
  <si>
    <r>
      <rPr>
        <sz val="10"/>
        <color rgb="FF000000"/>
        <rFont val="JRFonts"/>
        <charset val="134"/>
      </rPr>
      <t>31-08-2026 11:03</t>
    </r>
  </si>
  <si>
    <r>
      <rPr>
        <sz val="10"/>
        <color rgb="FF000000"/>
        <rFont val="JRFonts"/>
        <charset val="134"/>
      </rPr>
      <t>31-08-2026 09:47</t>
    </r>
  </si>
  <si>
    <r>
      <rPr>
        <sz val="10"/>
        <color rgb="FF0000FF"/>
        <rFont val="JRFonts"/>
        <charset val="134"/>
      </rPr>
      <t>23680</t>
    </r>
  </si>
  <si>
    <r>
      <rPr>
        <sz val="10"/>
        <color rgb="FF000000"/>
        <rFont val="JRFonts"/>
        <charset val="134"/>
      </rPr>
      <t>28-08-2026 10:40</t>
    </r>
  </si>
  <si>
    <r>
      <rPr>
        <sz val="10"/>
        <color rgb="FF000000"/>
        <rFont val="JRFonts"/>
        <charset val="134"/>
      </rPr>
      <t>29-08-2026 14:00</t>
    </r>
  </si>
  <si>
    <r>
      <rPr>
        <sz val="10"/>
        <color rgb="FF000000"/>
        <rFont val="JRFonts"/>
        <charset val="134"/>
      </rPr>
      <t>28-08-2026 11:30</t>
    </r>
  </si>
  <si>
    <r>
      <rPr>
        <sz val="10"/>
        <color rgb="FF0000FF"/>
        <rFont val="JRFonts"/>
        <charset val="134"/>
      </rPr>
      <t>23681</t>
    </r>
  </si>
  <si>
    <r>
      <rPr>
        <sz val="10"/>
        <color rgb="FF000000"/>
        <rFont val="JRFonts"/>
        <charset val="134"/>
      </rPr>
      <t>28-08-2026 10:58</t>
    </r>
  </si>
  <si>
    <r>
      <rPr>
        <sz val="10"/>
        <color rgb="FF000000"/>
        <rFont val="JRFonts"/>
        <charset val="134"/>
      </rPr>
      <t>03-09-2026 13:02</t>
    </r>
  </si>
  <si>
    <r>
      <rPr>
        <sz val="10"/>
        <color rgb="FF000000"/>
        <rFont val="JRFonts"/>
        <charset val="134"/>
      </rPr>
      <t>31-08-2026 09:48</t>
    </r>
  </si>
  <si>
    <t>23681</t>
  </si>
  <si>
    <r>
      <rPr>
        <sz val="10"/>
        <color rgb="FF0000FF"/>
        <rFont val="JRFonts"/>
        <charset val="134"/>
      </rPr>
      <t>23683</t>
    </r>
  </si>
  <si>
    <r>
      <rPr>
        <sz val="10"/>
        <color rgb="FF000000"/>
        <rFont val="JRFonts"/>
        <charset val="134"/>
      </rPr>
      <t>28-08-2026 11:19</t>
    </r>
  </si>
  <si>
    <r>
      <rPr>
        <sz val="10"/>
        <color rgb="FF000000"/>
        <rFont val="JRFonts"/>
        <charset val="134"/>
      </rPr>
      <t>04-09-2026 12:10</t>
    </r>
  </si>
  <si>
    <r>
      <rPr>
        <sz val="10"/>
        <color rgb="FF000000"/>
        <rFont val="JRFonts"/>
        <charset val="134"/>
      </rPr>
      <t>31-08-2026 10:14</t>
    </r>
  </si>
  <si>
    <t>23683</t>
  </si>
  <si>
    <r>
      <rPr>
        <sz val="10"/>
        <color rgb="FF0000FF"/>
        <rFont val="JRFonts"/>
        <charset val="134"/>
      </rPr>
      <t>23684</t>
    </r>
  </si>
  <si>
    <r>
      <rPr>
        <sz val="10"/>
        <color rgb="FF000000"/>
        <rFont val="JRFonts"/>
        <charset val="134"/>
      </rPr>
      <t>28-08-2026 11:37</t>
    </r>
  </si>
  <si>
    <r>
      <rPr>
        <sz val="10"/>
        <color rgb="FF000000"/>
        <rFont val="JRFonts"/>
        <charset val="134"/>
      </rPr>
      <t>29-08-2026 13:57</t>
    </r>
  </si>
  <si>
    <r>
      <rPr>
        <sz val="10"/>
        <color rgb="FF000000"/>
        <rFont val="JRFonts"/>
        <charset val="134"/>
      </rPr>
      <t>28-08-2026 11:41</t>
    </r>
  </si>
  <si>
    <r>
      <rPr>
        <sz val="10"/>
        <color rgb="FF0000FF"/>
        <rFont val="JRFonts"/>
        <charset val="134"/>
      </rPr>
      <t>23685</t>
    </r>
  </si>
  <si>
    <r>
      <rPr>
        <sz val="10"/>
        <color rgb="FF000000"/>
        <rFont val="JRFonts"/>
        <charset val="134"/>
      </rPr>
      <t>28-08-2026 11:50</t>
    </r>
  </si>
  <si>
    <r>
      <rPr>
        <sz val="10"/>
        <color rgb="FF000000"/>
        <rFont val="JRFonts"/>
        <charset val="134"/>
      </rPr>
      <t>30-08-2026 19:05</t>
    </r>
  </si>
  <si>
    <r>
      <rPr>
        <sz val="10"/>
        <color rgb="FF000000"/>
        <rFont val="JRFonts"/>
        <charset val="134"/>
      </rPr>
      <t>30-08-2026 18:54</t>
    </r>
  </si>
  <si>
    <r>
      <rPr>
        <sz val="10"/>
        <color rgb="FF0000FF"/>
        <rFont val="JRFonts"/>
        <charset val="134"/>
      </rPr>
      <t>23686</t>
    </r>
  </si>
  <si>
    <r>
      <rPr>
        <sz val="10"/>
        <color rgb="FF000000"/>
        <rFont val="JRFonts"/>
        <charset val="134"/>
      </rPr>
      <t>28-08-2026 12:23</t>
    </r>
  </si>
  <si>
    <r>
      <rPr>
        <sz val="10"/>
        <color rgb="FF000000"/>
        <rFont val="JRFonts"/>
        <charset val="134"/>
      </rPr>
      <t>01-09-2026 10:02</t>
    </r>
  </si>
  <si>
    <r>
      <rPr>
        <sz val="10"/>
        <color rgb="FF000000"/>
        <rFont val="JRFonts"/>
        <charset val="134"/>
      </rPr>
      <t>31-08-2026 09:53</t>
    </r>
  </si>
  <si>
    <r>
      <rPr>
        <sz val="10"/>
        <color rgb="FF0000FF"/>
        <rFont val="JRFonts"/>
        <charset val="134"/>
      </rPr>
      <t>23687</t>
    </r>
  </si>
  <si>
    <r>
      <rPr>
        <sz val="10"/>
        <color rgb="FF000000"/>
        <rFont val="JRFonts"/>
        <charset val="134"/>
      </rPr>
      <t>28-08-2026 12:35</t>
    </r>
  </si>
  <si>
    <r>
      <rPr>
        <sz val="10"/>
        <color rgb="FF000000"/>
        <rFont val="JRFonts"/>
        <charset val="134"/>
      </rPr>
      <t>31-08-2026 11:05</t>
    </r>
  </si>
  <si>
    <r>
      <rPr>
        <sz val="10"/>
        <color rgb="FF0000FF"/>
        <rFont val="JRFonts"/>
        <charset val="134"/>
      </rPr>
      <t>23689</t>
    </r>
  </si>
  <si>
    <r>
      <rPr>
        <sz val="10"/>
        <color rgb="FF000000"/>
        <rFont val="JRFonts"/>
        <charset val="134"/>
      </rPr>
      <t>28-08-2026 13:06</t>
    </r>
  </si>
  <si>
    <r>
      <rPr>
        <sz val="10"/>
        <color rgb="FF000000"/>
        <rFont val="JRFonts"/>
        <charset val="134"/>
      </rPr>
      <t>28-08-2026 13:11</t>
    </r>
  </si>
  <si>
    <r>
      <rPr>
        <sz val="10"/>
        <color rgb="FF0000FF"/>
        <rFont val="JRFonts"/>
        <charset val="134"/>
      </rPr>
      <t>23690</t>
    </r>
  </si>
  <si>
    <r>
      <rPr>
        <sz val="10"/>
        <color rgb="FF000000"/>
        <rFont val="JRFonts"/>
        <charset val="134"/>
      </rPr>
      <t>28-08-2026 14:12</t>
    </r>
  </si>
  <si>
    <r>
      <rPr>
        <sz val="10"/>
        <color rgb="FF000000"/>
        <rFont val="JRFonts"/>
        <charset val="134"/>
      </rPr>
      <t>01-09-2026 14:45</t>
    </r>
  </si>
  <si>
    <r>
      <rPr>
        <sz val="10"/>
        <color rgb="FF000000"/>
        <rFont val="JRFonts"/>
        <charset val="134"/>
      </rPr>
      <t>31-08-2026 09:56</t>
    </r>
  </si>
  <si>
    <t>23690</t>
  </si>
  <si>
    <r>
      <rPr>
        <sz val="10"/>
        <color rgb="FF0000FF"/>
        <rFont val="JRFonts"/>
        <charset val="134"/>
      </rPr>
      <t>23691</t>
    </r>
  </si>
  <si>
    <r>
      <rPr>
        <sz val="10"/>
        <color rgb="FF000000"/>
        <rFont val="JRFonts"/>
        <charset val="134"/>
      </rPr>
      <t>28-08-2026 14:40</t>
    </r>
  </si>
  <si>
    <r>
      <rPr>
        <sz val="10"/>
        <color rgb="FF000000"/>
        <rFont val="JRFonts"/>
        <charset val="134"/>
      </rPr>
      <t>30-08-2026 18:51</t>
    </r>
  </si>
  <si>
    <r>
      <rPr>
        <sz val="10"/>
        <color rgb="FF0000FF"/>
        <rFont val="JRFonts"/>
        <charset val="134"/>
      </rPr>
      <t>23692</t>
    </r>
  </si>
  <si>
    <r>
      <rPr>
        <sz val="10"/>
        <color rgb="FF000000"/>
        <rFont val="JRFonts"/>
        <charset val="134"/>
      </rPr>
      <t>28-08-2026 14:43</t>
    </r>
  </si>
  <si>
    <r>
      <rPr>
        <sz val="10"/>
        <color rgb="FF000000"/>
        <rFont val="JRFonts"/>
        <charset val="134"/>
      </rPr>
      <t>03-09-2026 12:51</t>
    </r>
  </si>
  <si>
    <r>
      <rPr>
        <sz val="10"/>
        <color rgb="FF000000"/>
        <rFont val="JRFonts"/>
        <charset val="134"/>
      </rPr>
      <t>31-08-2026 09:58</t>
    </r>
  </si>
  <si>
    <t>23692</t>
  </si>
  <si>
    <r>
      <rPr>
        <sz val="10"/>
        <color rgb="FF0000FF"/>
        <rFont val="JRFonts"/>
        <charset val="134"/>
      </rPr>
      <t>23693</t>
    </r>
  </si>
  <si>
    <r>
      <rPr>
        <sz val="10"/>
        <color rgb="FF000000"/>
        <rFont val="JRFonts"/>
        <charset val="134"/>
      </rPr>
      <t>28-08-2026 15:01</t>
    </r>
  </si>
  <si>
    <r>
      <rPr>
        <sz val="10"/>
        <color rgb="FF000000"/>
        <rFont val="JRFonts"/>
        <charset val="134"/>
      </rPr>
      <t>14-09-2026 17:42</t>
    </r>
  </si>
  <si>
    <r>
      <rPr>
        <sz val="10"/>
        <color rgb="FF000000"/>
        <rFont val="JRFonts"/>
        <charset val="134"/>
      </rPr>
      <t>31-08-2026 10:09</t>
    </r>
  </si>
  <si>
    <t>23693</t>
  </si>
  <si>
    <r>
      <rPr>
        <sz val="10"/>
        <color rgb="FF0000FF"/>
        <rFont val="JRFonts"/>
        <charset val="134"/>
      </rPr>
      <t>23694</t>
    </r>
  </si>
  <si>
    <r>
      <rPr>
        <sz val="10"/>
        <color rgb="FF000000"/>
        <rFont val="JRFonts"/>
        <charset val="134"/>
      </rPr>
      <t>28-08-2026 15:04</t>
    </r>
  </si>
  <si>
    <r>
      <rPr>
        <sz val="10"/>
        <color rgb="FF000000"/>
        <rFont val="JRFonts"/>
        <charset val="134"/>
      </rPr>
      <t>29-08-2026 12:53</t>
    </r>
  </si>
  <si>
    <r>
      <rPr>
        <sz val="10"/>
        <color rgb="FF000000"/>
        <rFont val="JRFonts"/>
        <charset val="134"/>
      </rPr>
      <t>28-08-2026 15:05</t>
    </r>
  </si>
  <si>
    <r>
      <rPr>
        <sz val="10"/>
        <color rgb="FF0000FF"/>
        <rFont val="JRFonts"/>
        <charset val="134"/>
      </rPr>
      <t>23695</t>
    </r>
  </si>
  <si>
    <r>
      <rPr>
        <sz val="10"/>
        <color rgb="FF000000"/>
        <rFont val="JRFonts"/>
        <charset val="134"/>
      </rPr>
      <t>28-08-2026 15:34</t>
    </r>
  </si>
  <si>
    <r>
      <rPr>
        <sz val="10"/>
        <color rgb="FF000000"/>
        <rFont val="JRFonts"/>
        <charset val="134"/>
      </rPr>
      <t>31-08-2026 14:29</t>
    </r>
  </si>
  <si>
    <r>
      <rPr>
        <sz val="10"/>
        <color rgb="FF000000"/>
        <rFont val="JRFonts"/>
        <charset val="134"/>
      </rPr>
      <t>31-08-2026 10:58</t>
    </r>
  </si>
  <si>
    <r>
      <rPr>
        <sz val="10"/>
        <color rgb="FF0000FF"/>
        <rFont val="JRFonts"/>
        <charset val="134"/>
      </rPr>
      <t>23699</t>
    </r>
  </si>
  <si>
    <r>
      <rPr>
        <sz val="10"/>
        <color rgb="FF000000"/>
        <rFont val="JRFonts"/>
        <charset val="134"/>
      </rPr>
      <t>28-08-2026 16:08</t>
    </r>
  </si>
  <si>
    <r>
      <rPr>
        <sz val="10"/>
        <color rgb="FF000000"/>
        <rFont val="JRFonts"/>
        <charset val="134"/>
      </rPr>
      <t>31-08-2026 10:20</t>
    </r>
  </si>
  <si>
    <t>23700</t>
  </si>
  <si>
    <r>
      <rPr>
        <sz val="10"/>
        <color rgb="FF000000"/>
        <rFont val="JRFonts"/>
        <charset val="134"/>
      </rPr>
      <t>28-08-2026 16:17</t>
    </r>
  </si>
  <si>
    <r>
      <rPr>
        <sz val="10"/>
        <color rgb="FF000000"/>
        <rFont val="JRFonts"/>
        <charset val="134"/>
      </rPr>
      <t>31-08-2026 17:00</t>
    </r>
  </si>
  <si>
    <r>
      <rPr>
        <sz val="10"/>
        <color rgb="FF000000"/>
        <rFont val="JRFonts"/>
        <charset val="134"/>
      </rPr>
      <t>28-08-2026 16:19</t>
    </r>
  </si>
  <si>
    <r>
      <rPr>
        <sz val="10"/>
        <color rgb="FF0000FF"/>
        <rFont val="JRFonts"/>
        <charset val="134"/>
      </rPr>
      <t>23700</t>
    </r>
  </si>
  <si>
    <r>
      <rPr>
        <sz val="10"/>
        <color rgb="FF0000FF"/>
        <rFont val="JRFonts"/>
        <charset val="134"/>
      </rPr>
      <t>23701</t>
    </r>
  </si>
  <si>
    <r>
      <rPr>
        <sz val="10"/>
        <color rgb="FF000000"/>
        <rFont val="JRFonts"/>
        <charset val="134"/>
      </rPr>
      <t>28-08-2026 16:29</t>
    </r>
  </si>
  <si>
    <r>
      <rPr>
        <sz val="10"/>
        <color rgb="FF000000"/>
        <rFont val="JRFonts"/>
        <charset val="134"/>
      </rPr>
      <t>01-09-2026 16:30</t>
    </r>
  </si>
  <si>
    <r>
      <rPr>
        <sz val="10"/>
        <color rgb="FF000000"/>
        <rFont val="JRFonts"/>
        <charset val="134"/>
      </rPr>
      <t>31-08-2026 10:56</t>
    </r>
  </si>
  <si>
    <t>23701</t>
  </si>
  <si>
    <r>
      <rPr>
        <sz val="10"/>
        <color rgb="FF0000FF"/>
        <rFont val="JRFonts"/>
        <charset val="134"/>
      </rPr>
      <t>23702</t>
    </r>
  </si>
  <si>
    <r>
      <rPr>
        <sz val="10"/>
        <color rgb="FF000000"/>
        <rFont val="JRFonts"/>
        <charset val="134"/>
      </rPr>
      <t>28-08-2026 16:38</t>
    </r>
  </si>
  <si>
    <r>
      <rPr>
        <sz val="10"/>
        <color rgb="FF000000"/>
        <rFont val="JRFonts"/>
        <charset val="134"/>
      </rPr>
      <t>31-08-2026 09:42</t>
    </r>
  </si>
  <si>
    <r>
      <rPr>
        <sz val="10"/>
        <color rgb="FF0000FF"/>
        <rFont val="JRFonts"/>
        <charset val="134"/>
      </rPr>
      <t>23703</t>
    </r>
  </si>
  <si>
    <r>
      <rPr>
        <sz val="10"/>
        <color rgb="FF000000"/>
        <rFont val="JRFonts"/>
        <charset val="134"/>
      </rPr>
      <t>28-08-2026 16:53</t>
    </r>
  </si>
  <si>
    <r>
      <rPr>
        <sz val="10"/>
        <color rgb="FF000000"/>
        <rFont val="JRFonts"/>
        <charset val="134"/>
      </rPr>
      <t>01-09-2026 10:17</t>
    </r>
  </si>
  <si>
    <r>
      <rPr>
        <sz val="10"/>
        <color rgb="FF000000"/>
        <rFont val="JRFonts"/>
        <charset val="134"/>
      </rPr>
      <t>31-08-2026 10:55</t>
    </r>
  </si>
  <si>
    <r>
      <rPr>
        <sz val="10"/>
        <color rgb="FF0000FF"/>
        <rFont val="JRFonts"/>
        <charset val="134"/>
      </rPr>
      <t>23705</t>
    </r>
  </si>
  <si>
    <r>
      <rPr>
        <sz val="10"/>
        <color rgb="FF000000"/>
        <rFont val="JRFonts"/>
        <charset val="134"/>
      </rPr>
      <t>28-08-2026 17:15</t>
    </r>
  </si>
  <si>
    <r>
      <rPr>
        <sz val="10"/>
        <color rgb="FF000000"/>
        <rFont val="JRFonts"/>
        <charset val="134"/>
      </rPr>
      <t>01-09-2026 10:41</t>
    </r>
  </si>
  <si>
    <r>
      <rPr>
        <sz val="10"/>
        <color rgb="FF000000"/>
        <rFont val="JRFonts"/>
        <charset val="134"/>
      </rPr>
      <t>31-08-2026 10:54</t>
    </r>
  </si>
  <si>
    <r>
      <rPr>
        <sz val="10"/>
        <color rgb="FF0000FF"/>
        <rFont val="JRFonts"/>
        <charset val="134"/>
      </rPr>
      <t>23706</t>
    </r>
  </si>
  <si>
    <r>
      <rPr>
        <sz val="10"/>
        <color rgb="FF000000"/>
        <rFont val="JRFonts"/>
        <charset val="134"/>
      </rPr>
      <t>28-08-2026 17:18</t>
    </r>
  </si>
  <si>
    <r>
      <rPr>
        <sz val="10"/>
        <color rgb="FF0000FF"/>
        <rFont val="JRFonts"/>
        <charset val="134"/>
      </rPr>
      <t>23708</t>
    </r>
  </si>
  <si>
    <r>
      <rPr>
        <sz val="10"/>
        <color rgb="FF000000"/>
        <rFont val="JRFonts"/>
        <charset val="134"/>
      </rPr>
      <t>28-08-2026 17:42</t>
    </r>
  </si>
  <si>
    <r>
      <rPr>
        <sz val="10"/>
        <color rgb="FF000000"/>
        <rFont val="JRFonts"/>
        <charset val="134"/>
      </rPr>
      <t>31-08-2026 11:57</t>
    </r>
  </si>
  <si>
    <r>
      <rPr>
        <sz val="10"/>
        <color rgb="FF000000"/>
        <rFont val="JRFonts"/>
        <charset val="134"/>
      </rPr>
      <t>31-08-2026 10:53</t>
    </r>
  </si>
  <si>
    <r>
      <rPr>
        <sz val="10"/>
        <color rgb="FF0000FF"/>
        <rFont val="JRFonts"/>
        <charset val="134"/>
      </rPr>
      <t>23709</t>
    </r>
  </si>
  <si>
    <r>
      <rPr>
        <sz val="10"/>
        <color rgb="FF000000"/>
        <rFont val="JRFonts"/>
        <charset val="134"/>
      </rPr>
      <t>28-08-2026 19:22</t>
    </r>
  </si>
  <si>
    <r>
      <rPr>
        <sz val="10"/>
        <color rgb="FF000000"/>
        <rFont val="JRFonts"/>
        <charset val="134"/>
      </rPr>
      <t>31-08-2026 12:40</t>
    </r>
  </si>
  <si>
    <r>
      <rPr>
        <sz val="10"/>
        <color rgb="FF000000"/>
        <rFont val="JRFonts"/>
        <charset val="134"/>
      </rPr>
      <t>31-08-2026 10:52</t>
    </r>
  </si>
  <si>
    <r>
      <rPr>
        <sz val="10"/>
        <color rgb="FF0000FF"/>
        <rFont val="JRFonts"/>
        <charset val="134"/>
      </rPr>
      <t>23711</t>
    </r>
  </si>
  <si>
    <r>
      <rPr>
        <sz val="10"/>
        <color rgb="FF000000"/>
        <rFont val="JRFonts"/>
        <charset val="134"/>
      </rPr>
      <t>29-08-2026 10:48</t>
    </r>
  </si>
  <si>
    <r>
      <rPr>
        <sz val="10"/>
        <color rgb="FF000000"/>
        <rFont val="JRFonts"/>
        <charset val="134"/>
      </rPr>
      <t>31-08-2026 16:57</t>
    </r>
  </si>
  <si>
    <r>
      <rPr>
        <sz val="10"/>
        <color rgb="FF000000"/>
        <rFont val="JRFonts"/>
        <charset val="134"/>
      </rPr>
      <t>31-08-2026 10:46</t>
    </r>
  </si>
  <si>
    <r>
      <rPr>
        <sz val="10"/>
        <color rgb="FF0000FF"/>
        <rFont val="JRFonts"/>
        <charset val="134"/>
      </rPr>
      <t>23712</t>
    </r>
  </si>
  <si>
    <r>
      <rPr>
        <sz val="10"/>
        <color rgb="FF000000"/>
        <rFont val="JRFonts"/>
        <charset val="134"/>
      </rPr>
      <t>29-08-2026 10:51</t>
    </r>
  </si>
  <si>
    <r>
      <rPr>
        <sz val="10"/>
        <color rgb="FF000000"/>
        <rFont val="JRFonts"/>
        <charset val="134"/>
      </rPr>
      <t>31-08-2026 10:43</t>
    </r>
  </si>
  <si>
    <r>
      <rPr>
        <sz val="10"/>
        <color rgb="FF0000FF"/>
        <rFont val="JRFonts"/>
        <charset val="134"/>
      </rPr>
      <t>23713</t>
    </r>
  </si>
  <si>
    <r>
      <rPr>
        <sz val="10"/>
        <color rgb="FF000000"/>
        <rFont val="JRFonts"/>
        <charset val="134"/>
      </rPr>
      <t>29-08-2026 11:03</t>
    </r>
  </si>
  <si>
    <r>
      <rPr>
        <sz val="10"/>
        <color rgb="FF000000"/>
        <rFont val="JRFonts"/>
        <charset val="134"/>
      </rPr>
      <t>30-08-2026 19:00</t>
    </r>
  </si>
  <si>
    <r>
      <rPr>
        <sz val="10"/>
        <color rgb="FF000000"/>
        <rFont val="JRFonts"/>
        <charset val="134"/>
      </rPr>
      <t>30-08-2026 18:59</t>
    </r>
  </si>
  <si>
    <r>
      <rPr>
        <sz val="10"/>
        <color rgb="FF0000FF"/>
        <rFont val="JRFonts"/>
        <charset val="134"/>
      </rPr>
      <t>23714</t>
    </r>
  </si>
  <si>
    <r>
      <rPr>
        <sz val="10"/>
        <color rgb="FF000000"/>
        <rFont val="JRFonts"/>
        <charset val="134"/>
      </rPr>
      <t>29-08-2026 11:12</t>
    </r>
  </si>
  <si>
    <r>
      <rPr>
        <sz val="10"/>
        <color rgb="FF000000"/>
        <rFont val="JRFonts"/>
        <charset val="134"/>
      </rPr>
      <t>31-08-2026 11:08</t>
    </r>
  </si>
  <si>
    <r>
      <rPr>
        <sz val="10"/>
        <color rgb="FF000000"/>
        <rFont val="JRFonts"/>
        <charset val="134"/>
      </rPr>
      <t>31-08-2026 10:42</t>
    </r>
  </si>
  <si>
    <r>
      <rPr>
        <sz val="10"/>
        <color rgb="FF0000FF"/>
        <rFont val="JRFonts"/>
        <charset val="134"/>
      </rPr>
      <t>23715</t>
    </r>
  </si>
  <si>
    <r>
      <rPr>
        <sz val="10"/>
        <color rgb="FF000000"/>
        <rFont val="JRFonts"/>
        <charset val="134"/>
      </rPr>
      <t>29-08-2026 11:36</t>
    </r>
  </si>
  <si>
    <r>
      <rPr>
        <sz val="10"/>
        <color rgb="FF000000"/>
        <rFont val="JRFonts"/>
        <charset val="134"/>
      </rPr>
      <t>31-08-2026 10:41</t>
    </r>
  </si>
  <si>
    <r>
      <rPr>
        <sz val="10"/>
        <color rgb="FF0000FF"/>
        <rFont val="JRFonts"/>
        <charset val="134"/>
      </rPr>
      <t>23717</t>
    </r>
  </si>
  <si>
    <r>
      <rPr>
        <sz val="10"/>
        <color rgb="FF000000"/>
        <rFont val="JRFonts"/>
        <charset val="134"/>
      </rPr>
      <t>29-08-2026 11:52</t>
    </r>
  </si>
  <si>
    <r>
      <rPr>
        <sz val="10"/>
        <color rgb="FF000000"/>
        <rFont val="JRFonts"/>
        <charset val="134"/>
      </rPr>
      <t>03-09-2026 14:59</t>
    </r>
  </si>
  <si>
    <r>
      <rPr>
        <sz val="10"/>
        <color rgb="FF000000"/>
        <rFont val="JRFonts"/>
        <charset val="134"/>
      </rPr>
      <t>31-08-2026 10:33</t>
    </r>
  </si>
  <si>
    <t>23717</t>
  </si>
  <si>
    <r>
      <rPr>
        <sz val="10"/>
        <color rgb="FF0000FF"/>
        <rFont val="JRFonts"/>
        <charset val="134"/>
      </rPr>
      <t>23719</t>
    </r>
  </si>
  <si>
    <r>
      <rPr>
        <sz val="10"/>
        <color rgb="FF000000"/>
        <rFont val="JRFonts"/>
        <charset val="134"/>
      </rPr>
      <t>29-08-2026 12:34</t>
    </r>
  </si>
  <si>
    <r>
      <rPr>
        <sz val="10"/>
        <color rgb="FF000000"/>
        <rFont val="JRFonts"/>
        <charset val="134"/>
      </rPr>
      <t>31-08-2026 15:37</t>
    </r>
  </si>
  <si>
    <r>
      <rPr>
        <sz val="10"/>
        <color rgb="FF000000"/>
        <rFont val="JRFonts"/>
        <charset val="134"/>
      </rPr>
      <t>31-08-2026 10:32</t>
    </r>
  </si>
  <si>
    <r>
      <rPr>
        <sz val="10"/>
        <color rgb="FF0000FF"/>
        <rFont val="JRFonts"/>
        <charset val="134"/>
      </rPr>
      <t>23720</t>
    </r>
  </si>
  <si>
    <r>
      <rPr>
        <sz val="10"/>
        <color rgb="FF000000"/>
        <rFont val="JRFonts"/>
        <charset val="134"/>
      </rPr>
      <t>29-08-2026 12:43</t>
    </r>
  </si>
  <si>
    <r>
      <rPr>
        <sz val="10"/>
        <color rgb="FF000000"/>
        <rFont val="JRFonts"/>
        <charset val="134"/>
      </rPr>
      <t>31-08-2026 15:44</t>
    </r>
  </si>
  <si>
    <r>
      <rPr>
        <sz val="10"/>
        <color rgb="FF000000"/>
        <rFont val="JRFonts"/>
        <charset val="134"/>
      </rPr>
      <t>31-08-2026 10:28</t>
    </r>
  </si>
  <si>
    <r>
      <rPr>
        <sz val="10"/>
        <color rgb="FF0000FF"/>
        <rFont val="JRFonts"/>
        <charset val="134"/>
      </rPr>
      <t>23698</t>
    </r>
  </si>
  <si>
    <r>
      <rPr>
        <sz val="10"/>
        <color rgb="FF000000"/>
        <rFont val="JRFonts"/>
        <charset val="134"/>
      </rPr>
      <t>28-08-2026 15:37</t>
    </r>
  </si>
  <si>
    <r>
      <rPr>
        <sz val="10"/>
        <color rgb="FF000000"/>
        <rFont val="JRFonts"/>
        <charset val="134"/>
      </rPr>
      <t>07-09-2026 11:17</t>
    </r>
  </si>
  <si>
    <t>23698</t>
  </si>
  <si>
    <r>
      <rPr>
        <sz val="10"/>
        <color rgb="FF0000FF"/>
        <rFont val="JRFonts"/>
        <charset val="134"/>
      </rPr>
      <t>23722</t>
    </r>
  </si>
  <si>
    <r>
      <rPr>
        <sz val="10"/>
        <color rgb="FF000000"/>
        <rFont val="JRFonts"/>
        <charset val="134"/>
      </rPr>
      <t>29-08-2026 13:35</t>
    </r>
  </si>
  <si>
    <r>
      <rPr>
        <sz val="10"/>
        <color rgb="FF000000"/>
        <rFont val="JRFonts"/>
        <charset val="134"/>
      </rPr>
      <t>01-09-2026 13:55</t>
    </r>
  </si>
  <si>
    <r>
      <rPr>
        <sz val="10"/>
        <color rgb="FF000000"/>
        <rFont val="JRFonts"/>
        <charset val="134"/>
      </rPr>
      <t>31-08-2026 10:27</t>
    </r>
  </si>
  <si>
    <r>
      <rPr>
        <sz val="10"/>
        <color rgb="FF0000FF"/>
        <rFont val="JRFonts"/>
        <charset val="134"/>
      </rPr>
      <t>23728</t>
    </r>
  </si>
  <si>
    <r>
      <rPr>
        <sz val="10"/>
        <color rgb="FF000000"/>
        <rFont val="JRFonts"/>
        <charset val="134"/>
      </rPr>
      <t>29-08-2026 15:49</t>
    </r>
  </si>
  <si>
    <r>
      <rPr>
        <sz val="10"/>
        <color rgb="FF000000"/>
        <rFont val="JRFonts"/>
        <charset val="134"/>
      </rPr>
      <t>01-09-2026 16:09</t>
    </r>
  </si>
  <si>
    <r>
      <rPr>
        <sz val="10"/>
        <color rgb="FF000000"/>
        <rFont val="JRFonts"/>
        <charset val="134"/>
      </rPr>
      <t>31-08-2026 10:25</t>
    </r>
  </si>
  <si>
    <r>
      <rPr>
        <sz val="10"/>
        <color rgb="FF0000FF"/>
        <rFont val="JRFonts"/>
        <charset val="134"/>
      </rPr>
      <t>23730</t>
    </r>
  </si>
  <si>
    <r>
      <rPr>
        <sz val="10"/>
        <color rgb="FF000000"/>
        <rFont val="JRFonts"/>
        <charset val="134"/>
      </rPr>
      <t>29-08-2026 16:22</t>
    </r>
  </si>
  <si>
    <r>
      <rPr>
        <sz val="10"/>
        <color rgb="FF000000"/>
        <rFont val="JRFonts"/>
        <charset val="134"/>
      </rPr>
      <t>29-08-2026 17:42</t>
    </r>
  </si>
  <si>
    <r>
      <rPr>
        <sz val="10"/>
        <color rgb="FF000000"/>
        <rFont val="JRFonts"/>
        <charset val="134"/>
      </rPr>
      <t>29-08-2026 16:27</t>
    </r>
  </si>
  <si>
    <r>
      <rPr>
        <sz val="10"/>
        <color rgb="FF0000FF"/>
        <rFont val="JRFonts"/>
        <charset val="134"/>
      </rPr>
      <t>23731</t>
    </r>
  </si>
  <si>
    <r>
      <rPr>
        <sz val="10"/>
        <color rgb="FF000000"/>
        <rFont val="JRFonts"/>
        <charset val="134"/>
      </rPr>
      <t>29-08-2026 16:34</t>
    </r>
  </si>
  <si>
    <r>
      <rPr>
        <sz val="10"/>
        <color rgb="FF000000"/>
        <rFont val="JRFonts"/>
        <charset val="134"/>
      </rPr>
      <t>31-08-2026 11:38</t>
    </r>
  </si>
  <si>
    <r>
      <rPr>
        <sz val="10"/>
        <color rgb="FF0000FF"/>
        <rFont val="JRFonts"/>
        <charset val="134"/>
      </rPr>
      <t>23732</t>
    </r>
  </si>
  <si>
    <r>
      <rPr>
        <sz val="10"/>
        <color rgb="FF000000"/>
        <rFont val="JRFonts"/>
        <charset val="134"/>
      </rPr>
      <t>29-08-2026 16:37</t>
    </r>
  </si>
  <si>
    <r>
      <rPr>
        <sz val="10"/>
        <color rgb="FF000000"/>
        <rFont val="JRFonts"/>
        <charset val="134"/>
      </rPr>
      <t>31-08-2026 10:24</t>
    </r>
  </si>
  <si>
    <r>
      <rPr>
        <sz val="10"/>
        <color rgb="FF0000FF"/>
        <rFont val="JRFonts"/>
        <charset val="134"/>
      </rPr>
      <t>23733</t>
    </r>
  </si>
  <si>
    <r>
      <rPr>
        <sz val="10"/>
        <color rgb="FF000000"/>
        <rFont val="JRFonts"/>
        <charset val="134"/>
      </rPr>
      <t>29-08-2026 17:14</t>
    </r>
  </si>
  <si>
    <r>
      <rPr>
        <sz val="10"/>
        <color rgb="FF000000"/>
        <rFont val="JRFonts"/>
        <charset val="134"/>
      </rPr>
      <t>29-08-2026 16:38</t>
    </r>
  </si>
  <si>
    <r>
      <rPr>
        <sz val="10"/>
        <color rgb="FF0000FF"/>
        <rFont val="JRFonts"/>
        <charset val="134"/>
      </rPr>
      <t>23735</t>
    </r>
  </si>
  <si>
    <r>
      <rPr>
        <sz val="10"/>
        <color rgb="FF000000"/>
        <rFont val="JRFonts"/>
        <charset val="134"/>
      </rPr>
      <t>31-08-2026 15:38</t>
    </r>
  </si>
  <si>
    <r>
      <rPr>
        <sz val="10"/>
        <color rgb="FF000000"/>
        <rFont val="JRFonts"/>
        <charset val="134"/>
      </rPr>
      <t>31-08-2026 10:22</t>
    </r>
  </si>
  <si>
    <r>
      <rPr>
        <sz val="10"/>
        <color rgb="FF0000FF"/>
        <rFont val="JRFonts"/>
        <charset val="134"/>
      </rPr>
      <t>23736</t>
    </r>
  </si>
  <si>
    <r>
      <rPr>
        <sz val="10"/>
        <color rgb="FF000000"/>
        <rFont val="JRFonts"/>
        <charset val="134"/>
      </rPr>
      <t>29-08-2026 17:17</t>
    </r>
  </si>
  <si>
    <r>
      <rPr>
        <sz val="10"/>
        <color rgb="FF000000"/>
        <rFont val="JRFonts"/>
        <charset val="134"/>
      </rPr>
      <t>29-08-2026 18:42</t>
    </r>
  </si>
  <si>
    <r>
      <rPr>
        <sz val="10"/>
        <color rgb="FF000000"/>
        <rFont val="JRFonts"/>
        <charset val="134"/>
      </rPr>
      <t>31-08-2026 11:33</t>
    </r>
  </si>
  <si>
    <r>
      <rPr>
        <sz val="10"/>
        <color rgb="FF0000FF"/>
        <rFont val="JRFonts"/>
        <charset val="134"/>
      </rPr>
      <t>23737</t>
    </r>
  </si>
  <si>
    <r>
      <rPr>
        <sz val="10"/>
        <color rgb="FF000000"/>
        <rFont val="JRFonts"/>
        <charset val="134"/>
      </rPr>
      <t>29-08-2026 17:35</t>
    </r>
  </si>
  <si>
    <r>
      <rPr>
        <sz val="10"/>
        <color rgb="FF000000"/>
        <rFont val="JRFonts"/>
        <charset val="134"/>
      </rPr>
      <t>29-08-2026 17:58</t>
    </r>
  </si>
  <si>
    <r>
      <rPr>
        <sz val="10"/>
        <color rgb="FF000000"/>
        <rFont val="JRFonts"/>
        <charset val="134"/>
      </rPr>
      <t>31-08-2026 11:37</t>
    </r>
  </si>
  <si>
    <r>
      <rPr>
        <sz val="10"/>
        <color rgb="FF0000FF"/>
        <rFont val="JRFonts"/>
        <charset val="134"/>
      </rPr>
      <t>23741</t>
    </r>
  </si>
  <si>
    <r>
      <rPr>
        <sz val="10"/>
        <color rgb="FF000000"/>
        <rFont val="JRFonts"/>
        <charset val="134"/>
      </rPr>
      <t>29-08-2026 19:55</t>
    </r>
  </si>
  <si>
    <r>
      <rPr>
        <sz val="10"/>
        <color rgb="FF000000"/>
        <rFont val="JRFonts"/>
        <charset val="134"/>
      </rPr>
      <t>30-08-2026 18:53</t>
    </r>
  </si>
  <si>
    <r>
      <rPr>
        <sz val="10"/>
        <color rgb="FF000000"/>
        <rFont val="JRFonts"/>
        <charset val="134"/>
      </rPr>
      <t>30-08-2026 18:52</t>
    </r>
  </si>
  <si>
    <r>
      <rPr>
        <sz val="10"/>
        <color rgb="FF0000FF"/>
        <rFont val="JRFonts"/>
        <charset val="134"/>
      </rPr>
      <t>23744</t>
    </r>
  </si>
  <si>
    <r>
      <rPr>
        <sz val="10"/>
        <color rgb="FF000000"/>
        <rFont val="JRFonts"/>
        <charset val="134"/>
      </rPr>
      <t>30-08-2026 11:07</t>
    </r>
  </si>
  <si>
    <r>
      <rPr>
        <sz val="10"/>
        <color rgb="FF000000"/>
        <rFont val="JRFonts"/>
        <charset val="134"/>
      </rPr>
      <t>31-08-2026 15:21</t>
    </r>
  </si>
  <si>
    <r>
      <rPr>
        <sz val="10"/>
        <color rgb="FF000000"/>
        <rFont val="JRFonts"/>
        <charset val="134"/>
      </rPr>
      <t>31-08-2026 10:15</t>
    </r>
  </si>
  <si>
    <r>
      <rPr>
        <sz val="10"/>
        <color rgb="FF0000FF"/>
        <rFont val="JRFonts"/>
        <charset val="134"/>
      </rPr>
      <t>23745</t>
    </r>
  </si>
  <si>
    <r>
      <rPr>
        <sz val="10"/>
        <color rgb="FF000000"/>
        <rFont val="JRFonts"/>
        <charset val="134"/>
      </rPr>
      <t>31-08-2026 10:10</t>
    </r>
  </si>
  <si>
    <r>
      <rPr>
        <sz val="10"/>
        <color rgb="FF000000"/>
        <rFont val="JRFonts"/>
        <charset val="134"/>
      </rPr>
      <t>31-08-2026 10:40</t>
    </r>
  </si>
  <si>
    <r>
      <rPr>
        <sz val="10"/>
        <color rgb="FF000000"/>
        <rFont val="JRFonts"/>
        <charset val="134"/>
      </rPr>
      <t>31-08-2026 10:16</t>
    </r>
  </si>
  <si>
    <r>
      <rPr>
        <sz val="10"/>
        <color rgb="FF0000FF"/>
        <rFont val="JRFonts"/>
        <charset val="134"/>
      </rPr>
      <t>23749</t>
    </r>
  </si>
  <si>
    <r>
      <rPr>
        <sz val="10"/>
        <color rgb="FF000000"/>
        <rFont val="JRFonts"/>
        <charset val="134"/>
      </rPr>
      <t>31-08-2026 10:44</t>
    </r>
  </si>
  <si>
    <r>
      <rPr>
        <sz val="10"/>
        <color rgb="FF000000"/>
        <rFont val="JRFonts"/>
        <charset val="134"/>
      </rPr>
      <t>31-08-2026 11:09</t>
    </r>
  </si>
  <si>
    <r>
      <rPr>
        <sz val="10"/>
        <color rgb="FF000000"/>
        <rFont val="JRFonts"/>
        <charset val="134"/>
      </rPr>
      <t>31-08-2026 10:59</t>
    </r>
  </si>
  <si>
    <r>
      <rPr>
        <sz val="10"/>
        <color rgb="FF0000FF"/>
        <rFont val="JRFonts"/>
        <charset val="134"/>
      </rPr>
      <t>23754</t>
    </r>
  </si>
  <si>
    <r>
      <rPr>
        <sz val="10"/>
        <color rgb="FF000000"/>
        <rFont val="JRFonts"/>
        <charset val="134"/>
      </rPr>
      <t>31-08-2026 11:11</t>
    </r>
  </si>
  <si>
    <r>
      <rPr>
        <sz val="10"/>
        <color rgb="FF000000"/>
        <rFont val="JRFonts"/>
        <charset val="134"/>
      </rPr>
      <t>31-08-2026 14:40</t>
    </r>
  </si>
  <si>
    <r>
      <rPr>
        <sz val="10"/>
        <color rgb="FF000000"/>
        <rFont val="JRFonts"/>
        <charset val="134"/>
      </rPr>
      <t>31-08-2026 11:22</t>
    </r>
  </si>
  <si>
    <r>
      <rPr>
        <sz val="10"/>
        <color rgb="FF0000FF"/>
        <rFont val="JRFonts"/>
        <charset val="134"/>
      </rPr>
      <t>23755</t>
    </r>
  </si>
  <si>
    <r>
      <rPr>
        <sz val="10"/>
        <color rgb="FF000000"/>
        <rFont val="JRFonts"/>
        <charset val="134"/>
      </rPr>
      <t>31-08-2026 11:20</t>
    </r>
  </si>
  <si>
    <r>
      <rPr>
        <sz val="10"/>
        <color rgb="FF000000"/>
        <rFont val="JRFonts"/>
        <charset val="134"/>
      </rPr>
      <t>31-08-2026 17:04</t>
    </r>
  </si>
  <si>
    <r>
      <rPr>
        <sz val="10"/>
        <color rgb="FF000000"/>
        <rFont val="JRFonts"/>
        <charset val="134"/>
      </rPr>
      <t>31-08-2026 11:25</t>
    </r>
  </si>
  <si>
    <r>
      <rPr>
        <sz val="10"/>
        <color rgb="FF0000FF"/>
        <rFont val="JRFonts"/>
        <charset val="134"/>
      </rPr>
      <t>23756</t>
    </r>
  </si>
  <si>
    <r>
      <rPr>
        <sz val="10"/>
        <color rgb="FF000000"/>
        <rFont val="JRFonts"/>
        <charset val="134"/>
      </rPr>
      <t>31-08-2026 11:23</t>
    </r>
  </si>
  <si>
    <r>
      <rPr>
        <sz val="10"/>
        <color rgb="FF000000"/>
        <rFont val="JRFonts"/>
        <charset val="134"/>
      </rPr>
      <t>31-08-2026 14:42</t>
    </r>
  </si>
  <si>
    <r>
      <rPr>
        <sz val="10"/>
        <color rgb="FF000000"/>
        <rFont val="JRFonts"/>
        <charset val="134"/>
      </rPr>
      <t>31-08-2026 11:35</t>
    </r>
  </si>
  <si>
    <r>
      <rPr>
        <sz val="10"/>
        <color rgb="FF0000FF"/>
        <rFont val="JRFonts"/>
        <charset val="134"/>
      </rPr>
      <t>23757</t>
    </r>
  </si>
  <si>
    <r>
      <rPr>
        <sz val="10"/>
        <color rgb="FF000000"/>
        <rFont val="JRFonts"/>
        <charset val="134"/>
      </rPr>
      <t>15-09-2026 11:04</t>
    </r>
  </si>
  <si>
    <t>23757</t>
  </si>
  <si>
    <r>
      <rPr>
        <sz val="10"/>
        <color rgb="FF0000FF"/>
        <rFont val="JRFonts"/>
        <charset val="134"/>
      </rPr>
      <t>23758</t>
    </r>
  </si>
  <si>
    <r>
      <rPr>
        <sz val="10"/>
        <color rgb="FF000000"/>
        <rFont val="JRFonts"/>
        <charset val="134"/>
      </rPr>
      <t>31-08-2026 16:00</t>
    </r>
  </si>
  <si>
    <r>
      <rPr>
        <sz val="10"/>
        <color rgb="FF000000"/>
        <rFont val="JRFonts"/>
        <charset val="134"/>
      </rPr>
      <t>31-08-2026 11:43</t>
    </r>
  </si>
  <si>
    <r>
      <rPr>
        <sz val="10"/>
        <color rgb="FF0000FF"/>
        <rFont val="JRFonts"/>
        <charset val="134"/>
      </rPr>
      <t>23759</t>
    </r>
  </si>
  <si>
    <r>
      <rPr>
        <sz val="10"/>
        <color rgb="FF000000"/>
        <rFont val="JRFonts"/>
        <charset val="134"/>
      </rPr>
      <t>31-08-2026 12:03</t>
    </r>
  </si>
  <si>
    <r>
      <rPr>
        <sz val="10"/>
        <color rgb="FF000000"/>
        <rFont val="JRFonts"/>
        <charset val="134"/>
      </rPr>
      <t>31-08-2026 15:13</t>
    </r>
  </si>
  <si>
    <r>
      <rPr>
        <sz val="10"/>
        <color rgb="FF000000"/>
        <rFont val="JRFonts"/>
        <charset val="134"/>
      </rPr>
      <t>31-08-2026 12:05</t>
    </r>
  </si>
  <si>
    <r>
      <rPr>
        <sz val="10"/>
        <color rgb="FF0000FF"/>
        <rFont val="JRFonts"/>
        <charset val="134"/>
      </rPr>
      <t>23760</t>
    </r>
  </si>
  <si>
    <r>
      <rPr>
        <sz val="10"/>
        <color rgb="FF000000"/>
        <rFont val="JRFonts"/>
        <charset val="134"/>
      </rPr>
      <t>31-08-2026 12:06</t>
    </r>
  </si>
  <si>
    <r>
      <rPr>
        <sz val="10"/>
        <color rgb="FF000000"/>
        <rFont val="JRFonts"/>
        <charset val="134"/>
      </rPr>
      <t>08-09-2026 11:31</t>
    </r>
  </si>
  <si>
    <r>
      <rPr>
        <sz val="10"/>
        <color rgb="FF000000"/>
        <rFont val="JRFonts"/>
        <charset val="134"/>
      </rPr>
      <t>31-08-2026 12:11</t>
    </r>
  </si>
  <si>
    <t>23760</t>
  </si>
  <si>
    <t>Duplicate of # 23763</t>
  </si>
  <si>
    <r>
      <rPr>
        <sz val="10"/>
        <color rgb="FF0000FF"/>
        <rFont val="JRFonts"/>
        <charset val="134"/>
      </rPr>
      <t>23761</t>
    </r>
  </si>
  <si>
    <r>
      <rPr>
        <sz val="10"/>
        <color rgb="FF000000"/>
        <rFont val="JRFonts"/>
        <charset val="134"/>
      </rPr>
      <t>31-08-2026 16:56</t>
    </r>
  </si>
  <si>
    <r>
      <rPr>
        <sz val="10"/>
        <color rgb="FF000000"/>
        <rFont val="JRFonts"/>
        <charset val="134"/>
      </rPr>
      <t>31-08-2026 12:09</t>
    </r>
  </si>
  <si>
    <r>
      <rPr>
        <sz val="10"/>
        <color rgb="FF0000FF"/>
        <rFont val="JRFonts"/>
        <charset val="134"/>
      </rPr>
      <t>23762</t>
    </r>
  </si>
  <si>
    <r>
      <rPr>
        <sz val="10"/>
        <color rgb="FF000000"/>
        <rFont val="JRFonts"/>
        <charset val="134"/>
      </rPr>
      <t>02-09-2026 12:47</t>
    </r>
  </si>
  <si>
    <r>
      <rPr>
        <sz val="10"/>
        <color rgb="FF000000"/>
        <rFont val="JRFonts"/>
        <charset val="134"/>
      </rPr>
      <t>01-09-2026 18:16</t>
    </r>
  </si>
  <si>
    <r>
      <rPr>
        <sz val="10"/>
        <color rgb="FF0000FF"/>
        <rFont val="JRFonts"/>
        <charset val="134"/>
      </rPr>
      <t>23763</t>
    </r>
  </si>
  <si>
    <r>
      <rPr>
        <sz val="10"/>
        <color rgb="FF000000"/>
        <rFont val="JRFonts"/>
        <charset val="134"/>
      </rPr>
      <t>31-08-2026 12:21</t>
    </r>
  </si>
  <si>
    <r>
      <rPr>
        <sz val="10"/>
        <color rgb="FF000000"/>
        <rFont val="JRFonts"/>
        <charset val="134"/>
      </rPr>
      <t>08-09-2026 11:34</t>
    </r>
  </si>
  <si>
    <r>
      <rPr>
        <sz val="10"/>
        <color rgb="FF000000"/>
        <rFont val="JRFonts"/>
        <charset val="134"/>
      </rPr>
      <t>31-08-2026 12:24</t>
    </r>
  </si>
  <si>
    <t>23763</t>
  </si>
  <si>
    <r>
      <rPr>
        <sz val="10"/>
        <color rgb="FF0000FF"/>
        <rFont val="JRFonts"/>
        <charset val="134"/>
      </rPr>
      <t>23765</t>
    </r>
  </si>
  <si>
    <r>
      <rPr>
        <sz val="10"/>
        <color rgb="FF000000"/>
        <rFont val="JRFonts"/>
        <charset val="134"/>
      </rPr>
      <t>31-08-2026 12:36</t>
    </r>
  </si>
  <si>
    <r>
      <rPr>
        <sz val="10"/>
        <color rgb="FF000000"/>
        <rFont val="JRFonts"/>
        <charset val="134"/>
      </rPr>
      <t>31-08-2026 17:03</t>
    </r>
  </si>
  <si>
    <r>
      <rPr>
        <sz val="10"/>
        <color rgb="FF000000"/>
        <rFont val="JRFonts"/>
        <charset val="134"/>
      </rPr>
      <t>31-08-2026 12:42</t>
    </r>
  </si>
  <si>
    <r>
      <rPr>
        <sz val="10"/>
        <color rgb="FF0000FF"/>
        <rFont val="JRFonts"/>
        <charset val="134"/>
      </rPr>
      <t>23766</t>
    </r>
  </si>
  <si>
    <r>
      <rPr>
        <sz val="10"/>
        <color rgb="FF000000"/>
        <rFont val="JRFonts"/>
        <charset val="134"/>
      </rPr>
      <t>01-09-2026 10:56</t>
    </r>
  </si>
  <si>
    <r>
      <rPr>
        <sz val="10"/>
        <color rgb="FF000000"/>
        <rFont val="JRFonts"/>
        <charset val="134"/>
      </rPr>
      <t>31-08-2026 12:48</t>
    </r>
  </si>
  <si>
    <r>
      <rPr>
        <sz val="10"/>
        <color rgb="FF0000FF"/>
        <rFont val="JRFonts"/>
        <charset val="134"/>
      </rPr>
      <t>23767</t>
    </r>
  </si>
  <si>
    <r>
      <rPr>
        <sz val="10"/>
        <color rgb="FF000000"/>
        <rFont val="JRFonts"/>
        <charset val="134"/>
      </rPr>
      <t>31-08-2026 18:42</t>
    </r>
  </si>
  <si>
    <r>
      <rPr>
        <sz val="10"/>
        <color rgb="FF0000FF"/>
        <rFont val="JRFonts"/>
        <charset val="134"/>
      </rPr>
      <t>23768</t>
    </r>
  </si>
  <si>
    <r>
      <rPr>
        <sz val="10"/>
        <color rgb="FF000000"/>
        <rFont val="JRFonts"/>
        <charset val="134"/>
      </rPr>
      <t>31-08-2026 12:49</t>
    </r>
  </si>
  <si>
    <r>
      <rPr>
        <sz val="10"/>
        <color rgb="FF000000"/>
        <rFont val="JRFonts"/>
        <charset val="134"/>
      </rPr>
      <t>31-08-2026 19:11</t>
    </r>
  </si>
  <si>
    <r>
      <rPr>
        <sz val="10"/>
        <color rgb="FF000000"/>
        <rFont val="JRFonts"/>
        <charset val="134"/>
      </rPr>
      <t>31-08-2026 12:55</t>
    </r>
  </si>
  <si>
    <r>
      <rPr>
        <sz val="10"/>
        <color rgb="FF0000FF"/>
        <rFont val="JRFonts"/>
        <charset val="134"/>
      </rPr>
      <t>23769</t>
    </r>
  </si>
  <si>
    <r>
      <rPr>
        <sz val="10"/>
        <color rgb="FF000000"/>
        <rFont val="JRFonts"/>
        <charset val="134"/>
      </rPr>
      <t>31-08-2026 12:52</t>
    </r>
  </si>
  <si>
    <r>
      <rPr>
        <sz val="10"/>
        <color rgb="FF000000"/>
        <rFont val="JRFonts"/>
        <charset val="134"/>
      </rPr>
      <t>31-08-2026 15:27</t>
    </r>
  </si>
  <si>
    <r>
      <rPr>
        <sz val="10"/>
        <color rgb="FF000000"/>
        <rFont val="JRFonts"/>
        <charset val="134"/>
      </rPr>
      <t>31-08-2026 12:57</t>
    </r>
  </si>
  <si>
    <r>
      <rPr>
        <sz val="10"/>
        <color rgb="FF0000FF"/>
        <rFont val="JRFonts"/>
        <charset val="134"/>
      </rPr>
      <t>23771</t>
    </r>
  </si>
  <si>
    <r>
      <rPr>
        <sz val="10"/>
        <color rgb="FF000000"/>
        <rFont val="JRFonts"/>
        <charset val="134"/>
      </rPr>
      <t>31-08-2026 13:07</t>
    </r>
  </si>
  <si>
    <r>
      <rPr>
        <sz val="10"/>
        <color rgb="FF000000"/>
        <rFont val="JRFonts"/>
        <charset val="134"/>
      </rPr>
      <t>31-08-2026 15:35</t>
    </r>
  </si>
  <si>
    <r>
      <rPr>
        <sz val="10"/>
        <color rgb="FF000000"/>
        <rFont val="JRFonts"/>
        <charset val="134"/>
      </rPr>
      <t>31-08-2026 14:00</t>
    </r>
  </si>
  <si>
    <r>
      <rPr>
        <sz val="10"/>
        <color rgb="FF0000FF"/>
        <rFont val="JRFonts"/>
        <charset val="134"/>
      </rPr>
      <t>23773</t>
    </r>
  </si>
  <si>
    <r>
      <rPr>
        <sz val="10"/>
        <color rgb="FF000000"/>
        <rFont val="JRFonts"/>
        <charset val="134"/>
      </rPr>
      <t>31-08-2026 14:02</t>
    </r>
  </si>
  <si>
    <r>
      <rPr>
        <sz val="10"/>
        <color rgb="FF0000FF"/>
        <rFont val="JRFonts"/>
        <charset val="134"/>
      </rPr>
      <t>23774</t>
    </r>
  </si>
  <si>
    <r>
      <rPr>
        <sz val="10"/>
        <color rgb="FF000000"/>
        <rFont val="JRFonts"/>
        <charset val="134"/>
      </rPr>
      <t>31-08-2026 13:22</t>
    </r>
  </si>
  <si>
    <r>
      <rPr>
        <sz val="10"/>
        <color rgb="FF000000"/>
        <rFont val="JRFonts"/>
        <charset val="134"/>
      </rPr>
      <t>18-09-2026 12:17</t>
    </r>
  </si>
  <si>
    <r>
      <rPr>
        <sz val="10"/>
        <color rgb="FF000000"/>
        <rFont val="JRFonts"/>
        <charset val="134"/>
      </rPr>
      <t>31-08-2026 13:58</t>
    </r>
  </si>
  <si>
    <t>23774</t>
  </si>
  <si>
    <r>
      <rPr>
        <sz val="10"/>
        <color rgb="FF0000FF"/>
        <rFont val="JRFonts"/>
        <charset val="134"/>
      </rPr>
      <t>23776</t>
    </r>
  </si>
  <si>
    <r>
      <rPr>
        <sz val="10"/>
        <color rgb="FF000000"/>
        <rFont val="JRFonts"/>
        <charset val="134"/>
      </rPr>
      <t>31-08-2026 13:49</t>
    </r>
  </si>
  <si>
    <r>
      <rPr>
        <sz val="10"/>
        <color rgb="FF000000"/>
        <rFont val="JRFonts"/>
        <charset val="134"/>
      </rPr>
      <t>31-08-2026 13:57</t>
    </r>
  </si>
  <si>
    <r>
      <rPr>
        <sz val="10"/>
        <color rgb="FF0000FF"/>
        <rFont val="JRFonts"/>
        <charset val="134"/>
      </rPr>
      <t>23777</t>
    </r>
  </si>
  <si>
    <r>
      <rPr>
        <sz val="10"/>
        <color rgb="FF000000"/>
        <rFont val="JRFonts"/>
        <charset val="134"/>
      </rPr>
      <t>31-08-2026 14:11</t>
    </r>
  </si>
  <si>
    <r>
      <rPr>
        <sz val="10"/>
        <color rgb="FF000000"/>
        <rFont val="JRFonts"/>
        <charset val="134"/>
      </rPr>
      <t>31-08-2026 16:23</t>
    </r>
  </si>
  <si>
    <r>
      <rPr>
        <sz val="10"/>
        <color rgb="FF000000"/>
        <rFont val="JRFonts"/>
        <charset val="134"/>
      </rPr>
      <t>31-08-2026 14:16</t>
    </r>
  </si>
  <si>
    <r>
      <rPr>
        <sz val="10"/>
        <color rgb="FF0000FF"/>
        <rFont val="JRFonts"/>
        <charset val="134"/>
      </rPr>
      <t>23778</t>
    </r>
  </si>
  <si>
    <r>
      <rPr>
        <sz val="10"/>
        <color rgb="FF000000"/>
        <rFont val="JRFonts"/>
        <charset val="134"/>
      </rPr>
      <t>31-08-2026 14:41</t>
    </r>
  </si>
  <si>
    <r>
      <rPr>
        <sz val="10"/>
        <color rgb="FF000000"/>
        <rFont val="JRFonts"/>
        <charset val="134"/>
      </rPr>
      <t>08-09-2026 18:18</t>
    </r>
  </si>
  <si>
    <r>
      <rPr>
        <sz val="10"/>
        <color rgb="FF000000"/>
        <rFont val="JRFonts"/>
        <charset val="134"/>
      </rPr>
      <t>08-09-2026 16:55</t>
    </r>
  </si>
  <si>
    <r>
      <rPr>
        <sz val="10"/>
        <color rgb="FF0000FF"/>
        <rFont val="JRFonts"/>
        <charset val="134"/>
      </rPr>
      <t>23779</t>
    </r>
  </si>
  <si>
    <r>
      <rPr>
        <sz val="10"/>
        <color rgb="FF000000"/>
        <rFont val="JRFonts"/>
        <charset val="134"/>
      </rPr>
      <t>31-08-2026 14:47</t>
    </r>
  </si>
  <si>
    <r>
      <rPr>
        <sz val="10"/>
        <color rgb="FF000000"/>
        <rFont val="JRFonts"/>
        <charset val="134"/>
      </rPr>
      <t>08-09-2026 14:04</t>
    </r>
  </si>
  <si>
    <r>
      <rPr>
        <sz val="10"/>
        <color rgb="FF000000"/>
        <rFont val="JRFonts"/>
        <charset val="134"/>
      </rPr>
      <t>31-08-2026 14:49</t>
    </r>
  </si>
  <si>
    <t>23779</t>
  </si>
  <si>
    <r>
      <rPr>
        <sz val="10"/>
        <color rgb="FF0000FF"/>
        <rFont val="JRFonts"/>
        <charset val="134"/>
      </rPr>
      <t>23781</t>
    </r>
  </si>
  <si>
    <r>
      <rPr>
        <sz val="10"/>
        <color rgb="FF000000"/>
        <rFont val="JRFonts"/>
        <charset val="134"/>
      </rPr>
      <t>31-08-2026 16:32</t>
    </r>
  </si>
  <si>
    <r>
      <rPr>
        <sz val="10"/>
        <color rgb="FF000000"/>
        <rFont val="JRFonts"/>
        <charset val="134"/>
      </rPr>
      <t>31-08-2026 15:33</t>
    </r>
  </si>
  <si>
    <r>
      <rPr>
        <sz val="10"/>
        <color rgb="FF0000FF"/>
        <rFont val="JRFonts"/>
        <charset val="134"/>
      </rPr>
      <t>23783</t>
    </r>
  </si>
  <si>
    <r>
      <rPr>
        <sz val="10"/>
        <color rgb="FF000000"/>
        <rFont val="JRFonts"/>
        <charset val="134"/>
      </rPr>
      <t>31-08-2026 15:54</t>
    </r>
  </si>
  <si>
    <r>
      <rPr>
        <sz val="10"/>
        <color rgb="FF000000"/>
        <rFont val="JRFonts"/>
        <charset val="134"/>
      </rPr>
      <t>31-08-2026 15:57</t>
    </r>
  </si>
  <si>
    <r>
      <rPr>
        <sz val="10"/>
        <color rgb="FF0000FF"/>
        <rFont val="JRFonts"/>
        <charset val="134"/>
      </rPr>
      <t>23784</t>
    </r>
  </si>
  <si>
    <r>
      <rPr>
        <sz val="10"/>
        <color rgb="FF000000"/>
        <rFont val="JRFonts"/>
        <charset val="134"/>
      </rPr>
      <t>11-09-2026 12:29</t>
    </r>
  </si>
  <si>
    <r>
      <rPr>
        <sz val="10"/>
        <color rgb="FF000000"/>
        <rFont val="JRFonts"/>
        <charset val="134"/>
      </rPr>
      <t>31-08-2026 15:59</t>
    </r>
  </si>
  <si>
    <t>23784</t>
  </si>
  <si>
    <r>
      <rPr>
        <sz val="10"/>
        <color rgb="FF0000FF"/>
        <rFont val="JRFonts"/>
        <charset val="134"/>
      </rPr>
      <t>23785</t>
    </r>
  </si>
  <si>
    <r>
      <rPr>
        <sz val="10"/>
        <color rgb="FF000000"/>
        <rFont val="JRFonts"/>
        <charset val="134"/>
      </rPr>
      <t>02-09-2026 12:29</t>
    </r>
  </si>
  <si>
    <r>
      <rPr>
        <sz val="10"/>
        <color rgb="FF000000"/>
        <rFont val="JRFonts"/>
        <charset val="134"/>
      </rPr>
      <t>02-09-2026 10:26</t>
    </r>
  </si>
  <si>
    <r>
      <rPr>
        <sz val="10"/>
        <color rgb="FF0000FF"/>
        <rFont val="JRFonts"/>
        <charset val="134"/>
      </rPr>
      <t>23786</t>
    </r>
  </si>
  <si>
    <r>
      <rPr>
        <sz val="10"/>
        <color rgb="FF000000"/>
        <rFont val="JRFonts"/>
        <charset val="134"/>
      </rPr>
      <t>31-08-2026 16:09</t>
    </r>
  </si>
  <si>
    <r>
      <rPr>
        <sz val="10"/>
        <color rgb="FF000000"/>
        <rFont val="JRFonts"/>
        <charset val="134"/>
      </rPr>
      <t>18-09-2026 12:34</t>
    </r>
  </si>
  <si>
    <r>
      <rPr>
        <sz val="10"/>
        <color rgb="FF000000"/>
        <rFont val="JRFonts"/>
        <charset val="134"/>
      </rPr>
      <t>31-08-2026 16:16</t>
    </r>
  </si>
  <si>
    <t>23786</t>
  </si>
  <si>
    <r>
      <rPr>
        <sz val="10"/>
        <color rgb="FF0000FF"/>
        <rFont val="JRFonts"/>
        <charset val="134"/>
      </rPr>
      <t>23787</t>
    </r>
  </si>
  <si>
    <r>
      <rPr>
        <sz val="10"/>
        <color rgb="FF000000"/>
        <rFont val="JRFonts"/>
        <charset val="134"/>
      </rPr>
      <t>31-08-2026 16:34</t>
    </r>
  </si>
  <si>
    <r>
      <rPr>
        <sz val="10"/>
        <color rgb="FF000000"/>
        <rFont val="JRFonts"/>
        <charset val="134"/>
      </rPr>
      <t>31-08-2026 18:30</t>
    </r>
  </si>
  <si>
    <r>
      <rPr>
        <sz val="10"/>
        <color rgb="FF000000"/>
        <rFont val="JRFonts"/>
        <charset val="134"/>
      </rPr>
      <t>31-08-2026 16:38</t>
    </r>
  </si>
  <si>
    <r>
      <rPr>
        <sz val="10"/>
        <color rgb="FF0000FF"/>
        <rFont val="JRFonts"/>
        <charset val="134"/>
      </rPr>
      <t>23789</t>
    </r>
  </si>
  <si>
    <r>
      <rPr>
        <sz val="10"/>
        <color rgb="FF000000"/>
        <rFont val="JRFonts"/>
        <charset val="134"/>
      </rPr>
      <t>31-08-2026 16:40</t>
    </r>
  </si>
  <si>
    <r>
      <rPr>
        <sz val="10"/>
        <color rgb="FF000000"/>
        <rFont val="JRFonts"/>
        <charset val="134"/>
      </rPr>
      <t>31-08-2026 17:06</t>
    </r>
  </si>
  <si>
    <r>
      <rPr>
        <sz val="10"/>
        <color rgb="FF000000"/>
        <rFont val="JRFonts"/>
        <charset val="134"/>
      </rPr>
      <t>31-08-2026 16:44</t>
    </r>
  </si>
  <si>
    <r>
      <rPr>
        <sz val="10"/>
        <color rgb="FF0000FF"/>
        <rFont val="JRFonts"/>
        <charset val="134"/>
      </rPr>
      <t>23790</t>
    </r>
  </si>
  <si>
    <r>
      <rPr>
        <sz val="10"/>
        <color rgb="FF000000"/>
        <rFont val="JRFonts"/>
        <charset val="134"/>
      </rPr>
      <t>31-08-2026 16:54</t>
    </r>
  </si>
  <si>
    <r>
      <rPr>
        <sz val="10"/>
        <color rgb="FF000000"/>
        <rFont val="JRFonts"/>
        <charset val="134"/>
      </rPr>
      <t>31-08-2026 16:43</t>
    </r>
  </si>
  <si>
    <r>
      <rPr>
        <sz val="10"/>
        <color rgb="FF0000FF"/>
        <rFont val="JRFonts"/>
        <charset val="134"/>
      </rPr>
      <t>23793</t>
    </r>
  </si>
  <si>
    <r>
      <rPr>
        <sz val="10"/>
        <color rgb="FF000000"/>
        <rFont val="JRFonts"/>
        <charset val="134"/>
      </rPr>
      <t>31-08-2026 17:14</t>
    </r>
  </si>
  <si>
    <r>
      <rPr>
        <sz val="10"/>
        <color rgb="FF000000"/>
        <rFont val="JRFonts"/>
        <charset val="134"/>
      </rPr>
      <t>11-09-2026 12:17</t>
    </r>
  </si>
  <si>
    <r>
      <rPr>
        <sz val="10"/>
        <color rgb="FF000000"/>
        <rFont val="JRFonts"/>
        <charset val="134"/>
      </rPr>
      <t>31-08-2026 17:20</t>
    </r>
  </si>
  <si>
    <t>23793</t>
  </si>
  <si>
    <r>
      <rPr>
        <sz val="10"/>
        <color rgb="FF0000FF"/>
        <rFont val="JRFonts"/>
        <charset val="134"/>
      </rPr>
      <t>23795</t>
    </r>
  </si>
  <si>
    <r>
      <rPr>
        <sz val="10"/>
        <color rgb="FF000000"/>
        <rFont val="JRFonts"/>
        <charset val="134"/>
      </rPr>
      <t>31-08-2026 17:38</t>
    </r>
  </si>
  <si>
    <r>
      <rPr>
        <sz val="10"/>
        <color rgb="FF000000"/>
        <rFont val="JRFonts"/>
        <charset val="134"/>
      </rPr>
      <t>31-08-2026 17:50</t>
    </r>
  </si>
  <si>
    <r>
      <rPr>
        <sz val="10"/>
        <color rgb="FF000000"/>
        <rFont val="JRFonts"/>
        <charset val="134"/>
      </rPr>
      <t>31-08-2026 17:45</t>
    </r>
  </si>
  <si>
    <r>
      <rPr>
        <sz val="10"/>
        <color rgb="FF0000FF"/>
        <rFont val="JRFonts"/>
        <charset val="134"/>
      </rPr>
      <t>23796</t>
    </r>
  </si>
  <si>
    <r>
      <rPr>
        <sz val="10"/>
        <color rgb="FF000000"/>
        <rFont val="JRFonts"/>
        <charset val="134"/>
      </rPr>
      <t>31-08-2026 17:59</t>
    </r>
  </si>
  <si>
    <r>
      <rPr>
        <sz val="10"/>
        <color rgb="FF000000"/>
        <rFont val="JRFonts"/>
        <charset val="134"/>
      </rPr>
      <t>31-08-2026 18:21</t>
    </r>
  </si>
  <si>
    <r>
      <rPr>
        <sz val="10"/>
        <color rgb="FF000000"/>
        <rFont val="JRFonts"/>
        <charset val="134"/>
      </rPr>
      <t>31-08-2026 18:03</t>
    </r>
  </si>
  <si>
    <r>
      <rPr>
        <sz val="10"/>
        <color rgb="FF0000FF"/>
        <rFont val="JRFonts"/>
        <charset val="134"/>
      </rPr>
      <t>23797</t>
    </r>
  </si>
  <si>
    <r>
      <rPr>
        <sz val="10"/>
        <color rgb="FF000000"/>
        <rFont val="JRFonts"/>
        <charset val="134"/>
      </rPr>
      <t>31-08-2026 18:15</t>
    </r>
  </si>
  <si>
    <r>
      <rPr>
        <sz val="10"/>
        <color rgb="FF000000"/>
        <rFont val="JRFonts"/>
        <charset val="134"/>
      </rPr>
      <t>11-09-2026 12:18</t>
    </r>
  </si>
  <si>
    <r>
      <rPr>
        <sz val="10"/>
        <color rgb="FF000000"/>
        <rFont val="JRFonts"/>
        <charset val="134"/>
      </rPr>
      <t>31-08-2026 18:18</t>
    </r>
  </si>
  <si>
    <t>23797</t>
  </si>
  <si>
    <r>
      <rPr>
        <sz val="10"/>
        <color rgb="FF0000FF"/>
        <rFont val="JRFonts"/>
        <charset val="134"/>
      </rPr>
      <t>23798</t>
    </r>
  </si>
  <si>
    <r>
      <rPr>
        <sz val="10"/>
        <color rgb="FF000000"/>
        <rFont val="JRFonts"/>
        <charset val="134"/>
      </rPr>
      <t>31-08-2026 18:17</t>
    </r>
  </si>
  <si>
    <r>
      <rPr>
        <sz val="10"/>
        <color rgb="FF0000FF"/>
        <rFont val="JRFonts"/>
        <charset val="134"/>
      </rPr>
      <t>23803</t>
    </r>
  </si>
  <si>
    <r>
      <rPr>
        <sz val="10"/>
        <color rgb="FF000000"/>
        <rFont val="JRFonts"/>
        <charset val="134"/>
      </rPr>
      <t>01-09-2026 10:23</t>
    </r>
  </si>
  <si>
    <r>
      <rPr>
        <sz val="10"/>
        <color rgb="FF000000"/>
        <rFont val="JRFonts"/>
        <charset val="134"/>
      </rPr>
      <t>01-09-2026 17:49</t>
    </r>
  </si>
  <si>
    <r>
      <rPr>
        <sz val="10"/>
        <color rgb="FF000000"/>
        <rFont val="JRFonts"/>
        <charset val="134"/>
      </rPr>
      <t>01-09-2026 10:33</t>
    </r>
  </si>
  <si>
    <r>
      <rPr>
        <sz val="10"/>
        <color rgb="FF0000FF"/>
        <rFont val="JRFonts"/>
        <charset val="134"/>
      </rPr>
      <t>23806</t>
    </r>
  </si>
  <si>
    <r>
      <rPr>
        <sz val="10"/>
        <color rgb="FF000000"/>
        <rFont val="JRFonts"/>
        <charset val="134"/>
      </rPr>
      <t>01-09-2026 10:38</t>
    </r>
  </si>
  <si>
    <r>
      <rPr>
        <sz val="10"/>
        <color rgb="FF000000"/>
        <rFont val="JRFonts"/>
        <charset val="134"/>
      </rPr>
      <t>22-09-2026 11:07</t>
    </r>
  </si>
  <si>
    <r>
      <rPr>
        <sz val="10"/>
        <color rgb="FF000000"/>
        <rFont val="JRFonts"/>
        <charset val="134"/>
      </rPr>
      <t>01-09-2026 10:40</t>
    </r>
  </si>
  <si>
    <t>23806</t>
  </si>
  <si>
    <r>
      <rPr>
        <sz val="10"/>
        <color rgb="FF0000FF"/>
        <rFont val="JRFonts"/>
        <charset val="134"/>
      </rPr>
      <t>23807</t>
    </r>
  </si>
  <si>
    <r>
      <rPr>
        <sz val="10"/>
        <color rgb="FF000000"/>
        <rFont val="JRFonts"/>
        <charset val="134"/>
      </rPr>
      <t>01-09-2026 10:47</t>
    </r>
  </si>
  <si>
    <r>
      <rPr>
        <sz val="10"/>
        <color rgb="FF000000"/>
        <rFont val="JRFonts"/>
        <charset val="134"/>
      </rPr>
      <t>22-09-2026 11:04</t>
    </r>
  </si>
  <si>
    <r>
      <rPr>
        <sz val="10"/>
        <color rgb="FF000000"/>
        <rFont val="JRFonts"/>
        <charset val="134"/>
      </rPr>
      <t>01-09-2026 10:57</t>
    </r>
  </si>
  <si>
    <t>23807</t>
  </si>
  <si>
    <r>
      <rPr>
        <sz val="10"/>
        <color rgb="FF0000FF"/>
        <rFont val="JRFonts"/>
        <charset val="134"/>
      </rPr>
      <t>23808</t>
    </r>
  </si>
  <si>
    <r>
      <rPr>
        <sz val="10"/>
        <color rgb="FF000000"/>
        <rFont val="JRFonts"/>
        <charset val="134"/>
      </rPr>
      <t>04-09-2026 08:25</t>
    </r>
  </si>
  <si>
    <r>
      <rPr>
        <sz val="10"/>
        <color rgb="FF000000"/>
        <rFont val="JRFonts"/>
        <charset val="134"/>
      </rPr>
      <t>01-09-2026 11:00</t>
    </r>
  </si>
  <si>
    <t>23808</t>
  </si>
  <si>
    <r>
      <rPr>
        <sz val="10"/>
        <color rgb="FF0000FF"/>
        <rFont val="JRFonts"/>
        <charset val="134"/>
      </rPr>
      <t>23809</t>
    </r>
  </si>
  <si>
    <r>
      <rPr>
        <sz val="10"/>
        <color rgb="FF000000"/>
        <rFont val="JRFonts"/>
        <charset val="134"/>
      </rPr>
      <t>01-09-2026 11:09</t>
    </r>
  </si>
  <si>
    <r>
      <rPr>
        <sz val="10"/>
        <color rgb="FF000000"/>
        <rFont val="JRFonts"/>
        <charset val="134"/>
      </rPr>
      <t>01-09-2026 11:14</t>
    </r>
  </si>
  <si>
    <r>
      <rPr>
        <sz val="10"/>
        <color rgb="FF000000"/>
        <rFont val="JRFonts"/>
        <charset val="134"/>
      </rPr>
      <t>01-09-2026 11:12</t>
    </r>
  </si>
  <si>
    <r>
      <rPr>
        <sz val="10"/>
        <color rgb="FF0000FF"/>
        <rFont val="JRFonts"/>
        <charset val="134"/>
      </rPr>
      <t>23810</t>
    </r>
  </si>
  <si>
    <r>
      <rPr>
        <sz val="10"/>
        <color rgb="FF000000"/>
        <rFont val="JRFonts"/>
        <charset val="134"/>
      </rPr>
      <t>01-09-2026 11:21</t>
    </r>
  </si>
  <si>
    <r>
      <rPr>
        <sz val="10"/>
        <color rgb="FF000000"/>
        <rFont val="JRFonts"/>
        <charset val="134"/>
      </rPr>
      <t>08-09-2026 15:50</t>
    </r>
  </si>
  <si>
    <r>
      <rPr>
        <sz val="10"/>
        <color rgb="FF000000"/>
        <rFont val="JRFonts"/>
        <charset val="134"/>
      </rPr>
      <t>01-09-2026 11:23</t>
    </r>
  </si>
  <si>
    <t>23810</t>
  </si>
  <si>
    <r>
      <rPr>
        <sz val="10"/>
        <color rgb="FF0000FF"/>
        <rFont val="JRFonts"/>
        <charset val="134"/>
      </rPr>
      <t>23811</t>
    </r>
  </si>
  <si>
    <r>
      <rPr>
        <sz val="10"/>
        <color rgb="FF000000"/>
        <rFont val="JRFonts"/>
        <charset val="134"/>
      </rPr>
      <t>01-09-2026 11:28</t>
    </r>
  </si>
  <si>
    <r>
      <rPr>
        <sz val="10"/>
        <color rgb="FF000000"/>
        <rFont val="JRFonts"/>
        <charset val="134"/>
      </rPr>
      <t>03-09-2026 15:48</t>
    </r>
  </si>
  <si>
    <r>
      <rPr>
        <sz val="10"/>
        <color rgb="FF000000"/>
        <rFont val="JRFonts"/>
        <charset val="134"/>
      </rPr>
      <t>01-09-2026 11:29</t>
    </r>
  </si>
  <si>
    <t>23811</t>
  </si>
  <si>
    <r>
      <rPr>
        <sz val="10"/>
        <color rgb="FF0000FF"/>
        <rFont val="JRFonts"/>
        <charset val="134"/>
      </rPr>
      <t>23812</t>
    </r>
  </si>
  <si>
    <r>
      <rPr>
        <sz val="10"/>
        <color rgb="FF000000"/>
        <rFont val="JRFonts"/>
        <charset val="134"/>
      </rPr>
      <t>01-09-2026 11:37</t>
    </r>
  </si>
  <si>
    <r>
      <rPr>
        <sz val="10"/>
        <color rgb="FF000000"/>
        <rFont val="JRFonts"/>
        <charset val="134"/>
      </rPr>
      <t>01-09-2026 11:40</t>
    </r>
  </si>
  <si>
    <t>23812</t>
  </si>
  <si>
    <r>
      <rPr>
        <sz val="10"/>
        <color rgb="FF0000FF"/>
        <rFont val="JRFonts"/>
        <charset val="134"/>
      </rPr>
      <t>23813</t>
    </r>
  </si>
  <si>
    <r>
      <rPr>
        <sz val="10"/>
        <color rgb="FF000000"/>
        <rFont val="JRFonts"/>
        <charset val="134"/>
      </rPr>
      <t>03-09-2026 10:13</t>
    </r>
  </si>
  <si>
    <r>
      <rPr>
        <sz val="10"/>
        <color rgb="FF000000"/>
        <rFont val="JRFonts"/>
        <charset val="134"/>
      </rPr>
      <t>01-09-2026 12:06</t>
    </r>
  </si>
  <si>
    <t>23813</t>
  </si>
  <si>
    <r>
      <rPr>
        <sz val="10"/>
        <color rgb="FF0000FF"/>
        <rFont val="JRFonts"/>
        <charset val="134"/>
      </rPr>
      <t>23814</t>
    </r>
  </si>
  <si>
    <r>
      <rPr>
        <sz val="10"/>
        <color rgb="FF000000"/>
        <rFont val="JRFonts"/>
        <charset val="134"/>
      </rPr>
      <t>01-09-2026 11:55</t>
    </r>
  </si>
  <si>
    <r>
      <rPr>
        <sz val="10"/>
        <color rgb="FF000000"/>
        <rFont val="JRFonts"/>
        <charset val="134"/>
      </rPr>
      <t>01-09-2026 15:29</t>
    </r>
  </si>
  <si>
    <r>
      <rPr>
        <sz val="10"/>
        <color rgb="FF000000"/>
        <rFont val="JRFonts"/>
        <charset val="134"/>
      </rPr>
      <t>01-09-2026 12:01</t>
    </r>
  </si>
  <si>
    <r>
      <rPr>
        <sz val="10"/>
        <color rgb="FF0000FF"/>
        <rFont val="JRFonts"/>
        <charset val="134"/>
      </rPr>
      <t>23816</t>
    </r>
  </si>
  <si>
    <r>
      <rPr>
        <sz val="10"/>
        <color rgb="FF000000"/>
        <rFont val="JRFonts"/>
        <charset val="134"/>
      </rPr>
      <t>03-09-2026 14:00</t>
    </r>
  </si>
  <si>
    <t>23816</t>
  </si>
  <si>
    <r>
      <rPr>
        <sz val="10"/>
        <color rgb="FF0000FF"/>
        <rFont val="JRFonts"/>
        <charset val="134"/>
      </rPr>
      <t>23817</t>
    </r>
  </si>
  <si>
    <r>
      <rPr>
        <sz val="10"/>
        <color rgb="FF000000"/>
        <rFont val="JRFonts"/>
        <charset val="134"/>
      </rPr>
      <t>01-09-2026 12:22</t>
    </r>
  </si>
  <si>
    <r>
      <rPr>
        <sz val="10"/>
        <color rgb="FF000000"/>
        <rFont val="JRFonts"/>
        <charset val="134"/>
      </rPr>
      <t>01-09-2026 17:15</t>
    </r>
  </si>
  <si>
    <r>
      <rPr>
        <sz val="10"/>
        <color rgb="FF0000FF"/>
        <rFont val="JRFonts"/>
        <charset val="134"/>
      </rPr>
      <t>23818</t>
    </r>
  </si>
  <si>
    <r>
      <rPr>
        <sz val="10"/>
        <color rgb="FF000000"/>
        <rFont val="JRFonts"/>
        <charset val="134"/>
      </rPr>
      <t>01-09-2026 18:23</t>
    </r>
  </si>
  <si>
    <r>
      <rPr>
        <sz val="10"/>
        <color rgb="FF000000"/>
        <rFont val="JRFonts"/>
        <charset val="134"/>
      </rPr>
      <t>01-09-2026 12:58</t>
    </r>
  </si>
  <si>
    <t>23818</t>
  </si>
  <si>
    <r>
      <rPr>
        <sz val="10"/>
        <color rgb="FF0000FF"/>
        <rFont val="JRFonts"/>
        <charset val="134"/>
      </rPr>
      <t>23822</t>
    </r>
  </si>
  <si>
    <r>
      <rPr>
        <sz val="10"/>
        <color rgb="FF000000"/>
        <rFont val="JRFonts"/>
        <charset val="134"/>
      </rPr>
      <t>01-09-2026 14:00</t>
    </r>
  </si>
  <si>
    <r>
      <rPr>
        <sz val="10"/>
        <color rgb="FF000000"/>
        <rFont val="JRFonts"/>
        <charset val="134"/>
      </rPr>
      <t>01-09-2026 14:39</t>
    </r>
  </si>
  <si>
    <r>
      <rPr>
        <sz val="10"/>
        <color rgb="FF000000"/>
        <rFont val="JRFonts"/>
        <charset val="134"/>
      </rPr>
      <t>01-09-2026 14:03</t>
    </r>
  </si>
  <si>
    <r>
      <rPr>
        <sz val="10"/>
        <color rgb="FF0000FF"/>
        <rFont val="JRFonts"/>
        <charset val="134"/>
      </rPr>
      <t>23825</t>
    </r>
  </si>
  <si>
    <r>
      <rPr>
        <sz val="10"/>
        <color rgb="FF000000"/>
        <rFont val="JRFonts"/>
        <charset val="134"/>
      </rPr>
      <t>01-09-2026 14:21</t>
    </r>
  </si>
  <si>
    <r>
      <rPr>
        <sz val="10"/>
        <color rgb="FF000000"/>
        <rFont val="JRFonts"/>
        <charset val="134"/>
      </rPr>
      <t>01-09-2026 14:43</t>
    </r>
  </si>
  <si>
    <r>
      <rPr>
        <sz val="10"/>
        <color rgb="FF0000FF"/>
        <rFont val="JRFonts"/>
        <charset val="134"/>
      </rPr>
      <t>23827</t>
    </r>
  </si>
  <si>
    <r>
      <rPr>
        <sz val="10"/>
        <color rgb="FF000000"/>
        <rFont val="JRFonts"/>
        <charset val="134"/>
      </rPr>
      <t>01-09-2026 14:24</t>
    </r>
  </si>
  <si>
    <r>
      <rPr>
        <sz val="10"/>
        <color rgb="FF000000"/>
        <rFont val="JRFonts"/>
        <charset val="134"/>
      </rPr>
      <t>02-09-2026 09:58</t>
    </r>
  </si>
  <si>
    <r>
      <rPr>
        <sz val="10"/>
        <color rgb="FF000000"/>
        <rFont val="JRFonts"/>
        <charset val="134"/>
      </rPr>
      <t>01-09-2026 15:20</t>
    </r>
  </si>
  <si>
    <r>
      <rPr>
        <sz val="10"/>
        <color rgb="FF0000FF"/>
        <rFont val="JRFonts"/>
        <charset val="134"/>
      </rPr>
      <t>23829</t>
    </r>
  </si>
  <si>
    <r>
      <rPr>
        <sz val="10"/>
        <color rgb="FF000000"/>
        <rFont val="JRFonts"/>
        <charset val="134"/>
      </rPr>
      <t>01-09-2026 15:10</t>
    </r>
  </si>
  <si>
    <r>
      <rPr>
        <sz val="10"/>
        <color rgb="FF000000"/>
        <rFont val="JRFonts"/>
        <charset val="134"/>
      </rPr>
      <t>01-09-2026 16:51</t>
    </r>
  </si>
  <si>
    <r>
      <rPr>
        <sz val="10"/>
        <color rgb="FF000000"/>
        <rFont val="JRFonts"/>
        <charset val="134"/>
      </rPr>
      <t>01-09-2026 15:19</t>
    </r>
  </si>
  <si>
    <r>
      <rPr>
        <sz val="10"/>
        <color rgb="FF0000FF"/>
        <rFont val="JRFonts"/>
        <charset val="134"/>
      </rPr>
      <t>23830</t>
    </r>
  </si>
  <si>
    <r>
      <rPr>
        <sz val="10"/>
        <color rgb="FF000000"/>
        <rFont val="JRFonts"/>
        <charset val="134"/>
      </rPr>
      <t>01-09-2026 15:13</t>
    </r>
  </si>
  <si>
    <r>
      <rPr>
        <sz val="10"/>
        <color rgb="FF000000"/>
        <rFont val="JRFonts"/>
        <charset val="134"/>
      </rPr>
      <t>09-09-2026 15:49</t>
    </r>
  </si>
  <si>
    <r>
      <rPr>
        <sz val="10"/>
        <color rgb="FF000000"/>
        <rFont val="JRFonts"/>
        <charset val="134"/>
      </rPr>
      <t>01-09-2026 15:16</t>
    </r>
  </si>
  <si>
    <t>23830</t>
  </si>
  <si>
    <r>
      <rPr>
        <sz val="10"/>
        <color rgb="FF0000FF"/>
        <rFont val="JRFonts"/>
        <charset val="134"/>
      </rPr>
      <t>23832</t>
    </r>
  </si>
  <si>
    <r>
      <rPr>
        <sz val="10"/>
        <color rgb="FF000000"/>
        <rFont val="JRFonts"/>
        <charset val="134"/>
      </rPr>
      <t>01-09-2026 15:22</t>
    </r>
  </si>
  <si>
    <r>
      <rPr>
        <sz val="10"/>
        <color rgb="FF000000"/>
        <rFont val="JRFonts"/>
        <charset val="134"/>
      </rPr>
      <t>01-09-2026 15:27</t>
    </r>
  </si>
  <si>
    <r>
      <rPr>
        <sz val="10"/>
        <color rgb="FF000000"/>
        <rFont val="JRFonts"/>
        <charset val="134"/>
      </rPr>
      <t>01-09-2026 15:26</t>
    </r>
  </si>
  <si>
    <r>
      <rPr>
        <sz val="10"/>
        <color rgb="FF0000FF"/>
        <rFont val="JRFonts"/>
        <charset val="134"/>
      </rPr>
      <t>23833</t>
    </r>
  </si>
  <si>
    <r>
      <rPr>
        <sz val="10"/>
        <color rgb="FF000000"/>
        <rFont val="JRFonts"/>
        <charset val="134"/>
      </rPr>
      <t>01-09-2026 15:25</t>
    </r>
  </si>
  <si>
    <r>
      <rPr>
        <sz val="10"/>
        <color rgb="FF000000"/>
        <rFont val="JRFonts"/>
        <charset val="134"/>
      </rPr>
      <t>02-09-2026 12:06</t>
    </r>
  </si>
  <si>
    <r>
      <rPr>
        <sz val="10"/>
        <color rgb="FF000000"/>
        <rFont val="JRFonts"/>
        <charset val="134"/>
      </rPr>
      <t>01-09-2026 15:40</t>
    </r>
  </si>
  <si>
    <r>
      <rPr>
        <sz val="10"/>
        <color rgb="FF0000FF"/>
        <rFont val="JRFonts"/>
        <charset val="134"/>
      </rPr>
      <t>23834</t>
    </r>
  </si>
  <si>
    <r>
      <rPr>
        <sz val="10"/>
        <color rgb="FF000000"/>
        <rFont val="JRFonts"/>
        <charset val="134"/>
      </rPr>
      <t>01-09-2026 15:43</t>
    </r>
  </si>
  <si>
    <r>
      <rPr>
        <sz val="10"/>
        <color rgb="FF000000"/>
        <rFont val="JRFonts"/>
        <charset val="134"/>
      </rPr>
      <t>02-09-2026 17:03</t>
    </r>
  </si>
  <si>
    <r>
      <rPr>
        <sz val="10"/>
        <color rgb="FF000000"/>
        <rFont val="JRFonts"/>
        <charset val="134"/>
      </rPr>
      <t>01-09-2026 15:53</t>
    </r>
  </si>
  <si>
    <r>
      <rPr>
        <sz val="10"/>
        <color rgb="FF0000FF"/>
        <rFont val="JRFonts"/>
        <charset val="134"/>
      </rPr>
      <t>23835</t>
    </r>
  </si>
  <si>
    <r>
      <rPr>
        <sz val="10"/>
        <color rgb="FF000000"/>
        <rFont val="JRFonts"/>
        <charset val="134"/>
      </rPr>
      <t>01-09-2026 15:49</t>
    </r>
  </si>
  <si>
    <r>
      <rPr>
        <sz val="10"/>
        <color rgb="FF000000"/>
        <rFont val="JRFonts"/>
        <charset val="134"/>
      </rPr>
      <t>02-09-2026 18:23</t>
    </r>
  </si>
  <si>
    <r>
      <rPr>
        <sz val="10"/>
        <color rgb="FF000000"/>
        <rFont val="JRFonts"/>
        <charset val="134"/>
      </rPr>
      <t>01-09-2026 15:55</t>
    </r>
  </si>
  <si>
    <r>
      <rPr>
        <sz val="10"/>
        <color rgb="FF0000FF"/>
        <rFont val="JRFonts"/>
        <charset val="134"/>
      </rPr>
      <t>23836</t>
    </r>
  </si>
  <si>
    <r>
      <rPr>
        <sz val="10"/>
        <color rgb="FF000000"/>
        <rFont val="JRFonts"/>
        <charset val="134"/>
      </rPr>
      <t>01-09-2026 16:18</t>
    </r>
  </si>
  <si>
    <r>
      <rPr>
        <sz val="10"/>
        <color rgb="FF000000"/>
        <rFont val="JRFonts"/>
        <charset val="134"/>
      </rPr>
      <t>01-09-2026 15:56</t>
    </r>
  </si>
  <si>
    <r>
      <rPr>
        <sz val="10"/>
        <color rgb="FF0000FF"/>
        <rFont val="JRFonts"/>
        <charset val="134"/>
      </rPr>
      <t>23837</t>
    </r>
  </si>
  <si>
    <r>
      <rPr>
        <sz val="10"/>
        <color rgb="FF000000"/>
        <rFont val="JRFonts"/>
        <charset val="134"/>
      </rPr>
      <t>01-09-2026 16:07</t>
    </r>
  </si>
  <si>
    <r>
      <rPr>
        <sz val="10"/>
        <color rgb="FF000000"/>
        <rFont val="JRFonts"/>
        <charset val="134"/>
      </rPr>
      <t>11-09-2026 12:26</t>
    </r>
  </si>
  <si>
    <r>
      <rPr>
        <sz val="10"/>
        <color rgb="FF000000"/>
        <rFont val="JRFonts"/>
        <charset val="134"/>
      </rPr>
      <t>01-09-2026 16:16</t>
    </r>
  </si>
  <si>
    <t>23837</t>
  </si>
  <si>
    <t>Duplicate of # 23829</t>
  </si>
  <si>
    <r>
      <rPr>
        <sz val="10"/>
        <color rgb="FF0000FF"/>
        <rFont val="JRFonts"/>
        <charset val="134"/>
      </rPr>
      <t>23838</t>
    </r>
  </si>
  <si>
    <r>
      <rPr>
        <sz val="10"/>
        <color rgb="FF000000"/>
        <rFont val="JRFonts"/>
        <charset val="134"/>
      </rPr>
      <t>01-09-2026 16:26</t>
    </r>
  </si>
  <si>
    <r>
      <rPr>
        <sz val="10"/>
        <color rgb="FF000000"/>
        <rFont val="JRFonts"/>
        <charset val="134"/>
      </rPr>
      <t>14-09-2026 16:07</t>
    </r>
  </si>
  <si>
    <r>
      <rPr>
        <sz val="10"/>
        <color rgb="FF000000"/>
        <rFont val="JRFonts"/>
        <charset val="134"/>
      </rPr>
      <t>01-09-2026 16:33</t>
    </r>
  </si>
  <si>
    <t>23838</t>
  </si>
  <si>
    <r>
      <rPr>
        <sz val="10"/>
        <color rgb="FF0000FF"/>
        <rFont val="JRFonts"/>
        <charset val="134"/>
      </rPr>
      <t>23839</t>
    </r>
  </si>
  <si>
    <r>
      <rPr>
        <sz val="10"/>
        <color rgb="FF000000"/>
        <rFont val="JRFonts"/>
        <charset val="134"/>
      </rPr>
      <t>08-09-2026 14:11</t>
    </r>
  </si>
  <si>
    <r>
      <rPr>
        <sz val="10"/>
        <color rgb="FF000000"/>
        <rFont val="JRFonts"/>
        <charset val="134"/>
      </rPr>
      <t>01-09-2026 16:31</t>
    </r>
  </si>
  <si>
    <t>23839</t>
  </si>
  <si>
    <r>
      <rPr>
        <sz val="10"/>
        <color rgb="FF0000FF"/>
        <rFont val="JRFonts"/>
        <charset val="134"/>
      </rPr>
      <t>23841</t>
    </r>
  </si>
  <si>
    <r>
      <rPr>
        <sz val="10"/>
        <color rgb="FF000000"/>
        <rFont val="JRFonts"/>
        <charset val="134"/>
      </rPr>
      <t>01-09-2026 16:41</t>
    </r>
  </si>
  <si>
    <r>
      <rPr>
        <sz val="10"/>
        <color rgb="FF000000"/>
        <rFont val="JRFonts"/>
        <charset val="134"/>
      </rPr>
      <t>08-09-2026 16:38</t>
    </r>
  </si>
  <si>
    <r>
      <rPr>
        <sz val="10"/>
        <color rgb="FF000000"/>
        <rFont val="JRFonts"/>
        <charset val="134"/>
      </rPr>
      <t>01-09-2026 16:44</t>
    </r>
  </si>
  <si>
    <t>23841</t>
  </si>
  <si>
    <r>
      <rPr>
        <sz val="10"/>
        <color rgb="FF0000FF"/>
        <rFont val="JRFonts"/>
        <charset val="134"/>
      </rPr>
      <t>23842</t>
    </r>
  </si>
  <si>
    <r>
      <rPr>
        <sz val="10"/>
        <color rgb="FF000000"/>
        <rFont val="JRFonts"/>
        <charset val="134"/>
      </rPr>
      <t>11-09-2026 10:32</t>
    </r>
  </si>
  <si>
    <t>23842</t>
  </si>
  <si>
    <r>
      <rPr>
        <sz val="10"/>
        <color rgb="FF0000FF"/>
        <rFont val="JRFonts"/>
        <charset val="134"/>
      </rPr>
      <t>23844</t>
    </r>
  </si>
  <si>
    <r>
      <rPr>
        <sz val="10"/>
        <color rgb="FF000000"/>
        <rFont val="JRFonts"/>
        <charset val="134"/>
      </rPr>
      <t>01-09-2026 17:11</t>
    </r>
  </si>
  <si>
    <r>
      <rPr>
        <sz val="10"/>
        <color rgb="FF000000"/>
        <rFont val="JRFonts"/>
        <charset val="134"/>
      </rPr>
      <t>01-09-2026 17:29</t>
    </r>
  </si>
  <si>
    <r>
      <rPr>
        <sz val="10"/>
        <color rgb="FF000000"/>
        <rFont val="JRFonts"/>
        <charset val="134"/>
      </rPr>
      <t>01-09-2026 17:16</t>
    </r>
  </si>
  <si>
    <r>
      <rPr>
        <sz val="10"/>
        <color rgb="FF0000FF"/>
        <rFont val="JRFonts"/>
        <charset val="134"/>
      </rPr>
      <t>23845</t>
    </r>
  </si>
  <si>
    <r>
      <rPr>
        <sz val="10"/>
        <color rgb="FF000000"/>
        <rFont val="JRFonts"/>
        <charset val="134"/>
      </rPr>
      <t>01-09-2026 17:18</t>
    </r>
  </si>
  <si>
    <r>
      <rPr>
        <sz val="10"/>
        <color rgb="FF000000"/>
        <rFont val="JRFonts"/>
        <charset val="134"/>
      </rPr>
      <t>16-09-2026 11:19</t>
    </r>
  </si>
  <si>
    <r>
      <rPr>
        <sz val="10"/>
        <color rgb="FF000000"/>
        <rFont val="JRFonts"/>
        <charset val="134"/>
      </rPr>
      <t>01-09-2026 17:23</t>
    </r>
  </si>
  <si>
    <t>23845</t>
  </si>
  <si>
    <r>
      <rPr>
        <sz val="10"/>
        <color rgb="FF0000FF"/>
        <rFont val="JRFonts"/>
        <charset val="134"/>
      </rPr>
      <t>23846</t>
    </r>
  </si>
  <si>
    <r>
      <rPr>
        <sz val="10"/>
        <color rgb="FF000000"/>
        <rFont val="JRFonts"/>
        <charset val="134"/>
      </rPr>
      <t>25-09-2026 12:04</t>
    </r>
  </si>
  <si>
    <r>
      <rPr>
        <sz val="10"/>
        <color rgb="FF000000"/>
        <rFont val="JRFonts"/>
        <charset val="134"/>
      </rPr>
      <t>01-09-2026 17:21</t>
    </r>
  </si>
  <si>
    <t>23846</t>
  </si>
  <si>
    <r>
      <rPr>
        <sz val="10"/>
        <color rgb="FF0000FF"/>
        <rFont val="JRFonts"/>
        <charset val="134"/>
      </rPr>
      <t>23847</t>
    </r>
  </si>
  <si>
    <r>
      <rPr>
        <sz val="10"/>
        <color rgb="FF000000"/>
        <rFont val="JRFonts"/>
        <charset val="134"/>
      </rPr>
      <t>01-09-2026 17:27</t>
    </r>
  </si>
  <si>
    <r>
      <rPr>
        <sz val="10"/>
        <color rgb="FF000000"/>
        <rFont val="JRFonts"/>
        <charset val="134"/>
      </rPr>
      <t>17-09-2026 10:57</t>
    </r>
  </si>
  <si>
    <r>
      <rPr>
        <sz val="10"/>
        <color rgb="FF000000"/>
        <rFont val="JRFonts"/>
        <charset val="134"/>
      </rPr>
      <t>01-09-2026 17:37</t>
    </r>
  </si>
  <si>
    <t>23847</t>
  </si>
  <si>
    <r>
      <rPr>
        <sz val="10"/>
        <color rgb="FF0000FF"/>
        <rFont val="JRFonts"/>
        <charset val="134"/>
      </rPr>
      <t>23850</t>
    </r>
  </si>
  <si>
    <r>
      <rPr>
        <sz val="10"/>
        <color rgb="FF000000"/>
        <rFont val="JRFonts"/>
        <charset val="134"/>
      </rPr>
      <t>01-09-2026 18:03</t>
    </r>
  </si>
  <si>
    <r>
      <rPr>
        <sz val="10"/>
        <color rgb="FF000000"/>
        <rFont val="JRFonts"/>
        <charset val="134"/>
      </rPr>
      <t>18-09-2026 11:47</t>
    </r>
  </si>
  <si>
    <r>
      <rPr>
        <sz val="10"/>
        <color rgb="FF000000"/>
        <rFont val="JRFonts"/>
        <charset val="134"/>
      </rPr>
      <t>01-09-2026 18:18</t>
    </r>
  </si>
  <si>
    <t>23850</t>
  </si>
  <si>
    <r>
      <rPr>
        <sz val="10"/>
        <color rgb="FF0000FF"/>
        <rFont val="JRFonts"/>
        <charset val="134"/>
      </rPr>
      <t>23851</t>
    </r>
  </si>
  <si>
    <r>
      <rPr>
        <sz val="10"/>
        <color rgb="FF000000"/>
        <rFont val="JRFonts"/>
        <charset val="134"/>
      </rPr>
      <t>01-09-2026 19:46</t>
    </r>
  </si>
  <si>
    <r>
      <rPr>
        <sz val="10"/>
        <color rgb="FF000000"/>
        <rFont val="JRFonts"/>
        <charset val="134"/>
      </rPr>
      <t>07-09-2026 18:20</t>
    </r>
  </si>
  <si>
    <r>
      <rPr>
        <sz val="10"/>
        <color rgb="FF000000"/>
        <rFont val="JRFonts"/>
        <charset val="134"/>
      </rPr>
      <t>02-09-2026 10:15</t>
    </r>
  </si>
  <si>
    <t>23851</t>
  </si>
  <si>
    <r>
      <rPr>
        <sz val="10"/>
        <color rgb="FF0000FF"/>
        <rFont val="JRFonts"/>
        <charset val="134"/>
      </rPr>
      <t>23852</t>
    </r>
  </si>
  <si>
    <r>
      <rPr>
        <sz val="10"/>
        <color rgb="FF000000"/>
        <rFont val="JRFonts"/>
        <charset val="134"/>
      </rPr>
      <t>02-09-2026 09:53</t>
    </r>
  </si>
  <si>
    <r>
      <rPr>
        <sz val="10"/>
        <color rgb="FF000000"/>
        <rFont val="JRFonts"/>
        <charset val="134"/>
      </rPr>
      <t>08-09-2026 10:22</t>
    </r>
  </si>
  <si>
    <r>
      <rPr>
        <sz val="10"/>
        <color rgb="FF000000"/>
        <rFont val="JRFonts"/>
        <charset val="134"/>
      </rPr>
      <t>02-09-2026 09:56</t>
    </r>
  </si>
  <si>
    <t>23852</t>
  </si>
  <si>
    <r>
      <rPr>
        <sz val="10"/>
        <color rgb="FF0000FF"/>
        <rFont val="JRFonts"/>
        <charset val="134"/>
      </rPr>
      <t>23853</t>
    </r>
  </si>
  <si>
    <r>
      <rPr>
        <sz val="10"/>
        <color rgb="FF000000"/>
        <rFont val="JRFonts"/>
        <charset val="134"/>
      </rPr>
      <t>02-09-2026 10:02</t>
    </r>
  </si>
  <si>
    <r>
      <rPr>
        <sz val="10"/>
        <color rgb="FF000000"/>
        <rFont val="JRFonts"/>
        <charset val="134"/>
      </rPr>
      <t>02-09-2026 12:43</t>
    </r>
  </si>
  <si>
    <r>
      <rPr>
        <sz val="10"/>
        <color rgb="FF000000"/>
        <rFont val="JRFonts"/>
        <charset val="134"/>
      </rPr>
      <t>02-09-2026 10:17</t>
    </r>
  </si>
  <si>
    <r>
      <rPr>
        <sz val="10"/>
        <color rgb="FF0000FF"/>
        <rFont val="JRFonts"/>
        <charset val="134"/>
      </rPr>
      <t>23854</t>
    </r>
  </si>
  <si>
    <r>
      <rPr>
        <sz val="10"/>
        <color rgb="FF000000"/>
        <rFont val="JRFonts"/>
        <charset val="134"/>
      </rPr>
      <t>02-09-2026 10:11</t>
    </r>
  </si>
  <si>
    <r>
      <rPr>
        <sz val="10"/>
        <color rgb="FF000000"/>
        <rFont val="JRFonts"/>
        <charset val="134"/>
      </rPr>
      <t>28-09-2026 11:24</t>
    </r>
  </si>
  <si>
    <t>23854</t>
  </si>
  <si>
    <r>
      <rPr>
        <sz val="10"/>
        <color rgb="FF0000FF"/>
        <rFont val="JRFonts"/>
        <charset val="134"/>
      </rPr>
      <t>23855</t>
    </r>
  </si>
  <si>
    <r>
      <rPr>
        <sz val="10"/>
        <color rgb="FF000000"/>
        <rFont val="JRFonts"/>
        <charset val="134"/>
      </rPr>
      <t>02-09-2026 13:15</t>
    </r>
  </si>
  <si>
    <r>
      <rPr>
        <sz val="10"/>
        <color rgb="FF000000"/>
        <rFont val="JRFonts"/>
        <charset val="134"/>
      </rPr>
      <t>02-09-2026 10:18</t>
    </r>
  </si>
  <si>
    <r>
      <rPr>
        <sz val="10"/>
        <color rgb="FF0000FF"/>
        <rFont val="JRFonts"/>
        <charset val="134"/>
      </rPr>
      <t>23857</t>
    </r>
  </si>
  <si>
    <r>
      <rPr>
        <sz val="10"/>
        <color rgb="FF000000"/>
        <rFont val="JRFonts"/>
        <charset val="134"/>
      </rPr>
      <t>02-09-2026 10:53</t>
    </r>
  </si>
  <si>
    <r>
      <rPr>
        <sz val="10"/>
        <color rgb="FF000000"/>
        <rFont val="JRFonts"/>
        <charset val="134"/>
      </rPr>
      <t>02-09-2026 10:28</t>
    </r>
  </si>
  <si>
    <r>
      <rPr>
        <sz val="10"/>
        <color rgb="FF0000FF"/>
        <rFont val="JRFonts"/>
        <charset val="134"/>
      </rPr>
      <t>23859</t>
    </r>
  </si>
  <si>
    <r>
      <rPr>
        <sz val="10"/>
        <color rgb="FF000000"/>
        <rFont val="JRFonts"/>
        <charset val="134"/>
      </rPr>
      <t>02-09-2026 10:38</t>
    </r>
  </si>
  <si>
    <r>
      <rPr>
        <sz val="10"/>
        <color rgb="FF000000"/>
        <rFont val="JRFonts"/>
        <charset val="134"/>
      </rPr>
      <t>02-09-2026 11:19</t>
    </r>
  </si>
  <si>
    <r>
      <rPr>
        <sz val="10"/>
        <color rgb="FF000000"/>
        <rFont val="JRFonts"/>
        <charset val="134"/>
      </rPr>
      <t>02-09-2026 10:44</t>
    </r>
  </si>
  <si>
    <r>
      <rPr>
        <sz val="10"/>
        <color rgb="FF0000FF"/>
        <rFont val="JRFonts"/>
        <charset val="134"/>
      </rPr>
      <t>23860</t>
    </r>
  </si>
  <si>
    <r>
      <rPr>
        <sz val="10"/>
        <color rgb="FF000000"/>
        <rFont val="JRFonts"/>
        <charset val="134"/>
      </rPr>
      <t>02-09-2026 10:57</t>
    </r>
  </si>
  <si>
    <r>
      <rPr>
        <sz val="10"/>
        <color rgb="FF000000"/>
        <rFont val="JRFonts"/>
        <charset val="134"/>
      </rPr>
      <t>02-09-2026 11:09</t>
    </r>
  </si>
  <si>
    <r>
      <rPr>
        <sz val="10"/>
        <color rgb="FF000000"/>
        <rFont val="JRFonts"/>
        <charset val="134"/>
      </rPr>
      <t>02-09-2026 10:59</t>
    </r>
  </si>
  <si>
    <r>
      <rPr>
        <sz val="10"/>
        <color rgb="FF0000FF"/>
        <rFont val="JRFonts"/>
        <charset val="134"/>
      </rPr>
      <t>23864</t>
    </r>
  </si>
  <si>
    <r>
      <rPr>
        <sz val="10"/>
        <color rgb="FF000000"/>
        <rFont val="JRFonts"/>
        <charset val="134"/>
      </rPr>
      <t>02-09-2026 11:58</t>
    </r>
  </si>
  <si>
    <r>
      <rPr>
        <sz val="10"/>
        <color rgb="FF000000"/>
        <rFont val="JRFonts"/>
        <charset val="134"/>
      </rPr>
      <t>02-09-2026 15:04</t>
    </r>
  </si>
  <si>
    <r>
      <rPr>
        <sz val="10"/>
        <color rgb="FF000000"/>
        <rFont val="JRFonts"/>
        <charset val="134"/>
      </rPr>
      <t>02-09-2026 12:08</t>
    </r>
  </si>
  <si>
    <r>
      <rPr>
        <sz val="10"/>
        <color rgb="FF0000FF"/>
        <rFont val="JRFonts"/>
        <charset val="134"/>
      </rPr>
      <t>23865</t>
    </r>
  </si>
  <si>
    <r>
      <rPr>
        <sz val="10"/>
        <color rgb="FF000000"/>
        <rFont val="JRFonts"/>
        <charset val="134"/>
      </rPr>
      <t>02-09-2026 12:01</t>
    </r>
  </si>
  <si>
    <r>
      <rPr>
        <sz val="10"/>
        <color rgb="FF000000"/>
        <rFont val="JRFonts"/>
        <charset val="134"/>
      </rPr>
      <t>02-09-2026 12:56</t>
    </r>
  </si>
  <si>
    <r>
      <rPr>
        <sz val="10"/>
        <color rgb="FF000000"/>
        <rFont val="JRFonts"/>
        <charset val="134"/>
      </rPr>
      <t>02-09-2026 12:03</t>
    </r>
  </si>
  <si>
    <r>
      <rPr>
        <sz val="10"/>
        <color rgb="FF0000FF"/>
        <rFont val="JRFonts"/>
        <charset val="134"/>
      </rPr>
      <t>23867</t>
    </r>
  </si>
  <si>
    <r>
      <rPr>
        <sz val="10"/>
        <color rgb="FF000000"/>
        <rFont val="JRFonts"/>
        <charset val="134"/>
      </rPr>
      <t>02-09-2026 14:57</t>
    </r>
  </si>
  <si>
    <r>
      <rPr>
        <sz val="10"/>
        <color rgb="FF000000"/>
        <rFont val="JRFonts"/>
        <charset val="134"/>
      </rPr>
      <t>02-09-2026 12:53</t>
    </r>
  </si>
  <si>
    <r>
      <rPr>
        <sz val="10"/>
        <color rgb="FF0000FF"/>
        <rFont val="JRFonts"/>
        <charset val="134"/>
      </rPr>
      <t>23871</t>
    </r>
  </si>
  <si>
    <r>
      <rPr>
        <sz val="10"/>
        <color rgb="FF000000"/>
        <rFont val="JRFonts"/>
        <charset val="134"/>
      </rPr>
      <t>02-09-2026 14:00</t>
    </r>
  </si>
  <si>
    <r>
      <rPr>
        <sz val="10"/>
        <color rgb="FF000000"/>
        <rFont val="JRFonts"/>
        <charset val="134"/>
      </rPr>
      <t>02-09-2026 15:13</t>
    </r>
  </si>
  <si>
    <r>
      <rPr>
        <sz val="10"/>
        <color rgb="FF000000"/>
        <rFont val="JRFonts"/>
        <charset val="134"/>
      </rPr>
      <t>02-09-2026 14:55</t>
    </r>
  </si>
  <si>
    <r>
      <rPr>
        <sz val="10"/>
        <color rgb="FF0000FF"/>
        <rFont val="JRFonts"/>
        <charset val="134"/>
      </rPr>
      <t>23872</t>
    </r>
  </si>
  <si>
    <r>
      <rPr>
        <sz val="10"/>
        <color rgb="FF000000"/>
        <rFont val="JRFonts"/>
        <charset val="134"/>
      </rPr>
      <t>02-09-2026 14:06</t>
    </r>
  </si>
  <si>
    <r>
      <rPr>
        <sz val="10"/>
        <color rgb="FF000000"/>
        <rFont val="JRFonts"/>
        <charset val="134"/>
      </rPr>
      <t>07-09-2026 11:49</t>
    </r>
  </si>
  <si>
    <r>
      <rPr>
        <sz val="10"/>
        <color rgb="FF000000"/>
        <rFont val="JRFonts"/>
        <charset val="134"/>
      </rPr>
      <t>02-09-2026 14:56</t>
    </r>
  </si>
  <si>
    <t>23872</t>
  </si>
  <si>
    <r>
      <rPr>
        <sz val="10"/>
        <color rgb="FF0000FF"/>
        <rFont val="JRFonts"/>
        <charset val="134"/>
      </rPr>
      <t>23873</t>
    </r>
  </si>
  <si>
    <r>
      <rPr>
        <sz val="10"/>
        <color rgb="FF000000"/>
        <rFont val="JRFonts"/>
        <charset val="134"/>
      </rPr>
      <t>02-09-2026 14:09</t>
    </r>
  </si>
  <si>
    <r>
      <rPr>
        <sz val="10"/>
        <color rgb="FF000000"/>
        <rFont val="JRFonts"/>
        <charset val="134"/>
      </rPr>
      <t>21-09-2026 15:43</t>
    </r>
  </si>
  <si>
    <r>
      <rPr>
        <sz val="10"/>
        <color rgb="FF000000"/>
        <rFont val="JRFonts"/>
        <charset val="134"/>
      </rPr>
      <t>02-09-2026 14:59</t>
    </r>
  </si>
  <si>
    <t>23873</t>
  </si>
  <si>
    <r>
      <rPr>
        <sz val="10"/>
        <color rgb="FF0000FF"/>
        <rFont val="JRFonts"/>
        <charset val="134"/>
      </rPr>
      <t>23874</t>
    </r>
  </si>
  <si>
    <r>
      <rPr>
        <sz val="10"/>
        <color rgb="FF000000"/>
        <rFont val="JRFonts"/>
        <charset val="134"/>
      </rPr>
      <t>02-09-2026 15:21</t>
    </r>
  </si>
  <si>
    <r>
      <rPr>
        <sz val="10"/>
        <color rgb="FF000000"/>
        <rFont val="JRFonts"/>
        <charset val="134"/>
      </rPr>
      <t>02-09-2026 14:58</t>
    </r>
  </si>
  <si>
    <r>
      <rPr>
        <sz val="10"/>
        <color rgb="FF0000FF"/>
        <rFont val="JRFonts"/>
        <charset val="134"/>
      </rPr>
      <t>23876</t>
    </r>
  </si>
  <si>
    <r>
      <rPr>
        <sz val="10"/>
        <color rgb="FF000000"/>
        <rFont val="JRFonts"/>
        <charset val="134"/>
      </rPr>
      <t>02-09-2026 15:22</t>
    </r>
  </si>
  <si>
    <r>
      <rPr>
        <sz val="10"/>
        <color rgb="FF000000"/>
        <rFont val="JRFonts"/>
        <charset val="134"/>
      </rPr>
      <t>02-09-2026 15:44</t>
    </r>
  </si>
  <si>
    <r>
      <rPr>
        <sz val="10"/>
        <color rgb="FF000000"/>
        <rFont val="JRFonts"/>
        <charset val="134"/>
      </rPr>
      <t>02-09-2026 15:26</t>
    </r>
  </si>
  <si>
    <r>
      <rPr>
        <sz val="10"/>
        <color rgb="FF0000FF"/>
        <rFont val="JRFonts"/>
        <charset val="134"/>
      </rPr>
      <t>23881</t>
    </r>
  </si>
  <si>
    <r>
      <rPr>
        <sz val="10"/>
        <color rgb="FF000000"/>
        <rFont val="JRFonts"/>
        <charset val="134"/>
      </rPr>
      <t>02-09-2026 16:29</t>
    </r>
  </si>
  <si>
    <r>
      <rPr>
        <sz val="10"/>
        <color rgb="FF000000"/>
        <rFont val="JRFonts"/>
        <charset val="134"/>
      </rPr>
      <t>03-09-2026 17:55</t>
    </r>
  </si>
  <si>
    <r>
      <rPr>
        <sz val="10"/>
        <color rgb="FF000000"/>
        <rFont val="JRFonts"/>
        <charset val="134"/>
      </rPr>
      <t>02-09-2026 16:56</t>
    </r>
  </si>
  <si>
    <r>
      <rPr>
        <sz val="10"/>
        <color rgb="FF0000FF"/>
        <rFont val="JRFonts"/>
        <charset val="134"/>
      </rPr>
      <t>23882</t>
    </r>
  </si>
  <si>
    <r>
      <rPr>
        <sz val="10"/>
        <color rgb="FF000000"/>
        <rFont val="JRFonts"/>
        <charset val="134"/>
      </rPr>
      <t>02-09-2026 16:35</t>
    </r>
  </si>
  <si>
    <r>
      <rPr>
        <sz val="10"/>
        <color rgb="FF000000"/>
        <rFont val="JRFonts"/>
        <charset val="134"/>
      </rPr>
      <t>16-09-2026 12:53</t>
    </r>
  </si>
  <si>
    <r>
      <rPr>
        <sz val="10"/>
        <color rgb="FF000000"/>
        <rFont val="JRFonts"/>
        <charset val="134"/>
      </rPr>
      <t>07-09-2026 10:08</t>
    </r>
  </si>
  <si>
    <t>23882</t>
  </si>
  <si>
    <r>
      <rPr>
        <sz val="10"/>
        <color rgb="FF0000FF"/>
        <rFont val="JRFonts"/>
        <charset val="134"/>
      </rPr>
      <t>23883</t>
    </r>
  </si>
  <si>
    <r>
      <rPr>
        <sz val="10"/>
        <color rgb="FF000000"/>
        <rFont val="JRFonts"/>
        <charset val="134"/>
      </rPr>
      <t>02-09-2026 16:47</t>
    </r>
  </si>
  <si>
    <r>
      <rPr>
        <sz val="10"/>
        <color rgb="FF000000"/>
        <rFont val="JRFonts"/>
        <charset val="134"/>
      </rPr>
      <t>02-09-2026 17:11</t>
    </r>
  </si>
  <si>
    <r>
      <rPr>
        <sz val="10"/>
        <color rgb="FF000000"/>
        <rFont val="JRFonts"/>
        <charset val="134"/>
      </rPr>
      <t>02-09-2026 16:54</t>
    </r>
  </si>
  <si>
    <r>
      <rPr>
        <sz val="10"/>
        <color rgb="FF0000FF"/>
        <rFont val="JRFonts"/>
        <charset val="134"/>
      </rPr>
      <t>23885</t>
    </r>
  </si>
  <si>
    <r>
      <rPr>
        <sz val="10"/>
        <color rgb="FF000000"/>
        <rFont val="JRFonts"/>
        <charset val="134"/>
      </rPr>
      <t>02-09-2026 17:27</t>
    </r>
  </si>
  <si>
    <r>
      <rPr>
        <sz val="10"/>
        <color rgb="FF000000"/>
        <rFont val="JRFonts"/>
        <charset val="134"/>
      </rPr>
      <t>07-09-2026 15:51</t>
    </r>
  </si>
  <si>
    <r>
      <rPr>
        <sz val="10"/>
        <color rgb="FF000000"/>
        <rFont val="JRFonts"/>
        <charset val="134"/>
      </rPr>
      <t>02-09-2026 17:36</t>
    </r>
  </si>
  <si>
    <t>23885</t>
  </si>
  <si>
    <r>
      <rPr>
        <sz val="10"/>
        <color rgb="FF0000FF"/>
        <rFont val="JRFonts"/>
        <charset val="134"/>
      </rPr>
      <t>23887</t>
    </r>
  </si>
  <si>
    <r>
      <rPr>
        <sz val="10"/>
        <color rgb="FF000000"/>
        <rFont val="JRFonts"/>
        <charset val="134"/>
      </rPr>
      <t>02-09-2026 18:19</t>
    </r>
  </si>
  <si>
    <r>
      <rPr>
        <sz val="10"/>
        <color rgb="FF000000"/>
        <rFont val="JRFonts"/>
        <charset val="134"/>
      </rPr>
      <t>03-09-2026 14:32</t>
    </r>
  </si>
  <si>
    <r>
      <rPr>
        <sz val="10"/>
        <color rgb="FF000000"/>
        <rFont val="JRFonts"/>
        <charset val="134"/>
      </rPr>
      <t>03-09-2026 09:57</t>
    </r>
  </si>
  <si>
    <r>
      <rPr>
        <sz val="10"/>
        <color rgb="FF0000FF"/>
        <rFont val="JRFonts"/>
        <charset val="134"/>
      </rPr>
      <t>23888</t>
    </r>
  </si>
  <si>
    <r>
      <rPr>
        <sz val="10"/>
        <color rgb="FF000000"/>
        <rFont val="JRFonts"/>
        <charset val="134"/>
      </rPr>
      <t>02-09-2026 18:31</t>
    </r>
  </si>
  <si>
    <r>
      <rPr>
        <sz val="10"/>
        <color rgb="FF000000"/>
        <rFont val="JRFonts"/>
        <charset val="134"/>
      </rPr>
      <t>03-09-2026 15:24</t>
    </r>
  </si>
  <si>
    <r>
      <rPr>
        <sz val="10"/>
        <color rgb="FF000000"/>
        <rFont val="JRFonts"/>
        <charset val="134"/>
      </rPr>
      <t>02-09-2026 18:33</t>
    </r>
  </si>
  <si>
    <r>
      <rPr>
        <sz val="10"/>
        <color rgb="FF0000FF"/>
        <rFont val="JRFonts"/>
        <charset val="134"/>
      </rPr>
      <t>23889</t>
    </r>
  </si>
  <si>
    <r>
      <rPr>
        <sz val="10"/>
        <color rgb="FF000000"/>
        <rFont val="JRFonts"/>
        <charset val="134"/>
      </rPr>
      <t>02-09-2026 18:49</t>
    </r>
  </si>
  <si>
    <r>
      <rPr>
        <sz val="10"/>
        <color rgb="FF000000"/>
        <rFont val="JRFonts"/>
        <charset val="134"/>
      </rPr>
      <t>03-09-2026 10:58</t>
    </r>
  </si>
  <si>
    <r>
      <rPr>
        <sz val="10"/>
        <color rgb="FF000000"/>
        <rFont val="JRFonts"/>
        <charset val="134"/>
      </rPr>
      <t>03-09-2026 10:01</t>
    </r>
  </si>
  <si>
    <r>
      <rPr>
        <sz val="10"/>
        <color rgb="FF0000FF"/>
        <rFont val="JRFonts"/>
        <charset val="134"/>
      </rPr>
      <t>23890</t>
    </r>
  </si>
  <si>
    <r>
      <rPr>
        <sz val="10"/>
        <color rgb="FF000000"/>
        <rFont val="JRFonts"/>
        <charset val="134"/>
      </rPr>
      <t>02-09-2026 18:52</t>
    </r>
  </si>
  <si>
    <r>
      <rPr>
        <sz val="10"/>
        <color rgb="FF000000"/>
        <rFont val="JRFonts"/>
        <charset val="134"/>
      </rPr>
      <t>03-09-2026 16:53</t>
    </r>
  </si>
  <si>
    <r>
      <rPr>
        <sz val="10"/>
        <color rgb="FF000000"/>
        <rFont val="JRFonts"/>
        <charset val="134"/>
      </rPr>
      <t>03-09-2026 10:33</t>
    </r>
  </si>
  <si>
    <r>
      <rPr>
        <sz val="10"/>
        <color rgb="FF0000FF"/>
        <rFont val="JRFonts"/>
        <charset val="134"/>
      </rPr>
      <t>23893</t>
    </r>
  </si>
  <si>
    <r>
      <rPr>
        <sz val="10"/>
        <color rgb="FF000000"/>
        <rFont val="JRFonts"/>
        <charset val="134"/>
      </rPr>
      <t>03-09-2026 10:17</t>
    </r>
  </si>
  <si>
    <r>
      <rPr>
        <sz val="10"/>
        <color rgb="FF000000"/>
        <rFont val="JRFonts"/>
        <charset val="134"/>
      </rPr>
      <t>07-09-2026 10:55</t>
    </r>
  </si>
  <si>
    <r>
      <rPr>
        <sz val="10"/>
        <color rgb="FF000000"/>
        <rFont val="JRFonts"/>
        <charset val="134"/>
      </rPr>
      <t>03-09-2026 10:24</t>
    </r>
  </si>
  <si>
    <t>23893</t>
  </si>
  <si>
    <t>Excluded holiday
Duplicate of # 23938
03-Sep: 7h 36m
07-Sep: 55m
8h 31m</t>
  </si>
  <si>
    <r>
      <rPr>
        <sz val="10"/>
        <color rgb="FF0000FF"/>
        <rFont val="JRFonts"/>
        <charset val="134"/>
      </rPr>
      <t>23894</t>
    </r>
  </si>
  <si>
    <r>
      <rPr>
        <sz val="10"/>
        <color rgb="FF000000"/>
        <rFont val="JRFonts"/>
        <charset val="134"/>
      </rPr>
      <t>03-09-2026 10:35</t>
    </r>
  </si>
  <si>
    <r>
      <rPr>
        <sz val="10"/>
        <color rgb="FF000000"/>
        <rFont val="JRFonts"/>
        <charset val="134"/>
      </rPr>
      <t>03-09-2026 10:50</t>
    </r>
  </si>
  <si>
    <r>
      <rPr>
        <sz val="10"/>
        <color rgb="FF000000"/>
        <rFont val="JRFonts"/>
        <charset val="134"/>
      </rPr>
      <t>03-09-2026 10:40</t>
    </r>
  </si>
  <si>
    <r>
      <rPr>
        <sz val="10"/>
        <color rgb="FF0000FF"/>
        <rFont val="JRFonts"/>
        <charset val="134"/>
      </rPr>
      <t>23897</t>
    </r>
  </si>
  <si>
    <r>
      <rPr>
        <sz val="10"/>
        <color rgb="FF000000"/>
        <rFont val="JRFonts"/>
        <charset val="134"/>
      </rPr>
      <t>03-09-2026 11:03</t>
    </r>
  </si>
  <si>
    <r>
      <rPr>
        <sz val="10"/>
        <color rgb="FF000000"/>
        <rFont val="JRFonts"/>
        <charset val="134"/>
      </rPr>
      <t>Awaiting Business Response</t>
    </r>
  </si>
  <si>
    <r>
      <rPr>
        <sz val="10"/>
        <color rgb="FF000000"/>
        <rFont val="JRFonts"/>
        <charset val="134"/>
      </rPr>
      <t>03-09-2026 11:08</t>
    </r>
  </si>
  <si>
    <r>
      <rPr>
        <sz val="10"/>
        <color rgb="FF0000FF"/>
        <rFont val="JRFonts"/>
        <charset val="134"/>
      </rPr>
      <t>23898</t>
    </r>
  </si>
  <si>
    <r>
      <rPr>
        <sz val="10"/>
        <color rgb="FF000000"/>
        <rFont val="JRFonts"/>
        <charset val="134"/>
      </rPr>
      <t>03-09-2026 11:06</t>
    </r>
  </si>
  <si>
    <r>
      <rPr>
        <sz val="10"/>
        <color rgb="FF000000"/>
        <rFont val="JRFonts"/>
        <charset val="134"/>
      </rPr>
      <t>03-09-2026 15:22</t>
    </r>
  </si>
  <si>
    <r>
      <rPr>
        <sz val="10"/>
        <color rgb="FF000000"/>
        <rFont val="JRFonts"/>
        <charset val="134"/>
      </rPr>
      <t>03-09-2026 11:14</t>
    </r>
  </si>
  <si>
    <r>
      <rPr>
        <sz val="10"/>
        <color rgb="FF0000FF"/>
        <rFont val="JRFonts"/>
        <charset val="134"/>
      </rPr>
      <t>23899</t>
    </r>
  </si>
  <si>
    <r>
      <rPr>
        <sz val="10"/>
        <color rgb="FF000000"/>
        <rFont val="JRFonts"/>
        <charset val="134"/>
      </rPr>
      <t>03-09-2026 11:27</t>
    </r>
  </si>
  <si>
    <r>
      <rPr>
        <sz val="10"/>
        <color rgb="FF000000"/>
        <rFont val="JRFonts"/>
        <charset val="134"/>
      </rPr>
      <t>03-09-2026 16:14</t>
    </r>
  </si>
  <si>
    <r>
      <rPr>
        <sz val="10"/>
        <color rgb="FF000000"/>
        <rFont val="JRFonts"/>
        <charset val="134"/>
      </rPr>
      <t>03-09-2026 15:28</t>
    </r>
  </si>
  <si>
    <r>
      <rPr>
        <sz val="10"/>
        <color rgb="FF0000FF"/>
        <rFont val="JRFonts"/>
        <charset val="134"/>
      </rPr>
      <t>23900</t>
    </r>
  </si>
  <si>
    <r>
      <rPr>
        <sz val="10"/>
        <color rgb="FF000000"/>
        <rFont val="JRFonts"/>
        <charset val="134"/>
      </rPr>
      <t>16-09-2026 14:37</t>
    </r>
  </si>
  <si>
    <r>
      <rPr>
        <sz val="10"/>
        <color rgb="FF000000"/>
        <rFont val="JRFonts"/>
        <charset val="134"/>
      </rPr>
      <t>03-09-2026 11:34</t>
    </r>
  </si>
  <si>
    <t>23900</t>
  </si>
  <si>
    <r>
      <rPr>
        <sz val="10"/>
        <color rgb="FF0000FF"/>
        <rFont val="JRFonts"/>
        <charset val="134"/>
      </rPr>
      <t>23902</t>
    </r>
  </si>
  <si>
    <r>
      <rPr>
        <sz val="10"/>
        <color rgb="FF000000"/>
        <rFont val="JRFonts"/>
        <charset val="134"/>
      </rPr>
      <t>03-09-2026 11:55</t>
    </r>
  </si>
  <si>
    <r>
      <rPr>
        <sz val="10"/>
        <color rgb="FF000000"/>
        <rFont val="JRFonts"/>
        <charset val="134"/>
      </rPr>
      <t>03-09-2026 15:06</t>
    </r>
  </si>
  <si>
    <r>
      <rPr>
        <sz val="10"/>
        <color rgb="FF000000"/>
        <rFont val="JRFonts"/>
        <charset val="134"/>
      </rPr>
      <t>03-09-2026 11:56</t>
    </r>
  </si>
  <si>
    <r>
      <rPr>
        <sz val="10"/>
        <color rgb="FF0000FF"/>
        <rFont val="JRFonts"/>
        <charset val="134"/>
      </rPr>
      <t>23903</t>
    </r>
  </si>
  <si>
    <r>
      <rPr>
        <sz val="10"/>
        <color rgb="FF000000"/>
        <rFont val="JRFonts"/>
        <charset val="134"/>
      </rPr>
      <t>03-09-2026 18:18</t>
    </r>
  </si>
  <si>
    <r>
      <rPr>
        <sz val="10"/>
        <color rgb="FF000000"/>
        <rFont val="JRFonts"/>
        <charset val="134"/>
      </rPr>
      <t>03-09-2026 11:57</t>
    </r>
  </si>
  <si>
    <r>
      <rPr>
        <sz val="10"/>
        <color rgb="FF0000FF"/>
        <rFont val="JRFonts"/>
        <charset val="134"/>
      </rPr>
      <t>23907</t>
    </r>
  </si>
  <si>
    <r>
      <rPr>
        <sz val="10"/>
        <color rgb="FF000000"/>
        <rFont val="JRFonts"/>
        <charset val="134"/>
      </rPr>
      <t>03-09-2026 12:56</t>
    </r>
  </si>
  <si>
    <r>
      <rPr>
        <sz val="10"/>
        <color rgb="FF000000"/>
        <rFont val="JRFonts"/>
        <charset val="134"/>
      </rPr>
      <t>03-09-2026 15:30</t>
    </r>
  </si>
  <si>
    <r>
      <rPr>
        <sz val="10"/>
        <color rgb="FF000000"/>
        <rFont val="JRFonts"/>
        <charset val="134"/>
      </rPr>
      <t>03-09-2026 12:59</t>
    </r>
  </si>
  <si>
    <r>
      <rPr>
        <sz val="10"/>
        <color rgb="FF0000FF"/>
        <rFont val="JRFonts"/>
        <charset val="134"/>
      </rPr>
      <t>23909</t>
    </r>
  </si>
  <si>
    <r>
      <rPr>
        <sz val="10"/>
        <color rgb="FF000000"/>
        <rFont val="JRFonts"/>
        <charset val="134"/>
      </rPr>
      <t>03-09-2026 13:05</t>
    </r>
  </si>
  <si>
    <r>
      <rPr>
        <sz val="10"/>
        <color rgb="FF000000"/>
        <rFont val="JRFonts"/>
        <charset val="134"/>
      </rPr>
      <t>03-09-2026 13:07</t>
    </r>
  </si>
  <si>
    <r>
      <rPr>
        <sz val="10"/>
        <color rgb="FF0000FF"/>
        <rFont val="JRFonts"/>
        <charset val="134"/>
      </rPr>
      <t>23910</t>
    </r>
  </si>
  <si>
    <r>
      <rPr>
        <sz val="10"/>
        <color rgb="FF000000"/>
        <rFont val="JRFonts"/>
        <charset val="134"/>
      </rPr>
      <t>03-09-2026 13:26</t>
    </r>
  </si>
  <si>
    <r>
      <rPr>
        <sz val="10"/>
        <color rgb="FF000000"/>
        <rFont val="JRFonts"/>
        <charset val="134"/>
      </rPr>
      <t>03-09-2026 14:44</t>
    </r>
  </si>
  <si>
    <r>
      <rPr>
        <sz val="10"/>
        <color rgb="FF000000"/>
        <rFont val="JRFonts"/>
        <charset val="134"/>
      </rPr>
      <t>03-09-2026 13:58</t>
    </r>
  </si>
  <si>
    <r>
      <rPr>
        <sz val="10"/>
        <color rgb="FF0000FF"/>
        <rFont val="JRFonts"/>
        <charset val="134"/>
      </rPr>
      <t>23912</t>
    </r>
  </si>
  <si>
    <r>
      <rPr>
        <sz val="10"/>
        <color rgb="FF000000"/>
        <rFont val="JRFonts"/>
        <charset val="134"/>
      </rPr>
      <t>03-09-2026 14:21</t>
    </r>
  </si>
  <si>
    <r>
      <rPr>
        <sz val="10"/>
        <color rgb="FF000000"/>
        <rFont val="JRFonts"/>
        <charset val="134"/>
      </rPr>
      <t>03-09-2026 14:30</t>
    </r>
  </si>
  <si>
    <r>
      <rPr>
        <sz val="10"/>
        <color rgb="FF0000FF"/>
        <rFont val="JRFonts"/>
        <charset val="134"/>
      </rPr>
      <t>23913</t>
    </r>
  </si>
  <si>
    <r>
      <rPr>
        <sz val="10"/>
        <color rgb="FF000000"/>
        <rFont val="JRFonts"/>
        <charset val="134"/>
      </rPr>
      <t>03-09-2026 14:39</t>
    </r>
  </si>
  <si>
    <r>
      <rPr>
        <sz val="10"/>
        <color rgb="FF000000"/>
        <rFont val="JRFonts"/>
        <charset val="134"/>
      </rPr>
      <t>03-09-2026 14:52</t>
    </r>
  </si>
  <si>
    <r>
      <rPr>
        <sz val="10"/>
        <color rgb="FF000000"/>
        <rFont val="JRFonts"/>
        <charset val="134"/>
      </rPr>
      <t>03-09-2026 14:47</t>
    </r>
  </si>
  <si>
    <r>
      <rPr>
        <sz val="10"/>
        <color rgb="FF0000FF"/>
        <rFont val="JRFonts"/>
        <charset val="134"/>
      </rPr>
      <t>23914</t>
    </r>
  </si>
  <si>
    <r>
      <rPr>
        <sz val="10"/>
        <color rgb="FF000000"/>
        <rFont val="JRFonts"/>
        <charset val="134"/>
      </rPr>
      <t>03-09-2026 15:40</t>
    </r>
  </si>
  <si>
    <r>
      <rPr>
        <sz val="10"/>
        <color rgb="FF000000"/>
        <rFont val="JRFonts"/>
        <charset val="134"/>
      </rPr>
      <t>03-09-2026 14:48</t>
    </r>
  </si>
  <si>
    <r>
      <rPr>
        <sz val="10"/>
        <color rgb="FF0000FF"/>
        <rFont val="JRFonts"/>
        <charset val="134"/>
      </rPr>
      <t>23917</t>
    </r>
  </si>
  <si>
    <r>
      <rPr>
        <sz val="10"/>
        <color rgb="FF000000"/>
        <rFont val="JRFonts"/>
        <charset val="134"/>
      </rPr>
      <t>03-09-2026 15:09</t>
    </r>
  </si>
  <si>
    <r>
      <rPr>
        <sz val="10"/>
        <color rgb="FF000000"/>
        <rFont val="JRFonts"/>
        <charset val="134"/>
      </rPr>
      <t>03-09-2026 15:31</t>
    </r>
  </si>
  <si>
    <r>
      <rPr>
        <sz val="10"/>
        <color rgb="FF000000"/>
        <rFont val="JRFonts"/>
        <charset val="134"/>
      </rPr>
      <t>03-09-2026 15:15</t>
    </r>
  </si>
  <si>
    <r>
      <rPr>
        <sz val="10"/>
        <color rgb="FF0000FF"/>
        <rFont val="JRFonts"/>
        <charset val="134"/>
      </rPr>
      <t>23918</t>
    </r>
  </si>
  <si>
    <r>
      <rPr>
        <sz val="10"/>
        <color rgb="FF000000"/>
        <rFont val="JRFonts"/>
        <charset val="134"/>
      </rPr>
      <t>10-09-2026 13:01</t>
    </r>
  </si>
  <si>
    <t>23918</t>
  </si>
  <si>
    <r>
      <rPr>
        <sz val="10"/>
        <color rgb="FF0000FF"/>
        <rFont val="JRFonts"/>
        <charset val="134"/>
      </rPr>
      <t>23921</t>
    </r>
  </si>
  <si>
    <r>
      <rPr>
        <sz val="10"/>
        <color rgb="FF000000"/>
        <rFont val="JRFonts"/>
        <charset val="134"/>
      </rPr>
      <t>08-09-2026 10:57</t>
    </r>
  </si>
  <si>
    <r>
      <rPr>
        <sz val="10"/>
        <color rgb="FF000000"/>
        <rFont val="JRFonts"/>
        <charset val="134"/>
      </rPr>
      <t>03-09-2026 15:26</t>
    </r>
  </si>
  <si>
    <t>23921</t>
  </si>
  <si>
    <r>
      <rPr>
        <sz val="10"/>
        <color rgb="FF0000FF"/>
        <rFont val="JRFonts"/>
        <charset val="134"/>
      </rPr>
      <t>23922</t>
    </r>
  </si>
  <si>
    <r>
      <rPr>
        <sz val="10"/>
        <color rgb="FF000000"/>
        <rFont val="JRFonts"/>
        <charset val="134"/>
      </rPr>
      <t>03-09-2026 15:27</t>
    </r>
  </si>
  <si>
    <r>
      <rPr>
        <sz val="10"/>
        <color rgb="FF000000"/>
        <rFont val="JRFonts"/>
        <charset val="134"/>
      </rPr>
      <t>03-09-2026 17:13</t>
    </r>
  </si>
  <si>
    <r>
      <rPr>
        <sz val="10"/>
        <color rgb="FF000000"/>
        <rFont val="JRFonts"/>
        <charset val="134"/>
      </rPr>
      <t>03-09-2026 16:36</t>
    </r>
  </si>
  <si>
    <r>
      <rPr>
        <sz val="10"/>
        <color rgb="FF0000FF"/>
        <rFont val="JRFonts"/>
        <charset val="134"/>
      </rPr>
      <t>23923</t>
    </r>
  </si>
  <si>
    <r>
      <rPr>
        <sz val="10"/>
        <color rgb="FF000000"/>
        <rFont val="JRFonts"/>
        <charset val="134"/>
      </rPr>
      <t>03-09-2026 15:49</t>
    </r>
  </si>
  <si>
    <r>
      <rPr>
        <sz val="10"/>
        <color rgb="FF000000"/>
        <rFont val="JRFonts"/>
        <charset val="134"/>
      </rPr>
      <t>07-09-2026 18:13</t>
    </r>
  </si>
  <si>
    <r>
      <rPr>
        <sz val="10"/>
        <color rgb="FF000000"/>
        <rFont val="JRFonts"/>
        <charset val="134"/>
      </rPr>
      <t>03-09-2026 15:52</t>
    </r>
  </si>
  <si>
    <t>23923</t>
  </si>
  <si>
    <t>Excluded holiday
03-Sep: 2h 08m
07-Sep: 8h 00m
10h 08m</t>
  </si>
  <si>
    <r>
      <rPr>
        <sz val="10"/>
        <color rgb="FF0000FF"/>
        <rFont val="JRFonts"/>
        <charset val="134"/>
      </rPr>
      <t>23925</t>
    </r>
  </si>
  <si>
    <r>
      <rPr>
        <sz val="10"/>
        <color rgb="FF000000"/>
        <rFont val="JRFonts"/>
        <charset val="134"/>
      </rPr>
      <t>03-09-2026 16:01</t>
    </r>
  </si>
  <si>
    <r>
      <rPr>
        <sz val="10"/>
        <color rgb="FF000000"/>
        <rFont val="JRFonts"/>
        <charset val="134"/>
      </rPr>
      <t>03-09-2026 16:47</t>
    </r>
  </si>
  <si>
    <r>
      <rPr>
        <sz val="10"/>
        <color rgb="FF000000"/>
        <rFont val="JRFonts"/>
        <charset val="134"/>
      </rPr>
      <t>03-09-2026 16:05</t>
    </r>
  </si>
  <si>
    <r>
      <rPr>
        <sz val="10"/>
        <color rgb="FF0000FF"/>
        <rFont val="JRFonts"/>
        <charset val="134"/>
      </rPr>
      <t>23927</t>
    </r>
  </si>
  <si>
    <r>
      <rPr>
        <sz val="10"/>
        <color rgb="FF000000"/>
        <rFont val="JRFonts"/>
        <charset val="134"/>
      </rPr>
      <t>03-09-2026 16:25</t>
    </r>
  </si>
  <si>
    <r>
      <rPr>
        <sz val="10"/>
        <color rgb="FF000000"/>
        <rFont val="JRFonts"/>
        <charset val="134"/>
      </rPr>
      <t>18-09-2026 16:37</t>
    </r>
  </si>
  <si>
    <r>
      <rPr>
        <sz val="10"/>
        <color rgb="FF000000"/>
        <rFont val="JRFonts"/>
        <charset val="134"/>
      </rPr>
      <t>03-09-2026 17:06</t>
    </r>
  </si>
  <si>
    <t>23927</t>
  </si>
  <si>
    <r>
      <rPr>
        <sz val="10"/>
        <color rgb="FF0000FF"/>
        <rFont val="JRFonts"/>
        <charset val="134"/>
      </rPr>
      <t>23930</t>
    </r>
  </si>
  <si>
    <r>
      <rPr>
        <sz val="10"/>
        <color rgb="FF000000"/>
        <rFont val="JRFonts"/>
        <charset val="134"/>
      </rPr>
      <t>03-09-2026 16:40</t>
    </r>
  </si>
  <si>
    <r>
      <rPr>
        <sz val="10"/>
        <color rgb="FF000000"/>
        <rFont val="JRFonts"/>
        <charset val="134"/>
      </rPr>
      <t>07-09-2026 14:34</t>
    </r>
  </si>
  <si>
    <r>
      <rPr>
        <sz val="10"/>
        <color rgb="FF000000"/>
        <rFont val="JRFonts"/>
        <charset val="134"/>
      </rPr>
      <t>03-09-2026 17:56</t>
    </r>
  </si>
  <si>
    <t>23930</t>
  </si>
  <si>
    <t>Excluded holiday
03-Sep: 4m
07-Sep: 4h 34m
4h 38m</t>
  </si>
  <si>
    <r>
      <rPr>
        <sz val="10"/>
        <color rgb="FF0000FF"/>
        <rFont val="JRFonts"/>
        <charset val="134"/>
      </rPr>
      <t>23934</t>
    </r>
  </si>
  <si>
    <r>
      <rPr>
        <sz val="10"/>
        <color rgb="FF000000"/>
        <rFont val="JRFonts"/>
        <charset val="134"/>
      </rPr>
      <t>03-09-2026 17:11</t>
    </r>
  </si>
  <si>
    <r>
      <rPr>
        <sz val="10"/>
        <color rgb="FF000000"/>
        <rFont val="JRFonts"/>
        <charset val="134"/>
      </rPr>
      <t>07-09-2026 10:52</t>
    </r>
  </si>
  <si>
    <r>
      <rPr>
        <sz val="10"/>
        <color rgb="FF000000"/>
        <rFont val="JRFonts"/>
        <charset val="134"/>
      </rPr>
      <t>03-09-2026 17:14</t>
    </r>
  </si>
  <si>
    <t>23934</t>
  </si>
  <si>
    <t>Holiday 
Day 1 (03-09-2026) - 46 mins
04-09-2026 - Holiday
05-09-2026 - Weekend
06-09-2026 - Weekend
Day 2 (07-09-2026) - 52 mins
Actual resolution time - 1 hr 38 mins</t>
  </si>
  <si>
    <r>
      <rPr>
        <sz val="10"/>
        <color rgb="FF0000FF"/>
        <rFont val="JRFonts"/>
        <charset val="134"/>
      </rPr>
      <t>23936</t>
    </r>
  </si>
  <si>
    <r>
      <rPr>
        <sz val="10"/>
        <color rgb="FF000000"/>
        <rFont val="JRFonts"/>
        <charset val="134"/>
      </rPr>
      <t>03-09-2026 17:59</t>
    </r>
  </si>
  <si>
    <r>
      <rPr>
        <sz val="10"/>
        <color rgb="FF000000"/>
        <rFont val="JRFonts"/>
        <charset val="134"/>
      </rPr>
      <t>05-09-2026 10:18</t>
    </r>
  </si>
  <si>
    <r>
      <rPr>
        <sz val="10"/>
        <color rgb="FF000000"/>
        <rFont val="JRFonts"/>
        <charset val="134"/>
      </rPr>
      <t>03-09-2026 18:04</t>
    </r>
  </si>
  <si>
    <r>
      <rPr>
        <sz val="10"/>
        <color rgb="FF0000FF"/>
        <rFont val="JRFonts"/>
        <charset val="134"/>
      </rPr>
      <t>23937</t>
    </r>
  </si>
  <si>
    <r>
      <rPr>
        <sz val="10"/>
        <color rgb="FF000000"/>
        <rFont val="JRFonts"/>
        <charset val="134"/>
      </rPr>
      <t>03-09-2026 19:00</t>
    </r>
  </si>
  <si>
    <r>
      <rPr>
        <sz val="10"/>
        <color rgb="FF000000"/>
        <rFont val="JRFonts"/>
        <charset val="134"/>
      </rPr>
      <t>07-09-2026 10:53</t>
    </r>
  </si>
  <si>
    <r>
      <rPr>
        <sz val="10"/>
        <color rgb="FF000000"/>
        <rFont val="JRFonts"/>
        <charset val="134"/>
      </rPr>
      <t>07-09-2026 10:09</t>
    </r>
  </si>
  <si>
    <r>
      <rPr>
        <sz val="10"/>
        <color rgb="FF0000FF"/>
        <rFont val="JRFonts"/>
        <charset val="134"/>
      </rPr>
      <t>23938</t>
    </r>
  </si>
  <si>
    <r>
      <rPr>
        <sz val="10"/>
        <color rgb="FF000000"/>
        <rFont val="JRFonts"/>
        <charset val="134"/>
      </rPr>
      <t>04-09-2026 10:55</t>
    </r>
  </si>
  <si>
    <r>
      <rPr>
        <sz val="10"/>
        <color rgb="FF000000"/>
        <rFont val="JRFonts"/>
        <charset val="134"/>
      </rPr>
      <t>07-09-2026 10:54</t>
    </r>
  </si>
  <si>
    <r>
      <rPr>
        <sz val="10"/>
        <color rgb="FF000000"/>
        <rFont val="JRFonts"/>
        <charset val="134"/>
      </rPr>
      <t>07-09-2026 10:10</t>
    </r>
  </si>
  <si>
    <r>
      <rPr>
        <sz val="10"/>
        <color rgb="FF0000FF"/>
        <rFont val="JRFonts"/>
        <charset val="134"/>
      </rPr>
      <t>23939</t>
    </r>
  </si>
  <si>
    <r>
      <rPr>
        <sz val="10"/>
        <color rgb="FF000000"/>
        <rFont val="JRFonts"/>
        <charset val="134"/>
      </rPr>
      <t>04-09-2026 11:14</t>
    </r>
  </si>
  <si>
    <r>
      <rPr>
        <sz val="10"/>
        <color rgb="FF000000"/>
        <rFont val="JRFonts"/>
        <charset val="134"/>
      </rPr>
      <t>08-09-2026 11:07</t>
    </r>
  </si>
  <si>
    <r>
      <rPr>
        <sz val="10"/>
        <color rgb="FF000000"/>
        <rFont val="JRFonts"/>
        <charset val="134"/>
      </rPr>
      <t>07-09-2026 10:11</t>
    </r>
  </si>
  <si>
    <t>23939</t>
  </si>
  <si>
    <r>
      <rPr>
        <sz val="10"/>
        <color rgb="FF0000FF"/>
        <rFont val="JRFonts"/>
        <charset val="134"/>
      </rPr>
      <t>23941</t>
    </r>
  </si>
  <si>
    <r>
      <rPr>
        <sz val="10"/>
        <color rgb="FF000000"/>
        <rFont val="JRFonts"/>
        <charset val="134"/>
      </rPr>
      <t>04-09-2026 12:17</t>
    </r>
  </si>
  <si>
    <r>
      <rPr>
        <sz val="10"/>
        <color rgb="FF000000"/>
        <rFont val="JRFonts"/>
        <charset val="134"/>
      </rPr>
      <t>17-09-2026 17:31</t>
    </r>
  </si>
  <si>
    <r>
      <rPr>
        <sz val="10"/>
        <color rgb="FF000000"/>
        <rFont val="JRFonts"/>
        <charset val="134"/>
      </rPr>
      <t>07-09-2026 10:12</t>
    </r>
  </si>
  <si>
    <t>23941</t>
  </si>
  <si>
    <r>
      <rPr>
        <sz val="10"/>
        <color rgb="FF0000FF"/>
        <rFont val="JRFonts"/>
        <charset val="134"/>
      </rPr>
      <t>23942</t>
    </r>
  </si>
  <si>
    <r>
      <rPr>
        <sz val="10"/>
        <color rgb="FF000000"/>
        <rFont val="JRFonts"/>
        <charset val="134"/>
      </rPr>
      <t>04-09-2026 12:20</t>
    </r>
  </si>
  <si>
    <r>
      <rPr>
        <sz val="10"/>
        <color rgb="FF000000"/>
        <rFont val="JRFonts"/>
        <charset val="134"/>
      </rPr>
      <t>07-09-2026 12:14</t>
    </r>
  </si>
  <si>
    <r>
      <rPr>
        <sz val="10"/>
        <color rgb="FF0000FF"/>
        <rFont val="JRFonts"/>
        <charset val="134"/>
      </rPr>
      <t>23943</t>
    </r>
  </si>
  <si>
    <r>
      <rPr>
        <sz val="10"/>
        <color rgb="FF000000"/>
        <rFont val="JRFonts"/>
        <charset val="134"/>
      </rPr>
      <t>04-09-2026 13:18</t>
    </r>
  </si>
  <si>
    <r>
      <rPr>
        <sz val="10"/>
        <color rgb="FF000000"/>
        <rFont val="JRFonts"/>
        <charset val="134"/>
      </rPr>
      <t>07-09-2026 10:56</t>
    </r>
  </si>
  <si>
    <r>
      <rPr>
        <sz val="10"/>
        <color rgb="FF000000"/>
        <rFont val="JRFonts"/>
        <charset val="134"/>
      </rPr>
      <t>07-09-2026 10:14</t>
    </r>
  </si>
  <si>
    <r>
      <rPr>
        <sz val="10"/>
        <color rgb="FF0000FF"/>
        <rFont val="JRFonts"/>
        <charset val="134"/>
      </rPr>
      <t>23944</t>
    </r>
  </si>
  <si>
    <r>
      <rPr>
        <sz val="10"/>
        <color rgb="FF000000"/>
        <rFont val="JRFonts"/>
        <charset val="134"/>
      </rPr>
      <t>04-09-2026 14:19</t>
    </r>
  </si>
  <si>
    <r>
      <rPr>
        <sz val="10"/>
        <color rgb="FF000000"/>
        <rFont val="JRFonts"/>
        <charset val="134"/>
      </rPr>
      <t>08-09-2026 10:49</t>
    </r>
  </si>
  <si>
    <t>23944</t>
  </si>
  <si>
    <r>
      <rPr>
        <sz val="10"/>
        <color rgb="FF0000FF"/>
        <rFont val="JRFonts"/>
        <charset val="134"/>
      </rPr>
      <t>23945</t>
    </r>
  </si>
  <si>
    <r>
      <rPr>
        <sz val="10"/>
        <color rgb="FF000000"/>
        <rFont val="JRFonts"/>
        <charset val="134"/>
      </rPr>
      <t>04-09-2026 14:55</t>
    </r>
  </si>
  <si>
    <r>
      <rPr>
        <sz val="10"/>
        <color rgb="FF000000"/>
        <rFont val="JRFonts"/>
        <charset val="134"/>
      </rPr>
      <t>08-09-2026 12:13</t>
    </r>
  </si>
  <si>
    <r>
      <rPr>
        <sz val="10"/>
        <color rgb="FF000000"/>
        <rFont val="JRFonts"/>
        <charset val="134"/>
      </rPr>
      <t>07-09-2026 10:15</t>
    </r>
  </si>
  <si>
    <r>
      <rPr>
        <sz val="10"/>
        <color rgb="FF0000FF"/>
        <rFont val="JRFonts"/>
        <charset val="134"/>
      </rPr>
      <t>23946</t>
    </r>
  </si>
  <si>
    <r>
      <rPr>
        <sz val="10"/>
        <color rgb="FF000000"/>
        <rFont val="JRFonts"/>
        <charset val="134"/>
      </rPr>
      <t>04-09-2026 15:47</t>
    </r>
  </si>
  <si>
    <r>
      <rPr>
        <sz val="10"/>
        <color rgb="FF000000"/>
        <rFont val="JRFonts"/>
        <charset val="134"/>
      </rPr>
      <t>07-09-2026 11:34</t>
    </r>
  </si>
  <si>
    <r>
      <rPr>
        <sz val="10"/>
        <color rgb="FF000000"/>
        <rFont val="JRFonts"/>
        <charset val="134"/>
      </rPr>
      <t>07-09-2026 10:16</t>
    </r>
  </si>
  <si>
    <r>
      <rPr>
        <sz val="10"/>
        <color rgb="FF0000FF"/>
        <rFont val="JRFonts"/>
        <charset val="134"/>
      </rPr>
      <t>23947</t>
    </r>
  </si>
  <si>
    <r>
      <rPr>
        <sz val="10"/>
        <color rgb="FF000000"/>
        <rFont val="JRFonts"/>
        <charset val="134"/>
      </rPr>
      <t>04-09-2026 16:35</t>
    </r>
  </si>
  <si>
    <r>
      <rPr>
        <sz val="10"/>
        <color rgb="FF000000"/>
        <rFont val="JRFonts"/>
        <charset val="134"/>
      </rPr>
      <t>07-09-2026 10:17</t>
    </r>
  </si>
  <si>
    <t>23947</t>
  </si>
  <si>
    <r>
      <rPr>
        <sz val="10"/>
        <color rgb="FF0000FF"/>
        <rFont val="JRFonts"/>
        <charset val="134"/>
      </rPr>
      <t>23948</t>
    </r>
  </si>
  <si>
    <r>
      <rPr>
        <sz val="10"/>
        <color rgb="FF000000"/>
        <rFont val="JRFonts"/>
        <charset val="134"/>
      </rPr>
      <t>04-09-2026 17:09</t>
    </r>
  </si>
  <si>
    <r>
      <rPr>
        <sz val="10"/>
        <color rgb="FF000000"/>
        <rFont val="JRFonts"/>
        <charset val="134"/>
      </rPr>
      <t>07-09-2026 11:36</t>
    </r>
  </si>
  <si>
    <r>
      <rPr>
        <sz val="10"/>
        <color rgb="FF000000"/>
        <rFont val="JRFonts"/>
        <charset val="134"/>
      </rPr>
      <t>07-09-2026 10:20</t>
    </r>
  </si>
  <si>
    <r>
      <rPr>
        <sz val="10"/>
        <color rgb="FF0000FF"/>
        <rFont val="JRFonts"/>
        <charset val="134"/>
      </rPr>
      <t>23949</t>
    </r>
  </si>
  <si>
    <r>
      <rPr>
        <sz val="10"/>
        <color rgb="FF000000"/>
        <rFont val="JRFonts"/>
        <charset val="134"/>
      </rPr>
      <t>04-09-2026 17:18</t>
    </r>
  </si>
  <si>
    <r>
      <rPr>
        <sz val="10"/>
        <color rgb="FF000000"/>
        <rFont val="JRFonts"/>
        <charset val="134"/>
      </rPr>
      <t>08-09-2026 11:27</t>
    </r>
  </si>
  <si>
    <r>
      <rPr>
        <sz val="10"/>
        <color rgb="FF000000"/>
        <rFont val="JRFonts"/>
        <charset val="134"/>
      </rPr>
      <t>07-09-2026 10:21</t>
    </r>
  </si>
  <si>
    <r>
      <rPr>
        <sz val="10"/>
        <color rgb="FF0000FF"/>
        <rFont val="JRFonts"/>
        <charset val="134"/>
      </rPr>
      <t>23950</t>
    </r>
  </si>
  <si>
    <r>
      <rPr>
        <sz val="10"/>
        <color rgb="FF000000"/>
        <rFont val="JRFonts"/>
        <charset val="134"/>
      </rPr>
      <t>04-09-2026 17:36</t>
    </r>
  </si>
  <si>
    <r>
      <rPr>
        <sz val="10"/>
        <color rgb="FF000000"/>
        <rFont val="JRFonts"/>
        <charset val="134"/>
      </rPr>
      <t>13-09-2026 10:14</t>
    </r>
  </si>
  <si>
    <t>23950</t>
  </si>
  <si>
    <r>
      <rPr>
        <sz val="10"/>
        <color rgb="FF0000FF"/>
        <rFont val="JRFonts"/>
        <charset val="134"/>
      </rPr>
      <t>23954</t>
    </r>
  </si>
  <si>
    <r>
      <rPr>
        <sz val="10"/>
        <color rgb="FF000000"/>
        <rFont val="JRFonts"/>
        <charset val="134"/>
      </rPr>
      <t>05-09-2026 10:24</t>
    </r>
  </si>
  <si>
    <r>
      <rPr>
        <sz val="10"/>
        <color rgb="FF000000"/>
        <rFont val="JRFonts"/>
        <charset val="134"/>
      </rPr>
      <t>07-09-2026 11:52</t>
    </r>
  </si>
  <si>
    <r>
      <rPr>
        <sz val="10"/>
        <color rgb="FF000000"/>
        <rFont val="JRFonts"/>
        <charset val="134"/>
      </rPr>
      <t>07-09-2026 11:25</t>
    </r>
  </si>
  <si>
    <r>
      <rPr>
        <sz val="10"/>
        <color rgb="FF0000FF"/>
        <rFont val="JRFonts"/>
        <charset val="134"/>
      </rPr>
      <t>23960</t>
    </r>
  </si>
  <si>
    <r>
      <rPr>
        <sz val="10"/>
        <color rgb="FF000000"/>
        <rFont val="JRFonts"/>
        <charset val="134"/>
      </rPr>
      <t>05-09-2026 12:28</t>
    </r>
  </si>
  <si>
    <r>
      <rPr>
        <sz val="10"/>
        <color rgb="FF000000"/>
        <rFont val="JRFonts"/>
        <charset val="134"/>
      </rPr>
      <t>09-09-2026 10:24</t>
    </r>
  </si>
  <si>
    <r>
      <rPr>
        <sz val="10"/>
        <color rgb="FF000000"/>
        <rFont val="JRFonts"/>
        <charset val="134"/>
      </rPr>
      <t>07-09-2026 11:24</t>
    </r>
  </si>
  <si>
    <t>23960</t>
  </si>
  <si>
    <r>
      <rPr>
        <sz val="10"/>
        <color rgb="FF0000FF"/>
        <rFont val="JRFonts"/>
        <charset val="134"/>
      </rPr>
      <t>23962</t>
    </r>
  </si>
  <si>
    <r>
      <rPr>
        <sz val="10"/>
        <color rgb="FF000000"/>
        <rFont val="JRFonts"/>
        <charset val="134"/>
      </rPr>
      <t>05-09-2026 12:41</t>
    </r>
  </si>
  <si>
    <r>
      <rPr>
        <sz val="10"/>
        <color rgb="FF000000"/>
        <rFont val="JRFonts"/>
        <charset val="134"/>
      </rPr>
      <t>07-09-2026 11:35</t>
    </r>
  </si>
  <si>
    <r>
      <rPr>
        <sz val="10"/>
        <color rgb="FF000000"/>
        <rFont val="JRFonts"/>
        <charset val="134"/>
      </rPr>
      <t>07-09-2026 11:27</t>
    </r>
  </si>
  <si>
    <r>
      <rPr>
        <sz val="10"/>
        <color rgb="FF0000FF"/>
        <rFont val="JRFonts"/>
        <charset val="134"/>
      </rPr>
      <t>23967</t>
    </r>
  </si>
  <si>
    <r>
      <rPr>
        <sz val="10"/>
        <color rgb="FF000000"/>
        <rFont val="JRFonts"/>
        <charset val="134"/>
      </rPr>
      <t>05-09-2026 14:57</t>
    </r>
  </si>
  <si>
    <r>
      <rPr>
        <sz val="10"/>
        <color rgb="FF000000"/>
        <rFont val="JRFonts"/>
        <charset val="134"/>
      </rPr>
      <t>07-09-2026 12:07</t>
    </r>
  </si>
  <si>
    <t>23967</t>
  </si>
  <si>
    <r>
      <rPr>
        <sz val="10"/>
        <color rgb="FF0000FF"/>
        <rFont val="JRFonts"/>
        <charset val="134"/>
      </rPr>
      <t>23968</t>
    </r>
  </si>
  <si>
    <r>
      <rPr>
        <sz val="10"/>
        <color rgb="FF000000"/>
        <rFont val="JRFonts"/>
        <charset val="134"/>
      </rPr>
      <t>05-09-2026 15:09</t>
    </r>
  </si>
  <si>
    <r>
      <rPr>
        <sz val="10"/>
        <color rgb="FF000000"/>
        <rFont val="JRFonts"/>
        <charset val="134"/>
      </rPr>
      <t>08-09-2026 11:24</t>
    </r>
  </si>
  <si>
    <r>
      <rPr>
        <sz val="10"/>
        <color rgb="FF0000FF"/>
        <rFont val="JRFonts"/>
        <charset val="134"/>
      </rPr>
      <t>23982</t>
    </r>
  </si>
  <si>
    <r>
      <rPr>
        <sz val="10"/>
        <color rgb="FF000000"/>
        <rFont val="JRFonts"/>
        <charset val="134"/>
      </rPr>
      <t>07-09-2026 09:06</t>
    </r>
  </si>
  <si>
    <r>
      <rPr>
        <sz val="10"/>
        <color rgb="FF000000"/>
        <rFont val="JRFonts"/>
        <charset val="134"/>
      </rPr>
      <t>09-09-2026 16:10</t>
    </r>
  </si>
  <si>
    <r>
      <rPr>
        <sz val="10"/>
        <color rgb="FF000000"/>
        <rFont val="JRFonts"/>
        <charset val="134"/>
      </rPr>
      <t>07-09-2026 11:30</t>
    </r>
  </si>
  <si>
    <t>23982</t>
  </si>
  <si>
    <r>
      <rPr>
        <sz val="10"/>
        <color rgb="FF0000FF"/>
        <rFont val="JRFonts"/>
        <charset val="134"/>
      </rPr>
      <t>23983</t>
    </r>
  </si>
  <si>
    <r>
      <rPr>
        <sz val="10"/>
        <color rgb="FF000000"/>
        <rFont val="JRFonts"/>
        <charset val="134"/>
      </rPr>
      <t>07-09-2026 10:25</t>
    </r>
  </si>
  <si>
    <r>
      <rPr>
        <sz val="10"/>
        <color rgb="FF000000"/>
        <rFont val="JRFonts"/>
        <charset val="134"/>
      </rPr>
      <t>08-09-2026 15:48</t>
    </r>
  </si>
  <si>
    <r>
      <rPr>
        <sz val="10"/>
        <color rgb="FF000000"/>
        <rFont val="JRFonts"/>
        <charset val="134"/>
      </rPr>
      <t>07-09-2026 11:37</t>
    </r>
  </si>
  <si>
    <t>23983</t>
  </si>
  <si>
    <r>
      <rPr>
        <sz val="10"/>
        <color rgb="FF0000FF"/>
        <rFont val="JRFonts"/>
        <charset val="134"/>
      </rPr>
      <t>23984</t>
    </r>
  </si>
  <si>
    <r>
      <rPr>
        <sz val="10"/>
        <color rgb="FF000000"/>
        <rFont val="JRFonts"/>
        <charset val="134"/>
      </rPr>
      <t>07-09-2026 10:28</t>
    </r>
  </si>
  <si>
    <r>
      <rPr>
        <sz val="10"/>
        <color rgb="FF000000"/>
        <rFont val="JRFonts"/>
        <charset val="134"/>
      </rPr>
      <t>07-09-2026 12:08</t>
    </r>
  </si>
  <si>
    <r>
      <rPr>
        <sz val="10"/>
        <color rgb="FF0000FF"/>
        <rFont val="JRFonts"/>
        <charset val="134"/>
      </rPr>
      <t>23985</t>
    </r>
  </si>
  <si>
    <r>
      <rPr>
        <sz val="10"/>
        <color rgb="FF000000"/>
        <rFont val="JRFonts"/>
        <charset val="134"/>
      </rPr>
      <t>07-09-2026 10:31</t>
    </r>
  </si>
  <si>
    <r>
      <rPr>
        <sz val="10"/>
        <color rgb="FF000000"/>
        <rFont val="JRFonts"/>
        <charset val="134"/>
      </rPr>
      <t>07-09-2026 11:51</t>
    </r>
  </si>
  <si>
    <r>
      <rPr>
        <sz val="10"/>
        <color rgb="FF000000"/>
        <rFont val="JRFonts"/>
        <charset val="134"/>
      </rPr>
      <t>07-09-2026 11:38</t>
    </r>
  </si>
  <si>
    <r>
      <rPr>
        <sz val="10"/>
        <color rgb="FF0000FF"/>
        <rFont val="JRFonts"/>
        <charset val="134"/>
      </rPr>
      <t>23988</t>
    </r>
  </si>
  <si>
    <r>
      <rPr>
        <sz val="10"/>
        <color rgb="FF000000"/>
        <rFont val="JRFonts"/>
        <charset val="134"/>
      </rPr>
      <t>07-09-2026 10:46</t>
    </r>
  </si>
  <si>
    <r>
      <rPr>
        <sz val="10"/>
        <color rgb="FF000000"/>
        <rFont val="JRFonts"/>
        <charset val="134"/>
      </rPr>
      <t>07-09-2026 14:01</t>
    </r>
  </si>
  <si>
    <r>
      <rPr>
        <sz val="10"/>
        <color rgb="FF0000FF"/>
        <rFont val="JRFonts"/>
        <charset val="134"/>
      </rPr>
      <t>23993</t>
    </r>
  </si>
  <si>
    <r>
      <rPr>
        <sz val="10"/>
        <color rgb="FF000000"/>
        <rFont val="JRFonts"/>
        <charset val="134"/>
      </rPr>
      <t>07-09-2026 11:08</t>
    </r>
  </si>
  <si>
    <r>
      <rPr>
        <sz val="10"/>
        <color rgb="FF000000"/>
        <rFont val="JRFonts"/>
        <charset val="134"/>
      </rPr>
      <t>07-09-2026 15:44</t>
    </r>
  </si>
  <si>
    <r>
      <rPr>
        <sz val="10"/>
        <color rgb="FF000000"/>
        <rFont val="JRFonts"/>
        <charset val="134"/>
      </rPr>
      <t>07-09-2026 11:39</t>
    </r>
  </si>
  <si>
    <r>
      <rPr>
        <sz val="10"/>
        <color rgb="FF0000FF"/>
        <rFont val="JRFonts"/>
        <charset val="134"/>
      </rPr>
      <t>23995</t>
    </r>
  </si>
  <si>
    <r>
      <rPr>
        <sz val="10"/>
        <color rgb="FF000000"/>
        <rFont val="JRFonts"/>
        <charset val="134"/>
      </rPr>
      <t>07-09-2026 11:50</t>
    </r>
  </si>
  <si>
    <r>
      <rPr>
        <sz val="10"/>
        <color rgb="FF000000"/>
        <rFont val="JRFonts"/>
        <charset val="134"/>
      </rPr>
      <t>16-09-2026 16:00</t>
    </r>
  </si>
  <si>
    <r>
      <rPr>
        <sz val="10"/>
        <color rgb="FF000000"/>
        <rFont val="JRFonts"/>
        <charset val="134"/>
      </rPr>
      <t>07-09-2026 12:09</t>
    </r>
  </si>
  <si>
    <t>23995</t>
  </si>
  <si>
    <r>
      <rPr>
        <sz val="10"/>
        <color rgb="FF0000FF"/>
        <rFont val="JRFonts"/>
        <charset val="134"/>
      </rPr>
      <t>23996</t>
    </r>
  </si>
  <si>
    <r>
      <rPr>
        <sz val="10"/>
        <color rgb="FF000000"/>
        <rFont val="JRFonts"/>
        <charset val="134"/>
      </rPr>
      <t>07-09-2026 12:06</t>
    </r>
  </si>
  <si>
    <r>
      <rPr>
        <sz val="10"/>
        <color rgb="FF000000"/>
        <rFont val="JRFonts"/>
        <charset val="134"/>
      </rPr>
      <t>08-09-2026 14:56</t>
    </r>
  </si>
  <si>
    <r>
      <rPr>
        <sz val="10"/>
        <color rgb="FF000000"/>
        <rFont val="JRFonts"/>
        <charset val="134"/>
      </rPr>
      <t>08-09-2026 11:22</t>
    </r>
  </si>
  <si>
    <t>23997</t>
  </si>
  <si>
    <r>
      <rPr>
        <sz val="10"/>
        <color rgb="FF000000"/>
        <rFont val="JRFonts"/>
        <charset val="134"/>
      </rPr>
      <t>07-09-2026 15:25</t>
    </r>
  </si>
  <si>
    <r>
      <rPr>
        <sz val="10"/>
        <color rgb="FF000000"/>
        <rFont val="JRFonts"/>
        <charset val="134"/>
      </rPr>
      <t>07-09-2026 12:10</t>
    </r>
  </si>
  <si>
    <r>
      <rPr>
        <sz val="10"/>
        <color rgb="FF0000FF"/>
        <rFont val="JRFonts"/>
        <charset val="134"/>
      </rPr>
      <t>24003</t>
    </r>
  </si>
  <si>
    <r>
      <rPr>
        <sz val="10"/>
        <color rgb="FF000000"/>
        <rFont val="JRFonts"/>
        <charset val="134"/>
      </rPr>
      <t>07-09-2026 12:42</t>
    </r>
  </si>
  <si>
    <r>
      <rPr>
        <sz val="10"/>
        <color rgb="FF000000"/>
        <rFont val="JRFonts"/>
        <charset val="134"/>
      </rPr>
      <t>11-09-2026 10:35</t>
    </r>
  </si>
  <si>
    <r>
      <rPr>
        <sz val="10"/>
        <color rgb="FF000000"/>
        <rFont val="JRFonts"/>
        <charset val="134"/>
      </rPr>
      <t>07-09-2026 12:46</t>
    </r>
  </si>
  <si>
    <t>24003</t>
  </si>
  <si>
    <r>
      <rPr>
        <sz val="10"/>
        <color rgb="FF0000FF"/>
        <rFont val="JRFonts"/>
        <charset val="134"/>
      </rPr>
      <t>24004</t>
    </r>
  </si>
  <si>
    <r>
      <rPr>
        <sz val="10"/>
        <color rgb="FF000000"/>
        <rFont val="JRFonts"/>
        <charset val="134"/>
      </rPr>
      <t>07-09-2026 12:51</t>
    </r>
  </si>
  <si>
    <r>
      <rPr>
        <sz val="10"/>
        <color rgb="FF000000"/>
        <rFont val="JRFonts"/>
        <charset val="134"/>
      </rPr>
      <t>11-09-2026 11:44</t>
    </r>
  </si>
  <si>
    <r>
      <rPr>
        <sz val="10"/>
        <color rgb="FF000000"/>
        <rFont val="JRFonts"/>
        <charset val="134"/>
      </rPr>
      <t>07-09-2026 12:53</t>
    </r>
  </si>
  <si>
    <t>24004</t>
  </si>
  <si>
    <r>
      <rPr>
        <sz val="10"/>
        <color rgb="FF0000FF"/>
        <rFont val="JRFonts"/>
        <charset val="134"/>
      </rPr>
      <t>24005</t>
    </r>
  </si>
  <si>
    <r>
      <rPr>
        <sz val="10"/>
        <color rgb="FF000000"/>
        <rFont val="JRFonts"/>
        <charset val="134"/>
      </rPr>
      <t>07-09-2026 12:57</t>
    </r>
  </si>
  <si>
    <r>
      <rPr>
        <sz val="10"/>
        <color rgb="FF000000"/>
        <rFont val="JRFonts"/>
        <charset val="134"/>
      </rPr>
      <t>09-09-2026 17:45</t>
    </r>
  </si>
  <si>
    <r>
      <rPr>
        <sz val="10"/>
        <color rgb="FF000000"/>
        <rFont val="JRFonts"/>
        <charset val="134"/>
      </rPr>
      <t>07-09-2026 12:59</t>
    </r>
  </si>
  <si>
    <t>24005</t>
  </si>
  <si>
    <r>
      <rPr>
        <sz val="10"/>
        <color rgb="FF0000FF"/>
        <rFont val="JRFonts"/>
        <charset val="134"/>
      </rPr>
      <t>24007</t>
    </r>
  </si>
  <si>
    <r>
      <rPr>
        <sz val="10"/>
        <color rgb="FF000000"/>
        <rFont val="JRFonts"/>
        <charset val="134"/>
      </rPr>
      <t>07-09-2026 13:25</t>
    </r>
  </si>
  <si>
    <r>
      <rPr>
        <sz val="10"/>
        <color rgb="FF000000"/>
        <rFont val="JRFonts"/>
        <charset val="134"/>
      </rPr>
      <t>08-09-2026 11:38</t>
    </r>
  </si>
  <si>
    <r>
      <rPr>
        <sz val="10"/>
        <color rgb="FF000000"/>
        <rFont val="JRFonts"/>
        <charset val="134"/>
      </rPr>
      <t>07-09-2026 14:05</t>
    </r>
  </si>
  <si>
    <r>
      <rPr>
        <sz val="10"/>
        <color rgb="FF0000FF"/>
        <rFont val="JRFonts"/>
        <charset val="134"/>
      </rPr>
      <t>24008</t>
    </r>
  </si>
  <si>
    <r>
      <rPr>
        <sz val="10"/>
        <color rgb="FF000000"/>
        <rFont val="JRFonts"/>
        <charset val="134"/>
      </rPr>
      <t>07-09-2026 13:40</t>
    </r>
  </si>
  <si>
    <r>
      <rPr>
        <sz val="10"/>
        <color rgb="FF000000"/>
        <rFont val="JRFonts"/>
        <charset val="134"/>
      </rPr>
      <t>11-09-2026 10:40</t>
    </r>
  </si>
  <si>
    <r>
      <rPr>
        <sz val="10"/>
        <color rgb="FF000000"/>
        <rFont val="JRFonts"/>
        <charset val="134"/>
      </rPr>
      <t>07-09-2026 14:07</t>
    </r>
  </si>
  <si>
    <t>24008</t>
  </si>
  <si>
    <r>
      <rPr>
        <sz val="10"/>
        <color rgb="FF0000FF"/>
        <rFont val="JRFonts"/>
        <charset val="134"/>
      </rPr>
      <t>24009</t>
    </r>
  </si>
  <si>
    <r>
      <rPr>
        <sz val="10"/>
        <color rgb="FF000000"/>
        <rFont val="JRFonts"/>
        <charset val="134"/>
      </rPr>
      <t>07-09-2026 13:49</t>
    </r>
  </si>
  <si>
    <r>
      <rPr>
        <sz val="10"/>
        <color rgb="FF000000"/>
        <rFont val="JRFonts"/>
        <charset val="134"/>
      </rPr>
      <t>15-09-2026 18:01</t>
    </r>
  </si>
  <si>
    <t>24009</t>
  </si>
  <si>
    <r>
      <rPr>
        <sz val="10"/>
        <color rgb="FF0000FF"/>
        <rFont val="JRFonts"/>
        <charset val="134"/>
      </rPr>
      <t>24010</t>
    </r>
  </si>
  <si>
    <r>
      <rPr>
        <sz val="10"/>
        <color rgb="FF000000"/>
        <rFont val="JRFonts"/>
        <charset val="134"/>
      </rPr>
      <t>07-09-2026 14:35</t>
    </r>
  </si>
  <si>
    <r>
      <rPr>
        <sz val="10"/>
        <color rgb="FF000000"/>
        <rFont val="JRFonts"/>
        <charset val="134"/>
      </rPr>
      <t>30-09-2026 15:16</t>
    </r>
  </si>
  <si>
    <r>
      <rPr>
        <sz val="10"/>
        <color rgb="FF000000"/>
        <rFont val="JRFonts"/>
        <charset val="134"/>
      </rPr>
      <t>30-09-2026 10:58</t>
    </r>
  </si>
  <si>
    <r>
      <rPr>
        <sz val="10"/>
        <color rgb="FF0000FF"/>
        <rFont val="JRFonts"/>
        <charset val="134"/>
      </rPr>
      <t>24011</t>
    </r>
  </si>
  <si>
    <r>
      <rPr>
        <sz val="10"/>
        <color rgb="FF000000"/>
        <rFont val="JRFonts"/>
        <charset val="134"/>
      </rPr>
      <t>09-09-2026 10:58</t>
    </r>
  </si>
  <si>
    <r>
      <rPr>
        <sz val="10"/>
        <color rgb="FF000000"/>
        <rFont val="JRFonts"/>
        <charset val="134"/>
      </rPr>
      <t>07-09-2026 14:57</t>
    </r>
  </si>
  <si>
    <t>24011</t>
  </si>
  <si>
    <r>
      <rPr>
        <sz val="10"/>
        <color rgb="FF0000FF"/>
        <rFont val="JRFonts"/>
        <charset val="134"/>
      </rPr>
      <t>24012</t>
    </r>
  </si>
  <si>
    <r>
      <rPr>
        <sz val="10"/>
        <color rgb="FF000000"/>
        <rFont val="JRFonts"/>
        <charset val="134"/>
      </rPr>
      <t>07-09-2026 15:26</t>
    </r>
  </si>
  <si>
    <r>
      <rPr>
        <sz val="10"/>
        <color rgb="FF000000"/>
        <rFont val="JRFonts"/>
        <charset val="134"/>
      </rPr>
      <t>07-09-2026 15:30</t>
    </r>
  </si>
  <si>
    <r>
      <rPr>
        <sz val="10"/>
        <color rgb="FF000000"/>
        <rFont val="JRFonts"/>
        <charset val="134"/>
      </rPr>
      <t>07-09-2026 15:31</t>
    </r>
  </si>
  <si>
    <r>
      <rPr>
        <sz val="10"/>
        <color rgb="FF0000FF"/>
        <rFont val="JRFonts"/>
        <charset val="134"/>
      </rPr>
      <t>24013</t>
    </r>
  </si>
  <si>
    <r>
      <rPr>
        <sz val="10"/>
        <color rgb="FF000000"/>
        <rFont val="JRFonts"/>
        <charset val="134"/>
      </rPr>
      <t>07-09-2026 15:32</t>
    </r>
  </si>
  <si>
    <r>
      <rPr>
        <sz val="10"/>
        <color rgb="FF000000"/>
        <rFont val="JRFonts"/>
        <charset val="134"/>
      </rPr>
      <t>07-09-2026 17:04</t>
    </r>
  </si>
  <si>
    <r>
      <rPr>
        <sz val="10"/>
        <color rgb="FF000000"/>
        <rFont val="JRFonts"/>
        <charset val="134"/>
      </rPr>
      <t>07-09-2026 15:38</t>
    </r>
  </si>
  <si>
    <r>
      <rPr>
        <sz val="10"/>
        <color rgb="FF0000FF"/>
        <rFont val="JRFonts"/>
        <charset val="134"/>
      </rPr>
      <t>24016</t>
    </r>
  </si>
  <si>
    <r>
      <rPr>
        <sz val="10"/>
        <color rgb="FF000000"/>
        <rFont val="JRFonts"/>
        <charset val="134"/>
      </rPr>
      <t>07-09-2026 15:54</t>
    </r>
  </si>
  <si>
    <r>
      <rPr>
        <sz val="10"/>
        <color rgb="FF000000"/>
        <rFont val="JRFonts"/>
        <charset val="134"/>
      </rPr>
      <t>07-09-2026 18:34</t>
    </r>
  </si>
  <si>
    <r>
      <rPr>
        <sz val="10"/>
        <color rgb="FF000000"/>
        <rFont val="JRFonts"/>
        <charset val="134"/>
      </rPr>
      <t>07-09-2026 16:01</t>
    </r>
  </si>
  <si>
    <r>
      <rPr>
        <sz val="10"/>
        <color rgb="FF0000FF"/>
        <rFont val="JRFonts"/>
        <charset val="134"/>
      </rPr>
      <t>24018</t>
    </r>
  </si>
  <si>
    <r>
      <rPr>
        <sz val="10"/>
        <color rgb="FF000000"/>
        <rFont val="JRFonts"/>
        <charset val="134"/>
      </rPr>
      <t>07-09-2026 16:18</t>
    </r>
  </si>
  <si>
    <r>
      <rPr>
        <sz val="10"/>
        <color rgb="FF000000"/>
        <rFont val="JRFonts"/>
        <charset val="134"/>
      </rPr>
      <t>09-09-2026 17:48</t>
    </r>
  </si>
  <si>
    <r>
      <rPr>
        <sz val="10"/>
        <color rgb="FF000000"/>
        <rFont val="JRFonts"/>
        <charset val="134"/>
      </rPr>
      <t>07-09-2026 16:27</t>
    </r>
  </si>
  <si>
    <t>24018</t>
  </si>
  <si>
    <r>
      <rPr>
        <sz val="10"/>
        <color rgb="FF0000FF"/>
        <rFont val="JRFonts"/>
        <charset val="134"/>
      </rPr>
      <t>24019</t>
    </r>
  </si>
  <si>
    <r>
      <rPr>
        <sz val="10"/>
        <color rgb="FF000000"/>
        <rFont val="JRFonts"/>
        <charset val="134"/>
      </rPr>
      <t>08-09-2026 17:54</t>
    </r>
  </si>
  <si>
    <r>
      <rPr>
        <sz val="10"/>
        <color rgb="FF000000"/>
        <rFont val="JRFonts"/>
        <charset val="134"/>
      </rPr>
      <t>07-09-2026 16:22</t>
    </r>
  </si>
  <si>
    <t>24019</t>
  </si>
  <si>
    <r>
      <rPr>
        <sz val="10"/>
        <color rgb="FF0000FF"/>
        <rFont val="JRFonts"/>
        <charset val="134"/>
      </rPr>
      <t>24020</t>
    </r>
  </si>
  <si>
    <r>
      <rPr>
        <sz val="10"/>
        <color rgb="FF000000"/>
        <rFont val="JRFonts"/>
        <charset val="134"/>
      </rPr>
      <t>07-09-2026 16:37</t>
    </r>
  </si>
  <si>
    <r>
      <rPr>
        <sz val="10"/>
        <color rgb="FF000000"/>
        <rFont val="JRFonts"/>
        <charset val="134"/>
      </rPr>
      <t>07-09-2026 16:44</t>
    </r>
  </si>
  <si>
    <r>
      <rPr>
        <sz val="10"/>
        <color rgb="FF000000"/>
        <rFont val="JRFonts"/>
        <charset val="134"/>
      </rPr>
      <t>07-09-2026 16:40</t>
    </r>
  </si>
  <si>
    <r>
      <rPr>
        <sz val="10"/>
        <color rgb="FF0000FF"/>
        <rFont val="JRFonts"/>
        <charset val="134"/>
      </rPr>
      <t>24021</t>
    </r>
  </si>
  <si>
    <r>
      <rPr>
        <sz val="10"/>
        <color rgb="FF000000"/>
        <rFont val="JRFonts"/>
        <charset val="134"/>
      </rPr>
      <t>07-09-2026 16:56</t>
    </r>
  </si>
  <si>
    <r>
      <rPr>
        <sz val="10"/>
        <color rgb="FF000000"/>
        <rFont val="JRFonts"/>
        <charset val="134"/>
      </rPr>
      <t>07-09-2026 16:42</t>
    </r>
  </si>
  <si>
    <r>
      <rPr>
        <sz val="10"/>
        <color rgb="FF0000FF"/>
        <rFont val="JRFonts"/>
        <charset val="134"/>
      </rPr>
      <t>24022</t>
    </r>
  </si>
  <si>
    <r>
      <rPr>
        <sz val="10"/>
        <color rgb="FF000000"/>
        <rFont val="JRFonts"/>
        <charset val="134"/>
      </rPr>
      <t>07-09-2026 17:13</t>
    </r>
  </si>
  <si>
    <r>
      <rPr>
        <sz val="10"/>
        <color rgb="FF000000"/>
        <rFont val="JRFonts"/>
        <charset val="134"/>
      </rPr>
      <t>07-09-2026 17:42</t>
    </r>
  </si>
  <si>
    <r>
      <rPr>
        <sz val="10"/>
        <color rgb="FF000000"/>
        <rFont val="JRFonts"/>
        <charset val="134"/>
      </rPr>
      <t>07-09-2026 17:20</t>
    </r>
  </si>
  <si>
    <r>
      <rPr>
        <sz val="10"/>
        <color rgb="FF0000FF"/>
        <rFont val="JRFonts"/>
        <charset val="134"/>
      </rPr>
      <t>24023</t>
    </r>
  </si>
  <si>
    <r>
      <rPr>
        <sz val="10"/>
        <color rgb="FF000000"/>
        <rFont val="JRFonts"/>
        <charset val="134"/>
      </rPr>
      <t>07-09-2026 17:16</t>
    </r>
  </si>
  <si>
    <r>
      <rPr>
        <sz val="10"/>
        <color rgb="FF000000"/>
        <rFont val="JRFonts"/>
        <charset val="134"/>
      </rPr>
      <t>07-09-2026 17:44</t>
    </r>
  </si>
  <si>
    <r>
      <rPr>
        <sz val="10"/>
        <color rgb="FF000000"/>
        <rFont val="JRFonts"/>
        <charset val="134"/>
      </rPr>
      <t>07-09-2026 17:21</t>
    </r>
  </si>
  <si>
    <r>
      <rPr>
        <sz val="10"/>
        <color rgb="FF0000FF"/>
        <rFont val="JRFonts"/>
        <charset val="134"/>
      </rPr>
      <t>24024</t>
    </r>
  </si>
  <si>
    <r>
      <rPr>
        <sz val="10"/>
        <color rgb="FF000000"/>
        <rFont val="JRFonts"/>
        <charset val="134"/>
      </rPr>
      <t>07-09-2026 17:19</t>
    </r>
  </si>
  <si>
    <r>
      <rPr>
        <sz val="10"/>
        <color rgb="FF000000"/>
        <rFont val="JRFonts"/>
        <charset val="134"/>
      </rPr>
      <t>07-09-2026 17:43</t>
    </r>
  </si>
  <si>
    <r>
      <rPr>
        <sz val="10"/>
        <color rgb="FF000000"/>
        <rFont val="JRFonts"/>
        <charset val="134"/>
      </rPr>
      <t>07-09-2026 17:24</t>
    </r>
  </si>
  <si>
    <r>
      <rPr>
        <sz val="10"/>
        <color rgb="FF0000FF"/>
        <rFont val="JRFonts"/>
        <charset val="134"/>
      </rPr>
      <t>24027</t>
    </r>
  </si>
  <si>
    <r>
      <rPr>
        <sz val="10"/>
        <color rgb="FF000000"/>
        <rFont val="JRFonts"/>
        <charset val="134"/>
      </rPr>
      <t>08-09-2026 09:57</t>
    </r>
  </si>
  <si>
    <r>
      <rPr>
        <sz val="10"/>
        <color rgb="FF000000"/>
        <rFont val="JRFonts"/>
        <charset val="134"/>
      </rPr>
      <t>08-09-2026 11:08</t>
    </r>
  </si>
  <si>
    <r>
      <rPr>
        <sz val="10"/>
        <color rgb="FF000000"/>
        <rFont val="JRFonts"/>
        <charset val="134"/>
      </rPr>
      <t>08-09-2026 10:46</t>
    </r>
  </si>
  <si>
    <r>
      <rPr>
        <sz val="10"/>
        <color rgb="FF0000FF"/>
        <rFont val="JRFonts"/>
        <charset val="134"/>
      </rPr>
      <t>24029</t>
    </r>
  </si>
  <si>
    <r>
      <rPr>
        <sz val="10"/>
        <color rgb="FF000000"/>
        <rFont val="JRFonts"/>
        <charset val="134"/>
      </rPr>
      <t>08-09-2026 10:27</t>
    </r>
  </si>
  <si>
    <r>
      <rPr>
        <sz val="10"/>
        <color rgb="FF000000"/>
        <rFont val="JRFonts"/>
        <charset val="134"/>
      </rPr>
      <t>15-09-2026 15:49</t>
    </r>
  </si>
  <si>
    <t>24029</t>
  </si>
  <si>
    <r>
      <rPr>
        <sz val="10"/>
        <color rgb="FF0000FF"/>
        <rFont val="JRFonts"/>
        <charset val="134"/>
      </rPr>
      <t>24030</t>
    </r>
  </si>
  <si>
    <r>
      <rPr>
        <sz val="10"/>
        <color rgb="FF000000"/>
        <rFont val="JRFonts"/>
        <charset val="134"/>
      </rPr>
      <t>08-09-2026 10:30</t>
    </r>
  </si>
  <si>
    <r>
      <rPr>
        <sz val="10"/>
        <color rgb="FF000000"/>
        <rFont val="JRFonts"/>
        <charset val="134"/>
      </rPr>
      <t>28-09-2026 11:29</t>
    </r>
  </si>
  <si>
    <r>
      <rPr>
        <sz val="10"/>
        <color rgb="FF000000"/>
        <rFont val="JRFonts"/>
        <charset val="134"/>
      </rPr>
      <t>08-09-2026 10:52</t>
    </r>
  </si>
  <si>
    <t>24030</t>
  </si>
  <si>
    <r>
      <rPr>
        <sz val="10"/>
        <color rgb="FF0000FF"/>
        <rFont val="JRFonts"/>
        <charset val="134"/>
      </rPr>
      <t>24031</t>
    </r>
  </si>
  <si>
    <r>
      <rPr>
        <sz val="10"/>
        <color rgb="FF000000"/>
        <rFont val="JRFonts"/>
        <charset val="134"/>
      </rPr>
      <t>08-09-2026 10:33</t>
    </r>
  </si>
  <si>
    <r>
      <rPr>
        <sz val="10"/>
        <color rgb="FF000000"/>
        <rFont val="JRFonts"/>
        <charset val="134"/>
      </rPr>
      <t>08-09-2026 11:05</t>
    </r>
  </si>
  <si>
    <r>
      <rPr>
        <sz val="10"/>
        <color rgb="FF000000"/>
        <rFont val="JRFonts"/>
        <charset val="134"/>
      </rPr>
      <t>08-09-2026 10:53</t>
    </r>
  </si>
  <si>
    <r>
      <rPr>
        <sz val="10"/>
        <color rgb="FF0000FF"/>
        <rFont val="JRFonts"/>
        <charset val="134"/>
      </rPr>
      <t>24032</t>
    </r>
  </si>
  <si>
    <r>
      <rPr>
        <sz val="10"/>
        <color rgb="FF000000"/>
        <rFont val="JRFonts"/>
        <charset val="134"/>
      </rPr>
      <t>08-09-2026 10:36</t>
    </r>
  </si>
  <si>
    <r>
      <rPr>
        <sz val="10"/>
        <color rgb="FF000000"/>
        <rFont val="JRFonts"/>
        <charset val="134"/>
      </rPr>
      <t>08-09-2026 11:21</t>
    </r>
  </si>
  <si>
    <r>
      <rPr>
        <sz val="10"/>
        <color rgb="FF0000FF"/>
        <rFont val="JRFonts"/>
        <charset val="134"/>
      </rPr>
      <t>24033</t>
    </r>
  </si>
  <si>
    <r>
      <rPr>
        <sz val="10"/>
        <color rgb="FF000000"/>
        <rFont val="JRFonts"/>
        <charset val="134"/>
      </rPr>
      <t>08-09-2026 10:39</t>
    </r>
  </si>
  <si>
    <r>
      <rPr>
        <sz val="10"/>
        <color rgb="FF000000"/>
        <rFont val="JRFonts"/>
        <charset val="134"/>
      </rPr>
      <t>08-09-2026 11:32</t>
    </r>
  </si>
  <si>
    <r>
      <rPr>
        <sz val="10"/>
        <color rgb="FF000000"/>
        <rFont val="JRFonts"/>
        <charset val="134"/>
      </rPr>
      <t>08-09-2026 10:51</t>
    </r>
  </si>
  <si>
    <r>
      <rPr>
        <sz val="10"/>
        <color rgb="FF0000FF"/>
        <rFont val="JRFonts"/>
        <charset val="134"/>
      </rPr>
      <t>24034</t>
    </r>
  </si>
  <si>
    <r>
      <rPr>
        <sz val="10"/>
        <color rgb="FF000000"/>
        <rFont val="JRFonts"/>
        <charset val="134"/>
      </rPr>
      <t>08-09-2026 10:55</t>
    </r>
  </si>
  <si>
    <r>
      <rPr>
        <sz val="10"/>
        <color rgb="FF000000"/>
        <rFont val="JRFonts"/>
        <charset val="134"/>
      </rPr>
      <t>09-09-2026 12:00</t>
    </r>
  </si>
  <si>
    <r>
      <rPr>
        <sz val="10"/>
        <color rgb="FF000000"/>
        <rFont val="JRFonts"/>
        <charset val="134"/>
      </rPr>
      <t>08-09-2026 18:23</t>
    </r>
  </si>
  <si>
    <r>
      <rPr>
        <sz val="10"/>
        <color rgb="FF0000FF"/>
        <rFont val="JRFonts"/>
        <charset val="134"/>
      </rPr>
      <t>24035</t>
    </r>
  </si>
  <si>
    <r>
      <rPr>
        <sz val="10"/>
        <color rgb="FF000000"/>
        <rFont val="JRFonts"/>
        <charset val="134"/>
      </rPr>
      <t>08-09-2026 11:01</t>
    </r>
  </si>
  <si>
    <r>
      <rPr>
        <sz val="10"/>
        <color rgb="FF000000"/>
        <rFont val="JRFonts"/>
        <charset val="134"/>
      </rPr>
      <t>22-09-2026 11:46</t>
    </r>
  </si>
  <si>
    <r>
      <rPr>
        <sz val="10"/>
        <color rgb="FF000000"/>
        <rFont val="JRFonts"/>
        <charset val="134"/>
      </rPr>
      <t>08-09-2026 11:10</t>
    </r>
  </si>
  <si>
    <t>24035</t>
  </si>
  <si>
    <r>
      <rPr>
        <sz val="10"/>
        <color rgb="FF0000FF"/>
        <rFont val="JRFonts"/>
        <charset val="134"/>
      </rPr>
      <t>24037</t>
    </r>
  </si>
  <si>
    <r>
      <rPr>
        <sz val="10"/>
        <color rgb="FF000000"/>
        <rFont val="JRFonts"/>
        <charset val="134"/>
      </rPr>
      <t>08-09-2026 11:41</t>
    </r>
  </si>
  <si>
    <r>
      <rPr>
        <sz val="10"/>
        <color rgb="FF000000"/>
        <rFont val="JRFonts"/>
        <charset val="134"/>
      </rPr>
      <t>08-09-2026 11:33</t>
    </r>
  </si>
  <si>
    <r>
      <rPr>
        <sz val="10"/>
        <color rgb="FF0000FF"/>
        <rFont val="JRFonts"/>
        <charset val="134"/>
      </rPr>
      <t>24038</t>
    </r>
  </si>
  <si>
    <r>
      <rPr>
        <sz val="10"/>
        <color rgb="FF000000"/>
        <rFont val="JRFonts"/>
        <charset val="134"/>
      </rPr>
      <t>08-09-2026 11:49</t>
    </r>
  </si>
  <si>
    <r>
      <rPr>
        <sz val="10"/>
        <color rgb="FF000000"/>
        <rFont val="JRFonts"/>
        <charset val="134"/>
      </rPr>
      <t>08-09-2026 12:50</t>
    </r>
  </si>
  <si>
    <r>
      <rPr>
        <sz val="10"/>
        <color rgb="FF000000"/>
        <rFont val="JRFonts"/>
        <charset val="134"/>
      </rPr>
      <t>08-09-2026 11:56</t>
    </r>
  </si>
  <si>
    <r>
      <rPr>
        <sz val="10"/>
        <color rgb="FF0000FF"/>
        <rFont val="JRFonts"/>
        <charset val="134"/>
      </rPr>
      <t>24040</t>
    </r>
  </si>
  <si>
    <r>
      <rPr>
        <sz val="10"/>
        <color rgb="FF000000"/>
        <rFont val="JRFonts"/>
        <charset val="134"/>
      </rPr>
      <t>08-09-2026 14:02</t>
    </r>
  </si>
  <si>
    <r>
      <rPr>
        <sz val="10"/>
        <color rgb="FF000000"/>
        <rFont val="JRFonts"/>
        <charset val="134"/>
      </rPr>
      <t>08-09-2026 13:03</t>
    </r>
  </si>
  <si>
    <r>
      <rPr>
        <sz val="10"/>
        <color rgb="FF0000FF"/>
        <rFont val="JRFonts"/>
        <charset val="134"/>
      </rPr>
      <t>24041</t>
    </r>
  </si>
  <si>
    <r>
      <rPr>
        <sz val="10"/>
        <color rgb="FF000000"/>
        <rFont val="JRFonts"/>
        <charset val="134"/>
      </rPr>
      <t>08-09-2026 13:02</t>
    </r>
  </si>
  <si>
    <r>
      <rPr>
        <sz val="10"/>
        <color rgb="FF000000"/>
        <rFont val="JRFonts"/>
        <charset val="134"/>
      </rPr>
      <t>11-09-2026 15:49</t>
    </r>
  </si>
  <si>
    <r>
      <rPr>
        <sz val="10"/>
        <color rgb="FF000000"/>
        <rFont val="JRFonts"/>
        <charset val="134"/>
      </rPr>
      <t>08-09-2026 14:03</t>
    </r>
  </si>
  <si>
    <t>24041</t>
  </si>
  <si>
    <r>
      <rPr>
        <sz val="10"/>
        <color rgb="FF0000FF"/>
        <rFont val="JRFonts"/>
        <charset val="134"/>
      </rPr>
      <t>24042</t>
    </r>
  </si>
  <si>
    <r>
      <rPr>
        <sz val="10"/>
        <color rgb="FF000000"/>
        <rFont val="JRFonts"/>
        <charset val="134"/>
      </rPr>
      <t>08-09-2026 16:07</t>
    </r>
  </si>
  <si>
    <r>
      <rPr>
        <sz val="10"/>
        <color rgb="FF000000"/>
        <rFont val="JRFonts"/>
        <charset val="134"/>
      </rPr>
      <t>08-09-2026 14:06</t>
    </r>
  </si>
  <si>
    <r>
      <rPr>
        <sz val="10"/>
        <color rgb="FF0000FF"/>
        <rFont val="JRFonts"/>
        <charset val="134"/>
      </rPr>
      <t>24043</t>
    </r>
  </si>
  <si>
    <r>
      <rPr>
        <sz val="10"/>
        <color rgb="FF000000"/>
        <rFont val="JRFonts"/>
        <charset val="134"/>
      </rPr>
      <t>08-09-2026 13:54</t>
    </r>
  </si>
  <si>
    <r>
      <rPr>
        <sz val="10"/>
        <color rgb="FF000000"/>
        <rFont val="JRFonts"/>
        <charset val="134"/>
      </rPr>
      <t>08-09-2026 16:00</t>
    </r>
  </si>
  <si>
    <r>
      <rPr>
        <sz val="10"/>
        <color rgb="FF0000FF"/>
        <rFont val="JRFonts"/>
        <charset val="134"/>
      </rPr>
      <t>24044</t>
    </r>
  </si>
  <si>
    <r>
      <rPr>
        <sz val="10"/>
        <color rgb="FF000000"/>
        <rFont val="JRFonts"/>
        <charset val="134"/>
      </rPr>
      <t>08-09-2026 14:00</t>
    </r>
  </si>
  <si>
    <r>
      <rPr>
        <sz val="10"/>
        <color rgb="FF000000"/>
        <rFont val="JRFonts"/>
        <charset val="134"/>
      </rPr>
      <t>11-09-2026 10:49</t>
    </r>
  </si>
  <si>
    <r>
      <rPr>
        <sz val="10"/>
        <color rgb="FF000000"/>
        <rFont val="JRFonts"/>
        <charset val="134"/>
      </rPr>
      <t>08-09-2026 14:08</t>
    </r>
  </si>
  <si>
    <t>24044</t>
  </si>
  <si>
    <r>
      <rPr>
        <sz val="10"/>
        <color rgb="FF0000FF"/>
        <rFont val="JRFonts"/>
        <charset val="134"/>
      </rPr>
      <t>24047</t>
    </r>
  </si>
  <si>
    <r>
      <rPr>
        <sz val="10"/>
        <color rgb="FF000000"/>
        <rFont val="JRFonts"/>
        <charset val="134"/>
      </rPr>
      <t>08-09-2026 14:24</t>
    </r>
  </si>
  <si>
    <r>
      <rPr>
        <sz val="10"/>
        <color rgb="FF000000"/>
        <rFont val="JRFonts"/>
        <charset val="134"/>
      </rPr>
      <t>08-09-2026 18:09</t>
    </r>
  </si>
  <si>
    <r>
      <rPr>
        <sz val="10"/>
        <color rgb="FF000000"/>
        <rFont val="JRFonts"/>
        <charset val="134"/>
      </rPr>
      <t>08-09-2026 15:07</t>
    </r>
  </si>
  <si>
    <r>
      <rPr>
        <sz val="10"/>
        <color rgb="FF0000FF"/>
        <rFont val="JRFonts"/>
        <charset val="134"/>
      </rPr>
      <t>24048</t>
    </r>
  </si>
  <si>
    <r>
      <rPr>
        <sz val="10"/>
        <color rgb="FF000000"/>
        <rFont val="JRFonts"/>
        <charset val="134"/>
      </rPr>
      <t>08-09-2026 14:27</t>
    </r>
  </si>
  <si>
    <r>
      <rPr>
        <sz val="10"/>
        <color rgb="FF000000"/>
        <rFont val="JRFonts"/>
        <charset val="134"/>
      </rPr>
      <t>08-09-2026 14:44</t>
    </r>
  </si>
  <si>
    <r>
      <rPr>
        <sz val="10"/>
        <color rgb="FF000000"/>
        <rFont val="JRFonts"/>
        <charset val="134"/>
      </rPr>
      <t>08-09-2026 14:29</t>
    </r>
  </si>
  <si>
    <r>
      <rPr>
        <sz val="10"/>
        <color rgb="FF0000FF"/>
        <rFont val="JRFonts"/>
        <charset val="134"/>
      </rPr>
      <t>24049</t>
    </r>
  </si>
  <si>
    <r>
      <rPr>
        <sz val="10"/>
        <color rgb="FF000000"/>
        <rFont val="JRFonts"/>
        <charset val="134"/>
      </rPr>
      <t>08-09-2026 14:40</t>
    </r>
  </si>
  <si>
    <r>
      <rPr>
        <sz val="10"/>
        <color rgb="FF000000"/>
        <rFont val="JRFonts"/>
        <charset val="134"/>
      </rPr>
      <t>08-09-2026 18:36</t>
    </r>
  </si>
  <si>
    <r>
      <rPr>
        <sz val="10"/>
        <color rgb="FF000000"/>
        <rFont val="JRFonts"/>
        <charset val="134"/>
      </rPr>
      <t>08-09-2026 15:00</t>
    </r>
  </si>
  <si>
    <r>
      <rPr>
        <sz val="10"/>
        <color rgb="FF0000FF"/>
        <rFont val="JRFonts"/>
        <charset val="134"/>
      </rPr>
      <t>24051</t>
    </r>
  </si>
  <si>
    <r>
      <rPr>
        <sz val="10"/>
        <color rgb="FF000000"/>
        <rFont val="JRFonts"/>
        <charset val="134"/>
      </rPr>
      <t>08-09-2026 15:25</t>
    </r>
  </si>
  <si>
    <r>
      <rPr>
        <sz val="10"/>
        <color rgb="FF000000"/>
        <rFont val="JRFonts"/>
        <charset val="134"/>
      </rPr>
      <t>10-09-2026 11:47</t>
    </r>
  </si>
  <si>
    <r>
      <rPr>
        <sz val="10"/>
        <color rgb="FF000000"/>
        <rFont val="JRFonts"/>
        <charset val="134"/>
      </rPr>
      <t>08-09-2026 15:32</t>
    </r>
  </si>
  <si>
    <t>24051</t>
  </si>
  <si>
    <r>
      <rPr>
        <sz val="10"/>
        <color rgb="FF0000FF"/>
        <rFont val="JRFonts"/>
        <charset val="134"/>
      </rPr>
      <t>24053</t>
    </r>
  </si>
  <si>
    <r>
      <rPr>
        <sz val="10"/>
        <color rgb="FF000000"/>
        <rFont val="JRFonts"/>
        <charset val="134"/>
      </rPr>
      <t>08-09-2026 15:31</t>
    </r>
  </si>
  <si>
    <r>
      <rPr>
        <sz val="10"/>
        <color rgb="FF000000"/>
        <rFont val="JRFonts"/>
        <charset val="134"/>
      </rPr>
      <t>08-09-2026 15:42</t>
    </r>
  </si>
  <si>
    <r>
      <rPr>
        <sz val="10"/>
        <color rgb="FF000000"/>
        <rFont val="JRFonts"/>
        <charset val="134"/>
      </rPr>
      <t>08-09-2026 15:34</t>
    </r>
  </si>
  <si>
    <r>
      <rPr>
        <sz val="10"/>
        <color rgb="FF0000FF"/>
        <rFont val="JRFonts"/>
        <charset val="134"/>
      </rPr>
      <t>24054</t>
    </r>
  </si>
  <si>
    <r>
      <rPr>
        <sz val="10"/>
        <color rgb="FF000000"/>
        <rFont val="JRFonts"/>
        <charset val="134"/>
      </rPr>
      <t>08-09-2026 16:11</t>
    </r>
  </si>
  <si>
    <r>
      <rPr>
        <sz val="10"/>
        <color rgb="FF000000"/>
        <rFont val="JRFonts"/>
        <charset val="134"/>
      </rPr>
      <t>11-09-2026 10:20</t>
    </r>
  </si>
  <si>
    <r>
      <rPr>
        <sz val="10"/>
        <color rgb="FF000000"/>
        <rFont val="JRFonts"/>
        <charset val="134"/>
      </rPr>
      <t>08-09-2026 16:19</t>
    </r>
  </si>
  <si>
    <t>24054</t>
  </si>
  <si>
    <r>
      <rPr>
        <sz val="10"/>
        <color rgb="FF0000FF"/>
        <rFont val="JRFonts"/>
        <charset val="134"/>
      </rPr>
      <t>24055</t>
    </r>
  </si>
  <si>
    <r>
      <rPr>
        <sz val="10"/>
        <color rgb="FF000000"/>
        <rFont val="JRFonts"/>
        <charset val="134"/>
      </rPr>
      <t>08-09-2026 16:14</t>
    </r>
  </si>
  <si>
    <r>
      <rPr>
        <sz val="10"/>
        <color rgb="FF000000"/>
        <rFont val="JRFonts"/>
        <charset val="134"/>
      </rPr>
      <t>08-09-2026 16:29</t>
    </r>
  </si>
  <si>
    <r>
      <rPr>
        <sz val="10"/>
        <color rgb="FF000000"/>
        <rFont val="JRFonts"/>
        <charset val="134"/>
      </rPr>
      <t>08-09-2026 16:21</t>
    </r>
  </si>
  <si>
    <r>
      <rPr>
        <sz val="10"/>
        <color rgb="FF0000FF"/>
        <rFont val="JRFonts"/>
        <charset val="134"/>
      </rPr>
      <t>24057</t>
    </r>
  </si>
  <si>
    <r>
      <rPr>
        <sz val="10"/>
        <color rgb="FF000000"/>
        <rFont val="JRFonts"/>
        <charset val="134"/>
      </rPr>
      <t>08-09-2026 16:41</t>
    </r>
  </si>
  <si>
    <r>
      <rPr>
        <sz val="10"/>
        <color rgb="FF000000"/>
        <rFont val="JRFonts"/>
        <charset val="134"/>
      </rPr>
      <t>08-09-2026 17:19</t>
    </r>
  </si>
  <si>
    <r>
      <rPr>
        <sz val="10"/>
        <color rgb="FF000000"/>
        <rFont val="JRFonts"/>
        <charset val="134"/>
      </rPr>
      <t>08-09-2026 16:49</t>
    </r>
  </si>
  <si>
    <r>
      <rPr>
        <sz val="10"/>
        <color rgb="FF0000FF"/>
        <rFont val="JRFonts"/>
        <charset val="134"/>
      </rPr>
      <t>24059</t>
    </r>
  </si>
  <si>
    <r>
      <rPr>
        <sz val="10"/>
        <color rgb="FF000000"/>
        <rFont val="JRFonts"/>
        <charset val="134"/>
      </rPr>
      <t>08-09-2026 17:27</t>
    </r>
  </si>
  <si>
    <r>
      <rPr>
        <sz val="10"/>
        <color rgb="FF000000"/>
        <rFont val="JRFonts"/>
        <charset val="134"/>
      </rPr>
      <t>09-09-2026 14:31</t>
    </r>
  </si>
  <si>
    <r>
      <rPr>
        <sz val="10"/>
        <color rgb="FF000000"/>
        <rFont val="JRFonts"/>
        <charset val="134"/>
      </rPr>
      <t>08-09-2026 17:29</t>
    </r>
  </si>
  <si>
    <r>
      <rPr>
        <sz val="10"/>
        <color rgb="FF0000FF"/>
        <rFont val="JRFonts"/>
        <charset val="134"/>
      </rPr>
      <t>24062</t>
    </r>
  </si>
  <si>
    <r>
      <rPr>
        <sz val="10"/>
        <color rgb="FF000000"/>
        <rFont val="JRFonts"/>
        <charset val="134"/>
      </rPr>
      <t>09-09-2026 10:32</t>
    </r>
  </si>
  <si>
    <r>
      <rPr>
        <sz val="10"/>
        <color rgb="FF000000"/>
        <rFont val="JRFonts"/>
        <charset val="134"/>
      </rPr>
      <t>09-09-2026 10:44</t>
    </r>
  </si>
  <si>
    <r>
      <rPr>
        <sz val="10"/>
        <color rgb="FF000000"/>
        <rFont val="JRFonts"/>
        <charset val="134"/>
      </rPr>
      <t>09-09-2026 10:42</t>
    </r>
  </si>
  <si>
    <r>
      <rPr>
        <sz val="10"/>
        <color rgb="FF0000FF"/>
        <rFont val="JRFonts"/>
        <charset val="134"/>
      </rPr>
      <t>24063</t>
    </r>
  </si>
  <si>
    <r>
      <rPr>
        <sz val="10"/>
        <color rgb="FF000000"/>
        <rFont val="JRFonts"/>
        <charset val="134"/>
      </rPr>
      <t>09-09-2026 10:59</t>
    </r>
  </si>
  <si>
    <r>
      <rPr>
        <sz val="10"/>
        <color rgb="FF000000"/>
        <rFont val="JRFonts"/>
        <charset val="134"/>
      </rPr>
      <t>09-09-2026 10:49</t>
    </r>
  </si>
  <si>
    <r>
      <rPr>
        <sz val="10"/>
        <color rgb="FF0000FF"/>
        <rFont val="JRFonts"/>
        <charset val="134"/>
      </rPr>
      <t>24067</t>
    </r>
  </si>
  <si>
    <r>
      <rPr>
        <sz val="10"/>
        <color rgb="FF000000"/>
        <rFont val="JRFonts"/>
        <charset val="134"/>
      </rPr>
      <t>09-09-2026 11:45</t>
    </r>
  </si>
  <si>
    <r>
      <rPr>
        <sz val="10"/>
        <color rgb="FF000000"/>
        <rFont val="JRFonts"/>
        <charset val="134"/>
      </rPr>
      <t>09-09-2026 14:05</t>
    </r>
  </si>
  <si>
    <r>
      <rPr>
        <sz val="10"/>
        <color rgb="FF000000"/>
        <rFont val="JRFonts"/>
        <charset val="134"/>
      </rPr>
      <t>09-09-2026 12:35</t>
    </r>
  </si>
  <si>
    <r>
      <rPr>
        <sz val="10"/>
        <color rgb="FF0000FF"/>
        <rFont val="JRFonts"/>
        <charset val="134"/>
      </rPr>
      <t>24069</t>
    </r>
  </si>
  <si>
    <r>
      <rPr>
        <sz val="10"/>
        <color rgb="FF000000"/>
        <rFont val="JRFonts"/>
        <charset val="134"/>
      </rPr>
      <t>09-09-2026 12:28</t>
    </r>
  </si>
  <si>
    <r>
      <rPr>
        <sz val="10"/>
        <color rgb="FF000000"/>
        <rFont val="JRFonts"/>
        <charset val="134"/>
      </rPr>
      <t>09-09-2026 14:02</t>
    </r>
  </si>
  <si>
    <r>
      <rPr>
        <sz val="10"/>
        <color rgb="FF000000"/>
        <rFont val="JRFonts"/>
        <charset val="134"/>
      </rPr>
      <t>09-09-2026 12:31</t>
    </r>
  </si>
  <si>
    <r>
      <rPr>
        <sz val="10"/>
        <color rgb="FF0000FF"/>
        <rFont val="JRFonts"/>
        <charset val="134"/>
      </rPr>
      <t>24071</t>
    </r>
  </si>
  <si>
    <r>
      <rPr>
        <sz val="10"/>
        <color rgb="FF000000"/>
        <rFont val="JRFonts"/>
        <charset val="134"/>
      </rPr>
      <t>09-09-2026 12:52</t>
    </r>
  </si>
  <si>
    <r>
      <rPr>
        <sz val="10"/>
        <color rgb="FF000000"/>
        <rFont val="JRFonts"/>
        <charset val="134"/>
      </rPr>
      <t>07-10-2026 11:18</t>
    </r>
  </si>
  <si>
    <r>
      <rPr>
        <sz val="10"/>
        <color rgb="FF000000"/>
        <rFont val="JRFonts"/>
        <charset val="134"/>
      </rPr>
      <t>09-09-2026 12:57</t>
    </r>
  </si>
  <si>
    <t>24071</t>
  </si>
  <si>
    <r>
      <rPr>
        <sz val="10"/>
        <color rgb="FF0000FF"/>
        <rFont val="JRFonts"/>
        <charset val="134"/>
      </rPr>
      <t>24074</t>
    </r>
  </si>
  <si>
    <r>
      <rPr>
        <sz val="10"/>
        <color rgb="FF000000"/>
        <rFont val="JRFonts"/>
        <charset val="134"/>
      </rPr>
      <t>09-09-2026 14:46</t>
    </r>
  </si>
  <si>
    <r>
      <rPr>
        <sz val="10"/>
        <color rgb="FF000000"/>
        <rFont val="JRFonts"/>
        <charset val="134"/>
      </rPr>
      <t>09-09-2026 14:06</t>
    </r>
  </si>
  <si>
    <r>
      <rPr>
        <sz val="10"/>
        <color rgb="FF0000FF"/>
        <rFont val="JRFonts"/>
        <charset val="134"/>
      </rPr>
      <t>24077</t>
    </r>
  </si>
  <si>
    <r>
      <rPr>
        <sz val="10"/>
        <color rgb="FF000000"/>
        <rFont val="JRFonts"/>
        <charset val="134"/>
      </rPr>
      <t>09-09-2026 15:18</t>
    </r>
  </si>
  <si>
    <r>
      <rPr>
        <sz val="10"/>
        <color rgb="FF000000"/>
        <rFont val="JRFonts"/>
        <charset val="134"/>
      </rPr>
      <t>09-09-2026 15:44</t>
    </r>
  </si>
  <si>
    <r>
      <rPr>
        <sz val="10"/>
        <color rgb="FF000000"/>
        <rFont val="JRFonts"/>
        <charset val="134"/>
      </rPr>
      <t>09-09-2026 15:25</t>
    </r>
  </si>
  <si>
    <r>
      <rPr>
        <sz val="10"/>
        <color rgb="FF0000FF"/>
        <rFont val="JRFonts"/>
        <charset val="134"/>
      </rPr>
      <t>24080</t>
    </r>
  </si>
  <si>
    <r>
      <rPr>
        <sz val="10"/>
        <color rgb="FF000000"/>
        <rFont val="JRFonts"/>
        <charset val="134"/>
      </rPr>
      <t>09-09-2026 17:41</t>
    </r>
  </si>
  <si>
    <r>
      <rPr>
        <sz val="10"/>
        <color rgb="FF000000"/>
        <rFont val="JRFonts"/>
        <charset val="134"/>
      </rPr>
      <t>09-09-2026 18:05</t>
    </r>
  </si>
  <si>
    <r>
      <rPr>
        <sz val="10"/>
        <color rgb="FF0000FF"/>
        <rFont val="JRFonts"/>
        <charset val="134"/>
      </rPr>
      <t>24081</t>
    </r>
  </si>
  <si>
    <r>
      <rPr>
        <sz val="10"/>
        <color rgb="FF000000"/>
        <rFont val="JRFonts"/>
        <charset val="134"/>
      </rPr>
      <t>09-09-2026 17:53</t>
    </r>
  </si>
  <si>
    <r>
      <rPr>
        <sz val="10"/>
        <color rgb="FF000000"/>
        <rFont val="JRFonts"/>
        <charset val="134"/>
      </rPr>
      <t>10-09-2026 15:10</t>
    </r>
  </si>
  <si>
    <r>
      <rPr>
        <sz val="10"/>
        <color rgb="FF000000"/>
        <rFont val="JRFonts"/>
        <charset val="134"/>
      </rPr>
      <t>09-09-2026 17:58</t>
    </r>
  </si>
  <si>
    <r>
      <rPr>
        <sz val="10"/>
        <color rgb="FF0000FF"/>
        <rFont val="JRFonts"/>
        <charset val="134"/>
      </rPr>
      <t>24085</t>
    </r>
  </si>
  <si>
    <r>
      <rPr>
        <sz val="10"/>
        <color rgb="FF000000"/>
        <rFont val="JRFonts"/>
        <charset val="134"/>
      </rPr>
      <t>10-09-2026 10:31</t>
    </r>
  </si>
  <si>
    <r>
      <rPr>
        <sz val="10"/>
        <color rgb="FF000000"/>
        <rFont val="JRFonts"/>
        <charset val="134"/>
      </rPr>
      <t>10-09-2026 11:40</t>
    </r>
  </si>
  <si>
    <r>
      <rPr>
        <sz val="10"/>
        <color rgb="FF000000"/>
        <rFont val="JRFonts"/>
        <charset val="134"/>
      </rPr>
      <t>10-09-2026 11:30</t>
    </r>
  </si>
  <si>
    <r>
      <rPr>
        <sz val="10"/>
        <color rgb="FF0000FF"/>
        <rFont val="JRFonts"/>
        <charset val="134"/>
      </rPr>
      <t>24086</t>
    </r>
  </si>
  <si>
    <r>
      <rPr>
        <sz val="10"/>
        <color rgb="FF000000"/>
        <rFont val="JRFonts"/>
        <charset val="134"/>
      </rPr>
      <t>10-09-2026 11:04</t>
    </r>
  </si>
  <si>
    <r>
      <rPr>
        <sz val="10"/>
        <color rgb="FF000000"/>
        <rFont val="JRFonts"/>
        <charset val="134"/>
      </rPr>
      <t>10-09-2026 15:57</t>
    </r>
  </si>
  <si>
    <r>
      <rPr>
        <sz val="10"/>
        <color rgb="FF000000"/>
        <rFont val="JRFonts"/>
        <charset val="134"/>
      </rPr>
      <t>10-09-2026 11:16</t>
    </r>
  </si>
  <si>
    <r>
      <rPr>
        <sz val="10"/>
        <color rgb="FF0000FF"/>
        <rFont val="JRFonts"/>
        <charset val="134"/>
      </rPr>
      <t>24087</t>
    </r>
  </si>
  <si>
    <r>
      <rPr>
        <sz val="10"/>
        <color rgb="FF000000"/>
        <rFont val="JRFonts"/>
        <charset val="134"/>
      </rPr>
      <t>14-09-2026 18:27</t>
    </r>
  </si>
  <si>
    <r>
      <rPr>
        <sz val="10"/>
        <color rgb="FF000000"/>
        <rFont val="JRFonts"/>
        <charset val="134"/>
      </rPr>
      <t>10-09-2026 11:10</t>
    </r>
  </si>
  <si>
    <t>24087</t>
  </si>
  <si>
    <r>
      <rPr>
        <sz val="10"/>
        <color rgb="FF0000FF"/>
        <rFont val="JRFonts"/>
        <charset val="134"/>
      </rPr>
      <t>24088</t>
    </r>
  </si>
  <si>
    <r>
      <rPr>
        <sz val="10"/>
        <color rgb="FF000000"/>
        <rFont val="JRFonts"/>
        <charset val="134"/>
      </rPr>
      <t>10-09-2026 11:13</t>
    </r>
  </si>
  <si>
    <r>
      <rPr>
        <sz val="10"/>
        <color rgb="FF000000"/>
        <rFont val="JRFonts"/>
        <charset val="134"/>
      </rPr>
      <t>10-09-2026 11:28</t>
    </r>
  </si>
  <si>
    <r>
      <rPr>
        <sz val="10"/>
        <color rgb="FF000000"/>
        <rFont val="JRFonts"/>
        <charset val="134"/>
      </rPr>
      <t>10-09-2026 11:20</t>
    </r>
  </si>
  <si>
    <r>
      <rPr>
        <sz val="10"/>
        <color rgb="FF0000FF"/>
        <rFont val="JRFonts"/>
        <charset val="134"/>
      </rPr>
      <t>24090</t>
    </r>
  </si>
  <si>
    <r>
      <rPr>
        <sz val="10"/>
        <color rgb="FF000000"/>
        <rFont val="JRFonts"/>
        <charset val="134"/>
      </rPr>
      <t>10-09-2026 11:25</t>
    </r>
  </si>
  <si>
    <r>
      <rPr>
        <sz val="10"/>
        <color rgb="FF000000"/>
        <rFont val="JRFonts"/>
        <charset val="134"/>
      </rPr>
      <t>11-09-2026 10:51</t>
    </r>
  </si>
  <si>
    <r>
      <rPr>
        <sz val="10"/>
        <color rgb="FF000000"/>
        <rFont val="JRFonts"/>
        <charset val="134"/>
      </rPr>
      <t>10-09-2026 11:31</t>
    </r>
  </si>
  <si>
    <r>
      <rPr>
        <sz val="10"/>
        <color rgb="FF0000FF"/>
        <rFont val="JRFonts"/>
        <charset val="134"/>
      </rPr>
      <t>24092</t>
    </r>
  </si>
  <si>
    <r>
      <rPr>
        <sz val="10"/>
        <color rgb="FF000000"/>
        <rFont val="JRFonts"/>
        <charset val="134"/>
      </rPr>
      <t>10-09-2026 11:35</t>
    </r>
  </si>
  <si>
    <r>
      <rPr>
        <sz val="10"/>
        <color rgb="FF000000"/>
        <rFont val="JRFonts"/>
        <charset val="134"/>
      </rPr>
      <t>10-09-2026 11:52</t>
    </r>
  </si>
  <si>
    <r>
      <rPr>
        <sz val="10"/>
        <color rgb="FF000000"/>
        <rFont val="JRFonts"/>
        <charset val="134"/>
      </rPr>
      <t>10-09-2026 11:45</t>
    </r>
  </si>
  <si>
    <r>
      <rPr>
        <sz val="10"/>
        <color rgb="FF0000FF"/>
        <rFont val="JRFonts"/>
        <charset val="134"/>
      </rPr>
      <t>24094</t>
    </r>
  </si>
  <si>
    <r>
      <rPr>
        <sz val="10"/>
        <color rgb="FF000000"/>
        <rFont val="JRFonts"/>
        <charset val="134"/>
      </rPr>
      <t>10-09-2026 12:51</t>
    </r>
  </si>
  <si>
    <r>
      <rPr>
        <sz val="10"/>
        <color rgb="FF000000"/>
        <rFont val="JRFonts"/>
        <charset val="134"/>
      </rPr>
      <t>10-09-2026 14:27</t>
    </r>
  </si>
  <si>
    <r>
      <rPr>
        <sz val="10"/>
        <color rgb="FF000000"/>
        <rFont val="JRFonts"/>
        <charset val="134"/>
      </rPr>
      <t>10-09-2026 12:56</t>
    </r>
  </si>
  <si>
    <r>
      <rPr>
        <sz val="10"/>
        <color rgb="FF0000FF"/>
        <rFont val="JRFonts"/>
        <charset val="134"/>
      </rPr>
      <t>24100</t>
    </r>
  </si>
  <si>
    <r>
      <rPr>
        <sz val="10"/>
        <color rgb="FF000000"/>
        <rFont val="JRFonts"/>
        <charset val="134"/>
      </rPr>
      <t>10-09-2026 14:34</t>
    </r>
  </si>
  <si>
    <r>
      <rPr>
        <sz val="10"/>
        <color rgb="FF000000"/>
        <rFont val="JRFonts"/>
        <charset val="134"/>
      </rPr>
      <t>28-09-2026 16:31</t>
    </r>
  </si>
  <si>
    <r>
      <rPr>
        <sz val="10"/>
        <color rgb="FF000000"/>
        <rFont val="JRFonts"/>
        <charset val="134"/>
      </rPr>
      <t>10-09-2026 15:02</t>
    </r>
  </si>
  <si>
    <t>24100</t>
  </si>
  <si>
    <r>
      <rPr>
        <sz val="10"/>
        <color rgb="FF0000FF"/>
        <rFont val="JRFonts"/>
        <charset val="134"/>
      </rPr>
      <t>24102</t>
    </r>
  </si>
  <si>
    <r>
      <rPr>
        <sz val="10"/>
        <color rgb="FF000000"/>
        <rFont val="JRFonts"/>
        <charset val="134"/>
      </rPr>
      <t>10-09-2026 14:46</t>
    </r>
  </si>
  <si>
    <r>
      <rPr>
        <sz val="10"/>
        <color rgb="FF000000"/>
        <rFont val="JRFonts"/>
        <charset val="134"/>
      </rPr>
      <t>10-09-2026 15:17</t>
    </r>
  </si>
  <si>
    <r>
      <rPr>
        <sz val="10"/>
        <color rgb="FF000000"/>
        <rFont val="JRFonts"/>
        <charset val="134"/>
      </rPr>
      <t>10-09-2026 14:59</t>
    </r>
  </si>
  <si>
    <r>
      <rPr>
        <sz val="10"/>
        <color rgb="FF0000FF"/>
        <rFont val="JRFonts"/>
        <charset val="134"/>
      </rPr>
      <t>24103</t>
    </r>
  </si>
  <si>
    <r>
      <rPr>
        <sz val="10"/>
        <color rgb="FF000000"/>
        <rFont val="JRFonts"/>
        <charset val="134"/>
      </rPr>
      <t>10-09-2026 15:01</t>
    </r>
  </si>
  <si>
    <r>
      <rPr>
        <sz val="10"/>
        <color rgb="FF000000"/>
        <rFont val="JRFonts"/>
        <charset val="134"/>
      </rPr>
      <t>10-09-2026 17:19</t>
    </r>
  </si>
  <si>
    <r>
      <rPr>
        <sz val="10"/>
        <color rgb="FF000000"/>
        <rFont val="JRFonts"/>
        <charset val="134"/>
      </rPr>
      <t>10-09-2026 15:12</t>
    </r>
  </si>
  <si>
    <r>
      <rPr>
        <sz val="10"/>
        <color rgb="FF0000FF"/>
        <rFont val="JRFonts"/>
        <charset val="134"/>
      </rPr>
      <t>24105</t>
    </r>
  </si>
  <si>
    <r>
      <rPr>
        <sz val="10"/>
        <color rgb="FF000000"/>
        <rFont val="JRFonts"/>
        <charset val="134"/>
      </rPr>
      <t>10-09-2026 15:32</t>
    </r>
  </si>
  <si>
    <r>
      <rPr>
        <sz val="10"/>
        <color rgb="FF000000"/>
        <rFont val="JRFonts"/>
        <charset val="134"/>
      </rPr>
      <t>21-09-2026 16:45</t>
    </r>
  </si>
  <si>
    <r>
      <rPr>
        <sz val="10"/>
        <color rgb="FF0000FF"/>
        <rFont val="JRFonts"/>
        <charset val="134"/>
      </rPr>
      <t>24106</t>
    </r>
  </si>
  <si>
    <r>
      <rPr>
        <sz val="10"/>
        <color rgb="FF000000"/>
        <rFont val="JRFonts"/>
        <charset val="134"/>
      </rPr>
      <t>10-09-2026 15:38</t>
    </r>
  </si>
  <si>
    <r>
      <rPr>
        <sz val="10"/>
        <color rgb="FF000000"/>
        <rFont val="JRFonts"/>
        <charset val="134"/>
      </rPr>
      <t>11-09-2026 12:00</t>
    </r>
  </si>
  <si>
    <r>
      <rPr>
        <sz val="10"/>
        <color rgb="FF000000"/>
        <rFont val="JRFonts"/>
        <charset val="134"/>
      </rPr>
      <t>10-09-2026 15:45</t>
    </r>
  </si>
  <si>
    <r>
      <rPr>
        <sz val="10"/>
        <color rgb="FF0000FF"/>
        <rFont val="JRFonts"/>
        <charset val="134"/>
      </rPr>
      <t>24112</t>
    </r>
  </si>
  <si>
    <r>
      <rPr>
        <sz val="10"/>
        <color rgb="FF000000"/>
        <rFont val="JRFonts"/>
        <charset val="134"/>
      </rPr>
      <t>10-09-2026 17:43</t>
    </r>
  </si>
  <si>
    <r>
      <rPr>
        <sz val="10"/>
        <color rgb="FF000000"/>
        <rFont val="JRFonts"/>
        <charset val="134"/>
      </rPr>
      <t>11-09-2026 15:28</t>
    </r>
  </si>
  <si>
    <r>
      <rPr>
        <sz val="10"/>
        <color rgb="FF000000"/>
        <rFont val="JRFonts"/>
        <charset val="134"/>
      </rPr>
      <t>10-09-2026 17:51</t>
    </r>
  </si>
  <si>
    <t>24112</t>
  </si>
  <si>
    <r>
      <rPr>
        <sz val="10"/>
        <color rgb="FF0000FF"/>
        <rFont val="JRFonts"/>
        <charset val="134"/>
      </rPr>
      <t>24117</t>
    </r>
  </si>
  <si>
    <r>
      <rPr>
        <sz val="10"/>
        <color rgb="FF000000"/>
        <rFont val="JRFonts"/>
        <charset val="134"/>
      </rPr>
      <t>11-09-2026 10:57</t>
    </r>
  </si>
  <si>
    <r>
      <rPr>
        <sz val="10"/>
        <color rgb="FF000000"/>
        <rFont val="JRFonts"/>
        <charset val="134"/>
      </rPr>
      <t>On Hold</t>
    </r>
  </si>
  <si>
    <r>
      <rPr>
        <sz val="10"/>
        <color rgb="FF000000"/>
        <rFont val="JRFonts"/>
        <charset val="134"/>
      </rPr>
      <t>11-09-2026 11:00</t>
    </r>
  </si>
  <si>
    <r>
      <rPr>
        <sz val="10"/>
        <color rgb="FF0000FF"/>
        <rFont val="JRFonts"/>
        <charset val="134"/>
      </rPr>
      <t>24118</t>
    </r>
  </si>
  <si>
    <r>
      <rPr>
        <sz val="10"/>
        <color rgb="FF000000"/>
        <rFont val="JRFonts"/>
        <charset val="134"/>
      </rPr>
      <t>11-09-2026 11:12</t>
    </r>
  </si>
  <si>
    <r>
      <rPr>
        <sz val="10"/>
        <color rgb="FF000000"/>
        <rFont val="JRFonts"/>
        <charset val="134"/>
      </rPr>
      <t>11-09-2026 11:17</t>
    </r>
  </si>
  <si>
    <r>
      <rPr>
        <sz val="10"/>
        <color rgb="FF0000FF"/>
        <rFont val="JRFonts"/>
        <charset val="134"/>
      </rPr>
      <t>24119</t>
    </r>
  </si>
  <si>
    <r>
      <rPr>
        <sz val="10"/>
        <color rgb="FF000000"/>
        <rFont val="JRFonts"/>
        <charset val="134"/>
      </rPr>
      <t>11-09-2026 12:28</t>
    </r>
  </si>
  <si>
    <r>
      <rPr>
        <sz val="10"/>
        <color rgb="FF000000"/>
        <rFont val="JRFonts"/>
        <charset val="134"/>
      </rPr>
      <t>11-09-2026 14:05</t>
    </r>
  </si>
  <si>
    <r>
      <rPr>
        <sz val="10"/>
        <color rgb="FF000000"/>
        <rFont val="JRFonts"/>
        <charset val="134"/>
      </rPr>
      <t>11-09-2026 12:33</t>
    </r>
  </si>
  <si>
    <r>
      <rPr>
        <sz val="10"/>
        <color rgb="FF0000FF"/>
        <rFont val="JRFonts"/>
        <charset val="134"/>
      </rPr>
      <t>24120</t>
    </r>
  </si>
  <si>
    <r>
      <rPr>
        <sz val="10"/>
        <color rgb="FF000000"/>
        <rFont val="JRFonts"/>
        <charset val="134"/>
      </rPr>
      <t>11-09-2026 13:08</t>
    </r>
  </si>
  <si>
    <r>
      <rPr>
        <sz val="10"/>
        <color rgb="FF000000"/>
        <rFont val="JRFonts"/>
        <charset val="134"/>
      </rPr>
      <t>11-09-2026 14:10</t>
    </r>
  </si>
  <si>
    <r>
      <rPr>
        <sz val="10"/>
        <color rgb="FF000000"/>
        <rFont val="JRFonts"/>
        <charset val="134"/>
      </rPr>
      <t>11-09-2026 14:01</t>
    </r>
  </si>
  <si>
    <r>
      <rPr>
        <sz val="10"/>
        <color rgb="FF0000FF"/>
        <rFont val="JRFonts"/>
        <charset val="134"/>
      </rPr>
      <t>24121</t>
    </r>
  </si>
  <si>
    <r>
      <rPr>
        <sz val="10"/>
        <color rgb="FF000000"/>
        <rFont val="JRFonts"/>
        <charset val="134"/>
      </rPr>
      <t>11-09-2026 14:11</t>
    </r>
  </si>
  <si>
    <r>
      <rPr>
        <sz val="10"/>
        <color rgb="FF000000"/>
        <rFont val="JRFonts"/>
        <charset val="134"/>
      </rPr>
      <t>15-09-2026 17:38</t>
    </r>
  </si>
  <si>
    <r>
      <rPr>
        <sz val="10"/>
        <color rgb="FF000000"/>
        <rFont val="JRFonts"/>
        <charset val="134"/>
      </rPr>
      <t>11-09-2026 14:34</t>
    </r>
  </si>
  <si>
    <t>24121</t>
  </si>
  <si>
    <r>
      <rPr>
        <sz val="10"/>
        <color rgb="FF0000FF"/>
        <rFont val="JRFonts"/>
        <charset val="134"/>
      </rPr>
      <t>24123</t>
    </r>
  </si>
  <si>
    <r>
      <rPr>
        <sz val="10"/>
        <color rgb="FF000000"/>
        <rFont val="JRFonts"/>
        <charset val="134"/>
      </rPr>
      <t>11-09-2026 14:30</t>
    </r>
  </si>
  <si>
    <r>
      <rPr>
        <sz val="10"/>
        <color rgb="FF000000"/>
        <rFont val="JRFonts"/>
        <charset val="134"/>
      </rPr>
      <t>11-09-2026 16:46</t>
    </r>
  </si>
  <si>
    <r>
      <rPr>
        <sz val="10"/>
        <color rgb="FF000000"/>
        <rFont val="JRFonts"/>
        <charset val="134"/>
      </rPr>
      <t>11-09-2026 14:35</t>
    </r>
  </si>
  <si>
    <r>
      <rPr>
        <sz val="10"/>
        <color rgb="FF0000FF"/>
        <rFont val="JRFonts"/>
        <charset val="134"/>
      </rPr>
      <t>24124</t>
    </r>
  </si>
  <si>
    <r>
      <rPr>
        <sz val="10"/>
        <color rgb="FF000000"/>
        <rFont val="JRFonts"/>
        <charset val="134"/>
      </rPr>
      <t>11-09-2026 14:33</t>
    </r>
  </si>
  <si>
    <r>
      <rPr>
        <sz val="10"/>
        <color rgb="FF000000"/>
        <rFont val="JRFonts"/>
        <charset val="134"/>
      </rPr>
      <t>11-09-2026 15:57</t>
    </r>
  </si>
  <si>
    <r>
      <rPr>
        <sz val="10"/>
        <color rgb="FF0000FF"/>
        <rFont val="JRFonts"/>
        <charset val="134"/>
      </rPr>
      <t>24125</t>
    </r>
  </si>
  <si>
    <r>
      <rPr>
        <sz val="10"/>
        <color rgb="FF000000"/>
        <rFont val="JRFonts"/>
        <charset val="134"/>
      </rPr>
      <t>11-09-2026 14:36</t>
    </r>
  </si>
  <si>
    <r>
      <rPr>
        <sz val="10"/>
        <color rgb="FF000000"/>
        <rFont val="JRFonts"/>
        <charset val="134"/>
      </rPr>
      <t>11-09-2026 15:38</t>
    </r>
  </si>
  <si>
    <r>
      <rPr>
        <sz val="10"/>
        <color rgb="FF000000"/>
        <rFont val="JRFonts"/>
        <charset val="134"/>
      </rPr>
      <t>11-09-2026 14:38</t>
    </r>
  </si>
  <si>
    <r>
      <rPr>
        <sz val="10"/>
        <color rgb="FF0000FF"/>
        <rFont val="JRFonts"/>
        <charset val="134"/>
      </rPr>
      <t>24126</t>
    </r>
  </si>
  <si>
    <r>
      <rPr>
        <sz val="10"/>
        <color rgb="FF000000"/>
        <rFont val="JRFonts"/>
        <charset val="134"/>
      </rPr>
      <t>11-09-2026 15:30</t>
    </r>
  </si>
  <si>
    <r>
      <rPr>
        <sz val="10"/>
        <color rgb="FF000000"/>
        <rFont val="JRFonts"/>
        <charset val="134"/>
      </rPr>
      <t>24-09-2026 16:41</t>
    </r>
  </si>
  <si>
    <r>
      <rPr>
        <sz val="10"/>
        <color rgb="FF000000"/>
        <rFont val="JRFonts"/>
        <charset val="134"/>
      </rPr>
      <t>11-09-2026 15:34</t>
    </r>
  </si>
  <si>
    <t>24126</t>
  </si>
  <si>
    <r>
      <rPr>
        <sz val="10"/>
        <color rgb="FF0000FF"/>
        <rFont val="JRFonts"/>
        <charset val="134"/>
      </rPr>
      <t>24128</t>
    </r>
  </si>
  <si>
    <r>
      <rPr>
        <sz val="10"/>
        <color rgb="FF000000"/>
        <rFont val="JRFonts"/>
        <charset val="134"/>
      </rPr>
      <t>11-09-2026 15:39</t>
    </r>
  </si>
  <si>
    <r>
      <rPr>
        <sz val="10"/>
        <color rgb="FF000000"/>
        <rFont val="JRFonts"/>
        <charset val="134"/>
      </rPr>
      <t>11-09-2026 16:18</t>
    </r>
  </si>
  <si>
    <r>
      <rPr>
        <sz val="10"/>
        <color rgb="FF000000"/>
        <rFont val="JRFonts"/>
        <charset val="134"/>
      </rPr>
      <t>11-09-2026 15:50</t>
    </r>
  </si>
  <si>
    <r>
      <rPr>
        <sz val="10"/>
        <color rgb="FF0000FF"/>
        <rFont val="JRFonts"/>
        <charset val="134"/>
      </rPr>
      <t>24129</t>
    </r>
  </si>
  <si>
    <r>
      <rPr>
        <sz val="10"/>
        <color rgb="FF000000"/>
        <rFont val="JRFonts"/>
        <charset val="134"/>
      </rPr>
      <t>11-09-2026 15:55</t>
    </r>
  </si>
  <si>
    <r>
      <rPr>
        <sz val="10"/>
        <color rgb="FF000000"/>
        <rFont val="JRFonts"/>
        <charset val="134"/>
      </rPr>
      <t>11-09-2026 16:06</t>
    </r>
  </si>
  <si>
    <r>
      <rPr>
        <sz val="10"/>
        <color rgb="FF0000FF"/>
        <rFont val="JRFonts"/>
        <charset val="134"/>
      </rPr>
      <t>24131</t>
    </r>
  </si>
  <si>
    <r>
      <rPr>
        <sz val="10"/>
        <color rgb="FF000000"/>
        <rFont val="JRFonts"/>
        <charset val="134"/>
      </rPr>
      <t>11-09-2026 16:01</t>
    </r>
  </si>
  <si>
    <r>
      <rPr>
        <sz val="10"/>
        <color rgb="FF000000"/>
        <rFont val="JRFonts"/>
        <charset val="134"/>
      </rPr>
      <t>11-09-2026 16:35</t>
    </r>
  </si>
  <si>
    <r>
      <rPr>
        <sz val="10"/>
        <color rgb="FF000000"/>
        <rFont val="JRFonts"/>
        <charset val="134"/>
      </rPr>
      <t>11-09-2026 16:04</t>
    </r>
  </si>
  <si>
    <r>
      <rPr>
        <sz val="10"/>
        <color rgb="FF0000FF"/>
        <rFont val="JRFonts"/>
        <charset val="134"/>
      </rPr>
      <t>24132</t>
    </r>
  </si>
  <si>
    <r>
      <rPr>
        <sz val="10"/>
        <color rgb="FF000000"/>
        <rFont val="JRFonts"/>
        <charset val="134"/>
      </rPr>
      <t>11-09-2026 16:22</t>
    </r>
  </si>
  <si>
    <r>
      <rPr>
        <sz val="10"/>
        <color rgb="FF000000"/>
        <rFont val="JRFonts"/>
        <charset val="134"/>
      </rPr>
      <t>14-09-2026 11:09</t>
    </r>
  </si>
  <si>
    <r>
      <rPr>
        <sz val="10"/>
        <color rgb="FF000000"/>
        <rFont val="JRFonts"/>
        <charset val="134"/>
      </rPr>
      <t>11-09-2026 16:25</t>
    </r>
  </si>
  <si>
    <r>
      <rPr>
        <sz val="10"/>
        <color rgb="FF0000FF"/>
        <rFont val="JRFonts"/>
        <charset val="134"/>
      </rPr>
      <t>24133</t>
    </r>
  </si>
  <si>
    <r>
      <rPr>
        <sz val="10"/>
        <color rgb="FF000000"/>
        <rFont val="JRFonts"/>
        <charset val="134"/>
      </rPr>
      <t>11-09-2026 16:31</t>
    </r>
  </si>
  <si>
    <r>
      <rPr>
        <sz val="10"/>
        <color rgb="FF000000"/>
        <rFont val="JRFonts"/>
        <charset val="134"/>
      </rPr>
      <t>11-09-2026 16:48</t>
    </r>
  </si>
  <si>
    <r>
      <rPr>
        <sz val="10"/>
        <color rgb="FF0000FF"/>
        <rFont val="JRFonts"/>
        <charset val="134"/>
      </rPr>
      <t>24135</t>
    </r>
  </si>
  <si>
    <r>
      <rPr>
        <sz val="10"/>
        <color rgb="FF000000"/>
        <rFont val="JRFonts"/>
        <charset val="134"/>
      </rPr>
      <t>11-09-2026 16:34</t>
    </r>
  </si>
  <si>
    <r>
      <rPr>
        <sz val="10"/>
        <color rgb="FF000000"/>
        <rFont val="JRFonts"/>
        <charset val="134"/>
      </rPr>
      <t>11-09-2026 17:22</t>
    </r>
  </si>
  <si>
    <r>
      <rPr>
        <sz val="10"/>
        <color rgb="FF000000"/>
        <rFont val="JRFonts"/>
        <charset val="134"/>
      </rPr>
      <t>11-09-2026 16:37</t>
    </r>
  </si>
  <si>
    <r>
      <rPr>
        <sz val="10"/>
        <color rgb="FF0000FF"/>
        <rFont val="JRFonts"/>
        <charset val="134"/>
      </rPr>
      <t>24136</t>
    </r>
  </si>
  <si>
    <r>
      <rPr>
        <sz val="10"/>
        <color rgb="FF000000"/>
        <rFont val="JRFonts"/>
        <charset val="134"/>
      </rPr>
      <t>11-09-2026 17:03</t>
    </r>
  </si>
  <si>
    <r>
      <rPr>
        <sz val="10"/>
        <color rgb="FF000000"/>
        <rFont val="JRFonts"/>
        <charset val="134"/>
      </rPr>
      <t>11-09-2026 16:41</t>
    </r>
  </si>
  <si>
    <r>
      <rPr>
        <sz val="10"/>
        <color rgb="FF0000FF"/>
        <rFont val="JRFonts"/>
        <charset val="134"/>
      </rPr>
      <t>24137</t>
    </r>
  </si>
  <si>
    <r>
      <rPr>
        <sz val="10"/>
        <color rgb="FF000000"/>
        <rFont val="JRFonts"/>
        <charset val="134"/>
      </rPr>
      <t>11-09-2026 16:52</t>
    </r>
  </si>
  <si>
    <r>
      <rPr>
        <sz val="10"/>
        <color rgb="FF000000"/>
        <rFont val="JRFonts"/>
        <charset val="134"/>
      </rPr>
      <t>11-09-2026 16:40</t>
    </r>
  </si>
  <si>
    <r>
      <rPr>
        <sz val="10"/>
        <color rgb="FF0000FF"/>
        <rFont val="JRFonts"/>
        <charset val="134"/>
      </rPr>
      <t>24139</t>
    </r>
  </si>
  <si>
    <r>
      <rPr>
        <sz val="10"/>
        <color rgb="FF000000"/>
        <rFont val="JRFonts"/>
        <charset val="134"/>
      </rPr>
      <t>11-09-2026 17:08</t>
    </r>
  </si>
  <si>
    <r>
      <rPr>
        <sz val="10"/>
        <color rgb="FF000000"/>
        <rFont val="JRFonts"/>
        <charset val="134"/>
      </rPr>
      <t>16-09-2026 14:25</t>
    </r>
  </si>
  <si>
    <r>
      <rPr>
        <sz val="10"/>
        <color rgb="FF000000"/>
        <rFont val="JRFonts"/>
        <charset val="134"/>
      </rPr>
      <t>11-09-2026 17:15</t>
    </r>
  </si>
  <si>
    <t>24139</t>
  </si>
  <si>
    <r>
      <rPr>
        <sz val="10"/>
        <color rgb="FF0000FF"/>
        <rFont val="JRFonts"/>
        <charset val="134"/>
      </rPr>
      <t>24141</t>
    </r>
  </si>
  <si>
    <r>
      <rPr>
        <sz val="10"/>
        <color rgb="FF000000"/>
        <rFont val="JRFonts"/>
        <charset val="134"/>
      </rPr>
      <t>11-09-2026 18:08</t>
    </r>
  </si>
  <si>
    <r>
      <rPr>
        <sz val="10"/>
        <color rgb="FF000000"/>
        <rFont val="JRFonts"/>
        <charset val="134"/>
      </rPr>
      <t>15-09-2026 14:56</t>
    </r>
  </si>
  <si>
    <r>
      <rPr>
        <sz val="10"/>
        <color rgb="FF000000"/>
        <rFont val="JRFonts"/>
        <charset val="134"/>
      </rPr>
      <t>11-09-2026 18:14</t>
    </r>
  </si>
  <si>
    <t>24141</t>
  </si>
  <si>
    <r>
      <rPr>
        <sz val="10"/>
        <color rgb="FF0000FF"/>
        <rFont val="JRFonts"/>
        <charset val="134"/>
      </rPr>
      <t>24142</t>
    </r>
  </si>
  <si>
    <r>
      <rPr>
        <sz val="10"/>
        <color rgb="FF000000"/>
        <rFont val="JRFonts"/>
        <charset val="134"/>
      </rPr>
      <t>11-09-2026 18:20</t>
    </r>
  </si>
  <si>
    <r>
      <rPr>
        <sz val="10"/>
        <color rgb="FF000000"/>
        <rFont val="JRFonts"/>
        <charset val="134"/>
      </rPr>
      <t>14-09-2026 10:51</t>
    </r>
  </si>
  <si>
    <r>
      <rPr>
        <sz val="10"/>
        <color rgb="FF000000"/>
        <rFont val="JRFonts"/>
        <charset val="134"/>
      </rPr>
      <t>14-09-2026 10:20</t>
    </r>
  </si>
  <si>
    <r>
      <rPr>
        <sz val="10"/>
        <color rgb="FF0000FF"/>
        <rFont val="JRFonts"/>
        <charset val="134"/>
      </rPr>
      <t>24145</t>
    </r>
  </si>
  <si>
    <r>
      <rPr>
        <sz val="10"/>
        <color rgb="FF000000"/>
        <rFont val="JRFonts"/>
        <charset val="134"/>
      </rPr>
      <t>14-09-2026 10:01</t>
    </r>
  </si>
  <si>
    <r>
      <rPr>
        <sz val="10"/>
        <color rgb="FF000000"/>
        <rFont val="JRFonts"/>
        <charset val="134"/>
      </rPr>
      <t>15-09-2026 11:06</t>
    </r>
  </si>
  <si>
    <r>
      <rPr>
        <sz val="10"/>
        <color rgb="FF000000"/>
        <rFont val="JRFonts"/>
        <charset val="134"/>
      </rPr>
      <t>15-09-2026 10:24</t>
    </r>
  </si>
  <si>
    <r>
      <rPr>
        <sz val="10"/>
        <color rgb="FF0000FF"/>
        <rFont val="JRFonts"/>
        <charset val="134"/>
      </rPr>
      <t>24146</t>
    </r>
  </si>
  <si>
    <r>
      <rPr>
        <sz val="10"/>
        <color rgb="FF000000"/>
        <rFont val="JRFonts"/>
        <charset val="134"/>
      </rPr>
      <t>14-09-2026 10:16</t>
    </r>
  </si>
  <si>
    <r>
      <rPr>
        <sz val="10"/>
        <color rgb="FF000000"/>
        <rFont val="JRFonts"/>
        <charset val="134"/>
      </rPr>
      <t>15-09-2026 10:34</t>
    </r>
  </si>
  <si>
    <r>
      <rPr>
        <sz val="10"/>
        <color rgb="FF000000"/>
        <rFont val="JRFonts"/>
        <charset val="134"/>
      </rPr>
      <t>15-09-2026 10:25</t>
    </r>
  </si>
  <si>
    <r>
      <rPr>
        <sz val="10"/>
        <color rgb="FF0000FF"/>
        <rFont val="JRFonts"/>
        <charset val="134"/>
      </rPr>
      <t>24148</t>
    </r>
  </si>
  <si>
    <r>
      <rPr>
        <sz val="10"/>
        <color rgb="FF000000"/>
        <rFont val="JRFonts"/>
        <charset val="134"/>
      </rPr>
      <t>14-09-2026 10:34</t>
    </r>
  </si>
  <si>
    <r>
      <rPr>
        <sz val="10"/>
        <color rgb="FF000000"/>
        <rFont val="JRFonts"/>
        <charset val="134"/>
      </rPr>
      <t>15-09-2026 10:31</t>
    </r>
  </si>
  <si>
    <r>
      <rPr>
        <sz val="10"/>
        <color rgb="FF000000"/>
        <rFont val="JRFonts"/>
        <charset val="134"/>
      </rPr>
      <t>15-09-2026 10:26</t>
    </r>
  </si>
  <si>
    <r>
      <rPr>
        <sz val="10"/>
        <color rgb="FF0000FF"/>
        <rFont val="JRFonts"/>
        <charset val="134"/>
      </rPr>
      <t>24149</t>
    </r>
  </si>
  <si>
    <r>
      <rPr>
        <sz val="10"/>
        <color rgb="FF000000"/>
        <rFont val="JRFonts"/>
        <charset val="134"/>
      </rPr>
      <t>14-09-2026 11:53</t>
    </r>
  </si>
  <si>
    <r>
      <rPr>
        <sz val="10"/>
        <color rgb="FF000000"/>
        <rFont val="JRFonts"/>
        <charset val="134"/>
      </rPr>
      <t>15-09-2026 10:37</t>
    </r>
  </si>
  <si>
    <r>
      <rPr>
        <sz val="10"/>
        <color rgb="FF000000"/>
        <rFont val="JRFonts"/>
        <charset val="134"/>
      </rPr>
      <t>15-09-2026 10:27</t>
    </r>
  </si>
  <si>
    <r>
      <rPr>
        <sz val="10"/>
        <color rgb="FF0000FF"/>
        <rFont val="JRFonts"/>
        <charset val="134"/>
      </rPr>
      <t>24150</t>
    </r>
  </si>
  <si>
    <r>
      <rPr>
        <sz val="10"/>
        <color rgb="FF000000"/>
        <rFont val="JRFonts"/>
        <charset val="134"/>
      </rPr>
      <t>14-09-2026 12:02</t>
    </r>
  </si>
  <si>
    <r>
      <rPr>
        <sz val="10"/>
        <color rgb="FF000000"/>
        <rFont val="JRFonts"/>
        <charset val="134"/>
      </rPr>
      <t>15-09-2026 17:34</t>
    </r>
  </si>
  <si>
    <r>
      <rPr>
        <sz val="10"/>
        <color rgb="FF0000FF"/>
        <rFont val="JRFonts"/>
        <charset val="134"/>
      </rPr>
      <t>24152</t>
    </r>
  </si>
  <si>
    <r>
      <rPr>
        <sz val="10"/>
        <color rgb="FF000000"/>
        <rFont val="JRFonts"/>
        <charset val="134"/>
      </rPr>
      <t>14-09-2026 12:17</t>
    </r>
  </si>
  <si>
    <r>
      <rPr>
        <sz val="10"/>
        <color rgb="FF000000"/>
        <rFont val="JRFonts"/>
        <charset val="134"/>
      </rPr>
      <t>15-09-2026 15:01</t>
    </r>
  </si>
  <si>
    <r>
      <rPr>
        <sz val="10"/>
        <color rgb="FF000000"/>
        <rFont val="JRFonts"/>
        <charset val="134"/>
      </rPr>
      <t>15-09-2026 10:45</t>
    </r>
  </si>
  <si>
    <r>
      <rPr>
        <sz val="10"/>
        <color rgb="FF0000FF"/>
        <rFont val="JRFonts"/>
        <charset val="134"/>
      </rPr>
      <t>24153</t>
    </r>
  </si>
  <si>
    <r>
      <rPr>
        <sz val="10"/>
        <color rgb="FF000000"/>
        <rFont val="JRFonts"/>
        <charset val="134"/>
      </rPr>
      <t>14-09-2026 12:23</t>
    </r>
  </si>
  <si>
    <r>
      <rPr>
        <sz val="10"/>
        <color rgb="FF000000"/>
        <rFont val="JRFonts"/>
        <charset val="134"/>
      </rPr>
      <t>17-09-2026 17:33</t>
    </r>
  </si>
  <si>
    <r>
      <rPr>
        <sz val="10"/>
        <color rgb="FF000000"/>
        <rFont val="JRFonts"/>
        <charset val="134"/>
      </rPr>
      <t>15-09-2026 10:14</t>
    </r>
  </si>
  <si>
    <t>24153</t>
  </si>
  <si>
    <r>
      <rPr>
        <sz val="10"/>
        <color rgb="FF0000FF"/>
        <rFont val="JRFonts"/>
        <charset val="134"/>
      </rPr>
      <t>24156</t>
    </r>
  </si>
  <si>
    <r>
      <rPr>
        <sz val="10"/>
        <color rgb="FF000000"/>
        <rFont val="JRFonts"/>
        <charset val="134"/>
      </rPr>
      <t>14-09-2026 12:36</t>
    </r>
  </si>
  <si>
    <r>
      <rPr>
        <sz val="10"/>
        <color rgb="FF000000"/>
        <rFont val="JRFonts"/>
        <charset val="134"/>
      </rPr>
      <t>18-09-2026 12:02</t>
    </r>
  </si>
  <si>
    <r>
      <rPr>
        <sz val="10"/>
        <color rgb="FF000000"/>
        <rFont val="JRFonts"/>
        <charset val="134"/>
      </rPr>
      <t>18-09-2026 11:31</t>
    </r>
  </si>
  <si>
    <r>
      <rPr>
        <sz val="10"/>
        <color rgb="FF0000FF"/>
        <rFont val="JRFonts"/>
        <charset val="134"/>
      </rPr>
      <t>24157</t>
    </r>
  </si>
  <si>
    <r>
      <rPr>
        <sz val="10"/>
        <color rgb="FF000000"/>
        <rFont val="JRFonts"/>
        <charset val="134"/>
      </rPr>
      <t>14-09-2026 12:39</t>
    </r>
  </si>
  <si>
    <r>
      <rPr>
        <sz val="10"/>
        <color rgb="FF000000"/>
        <rFont val="JRFonts"/>
        <charset val="134"/>
      </rPr>
      <t>17-09-2026 18:20</t>
    </r>
  </si>
  <si>
    <r>
      <rPr>
        <sz val="10"/>
        <color rgb="FF000000"/>
        <rFont val="JRFonts"/>
        <charset val="134"/>
      </rPr>
      <t>17-09-2026 15:58</t>
    </r>
  </si>
  <si>
    <r>
      <rPr>
        <sz val="10"/>
        <color rgb="FF0000FF"/>
        <rFont val="JRFonts"/>
        <charset val="134"/>
      </rPr>
      <t>24160</t>
    </r>
  </si>
  <si>
    <r>
      <rPr>
        <sz val="10"/>
        <color rgb="FF000000"/>
        <rFont val="JRFonts"/>
        <charset val="134"/>
      </rPr>
      <t>14-09-2026 13:15</t>
    </r>
  </si>
  <si>
    <r>
      <rPr>
        <sz val="10"/>
        <color rgb="FF000000"/>
        <rFont val="JRFonts"/>
        <charset val="134"/>
      </rPr>
      <t>17-09-2026 17:58</t>
    </r>
  </si>
  <si>
    <r>
      <rPr>
        <sz val="10"/>
        <color rgb="FF000000"/>
        <rFont val="JRFonts"/>
        <charset val="134"/>
      </rPr>
      <t>15-09-2026 10:43</t>
    </r>
  </si>
  <si>
    <t>24160</t>
  </si>
  <si>
    <r>
      <rPr>
        <sz val="10"/>
        <color rgb="FF0000FF"/>
        <rFont val="JRFonts"/>
        <charset val="134"/>
      </rPr>
      <t>24165</t>
    </r>
  </si>
  <si>
    <r>
      <rPr>
        <sz val="10"/>
        <color rgb="FF000000"/>
        <rFont val="JRFonts"/>
        <charset val="134"/>
      </rPr>
      <t>15-09-2026 10:42</t>
    </r>
  </si>
  <si>
    <r>
      <rPr>
        <sz val="10"/>
        <color rgb="FF000000"/>
        <rFont val="JRFonts"/>
        <charset val="134"/>
      </rPr>
      <t>15-09-2026 21:02</t>
    </r>
  </si>
  <si>
    <r>
      <rPr>
        <sz val="10"/>
        <color rgb="FF000000"/>
        <rFont val="JRFonts"/>
        <charset val="134"/>
      </rPr>
      <t>15-09-2026 10:52</t>
    </r>
  </si>
  <si>
    <r>
      <rPr>
        <sz val="10"/>
        <color rgb="FF0000FF"/>
        <rFont val="JRFonts"/>
        <charset val="134"/>
      </rPr>
      <t>24166</t>
    </r>
  </si>
  <si>
    <r>
      <rPr>
        <sz val="10"/>
        <color rgb="FF000000"/>
        <rFont val="JRFonts"/>
        <charset val="134"/>
      </rPr>
      <t>15-09-2026 10:51</t>
    </r>
  </si>
  <si>
    <r>
      <rPr>
        <sz val="10"/>
        <color rgb="FF000000"/>
        <rFont val="JRFonts"/>
        <charset val="134"/>
      </rPr>
      <t>15-09-2026 14:26</t>
    </r>
  </si>
  <si>
    <r>
      <rPr>
        <sz val="10"/>
        <color rgb="FF000000"/>
        <rFont val="JRFonts"/>
        <charset val="134"/>
      </rPr>
      <t>15-09-2026 11:02</t>
    </r>
  </si>
  <si>
    <r>
      <rPr>
        <sz val="10"/>
        <color rgb="FF0000FF"/>
        <rFont val="JRFonts"/>
        <charset val="134"/>
      </rPr>
      <t>24167</t>
    </r>
  </si>
  <si>
    <r>
      <rPr>
        <sz val="10"/>
        <color rgb="FF000000"/>
        <rFont val="JRFonts"/>
        <charset val="134"/>
      </rPr>
      <t>15-09-2026 11:00</t>
    </r>
  </si>
  <si>
    <r>
      <rPr>
        <sz val="10"/>
        <color rgb="FF000000"/>
        <rFont val="JRFonts"/>
        <charset val="134"/>
      </rPr>
      <t>18-09-2026 12:04</t>
    </r>
  </si>
  <si>
    <r>
      <rPr>
        <sz val="10"/>
        <color rgb="FF000000"/>
        <rFont val="JRFonts"/>
        <charset val="134"/>
      </rPr>
      <t>15-09-2026 11:07</t>
    </r>
  </si>
  <si>
    <t>24167</t>
  </si>
  <si>
    <r>
      <rPr>
        <sz val="10"/>
        <color rgb="FF0000FF"/>
        <rFont val="JRFonts"/>
        <charset val="134"/>
      </rPr>
      <t>24172</t>
    </r>
  </si>
  <si>
    <r>
      <rPr>
        <sz val="10"/>
        <color rgb="FF000000"/>
        <rFont val="JRFonts"/>
        <charset val="134"/>
      </rPr>
      <t>15-09-2026 11:40</t>
    </r>
  </si>
  <si>
    <r>
      <rPr>
        <sz val="10"/>
        <color rgb="FF000000"/>
        <rFont val="JRFonts"/>
        <charset val="134"/>
      </rPr>
      <t>15-09-2026 12:37</t>
    </r>
  </si>
  <si>
    <r>
      <rPr>
        <sz val="10"/>
        <color rgb="FF000000"/>
        <rFont val="JRFonts"/>
        <charset val="134"/>
      </rPr>
      <t>15-09-2026 11:56</t>
    </r>
  </si>
  <si>
    <r>
      <rPr>
        <sz val="10"/>
        <color rgb="FF0000FF"/>
        <rFont val="JRFonts"/>
        <charset val="134"/>
      </rPr>
      <t>24173</t>
    </r>
  </si>
  <si>
    <r>
      <rPr>
        <sz val="10"/>
        <color rgb="FF000000"/>
        <rFont val="JRFonts"/>
        <charset val="134"/>
      </rPr>
      <t>15-09-2026 11:52</t>
    </r>
  </si>
  <si>
    <r>
      <rPr>
        <sz val="10"/>
        <color rgb="FF000000"/>
        <rFont val="JRFonts"/>
        <charset val="134"/>
      </rPr>
      <t>15-09-2026 14:08</t>
    </r>
  </si>
  <si>
    <r>
      <rPr>
        <sz val="10"/>
        <color rgb="FF000000"/>
        <rFont val="JRFonts"/>
        <charset val="134"/>
      </rPr>
      <t>15-09-2026 12:09</t>
    </r>
  </si>
  <si>
    <r>
      <rPr>
        <sz val="10"/>
        <color rgb="FF0000FF"/>
        <rFont val="JRFonts"/>
        <charset val="134"/>
      </rPr>
      <t>24174</t>
    </r>
  </si>
  <si>
    <r>
      <rPr>
        <sz val="10"/>
        <color rgb="FF000000"/>
        <rFont val="JRFonts"/>
        <charset val="134"/>
      </rPr>
      <t>15-09-2026 12:01</t>
    </r>
  </si>
  <si>
    <r>
      <rPr>
        <sz val="10"/>
        <color rgb="FF000000"/>
        <rFont val="JRFonts"/>
        <charset val="134"/>
      </rPr>
      <t>15-09-2026 17:17</t>
    </r>
  </si>
  <si>
    <r>
      <rPr>
        <sz val="10"/>
        <color rgb="FF000000"/>
        <rFont val="JRFonts"/>
        <charset val="134"/>
      </rPr>
      <t>15-09-2026 12:07</t>
    </r>
  </si>
  <si>
    <r>
      <rPr>
        <sz val="10"/>
        <color rgb="FF0000FF"/>
        <rFont val="JRFonts"/>
        <charset val="134"/>
      </rPr>
      <t>24177</t>
    </r>
  </si>
  <si>
    <r>
      <rPr>
        <sz val="10"/>
        <color rgb="FF000000"/>
        <rFont val="JRFonts"/>
        <charset val="134"/>
      </rPr>
      <t>28-09-2026 16:03</t>
    </r>
  </si>
  <si>
    <r>
      <rPr>
        <sz val="10"/>
        <color rgb="FF000000"/>
        <rFont val="JRFonts"/>
        <charset val="134"/>
      </rPr>
      <t>22-09-2026 12:25</t>
    </r>
  </si>
  <si>
    <t>24177</t>
  </si>
  <si>
    <r>
      <rPr>
        <sz val="10"/>
        <color rgb="FF0000FF"/>
        <rFont val="JRFonts"/>
        <charset val="134"/>
      </rPr>
      <t>24178</t>
    </r>
  </si>
  <si>
    <r>
      <rPr>
        <sz val="10"/>
        <color rgb="FF000000"/>
        <rFont val="JRFonts"/>
        <charset val="134"/>
      </rPr>
      <t>15-09-2026 12:25</t>
    </r>
  </si>
  <si>
    <r>
      <rPr>
        <sz val="10"/>
        <color rgb="FF000000"/>
        <rFont val="JRFonts"/>
        <charset val="134"/>
      </rPr>
      <t>16-09-2026 17:43</t>
    </r>
  </si>
  <si>
    <r>
      <rPr>
        <sz val="10"/>
        <color rgb="FF000000"/>
        <rFont val="JRFonts"/>
        <charset val="134"/>
      </rPr>
      <t>15-09-2026 12:34</t>
    </r>
  </si>
  <si>
    <t>24178</t>
  </si>
  <si>
    <r>
      <rPr>
        <sz val="10"/>
        <color rgb="FF0000FF"/>
        <rFont val="JRFonts"/>
        <charset val="134"/>
      </rPr>
      <t>24179</t>
    </r>
  </si>
  <si>
    <r>
      <rPr>
        <sz val="10"/>
        <color rgb="FF000000"/>
        <rFont val="JRFonts"/>
        <charset val="134"/>
      </rPr>
      <t>15-09-2026 12:28</t>
    </r>
  </si>
  <si>
    <r>
      <rPr>
        <sz val="10"/>
        <color rgb="FF000000"/>
        <rFont val="JRFonts"/>
        <charset val="134"/>
      </rPr>
      <t>15-09-2026 21:04</t>
    </r>
  </si>
  <si>
    <r>
      <rPr>
        <sz val="10"/>
        <color rgb="FF000000"/>
        <rFont val="JRFonts"/>
        <charset val="134"/>
      </rPr>
      <t>15-09-2026 12:35</t>
    </r>
  </si>
  <si>
    <r>
      <rPr>
        <sz val="10"/>
        <color rgb="FF0000FF"/>
        <rFont val="JRFonts"/>
        <charset val="134"/>
      </rPr>
      <t>24180</t>
    </r>
  </si>
  <si>
    <r>
      <rPr>
        <sz val="10"/>
        <color rgb="FF000000"/>
        <rFont val="JRFonts"/>
        <charset val="134"/>
      </rPr>
      <t>15-09-2026 16:29</t>
    </r>
  </si>
  <si>
    <r>
      <rPr>
        <sz val="10"/>
        <color rgb="FF000000"/>
        <rFont val="JRFonts"/>
        <charset val="134"/>
      </rPr>
      <t>15-09-2026 12:38</t>
    </r>
  </si>
  <si>
    <r>
      <rPr>
        <sz val="10"/>
        <color rgb="FF0000FF"/>
        <rFont val="JRFonts"/>
        <charset val="134"/>
      </rPr>
      <t>24181</t>
    </r>
  </si>
  <si>
    <r>
      <rPr>
        <sz val="10"/>
        <color rgb="FF000000"/>
        <rFont val="JRFonts"/>
        <charset val="134"/>
      </rPr>
      <t>15-09-2026 12:32</t>
    </r>
  </si>
  <si>
    <r>
      <rPr>
        <sz val="10"/>
        <color rgb="FF000000"/>
        <rFont val="JRFonts"/>
        <charset val="134"/>
      </rPr>
      <t>15-09-2026 17:21</t>
    </r>
  </si>
  <si>
    <r>
      <rPr>
        <sz val="10"/>
        <color rgb="FF000000"/>
        <rFont val="JRFonts"/>
        <charset val="134"/>
      </rPr>
      <t>15-09-2026 15:58</t>
    </r>
  </si>
  <si>
    <r>
      <rPr>
        <sz val="10"/>
        <color rgb="FF0000FF"/>
        <rFont val="JRFonts"/>
        <charset val="134"/>
      </rPr>
      <t>24182</t>
    </r>
  </si>
  <si>
    <r>
      <rPr>
        <sz val="10"/>
        <color rgb="FF000000"/>
        <rFont val="JRFonts"/>
        <charset val="134"/>
      </rPr>
      <t>15-09-2026 16:30</t>
    </r>
  </si>
  <si>
    <r>
      <rPr>
        <sz val="10"/>
        <color rgb="FF000000"/>
        <rFont val="JRFonts"/>
        <charset val="134"/>
      </rPr>
      <t>15-09-2026 14:01</t>
    </r>
  </si>
  <si>
    <r>
      <rPr>
        <sz val="10"/>
        <color rgb="FF0000FF"/>
        <rFont val="JRFonts"/>
        <charset val="134"/>
      </rPr>
      <t>24183</t>
    </r>
  </si>
  <si>
    <r>
      <rPr>
        <sz val="10"/>
        <color rgb="FF000000"/>
        <rFont val="JRFonts"/>
        <charset val="134"/>
      </rPr>
      <t>15-09-2026 12:47</t>
    </r>
  </si>
  <si>
    <r>
      <rPr>
        <sz val="10"/>
        <color rgb="FF000000"/>
        <rFont val="JRFonts"/>
        <charset val="134"/>
      </rPr>
      <t>15-09-2026 17:26</t>
    </r>
  </si>
  <si>
    <r>
      <rPr>
        <sz val="10"/>
        <color rgb="FF000000"/>
        <rFont val="JRFonts"/>
        <charset val="134"/>
      </rPr>
      <t>15-09-2026 12:57</t>
    </r>
  </si>
  <si>
    <r>
      <rPr>
        <sz val="10"/>
        <color rgb="FF0000FF"/>
        <rFont val="JRFonts"/>
        <charset val="134"/>
      </rPr>
      <t>24184</t>
    </r>
  </si>
  <si>
    <r>
      <rPr>
        <sz val="10"/>
        <color rgb="FF000000"/>
        <rFont val="JRFonts"/>
        <charset val="134"/>
      </rPr>
      <t>15-09-2026 12:50</t>
    </r>
  </si>
  <si>
    <r>
      <rPr>
        <sz val="10"/>
        <color rgb="FF000000"/>
        <rFont val="JRFonts"/>
        <charset val="134"/>
      </rPr>
      <t>21-09-2026 16:43</t>
    </r>
  </si>
  <si>
    <r>
      <rPr>
        <sz val="10"/>
        <color rgb="FF000000"/>
        <rFont val="JRFonts"/>
        <charset val="134"/>
      </rPr>
      <t>21-09-2026 16:32</t>
    </r>
  </si>
  <si>
    <r>
      <rPr>
        <sz val="10"/>
        <color rgb="FF0000FF"/>
        <rFont val="JRFonts"/>
        <charset val="134"/>
      </rPr>
      <t>24186</t>
    </r>
  </si>
  <si>
    <r>
      <rPr>
        <sz val="10"/>
        <color rgb="FF000000"/>
        <rFont val="JRFonts"/>
        <charset val="134"/>
      </rPr>
      <t>15-09-2026 13:26</t>
    </r>
  </si>
  <si>
    <r>
      <rPr>
        <sz val="10"/>
        <color rgb="FF000000"/>
        <rFont val="JRFonts"/>
        <charset val="134"/>
      </rPr>
      <t>23-09-2026 11:47</t>
    </r>
  </si>
  <si>
    <r>
      <rPr>
        <sz val="10"/>
        <color rgb="FF000000"/>
        <rFont val="JRFonts"/>
        <charset val="134"/>
      </rPr>
      <t>23-09-2026 11:48</t>
    </r>
  </si>
  <si>
    <r>
      <rPr>
        <sz val="10"/>
        <color rgb="FF0000FF"/>
        <rFont val="JRFonts"/>
        <charset val="134"/>
      </rPr>
      <t>24187</t>
    </r>
  </si>
  <si>
    <r>
      <rPr>
        <sz val="10"/>
        <color rgb="FF000000"/>
        <rFont val="JRFonts"/>
        <charset val="134"/>
      </rPr>
      <t>15-09-2026 13:29</t>
    </r>
  </si>
  <si>
    <r>
      <rPr>
        <sz val="10"/>
        <color rgb="FF000000"/>
        <rFont val="JRFonts"/>
        <charset val="134"/>
      </rPr>
      <t>15-09-2026 14:04</t>
    </r>
  </si>
  <si>
    <t>24187</t>
  </si>
  <si>
    <r>
      <rPr>
        <sz val="10"/>
        <color rgb="FF0000FF"/>
        <rFont val="JRFonts"/>
        <charset val="134"/>
      </rPr>
      <t>24188</t>
    </r>
  </si>
  <si>
    <r>
      <rPr>
        <sz val="10"/>
        <color rgb="FF000000"/>
        <rFont val="JRFonts"/>
        <charset val="134"/>
      </rPr>
      <t>15-09-2026 13:57</t>
    </r>
  </si>
  <si>
    <r>
      <rPr>
        <sz val="10"/>
        <color rgb="FF000000"/>
        <rFont val="JRFonts"/>
        <charset val="134"/>
      </rPr>
      <t>15-09-2026 16:25</t>
    </r>
  </si>
  <si>
    <r>
      <rPr>
        <sz val="10"/>
        <color rgb="FF000000"/>
        <rFont val="JRFonts"/>
        <charset val="134"/>
      </rPr>
      <t>15-09-2026 15:04</t>
    </r>
  </si>
  <si>
    <r>
      <rPr>
        <sz val="10"/>
        <color rgb="FF0000FF"/>
        <rFont val="JRFonts"/>
        <charset val="134"/>
      </rPr>
      <t>24189</t>
    </r>
  </si>
  <si>
    <r>
      <rPr>
        <sz val="10"/>
        <color rgb="FF000000"/>
        <rFont val="JRFonts"/>
        <charset val="134"/>
      </rPr>
      <t>15-09-2026 15:13</t>
    </r>
  </si>
  <si>
    <r>
      <rPr>
        <sz val="10"/>
        <color rgb="FF000000"/>
        <rFont val="JRFonts"/>
        <charset val="134"/>
      </rPr>
      <t>15-09-2026 14:05</t>
    </r>
  </si>
  <si>
    <r>
      <rPr>
        <sz val="10"/>
        <color rgb="FF0000FF"/>
        <rFont val="JRFonts"/>
        <charset val="134"/>
      </rPr>
      <t>24190</t>
    </r>
  </si>
  <si>
    <r>
      <rPr>
        <sz val="10"/>
        <color rgb="FF000000"/>
        <rFont val="JRFonts"/>
        <charset val="134"/>
      </rPr>
      <t>15-09-2026 14:15</t>
    </r>
  </si>
  <si>
    <r>
      <rPr>
        <sz val="10"/>
        <color rgb="FF000000"/>
        <rFont val="JRFonts"/>
        <charset val="134"/>
      </rPr>
      <t>16-09-2026 17:00</t>
    </r>
  </si>
  <si>
    <r>
      <rPr>
        <sz val="10"/>
        <color rgb="FF000000"/>
        <rFont val="JRFonts"/>
        <charset val="134"/>
      </rPr>
      <t>15-09-2026 16:33</t>
    </r>
  </si>
  <si>
    <r>
      <rPr>
        <sz val="10"/>
        <color rgb="FF0000FF"/>
        <rFont val="JRFonts"/>
        <charset val="134"/>
      </rPr>
      <t>24194</t>
    </r>
  </si>
  <si>
    <r>
      <rPr>
        <sz val="10"/>
        <color rgb="FF000000"/>
        <rFont val="JRFonts"/>
        <charset val="134"/>
      </rPr>
      <t>15-09-2026 15:43</t>
    </r>
  </si>
  <si>
    <r>
      <rPr>
        <sz val="10"/>
        <color rgb="FF000000"/>
        <rFont val="JRFonts"/>
        <charset val="134"/>
      </rPr>
      <t>21-09-2026 10:34</t>
    </r>
  </si>
  <si>
    <r>
      <rPr>
        <sz val="10"/>
        <color rgb="FF000000"/>
        <rFont val="JRFonts"/>
        <charset val="134"/>
      </rPr>
      <t>15-09-2026 15:47</t>
    </r>
  </si>
  <si>
    <t>24194</t>
  </si>
  <si>
    <r>
      <rPr>
        <sz val="10"/>
        <color rgb="FF0000FF"/>
        <rFont val="JRFonts"/>
        <charset val="134"/>
      </rPr>
      <t>24195</t>
    </r>
  </si>
  <si>
    <r>
      <rPr>
        <sz val="10"/>
        <color rgb="FF000000"/>
        <rFont val="JRFonts"/>
        <charset val="134"/>
      </rPr>
      <t>15-09-2026 15:46</t>
    </r>
  </si>
  <si>
    <r>
      <rPr>
        <sz val="10"/>
        <color rgb="FF000000"/>
        <rFont val="JRFonts"/>
        <charset val="134"/>
      </rPr>
      <t>16-09-2026 15:02</t>
    </r>
  </si>
  <si>
    <r>
      <rPr>
        <sz val="10"/>
        <color rgb="FF000000"/>
        <rFont val="JRFonts"/>
        <charset val="134"/>
      </rPr>
      <t>15-09-2026 16:13</t>
    </r>
  </si>
  <si>
    <r>
      <rPr>
        <sz val="10"/>
        <color rgb="FF0000FF"/>
        <rFont val="JRFonts"/>
        <charset val="134"/>
      </rPr>
      <t>24196</t>
    </r>
  </si>
  <si>
    <r>
      <rPr>
        <sz val="10"/>
        <color rgb="FF000000"/>
        <rFont val="JRFonts"/>
        <charset val="134"/>
      </rPr>
      <t>15-09-2026 16:07</t>
    </r>
  </si>
  <si>
    <r>
      <rPr>
        <sz val="10"/>
        <color rgb="FF000000"/>
        <rFont val="JRFonts"/>
        <charset val="134"/>
      </rPr>
      <t>15-09-2026 15:52</t>
    </r>
  </si>
  <si>
    <r>
      <rPr>
        <sz val="10"/>
        <color rgb="FF0000FF"/>
        <rFont val="JRFonts"/>
        <charset val="134"/>
      </rPr>
      <t>24198</t>
    </r>
  </si>
  <si>
    <r>
      <rPr>
        <sz val="10"/>
        <color rgb="FF000000"/>
        <rFont val="JRFonts"/>
        <charset val="134"/>
      </rPr>
      <t>15-09-2026 16:17</t>
    </r>
  </si>
  <si>
    <r>
      <rPr>
        <sz val="10"/>
        <color rgb="FF000000"/>
        <rFont val="JRFonts"/>
        <charset val="134"/>
      </rPr>
      <t>15-09-2026 17:32</t>
    </r>
  </si>
  <si>
    <r>
      <rPr>
        <sz val="10"/>
        <color rgb="FF000000"/>
        <rFont val="JRFonts"/>
        <charset val="134"/>
      </rPr>
      <t>15-09-2026 16:23</t>
    </r>
  </si>
  <si>
    <r>
      <rPr>
        <sz val="10"/>
        <color rgb="FF0000FF"/>
        <rFont val="JRFonts"/>
        <charset val="134"/>
      </rPr>
      <t>24206</t>
    </r>
  </si>
  <si>
    <r>
      <rPr>
        <sz val="10"/>
        <color rgb="FF000000"/>
        <rFont val="JRFonts"/>
        <charset val="134"/>
      </rPr>
      <t>15-09-2026 17:08</t>
    </r>
  </si>
  <si>
    <r>
      <rPr>
        <sz val="10"/>
        <color rgb="FF000000"/>
        <rFont val="JRFonts"/>
        <charset val="134"/>
      </rPr>
      <t>22-09-2026 10:36</t>
    </r>
  </si>
  <si>
    <r>
      <rPr>
        <sz val="10"/>
        <color rgb="FF000000"/>
        <rFont val="JRFonts"/>
        <charset val="134"/>
      </rPr>
      <t>15-09-2026 17:14</t>
    </r>
  </si>
  <si>
    <t>24206</t>
  </si>
  <si>
    <r>
      <rPr>
        <sz val="10"/>
        <color rgb="FF0000FF"/>
        <rFont val="JRFonts"/>
        <charset val="134"/>
      </rPr>
      <t>24208</t>
    </r>
  </si>
  <si>
    <r>
      <rPr>
        <sz val="10"/>
        <color rgb="FF000000"/>
        <rFont val="JRFonts"/>
        <charset val="134"/>
      </rPr>
      <t>15-09-2026 17:46</t>
    </r>
  </si>
  <si>
    <r>
      <rPr>
        <sz val="10"/>
        <color rgb="FF0000FF"/>
        <rFont val="JRFonts"/>
        <charset val="134"/>
      </rPr>
      <t>24209</t>
    </r>
  </si>
  <si>
    <r>
      <rPr>
        <sz val="10"/>
        <color rgb="FF000000"/>
        <rFont val="JRFonts"/>
        <charset val="134"/>
      </rPr>
      <t>17-09-2026 18:00</t>
    </r>
  </si>
  <si>
    <r>
      <rPr>
        <sz val="10"/>
        <color rgb="FF000000"/>
        <rFont val="JRFonts"/>
        <charset val="134"/>
      </rPr>
      <t>15-09-2026 17:24</t>
    </r>
  </si>
  <si>
    <t>24209</t>
  </si>
  <si>
    <r>
      <rPr>
        <sz val="10"/>
        <color rgb="FF0000FF"/>
        <rFont val="JRFonts"/>
        <charset val="134"/>
      </rPr>
      <t>24211</t>
    </r>
  </si>
  <si>
    <r>
      <rPr>
        <sz val="10"/>
        <color rgb="FF000000"/>
        <rFont val="JRFonts"/>
        <charset val="134"/>
      </rPr>
      <t>15-09-2026 18:45</t>
    </r>
  </si>
  <si>
    <r>
      <rPr>
        <sz val="10"/>
        <color rgb="FF000000"/>
        <rFont val="JRFonts"/>
        <charset val="134"/>
      </rPr>
      <t>15-09-2026 17:56</t>
    </r>
  </si>
  <si>
    <r>
      <rPr>
        <sz val="10"/>
        <color rgb="FF0000FF"/>
        <rFont val="JRFonts"/>
        <charset val="134"/>
      </rPr>
      <t>24213</t>
    </r>
  </si>
  <si>
    <r>
      <rPr>
        <sz val="10"/>
        <color rgb="FF000000"/>
        <rFont val="JRFonts"/>
        <charset val="134"/>
      </rPr>
      <t>15-09-2026 18:12</t>
    </r>
  </si>
  <si>
    <r>
      <rPr>
        <sz val="10"/>
        <color rgb="FF000000"/>
        <rFont val="JRFonts"/>
        <charset val="134"/>
      </rPr>
      <t>16-09-2026 12:37</t>
    </r>
  </si>
  <si>
    <r>
      <rPr>
        <sz val="10"/>
        <color rgb="FF000000"/>
        <rFont val="JRFonts"/>
        <charset val="134"/>
      </rPr>
      <t>15-09-2026 18:36</t>
    </r>
  </si>
  <si>
    <r>
      <rPr>
        <sz val="10"/>
        <color rgb="FF0000FF"/>
        <rFont val="JRFonts"/>
        <charset val="134"/>
      </rPr>
      <t>24214</t>
    </r>
  </si>
  <si>
    <r>
      <rPr>
        <sz val="10"/>
        <color rgb="FF000000"/>
        <rFont val="JRFonts"/>
        <charset val="134"/>
      </rPr>
      <t>15-09-2026 18:43</t>
    </r>
  </si>
  <si>
    <r>
      <rPr>
        <sz val="10"/>
        <color rgb="FF000000"/>
        <rFont val="JRFonts"/>
        <charset val="134"/>
      </rPr>
      <t>16-09-2026 10:35</t>
    </r>
  </si>
  <si>
    <r>
      <rPr>
        <sz val="10"/>
        <color rgb="FF000000"/>
        <rFont val="JRFonts"/>
        <charset val="134"/>
      </rPr>
      <t>16-09-2026 10:13</t>
    </r>
  </si>
  <si>
    <r>
      <rPr>
        <sz val="10"/>
        <color rgb="FF0000FF"/>
        <rFont val="JRFonts"/>
        <charset val="134"/>
      </rPr>
      <t>24215</t>
    </r>
  </si>
  <si>
    <r>
      <rPr>
        <sz val="10"/>
        <color rgb="FF000000"/>
        <rFont val="JRFonts"/>
        <charset val="134"/>
      </rPr>
      <t>15-09-2026 19:04</t>
    </r>
  </si>
  <si>
    <r>
      <rPr>
        <sz val="10"/>
        <color rgb="FF000000"/>
        <rFont val="JRFonts"/>
        <charset val="134"/>
      </rPr>
      <t>16-09-2026 12:34</t>
    </r>
  </si>
  <si>
    <r>
      <rPr>
        <sz val="10"/>
        <color rgb="FF000000"/>
        <rFont val="JRFonts"/>
        <charset val="134"/>
      </rPr>
      <t>16-09-2026 10:38</t>
    </r>
  </si>
  <si>
    <r>
      <rPr>
        <sz val="10"/>
        <color rgb="FF0000FF"/>
        <rFont val="JRFonts"/>
        <charset val="134"/>
      </rPr>
      <t>24216</t>
    </r>
  </si>
  <si>
    <r>
      <rPr>
        <sz val="10"/>
        <color rgb="FF000000"/>
        <rFont val="JRFonts"/>
        <charset val="134"/>
      </rPr>
      <t>15-09-2026 19:19</t>
    </r>
  </si>
  <si>
    <r>
      <rPr>
        <sz val="10"/>
        <color rgb="FF000000"/>
        <rFont val="JRFonts"/>
        <charset val="134"/>
      </rPr>
      <t>16-09-2026 10:51</t>
    </r>
  </si>
  <si>
    <r>
      <rPr>
        <sz val="10"/>
        <color rgb="FF000000"/>
        <rFont val="JRFonts"/>
        <charset val="134"/>
      </rPr>
      <t>16-09-2026 10:40</t>
    </r>
  </si>
  <si>
    <r>
      <rPr>
        <sz val="10"/>
        <color rgb="FF0000FF"/>
        <rFont val="JRFonts"/>
        <charset val="134"/>
      </rPr>
      <t>24218</t>
    </r>
  </si>
  <si>
    <r>
      <rPr>
        <sz val="10"/>
        <color rgb="FF000000"/>
        <rFont val="JRFonts"/>
        <charset val="134"/>
      </rPr>
      <t>16-09-2026 10:15</t>
    </r>
  </si>
  <si>
    <r>
      <rPr>
        <sz val="10"/>
        <color rgb="FF000000"/>
        <rFont val="JRFonts"/>
        <charset val="134"/>
      </rPr>
      <t>16-09-2026 10:49</t>
    </r>
  </si>
  <si>
    <r>
      <rPr>
        <sz val="10"/>
        <color rgb="FF000000"/>
        <rFont val="JRFonts"/>
        <charset val="134"/>
      </rPr>
      <t>16-09-2026 10:36</t>
    </r>
  </si>
  <si>
    <r>
      <rPr>
        <sz val="10"/>
        <color rgb="FF0000FF"/>
        <rFont val="JRFonts"/>
        <charset val="134"/>
      </rPr>
      <t>24220</t>
    </r>
  </si>
  <si>
    <r>
      <rPr>
        <sz val="10"/>
        <color rgb="FF000000"/>
        <rFont val="JRFonts"/>
        <charset val="134"/>
      </rPr>
      <t>16-09-2026 10:37</t>
    </r>
  </si>
  <si>
    <r>
      <rPr>
        <sz val="10"/>
        <color rgb="FF000000"/>
        <rFont val="JRFonts"/>
        <charset val="134"/>
      </rPr>
      <t>16-09-2026 12:46</t>
    </r>
  </si>
  <si>
    <r>
      <rPr>
        <sz val="10"/>
        <color rgb="FF000000"/>
        <rFont val="JRFonts"/>
        <charset val="134"/>
      </rPr>
      <t>16-09-2026 11:12</t>
    </r>
  </si>
  <si>
    <r>
      <rPr>
        <sz val="10"/>
        <color rgb="FF0000FF"/>
        <rFont val="JRFonts"/>
        <charset val="134"/>
      </rPr>
      <t>24221</t>
    </r>
  </si>
  <si>
    <r>
      <rPr>
        <sz val="10"/>
        <color rgb="FF000000"/>
        <rFont val="JRFonts"/>
        <charset val="134"/>
      </rPr>
      <t>16-09-2026 11:04</t>
    </r>
  </si>
  <si>
    <r>
      <rPr>
        <sz val="10"/>
        <color rgb="FF000000"/>
        <rFont val="JRFonts"/>
        <charset val="134"/>
      </rPr>
      <t>16-09-2026 11:42</t>
    </r>
  </si>
  <si>
    <r>
      <rPr>
        <sz val="10"/>
        <color rgb="FF000000"/>
        <rFont val="JRFonts"/>
        <charset val="134"/>
      </rPr>
      <t>16-09-2026 11:07</t>
    </r>
  </si>
  <si>
    <r>
      <rPr>
        <sz val="10"/>
        <color rgb="FF0000FF"/>
        <rFont val="JRFonts"/>
        <charset val="134"/>
      </rPr>
      <t>24222</t>
    </r>
  </si>
  <si>
    <r>
      <rPr>
        <sz val="10"/>
        <color rgb="FF000000"/>
        <rFont val="JRFonts"/>
        <charset val="134"/>
      </rPr>
      <t>16-09-2026 11:23</t>
    </r>
  </si>
  <si>
    <r>
      <rPr>
        <sz val="10"/>
        <color rgb="FF000000"/>
        <rFont val="JRFonts"/>
        <charset val="134"/>
      </rPr>
      <t>05-10-2026 10:47</t>
    </r>
  </si>
  <si>
    <r>
      <rPr>
        <sz val="10"/>
        <color rgb="FF000000"/>
        <rFont val="JRFonts"/>
        <charset val="134"/>
      </rPr>
      <t>16-09-2026 11:36</t>
    </r>
  </si>
  <si>
    <t>24222</t>
  </si>
  <si>
    <r>
      <rPr>
        <sz val="10"/>
        <color rgb="FF0000FF"/>
        <rFont val="JRFonts"/>
        <charset val="134"/>
      </rPr>
      <t>24223</t>
    </r>
  </si>
  <si>
    <r>
      <rPr>
        <sz val="10"/>
        <color rgb="FF000000"/>
        <rFont val="JRFonts"/>
        <charset val="134"/>
      </rPr>
      <t>16-09-2026 11:47</t>
    </r>
  </si>
  <si>
    <r>
      <rPr>
        <sz val="10"/>
        <color rgb="FF000000"/>
        <rFont val="JRFonts"/>
        <charset val="134"/>
      </rPr>
      <t>16-09-2026 14:48</t>
    </r>
  </si>
  <si>
    <r>
      <rPr>
        <sz val="10"/>
        <color rgb="FF000000"/>
        <rFont val="JRFonts"/>
        <charset val="134"/>
      </rPr>
      <t>16-09-2026 11:56</t>
    </r>
  </si>
  <si>
    <r>
      <rPr>
        <sz val="10"/>
        <color rgb="FF0000FF"/>
        <rFont val="JRFonts"/>
        <charset val="134"/>
      </rPr>
      <t>24224</t>
    </r>
  </si>
  <si>
    <r>
      <rPr>
        <sz val="10"/>
        <color rgb="FF000000"/>
        <rFont val="JRFonts"/>
        <charset val="134"/>
      </rPr>
      <t>16-09-2026 12:25</t>
    </r>
  </si>
  <si>
    <r>
      <rPr>
        <sz val="10"/>
        <color rgb="FF000000"/>
        <rFont val="JRFonts"/>
        <charset val="134"/>
      </rPr>
      <t>16-09-2026 12:01</t>
    </r>
  </si>
  <si>
    <r>
      <rPr>
        <sz val="10"/>
        <color rgb="FF0000FF"/>
        <rFont val="JRFonts"/>
        <charset val="134"/>
      </rPr>
      <t>24225</t>
    </r>
  </si>
  <si>
    <r>
      <rPr>
        <sz val="10"/>
        <color rgb="FF000000"/>
        <rFont val="JRFonts"/>
        <charset val="134"/>
      </rPr>
      <t>16-09-2026 11:50</t>
    </r>
  </si>
  <si>
    <r>
      <rPr>
        <sz val="10"/>
        <color rgb="FF000000"/>
        <rFont val="JRFonts"/>
        <charset val="134"/>
      </rPr>
      <t>16-09-2026 11:59</t>
    </r>
  </si>
  <si>
    <r>
      <rPr>
        <sz val="10"/>
        <color rgb="FF000000"/>
        <rFont val="JRFonts"/>
        <charset val="134"/>
      </rPr>
      <t>16-09-2026 11:58</t>
    </r>
  </si>
  <si>
    <r>
      <rPr>
        <sz val="10"/>
        <color rgb="FF0000FF"/>
        <rFont val="JRFonts"/>
        <charset val="134"/>
      </rPr>
      <t>24227</t>
    </r>
  </si>
  <si>
    <r>
      <rPr>
        <sz val="10"/>
        <color rgb="FF000000"/>
        <rFont val="JRFonts"/>
        <charset val="134"/>
      </rPr>
      <t>16-09-2026 12:23</t>
    </r>
  </si>
  <si>
    <r>
      <rPr>
        <sz val="10"/>
        <color rgb="FF000000"/>
        <rFont val="JRFonts"/>
        <charset val="134"/>
      </rPr>
      <t>16-09-2026 18:35</t>
    </r>
  </si>
  <si>
    <r>
      <rPr>
        <sz val="10"/>
        <color rgb="FF000000"/>
        <rFont val="JRFonts"/>
        <charset val="134"/>
      </rPr>
      <t>16-09-2026 12:44</t>
    </r>
  </si>
  <si>
    <r>
      <rPr>
        <sz val="10"/>
        <color rgb="FF0000FF"/>
        <rFont val="JRFonts"/>
        <charset val="134"/>
      </rPr>
      <t>24228</t>
    </r>
  </si>
  <si>
    <r>
      <rPr>
        <sz val="10"/>
        <color rgb="FF000000"/>
        <rFont val="JRFonts"/>
        <charset val="134"/>
      </rPr>
      <t>16-09-2026 12:33</t>
    </r>
  </si>
  <si>
    <r>
      <rPr>
        <sz val="10"/>
        <color rgb="FF000000"/>
        <rFont val="JRFonts"/>
        <charset val="134"/>
      </rPr>
      <t>17-09-2026 10:19</t>
    </r>
  </si>
  <si>
    <r>
      <rPr>
        <sz val="10"/>
        <color rgb="FF000000"/>
        <rFont val="JRFonts"/>
        <charset val="134"/>
      </rPr>
      <t>16-09-2026 12:43</t>
    </r>
  </si>
  <si>
    <r>
      <rPr>
        <sz val="10"/>
        <color rgb="FF0000FF"/>
        <rFont val="JRFonts"/>
        <charset val="134"/>
      </rPr>
      <t>24229</t>
    </r>
  </si>
  <si>
    <r>
      <rPr>
        <sz val="10"/>
        <color rgb="FF000000"/>
        <rFont val="JRFonts"/>
        <charset val="134"/>
      </rPr>
      <t>16-09-2026 12:57</t>
    </r>
  </si>
  <si>
    <r>
      <rPr>
        <sz val="10"/>
        <color rgb="FF000000"/>
        <rFont val="JRFonts"/>
        <charset val="134"/>
      </rPr>
      <t>16-09-2026 14:08</t>
    </r>
  </si>
  <si>
    <r>
      <rPr>
        <sz val="10"/>
        <color rgb="FF000000"/>
        <rFont val="JRFonts"/>
        <charset val="134"/>
      </rPr>
      <t>16-09-2026 14:09</t>
    </r>
  </si>
  <si>
    <r>
      <rPr>
        <sz val="10"/>
        <color rgb="FF0000FF"/>
        <rFont val="JRFonts"/>
        <charset val="134"/>
      </rPr>
      <t>24231</t>
    </r>
  </si>
  <si>
    <r>
      <rPr>
        <sz val="10"/>
        <color rgb="FF000000"/>
        <rFont val="JRFonts"/>
        <charset val="134"/>
      </rPr>
      <t>16-09-2026 14:04</t>
    </r>
  </si>
  <si>
    <r>
      <rPr>
        <sz val="10"/>
        <color rgb="FF000000"/>
        <rFont val="JRFonts"/>
        <charset val="134"/>
      </rPr>
      <t>21-09-2026 11:33</t>
    </r>
  </si>
  <si>
    <r>
      <rPr>
        <sz val="10"/>
        <color rgb="FF000000"/>
        <rFont val="JRFonts"/>
        <charset val="134"/>
      </rPr>
      <t>17-09-2026 10:09</t>
    </r>
  </si>
  <si>
    <t>24231</t>
  </si>
  <si>
    <r>
      <rPr>
        <sz val="10"/>
        <color rgb="FF0000FF"/>
        <rFont val="JRFonts"/>
        <charset val="134"/>
      </rPr>
      <t>24232</t>
    </r>
  </si>
  <si>
    <r>
      <rPr>
        <sz val="10"/>
        <color rgb="FF000000"/>
        <rFont val="JRFonts"/>
        <charset val="134"/>
      </rPr>
      <t>17-09-2026 15:45</t>
    </r>
  </si>
  <si>
    <r>
      <rPr>
        <sz val="10"/>
        <color rgb="FF000000"/>
        <rFont val="JRFonts"/>
        <charset val="134"/>
      </rPr>
      <t>16-09-2026 14:49</t>
    </r>
  </si>
  <si>
    <r>
      <rPr>
        <sz val="10"/>
        <color rgb="FF0000FF"/>
        <rFont val="JRFonts"/>
        <charset val="134"/>
      </rPr>
      <t>24235</t>
    </r>
  </si>
  <si>
    <r>
      <rPr>
        <sz val="10"/>
        <color rgb="FF000000"/>
        <rFont val="JRFonts"/>
        <charset val="134"/>
      </rPr>
      <t>16-09-2026 15:44</t>
    </r>
  </si>
  <si>
    <r>
      <rPr>
        <sz val="10"/>
        <color rgb="FF000000"/>
        <rFont val="JRFonts"/>
        <charset val="134"/>
      </rPr>
      <t>16-09-2026 17:50</t>
    </r>
  </si>
  <si>
    <r>
      <rPr>
        <sz val="10"/>
        <color rgb="FF000000"/>
        <rFont val="JRFonts"/>
        <charset val="134"/>
      </rPr>
      <t>16-09-2026 15:47</t>
    </r>
  </si>
  <si>
    <r>
      <rPr>
        <sz val="10"/>
        <color rgb="FF0000FF"/>
        <rFont val="JRFonts"/>
        <charset val="134"/>
      </rPr>
      <t>24236</t>
    </r>
  </si>
  <si>
    <r>
      <rPr>
        <sz val="10"/>
        <color rgb="FF000000"/>
        <rFont val="JRFonts"/>
        <charset val="134"/>
      </rPr>
      <t>16-09-2026 16:12</t>
    </r>
  </si>
  <si>
    <r>
      <rPr>
        <sz val="10"/>
        <color rgb="FF000000"/>
        <rFont val="JRFonts"/>
        <charset val="134"/>
      </rPr>
      <t>16-09-2026 16:38</t>
    </r>
  </si>
  <si>
    <r>
      <rPr>
        <sz val="10"/>
        <color rgb="FF000000"/>
        <rFont val="JRFonts"/>
        <charset val="134"/>
      </rPr>
      <t>16-09-2026 16:15</t>
    </r>
  </si>
  <si>
    <r>
      <rPr>
        <sz val="10"/>
        <color rgb="FF0000FF"/>
        <rFont val="JRFonts"/>
        <charset val="134"/>
      </rPr>
      <t>24237</t>
    </r>
  </si>
  <si>
    <r>
      <rPr>
        <sz val="10"/>
        <color rgb="FF000000"/>
        <rFont val="JRFonts"/>
        <charset val="134"/>
      </rPr>
      <t>21-09-2026 14:52</t>
    </r>
  </si>
  <si>
    <r>
      <rPr>
        <sz val="10"/>
        <color rgb="FF000000"/>
        <rFont val="JRFonts"/>
        <charset val="134"/>
      </rPr>
      <t>16-09-2026 16:13</t>
    </r>
  </si>
  <si>
    <t>24237</t>
  </si>
  <si>
    <t>CR</t>
  </si>
  <si>
    <r>
      <rPr>
        <sz val="10"/>
        <color rgb="FF0000FF"/>
        <rFont val="JRFonts"/>
        <charset val="134"/>
      </rPr>
      <t>24238</t>
    </r>
  </si>
  <si>
    <r>
      <rPr>
        <sz val="10"/>
        <color rgb="FF000000"/>
        <rFont val="JRFonts"/>
        <charset val="134"/>
      </rPr>
      <t>16-09-2026 16:45</t>
    </r>
  </si>
  <si>
    <r>
      <rPr>
        <sz val="10"/>
        <color rgb="FF000000"/>
        <rFont val="JRFonts"/>
        <charset val="134"/>
      </rPr>
      <t>16-09-2026 17:49</t>
    </r>
  </si>
  <si>
    <r>
      <rPr>
        <sz val="10"/>
        <color rgb="FF000000"/>
        <rFont val="JRFonts"/>
        <charset val="134"/>
      </rPr>
      <t>16-09-2026 17:02</t>
    </r>
  </si>
  <si>
    <r>
      <rPr>
        <sz val="10"/>
        <color rgb="FF0000FF"/>
        <rFont val="JRFonts"/>
        <charset val="134"/>
      </rPr>
      <t>24241</t>
    </r>
  </si>
  <si>
    <r>
      <rPr>
        <sz val="10"/>
        <color rgb="FF000000"/>
        <rFont val="JRFonts"/>
        <charset val="134"/>
      </rPr>
      <t>16-09-2026 16:54</t>
    </r>
  </si>
  <si>
    <r>
      <rPr>
        <sz val="10"/>
        <color rgb="FF000000"/>
        <rFont val="JRFonts"/>
        <charset val="134"/>
      </rPr>
      <t>18-09-2026 11:37</t>
    </r>
  </si>
  <si>
    <r>
      <rPr>
        <sz val="10"/>
        <color rgb="FF000000"/>
        <rFont val="JRFonts"/>
        <charset val="134"/>
      </rPr>
      <t>16-09-2026 17:08</t>
    </r>
  </si>
  <si>
    <r>
      <rPr>
        <sz val="10"/>
        <color rgb="FF0000FF"/>
        <rFont val="JRFonts"/>
        <charset val="134"/>
      </rPr>
      <t>24242</t>
    </r>
  </si>
  <si>
    <r>
      <rPr>
        <sz val="10"/>
        <color rgb="FF000000"/>
        <rFont val="JRFonts"/>
        <charset val="134"/>
      </rPr>
      <t>16-09-2026 17:19</t>
    </r>
  </si>
  <si>
    <r>
      <rPr>
        <sz val="10"/>
        <color rgb="FF000000"/>
        <rFont val="JRFonts"/>
        <charset val="134"/>
      </rPr>
      <t>16-09-2026 18:33</t>
    </r>
  </si>
  <si>
    <r>
      <rPr>
        <sz val="10"/>
        <color rgb="FF000000"/>
        <rFont val="JRFonts"/>
        <charset val="134"/>
      </rPr>
      <t>16-09-2026 17:45</t>
    </r>
  </si>
  <si>
    <r>
      <rPr>
        <sz val="10"/>
        <color rgb="FF0000FF"/>
        <rFont val="JRFonts"/>
        <charset val="134"/>
      </rPr>
      <t>24243</t>
    </r>
  </si>
  <si>
    <r>
      <rPr>
        <sz val="10"/>
        <color rgb="FF000000"/>
        <rFont val="JRFonts"/>
        <charset val="134"/>
      </rPr>
      <t>16-09-2026 17:22</t>
    </r>
  </si>
  <si>
    <r>
      <rPr>
        <sz val="10"/>
        <color rgb="FF000000"/>
        <rFont val="JRFonts"/>
        <charset val="134"/>
      </rPr>
      <t>17-09-2026 11:29</t>
    </r>
  </si>
  <si>
    <r>
      <rPr>
        <sz val="10"/>
        <color rgb="FF000000"/>
        <rFont val="JRFonts"/>
        <charset val="134"/>
      </rPr>
      <t>16-09-2026 17:35</t>
    </r>
  </si>
  <si>
    <r>
      <rPr>
        <sz val="10"/>
        <color rgb="FF0000FF"/>
        <rFont val="JRFonts"/>
        <charset val="134"/>
      </rPr>
      <t>24244</t>
    </r>
  </si>
  <si>
    <r>
      <rPr>
        <sz val="10"/>
        <color rgb="FF000000"/>
        <rFont val="JRFonts"/>
        <charset val="134"/>
      </rPr>
      <t>16-09-2026 18:22</t>
    </r>
  </si>
  <si>
    <r>
      <rPr>
        <sz val="10"/>
        <color rgb="FF000000"/>
        <rFont val="JRFonts"/>
        <charset val="134"/>
      </rPr>
      <t>16-09-2026 17:33</t>
    </r>
  </si>
  <si>
    <r>
      <rPr>
        <sz val="10"/>
        <color rgb="FF0000FF"/>
        <rFont val="JRFonts"/>
        <charset val="134"/>
      </rPr>
      <t>24248</t>
    </r>
  </si>
  <si>
    <r>
      <rPr>
        <sz val="10"/>
        <color rgb="FF000000"/>
        <rFont val="JRFonts"/>
        <charset val="134"/>
      </rPr>
      <t>17-09-2026 10:29</t>
    </r>
  </si>
  <si>
    <r>
      <rPr>
        <sz val="10"/>
        <color rgb="FF000000"/>
        <rFont val="JRFonts"/>
        <charset val="134"/>
      </rPr>
      <t>21-09-2026 17:55</t>
    </r>
  </si>
  <si>
    <r>
      <rPr>
        <sz val="10"/>
        <color rgb="FF000000"/>
        <rFont val="JRFonts"/>
        <charset val="134"/>
      </rPr>
      <t>17-09-2026 10:37</t>
    </r>
  </si>
  <si>
    <t>24248</t>
  </si>
  <si>
    <r>
      <rPr>
        <sz val="10"/>
        <color rgb="FF0000FF"/>
        <rFont val="JRFonts"/>
        <charset val="134"/>
      </rPr>
      <t>24249</t>
    </r>
  </si>
  <si>
    <r>
      <rPr>
        <sz val="10"/>
        <color rgb="FF000000"/>
        <rFont val="JRFonts"/>
        <charset val="134"/>
      </rPr>
      <t>17-09-2026 14:42</t>
    </r>
  </si>
  <si>
    <r>
      <rPr>
        <sz val="10"/>
        <color rgb="FF000000"/>
        <rFont val="JRFonts"/>
        <charset val="134"/>
      </rPr>
      <t>17-09-2026 10:40</t>
    </r>
  </si>
  <si>
    <r>
      <rPr>
        <sz val="10"/>
        <color rgb="FF0000FF"/>
        <rFont val="JRFonts"/>
        <charset val="134"/>
      </rPr>
      <t>24251</t>
    </r>
  </si>
  <si>
    <r>
      <rPr>
        <sz val="10"/>
        <color rgb="FF000000"/>
        <rFont val="JRFonts"/>
        <charset val="134"/>
      </rPr>
      <t>17-09-2026 10:35</t>
    </r>
  </si>
  <si>
    <r>
      <rPr>
        <sz val="10"/>
        <color rgb="FF000000"/>
        <rFont val="JRFonts"/>
        <charset val="134"/>
      </rPr>
      <t>18-09-2026 11:04</t>
    </r>
  </si>
  <si>
    <r>
      <rPr>
        <sz val="10"/>
        <color rgb="FF000000"/>
        <rFont val="JRFonts"/>
        <charset val="134"/>
      </rPr>
      <t>17-09-2026 11:00</t>
    </r>
  </si>
  <si>
    <t>24251</t>
  </si>
  <si>
    <r>
      <rPr>
        <sz val="10"/>
        <color rgb="FF0000FF"/>
        <rFont val="JRFonts"/>
        <charset val="134"/>
      </rPr>
      <t>24252</t>
    </r>
  </si>
  <si>
    <r>
      <rPr>
        <sz val="10"/>
        <color rgb="FF000000"/>
        <rFont val="JRFonts"/>
        <charset val="134"/>
      </rPr>
      <t>17-09-2026 10:41</t>
    </r>
  </si>
  <si>
    <r>
      <rPr>
        <sz val="10"/>
        <color rgb="FF000000"/>
        <rFont val="JRFonts"/>
        <charset val="134"/>
      </rPr>
      <t>21-09-2026 10:45</t>
    </r>
  </si>
  <si>
    <r>
      <rPr>
        <sz val="10"/>
        <color rgb="FF000000"/>
        <rFont val="JRFonts"/>
        <charset val="134"/>
      </rPr>
      <t>17-09-2026 17:25</t>
    </r>
  </si>
  <si>
    <r>
      <rPr>
        <sz val="10"/>
        <color rgb="FF0000FF"/>
        <rFont val="JRFonts"/>
        <charset val="134"/>
      </rPr>
      <t>24255</t>
    </r>
  </si>
  <si>
    <r>
      <rPr>
        <sz val="10"/>
        <color rgb="FF000000"/>
        <rFont val="JRFonts"/>
        <charset val="134"/>
      </rPr>
      <t>17-09-2026 11:54</t>
    </r>
  </si>
  <si>
    <r>
      <rPr>
        <sz val="10"/>
        <color rgb="FF000000"/>
        <rFont val="JRFonts"/>
        <charset val="134"/>
      </rPr>
      <t>17-09-2026 12:29</t>
    </r>
  </si>
  <si>
    <r>
      <rPr>
        <sz val="10"/>
        <color rgb="FF000000"/>
        <rFont val="JRFonts"/>
        <charset val="134"/>
      </rPr>
      <t>17-09-2026 12:04</t>
    </r>
  </si>
  <si>
    <r>
      <rPr>
        <sz val="10"/>
        <color rgb="FF0000FF"/>
        <rFont val="JRFonts"/>
        <charset val="134"/>
      </rPr>
      <t>24257</t>
    </r>
  </si>
  <si>
    <r>
      <rPr>
        <sz val="10"/>
        <color rgb="FF000000"/>
        <rFont val="JRFonts"/>
        <charset val="134"/>
      </rPr>
      <t>17-09-2026 12:15</t>
    </r>
  </si>
  <si>
    <r>
      <rPr>
        <sz val="10"/>
        <color rgb="FF000000"/>
        <rFont val="JRFonts"/>
        <charset val="134"/>
      </rPr>
      <t>18-09-2026 14:13</t>
    </r>
  </si>
  <si>
    <r>
      <rPr>
        <sz val="10"/>
        <color rgb="FF000000"/>
        <rFont val="JRFonts"/>
        <charset val="134"/>
      </rPr>
      <t>17-09-2026 12:38</t>
    </r>
  </si>
  <si>
    <r>
      <rPr>
        <sz val="10"/>
        <color rgb="FF0000FF"/>
        <rFont val="JRFonts"/>
        <charset val="134"/>
      </rPr>
      <t>24258</t>
    </r>
  </si>
  <si>
    <r>
      <rPr>
        <sz val="10"/>
        <color rgb="FF000000"/>
        <rFont val="JRFonts"/>
        <charset val="134"/>
      </rPr>
      <t>17-09-2026 12:24</t>
    </r>
  </si>
  <si>
    <r>
      <rPr>
        <sz val="10"/>
        <color rgb="FF000000"/>
        <rFont val="JRFonts"/>
        <charset val="134"/>
      </rPr>
      <t>21-09-2026 11:35</t>
    </r>
  </si>
  <si>
    <r>
      <rPr>
        <sz val="10"/>
        <color rgb="FF000000"/>
        <rFont val="JRFonts"/>
        <charset val="134"/>
      </rPr>
      <t>17-09-2026 12:39</t>
    </r>
  </si>
  <si>
    <t>24258</t>
  </si>
  <si>
    <r>
      <rPr>
        <sz val="10"/>
        <color rgb="FF0000FF"/>
        <rFont val="JRFonts"/>
        <charset val="134"/>
      </rPr>
      <t>24259</t>
    </r>
  </si>
  <si>
    <r>
      <rPr>
        <sz val="10"/>
        <color rgb="FF000000"/>
        <rFont val="JRFonts"/>
        <charset val="134"/>
      </rPr>
      <t>17-09-2026 12:27</t>
    </r>
  </si>
  <si>
    <r>
      <rPr>
        <sz val="10"/>
        <color rgb="FF000000"/>
        <rFont val="JRFonts"/>
        <charset val="134"/>
      </rPr>
      <t>17-09-2026 12:37</t>
    </r>
  </si>
  <si>
    <r>
      <rPr>
        <sz val="10"/>
        <color rgb="FF0000FF"/>
        <rFont val="JRFonts"/>
        <charset val="134"/>
      </rPr>
      <t>24260</t>
    </r>
  </si>
  <si>
    <r>
      <rPr>
        <sz val="10"/>
        <color rgb="FF000000"/>
        <rFont val="JRFonts"/>
        <charset val="134"/>
      </rPr>
      <t>17-09-2026 12:33</t>
    </r>
  </si>
  <si>
    <r>
      <rPr>
        <sz val="10"/>
        <color rgb="FF000000"/>
        <rFont val="JRFonts"/>
        <charset val="134"/>
      </rPr>
      <t>17-09-2026 12:32</t>
    </r>
  </si>
  <si>
    <r>
      <rPr>
        <sz val="10"/>
        <color rgb="FF0000FF"/>
        <rFont val="JRFonts"/>
        <charset val="134"/>
      </rPr>
      <t>24262</t>
    </r>
  </si>
  <si>
    <r>
      <rPr>
        <sz val="10"/>
        <color rgb="FF000000"/>
        <rFont val="JRFonts"/>
        <charset val="134"/>
      </rPr>
      <t>17-09-2026 12:58</t>
    </r>
  </si>
  <si>
    <r>
      <rPr>
        <sz val="10"/>
        <color rgb="FF000000"/>
        <rFont val="JRFonts"/>
        <charset val="134"/>
      </rPr>
      <t>21-09-2026 12:21</t>
    </r>
  </si>
  <si>
    <r>
      <rPr>
        <sz val="10"/>
        <color rgb="FF000000"/>
        <rFont val="JRFonts"/>
        <charset val="134"/>
      </rPr>
      <t>17-09-2026 13:02</t>
    </r>
  </si>
  <si>
    <t>24262</t>
  </si>
  <si>
    <r>
      <rPr>
        <sz val="10"/>
        <color rgb="FF0000FF"/>
        <rFont val="JRFonts"/>
        <charset val="134"/>
      </rPr>
      <t>24265</t>
    </r>
  </si>
  <si>
    <r>
      <rPr>
        <sz val="10"/>
        <color rgb="FF000000"/>
        <rFont val="JRFonts"/>
        <charset val="134"/>
      </rPr>
      <t>17-09-2026 13:34</t>
    </r>
  </si>
  <si>
    <r>
      <rPr>
        <sz val="10"/>
        <color rgb="FF000000"/>
        <rFont val="JRFonts"/>
        <charset val="134"/>
      </rPr>
      <t>24-09-2026 16:25</t>
    </r>
  </si>
  <si>
    <r>
      <rPr>
        <sz val="10"/>
        <color rgb="FF000000"/>
        <rFont val="JRFonts"/>
        <charset val="134"/>
      </rPr>
      <t>23-09-2026 15:43</t>
    </r>
  </si>
  <si>
    <r>
      <rPr>
        <sz val="10"/>
        <color rgb="FF0000FF"/>
        <rFont val="JRFonts"/>
        <charset val="134"/>
      </rPr>
      <t>24267</t>
    </r>
  </si>
  <si>
    <r>
      <rPr>
        <sz val="10"/>
        <color rgb="FF000000"/>
        <rFont val="JRFonts"/>
        <charset val="134"/>
      </rPr>
      <t>17-09-2026 13:59</t>
    </r>
  </si>
  <si>
    <r>
      <rPr>
        <sz val="10"/>
        <color rgb="FF000000"/>
        <rFont val="JRFonts"/>
        <charset val="134"/>
      </rPr>
      <t>18-09-2026 16:03</t>
    </r>
  </si>
  <si>
    <r>
      <rPr>
        <sz val="10"/>
        <color rgb="FF000000"/>
        <rFont val="JRFonts"/>
        <charset val="134"/>
      </rPr>
      <t>17-09-2026 14:07</t>
    </r>
  </si>
  <si>
    <r>
      <rPr>
        <sz val="10"/>
        <color rgb="FF0000FF"/>
        <rFont val="JRFonts"/>
        <charset val="134"/>
      </rPr>
      <t>24268</t>
    </r>
  </si>
  <si>
    <r>
      <rPr>
        <sz val="10"/>
        <color rgb="FF000000"/>
        <rFont val="JRFonts"/>
        <charset val="134"/>
      </rPr>
      <t>17-09-2026 14:08</t>
    </r>
  </si>
  <si>
    <r>
      <rPr>
        <sz val="10"/>
        <color rgb="FF000000"/>
        <rFont val="JRFonts"/>
        <charset val="134"/>
      </rPr>
      <t>18-09-2026 10:56</t>
    </r>
  </si>
  <si>
    <r>
      <rPr>
        <sz val="10"/>
        <color rgb="FF000000"/>
        <rFont val="JRFonts"/>
        <charset val="134"/>
      </rPr>
      <t>17-09-2026 14:20</t>
    </r>
  </si>
  <si>
    <r>
      <rPr>
        <sz val="10"/>
        <color rgb="FF0000FF"/>
        <rFont val="JRFonts"/>
        <charset val="134"/>
      </rPr>
      <t>24270</t>
    </r>
  </si>
  <si>
    <r>
      <rPr>
        <sz val="10"/>
        <color rgb="FF000000"/>
        <rFont val="JRFonts"/>
        <charset val="134"/>
      </rPr>
      <t>17-09-2026 14:23</t>
    </r>
  </si>
  <si>
    <r>
      <rPr>
        <sz val="10"/>
        <color rgb="FF000000"/>
        <rFont val="JRFonts"/>
        <charset val="134"/>
      </rPr>
      <t>17-09-2026 17:13</t>
    </r>
  </si>
  <si>
    <r>
      <rPr>
        <sz val="10"/>
        <color rgb="FF000000"/>
        <rFont val="JRFonts"/>
        <charset val="134"/>
      </rPr>
      <t>17-09-2026 15:07</t>
    </r>
  </si>
  <si>
    <r>
      <rPr>
        <sz val="10"/>
        <color rgb="FF0000FF"/>
        <rFont val="JRFonts"/>
        <charset val="134"/>
      </rPr>
      <t>24271</t>
    </r>
  </si>
  <si>
    <r>
      <rPr>
        <sz val="10"/>
        <color rgb="FF000000"/>
        <rFont val="JRFonts"/>
        <charset val="134"/>
      </rPr>
      <t>17-09-2026 15:00</t>
    </r>
  </si>
  <si>
    <r>
      <rPr>
        <sz val="10"/>
        <color rgb="FF000000"/>
        <rFont val="JRFonts"/>
        <charset val="134"/>
      </rPr>
      <t>17-09-2026 15:43</t>
    </r>
  </si>
  <si>
    <r>
      <rPr>
        <sz val="10"/>
        <color rgb="FF000000"/>
        <rFont val="JRFonts"/>
        <charset val="134"/>
      </rPr>
      <t>17-09-2026 15:15</t>
    </r>
  </si>
  <si>
    <r>
      <rPr>
        <sz val="10"/>
        <color rgb="FF0000FF"/>
        <rFont val="JRFonts"/>
        <charset val="134"/>
      </rPr>
      <t>24272</t>
    </r>
  </si>
  <si>
    <r>
      <rPr>
        <sz val="10"/>
        <color rgb="FF000000"/>
        <rFont val="JRFonts"/>
        <charset val="134"/>
      </rPr>
      <t>17-09-2026 15:24</t>
    </r>
  </si>
  <si>
    <r>
      <rPr>
        <sz val="10"/>
        <color rgb="FF000000"/>
        <rFont val="JRFonts"/>
        <charset val="134"/>
      </rPr>
      <t>21-09-2026 14:35</t>
    </r>
  </si>
  <si>
    <r>
      <rPr>
        <sz val="10"/>
        <color rgb="FF000000"/>
        <rFont val="JRFonts"/>
        <charset val="134"/>
      </rPr>
      <t>17-09-2026 15:27</t>
    </r>
  </si>
  <si>
    <t>24272</t>
  </si>
  <si>
    <r>
      <rPr>
        <sz val="10"/>
        <color rgb="FF0000FF"/>
        <rFont val="JRFonts"/>
        <charset val="134"/>
      </rPr>
      <t>24273</t>
    </r>
  </si>
  <si>
    <r>
      <rPr>
        <sz val="10"/>
        <color rgb="FF000000"/>
        <rFont val="JRFonts"/>
        <charset val="134"/>
      </rPr>
      <t>17-09-2026 15:42</t>
    </r>
  </si>
  <si>
    <r>
      <rPr>
        <sz val="10"/>
        <color rgb="FF000000"/>
        <rFont val="JRFonts"/>
        <charset val="134"/>
      </rPr>
      <t>17-09-2026 16:41</t>
    </r>
  </si>
  <si>
    <r>
      <rPr>
        <sz val="10"/>
        <color rgb="FF000000"/>
        <rFont val="JRFonts"/>
        <charset val="134"/>
      </rPr>
      <t>17-09-2026 15:47</t>
    </r>
  </si>
  <si>
    <r>
      <rPr>
        <sz val="10"/>
        <color rgb="FF0000FF"/>
        <rFont val="JRFonts"/>
        <charset val="134"/>
      </rPr>
      <t>24274</t>
    </r>
  </si>
  <si>
    <r>
      <rPr>
        <sz val="10"/>
        <color rgb="FF000000"/>
        <rFont val="JRFonts"/>
        <charset val="134"/>
      </rPr>
      <t>17-09-2026 16:19</t>
    </r>
  </si>
  <si>
    <r>
      <rPr>
        <sz val="10"/>
        <color rgb="FF000000"/>
        <rFont val="JRFonts"/>
        <charset val="134"/>
      </rPr>
      <t>18-09-2026 17:11</t>
    </r>
  </si>
  <si>
    <r>
      <rPr>
        <sz val="10"/>
        <color rgb="FF000000"/>
        <rFont val="JRFonts"/>
        <charset val="134"/>
      </rPr>
      <t>17-09-2026 16:24</t>
    </r>
  </si>
  <si>
    <r>
      <rPr>
        <sz val="10"/>
        <color rgb="FF0000FF"/>
        <rFont val="JRFonts"/>
        <charset val="134"/>
      </rPr>
      <t>24278</t>
    </r>
  </si>
  <si>
    <r>
      <rPr>
        <sz val="10"/>
        <color rgb="FF000000"/>
        <rFont val="JRFonts"/>
        <charset val="134"/>
      </rPr>
      <t>17-09-2026 16:43</t>
    </r>
  </si>
  <si>
    <r>
      <rPr>
        <sz val="10"/>
        <color rgb="FF000000"/>
        <rFont val="JRFonts"/>
        <charset val="134"/>
      </rPr>
      <t>18-09-2026 10:55</t>
    </r>
  </si>
  <si>
    <r>
      <rPr>
        <sz val="10"/>
        <color rgb="FF000000"/>
        <rFont val="JRFonts"/>
        <charset val="134"/>
      </rPr>
      <t>17-09-2026 16:50</t>
    </r>
  </si>
  <si>
    <r>
      <rPr>
        <sz val="10"/>
        <color rgb="FF0000FF"/>
        <rFont val="JRFonts"/>
        <charset val="134"/>
      </rPr>
      <t>24279</t>
    </r>
  </si>
  <si>
    <r>
      <rPr>
        <sz val="10"/>
        <color rgb="FF000000"/>
        <rFont val="JRFonts"/>
        <charset val="134"/>
      </rPr>
      <t>17-09-2026 16:46</t>
    </r>
  </si>
  <si>
    <r>
      <rPr>
        <sz val="10"/>
        <color rgb="FF000000"/>
        <rFont val="JRFonts"/>
        <charset val="134"/>
      </rPr>
      <t>17-09-2026 17:35</t>
    </r>
  </si>
  <si>
    <r>
      <rPr>
        <sz val="10"/>
        <color rgb="FF000000"/>
        <rFont val="JRFonts"/>
        <charset val="134"/>
      </rPr>
      <t>17-09-2026 17:14</t>
    </r>
  </si>
  <si>
    <r>
      <rPr>
        <sz val="10"/>
        <color rgb="FF0000FF"/>
        <rFont val="JRFonts"/>
        <charset val="134"/>
      </rPr>
      <t>24280</t>
    </r>
  </si>
  <si>
    <r>
      <rPr>
        <sz val="10"/>
        <color rgb="FF000000"/>
        <rFont val="JRFonts"/>
        <charset val="134"/>
      </rPr>
      <t>17-09-2026 16:58</t>
    </r>
  </si>
  <si>
    <r>
      <rPr>
        <sz val="10"/>
        <color rgb="FF000000"/>
        <rFont val="JRFonts"/>
        <charset val="134"/>
      </rPr>
      <t>17-09-2026 17:15</t>
    </r>
  </si>
  <si>
    <t>24280</t>
  </si>
  <si>
    <r>
      <rPr>
        <sz val="10"/>
        <color rgb="FF0000FF"/>
        <rFont val="JRFonts"/>
        <charset val="134"/>
      </rPr>
      <t>24281</t>
    </r>
  </si>
  <si>
    <r>
      <rPr>
        <sz val="10"/>
        <color rgb="FF000000"/>
        <rFont val="JRFonts"/>
        <charset val="134"/>
      </rPr>
      <t>17-09-2026 17:01</t>
    </r>
  </si>
  <si>
    <r>
      <rPr>
        <sz val="10"/>
        <color rgb="FF000000"/>
        <rFont val="JRFonts"/>
        <charset val="134"/>
      </rPr>
      <t>18-09-2026 17:30</t>
    </r>
  </si>
  <si>
    <r>
      <rPr>
        <sz val="10"/>
        <color rgb="FF000000"/>
        <rFont val="JRFonts"/>
        <charset val="134"/>
      </rPr>
      <t>17-09-2026 17:17</t>
    </r>
  </si>
  <si>
    <r>
      <rPr>
        <sz val="10"/>
        <color rgb="FF0000FF"/>
        <rFont val="JRFonts"/>
        <charset val="134"/>
      </rPr>
      <t>24282</t>
    </r>
  </si>
  <si>
    <r>
      <rPr>
        <sz val="10"/>
        <color rgb="FF000000"/>
        <rFont val="JRFonts"/>
        <charset val="134"/>
      </rPr>
      <t>17-09-2026 17:04</t>
    </r>
  </si>
  <si>
    <r>
      <rPr>
        <sz val="10"/>
        <color rgb="FF000000"/>
        <rFont val="JRFonts"/>
        <charset val="134"/>
      </rPr>
      <t>17-09-2026 17:20</t>
    </r>
  </si>
  <si>
    <r>
      <rPr>
        <sz val="10"/>
        <color rgb="FF0000FF"/>
        <rFont val="JRFonts"/>
        <charset val="134"/>
      </rPr>
      <t>24283</t>
    </r>
  </si>
  <si>
    <r>
      <rPr>
        <sz val="10"/>
        <color rgb="FF000000"/>
        <rFont val="JRFonts"/>
        <charset val="134"/>
      </rPr>
      <t>21-09-2026 11:49</t>
    </r>
  </si>
  <si>
    <r>
      <rPr>
        <sz val="10"/>
        <color rgb="FF000000"/>
        <rFont val="JRFonts"/>
        <charset val="134"/>
      </rPr>
      <t>17-09-2026 17:36</t>
    </r>
  </si>
  <si>
    <r>
      <rPr>
        <sz val="10"/>
        <color rgb="FF0000FF"/>
        <rFont val="JRFonts"/>
        <charset val="134"/>
      </rPr>
      <t>24284</t>
    </r>
  </si>
  <si>
    <r>
      <rPr>
        <sz val="10"/>
        <color rgb="FF000000"/>
        <rFont val="JRFonts"/>
        <charset val="134"/>
      </rPr>
      <t>21-09-2026 11:50</t>
    </r>
  </si>
  <si>
    <r>
      <rPr>
        <sz val="10"/>
        <color rgb="FF000000"/>
        <rFont val="JRFonts"/>
        <charset val="134"/>
      </rPr>
      <t>17-09-2026 17:43</t>
    </r>
  </si>
  <si>
    <r>
      <rPr>
        <sz val="10"/>
        <color rgb="FF0000FF"/>
        <rFont val="JRFonts"/>
        <charset val="134"/>
      </rPr>
      <t>24285</t>
    </r>
  </si>
  <si>
    <r>
      <rPr>
        <sz val="10"/>
        <color rgb="FF000000"/>
        <rFont val="JRFonts"/>
        <charset val="134"/>
      </rPr>
      <t>17-09-2026 17:44</t>
    </r>
  </si>
  <si>
    <r>
      <rPr>
        <sz val="10"/>
        <color rgb="FF000000"/>
        <rFont val="JRFonts"/>
        <charset val="134"/>
      </rPr>
      <t>18-09-2026 12:23</t>
    </r>
  </si>
  <si>
    <r>
      <rPr>
        <sz val="10"/>
        <color rgb="FF000000"/>
        <rFont val="JRFonts"/>
        <charset val="134"/>
      </rPr>
      <t>17-09-2026 17:51</t>
    </r>
  </si>
  <si>
    <r>
      <rPr>
        <sz val="10"/>
        <color rgb="FF0000FF"/>
        <rFont val="JRFonts"/>
        <charset val="134"/>
      </rPr>
      <t>24287</t>
    </r>
  </si>
  <si>
    <r>
      <rPr>
        <sz val="10"/>
        <color rgb="FF000000"/>
        <rFont val="JRFonts"/>
        <charset val="134"/>
      </rPr>
      <t>17-09-2026 18:02</t>
    </r>
  </si>
  <si>
    <r>
      <rPr>
        <sz val="10"/>
        <color rgb="FF000000"/>
        <rFont val="JRFonts"/>
        <charset val="134"/>
      </rPr>
      <t>17-09-2026 18:53</t>
    </r>
  </si>
  <si>
    <r>
      <rPr>
        <sz val="10"/>
        <color rgb="FF000000"/>
        <rFont val="JRFonts"/>
        <charset val="134"/>
      </rPr>
      <t>17-09-2026 18:32</t>
    </r>
  </si>
  <si>
    <r>
      <rPr>
        <sz val="10"/>
        <color rgb="FF0000FF"/>
        <rFont val="JRFonts"/>
        <charset val="134"/>
      </rPr>
      <t>24290</t>
    </r>
  </si>
  <si>
    <r>
      <rPr>
        <sz val="10"/>
        <color rgb="FF000000"/>
        <rFont val="JRFonts"/>
        <charset val="134"/>
      </rPr>
      <t>17-09-2026 18:23</t>
    </r>
  </si>
  <si>
    <r>
      <rPr>
        <sz val="10"/>
        <color rgb="FF000000"/>
        <rFont val="JRFonts"/>
        <charset val="134"/>
      </rPr>
      <t>22-09-2026 10:40</t>
    </r>
  </si>
  <si>
    <r>
      <rPr>
        <sz val="10"/>
        <color rgb="FF000000"/>
        <rFont val="JRFonts"/>
        <charset val="134"/>
      </rPr>
      <t>18-09-2026 10:21</t>
    </r>
  </si>
  <si>
    <t>24290</t>
  </si>
  <si>
    <r>
      <rPr>
        <sz val="10"/>
        <color rgb="FF0000FF"/>
        <rFont val="JRFonts"/>
        <charset val="134"/>
      </rPr>
      <t>24292</t>
    </r>
  </si>
  <si>
    <r>
      <rPr>
        <sz val="10"/>
        <color rgb="FF000000"/>
        <rFont val="JRFonts"/>
        <charset val="134"/>
      </rPr>
      <t>18-09-2026 10:13</t>
    </r>
  </si>
  <si>
    <r>
      <rPr>
        <sz val="10"/>
        <color rgb="FF000000"/>
        <rFont val="JRFonts"/>
        <charset val="134"/>
      </rPr>
      <t>18-09-2026 10:29</t>
    </r>
  </si>
  <si>
    <r>
      <rPr>
        <sz val="10"/>
        <color rgb="FF000000"/>
        <rFont val="JRFonts"/>
        <charset val="134"/>
      </rPr>
      <t>18-09-2026 10:19</t>
    </r>
  </si>
  <si>
    <r>
      <rPr>
        <sz val="10"/>
        <color rgb="FF0000FF"/>
        <rFont val="JRFonts"/>
        <charset val="134"/>
      </rPr>
      <t>24293</t>
    </r>
  </si>
  <si>
    <r>
      <rPr>
        <sz val="10"/>
        <color rgb="FF000000"/>
        <rFont val="JRFonts"/>
        <charset val="134"/>
      </rPr>
      <t>18-09-2026 10:16</t>
    </r>
  </si>
  <si>
    <r>
      <rPr>
        <sz val="10"/>
        <color rgb="FF000000"/>
        <rFont val="JRFonts"/>
        <charset val="134"/>
      </rPr>
      <t>18-09-2026 13:00</t>
    </r>
  </si>
  <si>
    <r>
      <rPr>
        <sz val="10"/>
        <color rgb="FF000000"/>
        <rFont val="JRFonts"/>
        <charset val="134"/>
      </rPr>
      <t>18-09-2026 10:18</t>
    </r>
  </si>
  <si>
    <r>
      <rPr>
        <sz val="10"/>
        <color rgb="FF0000FF"/>
        <rFont val="JRFonts"/>
        <charset val="134"/>
      </rPr>
      <t>24294</t>
    </r>
  </si>
  <si>
    <r>
      <rPr>
        <sz val="10"/>
        <color rgb="FF000000"/>
        <rFont val="JRFonts"/>
        <charset val="134"/>
      </rPr>
      <t>18-09-2026 10:22</t>
    </r>
  </si>
  <si>
    <r>
      <rPr>
        <sz val="10"/>
        <color rgb="FF000000"/>
        <rFont val="JRFonts"/>
        <charset val="134"/>
      </rPr>
      <t>22-09-2026 17:52</t>
    </r>
  </si>
  <si>
    <r>
      <rPr>
        <sz val="10"/>
        <color rgb="FF000000"/>
        <rFont val="JRFonts"/>
        <charset val="134"/>
      </rPr>
      <t>22-09-2026 10:49</t>
    </r>
  </si>
  <si>
    <r>
      <rPr>
        <sz val="10"/>
        <color rgb="FF0000FF"/>
        <rFont val="JRFonts"/>
        <charset val="134"/>
      </rPr>
      <t>24295</t>
    </r>
  </si>
  <si>
    <r>
      <rPr>
        <sz val="10"/>
        <color rgb="FF000000"/>
        <rFont val="JRFonts"/>
        <charset val="134"/>
      </rPr>
      <t>18-09-2026 11:14</t>
    </r>
  </si>
  <si>
    <r>
      <rPr>
        <sz val="10"/>
        <color rgb="FF000000"/>
        <rFont val="JRFonts"/>
        <charset val="134"/>
      </rPr>
      <t>21-09-2026 14:41</t>
    </r>
  </si>
  <si>
    <r>
      <rPr>
        <sz val="10"/>
        <color rgb="FF000000"/>
        <rFont val="JRFonts"/>
        <charset val="134"/>
      </rPr>
      <t>18-09-2026 11:19</t>
    </r>
  </si>
  <si>
    <r>
      <rPr>
        <sz val="10"/>
        <color rgb="FF0000FF"/>
        <rFont val="JRFonts"/>
        <charset val="134"/>
      </rPr>
      <t>24296</t>
    </r>
  </si>
  <si>
    <r>
      <rPr>
        <sz val="10"/>
        <color rgb="FF000000"/>
        <rFont val="JRFonts"/>
        <charset val="134"/>
      </rPr>
      <t>18-09-2026 11:48</t>
    </r>
  </si>
  <si>
    <r>
      <rPr>
        <sz val="10"/>
        <color rgb="FF000000"/>
        <rFont val="JRFonts"/>
        <charset val="134"/>
      </rPr>
      <t>21-09-2026 10:33</t>
    </r>
  </si>
  <si>
    <r>
      <rPr>
        <sz val="10"/>
        <color rgb="FF000000"/>
        <rFont val="JRFonts"/>
        <charset val="134"/>
      </rPr>
      <t>18-09-2026 11:54</t>
    </r>
  </si>
  <si>
    <r>
      <rPr>
        <sz val="10"/>
        <color rgb="FF0000FF"/>
        <rFont val="JRFonts"/>
        <charset val="134"/>
      </rPr>
      <t>24297</t>
    </r>
  </si>
  <si>
    <r>
      <rPr>
        <sz val="10"/>
        <color rgb="FF000000"/>
        <rFont val="JRFonts"/>
        <charset val="134"/>
      </rPr>
      <t>18-09-2026 12:12</t>
    </r>
  </si>
  <si>
    <r>
      <rPr>
        <sz val="10"/>
        <color rgb="FF000000"/>
        <rFont val="JRFonts"/>
        <charset val="134"/>
      </rPr>
      <t>18-09-2026 12:25</t>
    </r>
  </si>
  <si>
    <r>
      <rPr>
        <sz val="10"/>
        <color rgb="FF000000"/>
        <rFont val="JRFonts"/>
        <charset val="134"/>
      </rPr>
      <t>18-09-2026 12:15</t>
    </r>
  </si>
  <si>
    <r>
      <rPr>
        <sz val="10"/>
        <color rgb="FF0000FF"/>
        <rFont val="JRFonts"/>
        <charset val="134"/>
      </rPr>
      <t>24299</t>
    </r>
  </si>
  <si>
    <r>
      <rPr>
        <sz val="10"/>
        <color rgb="FF000000"/>
        <rFont val="JRFonts"/>
        <charset val="134"/>
      </rPr>
      <t>18-09-2026 13:04</t>
    </r>
  </si>
  <si>
    <r>
      <rPr>
        <sz val="10"/>
        <color rgb="FF000000"/>
        <rFont val="JRFonts"/>
        <charset val="134"/>
      </rPr>
      <t>18-09-2026 14:14</t>
    </r>
  </si>
  <si>
    <r>
      <rPr>
        <sz val="10"/>
        <color rgb="FF000000"/>
        <rFont val="JRFonts"/>
        <charset val="134"/>
      </rPr>
      <t>18-09-2026 13:57</t>
    </r>
  </si>
  <si>
    <r>
      <rPr>
        <sz val="10"/>
        <color rgb="FF0000FF"/>
        <rFont val="JRFonts"/>
        <charset val="134"/>
      </rPr>
      <t>24302</t>
    </r>
  </si>
  <si>
    <r>
      <rPr>
        <sz val="10"/>
        <color rgb="FF000000"/>
        <rFont val="JRFonts"/>
        <charset val="134"/>
      </rPr>
      <t>18-09-2026 14:53</t>
    </r>
  </si>
  <si>
    <r>
      <rPr>
        <sz val="10"/>
        <color rgb="FF000000"/>
        <rFont val="JRFonts"/>
        <charset val="134"/>
      </rPr>
      <t>18-09-2026 15:01</t>
    </r>
  </si>
  <si>
    <r>
      <rPr>
        <sz val="10"/>
        <color rgb="FF0000FF"/>
        <rFont val="JRFonts"/>
        <charset val="134"/>
      </rPr>
      <t>24304</t>
    </r>
  </si>
  <si>
    <r>
      <rPr>
        <sz val="10"/>
        <color rgb="FF000000"/>
        <rFont val="JRFonts"/>
        <charset val="134"/>
      </rPr>
      <t>18-09-2026 15:18</t>
    </r>
  </si>
  <si>
    <r>
      <rPr>
        <sz val="10"/>
        <color rgb="FF000000"/>
        <rFont val="JRFonts"/>
        <charset val="134"/>
      </rPr>
      <t>18-09-2026 17:50</t>
    </r>
  </si>
  <si>
    <r>
      <rPr>
        <sz val="10"/>
        <color rgb="FF000000"/>
        <rFont val="JRFonts"/>
        <charset val="134"/>
      </rPr>
      <t>18-09-2026 15:21</t>
    </r>
  </si>
  <si>
    <r>
      <rPr>
        <sz val="10"/>
        <color rgb="FF0000FF"/>
        <rFont val="JRFonts"/>
        <charset val="134"/>
      </rPr>
      <t>24305</t>
    </r>
  </si>
  <si>
    <r>
      <rPr>
        <sz val="10"/>
        <color rgb="FF000000"/>
        <rFont val="JRFonts"/>
        <charset val="134"/>
      </rPr>
      <t>18-09-2026 15:33</t>
    </r>
  </si>
  <si>
    <r>
      <rPr>
        <sz val="10"/>
        <color rgb="FF000000"/>
        <rFont val="JRFonts"/>
        <charset val="134"/>
      </rPr>
      <t>18-09-2026 17:12</t>
    </r>
  </si>
  <si>
    <r>
      <rPr>
        <sz val="10"/>
        <color rgb="FF000000"/>
        <rFont val="JRFonts"/>
        <charset val="134"/>
      </rPr>
      <t>18-09-2026 16:29</t>
    </r>
  </si>
  <si>
    <r>
      <rPr>
        <sz val="10"/>
        <color rgb="FF0000FF"/>
        <rFont val="JRFonts"/>
        <charset val="134"/>
      </rPr>
      <t>24306</t>
    </r>
  </si>
  <si>
    <r>
      <rPr>
        <sz val="10"/>
        <color rgb="FF000000"/>
        <rFont val="JRFonts"/>
        <charset val="134"/>
      </rPr>
      <t>18-09-2026 15:48</t>
    </r>
  </si>
  <si>
    <r>
      <rPr>
        <sz val="10"/>
        <color rgb="FF000000"/>
        <rFont val="JRFonts"/>
        <charset val="134"/>
      </rPr>
      <t>Awaiting User Response</t>
    </r>
  </si>
  <si>
    <r>
      <rPr>
        <sz val="10"/>
        <color rgb="FF000000"/>
        <rFont val="JRFonts"/>
        <charset val="134"/>
      </rPr>
      <t>21-09-2026 11:06</t>
    </r>
  </si>
  <si>
    <r>
      <rPr>
        <sz val="10"/>
        <color rgb="FF0000FF"/>
        <rFont val="JRFonts"/>
        <charset val="134"/>
      </rPr>
      <t>24308</t>
    </r>
  </si>
  <si>
    <r>
      <rPr>
        <sz val="10"/>
        <color rgb="FF000000"/>
        <rFont val="JRFonts"/>
        <charset val="134"/>
      </rPr>
      <t>18-09-2026 17:29</t>
    </r>
  </si>
  <si>
    <r>
      <rPr>
        <sz val="10"/>
        <color rgb="FF000000"/>
        <rFont val="JRFonts"/>
        <charset val="134"/>
      </rPr>
      <t>21-09-2026 11:59</t>
    </r>
  </si>
  <si>
    <r>
      <rPr>
        <sz val="10"/>
        <color rgb="FF000000"/>
        <rFont val="JRFonts"/>
        <charset val="134"/>
      </rPr>
      <t>21-09-2026 10:42</t>
    </r>
  </si>
  <si>
    <r>
      <rPr>
        <sz val="10"/>
        <color rgb="FF0000FF"/>
        <rFont val="JRFonts"/>
        <charset val="134"/>
      </rPr>
      <t>24309</t>
    </r>
  </si>
  <si>
    <r>
      <rPr>
        <sz val="10"/>
        <color rgb="FF000000"/>
        <rFont val="JRFonts"/>
        <charset val="134"/>
      </rPr>
      <t>18-09-2026 17:32</t>
    </r>
  </si>
  <si>
    <r>
      <rPr>
        <sz val="10"/>
        <color rgb="FF000000"/>
        <rFont val="JRFonts"/>
        <charset val="134"/>
      </rPr>
      <t>21-09-2026 11:14</t>
    </r>
  </si>
  <si>
    <r>
      <rPr>
        <sz val="10"/>
        <color rgb="FF000000"/>
        <rFont val="JRFonts"/>
        <charset val="134"/>
      </rPr>
      <t>21-09-2026 10:49</t>
    </r>
  </si>
  <si>
    <r>
      <rPr>
        <sz val="10"/>
        <color rgb="FF0000FF"/>
        <rFont val="JRFonts"/>
        <charset val="134"/>
      </rPr>
      <t>24312</t>
    </r>
  </si>
  <si>
    <r>
      <rPr>
        <sz val="10"/>
        <color rgb="FF000000"/>
        <rFont val="JRFonts"/>
        <charset val="134"/>
      </rPr>
      <t>18-09-2026 19:30</t>
    </r>
  </si>
  <si>
    <r>
      <rPr>
        <sz val="10"/>
        <color rgb="FF000000"/>
        <rFont val="JRFonts"/>
        <charset val="134"/>
      </rPr>
      <t>24-09-2026 14:23</t>
    </r>
  </si>
  <si>
    <r>
      <rPr>
        <sz val="10"/>
        <color rgb="FF000000"/>
        <rFont val="JRFonts"/>
        <charset val="134"/>
      </rPr>
      <t>24-09-2026 10:34</t>
    </r>
  </si>
  <si>
    <r>
      <rPr>
        <sz val="10"/>
        <color rgb="FF0000FF"/>
        <rFont val="JRFonts"/>
        <charset val="134"/>
      </rPr>
      <t>24315</t>
    </r>
  </si>
  <si>
    <r>
      <rPr>
        <sz val="10"/>
        <color rgb="FF000000"/>
        <rFont val="JRFonts"/>
        <charset val="134"/>
      </rPr>
      <t>18-09-2026 19:49</t>
    </r>
  </si>
  <si>
    <r>
      <rPr>
        <sz val="10"/>
        <color rgb="FF000000"/>
        <rFont val="JRFonts"/>
        <charset val="134"/>
      </rPr>
      <t>21-09-2026 12:40</t>
    </r>
  </si>
  <si>
    <r>
      <rPr>
        <sz val="10"/>
        <color rgb="FF000000"/>
        <rFont val="JRFonts"/>
        <charset val="134"/>
      </rPr>
      <t>21-09-2026 10:19</t>
    </r>
  </si>
  <si>
    <r>
      <rPr>
        <sz val="10"/>
        <color rgb="FF0000FF"/>
        <rFont val="JRFonts"/>
        <charset val="134"/>
      </rPr>
      <t>24318</t>
    </r>
  </si>
  <si>
    <r>
      <rPr>
        <sz val="10"/>
        <color rgb="FF000000"/>
        <rFont val="JRFonts"/>
        <charset val="134"/>
      </rPr>
      <t>19-09-2026 10:26</t>
    </r>
  </si>
  <si>
    <r>
      <rPr>
        <sz val="10"/>
        <color rgb="FF000000"/>
        <rFont val="JRFonts"/>
        <charset val="134"/>
      </rPr>
      <t>21-09-2026 10:40</t>
    </r>
  </si>
  <si>
    <r>
      <rPr>
        <sz val="10"/>
        <color rgb="FF000000"/>
        <rFont val="JRFonts"/>
        <charset val="134"/>
      </rPr>
      <t>21-09-2026 10:22</t>
    </r>
  </si>
  <si>
    <r>
      <rPr>
        <sz val="10"/>
        <color rgb="FF0000FF"/>
        <rFont val="JRFonts"/>
        <charset val="134"/>
      </rPr>
      <t>24322</t>
    </r>
  </si>
  <si>
    <r>
      <rPr>
        <sz val="10"/>
        <color rgb="FF000000"/>
        <rFont val="JRFonts"/>
        <charset val="134"/>
      </rPr>
      <t>19-09-2026 11:24</t>
    </r>
  </si>
  <si>
    <r>
      <rPr>
        <sz val="10"/>
        <color rgb="FF000000"/>
        <rFont val="JRFonts"/>
        <charset val="134"/>
      </rPr>
      <t>21-09-2026 10:30</t>
    </r>
  </si>
  <si>
    <r>
      <rPr>
        <sz val="10"/>
        <color rgb="FF000000"/>
        <rFont val="JRFonts"/>
        <charset val="134"/>
      </rPr>
      <t>21-09-2026 10:23</t>
    </r>
  </si>
  <si>
    <r>
      <rPr>
        <sz val="10"/>
        <color rgb="FF0000FF"/>
        <rFont val="JRFonts"/>
        <charset val="134"/>
      </rPr>
      <t>24323</t>
    </r>
  </si>
  <si>
    <r>
      <rPr>
        <sz val="10"/>
        <color rgb="FF000000"/>
        <rFont val="JRFonts"/>
        <charset val="134"/>
      </rPr>
      <t>19-09-2026 11:27</t>
    </r>
  </si>
  <si>
    <r>
      <rPr>
        <sz val="10"/>
        <color rgb="FF000000"/>
        <rFont val="JRFonts"/>
        <charset val="134"/>
      </rPr>
      <t>21-09-2026 10:47</t>
    </r>
  </si>
  <si>
    <r>
      <rPr>
        <sz val="10"/>
        <color rgb="FF0000FF"/>
        <rFont val="JRFonts"/>
        <charset val="134"/>
      </rPr>
      <t>24329</t>
    </r>
  </si>
  <si>
    <r>
      <rPr>
        <sz val="10"/>
        <color rgb="FF000000"/>
        <rFont val="JRFonts"/>
        <charset val="134"/>
      </rPr>
      <t>19-09-2026 12:03</t>
    </r>
  </si>
  <si>
    <r>
      <rPr>
        <sz val="10"/>
        <color rgb="FF000000"/>
        <rFont val="JRFonts"/>
        <charset val="134"/>
      </rPr>
      <t>21-09-2026 10:48</t>
    </r>
  </si>
  <si>
    <r>
      <rPr>
        <sz val="10"/>
        <color rgb="FF0000FF"/>
        <rFont val="JRFonts"/>
        <charset val="134"/>
      </rPr>
      <t>24331</t>
    </r>
  </si>
  <si>
    <r>
      <rPr>
        <sz val="10"/>
        <color rgb="FF000000"/>
        <rFont val="JRFonts"/>
        <charset val="134"/>
      </rPr>
      <t>19-09-2026 12:22</t>
    </r>
  </si>
  <si>
    <r>
      <rPr>
        <sz val="10"/>
        <color rgb="FF000000"/>
        <rFont val="JRFonts"/>
        <charset val="134"/>
      </rPr>
      <t>23-09-2026 14:08</t>
    </r>
  </si>
  <si>
    <r>
      <rPr>
        <sz val="10"/>
        <color rgb="FF000000"/>
        <rFont val="JRFonts"/>
        <charset val="134"/>
      </rPr>
      <t>21-09-2026 10:55</t>
    </r>
  </si>
  <si>
    <t>24331</t>
  </si>
  <si>
    <r>
      <rPr>
        <sz val="10"/>
        <color rgb="FF0000FF"/>
        <rFont val="JRFonts"/>
        <charset val="134"/>
      </rPr>
      <t>24332</t>
    </r>
  </si>
  <si>
    <r>
      <rPr>
        <sz val="10"/>
        <color rgb="FF000000"/>
        <rFont val="JRFonts"/>
        <charset val="134"/>
      </rPr>
      <t>19-09-2026 12:28</t>
    </r>
  </si>
  <si>
    <r>
      <rPr>
        <sz val="10"/>
        <color rgb="FF000000"/>
        <rFont val="JRFonts"/>
        <charset val="134"/>
      </rPr>
      <t>25-09-2026 15:39</t>
    </r>
  </si>
  <si>
    <r>
      <rPr>
        <sz val="10"/>
        <color rgb="FF000000"/>
        <rFont val="JRFonts"/>
        <charset val="134"/>
      </rPr>
      <t>25-09-2026 12:11</t>
    </r>
  </si>
  <si>
    <r>
      <rPr>
        <sz val="10"/>
        <color rgb="FF0000FF"/>
        <rFont val="JRFonts"/>
        <charset val="134"/>
      </rPr>
      <t>24334</t>
    </r>
  </si>
  <si>
    <r>
      <rPr>
        <sz val="10"/>
        <color rgb="FF000000"/>
        <rFont val="JRFonts"/>
        <charset val="134"/>
      </rPr>
      <t>19-09-2026 13:23</t>
    </r>
  </si>
  <si>
    <r>
      <rPr>
        <sz val="10"/>
        <color rgb="FF000000"/>
        <rFont val="JRFonts"/>
        <charset val="134"/>
      </rPr>
      <t>22-09-2026 15:24</t>
    </r>
  </si>
  <si>
    <r>
      <rPr>
        <sz val="10"/>
        <color rgb="FF000000"/>
        <rFont val="JRFonts"/>
        <charset val="134"/>
      </rPr>
      <t>22-09-2026 14:00</t>
    </r>
  </si>
  <si>
    <r>
      <rPr>
        <sz val="10"/>
        <color rgb="FF0000FF"/>
        <rFont val="JRFonts"/>
        <charset val="134"/>
      </rPr>
      <t>24335</t>
    </r>
  </si>
  <si>
    <r>
      <rPr>
        <sz val="10"/>
        <color rgb="FF000000"/>
        <rFont val="JRFonts"/>
        <charset val="134"/>
      </rPr>
      <t>19-09-2026 14:39</t>
    </r>
  </si>
  <si>
    <r>
      <rPr>
        <sz val="10"/>
        <color rgb="FF000000"/>
        <rFont val="JRFonts"/>
        <charset val="134"/>
      </rPr>
      <t>22-09-2026 12:08</t>
    </r>
  </si>
  <si>
    <r>
      <rPr>
        <sz val="10"/>
        <color rgb="FF000000"/>
        <rFont val="JRFonts"/>
        <charset val="134"/>
      </rPr>
      <t>21-09-2026 10:56</t>
    </r>
  </si>
  <si>
    <r>
      <rPr>
        <sz val="10"/>
        <color rgb="FF0000FF"/>
        <rFont val="JRFonts"/>
        <charset val="134"/>
      </rPr>
      <t>24341</t>
    </r>
  </si>
  <si>
    <r>
      <rPr>
        <sz val="10"/>
        <color rgb="FF000000"/>
        <rFont val="JRFonts"/>
        <charset val="134"/>
      </rPr>
      <t>19-09-2026 16:58</t>
    </r>
  </si>
  <si>
    <r>
      <rPr>
        <sz val="10"/>
        <color rgb="FF000000"/>
        <rFont val="JRFonts"/>
        <charset val="134"/>
      </rPr>
      <t>22-09-2026 12:15</t>
    </r>
  </si>
  <si>
    <r>
      <rPr>
        <sz val="10"/>
        <color rgb="FF000000"/>
        <rFont val="JRFonts"/>
        <charset val="134"/>
      </rPr>
      <t>21-09-2026 11:36</t>
    </r>
  </si>
  <si>
    <r>
      <rPr>
        <sz val="10"/>
        <color rgb="FF0000FF"/>
        <rFont val="JRFonts"/>
        <charset val="134"/>
      </rPr>
      <t>24343</t>
    </r>
  </si>
  <si>
    <r>
      <rPr>
        <sz val="10"/>
        <color rgb="FF000000"/>
        <rFont val="JRFonts"/>
        <charset val="134"/>
      </rPr>
      <t>19-09-2026 17:14</t>
    </r>
  </si>
  <si>
    <r>
      <rPr>
        <sz val="10"/>
        <color rgb="FF000000"/>
        <rFont val="JRFonts"/>
        <charset val="134"/>
      </rPr>
      <t>22-09-2026 15:26</t>
    </r>
  </si>
  <si>
    <t>24343</t>
  </si>
  <si>
    <r>
      <rPr>
        <sz val="10"/>
        <color rgb="FF0000FF"/>
        <rFont val="JRFonts"/>
        <charset val="134"/>
      </rPr>
      <t>24345</t>
    </r>
  </si>
  <si>
    <r>
      <rPr>
        <sz val="10"/>
        <color rgb="FF000000"/>
        <rFont val="JRFonts"/>
        <charset val="134"/>
      </rPr>
      <t>19-09-2026 17:32</t>
    </r>
  </si>
  <si>
    <r>
      <rPr>
        <sz val="10"/>
        <color rgb="FF000000"/>
        <rFont val="JRFonts"/>
        <charset val="134"/>
      </rPr>
      <t>22-09-2026 15:33</t>
    </r>
  </si>
  <si>
    <r>
      <rPr>
        <sz val="10"/>
        <color rgb="FF000000"/>
        <rFont val="JRFonts"/>
        <charset val="134"/>
      </rPr>
      <t>21-09-2026 10:57</t>
    </r>
  </si>
  <si>
    <t>24345</t>
  </si>
  <si>
    <r>
      <rPr>
        <sz val="10"/>
        <color rgb="FF0000FF"/>
        <rFont val="JRFonts"/>
        <charset val="134"/>
      </rPr>
      <t>24346</t>
    </r>
  </si>
  <si>
    <r>
      <rPr>
        <sz val="10"/>
        <color rgb="FF000000"/>
        <rFont val="JRFonts"/>
        <charset val="134"/>
      </rPr>
      <t>19-09-2026 17:41</t>
    </r>
  </si>
  <si>
    <r>
      <rPr>
        <sz val="10"/>
        <color rgb="FF000000"/>
        <rFont val="JRFonts"/>
        <charset val="134"/>
      </rPr>
      <t>21-09-2026 12:27</t>
    </r>
  </si>
  <si>
    <r>
      <rPr>
        <sz val="10"/>
        <color rgb="FF000000"/>
        <rFont val="JRFonts"/>
        <charset val="134"/>
      </rPr>
      <t>21-09-2026 11:37</t>
    </r>
  </si>
  <si>
    <r>
      <rPr>
        <sz val="10"/>
        <color rgb="FF0000FF"/>
        <rFont val="JRFonts"/>
        <charset val="134"/>
      </rPr>
      <t>24347</t>
    </r>
  </si>
  <si>
    <r>
      <rPr>
        <sz val="10"/>
        <color rgb="FF000000"/>
        <rFont val="JRFonts"/>
        <charset val="134"/>
      </rPr>
      <t>19-09-2026 18:08</t>
    </r>
  </si>
  <si>
    <r>
      <rPr>
        <sz val="10"/>
        <color rgb="FF000000"/>
        <rFont val="JRFonts"/>
        <charset val="134"/>
      </rPr>
      <t>21-09-2026 10:16</t>
    </r>
  </si>
  <si>
    <r>
      <rPr>
        <sz val="10"/>
        <color rgb="FF0000FF"/>
        <rFont val="JRFonts"/>
        <charset val="134"/>
      </rPr>
      <t>24350</t>
    </r>
  </si>
  <si>
    <r>
      <rPr>
        <sz val="10"/>
        <color rgb="FF000000"/>
        <rFont val="JRFonts"/>
        <charset val="134"/>
      </rPr>
      <t>21-09-2026 10:15</t>
    </r>
  </si>
  <si>
    <r>
      <rPr>
        <sz val="10"/>
        <color rgb="FF000000"/>
        <rFont val="JRFonts"/>
        <charset val="134"/>
      </rPr>
      <t>21-09-2026 10:24</t>
    </r>
  </si>
  <si>
    <r>
      <rPr>
        <sz val="10"/>
        <color rgb="FF0000FF"/>
        <rFont val="JRFonts"/>
        <charset val="134"/>
      </rPr>
      <t>24351</t>
    </r>
  </si>
  <si>
    <r>
      <rPr>
        <sz val="10"/>
        <color rgb="FF000000"/>
        <rFont val="JRFonts"/>
        <charset val="134"/>
      </rPr>
      <t>21-09-2026 10:27</t>
    </r>
  </si>
  <si>
    <r>
      <rPr>
        <sz val="10"/>
        <color rgb="FF000000"/>
        <rFont val="JRFonts"/>
        <charset val="134"/>
      </rPr>
      <t>21-09-2026 12:12</t>
    </r>
  </si>
  <si>
    <r>
      <rPr>
        <sz val="10"/>
        <color rgb="FF000000"/>
        <rFont val="JRFonts"/>
        <charset val="134"/>
      </rPr>
      <t>21-09-2026 10:51</t>
    </r>
  </si>
  <si>
    <r>
      <rPr>
        <sz val="10"/>
        <color rgb="FF0000FF"/>
        <rFont val="JRFonts"/>
        <charset val="134"/>
      </rPr>
      <t>24359</t>
    </r>
  </si>
  <si>
    <r>
      <rPr>
        <sz val="10"/>
        <color rgb="FF000000"/>
        <rFont val="JRFonts"/>
        <charset val="134"/>
      </rPr>
      <t>21-09-2026 11:58</t>
    </r>
  </si>
  <si>
    <r>
      <rPr>
        <sz val="10"/>
        <color rgb="FF000000"/>
        <rFont val="JRFonts"/>
        <charset val="134"/>
      </rPr>
      <t>21-09-2026 18:17</t>
    </r>
  </si>
  <si>
    <r>
      <rPr>
        <sz val="10"/>
        <color rgb="FF000000"/>
        <rFont val="JRFonts"/>
        <charset val="134"/>
      </rPr>
      <t>21-09-2026 12:06</t>
    </r>
  </si>
  <si>
    <r>
      <rPr>
        <sz val="10"/>
        <color rgb="FF0000FF"/>
        <rFont val="JRFonts"/>
        <charset val="134"/>
      </rPr>
      <t>24360</t>
    </r>
  </si>
  <si>
    <r>
      <rPr>
        <sz val="10"/>
        <color rgb="FF000000"/>
        <rFont val="JRFonts"/>
        <charset val="134"/>
      </rPr>
      <t>21-09-2026 12:01</t>
    </r>
  </si>
  <si>
    <r>
      <rPr>
        <sz val="10"/>
        <color rgb="FF000000"/>
        <rFont val="JRFonts"/>
        <charset val="134"/>
      </rPr>
      <t>21-09-2026 14:59</t>
    </r>
  </si>
  <si>
    <r>
      <rPr>
        <sz val="10"/>
        <color rgb="FF000000"/>
        <rFont val="JRFonts"/>
        <charset val="134"/>
      </rPr>
      <t>21-09-2026 12:07</t>
    </r>
  </si>
  <si>
    <r>
      <rPr>
        <sz val="10"/>
        <color rgb="FF0000FF"/>
        <rFont val="JRFonts"/>
        <charset val="134"/>
      </rPr>
      <t>24368</t>
    </r>
  </si>
  <si>
    <r>
      <rPr>
        <sz val="10"/>
        <color rgb="FF000000"/>
        <rFont val="JRFonts"/>
        <charset val="134"/>
      </rPr>
      <t>21-09-2026 13:39</t>
    </r>
  </si>
  <si>
    <r>
      <rPr>
        <sz val="10"/>
        <color rgb="FF000000"/>
        <rFont val="JRFonts"/>
        <charset val="134"/>
      </rPr>
      <t>21-09-2026 14:04</t>
    </r>
  </si>
  <si>
    <t>24368</t>
  </si>
  <si>
    <r>
      <rPr>
        <sz val="10"/>
        <color rgb="FF0000FF"/>
        <rFont val="JRFonts"/>
        <charset val="134"/>
      </rPr>
      <t>24371</t>
    </r>
  </si>
  <si>
    <r>
      <rPr>
        <sz val="10"/>
        <color rgb="FF000000"/>
        <rFont val="JRFonts"/>
        <charset val="134"/>
      </rPr>
      <t>21-09-2026 13:54</t>
    </r>
  </si>
  <si>
    <r>
      <rPr>
        <sz val="10"/>
        <color rgb="FF000000"/>
        <rFont val="JRFonts"/>
        <charset val="134"/>
      </rPr>
      <t>21-09-2026 15:57</t>
    </r>
  </si>
  <si>
    <r>
      <rPr>
        <sz val="10"/>
        <color rgb="FF000000"/>
        <rFont val="JRFonts"/>
        <charset val="134"/>
      </rPr>
      <t>21-09-2026 14:07</t>
    </r>
  </si>
  <si>
    <r>
      <rPr>
        <sz val="10"/>
        <color rgb="FF0000FF"/>
        <rFont val="JRFonts"/>
        <charset val="134"/>
      </rPr>
      <t>24378</t>
    </r>
  </si>
  <si>
    <r>
      <rPr>
        <sz val="10"/>
        <color rgb="FF000000"/>
        <rFont val="JRFonts"/>
        <charset val="134"/>
      </rPr>
      <t>21-09-2026 15:25</t>
    </r>
  </si>
  <si>
    <r>
      <rPr>
        <sz val="10"/>
        <color rgb="FF000000"/>
        <rFont val="JRFonts"/>
        <charset val="134"/>
      </rPr>
      <t>21-09-2026 15:40</t>
    </r>
  </si>
  <si>
    <r>
      <rPr>
        <sz val="10"/>
        <color rgb="FF000000"/>
        <rFont val="JRFonts"/>
        <charset val="134"/>
      </rPr>
      <t>21-09-2026 15:39</t>
    </r>
  </si>
  <si>
    <r>
      <rPr>
        <sz val="10"/>
        <color rgb="FF0000FF"/>
        <rFont val="JRFonts"/>
        <charset val="134"/>
      </rPr>
      <t>24379</t>
    </r>
  </si>
  <si>
    <r>
      <rPr>
        <sz val="10"/>
        <color rgb="FF000000"/>
        <rFont val="JRFonts"/>
        <charset val="134"/>
      </rPr>
      <t>21-09-2026 15:35</t>
    </r>
  </si>
  <si>
    <r>
      <rPr>
        <sz val="10"/>
        <color rgb="FF000000"/>
        <rFont val="JRFonts"/>
        <charset val="134"/>
      </rPr>
      <t>23-09-2026 10:55</t>
    </r>
  </si>
  <si>
    <r>
      <rPr>
        <sz val="10"/>
        <color rgb="FF000000"/>
        <rFont val="JRFonts"/>
        <charset val="134"/>
      </rPr>
      <t>21-09-2026 15:45</t>
    </r>
  </si>
  <si>
    <r>
      <rPr>
        <sz val="10"/>
        <color rgb="FF0000FF"/>
        <rFont val="JRFonts"/>
        <charset val="134"/>
      </rPr>
      <t>24381</t>
    </r>
  </si>
  <si>
    <r>
      <rPr>
        <sz val="10"/>
        <color rgb="FF000000"/>
        <rFont val="JRFonts"/>
        <charset val="134"/>
      </rPr>
      <t>21-09-2026 16:26</t>
    </r>
  </si>
  <si>
    <r>
      <rPr>
        <sz val="10"/>
        <color rgb="FF000000"/>
        <rFont val="JRFonts"/>
        <charset val="134"/>
      </rPr>
      <t>24-09-2026 12:32</t>
    </r>
  </si>
  <si>
    <r>
      <rPr>
        <sz val="10"/>
        <color rgb="FF000000"/>
        <rFont val="JRFonts"/>
        <charset val="134"/>
      </rPr>
      <t>21-09-2026 16:30</t>
    </r>
  </si>
  <si>
    <t>24381</t>
  </si>
  <si>
    <r>
      <rPr>
        <sz val="10"/>
        <color rgb="FF0000FF"/>
        <rFont val="JRFonts"/>
        <charset val="134"/>
      </rPr>
      <t>24384</t>
    </r>
  </si>
  <si>
    <r>
      <rPr>
        <sz val="10"/>
        <color rgb="FF000000"/>
        <rFont val="JRFonts"/>
        <charset val="134"/>
      </rPr>
      <t>21-09-2026 17:03</t>
    </r>
  </si>
  <si>
    <r>
      <rPr>
        <sz val="10"/>
        <color rgb="FF000000"/>
        <rFont val="JRFonts"/>
        <charset val="134"/>
      </rPr>
      <t>22-09-2026 17:55</t>
    </r>
  </si>
  <si>
    <r>
      <rPr>
        <sz val="10"/>
        <color rgb="FF000000"/>
        <rFont val="JRFonts"/>
        <charset val="134"/>
      </rPr>
      <t>22-09-2026 12:56</t>
    </r>
  </si>
  <si>
    <r>
      <rPr>
        <sz val="10"/>
        <color rgb="FF0000FF"/>
        <rFont val="JRFonts"/>
        <charset val="134"/>
      </rPr>
      <t>24387</t>
    </r>
  </si>
  <si>
    <r>
      <rPr>
        <sz val="10"/>
        <color rgb="FF000000"/>
        <rFont val="JRFonts"/>
        <charset val="134"/>
      </rPr>
      <t>21-09-2026 17:40</t>
    </r>
  </si>
  <si>
    <r>
      <rPr>
        <sz val="10"/>
        <color rgb="FF000000"/>
        <rFont val="JRFonts"/>
        <charset val="134"/>
      </rPr>
      <t>21-09-2026 18:21</t>
    </r>
  </si>
  <si>
    <r>
      <rPr>
        <sz val="10"/>
        <color rgb="FF000000"/>
        <rFont val="JRFonts"/>
        <charset val="134"/>
      </rPr>
      <t>21-09-2026 17:47</t>
    </r>
  </si>
  <si>
    <r>
      <rPr>
        <sz val="10"/>
        <color rgb="FF0000FF"/>
        <rFont val="JRFonts"/>
        <charset val="134"/>
      </rPr>
      <t>24388</t>
    </r>
  </si>
  <si>
    <r>
      <rPr>
        <sz val="10"/>
        <color rgb="FF000000"/>
        <rFont val="JRFonts"/>
        <charset val="134"/>
      </rPr>
      <t>21-09-2026 17:43</t>
    </r>
  </si>
  <si>
    <r>
      <rPr>
        <sz val="10"/>
        <color rgb="FF000000"/>
        <rFont val="JRFonts"/>
        <charset val="134"/>
      </rPr>
      <t>28-09-2026 17:10</t>
    </r>
  </si>
  <si>
    <r>
      <rPr>
        <sz val="10"/>
        <color rgb="FF000000"/>
        <rFont val="JRFonts"/>
        <charset val="134"/>
      </rPr>
      <t>21-09-2026 17:48</t>
    </r>
  </si>
  <si>
    <t>24388</t>
  </si>
  <si>
    <r>
      <rPr>
        <sz val="10"/>
        <color rgb="FF0000FF"/>
        <rFont val="JRFonts"/>
        <charset val="134"/>
      </rPr>
      <t>24389</t>
    </r>
  </si>
  <si>
    <r>
      <rPr>
        <sz val="10"/>
        <color rgb="FF000000"/>
        <rFont val="JRFonts"/>
        <charset val="134"/>
      </rPr>
      <t>21-09-2026 17:46</t>
    </r>
  </si>
  <si>
    <r>
      <rPr>
        <sz val="10"/>
        <color rgb="FF000000"/>
        <rFont val="JRFonts"/>
        <charset val="134"/>
      </rPr>
      <t>30-09-2026 16:47</t>
    </r>
  </si>
  <si>
    <r>
      <rPr>
        <sz val="10"/>
        <color rgb="FF000000"/>
        <rFont val="JRFonts"/>
        <charset val="134"/>
      </rPr>
      <t>21-09-2026 17:57</t>
    </r>
  </si>
  <si>
    <t>24389</t>
  </si>
  <si>
    <r>
      <rPr>
        <sz val="10"/>
        <color rgb="FF0000FF"/>
        <rFont val="JRFonts"/>
        <charset val="134"/>
      </rPr>
      <t>24390</t>
    </r>
  </si>
  <si>
    <r>
      <rPr>
        <sz val="10"/>
        <color rgb="FF000000"/>
        <rFont val="JRFonts"/>
        <charset val="134"/>
      </rPr>
      <t>21-09-2026 18:01</t>
    </r>
  </si>
  <si>
    <r>
      <rPr>
        <sz val="10"/>
        <color rgb="FF000000"/>
        <rFont val="JRFonts"/>
        <charset val="134"/>
      </rPr>
      <t>22-09-2026 14:28</t>
    </r>
  </si>
  <si>
    <r>
      <rPr>
        <sz val="10"/>
        <color rgb="FF000000"/>
        <rFont val="JRFonts"/>
        <charset val="134"/>
      </rPr>
      <t>22-09-2026 10:23</t>
    </r>
  </si>
  <si>
    <r>
      <rPr>
        <sz val="10"/>
        <color rgb="FF0000FF"/>
        <rFont val="JRFonts"/>
        <charset val="134"/>
      </rPr>
      <t>24391</t>
    </r>
  </si>
  <si>
    <r>
      <rPr>
        <sz val="10"/>
        <color rgb="FF000000"/>
        <rFont val="JRFonts"/>
        <charset val="134"/>
      </rPr>
      <t>21-09-2026 19:20</t>
    </r>
  </si>
  <si>
    <r>
      <rPr>
        <sz val="10"/>
        <color rgb="FF000000"/>
        <rFont val="JRFonts"/>
        <charset val="134"/>
      </rPr>
      <t>22-09-2026 17:57</t>
    </r>
  </si>
  <si>
    <r>
      <rPr>
        <sz val="10"/>
        <color rgb="FF000000"/>
        <rFont val="JRFonts"/>
        <charset val="134"/>
      </rPr>
      <t>22-09-2026 12:54</t>
    </r>
  </si>
  <si>
    <r>
      <rPr>
        <sz val="10"/>
        <color rgb="FF0000FF"/>
        <rFont val="JRFonts"/>
        <charset val="134"/>
      </rPr>
      <t>24394</t>
    </r>
  </si>
  <si>
    <r>
      <rPr>
        <sz val="10"/>
        <color rgb="FF000000"/>
        <rFont val="JRFonts"/>
        <charset val="134"/>
      </rPr>
      <t>22-09-2026 10:51</t>
    </r>
  </si>
  <si>
    <r>
      <rPr>
        <sz val="10"/>
        <color rgb="FF000000"/>
        <rFont val="JRFonts"/>
        <charset val="134"/>
      </rPr>
      <t>29-09-2026 15:39</t>
    </r>
  </si>
  <si>
    <r>
      <rPr>
        <sz val="10"/>
        <color rgb="FF000000"/>
        <rFont val="JRFonts"/>
        <charset val="134"/>
      </rPr>
      <t>22-09-2026 10:58</t>
    </r>
  </si>
  <si>
    <t>24394</t>
  </si>
  <si>
    <r>
      <rPr>
        <sz val="10"/>
        <color rgb="FF0000FF"/>
        <rFont val="JRFonts"/>
        <charset val="134"/>
      </rPr>
      <t>24395</t>
    </r>
  </si>
  <si>
    <r>
      <rPr>
        <sz val="10"/>
        <color rgb="FF000000"/>
        <rFont val="JRFonts"/>
        <charset val="134"/>
      </rPr>
      <t>22-09-2026 10:54</t>
    </r>
  </si>
  <si>
    <r>
      <rPr>
        <sz val="10"/>
        <color rgb="FF000000"/>
        <rFont val="JRFonts"/>
        <charset val="134"/>
      </rPr>
      <t>22-09-2026 14:22</t>
    </r>
  </si>
  <si>
    <r>
      <rPr>
        <sz val="10"/>
        <color rgb="FF000000"/>
        <rFont val="JRFonts"/>
        <charset val="134"/>
      </rPr>
      <t>22-09-2026 11:00</t>
    </r>
  </si>
  <si>
    <r>
      <rPr>
        <sz val="10"/>
        <color rgb="FF0000FF"/>
        <rFont val="JRFonts"/>
        <charset val="134"/>
      </rPr>
      <t>24397</t>
    </r>
  </si>
  <si>
    <r>
      <rPr>
        <sz val="10"/>
        <color rgb="FF000000"/>
        <rFont val="JRFonts"/>
        <charset val="134"/>
      </rPr>
      <t>22-09-2026 11:16</t>
    </r>
  </si>
  <si>
    <r>
      <rPr>
        <sz val="10"/>
        <color rgb="FF000000"/>
        <rFont val="JRFonts"/>
        <charset val="134"/>
      </rPr>
      <t>07-10-2026 11:01</t>
    </r>
  </si>
  <si>
    <r>
      <rPr>
        <sz val="10"/>
        <color rgb="FF000000"/>
        <rFont val="JRFonts"/>
        <charset val="134"/>
      </rPr>
      <t>22-09-2026 11:23</t>
    </r>
  </si>
  <si>
    <t>24397</t>
  </si>
  <si>
    <r>
      <rPr>
        <sz val="10"/>
        <color rgb="FF0000FF"/>
        <rFont val="JRFonts"/>
        <charset val="134"/>
      </rPr>
      <t>24399</t>
    </r>
  </si>
  <si>
    <r>
      <rPr>
        <sz val="10"/>
        <color rgb="FF000000"/>
        <rFont val="JRFonts"/>
        <charset val="134"/>
      </rPr>
      <t>22-09-2026 11:22</t>
    </r>
  </si>
  <si>
    <r>
      <rPr>
        <sz val="10"/>
        <color rgb="FF000000"/>
        <rFont val="JRFonts"/>
        <charset val="134"/>
      </rPr>
      <t>22-09-2026 15:08</t>
    </r>
  </si>
  <si>
    <r>
      <rPr>
        <sz val="10"/>
        <color rgb="FF000000"/>
        <rFont val="JRFonts"/>
        <charset val="134"/>
      </rPr>
      <t>22-09-2026 15:00</t>
    </r>
  </si>
  <si>
    <r>
      <rPr>
        <sz val="10"/>
        <color rgb="FF0000FF"/>
        <rFont val="JRFonts"/>
        <charset val="134"/>
      </rPr>
      <t>24400</t>
    </r>
  </si>
  <si>
    <r>
      <rPr>
        <sz val="10"/>
        <color rgb="FF000000"/>
        <rFont val="JRFonts"/>
        <charset val="134"/>
      </rPr>
      <t>22-09-2026 11:25</t>
    </r>
  </si>
  <si>
    <r>
      <rPr>
        <sz val="10"/>
        <color rgb="FF000000"/>
        <rFont val="JRFonts"/>
        <charset val="134"/>
      </rPr>
      <t>22-09-2026 15:31</t>
    </r>
  </si>
  <si>
    <r>
      <rPr>
        <sz val="10"/>
        <color rgb="FF000000"/>
        <rFont val="JRFonts"/>
        <charset val="134"/>
      </rPr>
      <t>22-09-2026 12:31</t>
    </r>
  </si>
  <si>
    <r>
      <rPr>
        <sz val="10"/>
        <color rgb="FF0000FF"/>
        <rFont val="JRFonts"/>
        <charset val="134"/>
      </rPr>
      <t>24401</t>
    </r>
  </si>
  <si>
    <r>
      <rPr>
        <sz val="10"/>
        <color rgb="FF000000"/>
        <rFont val="JRFonts"/>
        <charset val="134"/>
      </rPr>
      <t>22-09-2026 11:40</t>
    </r>
  </si>
  <si>
    <r>
      <rPr>
        <sz val="10"/>
        <color rgb="FF000000"/>
        <rFont val="JRFonts"/>
        <charset val="134"/>
      </rPr>
      <t>23-09-2026 12:30</t>
    </r>
  </si>
  <si>
    <r>
      <rPr>
        <sz val="10"/>
        <color rgb="FF000000"/>
        <rFont val="JRFonts"/>
        <charset val="134"/>
      </rPr>
      <t>22-09-2026 11:42</t>
    </r>
  </si>
  <si>
    <t>24401</t>
  </si>
  <si>
    <r>
      <rPr>
        <sz val="10"/>
        <color rgb="FF0000FF"/>
        <rFont val="JRFonts"/>
        <charset val="134"/>
      </rPr>
      <t>24402</t>
    </r>
  </si>
  <si>
    <r>
      <rPr>
        <sz val="10"/>
        <color rgb="FF000000"/>
        <rFont val="JRFonts"/>
        <charset val="134"/>
      </rPr>
      <t>22-09-2026 11:52</t>
    </r>
  </si>
  <si>
    <r>
      <rPr>
        <sz val="10"/>
        <color rgb="FF000000"/>
        <rFont val="JRFonts"/>
        <charset val="134"/>
      </rPr>
      <t>22-09-2026 18:17</t>
    </r>
  </si>
  <si>
    <r>
      <rPr>
        <sz val="10"/>
        <color rgb="FF000000"/>
        <rFont val="JRFonts"/>
        <charset val="134"/>
      </rPr>
      <t>22-09-2026 11:54</t>
    </r>
  </si>
  <si>
    <t>24402</t>
  </si>
  <si>
    <r>
      <rPr>
        <sz val="10"/>
        <color rgb="FF0000FF"/>
        <rFont val="JRFonts"/>
        <charset val="134"/>
      </rPr>
      <t>24406</t>
    </r>
  </si>
  <si>
    <r>
      <rPr>
        <sz val="10"/>
        <color rgb="FF000000"/>
        <rFont val="JRFonts"/>
        <charset val="134"/>
      </rPr>
      <t>22-09-2026 14:12</t>
    </r>
  </si>
  <si>
    <r>
      <rPr>
        <sz val="10"/>
        <color rgb="FF000000"/>
        <rFont val="JRFonts"/>
        <charset val="134"/>
      </rPr>
      <t>22-09-2026 15:12</t>
    </r>
  </si>
  <si>
    <r>
      <rPr>
        <sz val="10"/>
        <color rgb="FF000000"/>
        <rFont val="JRFonts"/>
        <charset val="134"/>
      </rPr>
      <t>22-09-2026 15:03</t>
    </r>
  </si>
  <si>
    <r>
      <rPr>
        <sz val="10"/>
        <color rgb="FF0000FF"/>
        <rFont val="JRFonts"/>
        <charset val="134"/>
      </rPr>
      <t>24407</t>
    </r>
  </si>
  <si>
    <r>
      <rPr>
        <sz val="10"/>
        <color rgb="FF000000"/>
        <rFont val="JRFonts"/>
        <charset val="134"/>
      </rPr>
      <t>22-09-2026 15:19</t>
    </r>
  </si>
  <si>
    <r>
      <rPr>
        <sz val="10"/>
        <color rgb="FF000000"/>
        <rFont val="JRFonts"/>
        <charset val="134"/>
      </rPr>
      <t>22-09-2026 17:02</t>
    </r>
  </si>
  <si>
    <r>
      <rPr>
        <sz val="10"/>
        <color rgb="FF000000"/>
        <rFont val="JRFonts"/>
        <charset val="134"/>
      </rPr>
      <t>22-09-2026 15:39</t>
    </r>
  </si>
  <si>
    <r>
      <rPr>
        <sz val="10"/>
        <color rgb="FF0000FF"/>
        <rFont val="JRFonts"/>
        <charset val="134"/>
      </rPr>
      <t>24408</t>
    </r>
  </si>
  <si>
    <r>
      <rPr>
        <sz val="10"/>
        <color rgb="FF000000"/>
        <rFont val="JRFonts"/>
        <charset val="134"/>
      </rPr>
      <t>22-09-2026 15:34</t>
    </r>
  </si>
  <si>
    <r>
      <rPr>
        <sz val="10"/>
        <color rgb="FF000000"/>
        <rFont val="JRFonts"/>
        <charset val="134"/>
      </rPr>
      <t>22-09-2026 17:07</t>
    </r>
  </si>
  <si>
    <r>
      <rPr>
        <sz val="10"/>
        <color rgb="FF000000"/>
        <rFont val="JRFonts"/>
        <charset val="134"/>
      </rPr>
      <t>22-09-2026 15:41</t>
    </r>
  </si>
  <si>
    <r>
      <rPr>
        <sz val="10"/>
        <color rgb="FF0000FF"/>
        <rFont val="JRFonts"/>
        <charset val="134"/>
      </rPr>
      <t>24410</t>
    </r>
  </si>
  <si>
    <r>
      <rPr>
        <sz val="10"/>
        <color rgb="FF000000"/>
        <rFont val="JRFonts"/>
        <charset val="134"/>
      </rPr>
      <t>22-09-2026 15:40</t>
    </r>
  </si>
  <si>
    <r>
      <rPr>
        <sz val="10"/>
        <color rgb="FF000000"/>
        <rFont val="JRFonts"/>
        <charset val="134"/>
      </rPr>
      <t>29-09-2026 14:10</t>
    </r>
  </si>
  <si>
    <r>
      <rPr>
        <sz val="10"/>
        <color rgb="FF000000"/>
        <rFont val="JRFonts"/>
        <charset val="134"/>
      </rPr>
      <t>22-09-2026 15:48</t>
    </r>
  </si>
  <si>
    <t>24410</t>
  </si>
  <si>
    <r>
      <rPr>
        <sz val="10"/>
        <color rgb="FF0000FF"/>
        <rFont val="JRFonts"/>
        <charset val="134"/>
      </rPr>
      <t>24411</t>
    </r>
  </si>
  <si>
    <r>
      <rPr>
        <sz val="10"/>
        <color rgb="FF000000"/>
        <rFont val="JRFonts"/>
        <charset val="134"/>
      </rPr>
      <t>22-09-2026 18:44</t>
    </r>
  </si>
  <si>
    <r>
      <rPr>
        <sz val="10"/>
        <color rgb="FF000000"/>
        <rFont val="JRFonts"/>
        <charset val="134"/>
      </rPr>
      <t>22-09-2026 15:50</t>
    </r>
  </si>
  <si>
    <r>
      <rPr>
        <sz val="10"/>
        <color rgb="FF0000FF"/>
        <rFont val="JRFonts"/>
        <charset val="134"/>
      </rPr>
      <t>24412</t>
    </r>
  </si>
  <si>
    <r>
      <rPr>
        <sz val="10"/>
        <color rgb="FF000000"/>
        <rFont val="JRFonts"/>
        <charset val="134"/>
      </rPr>
      <t>22-09-2026 15:52</t>
    </r>
  </si>
  <si>
    <r>
      <rPr>
        <sz val="10"/>
        <color rgb="FF000000"/>
        <rFont val="JRFonts"/>
        <charset val="134"/>
      </rPr>
      <t>22-09-2026 17:06</t>
    </r>
  </si>
  <si>
    <r>
      <rPr>
        <sz val="10"/>
        <color rgb="FF000000"/>
        <rFont val="JRFonts"/>
        <charset val="134"/>
      </rPr>
      <t>22-09-2026 15:59</t>
    </r>
  </si>
  <si>
    <r>
      <rPr>
        <sz val="10"/>
        <color rgb="FF0000FF"/>
        <rFont val="JRFonts"/>
        <charset val="134"/>
      </rPr>
      <t>24413</t>
    </r>
  </si>
  <si>
    <r>
      <rPr>
        <sz val="10"/>
        <color rgb="FF000000"/>
        <rFont val="JRFonts"/>
        <charset val="134"/>
      </rPr>
      <t>22-09-2026 15:55</t>
    </r>
  </si>
  <si>
    <r>
      <rPr>
        <sz val="10"/>
        <color rgb="FF000000"/>
        <rFont val="JRFonts"/>
        <charset val="134"/>
      </rPr>
      <t>22-09-2026 17:03</t>
    </r>
  </si>
  <si>
    <r>
      <rPr>
        <sz val="10"/>
        <color rgb="FF000000"/>
        <rFont val="JRFonts"/>
        <charset val="134"/>
      </rPr>
      <t>22-09-2026 16:00</t>
    </r>
  </si>
  <si>
    <r>
      <rPr>
        <sz val="10"/>
        <color rgb="FF0000FF"/>
        <rFont val="JRFonts"/>
        <charset val="134"/>
      </rPr>
      <t>24415</t>
    </r>
  </si>
  <si>
    <r>
      <rPr>
        <sz val="10"/>
        <color rgb="FF000000"/>
        <rFont val="JRFonts"/>
        <charset val="134"/>
      </rPr>
      <t>22-09-2026 16:17</t>
    </r>
  </si>
  <si>
    <r>
      <rPr>
        <sz val="10"/>
        <color rgb="FF000000"/>
        <rFont val="JRFonts"/>
        <charset val="134"/>
      </rPr>
      <t>22-09-2026 17:13</t>
    </r>
  </si>
  <si>
    <r>
      <rPr>
        <sz val="10"/>
        <color rgb="FF000000"/>
        <rFont val="JRFonts"/>
        <charset val="134"/>
      </rPr>
      <t>22-09-2026 16:21</t>
    </r>
  </si>
  <si>
    <r>
      <rPr>
        <sz val="10"/>
        <color rgb="FF0000FF"/>
        <rFont val="JRFonts"/>
        <charset val="134"/>
      </rPr>
      <t>24416</t>
    </r>
  </si>
  <si>
    <r>
      <rPr>
        <sz val="10"/>
        <color rgb="FF000000"/>
        <rFont val="JRFonts"/>
        <charset val="134"/>
      </rPr>
      <t>22-09-2026 16:20</t>
    </r>
  </si>
  <si>
    <r>
      <rPr>
        <sz val="10"/>
        <color rgb="FF000000"/>
        <rFont val="JRFonts"/>
        <charset val="134"/>
      </rPr>
      <t>23-09-2026 10:30</t>
    </r>
  </si>
  <si>
    <r>
      <rPr>
        <sz val="10"/>
        <color rgb="FF000000"/>
        <rFont val="JRFonts"/>
        <charset val="134"/>
      </rPr>
      <t>22-09-2026 17:08</t>
    </r>
  </si>
  <si>
    <r>
      <rPr>
        <sz val="10"/>
        <color rgb="FF0000FF"/>
        <rFont val="JRFonts"/>
        <charset val="134"/>
      </rPr>
      <t>24417</t>
    </r>
  </si>
  <si>
    <r>
      <rPr>
        <sz val="10"/>
        <color rgb="FF000000"/>
        <rFont val="JRFonts"/>
        <charset val="134"/>
      </rPr>
      <t>22-09-2026 16:32</t>
    </r>
  </si>
  <si>
    <r>
      <rPr>
        <sz val="10"/>
        <color rgb="FF000000"/>
        <rFont val="JRFonts"/>
        <charset val="134"/>
      </rPr>
      <t>22-09-2026 16:58</t>
    </r>
  </si>
  <si>
    <r>
      <rPr>
        <sz val="10"/>
        <color rgb="FF000000"/>
        <rFont val="JRFonts"/>
        <charset val="134"/>
      </rPr>
      <t>22-09-2026 16:40</t>
    </r>
  </si>
  <si>
    <r>
      <rPr>
        <sz val="10"/>
        <color rgb="FF0000FF"/>
        <rFont val="JRFonts"/>
        <charset val="134"/>
      </rPr>
      <t>24418</t>
    </r>
  </si>
  <si>
    <r>
      <rPr>
        <sz val="10"/>
        <color rgb="FF000000"/>
        <rFont val="JRFonts"/>
        <charset val="134"/>
      </rPr>
      <t>22-09-2026 16:41</t>
    </r>
  </si>
  <si>
    <r>
      <rPr>
        <sz val="10"/>
        <color rgb="FF000000"/>
        <rFont val="JRFonts"/>
        <charset val="134"/>
      </rPr>
      <t>22-09-2026 18:23</t>
    </r>
  </si>
  <si>
    <r>
      <rPr>
        <sz val="10"/>
        <color rgb="FF000000"/>
        <rFont val="JRFonts"/>
        <charset val="134"/>
      </rPr>
      <t>22-09-2026 16:50</t>
    </r>
  </si>
  <si>
    <r>
      <rPr>
        <sz val="10"/>
        <color rgb="FF0000FF"/>
        <rFont val="JRFonts"/>
        <charset val="134"/>
      </rPr>
      <t>24419</t>
    </r>
  </si>
  <si>
    <r>
      <rPr>
        <sz val="10"/>
        <color rgb="FF000000"/>
        <rFont val="JRFonts"/>
        <charset val="134"/>
      </rPr>
      <t>22-09-2026 17:27</t>
    </r>
  </si>
  <si>
    <r>
      <rPr>
        <sz val="10"/>
        <color rgb="FF000000"/>
        <rFont val="JRFonts"/>
        <charset val="134"/>
      </rPr>
      <t>22-09-2026 18:14</t>
    </r>
  </si>
  <si>
    <r>
      <rPr>
        <sz val="10"/>
        <color rgb="FF000000"/>
        <rFont val="JRFonts"/>
        <charset val="134"/>
      </rPr>
      <t>22-09-2026 17:32</t>
    </r>
  </si>
  <si>
    <r>
      <rPr>
        <sz val="10"/>
        <color rgb="FF0000FF"/>
        <rFont val="JRFonts"/>
        <charset val="134"/>
      </rPr>
      <t>24420</t>
    </r>
  </si>
  <si>
    <r>
      <rPr>
        <sz val="10"/>
        <color rgb="FF000000"/>
        <rFont val="JRFonts"/>
        <charset val="134"/>
      </rPr>
      <t>22-09-2026 17:36</t>
    </r>
  </si>
  <si>
    <r>
      <rPr>
        <sz val="10"/>
        <color rgb="FF000000"/>
        <rFont val="JRFonts"/>
        <charset val="134"/>
      </rPr>
      <t>23-09-2026 15:12</t>
    </r>
  </si>
  <si>
    <r>
      <rPr>
        <sz val="10"/>
        <color rgb="FF000000"/>
        <rFont val="JRFonts"/>
        <charset val="134"/>
      </rPr>
      <t>22-09-2026 17:38</t>
    </r>
  </si>
  <si>
    <r>
      <rPr>
        <sz val="10"/>
        <color rgb="FF0000FF"/>
        <rFont val="JRFonts"/>
        <charset val="134"/>
      </rPr>
      <t>24421</t>
    </r>
  </si>
  <si>
    <r>
      <rPr>
        <sz val="10"/>
        <color rgb="FF000000"/>
        <rFont val="JRFonts"/>
        <charset val="134"/>
      </rPr>
      <t>22-09-2026 17:39</t>
    </r>
  </si>
  <si>
    <r>
      <rPr>
        <sz val="10"/>
        <color rgb="FF000000"/>
        <rFont val="JRFonts"/>
        <charset val="134"/>
      </rPr>
      <t>23-09-2026 12:45</t>
    </r>
  </si>
  <si>
    <r>
      <rPr>
        <sz val="10"/>
        <color rgb="FF000000"/>
        <rFont val="JRFonts"/>
        <charset val="134"/>
      </rPr>
      <t>23-09-2026 10:17</t>
    </r>
  </si>
  <si>
    <r>
      <rPr>
        <sz val="10"/>
        <color rgb="FF0000FF"/>
        <rFont val="JRFonts"/>
        <charset val="134"/>
      </rPr>
      <t>24425</t>
    </r>
  </si>
  <si>
    <r>
      <rPr>
        <sz val="10"/>
        <color rgb="FF000000"/>
        <rFont val="JRFonts"/>
        <charset val="134"/>
      </rPr>
      <t>23-09-2026 10:11</t>
    </r>
  </si>
  <si>
    <r>
      <rPr>
        <sz val="10"/>
        <color rgb="FF000000"/>
        <rFont val="JRFonts"/>
        <charset val="134"/>
      </rPr>
      <t>23-09-2026 10:20</t>
    </r>
  </si>
  <si>
    <r>
      <rPr>
        <sz val="10"/>
        <color rgb="FF0000FF"/>
        <rFont val="JRFonts"/>
        <charset val="134"/>
      </rPr>
      <t>24428</t>
    </r>
  </si>
  <si>
    <r>
      <rPr>
        <sz val="10"/>
        <color rgb="FF000000"/>
        <rFont val="JRFonts"/>
        <charset val="134"/>
      </rPr>
      <t>23-09-2026 10:42</t>
    </r>
  </si>
  <si>
    <r>
      <rPr>
        <sz val="10"/>
        <color rgb="FF000000"/>
        <rFont val="JRFonts"/>
        <charset val="134"/>
      </rPr>
      <t>23-09-2026 10:59</t>
    </r>
  </si>
  <si>
    <r>
      <rPr>
        <sz val="10"/>
        <color rgb="FF000000"/>
        <rFont val="JRFonts"/>
        <charset val="134"/>
      </rPr>
      <t>23-09-2026 10:45</t>
    </r>
  </si>
  <si>
    <r>
      <rPr>
        <sz val="10"/>
        <color rgb="FF0000FF"/>
        <rFont val="JRFonts"/>
        <charset val="134"/>
      </rPr>
      <t>24429</t>
    </r>
  </si>
  <si>
    <r>
      <rPr>
        <sz val="10"/>
        <color rgb="FF000000"/>
        <rFont val="JRFonts"/>
        <charset val="134"/>
      </rPr>
      <t>23-09-2026 12:48</t>
    </r>
  </si>
  <si>
    <r>
      <rPr>
        <sz val="10"/>
        <color rgb="FF000000"/>
        <rFont val="JRFonts"/>
        <charset val="134"/>
      </rPr>
      <t>23-09-2026 10:47</t>
    </r>
  </si>
  <si>
    <r>
      <rPr>
        <sz val="10"/>
        <color rgb="FF0000FF"/>
        <rFont val="JRFonts"/>
        <charset val="134"/>
      </rPr>
      <t>24430</t>
    </r>
  </si>
  <si>
    <r>
      <rPr>
        <sz val="10"/>
        <color rgb="FF000000"/>
        <rFont val="JRFonts"/>
        <charset val="134"/>
      </rPr>
      <t>23-09-2026 10:53</t>
    </r>
  </si>
  <si>
    <r>
      <rPr>
        <sz val="10"/>
        <color rgb="FF000000"/>
        <rFont val="JRFonts"/>
        <charset val="134"/>
      </rPr>
      <t>23-09-2026 10:48</t>
    </r>
  </si>
  <si>
    <r>
      <rPr>
        <sz val="10"/>
        <color rgb="FF0000FF"/>
        <rFont val="JRFonts"/>
        <charset val="134"/>
      </rPr>
      <t>24431</t>
    </r>
  </si>
  <si>
    <r>
      <rPr>
        <sz val="10"/>
        <color rgb="FF000000"/>
        <rFont val="JRFonts"/>
        <charset val="134"/>
      </rPr>
      <t>23-09-2026 11:12</t>
    </r>
  </si>
  <si>
    <r>
      <rPr>
        <sz val="10"/>
        <color rgb="FF000000"/>
        <rFont val="JRFonts"/>
        <charset val="134"/>
      </rPr>
      <t>24-09-2026 15:49</t>
    </r>
  </si>
  <si>
    <r>
      <rPr>
        <sz val="10"/>
        <color rgb="FF000000"/>
        <rFont val="JRFonts"/>
        <charset val="134"/>
      </rPr>
      <t>23-09-2026 11:18</t>
    </r>
  </si>
  <si>
    <t>24431</t>
  </si>
  <si>
    <r>
      <rPr>
        <sz val="10"/>
        <color rgb="FF0000FF"/>
        <rFont val="JRFonts"/>
        <charset val="134"/>
      </rPr>
      <t>24432</t>
    </r>
  </si>
  <si>
    <r>
      <rPr>
        <sz val="10"/>
        <color rgb="FF000000"/>
        <rFont val="JRFonts"/>
        <charset val="134"/>
      </rPr>
      <t>23-09-2026 11:23</t>
    </r>
  </si>
  <si>
    <r>
      <rPr>
        <sz val="10"/>
        <color rgb="FF0000FF"/>
        <rFont val="JRFonts"/>
        <charset val="134"/>
      </rPr>
      <t>24434</t>
    </r>
  </si>
  <si>
    <r>
      <rPr>
        <sz val="10"/>
        <color rgb="FF000000"/>
        <rFont val="JRFonts"/>
        <charset val="134"/>
      </rPr>
      <t>23-09-2026 11:27</t>
    </r>
  </si>
  <si>
    <r>
      <rPr>
        <sz val="10"/>
        <color rgb="FF000000"/>
        <rFont val="JRFonts"/>
        <charset val="134"/>
      </rPr>
      <t>23-09-2026 12:19</t>
    </r>
  </si>
  <si>
    <r>
      <rPr>
        <sz val="10"/>
        <color rgb="FF000000"/>
        <rFont val="JRFonts"/>
        <charset val="134"/>
      </rPr>
      <t>23-09-2026 11:34</t>
    </r>
  </si>
  <si>
    <r>
      <rPr>
        <sz val="10"/>
        <color rgb="FF0000FF"/>
        <rFont val="JRFonts"/>
        <charset val="134"/>
      </rPr>
      <t>24437</t>
    </r>
  </si>
  <si>
    <r>
      <rPr>
        <sz val="10"/>
        <color rgb="FF000000"/>
        <rFont val="JRFonts"/>
        <charset val="134"/>
      </rPr>
      <t>23-09-2026 11:55</t>
    </r>
  </si>
  <si>
    <r>
      <rPr>
        <sz val="10"/>
        <color rgb="FF000000"/>
        <rFont val="JRFonts"/>
        <charset val="134"/>
      </rPr>
      <t>23-09-2026 12:29</t>
    </r>
  </si>
  <si>
    <r>
      <rPr>
        <sz val="10"/>
        <color rgb="FF000000"/>
        <rFont val="JRFonts"/>
        <charset val="134"/>
      </rPr>
      <t>23-09-2026 12:01</t>
    </r>
  </si>
  <si>
    <r>
      <rPr>
        <sz val="10"/>
        <color rgb="FF0000FF"/>
        <rFont val="JRFonts"/>
        <charset val="134"/>
      </rPr>
      <t>24438</t>
    </r>
  </si>
  <si>
    <r>
      <rPr>
        <sz val="10"/>
        <color rgb="FF000000"/>
        <rFont val="JRFonts"/>
        <charset val="134"/>
      </rPr>
      <t>23-09-2026 12:28</t>
    </r>
  </si>
  <si>
    <r>
      <rPr>
        <sz val="10"/>
        <color rgb="FF000000"/>
        <rFont val="JRFonts"/>
        <charset val="134"/>
      </rPr>
      <t>23-09-2026 11:58</t>
    </r>
  </si>
  <si>
    <r>
      <rPr>
        <sz val="10"/>
        <color rgb="FF0000FF"/>
        <rFont val="JRFonts"/>
        <charset val="134"/>
      </rPr>
      <t>24439</t>
    </r>
  </si>
  <si>
    <r>
      <rPr>
        <sz val="10"/>
        <color rgb="FF000000"/>
        <rFont val="JRFonts"/>
        <charset val="134"/>
      </rPr>
      <t>Gaurav</t>
    </r>
  </si>
  <si>
    <r>
      <rPr>
        <sz val="10"/>
        <color rgb="FF000000"/>
        <rFont val="JRFonts"/>
        <charset val="134"/>
      </rPr>
      <t>23-09-2026 12:16</t>
    </r>
  </si>
  <si>
    <r>
      <rPr>
        <sz val="10"/>
        <color rgb="FF000000"/>
        <rFont val="JRFonts"/>
        <charset val="134"/>
      </rPr>
      <t>23-09-2026 12:39</t>
    </r>
  </si>
  <si>
    <r>
      <rPr>
        <sz val="10"/>
        <color rgb="FF000000"/>
        <rFont val="JRFonts"/>
        <charset val="134"/>
      </rPr>
      <t>23-09-2026 12:21</t>
    </r>
  </si>
  <si>
    <r>
      <rPr>
        <sz val="10"/>
        <color rgb="FF0000FF"/>
        <rFont val="JRFonts"/>
        <charset val="134"/>
      </rPr>
      <t>24440</t>
    </r>
  </si>
  <si>
    <r>
      <rPr>
        <sz val="10"/>
        <color rgb="FF000000"/>
        <rFont val="JRFonts"/>
        <charset val="134"/>
      </rPr>
      <t>23-09-2026 12:22</t>
    </r>
  </si>
  <si>
    <r>
      <rPr>
        <sz val="10"/>
        <color rgb="FF000000"/>
        <rFont val="JRFonts"/>
        <charset val="134"/>
      </rPr>
      <t>23-09-2026 13:02</t>
    </r>
  </si>
  <si>
    <r>
      <rPr>
        <sz val="10"/>
        <color rgb="FF000000"/>
        <rFont val="JRFonts"/>
        <charset val="134"/>
      </rPr>
      <t>23-09-2026 12:25</t>
    </r>
  </si>
  <si>
    <r>
      <rPr>
        <sz val="10"/>
        <color rgb="FF0000FF"/>
        <rFont val="JRFonts"/>
        <charset val="134"/>
      </rPr>
      <t>24442</t>
    </r>
  </si>
  <si>
    <r>
      <rPr>
        <sz val="10"/>
        <color rgb="FF000000"/>
        <rFont val="JRFonts"/>
        <charset val="134"/>
      </rPr>
      <t>23-09-2026 13:05</t>
    </r>
  </si>
  <si>
    <r>
      <rPr>
        <sz val="10"/>
        <color rgb="FF000000"/>
        <rFont val="JRFonts"/>
        <charset val="134"/>
      </rPr>
      <t>23-09-2026 14:35</t>
    </r>
  </si>
  <si>
    <r>
      <rPr>
        <sz val="10"/>
        <color rgb="FF000000"/>
        <rFont val="JRFonts"/>
        <charset val="134"/>
      </rPr>
      <t>23-09-2026 14:10</t>
    </r>
  </si>
  <si>
    <r>
      <rPr>
        <sz val="10"/>
        <color rgb="FF0000FF"/>
        <rFont val="JRFonts"/>
        <charset val="134"/>
      </rPr>
      <t>24444</t>
    </r>
  </si>
  <si>
    <r>
      <rPr>
        <sz val="10"/>
        <color rgb="FF000000"/>
        <rFont val="JRFonts"/>
        <charset val="134"/>
      </rPr>
      <t>23-09-2026 14:14</t>
    </r>
  </si>
  <si>
    <r>
      <rPr>
        <sz val="10"/>
        <color rgb="FF000000"/>
        <rFont val="JRFonts"/>
        <charset val="134"/>
      </rPr>
      <t>23-09-2026 17:51</t>
    </r>
  </si>
  <si>
    <r>
      <rPr>
        <sz val="10"/>
        <color rgb="FF000000"/>
        <rFont val="JRFonts"/>
        <charset val="134"/>
      </rPr>
      <t>23-09-2026 15:25</t>
    </r>
  </si>
  <si>
    <r>
      <rPr>
        <sz val="10"/>
        <color rgb="FF0000FF"/>
        <rFont val="JRFonts"/>
        <charset val="134"/>
      </rPr>
      <t>24446</t>
    </r>
  </si>
  <si>
    <r>
      <rPr>
        <sz val="10"/>
        <color rgb="FF000000"/>
        <rFont val="JRFonts"/>
        <charset val="134"/>
      </rPr>
      <t>23-09-2026 14:30</t>
    </r>
  </si>
  <si>
    <r>
      <rPr>
        <sz val="10"/>
        <color rgb="FF000000"/>
        <rFont val="JRFonts"/>
        <charset val="134"/>
      </rPr>
      <t>23-09-2026 15:58</t>
    </r>
  </si>
  <si>
    <r>
      <rPr>
        <sz val="10"/>
        <color rgb="FF000000"/>
        <rFont val="JRFonts"/>
        <charset val="134"/>
      </rPr>
      <t>23-09-2026 14:59</t>
    </r>
  </si>
  <si>
    <r>
      <rPr>
        <sz val="10"/>
        <color rgb="FF0000FF"/>
        <rFont val="JRFonts"/>
        <charset val="134"/>
      </rPr>
      <t>24456</t>
    </r>
  </si>
  <si>
    <r>
      <rPr>
        <sz val="10"/>
        <color rgb="FF000000"/>
        <rFont val="JRFonts"/>
        <charset val="134"/>
      </rPr>
      <t>23-09-2026 17:41</t>
    </r>
  </si>
  <si>
    <r>
      <rPr>
        <sz val="10"/>
        <color rgb="FF000000"/>
        <rFont val="JRFonts"/>
        <charset val="134"/>
      </rPr>
      <t>23-09-2026 18:03</t>
    </r>
  </si>
  <si>
    <r>
      <rPr>
        <sz val="10"/>
        <color rgb="FF000000"/>
        <rFont val="JRFonts"/>
        <charset val="134"/>
      </rPr>
      <t>23-09-2026 18:02</t>
    </r>
  </si>
  <si>
    <r>
      <rPr>
        <sz val="10"/>
        <color rgb="FF0000FF"/>
        <rFont val="JRFonts"/>
        <charset val="134"/>
      </rPr>
      <t>24459</t>
    </r>
  </si>
  <si>
    <r>
      <rPr>
        <sz val="10"/>
        <color rgb="FF000000"/>
        <rFont val="JRFonts"/>
        <charset val="134"/>
      </rPr>
      <t>23-09-2026 19:06</t>
    </r>
  </si>
  <si>
    <r>
      <rPr>
        <sz val="10"/>
        <color rgb="FF000000"/>
        <rFont val="JRFonts"/>
        <charset val="134"/>
      </rPr>
      <t>24-09-2026 11:19</t>
    </r>
  </si>
  <si>
    <r>
      <rPr>
        <sz val="10"/>
        <color rgb="FF000000"/>
        <rFont val="JRFonts"/>
        <charset val="134"/>
      </rPr>
      <t>24-09-2026 10:17</t>
    </r>
  </si>
  <si>
    <r>
      <rPr>
        <sz val="10"/>
        <color rgb="FF0000FF"/>
        <rFont val="JRFonts"/>
        <charset val="134"/>
      </rPr>
      <t>24461</t>
    </r>
  </si>
  <si>
    <r>
      <rPr>
        <sz val="10"/>
        <color rgb="FF000000"/>
        <rFont val="JRFonts"/>
        <charset val="134"/>
      </rPr>
      <t>01-10-2026 15:16</t>
    </r>
  </si>
  <si>
    <r>
      <rPr>
        <sz val="10"/>
        <color rgb="FF000000"/>
        <rFont val="JRFonts"/>
        <charset val="134"/>
      </rPr>
      <t>24-09-2026 10:23</t>
    </r>
  </si>
  <si>
    <t>24461</t>
  </si>
  <si>
    <r>
      <rPr>
        <sz val="10"/>
        <color rgb="FF0000FF"/>
        <rFont val="JRFonts"/>
        <charset val="134"/>
      </rPr>
      <t>24462</t>
    </r>
  </si>
  <si>
    <r>
      <rPr>
        <sz val="10"/>
        <color rgb="FF000000"/>
        <rFont val="JRFonts"/>
        <charset val="134"/>
      </rPr>
      <t>24-09-2026 10:26</t>
    </r>
  </si>
  <si>
    <r>
      <rPr>
        <sz val="10"/>
        <color rgb="FF000000"/>
        <rFont val="JRFonts"/>
        <charset val="134"/>
      </rPr>
      <t>24-09-2026 14:24</t>
    </r>
  </si>
  <si>
    <r>
      <rPr>
        <sz val="10"/>
        <color rgb="FF000000"/>
        <rFont val="JRFonts"/>
        <charset val="134"/>
      </rPr>
      <t>24-09-2026 10:35</t>
    </r>
  </si>
  <si>
    <r>
      <rPr>
        <sz val="10"/>
        <color rgb="FF0000FF"/>
        <rFont val="JRFonts"/>
        <charset val="134"/>
      </rPr>
      <t>24463</t>
    </r>
  </si>
  <si>
    <r>
      <rPr>
        <sz val="10"/>
        <color rgb="FF000000"/>
        <rFont val="JRFonts"/>
        <charset val="134"/>
      </rPr>
      <t>24-09-2026 10:32</t>
    </r>
  </si>
  <si>
    <r>
      <rPr>
        <sz val="10"/>
        <color rgb="FF000000"/>
        <rFont val="JRFonts"/>
        <charset val="134"/>
      </rPr>
      <t>24-09-2026 10:47</t>
    </r>
  </si>
  <si>
    <r>
      <rPr>
        <sz val="10"/>
        <color rgb="FF000000"/>
        <rFont val="JRFonts"/>
        <charset val="134"/>
      </rPr>
      <t>24-09-2026 10:36</t>
    </r>
  </si>
  <si>
    <t>24466</t>
  </si>
  <si>
    <r>
      <rPr>
        <sz val="10"/>
        <color rgb="FF000000"/>
        <rFont val="JRFonts"/>
        <charset val="134"/>
      </rPr>
      <t>24-09-2026 10:56</t>
    </r>
  </si>
  <si>
    <r>
      <rPr>
        <sz val="10"/>
        <color rgb="FF000000"/>
        <rFont val="JRFonts"/>
        <charset val="134"/>
      </rPr>
      <t>06-10-2026 17:24</t>
    </r>
  </si>
  <si>
    <r>
      <rPr>
        <sz val="10"/>
        <color rgb="FF000000"/>
        <rFont val="JRFonts"/>
        <charset val="134"/>
      </rPr>
      <t>24-09-2026 10:59</t>
    </r>
  </si>
  <si>
    <r>
      <rPr>
        <sz val="10"/>
        <color rgb="FF0000FF"/>
        <rFont val="JRFonts"/>
        <charset val="134"/>
      </rPr>
      <t>24468</t>
    </r>
  </si>
  <si>
    <r>
      <rPr>
        <sz val="10"/>
        <color rgb="FF000000"/>
        <rFont val="JRFonts"/>
        <charset val="134"/>
      </rPr>
      <t>24-09-2026 11:15</t>
    </r>
  </si>
  <si>
    <r>
      <rPr>
        <sz val="10"/>
        <color rgb="FF000000"/>
        <rFont val="JRFonts"/>
        <charset val="134"/>
      </rPr>
      <t>24-09-2026 11:02</t>
    </r>
  </si>
  <si>
    <r>
      <rPr>
        <sz val="10"/>
        <color rgb="FF0000FF"/>
        <rFont val="JRFonts"/>
        <charset val="134"/>
      </rPr>
      <t>24471</t>
    </r>
  </si>
  <si>
    <r>
      <rPr>
        <sz val="10"/>
        <color rgb="FF000000"/>
        <rFont val="JRFonts"/>
        <charset val="134"/>
      </rPr>
      <t>Kapil</t>
    </r>
  </si>
  <si>
    <r>
      <rPr>
        <sz val="10"/>
        <color rgb="FF000000"/>
        <rFont val="JRFonts"/>
        <charset val="134"/>
      </rPr>
      <t>24-09-2026 11:11</t>
    </r>
  </si>
  <si>
    <r>
      <rPr>
        <sz val="10"/>
        <color rgb="FF000000"/>
        <rFont val="JRFonts"/>
        <charset val="134"/>
      </rPr>
      <t>24-09-2026 12:35</t>
    </r>
  </si>
  <si>
    <r>
      <rPr>
        <sz val="10"/>
        <color rgb="FF000000"/>
        <rFont val="JRFonts"/>
        <charset val="134"/>
      </rPr>
      <t>24-09-2026 11:21</t>
    </r>
  </si>
  <si>
    <r>
      <rPr>
        <sz val="10"/>
        <color rgb="FF0000FF"/>
        <rFont val="JRFonts"/>
        <charset val="134"/>
      </rPr>
      <t>24472</t>
    </r>
  </si>
  <si>
    <r>
      <rPr>
        <sz val="10"/>
        <color rgb="FF000000"/>
        <rFont val="JRFonts"/>
        <charset val="134"/>
      </rPr>
      <t>24-09-2026 12:06</t>
    </r>
  </si>
  <si>
    <r>
      <rPr>
        <sz val="10"/>
        <color rgb="FF000000"/>
        <rFont val="JRFonts"/>
        <charset val="134"/>
      </rPr>
      <t>24-09-2026 11:23</t>
    </r>
  </si>
  <si>
    <r>
      <rPr>
        <sz val="10"/>
        <color rgb="FF0000FF"/>
        <rFont val="JRFonts"/>
        <charset val="134"/>
      </rPr>
      <t>24474</t>
    </r>
  </si>
  <si>
    <r>
      <rPr>
        <sz val="10"/>
        <color rgb="FF000000"/>
        <rFont val="JRFonts"/>
        <charset val="134"/>
      </rPr>
      <t>24-09-2026 11:33</t>
    </r>
  </si>
  <si>
    <r>
      <rPr>
        <sz val="10"/>
        <color rgb="FF000000"/>
        <rFont val="JRFonts"/>
        <charset val="134"/>
      </rPr>
      <t>24-09-2026 12:08</t>
    </r>
  </si>
  <si>
    <r>
      <rPr>
        <sz val="10"/>
        <color rgb="FF000000"/>
        <rFont val="JRFonts"/>
        <charset val="134"/>
      </rPr>
      <t>24-09-2026 11:49</t>
    </r>
  </si>
  <si>
    <r>
      <rPr>
        <sz val="10"/>
        <color rgb="FF0000FF"/>
        <rFont val="JRFonts"/>
        <charset val="134"/>
      </rPr>
      <t>24477</t>
    </r>
  </si>
  <si>
    <r>
      <rPr>
        <sz val="10"/>
        <color rgb="FF000000"/>
        <rFont val="JRFonts"/>
        <charset val="134"/>
      </rPr>
      <t>24-09-2026 12:49</t>
    </r>
  </si>
  <si>
    <r>
      <rPr>
        <sz val="10"/>
        <color rgb="FF000000"/>
        <rFont val="JRFonts"/>
        <charset val="134"/>
      </rPr>
      <t>24-09-2026 12:59</t>
    </r>
  </si>
  <si>
    <r>
      <rPr>
        <sz val="10"/>
        <color rgb="FF000000"/>
        <rFont val="JRFonts"/>
        <charset val="134"/>
      </rPr>
      <t>24-09-2026 12:58</t>
    </r>
  </si>
  <si>
    <r>
      <rPr>
        <sz val="10"/>
        <color rgb="FF0000FF"/>
        <rFont val="JRFonts"/>
        <charset val="134"/>
      </rPr>
      <t>24480</t>
    </r>
  </si>
  <si>
    <r>
      <rPr>
        <sz val="10"/>
        <color rgb="FF000000"/>
        <rFont val="JRFonts"/>
        <charset val="134"/>
      </rPr>
      <t>24-09-2026 13:16</t>
    </r>
  </si>
  <si>
    <r>
      <rPr>
        <sz val="10"/>
        <color rgb="FF000000"/>
        <rFont val="JRFonts"/>
        <charset val="134"/>
      </rPr>
      <t>24-09-2026 14:26</t>
    </r>
  </si>
  <si>
    <r>
      <rPr>
        <sz val="10"/>
        <color rgb="FF000000"/>
        <rFont val="JRFonts"/>
        <charset val="134"/>
      </rPr>
      <t>24-09-2026 14:09</t>
    </r>
  </si>
  <si>
    <r>
      <rPr>
        <sz val="10"/>
        <color rgb="FF0000FF"/>
        <rFont val="JRFonts"/>
        <charset val="134"/>
      </rPr>
      <t>24481</t>
    </r>
  </si>
  <si>
    <r>
      <rPr>
        <sz val="10"/>
        <color rgb="FF000000"/>
        <rFont val="JRFonts"/>
        <charset val="134"/>
      </rPr>
      <t>24-09-2026 14:27</t>
    </r>
  </si>
  <si>
    <r>
      <rPr>
        <sz val="10"/>
        <color rgb="FF000000"/>
        <rFont val="JRFonts"/>
        <charset val="134"/>
      </rPr>
      <t>24-09-2026 14:10</t>
    </r>
  </si>
  <si>
    <r>
      <rPr>
        <sz val="10"/>
        <color rgb="FF0000FF"/>
        <rFont val="JRFonts"/>
        <charset val="134"/>
      </rPr>
      <t>24484</t>
    </r>
  </si>
  <si>
    <r>
      <rPr>
        <sz val="10"/>
        <color rgb="FF000000"/>
        <rFont val="JRFonts"/>
        <charset val="134"/>
      </rPr>
      <t>24-09-2026 15:14</t>
    </r>
  </si>
  <si>
    <r>
      <rPr>
        <sz val="10"/>
        <color rgb="FF000000"/>
        <rFont val="JRFonts"/>
        <charset val="134"/>
      </rPr>
      <t>24-09-2026 15:46</t>
    </r>
  </si>
  <si>
    <r>
      <rPr>
        <sz val="10"/>
        <color rgb="FF000000"/>
        <rFont val="JRFonts"/>
        <charset val="134"/>
      </rPr>
      <t>24-09-2026 15:25</t>
    </r>
  </si>
  <si>
    <r>
      <rPr>
        <sz val="10"/>
        <color rgb="FF0000FF"/>
        <rFont val="JRFonts"/>
        <charset val="134"/>
      </rPr>
      <t>24485</t>
    </r>
  </si>
  <si>
    <r>
      <rPr>
        <sz val="10"/>
        <color rgb="FF000000"/>
        <rFont val="JRFonts"/>
        <charset val="134"/>
      </rPr>
      <t>24-09-2026 15:39</t>
    </r>
  </si>
  <si>
    <r>
      <rPr>
        <sz val="10"/>
        <color rgb="FF000000"/>
        <rFont val="JRFonts"/>
        <charset val="134"/>
      </rPr>
      <t>24-09-2026 16:54</t>
    </r>
  </si>
  <si>
    <r>
      <rPr>
        <sz val="10"/>
        <color rgb="FF000000"/>
        <rFont val="JRFonts"/>
        <charset val="134"/>
      </rPr>
      <t>24-09-2026 16:09</t>
    </r>
  </si>
  <si>
    <r>
      <rPr>
        <sz val="10"/>
        <color rgb="FF0000FF"/>
        <rFont val="JRFonts"/>
        <charset val="134"/>
      </rPr>
      <t>24486</t>
    </r>
  </si>
  <si>
    <r>
      <rPr>
        <sz val="10"/>
        <color rgb="FF000000"/>
        <rFont val="JRFonts"/>
        <charset val="134"/>
      </rPr>
      <t>24-09-2026 17:10</t>
    </r>
  </si>
  <si>
    <r>
      <rPr>
        <sz val="10"/>
        <color rgb="FF000000"/>
        <rFont val="JRFonts"/>
        <charset val="134"/>
      </rPr>
      <t>24-09-2026 17:20</t>
    </r>
  </si>
  <si>
    <r>
      <rPr>
        <sz val="10"/>
        <color rgb="FF0000FF"/>
        <rFont val="JRFonts"/>
        <charset val="134"/>
      </rPr>
      <t>24487</t>
    </r>
  </si>
  <si>
    <r>
      <rPr>
        <sz val="10"/>
        <color rgb="FF000000"/>
        <rFont val="JRFonts"/>
        <charset val="134"/>
      </rPr>
      <t>24-09-2026 17:37</t>
    </r>
  </si>
  <si>
    <r>
      <rPr>
        <sz val="10"/>
        <color rgb="FF000000"/>
        <rFont val="JRFonts"/>
        <charset val="134"/>
      </rPr>
      <t>25-09-2026 11:54</t>
    </r>
  </si>
  <si>
    <r>
      <rPr>
        <sz val="10"/>
        <color rgb="FF000000"/>
        <rFont val="JRFonts"/>
        <charset val="134"/>
      </rPr>
      <t>25-09-2026 11:24</t>
    </r>
  </si>
  <si>
    <r>
      <rPr>
        <sz val="10"/>
        <color rgb="FF0000FF"/>
        <rFont val="JRFonts"/>
        <charset val="134"/>
      </rPr>
      <t>24488</t>
    </r>
  </si>
  <si>
    <r>
      <rPr>
        <sz val="10"/>
        <color rgb="FF000000"/>
        <rFont val="JRFonts"/>
        <charset val="134"/>
      </rPr>
      <t>25-09-2026 10:30</t>
    </r>
  </si>
  <si>
    <r>
      <rPr>
        <sz val="10"/>
        <color rgb="FF000000"/>
        <rFont val="JRFonts"/>
        <charset val="134"/>
      </rPr>
      <t>25-09-2026 15:55</t>
    </r>
  </si>
  <si>
    <r>
      <rPr>
        <sz val="10"/>
        <color rgb="FF000000"/>
        <rFont val="JRFonts"/>
        <charset val="134"/>
      </rPr>
      <t>25-09-2026 10:50</t>
    </r>
  </si>
  <si>
    <r>
      <rPr>
        <sz val="10"/>
        <color rgb="FF0000FF"/>
        <rFont val="JRFonts"/>
        <charset val="134"/>
      </rPr>
      <t>24490</t>
    </r>
  </si>
  <si>
    <r>
      <rPr>
        <sz val="10"/>
        <color rgb="FF000000"/>
        <rFont val="JRFonts"/>
        <charset val="134"/>
      </rPr>
      <t>25-09-2026 10:45</t>
    </r>
  </si>
  <si>
    <r>
      <rPr>
        <sz val="10"/>
        <color rgb="FF000000"/>
        <rFont val="JRFonts"/>
        <charset val="134"/>
      </rPr>
      <t>25-09-2026 10:54</t>
    </r>
  </si>
  <si>
    <r>
      <rPr>
        <sz val="10"/>
        <color rgb="FF000000"/>
        <rFont val="JRFonts"/>
        <charset val="134"/>
      </rPr>
      <t>25-09-2026 10:51</t>
    </r>
  </si>
  <si>
    <r>
      <rPr>
        <sz val="10"/>
        <color rgb="FF0000FF"/>
        <rFont val="JRFonts"/>
        <charset val="134"/>
      </rPr>
      <t>24491</t>
    </r>
  </si>
  <si>
    <r>
      <rPr>
        <sz val="10"/>
        <color rgb="FF000000"/>
        <rFont val="JRFonts"/>
        <charset val="134"/>
      </rPr>
      <t>25-09-2026 10:48</t>
    </r>
  </si>
  <si>
    <r>
      <rPr>
        <sz val="10"/>
        <color rgb="FF000000"/>
        <rFont val="JRFonts"/>
        <charset val="134"/>
      </rPr>
      <t>25-09-2026 11:13</t>
    </r>
  </si>
  <si>
    <r>
      <rPr>
        <sz val="10"/>
        <color rgb="FF000000"/>
        <rFont val="JRFonts"/>
        <charset val="134"/>
      </rPr>
      <t>25-09-2026 10:52</t>
    </r>
  </si>
  <si>
    <r>
      <rPr>
        <sz val="10"/>
        <color rgb="FF0000FF"/>
        <rFont val="JRFonts"/>
        <charset val="134"/>
      </rPr>
      <t>24492</t>
    </r>
  </si>
  <si>
    <r>
      <rPr>
        <sz val="10"/>
        <color rgb="FF000000"/>
        <rFont val="JRFonts"/>
        <charset val="134"/>
      </rPr>
      <t>25-09-2026 11:03</t>
    </r>
  </si>
  <si>
    <r>
      <rPr>
        <sz val="10"/>
        <color rgb="FF000000"/>
        <rFont val="JRFonts"/>
        <charset val="134"/>
      </rPr>
      <t>25-09-2026 11:26</t>
    </r>
  </si>
  <si>
    <r>
      <rPr>
        <sz val="10"/>
        <color rgb="FF000000"/>
        <rFont val="JRFonts"/>
        <charset val="134"/>
      </rPr>
      <t>25-09-2026 11:09</t>
    </r>
  </si>
  <si>
    <r>
      <rPr>
        <sz val="10"/>
        <color rgb="FF0000FF"/>
        <rFont val="JRFonts"/>
        <charset val="134"/>
      </rPr>
      <t>24493</t>
    </r>
  </si>
  <si>
    <r>
      <rPr>
        <sz val="10"/>
        <color rgb="FF000000"/>
        <rFont val="JRFonts"/>
        <charset val="134"/>
      </rPr>
      <t>25-09-2026 11:23</t>
    </r>
  </si>
  <si>
    <r>
      <rPr>
        <sz val="10"/>
        <color rgb="FF000000"/>
        <rFont val="JRFonts"/>
        <charset val="134"/>
      </rPr>
      <t>25-09-2026 11:06</t>
    </r>
  </si>
  <si>
    <r>
      <rPr>
        <sz val="10"/>
        <color rgb="FF0000FF"/>
        <rFont val="JRFonts"/>
        <charset val="134"/>
      </rPr>
      <t>24494</t>
    </r>
  </si>
  <si>
    <r>
      <rPr>
        <sz val="10"/>
        <color rgb="FF000000"/>
        <rFont val="JRFonts"/>
        <charset val="134"/>
      </rPr>
      <t>25-09-2026 11:28</t>
    </r>
  </si>
  <si>
    <r>
      <rPr>
        <sz val="10"/>
        <color rgb="FF000000"/>
        <rFont val="JRFonts"/>
        <charset val="134"/>
      </rPr>
      <t>25-09-2026 11:33</t>
    </r>
  </si>
  <si>
    <r>
      <rPr>
        <sz val="10"/>
        <color rgb="FF0000FF"/>
        <rFont val="JRFonts"/>
        <charset val="134"/>
      </rPr>
      <t>24496</t>
    </r>
  </si>
  <si>
    <r>
      <rPr>
        <sz val="10"/>
        <color rgb="FF000000"/>
        <rFont val="JRFonts"/>
        <charset val="134"/>
      </rPr>
      <t>25-09-2026 11:55</t>
    </r>
  </si>
  <si>
    <r>
      <rPr>
        <sz val="10"/>
        <color rgb="FF000000"/>
        <rFont val="JRFonts"/>
        <charset val="134"/>
      </rPr>
      <t>25-09-2026 12:28</t>
    </r>
  </si>
  <si>
    <r>
      <rPr>
        <sz val="10"/>
        <color rgb="FF0000FF"/>
        <rFont val="JRFonts"/>
        <charset val="134"/>
      </rPr>
      <t>24497</t>
    </r>
  </si>
  <si>
    <r>
      <rPr>
        <sz val="10"/>
        <color rgb="FF000000"/>
        <rFont val="JRFonts"/>
        <charset val="134"/>
      </rPr>
      <t>25-09-2026 11:58</t>
    </r>
  </si>
  <si>
    <r>
      <rPr>
        <sz val="10"/>
        <color rgb="FF000000"/>
        <rFont val="JRFonts"/>
        <charset val="134"/>
      </rPr>
      <t>25-09-2026 12:38</t>
    </r>
  </si>
  <si>
    <r>
      <rPr>
        <sz val="10"/>
        <color rgb="FF000000"/>
        <rFont val="JRFonts"/>
        <charset val="134"/>
      </rPr>
      <t>25-09-2026 12:09</t>
    </r>
  </si>
  <si>
    <r>
      <rPr>
        <sz val="10"/>
        <color rgb="FF0000FF"/>
        <rFont val="JRFonts"/>
        <charset val="134"/>
      </rPr>
      <t>24498</t>
    </r>
  </si>
  <si>
    <r>
      <rPr>
        <sz val="10"/>
        <color rgb="FF000000"/>
        <rFont val="JRFonts"/>
        <charset val="134"/>
      </rPr>
      <t>25-09-2026 12:07</t>
    </r>
  </si>
  <si>
    <r>
      <rPr>
        <sz val="10"/>
        <color rgb="FF000000"/>
        <rFont val="JRFonts"/>
        <charset val="134"/>
      </rPr>
      <t>25-09-2026 12:31</t>
    </r>
  </si>
  <si>
    <r>
      <rPr>
        <sz val="10"/>
        <color rgb="FF000000"/>
        <rFont val="JRFonts"/>
        <charset val="134"/>
      </rPr>
      <t>25-09-2026 12:13</t>
    </r>
  </si>
  <si>
    <r>
      <rPr>
        <sz val="10"/>
        <color rgb="FF0000FF"/>
        <rFont val="JRFonts"/>
        <charset val="134"/>
      </rPr>
      <t>24499</t>
    </r>
  </si>
  <si>
    <r>
      <rPr>
        <sz val="10"/>
        <color rgb="FF000000"/>
        <rFont val="JRFonts"/>
        <charset val="134"/>
      </rPr>
      <t>25-09-2026 12:14</t>
    </r>
  </si>
  <si>
    <r>
      <rPr>
        <sz val="10"/>
        <color rgb="FF000000"/>
        <rFont val="JRFonts"/>
        <charset val="134"/>
      </rPr>
      <t>25-09-2026 15:16</t>
    </r>
  </si>
  <si>
    <r>
      <rPr>
        <sz val="10"/>
        <color rgb="FF000000"/>
        <rFont val="JRFonts"/>
        <charset val="134"/>
      </rPr>
      <t>25-09-2026 12:23</t>
    </r>
  </si>
  <si>
    <r>
      <rPr>
        <sz val="10"/>
        <color rgb="FF0000FF"/>
        <rFont val="JRFonts"/>
        <charset val="134"/>
      </rPr>
      <t>24501</t>
    </r>
  </si>
  <si>
    <r>
      <rPr>
        <sz val="10"/>
        <color rgb="FF000000"/>
        <rFont val="JRFonts"/>
        <charset val="134"/>
      </rPr>
      <t>25-09-2026 12:44</t>
    </r>
  </si>
  <si>
    <r>
      <rPr>
        <sz val="10"/>
        <color rgb="FF000000"/>
        <rFont val="JRFonts"/>
        <charset val="134"/>
      </rPr>
      <t>28-09-2026 17:36</t>
    </r>
  </si>
  <si>
    <r>
      <rPr>
        <sz val="10"/>
        <color rgb="FF0000FF"/>
        <rFont val="JRFonts"/>
        <charset val="134"/>
      </rPr>
      <t>24502</t>
    </r>
  </si>
  <si>
    <r>
      <rPr>
        <sz val="10"/>
        <color rgb="FF000000"/>
        <rFont val="JRFonts"/>
        <charset val="134"/>
      </rPr>
      <t>25-09-2026 12:53</t>
    </r>
  </si>
  <si>
    <r>
      <rPr>
        <sz val="10"/>
        <color rgb="FF000000"/>
        <rFont val="JRFonts"/>
        <charset val="134"/>
      </rPr>
      <t>29-09-2026 18:45</t>
    </r>
  </si>
  <si>
    <r>
      <rPr>
        <sz val="10"/>
        <color rgb="FF000000"/>
        <rFont val="JRFonts"/>
        <charset val="134"/>
      </rPr>
      <t>28-09-2026 14:56</t>
    </r>
  </si>
  <si>
    <r>
      <rPr>
        <sz val="10"/>
        <color rgb="FF0000FF"/>
        <rFont val="JRFonts"/>
        <charset val="134"/>
      </rPr>
      <t>24504</t>
    </r>
  </si>
  <si>
    <r>
      <rPr>
        <sz val="10"/>
        <color rgb="FF000000"/>
        <rFont val="JRFonts"/>
        <charset val="134"/>
      </rPr>
      <t>25-09-2026 13:11</t>
    </r>
  </si>
  <si>
    <r>
      <rPr>
        <sz val="10"/>
        <color rgb="FF000000"/>
        <rFont val="JRFonts"/>
        <charset val="134"/>
      </rPr>
      <t>01-10-2026 14:14</t>
    </r>
  </si>
  <si>
    <r>
      <rPr>
        <sz val="10"/>
        <color rgb="FF000000"/>
        <rFont val="JRFonts"/>
        <charset val="134"/>
      </rPr>
      <t>25-09-2026 14:08</t>
    </r>
  </si>
  <si>
    <t>24504</t>
  </si>
  <si>
    <r>
      <rPr>
        <sz val="10"/>
        <color rgb="FF0000FF"/>
        <rFont val="JRFonts"/>
        <charset val="134"/>
      </rPr>
      <t>24506</t>
    </r>
  </si>
  <si>
    <r>
      <rPr>
        <sz val="10"/>
        <color rgb="FF000000"/>
        <rFont val="JRFonts"/>
        <charset val="134"/>
      </rPr>
      <t>25-09-2026 13:54</t>
    </r>
  </si>
  <si>
    <r>
      <rPr>
        <sz val="10"/>
        <color rgb="FF000000"/>
        <rFont val="JRFonts"/>
        <charset val="134"/>
      </rPr>
      <t>25-09-2026 14:30</t>
    </r>
  </si>
  <si>
    <r>
      <rPr>
        <sz val="10"/>
        <color rgb="FF000000"/>
        <rFont val="JRFonts"/>
        <charset val="134"/>
      </rPr>
      <t>25-09-2026 14:10</t>
    </r>
  </si>
  <si>
    <r>
      <rPr>
        <sz val="10"/>
        <color rgb="FF0000FF"/>
        <rFont val="JRFonts"/>
        <charset val="134"/>
      </rPr>
      <t>24507</t>
    </r>
  </si>
  <si>
    <r>
      <rPr>
        <sz val="10"/>
        <color rgb="FF000000"/>
        <rFont val="JRFonts"/>
        <charset val="134"/>
      </rPr>
      <t>25-09-2026 14:39</t>
    </r>
  </si>
  <si>
    <r>
      <rPr>
        <sz val="10"/>
        <color rgb="FF000000"/>
        <rFont val="JRFonts"/>
        <charset val="134"/>
      </rPr>
      <t>25-09-2026 15:12</t>
    </r>
  </si>
  <si>
    <r>
      <rPr>
        <sz val="10"/>
        <color rgb="FF000000"/>
        <rFont val="JRFonts"/>
        <charset val="134"/>
      </rPr>
      <t>25-09-2026 14:54</t>
    </r>
  </si>
  <si>
    <r>
      <rPr>
        <sz val="10"/>
        <color rgb="FF0000FF"/>
        <rFont val="JRFonts"/>
        <charset val="134"/>
      </rPr>
      <t>24508</t>
    </r>
  </si>
  <si>
    <r>
      <rPr>
        <sz val="10"/>
        <color rgb="FF000000"/>
        <rFont val="JRFonts"/>
        <charset val="134"/>
      </rPr>
      <t>25-09-2026 14:40</t>
    </r>
  </si>
  <si>
    <r>
      <rPr>
        <sz val="10"/>
        <color rgb="FF000000"/>
        <rFont val="JRFonts"/>
        <charset val="134"/>
      </rPr>
      <t>06-10-2026 12:24</t>
    </r>
  </si>
  <si>
    <r>
      <rPr>
        <sz val="10"/>
        <color rgb="FF000000"/>
        <rFont val="JRFonts"/>
        <charset val="134"/>
      </rPr>
      <t>25-09-2026 14:55</t>
    </r>
  </si>
  <si>
    <t>24508</t>
  </si>
  <si>
    <r>
      <rPr>
        <sz val="10"/>
        <color rgb="FF0000FF"/>
        <rFont val="JRFonts"/>
        <charset val="134"/>
      </rPr>
      <t>24509</t>
    </r>
  </si>
  <si>
    <r>
      <rPr>
        <sz val="10"/>
        <color rgb="FF000000"/>
        <rFont val="JRFonts"/>
        <charset val="134"/>
      </rPr>
      <t>25-09-2026 14:58</t>
    </r>
  </si>
  <si>
    <r>
      <rPr>
        <sz val="10"/>
        <color rgb="FF000000"/>
        <rFont val="JRFonts"/>
        <charset val="134"/>
      </rPr>
      <t>25-09-2026 17:33</t>
    </r>
  </si>
  <si>
    <r>
      <rPr>
        <sz val="10"/>
        <color rgb="FF000000"/>
        <rFont val="JRFonts"/>
        <charset val="134"/>
      </rPr>
      <t>28-09-2026 10:22</t>
    </r>
  </si>
  <si>
    <r>
      <rPr>
        <sz val="10"/>
        <color rgb="FF0000FF"/>
        <rFont val="JRFonts"/>
        <charset val="134"/>
      </rPr>
      <t>24511</t>
    </r>
  </si>
  <si>
    <r>
      <rPr>
        <sz val="10"/>
        <color rgb="FF000000"/>
        <rFont val="JRFonts"/>
        <charset val="134"/>
      </rPr>
      <t>25-09-2026 18:01</t>
    </r>
  </si>
  <si>
    <r>
      <rPr>
        <sz val="10"/>
        <color rgb="FF000000"/>
        <rFont val="JRFonts"/>
        <charset val="134"/>
      </rPr>
      <t>25-09-2026 17:25</t>
    </r>
  </si>
  <si>
    <r>
      <rPr>
        <sz val="10"/>
        <color rgb="FF0000FF"/>
        <rFont val="JRFonts"/>
        <charset val="134"/>
      </rPr>
      <t>24512</t>
    </r>
  </si>
  <si>
    <r>
      <rPr>
        <sz val="10"/>
        <color rgb="FF000000"/>
        <rFont val="JRFonts"/>
        <charset val="134"/>
      </rPr>
      <t>25-09-2026 15:19</t>
    </r>
  </si>
  <si>
    <r>
      <rPr>
        <sz val="10"/>
        <color rgb="FF000000"/>
        <rFont val="JRFonts"/>
        <charset val="134"/>
      </rPr>
      <t>28-09-2026 14:38</t>
    </r>
  </si>
  <si>
    <r>
      <rPr>
        <sz val="10"/>
        <color rgb="FF000000"/>
        <rFont val="JRFonts"/>
        <charset val="134"/>
      </rPr>
      <t>25-09-2026 16:01</t>
    </r>
  </si>
  <si>
    <r>
      <rPr>
        <sz val="10"/>
        <color rgb="FF0000FF"/>
        <rFont val="JRFonts"/>
        <charset val="134"/>
      </rPr>
      <t>24513</t>
    </r>
  </si>
  <si>
    <r>
      <rPr>
        <sz val="10"/>
        <color rgb="FF000000"/>
        <rFont val="JRFonts"/>
        <charset val="134"/>
      </rPr>
      <t>05-10-2026 18:36</t>
    </r>
  </si>
  <si>
    <r>
      <rPr>
        <sz val="10"/>
        <color rgb="FF000000"/>
        <rFont val="JRFonts"/>
        <charset val="134"/>
      </rPr>
      <t>28-09-2026 10:25</t>
    </r>
  </si>
  <si>
    <t>24513</t>
  </si>
  <si>
    <r>
      <rPr>
        <sz val="10"/>
        <color rgb="FF0000FF"/>
        <rFont val="JRFonts"/>
        <charset val="134"/>
      </rPr>
      <t>24515</t>
    </r>
  </si>
  <si>
    <r>
      <rPr>
        <sz val="10"/>
        <color rgb="FF000000"/>
        <rFont val="JRFonts"/>
        <charset val="134"/>
      </rPr>
      <t>25-09-2026 15:28</t>
    </r>
  </si>
  <si>
    <r>
      <rPr>
        <sz val="10"/>
        <color rgb="FF000000"/>
        <rFont val="JRFonts"/>
        <charset val="134"/>
      </rPr>
      <t>28-09-2026 14:49</t>
    </r>
  </si>
  <si>
    <r>
      <rPr>
        <sz val="10"/>
        <color rgb="FF000000"/>
        <rFont val="JRFonts"/>
        <charset val="134"/>
      </rPr>
      <t>25-09-2026 15:41</t>
    </r>
  </si>
  <si>
    <r>
      <rPr>
        <sz val="10"/>
        <color rgb="FF0000FF"/>
        <rFont val="JRFonts"/>
        <charset val="134"/>
      </rPr>
      <t>24518</t>
    </r>
  </si>
  <si>
    <r>
      <rPr>
        <sz val="10"/>
        <color rgb="FF000000"/>
        <rFont val="JRFonts"/>
        <charset val="134"/>
      </rPr>
      <t>25-09-2026 15:49</t>
    </r>
  </si>
  <si>
    <r>
      <rPr>
        <sz val="10"/>
        <color rgb="FF000000"/>
        <rFont val="JRFonts"/>
        <charset val="134"/>
      </rPr>
      <t>29-09-2026 12:19</t>
    </r>
  </si>
  <si>
    <r>
      <rPr>
        <sz val="10"/>
        <color rgb="FF0000FF"/>
        <rFont val="JRFonts"/>
        <charset val="134"/>
      </rPr>
      <t>24519</t>
    </r>
  </si>
  <si>
    <r>
      <rPr>
        <sz val="10"/>
        <color rgb="FF000000"/>
        <rFont val="JRFonts"/>
        <charset val="134"/>
      </rPr>
      <t>26-09-2026 00:11</t>
    </r>
  </si>
  <si>
    <r>
      <rPr>
        <sz val="10"/>
        <color rgb="FF000000"/>
        <rFont val="JRFonts"/>
        <charset val="134"/>
      </rPr>
      <t>25-09-2026 15:52</t>
    </r>
  </si>
  <si>
    <r>
      <rPr>
        <sz val="10"/>
        <color rgb="FF0000FF"/>
        <rFont val="JRFonts"/>
        <charset val="134"/>
      </rPr>
      <t>24526</t>
    </r>
  </si>
  <si>
    <r>
      <rPr>
        <sz val="10"/>
        <color rgb="FF000000"/>
        <rFont val="JRFonts"/>
        <charset val="134"/>
      </rPr>
      <t>25-09-2026 17:45</t>
    </r>
  </si>
  <si>
    <r>
      <rPr>
        <sz val="10"/>
        <color rgb="FF000000"/>
        <rFont val="JRFonts"/>
        <charset val="134"/>
      </rPr>
      <t>28-09-2026 12:06</t>
    </r>
  </si>
  <si>
    <r>
      <rPr>
        <sz val="10"/>
        <color rgb="FF0000FF"/>
        <rFont val="JRFonts"/>
        <charset val="134"/>
      </rPr>
      <t>24533</t>
    </r>
  </si>
  <si>
    <r>
      <rPr>
        <sz val="10"/>
        <color rgb="FF000000"/>
        <rFont val="JRFonts"/>
        <charset val="134"/>
      </rPr>
      <t>27-09-2026 08:04</t>
    </r>
  </si>
  <si>
    <r>
      <rPr>
        <sz val="10"/>
        <color rgb="FF000000"/>
        <rFont val="JRFonts"/>
        <charset val="134"/>
      </rPr>
      <t>29-09-2026 17:30</t>
    </r>
  </si>
  <si>
    <r>
      <rPr>
        <sz val="10"/>
        <color rgb="FF000000"/>
        <rFont val="JRFonts"/>
        <charset val="134"/>
      </rPr>
      <t>28-09-2026 12:08</t>
    </r>
  </si>
  <si>
    <t>24533</t>
  </si>
  <si>
    <r>
      <rPr>
        <sz val="10"/>
        <color rgb="FF0000FF"/>
        <rFont val="JRFonts"/>
        <charset val="134"/>
      </rPr>
      <t>24543</t>
    </r>
  </si>
  <si>
    <r>
      <rPr>
        <sz val="10"/>
        <color rgb="FF000000"/>
        <rFont val="JRFonts"/>
        <charset val="134"/>
      </rPr>
      <t>27-09-2026 17:13</t>
    </r>
  </si>
  <si>
    <r>
      <rPr>
        <sz val="10"/>
        <color rgb="FF000000"/>
        <rFont val="JRFonts"/>
        <charset val="134"/>
      </rPr>
      <t>28-09-2026 16:16</t>
    </r>
  </si>
  <si>
    <r>
      <rPr>
        <sz val="10"/>
        <color rgb="FF000000"/>
        <rFont val="JRFonts"/>
        <charset val="134"/>
      </rPr>
      <t>28-09-2026 16:15</t>
    </r>
  </si>
  <si>
    <r>
      <rPr>
        <sz val="10"/>
        <color rgb="FF0000FF"/>
        <rFont val="JRFonts"/>
        <charset val="134"/>
      </rPr>
      <t>24545</t>
    </r>
  </si>
  <si>
    <r>
      <rPr>
        <sz val="10"/>
        <color rgb="FF000000"/>
        <rFont val="JRFonts"/>
        <charset val="134"/>
      </rPr>
      <t>27-09-2026 17:37</t>
    </r>
  </si>
  <si>
    <r>
      <rPr>
        <sz val="10"/>
        <color rgb="FF000000"/>
        <rFont val="JRFonts"/>
        <charset val="134"/>
      </rPr>
      <t>29-09-2026 17:42</t>
    </r>
  </si>
  <si>
    <r>
      <rPr>
        <sz val="10"/>
        <color rgb="FF000000"/>
        <rFont val="JRFonts"/>
        <charset val="134"/>
      </rPr>
      <t>28-09-2026 11:14</t>
    </r>
  </si>
  <si>
    <t>24545</t>
  </si>
  <si>
    <r>
      <rPr>
        <sz val="10"/>
        <color rgb="FF0000FF"/>
        <rFont val="JRFonts"/>
        <charset val="134"/>
      </rPr>
      <t>24549</t>
    </r>
  </si>
  <si>
    <r>
      <rPr>
        <sz val="10"/>
        <color rgb="FF000000"/>
        <rFont val="JRFonts"/>
        <charset val="134"/>
      </rPr>
      <t>28-09-2026 10:28</t>
    </r>
  </si>
  <si>
    <r>
      <rPr>
        <sz val="10"/>
        <color rgb="FF000000"/>
        <rFont val="JRFonts"/>
        <charset val="134"/>
      </rPr>
      <t>29-09-2026 11:35</t>
    </r>
  </si>
  <si>
    <r>
      <rPr>
        <sz val="10"/>
        <color rgb="FF000000"/>
        <rFont val="JRFonts"/>
        <charset val="134"/>
      </rPr>
      <t>29-09-2026 11:22</t>
    </r>
  </si>
  <si>
    <r>
      <rPr>
        <sz val="10"/>
        <color rgb="FF0000FF"/>
        <rFont val="JRFonts"/>
        <charset val="134"/>
      </rPr>
      <t>24550</t>
    </r>
  </si>
  <si>
    <r>
      <rPr>
        <sz val="10"/>
        <color rgb="FF000000"/>
        <rFont val="JRFonts"/>
        <charset val="134"/>
      </rPr>
      <t>28-09-2026 10:56</t>
    </r>
  </si>
  <si>
    <r>
      <rPr>
        <sz val="10"/>
        <color rgb="FF000000"/>
        <rFont val="JRFonts"/>
        <charset val="134"/>
      </rPr>
      <t>28-09-2026 11:50</t>
    </r>
  </si>
  <si>
    <r>
      <rPr>
        <sz val="10"/>
        <color rgb="FF000000"/>
        <rFont val="JRFonts"/>
        <charset val="134"/>
      </rPr>
      <t>28-09-2026 11:16</t>
    </r>
  </si>
  <si>
    <r>
      <rPr>
        <sz val="10"/>
        <color rgb="FF0000FF"/>
        <rFont val="JRFonts"/>
        <charset val="134"/>
      </rPr>
      <t>24551</t>
    </r>
  </si>
  <si>
    <r>
      <rPr>
        <sz val="10"/>
        <color rgb="FF000000"/>
        <rFont val="JRFonts"/>
        <charset val="134"/>
      </rPr>
      <t>28-09-2026 11:02</t>
    </r>
  </si>
  <si>
    <r>
      <rPr>
        <sz val="10"/>
        <color rgb="FF000000"/>
        <rFont val="JRFonts"/>
        <charset val="134"/>
      </rPr>
      <t>28-09-2026 16:08</t>
    </r>
  </si>
  <si>
    <r>
      <rPr>
        <sz val="10"/>
        <color rgb="FF000000"/>
        <rFont val="JRFonts"/>
        <charset val="134"/>
      </rPr>
      <t>28-09-2026 11:17</t>
    </r>
  </si>
  <si>
    <r>
      <rPr>
        <sz val="10"/>
        <color rgb="FF0000FF"/>
        <rFont val="JRFonts"/>
        <charset val="134"/>
      </rPr>
      <t>24552</t>
    </r>
  </si>
  <si>
    <r>
      <rPr>
        <sz val="10"/>
        <color rgb="FF000000"/>
        <rFont val="JRFonts"/>
        <charset val="134"/>
      </rPr>
      <t>30-09-2026 11:34</t>
    </r>
  </si>
  <si>
    <r>
      <rPr>
        <sz val="10"/>
        <color rgb="FF000000"/>
        <rFont val="JRFonts"/>
        <charset val="134"/>
      </rPr>
      <t>28-09-2026 11:25</t>
    </r>
  </si>
  <si>
    <t>24552</t>
  </si>
  <si>
    <r>
      <rPr>
        <sz val="10"/>
        <color rgb="FF0000FF"/>
        <rFont val="JRFonts"/>
        <charset val="134"/>
      </rPr>
      <t>24554</t>
    </r>
  </si>
  <si>
    <r>
      <rPr>
        <sz val="10"/>
        <color rgb="FF000000"/>
        <rFont val="JRFonts"/>
        <charset val="134"/>
      </rPr>
      <t>28-09-2026 11:56</t>
    </r>
  </si>
  <si>
    <r>
      <rPr>
        <sz val="10"/>
        <color rgb="FF000000"/>
        <rFont val="JRFonts"/>
        <charset val="134"/>
      </rPr>
      <t>28-09-2026 13:01</t>
    </r>
  </si>
  <si>
    <r>
      <rPr>
        <sz val="10"/>
        <color rgb="FF000000"/>
        <rFont val="JRFonts"/>
        <charset val="134"/>
      </rPr>
      <t>28-09-2026 12:01</t>
    </r>
  </si>
  <si>
    <r>
      <rPr>
        <sz val="10"/>
        <color rgb="FF0000FF"/>
        <rFont val="JRFonts"/>
        <charset val="134"/>
      </rPr>
      <t>24555</t>
    </r>
  </si>
  <si>
    <r>
      <rPr>
        <sz val="10"/>
        <color rgb="FF000000"/>
        <rFont val="JRFonts"/>
        <charset val="134"/>
      </rPr>
      <t>30-09-2026 12:00</t>
    </r>
  </si>
  <si>
    <r>
      <rPr>
        <sz val="10"/>
        <color rgb="FF000000"/>
        <rFont val="JRFonts"/>
        <charset val="134"/>
      </rPr>
      <t>30-09-2026 11:45</t>
    </r>
  </si>
  <si>
    <r>
      <rPr>
        <sz val="10"/>
        <color rgb="FF0000FF"/>
        <rFont val="JRFonts"/>
        <charset val="134"/>
      </rPr>
      <t>24560</t>
    </r>
  </si>
  <si>
    <r>
      <rPr>
        <sz val="10"/>
        <color rgb="FF000000"/>
        <rFont val="JRFonts"/>
        <charset val="134"/>
      </rPr>
      <t>28-09-2026 12:18</t>
    </r>
  </si>
  <si>
    <r>
      <rPr>
        <sz val="10"/>
        <color rgb="FF000000"/>
        <rFont val="JRFonts"/>
        <charset val="134"/>
      </rPr>
      <t>28-09-2026 14:46</t>
    </r>
  </si>
  <si>
    <r>
      <rPr>
        <sz val="10"/>
        <color rgb="FF000000"/>
        <rFont val="JRFonts"/>
        <charset val="134"/>
      </rPr>
      <t>28-09-2026 12:38</t>
    </r>
  </si>
  <si>
    <r>
      <rPr>
        <sz val="10"/>
        <color rgb="FF0000FF"/>
        <rFont val="JRFonts"/>
        <charset val="134"/>
      </rPr>
      <t>24564</t>
    </r>
  </si>
  <si>
    <r>
      <rPr>
        <sz val="10"/>
        <color rgb="FF000000"/>
        <rFont val="JRFonts"/>
        <charset val="134"/>
      </rPr>
      <t>28-09-2026 12:49</t>
    </r>
  </si>
  <si>
    <r>
      <rPr>
        <sz val="10"/>
        <color rgb="FF000000"/>
        <rFont val="JRFonts"/>
        <charset val="134"/>
      </rPr>
      <t>28-09-2026 15:24</t>
    </r>
  </si>
  <si>
    <r>
      <rPr>
        <sz val="10"/>
        <color rgb="FF000000"/>
        <rFont val="JRFonts"/>
        <charset val="134"/>
      </rPr>
      <t>28-09-2026 12:57</t>
    </r>
  </si>
  <si>
    <r>
      <rPr>
        <sz val="10"/>
        <color rgb="FF0000FF"/>
        <rFont val="JRFonts"/>
        <charset val="134"/>
      </rPr>
      <t>24565</t>
    </r>
  </si>
  <si>
    <r>
      <rPr>
        <sz val="10"/>
        <color rgb="FF000000"/>
        <rFont val="JRFonts"/>
        <charset val="134"/>
      </rPr>
      <t>28-09-2026 14:42</t>
    </r>
  </si>
  <si>
    <r>
      <rPr>
        <sz val="10"/>
        <color rgb="FF000000"/>
        <rFont val="JRFonts"/>
        <charset val="134"/>
      </rPr>
      <t>28-09-2026 12:59</t>
    </r>
  </si>
  <si>
    <r>
      <rPr>
        <sz val="10"/>
        <color rgb="FF0000FF"/>
        <rFont val="JRFonts"/>
        <charset val="134"/>
      </rPr>
      <t>24567</t>
    </r>
  </si>
  <si>
    <r>
      <rPr>
        <sz val="10"/>
        <color rgb="FF000000"/>
        <rFont val="JRFonts"/>
        <charset val="134"/>
      </rPr>
      <t>28-09-2026 13:16</t>
    </r>
  </si>
  <si>
    <r>
      <rPr>
        <sz val="10"/>
        <color rgb="FF000000"/>
        <rFont val="JRFonts"/>
        <charset val="134"/>
      </rPr>
      <t>28-09-2026 14:32</t>
    </r>
  </si>
  <si>
    <r>
      <rPr>
        <sz val="10"/>
        <color rgb="FF000000"/>
        <rFont val="JRFonts"/>
        <charset val="134"/>
      </rPr>
      <t>28-09-2026 14:04</t>
    </r>
  </si>
  <si>
    <r>
      <rPr>
        <sz val="10"/>
        <color rgb="FF0000FF"/>
        <rFont val="JRFonts"/>
        <charset val="134"/>
      </rPr>
      <t>24569</t>
    </r>
  </si>
  <si>
    <r>
      <rPr>
        <sz val="10"/>
        <color rgb="FF000000"/>
        <rFont val="JRFonts"/>
        <charset val="134"/>
      </rPr>
      <t>01-10-2026 15:18</t>
    </r>
  </si>
  <si>
    <r>
      <rPr>
        <sz val="10"/>
        <color rgb="FF000000"/>
        <rFont val="JRFonts"/>
        <charset val="134"/>
      </rPr>
      <t>28-09-2026 14:59</t>
    </r>
  </si>
  <si>
    <t>24569</t>
  </si>
  <si>
    <r>
      <rPr>
        <sz val="10"/>
        <color rgb="FF0000FF"/>
        <rFont val="JRFonts"/>
        <charset val="134"/>
      </rPr>
      <t>24571</t>
    </r>
  </si>
  <si>
    <r>
      <rPr>
        <sz val="10"/>
        <color rgb="FF000000"/>
        <rFont val="JRFonts"/>
        <charset val="134"/>
      </rPr>
      <t>28-09-2026 15:27</t>
    </r>
  </si>
  <si>
    <r>
      <rPr>
        <sz val="10"/>
        <color rgb="FF000000"/>
        <rFont val="JRFonts"/>
        <charset val="134"/>
      </rPr>
      <t>28-09-2026 15:43</t>
    </r>
  </si>
  <si>
    <t>24571</t>
  </si>
  <si>
    <r>
      <rPr>
        <sz val="10"/>
        <color rgb="FF0000FF"/>
        <rFont val="JRFonts"/>
        <charset val="134"/>
      </rPr>
      <t>24575</t>
    </r>
  </si>
  <si>
    <r>
      <rPr>
        <sz val="10"/>
        <color rgb="FF000000"/>
        <rFont val="JRFonts"/>
        <charset val="134"/>
      </rPr>
      <t>28-09-2026 16:21</t>
    </r>
  </si>
  <si>
    <r>
      <rPr>
        <sz val="10"/>
        <color rgb="FF000000"/>
        <rFont val="JRFonts"/>
        <charset val="134"/>
      </rPr>
      <t>28-09-2026 16:30</t>
    </r>
  </si>
  <si>
    <r>
      <rPr>
        <sz val="10"/>
        <color rgb="FF000000"/>
        <rFont val="JRFonts"/>
        <charset val="134"/>
      </rPr>
      <t>28-09-2026 16:27</t>
    </r>
  </si>
  <si>
    <r>
      <rPr>
        <sz val="10"/>
        <color rgb="FF0000FF"/>
        <rFont val="JRFonts"/>
        <charset val="134"/>
      </rPr>
      <t>24576</t>
    </r>
  </si>
  <si>
    <r>
      <rPr>
        <sz val="10"/>
        <color rgb="FF000000"/>
        <rFont val="JRFonts"/>
        <charset val="134"/>
      </rPr>
      <t>29-09-2026 14:20</t>
    </r>
  </si>
  <si>
    <r>
      <rPr>
        <sz val="10"/>
        <color rgb="FF000000"/>
        <rFont val="JRFonts"/>
        <charset val="134"/>
      </rPr>
      <t>28-09-2026 17:25</t>
    </r>
  </si>
  <si>
    <r>
      <rPr>
        <sz val="10"/>
        <color rgb="FF0000FF"/>
        <rFont val="JRFonts"/>
        <charset val="134"/>
      </rPr>
      <t>24578</t>
    </r>
  </si>
  <si>
    <r>
      <rPr>
        <sz val="10"/>
        <color rgb="FF000000"/>
        <rFont val="JRFonts"/>
        <charset val="134"/>
      </rPr>
      <t>28-09-2026 16:36</t>
    </r>
  </si>
  <si>
    <r>
      <rPr>
        <sz val="10"/>
        <color rgb="FF000000"/>
        <rFont val="JRFonts"/>
        <charset val="134"/>
      </rPr>
      <t>29-09-2026 10:36</t>
    </r>
  </si>
  <si>
    <r>
      <rPr>
        <sz val="10"/>
        <color rgb="FF000000"/>
        <rFont val="JRFonts"/>
        <charset val="134"/>
      </rPr>
      <t>28-09-2026 17:03</t>
    </r>
  </si>
  <si>
    <r>
      <rPr>
        <sz val="10"/>
        <color rgb="FF0000FF"/>
        <rFont val="JRFonts"/>
        <charset val="134"/>
      </rPr>
      <t>24579</t>
    </r>
  </si>
  <si>
    <r>
      <rPr>
        <sz val="10"/>
        <color rgb="FF000000"/>
        <rFont val="JRFonts"/>
        <charset val="134"/>
      </rPr>
      <t>29-09-2026 18:27</t>
    </r>
  </si>
  <si>
    <r>
      <rPr>
        <sz val="10"/>
        <color rgb="FF000000"/>
        <rFont val="JRFonts"/>
        <charset val="134"/>
      </rPr>
      <t>28-09-2026 17:01</t>
    </r>
  </si>
  <si>
    <r>
      <rPr>
        <sz val="10"/>
        <color rgb="FF0000FF"/>
        <rFont val="JRFonts"/>
        <charset val="134"/>
      </rPr>
      <t>24580</t>
    </r>
  </si>
  <si>
    <r>
      <rPr>
        <sz val="10"/>
        <color rgb="FF000000"/>
        <rFont val="JRFonts"/>
        <charset val="134"/>
      </rPr>
      <t>29-09-2026 14:21</t>
    </r>
  </si>
  <si>
    <r>
      <rPr>
        <sz val="10"/>
        <color rgb="FF000000"/>
        <rFont val="JRFonts"/>
        <charset val="134"/>
      </rPr>
      <t>28-09-2026 17:26</t>
    </r>
  </si>
  <si>
    <r>
      <rPr>
        <sz val="10"/>
        <color rgb="FF0000FF"/>
        <rFont val="JRFonts"/>
        <charset val="134"/>
      </rPr>
      <t>24582</t>
    </r>
  </si>
  <si>
    <r>
      <rPr>
        <sz val="10"/>
        <color rgb="FF000000"/>
        <rFont val="JRFonts"/>
        <charset val="134"/>
      </rPr>
      <t>28-09-2026 16:39</t>
    </r>
  </si>
  <si>
    <r>
      <rPr>
        <sz val="10"/>
        <color rgb="FF000000"/>
        <rFont val="JRFonts"/>
        <charset val="134"/>
      </rPr>
      <t>28-09-2026 17:14</t>
    </r>
  </si>
  <si>
    <r>
      <rPr>
        <sz val="10"/>
        <color rgb="FF000000"/>
        <rFont val="JRFonts"/>
        <charset val="134"/>
      </rPr>
      <t>28-09-2026 16:42</t>
    </r>
  </si>
  <si>
    <r>
      <rPr>
        <sz val="10"/>
        <color rgb="FF0000FF"/>
        <rFont val="JRFonts"/>
        <charset val="134"/>
      </rPr>
      <t>24583</t>
    </r>
  </si>
  <si>
    <r>
      <rPr>
        <sz val="10"/>
        <color rgb="FF000000"/>
        <rFont val="JRFonts"/>
        <charset val="134"/>
      </rPr>
      <t>28-09-2026 16:55</t>
    </r>
  </si>
  <si>
    <r>
      <rPr>
        <sz val="10"/>
        <color rgb="FF000000"/>
        <rFont val="JRFonts"/>
        <charset val="134"/>
      </rPr>
      <t>28-09-2026 17:47</t>
    </r>
  </si>
  <si>
    <r>
      <rPr>
        <sz val="10"/>
        <color rgb="FF000000"/>
        <rFont val="JRFonts"/>
        <charset val="134"/>
      </rPr>
      <t>28-09-2026 17:22</t>
    </r>
  </si>
  <si>
    <r>
      <rPr>
        <sz val="10"/>
        <color rgb="FF0000FF"/>
        <rFont val="JRFonts"/>
        <charset val="134"/>
      </rPr>
      <t>24584</t>
    </r>
  </si>
  <si>
    <r>
      <rPr>
        <sz val="10"/>
        <color rgb="FF000000"/>
        <rFont val="JRFonts"/>
        <charset val="134"/>
      </rPr>
      <t>01-10-2026 10:53</t>
    </r>
  </si>
  <si>
    <r>
      <rPr>
        <sz val="10"/>
        <color rgb="FF000000"/>
        <rFont val="JRFonts"/>
        <charset val="134"/>
      </rPr>
      <t>28-09-2026 17:20</t>
    </r>
  </si>
  <si>
    <t>24584</t>
  </si>
  <si>
    <r>
      <rPr>
        <sz val="10"/>
        <color rgb="FF0000FF"/>
        <rFont val="JRFonts"/>
        <charset val="134"/>
      </rPr>
      <t>24585</t>
    </r>
  </si>
  <si>
    <r>
      <rPr>
        <sz val="10"/>
        <color rgb="FF000000"/>
        <rFont val="JRFonts"/>
        <charset val="134"/>
      </rPr>
      <t>28-09-2026 17:07</t>
    </r>
  </si>
  <si>
    <r>
      <rPr>
        <sz val="10"/>
        <color rgb="FF000000"/>
        <rFont val="JRFonts"/>
        <charset val="134"/>
      </rPr>
      <t>29-09-2026 10:21</t>
    </r>
  </si>
  <si>
    <r>
      <rPr>
        <sz val="10"/>
        <color rgb="FF000000"/>
        <rFont val="JRFonts"/>
        <charset val="134"/>
      </rPr>
      <t>28-09-2026 17:15</t>
    </r>
  </si>
  <si>
    <r>
      <rPr>
        <sz val="10"/>
        <color rgb="FF0000FF"/>
        <rFont val="JRFonts"/>
        <charset val="134"/>
      </rPr>
      <t>24587</t>
    </r>
  </si>
  <si>
    <r>
      <rPr>
        <sz val="10"/>
        <color rgb="FF000000"/>
        <rFont val="JRFonts"/>
        <charset val="134"/>
      </rPr>
      <t>28-09-2026 20:06</t>
    </r>
  </si>
  <si>
    <r>
      <rPr>
        <sz val="10"/>
        <color rgb="FF000000"/>
        <rFont val="JRFonts"/>
        <charset val="134"/>
      </rPr>
      <t>29-09-2026 16:07</t>
    </r>
  </si>
  <si>
    <r>
      <rPr>
        <sz val="10"/>
        <color rgb="FF000000"/>
        <rFont val="JRFonts"/>
        <charset val="134"/>
      </rPr>
      <t>29-09-2026 16:03</t>
    </r>
  </si>
  <si>
    <r>
      <rPr>
        <sz val="10"/>
        <color rgb="FF0000FF"/>
        <rFont val="JRFonts"/>
        <charset val="134"/>
      </rPr>
      <t>24588</t>
    </r>
  </si>
  <si>
    <r>
      <rPr>
        <sz val="10"/>
        <color rgb="FF000000"/>
        <rFont val="JRFonts"/>
        <charset val="134"/>
      </rPr>
      <t>29-09-2026 10:08</t>
    </r>
  </si>
  <si>
    <r>
      <rPr>
        <sz val="10"/>
        <color rgb="FF000000"/>
        <rFont val="JRFonts"/>
        <charset val="134"/>
      </rPr>
      <t>01-10-2026 15:19</t>
    </r>
  </si>
  <si>
    <r>
      <rPr>
        <sz val="10"/>
        <color rgb="FF000000"/>
        <rFont val="JRFonts"/>
        <charset val="134"/>
      </rPr>
      <t>29-09-2026 10:17</t>
    </r>
  </si>
  <si>
    <r>
      <rPr>
        <sz val="10"/>
        <color rgb="FF0000FF"/>
        <rFont val="JRFonts"/>
        <charset val="134"/>
      </rPr>
      <t>24591</t>
    </r>
  </si>
  <si>
    <r>
      <rPr>
        <sz val="10"/>
        <color rgb="FF000000"/>
        <rFont val="JRFonts"/>
        <charset val="134"/>
      </rPr>
      <t>29-09-2026 10:27</t>
    </r>
  </si>
  <si>
    <r>
      <rPr>
        <sz val="10"/>
        <color rgb="FF000000"/>
        <rFont val="JRFonts"/>
        <charset val="134"/>
      </rPr>
      <t>29-09-2026 14:45</t>
    </r>
  </si>
  <si>
    <r>
      <rPr>
        <sz val="10"/>
        <color rgb="FF000000"/>
        <rFont val="JRFonts"/>
        <charset val="134"/>
      </rPr>
      <t>29-09-2026 12:02</t>
    </r>
  </si>
  <si>
    <r>
      <rPr>
        <sz val="10"/>
        <color rgb="FF0000FF"/>
        <rFont val="JRFonts"/>
        <charset val="134"/>
      </rPr>
      <t>24592</t>
    </r>
  </si>
  <si>
    <r>
      <rPr>
        <sz val="10"/>
        <color rgb="FF000000"/>
        <rFont val="JRFonts"/>
        <charset val="134"/>
      </rPr>
      <t>29-09-2026 10:30</t>
    </r>
  </si>
  <si>
    <r>
      <rPr>
        <sz val="10"/>
        <color rgb="FF000000"/>
        <rFont val="JRFonts"/>
        <charset val="134"/>
      </rPr>
      <t>29-09-2026 10:37</t>
    </r>
  </si>
  <si>
    <t>24592</t>
  </si>
  <si>
    <r>
      <rPr>
        <sz val="10"/>
        <color rgb="FF0000FF"/>
        <rFont val="JRFonts"/>
        <charset val="134"/>
      </rPr>
      <t>24593</t>
    </r>
  </si>
  <si>
    <r>
      <rPr>
        <sz val="10"/>
        <color rgb="FF000000"/>
        <rFont val="JRFonts"/>
        <charset val="134"/>
      </rPr>
      <t>29-09-2026 10:33</t>
    </r>
  </si>
  <si>
    <r>
      <rPr>
        <sz val="10"/>
        <color rgb="FF000000"/>
        <rFont val="JRFonts"/>
        <charset val="134"/>
      </rPr>
      <t>29-09-2026 12:04</t>
    </r>
  </si>
  <si>
    <r>
      <rPr>
        <sz val="10"/>
        <color rgb="FF000000"/>
        <rFont val="JRFonts"/>
        <charset val="134"/>
      </rPr>
      <t>29-09-2026 10:38</t>
    </r>
  </si>
  <si>
    <r>
      <rPr>
        <sz val="10"/>
        <color rgb="FF0000FF"/>
        <rFont val="JRFonts"/>
        <charset val="134"/>
      </rPr>
      <t>24594</t>
    </r>
  </si>
  <si>
    <r>
      <rPr>
        <sz val="10"/>
        <color rgb="FF000000"/>
        <rFont val="JRFonts"/>
        <charset val="134"/>
      </rPr>
      <t>29-09-2026 10:45</t>
    </r>
  </si>
  <si>
    <r>
      <rPr>
        <sz val="10"/>
        <color rgb="FF000000"/>
        <rFont val="JRFonts"/>
        <charset val="134"/>
      </rPr>
      <t>30-09-2026 15:26</t>
    </r>
  </si>
  <si>
    <r>
      <rPr>
        <sz val="10"/>
        <color rgb="FF000000"/>
        <rFont val="JRFonts"/>
        <charset val="134"/>
      </rPr>
      <t>29-09-2026 10:54</t>
    </r>
  </si>
  <si>
    <t>24594</t>
  </si>
  <si>
    <r>
      <rPr>
        <sz val="10"/>
        <color rgb="FF0000FF"/>
        <rFont val="JRFonts"/>
        <charset val="134"/>
      </rPr>
      <t>24595</t>
    </r>
  </si>
  <si>
    <r>
      <rPr>
        <sz val="10"/>
        <color rgb="FF000000"/>
        <rFont val="JRFonts"/>
        <charset val="134"/>
      </rPr>
      <t>29-09-2026 10:48</t>
    </r>
  </si>
  <si>
    <r>
      <rPr>
        <sz val="10"/>
        <color rgb="FF000000"/>
        <rFont val="JRFonts"/>
        <charset val="134"/>
      </rPr>
      <t>29-09-2026 12:18</t>
    </r>
  </si>
  <si>
    <r>
      <rPr>
        <sz val="10"/>
        <color rgb="FF000000"/>
        <rFont val="JRFonts"/>
        <charset val="134"/>
      </rPr>
      <t>29-09-2026 12:05</t>
    </r>
  </si>
  <si>
    <r>
      <rPr>
        <sz val="10"/>
        <color rgb="FF0000FF"/>
        <rFont val="JRFonts"/>
        <charset val="134"/>
      </rPr>
      <t>24604</t>
    </r>
  </si>
  <si>
    <r>
      <rPr>
        <sz val="10"/>
        <color rgb="FF000000"/>
        <rFont val="JRFonts"/>
        <charset val="134"/>
      </rPr>
      <t>29-09-2026 12:23</t>
    </r>
  </si>
  <si>
    <r>
      <rPr>
        <sz val="10"/>
        <color rgb="FF000000"/>
        <rFont val="JRFonts"/>
        <charset val="134"/>
      </rPr>
      <t>29-09-2026 12:38</t>
    </r>
  </si>
  <si>
    <r>
      <rPr>
        <sz val="10"/>
        <color rgb="FF000000"/>
        <rFont val="JRFonts"/>
        <charset val="134"/>
      </rPr>
      <t>29-09-2026 12:31</t>
    </r>
  </si>
  <si>
    <r>
      <rPr>
        <sz val="10"/>
        <color rgb="FF0000FF"/>
        <rFont val="JRFonts"/>
        <charset val="134"/>
      </rPr>
      <t>24606</t>
    </r>
  </si>
  <si>
    <r>
      <rPr>
        <sz val="10"/>
        <color rgb="FF000000"/>
        <rFont val="JRFonts"/>
        <charset val="134"/>
      </rPr>
      <t>29-09-2026 12:29</t>
    </r>
  </si>
  <si>
    <r>
      <rPr>
        <sz val="10"/>
        <color rgb="FF000000"/>
        <rFont val="JRFonts"/>
        <charset val="134"/>
      </rPr>
      <t>29-09-2026 14:37</t>
    </r>
  </si>
  <si>
    <r>
      <rPr>
        <sz val="10"/>
        <color rgb="FF000000"/>
        <rFont val="JRFonts"/>
        <charset val="134"/>
      </rPr>
      <t>29-09-2026 12:32</t>
    </r>
  </si>
  <si>
    <r>
      <rPr>
        <sz val="10"/>
        <color rgb="FF0000FF"/>
        <rFont val="JRFonts"/>
        <charset val="134"/>
      </rPr>
      <t>24607</t>
    </r>
  </si>
  <si>
    <r>
      <rPr>
        <sz val="10"/>
        <color rgb="FF000000"/>
        <rFont val="JRFonts"/>
        <charset val="134"/>
      </rPr>
      <t>29-09-2026 16:37</t>
    </r>
  </si>
  <si>
    <r>
      <rPr>
        <sz val="10"/>
        <color rgb="FF000000"/>
        <rFont val="JRFonts"/>
        <charset val="134"/>
      </rPr>
      <t>29-09-2026 12:34</t>
    </r>
  </si>
  <si>
    <t>24607</t>
  </si>
  <si>
    <r>
      <rPr>
        <sz val="10"/>
        <color rgb="FF0000FF"/>
        <rFont val="JRFonts"/>
        <charset val="134"/>
      </rPr>
      <t>24608</t>
    </r>
  </si>
  <si>
    <r>
      <rPr>
        <sz val="10"/>
        <color rgb="FF000000"/>
        <rFont val="JRFonts"/>
        <charset val="134"/>
      </rPr>
      <t>29-09-2026 12:53</t>
    </r>
  </si>
  <si>
    <r>
      <rPr>
        <sz val="10"/>
        <color rgb="FF000000"/>
        <rFont val="JRFonts"/>
        <charset val="134"/>
      </rPr>
      <t>01-10-2026 11:09</t>
    </r>
  </si>
  <si>
    <r>
      <rPr>
        <sz val="10"/>
        <color rgb="FF000000"/>
        <rFont val="JRFonts"/>
        <charset val="134"/>
      </rPr>
      <t>29-09-2026 16:47</t>
    </r>
  </si>
  <si>
    <r>
      <rPr>
        <sz val="10"/>
        <color rgb="FF0000FF"/>
        <rFont val="JRFonts"/>
        <charset val="134"/>
      </rPr>
      <t>24612</t>
    </r>
  </si>
  <si>
    <r>
      <rPr>
        <sz val="10"/>
        <color rgb="FF000000"/>
        <rFont val="JRFonts"/>
        <charset val="134"/>
      </rPr>
      <t>29-09-2026 13:42</t>
    </r>
  </si>
  <si>
    <r>
      <rPr>
        <sz val="10"/>
        <color rgb="FF000000"/>
        <rFont val="JRFonts"/>
        <charset val="134"/>
      </rPr>
      <t>29-09-2026 18:23</t>
    </r>
  </si>
  <si>
    <r>
      <rPr>
        <sz val="10"/>
        <color rgb="FF000000"/>
        <rFont val="JRFonts"/>
        <charset val="134"/>
      </rPr>
      <t>29-09-2026 14:06</t>
    </r>
  </si>
  <si>
    <r>
      <rPr>
        <sz val="10"/>
        <color rgb="FF0000FF"/>
        <rFont val="JRFonts"/>
        <charset val="134"/>
      </rPr>
      <t>24614</t>
    </r>
  </si>
  <si>
    <r>
      <rPr>
        <sz val="10"/>
        <color rgb="FF000000"/>
        <rFont val="JRFonts"/>
        <charset val="134"/>
      </rPr>
      <t>29-09-2026 14:55</t>
    </r>
  </si>
  <si>
    <r>
      <rPr>
        <sz val="10"/>
        <color rgb="FF000000"/>
        <rFont val="JRFonts"/>
        <charset val="134"/>
      </rPr>
      <t>29-09-2026 15:07</t>
    </r>
  </si>
  <si>
    <r>
      <rPr>
        <sz val="10"/>
        <color rgb="FF000000"/>
        <rFont val="JRFonts"/>
        <charset val="134"/>
      </rPr>
      <t>29-09-2026 15:03</t>
    </r>
  </si>
  <si>
    <r>
      <rPr>
        <sz val="10"/>
        <color rgb="FF0000FF"/>
        <rFont val="JRFonts"/>
        <charset val="134"/>
      </rPr>
      <t>24615</t>
    </r>
  </si>
  <si>
    <r>
      <rPr>
        <sz val="10"/>
        <color rgb="FF000000"/>
        <rFont val="JRFonts"/>
        <charset val="134"/>
      </rPr>
      <t>29-09-2026 14:58</t>
    </r>
  </si>
  <si>
    <r>
      <rPr>
        <sz val="10"/>
        <color rgb="FF000000"/>
        <rFont val="JRFonts"/>
        <charset val="134"/>
      </rPr>
      <t>30-09-2026 12:34</t>
    </r>
  </si>
  <si>
    <r>
      <rPr>
        <sz val="10"/>
        <color rgb="FF000000"/>
        <rFont val="JRFonts"/>
        <charset val="134"/>
      </rPr>
      <t>29-09-2026 15:00</t>
    </r>
  </si>
  <si>
    <r>
      <rPr>
        <sz val="10"/>
        <color rgb="FF0000FF"/>
        <rFont val="JRFonts"/>
        <charset val="134"/>
      </rPr>
      <t>24621</t>
    </r>
  </si>
  <si>
    <r>
      <rPr>
        <sz val="10"/>
        <color rgb="FF000000"/>
        <rFont val="JRFonts"/>
        <charset val="134"/>
      </rPr>
      <t>29-09-2026 16:41</t>
    </r>
  </si>
  <si>
    <r>
      <rPr>
        <sz val="10"/>
        <color rgb="FF000000"/>
        <rFont val="JRFonts"/>
        <charset val="134"/>
      </rPr>
      <t>29-09-2026 16:55</t>
    </r>
  </si>
  <si>
    <r>
      <rPr>
        <sz val="10"/>
        <color rgb="FF0000FF"/>
        <rFont val="JRFonts"/>
        <charset val="134"/>
      </rPr>
      <t>24623</t>
    </r>
  </si>
  <si>
    <r>
      <rPr>
        <sz val="10"/>
        <color rgb="FF000000"/>
        <rFont val="JRFonts"/>
        <charset val="134"/>
      </rPr>
      <t>29-09-2026 16:59</t>
    </r>
  </si>
  <si>
    <r>
      <rPr>
        <sz val="10"/>
        <color rgb="FF000000"/>
        <rFont val="JRFonts"/>
        <charset val="134"/>
      </rPr>
      <t>29-09-2026 18:25</t>
    </r>
  </si>
  <si>
    <r>
      <rPr>
        <sz val="10"/>
        <color rgb="FF000000"/>
        <rFont val="JRFonts"/>
        <charset val="134"/>
      </rPr>
      <t>29-09-2026 17:04</t>
    </r>
  </si>
  <si>
    <r>
      <rPr>
        <sz val="10"/>
        <color rgb="FF0000FF"/>
        <rFont val="JRFonts"/>
        <charset val="134"/>
      </rPr>
      <t>24624</t>
    </r>
  </si>
  <si>
    <r>
      <rPr>
        <sz val="10"/>
        <color rgb="FF000000"/>
        <rFont val="JRFonts"/>
        <charset val="134"/>
      </rPr>
      <t>29-09-2026 17:08</t>
    </r>
  </si>
  <si>
    <r>
      <rPr>
        <sz val="10"/>
        <color rgb="FF000000"/>
        <rFont val="JRFonts"/>
        <charset val="134"/>
      </rPr>
      <t>29-09-2026 17:50</t>
    </r>
  </si>
  <si>
    <r>
      <rPr>
        <sz val="10"/>
        <color rgb="FF000000"/>
        <rFont val="JRFonts"/>
        <charset val="134"/>
      </rPr>
      <t>29-09-2026 17:09</t>
    </r>
  </si>
  <si>
    <r>
      <rPr>
        <sz val="10"/>
        <color rgb="FF0000FF"/>
        <rFont val="JRFonts"/>
        <charset val="134"/>
      </rPr>
      <t>24628</t>
    </r>
  </si>
  <si>
    <r>
      <rPr>
        <sz val="10"/>
        <color rgb="FF000000"/>
        <rFont val="JRFonts"/>
        <charset val="134"/>
      </rPr>
      <t>29-09-2026 18:12</t>
    </r>
  </si>
  <si>
    <r>
      <rPr>
        <sz val="10"/>
        <color rgb="FF000000"/>
        <rFont val="JRFonts"/>
        <charset val="134"/>
      </rPr>
      <t>29-09-2026 18:26</t>
    </r>
  </si>
  <si>
    <r>
      <rPr>
        <sz val="10"/>
        <color rgb="FF0000FF"/>
        <rFont val="JRFonts"/>
        <charset val="134"/>
      </rPr>
      <t>24631</t>
    </r>
  </si>
  <si>
    <r>
      <rPr>
        <sz val="10"/>
        <color rgb="FF000000"/>
        <rFont val="JRFonts"/>
        <charset val="134"/>
      </rPr>
      <t>30-09-2026 10:01</t>
    </r>
  </si>
  <si>
    <r>
      <rPr>
        <sz val="10"/>
        <color rgb="FF000000"/>
        <rFont val="JRFonts"/>
        <charset val="134"/>
      </rPr>
      <t>01-10-2026 14:12</t>
    </r>
  </si>
  <si>
    <r>
      <rPr>
        <sz val="10"/>
        <color rgb="FF000000"/>
        <rFont val="JRFonts"/>
        <charset val="134"/>
      </rPr>
      <t>30-09-2026 10:13</t>
    </r>
  </si>
  <si>
    <r>
      <rPr>
        <sz val="10"/>
        <color rgb="FF0000FF"/>
        <rFont val="JRFonts"/>
        <charset val="134"/>
      </rPr>
      <t>24632</t>
    </r>
  </si>
  <si>
    <r>
      <rPr>
        <sz val="10"/>
        <color rgb="FF000000"/>
        <rFont val="JRFonts"/>
        <charset val="134"/>
      </rPr>
      <t>30-09-2026 10:16</t>
    </r>
  </si>
  <si>
    <r>
      <rPr>
        <sz val="10"/>
        <color rgb="FF000000"/>
        <rFont val="JRFonts"/>
        <charset val="134"/>
      </rPr>
      <t>30-09-2026 12:18</t>
    </r>
  </si>
  <si>
    <r>
      <rPr>
        <sz val="10"/>
        <color rgb="FF000000"/>
        <rFont val="JRFonts"/>
        <charset val="134"/>
      </rPr>
      <t>30-09-2026 10:41</t>
    </r>
  </si>
  <si>
    <r>
      <rPr>
        <sz val="10"/>
        <color rgb="FF0000FF"/>
        <rFont val="JRFonts"/>
        <charset val="134"/>
      </rPr>
      <t>24636</t>
    </r>
  </si>
  <si>
    <r>
      <rPr>
        <sz val="10"/>
        <color rgb="FF000000"/>
        <rFont val="JRFonts"/>
        <charset val="134"/>
      </rPr>
      <t>30-09-2026 10:53</t>
    </r>
  </si>
  <si>
    <r>
      <rPr>
        <sz val="10"/>
        <color rgb="FF000000"/>
        <rFont val="JRFonts"/>
        <charset val="134"/>
      </rPr>
      <t>01-10-2026 12:54</t>
    </r>
  </si>
  <si>
    <r>
      <rPr>
        <sz val="10"/>
        <color rgb="FF000000"/>
        <rFont val="JRFonts"/>
        <charset val="134"/>
      </rPr>
      <t>01-10-2026 10:21</t>
    </r>
  </si>
  <si>
    <r>
      <rPr>
        <sz val="10"/>
        <color rgb="FF0000FF"/>
        <rFont val="JRFonts"/>
        <charset val="134"/>
      </rPr>
      <t>24637</t>
    </r>
  </si>
  <si>
    <r>
      <rPr>
        <sz val="10"/>
        <color rgb="FF000000"/>
        <rFont val="JRFonts"/>
        <charset val="134"/>
      </rPr>
      <t>30-09-2026 10:56</t>
    </r>
  </si>
  <si>
    <r>
      <rPr>
        <sz val="10"/>
        <color rgb="FF000000"/>
        <rFont val="JRFonts"/>
        <charset val="134"/>
      </rPr>
      <t>30-09-2026 11:10</t>
    </r>
  </si>
  <si>
    <r>
      <rPr>
        <sz val="10"/>
        <color rgb="FF000000"/>
        <rFont val="JRFonts"/>
        <charset val="134"/>
      </rPr>
      <t>30-09-2026 11:02</t>
    </r>
  </si>
  <si>
    <r>
      <rPr>
        <sz val="10"/>
        <color rgb="FF0000FF"/>
        <rFont val="JRFonts"/>
        <charset val="134"/>
      </rPr>
      <t>24640</t>
    </r>
  </si>
  <si>
    <r>
      <rPr>
        <sz val="10"/>
        <color rgb="FF000000"/>
        <rFont val="JRFonts"/>
        <charset val="134"/>
      </rPr>
      <t>30-09-2026 11:56</t>
    </r>
  </si>
  <si>
    <r>
      <rPr>
        <sz val="10"/>
        <color rgb="FF000000"/>
        <rFont val="JRFonts"/>
        <charset val="134"/>
      </rPr>
      <t>30-09-2026 14:21</t>
    </r>
  </si>
  <si>
    <r>
      <rPr>
        <sz val="10"/>
        <color rgb="FF000000"/>
        <rFont val="JRFonts"/>
        <charset val="134"/>
      </rPr>
      <t>30-09-2026 12:08</t>
    </r>
  </si>
  <si>
    <r>
      <rPr>
        <sz val="10"/>
        <color rgb="FF0000FF"/>
        <rFont val="JRFonts"/>
        <charset val="134"/>
      </rPr>
      <t>24641</t>
    </r>
  </si>
  <si>
    <r>
      <rPr>
        <sz val="10"/>
        <color rgb="FF000000"/>
        <rFont val="JRFonts"/>
        <charset val="134"/>
      </rPr>
      <t>30-09-2026 12:36</t>
    </r>
  </si>
  <si>
    <r>
      <rPr>
        <sz val="10"/>
        <color rgb="FF000000"/>
        <rFont val="JRFonts"/>
        <charset val="134"/>
      </rPr>
      <t>06-10-2026 16:42</t>
    </r>
  </si>
  <si>
    <r>
      <rPr>
        <sz val="10"/>
        <color rgb="FF000000"/>
        <rFont val="JRFonts"/>
        <charset val="134"/>
      </rPr>
      <t>30-09-2026 12:40</t>
    </r>
  </si>
  <si>
    <t>24641</t>
  </si>
  <si>
    <r>
      <rPr>
        <sz val="10"/>
        <color rgb="FF0000FF"/>
        <rFont val="JRFonts"/>
        <charset val="134"/>
      </rPr>
      <t>24642</t>
    </r>
  </si>
  <si>
    <r>
      <rPr>
        <sz val="10"/>
        <color rgb="FF000000"/>
        <rFont val="JRFonts"/>
        <charset val="134"/>
      </rPr>
      <t>30-09-2026 12:45</t>
    </r>
  </si>
  <si>
    <r>
      <rPr>
        <sz val="10"/>
        <color rgb="FF000000"/>
        <rFont val="JRFonts"/>
        <charset val="134"/>
      </rPr>
      <t>30-09-2026 17:44</t>
    </r>
  </si>
  <si>
    <r>
      <rPr>
        <sz val="10"/>
        <color rgb="FF000000"/>
        <rFont val="JRFonts"/>
        <charset val="134"/>
      </rPr>
      <t>30-09-2026 12:47</t>
    </r>
  </si>
  <si>
    <r>
      <rPr>
        <sz val="10"/>
        <color rgb="FF0000FF"/>
        <rFont val="JRFonts"/>
        <charset val="134"/>
      </rPr>
      <t>24645</t>
    </r>
  </si>
  <si>
    <r>
      <rPr>
        <sz val="10"/>
        <color rgb="FF000000"/>
        <rFont val="JRFonts"/>
        <charset val="134"/>
      </rPr>
      <t>30-09-2026 13:21</t>
    </r>
  </si>
  <si>
    <r>
      <rPr>
        <sz val="10"/>
        <color rgb="FF000000"/>
        <rFont val="JRFonts"/>
        <charset val="134"/>
      </rPr>
      <t>30-09-2026 14:11</t>
    </r>
  </si>
  <si>
    <r>
      <rPr>
        <sz val="10"/>
        <color rgb="FF000000"/>
        <rFont val="JRFonts"/>
        <charset val="134"/>
      </rPr>
      <t>30-09-2026 14:10</t>
    </r>
  </si>
  <si>
    <r>
      <rPr>
        <sz val="10"/>
        <color rgb="FF0000FF"/>
        <rFont val="JRFonts"/>
        <charset val="134"/>
      </rPr>
      <t>24649</t>
    </r>
  </si>
  <si>
    <r>
      <rPr>
        <sz val="10"/>
        <color rgb="FF000000"/>
        <rFont val="JRFonts"/>
        <charset val="134"/>
      </rPr>
      <t>30-09-2026 13:58</t>
    </r>
  </si>
  <si>
    <r>
      <rPr>
        <sz val="10"/>
        <color rgb="FF000000"/>
        <rFont val="JRFonts"/>
        <charset val="134"/>
      </rPr>
      <t>01-10-2026 10:47</t>
    </r>
  </si>
  <si>
    <r>
      <rPr>
        <sz val="10"/>
        <color rgb="FF000000"/>
        <rFont val="JRFonts"/>
        <charset val="134"/>
      </rPr>
      <t>30-09-2026 14:13</t>
    </r>
  </si>
  <si>
    <r>
      <rPr>
        <sz val="10"/>
        <color rgb="FF0000FF"/>
        <rFont val="JRFonts"/>
        <charset val="134"/>
      </rPr>
      <t>24651</t>
    </r>
  </si>
  <si>
    <r>
      <rPr>
        <sz val="10"/>
        <color rgb="FF000000"/>
        <rFont val="JRFonts"/>
        <charset val="134"/>
      </rPr>
      <t>06-10-2026 14:22</t>
    </r>
  </si>
  <si>
    <r>
      <rPr>
        <sz val="10"/>
        <color rgb="FF000000"/>
        <rFont val="JRFonts"/>
        <charset val="134"/>
      </rPr>
      <t>30-09-2026 16:38</t>
    </r>
  </si>
  <si>
    <t>24651</t>
  </si>
  <si>
    <r>
      <rPr>
        <sz val="10"/>
        <color rgb="FF0000FF"/>
        <rFont val="JRFonts"/>
        <charset val="134"/>
      </rPr>
      <t>24652</t>
    </r>
  </si>
  <si>
    <r>
      <rPr>
        <sz val="10"/>
        <color rgb="FF000000"/>
        <rFont val="JRFonts"/>
        <charset val="134"/>
      </rPr>
      <t>30-09-2026 14:49</t>
    </r>
  </si>
  <si>
    <r>
      <rPr>
        <sz val="10"/>
        <color rgb="FF000000"/>
        <rFont val="JRFonts"/>
        <charset val="134"/>
      </rPr>
      <t>30-09-2026 15:13</t>
    </r>
  </si>
  <si>
    <r>
      <rPr>
        <sz val="10"/>
        <color rgb="FF000000"/>
        <rFont val="JRFonts"/>
        <charset val="134"/>
      </rPr>
      <t>30-09-2026 14:55</t>
    </r>
  </si>
  <si>
    <r>
      <rPr>
        <sz val="10"/>
        <color rgb="FF0000FF"/>
        <rFont val="JRFonts"/>
        <charset val="134"/>
      </rPr>
      <t>24658</t>
    </r>
  </si>
  <si>
    <r>
      <rPr>
        <sz val="10"/>
        <color rgb="FF000000"/>
        <rFont val="JRFonts"/>
        <charset val="134"/>
      </rPr>
      <t>30-09-2026 15:17</t>
    </r>
  </si>
  <si>
    <r>
      <rPr>
        <sz val="10"/>
        <color rgb="FF000000"/>
        <rFont val="JRFonts"/>
        <charset val="134"/>
      </rPr>
      <t>30-09-2026 15:44</t>
    </r>
  </si>
  <si>
    <r>
      <rPr>
        <sz val="10"/>
        <color rgb="FF000000"/>
        <rFont val="JRFonts"/>
        <charset val="134"/>
      </rPr>
      <t>30-09-2026 15:24</t>
    </r>
  </si>
  <si>
    <r>
      <rPr>
        <sz val="10"/>
        <color rgb="FF0000FF"/>
        <rFont val="JRFonts"/>
        <charset val="134"/>
      </rPr>
      <t>24659</t>
    </r>
  </si>
  <si>
    <r>
      <rPr>
        <sz val="10"/>
        <color rgb="FF000000"/>
        <rFont val="JRFonts"/>
        <charset val="134"/>
      </rPr>
      <t>30-09-2026 15:20</t>
    </r>
  </si>
  <si>
    <r>
      <rPr>
        <sz val="10"/>
        <color rgb="FF000000"/>
        <rFont val="JRFonts"/>
        <charset val="134"/>
      </rPr>
      <t>30-09-2026 15:45</t>
    </r>
  </si>
  <si>
    <r>
      <rPr>
        <sz val="10"/>
        <color rgb="FF000000"/>
        <rFont val="JRFonts"/>
        <charset val="134"/>
      </rPr>
      <t>30-09-2026 15:23</t>
    </r>
  </si>
  <si>
    <r>
      <rPr>
        <sz val="10"/>
        <color rgb="FF0000FF"/>
        <rFont val="JRFonts"/>
        <charset val="134"/>
      </rPr>
      <t>24661</t>
    </r>
  </si>
  <si>
    <r>
      <rPr>
        <sz val="10"/>
        <color rgb="FF000000"/>
        <rFont val="JRFonts"/>
        <charset val="134"/>
      </rPr>
      <t>30-09-2026 16:20</t>
    </r>
  </si>
  <si>
    <r>
      <rPr>
        <sz val="10"/>
        <color rgb="FF000000"/>
        <rFont val="JRFonts"/>
        <charset val="134"/>
      </rPr>
      <t>30-09-2026 16:56</t>
    </r>
  </si>
  <si>
    <r>
      <rPr>
        <sz val="10"/>
        <color rgb="FF000000"/>
        <rFont val="JRFonts"/>
        <charset val="134"/>
      </rPr>
      <t>30-09-2026 16:24</t>
    </r>
  </si>
  <si>
    <r>
      <rPr>
        <sz val="10"/>
        <color rgb="FF0000FF"/>
        <rFont val="JRFonts"/>
        <charset val="134"/>
      </rPr>
      <t>24662</t>
    </r>
  </si>
  <si>
    <r>
      <rPr>
        <sz val="10"/>
        <color rgb="FF000000"/>
        <rFont val="JRFonts"/>
        <charset val="134"/>
      </rPr>
      <t>30-09-2026 16:48</t>
    </r>
  </si>
  <si>
    <r>
      <rPr>
        <sz val="10"/>
        <color rgb="FF000000"/>
        <rFont val="JRFonts"/>
        <charset val="134"/>
      </rPr>
      <t>30-09-2026 16:51</t>
    </r>
  </si>
  <si>
    <r>
      <rPr>
        <sz val="10"/>
        <color rgb="FF0000FF"/>
        <rFont val="JRFonts"/>
        <charset val="134"/>
      </rPr>
      <t>24664</t>
    </r>
  </si>
  <si>
    <r>
      <rPr>
        <sz val="10"/>
        <color rgb="FF000000"/>
        <rFont val="JRFonts"/>
        <charset val="134"/>
      </rPr>
      <t>30-09-2026 16:57</t>
    </r>
  </si>
  <si>
    <r>
      <rPr>
        <sz val="10"/>
        <color rgb="FF000000"/>
        <rFont val="JRFonts"/>
        <charset val="134"/>
      </rPr>
      <t>30-09-2026 17:42</t>
    </r>
  </si>
  <si>
    <r>
      <rPr>
        <sz val="10"/>
        <color rgb="FF000000"/>
        <rFont val="JRFonts"/>
        <charset val="134"/>
      </rPr>
      <t>30-09-2026 17:10</t>
    </r>
  </si>
  <si>
    <r>
      <rPr>
        <sz val="10"/>
        <color rgb="FF0000FF"/>
        <rFont val="JRFonts"/>
        <charset val="134"/>
      </rPr>
      <t>24665</t>
    </r>
  </si>
  <si>
    <r>
      <rPr>
        <sz val="10"/>
        <color rgb="FF000000"/>
        <rFont val="JRFonts"/>
        <charset val="134"/>
      </rPr>
      <t>30-09-2026 17:00</t>
    </r>
  </si>
  <si>
    <r>
      <rPr>
        <sz val="10"/>
        <color rgb="FF000000"/>
        <rFont val="JRFonts"/>
        <charset val="134"/>
      </rPr>
      <t>05-10-2026 11:06</t>
    </r>
  </si>
  <si>
    <r>
      <rPr>
        <sz val="10"/>
        <color rgb="FF000000"/>
        <rFont val="JRFonts"/>
        <charset val="134"/>
      </rPr>
      <t>30-09-2026 17:11</t>
    </r>
  </si>
  <si>
    <t>24665</t>
  </si>
  <si>
    <r>
      <rPr>
        <sz val="10"/>
        <color rgb="FF0000FF"/>
        <rFont val="JRFonts"/>
        <charset val="134"/>
      </rPr>
      <t>24668</t>
    </r>
  </si>
  <si>
    <r>
      <rPr>
        <sz val="10"/>
        <color rgb="FF000000"/>
        <rFont val="JRFonts"/>
        <charset val="134"/>
      </rPr>
      <t>30-09-2026 17:21</t>
    </r>
  </si>
  <si>
    <r>
      <rPr>
        <sz val="10"/>
        <color rgb="FF000000"/>
        <rFont val="JRFonts"/>
        <charset val="134"/>
      </rPr>
      <t>30-09-2026 17:33</t>
    </r>
  </si>
  <si>
    <r>
      <rPr>
        <sz val="10"/>
        <color rgb="FF0000FF"/>
        <rFont val="JRFonts"/>
        <charset val="134"/>
      </rPr>
      <t>24669</t>
    </r>
  </si>
  <si>
    <r>
      <rPr>
        <sz val="10"/>
        <color rgb="FF000000"/>
        <rFont val="JRFonts"/>
        <charset val="134"/>
      </rPr>
      <t>30-09-2026 17:39</t>
    </r>
  </si>
  <si>
    <r>
      <rPr>
        <sz val="10"/>
        <color rgb="FF000000"/>
        <rFont val="JRFonts"/>
        <charset val="134"/>
      </rPr>
      <t>30-09-2026 18:04</t>
    </r>
  </si>
  <si>
    <r>
      <rPr>
        <sz val="10"/>
        <color rgb="FF000000"/>
        <rFont val="JRFonts"/>
        <charset val="134"/>
      </rPr>
      <t>30-09-2026 17:45</t>
    </r>
  </si>
  <si>
    <r>
      <rPr>
        <sz val="10"/>
        <color rgb="FF0000FF"/>
        <rFont val="JRFonts"/>
        <charset val="134"/>
      </rPr>
      <t>24671</t>
    </r>
  </si>
  <si>
    <r>
      <rPr>
        <sz val="10"/>
        <color rgb="FF000000"/>
        <rFont val="JRFonts"/>
        <charset val="134"/>
      </rPr>
      <t>30-09-2026 18:07</t>
    </r>
  </si>
  <si>
    <r>
      <rPr>
        <sz val="10"/>
        <color rgb="FF000000"/>
        <rFont val="JRFonts"/>
        <charset val="134"/>
      </rPr>
      <t>30-09-2026 18:22</t>
    </r>
  </si>
  <si>
    <r>
      <rPr>
        <sz val="10"/>
        <color rgb="FF000000"/>
        <rFont val="JRFonts"/>
        <charset val="134"/>
      </rPr>
      <t>30-09-2026 18:16</t>
    </r>
  </si>
  <si>
    <r>
      <rPr>
        <sz val="10"/>
        <color rgb="FF0000FF"/>
        <rFont val="JRFonts"/>
        <charset val="134"/>
      </rPr>
      <t>24672</t>
    </r>
  </si>
  <si>
    <r>
      <rPr>
        <sz val="10"/>
        <color rgb="FF000000"/>
        <rFont val="JRFonts"/>
        <charset val="134"/>
      </rPr>
      <t>30-09-2026 18:10</t>
    </r>
  </si>
  <si>
    <r>
      <rPr>
        <sz val="10"/>
        <color rgb="FF000000"/>
        <rFont val="JRFonts"/>
        <charset val="134"/>
      </rPr>
      <t>30-09-2026 18:37</t>
    </r>
  </si>
  <si>
    <r>
      <rPr>
        <sz val="10"/>
        <color rgb="FF000000"/>
        <rFont val="JRFonts"/>
        <charset val="134"/>
      </rPr>
      <t>30-09-2026 18:17</t>
    </r>
  </si>
  <si>
    <r>
      <rPr>
        <sz val="10"/>
        <color rgb="FF0000FF"/>
        <rFont val="JRFonts"/>
        <charset val="134"/>
      </rPr>
      <t>24673</t>
    </r>
  </si>
  <si>
    <r>
      <rPr>
        <sz val="10"/>
        <color rgb="FF000000"/>
        <rFont val="JRFonts"/>
        <charset val="134"/>
      </rPr>
      <t>30-09-2026 18:13</t>
    </r>
  </si>
  <si>
    <r>
      <rPr>
        <sz val="10"/>
        <color rgb="FF000000"/>
        <rFont val="JRFonts"/>
        <charset val="134"/>
      </rPr>
      <t>30-09-2026 18:31</t>
    </r>
  </si>
  <si>
    <r>
      <rPr>
        <sz val="10"/>
        <color rgb="FF0000FF"/>
        <rFont val="JRFonts"/>
        <charset val="134"/>
      </rPr>
      <t>24674</t>
    </r>
  </si>
  <si>
    <r>
      <rPr>
        <sz val="10"/>
        <color rgb="FF000000"/>
        <rFont val="JRFonts"/>
        <charset val="134"/>
      </rPr>
      <t>30-09-2026 18:43</t>
    </r>
  </si>
  <si>
    <r>
      <rPr>
        <sz val="10"/>
        <color rgb="FF000000"/>
        <rFont val="JRFonts"/>
        <charset val="134"/>
      </rPr>
      <t>05-10-2026 16:04</t>
    </r>
  </si>
  <si>
    <r>
      <rPr>
        <sz val="10"/>
        <color rgb="FF000000"/>
        <rFont val="JRFonts"/>
        <charset val="134"/>
      </rPr>
      <t>01-10-2026 10:24</t>
    </r>
  </si>
  <si>
    <r>
      <rPr>
        <sz val="10"/>
        <color rgb="FF0000FF"/>
        <rFont val="JRFonts"/>
        <charset val="134"/>
      </rPr>
      <t>24677</t>
    </r>
  </si>
  <si>
    <r>
      <rPr>
        <sz val="10"/>
        <color rgb="FF000000"/>
        <rFont val="JRFonts"/>
        <charset val="134"/>
      </rPr>
      <t>30-09-2026 20:17</t>
    </r>
  </si>
  <si>
    <r>
      <rPr>
        <sz val="10"/>
        <color rgb="FF000000"/>
        <rFont val="JRFonts"/>
        <charset val="134"/>
      </rPr>
      <t>01-10-2026 10:17</t>
    </r>
  </si>
  <si>
    <r>
      <rPr>
        <sz val="10"/>
        <color rgb="FF0000FF"/>
        <rFont val="JRFonts"/>
        <charset val="134"/>
      </rPr>
      <t>24678</t>
    </r>
  </si>
  <si>
    <r>
      <rPr>
        <sz val="10"/>
        <color rgb="FF000000"/>
        <rFont val="JRFonts"/>
        <charset val="134"/>
      </rPr>
      <t>30-09-2026 21:36</t>
    </r>
  </si>
  <si>
    <r>
      <rPr>
        <sz val="10"/>
        <color rgb="FF000000"/>
        <rFont val="JRFonts"/>
        <charset val="134"/>
      </rPr>
      <t>01-10-2026 17:49</t>
    </r>
  </si>
  <si>
    <r>
      <rPr>
        <sz val="10"/>
        <color rgb="FF000000"/>
        <rFont val="JRFonts"/>
        <charset val="134"/>
      </rPr>
      <t>01-10-2026 10:22</t>
    </r>
  </si>
  <si>
    <t>s</t>
  </si>
  <si>
    <t>Month - July</t>
  </si>
  <si>
    <t>Within SLA (A)</t>
  </si>
  <si>
    <t>SLA Violated (B)</t>
  </si>
  <si>
    <t>Values (Not Assigned) (C)</t>
  </si>
  <si>
    <t>Total Tickets (D=A+B+C)</t>
  </si>
  <si>
    <t>Total Tickets-Not Assigned (E=D-C)</t>
  </si>
  <si>
    <t>Resolution Time (%) (F=A/E*100)</t>
  </si>
  <si>
    <t>Service Level Target Compliance (G)</t>
  </si>
  <si>
    <t>Shortfall (%) (H=G-F)</t>
  </si>
  <si>
    <t>Shortfall in SLT by</t>
  </si>
  <si>
    <t>Penalty</t>
  </si>
  <si>
    <t>All</t>
  </si>
  <si>
    <t>&gt;8%</t>
  </si>
  <si>
    <t>Except Mudra</t>
  </si>
  <si>
    <t>Month -Aug</t>
  </si>
  <si>
    <t>Month - Sept</t>
  </si>
  <si>
    <t>sssss</t>
  </si>
  <si>
    <t>Expect Mudra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</si>
</sst>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JRFonts"/>
      <charset val="134"/>
    </font>
    <font>
      <b/>
      <sz val="11"/>
      <color theme="1"/>
      <name val="Calibri"/>
      <charset val="134"/>
      <scheme val="minor"/>
    </font>
    <font>
      <sz val="10"/>
      <color rgb="FF0000FF"/>
      <name val="JRFonts"/>
      <charset val="134"/>
    </font>
    <font>
      <sz val="10"/>
      <color rgb="FF000000"/>
      <name val="JRFonts"/>
      <charset val="134"/>
    </font>
    <font>
      <sz val="10"/>
      <color rgb="FF800080"/>
      <name val="JRFont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0EB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0" applyFo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180" fontId="0" fillId="0" borderId="1" xfId="0" applyNumberFormat="1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/>
    </xf>
    <xf numFmtId="10" fontId="0" fillId="0" borderId="1" xfId="3" applyNumberFormat="1" applyFont="1" applyFill="1" applyBorder="1" applyAlignment="1">
      <alignment horizontal="right"/>
    </xf>
    <xf numFmtId="10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9" fontId="0" fillId="0" borderId="1" xfId="0" applyNumberFormat="1" applyFill="1" applyBorder="1" applyAlignment="1">
      <alignment horizontal="right"/>
    </xf>
    <xf numFmtId="0" fontId="0" fillId="3" borderId="0" xfId="0" applyFont="1" applyFill="1">
      <alignment vertical="center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right" vertical="top" wrapText="1"/>
    </xf>
    <xf numFmtId="0" fontId="4" fillId="7" borderId="1" xfId="0" applyNumberFormat="1" applyFont="1" applyFill="1" applyBorder="1" applyAlignment="1" applyProtection="1">
      <alignment horizontal="left" vertical="top" wrapText="1"/>
    </xf>
    <xf numFmtId="0" fontId="4" fillId="7" borderId="1" xfId="0" applyNumberFormat="1" applyFont="1" applyFill="1" applyBorder="1" applyAlignment="1" applyProtection="1">
      <alignment horizontal="right" vertical="top" wrapText="1"/>
    </xf>
    <xf numFmtId="0" fontId="0" fillId="0" borderId="1" xfId="0" applyFill="1" applyBorder="1" applyAlignment="1">
      <alignment vertical="center"/>
    </xf>
    <xf numFmtId="0" fontId="5" fillId="7" borderId="1" xfId="0" applyNumberFormat="1" applyFont="1" applyFill="1" applyBorder="1" applyAlignment="1" applyProtection="1">
      <alignment horizontal="center" vertical="top" wrapText="1"/>
    </xf>
    <xf numFmtId="0" fontId="0" fillId="3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3" fillId="7" borderId="1" xfId="0" applyNumberFormat="1" applyFont="1" applyFill="1" applyBorder="1" applyAlignment="1" applyProtection="1">
      <alignment horizontal="center" vertical="top" wrapText="1"/>
    </xf>
    <xf numFmtId="0" fontId="0" fillId="0" borderId="1" xfId="0" applyFill="1" applyBorder="1" applyAlignment="1">
      <alignment horizontal="center"/>
    </xf>
    <xf numFmtId="0" fontId="5" fillId="7" borderId="1" xfId="0" applyNumberFormat="1" applyFont="1" applyFill="1" applyBorder="1" applyAlignment="1" applyProtection="1">
      <alignment horizontal="right" vertical="top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ncgtc.sdpondemand.manageengine.in/app/apphelpdesk/ui/requests/14047000006097005/details" TargetMode="External"/><Relationship Id="rId998" Type="http://schemas.openxmlformats.org/officeDocument/2006/relationships/hyperlink" Target="https://ncgtc.sdpondemand.manageengine.in/app/apphelpdesk/ui/requests/14047000006083992/details" TargetMode="External"/><Relationship Id="rId997" Type="http://schemas.openxmlformats.org/officeDocument/2006/relationships/hyperlink" Target="https://ncgtc.sdpondemand.manageengine.in/app/apphelpdesk/ui/requests/14047000006083952/details" TargetMode="External"/><Relationship Id="rId996" Type="http://schemas.openxmlformats.org/officeDocument/2006/relationships/hyperlink" Target="https://ncgtc.sdpondemand.manageengine.in/app/apphelpdesk/ui/requests/14047000006083931/details" TargetMode="External"/><Relationship Id="rId995" Type="http://schemas.openxmlformats.org/officeDocument/2006/relationships/hyperlink" Target="https://ncgtc.sdpondemand.manageengine.in/app/apphelpdesk/ui/requests/14047000006083901/details" TargetMode="External"/><Relationship Id="rId994" Type="http://schemas.openxmlformats.org/officeDocument/2006/relationships/hyperlink" Target="https://ncgtc.sdpondemand.manageengine.in/app/apphelpdesk/ui/requests/14047000006083885/details" TargetMode="External"/><Relationship Id="rId993" Type="http://schemas.openxmlformats.org/officeDocument/2006/relationships/hyperlink" Target="https://ncgtc.sdpondemand.manageengine.in/app/apphelpdesk/ui/requests/14047000006083854/details" TargetMode="External"/><Relationship Id="rId992" Type="http://schemas.openxmlformats.org/officeDocument/2006/relationships/hyperlink" Target="https://ncgtc.sdpondemand.manageengine.in/app/apphelpdesk/ui/requests/14047000006083842/details" TargetMode="External"/><Relationship Id="rId991" Type="http://schemas.openxmlformats.org/officeDocument/2006/relationships/hyperlink" Target="https://ncgtc.sdpondemand.manageengine.in/app/apphelpdesk/ui/requests/14047000006083828/details" TargetMode="External"/><Relationship Id="rId990" Type="http://schemas.openxmlformats.org/officeDocument/2006/relationships/hyperlink" Target="https://ncgtc.sdpondemand.manageengine.in/app/apphelpdesk/ui/requests/14047000006083816/details" TargetMode="External"/><Relationship Id="rId99" Type="http://schemas.openxmlformats.org/officeDocument/2006/relationships/hyperlink" Target="https://ncgtc.sdpondemand.manageengine.in/app/apphelpdesk/ui/requests/14047000005872388/details" TargetMode="External"/><Relationship Id="rId989" Type="http://schemas.openxmlformats.org/officeDocument/2006/relationships/hyperlink" Target="https://ncgtc.sdpondemand.manageengine.in/app/apphelpdesk/ui/requests/14047000006083803/details" TargetMode="External"/><Relationship Id="rId988" Type="http://schemas.openxmlformats.org/officeDocument/2006/relationships/hyperlink" Target="https://ncgtc.sdpondemand.manageengine.in/app/apphelpdesk/ui/requests/14047000006083786/details" TargetMode="External"/><Relationship Id="rId987" Type="http://schemas.openxmlformats.org/officeDocument/2006/relationships/hyperlink" Target="https://ncgtc.sdpondemand.manageengine.in/app/apphelpdesk/ui/requests/14047000006083749/details" TargetMode="External"/><Relationship Id="rId986" Type="http://schemas.openxmlformats.org/officeDocument/2006/relationships/hyperlink" Target="https://ncgtc.sdpondemand.manageengine.in/app/apphelpdesk/ui/requests/14047000006083726/details" TargetMode="External"/><Relationship Id="rId985" Type="http://schemas.openxmlformats.org/officeDocument/2006/relationships/hyperlink" Target="https://ncgtc.sdpondemand.manageengine.in/app/apphelpdesk/ui/requests/14047000006083683/details" TargetMode="External"/><Relationship Id="rId984" Type="http://schemas.openxmlformats.org/officeDocument/2006/relationships/hyperlink" Target="https://ncgtc.sdpondemand.manageengine.in/app/apphelpdesk/ui/requests/14047000006083643/details" TargetMode="External"/><Relationship Id="rId983" Type="http://schemas.openxmlformats.org/officeDocument/2006/relationships/hyperlink" Target="https://ncgtc.sdpondemand.manageengine.in/app/apphelpdesk/ui/requests/14047000006083611/details" TargetMode="External"/><Relationship Id="rId982" Type="http://schemas.openxmlformats.org/officeDocument/2006/relationships/hyperlink" Target="https://ncgtc.sdpondemand.manageengine.in/app/apphelpdesk/ui/requests/14047000006083585/details" TargetMode="External"/><Relationship Id="rId981" Type="http://schemas.openxmlformats.org/officeDocument/2006/relationships/hyperlink" Target="https://ncgtc.sdpondemand.manageengine.in/app/apphelpdesk/ui/requests/14047000006083572/details" TargetMode="External"/><Relationship Id="rId980" Type="http://schemas.openxmlformats.org/officeDocument/2006/relationships/hyperlink" Target="https://ncgtc.sdpondemand.manageengine.in/app/apphelpdesk/ui/requests/14047000006083520/details" TargetMode="External"/><Relationship Id="rId98" Type="http://schemas.openxmlformats.org/officeDocument/2006/relationships/hyperlink" Target="https://ncgtc.sdpondemand.manageengine.in/app/apphelpdesk/ui/requests/14047000005872373/details" TargetMode="External"/><Relationship Id="rId979" Type="http://schemas.openxmlformats.org/officeDocument/2006/relationships/hyperlink" Target="https://ncgtc.sdpondemand.manageengine.in/app/apphelpdesk/ui/requests/14047000006083507/details" TargetMode="External"/><Relationship Id="rId978" Type="http://schemas.openxmlformats.org/officeDocument/2006/relationships/hyperlink" Target="https://ncgtc.sdpondemand.manageengine.in/app/apphelpdesk/ui/requests/14047000006083410/details" TargetMode="External"/><Relationship Id="rId977" Type="http://schemas.openxmlformats.org/officeDocument/2006/relationships/hyperlink" Target="https://ncgtc.sdpondemand.manageengine.in/app/apphelpdesk/ui/requests/14047000006083391/details" TargetMode="External"/><Relationship Id="rId976" Type="http://schemas.openxmlformats.org/officeDocument/2006/relationships/hyperlink" Target="https://ncgtc.sdpondemand.manageengine.in/app/apphelpdesk/ui/requests/14047000006083330/details" TargetMode="External"/><Relationship Id="rId975" Type="http://schemas.openxmlformats.org/officeDocument/2006/relationships/hyperlink" Target="https://ncgtc.sdpondemand.manageengine.in/app/apphelpdesk/ui/requests/14047000006083315/details" TargetMode="External"/><Relationship Id="rId974" Type="http://schemas.openxmlformats.org/officeDocument/2006/relationships/hyperlink" Target="https://ncgtc.sdpondemand.manageengine.in/app/apphelpdesk/ui/requests/14047000006083303/details" TargetMode="External"/><Relationship Id="rId973" Type="http://schemas.openxmlformats.org/officeDocument/2006/relationships/hyperlink" Target="https://ncgtc.sdpondemand.manageengine.in/app/apphelpdesk/ui/requests/14047000006083283/details" TargetMode="External"/><Relationship Id="rId972" Type="http://schemas.openxmlformats.org/officeDocument/2006/relationships/hyperlink" Target="https://ncgtc.sdpondemand.manageengine.in/app/apphelpdesk/ui/requests/14047000006083271/details" TargetMode="External"/><Relationship Id="rId971" Type="http://schemas.openxmlformats.org/officeDocument/2006/relationships/hyperlink" Target="https://ncgtc.sdpondemand.manageengine.in/app/apphelpdesk/ui/requests/14047000006083256/details" TargetMode="External"/><Relationship Id="rId970" Type="http://schemas.openxmlformats.org/officeDocument/2006/relationships/hyperlink" Target="https://ncgtc.sdpondemand.manageengine.in/app/apphelpdesk/ui/requests/14047000006083228/details" TargetMode="External"/><Relationship Id="rId97" Type="http://schemas.openxmlformats.org/officeDocument/2006/relationships/hyperlink" Target="https://ncgtc.sdpondemand.manageengine.in/app/apphelpdesk/ui/requests/14047000005872337/details" TargetMode="External"/><Relationship Id="rId969" Type="http://schemas.openxmlformats.org/officeDocument/2006/relationships/hyperlink" Target="https://ncgtc.sdpondemand.manageengine.in/app/apphelpdesk/ui/requests/14047000006083205/details" TargetMode="External"/><Relationship Id="rId968" Type="http://schemas.openxmlformats.org/officeDocument/2006/relationships/hyperlink" Target="https://ncgtc.sdpondemand.manageengine.in/app/apphelpdesk/ui/requests/14047000006083187/details" TargetMode="External"/><Relationship Id="rId967" Type="http://schemas.openxmlformats.org/officeDocument/2006/relationships/hyperlink" Target="https://ncgtc.sdpondemand.manageengine.in/app/apphelpdesk/ui/requests/14047000006083117/details" TargetMode="External"/><Relationship Id="rId966" Type="http://schemas.openxmlformats.org/officeDocument/2006/relationships/hyperlink" Target="https://ncgtc.sdpondemand.manageengine.in/app/apphelpdesk/ui/requests/14047000006083065/details" TargetMode="External"/><Relationship Id="rId965" Type="http://schemas.openxmlformats.org/officeDocument/2006/relationships/hyperlink" Target="https://ncgtc.sdpondemand.manageengine.in/app/apphelpdesk/ui/requests/14047000006083021/details" TargetMode="External"/><Relationship Id="rId964" Type="http://schemas.openxmlformats.org/officeDocument/2006/relationships/hyperlink" Target="https://ncgtc.sdpondemand.manageengine.in/app/apphelpdesk/ui/requests/14047000006083002/details" TargetMode="External"/><Relationship Id="rId963" Type="http://schemas.openxmlformats.org/officeDocument/2006/relationships/hyperlink" Target="https://ncgtc.sdpondemand.manageengine.in/app/apphelpdesk/ui/requests/14047000006080164/details" TargetMode="External"/><Relationship Id="rId962" Type="http://schemas.openxmlformats.org/officeDocument/2006/relationships/hyperlink" Target="https://ncgtc.sdpondemand.manageengine.in/app/apphelpdesk/ui/requests/14047000006080152/details" TargetMode="External"/><Relationship Id="rId961" Type="http://schemas.openxmlformats.org/officeDocument/2006/relationships/hyperlink" Target="https://ncgtc.sdpondemand.manageengine.in/app/apphelpdesk/ui/requests/14047000006080099/details" TargetMode="External"/><Relationship Id="rId960" Type="http://schemas.openxmlformats.org/officeDocument/2006/relationships/hyperlink" Target="https://ncgtc.sdpondemand.manageengine.in/app/apphelpdesk/ui/requests/14047000006080082/details" TargetMode="External"/><Relationship Id="rId96" Type="http://schemas.openxmlformats.org/officeDocument/2006/relationships/hyperlink" Target="https://ncgtc.sdpondemand.manageengine.in/app/apphelpdesk/ui/requests/14047000005872286/details" TargetMode="External"/><Relationship Id="rId959" Type="http://schemas.openxmlformats.org/officeDocument/2006/relationships/hyperlink" Target="https://ncgtc.sdpondemand.manageengine.in/app/apphelpdesk/ui/requests/14047000006080047/details" TargetMode="External"/><Relationship Id="rId958" Type="http://schemas.openxmlformats.org/officeDocument/2006/relationships/hyperlink" Target="https://ncgtc.sdpondemand.manageengine.in/app/apphelpdesk/ui/requests/14047000006080013/details" TargetMode="External"/><Relationship Id="rId957" Type="http://schemas.openxmlformats.org/officeDocument/2006/relationships/hyperlink" Target="https://ncgtc.sdpondemand.manageengine.in/app/apphelpdesk/ui/requests/14047000006080001/details" TargetMode="External"/><Relationship Id="rId956" Type="http://schemas.openxmlformats.org/officeDocument/2006/relationships/hyperlink" Target="https://ncgtc.sdpondemand.manageengine.in/app/apphelpdesk/ui/requests/14047000006075987/details" TargetMode="External"/><Relationship Id="rId955" Type="http://schemas.openxmlformats.org/officeDocument/2006/relationships/hyperlink" Target="https://ncgtc.sdpondemand.manageengine.in/app/apphelpdesk/ui/requests/14047000006075956/details" TargetMode="External"/><Relationship Id="rId954" Type="http://schemas.openxmlformats.org/officeDocument/2006/relationships/hyperlink" Target="https://ncgtc.sdpondemand.manageengine.in/app/apphelpdesk/ui/requests/14047000006075938/details" TargetMode="External"/><Relationship Id="rId953" Type="http://schemas.openxmlformats.org/officeDocument/2006/relationships/hyperlink" Target="https://ncgtc.sdpondemand.manageengine.in/app/apphelpdesk/ui/requests/14047000006075919/details" TargetMode="External"/><Relationship Id="rId952" Type="http://schemas.openxmlformats.org/officeDocument/2006/relationships/hyperlink" Target="https://ncgtc.sdpondemand.manageengine.in/app/apphelpdesk/ui/requests/14047000006075895/details" TargetMode="External"/><Relationship Id="rId951" Type="http://schemas.openxmlformats.org/officeDocument/2006/relationships/hyperlink" Target="https://ncgtc.sdpondemand.manageengine.in/app/apphelpdesk/ui/requests/14047000006075877/details" TargetMode="External"/><Relationship Id="rId950" Type="http://schemas.openxmlformats.org/officeDocument/2006/relationships/hyperlink" Target="https://ncgtc.sdpondemand.manageengine.in/app/apphelpdesk/ui/requests/14047000006075843/details" TargetMode="External"/><Relationship Id="rId95" Type="http://schemas.openxmlformats.org/officeDocument/2006/relationships/hyperlink" Target="https://ncgtc.sdpondemand.manageengine.in/app/apphelpdesk/ui/requests/14047000005872274/details" TargetMode="External"/><Relationship Id="rId949" Type="http://schemas.openxmlformats.org/officeDocument/2006/relationships/hyperlink" Target="https://ncgtc.sdpondemand.manageengine.in/app/apphelpdesk/ui/requests/14047000006075803/details" TargetMode="External"/><Relationship Id="rId948" Type="http://schemas.openxmlformats.org/officeDocument/2006/relationships/hyperlink" Target="https://ncgtc.sdpondemand.manageengine.in/app/apphelpdesk/ui/requests/14047000006075758/details" TargetMode="External"/><Relationship Id="rId947" Type="http://schemas.openxmlformats.org/officeDocument/2006/relationships/hyperlink" Target="https://ncgtc.sdpondemand.manageengine.in/app/apphelpdesk/ui/requests/14047000006075745/details" TargetMode="External"/><Relationship Id="rId946" Type="http://schemas.openxmlformats.org/officeDocument/2006/relationships/hyperlink" Target="https://ncgtc.sdpondemand.manageengine.in/app/apphelpdesk/ui/requests/14047000006075725/details" TargetMode="External"/><Relationship Id="rId945" Type="http://schemas.openxmlformats.org/officeDocument/2006/relationships/hyperlink" Target="https://ncgtc.sdpondemand.manageengine.in/app/apphelpdesk/ui/requests/14047000006075713/details" TargetMode="External"/><Relationship Id="rId944" Type="http://schemas.openxmlformats.org/officeDocument/2006/relationships/hyperlink" Target="https://ncgtc.sdpondemand.manageengine.in/app/apphelpdesk/ui/requests/14047000006075691/details" TargetMode="External"/><Relationship Id="rId943" Type="http://schemas.openxmlformats.org/officeDocument/2006/relationships/hyperlink" Target="https://ncgtc.sdpondemand.manageengine.in/app/apphelpdesk/ui/requests/14047000006075670/details" TargetMode="External"/><Relationship Id="rId942" Type="http://schemas.openxmlformats.org/officeDocument/2006/relationships/hyperlink" Target="https://ncgtc.sdpondemand.manageengine.in/app/apphelpdesk/ui/requests/14047000006075658/details" TargetMode="External"/><Relationship Id="rId941" Type="http://schemas.openxmlformats.org/officeDocument/2006/relationships/hyperlink" Target="https://ncgtc.sdpondemand.manageengine.in/app/apphelpdesk/ui/requests/14047000006075637/details" TargetMode="External"/><Relationship Id="rId940" Type="http://schemas.openxmlformats.org/officeDocument/2006/relationships/hyperlink" Target="https://ncgtc.sdpondemand.manageengine.in/app/apphelpdesk/ui/requests/14047000006075618/details" TargetMode="External"/><Relationship Id="rId94" Type="http://schemas.openxmlformats.org/officeDocument/2006/relationships/hyperlink" Target="https://ncgtc.sdpondemand.manageengine.in/app/apphelpdesk/ui/requests/14047000005872239/details" TargetMode="External"/><Relationship Id="rId939" Type="http://schemas.openxmlformats.org/officeDocument/2006/relationships/hyperlink" Target="https://ncgtc.sdpondemand.manageengine.in/app/apphelpdesk/ui/requests/14047000006075591/details" TargetMode="External"/><Relationship Id="rId938" Type="http://schemas.openxmlformats.org/officeDocument/2006/relationships/hyperlink" Target="https://ncgtc.sdpondemand.manageengine.in/app/apphelpdesk/ui/requests/14047000006075573/details" TargetMode="External"/><Relationship Id="rId937" Type="http://schemas.openxmlformats.org/officeDocument/2006/relationships/hyperlink" Target="https://ncgtc.sdpondemand.manageengine.in/app/apphelpdesk/ui/requests/14047000006075530/details" TargetMode="External"/><Relationship Id="rId936" Type="http://schemas.openxmlformats.org/officeDocument/2006/relationships/hyperlink" Target="https://ncgtc.sdpondemand.manageengine.in/app/apphelpdesk/ui/requests/14047000006075507/details" TargetMode="External"/><Relationship Id="rId935" Type="http://schemas.openxmlformats.org/officeDocument/2006/relationships/hyperlink" Target="https://ncgtc.sdpondemand.manageengine.in/app/apphelpdesk/ui/requests/14047000006075495/details" TargetMode="External"/><Relationship Id="rId934" Type="http://schemas.openxmlformats.org/officeDocument/2006/relationships/hyperlink" Target="https://ncgtc.sdpondemand.manageengine.in/app/apphelpdesk/ui/requests/14047000006075478/details" TargetMode="External"/><Relationship Id="rId933" Type="http://schemas.openxmlformats.org/officeDocument/2006/relationships/hyperlink" Target="https://ncgtc.sdpondemand.manageengine.in/app/apphelpdesk/ui/requests/14047000006075393/details" TargetMode="External"/><Relationship Id="rId932" Type="http://schemas.openxmlformats.org/officeDocument/2006/relationships/hyperlink" Target="https://ncgtc.sdpondemand.manageengine.in/app/apphelpdesk/ui/requests/14047000006075379/details" TargetMode="External"/><Relationship Id="rId931" Type="http://schemas.openxmlformats.org/officeDocument/2006/relationships/hyperlink" Target="https://ncgtc.sdpondemand.manageengine.in/app/apphelpdesk/ui/requests/14047000006075348/details" TargetMode="External"/><Relationship Id="rId930" Type="http://schemas.openxmlformats.org/officeDocument/2006/relationships/hyperlink" Target="https://ncgtc.sdpondemand.manageengine.in/app/apphelpdesk/ui/requests/14047000006075334/details" TargetMode="External"/><Relationship Id="rId93" Type="http://schemas.openxmlformats.org/officeDocument/2006/relationships/hyperlink" Target="https://ncgtc.sdpondemand.manageengine.in/app/apphelpdesk/ui/requests/14047000005872171/details" TargetMode="External"/><Relationship Id="rId929" Type="http://schemas.openxmlformats.org/officeDocument/2006/relationships/hyperlink" Target="https://ncgtc.sdpondemand.manageengine.in/app/apphelpdesk/ui/requests/14047000006075303/details" TargetMode="External"/><Relationship Id="rId928" Type="http://schemas.openxmlformats.org/officeDocument/2006/relationships/hyperlink" Target="https://ncgtc.sdpondemand.manageengine.in/app/apphelpdesk/ui/requests/14047000006075273/details" TargetMode="External"/><Relationship Id="rId927" Type="http://schemas.openxmlformats.org/officeDocument/2006/relationships/hyperlink" Target="https://ncgtc.sdpondemand.manageengine.in/app/apphelpdesk/ui/requests/14047000006075227/details" TargetMode="External"/><Relationship Id="rId926" Type="http://schemas.openxmlformats.org/officeDocument/2006/relationships/hyperlink" Target="https://ncgtc.sdpondemand.manageengine.in/app/apphelpdesk/ui/requests/14047000006075156/details" TargetMode="External"/><Relationship Id="rId925" Type="http://schemas.openxmlformats.org/officeDocument/2006/relationships/hyperlink" Target="https://ncgtc.sdpondemand.manageengine.in/app/apphelpdesk/ui/requests/14047000006075143/details" TargetMode="External"/><Relationship Id="rId924" Type="http://schemas.openxmlformats.org/officeDocument/2006/relationships/hyperlink" Target="https://ncgtc.sdpondemand.manageengine.in/app/apphelpdesk/ui/requests/14047000006075129/details" TargetMode="External"/><Relationship Id="rId923" Type="http://schemas.openxmlformats.org/officeDocument/2006/relationships/hyperlink" Target="https://ncgtc.sdpondemand.manageengine.in/app/apphelpdesk/ui/requests/14047000006075116/details" TargetMode="External"/><Relationship Id="rId922" Type="http://schemas.openxmlformats.org/officeDocument/2006/relationships/hyperlink" Target="https://ncgtc.sdpondemand.manageengine.in/app/apphelpdesk/ui/requests/14047000006075018/details" TargetMode="External"/><Relationship Id="rId921" Type="http://schemas.openxmlformats.org/officeDocument/2006/relationships/hyperlink" Target="https://ncgtc.sdpondemand.manageengine.in/app/apphelpdesk/ui/requests/14047000006069000/details" TargetMode="External"/><Relationship Id="rId920" Type="http://schemas.openxmlformats.org/officeDocument/2006/relationships/hyperlink" Target="https://ncgtc.sdpondemand.manageengine.in/app/apphelpdesk/ui/requests/14047000006068986/details" TargetMode="External"/><Relationship Id="rId92" Type="http://schemas.openxmlformats.org/officeDocument/2006/relationships/hyperlink" Target="https://ncgtc.sdpondemand.manageengine.in/app/apphelpdesk/ui/requests/14047000005872128/details" TargetMode="External"/><Relationship Id="rId919" Type="http://schemas.openxmlformats.org/officeDocument/2006/relationships/hyperlink" Target="https://ncgtc.sdpondemand.manageengine.in/app/apphelpdesk/ui/requests/14047000006068917/details" TargetMode="External"/><Relationship Id="rId918" Type="http://schemas.openxmlformats.org/officeDocument/2006/relationships/hyperlink" Target="https://ncgtc.sdpondemand.manageengine.in/app/apphelpdesk/ui/requests/14047000006068893/details" TargetMode="External"/><Relationship Id="rId917" Type="http://schemas.openxmlformats.org/officeDocument/2006/relationships/hyperlink" Target="https://ncgtc.sdpondemand.manageengine.in/app/apphelpdesk/ui/requests/14047000006068849/details" TargetMode="External"/><Relationship Id="rId916" Type="http://schemas.openxmlformats.org/officeDocument/2006/relationships/hyperlink" Target="https://ncgtc.sdpondemand.manageengine.in/app/apphelpdesk/ui/requests/14047000006068802/details" TargetMode="External"/><Relationship Id="rId915" Type="http://schemas.openxmlformats.org/officeDocument/2006/relationships/hyperlink" Target="https://ncgtc.sdpondemand.manageengine.in/app/apphelpdesk/ui/requests/14047000006068783/details" TargetMode="External"/><Relationship Id="rId914" Type="http://schemas.openxmlformats.org/officeDocument/2006/relationships/hyperlink" Target="https://ncgtc.sdpondemand.manageengine.in/app/apphelpdesk/ui/requests/14047000006068763/details" TargetMode="External"/><Relationship Id="rId913" Type="http://schemas.openxmlformats.org/officeDocument/2006/relationships/hyperlink" Target="https://ncgtc.sdpondemand.manageengine.in/app/apphelpdesk/ui/requests/14047000006068751/details" TargetMode="External"/><Relationship Id="rId912" Type="http://schemas.openxmlformats.org/officeDocument/2006/relationships/hyperlink" Target="https://ncgtc.sdpondemand.manageengine.in/app/apphelpdesk/ui/requests/14047000006068702/details" TargetMode="External"/><Relationship Id="rId911" Type="http://schemas.openxmlformats.org/officeDocument/2006/relationships/hyperlink" Target="https://ncgtc.sdpondemand.manageengine.in/app/apphelpdesk/ui/requests/14047000006068685/details" TargetMode="External"/><Relationship Id="rId910" Type="http://schemas.openxmlformats.org/officeDocument/2006/relationships/hyperlink" Target="https://ncgtc.sdpondemand.manageengine.in/app/apphelpdesk/ui/requests/14047000006068666/details" TargetMode="External"/><Relationship Id="rId91" Type="http://schemas.openxmlformats.org/officeDocument/2006/relationships/hyperlink" Target="https://ncgtc.sdpondemand.manageengine.in/app/apphelpdesk/ui/requests/14047000005872114/details" TargetMode="External"/><Relationship Id="rId909" Type="http://schemas.openxmlformats.org/officeDocument/2006/relationships/hyperlink" Target="https://ncgtc.sdpondemand.manageengine.in/app/apphelpdesk/ui/requests/14047000006068553/details" TargetMode="External"/><Relationship Id="rId908" Type="http://schemas.openxmlformats.org/officeDocument/2006/relationships/hyperlink" Target="https://ncgtc.sdpondemand.manageengine.in/app/apphelpdesk/ui/requests/14047000006068536/details" TargetMode="External"/><Relationship Id="rId907" Type="http://schemas.openxmlformats.org/officeDocument/2006/relationships/hyperlink" Target="https://ncgtc.sdpondemand.manageengine.in/app/apphelpdesk/ui/requests/14047000006068479/details" TargetMode="External"/><Relationship Id="rId906" Type="http://schemas.openxmlformats.org/officeDocument/2006/relationships/hyperlink" Target="https://ncgtc.sdpondemand.manageengine.in/app/apphelpdesk/ui/requests/14047000006068457/details" TargetMode="External"/><Relationship Id="rId905" Type="http://schemas.openxmlformats.org/officeDocument/2006/relationships/hyperlink" Target="https://ncgtc.sdpondemand.manageengine.in/app/apphelpdesk/ui/requests/14047000006068444/details" TargetMode="External"/><Relationship Id="rId904" Type="http://schemas.openxmlformats.org/officeDocument/2006/relationships/hyperlink" Target="https://ncgtc.sdpondemand.manageengine.in/app/apphelpdesk/ui/requests/14047000006068427/details" TargetMode="External"/><Relationship Id="rId903" Type="http://schemas.openxmlformats.org/officeDocument/2006/relationships/hyperlink" Target="https://ncgtc.sdpondemand.manageengine.in/app/apphelpdesk/ui/requests/14047000006068411/details" TargetMode="External"/><Relationship Id="rId902" Type="http://schemas.openxmlformats.org/officeDocument/2006/relationships/hyperlink" Target="https://ncgtc.sdpondemand.manageengine.in/app/apphelpdesk/ui/requests/14047000006068379/details" TargetMode="External"/><Relationship Id="rId901" Type="http://schemas.openxmlformats.org/officeDocument/2006/relationships/hyperlink" Target="https://ncgtc.sdpondemand.manageengine.in/app/apphelpdesk/ui/requests/14047000006068365/details" TargetMode="External"/><Relationship Id="rId900" Type="http://schemas.openxmlformats.org/officeDocument/2006/relationships/hyperlink" Target="https://ncgtc.sdpondemand.manageengine.in/app/apphelpdesk/ui/requests/14047000006068353/details" TargetMode="External"/><Relationship Id="rId90" Type="http://schemas.openxmlformats.org/officeDocument/2006/relationships/hyperlink" Target="https://ncgtc.sdpondemand.manageengine.in/app/apphelpdesk/ui/requests/14047000005872067/details" TargetMode="External"/><Relationship Id="rId9" Type="http://schemas.openxmlformats.org/officeDocument/2006/relationships/hyperlink" Target="https://ncgtc.sdpondemand.manageengine.in/app/apphelpdesk/ui/requests/14047000005854176/details" TargetMode="External"/><Relationship Id="rId899" Type="http://schemas.openxmlformats.org/officeDocument/2006/relationships/hyperlink" Target="https://ncgtc.sdpondemand.manageengine.in/app/apphelpdesk/ui/requests/14047000006068310/details" TargetMode="External"/><Relationship Id="rId898" Type="http://schemas.openxmlformats.org/officeDocument/2006/relationships/hyperlink" Target="https://ncgtc.sdpondemand.manageengine.in/app/apphelpdesk/ui/requests/14047000006068292/details" TargetMode="External"/><Relationship Id="rId897" Type="http://schemas.openxmlformats.org/officeDocument/2006/relationships/hyperlink" Target="https://ncgtc.sdpondemand.manageengine.in/app/apphelpdesk/ui/requests/14047000006068267/details" TargetMode="External"/><Relationship Id="rId896" Type="http://schemas.openxmlformats.org/officeDocument/2006/relationships/hyperlink" Target="https://ncgtc.sdpondemand.manageengine.in/app/apphelpdesk/ui/requests/14047000006068237/details" TargetMode="External"/><Relationship Id="rId895" Type="http://schemas.openxmlformats.org/officeDocument/2006/relationships/hyperlink" Target="https://ncgtc.sdpondemand.manageengine.in/app/apphelpdesk/ui/requests/14047000006068159/details" TargetMode="External"/><Relationship Id="rId894" Type="http://schemas.openxmlformats.org/officeDocument/2006/relationships/hyperlink" Target="https://ncgtc.sdpondemand.manageengine.in/app/apphelpdesk/ui/requests/14047000006068134/details" TargetMode="External"/><Relationship Id="rId893" Type="http://schemas.openxmlformats.org/officeDocument/2006/relationships/hyperlink" Target="https://ncgtc.sdpondemand.manageengine.in/app/apphelpdesk/ui/requests/14047000006068105/details" TargetMode="External"/><Relationship Id="rId892" Type="http://schemas.openxmlformats.org/officeDocument/2006/relationships/hyperlink" Target="https://ncgtc.sdpondemand.manageengine.in/app/apphelpdesk/ui/requests/14047000006068086/details" TargetMode="External"/><Relationship Id="rId891" Type="http://schemas.openxmlformats.org/officeDocument/2006/relationships/hyperlink" Target="https://ncgtc.sdpondemand.manageengine.in/app/apphelpdesk/ui/requests/14047000006068059/details" TargetMode="External"/><Relationship Id="rId890" Type="http://schemas.openxmlformats.org/officeDocument/2006/relationships/hyperlink" Target="https://ncgtc.sdpondemand.manageengine.in/app/apphelpdesk/ui/requests/14047000006068042/details" TargetMode="External"/><Relationship Id="rId89" Type="http://schemas.openxmlformats.org/officeDocument/2006/relationships/hyperlink" Target="https://ncgtc.sdpondemand.manageengine.in/app/apphelpdesk/ui/requests/14047000005872028/details" TargetMode="External"/><Relationship Id="rId889" Type="http://schemas.openxmlformats.org/officeDocument/2006/relationships/hyperlink" Target="https://ncgtc.sdpondemand.manageengine.in/app/apphelpdesk/ui/requests/14047000006068023/details" TargetMode="External"/><Relationship Id="rId888" Type="http://schemas.openxmlformats.org/officeDocument/2006/relationships/hyperlink" Target="https://ncgtc.sdpondemand.manageengine.in/app/apphelpdesk/ui/requests/14047000006064984/details" TargetMode="External"/><Relationship Id="rId887" Type="http://schemas.openxmlformats.org/officeDocument/2006/relationships/hyperlink" Target="https://ncgtc.sdpondemand.manageengine.in/app/apphelpdesk/ui/requests/14047000006064934/details" TargetMode="External"/><Relationship Id="rId886" Type="http://schemas.openxmlformats.org/officeDocument/2006/relationships/hyperlink" Target="https://ncgtc.sdpondemand.manageengine.in/app/apphelpdesk/ui/requests/14047000006064898/details" TargetMode="External"/><Relationship Id="rId885" Type="http://schemas.openxmlformats.org/officeDocument/2006/relationships/hyperlink" Target="https://ncgtc.sdpondemand.manageengine.in/app/apphelpdesk/ui/requests/14047000006064869/details" TargetMode="External"/><Relationship Id="rId884" Type="http://schemas.openxmlformats.org/officeDocument/2006/relationships/hyperlink" Target="https://ncgtc.sdpondemand.manageengine.in/app/apphelpdesk/ui/requests/14047000006064776/details" TargetMode="External"/><Relationship Id="rId883" Type="http://schemas.openxmlformats.org/officeDocument/2006/relationships/hyperlink" Target="https://ncgtc.sdpondemand.manageengine.in/app/apphelpdesk/ui/requests/14047000006064757/details" TargetMode="External"/><Relationship Id="rId882" Type="http://schemas.openxmlformats.org/officeDocument/2006/relationships/hyperlink" Target="https://ncgtc.sdpondemand.manageengine.in/app/apphelpdesk/ui/requests/14047000006064736/details" TargetMode="External"/><Relationship Id="rId881" Type="http://schemas.openxmlformats.org/officeDocument/2006/relationships/hyperlink" Target="https://ncgtc.sdpondemand.manageengine.in/app/apphelpdesk/ui/requests/14047000006064707/details" TargetMode="External"/><Relationship Id="rId880" Type="http://schemas.openxmlformats.org/officeDocument/2006/relationships/hyperlink" Target="https://ncgtc.sdpondemand.manageengine.in/app/apphelpdesk/ui/requests/14047000006064690/details" TargetMode="External"/><Relationship Id="rId88" Type="http://schemas.openxmlformats.org/officeDocument/2006/relationships/hyperlink" Target="https://ncgtc.sdpondemand.manageengine.in/app/apphelpdesk/ui/requests/14047000005872019/details" TargetMode="External"/><Relationship Id="rId879" Type="http://schemas.openxmlformats.org/officeDocument/2006/relationships/hyperlink" Target="https://ncgtc.sdpondemand.manageengine.in/app/apphelpdesk/ui/requests/14047000006064645/details" TargetMode="External"/><Relationship Id="rId878" Type="http://schemas.openxmlformats.org/officeDocument/2006/relationships/hyperlink" Target="https://ncgtc.sdpondemand.manageengine.in/app/apphelpdesk/ui/requests/14047000006064632/details" TargetMode="External"/><Relationship Id="rId877" Type="http://schemas.openxmlformats.org/officeDocument/2006/relationships/hyperlink" Target="https://ncgtc.sdpondemand.manageengine.in/app/apphelpdesk/ui/requests/14047000006064616/details" TargetMode="External"/><Relationship Id="rId876" Type="http://schemas.openxmlformats.org/officeDocument/2006/relationships/hyperlink" Target="https://ncgtc.sdpondemand.manageengine.in/app/apphelpdesk/ui/requests/14047000006064597/details" TargetMode="External"/><Relationship Id="rId875" Type="http://schemas.openxmlformats.org/officeDocument/2006/relationships/hyperlink" Target="https://ncgtc.sdpondemand.manageengine.in/app/apphelpdesk/ui/requests/14047000006064578/details" TargetMode="External"/><Relationship Id="rId874" Type="http://schemas.openxmlformats.org/officeDocument/2006/relationships/hyperlink" Target="https://ncgtc.sdpondemand.manageengine.in/app/apphelpdesk/ui/requests/14047000006064553/details" TargetMode="External"/><Relationship Id="rId873" Type="http://schemas.openxmlformats.org/officeDocument/2006/relationships/hyperlink" Target="https://ncgtc.sdpondemand.manageengine.in/app/apphelpdesk/ui/requests/14047000006064521/details" TargetMode="External"/><Relationship Id="rId872" Type="http://schemas.openxmlformats.org/officeDocument/2006/relationships/hyperlink" Target="https://ncgtc.sdpondemand.manageengine.in/app/apphelpdesk/ui/requests/14047000006064482/details" TargetMode="External"/><Relationship Id="rId871" Type="http://schemas.openxmlformats.org/officeDocument/2006/relationships/hyperlink" Target="https://ncgtc.sdpondemand.manageengine.in/app/apphelpdesk/ui/requests/14047000006064402/details" TargetMode="External"/><Relationship Id="rId870" Type="http://schemas.openxmlformats.org/officeDocument/2006/relationships/hyperlink" Target="https://ncgtc.sdpondemand.manageengine.in/app/apphelpdesk/ui/requests/14047000006064368/details" TargetMode="External"/><Relationship Id="rId87" Type="http://schemas.openxmlformats.org/officeDocument/2006/relationships/hyperlink" Target="https://ncgtc.sdpondemand.manageengine.in/app/apphelpdesk/ui/requests/14047000005863592/details" TargetMode="External"/><Relationship Id="rId869" Type="http://schemas.openxmlformats.org/officeDocument/2006/relationships/hyperlink" Target="https://ncgtc.sdpondemand.manageengine.in/app/apphelpdesk/ui/requests/14047000006064343/details" TargetMode="External"/><Relationship Id="rId868" Type="http://schemas.openxmlformats.org/officeDocument/2006/relationships/hyperlink" Target="https://ncgtc.sdpondemand.manageengine.in/app/apphelpdesk/ui/requests/14047000006064306/details" TargetMode="External"/><Relationship Id="rId867" Type="http://schemas.openxmlformats.org/officeDocument/2006/relationships/hyperlink" Target="https://ncgtc.sdpondemand.manageengine.in/app/apphelpdesk/ui/requests/14047000006064281/details" TargetMode="External"/><Relationship Id="rId866" Type="http://schemas.openxmlformats.org/officeDocument/2006/relationships/hyperlink" Target="https://ncgtc.sdpondemand.manageengine.in/app/apphelpdesk/ui/requests/14047000006064256/details" TargetMode="External"/><Relationship Id="rId865" Type="http://schemas.openxmlformats.org/officeDocument/2006/relationships/hyperlink" Target="https://ncgtc.sdpondemand.manageengine.in/app/apphelpdesk/ui/requests/14047000006064227/details" TargetMode="External"/><Relationship Id="rId864" Type="http://schemas.openxmlformats.org/officeDocument/2006/relationships/hyperlink" Target="https://ncgtc.sdpondemand.manageengine.in/app/apphelpdesk/ui/requests/14047000006064180/details" TargetMode="External"/><Relationship Id="rId863" Type="http://schemas.openxmlformats.org/officeDocument/2006/relationships/hyperlink" Target="https://ncgtc.sdpondemand.manageengine.in/app/apphelpdesk/ui/requests/14047000006064167/details" TargetMode="External"/><Relationship Id="rId862" Type="http://schemas.openxmlformats.org/officeDocument/2006/relationships/hyperlink" Target="https://ncgtc.sdpondemand.manageengine.in/app/apphelpdesk/ui/requests/14047000006064105/details" TargetMode="External"/><Relationship Id="rId861" Type="http://schemas.openxmlformats.org/officeDocument/2006/relationships/hyperlink" Target="https://ncgtc.sdpondemand.manageengine.in/app/apphelpdesk/ui/requests/14047000006064058/details" TargetMode="External"/><Relationship Id="rId860" Type="http://schemas.openxmlformats.org/officeDocument/2006/relationships/hyperlink" Target="https://ncgtc.sdpondemand.manageengine.in/app/apphelpdesk/ui/requests/14047000006064007/details" TargetMode="External"/><Relationship Id="rId86" Type="http://schemas.openxmlformats.org/officeDocument/2006/relationships/hyperlink" Target="https://ncgtc.sdpondemand.manageengine.in/app/apphelpdesk/ui/requests/14047000005863563/details" TargetMode="External"/><Relationship Id="rId859" Type="http://schemas.openxmlformats.org/officeDocument/2006/relationships/hyperlink" Target="https://ncgtc.sdpondemand.manageengine.in/app/apphelpdesk/ui/requests/14047000006058995/details" TargetMode="External"/><Relationship Id="rId858" Type="http://schemas.openxmlformats.org/officeDocument/2006/relationships/hyperlink" Target="https://ncgtc.sdpondemand.manageengine.in/app/apphelpdesk/ui/requests/14047000006058982/details" TargetMode="External"/><Relationship Id="rId857" Type="http://schemas.openxmlformats.org/officeDocument/2006/relationships/hyperlink" Target="https://ncgtc.sdpondemand.manageengine.in/app/apphelpdesk/ui/requests/14047000006058924/details" TargetMode="External"/><Relationship Id="rId856" Type="http://schemas.openxmlformats.org/officeDocument/2006/relationships/hyperlink" Target="https://ncgtc.sdpondemand.manageengine.in/app/apphelpdesk/ui/requests/14047000006058882/details" TargetMode="External"/><Relationship Id="rId855" Type="http://schemas.openxmlformats.org/officeDocument/2006/relationships/hyperlink" Target="https://ncgtc.sdpondemand.manageengine.in/app/apphelpdesk/ui/requests/14047000006058869/details" TargetMode="External"/><Relationship Id="rId854" Type="http://schemas.openxmlformats.org/officeDocument/2006/relationships/hyperlink" Target="https://ncgtc.sdpondemand.manageengine.in/app/apphelpdesk/ui/requests/14047000006058843/details" TargetMode="External"/><Relationship Id="rId853" Type="http://schemas.openxmlformats.org/officeDocument/2006/relationships/hyperlink" Target="https://ncgtc.sdpondemand.manageengine.in/app/apphelpdesk/ui/requests/14047000006058824/details" TargetMode="External"/><Relationship Id="rId852" Type="http://schemas.openxmlformats.org/officeDocument/2006/relationships/hyperlink" Target="https://ncgtc.sdpondemand.manageengine.in/app/apphelpdesk/ui/requests/14047000006058718/details" TargetMode="External"/><Relationship Id="rId851" Type="http://schemas.openxmlformats.org/officeDocument/2006/relationships/hyperlink" Target="https://ncgtc.sdpondemand.manageengine.in/app/apphelpdesk/ui/requests/14047000006058663/details" TargetMode="External"/><Relationship Id="rId850" Type="http://schemas.openxmlformats.org/officeDocument/2006/relationships/hyperlink" Target="https://ncgtc.sdpondemand.manageengine.in/app/apphelpdesk/ui/requests/14047000006058650/details" TargetMode="External"/><Relationship Id="rId85" Type="http://schemas.openxmlformats.org/officeDocument/2006/relationships/hyperlink" Target="https://ncgtc.sdpondemand.manageengine.in/app/apphelpdesk/ui/requests/14047000005863462/details" TargetMode="External"/><Relationship Id="rId849" Type="http://schemas.openxmlformats.org/officeDocument/2006/relationships/hyperlink" Target="https://ncgtc.sdpondemand.manageengine.in/app/apphelpdesk/ui/requests/14047000006058622/details" TargetMode="External"/><Relationship Id="rId848" Type="http://schemas.openxmlformats.org/officeDocument/2006/relationships/hyperlink" Target="https://ncgtc.sdpondemand.manageengine.in/app/apphelpdesk/ui/requests/14047000006058609/details" TargetMode="External"/><Relationship Id="rId847" Type="http://schemas.openxmlformats.org/officeDocument/2006/relationships/hyperlink" Target="https://ncgtc.sdpondemand.manageengine.in/app/apphelpdesk/ui/requests/14047000006058550/details" TargetMode="External"/><Relationship Id="rId846" Type="http://schemas.openxmlformats.org/officeDocument/2006/relationships/hyperlink" Target="https://ncgtc.sdpondemand.manageengine.in/app/apphelpdesk/ui/requests/14047000006058537/details" TargetMode="External"/><Relationship Id="rId845" Type="http://schemas.openxmlformats.org/officeDocument/2006/relationships/hyperlink" Target="https://ncgtc.sdpondemand.manageengine.in/app/apphelpdesk/ui/requests/14047000006058466/details" TargetMode="External"/><Relationship Id="rId844" Type="http://schemas.openxmlformats.org/officeDocument/2006/relationships/hyperlink" Target="https://ncgtc.sdpondemand.manageengine.in/app/apphelpdesk/ui/requests/14047000006058363/details" TargetMode="External"/><Relationship Id="rId843" Type="http://schemas.openxmlformats.org/officeDocument/2006/relationships/hyperlink" Target="https://ncgtc.sdpondemand.manageengine.in/app/apphelpdesk/ui/requests/14047000006058285/details" TargetMode="External"/><Relationship Id="rId842" Type="http://schemas.openxmlformats.org/officeDocument/2006/relationships/hyperlink" Target="https://ncgtc.sdpondemand.manageengine.in/app/apphelpdesk/ui/requests/14047000006058273/details" TargetMode="External"/><Relationship Id="rId841" Type="http://schemas.openxmlformats.org/officeDocument/2006/relationships/hyperlink" Target="https://ncgtc.sdpondemand.manageengine.in/app/apphelpdesk/ui/requests/14047000006058234/details" TargetMode="External"/><Relationship Id="rId840" Type="http://schemas.openxmlformats.org/officeDocument/2006/relationships/hyperlink" Target="https://ncgtc.sdpondemand.manageengine.in/app/apphelpdesk/ui/requests/14047000006058222/details" TargetMode="External"/><Relationship Id="rId84" Type="http://schemas.openxmlformats.org/officeDocument/2006/relationships/hyperlink" Target="https://ncgtc.sdpondemand.manageengine.in/app/apphelpdesk/ui/requests/14047000005863420/details" TargetMode="External"/><Relationship Id="rId839" Type="http://schemas.openxmlformats.org/officeDocument/2006/relationships/hyperlink" Target="https://ncgtc.sdpondemand.manageengine.in/app/apphelpdesk/ui/requests/14047000006058204/details" TargetMode="External"/><Relationship Id="rId838" Type="http://schemas.openxmlformats.org/officeDocument/2006/relationships/hyperlink" Target="https://ncgtc.sdpondemand.manageengine.in/app/apphelpdesk/ui/requests/14047000006058187/details" TargetMode="External"/><Relationship Id="rId837" Type="http://schemas.openxmlformats.org/officeDocument/2006/relationships/hyperlink" Target="https://ncgtc.sdpondemand.manageengine.in/app/apphelpdesk/ui/requests/14047000006058173/details" TargetMode="External"/><Relationship Id="rId836" Type="http://schemas.openxmlformats.org/officeDocument/2006/relationships/hyperlink" Target="https://ncgtc.sdpondemand.manageengine.in/app/apphelpdesk/ui/requests/14047000006058112/details" TargetMode="External"/><Relationship Id="rId835" Type="http://schemas.openxmlformats.org/officeDocument/2006/relationships/hyperlink" Target="https://ncgtc.sdpondemand.manageengine.in/app/apphelpdesk/ui/requests/14047000006058098/details" TargetMode="External"/><Relationship Id="rId834" Type="http://schemas.openxmlformats.org/officeDocument/2006/relationships/hyperlink" Target="https://ncgtc.sdpondemand.manageengine.in/app/apphelpdesk/ui/requests/14047000006058086/details" TargetMode="External"/><Relationship Id="rId833" Type="http://schemas.openxmlformats.org/officeDocument/2006/relationships/hyperlink" Target="https://ncgtc.sdpondemand.manageengine.in/app/apphelpdesk/ui/requests/14047000006058058/details" TargetMode="External"/><Relationship Id="rId832" Type="http://schemas.openxmlformats.org/officeDocument/2006/relationships/hyperlink" Target="https://ncgtc.sdpondemand.manageengine.in/app/apphelpdesk/ui/requests/14047000006058017/details" TargetMode="External"/><Relationship Id="rId831" Type="http://schemas.openxmlformats.org/officeDocument/2006/relationships/hyperlink" Target="https://ncgtc.sdpondemand.manageengine.in/app/apphelpdesk/ui/requests/14047000006058005/details" TargetMode="External"/><Relationship Id="rId830" Type="http://schemas.openxmlformats.org/officeDocument/2006/relationships/hyperlink" Target="https://ncgtc.sdpondemand.manageengine.in/app/apphelpdesk/ui/requests/14047000006052987/details" TargetMode="External"/><Relationship Id="rId83" Type="http://schemas.openxmlformats.org/officeDocument/2006/relationships/hyperlink" Target="https://ncgtc.sdpondemand.manageengine.in/app/apphelpdesk/ui/requests/14047000005863412/details" TargetMode="External"/><Relationship Id="rId829" Type="http://schemas.openxmlformats.org/officeDocument/2006/relationships/hyperlink" Target="https://ncgtc.sdpondemand.manageengine.in/app/apphelpdesk/ui/requests/14047000006052974/details" TargetMode="External"/><Relationship Id="rId828" Type="http://schemas.openxmlformats.org/officeDocument/2006/relationships/hyperlink" Target="https://ncgtc.sdpondemand.manageengine.in/app/apphelpdesk/ui/requests/14047000006052955/details" TargetMode="External"/><Relationship Id="rId827" Type="http://schemas.openxmlformats.org/officeDocument/2006/relationships/hyperlink" Target="https://ncgtc.sdpondemand.manageengine.in/app/apphelpdesk/ui/requests/14047000006052942/details" TargetMode="External"/><Relationship Id="rId826" Type="http://schemas.openxmlformats.org/officeDocument/2006/relationships/hyperlink" Target="https://ncgtc.sdpondemand.manageengine.in/app/apphelpdesk/ui/requests/14047000006052927/details" TargetMode="External"/><Relationship Id="rId825" Type="http://schemas.openxmlformats.org/officeDocument/2006/relationships/hyperlink" Target="https://ncgtc.sdpondemand.manageengine.in/app/apphelpdesk/ui/requests/14047000006052867/details" TargetMode="External"/><Relationship Id="rId824" Type="http://schemas.openxmlformats.org/officeDocument/2006/relationships/hyperlink" Target="https://ncgtc.sdpondemand.manageengine.in/app/apphelpdesk/ui/requests/14047000006052847/details" TargetMode="External"/><Relationship Id="rId823" Type="http://schemas.openxmlformats.org/officeDocument/2006/relationships/hyperlink" Target="https://ncgtc.sdpondemand.manageengine.in/app/apphelpdesk/ui/requests/14047000006052823/details" TargetMode="External"/><Relationship Id="rId822" Type="http://schemas.openxmlformats.org/officeDocument/2006/relationships/hyperlink" Target="https://ncgtc.sdpondemand.manageengine.in/app/apphelpdesk/ui/requests/14047000006052796/details" TargetMode="External"/><Relationship Id="rId821" Type="http://schemas.openxmlformats.org/officeDocument/2006/relationships/hyperlink" Target="https://ncgtc.sdpondemand.manageengine.in/app/apphelpdesk/ui/requests/14047000006052772/details" TargetMode="External"/><Relationship Id="rId820" Type="http://schemas.openxmlformats.org/officeDocument/2006/relationships/hyperlink" Target="https://ncgtc.sdpondemand.manageengine.in/app/apphelpdesk/ui/requests/14047000006052737/details" TargetMode="External"/><Relationship Id="rId82" Type="http://schemas.openxmlformats.org/officeDocument/2006/relationships/hyperlink" Target="https://ncgtc.sdpondemand.manageengine.in/app/apphelpdesk/ui/requests/14047000005863361/details" TargetMode="External"/><Relationship Id="rId819" Type="http://schemas.openxmlformats.org/officeDocument/2006/relationships/hyperlink" Target="https://ncgtc.sdpondemand.manageengine.in/app/apphelpdesk/ui/requests/14047000006052718/details" TargetMode="External"/><Relationship Id="rId818" Type="http://schemas.openxmlformats.org/officeDocument/2006/relationships/hyperlink" Target="https://ncgtc.sdpondemand.manageengine.in/app/apphelpdesk/ui/requests/14047000006052687/details" TargetMode="External"/><Relationship Id="rId817" Type="http://schemas.openxmlformats.org/officeDocument/2006/relationships/hyperlink" Target="https://ncgtc.sdpondemand.manageengine.in/app/apphelpdesk/ui/requests/14047000006052601/details" TargetMode="External"/><Relationship Id="rId816" Type="http://schemas.openxmlformats.org/officeDocument/2006/relationships/hyperlink" Target="https://ncgtc.sdpondemand.manageengine.in/app/apphelpdesk/ui/requests/14047000006052554/details" TargetMode="External"/><Relationship Id="rId815" Type="http://schemas.openxmlformats.org/officeDocument/2006/relationships/hyperlink" Target="https://ncgtc.sdpondemand.manageengine.in/app/apphelpdesk/ui/requests/14047000006052541/details" TargetMode="External"/><Relationship Id="rId814" Type="http://schemas.openxmlformats.org/officeDocument/2006/relationships/hyperlink" Target="https://ncgtc.sdpondemand.manageengine.in/app/apphelpdesk/ui/requests/14047000006052439/details" TargetMode="External"/><Relationship Id="rId813" Type="http://schemas.openxmlformats.org/officeDocument/2006/relationships/hyperlink" Target="https://ncgtc.sdpondemand.manageengine.in/app/apphelpdesk/ui/requests/14047000006052426/details" TargetMode="External"/><Relationship Id="rId812" Type="http://schemas.openxmlformats.org/officeDocument/2006/relationships/hyperlink" Target="https://ncgtc.sdpondemand.manageengine.in/app/apphelpdesk/ui/requests/14047000006052413/details" TargetMode="External"/><Relationship Id="rId811" Type="http://schemas.openxmlformats.org/officeDocument/2006/relationships/hyperlink" Target="https://ncgtc.sdpondemand.manageengine.in/app/apphelpdesk/ui/requests/14047000006052394/details" TargetMode="External"/><Relationship Id="rId810" Type="http://schemas.openxmlformats.org/officeDocument/2006/relationships/hyperlink" Target="https://ncgtc.sdpondemand.manageengine.in/app/apphelpdesk/ui/requests/14047000006052377/details" TargetMode="External"/><Relationship Id="rId81" Type="http://schemas.openxmlformats.org/officeDocument/2006/relationships/hyperlink" Target="https://ncgtc.sdpondemand.manageengine.in/app/apphelpdesk/ui/requests/14047000005863332/details" TargetMode="External"/><Relationship Id="rId809" Type="http://schemas.openxmlformats.org/officeDocument/2006/relationships/hyperlink" Target="https://ncgtc.sdpondemand.manageengine.in/app/apphelpdesk/ui/requests/14047000006052362/details" TargetMode="External"/><Relationship Id="rId808" Type="http://schemas.openxmlformats.org/officeDocument/2006/relationships/hyperlink" Target="https://ncgtc.sdpondemand.manageengine.in/app/apphelpdesk/ui/requests/14047000006052340/details" TargetMode="External"/><Relationship Id="rId807" Type="http://schemas.openxmlformats.org/officeDocument/2006/relationships/hyperlink" Target="https://ncgtc.sdpondemand.manageengine.in/app/apphelpdesk/ui/requests/14047000006052295/details" TargetMode="External"/><Relationship Id="rId806" Type="http://schemas.openxmlformats.org/officeDocument/2006/relationships/hyperlink" Target="https://ncgtc.sdpondemand.manageengine.in/app/apphelpdesk/ui/requests/14047000006052270/details" TargetMode="External"/><Relationship Id="rId805" Type="http://schemas.openxmlformats.org/officeDocument/2006/relationships/hyperlink" Target="https://ncgtc.sdpondemand.manageengine.in/app/apphelpdesk/ui/requests/14047000006052239/details" TargetMode="External"/><Relationship Id="rId804" Type="http://schemas.openxmlformats.org/officeDocument/2006/relationships/hyperlink" Target="https://ncgtc.sdpondemand.manageengine.in/app/apphelpdesk/ui/requests/14047000006052222/details" TargetMode="External"/><Relationship Id="rId803" Type="http://schemas.openxmlformats.org/officeDocument/2006/relationships/hyperlink" Target="https://ncgtc.sdpondemand.manageengine.in/app/apphelpdesk/ui/requests/14047000006052173/details" TargetMode="External"/><Relationship Id="rId802" Type="http://schemas.openxmlformats.org/officeDocument/2006/relationships/hyperlink" Target="https://ncgtc.sdpondemand.manageengine.in/app/apphelpdesk/ui/requests/14047000006052145/details" TargetMode="External"/><Relationship Id="rId801" Type="http://schemas.openxmlformats.org/officeDocument/2006/relationships/hyperlink" Target="https://ncgtc.sdpondemand.manageengine.in/app/apphelpdesk/ui/requests/14047000006052133/details" TargetMode="External"/><Relationship Id="rId800" Type="http://schemas.openxmlformats.org/officeDocument/2006/relationships/hyperlink" Target="https://ncgtc.sdpondemand.manageengine.in/app/apphelpdesk/ui/requests/14047000006052095/details" TargetMode="External"/><Relationship Id="rId80" Type="http://schemas.openxmlformats.org/officeDocument/2006/relationships/hyperlink" Target="https://ncgtc.sdpondemand.manageengine.in/app/apphelpdesk/ui/requests/14047000005863260/details" TargetMode="External"/><Relationship Id="rId8" Type="http://schemas.openxmlformats.org/officeDocument/2006/relationships/hyperlink" Target="https://ncgtc.sdpondemand.manageengine.in/app/apphelpdesk/ui/requests/14047000005854161/details" TargetMode="External"/><Relationship Id="rId799" Type="http://schemas.openxmlformats.org/officeDocument/2006/relationships/hyperlink" Target="https://ncgtc.sdpondemand.manageengine.in/app/apphelpdesk/ui/requests/14047000006052077/details" TargetMode="External"/><Relationship Id="rId798" Type="http://schemas.openxmlformats.org/officeDocument/2006/relationships/hyperlink" Target="https://ncgtc.sdpondemand.manageengine.in/app/apphelpdesk/ui/requests/14047000006052064/details" TargetMode="External"/><Relationship Id="rId797" Type="http://schemas.openxmlformats.org/officeDocument/2006/relationships/hyperlink" Target="https://ncgtc.sdpondemand.manageengine.in/app/apphelpdesk/ui/requests/14047000006052045/details" TargetMode="External"/><Relationship Id="rId796" Type="http://schemas.openxmlformats.org/officeDocument/2006/relationships/hyperlink" Target="https://ncgtc.sdpondemand.manageengine.in/app/apphelpdesk/ui/requests/14047000006052013/details" TargetMode="External"/><Relationship Id="rId795" Type="http://schemas.openxmlformats.org/officeDocument/2006/relationships/hyperlink" Target="https://ncgtc.sdpondemand.manageengine.in/app/apphelpdesk/ui/requests/14047000006043941/details" TargetMode="External"/><Relationship Id="rId794" Type="http://schemas.openxmlformats.org/officeDocument/2006/relationships/hyperlink" Target="https://ncgtc.sdpondemand.manageengine.in/app/apphelpdesk/ui/requests/14047000006043856/details" TargetMode="External"/><Relationship Id="rId793" Type="http://schemas.openxmlformats.org/officeDocument/2006/relationships/hyperlink" Target="https://ncgtc.sdpondemand.manageengine.in/app/apphelpdesk/ui/requests/14047000006043844/details" TargetMode="External"/><Relationship Id="rId792" Type="http://schemas.openxmlformats.org/officeDocument/2006/relationships/hyperlink" Target="https://ncgtc.sdpondemand.manageengine.in/app/apphelpdesk/ui/requests/14047000006043808/details" TargetMode="External"/><Relationship Id="rId791" Type="http://schemas.openxmlformats.org/officeDocument/2006/relationships/hyperlink" Target="https://ncgtc.sdpondemand.manageengine.in/app/apphelpdesk/ui/requests/14047000006043796/details" TargetMode="External"/><Relationship Id="rId790" Type="http://schemas.openxmlformats.org/officeDocument/2006/relationships/hyperlink" Target="https://ncgtc.sdpondemand.manageengine.in/app/apphelpdesk/ui/requests/14047000006043773/details" TargetMode="External"/><Relationship Id="rId79" Type="http://schemas.openxmlformats.org/officeDocument/2006/relationships/hyperlink" Target="https://ncgtc.sdpondemand.manageengine.in/app/apphelpdesk/ui/requests/14047000005863247/details" TargetMode="External"/><Relationship Id="rId789" Type="http://schemas.openxmlformats.org/officeDocument/2006/relationships/hyperlink" Target="https://ncgtc.sdpondemand.manageengine.in/app/apphelpdesk/ui/requests/14047000006043750/details" TargetMode="External"/><Relationship Id="rId788" Type="http://schemas.openxmlformats.org/officeDocument/2006/relationships/hyperlink" Target="https://ncgtc.sdpondemand.manageengine.in/app/apphelpdesk/ui/requests/14047000006043696/details" TargetMode="External"/><Relationship Id="rId787" Type="http://schemas.openxmlformats.org/officeDocument/2006/relationships/hyperlink" Target="https://ncgtc.sdpondemand.manageengine.in/app/apphelpdesk/ui/requests/14047000006043654/details" TargetMode="External"/><Relationship Id="rId786" Type="http://schemas.openxmlformats.org/officeDocument/2006/relationships/hyperlink" Target="https://ncgtc.sdpondemand.manageengine.in/app/apphelpdesk/ui/requests/14047000006043614/details" TargetMode="External"/><Relationship Id="rId785" Type="http://schemas.openxmlformats.org/officeDocument/2006/relationships/hyperlink" Target="https://ncgtc.sdpondemand.manageengine.in/app/apphelpdesk/ui/requests/14047000006043588/details" TargetMode="External"/><Relationship Id="rId784" Type="http://schemas.openxmlformats.org/officeDocument/2006/relationships/hyperlink" Target="https://ncgtc.sdpondemand.manageengine.in/app/apphelpdesk/ui/requests/14047000006043573/details" TargetMode="External"/><Relationship Id="rId783" Type="http://schemas.openxmlformats.org/officeDocument/2006/relationships/hyperlink" Target="https://ncgtc.sdpondemand.manageengine.in/app/apphelpdesk/ui/requests/14047000006043561/details" TargetMode="External"/><Relationship Id="rId782" Type="http://schemas.openxmlformats.org/officeDocument/2006/relationships/hyperlink" Target="https://ncgtc.sdpondemand.manageengine.in/app/apphelpdesk/ui/requests/14047000006043548/details" TargetMode="External"/><Relationship Id="rId781" Type="http://schemas.openxmlformats.org/officeDocument/2006/relationships/hyperlink" Target="https://ncgtc.sdpondemand.manageengine.in/app/apphelpdesk/ui/requests/14047000006043502/details" TargetMode="External"/><Relationship Id="rId780" Type="http://schemas.openxmlformats.org/officeDocument/2006/relationships/hyperlink" Target="https://ncgtc.sdpondemand.manageengine.in/app/apphelpdesk/ui/requests/14047000006043468/details" TargetMode="External"/><Relationship Id="rId78" Type="http://schemas.openxmlformats.org/officeDocument/2006/relationships/hyperlink" Target="https://ncgtc.sdpondemand.manageengine.in/app/apphelpdesk/ui/requests/14047000005863221/details" TargetMode="External"/><Relationship Id="rId779" Type="http://schemas.openxmlformats.org/officeDocument/2006/relationships/hyperlink" Target="https://ncgtc.sdpondemand.manageengine.in/app/apphelpdesk/ui/requests/14047000006043456/details" TargetMode="External"/><Relationship Id="rId778" Type="http://schemas.openxmlformats.org/officeDocument/2006/relationships/hyperlink" Target="https://ncgtc.sdpondemand.manageengine.in/app/apphelpdesk/ui/requests/14047000006043410/details" TargetMode="External"/><Relationship Id="rId777" Type="http://schemas.openxmlformats.org/officeDocument/2006/relationships/hyperlink" Target="https://ncgtc.sdpondemand.manageengine.in/app/apphelpdesk/ui/requests/14047000006043387/details" TargetMode="External"/><Relationship Id="rId776" Type="http://schemas.openxmlformats.org/officeDocument/2006/relationships/hyperlink" Target="https://ncgtc.sdpondemand.manageengine.in/app/apphelpdesk/ui/requests/14047000006043354/details" TargetMode="External"/><Relationship Id="rId775" Type="http://schemas.openxmlformats.org/officeDocument/2006/relationships/hyperlink" Target="https://ncgtc.sdpondemand.manageengine.in/app/apphelpdesk/ui/requests/14047000006043297/details" TargetMode="External"/><Relationship Id="rId774" Type="http://schemas.openxmlformats.org/officeDocument/2006/relationships/hyperlink" Target="https://ncgtc.sdpondemand.manageengine.in/app/apphelpdesk/ui/requests/14047000006043284/details" TargetMode="External"/><Relationship Id="rId773" Type="http://schemas.openxmlformats.org/officeDocument/2006/relationships/hyperlink" Target="https://ncgtc.sdpondemand.manageengine.in/app/apphelpdesk/ui/requests/14047000006043259/details" TargetMode="External"/><Relationship Id="rId772" Type="http://schemas.openxmlformats.org/officeDocument/2006/relationships/hyperlink" Target="https://ncgtc.sdpondemand.manageengine.in/app/apphelpdesk/ui/requests/14047000006043246/details" TargetMode="External"/><Relationship Id="rId771" Type="http://schemas.openxmlformats.org/officeDocument/2006/relationships/hyperlink" Target="https://ncgtc.sdpondemand.manageengine.in/app/apphelpdesk/ui/requests/14047000006043227/details" TargetMode="External"/><Relationship Id="rId770" Type="http://schemas.openxmlformats.org/officeDocument/2006/relationships/hyperlink" Target="https://ncgtc.sdpondemand.manageengine.in/app/apphelpdesk/ui/requests/14047000006043201/details" TargetMode="External"/><Relationship Id="rId77" Type="http://schemas.openxmlformats.org/officeDocument/2006/relationships/hyperlink" Target="https://ncgtc.sdpondemand.manageengine.in/app/apphelpdesk/ui/requests/14047000005863196/details" TargetMode="External"/><Relationship Id="rId769" Type="http://schemas.openxmlformats.org/officeDocument/2006/relationships/hyperlink" Target="https://ncgtc.sdpondemand.manageengine.in/app/apphelpdesk/ui/requests/14047000006043072/details" TargetMode="External"/><Relationship Id="rId768" Type="http://schemas.openxmlformats.org/officeDocument/2006/relationships/hyperlink" Target="https://ncgtc.sdpondemand.manageengine.in/app/apphelpdesk/ui/requests/14047000006043034/details" TargetMode="External"/><Relationship Id="rId767" Type="http://schemas.openxmlformats.org/officeDocument/2006/relationships/hyperlink" Target="https://ncgtc.sdpondemand.manageengine.in/app/apphelpdesk/ui/requests/14047000006043021/details" TargetMode="External"/><Relationship Id="rId766" Type="http://schemas.openxmlformats.org/officeDocument/2006/relationships/hyperlink" Target="https://ncgtc.sdpondemand.manageengine.in/app/apphelpdesk/ui/requests/14047000006039998/details" TargetMode="External"/><Relationship Id="rId765" Type="http://schemas.openxmlformats.org/officeDocument/2006/relationships/hyperlink" Target="https://ncgtc.sdpondemand.manageengine.in/app/apphelpdesk/ui/requests/14047000006039985/details" TargetMode="External"/><Relationship Id="rId764" Type="http://schemas.openxmlformats.org/officeDocument/2006/relationships/hyperlink" Target="https://ncgtc.sdpondemand.manageengine.in/app/apphelpdesk/ui/requests/14047000006039972/details" TargetMode="External"/><Relationship Id="rId763" Type="http://schemas.openxmlformats.org/officeDocument/2006/relationships/hyperlink" Target="https://ncgtc.sdpondemand.manageengine.in/app/apphelpdesk/ui/requests/14047000006039950/details" TargetMode="External"/><Relationship Id="rId762" Type="http://schemas.openxmlformats.org/officeDocument/2006/relationships/hyperlink" Target="https://ncgtc.sdpondemand.manageengine.in/app/apphelpdesk/ui/requests/14047000006039921/details" TargetMode="External"/><Relationship Id="rId761" Type="http://schemas.openxmlformats.org/officeDocument/2006/relationships/hyperlink" Target="https://ncgtc.sdpondemand.manageengine.in/app/apphelpdesk/ui/requests/14047000006039873/details" TargetMode="External"/><Relationship Id="rId760" Type="http://schemas.openxmlformats.org/officeDocument/2006/relationships/hyperlink" Target="https://ncgtc.sdpondemand.manageengine.in/app/apphelpdesk/ui/requests/14047000006039855/details" TargetMode="External"/><Relationship Id="rId76" Type="http://schemas.openxmlformats.org/officeDocument/2006/relationships/hyperlink" Target="https://ncgtc.sdpondemand.manageengine.in/app/apphelpdesk/ui/requests/14047000005863080/details" TargetMode="External"/><Relationship Id="rId759" Type="http://schemas.openxmlformats.org/officeDocument/2006/relationships/hyperlink" Target="https://ncgtc.sdpondemand.manageengine.in/app/apphelpdesk/ui/requests/14047000006039829/details" TargetMode="External"/><Relationship Id="rId758" Type="http://schemas.openxmlformats.org/officeDocument/2006/relationships/hyperlink" Target="https://ncgtc.sdpondemand.manageengine.in/app/apphelpdesk/ui/requests/14047000006039777/details" TargetMode="External"/><Relationship Id="rId757" Type="http://schemas.openxmlformats.org/officeDocument/2006/relationships/hyperlink" Target="https://ncgtc.sdpondemand.manageengine.in/app/apphelpdesk/ui/requests/14047000006039704/details" TargetMode="External"/><Relationship Id="rId756" Type="http://schemas.openxmlformats.org/officeDocument/2006/relationships/hyperlink" Target="https://ncgtc.sdpondemand.manageengine.in/app/apphelpdesk/ui/requests/14047000006039654/details" TargetMode="External"/><Relationship Id="rId755" Type="http://schemas.openxmlformats.org/officeDocument/2006/relationships/hyperlink" Target="https://ncgtc.sdpondemand.manageengine.in/app/apphelpdesk/ui/requests/14047000006039640/details" TargetMode="External"/><Relationship Id="rId754" Type="http://schemas.openxmlformats.org/officeDocument/2006/relationships/hyperlink" Target="https://ncgtc.sdpondemand.manageengine.in/app/apphelpdesk/ui/requests/14047000006039546/details" TargetMode="External"/><Relationship Id="rId753" Type="http://schemas.openxmlformats.org/officeDocument/2006/relationships/hyperlink" Target="https://ncgtc.sdpondemand.manageengine.in/app/apphelpdesk/ui/requests/14047000006039439/details" TargetMode="External"/><Relationship Id="rId752" Type="http://schemas.openxmlformats.org/officeDocument/2006/relationships/hyperlink" Target="https://ncgtc.sdpondemand.manageengine.in/app/apphelpdesk/ui/requests/14047000006039414/details" TargetMode="External"/><Relationship Id="rId751" Type="http://schemas.openxmlformats.org/officeDocument/2006/relationships/hyperlink" Target="https://ncgtc.sdpondemand.manageengine.in/app/apphelpdesk/ui/requests/14047000006039342/details" TargetMode="External"/><Relationship Id="rId750" Type="http://schemas.openxmlformats.org/officeDocument/2006/relationships/hyperlink" Target="https://ncgtc.sdpondemand.manageengine.in/app/apphelpdesk/ui/requests/14047000006039313/details" TargetMode="External"/><Relationship Id="rId75" Type="http://schemas.openxmlformats.org/officeDocument/2006/relationships/hyperlink" Target="https://ncgtc.sdpondemand.manageengine.in/app/apphelpdesk/ui/requests/14047000005863035/details" TargetMode="External"/><Relationship Id="rId749" Type="http://schemas.openxmlformats.org/officeDocument/2006/relationships/hyperlink" Target="https://ncgtc.sdpondemand.manageengine.in/app/apphelpdesk/ui/requests/14047000006039275/details" TargetMode="External"/><Relationship Id="rId748" Type="http://schemas.openxmlformats.org/officeDocument/2006/relationships/hyperlink" Target="https://ncgtc.sdpondemand.manageengine.in/app/apphelpdesk/ui/requests/14047000006039226/details" TargetMode="External"/><Relationship Id="rId747" Type="http://schemas.openxmlformats.org/officeDocument/2006/relationships/hyperlink" Target="https://ncgtc.sdpondemand.manageengine.in/app/apphelpdesk/ui/requests/14047000006039209/details" TargetMode="External"/><Relationship Id="rId746" Type="http://schemas.openxmlformats.org/officeDocument/2006/relationships/hyperlink" Target="https://ncgtc.sdpondemand.manageengine.in/app/apphelpdesk/ui/requests/14047000006039166/details" TargetMode="External"/><Relationship Id="rId745" Type="http://schemas.openxmlformats.org/officeDocument/2006/relationships/hyperlink" Target="https://ncgtc.sdpondemand.manageengine.in/app/apphelpdesk/ui/requests/14047000006039055/details" TargetMode="External"/><Relationship Id="rId744" Type="http://schemas.openxmlformats.org/officeDocument/2006/relationships/hyperlink" Target="https://ncgtc.sdpondemand.manageengine.in/app/apphelpdesk/ui/requests/14047000006039040/details" TargetMode="External"/><Relationship Id="rId743" Type="http://schemas.openxmlformats.org/officeDocument/2006/relationships/hyperlink" Target="https://ncgtc.sdpondemand.manageengine.in/app/apphelpdesk/ui/requests/14047000006031995/details" TargetMode="External"/><Relationship Id="rId742" Type="http://schemas.openxmlformats.org/officeDocument/2006/relationships/hyperlink" Target="https://ncgtc.sdpondemand.manageengine.in/app/apphelpdesk/ui/requests/14047000006031917/details" TargetMode="External"/><Relationship Id="rId741" Type="http://schemas.openxmlformats.org/officeDocument/2006/relationships/hyperlink" Target="https://ncgtc.sdpondemand.manageengine.in/app/apphelpdesk/ui/requests/14047000006031866/details" TargetMode="External"/><Relationship Id="rId740" Type="http://schemas.openxmlformats.org/officeDocument/2006/relationships/hyperlink" Target="https://ncgtc.sdpondemand.manageengine.in/app/apphelpdesk/ui/requests/14047000006031853/details" TargetMode="External"/><Relationship Id="rId74" Type="http://schemas.openxmlformats.org/officeDocument/2006/relationships/hyperlink" Target="https://ncgtc.sdpondemand.manageengine.in/app/apphelpdesk/ui/requests/14047000005857954/details" TargetMode="External"/><Relationship Id="rId739" Type="http://schemas.openxmlformats.org/officeDocument/2006/relationships/hyperlink" Target="https://ncgtc.sdpondemand.manageengine.in/app/apphelpdesk/ui/requests/14047000006031840/details" TargetMode="External"/><Relationship Id="rId738" Type="http://schemas.openxmlformats.org/officeDocument/2006/relationships/hyperlink" Target="https://ncgtc.sdpondemand.manageengine.in/app/apphelpdesk/ui/requests/14047000006031819/details" TargetMode="External"/><Relationship Id="rId737" Type="http://schemas.openxmlformats.org/officeDocument/2006/relationships/hyperlink" Target="https://ncgtc.sdpondemand.manageengine.in/app/apphelpdesk/ui/requests/14047000006031739/details" TargetMode="External"/><Relationship Id="rId736" Type="http://schemas.openxmlformats.org/officeDocument/2006/relationships/hyperlink" Target="https://ncgtc.sdpondemand.manageengine.in/app/apphelpdesk/ui/requests/14047000006031696/details" TargetMode="External"/><Relationship Id="rId735" Type="http://schemas.openxmlformats.org/officeDocument/2006/relationships/hyperlink" Target="https://ncgtc.sdpondemand.manageengine.in/app/apphelpdesk/ui/requests/14047000006031653/details" TargetMode="External"/><Relationship Id="rId734" Type="http://schemas.openxmlformats.org/officeDocument/2006/relationships/hyperlink" Target="https://ncgtc.sdpondemand.manageengine.in/app/apphelpdesk/ui/requests/14047000006031601/details" TargetMode="External"/><Relationship Id="rId733" Type="http://schemas.openxmlformats.org/officeDocument/2006/relationships/hyperlink" Target="https://ncgtc.sdpondemand.manageengine.in/app/apphelpdesk/ui/requests/14047000006031568/details" TargetMode="External"/><Relationship Id="rId732" Type="http://schemas.openxmlformats.org/officeDocument/2006/relationships/hyperlink" Target="https://ncgtc.sdpondemand.manageengine.in/app/apphelpdesk/ui/requests/14047000006031537/details" TargetMode="External"/><Relationship Id="rId731" Type="http://schemas.openxmlformats.org/officeDocument/2006/relationships/hyperlink" Target="https://ncgtc.sdpondemand.manageengine.in/app/apphelpdesk/ui/requests/14047000006031493/details" TargetMode="External"/><Relationship Id="rId730" Type="http://schemas.openxmlformats.org/officeDocument/2006/relationships/hyperlink" Target="https://ncgtc.sdpondemand.manageengine.in/app/apphelpdesk/ui/requests/14047000006031481/details" TargetMode="External"/><Relationship Id="rId73" Type="http://schemas.openxmlformats.org/officeDocument/2006/relationships/hyperlink" Target="https://ncgtc.sdpondemand.manageengine.in/app/apphelpdesk/ui/requests/14047000005857924/details" TargetMode="External"/><Relationship Id="rId729" Type="http://schemas.openxmlformats.org/officeDocument/2006/relationships/hyperlink" Target="https://ncgtc.sdpondemand.manageengine.in/app/apphelpdesk/ui/requests/14047000006031465/details" TargetMode="External"/><Relationship Id="rId728" Type="http://schemas.openxmlformats.org/officeDocument/2006/relationships/hyperlink" Target="https://ncgtc.sdpondemand.manageengine.in/app/apphelpdesk/ui/requests/14047000006031388/details" TargetMode="External"/><Relationship Id="rId727" Type="http://schemas.openxmlformats.org/officeDocument/2006/relationships/hyperlink" Target="https://ncgtc.sdpondemand.manageengine.in/app/apphelpdesk/ui/requests/14047000006031379/details" TargetMode="External"/><Relationship Id="rId726" Type="http://schemas.openxmlformats.org/officeDocument/2006/relationships/hyperlink" Target="https://ncgtc.sdpondemand.manageengine.in/app/apphelpdesk/ui/requests/14047000006031358/details" TargetMode="External"/><Relationship Id="rId725" Type="http://schemas.openxmlformats.org/officeDocument/2006/relationships/hyperlink" Target="https://ncgtc.sdpondemand.manageengine.in/app/apphelpdesk/ui/requests/14047000006031335/details" TargetMode="External"/><Relationship Id="rId724" Type="http://schemas.openxmlformats.org/officeDocument/2006/relationships/hyperlink" Target="https://ncgtc.sdpondemand.manageengine.in/app/apphelpdesk/ui/requests/14047000006031326/details" TargetMode="External"/><Relationship Id="rId723" Type="http://schemas.openxmlformats.org/officeDocument/2006/relationships/hyperlink" Target="https://ncgtc.sdpondemand.manageengine.in/app/apphelpdesk/ui/requests/14047000006031300/details" TargetMode="External"/><Relationship Id="rId722" Type="http://schemas.openxmlformats.org/officeDocument/2006/relationships/hyperlink" Target="https://ncgtc.sdpondemand.manageengine.in/app/apphelpdesk/ui/requests/14047000006031236/details" TargetMode="External"/><Relationship Id="rId721" Type="http://schemas.openxmlformats.org/officeDocument/2006/relationships/hyperlink" Target="https://ncgtc.sdpondemand.manageengine.in/app/apphelpdesk/ui/requests/14047000006031227/details" TargetMode="External"/><Relationship Id="rId720" Type="http://schemas.openxmlformats.org/officeDocument/2006/relationships/hyperlink" Target="https://ncgtc.sdpondemand.manageengine.in/app/apphelpdesk/ui/requests/14047000006031211/details" TargetMode="External"/><Relationship Id="rId72" Type="http://schemas.openxmlformats.org/officeDocument/2006/relationships/hyperlink" Target="https://ncgtc.sdpondemand.manageengine.in/app/apphelpdesk/ui/requests/14047000005857874/details" TargetMode="External"/><Relationship Id="rId719" Type="http://schemas.openxmlformats.org/officeDocument/2006/relationships/hyperlink" Target="https://ncgtc.sdpondemand.manageengine.in/app/apphelpdesk/ui/requests/14047000006031195/details" TargetMode="External"/><Relationship Id="rId718" Type="http://schemas.openxmlformats.org/officeDocument/2006/relationships/hyperlink" Target="https://ncgtc.sdpondemand.manageengine.in/app/apphelpdesk/ui/requests/14047000006031187/details" TargetMode="External"/><Relationship Id="rId717" Type="http://schemas.openxmlformats.org/officeDocument/2006/relationships/hyperlink" Target="https://ncgtc.sdpondemand.manageengine.in/app/apphelpdesk/ui/requests/14047000006031154/details" TargetMode="External"/><Relationship Id="rId716" Type="http://schemas.openxmlformats.org/officeDocument/2006/relationships/hyperlink" Target="https://ncgtc.sdpondemand.manageengine.in/app/apphelpdesk/ui/requests/14047000006031117/details" TargetMode="External"/><Relationship Id="rId715" Type="http://schemas.openxmlformats.org/officeDocument/2006/relationships/hyperlink" Target="https://ncgtc.sdpondemand.manageengine.in/app/apphelpdesk/ui/requests/14047000006031109/details" TargetMode="External"/><Relationship Id="rId714" Type="http://schemas.openxmlformats.org/officeDocument/2006/relationships/hyperlink" Target="https://ncgtc.sdpondemand.manageengine.in/app/apphelpdesk/ui/requests/14047000006031047/details" TargetMode="External"/><Relationship Id="rId713" Type="http://schemas.openxmlformats.org/officeDocument/2006/relationships/hyperlink" Target="https://ncgtc.sdpondemand.manageengine.in/app/apphelpdesk/ui/requests/14047000006031032/details" TargetMode="External"/><Relationship Id="rId712" Type="http://schemas.openxmlformats.org/officeDocument/2006/relationships/hyperlink" Target="https://ncgtc.sdpondemand.manageengine.in/app/apphelpdesk/ui/requests/14047000006027880/details" TargetMode="External"/><Relationship Id="rId711" Type="http://schemas.openxmlformats.org/officeDocument/2006/relationships/hyperlink" Target="https://ncgtc.sdpondemand.manageengine.in/app/apphelpdesk/ui/requests/14047000006027868/details" TargetMode="External"/><Relationship Id="rId710" Type="http://schemas.openxmlformats.org/officeDocument/2006/relationships/hyperlink" Target="https://ncgtc.sdpondemand.manageengine.in/app/apphelpdesk/ui/requests/14047000006027859/details" TargetMode="External"/><Relationship Id="rId71" Type="http://schemas.openxmlformats.org/officeDocument/2006/relationships/hyperlink" Target="https://ncgtc.sdpondemand.manageengine.in/app/apphelpdesk/ui/requests/14047000005857810/details" TargetMode="External"/><Relationship Id="rId709" Type="http://schemas.openxmlformats.org/officeDocument/2006/relationships/hyperlink" Target="https://ncgtc.sdpondemand.manageengine.in/app/apphelpdesk/ui/requests/14047000006027817/details" TargetMode="External"/><Relationship Id="rId708" Type="http://schemas.openxmlformats.org/officeDocument/2006/relationships/hyperlink" Target="https://ncgtc.sdpondemand.manageengine.in/app/apphelpdesk/ui/requests/14047000006027803/details" TargetMode="External"/><Relationship Id="rId707" Type="http://schemas.openxmlformats.org/officeDocument/2006/relationships/hyperlink" Target="https://ncgtc.sdpondemand.manageengine.in/app/apphelpdesk/ui/requests/14047000006027794/details" TargetMode="External"/><Relationship Id="rId706" Type="http://schemas.openxmlformats.org/officeDocument/2006/relationships/hyperlink" Target="https://ncgtc.sdpondemand.manageengine.in/app/apphelpdesk/ui/requests/14047000006027784/details" TargetMode="External"/><Relationship Id="rId705" Type="http://schemas.openxmlformats.org/officeDocument/2006/relationships/hyperlink" Target="https://ncgtc.sdpondemand.manageengine.in/app/apphelpdesk/ui/requests/14047000006027775/details" TargetMode="External"/><Relationship Id="rId704" Type="http://schemas.openxmlformats.org/officeDocument/2006/relationships/hyperlink" Target="https://ncgtc.sdpondemand.manageengine.in/app/apphelpdesk/ui/requests/14047000006027742/details" TargetMode="External"/><Relationship Id="rId703" Type="http://schemas.openxmlformats.org/officeDocument/2006/relationships/hyperlink" Target="https://ncgtc.sdpondemand.manageengine.in/app/apphelpdesk/ui/requests/14047000006027722/details" TargetMode="External"/><Relationship Id="rId702" Type="http://schemas.openxmlformats.org/officeDocument/2006/relationships/hyperlink" Target="https://ncgtc.sdpondemand.manageengine.in/app/apphelpdesk/ui/requests/14047000006027711/details" TargetMode="External"/><Relationship Id="rId701" Type="http://schemas.openxmlformats.org/officeDocument/2006/relationships/hyperlink" Target="https://ncgtc.sdpondemand.manageengine.in/app/apphelpdesk/ui/requests/14047000006027655/details" TargetMode="External"/><Relationship Id="rId700" Type="http://schemas.openxmlformats.org/officeDocument/2006/relationships/hyperlink" Target="https://ncgtc.sdpondemand.manageengine.in/app/apphelpdesk/ui/requests/14047000006027629/details" TargetMode="External"/><Relationship Id="rId70" Type="http://schemas.openxmlformats.org/officeDocument/2006/relationships/hyperlink" Target="https://ncgtc.sdpondemand.manageengine.in/app/apphelpdesk/ui/requests/14047000005857785/details" TargetMode="External"/><Relationship Id="rId7" Type="http://schemas.openxmlformats.org/officeDocument/2006/relationships/hyperlink" Target="https://ncgtc.sdpondemand.manageengine.in/app/apphelpdesk/ui/requests/14047000005854107/details" TargetMode="External"/><Relationship Id="rId699" Type="http://schemas.openxmlformats.org/officeDocument/2006/relationships/hyperlink" Target="https://ncgtc.sdpondemand.manageengine.in/app/apphelpdesk/ui/requests/14047000006027582/details" TargetMode="External"/><Relationship Id="rId698" Type="http://schemas.openxmlformats.org/officeDocument/2006/relationships/hyperlink" Target="https://ncgtc.sdpondemand.manageengine.in/app/apphelpdesk/ui/requests/14047000006027525/details" TargetMode="External"/><Relationship Id="rId697" Type="http://schemas.openxmlformats.org/officeDocument/2006/relationships/hyperlink" Target="https://ncgtc.sdpondemand.manageengine.in/app/apphelpdesk/ui/requests/14047000006027516/details" TargetMode="External"/><Relationship Id="rId696" Type="http://schemas.openxmlformats.org/officeDocument/2006/relationships/hyperlink" Target="https://ncgtc.sdpondemand.manageengine.in/app/apphelpdesk/ui/requests/14047000006027497/details" TargetMode="External"/><Relationship Id="rId695" Type="http://schemas.openxmlformats.org/officeDocument/2006/relationships/hyperlink" Target="https://ncgtc.sdpondemand.manageengine.in/app/apphelpdesk/ui/requests/14047000006027488/details" TargetMode="External"/><Relationship Id="rId694" Type="http://schemas.openxmlformats.org/officeDocument/2006/relationships/hyperlink" Target="https://ncgtc.sdpondemand.manageengine.in/app/apphelpdesk/ui/requests/14047000006027469/details" TargetMode="External"/><Relationship Id="rId693" Type="http://schemas.openxmlformats.org/officeDocument/2006/relationships/hyperlink" Target="https://ncgtc.sdpondemand.manageengine.in/app/apphelpdesk/ui/requests/14047000006027454/details" TargetMode="External"/><Relationship Id="rId692" Type="http://schemas.openxmlformats.org/officeDocument/2006/relationships/hyperlink" Target="https://ncgtc.sdpondemand.manageengine.in/app/apphelpdesk/ui/requests/14047000006027427/details" TargetMode="External"/><Relationship Id="rId691" Type="http://schemas.openxmlformats.org/officeDocument/2006/relationships/hyperlink" Target="https://ncgtc.sdpondemand.manageengine.in/app/apphelpdesk/ui/requests/14047000006027378/details" TargetMode="External"/><Relationship Id="rId690" Type="http://schemas.openxmlformats.org/officeDocument/2006/relationships/hyperlink" Target="https://ncgtc.sdpondemand.manageengine.in/app/apphelpdesk/ui/requests/14047000006027356/details" TargetMode="External"/><Relationship Id="rId69" Type="http://schemas.openxmlformats.org/officeDocument/2006/relationships/hyperlink" Target="https://ncgtc.sdpondemand.manageengine.in/app/apphelpdesk/ui/requests/14047000005857776/details" TargetMode="External"/><Relationship Id="rId689" Type="http://schemas.openxmlformats.org/officeDocument/2006/relationships/hyperlink" Target="https://ncgtc.sdpondemand.manageengine.in/app/apphelpdesk/ui/requests/14047000006027291/details" TargetMode="External"/><Relationship Id="rId688" Type="http://schemas.openxmlformats.org/officeDocument/2006/relationships/hyperlink" Target="https://ncgtc.sdpondemand.manageengine.in/app/apphelpdesk/ui/requests/14047000006027267/details" TargetMode="External"/><Relationship Id="rId687" Type="http://schemas.openxmlformats.org/officeDocument/2006/relationships/hyperlink" Target="https://ncgtc.sdpondemand.manageengine.in/app/apphelpdesk/ui/requests/14047000006027255/details" TargetMode="External"/><Relationship Id="rId686" Type="http://schemas.openxmlformats.org/officeDocument/2006/relationships/hyperlink" Target="https://ncgtc.sdpondemand.manageengine.in/app/apphelpdesk/ui/requests/14047000006027194/details" TargetMode="External"/><Relationship Id="rId685" Type="http://schemas.openxmlformats.org/officeDocument/2006/relationships/hyperlink" Target="https://ncgtc.sdpondemand.manageengine.in/app/apphelpdesk/ui/requests/14047000006027108/details" TargetMode="External"/><Relationship Id="rId684" Type="http://schemas.openxmlformats.org/officeDocument/2006/relationships/hyperlink" Target="https://ncgtc.sdpondemand.manageengine.in/app/apphelpdesk/ui/requests/14047000006027085/details" TargetMode="External"/><Relationship Id="rId683" Type="http://schemas.openxmlformats.org/officeDocument/2006/relationships/hyperlink" Target="https://ncgtc.sdpondemand.manageengine.in/app/apphelpdesk/ui/requests/14047000006027076/details" TargetMode="External"/><Relationship Id="rId682" Type="http://schemas.openxmlformats.org/officeDocument/2006/relationships/hyperlink" Target="https://ncgtc.sdpondemand.manageengine.in/app/apphelpdesk/ui/requests/14047000006027049/details" TargetMode="External"/><Relationship Id="rId681" Type="http://schemas.openxmlformats.org/officeDocument/2006/relationships/hyperlink" Target="https://ncgtc.sdpondemand.manageengine.in/app/apphelpdesk/ui/requests/14047000006027037/details" TargetMode="External"/><Relationship Id="rId680" Type="http://schemas.openxmlformats.org/officeDocument/2006/relationships/hyperlink" Target="https://ncgtc.sdpondemand.manageengine.in/app/apphelpdesk/ui/requests/14047000006027024/details" TargetMode="External"/><Relationship Id="rId68" Type="http://schemas.openxmlformats.org/officeDocument/2006/relationships/hyperlink" Target="https://ncgtc.sdpondemand.manageengine.in/app/apphelpdesk/ui/requests/14047000005857759/details" TargetMode="External"/><Relationship Id="rId679" Type="http://schemas.openxmlformats.org/officeDocument/2006/relationships/hyperlink" Target="https://ncgtc.sdpondemand.manageengine.in/app/apphelpdesk/ui/requests/14047000006017972/details" TargetMode="External"/><Relationship Id="rId678" Type="http://schemas.openxmlformats.org/officeDocument/2006/relationships/hyperlink" Target="https://ncgtc.sdpondemand.manageengine.in/app/apphelpdesk/ui/requests/14047000006017958/details" TargetMode="External"/><Relationship Id="rId677" Type="http://schemas.openxmlformats.org/officeDocument/2006/relationships/hyperlink" Target="https://ncgtc.sdpondemand.manageengine.in/app/apphelpdesk/ui/requests/14047000006017932/details" TargetMode="External"/><Relationship Id="rId676" Type="http://schemas.openxmlformats.org/officeDocument/2006/relationships/hyperlink" Target="https://ncgtc.sdpondemand.manageengine.in/app/apphelpdesk/ui/requests/14047000006017915/details" TargetMode="External"/><Relationship Id="rId675" Type="http://schemas.openxmlformats.org/officeDocument/2006/relationships/hyperlink" Target="https://ncgtc.sdpondemand.manageengine.in/app/apphelpdesk/ui/requests/14047000006017900/details" TargetMode="External"/><Relationship Id="rId674" Type="http://schemas.openxmlformats.org/officeDocument/2006/relationships/hyperlink" Target="https://ncgtc.sdpondemand.manageengine.in/app/apphelpdesk/ui/requests/14047000006017884/details" TargetMode="External"/><Relationship Id="rId673" Type="http://schemas.openxmlformats.org/officeDocument/2006/relationships/hyperlink" Target="https://ncgtc.sdpondemand.manageengine.in/app/apphelpdesk/ui/requests/14047000006017868/details" TargetMode="External"/><Relationship Id="rId672" Type="http://schemas.openxmlformats.org/officeDocument/2006/relationships/hyperlink" Target="https://ncgtc.sdpondemand.manageengine.in/app/apphelpdesk/ui/requests/14047000006017838/details" TargetMode="External"/><Relationship Id="rId671" Type="http://schemas.openxmlformats.org/officeDocument/2006/relationships/hyperlink" Target="https://ncgtc.sdpondemand.manageengine.in/app/apphelpdesk/ui/requests/14047000006017764/details" TargetMode="External"/><Relationship Id="rId670" Type="http://schemas.openxmlformats.org/officeDocument/2006/relationships/hyperlink" Target="https://ncgtc.sdpondemand.manageengine.in/app/apphelpdesk/ui/requests/14047000006017750/details" TargetMode="External"/><Relationship Id="rId67" Type="http://schemas.openxmlformats.org/officeDocument/2006/relationships/hyperlink" Target="https://ncgtc.sdpondemand.manageengine.in/app/apphelpdesk/ui/requests/14047000005857746/details" TargetMode="External"/><Relationship Id="rId669" Type="http://schemas.openxmlformats.org/officeDocument/2006/relationships/hyperlink" Target="https://ncgtc.sdpondemand.manageengine.in/app/apphelpdesk/ui/requests/14047000006017697/details" TargetMode="External"/><Relationship Id="rId668" Type="http://schemas.openxmlformats.org/officeDocument/2006/relationships/hyperlink" Target="https://ncgtc.sdpondemand.manageengine.in/app/apphelpdesk/ui/requests/14047000006017684/details" TargetMode="External"/><Relationship Id="rId667" Type="http://schemas.openxmlformats.org/officeDocument/2006/relationships/hyperlink" Target="https://ncgtc.sdpondemand.manageengine.in/app/apphelpdesk/ui/requests/14047000006017670/details" TargetMode="External"/><Relationship Id="rId666" Type="http://schemas.openxmlformats.org/officeDocument/2006/relationships/hyperlink" Target="https://ncgtc.sdpondemand.manageengine.in/app/apphelpdesk/ui/requests/14047000006017661/details" TargetMode="External"/><Relationship Id="rId665" Type="http://schemas.openxmlformats.org/officeDocument/2006/relationships/hyperlink" Target="https://ncgtc.sdpondemand.manageengine.in/app/apphelpdesk/ui/requests/14047000006017641/details" TargetMode="External"/><Relationship Id="rId664" Type="http://schemas.openxmlformats.org/officeDocument/2006/relationships/hyperlink" Target="https://ncgtc.sdpondemand.manageengine.in/app/apphelpdesk/ui/requests/14047000006017618/details" TargetMode="External"/><Relationship Id="rId663" Type="http://schemas.openxmlformats.org/officeDocument/2006/relationships/hyperlink" Target="https://ncgtc.sdpondemand.manageengine.in/app/apphelpdesk/ui/requests/14047000006017603/details" TargetMode="External"/><Relationship Id="rId662" Type="http://schemas.openxmlformats.org/officeDocument/2006/relationships/hyperlink" Target="https://ncgtc.sdpondemand.manageengine.in/app/apphelpdesk/ui/requests/14047000006017579/details" TargetMode="External"/><Relationship Id="rId661" Type="http://schemas.openxmlformats.org/officeDocument/2006/relationships/hyperlink" Target="https://ncgtc.sdpondemand.manageengine.in/app/apphelpdesk/ui/requests/14047000006017543/details" TargetMode="External"/><Relationship Id="rId660" Type="http://schemas.openxmlformats.org/officeDocument/2006/relationships/hyperlink" Target="https://ncgtc.sdpondemand.manageengine.in/app/apphelpdesk/ui/requests/14047000006017521/details" TargetMode="External"/><Relationship Id="rId66" Type="http://schemas.openxmlformats.org/officeDocument/2006/relationships/hyperlink" Target="https://ncgtc.sdpondemand.manageengine.in/app/apphelpdesk/ui/requests/14047000005857705/details" TargetMode="External"/><Relationship Id="rId659" Type="http://schemas.openxmlformats.org/officeDocument/2006/relationships/hyperlink" Target="https://ncgtc.sdpondemand.manageengine.in/app/apphelpdesk/ui/requests/14047000006017512/details" TargetMode="External"/><Relationship Id="rId658" Type="http://schemas.openxmlformats.org/officeDocument/2006/relationships/hyperlink" Target="https://ncgtc.sdpondemand.manageengine.in/app/apphelpdesk/ui/requests/14047000006017490/details" TargetMode="External"/><Relationship Id="rId657" Type="http://schemas.openxmlformats.org/officeDocument/2006/relationships/hyperlink" Target="https://ncgtc.sdpondemand.manageengine.in/app/apphelpdesk/ui/requests/14047000006017415/details" TargetMode="External"/><Relationship Id="rId656" Type="http://schemas.openxmlformats.org/officeDocument/2006/relationships/hyperlink" Target="https://ncgtc.sdpondemand.manageengine.in/app/apphelpdesk/ui/requests/14047000006017390/details" TargetMode="External"/><Relationship Id="rId655" Type="http://schemas.openxmlformats.org/officeDocument/2006/relationships/hyperlink" Target="https://ncgtc.sdpondemand.manageengine.in/app/apphelpdesk/ui/requests/14047000006017367/details" TargetMode="External"/><Relationship Id="rId654" Type="http://schemas.openxmlformats.org/officeDocument/2006/relationships/hyperlink" Target="https://ncgtc.sdpondemand.manageengine.in/app/apphelpdesk/ui/requests/14047000006017344/details" TargetMode="External"/><Relationship Id="rId653" Type="http://schemas.openxmlformats.org/officeDocument/2006/relationships/hyperlink" Target="https://ncgtc.sdpondemand.manageengine.in/app/apphelpdesk/ui/requests/14047000006017319/details" TargetMode="External"/><Relationship Id="rId652" Type="http://schemas.openxmlformats.org/officeDocument/2006/relationships/hyperlink" Target="https://ncgtc.sdpondemand.manageengine.in/app/apphelpdesk/ui/requests/14047000006017308/details" TargetMode="External"/><Relationship Id="rId651" Type="http://schemas.openxmlformats.org/officeDocument/2006/relationships/hyperlink" Target="https://ncgtc.sdpondemand.manageengine.in/app/apphelpdesk/ui/requests/14047000006017299/details" TargetMode="External"/><Relationship Id="rId650" Type="http://schemas.openxmlformats.org/officeDocument/2006/relationships/hyperlink" Target="https://ncgtc.sdpondemand.manageengine.in/app/apphelpdesk/ui/requests/14047000006017261/details" TargetMode="External"/><Relationship Id="rId65" Type="http://schemas.openxmlformats.org/officeDocument/2006/relationships/hyperlink" Target="https://ncgtc.sdpondemand.manageengine.in/app/apphelpdesk/ui/requests/14047000005857693/details" TargetMode="External"/><Relationship Id="rId649" Type="http://schemas.openxmlformats.org/officeDocument/2006/relationships/hyperlink" Target="https://ncgtc.sdpondemand.manageengine.in/app/apphelpdesk/ui/requests/14047000006017219/details" TargetMode="External"/><Relationship Id="rId648" Type="http://schemas.openxmlformats.org/officeDocument/2006/relationships/hyperlink" Target="https://ncgtc.sdpondemand.manageengine.in/app/apphelpdesk/ui/requests/14047000006017210/details" TargetMode="External"/><Relationship Id="rId647" Type="http://schemas.openxmlformats.org/officeDocument/2006/relationships/hyperlink" Target="https://ncgtc.sdpondemand.manageengine.in/app/apphelpdesk/ui/requests/14047000006017180/details" TargetMode="External"/><Relationship Id="rId646" Type="http://schemas.openxmlformats.org/officeDocument/2006/relationships/hyperlink" Target="https://ncgtc.sdpondemand.manageengine.in/app/apphelpdesk/ui/requests/14047000006017169/details" TargetMode="External"/><Relationship Id="rId645" Type="http://schemas.openxmlformats.org/officeDocument/2006/relationships/hyperlink" Target="https://ncgtc.sdpondemand.manageengine.in/app/apphelpdesk/ui/requests/14047000006017108/details" TargetMode="External"/><Relationship Id="rId644" Type="http://schemas.openxmlformats.org/officeDocument/2006/relationships/hyperlink" Target="https://ncgtc.sdpondemand.manageengine.in/app/apphelpdesk/ui/requests/14047000006017089/details" TargetMode="External"/><Relationship Id="rId643" Type="http://schemas.openxmlformats.org/officeDocument/2006/relationships/hyperlink" Target="https://ncgtc.sdpondemand.manageengine.in/app/apphelpdesk/ui/requests/14047000006017067/details" TargetMode="External"/><Relationship Id="rId642" Type="http://schemas.openxmlformats.org/officeDocument/2006/relationships/hyperlink" Target="https://ncgtc.sdpondemand.manageengine.in/app/apphelpdesk/ui/requests/14047000006017053/details" TargetMode="External"/><Relationship Id="rId641" Type="http://schemas.openxmlformats.org/officeDocument/2006/relationships/hyperlink" Target="https://ncgtc.sdpondemand.manageengine.in/app/apphelpdesk/ui/requests/14047000006017005/details" TargetMode="External"/><Relationship Id="rId640" Type="http://schemas.openxmlformats.org/officeDocument/2006/relationships/hyperlink" Target="https://ncgtc.sdpondemand.manageengine.in/app/apphelpdesk/ui/requests/14047000006009463/details" TargetMode="External"/><Relationship Id="rId64" Type="http://schemas.openxmlformats.org/officeDocument/2006/relationships/hyperlink" Target="https://ncgtc.sdpondemand.manageengine.in/app/apphelpdesk/ui/requests/14047000005857666/details" TargetMode="External"/><Relationship Id="rId639" Type="http://schemas.openxmlformats.org/officeDocument/2006/relationships/hyperlink" Target="https://ncgtc.sdpondemand.manageengine.in/app/apphelpdesk/ui/requests/14047000006009366/details" TargetMode="External"/><Relationship Id="rId638" Type="http://schemas.openxmlformats.org/officeDocument/2006/relationships/hyperlink" Target="https://ncgtc.sdpondemand.manageengine.in/app/apphelpdesk/ui/requests/14047000006009357/details" TargetMode="External"/><Relationship Id="rId637" Type="http://schemas.openxmlformats.org/officeDocument/2006/relationships/hyperlink" Target="https://ncgtc.sdpondemand.manageengine.in/app/apphelpdesk/ui/requests/14047000006009254/details" TargetMode="External"/><Relationship Id="rId636" Type="http://schemas.openxmlformats.org/officeDocument/2006/relationships/hyperlink" Target="https://ncgtc.sdpondemand.manageengine.in/app/apphelpdesk/ui/requests/14047000006009245/details" TargetMode="External"/><Relationship Id="rId635" Type="http://schemas.openxmlformats.org/officeDocument/2006/relationships/hyperlink" Target="https://ncgtc.sdpondemand.manageengine.in/app/apphelpdesk/ui/requests/14047000006009221/details" TargetMode="External"/><Relationship Id="rId634" Type="http://schemas.openxmlformats.org/officeDocument/2006/relationships/hyperlink" Target="https://ncgtc.sdpondemand.manageengine.in/app/apphelpdesk/ui/requests/14047000006009174/details" TargetMode="External"/><Relationship Id="rId633" Type="http://schemas.openxmlformats.org/officeDocument/2006/relationships/hyperlink" Target="https://ncgtc.sdpondemand.manageengine.in/app/apphelpdesk/ui/requests/14047000006009150/details" TargetMode="External"/><Relationship Id="rId632" Type="http://schemas.openxmlformats.org/officeDocument/2006/relationships/hyperlink" Target="https://ncgtc.sdpondemand.manageengine.in/app/apphelpdesk/ui/requests/14047000006009127/details" TargetMode="External"/><Relationship Id="rId631" Type="http://schemas.openxmlformats.org/officeDocument/2006/relationships/hyperlink" Target="https://ncgtc.sdpondemand.manageengine.in/app/apphelpdesk/ui/requests/14047000006009094/details" TargetMode="External"/><Relationship Id="rId630" Type="http://schemas.openxmlformats.org/officeDocument/2006/relationships/hyperlink" Target="https://ncgtc.sdpondemand.manageengine.in/app/apphelpdesk/ui/requests/14047000006009013/details" TargetMode="External"/><Relationship Id="rId63" Type="http://schemas.openxmlformats.org/officeDocument/2006/relationships/hyperlink" Target="https://ncgtc.sdpondemand.manageengine.in/app/apphelpdesk/ui/requests/14047000005857638/details" TargetMode="External"/><Relationship Id="rId629" Type="http://schemas.openxmlformats.org/officeDocument/2006/relationships/hyperlink" Target="https://ncgtc.sdpondemand.manageengine.in/app/apphelpdesk/ui/requests/14047000006005930/details" TargetMode="External"/><Relationship Id="rId628" Type="http://schemas.openxmlformats.org/officeDocument/2006/relationships/hyperlink" Target="https://ncgtc.sdpondemand.manageengine.in/app/apphelpdesk/ui/requests/14047000006005917/details" TargetMode="External"/><Relationship Id="rId627" Type="http://schemas.openxmlformats.org/officeDocument/2006/relationships/hyperlink" Target="https://ncgtc.sdpondemand.manageengine.in/app/apphelpdesk/ui/requests/14047000006005894/details" TargetMode="External"/><Relationship Id="rId626" Type="http://schemas.openxmlformats.org/officeDocument/2006/relationships/hyperlink" Target="https://ncgtc.sdpondemand.manageengine.in/app/apphelpdesk/ui/requests/14047000006005880/details" TargetMode="External"/><Relationship Id="rId625" Type="http://schemas.openxmlformats.org/officeDocument/2006/relationships/hyperlink" Target="https://ncgtc.sdpondemand.manageengine.in/app/apphelpdesk/ui/requests/14047000006005871/details" TargetMode="External"/><Relationship Id="rId624" Type="http://schemas.openxmlformats.org/officeDocument/2006/relationships/hyperlink" Target="https://ncgtc.sdpondemand.manageengine.in/app/apphelpdesk/ui/requests/14047000006005839/details" TargetMode="External"/><Relationship Id="rId623" Type="http://schemas.openxmlformats.org/officeDocument/2006/relationships/hyperlink" Target="https://ncgtc.sdpondemand.manageengine.in/app/apphelpdesk/ui/requests/14047000006005813/details" TargetMode="External"/><Relationship Id="rId622" Type="http://schemas.openxmlformats.org/officeDocument/2006/relationships/hyperlink" Target="https://ncgtc.sdpondemand.manageengine.in/app/apphelpdesk/ui/requests/14047000006005698/details" TargetMode="External"/><Relationship Id="rId621" Type="http://schemas.openxmlformats.org/officeDocument/2006/relationships/hyperlink" Target="https://ncgtc.sdpondemand.manageengine.in/app/apphelpdesk/ui/requests/14047000006005683/details" TargetMode="External"/><Relationship Id="rId620" Type="http://schemas.openxmlformats.org/officeDocument/2006/relationships/hyperlink" Target="https://ncgtc.sdpondemand.manageengine.in/app/apphelpdesk/ui/requests/14047000006005643/details" TargetMode="External"/><Relationship Id="rId62" Type="http://schemas.openxmlformats.org/officeDocument/2006/relationships/hyperlink" Target="https://ncgtc.sdpondemand.manageengine.in/app/apphelpdesk/ui/requests/14047000005857617/details" TargetMode="External"/><Relationship Id="rId619" Type="http://schemas.openxmlformats.org/officeDocument/2006/relationships/hyperlink" Target="https://ncgtc.sdpondemand.manageengine.in/app/apphelpdesk/ui/requests/14047000006005635/details" TargetMode="External"/><Relationship Id="rId618" Type="http://schemas.openxmlformats.org/officeDocument/2006/relationships/hyperlink" Target="https://ncgtc.sdpondemand.manageengine.in/app/apphelpdesk/ui/requests/14047000006005601/details" TargetMode="External"/><Relationship Id="rId617" Type="http://schemas.openxmlformats.org/officeDocument/2006/relationships/hyperlink" Target="https://ncgtc.sdpondemand.manageengine.in/app/apphelpdesk/ui/requests/14047000006005593/details" TargetMode="External"/><Relationship Id="rId616" Type="http://schemas.openxmlformats.org/officeDocument/2006/relationships/hyperlink" Target="https://ncgtc.sdpondemand.manageengine.in/app/apphelpdesk/ui/requests/14047000006005583/details" TargetMode="External"/><Relationship Id="rId615" Type="http://schemas.openxmlformats.org/officeDocument/2006/relationships/hyperlink" Target="https://ncgtc.sdpondemand.manageengine.in/app/apphelpdesk/ui/requests/14047000006005569/details" TargetMode="External"/><Relationship Id="rId614" Type="http://schemas.openxmlformats.org/officeDocument/2006/relationships/hyperlink" Target="https://ncgtc.sdpondemand.manageengine.in/app/apphelpdesk/ui/requests/14047000006005560/details" TargetMode="External"/><Relationship Id="rId613" Type="http://schemas.openxmlformats.org/officeDocument/2006/relationships/hyperlink" Target="https://ncgtc.sdpondemand.manageengine.in/app/apphelpdesk/ui/requests/14047000006005532/details" TargetMode="External"/><Relationship Id="rId612" Type="http://schemas.openxmlformats.org/officeDocument/2006/relationships/hyperlink" Target="https://ncgtc.sdpondemand.manageengine.in/app/apphelpdesk/ui/requests/14047000006005512/details" TargetMode="External"/><Relationship Id="rId611" Type="http://schemas.openxmlformats.org/officeDocument/2006/relationships/hyperlink" Target="https://ncgtc.sdpondemand.manageengine.in/app/apphelpdesk/ui/requests/14047000006005482/details" TargetMode="External"/><Relationship Id="rId610" Type="http://schemas.openxmlformats.org/officeDocument/2006/relationships/hyperlink" Target="https://ncgtc.sdpondemand.manageengine.in/app/apphelpdesk/ui/requests/14047000006005462/details" TargetMode="External"/><Relationship Id="rId61" Type="http://schemas.openxmlformats.org/officeDocument/2006/relationships/hyperlink" Target="https://ncgtc.sdpondemand.manageengine.in/app/apphelpdesk/ui/requests/14047000005857590/details" TargetMode="External"/><Relationship Id="rId609" Type="http://schemas.openxmlformats.org/officeDocument/2006/relationships/hyperlink" Target="https://ncgtc.sdpondemand.manageengine.in/app/apphelpdesk/ui/requests/14047000006005448/details" TargetMode="External"/><Relationship Id="rId608" Type="http://schemas.openxmlformats.org/officeDocument/2006/relationships/hyperlink" Target="https://ncgtc.sdpondemand.manageengine.in/app/apphelpdesk/ui/requests/14047000006005386/details" TargetMode="External"/><Relationship Id="rId607" Type="http://schemas.openxmlformats.org/officeDocument/2006/relationships/hyperlink" Target="https://ncgtc.sdpondemand.manageengine.in/app/apphelpdesk/ui/requests/14047000006005369/details" TargetMode="External"/><Relationship Id="rId606" Type="http://schemas.openxmlformats.org/officeDocument/2006/relationships/hyperlink" Target="https://ncgtc.sdpondemand.manageengine.in/app/apphelpdesk/ui/requests/14047000006005344/details" TargetMode="External"/><Relationship Id="rId605" Type="http://schemas.openxmlformats.org/officeDocument/2006/relationships/hyperlink" Target="https://ncgtc.sdpondemand.manageengine.in/app/apphelpdesk/ui/requests/14047000006005321/details" TargetMode="External"/><Relationship Id="rId604" Type="http://schemas.openxmlformats.org/officeDocument/2006/relationships/hyperlink" Target="https://ncgtc.sdpondemand.manageengine.in/app/apphelpdesk/ui/requests/14047000006005305/details" TargetMode="External"/><Relationship Id="rId603" Type="http://schemas.openxmlformats.org/officeDocument/2006/relationships/hyperlink" Target="https://ncgtc.sdpondemand.manageengine.in/app/apphelpdesk/ui/requests/14047000006005296/details" TargetMode="External"/><Relationship Id="rId602" Type="http://schemas.openxmlformats.org/officeDocument/2006/relationships/hyperlink" Target="https://ncgtc.sdpondemand.manageengine.in/app/apphelpdesk/ui/requests/14047000006005263/details" TargetMode="External"/><Relationship Id="rId601" Type="http://schemas.openxmlformats.org/officeDocument/2006/relationships/hyperlink" Target="https://ncgtc.sdpondemand.manageengine.in/app/apphelpdesk/ui/requests/14047000006005255/details" TargetMode="External"/><Relationship Id="rId600" Type="http://schemas.openxmlformats.org/officeDocument/2006/relationships/hyperlink" Target="https://ncgtc.sdpondemand.manageengine.in/app/apphelpdesk/ui/requests/14047000006005245/details" TargetMode="External"/><Relationship Id="rId60" Type="http://schemas.openxmlformats.org/officeDocument/2006/relationships/hyperlink" Target="https://ncgtc.sdpondemand.manageengine.in/app/apphelpdesk/ui/requests/14047000005857575/details" TargetMode="External"/><Relationship Id="rId6" Type="http://schemas.openxmlformats.org/officeDocument/2006/relationships/hyperlink" Target="https://ncgtc.sdpondemand.manageengine.in/app/apphelpdesk/ui/requests/14047000005854063/details" TargetMode="External"/><Relationship Id="rId599" Type="http://schemas.openxmlformats.org/officeDocument/2006/relationships/hyperlink" Target="https://ncgtc.sdpondemand.manageengine.in/app/apphelpdesk/ui/requests/14047000006005205/details" TargetMode="External"/><Relationship Id="rId598" Type="http://schemas.openxmlformats.org/officeDocument/2006/relationships/hyperlink" Target="https://ncgtc.sdpondemand.manageengine.in/app/apphelpdesk/ui/requests/14047000006005190/details" TargetMode="External"/><Relationship Id="rId597" Type="http://schemas.openxmlformats.org/officeDocument/2006/relationships/hyperlink" Target="https://ncgtc.sdpondemand.manageengine.in/app/apphelpdesk/ui/requests/14047000006005162/details" TargetMode="External"/><Relationship Id="rId596" Type="http://schemas.openxmlformats.org/officeDocument/2006/relationships/hyperlink" Target="https://ncgtc.sdpondemand.manageengine.in/app/apphelpdesk/ui/requests/14047000006005148/details" TargetMode="External"/><Relationship Id="rId595" Type="http://schemas.openxmlformats.org/officeDocument/2006/relationships/hyperlink" Target="https://ncgtc.sdpondemand.manageengine.in/app/apphelpdesk/ui/requests/14047000006005116/details" TargetMode="External"/><Relationship Id="rId594" Type="http://schemas.openxmlformats.org/officeDocument/2006/relationships/hyperlink" Target="https://ncgtc.sdpondemand.manageengine.in/app/apphelpdesk/ui/requests/14047000006005108/details" TargetMode="External"/><Relationship Id="rId593" Type="http://schemas.openxmlformats.org/officeDocument/2006/relationships/hyperlink" Target="https://ncgtc.sdpondemand.manageengine.in/app/apphelpdesk/ui/requests/14047000006005079/details" TargetMode="External"/><Relationship Id="rId592" Type="http://schemas.openxmlformats.org/officeDocument/2006/relationships/hyperlink" Target="https://ncgtc.sdpondemand.manageengine.in/app/apphelpdesk/ui/requests/14047000006005045/details" TargetMode="External"/><Relationship Id="rId591" Type="http://schemas.openxmlformats.org/officeDocument/2006/relationships/hyperlink" Target="https://ncgtc.sdpondemand.manageengine.in/app/apphelpdesk/ui/requests/14047000006005017/details" TargetMode="External"/><Relationship Id="rId590" Type="http://schemas.openxmlformats.org/officeDocument/2006/relationships/hyperlink" Target="https://ncgtc.sdpondemand.manageengine.in/app/apphelpdesk/ui/requests/14047000006005002/details" TargetMode="External"/><Relationship Id="rId59" Type="http://schemas.openxmlformats.org/officeDocument/2006/relationships/hyperlink" Target="https://ncgtc.sdpondemand.manageengine.in/app/apphelpdesk/ui/requests/14047000005857538/details" TargetMode="External"/><Relationship Id="rId589" Type="http://schemas.openxmlformats.org/officeDocument/2006/relationships/hyperlink" Target="https://ncgtc.sdpondemand.manageengine.in/app/apphelpdesk/ui/requests/14047000005992987/details" TargetMode="External"/><Relationship Id="rId588" Type="http://schemas.openxmlformats.org/officeDocument/2006/relationships/hyperlink" Target="https://ncgtc.sdpondemand.manageengine.in/app/apphelpdesk/ui/requests/14047000005992936/details" TargetMode="External"/><Relationship Id="rId587" Type="http://schemas.openxmlformats.org/officeDocument/2006/relationships/hyperlink" Target="https://ncgtc.sdpondemand.manageengine.in/app/apphelpdesk/ui/requests/14047000005992908/details" TargetMode="External"/><Relationship Id="rId586" Type="http://schemas.openxmlformats.org/officeDocument/2006/relationships/hyperlink" Target="https://ncgtc.sdpondemand.manageengine.in/app/apphelpdesk/ui/requests/14047000005992884/details" TargetMode="External"/><Relationship Id="rId585" Type="http://schemas.openxmlformats.org/officeDocument/2006/relationships/hyperlink" Target="https://ncgtc.sdpondemand.manageengine.in/app/apphelpdesk/ui/requests/14047000005992876/details" TargetMode="External"/><Relationship Id="rId584" Type="http://schemas.openxmlformats.org/officeDocument/2006/relationships/hyperlink" Target="https://ncgtc.sdpondemand.manageengine.in/app/apphelpdesk/ui/requests/14047000005992848/details" TargetMode="External"/><Relationship Id="rId583" Type="http://schemas.openxmlformats.org/officeDocument/2006/relationships/hyperlink" Target="https://ncgtc.sdpondemand.manageengine.in/app/apphelpdesk/ui/requests/14047000005992797/details" TargetMode="External"/><Relationship Id="rId582" Type="http://schemas.openxmlformats.org/officeDocument/2006/relationships/hyperlink" Target="https://ncgtc.sdpondemand.manageengine.in/app/apphelpdesk/ui/requests/14047000005992775/details" TargetMode="External"/><Relationship Id="rId581" Type="http://schemas.openxmlformats.org/officeDocument/2006/relationships/hyperlink" Target="https://ncgtc.sdpondemand.manageengine.in/app/apphelpdesk/ui/requests/14047000005992730/details" TargetMode="External"/><Relationship Id="rId580" Type="http://schemas.openxmlformats.org/officeDocument/2006/relationships/hyperlink" Target="https://ncgtc.sdpondemand.manageengine.in/app/apphelpdesk/ui/requests/14047000005992722/details" TargetMode="External"/><Relationship Id="rId58" Type="http://schemas.openxmlformats.org/officeDocument/2006/relationships/hyperlink" Target="https://ncgtc.sdpondemand.manageengine.in/app/apphelpdesk/ui/requests/14047000005857523/details" TargetMode="External"/><Relationship Id="rId579" Type="http://schemas.openxmlformats.org/officeDocument/2006/relationships/hyperlink" Target="https://ncgtc.sdpondemand.manageengine.in/app/apphelpdesk/ui/requests/14047000005992706/details" TargetMode="External"/><Relationship Id="rId578" Type="http://schemas.openxmlformats.org/officeDocument/2006/relationships/hyperlink" Target="https://ncgtc.sdpondemand.manageengine.in/app/apphelpdesk/ui/requests/14047000005992677/details" TargetMode="External"/><Relationship Id="rId577" Type="http://schemas.openxmlformats.org/officeDocument/2006/relationships/hyperlink" Target="https://ncgtc.sdpondemand.manageengine.in/app/apphelpdesk/ui/requests/14047000005992656/details" TargetMode="External"/><Relationship Id="rId576" Type="http://schemas.openxmlformats.org/officeDocument/2006/relationships/hyperlink" Target="https://ncgtc.sdpondemand.manageengine.in/app/apphelpdesk/ui/requests/14047000005992632/details" TargetMode="External"/><Relationship Id="rId575" Type="http://schemas.openxmlformats.org/officeDocument/2006/relationships/hyperlink" Target="https://ncgtc.sdpondemand.manageengine.in/app/apphelpdesk/ui/requests/14047000005992624/details" TargetMode="External"/><Relationship Id="rId574" Type="http://schemas.openxmlformats.org/officeDocument/2006/relationships/hyperlink" Target="https://ncgtc.sdpondemand.manageengine.in/app/apphelpdesk/ui/requests/14047000005992584/details" TargetMode="External"/><Relationship Id="rId573" Type="http://schemas.openxmlformats.org/officeDocument/2006/relationships/hyperlink" Target="https://ncgtc.sdpondemand.manageengine.in/app/apphelpdesk/ui/requests/14047000005992571/details" TargetMode="External"/><Relationship Id="rId572" Type="http://schemas.openxmlformats.org/officeDocument/2006/relationships/hyperlink" Target="https://ncgtc.sdpondemand.manageengine.in/app/apphelpdesk/ui/requests/14047000005992516/details" TargetMode="External"/><Relationship Id="rId571" Type="http://schemas.openxmlformats.org/officeDocument/2006/relationships/hyperlink" Target="https://ncgtc.sdpondemand.manageengine.in/app/apphelpdesk/ui/requests/14047000005992478/details" TargetMode="External"/><Relationship Id="rId570" Type="http://schemas.openxmlformats.org/officeDocument/2006/relationships/hyperlink" Target="https://ncgtc.sdpondemand.manageengine.in/app/apphelpdesk/ui/requests/14047000005992388/details" TargetMode="External"/><Relationship Id="rId57" Type="http://schemas.openxmlformats.org/officeDocument/2006/relationships/hyperlink" Target="https://ncgtc.sdpondemand.manageengine.in/app/apphelpdesk/ui/requests/14047000005857514/details" TargetMode="External"/><Relationship Id="rId569" Type="http://schemas.openxmlformats.org/officeDocument/2006/relationships/hyperlink" Target="https://ncgtc.sdpondemand.manageengine.in/app/apphelpdesk/ui/requests/14047000005992364/details" TargetMode="External"/><Relationship Id="rId568" Type="http://schemas.openxmlformats.org/officeDocument/2006/relationships/hyperlink" Target="https://ncgtc.sdpondemand.manageengine.in/app/apphelpdesk/ui/requests/14047000005992349/details" TargetMode="External"/><Relationship Id="rId567" Type="http://schemas.openxmlformats.org/officeDocument/2006/relationships/hyperlink" Target="https://ncgtc.sdpondemand.manageengine.in/app/apphelpdesk/ui/requests/14047000005992283/details" TargetMode="External"/><Relationship Id="rId566" Type="http://schemas.openxmlformats.org/officeDocument/2006/relationships/hyperlink" Target="https://ncgtc.sdpondemand.manageengine.in/app/apphelpdesk/ui/requests/14047000005992237/details" TargetMode="External"/><Relationship Id="rId565" Type="http://schemas.openxmlformats.org/officeDocument/2006/relationships/hyperlink" Target="https://ncgtc.sdpondemand.manageengine.in/app/apphelpdesk/ui/requests/14047000005992200/details" TargetMode="External"/><Relationship Id="rId564" Type="http://schemas.openxmlformats.org/officeDocument/2006/relationships/hyperlink" Target="https://ncgtc.sdpondemand.manageengine.in/app/apphelpdesk/ui/requests/14047000005992175/details" TargetMode="External"/><Relationship Id="rId563" Type="http://schemas.openxmlformats.org/officeDocument/2006/relationships/hyperlink" Target="https://ncgtc.sdpondemand.manageengine.in/app/apphelpdesk/ui/requests/14047000005992132/details" TargetMode="External"/><Relationship Id="rId562" Type="http://schemas.openxmlformats.org/officeDocument/2006/relationships/hyperlink" Target="https://ncgtc.sdpondemand.manageengine.in/app/apphelpdesk/ui/requests/14047000005992107/details" TargetMode="External"/><Relationship Id="rId561" Type="http://schemas.openxmlformats.org/officeDocument/2006/relationships/hyperlink" Target="https://ncgtc.sdpondemand.manageengine.in/app/apphelpdesk/ui/requests/14047000005992068/details" TargetMode="External"/><Relationship Id="rId560" Type="http://schemas.openxmlformats.org/officeDocument/2006/relationships/hyperlink" Target="https://ncgtc.sdpondemand.manageengine.in/app/apphelpdesk/ui/requests/14047000005992041/details" TargetMode="External"/><Relationship Id="rId56" Type="http://schemas.openxmlformats.org/officeDocument/2006/relationships/hyperlink" Target="https://ncgtc.sdpondemand.manageengine.in/app/apphelpdesk/ui/requests/14047000005857496/details" TargetMode="External"/><Relationship Id="rId559" Type="http://schemas.openxmlformats.org/officeDocument/2006/relationships/hyperlink" Target="https://ncgtc.sdpondemand.manageengine.in/app/apphelpdesk/ui/requests/14047000005992032/details" TargetMode="External"/><Relationship Id="rId558" Type="http://schemas.openxmlformats.org/officeDocument/2006/relationships/hyperlink" Target="https://ncgtc.sdpondemand.manageengine.in/app/apphelpdesk/ui/requests/14047000005992004/details" TargetMode="External"/><Relationship Id="rId557" Type="http://schemas.openxmlformats.org/officeDocument/2006/relationships/hyperlink" Target="https://ncgtc.sdpondemand.manageengine.in/app/apphelpdesk/ui/requests/14047000005987930/details" TargetMode="External"/><Relationship Id="rId556" Type="http://schemas.openxmlformats.org/officeDocument/2006/relationships/hyperlink" Target="https://ncgtc.sdpondemand.manageengine.in/app/apphelpdesk/ui/requests/14047000005987921/details" TargetMode="External"/><Relationship Id="rId555" Type="http://schemas.openxmlformats.org/officeDocument/2006/relationships/hyperlink" Target="https://ncgtc.sdpondemand.manageengine.in/app/apphelpdesk/ui/requests/14047000005987884/details" TargetMode="External"/><Relationship Id="rId554" Type="http://schemas.openxmlformats.org/officeDocument/2006/relationships/hyperlink" Target="https://ncgtc.sdpondemand.manageengine.in/app/apphelpdesk/ui/requests/14047000005987853/details" TargetMode="External"/><Relationship Id="rId553" Type="http://schemas.openxmlformats.org/officeDocument/2006/relationships/hyperlink" Target="https://ncgtc.sdpondemand.manageengine.in/app/apphelpdesk/ui/requests/14047000005987843/details" TargetMode="External"/><Relationship Id="rId552" Type="http://schemas.openxmlformats.org/officeDocument/2006/relationships/hyperlink" Target="https://ncgtc.sdpondemand.manageengine.in/app/apphelpdesk/ui/requests/14047000005987831/details" TargetMode="External"/><Relationship Id="rId551" Type="http://schemas.openxmlformats.org/officeDocument/2006/relationships/hyperlink" Target="https://ncgtc.sdpondemand.manageengine.in/app/apphelpdesk/ui/requests/14047000005987773/details" TargetMode="External"/><Relationship Id="rId550" Type="http://schemas.openxmlformats.org/officeDocument/2006/relationships/hyperlink" Target="https://ncgtc.sdpondemand.manageengine.in/app/apphelpdesk/ui/requests/14047000005987738/details" TargetMode="External"/><Relationship Id="rId55" Type="http://schemas.openxmlformats.org/officeDocument/2006/relationships/hyperlink" Target="https://ncgtc.sdpondemand.manageengine.in/app/apphelpdesk/ui/requests/14047000005857462/details" TargetMode="External"/><Relationship Id="rId549" Type="http://schemas.openxmlformats.org/officeDocument/2006/relationships/hyperlink" Target="https://ncgtc.sdpondemand.manageengine.in/app/apphelpdesk/ui/requests/14047000005987684/details" TargetMode="External"/><Relationship Id="rId548" Type="http://schemas.openxmlformats.org/officeDocument/2006/relationships/hyperlink" Target="https://ncgtc.sdpondemand.manageengine.in/app/apphelpdesk/ui/requests/14047000005987670/details" TargetMode="External"/><Relationship Id="rId547" Type="http://schemas.openxmlformats.org/officeDocument/2006/relationships/hyperlink" Target="https://ncgtc.sdpondemand.manageengine.in/app/apphelpdesk/ui/requests/14047000005987655/details" TargetMode="External"/><Relationship Id="rId546" Type="http://schemas.openxmlformats.org/officeDocument/2006/relationships/hyperlink" Target="https://ncgtc.sdpondemand.manageengine.in/app/apphelpdesk/ui/requests/14047000005987624/details" TargetMode="External"/><Relationship Id="rId545" Type="http://schemas.openxmlformats.org/officeDocument/2006/relationships/hyperlink" Target="https://ncgtc.sdpondemand.manageengine.in/app/apphelpdesk/ui/requests/14047000005987602/details" TargetMode="External"/><Relationship Id="rId544" Type="http://schemas.openxmlformats.org/officeDocument/2006/relationships/hyperlink" Target="https://ncgtc.sdpondemand.manageengine.in/app/apphelpdesk/ui/requests/14047000005987564/details" TargetMode="External"/><Relationship Id="rId543" Type="http://schemas.openxmlformats.org/officeDocument/2006/relationships/hyperlink" Target="https://ncgtc.sdpondemand.manageengine.in/app/apphelpdesk/ui/requests/14047000005987554/details" TargetMode="External"/><Relationship Id="rId542" Type="http://schemas.openxmlformats.org/officeDocument/2006/relationships/hyperlink" Target="https://ncgtc.sdpondemand.manageengine.in/app/apphelpdesk/ui/requests/14047000005987546/details" TargetMode="External"/><Relationship Id="rId541" Type="http://schemas.openxmlformats.org/officeDocument/2006/relationships/hyperlink" Target="https://ncgtc.sdpondemand.manageengine.in/app/apphelpdesk/ui/requests/14047000005987537/details" TargetMode="External"/><Relationship Id="rId540" Type="http://schemas.openxmlformats.org/officeDocument/2006/relationships/hyperlink" Target="https://ncgtc.sdpondemand.manageengine.in/app/apphelpdesk/ui/requests/14047000005987494/details" TargetMode="External"/><Relationship Id="rId54" Type="http://schemas.openxmlformats.org/officeDocument/2006/relationships/hyperlink" Target="https://ncgtc.sdpondemand.manageengine.in/app/apphelpdesk/ui/requests/14047000005857448/details" TargetMode="External"/><Relationship Id="rId539" Type="http://schemas.openxmlformats.org/officeDocument/2006/relationships/hyperlink" Target="https://ncgtc.sdpondemand.manageengine.in/app/apphelpdesk/ui/requests/14047000005987480/details" TargetMode="External"/><Relationship Id="rId538" Type="http://schemas.openxmlformats.org/officeDocument/2006/relationships/hyperlink" Target="https://ncgtc.sdpondemand.manageengine.in/app/apphelpdesk/ui/requests/14047000005987450/details" TargetMode="External"/><Relationship Id="rId537" Type="http://schemas.openxmlformats.org/officeDocument/2006/relationships/hyperlink" Target="https://ncgtc.sdpondemand.manageengine.in/app/apphelpdesk/ui/requests/14047000005987441/details" TargetMode="External"/><Relationship Id="rId536" Type="http://schemas.openxmlformats.org/officeDocument/2006/relationships/hyperlink" Target="https://ncgtc.sdpondemand.manageengine.in/app/apphelpdesk/ui/requests/14047000005987431/details" TargetMode="External"/><Relationship Id="rId535" Type="http://schemas.openxmlformats.org/officeDocument/2006/relationships/hyperlink" Target="https://ncgtc.sdpondemand.manageengine.in/app/apphelpdesk/ui/requests/14047000005987423/details" TargetMode="External"/><Relationship Id="rId534" Type="http://schemas.openxmlformats.org/officeDocument/2006/relationships/hyperlink" Target="https://ncgtc.sdpondemand.manageengine.in/app/apphelpdesk/ui/requests/14047000005987385/details" TargetMode="External"/><Relationship Id="rId533" Type="http://schemas.openxmlformats.org/officeDocument/2006/relationships/hyperlink" Target="https://ncgtc.sdpondemand.manageengine.in/app/apphelpdesk/ui/requests/14047000005987369/details" TargetMode="External"/><Relationship Id="rId532" Type="http://schemas.openxmlformats.org/officeDocument/2006/relationships/hyperlink" Target="https://ncgtc.sdpondemand.manageengine.in/app/apphelpdesk/ui/requests/14047000005987311/details" TargetMode="External"/><Relationship Id="rId531" Type="http://schemas.openxmlformats.org/officeDocument/2006/relationships/hyperlink" Target="https://ncgtc.sdpondemand.manageengine.in/app/apphelpdesk/ui/requests/14047000005987301/details" TargetMode="External"/><Relationship Id="rId530" Type="http://schemas.openxmlformats.org/officeDocument/2006/relationships/hyperlink" Target="https://ncgtc.sdpondemand.manageengine.in/app/apphelpdesk/ui/requests/14047000005987266/details" TargetMode="External"/><Relationship Id="rId53" Type="http://schemas.openxmlformats.org/officeDocument/2006/relationships/hyperlink" Target="https://ncgtc.sdpondemand.manageengine.in/app/apphelpdesk/ui/requests/14047000005857350/details" TargetMode="External"/><Relationship Id="rId529" Type="http://schemas.openxmlformats.org/officeDocument/2006/relationships/hyperlink" Target="https://ncgtc.sdpondemand.manageengine.in/app/apphelpdesk/ui/requests/14047000005987208/details" TargetMode="External"/><Relationship Id="rId528" Type="http://schemas.openxmlformats.org/officeDocument/2006/relationships/hyperlink" Target="https://ncgtc.sdpondemand.manageengine.in/app/apphelpdesk/ui/requests/14047000005987196/details" TargetMode="External"/><Relationship Id="rId527" Type="http://schemas.openxmlformats.org/officeDocument/2006/relationships/hyperlink" Target="https://ncgtc.sdpondemand.manageengine.in/app/apphelpdesk/ui/requests/14047000005987183/details" TargetMode="External"/><Relationship Id="rId526" Type="http://schemas.openxmlformats.org/officeDocument/2006/relationships/hyperlink" Target="https://ncgtc.sdpondemand.manageengine.in/app/apphelpdesk/ui/requests/14047000005987151/details" TargetMode="External"/><Relationship Id="rId525" Type="http://schemas.openxmlformats.org/officeDocument/2006/relationships/hyperlink" Target="https://ncgtc.sdpondemand.manageengine.in/app/apphelpdesk/ui/requests/14047000005987116/details" TargetMode="External"/><Relationship Id="rId524" Type="http://schemas.openxmlformats.org/officeDocument/2006/relationships/hyperlink" Target="https://ncgtc.sdpondemand.manageengine.in/app/apphelpdesk/ui/requests/14047000005987061/details" TargetMode="External"/><Relationship Id="rId523" Type="http://schemas.openxmlformats.org/officeDocument/2006/relationships/hyperlink" Target="https://ncgtc.sdpondemand.manageengine.in/app/apphelpdesk/ui/requests/14047000005987046/details" TargetMode="External"/><Relationship Id="rId522" Type="http://schemas.openxmlformats.org/officeDocument/2006/relationships/hyperlink" Target="https://ncgtc.sdpondemand.manageengine.in/app/apphelpdesk/ui/requests/14047000005987024/details" TargetMode="External"/><Relationship Id="rId521" Type="http://schemas.openxmlformats.org/officeDocument/2006/relationships/hyperlink" Target="https://ncgtc.sdpondemand.manageengine.in/app/apphelpdesk/ui/requests/14047000005987009/details" TargetMode="External"/><Relationship Id="rId520" Type="http://schemas.openxmlformats.org/officeDocument/2006/relationships/hyperlink" Target="https://ncgtc.sdpondemand.manageengine.in/app/apphelpdesk/ui/requests/14047000005985000/details" TargetMode="External"/><Relationship Id="rId52" Type="http://schemas.openxmlformats.org/officeDocument/2006/relationships/hyperlink" Target="https://ncgtc.sdpondemand.manageengine.in/app/apphelpdesk/ui/requests/14047000005857266/details" TargetMode="External"/><Relationship Id="rId519" Type="http://schemas.openxmlformats.org/officeDocument/2006/relationships/hyperlink" Target="https://ncgtc.sdpondemand.manageengine.in/app/apphelpdesk/ui/requests/14047000005984976/details" TargetMode="External"/><Relationship Id="rId518" Type="http://schemas.openxmlformats.org/officeDocument/2006/relationships/hyperlink" Target="https://ncgtc.sdpondemand.manageengine.in/app/apphelpdesk/ui/requests/14047000005984956/details" TargetMode="External"/><Relationship Id="rId517" Type="http://schemas.openxmlformats.org/officeDocument/2006/relationships/hyperlink" Target="https://ncgtc.sdpondemand.manageengine.in/app/apphelpdesk/ui/requests/14047000005984916/details" TargetMode="External"/><Relationship Id="rId516" Type="http://schemas.openxmlformats.org/officeDocument/2006/relationships/hyperlink" Target="https://ncgtc.sdpondemand.manageengine.in/app/apphelpdesk/ui/requests/14047000005984863/details" TargetMode="External"/><Relationship Id="rId515" Type="http://schemas.openxmlformats.org/officeDocument/2006/relationships/hyperlink" Target="https://ncgtc.sdpondemand.manageengine.in/app/apphelpdesk/ui/requests/14047000005984762/details" TargetMode="External"/><Relationship Id="rId514" Type="http://schemas.openxmlformats.org/officeDocument/2006/relationships/hyperlink" Target="https://ncgtc.sdpondemand.manageengine.in/app/apphelpdesk/ui/requests/14047000005984679/details" TargetMode="External"/><Relationship Id="rId513" Type="http://schemas.openxmlformats.org/officeDocument/2006/relationships/hyperlink" Target="https://ncgtc.sdpondemand.manageengine.in/app/apphelpdesk/ui/requests/14047000005984623/details" TargetMode="External"/><Relationship Id="rId512" Type="http://schemas.openxmlformats.org/officeDocument/2006/relationships/hyperlink" Target="https://ncgtc.sdpondemand.manageengine.in/app/apphelpdesk/ui/requests/14047000005984615/details" TargetMode="External"/><Relationship Id="rId511" Type="http://schemas.openxmlformats.org/officeDocument/2006/relationships/hyperlink" Target="https://ncgtc.sdpondemand.manageengine.in/app/apphelpdesk/ui/requests/14047000005984580/details" TargetMode="External"/><Relationship Id="rId510" Type="http://schemas.openxmlformats.org/officeDocument/2006/relationships/hyperlink" Target="https://ncgtc.sdpondemand.manageengine.in/app/apphelpdesk/ui/requests/14047000005984560/details" TargetMode="External"/><Relationship Id="rId51" Type="http://schemas.openxmlformats.org/officeDocument/2006/relationships/hyperlink" Target="https://ncgtc.sdpondemand.manageengine.in/app/apphelpdesk/ui/requests/14047000005857257/details" TargetMode="External"/><Relationship Id="rId509" Type="http://schemas.openxmlformats.org/officeDocument/2006/relationships/hyperlink" Target="https://ncgtc.sdpondemand.manageengine.in/app/apphelpdesk/ui/requests/14047000005984520/details" TargetMode="External"/><Relationship Id="rId508" Type="http://schemas.openxmlformats.org/officeDocument/2006/relationships/hyperlink" Target="https://ncgtc.sdpondemand.manageengine.in/app/apphelpdesk/ui/requests/14047000005984510/details" TargetMode="External"/><Relationship Id="rId507" Type="http://schemas.openxmlformats.org/officeDocument/2006/relationships/hyperlink" Target="https://ncgtc.sdpondemand.manageengine.in/app/apphelpdesk/ui/requests/14047000005984454/details" TargetMode="External"/><Relationship Id="rId506" Type="http://schemas.openxmlformats.org/officeDocument/2006/relationships/hyperlink" Target="https://ncgtc.sdpondemand.manageengine.in/app/apphelpdesk/ui/requests/14047000005984431/details" TargetMode="External"/><Relationship Id="rId505" Type="http://schemas.openxmlformats.org/officeDocument/2006/relationships/hyperlink" Target="https://ncgtc.sdpondemand.manageengine.in/app/apphelpdesk/ui/requests/14047000005984412/details" TargetMode="External"/><Relationship Id="rId504" Type="http://schemas.openxmlformats.org/officeDocument/2006/relationships/hyperlink" Target="https://ncgtc.sdpondemand.manageengine.in/app/apphelpdesk/ui/requests/14047000005984378/details" TargetMode="External"/><Relationship Id="rId503" Type="http://schemas.openxmlformats.org/officeDocument/2006/relationships/hyperlink" Target="https://ncgtc.sdpondemand.manageengine.in/app/apphelpdesk/ui/requests/14047000005984316/details" TargetMode="External"/><Relationship Id="rId502" Type="http://schemas.openxmlformats.org/officeDocument/2006/relationships/hyperlink" Target="https://ncgtc.sdpondemand.manageengine.in/app/apphelpdesk/ui/requests/14047000005984240/details" TargetMode="External"/><Relationship Id="rId501" Type="http://schemas.openxmlformats.org/officeDocument/2006/relationships/hyperlink" Target="https://ncgtc.sdpondemand.manageengine.in/app/apphelpdesk/ui/requests/14047000005984187/details" TargetMode="External"/><Relationship Id="rId500" Type="http://schemas.openxmlformats.org/officeDocument/2006/relationships/hyperlink" Target="https://ncgtc.sdpondemand.manageengine.in/app/apphelpdesk/ui/requests/14047000005984174/details" TargetMode="External"/><Relationship Id="rId50" Type="http://schemas.openxmlformats.org/officeDocument/2006/relationships/hyperlink" Target="https://ncgtc.sdpondemand.manageengine.in/app/apphelpdesk/ui/requests/14047000005857244/details" TargetMode="External"/><Relationship Id="rId5" Type="http://schemas.openxmlformats.org/officeDocument/2006/relationships/hyperlink" Target="https://ncgtc.sdpondemand.manageengine.in/app/apphelpdesk/ui/requests/14047000005854047/details" TargetMode="External"/><Relationship Id="rId499" Type="http://schemas.openxmlformats.org/officeDocument/2006/relationships/hyperlink" Target="https://ncgtc.sdpondemand.manageengine.in/app/apphelpdesk/ui/requests/14047000005984123/details" TargetMode="External"/><Relationship Id="rId498" Type="http://schemas.openxmlformats.org/officeDocument/2006/relationships/hyperlink" Target="https://ncgtc.sdpondemand.manageengine.in/app/apphelpdesk/ui/requests/14047000005984091/details" TargetMode="External"/><Relationship Id="rId497" Type="http://schemas.openxmlformats.org/officeDocument/2006/relationships/hyperlink" Target="https://ncgtc.sdpondemand.manageengine.in/app/apphelpdesk/ui/requests/14047000005984003/details" TargetMode="External"/><Relationship Id="rId496" Type="http://schemas.openxmlformats.org/officeDocument/2006/relationships/hyperlink" Target="https://ncgtc.sdpondemand.manageengine.in/app/apphelpdesk/ui/requests/14047000005974993/details" TargetMode="External"/><Relationship Id="rId495" Type="http://schemas.openxmlformats.org/officeDocument/2006/relationships/hyperlink" Target="https://ncgtc.sdpondemand.manageengine.in/app/apphelpdesk/ui/requests/14047000005974739/details" TargetMode="External"/><Relationship Id="rId494" Type="http://schemas.openxmlformats.org/officeDocument/2006/relationships/hyperlink" Target="https://ncgtc.sdpondemand.manageengine.in/app/apphelpdesk/ui/requests/14047000005974724/details" TargetMode="External"/><Relationship Id="rId493" Type="http://schemas.openxmlformats.org/officeDocument/2006/relationships/hyperlink" Target="https://ncgtc.sdpondemand.manageengine.in/app/apphelpdesk/ui/requests/14047000005974706/details" TargetMode="External"/><Relationship Id="rId492" Type="http://schemas.openxmlformats.org/officeDocument/2006/relationships/hyperlink" Target="https://ncgtc.sdpondemand.manageengine.in/app/apphelpdesk/ui/requests/14047000005974697/details" TargetMode="External"/><Relationship Id="rId491" Type="http://schemas.openxmlformats.org/officeDocument/2006/relationships/hyperlink" Target="https://ncgtc.sdpondemand.manageengine.in/app/apphelpdesk/ui/requests/14047000005974681/details" TargetMode="External"/><Relationship Id="rId490" Type="http://schemas.openxmlformats.org/officeDocument/2006/relationships/hyperlink" Target="https://ncgtc.sdpondemand.manageengine.in/app/apphelpdesk/ui/requests/14047000005974656/details" TargetMode="External"/><Relationship Id="rId49" Type="http://schemas.openxmlformats.org/officeDocument/2006/relationships/hyperlink" Target="https://ncgtc.sdpondemand.manageengine.in/app/apphelpdesk/ui/requests/14047000005857218/details" TargetMode="External"/><Relationship Id="rId489" Type="http://schemas.openxmlformats.org/officeDocument/2006/relationships/hyperlink" Target="https://ncgtc.sdpondemand.manageengine.in/app/apphelpdesk/ui/requests/14047000005974573/details" TargetMode="External"/><Relationship Id="rId488" Type="http://schemas.openxmlformats.org/officeDocument/2006/relationships/hyperlink" Target="https://ncgtc.sdpondemand.manageengine.in/app/apphelpdesk/ui/requests/14047000005974560/details" TargetMode="External"/><Relationship Id="rId487" Type="http://schemas.openxmlformats.org/officeDocument/2006/relationships/hyperlink" Target="https://ncgtc.sdpondemand.manageengine.in/app/apphelpdesk/ui/requests/14047000005974540/details" TargetMode="External"/><Relationship Id="rId486" Type="http://schemas.openxmlformats.org/officeDocument/2006/relationships/hyperlink" Target="https://ncgtc.sdpondemand.manageengine.in/app/apphelpdesk/ui/requests/14047000005974505/details" TargetMode="External"/><Relationship Id="rId485" Type="http://schemas.openxmlformats.org/officeDocument/2006/relationships/hyperlink" Target="https://ncgtc.sdpondemand.manageengine.in/app/apphelpdesk/ui/requests/14047000005974400/details" TargetMode="External"/><Relationship Id="rId484" Type="http://schemas.openxmlformats.org/officeDocument/2006/relationships/hyperlink" Target="https://ncgtc.sdpondemand.manageengine.in/app/apphelpdesk/ui/requests/14047000005974356/details" TargetMode="External"/><Relationship Id="rId483" Type="http://schemas.openxmlformats.org/officeDocument/2006/relationships/hyperlink" Target="https://ncgtc.sdpondemand.manageengine.in/app/apphelpdesk/ui/requests/14047000005974331/details" TargetMode="External"/><Relationship Id="rId482" Type="http://schemas.openxmlformats.org/officeDocument/2006/relationships/hyperlink" Target="https://ncgtc.sdpondemand.manageengine.in/app/apphelpdesk/ui/requests/14047000005974282/details" TargetMode="External"/><Relationship Id="rId481" Type="http://schemas.openxmlformats.org/officeDocument/2006/relationships/hyperlink" Target="https://ncgtc.sdpondemand.manageengine.in/app/apphelpdesk/ui/requests/14047000005974264/details" TargetMode="External"/><Relationship Id="rId480" Type="http://schemas.openxmlformats.org/officeDocument/2006/relationships/hyperlink" Target="https://ncgtc.sdpondemand.manageengine.in/app/apphelpdesk/ui/requests/14047000005974255/details" TargetMode="External"/><Relationship Id="rId48" Type="http://schemas.openxmlformats.org/officeDocument/2006/relationships/hyperlink" Target="https://ncgtc.sdpondemand.manageengine.in/app/apphelpdesk/ui/requests/14047000005857203/details" TargetMode="External"/><Relationship Id="rId479" Type="http://schemas.openxmlformats.org/officeDocument/2006/relationships/hyperlink" Target="https://ncgtc.sdpondemand.manageengine.in/app/apphelpdesk/ui/requests/14047000005974238/details" TargetMode="External"/><Relationship Id="rId478" Type="http://schemas.openxmlformats.org/officeDocument/2006/relationships/hyperlink" Target="https://ncgtc.sdpondemand.manageengine.in/app/apphelpdesk/ui/requests/14047000005974209/details" TargetMode="External"/><Relationship Id="rId477" Type="http://schemas.openxmlformats.org/officeDocument/2006/relationships/hyperlink" Target="https://ncgtc.sdpondemand.manageengine.in/app/apphelpdesk/ui/requests/14047000005974093/details" TargetMode="External"/><Relationship Id="rId476" Type="http://schemas.openxmlformats.org/officeDocument/2006/relationships/hyperlink" Target="https://ncgtc.sdpondemand.manageengine.in/app/apphelpdesk/ui/requests/14047000005974083/details" TargetMode="External"/><Relationship Id="rId475" Type="http://schemas.openxmlformats.org/officeDocument/2006/relationships/hyperlink" Target="https://ncgtc.sdpondemand.manageengine.in/app/apphelpdesk/ui/requests/14047000005974075/details" TargetMode="External"/><Relationship Id="rId474" Type="http://schemas.openxmlformats.org/officeDocument/2006/relationships/hyperlink" Target="https://ncgtc.sdpondemand.manageengine.in/app/apphelpdesk/ui/requests/14047000005974051/details" TargetMode="External"/><Relationship Id="rId473" Type="http://schemas.openxmlformats.org/officeDocument/2006/relationships/hyperlink" Target="https://ncgtc.sdpondemand.manageengine.in/app/apphelpdesk/ui/requests/14047000005963750/details" TargetMode="External"/><Relationship Id="rId472" Type="http://schemas.openxmlformats.org/officeDocument/2006/relationships/hyperlink" Target="https://ncgtc.sdpondemand.manageengine.in/app/apphelpdesk/ui/requests/14047000005963732/details" TargetMode="External"/><Relationship Id="rId471" Type="http://schemas.openxmlformats.org/officeDocument/2006/relationships/hyperlink" Target="https://ncgtc.sdpondemand.manageengine.in/app/apphelpdesk/ui/requests/14047000005963719/details" TargetMode="External"/><Relationship Id="rId470" Type="http://schemas.openxmlformats.org/officeDocument/2006/relationships/hyperlink" Target="https://ncgtc.sdpondemand.manageengine.in/app/apphelpdesk/ui/requests/14047000005963699/details" TargetMode="External"/><Relationship Id="rId47" Type="http://schemas.openxmlformats.org/officeDocument/2006/relationships/hyperlink" Target="https://ncgtc.sdpondemand.manageengine.in/app/apphelpdesk/ui/requests/14047000005857194/details" TargetMode="External"/><Relationship Id="rId469" Type="http://schemas.openxmlformats.org/officeDocument/2006/relationships/hyperlink" Target="https://ncgtc.sdpondemand.manageengine.in/app/apphelpdesk/ui/requests/14047000005963690/details" TargetMode="External"/><Relationship Id="rId468" Type="http://schemas.openxmlformats.org/officeDocument/2006/relationships/hyperlink" Target="https://ncgtc.sdpondemand.manageengine.in/app/apphelpdesk/ui/requests/14047000005963662/details" TargetMode="External"/><Relationship Id="rId467" Type="http://schemas.openxmlformats.org/officeDocument/2006/relationships/hyperlink" Target="https://ncgtc.sdpondemand.manageengine.in/app/apphelpdesk/ui/requests/14047000005963628/details" TargetMode="External"/><Relationship Id="rId466" Type="http://schemas.openxmlformats.org/officeDocument/2006/relationships/hyperlink" Target="https://ncgtc.sdpondemand.manageengine.in/app/apphelpdesk/ui/requests/14047000005963613/details" TargetMode="External"/><Relationship Id="rId465" Type="http://schemas.openxmlformats.org/officeDocument/2006/relationships/hyperlink" Target="https://ncgtc.sdpondemand.manageengine.in/app/apphelpdesk/ui/requests/14047000005963597/details" TargetMode="External"/><Relationship Id="rId464" Type="http://schemas.openxmlformats.org/officeDocument/2006/relationships/hyperlink" Target="https://ncgtc.sdpondemand.manageengine.in/app/apphelpdesk/ui/requests/14047000005963575/details" TargetMode="External"/><Relationship Id="rId463" Type="http://schemas.openxmlformats.org/officeDocument/2006/relationships/hyperlink" Target="https://ncgtc.sdpondemand.manageengine.in/app/apphelpdesk/ui/requests/14047000005963567/details" TargetMode="External"/><Relationship Id="rId462" Type="http://schemas.openxmlformats.org/officeDocument/2006/relationships/hyperlink" Target="https://ncgtc.sdpondemand.manageengine.in/app/apphelpdesk/ui/requests/14047000005963499/details" TargetMode="External"/><Relationship Id="rId461" Type="http://schemas.openxmlformats.org/officeDocument/2006/relationships/hyperlink" Target="https://ncgtc.sdpondemand.manageengine.in/app/apphelpdesk/ui/requests/14047000005963475/details" TargetMode="External"/><Relationship Id="rId460" Type="http://schemas.openxmlformats.org/officeDocument/2006/relationships/hyperlink" Target="https://ncgtc.sdpondemand.manageengine.in/app/apphelpdesk/ui/requests/14047000005963461/details" TargetMode="External"/><Relationship Id="rId46" Type="http://schemas.openxmlformats.org/officeDocument/2006/relationships/hyperlink" Target="https://ncgtc.sdpondemand.manageengine.in/app/apphelpdesk/ui/requests/14047000005857157/details" TargetMode="External"/><Relationship Id="rId459" Type="http://schemas.openxmlformats.org/officeDocument/2006/relationships/hyperlink" Target="https://ncgtc.sdpondemand.manageengine.in/app/apphelpdesk/ui/requests/14047000005963437/details" TargetMode="External"/><Relationship Id="rId458" Type="http://schemas.openxmlformats.org/officeDocument/2006/relationships/hyperlink" Target="https://ncgtc.sdpondemand.manageengine.in/app/apphelpdesk/ui/requests/14047000005963401/details" TargetMode="External"/><Relationship Id="rId457" Type="http://schemas.openxmlformats.org/officeDocument/2006/relationships/hyperlink" Target="https://ncgtc.sdpondemand.manageengine.in/app/apphelpdesk/ui/requests/14047000005963393/details" TargetMode="External"/><Relationship Id="rId456" Type="http://schemas.openxmlformats.org/officeDocument/2006/relationships/hyperlink" Target="https://ncgtc.sdpondemand.manageengine.in/app/apphelpdesk/ui/requests/14047000005963358/details" TargetMode="External"/><Relationship Id="rId455" Type="http://schemas.openxmlformats.org/officeDocument/2006/relationships/hyperlink" Target="https://ncgtc.sdpondemand.manageengine.in/app/apphelpdesk/ui/requests/14047000005963310/details" TargetMode="External"/><Relationship Id="rId454" Type="http://schemas.openxmlformats.org/officeDocument/2006/relationships/hyperlink" Target="https://ncgtc.sdpondemand.manageengine.in/app/apphelpdesk/ui/requests/14047000005963254/details" TargetMode="External"/><Relationship Id="rId453" Type="http://schemas.openxmlformats.org/officeDocument/2006/relationships/hyperlink" Target="https://ncgtc.sdpondemand.manageengine.in/app/apphelpdesk/ui/requests/14047000005963241/details" TargetMode="External"/><Relationship Id="rId452" Type="http://schemas.openxmlformats.org/officeDocument/2006/relationships/hyperlink" Target="https://ncgtc.sdpondemand.manageengine.in/app/apphelpdesk/ui/requests/14047000005963215/details" TargetMode="External"/><Relationship Id="rId451" Type="http://schemas.openxmlformats.org/officeDocument/2006/relationships/hyperlink" Target="https://ncgtc.sdpondemand.manageengine.in/app/apphelpdesk/ui/requests/14047000005963185/details" TargetMode="External"/><Relationship Id="rId450" Type="http://schemas.openxmlformats.org/officeDocument/2006/relationships/hyperlink" Target="https://ncgtc.sdpondemand.manageengine.in/app/apphelpdesk/ui/requests/14047000005963165/details" TargetMode="External"/><Relationship Id="rId45" Type="http://schemas.openxmlformats.org/officeDocument/2006/relationships/hyperlink" Target="https://ncgtc.sdpondemand.manageengine.in/app/apphelpdesk/ui/requests/14047000005857143/details" TargetMode="External"/><Relationship Id="rId449" Type="http://schemas.openxmlformats.org/officeDocument/2006/relationships/hyperlink" Target="https://ncgtc.sdpondemand.manageengine.in/app/apphelpdesk/ui/requests/14047000005963107/details" TargetMode="External"/><Relationship Id="rId448" Type="http://schemas.openxmlformats.org/officeDocument/2006/relationships/hyperlink" Target="https://ncgtc.sdpondemand.manageengine.in/app/apphelpdesk/ui/requests/14047000005963092/details" TargetMode="External"/><Relationship Id="rId447" Type="http://schemas.openxmlformats.org/officeDocument/2006/relationships/hyperlink" Target="https://ncgtc.sdpondemand.manageengine.in/app/apphelpdesk/ui/requests/14047000005959987/details" TargetMode="External"/><Relationship Id="rId446" Type="http://schemas.openxmlformats.org/officeDocument/2006/relationships/hyperlink" Target="https://ncgtc.sdpondemand.manageengine.in/app/apphelpdesk/ui/requests/14047000005959977/details" TargetMode="External"/><Relationship Id="rId445" Type="http://schemas.openxmlformats.org/officeDocument/2006/relationships/hyperlink" Target="https://ncgtc.sdpondemand.manageengine.in/app/apphelpdesk/ui/requests/14047000005959959/details" TargetMode="External"/><Relationship Id="rId444" Type="http://schemas.openxmlformats.org/officeDocument/2006/relationships/hyperlink" Target="https://ncgtc.sdpondemand.manageengine.in/app/apphelpdesk/ui/requests/14047000005959951/details" TargetMode="External"/><Relationship Id="rId443" Type="http://schemas.openxmlformats.org/officeDocument/2006/relationships/hyperlink" Target="https://ncgtc.sdpondemand.manageengine.in/app/apphelpdesk/ui/requests/14047000005959942/details" TargetMode="External"/><Relationship Id="rId442" Type="http://schemas.openxmlformats.org/officeDocument/2006/relationships/hyperlink" Target="https://ncgtc.sdpondemand.manageengine.in/app/apphelpdesk/ui/requests/14047000005959916/details" TargetMode="External"/><Relationship Id="rId441" Type="http://schemas.openxmlformats.org/officeDocument/2006/relationships/hyperlink" Target="https://ncgtc.sdpondemand.manageengine.in/app/apphelpdesk/ui/requests/14047000005959895/details" TargetMode="External"/><Relationship Id="rId440" Type="http://schemas.openxmlformats.org/officeDocument/2006/relationships/hyperlink" Target="https://ncgtc.sdpondemand.manageengine.in/app/apphelpdesk/ui/requests/14047000005959883/details" TargetMode="External"/><Relationship Id="rId44" Type="http://schemas.openxmlformats.org/officeDocument/2006/relationships/hyperlink" Target="https://ncgtc.sdpondemand.manageengine.in/app/apphelpdesk/ui/requests/14047000005857093/details" TargetMode="External"/><Relationship Id="rId439" Type="http://schemas.openxmlformats.org/officeDocument/2006/relationships/hyperlink" Target="https://ncgtc.sdpondemand.manageengine.in/app/apphelpdesk/ui/requests/14047000005959866/details" TargetMode="External"/><Relationship Id="rId438" Type="http://schemas.openxmlformats.org/officeDocument/2006/relationships/hyperlink" Target="https://ncgtc.sdpondemand.manageengine.in/app/apphelpdesk/ui/requests/14047000005959852/details" TargetMode="External"/><Relationship Id="rId437" Type="http://schemas.openxmlformats.org/officeDocument/2006/relationships/hyperlink" Target="https://ncgtc.sdpondemand.manageengine.in/app/apphelpdesk/ui/requests/14047000005959813/details" TargetMode="External"/><Relationship Id="rId436" Type="http://schemas.openxmlformats.org/officeDocument/2006/relationships/hyperlink" Target="https://ncgtc.sdpondemand.manageengine.in/app/apphelpdesk/ui/requests/14047000005959800/details" TargetMode="External"/><Relationship Id="rId435" Type="http://schemas.openxmlformats.org/officeDocument/2006/relationships/hyperlink" Target="https://ncgtc.sdpondemand.manageengine.in/app/apphelpdesk/ui/requests/14047000005959784/details" TargetMode="External"/><Relationship Id="rId434" Type="http://schemas.openxmlformats.org/officeDocument/2006/relationships/hyperlink" Target="https://ncgtc.sdpondemand.manageengine.in/app/apphelpdesk/ui/requests/14047000005959776/details" TargetMode="External"/><Relationship Id="rId433" Type="http://schemas.openxmlformats.org/officeDocument/2006/relationships/hyperlink" Target="https://ncgtc.sdpondemand.manageengine.in/app/apphelpdesk/ui/requests/14047000005959732/details" TargetMode="External"/><Relationship Id="rId432" Type="http://schemas.openxmlformats.org/officeDocument/2006/relationships/hyperlink" Target="https://ncgtc.sdpondemand.manageengine.in/app/apphelpdesk/ui/requests/14047000005959701/details" TargetMode="External"/><Relationship Id="rId431" Type="http://schemas.openxmlformats.org/officeDocument/2006/relationships/hyperlink" Target="https://ncgtc.sdpondemand.manageengine.in/app/apphelpdesk/ui/requests/14047000005959673/details" TargetMode="External"/><Relationship Id="rId430" Type="http://schemas.openxmlformats.org/officeDocument/2006/relationships/hyperlink" Target="https://ncgtc.sdpondemand.manageengine.in/app/apphelpdesk/ui/requests/14047000005959633/details" TargetMode="External"/><Relationship Id="rId43" Type="http://schemas.openxmlformats.org/officeDocument/2006/relationships/hyperlink" Target="https://ncgtc.sdpondemand.manageengine.in/app/apphelpdesk/ui/requests/14047000005857065/details" TargetMode="External"/><Relationship Id="rId429" Type="http://schemas.openxmlformats.org/officeDocument/2006/relationships/hyperlink" Target="https://ncgtc.sdpondemand.manageengine.in/app/apphelpdesk/ui/requests/14047000005959609/details" TargetMode="External"/><Relationship Id="rId428" Type="http://schemas.openxmlformats.org/officeDocument/2006/relationships/hyperlink" Target="https://ncgtc.sdpondemand.manageengine.in/app/apphelpdesk/ui/requests/14047000005959458/details" TargetMode="External"/><Relationship Id="rId427" Type="http://schemas.openxmlformats.org/officeDocument/2006/relationships/hyperlink" Target="https://ncgtc.sdpondemand.manageengine.in/app/apphelpdesk/ui/requests/14047000005959442/details" TargetMode="External"/><Relationship Id="rId426" Type="http://schemas.openxmlformats.org/officeDocument/2006/relationships/hyperlink" Target="https://ncgtc.sdpondemand.manageengine.in/app/apphelpdesk/ui/requests/14047000005959418/details" TargetMode="External"/><Relationship Id="rId425" Type="http://schemas.openxmlformats.org/officeDocument/2006/relationships/hyperlink" Target="https://ncgtc.sdpondemand.manageengine.in/app/apphelpdesk/ui/requests/14047000005959389/details" TargetMode="External"/><Relationship Id="rId424" Type="http://schemas.openxmlformats.org/officeDocument/2006/relationships/hyperlink" Target="https://ncgtc.sdpondemand.manageengine.in/app/apphelpdesk/ui/requests/14047000005959342/details" TargetMode="External"/><Relationship Id="rId423" Type="http://schemas.openxmlformats.org/officeDocument/2006/relationships/hyperlink" Target="https://ncgtc.sdpondemand.manageengine.in/app/apphelpdesk/ui/requests/14047000005959294/details" TargetMode="External"/><Relationship Id="rId422" Type="http://schemas.openxmlformats.org/officeDocument/2006/relationships/hyperlink" Target="https://ncgtc.sdpondemand.manageengine.in/app/apphelpdesk/ui/requests/14047000005959252/details" TargetMode="External"/><Relationship Id="rId421" Type="http://schemas.openxmlformats.org/officeDocument/2006/relationships/hyperlink" Target="https://ncgtc.sdpondemand.manageengine.in/app/apphelpdesk/ui/requests/14047000005959236/details" TargetMode="External"/><Relationship Id="rId420" Type="http://schemas.openxmlformats.org/officeDocument/2006/relationships/hyperlink" Target="https://ncgtc.sdpondemand.manageengine.in/app/apphelpdesk/ui/requests/14047000005959173/details" TargetMode="External"/><Relationship Id="rId42" Type="http://schemas.openxmlformats.org/officeDocument/2006/relationships/hyperlink" Target="https://ncgtc.sdpondemand.manageengine.in/app/apphelpdesk/ui/requests/14047000005857046/details" TargetMode="External"/><Relationship Id="rId419" Type="http://schemas.openxmlformats.org/officeDocument/2006/relationships/hyperlink" Target="https://ncgtc.sdpondemand.manageengine.in/app/apphelpdesk/ui/requests/14047000005959158/details" TargetMode="External"/><Relationship Id="rId418" Type="http://schemas.openxmlformats.org/officeDocument/2006/relationships/hyperlink" Target="https://ncgtc.sdpondemand.manageengine.in/app/apphelpdesk/ui/requests/14047000005959138/details" TargetMode="External"/><Relationship Id="rId417" Type="http://schemas.openxmlformats.org/officeDocument/2006/relationships/hyperlink" Target="https://ncgtc.sdpondemand.manageengine.in/app/apphelpdesk/ui/requests/14047000005959124/details" TargetMode="External"/><Relationship Id="rId416" Type="http://schemas.openxmlformats.org/officeDocument/2006/relationships/hyperlink" Target="https://ncgtc.sdpondemand.manageengine.in/app/apphelpdesk/ui/requests/14047000005959108/details" TargetMode="External"/><Relationship Id="rId415" Type="http://schemas.openxmlformats.org/officeDocument/2006/relationships/hyperlink" Target="https://ncgtc.sdpondemand.manageengine.in/app/apphelpdesk/ui/requests/14047000005959099/details" TargetMode="External"/><Relationship Id="rId414" Type="http://schemas.openxmlformats.org/officeDocument/2006/relationships/hyperlink" Target="https://ncgtc.sdpondemand.manageengine.in/app/apphelpdesk/ui/requests/14047000005959086/details" TargetMode="External"/><Relationship Id="rId413" Type="http://schemas.openxmlformats.org/officeDocument/2006/relationships/hyperlink" Target="https://ncgtc.sdpondemand.manageengine.in/app/apphelpdesk/ui/requests/14047000005959058/details" TargetMode="External"/><Relationship Id="rId412" Type="http://schemas.openxmlformats.org/officeDocument/2006/relationships/hyperlink" Target="https://ncgtc.sdpondemand.manageengine.in/app/apphelpdesk/ui/requests/14047000005959041/details" TargetMode="External"/><Relationship Id="rId411" Type="http://schemas.openxmlformats.org/officeDocument/2006/relationships/hyperlink" Target="https://ncgtc.sdpondemand.manageengine.in/app/apphelpdesk/ui/requests/14047000005950953/details" TargetMode="External"/><Relationship Id="rId410" Type="http://schemas.openxmlformats.org/officeDocument/2006/relationships/hyperlink" Target="https://ncgtc.sdpondemand.manageengine.in/app/apphelpdesk/ui/requests/14047000005950935/details" TargetMode="External"/><Relationship Id="rId41" Type="http://schemas.openxmlformats.org/officeDocument/2006/relationships/hyperlink" Target="https://ncgtc.sdpondemand.manageengine.in/app/apphelpdesk/ui/requests/14047000005857002/details" TargetMode="External"/><Relationship Id="rId409" Type="http://schemas.openxmlformats.org/officeDocument/2006/relationships/hyperlink" Target="https://ncgtc.sdpondemand.manageengine.in/app/apphelpdesk/ui/requests/14047000005950915/details" TargetMode="External"/><Relationship Id="rId408" Type="http://schemas.openxmlformats.org/officeDocument/2006/relationships/hyperlink" Target="https://ncgtc.sdpondemand.manageengine.in/app/apphelpdesk/ui/requests/14047000005950891/details" TargetMode="External"/><Relationship Id="rId407" Type="http://schemas.openxmlformats.org/officeDocument/2006/relationships/hyperlink" Target="https://ncgtc.sdpondemand.manageengine.in/app/apphelpdesk/ui/requests/14047000005950876/details" TargetMode="External"/><Relationship Id="rId406" Type="http://schemas.openxmlformats.org/officeDocument/2006/relationships/hyperlink" Target="https://ncgtc.sdpondemand.manageengine.in/app/apphelpdesk/ui/requests/14047000005950858/details" TargetMode="External"/><Relationship Id="rId405" Type="http://schemas.openxmlformats.org/officeDocument/2006/relationships/hyperlink" Target="https://ncgtc.sdpondemand.manageengine.in/app/apphelpdesk/ui/requests/14047000005950821/details" TargetMode="External"/><Relationship Id="rId404" Type="http://schemas.openxmlformats.org/officeDocument/2006/relationships/hyperlink" Target="https://ncgtc.sdpondemand.manageengine.in/app/apphelpdesk/ui/requests/14047000005950786/details" TargetMode="External"/><Relationship Id="rId403" Type="http://schemas.openxmlformats.org/officeDocument/2006/relationships/hyperlink" Target="https://ncgtc.sdpondemand.manageengine.in/app/apphelpdesk/ui/requests/14047000005950777/details" TargetMode="External"/><Relationship Id="rId402" Type="http://schemas.openxmlformats.org/officeDocument/2006/relationships/hyperlink" Target="https://ncgtc.sdpondemand.manageengine.in/app/apphelpdesk/ui/requests/14047000005950738/details" TargetMode="External"/><Relationship Id="rId401" Type="http://schemas.openxmlformats.org/officeDocument/2006/relationships/hyperlink" Target="https://ncgtc.sdpondemand.manageengine.in/app/apphelpdesk/ui/requests/14047000005950717/details" TargetMode="External"/><Relationship Id="rId400" Type="http://schemas.openxmlformats.org/officeDocument/2006/relationships/hyperlink" Target="https://ncgtc.sdpondemand.manageengine.in/app/apphelpdesk/ui/requests/14047000005950666/details" TargetMode="External"/><Relationship Id="rId40" Type="http://schemas.openxmlformats.org/officeDocument/2006/relationships/hyperlink" Target="https://ncgtc.sdpondemand.manageengine.in/app/apphelpdesk/ui/requests/14047000005854981/details" TargetMode="External"/><Relationship Id="rId4" Type="http://schemas.openxmlformats.org/officeDocument/2006/relationships/hyperlink" Target="https://ncgtc.sdpondemand.manageengine.in/app/apphelpdesk/ui/requests/14047000005854035/details" TargetMode="External"/><Relationship Id="rId399" Type="http://schemas.openxmlformats.org/officeDocument/2006/relationships/hyperlink" Target="https://ncgtc.sdpondemand.manageengine.in/app/apphelpdesk/ui/requests/14047000005950643/details" TargetMode="External"/><Relationship Id="rId398" Type="http://schemas.openxmlformats.org/officeDocument/2006/relationships/hyperlink" Target="https://ncgtc.sdpondemand.manageengine.in/app/apphelpdesk/ui/requests/14047000005950484/details" TargetMode="External"/><Relationship Id="rId397" Type="http://schemas.openxmlformats.org/officeDocument/2006/relationships/hyperlink" Target="https://ncgtc.sdpondemand.manageengine.in/app/apphelpdesk/ui/requests/14047000005950467/details" TargetMode="External"/><Relationship Id="rId396" Type="http://schemas.openxmlformats.org/officeDocument/2006/relationships/hyperlink" Target="https://ncgtc.sdpondemand.manageengine.in/app/apphelpdesk/ui/requests/14047000005950431/details" TargetMode="External"/><Relationship Id="rId395" Type="http://schemas.openxmlformats.org/officeDocument/2006/relationships/hyperlink" Target="https://ncgtc.sdpondemand.manageengine.in/app/apphelpdesk/ui/requests/14047000005950290/details" TargetMode="External"/><Relationship Id="rId394" Type="http://schemas.openxmlformats.org/officeDocument/2006/relationships/hyperlink" Target="https://ncgtc.sdpondemand.manageengine.in/app/apphelpdesk/ui/requests/14047000005950281/details" TargetMode="External"/><Relationship Id="rId393" Type="http://schemas.openxmlformats.org/officeDocument/2006/relationships/hyperlink" Target="https://ncgtc.sdpondemand.manageengine.in/app/apphelpdesk/ui/requests/14047000005950241/details" TargetMode="External"/><Relationship Id="rId392" Type="http://schemas.openxmlformats.org/officeDocument/2006/relationships/hyperlink" Target="https://ncgtc.sdpondemand.manageengine.in/app/apphelpdesk/ui/requests/14047000005950203/details" TargetMode="External"/><Relationship Id="rId391" Type="http://schemas.openxmlformats.org/officeDocument/2006/relationships/hyperlink" Target="https://ncgtc.sdpondemand.manageengine.in/app/apphelpdesk/ui/requests/14047000005950166/details" TargetMode="External"/><Relationship Id="rId390" Type="http://schemas.openxmlformats.org/officeDocument/2006/relationships/hyperlink" Target="https://ncgtc.sdpondemand.manageengine.in/app/apphelpdesk/ui/requests/14047000005950141/details" TargetMode="External"/><Relationship Id="rId39" Type="http://schemas.openxmlformats.org/officeDocument/2006/relationships/hyperlink" Target="https://ncgtc.sdpondemand.manageengine.in/app/apphelpdesk/ui/requests/14047000005854971/details" TargetMode="External"/><Relationship Id="rId389" Type="http://schemas.openxmlformats.org/officeDocument/2006/relationships/hyperlink" Target="https://ncgtc.sdpondemand.manageengine.in/app/apphelpdesk/ui/requests/14047000005950133/details" TargetMode="External"/><Relationship Id="rId388" Type="http://schemas.openxmlformats.org/officeDocument/2006/relationships/hyperlink" Target="https://ncgtc.sdpondemand.manageengine.in/app/apphelpdesk/ui/requests/14047000005950104/details" TargetMode="External"/><Relationship Id="rId387" Type="http://schemas.openxmlformats.org/officeDocument/2006/relationships/hyperlink" Target="https://ncgtc.sdpondemand.manageengine.in/app/apphelpdesk/ui/requests/14047000005950095/details" TargetMode="External"/><Relationship Id="rId386" Type="http://schemas.openxmlformats.org/officeDocument/2006/relationships/hyperlink" Target="https://ncgtc.sdpondemand.manageengine.in/app/apphelpdesk/ui/requests/14047000005950083/details" TargetMode="External"/><Relationship Id="rId385" Type="http://schemas.openxmlformats.org/officeDocument/2006/relationships/hyperlink" Target="https://ncgtc.sdpondemand.manageengine.in/app/apphelpdesk/ui/requests/14047000005950042/details" TargetMode="External"/><Relationship Id="rId384" Type="http://schemas.openxmlformats.org/officeDocument/2006/relationships/hyperlink" Target="https://ncgtc.sdpondemand.manageengine.in/app/apphelpdesk/ui/requests/14047000005950005/details" TargetMode="External"/><Relationship Id="rId383" Type="http://schemas.openxmlformats.org/officeDocument/2006/relationships/hyperlink" Target="https://ncgtc.sdpondemand.manageengine.in/app/apphelpdesk/ui/requests/14047000005944962/details" TargetMode="External"/><Relationship Id="rId382" Type="http://schemas.openxmlformats.org/officeDocument/2006/relationships/hyperlink" Target="https://ncgtc.sdpondemand.manageengine.in/app/apphelpdesk/ui/requests/14047000005944922/details" TargetMode="External"/><Relationship Id="rId381" Type="http://schemas.openxmlformats.org/officeDocument/2006/relationships/hyperlink" Target="https://ncgtc.sdpondemand.manageengine.in/app/apphelpdesk/ui/requests/14047000005944903/details" TargetMode="External"/><Relationship Id="rId380" Type="http://schemas.openxmlformats.org/officeDocument/2006/relationships/hyperlink" Target="https://ncgtc.sdpondemand.manageengine.in/app/apphelpdesk/ui/requests/14047000005944894/details" TargetMode="External"/><Relationship Id="rId38" Type="http://schemas.openxmlformats.org/officeDocument/2006/relationships/hyperlink" Target="https://ncgtc.sdpondemand.manageengine.in/app/apphelpdesk/ui/requests/14047000005854960/details" TargetMode="External"/><Relationship Id="rId379" Type="http://schemas.openxmlformats.org/officeDocument/2006/relationships/hyperlink" Target="https://ncgtc.sdpondemand.manageengine.in/app/apphelpdesk/ui/requests/14047000005944862/details" TargetMode="External"/><Relationship Id="rId378" Type="http://schemas.openxmlformats.org/officeDocument/2006/relationships/hyperlink" Target="https://ncgtc.sdpondemand.manageengine.in/app/apphelpdesk/ui/requests/14047000005944842/details" TargetMode="External"/><Relationship Id="rId377" Type="http://schemas.openxmlformats.org/officeDocument/2006/relationships/hyperlink" Target="https://ncgtc.sdpondemand.manageengine.in/app/apphelpdesk/ui/requests/14047000005944801/details" TargetMode="External"/><Relationship Id="rId376" Type="http://schemas.openxmlformats.org/officeDocument/2006/relationships/hyperlink" Target="https://ncgtc.sdpondemand.manageengine.in/app/apphelpdesk/ui/requests/14047000005944774/details" TargetMode="External"/><Relationship Id="rId375" Type="http://schemas.openxmlformats.org/officeDocument/2006/relationships/hyperlink" Target="https://ncgtc.sdpondemand.manageengine.in/app/apphelpdesk/ui/requests/14047000005944714/details" TargetMode="External"/><Relationship Id="rId374" Type="http://schemas.openxmlformats.org/officeDocument/2006/relationships/hyperlink" Target="https://ncgtc.sdpondemand.manageengine.in/app/apphelpdesk/ui/requests/14047000005944702/details" TargetMode="External"/><Relationship Id="rId373" Type="http://schemas.openxmlformats.org/officeDocument/2006/relationships/hyperlink" Target="https://ncgtc.sdpondemand.manageengine.in/app/apphelpdesk/ui/requests/14047000005944682/details" TargetMode="External"/><Relationship Id="rId372" Type="http://schemas.openxmlformats.org/officeDocument/2006/relationships/hyperlink" Target="https://ncgtc.sdpondemand.manageengine.in/app/apphelpdesk/ui/requests/14047000005944666/details" TargetMode="External"/><Relationship Id="rId371" Type="http://schemas.openxmlformats.org/officeDocument/2006/relationships/hyperlink" Target="https://ncgtc.sdpondemand.manageengine.in/app/apphelpdesk/ui/requests/14047000005944645/details" TargetMode="External"/><Relationship Id="rId370" Type="http://schemas.openxmlformats.org/officeDocument/2006/relationships/hyperlink" Target="https://ncgtc.sdpondemand.manageengine.in/app/apphelpdesk/ui/requests/14047000005944622/details" TargetMode="External"/><Relationship Id="rId37" Type="http://schemas.openxmlformats.org/officeDocument/2006/relationships/hyperlink" Target="https://ncgtc.sdpondemand.manageengine.in/app/apphelpdesk/ui/requests/14047000005854945/details" TargetMode="External"/><Relationship Id="rId369" Type="http://schemas.openxmlformats.org/officeDocument/2006/relationships/hyperlink" Target="https://ncgtc.sdpondemand.manageengine.in/app/apphelpdesk/ui/requests/14047000005944613/details" TargetMode="External"/><Relationship Id="rId368" Type="http://schemas.openxmlformats.org/officeDocument/2006/relationships/hyperlink" Target="https://ncgtc.sdpondemand.manageengine.in/app/apphelpdesk/ui/requests/14047000005944595/details" TargetMode="External"/><Relationship Id="rId367" Type="http://schemas.openxmlformats.org/officeDocument/2006/relationships/hyperlink" Target="https://ncgtc.sdpondemand.manageengine.in/app/apphelpdesk/ui/requests/14047000005944566/details" TargetMode="External"/><Relationship Id="rId366" Type="http://schemas.openxmlformats.org/officeDocument/2006/relationships/hyperlink" Target="https://ncgtc.sdpondemand.manageengine.in/app/apphelpdesk/ui/requests/14047000005944520/details" TargetMode="External"/><Relationship Id="rId365" Type="http://schemas.openxmlformats.org/officeDocument/2006/relationships/hyperlink" Target="https://ncgtc.sdpondemand.manageengine.in/app/apphelpdesk/ui/requests/14047000005944511/details" TargetMode="External"/><Relationship Id="rId364" Type="http://schemas.openxmlformats.org/officeDocument/2006/relationships/hyperlink" Target="https://ncgtc.sdpondemand.manageengine.in/app/apphelpdesk/ui/requests/14047000005944479/details" TargetMode="External"/><Relationship Id="rId363" Type="http://schemas.openxmlformats.org/officeDocument/2006/relationships/hyperlink" Target="https://ncgtc.sdpondemand.manageengine.in/app/apphelpdesk/ui/requests/14047000005944458/details" TargetMode="External"/><Relationship Id="rId362" Type="http://schemas.openxmlformats.org/officeDocument/2006/relationships/hyperlink" Target="https://ncgtc.sdpondemand.manageengine.in/app/apphelpdesk/ui/requests/14047000005944391/details" TargetMode="External"/><Relationship Id="rId361" Type="http://schemas.openxmlformats.org/officeDocument/2006/relationships/hyperlink" Target="https://ncgtc.sdpondemand.manageengine.in/app/apphelpdesk/ui/requests/14047000005944354/details" TargetMode="External"/><Relationship Id="rId360" Type="http://schemas.openxmlformats.org/officeDocument/2006/relationships/hyperlink" Target="https://ncgtc.sdpondemand.manageengine.in/app/apphelpdesk/ui/requests/14047000005944288/details" TargetMode="External"/><Relationship Id="rId36" Type="http://schemas.openxmlformats.org/officeDocument/2006/relationships/hyperlink" Target="https://ncgtc.sdpondemand.manageengine.in/app/apphelpdesk/ui/requests/14047000005854927/details" TargetMode="External"/><Relationship Id="rId359" Type="http://schemas.openxmlformats.org/officeDocument/2006/relationships/hyperlink" Target="https://ncgtc.sdpondemand.manageengine.in/app/apphelpdesk/ui/requests/14047000005944269/details" TargetMode="External"/><Relationship Id="rId358" Type="http://schemas.openxmlformats.org/officeDocument/2006/relationships/hyperlink" Target="https://ncgtc.sdpondemand.manageengine.in/app/apphelpdesk/ui/requests/14047000005944253/details" TargetMode="External"/><Relationship Id="rId357" Type="http://schemas.openxmlformats.org/officeDocument/2006/relationships/hyperlink" Target="https://ncgtc.sdpondemand.manageengine.in/app/apphelpdesk/ui/requests/14047000005944185/details" TargetMode="External"/><Relationship Id="rId356" Type="http://schemas.openxmlformats.org/officeDocument/2006/relationships/hyperlink" Target="https://ncgtc.sdpondemand.manageengine.in/app/apphelpdesk/ui/requests/14047000005944164/details" TargetMode="External"/><Relationship Id="rId355" Type="http://schemas.openxmlformats.org/officeDocument/2006/relationships/hyperlink" Target="https://ncgtc.sdpondemand.manageengine.in/app/apphelpdesk/ui/requests/14047000005944146/details" TargetMode="External"/><Relationship Id="rId354" Type="http://schemas.openxmlformats.org/officeDocument/2006/relationships/hyperlink" Target="https://ncgtc.sdpondemand.manageengine.in/app/apphelpdesk/ui/requests/14047000005944119/details" TargetMode="External"/><Relationship Id="rId353" Type="http://schemas.openxmlformats.org/officeDocument/2006/relationships/hyperlink" Target="https://ncgtc.sdpondemand.manageengine.in/app/apphelpdesk/ui/requests/14047000005944104/details" TargetMode="External"/><Relationship Id="rId352" Type="http://schemas.openxmlformats.org/officeDocument/2006/relationships/hyperlink" Target="https://ncgtc.sdpondemand.manageengine.in/app/apphelpdesk/ui/requests/14047000005944076/details" TargetMode="External"/><Relationship Id="rId351" Type="http://schemas.openxmlformats.org/officeDocument/2006/relationships/hyperlink" Target="https://ncgtc.sdpondemand.manageengine.in/app/apphelpdesk/ui/requests/14047000005944061/details" TargetMode="External"/><Relationship Id="rId350" Type="http://schemas.openxmlformats.org/officeDocument/2006/relationships/hyperlink" Target="https://ncgtc.sdpondemand.manageengine.in/app/apphelpdesk/ui/requests/14047000005944016/details" TargetMode="External"/><Relationship Id="rId35" Type="http://schemas.openxmlformats.org/officeDocument/2006/relationships/hyperlink" Target="https://ncgtc.sdpondemand.manageengine.in/app/apphelpdesk/ui/requests/14047000005854903/details" TargetMode="External"/><Relationship Id="rId349" Type="http://schemas.openxmlformats.org/officeDocument/2006/relationships/hyperlink" Target="https://ncgtc.sdpondemand.manageengine.in/app/apphelpdesk/ui/requests/14047000005944001/details" TargetMode="External"/><Relationship Id="rId348" Type="http://schemas.openxmlformats.org/officeDocument/2006/relationships/hyperlink" Target="https://ncgtc.sdpondemand.manageengine.in/app/apphelpdesk/ui/requests/14047000005940988/details" TargetMode="External"/><Relationship Id="rId347" Type="http://schemas.openxmlformats.org/officeDocument/2006/relationships/hyperlink" Target="https://ncgtc.sdpondemand.manageengine.in/app/apphelpdesk/ui/requests/14047000005940886/details" TargetMode="External"/><Relationship Id="rId346" Type="http://schemas.openxmlformats.org/officeDocument/2006/relationships/hyperlink" Target="https://ncgtc.sdpondemand.manageengine.in/app/apphelpdesk/ui/requests/14047000005940817/details" TargetMode="External"/><Relationship Id="rId345" Type="http://schemas.openxmlformats.org/officeDocument/2006/relationships/hyperlink" Target="https://ncgtc.sdpondemand.manageengine.in/app/apphelpdesk/ui/requests/14047000005940809/details" TargetMode="External"/><Relationship Id="rId344" Type="http://schemas.openxmlformats.org/officeDocument/2006/relationships/hyperlink" Target="https://ncgtc.sdpondemand.manageengine.in/app/apphelpdesk/ui/requests/14047000005940756/details" TargetMode="External"/><Relationship Id="rId343" Type="http://schemas.openxmlformats.org/officeDocument/2006/relationships/hyperlink" Target="https://ncgtc.sdpondemand.manageengine.in/app/apphelpdesk/ui/requests/14047000005940733/details" TargetMode="External"/><Relationship Id="rId342" Type="http://schemas.openxmlformats.org/officeDocument/2006/relationships/hyperlink" Target="https://ncgtc.sdpondemand.manageengine.in/app/apphelpdesk/ui/requests/14047000005940725/details" TargetMode="External"/><Relationship Id="rId341" Type="http://schemas.openxmlformats.org/officeDocument/2006/relationships/hyperlink" Target="https://ncgtc.sdpondemand.manageengine.in/app/apphelpdesk/ui/requests/14047000005940694/details" TargetMode="External"/><Relationship Id="rId340" Type="http://schemas.openxmlformats.org/officeDocument/2006/relationships/hyperlink" Target="https://ncgtc.sdpondemand.manageengine.in/app/apphelpdesk/ui/requests/14047000005940685/details" TargetMode="External"/><Relationship Id="rId34" Type="http://schemas.openxmlformats.org/officeDocument/2006/relationships/hyperlink" Target="https://ncgtc.sdpondemand.manageengine.in/app/apphelpdesk/ui/requests/14047000005854881/details" TargetMode="External"/><Relationship Id="rId339" Type="http://schemas.openxmlformats.org/officeDocument/2006/relationships/hyperlink" Target="https://ncgtc.sdpondemand.manageengine.in/app/apphelpdesk/ui/requests/14047000005940672/details" TargetMode="External"/><Relationship Id="rId338" Type="http://schemas.openxmlformats.org/officeDocument/2006/relationships/hyperlink" Target="https://ncgtc.sdpondemand.manageengine.in/app/apphelpdesk/ui/requests/14047000005940610/details" TargetMode="External"/><Relationship Id="rId337" Type="http://schemas.openxmlformats.org/officeDocument/2006/relationships/hyperlink" Target="https://ncgtc.sdpondemand.manageengine.in/app/apphelpdesk/ui/requests/14047000005940468/details" TargetMode="External"/><Relationship Id="rId336" Type="http://schemas.openxmlformats.org/officeDocument/2006/relationships/hyperlink" Target="https://ncgtc.sdpondemand.manageengine.in/app/apphelpdesk/ui/requests/14047000005940434/details" TargetMode="External"/><Relationship Id="rId335" Type="http://schemas.openxmlformats.org/officeDocument/2006/relationships/hyperlink" Target="https://ncgtc.sdpondemand.manageengine.in/app/apphelpdesk/ui/requests/14047000005940400/details" TargetMode="External"/><Relationship Id="rId334" Type="http://schemas.openxmlformats.org/officeDocument/2006/relationships/hyperlink" Target="https://ncgtc.sdpondemand.manageengine.in/app/apphelpdesk/ui/requests/14047000005940363/details" TargetMode="External"/><Relationship Id="rId333" Type="http://schemas.openxmlformats.org/officeDocument/2006/relationships/hyperlink" Target="https://ncgtc.sdpondemand.manageengine.in/app/apphelpdesk/ui/requests/14047000005940354/details" TargetMode="External"/><Relationship Id="rId332" Type="http://schemas.openxmlformats.org/officeDocument/2006/relationships/hyperlink" Target="https://ncgtc.sdpondemand.manageengine.in/app/apphelpdesk/ui/requests/14047000005940299/details" TargetMode="External"/><Relationship Id="rId331" Type="http://schemas.openxmlformats.org/officeDocument/2006/relationships/hyperlink" Target="https://ncgtc.sdpondemand.manageengine.in/app/apphelpdesk/ui/requests/14047000005940274/details" TargetMode="External"/><Relationship Id="rId330" Type="http://schemas.openxmlformats.org/officeDocument/2006/relationships/hyperlink" Target="https://ncgtc.sdpondemand.manageengine.in/app/apphelpdesk/ui/requests/14047000005940226/details" TargetMode="External"/><Relationship Id="rId33" Type="http://schemas.openxmlformats.org/officeDocument/2006/relationships/hyperlink" Target="https://ncgtc.sdpondemand.manageengine.in/app/apphelpdesk/ui/requests/14047000005854847/details" TargetMode="External"/><Relationship Id="rId3296" Type="http://schemas.openxmlformats.org/officeDocument/2006/relationships/hyperlink" Target="https://ncgtc.sdpondemand.manageengine.in/app/apphelpdesk/ui/requests/14047000006765045/details" TargetMode="External"/><Relationship Id="rId3295" Type="http://schemas.openxmlformats.org/officeDocument/2006/relationships/hyperlink" Target="https://ncgtc.sdpondemand.manageengine.in/app/apphelpdesk/ui/requests/14047000006765029/details" TargetMode="External"/><Relationship Id="rId3294" Type="http://schemas.openxmlformats.org/officeDocument/2006/relationships/hyperlink" Target="https://ncgtc.sdpondemand.manageengine.in/app/apphelpdesk/ui/requests/14047000006758970/details" TargetMode="External"/><Relationship Id="rId3293" Type="http://schemas.openxmlformats.org/officeDocument/2006/relationships/hyperlink" Target="https://ncgtc.sdpondemand.manageengine.in/app/apphelpdesk/ui/requests/14047000006758944/details" TargetMode="External"/><Relationship Id="rId3292" Type="http://schemas.openxmlformats.org/officeDocument/2006/relationships/hyperlink" Target="https://ncgtc.sdpondemand.manageengine.in/app/apphelpdesk/ui/requests/14047000006758935/details" TargetMode="External"/><Relationship Id="rId3291" Type="http://schemas.openxmlformats.org/officeDocument/2006/relationships/hyperlink" Target="https://ncgtc.sdpondemand.manageengine.in/app/apphelpdesk/ui/requests/14047000006758925/details" TargetMode="External"/><Relationship Id="rId3290" Type="http://schemas.openxmlformats.org/officeDocument/2006/relationships/hyperlink" Target="https://ncgtc.sdpondemand.manageengine.in/app/apphelpdesk/ui/requests/14047000006758879/details" TargetMode="External"/><Relationship Id="rId329" Type="http://schemas.openxmlformats.org/officeDocument/2006/relationships/hyperlink" Target="https://ncgtc.sdpondemand.manageengine.in/app/apphelpdesk/ui/requests/14047000005940188/details" TargetMode="External"/><Relationship Id="rId3289" Type="http://schemas.openxmlformats.org/officeDocument/2006/relationships/hyperlink" Target="https://ncgtc.sdpondemand.manageengine.in/app/apphelpdesk/ui/requests/14047000006758850/details" TargetMode="External"/><Relationship Id="rId3288" Type="http://schemas.openxmlformats.org/officeDocument/2006/relationships/hyperlink" Target="https://ncgtc.sdpondemand.manageengine.in/app/apphelpdesk/ui/requests/14047000006758798/details" TargetMode="External"/><Relationship Id="rId3287" Type="http://schemas.openxmlformats.org/officeDocument/2006/relationships/hyperlink" Target="https://ncgtc.sdpondemand.manageengine.in/app/apphelpdesk/ui/requests/14047000006758783/details" TargetMode="External"/><Relationship Id="rId3286" Type="http://schemas.openxmlformats.org/officeDocument/2006/relationships/hyperlink" Target="https://ncgtc.sdpondemand.manageengine.in/app/apphelpdesk/ui/requests/14047000006758743/details" TargetMode="External"/><Relationship Id="rId3285" Type="http://schemas.openxmlformats.org/officeDocument/2006/relationships/hyperlink" Target="https://ncgtc.sdpondemand.manageengine.in/app/apphelpdesk/ui/requests/14047000006758709/details" TargetMode="External"/><Relationship Id="rId3284" Type="http://schemas.openxmlformats.org/officeDocument/2006/relationships/hyperlink" Target="https://ncgtc.sdpondemand.manageengine.in/app/apphelpdesk/ui/requests/14047000006758648/details" TargetMode="External"/><Relationship Id="rId3283" Type="http://schemas.openxmlformats.org/officeDocument/2006/relationships/hyperlink" Target="https://ncgtc.sdpondemand.manageengine.in/app/apphelpdesk/ui/requests/14047000006758638/details" TargetMode="External"/><Relationship Id="rId3282" Type="http://schemas.openxmlformats.org/officeDocument/2006/relationships/hyperlink" Target="https://ncgtc.sdpondemand.manageengine.in/app/apphelpdesk/ui/requests/14047000006758531/details" TargetMode="External"/><Relationship Id="rId3281" Type="http://schemas.openxmlformats.org/officeDocument/2006/relationships/hyperlink" Target="https://ncgtc.sdpondemand.manageengine.in/app/apphelpdesk/ui/requests/14047000006758509/details" TargetMode="External"/><Relationship Id="rId3280" Type="http://schemas.openxmlformats.org/officeDocument/2006/relationships/hyperlink" Target="https://ncgtc.sdpondemand.manageengine.in/app/apphelpdesk/ui/requests/14047000006758470/details" TargetMode="External"/><Relationship Id="rId328" Type="http://schemas.openxmlformats.org/officeDocument/2006/relationships/hyperlink" Target="https://ncgtc.sdpondemand.manageengine.in/app/apphelpdesk/ui/requests/14047000005940179/details" TargetMode="External"/><Relationship Id="rId3279" Type="http://schemas.openxmlformats.org/officeDocument/2006/relationships/hyperlink" Target="https://ncgtc.sdpondemand.manageengine.in/app/apphelpdesk/ui/requests/14047000006758406/details" TargetMode="External"/><Relationship Id="rId3278" Type="http://schemas.openxmlformats.org/officeDocument/2006/relationships/hyperlink" Target="https://ncgtc.sdpondemand.manageengine.in/app/apphelpdesk/ui/requests/14047000006758359/details" TargetMode="External"/><Relationship Id="rId3277" Type="http://schemas.openxmlformats.org/officeDocument/2006/relationships/hyperlink" Target="https://ncgtc.sdpondemand.manageengine.in/app/apphelpdesk/ui/requests/14047000006758350/details" TargetMode="External"/><Relationship Id="rId3276" Type="http://schemas.openxmlformats.org/officeDocument/2006/relationships/hyperlink" Target="https://ncgtc.sdpondemand.manageengine.in/app/apphelpdesk/ui/requests/14047000006758319/details" TargetMode="External"/><Relationship Id="rId3275" Type="http://schemas.openxmlformats.org/officeDocument/2006/relationships/hyperlink" Target="https://ncgtc.sdpondemand.manageengine.in/app/apphelpdesk/ui/requests/14047000006758258/details" TargetMode="External"/><Relationship Id="rId3274" Type="http://schemas.openxmlformats.org/officeDocument/2006/relationships/hyperlink" Target="https://ncgtc.sdpondemand.manageengine.in/app/apphelpdesk/ui/requests/14047000006758249/details" TargetMode="External"/><Relationship Id="rId3273" Type="http://schemas.openxmlformats.org/officeDocument/2006/relationships/hyperlink" Target="https://ncgtc.sdpondemand.manageengine.in/app/apphelpdesk/ui/requests/14047000006758141/details" TargetMode="External"/><Relationship Id="rId3272" Type="http://schemas.openxmlformats.org/officeDocument/2006/relationships/hyperlink" Target="https://ncgtc.sdpondemand.manageengine.in/app/apphelpdesk/ui/requests/14047000006758114/details" TargetMode="External"/><Relationship Id="rId3271" Type="http://schemas.openxmlformats.org/officeDocument/2006/relationships/hyperlink" Target="https://ncgtc.sdpondemand.manageengine.in/app/apphelpdesk/ui/requests/14047000006758006/details" TargetMode="External"/><Relationship Id="rId3270" Type="http://schemas.openxmlformats.org/officeDocument/2006/relationships/hyperlink" Target="https://ncgtc.sdpondemand.manageengine.in/app/apphelpdesk/ui/requests/14047000006755910/details" TargetMode="External"/><Relationship Id="rId327" Type="http://schemas.openxmlformats.org/officeDocument/2006/relationships/hyperlink" Target="https://ncgtc.sdpondemand.manageengine.in/app/apphelpdesk/ui/requests/14047000005940159/details" TargetMode="External"/><Relationship Id="rId3269" Type="http://schemas.openxmlformats.org/officeDocument/2006/relationships/hyperlink" Target="https://ncgtc.sdpondemand.manageengine.in/app/apphelpdesk/ui/requests/14047000006755887/details" TargetMode="External"/><Relationship Id="rId3268" Type="http://schemas.openxmlformats.org/officeDocument/2006/relationships/hyperlink" Target="https://ncgtc.sdpondemand.manageengine.in/app/apphelpdesk/ui/requests/14047000006755856/details" TargetMode="External"/><Relationship Id="rId3267" Type="http://schemas.openxmlformats.org/officeDocument/2006/relationships/hyperlink" Target="https://ncgtc.sdpondemand.manageengine.in/app/apphelpdesk/ui/requests/14047000006755728/details" TargetMode="External"/><Relationship Id="rId3266" Type="http://schemas.openxmlformats.org/officeDocument/2006/relationships/hyperlink" Target="https://ncgtc.sdpondemand.manageengine.in/app/apphelpdesk/ui/requests/14047000006755719/details" TargetMode="External"/><Relationship Id="rId3265" Type="http://schemas.openxmlformats.org/officeDocument/2006/relationships/hyperlink" Target="https://ncgtc.sdpondemand.manageengine.in/app/apphelpdesk/ui/requests/14047000006755685/details" TargetMode="External"/><Relationship Id="rId3264" Type="http://schemas.openxmlformats.org/officeDocument/2006/relationships/hyperlink" Target="https://ncgtc.sdpondemand.manageengine.in/app/apphelpdesk/ui/requests/14047000006755559/details" TargetMode="External"/><Relationship Id="rId3263" Type="http://schemas.openxmlformats.org/officeDocument/2006/relationships/hyperlink" Target="https://ncgtc.sdpondemand.manageengine.in/app/apphelpdesk/ui/requests/14047000006755527/details" TargetMode="External"/><Relationship Id="rId3262" Type="http://schemas.openxmlformats.org/officeDocument/2006/relationships/hyperlink" Target="https://ncgtc.sdpondemand.manageengine.in/app/apphelpdesk/ui/requests/14047000006755498/details" TargetMode="External"/><Relationship Id="rId3261" Type="http://schemas.openxmlformats.org/officeDocument/2006/relationships/hyperlink" Target="https://ncgtc.sdpondemand.manageengine.in/app/apphelpdesk/ui/requests/14047000006755478/details" TargetMode="External"/><Relationship Id="rId3260" Type="http://schemas.openxmlformats.org/officeDocument/2006/relationships/hyperlink" Target="https://ncgtc.sdpondemand.manageengine.in/app/apphelpdesk/ui/requests/14047000006755284/details" TargetMode="External"/><Relationship Id="rId326" Type="http://schemas.openxmlformats.org/officeDocument/2006/relationships/hyperlink" Target="https://ncgtc.sdpondemand.manageengine.in/app/apphelpdesk/ui/requests/14047000005940087/details" TargetMode="External"/><Relationship Id="rId3259" Type="http://schemas.openxmlformats.org/officeDocument/2006/relationships/hyperlink" Target="https://ncgtc.sdpondemand.manageengine.in/app/apphelpdesk/ui/requests/14047000006755260/details" TargetMode="External"/><Relationship Id="rId3258" Type="http://schemas.openxmlformats.org/officeDocument/2006/relationships/hyperlink" Target="https://ncgtc.sdpondemand.manageengine.in/app/apphelpdesk/ui/requests/14047000006755231/details" TargetMode="External"/><Relationship Id="rId3257" Type="http://schemas.openxmlformats.org/officeDocument/2006/relationships/hyperlink" Target="https://ncgtc.sdpondemand.manageengine.in/app/apphelpdesk/ui/requests/14047000006755210/details" TargetMode="External"/><Relationship Id="rId3256" Type="http://schemas.openxmlformats.org/officeDocument/2006/relationships/hyperlink" Target="https://ncgtc.sdpondemand.manageengine.in/app/apphelpdesk/ui/requests/14047000006755197/details" TargetMode="External"/><Relationship Id="rId3255" Type="http://schemas.openxmlformats.org/officeDocument/2006/relationships/hyperlink" Target="https://ncgtc.sdpondemand.manageengine.in/app/apphelpdesk/ui/requests/14047000006755073/details" TargetMode="External"/><Relationship Id="rId3254" Type="http://schemas.openxmlformats.org/officeDocument/2006/relationships/hyperlink" Target="https://ncgtc.sdpondemand.manageengine.in/app/apphelpdesk/ui/requests/14047000006755038/details" TargetMode="External"/><Relationship Id="rId3253" Type="http://schemas.openxmlformats.org/officeDocument/2006/relationships/hyperlink" Target="https://ncgtc.sdpondemand.manageengine.in/app/apphelpdesk/ui/requests/14047000006743928/details" TargetMode="External"/><Relationship Id="rId3252" Type="http://schemas.openxmlformats.org/officeDocument/2006/relationships/hyperlink" Target="https://ncgtc.sdpondemand.manageengine.in/app/apphelpdesk/ui/requests/14047000006743895/details" TargetMode="External"/><Relationship Id="rId3251" Type="http://schemas.openxmlformats.org/officeDocument/2006/relationships/hyperlink" Target="https://ncgtc.sdpondemand.manageengine.in/app/apphelpdesk/ui/requests/14047000006743880/details" TargetMode="External"/><Relationship Id="rId3250" Type="http://schemas.openxmlformats.org/officeDocument/2006/relationships/hyperlink" Target="https://ncgtc.sdpondemand.manageengine.in/app/apphelpdesk/ui/requests/14047000006743842/details" TargetMode="External"/><Relationship Id="rId325" Type="http://schemas.openxmlformats.org/officeDocument/2006/relationships/hyperlink" Target="https://ncgtc.sdpondemand.manageengine.in/app/apphelpdesk/ui/requests/14047000005936996/details" TargetMode="External"/><Relationship Id="rId3249" Type="http://schemas.openxmlformats.org/officeDocument/2006/relationships/hyperlink" Target="https://ncgtc.sdpondemand.manageengine.in/app/apphelpdesk/ui/requests/14047000006743824/details" TargetMode="External"/><Relationship Id="rId3248" Type="http://schemas.openxmlformats.org/officeDocument/2006/relationships/hyperlink" Target="https://ncgtc.sdpondemand.manageengine.in/app/apphelpdesk/ui/requests/14047000006743814/details" TargetMode="External"/><Relationship Id="rId3247" Type="http://schemas.openxmlformats.org/officeDocument/2006/relationships/hyperlink" Target="https://ncgtc.sdpondemand.manageengine.in/app/apphelpdesk/ui/requests/14047000006743803/details" TargetMode="External"/><Relationship Id="rId3246" Type="http://schemas.openxmlformats.org/officeDocument/2006/relationships/hyperlink" Target="https://ncgtc.sdpondemand.manageengine.in/app/apphelpdesk/ui/requests/14047000006743781/details" TargetMode="External"/><Relationship Id="rId3245" Type="http://schemas.openxmlformats.org/officeDocument/2006/relationships/hyperlink" Target="https://ncgtc.sdpondemand.manageengine.in/app/apphelpdesk/ui/requests/14047000006743772/details" TargetMode="External"/><Relationship Id="rId3244" Type="http://schemas.openxmlformats.org/officeDocument/2006/relationships/hyperlink" Target="https://ncgtc.sdpondemand.manageengine.in/app/apphelpdesk/ui/requests/14047000006743710/details" TargetMode="External"/><Relationship Id="rId3243" Type="http://schemas.openxmlformats.org/officeDocument/2006/relationships/hyperlink" Target="https://ncgtc.sdpondemand.manageengine.in/app/apphelpdesk/ui/requests/14047000006743657/details" TargetMode="External"/><Relationship Id="rId3242" Type="http://schemas.openxmlformats.org/officeDocument/2006/relationships/hyperlink" Target="https://ncgtc.sdpondemand.manageengine.in/app/apphelpdesk/ui/requests/14047000006743599/details" TargetMode="External"/><Relationship Id="rId3241" Type="http://schemas.openxmlformats.org/officeDocument/2006/relationships/hyperlink" Target="https://ncgtc.sdpondemand.manageengine.in/app/apphelpdesk/ui/requests/14047000006743568/details" TargetMode="External"/><Relationship Id="rId3240" Type="http://schemas.openxmlformats.org/officeDocument/2006/relationships/hyperlink" Target="https://ncgtc.sdpondemand.manageengine.in/app/apphelpdesk/ui/requests/14047000006743560/details" TargetMode="External"/><Relationship Id="rId324" Type="http://schemas.openxmlformats.org/officeDocument/2006/relationships/hyperlink" Target="https://ncgtc.sdpondemand.manageengine.in/app/apphelpdesk/ui/requests/14047000005936970/details" TargetMode="External"/><Relationship Id="rId3239" Type="http://schemas.openxmlformats.org/officeDocument/2006/relationships/hyperlink" Target="https://ncgtc.sdpondemand.manageengine.in/app/apphelpdesk/ui/requests/14047000006743484/details" TargetMode="External"/><Relationship Id="rId3238" Type="http://schemas.openxmlformats.org/officeDocument/2006/relationships/hyperlink" Target="https://ncgtc.sdpondemand.manageengine.in/app/apphelpdesk/ui/requests/14047000006743409/details" TargetMode="External"/><Relationship Id="rId3237" Type="http://schemas.openxmlformats.org/officeDocument/2006/relationships/hyperlink" Target="https://ncgtc.sdpondemand.manageengine.in/app/apphelpdesk/ui/requests/14047000006743401/details" TargetMode="External"/><Relationship Id="rId3236" Type="http://schemas.openxmlformats.org/officeDocument/2006/relationships/hyperlink" Target="https://ncgtc.sdpondemand.manageengine.in/app/apphelpdesk/ui/requests/14047000006743352/details" TargetMode="External"/><Relationship Id="rId3235" Type="http://schemas.openxmlformats.org/officeDocument/2006/relationships/hyperlink" Target="https://ncgtc.sdpondemand.manageengine.in/app/apphelpdesk/ui/requests/14047000006743322/details" TargetMode="External"/><Relationship Id="rId3234" Type="http://schemas.openxmlformats.org/officeDocument/2006/relationships/hyperlink" Target="https://ncgtc.sdpondemand.manageengine.in/app/apphelpdesk/ui/requests/14047000006743313/details" TargetMode="External"/><Relationship Id="rId3233" Type="http://schemas.openxmlformats.org/officeDocument/2006/relationships/hyperlink" Target="https://ncgtc.sdpondemand.manageengine.in/app/apphelpdesk/ui/requests/14047000006743280/details" TargetMode="External"/><Relationship Id="rId3232" Type="http://schemas.openxmlformats.org/officeDocument/2006/relationships/hyperlink" Target="https://ncgtc.sdpondemand.manageengine.in/app/apphelpdesk/ui/requests/14047000006743219/details" TargetMode="External"/><Relationship Id="rId3231" Type="http://schemas.openxmlformats.org/officeDocument/2006/relationships/hyperlink" Target="https://ncgtc.sdpondemand.manageengine.in/app/apphelpdesk/ui/requests/14047000006743195/details" TargetMode="External"/><Relationship Id="rId3230" Type="http://schemas.openxmlformats.org/officeDocument/2006/relationships/hyperlink" Target="https://ncgtc.sdpondemand.manageengine.in/app/apphelpdesk/ui/requests/14047000006743009/details" TargetMode="External"/><Relationship Id="rId323" Type="http://schemas.openxmlformats.org/officeDocument/2006/relationships/hyperlink" Target="https://ncgtc.sdpondemand.manageengine.in/app/apphelpdesk/ui/requests/14047000005936962/details" TargetMode="External"/><Relationship Id="rId3229" Type="http://schemas.openxmlformats.org/officeDocument/2006/relationships/hyperlink" Target="https://ncgtc.sdpondemand.manageengine.in/app/apphelpdesk/ui/requests/14047000006737452/details" TargetMode="External"/><Relationship Id="rId3228" Type="http://schemas.openxmlformats.org/officeDocument/2006/relationships/hyperlink" Target="https://ncgtc.sdpondemand.manageengine.in/app/apphelpdesk/ui/requests/14047000006737332/details" TargetMode="External"/><Relationship Id="rId3227" Type="http://schemas.openxmlformats.org/officeDocument/2006/relationships/hyperlink" Target="https://ncgtc.sdpondemand.manageengine.in/app/apphelpdesk/ui/requests/14047000006737317/details" TargetMode="External"/><Relationship Id="rId3226" Type="http://schemas.openxmlformats.org/officeDocument/2006/relationships/hyperlink" Target="https://ncgtc.sdpondemand.manageengine.in/app/apphelpdesk/ui/requests/14047000006737290/details" TargetMode="External"/><Relationship Id="rId3225" Type="http://schemas.openxmlformats.org/officeDocument/2006/relationships/hyperlink" Target="https://ncgtc.sdpondemand.manageengine.in/app/apphelpdesk/ui/requests/14047000006737256/details" TargetMode="External"/><Relationship Id="rId3224" Type="http://schemas.openxmlformats.org/officeDocument/2006/relationships/hyperlink" Target="https://ncgtc.sdpondemand.manageengine.in/app/apphelpdesk/ui/requests/14047000006737248/details" TargetMode="External"/><Relationship Id="rId3223" Type="http://schemas.openxmlformats.org/officeDocument/2006/relationships/hyperlink" Target="https://ncgtc.sdpondemand.manageengine.in/app/apphelpdesk/ui/requests/14047000006737238/details" TargetMode="External"/><Relationship Id="rId3222" Type="http://schemas.openxmlformats.org/officeDocument/2006/relationships/hyperlink" Target="https://ncgtc.sdpondemand.manageengine.in/app/apphelpdesk/ui/requests/14047000006737213/details" TargetMode="External"/><Relationship Id="rId3221" Type="http://schemas.openxmlformats.org/officeDocument/2006/relationships/hyperlink" Target="https://ncgtc.sdpondemand.manageengine.in/app/apphelpdesk/ui/requests/14047000006737197/details" TargetMode="External"/><Relationship Id="rId3220" Type="http://schemas.openxmlformats.org/officeDocument/2006/relationships/hyperlink" Target="https://ncgtc.sdpondemand.manageengine.in/app/apphelpdesk/ui/requests/14047000006737189/details" TargetMode="External"/><Relationship Id="rId322" Type="http://schemas.openxmlformats.org/officeDocument/2006/relationships/hyperlink" Target="https://ncgtc.sdpondemand.manageengine.in/app/apphelpdesk/ui/requests/14047000005936948/details" TargetMode="External"/><Relationship Id="rId3219" Type="http://schemas.openxmlformats.org/officeDocument/2006/relationships/hyperlink" Target="https://ncgtc.sdpondemand.manageengine.in/app/apphelpdesk/ui/requests/14047000006737169/details" TargetMode="External"/><Relationship Id="rId3218" Type="http://schemas.openxmlformats.org/officeDocument/2006/relationships/hyperlink" Target="https://ncgtc.sdpondemand.manageengine.in/app/apphelpdesk/ui/requests/14047000006737130/details" TargetMode="External"/><Relationship Id="rId3217" Type="http://schemas.openxmlformats.org/officeDocument/2006/relationships/hyperlink" Target="https://ncgtc.sdpondemand.manageengine.in/app/apphelpdesk/ui/requests/14047000006737081/details" TargetMode="External"/><Relationship Id="rId3216" Type="http://schemas.openxmlformats.org/officeDocument/2006/relationships/hyperlink" Target="https://ncgtc.sdpondemand.manageengine.in/app/apphelpdesk/ui/requests/14047000006737059/details" TargetMode="External"/><Relationship Id="rId3215" Type="http://schemas.openxmlformats.org/officeDocument/2006/relationships/hyperlink" Target="https://ncgtc.sdpondemand.manageengine.in/app/apphelpdesk/ui/requests/14047000006737022/details" TargetMode="External"/><Relationship Id="rId3214" Type="http://schemas.openxmlformats.org/officeDocument/2006/relationships/hyperlink" Target="https://ncgtc.sdpondemand.manageengine.in/app/apphelpdesk/ui/requests/14047000006737006/details" TargetMode="External"/><Relationship Id="rId3213" Type="http://schemas.openxmlformats.org/officeDocument/2006/relationships/hyperlink" Target="https://ncgtc.sdpondemand.manageengine.in/app/apphelpdesk/ui/requests/14047000006721988/details" TargetMode="External"/><Relationship Id="rId3212" Type="http://schemas.openxmlformats.org/officeDocument/2006/relationships/hyperlink" Target="https://ncgtc.sdpondemand.manageengine.in/app/apphelpdesk/ui/requests/14047000006721979/details" TargetMode="External"/><Relationship Id="rId3211" Type="http://schemas.openxmlformats.org/officeDocument/2006/relationships/hyperlink" Target="https://ncgtc.sdpondemand.manageengine.in/app/apphelpdesk/ui/requests/14047000006721941/details" TargetMode="External"/><Relationship Id="rId3210" Type="http://schemas.openxmlformats.org/officeDocument/2006/relationships/hyperlink" Target="https://ncgtc.sdpondemand.manageengine.in/app/apphelpdesk/ui/requests/14047000006721918/details" TargetMode="External"/><Relationship Id="rId321" Type="http://schemas.openxmlformats.org/officeDocument/2006/relationships/hyperlink" Target="https://ncgtc.sdpondemand.manageengine.in/app/apphelpdesk/ui/requests/14047000005936923/details" TargetMode="External"/><Relationship Id="rId3209" Type="http://schemas.openxmlformats.org/officeDocument/2006/relationships/hyperlink" Target="https://ncgtc.sdpondemand.manageengine.in/app/apphelpdesk/ui/requests/14047000006721910/details" TargetMode="External"/><Relationship Id="rId3208" Type="http://schemas.openxmlformats.org/officeDocument/2006/relationships/hyperlink" Target="https://ncgtc.sdpondemand.manageengine.in/app/apphelpdesk/ui/requests/14047000006721900/details" TargetMode="External"/><Relationship Id="rId3207" Type="http://schemas.openxmlformats.org/officeDocument/2006/relationships/hyperlink" Target="https://ncgtc.sdpondemand.manageengine.in/app/apphelpdesk/ui/requests/14047000006721890/details" TargetMode="External"/><Relationship Id="rId3206" Type="http://schemas.openxmlformats.org/officeDocument/2006/relationships/hyperlink" Target="https://ncgtc.sdpondemand.manageengine.in/app/apphelpdesk/ui/requests/14047000006721873/details" TargetMode="External"/><Relationship Id="rId3205" Type="http://schemas.openxmlformats.org/officeDocument/2006/relationships/hyperlink" Target="https://ncgtc.sdpondemand.manageengine.in/app/apphelpdesk/ui/requests/14047000006721843/details" TargetMode="External"/><Relationship Id="rId3204" Type="http://schemas.openxmlformats.org/officeDocument/2006/relationships/hyperlink" Target="https://ncgtc.sdpondemand.manageengine.in/app/apphelpdesk/ui/requests/14047000006721823/details" TargetMode="External"/><Relationship Id="rId3203" Type="http://schemas.openxmlformats.org/officeDocument/2006/relationships/hyperlink" Target="https://ncgtc.sdpondemand.manageengine.in/app/apphelpdesk/ui/requests/14047000006721778/details" TargetMode="External"/><Relationship Id="rId3202" Type="http://schemas.openxmlformats.org/officeDocument/2006/relationships/hyperlink" Target="https://ncgtc.sdpondemand.manageengine.in/app/apphelpdesk/ui/requests/14047000006721751/details" TargetMode="External"/><Relationship Id="rId3201" Type="http://schemas.openxmlformats.org/officeDocument/2006/relationships/hyperlink" Target="https://ncgtc.sdpondemand.manageengine.in/app/apphelpdesk/ui/requests/14047000006721700/details" TargetMode="External"/><Relationship Id="rId3200" Type="http://schemas.openxmlformats.org/officeDocument/2006/relationships/hyperlink" Target="https://ncgtc.sdpondemand.manageengine.in/app/apphelpdesk/ui/requests/14047000006721686/details" TargetMode="External"/><Relationship Id="rId320" Type="http://schemas.openxmlformats.org/officeDocument/2006/relationships/hyperlink" Target="https://ncgtc.sdpondemand.manageengine.in/app/apphelpdesk/ui/requests/14047000005936850/details" TargetMode="External"/><Relationship Id="rId32" Type="http://schemas.openxmlformats.org/officeDocument/2006/relationships/hyperlink" Target="https://ncgtc.sdpondemand.manageengine.in/app/apphelpdesk/ui/requests/14047000005854831/details" TargetMode="External"/><Relationship Id="rId3199" Type="http://schemas.openxmlformats.org/officeDocument/2006/relationships/hyperlink" Target="https://ncgtc.sdpondemand.manageengine.in/app/apphelpdesk/ui/requests/14047000006721647/details" TargetMode="External"/><Relationship Id="rId3198" Type="http://schemas.openxmlformats.org/officeDocument/2006/relationships/hyperlink" Target="https://ncgtc.sdpondemand.manageengine.in/app/apphelpdesk/ui/requests/14047000006721589/details" TargetMode="External"/><Relationship Id="rId3197" Type="http://schemas.openxmlformats.org/officeDocument/2006/relationships/hyperlink" Target="https://ncgtc.sdpondemand.manageengine.in/app/apphelpdesk/ui/requests/14047000006721565/details" TargetMode="External"/><Relationship Id="rId3196" Type="http://schemas.openxmlformats.org/officeDocument/2006/relationships/hyperlink" Target="https://ncgtc.sdpondemand.manageengine.in/app/apphelpdesk/ui/requests/14047000006721550/details" TargetMode="External"/><Relationship Id="rId3195" Type="http://schemas.openxmlformats.org/officeDocument/2006/relationships/hyperlink" Target="https://ncgtc.sdpondemand.manageengine.in/app/apphelpdesk/ui/requests/14047000006721523/details" TargetMode="External"/><Relationship Id="rId3194" Type="http://schemas.openxmlformats.org/officeDocument/2006/relationships/hyperlink" Target="https://ncgtc.sdpondemand.manageengine.in/app/apphelpdesk/ui/requests/14047000006721497/details" TargetMode="External"/><Relationship Id="rId3193" Type="http://schemas.openxmlformats.org/officeDocument/2006/relationships/hyperlink" Target="https://ncgtc.sdpondemand.manageengine.in/app/apphelpdesk/ui/requests/14047000006721460/details" TargetMode="External"/><Relationship Id="rId3192" Type="http://schemas.openxmlformats.org/officeDocument/2006/relationships/hyperlink" Target="https://ncgtc.sdpondemand.manageengine.in/app/apphelpdesk/ui/requests/14047000006721447/details" TargetMode="External"/><Relationship Id="rId3191" Type="http://schemas.openxmlformats.org/officeDocument/2006/relationships/hyperlink" Target="https://ncgtc.sdpondemand.manageengine.in/app/apphelpdesk/ui/requests/14047000006721432/details" TargetMode="External"/><Relationship Id="rId3190" Type="http://schemas.openxmlformats.org/officeDocument/2006/relationships/hyperlink" Target="https://ncgtc.sdpondemand.manageengine.in/app/apphelpdesk/ui/requests/14047000006721397/details" TargetMode="External"/><Relationship Id="rId319" Type="http://schemas.openxmlformats.org/officeDocument/2006/relationships/hyperlink" Target="https://ncgtc.sdpondemand.manageengine.in/app/apphelpdesk/ui/requests/14047000005936837/details" TargetMode="External"/><Relationship Id="rId3189" Type="http://schemas.openxmlformats.org/officeDocument/2006/relationships/hyperlink" Target="https://ncgtc.sdpondemand.manageengine.in/app/apphelpdesk/ui/requests/14047000006721348/details" TargetMode="External"/><Relationship Id="rId3188" Type="http://schemas.openxmlformats.org/officeDocument/2006/relationships/hyperlink" Target="https://ncgtc.sdpondemand.manageengine.in/app/apphelpdesk/ui/requests/14047000006721190/details" TargetMode="External"/><Relationship Id="rId3187" Type="http://schemas.openxmlformats.org/officeDocument/2006/relationships/hyperlink" Target="https://ncgtc.sdpondemand.manageengine.in/app/apphelpdesk/ui/requests/14047000006721151/details" TargetMode="External"/><Relationship Id="rId3186" Type="http://schemas.openxmlformats.org/officeDocument/2006/relationships/hyperlink" Target="https://ncgtc.sdpondemand.manageengine.in/app/apphelpdesk/ui/requests/14047000006721126/details" TargetMode="External"/><Relationship Id="rId3185" Type="http://schemas.openxmlformats.org/officeDocument/2006/relationships/hyperlink" Target="https://ncgtc.sdpondemand.manageengine.in/app/apphelpdesk/ui/requests/14047000006721075/details" TargetMode="External"/><Relationship Id="rId3184" Type="http://schemas.openxmlformats.org/officeDocument/2006/relationships/hyperlink" Target="https://ncgtc.sdpondemand.manageengine.in/app/apphelpdesk/ui/requests/14047000006721050/details" TargetMode="External"/><Relationship Id="rId3183" Type="http://schemas.openxmlformats.org/officeDocument/2006/relationships/hyperlink" Target="https://ncgtc.sdpondemand.manageengine.in/app/apphelpdesk/ui/requests/14047000006721029/details" TargetMode="External"/><Relationship Id="rId3182" Type="http://schemas.openxmlformats.org/officeDocument/2006/relationships/hyperlink" Target="https://ncgtc.sdpondemand.manageengine.in/app/apphelpdesk/ui/requests/14047000006721021/details" TargetMode="External"/><Relationship Id="rId3181" Type="http://schemas.openxmlformats.org/officeDocument/2006/relationships/hyperlink" Target="https://ncgtc.sdpondemand.manageengine.in/app/apphelpdesk/ui/requests/14047000006714407/details" TargetMode="External"/><Relationship Id="rId3180" Type="http://schemas.openxmlformats.org/officeDocument/2006/relationships/hyperlink" Target="https://ncgtc.sdpondemand.manageengine.in/app/apphelpdesk/ui/requests/14047000006714385/details" TargetMode="External"/><Relationship Id="rId318" Type="http://schemas.openxmlformats.org/officeDocument/2006/relationships/hyperlink" Target="https://ncgtc.sdpondemand.manageengine.in/app/apphelpdesk/ui/requests/14047000005936825/details" TargetMode="External"/><Relationship Id="rId3179" Type="http://schemas.openxmlformats.org/officeDocument/2006/relationships/hyperlink" Target="https://ncgtc.sdpondemand.manageengine.in/app/apphelpdesk/ui/requests/14047000006714370/details" TargetMode="External"/><Relationship Id="rId3178" Type="http://schemas.openxmlformats.org/officeDocument/2006/relationships/hyperlink" Target="https://ncgtc.sdpondemand.manageengine.in/app/apphelpdesk/ui/requests/14047000006714351/details" TargetMode="External"/><Relationship Id="rId3177" Type="http://schemas.openxmlformats.org/officeDocument/2006/relationships/hyperlink" Target="https://ncgtc.sdpondemand.manageengine.in/app/apphelpdesk/ui/requests/14047000006714335/details" TargetMode="External"/><Relationship Id="rId3176" Type="http://schemas.openxmlformats.org/officeDocument/2006/relationships/hyperlink" Target="https://ncgtc.sdpondemand.manageengine.in/app/apphelpdesk/ui/requests/14047000006714321/details" TargetMode="External"/><Relationship Id="rId3175" Type="http://schemas.openxmlformats.org/officeDocument/2006/relationships/hyperlink" Target="https://ncgtc.sdpondemand.manageengine.in/app/apphelpdesk/ui/requests/14047000006714221/details" TargetMode="External"/><Relationship Id="rId3174" Type="http://schemas.openxmlformats.org/officeDocument/2006/relationships/hyperlink" Target="https://ncgtc.sdpondemand.manageengine.in/app/apphelpdesk/ui/requests/14047000006714060/details" TargetMode="External"/><Relationship Id="rId3173" Type="http://schemas.openxmlformats.org/officeDocument/2006/relationships/hyperlink" Target="https://ncgtc.sdpondemand.manageengine.in/app/apphelpdesk/ui/requests/14047000006714051/details" TargetMode="External"/><Relationship Id="rId3172" Type="http://schemas.openxmlformats.org/officeDocument/2006/relationships/hyperlink" Target="https://ncgtc.sdpondemand.manageengine.in/app/apphelpdesk/ui/requests/14047000006714042/details" TargetMode="External"/><Relationship Id="rId3171" Type="http://schemas.openxmlformats.org/officeDocument/2006/relationships/hyperlink" Target="https://ncgtc.sdpondemand.manageengine.in/app/apphelpdesk/ui/requests/14047000006707086/details" TargetMode="External"/><Relationship Id="rId3170" Type="http://schemas.openxmlformats.org/officeDocument/2006/relationships/hyperlink" Target="https://ncgtc.sdpondemand.manageengine.in/app/apphelpdesk/ui/requests/14047000006706445/details" TargetMode="External"/><Relationship Id="rId317" Type="http://schemas.openxmlformats.org/officeDocument/2006/relationships/hyperlink" Target="https://ncgtc.sdpondemand.manageengine.in/app/apphelpdesk/ui/requests/14047000005936701/details" TargetMode="External"/><Relationship Id="rId3169" Type="http://schemas.openxmlformats.org/officeDocument/2006/relationships/hyperlink" Target="https://ncgtc.sdpondemand.manageengine.in/app/apphelpdesk/ui/requests/14047000006706423/details" TargetMode="External"/><Relationship Id="rId3168" Type="http://schemas.openxmlformats.org/officeDocument/2006/relationships/hyperlink" Target="https://ncgtc.sdpondemand.manageengine.in/app/apphelpdesk/ui/requests/14047000006706411/details" TargetMode="External"/><Relationship Id="rId3167" Type="http://schemas.openxmlformats.org/officeDocument/2006/relationships/hyperlink" Target="https://ncgtc.sdpondemand.manageengine.in/app/apphelpdesk/ui/requests/14047000006706384/details" TargetMode="External"/><Relationship Id="rId3166" Type="http://schemas.openxmlformats.org/officeDocument/2006/relationships/hyperlink" Target="https://ncgtc.sdpondemand.manageengine.in/app/apphelpdesk/ui/requests/14047000006706375/details" TargetMode="External"/><Relationship Id="rId3165" Type="http://schemas.openxmlformats.org/officeDocument/2006/relationships/hyperlink" Target="https://ncgtc.sdpondemand.manageengine.in/app/apphelpdesk/ui/requests/14047000006706354/details" TargetMode="External"/><Relationship Id="rId3164" Type="http://schemas.openxmlformats.org/officeDocument/2006/relationships/hyperlink" Target="https://ncgtc.sdpondemand.manageengine.in/app/apphelpdesk/ui/requests/14047000006706346/details" TargetMode="External"/><Relationship Id="rId3163" Type="http://schemas.openxmlformats.org/officeDocument/2006/relationships/hyperlink" Target="https://ncgtc.sdpondemand.manageengine.in/app/apphelpdesk/ui/requests/14047000006706328/details" TargetMode="External"/><Relationship Id="rId3162" Type="http://schemas.openxmlformats.org/officeDocument/2006/relationships/hyperlink" Target="https://ncgtc.sdpondemand.manageengine.in/app/apphelpdesk/ui/requests/14047000006706314/details" TargetMode="External"/><Relationship Id="rId3161" Type="http://schemas.openxmlformats.org/officeDocument/2006/relationships/hyperlink" Target="https://ncgtc.sdpondemand.manageengine.in/app/apphelpdesk/ui/requests/14047000006706272/details" TargetMode="External"/><Relationship Id="rId3160" Type="http://schemas.openxmlformats.org/officeDocument/2006/relationships/hyperlink" Target="https://ncgtc.sdpondemand.manageengine.in/app/apphelpdesk/ui/requests/14047000006706134/details" TargetMode="External"/><Relationship Id="rId316" Type="http://schemas.openxmlformats.org/officeDocument/2006/relationships/hyperlink" Target="https://ncgtc.sdpondemand.manageengine.in/app/apphelpdesk/ui/requests/14047000005936692/details" TargetMode="External"/><Relationship Id="rId3159" Type="http://schemas.openxmlformats.org/officeDocument/2006/relationships/hyperlink" Target="https://ncgtc.sdpondemand.manageengine.in/app/apphelpdesk/ui/requests/14047000006706117/details" TargetMode="External"/><Relationship Id="rId3158" Type="http://schemas.openxmlformats.org/officeDocument/2006/relationships/hyperlink" Target="https://ncgtc.sdpondemand.manageengine.in/app/apphelpdesk/ui/requests/14047000006706101/details" TargetMode="External"/><Relationship Id="rId3157" Type="http://schemas.openxmlformats.org/officeDocument/2006/relationships/hyperlink" Target="https://ncgtc.sdpondemand.manageengine.in/app/apphelpdesk/ui/requests/14047000006706092/details" TargetMode="External"/><Relationship Id="rId3156" Type="http://schemas.openxmlformats.org/officeDocument/2006/relationships/hyperlink" Target="https://ncgtc.sdpondemand.manageengine.in/app/apphelpdesk/ui/requests/14047000006706064/details" TargetMode="External"/><Relationship Id="rId3155" Type="http://schemas.openxmlformats.org/officeDocument/2006/relationships/hyperlink" Target="https://ncgtc.sdpondemand.manageengine.in/app/apphelpdesk/ui/requests/14047000006706035/details" TargetMode="External"/><Relationship Id="rId3154" Type="http://schemas.openxmlformats.org/officeDocument/2006/relationships/hyperlink" Target="https://ncgtc.sdpondemand.manageengine.in/app/apphelpdesk/ui/requests/14047000006706019/details" TargetMode="External"/><Relationship Id="rId3153" Type="http://schemas.openxmlformats.org/officeDocument/2006/relationships/hyperlink" Target="https://ncgtc.sdpondemand.manageengine.in/app/apphelpdesk/ui/requests/14047000006684956/details" TargetMode="External"/><Relationship Id="rId3152" Type="http://schemas.openxmlformats.org/officeDocument/2006/relationships/hyperlink" Target="https://ncgtc.sdpondemand.manageengine.in/app/apphelpdesk/ui/requests/14047000006684929/details" TargetMode="External"/><Relationship Id="rId3151" Type="http://schemas.openxmlformats.org/officeDocument/2006/relationships/hyperlink" Target="https://ncgtc.sdpondemand.manageengine.in/app/apphelpdesk/ui/requests/14047000006684920/details" TargetMode="External"/><Relationship Id="rId3150" Type="http://schemas.openxmlformats.org/officeDocument/2006/relationships/hyperlink" Target="https://ncgtc.sdpondemand.manageengine.in/app/apphelpdesk/ui/requests/14047000006684911/details" TargetMode="External"/><Relationship Id="rId315" Type="http://schemas.openxmlformats.org/officeDocument/2006/relationships/hyperlink" Target="https://ncgtc.sdpondemand.manageengine.in/app/apphelpdesk/ui/requests/14047000005936683/details" TargetMode="External"/><Relationship Id="rId3149" Type="http://schemas.openxmlformats.org/officeDocument/2006/relationships/hyperlink" Target="https://ncgtc.sdpondemand.manageengine.in/app/apphelpdesk/ui/requests/14047000006684873/details" TargetMode="External"/><Relationship Id="rId3148" Type="http://schemas.openxmlformats.org/officeDocument/2006/relationships/hyperlink" Target="https://ncgtc.sdpondemand.manageengine.in/app/apphelpdesk/ui/requests/14047000006684820/details" TargetMode="External"/><Relationship Id="rId3147" Type="http://schemas.openxmlformats.org/officeDocument/2006/relationships/hyperlink" Target="https://ncgtc.sdpondemand.manageengine.in/app/apphelpdesk/ui/requests/14047000006684757/details" TargetMode="External"/><Relationship Id="rId3146" Type="http://schemas.openxmlformats.org/officeDocument/2006/relationships/hyperlink" Target="https://ncgtc.sdpondemand.manageengine.in/app/apphelpdesk/ui/requests/14047000006684708/details" TargetMode="External"/><Relationship Id="rId3145" Type="http://schemas.openxmlformats.org/officeDocument/2006/relationships/hyperlink" Target="https://ncgtc.sdpondemand.manageengine.in/app/apphelpdesk/ui/requests/14047000006684691/details" TargetMode="External"/><Relationship Id="rId3144" Type="http://schemas.openxmlformats.org/officeDocument/2006/relationships/hyperlink" Target="https://ncgtc.sdpondemand.manageengine.in/app/apphelpdesk/ui/requests/14047000006684550/details" TargetMode="External"/><Relationship Id="rId3143" Type="http://schemas.openxmlformats.org/officeDocument/2006/relationships/hyperlink" Target="https://ncgtc.sdpondemand.manageengine.in/app/apphelpdesk/ui/requests/14047000006684494/details" TargetMode="External"/><Relationship Id="rId3142" Type="http://schemas.openxmlformats.org/officeDocument/2006/relationships/hyperlink" Target="https://ncgtc.sdpondemand.manageengine.in/app/apphelpdesk/ui/requests/14047000006684260/details" TargetMode="External"/><Relationship Id="rId3141" Type="http://schemas.openxmlformats.org/officeDocument/2006/relationships/hyperlink" Target="https://ncgtc.sdpondemand.manageengine.in/app/apphelpdesk/ui/requests/14047000006684242/details" TargetMode="External"/><Relationship Id="rId3140" Type="http://schemas.openxmlformats.org/officeDocument/2006/relationships/hyperlink" Target="https://ncgtc.sdpondemand.manageengine.in/app/apphelpdesk/ui/requests/14047000006684053/details" TargetMode="External"/><Relationship Id="rId314" Type="http://schemas.openxmlformats.org/officeDocument/2006/relationships/hyperlink" Target="https://ncgtc.sdpondemand.manageengine.in/app/apphelpdesk/ui/requests/14047000005936651/details" TargetMode="External"/><Relationship Id="rId3139" Type="http://schemas.openxmlformats.org/officeDocument/2006/relationships/hyperlink" Target="https://ncgtc.sdpondemand.manageengine.in/app/apphelpdesk/ui/requests/14047000006684024/details" TargetMode="External"/><Relationship Id="rId3138" Type="http://schemas.openxmlformats.org/officeDocument/2006/relationships/hyperlink" Target="https://ncgtc.sdpondemand.manageengine.in/app/apphelpdesk/ui/requests/14047000006678553/details" TargetMode="External"/><Relationship Id="rId3137" Type="http://schemas.openxmlformats.org/officeDocument/2006/relationships/hyperlink" Target="https://ncgtc.sdpondemand.manageengine.in/app/apphelpdesk/ui/requests/14047000006678536/details" TargetMode="External"/><Relationship Id="rId3136" Type="http://schemas.openxmlformats.org/officeDocument/2006/relationships/hyperlink" Target="https://ncgtc.sdpondemand.manageengine.in/app/apphelpdesk/ui/requests/14047000006678527/details" TargetMode="External"/><Relationship Id="rId3135" Type="http://schemas.openxmlformats.org/officeDocument/2006/relationships/hyperlink" Target="https://ncgtc.sdpondemand.manageengine.in/app/apphelpdesk/ui/requests/14047000006678496/details" TargetMode="External"/><Relationship Id="rId3134" Type="http://schemas.openxmlformats.org/officeDocument/2006/relationships/hyperlink" Target="https://ncgtc.sdpondemand.manageengine.in/app/apphelpdesk/ui/requests/14047000006678448/details" TargetMode="External"/><Relationship Id="rId3133" Type="http://schemas.openxmlformats.org/officeDocument/2006/relationships/hyperlink" Target="https://ncgtc.sdpondemand.manageengine.in/app/apphelpdesk/ui/requests/14047000006678341/details" TargetMode="External"/><Relationship Id="rId3132" Type="http://schemas.openxmlformats.org/officeDocument/2006/relationships/hyperlink" Target="https://ncgtc.sdpondemand.manageengine.in/app/apphelpdesk/ui/requests/14047000006678300/details" TargetMode="External"/><Relationship Id="rId3131" Type="http://schemas.openxmlformats.org/officeDocument/2006/relationships/hyperlink" Target="https://ncgtc.sdpondemand.manageengine.in/app/apphelpdesk/ui/requests/14047000006678211/details" TargetMode="External"/><Relationship Id="rId3130" Type="http://schemas.openxmlformats.org/officeDocument/2006/relationships/hyperlink" Target="https://ncgtc.sdpondemand.manageengine.in/app/apphelpdesk/ui/requests/14047000006678196/details" TargetMode="External"/><Relationship Id="rId313" Type="http://schemas.openxmlformats.org/officeDocument/2006/relationships/hyperlink" Target="https://ncgtc.sdpondemand.manageengine.in/app/apphelpdesk/ui/requests/14047000005936615/details" TargetMode="External"/><Relationship Id="rId3129" Type="http://schemas.openxmlformats.org/officeDocument/2006/relationships/hyperlink" Target="https://ncgtc.sdpondemand.manageengine.in/app/apphelpdesk/ui/requests/14047000006678163/details" TargetMode="External"/><Relationship Id="rId3128" Type="http://schemas.openxmlformats.org/officeDocument/2006/relationships/hyperlink" Target="https://ncgtc.sdpondemand.manageengine.in/app/apphelpdesk/ui/requests/14047000006678060/details" TargetMode="External"/><Relationship Id="rId3127" Type="http://schemas.openxmlformats.org/officeDocument/2006/relationships/hyperlink" Target="https://ncgtc.sdpondemand.manageengine.in/app/apphelpdesk/ui/requests/14047000006678046/details" TargetMode="External"/><Relationship Id="rId3126" Type="http://schemas.openxmlformats.org/officeDocument/2006/relationships/hyperlink" Target="https://ncgtc.sdpondemand.manageengine.in/app/apphelpdesk/ui/requests/14047000006663970/details" TargetMode="External"/><Relationship Id="rId3125" Type="http://schemas.openxmlformats.org/officeDocument/2006/relationships/hyperlink" Target="https://ncgtc.sdpondemand.manageengine.in/app/apphelpdesk/ui/requests/14047000006663928/details" TargetMode="External"/><Relationship Id="rId3124" Type="http://schemas.openxmlformats.org/officeDocument/2006/relationships/hyperlink" Target="https://ncgtc.sdpondemand.manageengine.in/app/apphelpdesk/ui/requests/14047000006663898/details" TargetMode="External"/><Relationship Id="rId3123" Type="http://schemas.openxmlformats.org/officeDocument/2006/relationships/hyperlink" Target="https://ncgtc.sdpondemand.manageengine.in/app/apphelpdesk/ui/requests/14047000006663854/details" TargetMode="External"/><Relationship Id="rId3122" Type="http://schemas.openxmlformats.org/officeDocument/2006/relationships/hyperlink" Target="https://ncgtc.sdpondemand.manageengine.in/app/apphelpdesk/ui/requests/14047000006663845/details" TargetMode="External"/><Relationship Id="rId3121" Type="http://schemas.openxmlformats.org/officeDocument/2006/relationships/hyperlink" Target="https://ncgtc.sdpondemand.manageengine.in/app/apphelpdesk/ui/requests/14047000006663787/details" TargetMode="External"/><Relationship Id="rId3120" Type="http://schemas.openxmlformats.org/officeDocument/2006/relationships/hyperlink" Target="https://ncgtc.sdpondemand.manageengine.in/app/apphelpdesk/ui/requests/14047000006663762/details" TargetMode="External"/><Relationship Id="rId312" Type="http://schemas.openxmlformats.org/officeDocument/2006/relationships/hyperlink" Target="https://ncgtc.sdpondemand.manageengine.in/app/apphelpdesk/ui/requests/14047000005936586/details" TargetMode="External"/><Relationship Id="rId3119" Type="http://schemas.openxmlformats.org/officeDocument/2006/relationships/hyperlink" Target="https://ncgtc.sdpondemand.manageengine.in/app/apphelpdesk/ui/requests/14047000006663741/details" TargetMode="External"/><Relationship Id="rId3118" Type="http://schemas.openxmlformats.org/officeDocument/2006/relationships/hyperlink" Target="https://ncgtc.sdpondemand.manageengine.in/app/apphelpdesk/ui/requests/14047000006663684/details" TargetMode="External"/><Relationship Id="rId3117" Type="http://schemas.openxmlformats.org/officeDocument/2006/relationships/hyperlink" Target="https://ncgtc.sdpondemand.manageengine.in/app/apphelpdesk/ui/requests/14047000006663611/details" TargetMode="External"/><Relationship Id="rId3116" Type="http://schemas.openxmlformats.org/officeDocument/2006/relationships/hyperlink" Target="https://ncgtc.sdpondemand.manageengine.in/app/apphelpdesk/ui/requests/14047000006663578/details" TargetMode="External"/><Relationship Id="rId3115" Type="http://schemas.openxmlformats.org/officeDocument/2006/relationships/hyperlink" Target="https://ncgtc.sdpondemand.manageengine.in/app/apphelpdesk/ui/requests/14047000006663539/details" TargetMode="External"/><Relationship Id="rId3114" Type="http://schemas.openxmlformats.org/officeDocument/2006/relationships/hyperlink" Target="https://ncgtc.sdpondemand.manageengine.in/app/apphelpdesk/ui/requests/14047000006663477/details" TargetMode="External"/><Relationship Id="rId3113" Type="http://schemas.openxmlformats.org/officeDocument/2006/relationships/hyperlink" Target="https://ncgtc.sdpondemand.manageengine.in/app/apphelpdesk/ui/requests/14047000006663428/details" TargetMode="External"/><Relationship Id="rId3112" Type="http://schemas.openxmlformats.org/officeDocument/2006/relationships/hyperlink" Target="https://ncgtc.sdpondemand.manageengine.in/app/apphelpdesk/ui/requests/14047000006663414/details" TargetMode="External"/><Relationship Id="rId3111" Type="http://schemas.openxmlformats.org/officeDocument/2006/relationships/hyperlink" Target="https://ncgtc.sdpondemand.manageengine.in/app/apphelpdesk/ui/requests/14047000006663405/details" TargetMode="External"/><Relationship Id="rId3110" Type="http://schemas.openxmlformats.org/officeDocument/2006/relationships/hyperlink" Target="https://ncgtc.sdpondemand.manageengine.in/app/apphelpdesk/ui/requests/14047000006663329/details" TargetMode="External"/><Relationship Id="rId311" Type="http://schemas.openxmlformats.org/officeDocument/2006/relationships/hyperlink" Target="https://ncgtc.sdpondemand.manageengine.in/app/apphelpdesk/ui/requests/14047000005936565/details" TargetMode="External"/><Relationship Id="rId3109" Type="http://schemas.openxmlformats.org/officeDocument/2006/relationships/hyperlink" Target="https://ncgtc.sdpondemand.manageengine.in/app/apphelpdesk/ui/requests/14047000006663260/details" TargetMode="External"/><Relationship Id="rId3108" Type="http://schemas.openxmlformats.org/officeDocument/2006/relationships/hyperlink" Target="https://ncgtc.sdpondemand.manageengine.in/app/apphelpdesk/ui/requests/14047000006663236/details" TargetMode="External"/><Relationship Id="rId3107" Type="http://schemas.openxmlformats.org/officeDocument/2006/relationships/hyperlink" Target="https://ncgtc.sdpondemand.manageengine.in/app/apphelpdesk/ui/requests/14047000006663225/details" TargetMode="External"/><Relationship Id="rId3106" Type="http://schemas.openxmlformats.org/officeDocument/2006/relationships/hyperlink" Target="https://ncgtc.sdpondemand.manageengine.in/app/apphelpdesk/ui/requests/14047000006663180/details" TargetMode="External"/><Relationship Id="rId3105" Type="http://schemas.openxmlformats.org/officeDocument/2006/relationships/hyperlink" Target="https://ncgtc.sdpondemand.manageengine.in/app/apphelpdesk/ui/requests/14047000006663141/details" TargetMode="External"/><Relationship Id="rId3104" Type="http://schemas.openxmlformats.org/officeDocument/2006/relationships/hyperlink" Target="https://ncgtc.sdpondemand.manageengine.in/app/apphelpdesk/ui/requests/14047000006663126/details" TargetMode="External"/><Relationship Id="rId3103" Type="http://schemas.openxmlformats.org/officeDocument/2006/relationships/hyperlink" Target="https://ncgtc.sdpondemand.manageengine.in/app/apphelpdesk/ui/requests/14047000006663109/details" TargetMode="External"/><Relationship Id="rId3102" Type="http://schemas.openxmlformats.org/officeDocument/2006/relationships/hyperlink" Target="https://ncgtc.sdpondemand.manageengine.in/app/apphelpdesk/ui/requests/14047000006663079/details" TargetMode="External"/><Relationship Id="rId3101" Type="http://schemas.openxmlformats.org/officeDocument/2006/relationships/hyperlink" Target="https://ncgtc.sdpondemand.manageengine.in/app/apphelpdesk/ui/requests/14047000006663064/details" TargetMode="External"/><Relationship Id="rId3100" Type="http://schemas.openxmlformats.org/officeDocument/2006/relationships/hyperlink" Target="https://ncgtc.sdpondemand.manageengine.in/app/apphelpdesk/ui/requests/14047000006663005/details" TargetMode="External"/><Relationship Id="rId310" Type="http://schemas.openxmlformats.org/officeDocument/2006/relationships/hyperlink" Target="https://ncgtc.sdpondemand.manageengine.in/app/apphelpdesk/ui/requests/14047000005936552/details" TargetMode="External"/><Relationship Id="rId31" Type="http://schemas.openxmlformats.org/officeDocument/2006/relationships/hyperlink" Target="https://ncgtc.sdpondemand.manageengine.in/app/apphelpdesk/ui/requests/14047000005854823/details" TargetMode="External"/><Relationship Id="rId3099" Type="http://schemas.openxmlformats.org/officeDocument/2006/relationships/hyperlink" Target="https://ncgtc.sdpondemand.manageengine.in/app/apphelpdesk/ui/requests/14047000006649528/details" TargetMode="External"/><Relationship Id="rId3098" Type="http://schemas.openxmlformats.org/officeDocument/2006/relationships/hyperlink" Target="https://ncgtc.sdpondemand.manageengine.in/app/apphelpdesk/ui/requests/14047000006649503/details" TargetMode="External"/><Relationship Id="rId3097" Type="http://schemas.openxmlformats.org/officeDocument/2006/relationships/hyperlink" Target="https://ncgtc.sdpondemand.manageengine.in/app/apphelpdesk/ui/requests/14047000006649483/details" TargetMode="External"/><Relationship Id="rId3096" Type="http://schemas.openxmlformats.org/officeDocument/2006/relationships/hyperlink" Target="https://ncgtc.sdpondemand.manageengine.in/app/apphelpdesk/ui/requests/14047000006649466/details" TargetMode="External"/><Relationship Id="rId3095" Type="http://schemas.openxmlformats.org/officeDocument/2006/relationships/hyperlink" Target="https://ncgtc.sdpondemand.manageengine.in/app/apphelpdesk/ui/requests/14047000006649433/details" TargetMode="External"/><Relationship Id="rId3094" Type="http://schemas.openxmlformats.org/officeDocument/2006/relationships/hyperlink" Target="https://ncgtc.sdpondemand.manageengine.in/app/apphelpdesk/ui/requests/14047000006649418/details" TargetMode="External"/><Relationship Id="rId3093" Type="http://schemas.openxmlformats.org/officeDocument/2006/relationships/hyperlink" Target="https://ncgtc.sdpondemand.manageengine.in/app/apphelpdesk/ui/requests/14047000006649375/details" TargetMode="External"/><Relationship Id="rId3092" Type="http://schemas.openxmlformats.org/officeDocument/2006/relationships/hyperlink" Target="https://ncgtc.sdpondemand.manageengine.in/app/apphelpdesk/ui/requests/14047000006649309/details" TargetMode="External"/><Relationship Id="rId3091" Type="http://schemas.openxmlformats.org/officeDocument/2006/relationships/hyperlink" Target="https://ncgtc.sdpondemand.manageengine.in/app/apphelpdesk/ui/requests/14047000006649281/details" TargetMode="External"/><Relationship Id="rId3090" Type="http://schemas.openxmlformats.org/officeDocument/2006/relationships/hyperlink" Target="https://ncgtc.sdpondemand.manageengine.in/app/apphelpdesk/ui/requests/14047000006649273/details" TargetMode="External"/><Relationship Id="rId309" Type="http://schemas.openxmlformats.org/officeDocument/2006/relationships/hyperlink" Target="https://ncgtc.sdpondemand.manageengine.in/app/apphelpdesk/ui/requests/14047000005936509/details" TargetMode="External"/><Relationship Id="rId3089" Type="http://schemas.openxmlformats.org/officeDocument/2006/relationships/hyperlink" Target="https://ncgtc.sdpondemand.manageengine.in/app/apphelpdesk/ui/requests/14047000006649264/details" TargetMode="External"/><Relationship Id="rId3088" Type="http://schemas.openxmlformats.org/officeDocument/2006/relationships/hyperlink" Target="https://ncgtc.sdpondemand.manageengine.in/app/apphelpdesk/ui/requests/14047000006649251/details" TargetMode="External"/><Relationship Id="rId3087" Type="http://schemas.openxmlformats.org/officeDocument/2006/relationships/hyperlink" Target="https://ncgtc.sdpondemand.manageengine.in/app/apphelpdesk/ui/requests/14047000006649210/details" TargetMode="External"/><Relationship Id="rId3086" Type="http://schemas.openxmlformats.org/officeDocument/2006/relationships/hyperlink" Target="https://ncgtc.sdpondemand.manageengine.in/app/apphelpdesk/ui/requests/14047000006649125/details" TargetMode="External"/><Relationship Id="rId3085" Type="http://schemas.openxmlformats.org/officeDocument/2006/relationships/hyperlink" Target="https://ncgtc.sdpondemand.manageengine.in/app/apphelpdesk/ui/requests/14047000006649098/details" TargetMode="External"/><Relationship Id="rId3084" Type="http://schemas.openxmlformats.org/officeDocument/2006/relationships/hyperlink" Target="https://ncgtc.sdpondemand.manageengine.in/app/apphelpdesk/ui/requests/14047000006649073/details" TargetMode="External"/><Relationship Id="rId3083" Type="http://schemas.openxmlformats.org/officeDocument/2006/relationships/hyperlink" Target="https://ncgtc.sdpondemand.manageengine.in/app/apphelpdesk/ui/requests/14047000006649065/details" TargetMode="External"/><Relationship Id="rId3082" Type="http://schemas.openxmlformats.org/officeDocument/2006/relationships/hyperlink" Target="https://ncgtc.sdpondemand.manageengine.in/app/apphelpdesk/ui/requests/14047000006648275/details" TargetMode="External"/><Relationship Id="rId3081" Type="http://schemas.openxmlformats.org/officeDocument/2006/relationships/hyperlink" Target="https://ncgtc.sdpondemand.manageengine.in/app/apphelpdesk/ui/requests/14047000006648260/details" TargetMode="External"/><Relationship Id="rId3080" Type="http://schemas.openxmlformats.org/officeDocument/2006/relationships/hyperlink" Target="https://ncgtc.sdpondemand.manageengine.in/app/apphelpdesk/ui/requests/14047000006648233/details" TargetMode="External"/><Relationship Id="rId308" Type="http://schemas.openxmlformats.org/officeDocument/2006/relationships/hyperlink" Target="https://ncgtc.sdpondemand.manageengine.in/app/apphelpdesk/ui/requests/14047000005936500/details" TargetMode="External"/><Relationship Id="rId3079" Type="http://schemas.openxmlformats.org/officeDocument/2006/relationships/hyperlink" Target="https://ncgtc.sdpondemand.manageengine.in/app/apphelpdesk/ui/requests/14047000006648224/details" TargetMode="External"/><Relationship Id="rId3078" Type="http://schemas.openxmlformats.org/officeDocument/2006/relationships/hyperlink" Target="https://ncgtc.sdpondemand.manageengine.in/app/apphelpdesk/ui/requests/14047000006648183/details" TargetMode="External"/><Relationship Id="rId3077" Type="http://schemas.openxmlformats.org/officeDocument/2006/relationships/hyperlink" Target="https://ncgtc.sdpondemand.manageengine.in/app/apphelpdesk/ui/requests/14047000006648144/details" TargetMode="External"/><Relationship Id="rId3076" Type="http://schemas.openxmlformats.org/officeDocument/2006/relationships/hyperlink" Target="https://ncgtc.sdpondemand.manageengine.in/app/apphelpdesk/ui/requests/14047000006648129/details" TargetMode="External"/><Relationship Id="rId3075" Type="http://schemas.openxmlformats.org/officeDocument/2006/relationships/hyperlink" Target="https://ncgtc.sdpondemand.manageengine.in/app/apphelpdesk/ui/requests/14047000006648082/details" TargetMode="External"/><Relationship Id="rId3074" Type="http://schemas.openxmlformats.org/officeDocument/2006/relationships/hyperlink" Target="https://ncgtc.sdpondemand.manageengine.in/app/apphelpdesk/ui/requests/14047000006648024/details" TargetMode="External"/><Relationship Id="rId3073" Type="http://schemas.openxmlformats.org/officeDocument/2006/relationships/hyperlink" Target="https://ncgtc.sdpondemand.manageengine.in/app/apphelpdesk/ui/requests/14047000006634997/details" TargetMode="External"/><Relationship Id="rId3072" Type="http://schemas.openxmlformats.org/officeDocument/2006/relationships/hyperlink" Target="https://ncgtc.sdpondemand.manageengine.in/app/apphelpdesk/ui/requests/14047000006634966/details" TargetMode="External"/><Relationship Id="rId3071" Type="http://schemas.openxmlformats.org/officeDocument/2006/relationships/hyperlink" Target="https://ncgtc.sdpondemand.manageengine.in/app/apphelpdesk/ui/requests/14047000006634921/details" TargetMode="External"/><Relationship Id="rId3070" Type="http://schemas.openxmlformats.org/officeDocument/2006/relationships/hyperlink" Target="https://ncgtc.sdpondemand.manageengine.in/app/apphelpdesk/ui/requests/14047000006634912/details" TargetMode="External"/><Relationship Id="rId307" Type="http://schemas.openxmlformats.org/officeDocument/2006/relationships/hyperlink" Target="https://ncgtc.sdpondemand.manageengine.in/app/apphelpdesk/ui/requests/14047000005936395/details" TargetMode="External"/><Relationship Id="rId3069" Type="http://schemas.openxmlformats.org/officeDocument/2006/relationships/hyperlink" Target="https://ncgtc.sdpondemand.manageengine.in/app/apphelpdesk/ui/requests/14047000006634863/details" TargetMode="External"/><Relationship Id="rId3068" Type="http://schemas.openxmlformats.org/officeDocument/2006/relationships/hyperlink" Target="https://ncgtc.sdpondemand.manageengine.in/app/apphelpdesk/ui/requests/14047000006634853/details" TargetMode="External"/><Relationship Id="rId3067" Type="http://schemas.openxmlformats.org/officeDocument/2006/relationships/hyperlink" Target="https://ncgtc.sdpondemand.manageengine.in/app/apphelpdesk/ui/requests/14047000006634839/details" TargetMode="External"/><Relationship Id="rId3066" Type="http://schemas.openxmlformats.org/officeDocument/2006/relationships/hyperlink" Target="https://ncgtc.sdpondemand.manageengine.in/app/apphelpdesk/ui/requests/14047000006634781/details" TargetMode="External"/><Relationship Id="rId3065" Type="http://schemas.openxmlformats.org/officeDocument/2006/relationships/hyperlink" Target="https://ncgtc.sdpondemand.manageengine.in/app/apphelpdesk/ui/requests/14047000006634742/details" TargetMode="External"/><Relationship Id="rId3064" Type="http://schemas.openxmlformats.org/officeDocument/2006/relationships/hyperlink" Target="https://ncgtc.sdpondemand.manageengine.in/app/apphelpdesk/ui/requests/14047000006634719/details" TargetMode="External"/><Relationship Id="rId3063" Type="http://schemas.openxmlformats.org/officeDocument/2006/relationships/hyperlink" Target="https://ncgtc.sdpondemand.manageengine.in/app/apphelpdesk/ui/requests/14047000006634680/details" TargetMode="External"/><Relationship Id="rId3062" Type="http://schemas.openxmlformats.org/officeDocument/2006/relationships/hyperlink" Target="https://ncgtc.sdpondemand.manageengine.in/app/apphelpdesk/ui/requests/14047000006634641/details" TargetMode="External"/><Relationship Id="rId3061" Type="http://schemas.openxmlformats.org/officeDocument/2006/relationships/hyperlink" Target="https://ncgtc.sdpondemand.manageengine.in/app/apphelpdesk/ui/requests/14047000006634626/details" TargetMode="External"/><Relationship Id="rId3060" Type="http://schemas.openxmlformats.org/officeDocument/2006/relationships/hyperlink" Target="https://ncgtc.sdpondemand.manageengine.in/app/apphelpdesk/ui/requests/14047000006634606/details" TargetMode="External"/><Relationship Id="rId306" Type="http://schemas.openxmlformats.org/officeDocument/2006/relationships/hyperlink" Target="https://ncgtc.sdpondemand.manageengine.in/app/apphelpdesk/ui/requests/14047000005936380/details" TargetMode="External"/><Relationship Id="rId3059" Type="http://schemas.openxmlformats.org/officeDocument/2006/relationships/hyperlink" Target="https://ncgtc.sdpondemand.manageengine.in/app/apphelpdesk/ui/requests/14047000006634564/details" TargetMode="External"/><Relationship Id="rId3058" Type="http://schemas.openxmlformats.org/officeDocument/2006/relationships/hyperlink" Target="https://ncgtc.sdpondemand.manageengine.in/app/apphelpdesk/ui/requests/14047000006634506/details" TargetMode="External"/><Relationship Id="rId3057" Type="http://schemas.openxmlformats.org/officeDocument/2006/relationships/hyperlink" Target="https://ncgtc.sdpondemand.manageengine.in/app/apphelpdesk/ui/requests/14047000006634466/details" TargetMode="External"/><Relationship Id="rId3056" Type="http://schemas.openxmlformats.org/officeDocument/2006/relationships/hyperlink" Target="https://ncgtc.sdpondemand.manageengine.in/app/apphelpdesk/ui/requests/14047000006634449/details" TargetMode="External"/><Relationship Id="rId3055" Type="http://schemas.openxmlformats.org/officeDocument/2006/relationships/hyperlink" Target="https://ncgtc.sdpondemand.manageengine.in/app/apphelpdesk/ui/requests/14047000006634419/details" TargetMode="External"/><Relationship Id="rId3054" Type="http://schemas.openxmlformats.org/officeDocument/2006/relationships/hyperlink" Target="https://ncgtc.sdpondemand.manageengine.in/app/apphelpdesk/ui/requests/14047000006634276/details" TargetMode="External"/><Relationship Id="rId3053" Type="http://schemas.openxmlformats.org/officeDocument/2006/relationships/hyperlink" Target="https://ncgtc.sdpondemand.manageengine.in/app/apphelpdesk/ui/requests/14047000006634229/details" TargetMode="External"/><Relationship Id="rId3052" Type="http://schemas.openxmlformats.org/officeDocument/2006/relationships/hyperlink" Target="https://ncgtc.sdpondemand.manageengine.in/app/apphelpdesk/ui/requests/14047000006634211/details" TargetMode="External"/><Relationship Id="rId3051" Type="http://schemas.openxmlformats.org/officeDocument/2006/relationships/hyperlink" Target="https://ncgtc.sdpondemand.manageengine.in/app/apphelpdesk/ui/requests/14047000006634183/details" TargetMode="External"/><Relationship Id="rId3050" Type="http://schemas.openxmlformats.org/officeDocument/2006/relationships/hyperlink" Target="https://ncgtc.sdpondemand.manageengine.in/app/apphelpdesk/ui/requests/14047000006634061/details" TargetMode="External"/><Relationship Id="rId305" Type="http://schemas.openxmlformats.org/officeDocument/2006/relationships/hyperlink" Target="https://ncgtc.sdpondemand.manageengine.in/app/apphelpdesk/ui/requests/14047000005936326/details" TargetMode="External"/><Relationship Id="rId3049" Type="http://schemas.openxmlformats.org/officeDocument/2006/relationships/hyperlink" Target="https://ncgtc.sdpondemand.manageengine.in/app/apphelpdesk/ui/requests/14047000006634036/details" TargetMode="External"/><Relationship Id="rId3048" Type="http://schemas.openxmlformats.org/officeDocument/2006/relationships/hyperlink" Target="https://ncgtc.sdpondemand.manageengine.in/app/apphelpdesk/ui/requests/14047000006634028/details" TargetMode="External"/><Relationship Id="rId3047" Type="http://schemas.openxmlformats.org/officeDocument/2006/relationships/hyperlink" Target="https://ncgtc.sdpondemand.manageengine.in/app/apphelpdesk/ui/requests/14047000006634010/details" TargetMode="External"/><Relationship Id="rId3046" Type="http://schemas.openxmlformats.org/officeDocument/2006/relationships/hyperlink" Target="https://ncgtc.sdpondemand.manageengine.in/app/apphelpdesk/ui/requests/14047000006634001/details" TargetMode="External"/><Relationship Id="rId3045" Type="http://schemas.openxmlformats.org/officeDocument/2006/relationships/hyperlink" Target="https://ncgtc.sdpondemand.manageengine.in/app/apphelpdesk/ui/requests/14047000006624581/details" TargetMode="External"/><Relationship Id="rId3044" Type="http://schemas.openxmlformats.org/officeDocument/2006/relationships/hyperlink" Target="https://ncgtc.sdpondemand.manageengine.in/app/apphelpdesk/ui/requests/14047000006624568/details" TargetMode="External"/><Relationship Id="rId3043" Type="http://schemas.openxmlformats.org/officeDocument/2006/relationships/hyperlink" Target="https://ncgtc.sdpondemand.manageengine.in/app/apphelpdesk/ui/requests/14047000006624556/details" TargetMode="External"/><Relationship Id="rId3042" Type="http://schemas.openxmlformats.org/officeDocument/2006/relationships/hyperlink" Target="https://ncgtc.sdpondemand.manageengine.in/app/apphelpdesk/ui/requests/14047000006624543/details" TargetMode="External"/><Relationship Id="rId3041" Type="http://schemas.openxmlformats.org/officeDocument/2006/relationships/hyperlink" Target="https://ncgtc.sdpondemand.manageengine.in/app/apphelpdesk/ui/requests/14047000006624533/details" TargetMode="External"/><Relationship Id="rId3040" Type="http://schemas.openxmlformats.org/officeDocument/2006/relationships/hyperlink" Target="https://ncgtc.sdpondemand.manageengine.in/app/apphelpdesk/ui/requests/14047000006624525/details" TargetMode="External"/><Relationship Id="rId304" Type="http://schemas.openxmlformats.org/officeDocument/2006/relationships/hyperlink" Target="https://ncgtc.sdpondemand.manageengine.in/app/apphelpdesk/ui/requests/14047000005936312/details" TargetMode="External"/><Relationship Id="rId3039" Type="http://schemas.openxmlformats.org/officeDocument/2006/relationships/hyperlink" Target="https://ncgtc.sdpondemand.manageengine.in/app/apphelpdesk/ui/requests/14047000006624509/details" TargetMode="External"/><Relationship Id="rId3038" Type="http://schemas.openxmlformats.org/officeDocument/2006/relationships/hyperlink" Target="https://ncgtc.sdpondemand.manageengine.in/app/apphelpdesk/ui/requests/14047000006624478/details" TargetMode="External"/><Relationship Id="rId3037" Type="http://schemas.openxmlformats.org/officeDocument/2006/relationships/hyperlink" Target="https://ncgtc.sdpondemand.manageengine.in/app/apphelpdesk/ui/requests/14047000006624442/details" TargetMode="External"/><Relationship Id="rId3036" Type="http://schemas.openxmlformats.org/officeDocument/2006/relationships/hyperlink" Target="https://ncgtc.sdpondemand.manageengine.in/app/apphelpdesk/ui/requests/14047000006624423/details" TargetMode="External"/><Relationship Id="rId3035" Type="http://schemas.openxmlformats.org/officeDocument/2006/relationships/hyperlink" Target="https://ncgtc.sdpondemand.manageengine.in/app/apphelpdesk/ui/requests/14047000006624414/details" TargetMode="External"/><Relationship Id="rId3034" Type="http://schemas.openxmlformats.org/officeDocument/2006/relationships/hyperlink" Target="https://ncgtc.sdpondemand.manageengine.in/app/apphelpdesk/ui/requests/14047000006624344/details" TargetMode="External"/><Relationship Id="rId3033" Type="http://schemas.openxmlformats.org/officeDocument/2006/relationships/hyperlink" Target="https://ncgtc.sdpondemand.manageengine.in/app/apphelpdesk/ui/requests/14047000006624316/details" TargetMode="External"/><Relationship Id="rId3032" Type="http://schemas.openxmlformats.org/officeDocument/2006/relationships/hyperlink" Target="https://ncgtc.sdpondemand.manageengine.in/app/apphelpdesk/ui/requests/14047000006624302/details" TargetMode="External"/><Relationship Id="rId3031" Type="http://schemas.openxmlformats.org/officeDocument/2006/relationships/hyperlink" Target="https://ncgtc.sdpondemand.manageengine.in/app/apphelpdesk/ui/requests/14047000006624184/details" TargetMode="External"/><Relationship Id="rId3030" Type="http://schemas.openxmlformats.org/officeDocument/2006/relationships/hyperlink" Target="https://ncgtc.sdpondemand.manageengine.in/app/apphelpdesk/ui/requests/14047000006624157/details" TargetMode="External"/><Relationship Id="rId303" Type="http://schemas.openxmlformats.org/officeDocument/2006/relationships/hyperlink" Target="https://ncgtc.sdpondemand.manageengine.in/app/apphelpdesk/ui/requests/14047000005936283/details" TargetMode="External"/><Relationship Id="rId3029" Type="http://schemas.openxmlformats.org/officeDocument/2006/relationships/hyperlink" Target="https://ncgtc.sdpondemand.manageengine.in/app/apphelpdesk/ui/requests/14047000006624136/details" TargetMode="External"/><Relationship Id="rId3028" Type="http://schemas.openxmlformats.org/officeDocument/2006/relationships/hyperlink" Target="https://ncgtc.sdpondemand.manageengine.in/app/apphelpdesk/ui/requests/14047000006624103/details" TargetMode="External"/><Relationship Id="rId3027" Type="http://schemas.openxmlformats.org/officeDocument/2006/relationships/hyperlink" Target="https://ncgtc.sdpondemand.manageengine.in/app/apphelpdesk/ui/requests/14047000006624083/details" TargetMode="External"/><Relationship Id="rId3026" Type="http://schemas.openxmlformats.org/officeDocument/2006/relationships/hyperlink" Target="https://ncgtc.sdpondemand.manageengine.in/app/apphelpdesk/ui/requests/14047000006624065/details" TargetMode="External"/><Relationship Id="rId3025" Type="http://schemas.openxmlformats.org/officeDocument/2006/relationships/hyperlink" Target="https://ncgtc.sdpondemand.manageengine.in/app/apphelpdesk/ui/requests/14047000006624050/details" TargetMode="External"/><Relationship Id="rId3024" Type="http://schemas.openxmlformats.org/officeDocument/2006/relationships/hyperlink" Target="https://ncgtc.sdpondemand.manageengine.in/app/apphelpdesk/ui/requests/14047000006624037/details" TargetMode="External"/><Relationship Id="rId3023" Type="http://schemas.openxmlformats.org/officeDocument/2006/relationships/hyperlink" Target="https://ncgtc.sdpondemand.manageengine.in/app/apphelpdesk/ui/requests/14047000006624019/details" TargetMode="External"/><Relationship Id="rId3022" Type="http://schemas.openxmlformats.org/officeDocument/2006/relationships/hyperlink" Target="https://ncgtc.sdpondemand.manageengine.in/app/apphelpdesk/ui/requests/14047000006624010/details" TargetMode="External"/><Relationship Id="rId3021" Type="http://schemas.openxmlformats.org/officeDocument/2006/relationships/hyperlink" Target="https://ncgtc.sdpondemand.manageengine.in/app/apphelpdesk/ui/requests/14047000006614862/details" TargetMode="External"/><Relationship Id="rId3020" Type="http://schemas.openxmlformats.org/officeDocument/2006/relationships/hyperlink" Target="https://ncgtc.sdpondemand.manageengine.in/app/apphelpdesk/ui/requests/14047000006614853/details" TargetMode="External"/><Relationship Id="rId302" Type="http://schemas.openxmlformats.org/officeDocument/2006/relationships/hyperlink" Target="https://ncgtc.sdpondemand.manageengine.in/app/apphelpdesk/ui/requests/14047000005936271/details" TargetMode="External"/><Relationship Id="rId3019" Type="http://schemas.openxmlformats.org/officeDocument/2006/relationships/hyperlink" Target="https://ncgtc.sdpondemand.manageengine.in/app/apphelpdesk/ui/requests/14047000006614813/details" TargetMode="External"/><Relationship Id="rId3018" Type="http://schemas.openxmlformats.org/officeDocument/2006/relationships/hyperlink" Target="https://ncgtc.sdpondemand.manageengine.in/app/apphelpdesk/ui/requests/14047000006614787/details" TargetMode="External"/><Relationship Id="rId3017" Type="http://schemas.openxmlformats.org/officeDocument/2006/relationships/hyperlink" Target="https://ncgtc.sdpondemand.manageengine.in/app/apphelpdesk/ui/requests/14047000006614779/details" TargetMode="External"/><Relationship Id="rId3016" Type="http://schemas.openxmlformats.org/officeDocument/2006/relationships/hyperlink" Target="https://ncgtc.sdpondemand.manageengine.in/app/apphelpdesk/ui/requests/14047000006614760/details" TargetMode="External"/><Relationship Id="rId3015" Type="http://schemas.openxmlformats.org/officeDocument/2006/relationships/hyperlink" Target="https://ncgtc.sdpondemand.manageengine.in/app/apphelpdesk/ui/requests/14047000006614731/details" TargetMode="External"/><Relationship Id="rId3014" Type="http://schemas.openxmlformats.org/officeDocument/2006/relationships/hyperlink" Target="https://ncgtc.sdpondemand.manageengine.in/app/apphelpdesk/ui/requests/14047000006614719/details" TargetMode="External"/><Relationship Id="rId3013" Type="http://schemas.openxmlformats.org/officeDocument/2006/relationships/hyperlink" Target="https://ncgtc.sdpondemand.manageengine.in/app/apphelpdesk/ui/requests/14047000006614704/details" TargetMode="External"/><Relationship Id="rId3012" Type="http://schemas.openxmlformats.org/officeDocument/2006/relationships/hyperlink" Target="https://ncgtc.sdpondemand.manageengine.in/app/apphelpdesk/ui/requests/14047000006614638/details" TargetMode="External"/><Relationship Id="rId3011" Type="http://schemas.openxmlformats.org/officeDocument/2006/relationships/hyperlink" Target="https://ncgtc.sdpondemand.manageengine.in/app/apphelpdesk/ui/requests/14047000006614621/details" TargetMode="External"/><Relationship Id="rId3010" Type="http://schemas.openxmlformats.org/officeDocument/2006/relationships/hyperlink" Target="https://ncgtc.sdpondemand.manageengine.in/app/apphelpdesk/ui/requests/14047000006614601/details" TargetMode="External"/><Relationship Id="rId301" Type="http://schemas.openxmlformats.org/officeDocument/2006/relationships/hyperlink" Target="https://ncgtc.sdpondemand.manageengine.in/app/apphelpdesk/ui/requests/14047000005936262/details" TargetMode="External"/><Relationship Id="rId3009" Type="http://schemas.openxmlformats.org/officeDocument/2006/relationships/hyperlink" Target="https://ncgtc.sdpondemand.manageengine.in/app/apphelpdesk/ui/requests/14047000006614539/details" TargetMode="External"/><Relationship Id="rId3008" Type="http://schemas.openxmlformats.org/officeDocument/2006/relationships/hyperlink" Target="https://ncgtc.sdpondemand.manageengine.in/app/apphelpdesk/ui/requests/14047000006614524/details" TargetMode="External"/><Relationship Id="rId3007" Type="http://schemas.openxmlformats.org/officeDocument/2006/relationships/hyperlink" Target="https://ncgtc.sdpondemand.manageengine.in/app/apphelpdesk/ui/requests/14047000006614515/details" TargetMode="External"/><Relationship Id="rId3006" Type="http://schemas.openxmlformats.org/officeDocument/2006/relationships/hyperlink" Target="https://ncgtc.sdpondemand.manageengine.in/app/apphelpdesk/ui/requests/14047000006614485/details" TargetMode="External"/><Relationship Id="rId3005" Type="http://schemas.openxmlformats.org/officeDocument/2006/relationships/hyperlink" Target="https://ncgtc.sdpondemand.manageengine.in/app/apphelpdesk/ui/requests/14047000006614474/details" TargetMode="External"/><Relationship Id="rId3004" Type="http://schemas.openxmlformats.org/officeDocument/2006/relationships/hyperlink" Target="https://ncgtc.sdpondemand.manageengine.in/app/apphelpdesk/ui/requests/14047000006614445/details" TargetMode="External"/><Relationship Id="rId3003" Type="http://schemas.openxmlformats.org/officeDocument/2006/relationships/hyperlink" Target="https://ncgtc.sdpondemand.manageengine.in/app/apphelpdesk/ui/requests/14047000006614383/details" TargetMode="External"/><Relationship Id="rId3002" Type="http://schemas.openxmlformats.org/officeDocument/2006/relationships/hyperlink" Target="https://ncgtc.sdpondemand.manageengine.in/app/apphelpdesk/ui/requests/14047000006614373/details" TargetMode="External"/><Relationship Id="rId3001" Type="http://schemas.openxmlformats.org/officeDocument/2006/relationships/hyperlink" Target="https://ncgtc.sdpondemand.manageengine.in/app/apphelpdesk/ui/requests/14047000006614248/details" TargetMode="External"/><Relationship Id="rId3000" Type="http://schemas.openxmlformats.org/officeDocument/2006/relationships/hyperlink" Target="https://ncgtc.sdpondemand.manageengine.in/app/apphelpdesk/ui/requests/14047000006614135/details" TargetMode="External"/><Relationship Id="rId300" Type="http://schemas.openxmlformats.org/officeDocument/2006/relationships/hyperlink" Target="https://ncgtc.sdpondemand.manageengine.in/app/apphelpdesk/ui/requests/14047000005936230/details" TargetMode="External"/><Relationship Id="rId30" Type="http://schemas.openxmlformats.org/officeDocument/2006/relationships/hyperlink" Target="https://ncgtc.sdpondemand.manageengine.in/app/apphelpdesk/ui/requests/14047000005854797/details" TargetMode="External"/><Relationship Id="rId3" Type="http://schemas.openxmlformats.org/officeDocument/2006/relationships/hyperlink" Target="https://ncgtc.sdpondemand.manageengine.in/app/apphelpdesk/ui/requests/14047000005854004/details" TargetMode="External"/><Relationship Id="rId2999" Type="http://schemas.openxmlformats.org/officeDocument/2006/relationships/hyperlink" Target="https://ncgtc.sdpondemand.manageengine.in/app/apphelpdesk/ui/requests/14047000006614126/details" TargetMode="External"/><Relationship Id="rId2998" Type="http://schemas.openxmlformats.org/officeDocument/2006/relationships/hyperlink" Target="https://ncgtc.sdpondemand.manageengine.in/app/apphelpdesk/ui/requests/14047000006614090/details" TargetMode="External"/><Relationship Id="rId2997" Type="http://schemas.openxmlformats.org/officeDocument/2006/relationships/hyperlink" Target="https://ncgtc.sdpondemand.manageengine.in/app/apphelpdesk/ui/requests/14047000006614081/details" TargetMode="External"/><Relationship Id="rId2996" Type="http://schemas.openxmlformats.org/officeDocument/2006/relationships/hyperlink" Target="https://ncgtc.sdpondemand.manageengine.in/app/apphelpdesk/ui/requests/14047000006614057/details" TargetMode="External"/><Relationship Id="rId2995" Type="http://schemas.openxmlformats.org/officeDocument/2006/relationships/hyperlink" Target="https://ncgtc.sdpondemand.manageengine.in/app/apphelpdesk/ui/requests/14047000006599985/details" TargetMode="External"/><Relationship Id="rId2994" Type="http://schemas.openxmlformats.org/officeDocument/2006/relationships/hyperlink" Target="https://ncgtc.sdpondemand.manageengine.in/app/apphelpdesk/ui/requests/14047000006599940/details" TargetMode="External"/><Relationship Id="rId2993" Type="http://schemas.openxmlformats.org/officeDocument/2006/relationships/hyperlink" Target="https://ncgtc.sdpondemand.manageengine.in/app/apphelpdesk/ui/requests/14047000006599917/details" TargetMode="External"/><Relationship Id="rId2992" Type="http://schemas.openxmlformats.org/officeDocument/2006/relationships/hyperlink" Target="https://ncgtc.sdpondemand.manageengine.in/app/apphelpdesk/ui/requests/14047000006599877/details" TargetMode="External"/><Relationship Id="rId2991" Type="http://schemas.openxmlformats.org/officeDocument/2006/relationships/hyperlink" Target="https://ncgtc.sdpondemand.manageengine.in/app/apphelpdesk/ui/requests/14047000006599862/details" TargetMode="External"/><Relationship Id="rId2990" Type="http://schemas.openxmlformats.org/officeDocument/2006/relationships/hyperlink" Target="https://ncgtc.sdpondemand.manageengine.in/app/apphelpdesk/ui/requests/14047000006599854/details" TargetMode="External"/><Relationship Id="rId299" Type="http://schemas.openxmlformats.org/officeDocument/2006/relationships/hyperlink" Target="https://ncgtc.sdpondemand.manageengine.in/app/apphelpdesk/ui/requests/14047000005936218/details" TargetMode="External"/><Relationship Id="rId2989" Type="http://schemas.openxmlformats.org/officeDocument/2006/relationships/hyperlink" Target="https://ncgtc.sdpondemand.manageengine.in/app/apphelpdesk/ui/requests/14047000006599840/details" TargetMode="External"/><Relationship Id="rId2988" Type="http://schemas.openxmlformats.org/officeDocument/2006/relationships/hyperlink" Target="https://ncgtc.sdpondemand.manageengine.in/app/apphelpdesk/ui/requests/14047000006599728/details" TargetMode="External"/><Relationship Id="rId2987" Type="http://schemas.openxmlformats.org/officeDocument/2006/relationships/hyperlink" Target="https://ncgtc.sdpondemand.manageengine.in/app/apphelpdesk/ui/requests/14047000006599716/details" TargetMode="External"/><Relationship Id="rId2986" Type="http://schemas.openxmlformats.org/officeDocument/2006/relationships/hyperlink" Target="https://ncgtc.sdpondemand.manageengine.in/app/apphelpdesk/ui/requests/14047000006599630/details" TargetMode="External"/><Relationship Id="rId2985" Type="http://schemas.openxmlformats.org/officeDocument/2006/relationships/hyperlink" Target="https://ncgtc.sdpondemand.manageengine.in/app/apphelpdesk/ui/requests/14047000006599564/details" TargetMode="External"/><Relationship Id="rId2984" Type="http://schemas.openxmlformats.org/officeDocument/2006/relationships/hyperlink" Target="https://ncgtc.sdpondemand.manageengine.in/app/apphelpdesk/ui/requests/14047000006599524/details" TargetMode="External"/><Relationship Id="rId2983" Type="http://schemas.openxmlformats.org/officeDocument/2006/relationships/hyperlink" Target="https://ncgtc.sdpondemand.manageengine.in/app/apphelpdesk/ui/requests/14047000006599462/details" TargetMode="External"/><Relationship Id="rId2982" Type="http://schemas.openxmlformats.org/officeDocument/2006/relationships/hyperlink" Target="https://ncgtc.sdpondemand.manageengine.in/app/apphelpdesk/ui/requests/14047000006599399/details" TargetMode="External"/><Relationship Id="rId2981" Type="http://schemas.openxmlformats.org/officeDocument/2006/relationships/hyperlink" Target="https://ncgtc.sdpondemand.manageengine.in/app/apphelpdesk/ui/requests/14047000006599322/details" TargetMode="External"/><Relationship Id="rId2980" Type="http://schemas.openxmlformats.org/officeDocument/2006/relationships/hyperlink" Target="https://ncgtc.sdpondemand.manageengine.in/app/apphelpdesk/ui/requests/14047000006599309/details" TargetMode="External"/><Relationship Id="rId298" Type="http://schemas.openxmlformats.org/officeDocument/2006/relationships/hyperlink" Target="https://ncgtc.sdpondemand.manageengine.in/app/apphelpdesk/ui/requests/14047000005936200/details" TargetMode="External"/><Relationship Id="rId2979" Type="http://schemas.openxmlformats.org/officeDocument/2006/relationships/hyperlink" Target="https://ncgtc.sdpondemand.manageengine.in/app/apphelpdesk/ui/requests/14047000006599187/details" TargetMode="External"/><Relationship Id="rId2978" Type="http://schemas.openxmlformats.org/officeDocument/2006/relationships/hyperlink" Target="https://ncgtc.sdpondemand.manageengine.in/app/apphelpdesk/ui/requests/14047000006599136/details" TargetMode="External"/><Relationship Id="rId2977" Type="http://schemas.openxmlformats.org/officeDocument/2006/relationships/hyperlink" Target="https://ncgtc.sdpondemand.manageengine.in/app/apphelpdesk/ui/requests/14047000006599093/details" TargetMode="External"/><Relationship Id="rId2976" Type="http://schemas.openxmlformats.org/officeDocument/2006/relationships/hyperlink" Target="https://ncgtc.sdpondemand.manageengine.in/app/apphelpdesk/ui/requests/14047000006599084/details" TargetMode="External"/><Relationship Id="rId2975" Type="http://schemas.openxmlformats.org/officeDocument/2006/relationships/hyperlink" Target="https://ncgtc.sdpondemand.manageengine.in/app/apphelpdesk/ui/requests/14047000006599043/details" TargetMode="External"/><Relationship Id="rId2974" Type="http://schemas.openxmlformats.org/officeDocument/2006/relationships/hyperlink" Target="https://ncgtc.sdpondemand.manageengine.in/app/apphelpdesk/ui/requests/14047000006599025/details" TargetMode="External"/><Relationship Id="rId2973" Type="http://schemas.openxmlformats.org/officeDocument/2006/relationships/hyperlink" Target="https://ncgtc.sdpondemand.manageengine.in/app/apphelpdesk/ui/requests/14047000006598048/details" TargetMode="External"/><Relationship Id="rId2972" Type="http://schemas.openxmlformats.org/officeDocument/2006/relationships/hyperlink" Target="https://ncgtc.sdpondemand.manageengine.in/app/apphelpdesk/ui/requests/14047000006598030/details" TargetMode="External"/><Relationship Id="rId2971" Type="http://schemas.openxmlformats.org/officeDocument/2006/relationships/hyperlink" Target="https://ncgtc.sdpondemand.manageengine.in/app/apphelpdesk/ui/requests/14047000006598020/details" TargetMode="External"/><Relationship Id="rId2970" Type="http://schemas.openxmlformats.org/officeDocument/2006/relationships/hyperlink" Target="https://ncgtc.sdpondemand.manageengine.in/app/apphelpdesk/ui/requests/14047000006593976/details" TargetMode="External"/><Relationship Id="rId297" Type="http://schemas.openxmlformats.org/officeDocument/2006/relationships/hyperlink" Target="https://ncgtc.sdpondemand.manageengine.in/app/apphelpdesk/ui/requests/14047000005936136/details" TargetMode="External"/><Relationship Id="rId2969" Type="http://schemas.openxmlformats.org/officeDocument/2006/relationships/hyperlink" Target="https://ncgtc.sdpondemand.manageengine.in/app/apphelpdesk/ui/requests/14047000006593967/details" TargetMode="External"/><Relationship Id="rId2968" Type="http://schemas.openxmlformats.org/officeDocument/2006/relationships/hyperlink" Target="https://ncgtc.sdpondemand.manageengine.in/app/apphelpdesk/ui/requests/14047000006593936/details" TargetMode="External"/><Relationship Id="rId2967" Type="http://schemas.openxmlformats.org/officeDocument/2006/relationships/hyperlink" Target="https://ncgtc.sdpondemand.manageengine.in/app/apphelpdesk/ui/requests/14047000006593928/details" TargetMode="External"/><Relationship Id="rId2966" Type="http://schemas.openxmlformats.org/officeDocument/2006/relationships/hyperlink" Target="https://ncgtc.sdpondemand.manageengine.in/app/apphelpdesk/ui/requests/14047000006593907/details" TargetMode="External"/><Relationship Id="rId2965" Type="http://schemas.openxmlformats.org/officeDocument/2006/relationships/hyperlink" Target="https://ncgtc.sdpondemand.manageengine.in/app/apphelpdesk/ui/requests/14047000006593858/details" TargetMode="External"/><Relationship Id="rId2964" Type="http://schemas.openxmlformats.org/officeDocument/2006/relationships/hyperlink" Target="https://ncgtc.sdpondemand.manageengine.in/app/apphelpdesk/ui/requests/14047000006593834/details" TargetMode="External"/><Relationship Id="rId2963" Type="http://schemas.openxmlformats.org/officeDocument/2006/relationships/hyperlink" Target="https://ncgtc.sdpondemand.manageengine.in/app/apphelpdesk/ui/requests/14047000006593730/details" TargetMode="External"/><Relationship Id="rId2962" Type="http://schemas.openxmlformats.org/officeDocument/2006/relationships/hyperlink" Target="https://ncgtc.sdpondemand.manageengine.in/app/apphelpdesk/ui/requests/14047000006593710/details" TargetMode="External"/><Relationship Id="rId2961" Type="http://schemas.openxmlformats.org/officeDocument/2006/relationships/hyperlink" Target="https://ncgtc.sdpondemand.manageengine.in/app/apphelpdesk/ui/requests/14047000006593696/details" TargetMode="External"/><Relationship Id="rId2960" Type="http://schemas.openxmlformats.org/officeDocument/2006/relationships/hyperlink" Target="https://ncgtc.sdpondemand.manageengine.in/app/apphelpdesk/ui/requests/14047000006593681/details" TargetMode="External"/><Relationship Id="rId296" Type="http://schemas.openxmlformats.org/officeDocument/2006/relationships/hyperlink" Target="https://ncgtc.sdpondemand.manageengine.in/app/apphelpdesk/ui/requests/14047000005936127/details" TargetMode="External"/><Relationship Id="rId2959" Type="http://schemas.openxmlformats.org/officeDocument/2006/relationships/hyperlink" Target="https://ncgtc.sdpondemand.manageengine.in/app/apphelpdesk/ui/requests/14047000006593672/details" TargetMode="External"/><Relationship Id="rId2958" Type="http://schemas.openxmlformats.org/officeDocument/2006/relationships/hyperlink" Target="https://ncgtc.sdpondemand.manageengine.in/app/apphelpdesk/ui/requests/14047000006593658/details" TargetMode="External"/><Relationship Id="rId2957" Type="http://schemas.openxmlformats.org/officeDocument/2006/relationships/hyperlink" Target="https://ncgtc.sdpondemand.manageengine.in/app/apphelpdesk/ui/requests/14047000006593649/details" TargetMode="External"/><Relationship Id="rId2956" Type="http://schemas.openxmlformats.org/officeDocument/2006/relationships/hyperlink" Target="https://ncgtc.sdpondemand.manageengine.in/app/apphelpdesk/ui/requests/14047000006593620/details" TargetMode="External"/><Relationship Id="rId2955" Type="http://schemas.openxmlformats.org/officeDocument/2006/relationships/hyperlink" Target="https://ncgtc.sdpondemand.manageengine.in/app/apphelpdesk/ui/requests/14047000006593517/details" TargetMode="External"/><Relationship Id="rId2954" Type="http://schemas.openxmlformats.org/officeDocument/2006/relationships/hyperlink" Target="https://ncgtc.sdpondemand.manageengine.in/app/apphelpdesk/ui/requests/14047000006593508/details" TargetMode="External"/><Relationship Id="rId2953" Type="http://schemas.openxmlformats.org/officeDocument/2006/relationships/hyperlink" Target="https://ncgtc.sdpondemand.manageengine.in/app/apphelpdesk/ui/requests/14047000006593499/details" TargetMode="External"/><Relationship Id="rId2952" Type="http://schemas.openxmlformats.org/officeDocument/2006/relationships/hyperlink" Target="https://ncgtc.sdpondemand.manageengine.in/app/apphelpdesk/ui/requests/14047000006593484/details" TargetMode="External"/><Relationship Id="rId2951" Type="http://schemas.openxmlformats.org/officeDocument/2006/relationships/hyperlink" Target="https://ncgtc.sdpondemand.manageengine.in/app/apphelpdesk/ui/requests/14047000006593475/details" TargetMode="External"/><Relationship Id="rId2950" Type="http://schemas.openxmlformats.org/officeDocument/2006/relationships/hyperlink" Target="https://ncgtc.sdpondemand.manageengine.in/app/apphelpdesk/ui/requests/14047000006593443/details" TargetMode="External"/><Relationship Id="rId295" Type="http://schemas.openxmlformats.org/officeDocument/2006/relationships/hyperlink" Target="https://ncgtc.sdpondemand.manageengine.in/app/apphelpdesk/ui/requests/14047000005936117/details" TargetMode="External"/><Relationship Id="rId2949" Type="http://schemas.openxmlformats.org/officeDocument/2006/relationships/hyperlink" Target="https://ncgtc.sdpondemand.manageengine.in/app/apphelpdesk/ui/requests/14047000006593435/details" TargetMode="External"/><Relationship Id="rId2948" Type="http://schemas.openxmlformats.org/officeDocument/2006/relationships/hyperlink" Target="https://ncgtc.sdpondemand.manageengine.in/app/apphelpdesk/ui/requests/14047000006593394/details" TargetMode="External"/><Relationship Id="rId2947" Type="http://schemas.openxmlformats.org/officeDocument/2006/relationships/hyperlink" Target="https://ncgtc.sdpondemand.manageengine.in/app/apphelpdesk/ui/requests/14047000006593352/details" TargetMode="External"/><Relationship Id="rId2946" Type="http://schemas.openxmlformats.org/officeDocument/2006/relationships/hyperlink" Target="https://ncgtc.sdpondemand.manageengine.in/app/apphelpdesk/ui/requests/14047000006593340/details" TargetMode="External"/><Relationship Id="rId2945" Type="http://schemas.openxmlformats.org/officeDocument/2006/relationships/hyperlink" Target="https://ncgtc.sdpondemand.manageengine.in/app/apphelpdesk/ui/requests/14047000006593317/details" TargetMode="External"/><Relationship Id="rId2944" Type="http://schemas.openxmlformats.org/officeDocument/2006/relationships/hyperlink" Target="https://ncgtc.sdpondemand.manageengine.in/app/apphelpdesk/ui/requests/14047000006593296/details" TargetMode="External"/><Relationship Id="rId2943" Type="http://schemas.openxmlformats.org/officeDocument/2006/relationships/hyperlink" Target="https://ncgtc.sdpondemand.manageengine.in/app/apphelpdesk/ui/requests/14047000006593270/details" TargetMode="External"/><Relationship Id="rId2942" Type="http://schemas.openxmlformats.org/officeDocument/2006/relationships/hyperlink" Target="https://ncgtc.sdpondemand.manageengine.in/app/apphelpdesk/ui/requests/14047000006593261/details" TargetMode="External"/><Relationship Id="rId2941" Type="http://schemas.openxmlformats.org/officeDocument/2006/relationships/hyperlink" Target="https://ncgtc.sdpondemand.manageengine.in/app/apphelpdesk/ui/requests/14047000006593239/details" TargetMode="External"/><Relationship Id="rId2940" Type="http://schemas.openxmlformats.org/officeDocument/2006/relationships/hyperlink" Target="https://ncgtc.sdpondemand.manageengine.in/app/apphelpdesk/ui/requests/14047000006593198/details" TargetMode="External"/><Relationship Id="rId294" Type="http://schemas.openxmlformats.org/officeDocument/2006/relationships/hyperlink" Target="https://ncgtc.sdpondemand.manageengine.in/app/apphelpdesk/ui/requests/14047000005936091/details" TargetMode="External"/><Relationship Id="rId2939" Type="http://schemas.openxmlformats.org/officeDocument/2006/relationships/hyperlink" Target="https://ncgtc.sdpondemand.manageengine.in/app/apphelpdesk/ui/requests/14047000006593188/details" TargetMode="External"/><Relationship Id="rId2938" Type="http://schemas.openxmlformats.org/officeDocument/2006/relationships/hyperlink" Target="https://ncgtc.sdpondemand.manageengine.in/app/apphelpdesk/ui/requests/14047000006593167/details" TargetMode="External"/><Relationship Id="rId2937" Type="http://schemas.openxmlformats.org/officeDocument/2006/relationships/hyperlink" Target="https://ncgtc.sdpondemand.manageengine.in/app/apphelpdesk/ui/requests/14047000006593034/details" TargetMode="External"/><Relationship Id="rId2936" Type="http://schemas.openxmlformats.org/officeDocument/2006/relationships/hyperlink" Target="https://ncgtc.sdpondemand.manageengine.in/app/apphelpdesk/ui/requests/14047000006593026/details" TargetMode="External"/><Relationship Id="rId2935" Type="http://schemas.openxmlformats.org/officeDocument/2006/relationships/hyperlink" Target="https://ncgtc.sdpondemand.manageengine.in/app/apphelpdesk/ui/requests/14047000006593002/details" TargetMode="External"/><Relationship Id="rId2934" Type="http://schemas.openxmlformats.org/officeDocument/2006/relationships/hyperlink" Target="https://ncgtc.sdpondemand.manageengine.in/app/apphelpdesk/ui/requests/14047000006581884/details" TargetMode="External"/><Relationship Id="rId2933" Type="http://schemas.openxmlformats.org/officeDocument/2006/relationships/hyperlink" Target="https://ncgtc.sdpondemand.manageengine.in/app/apphelpdesk/ui/requests/14047000006581788/details" TargetMode="External"/><Relationship Id="rId2932" Type="http://schemas.openxmlformats.org/officeDocument/2006/relationships/hyperlink" Target="https://ncgtc.sdpondemand.manageengine.in/app/apphelpdesk/ui/requests/14047000006581730/details" TargetMode="External"/><Relationship Id="rId2931" Type="http://schemas.openxmlformats.org/officeDocument/2006/relationships/hyperlink" Target="https://ncgtc.sdpondemand.manageengine.in/app/apphelpdesk/ui/requests/14047000006581718/details" TargetMode="External"/><Relationship Id="rId2930" Type="http://schemas.openxmlformats.org/officeDocument/2006/relationships/hyperlink" Target="https://ncgtc.sdpondemand.manageengine.in/app/apphelpdesk/ui/requests/14047000006581709/details" TargetMode="External"/><Relationship Id="rId293" Type="http://schemas.openxmlformats.org/officeDocument/2006/relationships/hyperlink" Target="https://ncgtc.sdpondemand.manageengine.in/app/apphelpdesk/ui/requests/14047000005936050/details" TargetMode="External"/><Relationship Id="rId2929" Type="http://schemas.openxmlformats.org/officeDocument/2006/relationships/hyperlink" Target="https://ncgtc.sdpondemand.manageengine.in/app/apphelpdesk/ui/requests/14047000006581663/details" TargetMode="External"/><Relationship Id="rId2928" Type="http://schemas.openxmlformats.org/officeDocument/2006/relationships/hyperlink" Target="https://ncgtc.sdpondemand.manageengine.in/app/apphelpdesk/ui/requests/14047000006581463/details" TargetMode="External"/><Relationship Id="rId2927" Type="http://schemas.openxmlformats.org/officeDocument/2006/relationships/hyperlink" Target="https://ncgtc.sdpondemand.manageengine.in/app/apphelpdesk/ui/requests/14047000006581448/details" TargetMode="External"/><Relationship Id="rId2926" Type="http://schemas.openxmlformats.org/officeDocument/2006/relationships/hyperlink" Target="https://ncgtc.sdpondemand.manageengine.in/app/apphelpdesk/ui/requests/14047000006581375/details" TargetMode="External"/><Relationship Id="rId2925" Type="http://schemas.openxmlformats.org/officeDocument/2006/relationships/hyperlink" Target="https://ncgtc.sdpondemand.manageengine.in/app/apphelpdesk/ui/requests/14047000006581347/details" TargetMode="External"/><Relationship Id="rId2924" Type="http://schemas.openxmlformats.org/officeDocument/2006/relationships/hyperlink" Target="https://ncgtc.sdpondemand.manageengine.in/app/apphelpdesk/ui/requests/14047000006581218/details" TargetMode="External"/><Relationship Id="rId2923" Type="http://schemas.openxmlformats.org/officeDocument/2006/relationships/hyperlink" Target="https://ncgtc.sdpondemand.manageengine.in/app/apphelpdesk/ui/requests/14047000006581147/details" TargetMode="External"/><Relationship Id="rId2922" Type="http://schemas.openxmlformats.org/officeDocument/2006/relationships/hyperlink" Target="https://ncgtc.sdpondemand.manageengine.in/app/apphelpdesk/ui/requests/14047000006581134/details" TargetMode="External"/><Relationship Id="rId2921" Type="http://schemas.openxmlformats.org/officeDocument/2006/relationships/hyperlink" Target="https://ncgtc.sdpondemand.manageengine.in/app/apphelpdesk/ui/requests/14047000006581119/details" TargetMode="External"/><Relationship Id="rId2920" Type="http://schemas.openxmlformats.org/officeDocument/2006/relationships/hyperlink" Target="https://ncgtc.sdpondemand.manageengine.in/app/apphelpdesk/ui/requests/14047000006581110/details" TargetMode="External"/><Relationship Id="rId292" Type="http://schemas.openxmlformats.org/officeDocument/2006/relationships/hyperlink" Target="https://ncgtc.sdpondemand.manageengine.in/app/apphelpdesk/ui/requests/14047000005936003/details" TargetMode="External"/><Relationship Id="rId2919" Type="http://schemas.openxmlformats.org/officeDocument/2006/relationships/hyperlink" Target="https://ncgtc.sdpondemand.manageengine.in/app/apphelpdesk/ui/requests/14047000006581093/details" TargetMode="External"/><Relationship Id="rId2918" Type="http://schemas.openxmlformats.org/officeDocument/2006/relationships/hyperlink" Target="https://ncgtc.sdpondemand.manageengine.in/app/apphelpdesk/ui/requests/14047000006581072/details" TargetMode="External"/><Relationship Id="rId2917" Type="http://schemas.openxmlformats.org/officeDocument/2006/relationships/hyperlink" Target="https://ncgtc.sdpondemand.manageengine.in/app/apphelpdesk/ui/requests/14047000006581063/details" TargetMode="External"/><Relationship Id="rId2916" Type="http://schemas.openxmlformats.org/officeDocument/2006/relationships/hyperlink" Target="https://ncgtc.sdpondemand.manageengine.in/app/apphelpdesk/ui/requests/14047000006581054/details" TargetMode="External"/><Relationship Id="rId2915" Type="http://schemas.openxmlformats.org/officeDocument/2006/relationships/hyperlink" Target="https://ncgtc.sdpondemand.manageengine.in/app/apphelpdesk/ui/requests/14047000006581045/details" TargetMode="External"/><Relationship Id="rId2914" Type="http://schemas.openxmlformats.org/officeDocument/2006/relationships/hyperlink" Target="https://ncgtc.sdpondemand.manageengine.in/app/apphelpdesk/ui/requests/14047000006581036/details" TargetMode="External"/><Relationship Id="rId2913" Type="http://schemas.openxmlformats.org/officeDocument/2006/relationships/hyperlink" Target="https://ncgtc.sdpondemand.manageengine.in/app/apphelpdesk/ui/requests/14047000006581005/details" TargetMode="External"/><Relationship Id="rId2912" Type="http://schemas.openxmlformats.org/officeDocument/2006/relationships/hyperlink" Target="https://ncgtc.sdpondemand.manageengine.in/app/apphelpdesk/ui/requests/14047000006579001/details" TargetMode="External"/><Relationship Id="rId2911" Type="http://schemas.openxmlformats.org/officeDocument/2006/relationships/hyperlink" Target="https://ncgtc.sdpondemand.manageengine.in/app/apphelpdesk/ui/requests/14047000006566855/details" TargetMode="External"/><Relationship Id="rId2910" Type="http://schemas.openxmlformats.org/officeDocument/2006/relationships/hyperlink" Target="https://ncgtc.sdpondemand.manageengine.in/app/apphelpdesk/ui/requests/14047000006566839/details" TargetMode="External"/><Relationship Id="rId291" Type="http://schemas.openxmlformats.org/officeDocument/2006/relationships/hyperlink" Target="https://ncgtc.sdpondemand.manageengine.in/app/apphelpdesk/ui/requests/14047000005922982/details" TargetMode="External"/><Relationship Id="rId2909" Type="http://schemas.openxmlformats.org/officeDocument/2006/relationships/hyperlink" Target="https://ncgtc.sdpondemand.manageengine.in/app/apphelpdesk/ui/requests/14047000006566789/details" TargetMode="External"/><Relationship Id="rId2908" Type="http://schemas.openxmlformats.org/officeDocument/2006/relationships/hyperlink" Target="https://ncgtc.sdpondemand.manageengine.in/app/apphelpdesk/ui/requests/14047000006566710/details" TargetMode="External"/><Relationship Id="rId2907" Type="http://schemas.openxmlformats.org/officeDocument/2006/relationships/hyperlink" Target="https://ncgtc.sdpondemand.manageengine.in/app/apphelpdesk/ui/requests/14047000006566653/details" TargetMode="External"/><Relationship Id="rId2906" Type="http://schemas.openxmlformats.org/officeDocument/2006/relationships/hyperlink" Target="https://ncgtc.sdpondemand.manageengine.in/app/apphelpdesk/ui/requests/14047000006566619/details" TargetMode="External"/><Relationship Id="rId2905" Type="http://schemas.openxmlformats.org/officeDocument/2006/relationships/hyperlink" Target="https://ncgtc.sdpondemand.manageengine.in/app/apphelpdesk/ui/requests/14047000006566601/details" TargetMode="External"/><Relationship Id="rId2904" Type="http://schemas.openxmlformats.org/officeDocument/2006/relationships/hyperlink" Target="https://ncgtc.sdpondemand.manageengine.in/app/apphelpdesk/ui/requests/14047000006566582/details" TargetMode="External"/><Relationship Id="rId2903" Type="http://schemas.openxmlformats.org/officeDocument/2006/relationships/hyperlink" Target="https://ncgtc.sdpondemand.manageengine.in/app/apphelpdesk/ui/requests/14047000006566562/details" TargetMode="External"/><Relationship Id="rId2902" Type="http://schemas.openxmlformats.org/officeDocument/2006/relationships/hyperlink" Target="https://ncgtc.sdpondemand.manageengine.in/app/apphelpdesk/ui/requests/14047000006566520/details" TargetMode="External"/><Relationship Id="rId2901" Type="http://schemas.openxmlformats.org/officeDocument/2006/relationships/hyperlink" Target="https://ncgtc.sdpondemand.manageengine.in/app/apphelpdesk/ui/requests/14047000006566510/details" TargetMode="External"/><Relationship Id="rId2900" Type="http://schemas.openxmlformats.org/officeDocument/2006/relationships/hyperlink" Target="https://ncgtc.sdpondemand.manageengine.in/app/apphelpdesk/ui/requests/14047000006566463/details" TargetMode="External"/><Relationship Id="rId290" Type="http://schemas.openxmlformats.org/officeDocument/2006/relationships/hyperlink" Target="https://ncgtc.sdpondemand.manageengine.in/app/apphelpdesk/ui/requests/14047000005922962/details" TargetMode="External"/><Relationship Id="rId29" Type="http://schemas.openxmlformats.org/officeDocument/2006/relationships/hyperlink" Target="https://ncgtc.sdpondemand.manageengine.in/app/apphelpdesk/ui/requests/14047000005854760/details" TargetMode="External"/><Relationship Id="rId2899" Type="http://schemas.openxmlformats.org/officeDocument/2006/relationships/hyperlink" Target="https://ncgtc.sdpondemand.manageengine.in/app/apphelpdesk/ui/requests/14047000006566455/details" TargetMode="External"/><Relationship Id="rId2898" Type="http://schemas.openxmlformats.org/officeDocument/2006/relationships/hyperlink" Target="https://ncgtc.sdpondemand.manageengine.in/app/apphelpdesk/ui/requests/14047000006566409/details" TargetMode="External"/><Relationship Id="rId2897" Type="http://schemas.openxmlformats.org/officeDocument/2006/relationships/hyperlink" Target="https://ncgtc.sdpondemand.manageengine.in/app/apphelpdesk/ui/requests/14047000006566351/details" TargetMode="External"/><Relationship Id="rId2896" Type="http://schemas.openxmlformats.org/officeDocument/2006/relationships/hyperlink" Target="https://ncgtc.sdpondemand.manageengine.in/app/apphelpdesk/ui/requests/14047000006566335/details" TargetMode="External"/><Relationship Id="rId2895" Type="http://schemas.openxmlformats.org/officeDocument/2006/relationships/hyperlink" Target="https://ncgtc.sdpondemand.manageengine.in/app/apphelpdesk/ui/requests/14047000006566306/details" TargetMode="External"/><Relationship Id="rId2894" Type="http://schemas.openxmlformats.org/officeDocument/2006/relationships/hyperlink" Target="https://ncgtc.sdpondemand.manageengine.in/app/apphelpdesk/ui/requests/14047000006566132/details" TargetMode="External"/><Relationship Id="rId2893" Type="http://schemas.openxmlformats.org/officeDocument/2006/relationships/hyperlink" Target="https://ncgtc.sdpondemand.manageengine.in/app/apphelpdesk/ui/requests/14047000006566124/details" TargetMode="External"/><Relationship Id="rId2892" Type="http://schemas.openxmlformats.org/officeDocument/2006/relationships/hyperlink" Target="https://ncgtc.sdpondemand.manageengine.in/app/apphelpdesk/ui/requests/14047000006566066/details" TargetMode="External"/><Relationship Id="rId2891" Type="http://schemas.openxmlformats.org/officeDocument/2006/relationships/hyperlink" Target="https://ncgtc.sdpondemand.manageengine.in/app/apphelpdesk/ui/requests/14047000006566057/details" TargetMode="External"/><Relationship Id="rId2890" Type="http://schemas.openxmlformats.org/officeDocument/2006/relationships/hyperlink" Target="https://ncgtc.sdpondemand.manageengine.in/app/apphelpdesk/ui/requests/14047000006566032/details" TargetMode="External"/><Relationship Id="rId289" Type="http://schemas.openxmlformats.org/officeDocument/2006/relationships/hyperlink" Target="https://ncgtc.sdpondemand.manageengine.in/app/apphelpdesk/ui/requests/14047000005922883/details" TargetMode="External"/><Relationship Id="rId2889" Type="http://schemas.openxmlformats.org/officeDocument/2006/relationships/hyperlink" Target="https://ncgtc.sdpondemand.manageengine.in/app/apphelpdesk/ui/requests/14047000006566017/details" TargetMode="External"/><Relationship Id="rId2888" Type="http://schemas.openxmlformats.org/officeDocument/2006/relationships/hyperlink" Target="https://ncgtc.sdpondemand.manageengine.in/app/apphelpdesk/ui/requests/14047000006562291/details" TargetMode="External"/><Relationship Id="rId2887" Type="http://schemas.openxmlformats.org/officeDocument/2006/relationships/hyperlink" Target="https://ncgtc.sdpondemand.manageengine.in/app/apphelpdesk/ui/requests/14047000006562269/details" TargetMode="External"/><Relationship Id="rId2886" Type="http://schemas.openxmlformats.org/officeDocument/2006/relationships/hyperlink" Target="https://ncgtc.sdpondemand.manageengine.in/app/apphelpdesk/ui/requests/14047000006562215/details" TargetMode="External"/><Relationship Id="rId2885" Type="http://schemas.openxmlformats.org/officeDocument/2006/relationships/hyperlink" Target="https://ncgtc.sdpondemand.manageengine.in/app/apphelpdesk/ui/requests/14047000006562206/details" TargetMode="External"/><Relationship Id="rId2884" Type="http://schemas.openxmlformats.org/officeDocument/2006/relationships/hyperlink" Target="https://ncgtc.sdpondemand.manageengine.in/app/apphelpdesk/ui/requests/14047000006562196/details" TargetMode="External"/><Relationship Id="rId2883" Type="http://schemas.openxmlformats.org/officeDocument/2006/relationships/hyperlink" Target="https://ncgtc.sdpondemand.manageengine.in/app/apphelpdesk/ui/requests/14047000006562186/details" TargetMode="External"/><Relationship Id="rId2882" Type="http://schemas.openxmlformats.org/officeDocument/2006/relationships/hyperlink" Target="https://ncgtc.sdpondemand.manageengine.in/app/apphelpdesk/ui/requests/14047000006562103/details" TargetMode="External"/><Relationship Id="rId2881" Type="http://schemas.openxmlformats.org/officeDocument/2006/relationships/hyperlink" Target="https://ncgtc.sdpondemand.manageengine.in/app/apphelpdesk/ui/requests/14047000006562084/details" TargetMode="External"/><Relationship Id="rId2880" Type="http://schemas.openxmlformats.org/officeDocument/2006/relationships/hyperlink" Target="https://ncgtc.sdpondemand.manageengine.in/app/apphelpdesk/ui/requests/14047000006562070/details" TargetMode="External"/><Relationship Id="rId288" Type="http://schemas.openxmlformats.org/officeDocument/2006/relationships/hyperlink" Target="https://ncgtc.sdpondemand.manageengine.in/app/apphelpdesk/ui/requests/14047000005922787/details" TargetMode="External"/><Relationship Id="rId2879" Type="http://schemas.openxmlformats.org/officeDocument/2006/relationships/hyperlink" Target="https://ncgtc.sdpondemand.manageengine.in/app/apphelpdesk/ui/requests/14047000006562061/details" TargetMode="External"/><Relationship Id="rId2878" Type="http://schemas.openxmlformats.org/officeDocument/2006/relationships/hyperlink" Target="https://ncgtc.sdpondemand.manageengine.in/app/apphelpdesk/ui/requests/14047000006557964/details" TargetMode="External"/><Relationship Id="rId2877" Type="http://schemas.openxmlformats.org/officeDocument/2006/relationships/hyperlink" Target="https://ncgtc.sdpondemand.manageengine.in/app/apphelpdesk/ui/requests/14047000006557895/details" TargetMode="External"/><Relationship Id="rId2876" Type="http://schemas.openxmlformats.org/officeDocument/2006/relationships/hyperlink" Target="https://ncgtc.sdpondemand.manageengine.in/app/apphelpdesk/ui/requests/14047000006557887/details" TargetMode="External"/><Relationship Id="rId2875" Type="http://schemas.openxmlformats.org/officeDocument/2006/relationships/hyperlink" Target="https://ncgtc.sdpondemand.manageengine.in/app/apphelpdesk/ui/requests/14047000006557878/details" TargetMode="External"/><Relationship Id="rId2874" Type="http://schemas.openxmlformats.org/officeDocument/2006/relationships/hyperlink" Target="https://ncgtc.sdpondemand.manageengine.in/app/apphelpdesk/ui/requests/14047000006557869/details" TargetMode="External"/><Relationship Id="rId2873" Type="http://schemas.openxmlformats.org/officeDocument/2006/relationships/hyperlink" Target="https://ncgtc.sdpondemand.manageengine.in/app/apphelpdesk/ui/requests/14047000006557767/details" TargetMode="External"/><Relationship Id="rId2872" Type="http://schemas.openxmlformats.org/officeDocument/2006/relationships/hyperlink" Target="https://ncgtc.sdpondemand.manageengine.in/app/apphelpdesk/ui/requests/14047000006557707/details" TargetMode="External"/><Relationship Id="rId2871" Type="http://schemas.openxmlformats.org/officeDocument/2006/relationships/hyperlink" Target="https://ncgtc.sdpondemand.manageengine.in/app/apphelpdesk/ui/requests/14047000006557698/details" TargetMode="External"/><Relationship Id="rId2870" Type="http://schemas.openxmlformats.org/officeDocument/2006/relationships/hyperlink" Target="https://ncgtc.sdpondemand.manageengine.in/app/apphelpdesk/ui/requests/14047000006557606/details" TargetMode="External"/><Relationship Id="rId287" Type="http://schemas.openxmlformats.org/officeDocument/2006/relationships/hyperlink" Target="https://ncgtc.sdpondemand.manageengine.in/app/apphelpdesk/ui/requests/14047000005922744/details" TargetMode="External"/><Relationship Id="rId2869" Type="http://schemas.openxmlformats.org/officeDocument/2006/relationships/hyperlink" Target="https://ncgtc.sdpondemand.manageengine.in/app/apphelpdesk/ui/requests/14047000006557576/details" TargetMode="External"/><Relationship Id="rId2868" Type="http://schemas.openxmlformats.org/officeDocument/2006/relationships/hyperlink" Target="https://ncgtc.sdpondemand.manageengine.in/app/apphelpdesk/ui/requests/14047000006557540/details" TargetMode="External"/><Relationship Id="rId2867" Type="http://schemas.openxmlformats.org/officeDocument/2006/relationships/hyperlink" Target="https://ncgtc.sdpondemand.manageengine.in/app/apphelpdesk/ui/requests/14047000006557519/details" TargetMode="External"/><Relationship Id="rId2866" Type="http://schemas.openxmlformats.org/officeDocument/2006/relationships/hyperlink" Target="https://ncgtc.sdpondemand.manageengine.in/app/apphelpdesk/ui/requests/14047000006557506/details" TargetMode="External"/><Relationship Id="rId2865" Type="http://schemas.openxmlformats.org/officeDocument/2006/relationships/hyperlink" Target="https://ncgtc.sdpondemand.manageengine.in/app/apphelpdesk/ui/requests/14047000006557493/details" TargetMode="External"/><Relationship Id="rId2864" Type="http://schemas.openxmlformats.org/officeDocument/2006/relationships/hyperlink" Target="https://ncgtc.sdpondemand.manageengine.in/app/apphelpdesk/ui/requests/14047000006557484/details" TargetMode="External"/><Relationship Id="rId2863" Type="http://schemas.openxmlformats.org/officeDocument/2006/relationships/hyperlink" Target="https://ncgtc.sdpondemand.manageengine.in/app/apphelpdesk/ui/requests/14047000006557455/details" TargetMode="External"/><Relationship Id="rId2862" Type="http://schemas.openxmlformats.org/officeDocument/2006/relationships/hyperlink" Target="https://ncgtc.sdpondemand.manageengine.in/app/apphelpdesk/ui/requests/14047000006557393/details" TargetMode="External"/><Relationship Id="rId2861" Type="http://schemas.openxmlformats.org/officeDocument/2006/relationships/hyperlink" Target="https://ncgtc.sdpondemand.manageengine.in/app/apphelpdesk/ui/requests/14047000006557324/details" TargetMode="External"/><Relationship Id="rId2860" Type="http://schemas.openxmlformats.org/officeDocument/2006/relationships/hyperlink" Target="https://ncgtc.sdpondemand.manageengine.in/app/apphelpdesk/ui/requests/14047000006557308/details" TargetMode="External"/><Relationship Id="rId286" Type="http://schemas.openxmlformats.org/officeDocument/2006/relationships/hyperlink" Target="https://ncgtc.sdpondemand.manageengine.in/app/apphelpdesk/ui/requests/14047000005922713/details" TargetMode="External"/><Relationship Id="rId2859" Type="http://schemas.openxmlformats.org/officeDocument/2006/relationships/hyperlink" Target="https://ncgtc.sdpondemand.manageengine.in/app/apphelpdesk/ui/requests/14047000006557300/details" TargetMode="External"/><Relationship Id="rId2858" Type="http://schemas.openxmlformats.org/officeDocument/2006/relationships/hyperlink" Target="https://ncgtc.sdpondemand.manageengine.in/app/apphelpdesk/ui/requests/14047000006557289/details" TargetMode="External"/><Relationship Id="rId2857" Type="http://schemas.openxmlformats.org/officeDocument/2006/relationships/hyperlink" Target="https://ncgtc.sdpondemand.manageengine.in/app/apphelpdesk/ui/requests/14047000006557235/details" TargetMode="External"/><Relationship Id="rId2856" Type="http://schemas.openxmlformats.org/officeDocument/2006/relationships/hyperlink" Target="https://ncgtc.sdpondemand.manageengine.in/app/apphelpdesk/ui/requests/14047000006557226/details" TargetMode="External"/><Relationship Id="rId2855" Type="http://schemas.openxmlformats.org/officeDocument/2006/relationships/hyperlink" Target="https://ncgtc.sdpondemand.manageengine.in/app/apphelpdesk/ui/requests/14047000006557186/details" TargetMode="External"/><Relationship Id="rId2854" Type="http://schemas.openxmlformats.org/officeDocument/2006/relationships/hyperlink" Target="https://ncgtc.sdpondemand.manageengine.in/app/apphelpdesk/ui/requests/14047000006557172/details" TargetMode="External"/><Relationship Id="rId2853" Type="http://schemas.openxmlformats.org/officeDocument/2006/relationships/hyperlink" Target="https://ncgtc.sdpondemand.manageengine.in/app/apphelpdesk/ui/requests/14047000006557156/details" TargetMode="External"/><Relationship Id="rId2852" Type="http://schemas.openxmlformats.org/officeDocument/2006/relationships/hyperlink" Target="https://ncgtc.sdpondemand.manageengine.in/app/apphelpdesk/ui/requests/14047000006557143/details" TargetMode="External"/><Relationship Id="rId2851" Type="http://schemas.openxmlformats.org/officeDocument/2006/relationships/hyperlink" Target="https://ncgtc.sdpondemand.manageengine.in/app/apphelpdesk/ui/requests/14047000006557123/details" TargetMode="External"/><Relationship Id="rId2850" Type="http://schemas.openxmlformats.org/officeDocument/2006/relationships/hyperlink" Target="https://ncgtc.sdpondemand.manageengine.in/app/apphelpdesk/ui/requests/14047000006557097/details" TargetMode="External"/><Relationship Id="rId285" Type="http://schemas.openxmlformats.org/officeDocument/2006/relationships/hyperlink" Target="https://ncgtc.sdpondemand.manageengine.in/app/apphelpdesk/ui/requests/14047000005922703/details" TargetMode="External"/><Relationship Id="rId2849" Type="http://schemas.openxmlformats.org/officeDocument/2006/relationships/hyperlink" Target="https://ncgtc.sdpondemand.manageengine.in/app/apphelpdesk/ui/requests/14047000006557059/details" TargetMode="External"/><Relationship Id="rId2848" Type="http://schemas.openxmlformats.org/officeDocument/2006/relationships/hyperlink" Target="https://ncgtc.sdpondemand.manageengine.in/app/apphelpdesk/ui/requests/14047000006557030/details" TargetMode="External"/><Relationship Id="rId2847" Type="http://schemas.openxmlformats.org/officeDocument/2006/relationships/hyperlink" Target="https://ncgtc.sdpondemand.manageengine.in/app/apphelpdesk/ui/requests/14047000006557008/details" TargetMode="External"/><Relationship Id="rId2846" Type="http://schemas.openxmlformats.org/officeDocument/2006/relationships/hyperlink" Target="https://ncgtc.sdpondemand.manageengine.in/app/apphelpdesk/ui/requests/14047000006545998/details" TargetMode="External"/><Relationship Id="rId2845" Type="http://schemas.openxmlformats.org/officeDocument/2006/relationships/hyperlink" Target="https://ncgtc.sdpondemand.manageengine.in/app/apphelpdesk/ui/requests/14047000006545954/details" TargetMode="External"/><Relationship Id="rId2844" Type="http://schemas.openxmlformats.org/officeDocument/2006/relationships/hyperlink" Target="https://ncgtc.sdpondemand.manageengine.in/app/apphelpdesk/ui/requests/14047000006545924/details" TargetMode="External"/><Relationship Id="rId2843" Type="http://schemas.openxmlformats.org/officeDocument/2006/relationships/hyperlink" Target="https://ncgtc.sdpondemand.manageengine.in/app/apphelpdesk/ui/requests/14047000006545885/details" TargetMode="External"/><Relationship Id="rId2842" Type="http://schemas.openxmlformats.org/officeDocument/2006/relationships/hyperlink" Target="https://ncgtc.sdpondemand.manageengine.in/app/apphelpdesk/ui/requests/14047000006545765/details" TargetMode="External"/><Relationship Id="rId2841" Type="http://schemas.openxmlformats.org/officeDocument/2006/relationships/hyperlink" Target="https://ncgtc.sdpondemand.manageengine.in/app/apphelpdesk/ui/requests/14047000006545750/details" TargetMode="External"/><Relationship Id="rId2840" Type="http://schemas.openxmlformats.org/officeDocument/2006/relationships/hyperlink" Target="https://ncgtc.sdpondemand.manageengine.in/app/apphelpdesk/ui/requests/14047000006545729/details" TargetMode="External"/><Relationship Id="rId284" Type="http://schemas.openxmlformats.org/officeDocument/2006/relationships/hyperlink" Target="https://ncgtc.sdpondemand.manageengine.in/app/apphelpdesk/ui/requests/14047000005922695/details" TargetMode="External"/><Relationship Id="rId2839" Type="http://schemas.openxmlformats.org/officeDocument/2006/relationships/hyperlink" Target="https://ncgtc.sdpondemand.manageengine.in/app/apphelpdesk/ui/requests/14047000006545697/details" TargetMode="External"/><Relationship Id="rId2838" Type="http://schemas.openxmlformats.org/officeDocument/2006/relationships/hyperlink" Target="https://ncgtc.sdpondemand.manageengine.in/app/apphelpdesk/ui/requests/14047000006545685/details" TargetMode="External"/><Relationship Id="rId2837" Type="http://schemas.openxmlformats.org/officeDocument/2006/relationships/hyperlink" Target="https://ncgtc.sdpondemand.manageengine.in/app/apphelpdesk/ui/requests/14047000006545677/details" TargetMode="External"/><Relationship Id="rId2836" Type="http://schemas.openxmlformats.org/officeDocument/2006/relationships/hyperlink" Target="https://ncgtc.sdpondemand.manageengine.in/app/apphelpdesk/ui/requests/14047000006545651/details" TargetMode="External"/><Relationship Id="rId2835" Type="http://schemas.openxmlformats.org/officeDocument/2006/relationships/hyperlink" Target="https://ncgtc.sdpondemand.manageengine.in/app/apphelpdesk/ui/requests/14047000006545624/details" TargetMode="External"/><Relationship Id="rId2834" Type="http://schemas.openxmlformats.org/officeDocument/2006/relationships/hyperlink" Target="https://ncgtc.sdpondemand.manageengine.in/app/apphelpdesk/ui/requests/14047000006545602/details" TargetMode="External"/><Relationship Id="rId2833" Type="http://schemas.openxmlformats.org/officeDocument/2006/relationships/hyperlink" Target="https://ncgtc.sdpondemand.manageengine.in/app/apphelpdesk/ui/requests/14047000006545560/details" TargetMode="External"/><Relationship Id="rId2832" Type="http://schemas.openxmlformats.org/officeDocument/2006/relationships/hyperlink" Target="https://ncgtc.sdpondemand.manageengine.in/app/apphelpdesk/ui/requests/14047000006545542/details" TargetMode="External"/><Relationship Id="rId2831" Type="http://schemas.openxmlformats.org/officeDocument/2006/relationships/hyperlink" Target="https://ncgtc.sdpondemand.manageengine.in/app/apphelpdesk/ui/requests/14047000006545515/details" TargetMode="External"/><Relationship Id="rId2830" Type="http://schemas.openxmlformats.org/officeDocument/2006/relationships/hyperlink" Target="https://ncgtc.sdpondemand.manageengine.in/app/apphelpdesk/ui/requests/14047000006545431/details" TargetMode="External"/><Relationship Id="rId283" Type="http://schemas.openxmlformats.org/officeDocument/2006/relationships/hyperlink" Target="https://ncgtc.sdpondemand.manageengine.in/app/apphelpdesk/ui/requests/14047000005922677/details" TargetMode="External"/><Relationship Id="rId2829" Type="http://schemas.openxmlformats.org/officeDocument/2006/relationships/hyperlink" Target="https://ncgtc.sdpondemand.manageengine.in/app/apphelpdesk/ui/requests/14047000006545245/details" TargetMode="External"/><Relationship Id="rId2828" Type="http://schemas.openxmlformats.org/officeDocument/2006/relationships/hyperlink" Target="https://ncgtc.sdpondemand.manageengine.in/app/apphelpdesk/ui/requests/14047000006545237/details" TargetMode="External"/><Relationship Id="rId2827" Type="http://schemas.openxmlformats.org/officeDocument/2006/relationships/hyperlink" Target="https://ncgtc.sdpondemand.manageengine.in/app/apphelpdesk/ui/requests/14047000006545221/details" TargetMode="External"/><Relationship Id="rId2826" Type="http://schemas.openxmlformats.org/officeDocument/2006/relationships/hyperlink" Target="https://ncgtc.sdpondemand.manageengine.in/app/apphelpdesk/ui/requests/14047000006545207/details" TargetMode="External"/><Relationship Id="rId2825" Type="http://schemas.openxmlformats.org/officeDocument/2006/relationships/hyperlink" Target="https://ncgtc.sdpondemand.manageengine.in/app/apphelpdesk/ui/requests/14047000006545168/details" TargetMode="External"/><Relationship Id="rId2824" Type="http://schemas.openxmlformats.org/officeDocument/2006/relationships/hyperlink" Target="https://ncgtc.sdpondemand.manageengine.in/app/apphelpdesk/ui/requests/14047000006545111/details" TargetMode="External"/><Relationship Id="rId2823" Type="http://schemas.openxmlformats.org/officeDocument/2006/relationships/hyperlink" Target="https://ncgtc.sdpondemand.manageengine.in/app/apphelpdesk/ui/requests/14047000006545097/details" TargetMode="External"/><Relationship Id="rId2822" Type="http://schemas.openxmlformats.org/officeDocument/2006/relationships/hyperlink" Target="https://ncgtc.sdpondemand.manageengine.in/app/apphelpdesk/ui/requests/14047000006545055/details" TargetMode="External"/><Relationship Id="rId2821" Type="http://schemas.openxmlformats.org/officeDocument/2006/relationships/hyperlink" Target="https://ncgtc.sdpondemand.manageengine.in/app/apphelpdesk/ui/requests/14047000006545036/details" TargetMode="External"/><Relationship Id="rId2820" Type="http://schemas.openxmlformats.org/officeDocument/2006/relationships/hyperlink" Target="https://ncgtc.sdpondemand.manageengine.in/app/apphelpdesk/ui/requests/14047000006545026/details" TargetMode="External"/><Relationship Id="rId282" Type="http://schemas.openxmlformats.org/officeDocument/2006/relationships/hyperlink" Target="https://ncgtc.sdpondemand.manageengine.in/app/apphelpdesk/ui/requests/14047000005922619/details" TargetMode="External"/><Relationship Id="rId2819" Type="http://schemas.openxmlformats.org/officeDocument/2006/relationships/hyperlink" Target="https://ncgtc.sdpondemand.manageengine.in/app/apphelpdesk/ui/requests/14047000006545016/details" TargetMode="External"/><Relationship Id="rId2818" Type="http://schemas.openxmlformats.org/officeDocument/2006/relationships/hyperlink" Target="https://ncgtc.sdpondemand.manageengine.in/app/apphelpdesk/ui/requests/14047000006545002/details" TargetMode="External"/><Relationship Id="rId2817" Type="http://schemas.openxmlformats.org/officeDocument/2006/relationships/hyperlink" Target="https://ncgtc.sdpondemand.manageengine.in/app/apphelpdesk/ui/requests/14047000006540504/details" TargetMode="External"/><Relationship Id="rId2816" Type="http://schemas.openxmlformats.org/officeDocument/2006/relationships/hyperlink" Target="https://ncgtc.sdpondemand.manageengine.in/app/apphelpdesk/ui/requests/14047000006540462/details" TargetMode="External"/><Relationship Id="rId2815" Type="http://schemas.openxmlformats.org/officeDocument/2006/relationships/hyperlink" Target="https://ncgtc.sdpondemand.manageengine.in/app/apphelpdesk/ui/requests/14047000006540433/details" TargetMode="External"/><Relationship Id="rId2814" Type="http://schemas.openxmlformats.org/officeDocument/2006/relationships/hyperlink" Target="https://ncgtc.sdpondemand.manageengine.in/app/apphelpdesk/ui/requests/14047000006540410/details" TargetMode="External"/><Relationship Id="rId2813" Type="http://schemas.openxmlformats.org/officeDocument/2006/relationships/hyperlink" Target="https://ncgtc.sdpondemand.manageengine.in/app/apphelpdesk/ui/requests/14047000006540390/details" TargetMode="External"/><Relationship Id="rId2812" Type="http://schemas.openxmlformats.org/officeDocument/2006/relationships/hyperlink" Target="https://ncgtc.sdpondemand.manageengine.in/app/apphelpdesk/ui/requests/14047000006540366/details" TargetMode="External"/><Relationship Id="rId2811" Type="http://schemas.openxmlformats.org/officeDocument/2006/relationships/hyperlink" Target="https://ncgtc.sdpondemand.manageengine.in/app/apphelpdesk/ui/requests/14047000006540337/details" TargetMode="External"/><Relationship Id="rId2810" Type="http://schemas.openxmlformats.org/officeDocument/2006/relationships/hyperlink" Target="https://ncgtc.sdpondemand.manageengine.in/app/apphelpdesk/ui/requests/14047000006540318/details" TargetMode="External"/><Relationship Id="rId281" Type="http://schemas.openxmlformats.org/officeDocument/2006/relationships/hyperlink" Target="https://ncgtc.sdpondemand.manageengine.in/app/apphelpdesk/ui/requests/14047000005922531/details" TargetMode="External"/><Relationship Id="rId2809" Type="http://schemas.openxmlformats.org/officeDocument/2006/relationships/hyperlink" Target="https://ncgtc.sdpondemand.manageengine.in/app/apphelpdesk/ui/requests/14047000006540250/details" TargetMode="External"/><Relationship Id="rId2808" Type="http://schemas.openxmlformats.org/officeDocument/2006/relationships/hyperlink" Target="https://ncgtc.sdpondemand.manageengine.in/app/apphelpdesk/ui/requests/14047000006540228/details" TargetMode="External"/><Relationship Id="rId2807" Type="http://schemas.openxmlformats.org/officeDocument/2006/relationships/hyperlink" Target="https://ncgtc.sdpondemand.manageengine.in/app/apphelpdesk/ui/requests/14047000006540217/details" TargetMode="External"/><Relationship Id="rId2806" Type="http://schemas.openxmlformats.org/officeDocument/2006/relationships/hyperlink" Target="https://ncgtc.sdpondemand.manageengine.in/app/apphelpdesk/ui/requests/14047000006540196/details" TargetMode="External"/><Relationship Id="rId2805" Type="http://schemas.openxmlformats.org/officeDocument/2006/relationships/hyperlink" Target="https://ncgtc.sdpondemand.manageengine.in/app/apphelpdesk/ui/requests/14047000006540174/details" TargetMode="External"/><Relationship Id="rId2804" Type="http://schemas.openxmlformats.org/officeDocument/2006/relationships/hyperlink" Target="https://ncgtc.sdpondemand.manageengine.in/app/apphelpdesk/ui/requests/14047000006540135/details" TargetMode="External"/><Relationship Id="rId2803" Type="http://schemas.openxmlformats.org/officeDocument/2006/relationships/hyperlink" Target="https://ncgtc.sdpondemand.manageengine.in/app/apphelpdesk/ui/requests/14047000006540112/details" TargetMode="External"/><Relationship Id="rId2802" Type="http://schemas.openxmlformats.org/officeDocument/2006/relationships/hyperlink" Target="https://ncgtc.sdpondemand.manageengine.in/app/apphelpdesk/ui/requests/14047000006540102/details" TargetMode="External"/><Relationship Id="rId2801" Type="http://schemas.openxmlformats.org/officeDocument/2006/relationships/hyperlink" Target="https://ncgtc.sdpondemand.manageengine.in/app/apphelpdesk/ui/requests/14047000006540094/details" TargetMode="External"/><Relationship Id="rId2800" Type="http://schemas.openxmlformats.org/officeDocument/2006/relationships/hyperlink" Target="https://ncgtc.sdpondemand.manageengine.in/app/apphelpdesk/ui/requests/14047000006540085/details" TargetMode="External"/><Relationship Id="rId280" Type="http://schemas.openxmlformats.org/officeDocument/2006/relationships/hyperlink" Target="https://ncgtc.sdpondemand.manageengine.in/app/apphelpdesk/ui/requests/14047000005922500/details" TargetMode="External"/><Relationship Id="rId28" Type="http://schemas.openxmlformats.org/officeDocument/2006/relationships/hyperlink" Target="https://ncgtc.sdpondemand.manageengine.in/app/apphelpdesk/ui/requests/14047000005854721/details" TargetMode="External"/><Relationship Id="rId2799" Type="http://schemas.openxmlformats.org/officeDocument/2006/relationships/hyperlink" Target="https://ncgtc.sdpondemand.manageengine.in/app/apphelpdesk/ui/requests/14047000006540049/details" TargetMode="External"/><Relationship Id="rId2798" Type="http://schemas.openxmlformats.org/officeDocument/2006/relationships/hyperlink" Target="https://ncgtc.sdpondemand.manageengine.in/app/apphelpdesk/ui/requests/14047000006540036/details" TargetMode="External"/><Relationship Id="rId2797" Type="http://schemas.openxmlformats.org/officeDocument/2006/relationships/hyperlink" Target="https://ncgtc.sdpondemand.manageengine.in/app/apphelpdesk/ui/requests/14047000006540010/details" TargetMode="External"/><Relationship Id="rId2796" Type="http://schemas.openxmlformats.org/officeDocument/2006/relationships/hyperlink" Target="https://ncgtc.sdpondemand.manageengine.in/app/apphelpdesk/ui/requests/14047000006538997/details" TargetMode="External"/><Relationship Id="rId2795" Type="http://schemas.openxmlformats.org/officeDocument/2006/relationships/hyperlink" Target="https://ncgtc.sdpondemand.manageengine.in/app/apphelpdesk/ui/requests/14047000006538982/details" TargetMode="External"/><Relationship Id="rId2794" Type="http://schemas.openxmlformats.org/officeDocument/2006/relationships/hyperlink" Target="https://ncgtc.sdpondemand.manageengine.in/app/apphelpdesk/ui/requests/14047000006538831/details" TargetMode="External"/><Relationship Id="rId2793" Type="http://schemas.openxmlformats.org/officeDocument/2006/relationships/hyperlink" Target="https://ncgtc.sdpondemand.manageengine.in/app/apphelpdesk/ui/requests/14047000006538736/details" TargetMode="External"/><Relationship Id="rId2792" Type="http://schemas.openxmlformats.org/officeDocument/2006/relationships/hyperlink" Target="https://ncgtc.sdpondemand.manageengine.in/app/apphelpdesk/ui/requests/14047000006538636/details" TargetMode="External"/><Relationship Id="rId2791" Type="http://schemas.openxmlformats.org/officeDocument/2006/relationships/hyperlink" Target="https://ncgtc.sdpondemand.manageengine.in/app/apphelpdesk/ui/requests/14047000006538582/details" TargetMode="External"/><Relationship Id="rId2790" Type="http://schemas.openxmlformats.org/officeDocument/2006/relationships/hyperlink" Target="https://ncgtc.sdpondemand.manageengine.in/app/apphelpdesk/ui/requests/14047000006538430/details" TargetMode="External"/><Relationship Id="rId279" Type="http://schemas.openxmlformats.org/officeDocument/2006/relationships/hyperlink" Target="https://ncgtc.sdpondemand.manageengine.in/app/apphelpdesk/ui/requests/14047000005922473/details" TargetMode="External"/><Relationship Id="rId2789" Type="http://schemas.openxmlformats.org/officeDocument/2006/relationships/hyperlink" Target="https://ncgtc.sdpondemand.manageengine.in/app/apphelpdesk/ui/requests/14047000006538397/details" TargetMode="External"/><Relationship Id="rId2788" Type="http://schemas.openxmlformats.org/officeDocument/2006/relationships/hyperlink" Target="https://ncgtc.sdpondemand.manageengine.in/app/apphelpdesk/ui/requests/14047000006538354/details" TargetMode="External"/><Relationship Id="rId2787" Type="http://schemas.openxmlformats.org/officeDocument/2006/relationships/hyperlink" Target="https://ncgtc.sdpondemand.manageengine.in/app/apphelpdesk/ui/requests/14047000006538309/details" TargetMode="External"/><Relationship Id="rId2786" Type="http://schemas.openxmlformats.org/officeDocument/2006/relationships/hyperlink" Target="https://ncgtc.sdpondemand.manageengine.in/app/apphelpdesk/ui/requests/14047000006538301/details" TargetMode="External"/><Relationship Id="rId2785" Type="http://schemas.openxmlformats.org/officeDocument/2006/relationships/hyperlink" Target="https://ncgtc.sdpondemand.manageengine.in/app/apphelpdesk/ui/requests/14047000006538291/details" TargetMode="External"/><Relationship Id="rId2784" Type="http://schemas.openxmlformats.org/officeDocument/2006/relationships/hyperlink" Target="https://ncgtc.sdpondemand.manageengine.in/app/apphelpdesk/ui/requests/14047000006538270/details" TargetMode="External"/><Relationship Id="rId2783" Type="http://schemas.openxmlformats.org/officeDocument/2006/relationships/hyperlink" Target="https://ncgtc.sdpondemand.manageengine.in/app/apphelpdesk/ui/requests/14047000006538204/details" TargetMode="External"/><Relationship Id="rId2782" Type="http://schemas.openxmlformats.org/officeDocument/2006/relationships/hyperlink" Target="https://ncgtc.sdpondemand.manageengine.in/app/apphelpdesk/ui/requests/14047000006538002/details" TargetMode="External"/><Relationship Id="rId2781" Type="http://schemas.openxmlformats.org/officeDocument/2006/relationships/hyperlink" Target="https://ncgtc.sdpondemand.manageengine.in/app/apphelpdesk/ui/requests/14047000006533071/details" TargetMode="External"/><Relationship Id="rId2780" Type="http://schemas.openxmlformats.org/officeDocument/2006/relationships/hyperlink" Target="https://ncgtc.sdpondemand.manageengine.in/app/apphelpdesk/ui/requests/14047000006525956/details" TargetMode="External"/><Relationship Id="rId278" Type="http://schemas.openxmlformats.org/officeDocument/2006/relationships/hyperlink" Target="https://ncgtc.sdpondemand.manageengine.in/app/apphelpdesk/ui/requests/14047000005922444/details" TargetMode="External"/><Relationship Id="rId2779" Type="http://schemas.openxmlformats.org/officeDocument/2006/relationships/hyperlink" Target="https://ncgtc.sdpondemand.manageengine.in/app/apphelpdesk/ui/requests/14047000006525947/details" TargetMode="External"/><Relationship Id="rId2778" Type="http://schemas.openxmlformats.org/officeDocument/2006/relationships/hyperlink" Target="https://ncgtc.sdpondemand.manageengine.in/app/apphelpdesk/ui/requests/14047000006525916/details" TargetMode="External"/><Relationship Id="rId2777" Type="http://schemas.openxmlformats.org/officeDocument/2006/relationships/hyperlink" Target="https://ncgtc.sdpondemand.manageengine.in/app/apphelpdesk/ui/requests/14047000006525872/details" TargetMode="External"/><Relationship Id="rId2776" Type="http://schemas.openxmlformats.org/officeDocument/2006/relationships/hyperlink" Target="https://ncgtc.sdpondemand.manageengine.in/app/apphelpdesk/ui/requests/14047000006525848/details" TargetMode="External"/><Relationship Id="rId2775" Type="http://schemas.openxmlformats.org/officeDocument/2006/relationships/hyperlink" Target="https://ncgtc.sdpondemand.manageengine.in/app/apphelpdesk/ui/requests/14047000006525823/details" TargetMode="External"/><Relationship Id="rId2774" Type="http://schemas.openxmlformats.org/officeDocument/2006/relationships/hyperlink" Target="https://ncgtc.sdpondemand.manageengine.in/app/apphelpdesk/ui/requests/14047000006525788/details" TargetMode="External"/><Relationship Id="rId2773" Type="http://schemas.openxmlformats.org/officeDocument/2006/relationships/hyperlink" Target="https://ncgtc.sdpondemand.manageengine.in/app/apphelpdesk/ui/requests/14047000006525779/details" TargetMode="External"/><Relationship Id="rId2772" Type="http://schemas.openxmlformats.org/officeDocument/2006/relationships/hyperlink" Target="https://ncgtc.sdpondemand.manageengine.in/app/apphelpdesk/ui/requests/14047000006525732/details" TargetMode="External"/><Relationship Id="rId2771" Type="http://schemas.openxmlformats.org/officeDocument/2006/relationships/hyperlink" Target="https://ncgtc.sdpondemand.manageengine.in/app/apphelpdesk/ui/requests/14047000006525691/details" TargetMode="External"/><Relationship Id="rId2770" Type="http://schemas.openxmlformats.org/officeDocument/2006/relationships/hyperlink" Target="https://ncgtc.sdpondemand.manageengine.in/app/apphelpdesk/ui/requests/14047000006525670/details" TargetMode="External"/><Relationship Id="rId277" Type="http://schemas.openxmlformats.org/officeDocument/2006/relationships/hyperlink" Target="https://ncgtc.sdpondemand.manageengine.in/app/apphelpdesk/ui/requests/14047000005922425/details" TargetMode="External"/><Relationship Id="rId2769" Type="http://schemas.openxmlformats.org/officeDocument/2006/relationships/hyperlink" Target="https://ncgtc.sdpondemand.manageengine.in/app/apphelpdesk/ui/requests/14047000006525660/details" TargetMode="External"/><Relationship Id="rId2768" Type="http://schemas.openxmlformats.org/officeDocument/2006/relationships/hyperlink" Target="https://ncgtc.sdpondemand.manageengine.in/app/apphelpdesk/ui/requests/14047000006525631/details" TargetMode="External"/><Relationship Id="rId2767" Type="http://schemas.openxmlformats.org/officeDocument/2006/relationships/hyperlink" Target="https://ncgtc.sdpondemand.manageengine.in/app/apphelpdesk/ui/requests/14047000006525618/details" TargetMode="External"/><Relationship Id="rId2766" Type="http://schemas.openxmlformats.org/officeDocument/2006/relationships/hyperlink" Target="https://ncgtc.sdpondemand.manageengine.in/app/apphelpdesk/ui/requests/14047000006525576/details" TargetMode="External"/><Relationship Id="rId2765" Type="http://schemas.openxmlformats.org/officeDocument/2006/relationships/hyperlink" Target="https://ncgtc.sdpondemand.manageengine.in/app/apphelpdesk/ui/requests/14047000006525567/details" TargetMode="External"/><Relationship Id="rId2764" Type="http://schemas.openxmlformats.org/officeDocument/2006/relationships/hyperlink" Target="https://ncgtc.sdpondemand.manageengine.in/app/apphelpdesk/ui/requests/14047000006525527/details" TargetMode="External"/><Relationship Id="rId2763" Type="http://schemas.openxmlformats.org/officeDocument/2006/relationships/hyperlink" Target="https://ncgtc.sdpondemand.manageengine.in/app/apphelpdesk/ui/requests/14047000006525486/details" TargetMode="External"/><Relationship Id="rId2762" Type="http://schemas.openxmlformats.org/officeDocument/2006/relationships/hyperlink" Target="https://ncgtc.sdpondemand.manageengine.in/app/apphelpdesk/ui/requests/14047000006525460/details" TargetMode="External"/><Relationship Id="rId2761" Type="http://schemas.openxmlformats.org/officeDocument/2006/relationships/hyperlink" Target="https://ncgtc.sdpondemand.manageengine.in/app/apphelpdesk/ui/requests/14047000006525445/details" TargetMode="External"/><Relationship Id="rId2760" Type="http://schemas.openxmlformats.org/officeDocument/2006/relationships/hyperlink" Target="https://ncgtc.sdpondemand.manageengine.in/app/apphelpdesk/ui/requests/14047000006525429/details" TargetMode="External"/><Relationship Id="rId276" Type="http://schemas.openxmlformats.org/officeDocument/2006/relationships/hyperlink" Target="https://ncgtc.sdpondemand.manageengine.in/app/apphelpdesk/ui/requests/14047000005922400/details" TargetMode="External"/><Relationship Id="rId2759" Type="http://schemas.openxmlformats.org/officeDocument/2006/relationships/hyperlink" Target="https://ncgtc.sdpondemand.manageengine.in/app/apphelpdesk/ui/requests/14047000006525416/details" TargetMode="External"/><Relationship Id="rId2758" Type="http://schemas.openxmlformats.org/officeDocument/2006/relationships/hyperlink" Target="https://ncgtc.sdpondemand.manageengine.in/app/apphelpdesk/ui/requests/14047000006525379/details" TargetMode="External"/><Relationship Id="rId2757" Type="http://schemas.openxmlformats.org/officeDocument/2006/relationships/hyperlink" Target="https://ncgtc.sdpondemand.manageengine.in/app/apphelpdesk/ui/requests/14047000006525346/details" TargetMode="External"/><Relationship Id="rId2756" Type="http://schemas.openxmlformats.org/officeDocument/2006/relationships/hyperlink" Target="https://ncgtc.sdpondemand.manageengine.in/app/apphelpdesk/ui/requests/14047000006525315/details" TargetMode="External"/><Relationship Id="rId2755" Type="http://schemas.openxmlformats.org/officeDocument/2006/relationships/hyperlink" Target="https://ncgtc.sdpondemand.manageengine.in/app/apphelpdesk/ui/requests/14047000006525296/details" TargetMode="External"/><Relationship Id="rId2754" Type="http://schemas.openxmlformats.org/officeDocument/2006/relationships/hyperlink" Target="https://ncgtc.sdpondemand.manageengine.in/app/apphelpdesk/ui/requests/14047000006525233/details" TargetMode="External"/><Relationship Id="rId2753" Type="http://schemas.openxmlformats.org/officeDocument/2006/relationships/hyperlink" Target="https://ncgtc.sdpondemand.manageengine.in/app/apphelpdesk/ui/requests/14047000006525202/details" TargetMode="External"/><Relationship Id="rId2752" Type="http://schemas.openxmlformats.org/officeDocument/2006/relationships/hyperlink" Target="https://ncgtc.sdpondemand.manageengine.in/app/apphelpdesk/ui/requests/14047000006525165/details" TargetMode="External"/><Relationship Id="rId2751" Type="http://schemas.openxmlformats.org/officeDocument/2006/relationships/hyperlink" Target="https://ncgtc.sdpondemand.manageengine.in/app/apphelpdesk/ui/requests/14047000006525131/details" TargetMode="External"/><Relationship Id="rId2750" Type="http://schemas.openxmlformats.org/officeDocument/2006/relationships/hyperlink" Target="https://ncgtc.sdpondemand.manageengine.in/app/apphelpdesk/ui/requests/14047000006525115/details" TargetMode="External"/><Relationship Id="rId275" Type="http://schemas.openxmlformats.org/officeDocument/2006/relationships/hyperlink" Target="https://ncgtc.sdpondemand.manageengine.in/app/apphelpdesk/ui/requests/14047000005922347/details" TargetMode="External"/><Relationship Id="rId2749" Type="http://schemas.openxmlformats.org/officeDocument/2006/relationships/hyperlink" Target="https://ncgtc.sdpondemand.manageengine.in/app/apphelpdesk/ui/requests/14047000006523040/details" TargetMode="External"/><Relationship Id="rId2748" Type="http://schemas.openxmlformats.org/officeDocument/2006/relationships/hyperlink" Target="https://ncgtc.sdpondemand.manageengine.in/app/apphelpdesk/ui/requests/14047000006523024/details" TargetMode="External"/><Relationship Id="rId2747" Type="http://schemas.openxmlformats.org/officeDocument/2006/relationships/hyperlink" Target="https://ncgtc.sdpondemand.manageengine.in/app/apphelpdesk/ui/requests/14047000006523010/details" TargetMode="External"/><Relationship Id="rId2746" Type="http://schemas.openxmlformats.org/officeDocument/2006/relationships/hyperlink" Target="https://ncgtc.sdpondemand.manageengine.in/app/apphelpdesk/ui/requests/14047000006523001/details" TargetMode="External"/><Relationship Id="rId2745" Type="http://schemas.openxmlformats.org/officeDocument/2006/relationships/hyperlink" Target="https://ncgtc.sdpondemand.manageengine.in/app/apphelpdesk/ui/requests/14047000006506998/details" TargetMode="External"/><Relationship Id="rId2744" Type="http://schemas.openxmlformats.org/officeDocument/2006/relationships/hyperlink" Target="https://ncgtc.sdpondemand.manageengine.in/app/apphelpdesk/ui/requests/14047000006506983/details" TargetMode="External"/><Relationship Id="rId2743" Type="http://schemas.openxmlformats.org/officeDocument/2006/relationships/hyperlink" Target="https://ncgtc.sdpondemand.manageengine.in/app/apphelpdesk/ui/requests/14047000006506943/details" TargetMode="External"/><Relationship Id="rId2742" Type="http://schemas.openxmlformats.org/officeDocument/2006/relationships/hyperlink" Target="https://ncgtc.sdpondemand.manageengine.in/app/apphelpdesk/ui/requests/14047000006506928/details" TargetMode="External"/><Relationship Id="rId2741" Type="http://schemas.openxmlformats.org/officeDocument/2006/relationships/hyperlink" Target="https://ncgtc.sdpondemand.manageengine.in/app/apphelpdesk/ui/requests/14047000006506915/details" TargetMode="External"/><Relationship Id="rId2740" Type="http://schemas.openxmlformats.org/officeDocument/2006/relationships/hyperlink" Target="https://ncgtc.sdpondemand.manageengine.in/app/apphelpdesk/ui/requests/14047000006506900/details" TargetMode="External"/><Relationship Id="rId274" Type="http://schemas.openxmlformats.org/officeDocument/2006/relationships/hyperlink" Target="https://ncgtc.sdpondemand.manageengine.in/app/apphelpdesk/ui/requests/14047000005922321/details" TargetMode="External"/><Relationship Id="rId2739" Type="http://schemas.openxmlformats.org/officeDocument/2006/relationships/hyperlink" Target="https://ncgtc.sdpondemand.manageengine.in/app/apphelpdesk/ui/requests/14047000006506861/details" TargetMode="External"/><Relationship Id="rId2738" Type="http://schemas.openxmlformats.org/officeDocument/2006/relationships/hyperlink" Target="https://ncgtc.sdpondemand.manageengine.in/app/apphelpdesk/ui/requests/14047000006506835/details" TargetMode="External"/><Relationship Id="rId2737" Type="http://schemas.openxmlformats.org/officeDocument/2006/relationships/hyperlink" Target="https://ncgtc.sdpondemand.manageengine.in/app/apphelpdesk/ui/requests/14047000006506812/details" TargetMode="External"/><Relationship Id="rId2736" Type="http://schemas.openxmlformats.org/officeDocument/2006/relationships/hyperlink" Target="https://ncgtc.sdpondemand.manageengine.in/app/apphelpdesk/ui/requests/14047000006506803/details" TargetMode="External"/><Relationship Id="rId2735" Type="http://schemas.openxmlformats.org/officeDocument/2006/relationships/hyperlink" Target="https://ncgtc.sdpondemand.manageengine.in/app/apphelpdesk/ui/requests/14047000006506780/details" TargetMode="External"/><Relationship Id="rId2734" Type="http://schemas.openxmlformats.org/officeDocument/2006/relationships/hyperlink" Target="https://ncgtc.sdpondemand.manageengine.in/app/apphelpdesk/ui/requests/14047000006506665/details" TargetMode="External"/><Relationship Id="rId2733" Type="http://schemas.openxmlformats.org/officeDocument/2006/relationships/hyperlink" Target="https://ncgtc.sdpondemand.manageengine.in/app/apphelpdesk/ui/requests/14047000006506603/details" TargetMode="External"/><Relationship Id="rId2732" Type="http://schemas.openxmlformats.org/officeDocument/2006/relationships/hyperlink" Target="https://ncgtc.sdpondemand.manageengine.in/app/apphelpdesk/ui/requests/14047000006506546/details" TargetMode="External"/><Relationship Id="rId2731" Type="http://schemas.openxmlformats.org/officeDocument/2006/relationships/hyperlink" Target="https://ncgtc.sdpondemand.manageengine.in/app/apphelpdesk/ui/requests/14047000006506526/details" TargetMode="External"/><Relationship Id="rId2730" Type="http://schemas.openxmlformats.org/officeDocument/2006/relationships/hyperlink" Target="https://ncgtc.sdpondemand.manageengine.in/app/apphelpdesk/ui/requests/14047000006506460/details" TargetMode="External"/><Relationship Id="rId273" Type="http://schemas.openxmlformats.org/officeDocument/2006/relationships/hyperlink" Target="https://ncgtc.sdpondemand.manageengine.in/app/apphelpdesk/ui/requests/14047000005922294/details" TargetMode="External"/><Relationship Id="rId2729" Type="http://schemas.openxmlformats.org/officeDocument/2006/relationships/hyperlink" Target="https://ncgtc.sdpondemand.manageengine.in/app/apphelpdesk/ui/requests/14047000006506451/details" TargetMode="External"/><Relationship Id="rId2728" Type="http://schemas.openxmlformats.org/officeDocument/2006/relationships/hyperlink" Target="https://ncgtc.sdpondemand.manageengine.in/app/apphelpdesk/ui/requests/14047000006506434/details" TargetMode="External"/><Relationship Id="rId2727" Type="http://schemas.openxmlformats.org/officeDocument/2006/relationships/hyperlink" Target="https://ncgtc.sdpondemand.manageengine.in/app/apphelpdesk/ui/requests/14047000006506424/details" TargetMode="External"/><Relationship Id="rId2726" Type="http://schemas.openxmlformats.org/officeDocument/2006/relationships/hyperlink" Target="https://ncgtc.sdpondemand.manageengine.in/app/apphelpdesk/ui/requests/14047000006506416/details" TargetMode="External"/><Relationship Id="rId2725" Type="http://schemas.openxmlformats.org/officeDocument/2006/relationships/hyperlink" Target="https://ncgtc.sdpondemand.manageengine.in/app/apphelpdesk/ui/requests/14047000006506391/details" TargetMode="External"/><Relationship Id="rId2724" Type="http://schemas.openxmlformats.org/officeDocument/2006/relationships/hyperlink" Target="https://ncgtc.sdpondemand.manageengine.in/app/apphelpdesk/ui/requests/14047000006506364/details" TargetMode="External"/><Relationship Id="rId2723" Type="http://schemas.openxmlformats.org/officeDocument/2006/relationships/hyperlink" Target="https://ncgtc.sdpondemand.manageengine.in/app/apphelpdesk/ui/requests/14047000006506221/details" TargetMode="External"/><Relationship Id="rId2722" Type="http://schemas.openxmlformats.org/officeDocument/2006/relationships/hyperlink" Target="https://ncgtc.sdpondemand.manageengine.in/app/apphelpdesk/ui/requests/14047000006506181/details" TargetMode="External"/><Relationship Id="rId2721" Type="http://schemas.openxmlformats.org/officeDocument/2006/relationships/hyperlink" Target="https://ncgtc.sdpondemand.manageengine.in/app/apphelpdesk/ui/requests/14047000006506167/details" TargetMode="External"/><Relationship Id="rId2720" Type="http://schemas.openxmlformats.org/officeDocument/2006/relationships/hyperlink" Target="https://ncgtc.sdpondemand.manageengine.in/app/apphelpdesk/ui/requests/14047000006506131/details" TargetMode="External"/><Relationship Id="rId272" Type="http://schemas.openxmlformats.org/officeDocument/2006/relationships/hyperlink" Target="https://ncgtc.sdpondemand.manageengine.in/app/apphelpdesk/ui/requests/14047000005922258/details" TargetMode="External"/><Relationship Id="rId2719" Type="http://schemas.openxmlformats.org/officeDocument/2006/relationships/hyperlink" Target="https://ncgtc.sdpondemand.manageengine.in/app/apphelpdesk/ui/requests/14047000006506122/details" TargetMode="External"/><Relationship Id="rId2718" Type="http://schemas.openxmlformats.org/officeDocument/2006/relationships/hyperlink" Target="https://ncgtc.sdpondemand.manageengine.in/app/apphelpdesk/ui/requests/14047000006506090/details" TargetMode="External"/><Relationship Id="rId2717" Type="http://schemas.openxmlformats.org/officeDocument/2006/relationships/hyperlink" Target="https://ncgtc.sdpondemand.manageengine.in/app/apphelpdesk/ui/requests/14047000006506035/details" TargetMode="External"/><Relationship Id="rId2716" Type="http://schemas.openxmlformats.org/officeDocument/2006/relationships/hyperlink" Target="https://ncgtc.sdpondemand.manageengine.in/app/apphelpdesk/ui/requests/14047000006491094/details" TargetMode="External"/><Relationship Id="rId2715" Type="http://schemas.openxmlformats.org/officeDocument/2006/relationships/hyperlink" Target="https://ncgtc.sdpondemand.manageengine.in/app/apphelpdesk/ui/requests/14047000006491085/details" TargetMode="External"/><Relationship Id="rId2714" Type="http://schemas.openxmlformats.org/officeDocument/2006/relationships/hyperlink" Target="https://ncgtc.sdpondemand.manageengine.in/app/apphelpdesk/ui/requests/14047000006491054/details" TargetMode="External"/><Relationship Id="rId2713" Type="http://schemas.openxmlformats.org/officeDocument/2006/relationships/hyperlink" Target="https://ncgtc.sdpondemand.manageengine.in/app/apphelpdesk/ui/requests/14047000006491026/details" TargetMode="External"/><Relationship Id="rId2712" Type="http://schemas.openxmlformats.org/officeDocument/2006/relationships/hyperlink" Target="https://ncgtc.sdpondemand.manageengine.in/app/apphelpdesk/ui/requests/14047000006491006/details" TargetMode="External"/><Relationship Id="rId2711" Type="http://schemas.openxmlformats.org/officeDocument/2006/relationships/hyperlink" Target="https://ncgtc.sdpondemand.manageengine.in/app/apphelpdesk/ui/requests/14047000006486751/details" TargetMode="External"/><Relationship Id="rId2710" Type="http://schemas.openxmlformats.org/officeDocument/2006/relationships/hyperlink" Target="https://ncgtc.sdpondemand.manageengine.in/app/apphelpdesk/ui/requests/14047000006486737/details" TargetMode="External"/><Relationship Id="rId271" Type="http://schemas.openxmlformats.org/officeDocument/2006/relationships/hyperlink" Target="https://ncgtc.sdpondemand.manageengine.in/app/apphelpdesk/ui/requests/14047000005922245/details" TargetMode="External"/><Relationship Id="rId2709" Type="http://schemas.openxmlformats.org/officeDocument/2006/relationships/hyperlink" Target="https://ncgtc.sdpondemand.manageengine.in/app/apphelpdesk/ui/requests/14047000006486661/details" TargetMode="External"/><Relationship Id="rId2708" Type="http://schemas.openxmlformats.org/officeDocument/2006/relationships/hyperlink" Target="https://ncgtc.sdpondemand.manageengine.in/app/apphelpdesk/ui/requests/14047000006486592/details" TargetMode="External"/><Relationship Id="rId2707" Type="http://schemas.openxmlformats.org/officeDocument/2006/relationships/hyperlink" Target="https://ncgtc.sdpondemand.manageengine.in/app/apphelpdesk/ui/requests/14047000006486532/details" TargetMode="External"/><Relationship Id="rId2706" Type="http://schemas.openxmlformats.org/officeDocument/2006/relationships/hyperlink" Target="https://ncgtc.sdpondemand.manageengine.in/app/apphelpdesk/ui/requests/14047000006486510/details" TargetMode="External"/><Relationship Id="rId2705" Type="http://schemas.openxmlformats.org/officeDocument/2006/relationships/hyperlink" Target="https://ncgtc.sdpondemand.manageengine.in/app/apphelpdesk/ui/requests/14047000006486488/details" TargetMode="External"/><Relationship Id="rId2704" Type="http://schemas.openxmlformats.org/officeDocument/2006/relationships/hyperlink" Target="https://ncgtc.sdpondemand.manageengine.in/app/apphelpdesk/ui/requests/14047000006486395/details" TargetMode="External"/><Relationship Id="rId2703" Type="http://schemas.openxmlformats.org/officeDocument/2006/relationships/hyperlink" Target="https://ncgtc.sdpondemand.manageengine.in/app/apphelpdesk/ui/requests/14047000006486387/details" TargetMode="External"/><Relationship Id="rId2702" Type="http://schemas.openxmlformats.org/officeDocument/2006/relationships/hyperlink" Target="https://ncgtc.sdpondemand.manageengine.in/app/apphelpdesk/ui/requests/14047000006486367/details" TargetMode="External"/><Relationship Id="rId2701" Type="http://schemas.openxmlformats.org/officeDocument/2006/relationships/hyperlink" Target="https://ncgtc.sdpondemand.manageengine.in/app/apphelpdesk/ui/requests/14047000006486331/details" TargetMode="External"/><Relationship Id="rId2700" Type="http://schemas.openxmlformats.org/officeDocument/2006/relationships/hyperlink" Target="https://ncgtc.sdpondemand.manageengine.in/app/apphelpdesk/ui/requests/14047000006486315/details" TargetMode="External"/><Relationship Id="rId270" Type="http://schemas.openxmlformats.org/officeDocument/2006/relationships/hyperlink" Target="https://ncgtc.sdpondemand.manageengine.in/app/apphelpdesk/ui/requests/14047000005922197/details" TargetMode="External"/><Relationship Id="rId27" Type="http://schemas.openxmlformats.org/officeDocument/2006/relationships/hyperlink" Target="https://ncgtc.sdpondemand.manageengine.in/app/apphelpdesk/ui/requests/14047000005854691/details" TargetMode="External"/><Relationship Id="rId2699" Type="http://schemas.openxmlformats.org/officeDocument/2006/relationships/hyperlink" Target="https://ncgtc.sdpondemand.manageengine.in/app/apphelpdesk/ui/requests/14047000006486301/details" TargetMode="External"/><Relationship Id="rId2698" Type="http://schemas.openxmlformats.org/officeDocument/2006/relationships/hyperlink" Target="https://ncgtc.sdpondemand.manageengine.in/app/apphelpdesk/ui/requests/14047000006486291/details" TargetMode="External"/><Relationship Id="rId2697" Type="http://schemas.openxmlformats.org/officeDocument/2006/relationships/hyperlink" Target="https://ncgtc.sdpondemand.manageengine.in/app/apphelpdesk/ui/requests/14047000006486198/details" TargetMode="External"/><Relationship Id="rId2696" Type="http://schemas.openxmlformats.org/officeDocument/2006/relationships/hyperlink" Target="https://ncgtc.sdpondemand.manageengine.in/app/apphelpdesk/ui/requests/14047000006486177/details" TargetMode="External"/><Relationship Id="rId2695" Type="http://schemas.openxmlformats.org/officeDocument/2006/relationships/hyperlink" Target="https://ncgtc.sdpondemand.manageengine.in/app/apphelpdesk/ui/requests/14047000006486156/details" TargetMode="External"/><Relationship Id="rId2694" Type="http://schemas.openxmlformats.org/officeDocument/2006/relationships/hyperlink" Target="https://ncgtc.sdpondemand.manageengine.in/app/apphelpdesk/ui/requests/14047000006486133/details" TargetMode="External"/><Relationship Id="rId2693" Type="http://schemas.openxmlformats.org/officeDocument/2006/relationships/hyperlink" Target="https://ncgtc.sdpondemand.manageengine.in/app/apphelpdesk/ui/requests/14047000006486124/details" TargetMode="External"/><Relationship Id="rId2692" Type="http://schemas.openxmlformats.org/officeDocument/2006/relationships/hyperlink" Target="https://ncgtc.sdpondemand.manageengine.in/app/apphelpdesk/ui/requests/14047000006486114/details" TargetMode="External"/><Relationship Id="rId2691" Type="http://schemas.openxmlformats.org/officeDocument/2006/relationships/hyperlink" Target="https://ncgtc.sdpondemand.manageengine.in/app/apphelpdesk/ui/requests/14047000006486106/details" TargetMode="External"/><Relationship Id="rId2690" Type="http://schemas.openxmlformats.org/officeDocument/2006/relationships/hyperlink" Target="https://ncgtc.sdpondemand.manageengine.in/app/apphelpdesk/ui/requests/14047000006486025/details" TargetMode="External"/><Relationship Id="rId269" Type="http://schemas.openxmlformats.org/officeDocument/2006/relationships/hyperlink" Target="https://ncgtc.sdpondemand.manageengine.in/app/apphelpdesk/ui/requests/14047000005922158/details" TargetMode="External"/><Relationship Id="rId2689" Type="http://schemas.openxmlformats.org/officeDocument/2006/relationships/hyperlink" Target="https://ncgtc.sdpondemand.manageengine.in/app/apphelpdesk/ui/requests/14047000006486006/details" TargetMode="External"/><Relationship Id="rId2688" Type="http://schemas.openxmlformats.org/officeDocument/2006/relationships/hyperlink" Target="https://ncgtc.sdpondemand.manageengine.in/app/apphelpdesk/ui/requests/14047000006481971/details" TargetMode="External"/><Relationship Id="rId2687" Type="http://schemas.openxmlformats.org/officeDocument/2006/relationships/hyperlink" Target="https://ncgtc.sdpondemand.manageengine.in/app/apphelpdesk/ui/requests/14047000006481935/details" TargetMode="External"/><Relationship Id="rId2686" Type="http://schemas.openxmlformats.org/officeDocument/2006/relationships/hyperlink" Target="https://ncgtc.sdpondemand.manageengine.in/app/apphelpdesk/ui/requests/14047000006481895/details" TargetMode="External"/><Relationship Id="rId2685" Type="http://schemas.openxmlformats.org/officeDocument/2006/relationships/hyperlink" Target="https://ncgtc.sdpondemand.manageengine.in/app/apphelpdesk/ui/requests/14047000006481847/details" TargetMode="External"/><Relationship Id="rId2684" Type="http://schemas.openxmlformats.org/officeDocument/2006/relationships/hyperlink" Target="https://ncgtc.sdpondemand.manageengine.in/app/apphelpdesk/ui/requests/14047000006481752/details" TargetMode="External"/><Relationship Id="rId2683" Type="http://schemas.openxmlformats.org/officeDocument/2006/relationships/hyperlink" Target="https://ncgtc.sdpondemand.manageengine.in/app/apphelpdesk/ui/requests/14047000006481743/details" TargetMode="External"/><Relationship Id="rId2682" Type="http://schemas.openxmlformats.org/officeDocument/2006/relationships/hyperlink" Target="https://ncgtc.sdpondemand.manageengine.in/app/apphelpdesk/ui/requests/14047000006481692/details" TargetMode="External"/><Relationship Id="rId2681" Type="http://schemas.openxmlformats.org/officeDocument/2006/relationships/hyperlink" Target="https://ncgtc.sdpondemand.manageengine.in/app/apphelpdesk/ui/requests/14047000006481677/details" TargetMode="External"/><Relationship Id="rId2680" Type="http://schemas.openxmlformats.org/officeDocument/2006/relationships/hyperlink" Target="https://ncgtc.sdpondemand.manageengine.in/app/apphelpdesk/ui/requests/14047000006481639/details" TargetMode="External"/><Relationship Id="rId268" Type="http://schemas.openxmlformats.org/officeDocument/2006/relationships/hyperlink" Target="https://ncgtc.sdpondemand.manageengine.in/app/apphelpdesk/ui/requests/14047000005922116/details" TargetMode="External"/><Relationship Id="rId2679" Type="http://schemas.openxmlformats.org/officeDocument/2006/relationships/hyperlink" Target="https://ncgtc.sdpondemand.manageengine.in/app/apphelpdesk/ui/requests/14047000006481625/details" TargetMode="External"/><Relationship Id="rId2678" Type="http://schemas.openxmlformats.org/officeDocument/2006/relationships/hyperlink" Target="https://ncgtc.sdpondemand.manageengine.in/app/apphelpdesk/ui/requests/14047000006481589/details" TargetMode="External"/><Relationship Id="rId2677" Type="http://schemas.openxmlformats.org/officeDocument/2006/relationships/hyperlink" Target="https://ncgtc.sdpondemand.manageengine.in/app/apphelpdesk/ui/requests/14047000006481540/details" TargetMode="External"/><Relationship Id="rId2676" Type="http://schemas.openxmlformats.org/officeDocument/2006/relationships/hyperlink" Target="https://ncgtc.sdpondemand.manageengine.in/app/apphelpdesk/ui/requests/14047000006481523/details" TargetMode="External"/><Relationship Id="rId2675" Type="http://schemas.openxmlformats.org/officeDocument/2006/relationships/hyperlink" Target="https://ncgtc.sdpondemand.manageengine.in/app/apphelpdesk/ui/requests/14047000006481466/details" TargetMode="External"/><Relationship Id="rId2674" Type="http://schemas.openxmlformats.org/officeDocument/2006/relationships/hyperlink" Target="https://ncgtc.sdpondemand.manageengine.in/app/apphelpdesk/ui/requests/14047000006481446/details" TargetMode="External"/><Relationship Id="rId2673" Type="http://schemas.openxmlformats.org/officeDocument/2006/relationships/hyperlink" Target="https://ncgtc.sdpondemand.manageengine.in/app/apphelpdesk/ui/requests/14047000006481427/details" TargetMode="External"/><Relationship Id="rId2672" Type="http://schemas.openxmlformats.org/officeDocument/2006/relationships/hyperlink" Target="https://ncgtc.sdpondemand.manageengine.in/app/apphelpdesk/ui/requests/14047000006481391/details" TargetMode="External"/><Relationship Id="rId2671" Type="http://schemas.openxmlformats.org/officeDocument/2006/relationships/hyperlink" Target="https://ncgtc.sdpondemand.manageengine.in/app/apphelpdesk/ui/requests/14047000006481267/details" TargetMode="External"/><Relationship Id="rId2670" Type="http://schemas.openxmlformats.org/officeDocument/2006/relationships/hyperlink" Target="https://ncgtc.sdpondemand.manageengine.in/app/apphelpdesk/ui/requests/14047000006481214/details" TargetMode="External"/><Relationship Id="rId267" Type="http://schemas.openxmlformats.org/officeDocument/2006/relationships/hyperlink" Target="https://ncgtc.sdpondemand.manageengine.in/app/apphelpdesk/ui/requests/14047000005922107/details" TargetMode="External"/><Relationship Id="rId2669" Type="http://schemas.openxmlformats.org/officeDocument/2006/relationships/hyperlink" Target="https://ncgtc.sdpondemand.manageengine.in/app/apphelpdesk/ui/requests/14047000006481193/details" TargetMode="External"/><Relationship Id="rId2668" Type="http://schemas.openxmlformats.org/officeDocument/2006/relationships/hyperlink" Target="https://ncgtc.sdpondemand.manageengine.in/app/apphelpdesk/ui/requests/14047000006481177/details" TargetMode="External"/><Relationship Id="rId2667" Type="http://schemas.openxmlformats.org/officeDocument/2006/relationships/hyperlink" Target="https://ncgtc.sdpondemand.manageengine.in/app/apphelpdesk/ui/requests/14047000006481149/details" TargetMode="External"/><Relationship Id="rId2666" Type="http://schemas.openxmlformats.org/officeDocument/2006/relationships/hyperlink" Target="https://ncgtc.sdpondemand.manageengine.in/app/apphelpdesk/ui/requests/14047000006481140/details" TargetMode="External"/><Relationship Id="rId2665" Type="http://schemas.openxmlformats.org/officeDocument/2006/relationships/hyperlink" Target="https://ncgtc.sdpondemand.manageengine.in/app/apphelpdesk/ui/requests/14047000006481125/details" TargetMode="External"/><Relationship Id="rId2664" Type="http://schemas.openxmlformats.org/officeDocument/2006/relationships/hyperlink" Target="https://ncgtc.sdpondemand.manageengine.in/app/apphelpdesk/ui/requests/14047000006481110/details" TargetMode="External"/><Relationship Id="rId2663" Type="http://schemas.openxmlformats.org/officeDocument/2006/relationships/hyperlink" Target="https://ncgtc.sdpondemand.manageengine.in/app/apphelpdesk/ui/requests/14047000006481098/details" TargetMode="External"/><Relationship Id="rId2662" Type="http://schemas.openxmlformats.org/officeDocument/2006/relationships/hyperlink" Target="https://ncgtc.sdpondemand.manageengine.in/app/apphelpdesk/ui/requests/14047000006481087/details" TargetMode="External"/><Relationship Id="rId2661" Type="http://schemas.openxmlformats.org/officeDocument/2006/relationships/hyperlink" Target="https://ncgtc.sdpondemand.manageengine.in/app/apphelpdesk/ui/requests/14047000006481079/details" TargetMode="External"/><Relationship Id="rId2660" Type="http://schemas.openxmlformats.org/officeDocument/2006/relationships/hyperlink" Target="https://ncgtc.sdpondemand.manageengine.in/app/apphelpdesk/ui/requests/14047000006481065/details" TargetMode="External"/><Relationship Id="rId266" Type="http://schemas.openxmlformats.org/officeDocument/2006/relationships/hyperlink" Target="https://ncgtc.sdpondemand.manageengine.in/app/apphelpdesk/ui/requests/14047000005922073/details" TargetMode="External"/><Relationship Id="rId2659" Type="http://schemas.openxmlformats.org/officeDocument/2006/relationships/hyperlink" Target="https://ncgtc.sdpondemand.manageengine.in/app/apphelpdesk/ui/requests/14047000006477935/details" TargetMode="External"/><Relationship Id="rId2658" Type="http://schemas.openxmlformats.org/officeDocument/2006/relationships/hyperlink" Target="https://ncgtc.sdpondemand.manageengine.in/app/apphelpdesk/ui/requests/14047000006477909/details" TargetMode="External"/><Relationship Id="rId2657" Type="http://schemas.openxmlformats.org/officeDocument/2006/relationships/hyperlink" Target="https://ncgtc.sdpondemand.manageengine.in/app/apphelpdesk/ui/requests/14047000006477900/details" TargetMode="External"/><Relationship Id="rId2656" Type="http://schemas.openxmlformats.org/officeDocument/2006/relationships/hyperlink" Target="https://ncgtc.sdpondemand.manageengine.in/app/apphelpdesk/ui/requests/14047000006477851/details" TargetMode="External"/><Relationship Id="rId2655" Type="http://schemas.openxmlformats.org/officeDocument/2006/relationships/hyperlink" Target="https://ncgtc.sdpondemand.manageengine.in/app/apphelpdesk/ui/requests/14047000006477824/details" TargetMode="External"/><Relationship Id="rId2654" Type="http://schemas.openxmlformats.org/officeDocument/2006/relationships/hyperlink" Target="https://ncgtc.sdpondemand.manageengine.in/app/apphelpdesk/ui/requests/14047000006477782/details" TargetMode="External"/><Relationship Id="rId2653" Type="http://schemas.openxmlformats.org/officeDocument/2006/relationships/hyperlink" Target="https://ncgtc.sdpondemand.manageengine.in/app/apphelpdesk/ui/requests/14047000006477728/details" TargetMode="External"/><Relationship Id="rId2652" Type="http://schemas.openxmlformats.org/officeDocument/2006/relationships/hyperlink" Target="https://ncgtc.sdpondemand.manageengine.in/app/apphelpdesk/ui/requests/14047000006477633/details" TargetMode="External"/><Relationship Id="rId2651" Type="http://schemas.openxmlformats.org/officeDocument/2006/relationships/hyperlink" Target="https://ncgtc.sdpondemand.manageengine.in/app/apphelpdesk/ui/requests/14047000006477598/details" TargetMode="External"/><Relationship Id="rId2650" Type="http://schemas.openxmlformats.org/officeDocument/2006/relationships/hyperlink" Target="https://ncgtc.sdpondemand.manageengine.in/app/apphelpdesk/ui/requests/14047000006477578/details" TargetMode="External"/><Relationship Id="rId265" Type="http://schemas.openxmlformats.org/officeDocument/2006/relationships/hyperlink" Target="https://ncgtc.sdpondemand.manageengine.in/app/apphelpdesk/ui/requests/14047000005922028/details" TargetMode="External"/><Relationship Id="rId2649" Type="http://schemas.openxmlformats.org/officeDocument/2006/relationships/hyperlink" Target="https://ncgtc.sdpondemand.manageengine.in/app/apphelpdesk/ui/requests/14047000006477568/details" TargetMode="External"/><Relationship Id="rId2648" Type="http://schemas.openxmlformats.org/officeDocument/2006/relationships/hyperlink" Target="https://ncgtc.sdpondemand.manageengine.in/app/apphelpdesk/ui/requests/14047000006477551/details" TargetMode="External"/><Relationship Id="rId2647" Type="http://schemas.openxmlformats.org/officeDocument/2006/relationships/hyperlink" Target="https://ncgtc.sdpondemand.manageengine.in/app/apphelpdesk/ui/requests/14047000006477533/details" TargetMode="External"/><Relationship Id="rId2646" Type="http://schemas.openxmlformats.org/officeDocument/2006/relationships/hyperlink" Target="https://ncgtc.sdpondemand.manageengine.in/app/apphelpdesk/ui/requests/14047000006477499/details" TargetMode="External"/><Relationship Id="rId2645" Type="http://schemas.openxmlformats.org/officeDocument/2006/relationships/hyperlink" Target="https://ncgtc.sdpondemand.manageengine.in/app/apphelpdesk/ui/requests/14047000006477466/details" TargetMode="External"/><Relationship Id="rId2644" Type="http://schemas.openxmlformats.org/officeDocument/2006/relationships/hyperlink" Target="https://ncgtc.sdpondemand.manageengine.in/app/apphelpdesk/ui/requests/14047000006477457/details" TargetMode="External"/><Relationship Id="rId2643" Type="http://schemas.openxmlformats.org/officeDocument/2006/relationships/hyperlink" Target="https://ncgtc.sdpondemand.manageengine.in/app/apphelpdesk/ui/requests/14047000006477411/details" TargetMode="External"/><Relationship Id="rId2642" Type="http://schemas.openxmlformats.org/officeDocument/2006/relationships/hyperlink" Target="https://ncgtc.sdpondemand.manageengine.in/app/apphelpdesk/ui/requests/14047000006477395/details" TargetMode="External"/><Relationship Id="rId2641" Type="http://schemas.openxmlformats.org/officeDocument/2006/relationships/hyperlink" Target="https://ncgtc.sdpondemand.manageengine.in/app/apphelpdesk/ui/requests/14047000006477381/details" TargetMode="External"/><Relationship Id="rId2640" Type="http://schemas.openxmlformats.org/officeDocument/2006/relationships/hyperlink" Target="https://ncgtc.sdpondemand.manageengine.in/app/apphelpdesk/ui/requests/14047000006477289/details" TargetMode="External"/><Relationship Id="rId264" Type="http://schemas.openxmlformats.org/officeDocument/2006/relationships/hyperlink" Target="https://ncgtc.sdpondemand.manageengine.in/app/apphelpdesk/ui/requests/14047000005919006/details" TargetMode="External"/><Relationship Id="rId2639" Type="http://schemas.openxmlformats.org/officeDocument/2006/relationships/hyperlink" Target="https://ncgtc.sdpondemand.manageengine.in/app/apphelpdesk/ui/requests/14047000006477280/details" TargetMode="External"/><Relationship Id="rId2638" Type="http://schemas.openxmlformats.org/officeDocument/2006/relationships/hyperlink" Target="https://ncgtc.sdpondemand.manageengine.in/app/apphelpdesk/ui/requests/14047000006477242/details" TargetMode="External"/><Relationship Id="rId2637" Type="http://schemas.openxmlformats.org/officeDocument/2006/relationships/hyperlink" Target="https://ncgtc.sdpondemand.manageengine.in/app/apphelpdesk/ui/requests/14047000006477202/details" TargetMode="External"/><Relationship Id="rId2636" Type="http://schemas.openxmlformats.org/officeDocument/2006/relationships/hyperlink" Target="https://ncgtc.sdpondemand.manageengine.in/app/apphelpdesk/ui/requests/14047000006477043/details" TargetMode="External"/><Relationship Id="rId2635" Type="http://schemas.openxmlformats.org/officeDocument/2006/relationships/hyperlink" Target="https://ncgtc.sdpondemand.manageengine.in/app/apphelpdesk/ui/requests/14047000006477018/details" TargetMode="External"/><Relationship Id="rId2634" Type="http://schemas.openxmlformats.org/officeDocument/2006/relationships/hyperlink" Target="https://ncgtc.sdpondemand.manageengine.in/app/apphelpdesk/ui/requests/14047000006473998/details" TargetMode="External"/><Relationship Id="rId2633" Type="http://schemas.openxmlformats.org/officeDocument/2006/relationships/hyperlink" Target="https://ncgtc.sdpondemand.manageengine.in/app/apphelpdesk/ui/requests/14047000006473987/details" TargetMode="External"/><Relationship Id="rId2632" Type="http://schemas.openxmlformats.org/officeDocument/2006/relationships/hyperlink" Target="https://ncgtc.sdpondemand.manageengine.in/app/apphelpdesk/ui/requests/14047000006473951/details" TargetMode="External"/><Relationship Id="rId2631" Type="http://schemas.openxmlformats.org/officeDocument/2006/relationships/hyperlink" Target="https://ncgtc.sdpondemand.manageengine.in/app/apphelpdesk/ui/requests/14047000006473901/details" TargetMode="External"/><Relationship Id="rId2630" Type="http://schemas.openxmlformats.org/officeDocument/2006/relationships/hyperlink" Target="https://ncgtc.sdpondemand.manageengine.in/app/apphelpdesk/ui/requests/14047000006473884/details" TargetMode="External"/><Relationship Id="rId263" Type="http://schemas.openxmlformats.org/officeDocument/2006/relationships/hyperlink" Target="https://ncgtc.sdpondemand.manageengine.in/app/apphelpdesk/ui/requests/14047000005913985/details" TargetMode="External"/><Relationship Id="rId2629" Type="http://schemas.openxmlformats.org/officeDocument/2006/relationships/hyperlink" Target="https://ncgtc.sdpondemand.manageengine.in/app/apphelpdesk/ui/requests/14047000006473852/details" TargetMode="External"/><Relationship Id="rId2628" Type="http://schemas.openxmlformats.org/officeDocument/2006/relationships/hyperlink" Target="https://ncgtc.sdpondemand.manageengine.in/app/apphelpdesk/ui/requests/14047000006473837/details" TargetMode="External"/><Relationship Id="rId2627" Type="http://schemas.openxmlformats.org/officeDocument/2006/relationships/hyperlink" Target="https://ncgtc.sdpondemand.manageengine.in/app/apphelpdesk/ui/requests/14047000006473800/details" TargetMode="External"/><Relationship Id="rId2626" Type="http://schemas.openxmlformats.org/officeDocument/2006/relationships/hyperlink" Target="https://ncgtc.sdpondemand.manageengine.in/app/apphelpdesk/ui/requests/14047000006473791/details" TargetMode="External"/><Relationship Id="rId2625" Type="http://schemas.openxmlformats.org/officeDocument/2006/relationships/hyperlink" Target="https://ncgtc.sdpondemand.manageengine.in/app/apphelpdesk/ui/requests/14047000006473777/details" TargetMode="External"/><Relationship Id="rId2624" Type="http://schemas.openxmlformats.org/officeDocument/2006/relationships/hyperlink" Target="https://ncgtc.sdpondemand.manageengine.in/app/apphelpdesk/ui/requests/14047000006473768/details" TargetMode="External"/><Relationship Id="rId2623" Type="http://schemas.openxmlformats.org/officeDocument/2006/relationships/hyperlink" Target="https://ncgtc.sdpondemand.manageengine.in/app/apphelpdesk/ui/requests/14047000006473695/details" TargetMode="External"/><Relationship Id="rId2622" Type="http://schemas.openxmlformats.org/officeDocument/2006/relationships/hyperlink" Target="https://ncgtc.sdpondemand.manageengine.in/app/apphelpdesk/ui/requests/14047000006473638/details" TargetMode="External"/><Relationship Id="rId2621" Type="http://schemas.openxmlformats.org/officeDocument/2006/relationships/hyperlink" Target="https://ncgtc.sdpondemand.manageengine.in/app/apphelpdesk/ui/requests/14047000006473619/details" TargetMode="External"/><Relationship Id="rId2620" Type="http://schemas.openxmlformats.org/officeDocument/2006/relationships/hyperlink" Target="https://ncgtc.sdpondemand.manageengine.in/app/apphelpdesk/ui/requests/14047000006473610/details" TargetMode="External"/><Relationship Id="rId262" Type="http://schemas.openxmlformats.org/officeDocument/2006/relationships/hyperlink" Target="https://ncgtc.sdpondemand.manageengine.in/app/apphelpdesk/ui/requests/14047000005913886/details" TargetMode="External"/><Relationship Id="rId2619" Type="http://schemas.openxmlformats.org/officeDocument/2006/relationships/hyperlink" Target="https://ncgtc.sdpondemand.manageengine.in/app/apphelpdesk/ui/requests/14047000006473505/details" TargetMode="External"/><Relationship Id="rId2618" Type="http://schemas.openxmlformats.org/officeDocument/2006/relationships/hyperlink" Target="https://ncgtc.sdpondemand.manageengine.in/app/apphelpdesk/ui/requests/14047000006473477/details" TargetMode="External"/><Relationship Id="rId2617" Type="http://schemas.openxmlformats.org/officeDocument/2006/relationships/hyperlink" Target="https://ncgtc.sdpondemand.manageengine.in/app/apphelpdesk/ui/requests/14047000006473454/details" TargetMode="External"/><Relationship Id="rId2616" Type="http://schemas.openxmlformats.org/officeDocument/2006/relationships/hyperlink" Target="https://ncgtc.sdpondemand.manageengine.in/app/apphelpdesk/ui/requests/14047000006473362/details" TargetMode="External"/><Relationship Id="rId2615" Type="http://schemas.openxmlformats.org/officeDocument/2006/relationships/hyperlink" Target="https://ncgtc.sdpondemand.manageengine.in/app/apphelpdesk/ui/requests/14047000006473348/details" TargetMode="External"/><Relationship Id="rId2614" Type="http://schemas.openxmlformats.org/officeDocument/2006/relationships/hyperlink" Target="https://ncgtc.sdpondemand.manageengine.in/app/apphelpdesk/ui/requests/14047000006473333/details" TargetMode="External"/><Relationship Id="rId2613" Type="http://schemas.openxmlformats.org/officeDocument/2006/relationships/hyperlink" Target="https://ncgtc.sdpondemand.manageengine.in/app/apphelpdesk/ui/requests/14047000006473318/details" TargetMode="External"/><Relationship Id="rId2612" Type="http://schemas.openxmlformats.org/officeDocument/2006/relationships/hyperlink" Target="https://ncgtc.sdpondemand.manageengine.in/app/apphelpdesk/ui/requests/14047000006473305/details" TargetMode="External"/><Relationship Id="rId2611" Type="http://schemas.openxmlformats.org/officeDocument/2006/relationships/hyperlink" Target="https://ncgtc.sdpondemand.manageengine.in/app/apphelpdesk/ui/requests/14047000006473289/details" TargetMode="External"/><Relationship Id="rId2610" Type="http://schemas.openxmlformats.org/officeDocument/2006/relationships/hyperlink" Target="https://ncgtc.sdpondemand.manageengine.in/app/apphelpdesk/ui/requests/14047000006473280/details" TargetMode="External"/><Relationship Id="rId261" Type="http://schemas.openxmlformats.org/officeDocument/2006/relationships/hyperlink" Target="https://ncgtc.sdpondemand.manageengine.in/app/apphelpdesk/ui/requests/14047000005913822/details" TargetMode="External"/><Relationship Id="rId2609" Type="http://schemas.openxmlformats.org/officeDocument/2006/relationships/hyperlink" Target="https://ncgtc.sdpondemand.manageengine.in/app/apphelpdesk/ui/requests/14047000006473244/details" TargetMode="External"/><Relationship Id="rId2608" Type="http://schemas.openxmlformats.org/officeDocument/2006/relationships/hyperlink" Target="https://ncgtc.sdpondemand.manageengine.in/app/apphelpdesk/ui/requests/14047000006473231/details" TargetMode="External"/><Relationship Id="rId2607" Type="http://schemas.openxmlformats.org/officeDocument/2006/relationships/hyperlink" Target="https://ncgtc.sdpondemand.manageengine.in/app/apphelpdesk/ui/requests/14047000006473222/details" TargetMode="External"/><Relationship Id="rId2606" Type="http://schemas.openxmlformats.org/officeDocument/2006/relationships/hyperlink" Target="https://ncgtc.sdpondemand.manageengine.in/app/apphelpdesk/ui/requests/14047000006473139/details" TargetMode="External"/><Relationship Id="rId2605" Type="http://schemas.openxmlformats.org/officeDocument/2006/relationships/hyperlink" Target="https://ncgtc.sdpondemand.manageengine.in/app/apphelpdesk/ui/requests/14047000006461948/details" TargetMode="External"/><Relationship Id="rId2604" Type="http://schemas.openxmlformats.org/officeDocument/2006/relationships/hyperlink" Target="https://ncgtc.sdpondemand.manageengine.in/app/apphelpdesk/ui/requests/14047000006461869/details" TargetMode="External"/><Relationship Id="rId2603" Type="http://schemas.openxmlformats.org/officeDocument/2006/relationships/hyperlink" Target="https://ncgtc.sdpondemand.manageengine.in/app/apphelpdesk/ui/requests/14047000006461840/details" TargetMode="External"/><Relationship Id="rId2602" Type="http://schemas.openxmlformats.org/officeDocument/2006/relationships/hyperlink" Target="https://ncgtc.sdpondemand.manageengine.in/app/apphelpdesk/ui/requests/14047000006461826/details" TargetMode="External"/><Relationship Id="rId2601" Type="http://schemas.openxmlformats.org/officeDocument/2006/relationships/hyperlink" Target="https://ncgtc.sdpondemand.manageengine.in/app/apphelpdesk/ui/requests/14047000006461709/details" TargetMode="External"/><Relationship Id="rId2600" Type="http://schemas.openxmlformats.org/officeDocument/2006/relationships/hyperlink" Target="https://ncgtc.sdpondemand.manageengine.in/app/apphelpdesk/ui/requests/14047000006461652/details" TargetMode="External"/><Relationship Id="rId260" Type="http://schemas.openxmlformats.org/officeDocument/2006/relationships/hyperlink" Target="https://ncgtc.sdpondemand.manageengine.in/app/apphelpdesk/ui/requests/14047000005913682/details" TargetMode="External"/><Relationship Id="rId26" Type="http://schemas.openxmlformats.org/officeDocument/2006/relationships/hyperlink" Target="https://ncgtc.sdpondemand.manageengine.in/app/apphelpdesk/ui/requests/14047000005854682/details" TargetMode="External"/><Relationship Id="rId2599" Type="http://schemas.openxmlformats.org/officeDocument/2006/relationships/hyperlink" Target="https://ncgtc.sdpondemand.manageengine.in/app/apphelpdesk/ui/requests/14047000006461637/details" TargetMode="External"/><Relationship Id="rId2598" Type="http://schemas.openxmlformats.org/officeDocument/2006/relationships/hyperlink" Target="https://ncgtc.sdpondemand.manageengine.in/app/apphelpdesk/ui/requests/14047000006461615/details" TargetMode="External"/><Relationship Id="rId2597" Type="http://schemas.openxmlformats.org/officeDocument/2006/relationships/hyperlink" Target="https://ncgtc.sdpondemand.manageengine.in/app/apphelpdesk/ui/requests/14047000006461583/details" TargetMode="External"/><Relationship Id="rId2596" Type="http://schemas.openxmlformats.org/officeDocument/2006/relationships/hyperlink" Target="https://ncgtc.sdpondemand.manageengine.in/app/apphelpdesk/ui/requests/14047000006461565/details" TargetMode="External"/><Relationship Id="rId2595" Type="http://schemas.openxmlformats.org/officeDocument/2006/relationships/hyperlink" Target="https://ncgtc.sdpondemand.manageengine.in/app/apphelpdesk/ui/requests/14047000006461542/details" TargetMode="External"/><Relationship Id="rId2594" Type="http://schemas.openxmlformats.org/officeDocument/2006/relationships/hyperlink" Target="https://ncgtc.sdpondemand.manageengine.in/app/apphelpdesk/ui/requests/14047000006461503/details" TargetMode="External"/><Relationship Id="rId2593" Type="http://schemas.openxmlformats.org/officeDocument/2006/relationships/hyperlink" Target="https://ncgtc.sdpondemand.manageengine.in/app/apphelpdesk/ui/requests/14047000006461463/details" TargetMode="External"/><Relationship Id="rId2592" Type="http://schemas.openxmlformats.org/officeDocument/2006/relationships/hyperlink" Target="https://ncgtc.sdpondemand.manageengine.in/app/apphelpdesk/ui/requests/14047000006461382/details" TargetMode="External"/><Relationship Id="rId2591" Type="http://schemas.openxmlformats.org/officeDocument/2006/relationships/hyperlink" Target="https://ncgtc.sdpondemand.manageengine.in/app/apphelpdesk/ui/requests/14047000006461304/details" TargetMode="External"/><Relationship Id="rId2590" Type="http://schemas.openxmlformats.org/officeDocument/2006/relationships/hyperlink" Target="https://ncgtc.sdpondemand.manageengine.in/app/apphelpdesk/ui/requests/14047000006461286/details" TargetMode="External"/><Relationship Id="rId259" Type="http://schemas.openxmlformats.org/officeDocument/2006/relationships/hyperlink" Target="https://ncgtc.sdpondemand.manageengine.in/app/apphelpdesk/ui/requests/14047000005913654/details" TargetMode="External"/><Relationship Id="rId2589" Type="http://schemas.openxmlformats.org/officeDocument/2006/relationships/hyperlink" Target="https://ncgtc.sdpondemand.manageengine.in/app/apphelpdesk/ui/requests/14047000006461278/details" TargetMode="External"/><Relationship Id="rId2588" Type="http://schemas.openxmlformats.org/officeDocument/2006/relationships/hyperlink" Target="https://ncgtc.sdpondemand.manageengine.in/app/apphelpdesk/ui/requests/14047000006461264/details" TargetMode="External"/><Relationship Id="rId2587" Type="http://schemas.openxmlformats.org/officeDocument/2006/relationships/hyperlink" Target="https://ncgtc.sdpondemand.manageengine.in/app/apphelpdesk/ui/requests/14047000006461189/details" TargetMode="External"/><Relationship Id="rId2586" Type="http://schemas.openxmlformats.org/officeDocument/2006/relationships/hyperlink" Target="https://ncgtc.sdpondemand.manageengine.in/app/apphelpdesk/ui/requests/14047000006461143/details" TargetMode="External"/><Relationship Id="rId2585" Type="http://schemas.openxmlformats.org/officeDocument/2006/relationships/hyperlink" Target="https://ncgtc.sdpondemand.manageengine.in/app/apphelpdesk/ui/requests/14047000006461023/details" TargetMode="External"/><Relationship Id="rId2584" Type="http://schemas.openxmlformats.org/officeDocument/2006/relationships/hyperlink" Target="https://ncgtc.sdpondemand.manageengine.in/app/apphelpdesk/ui/requests/14047000006455898/details" TargetMode="External"/><Relationship Id="rId2583" Type="http://schemas.openxmlformats.org/officeDocument/2006/relationships/hyperlink" Target="https://ncgtc.sdpondemand.manageengine.in/app/apphelpdesk/ui/requests/14047000006455847/details" TargetMode="External"/><Relationship Id="rId2582" Type="http://schemas.openxmlformats.org/officeDocument/2006/relationships/hyperlink" Target="https://ncgtc.sdpondemand.manageengine.in/app/apphelpdesk/ui/requests/14047000006455774/details" TargetMode="External"/><Relationship Id="rId2581" Type="http://schemas.openxmlformats.org/officeDocument/2006/relationships/hyperlink" Target="https://ncgtc.sdpondemand.manageengine.in/app/apphelpdesk/ui/requests/14047000006455762/details" TargetMode="External"/><Relationship Id="rId2580" Type="http://schemas.openxmlformats.org/officeDocument/2006/relationships/hyperlink" Target="https://ncgtc.sdpondemand.manageengine.in/app/apphelpdesk/ui/requests/14047000006455745/details" TargetMode="External"/><Relationship Id="rId258" Type="http://schemas.openxmlformats.org/officeDocument/2006/relationships/hyperlink" Target="https://ncgtc.sdpondemand.manageengine.in/app/apphelpdesk/ui/requests/14047000005913595/details" TargetMode="External"/><Relationship Id="rId2579" Type="http://schemas.openxmlformats.org/officeDocument/2006/relationships/hyperlink" Target="https://ncgtc.sdpondemand.manageengine.in/app/apphelpdesk/ui/requests/14047000006455720/details" TargetMode="External"/><Relationship Id="rId2578" Type="http://schemas.openxmlformats.org/officeDocument/2006/relationships/hyperlink" Target="https://ncgtc.sdpondemand.manageengine.in/app/apphelpdesk/ui/requests/14047000006455652/details" TargetMode="External"/><Relationship Id="rId2577" Type="http://schemas.openxmlformats.org/officeDocument/2006/relationships/hyperlink" Target="https://ncgtc.sdpondemand.manageengine.in/app/apphelpdesk/ui/requests/14047000006455613/details" TargetMode="External"/><Relationship Id="rId2576" Type="http://schemas.openxmlformats.org/officeDocument/2006/relationships/hyperlink" Target="https://ncgtc.sdpondemand.manageengine.in/app/apphelpdesk/ui/requests/14047000006455524/details" TargetMode="External"/><Relationship Id="rId2575" Type="http://schemas.openxmlformats.org/officeDocument/2006/relationships/hyperlink" Target="https://ncgtc.sdpondemand.manageengine.in/app/apphelpdesk/ui/requests/14047000006455457/details" TargetMode="External"/><Relationship Id="rId2574" Type="http://schemas.openxmlformats.org/officeDocument/2006/relationships/hyperlink" Target="https://ncgtc.sdpondemand.manageengine.in/app/apphelpdesk/ui/requests/14047000006455313/details" TargetMode="External"/><Relationship Id="rId2573" Type="http://schemas.openxmlformats.org/officeDocument/2006/relationships/hyperlink" Target="https://ncgtc.sdpondemand.manageengine.in/app/apphelpdesk/ui/requests/14047000006455304/details" TargetMode="External"/><Relationship Id="rId2572" Type="http://schemas.openxmlformats.org/officeDocument/2006/relationships/hyperlink" Target="https://ncgtc.sdpondemand.manageengine.in/app/apphelpdesk/ui/requests/14047000006455294/details" TargetMode="External"/><Relationship Id="rId2571" Type="http://schemas.openxmlformats.org/officeDocument/2006/relationships/hyperlink" Target="https://ncgtc.sdpondemand.manageengine.in/app/apphelpdesk/ui/requests/14047000006455278/details" TargetMode="External"/><Relationship Id="rId2570" Type="http://schemas.openxmlformats.org/officeDocument/2006/relationships/hyperlink" Target="https://ncgtc.sdpondemand.manageengine.in/app/apphelpdesk/ui/requests/14047000006455243/details" TargetMode="External"/><Relationship Id="rId257" Type="http://schemas.openxmlformats.org/officeDocument/2006/relationships/hyperlink" Target="https://ncgtc.sdpondemand.manageengine.in/app/apphelpdesk/ui/requests/14047000005913578/details" TargetMode="External"/><Relationship Id="rId2569" Type="http://schemas.openxmlformats.org/officeDocument/2006/relationships/hyperlink" Target="https://ncgtc.sdpondemand.manageengine.in/app/apphelpdesk/ui/requests/14047000006455212/details" TargetMode="External"/><Relationship Id="rId2568" Type="http://schemas.openxmlformats.org/officeDocument/2006/relationships/hyperlink" Target="https://ncgtc.sdpondemand.manageengine.in/app/apphelpdesk/ui/requests/14047000006455188/details" TargetMode="External"/><Relationship Id="rId2567" Type="http://schemas.openxmlformats.org/officeDocument/2006/relationships/hyperlink" Target="https://ncgtc.sdpondemand.manageengine.in/app/apphelpdesk/ui/requests/14047000006455163/details" TargetMode="External"/><Relationship Id="rId2566" Type="http://schemas.openxmlformats.org/officeDocument/2006/relationships/hyperlink" Target="https://ncgtc.sdpondemand.manageengine.in/app/apphelpdesk/ui/requests/14047000006455148/details" TargetMode="External"/><Relationship Id="rId2565" Type="http://schemas.openxmlformats.org/officeDocument/2006/relationships/hyperlink" Target="https://ncgtc.sdpondemand.manageengine.in/app/apphelpdesk/ui/requests/14047000006455130/details" TargetMode="External"/><Relationship Id="rId2564" Type="http://schemas.openxmlformats.org/officeDocument/2006/relationships/hyperlink" Target="https://ncgtc.sdpondemand.manageengine.in/app/apphelpdesk/ui/requests/14047000006455110/details" TargetMode="External"/><Relationship Id="rId2563" Type="http://schemas.openxmlformats.org/officeDocument/2006/relationships/hyperlink" Target="https://ncgtc.sdpondemand.manageengine.in/app/apphelpdesk/ui/requests/14047000006455081/details" TargetMode="External"/><Relationship Id="rId2562" Type="http://schemas.openxmlformats.org/officeDocument/2006/relationships/hyperlink" Target="https://ncgtc.sdpondemand.manageengine.in/app/apphelpdesk/ui/requests/14047000006455072/details" TargetMode="External"/><Relationship Id="rId2561" Type="http://schemas.openxmlformats.org/officeDocument/2006/relationships/hyperlink" Target="https://ncgtc.sdpondemand.manageengine.in/app/apphelpdesk/ui/requests/14047000006455063/details" TargetMode="External"/><Relationship Id="rId2560" Type="http://schemas.openxmlformats.org/officeDocument/2006/relationships/hyperlink" Target="https://ncgtc.sdpondemand.manageengine.in/app/apphelpdesk/ui/requests/14047000006455032/details" TargetMode="External"/><Relationship Id="rId256" Type="http://schemas.openxmlformats.org/officeDocument/2006/relationships/hyperlink" Target="https://ncgtc.sdpondemand.manageengine.in/app/apphelpdesk/ui/requests/14047000005913551/details" TargetMode="External"/><Relationship Id="rId2559" Type="http://schemas.openxmlformats.org/officeDocument/2006/relationships/hyperlink" Target="https://ncgtc.sdpondemand.manageengine.in/app/apphelpdesk/ui/requests/14047000006451986/details" TargetMode="External"/><Relationship Id="rId2558" Type="http://schemas.openxmlformats.org/officeDocument/2006/relationships/hyperlink" Target="https://ncgtc.sdpondemand.manageengine.in/app/apphelpdesk/ui/requests/14047000006451972/details" TargetMode="External"/><Relationship Id="rId2557" Type="http://schemas.openxmlformats.org/officeDocument/2006/relationships/hyperlink" Target="https://ncgtc.sdpondemand.manageengine.in/app/apphelpdesk/ui/requests/14047000006451938/details" TargetMode="External"/><Relationship Id="rId2556" Type="http://schemas.openxmlformats.org/officeDocument/2006/relationships/hyperlink" Target="https://ncgtc.sdpondemand.manageengine.in/app/apphelpdesk/ui/requests/14047000006451833/details" TargetMode="External"/><Relationship Id="rId2555" Type="http://schemas.openxmlformats.org/officeDocument/2006/relationships/hyperlink" Target="https://ncgtc.sdpondemand.manageengine.in/app/apphelpdesk/ui/requests/14047000006451820/details" TargetMode="External"/><Relationship Id="rId2554" Type="http://schemas.openxmlformats.org/officeDocument/2006/relationships/hyperlink" Target="https://ncgtc.sdpondemand.manageengine.in/app/apphelpdesk/ui/requests/14047000006451787/details" TargetMode="External"/><Relationship Id="rId2553" Type="http://schemas.openxmlformats.org/officeDocument/2006/relationships/hyperlink" Target="https://ncgtc.sdpondemand.manageengine.in/app/apphelpdesk/ui/requests/14047000006451779/details" TargetMode="External"/><Relationship Id="rId2552" Type="http://schemas.openxmlformats.org/officeDocument/2006/relationships/hyperlink" Target="https://ncgtc.sdpondemand.manageengine.in/app/apphelpdesk/ui/requests/14047000006451768/details" TargetMode="External"/><Relationship Id="rId2551" Type="http://schemas.openxmlformats.org/officeDocument/2006/relationships/hyperlink" Target="https://ncgtc.sdpondemand.manageengine.in/app/apphelpdesk/ui/requests/14047000006451746/details" TargetMode="External"/><Relationship Id="rId2550" Type="http://schemas.openxmlformats.org/officeDocument/2006/relationships/hyperlink" Target="https://ncgtc.sdpondemand.manageengine.in/app/apphelpdesk/ui/requests/14047000006451732/details" TargetMode="External"/><Relationship Id="rId255" Type="http://schemas.openxmlformats.org/officeDocument/2006/relationships/hyperlink" Target="https://ncgtc.sdpondemand.manageengine.in/app/apphelpdesk/ui/requests/14047000005913542/details" TargetMode="External"/><Relationship Id="rId2549" Type="http://schemas.openxmlformats.org/officeDocument/2006/relationships/hyperlink" Target="https://ncgtc.sdpondemand.manageengine.in/app/apphelpdesk/ui/requests/14047000006451712/details" TargetMode="External"/><Relationship Id="rId2548" Type="http://schemas.openxmlformats.org/officeDocument/2006/relationships/hyperlink" Target="https://ncgtc.sdpondemand.manageengine.in/app/apphelpdesk/ui/requests/14047000006451702/details" TargetMode="External"/><Relationship Id="rId2547" Type="http://schemas.openxmlformats.org/officeDocument/2006/relationships/hyperlink" Target="https://ncgtc.sdpondemand.manageengine.in/app/apphelpdesk/ui/requests/14047000006451663/details" TargetMode="External"/><Relationship Id="rId2546" Type="http://schemas.openxmlformats.org/officeDocument/2006/relationships/hyperlink" Target="https://ncgtc.sdpondemand.manageengine.in/app/apphelpdesk/ui/requests/14047000006451598/details" TargetMode="External"/><Relationship Id="rId2545" Type="http://schemas.openxmlformats.org/officeDocument/2006/relationships/hyperlink" Target="https://ncgtc.sdpondemand.manageengine.in/app/apphelpdesk/ui/requests/14047000006451544/details" TargetMode="External"/><Relationship Id="rId2544" Type="http://schemas.openxmlformats.org/officeDocument/2006/relationships/hyperlink" Target="https://ncgtc.sdpondemand.manageengine.in/app/apphelpdesk/ui/requests/14047000006451535/details" TargetMode="External"/><Relationship Id="rId2543" Type="http://schemas.openxmlformats.org/officeDocument/2006/relationships/hyperlink" Target="https://ncgtc.sdpondemand.manageengine.in/app/apphelpdesk/ui/requests/14047000006451516/details" TargetMode="External"/><Relationship Id="rId2542" Type="http://schemas.openxmlformats.org/officeDocument/2006/relationships/hyperlink" Target="https://ncgtc.sdpondemand.manageengine.in/app/apphelpdesk/ui/requests/14047000006451483/details" TargetMode="External"/><Relationship Id="rId2541" Type="http://schemas.openxmlformats.org/officeDocument/2006/relationships/hyperlink" Target="https://ncgtc.sdpondemand.manageengine.in/app/apphelpdesk/ui/requests/14047000006451438/details" TargetMode="External"/><Relationship Id="rId2540" Type="http://schemas.openxmlformats.org/officeDocument/2006/relationships/hyperlink" Target="https://ncgtc.sdpondemand.manageengine.in/app/apphelpdesk/ui/requests/14047000006451420/details" TargetMode="External"/><Relationship Id="rId254" Type="http://schemas.openxmlformats.org/officeDocument/2006/relationships/hyperlink" Target="https://ncgtc.sdpondemand.manageengine.in/app/apphelpdesk/ui/requests/14047000005913508/details" TargetMode="External"/><Relationship Id="rId2539" Type="http://schemas.openxmlformats.org/officeDocument/2006/relationships/hyperlink" Target="https://ncgtc.sdpondemand.manageengine.in/app/apphelpdesk/ui/requests/14047000006451411/details" TargetMode="External"/><Relationship Id="rId2538" Type="http://schemas.openxmlformats.org/officeDocument/2006/relationships/hyperlink" Target="https://ncgtc.sdpondemand.manageengine.in/app/apphelpdesk/ui/requests/14047000006451361/details" TargetMode="External"/><Relationship Id="rId2537" Type="http://schemas.openxmlformats.org/officeDocument/2006/relationships/hyperlink" Target="https://ncgtc.sdpondemand.manageengine.in/app/apphelpdesk/ui/requests/14047000006451315/details" TargetMode="External"/><Relationship Id="rId2536" Type="http://schemas.openxmlformats.org/officeDocument/2006/relationships/hyperlink" Target="https://ncgtc.sdpondemand.manageengine.in/app/apphelpdesk/ui/requests/14047000006451290/details" TargetMode="External"/><Relationship Id="rId2535" Type="http://schemas.openxmlformats.org/officeDocument/2006/relationships/hyperlink" Target="https://ncgtc.sdpondemand.manageengine.in/app/apphelpdesk/ui/requests/14047000006451267/details" TargetMode="External"/><Relationship Id="rId2534" Type="http://schemas.openxmlformats.org/officeDocument/2006/relationships/hyperlink" Target="https://ncgtc.sdpondemand.manageengine.in/app/apphelpdesk/ui/requests/14047000006451254/details" TargetMode="External"/><Relationship Id="rId2533" Type="http://schemas.openxmlformats.org/officeDocument/2006/relationships/hyperlink" Target="https://ncgtc.sdpondemand.manageengine.in/app/apphelpdesk/ui/requests/14047000006451239/details" TargetMode="External"/><Relationship Id="rId2532" Type="http://schemas.openxmlformats.org/officeDocument/2006/relationships/hyperlink" Target="https://ncgtc.sdpondemand.manageengine.in/app/apphelpdesk/ui/requests/14047000006451217/details" TargetMode="External"/><Relationship Id="rId2531" Type="http://schemas.openxmlformats.org/officeDocument/2006/relationships/hyperlink" Target="https://ncgtc.sdpondemand.manageengine.in/app/apphelpdesk/ui/requests/14047000006451209/details" TargetMode="External"/><Relationship Id="rId2530" Type="http://schemas.openxmlformats.org/officeDocument/2006/relationships/hyperlink" Target="https://ncgtc.sdpondemand.manageengine.in/app/apphelpdesk/ui/requests/14047000006451190/details" TargetMode="External"/><Relationship Id="rId253" Type="http://schemas.openxmlformats.org/officeDocument/2006/relationships/hyperlink" Target="https://ncgtc.sdpondemand.manageengine.in/app/apphelpdesk/ui/requests/14047000005913494/details" TargetMode="External"/><Relationship Id="rId2529" Type="http://schemas.openxmlformats.org/officeDocument/2006/relationships/hyperlink" Target="https://ncgtc.sdpondemand.manageengine.in/app/apphelpdesk/ui/requests/14047000006451182/details" TargetMode="External"/><Relationship Id="rId2528" Type="http://schemas.openxmlformats.org/officeDocument/2006/relationships/hyperlink" Target="https://ncgtc.sdpondemand.manageengine.in/app/apphelpdesk/ui/requests/14047000006451170/details" TargetMode="External"/><Relationship Id="rId2527" Type="http://schemas.openxmlformats.org/officeDocument/2006/relationships/hyperlink" Target="https://ncgtc.sdpondemand.manageengine.in/app/apphelpdesk/ui/requests/14047000006451122/details" TargetMode="External"/><Relationship Id="rId2526" Type="http://schemas.openxmlformats.org/officeDocument/2006/relationships/hyperlink" Target="https://ncgtc.sdpondemand.manageengine.in/app/apphelpdesk/ui/requests/14047000006451106/details" TargetMode="External"/><Relationship Id="rId2525" Type="http://schemas.openxmlformats.org/officeDocument/2006/relationships/hyperlink" Target="https://ncgtc.sdpondemand.manageengine.in/app/apphelpdesk/ui/requests/14047000006451098/details" TargetMode="External"/><Relationship Id="rId2524" Type="http://schemas.openxmlformats.org/officeDocument/2006/relationships/hyperlink" Target="https://ncgtc.sdpondemand.manageengine.in/app/apphelpdesk/ui/requests/14047000006451078/details" TargetMode="External"/><Relationship Id="rId2523" Type="http://schemas.openxmlformats.org/officeDocument/2006/relationships/hyperlink" Target="https://ncgtc.sdpondemand.manageengine.in/app/apphelpdesk/ui/requests/14047000006451046/details" TargetMode="External"/><Relationship Id="rId2522" Type="http://schemas.openxmlformats.org/officeDocument/2006/relationships/hyperlink" Target="https://ncgtc.sdpondemand.manageengine.in/app/apphelpdesk/ui/requests/14047000006451018/details" TargetMode="External"/><Relationship Id="rId2521" Type="http://schemas.openxmlformats.org/officeDocument/2006/relationships/hyperlink" Target="https://ncgtc.sdpondemand.manageengine.in/app/apphelpdesk/ui/requests/14047000006451003/details" TargetMode="External"/><Relationship Id="rId2520" Type="http://schemas.openxmlformats.org/officeDocument/2006/relationships/hyperlink" Target="https://ncgtc.sdpondemand.manageengine.in/app/apphelpdesk/ui/requests/14047000006439960/details" TargetMode="External"/><Relationship Id="rId252" Type="http://schemas.openxmlformats.org/officeDocument/2006/relationships/hyperlink" Target="https://ncgtc.sdpondemand.manageengine.in/app/apphelpdesk/ui/requests/14047000005913453/details" TargetMode="External"/><Relationship Id="rId2519" Type="http://schemas.openxmlformats.org/officeDocument/2006/relationships/hyperlink" Target="https://ncgtc.sdpondemand.manageengine.in/app/apphelpdesk/ui/requests/14047000006439944/details" TargetMode="External"/><Relationship Id="rId2518" Type="http://schemas.openxmlformats.org/officeDocument/2006/relationships/hyperlink" Target="https://ncgtc.sdpondemand.manageengine.in/app/apphelpdesk/ui/requests/14047000006439898/details" TargetMode="External"/><Relationship Id="rId2517" Type="http://schemas.openxmlformats.org/officeDocument/2006/relationships/hyperlink" Target="https://ncgtc.sdpondemand.manageengine.in/app/apphelpdesk/ui/requests/14047000006439872/details" TargetMode="External"/><Relationship Id="rId2516" Type="http://schemas.openxmlformats.org/officeDocument/2006/relationships/hyperlink" Target="https://ncgtc.sdpondemand.manageengine.in/app/apphelpdesk/ui/requests/14047000006439826/details" TargetMode="External"/><Relationship Id="rId2515" Type="http://schemas.openxmlformats.org/officeDocument/2006/relationships/hyperlink" Target="https://ncgtc.sdpondemand.manageengine.in/app/apphelpdesk/ui/requests/14047000006439810/details" TargetMode="External"/><Relationship Id="rId2514" Type="http://schemas.openxmlformats.org/officeDocument/2006/relationships/hyperlink" Target="https://ncgtc.sdpondemand.manageengine.in/app/apphelpdesk/ui/requests/14047000006439796/details" TargetMode="External"/><Relationship Id="rId2513" Type="http://schemas.openxmlformats.org/officeDocument/2006/relationships/hyperlink" Target="https://ncgtc.sdpondemand.manageengine.in/app/apphelpdesk/ui/requests/14047000006439749/details" TargetMode="External"/><Relationship Id="rId2512" Type="http://schemas.openxmlformats.org/officeDocument/2006/relationships/hyperlink" Target="https://ncgtc.sdpondemand.manageengine.in/app/apphelpdesk/ui/requests/14047000006439724/details" TargetMode="External"/><Relationship Id="rId2511" Type="http://schemas.openxmlformats.org/officeDocument/2006/relationships/hyperlink" Target="https://ncgtc.sdpondemand.manageengine.in/app/apphelpdesk/ui/requests/14047000006439692/details" TargetMode="External"/><Relationship Id="rId2510" Type="http://schemas.openxmlformats.org/officeDocument/2006/relationships/hyperlink" Target="https://ncgtc.sdpondemand.manageengine.in/app/apphelpdesk/ui/requests/14047000006439681/details" TargetMode="External"/><Relationship Id="rId251" Type="http://schemas.openxmlformats.org/officeDocument/2006/relationships/hyperlink" Target="https://ncgtc.sdpondemand.manageengine.in/app/apphelpdesk/ui/requests/14047000005913401/details" TargetMode="External"/><Relationship Id="rId2509" Type="http://schemas.openxmlformats.org/officeDocument/2006/relationships/hyperlink" Target="https://ncgtc.sdpondemand.manageengine.in/app/apphelpdesk/ui/requests/14047000006439672/details" TargetMode="External"/><Relationship Id="rId2508" Type="http://schemas.openxmlformats.org/officeDocument/2006/relationships/hyperlink" Target="https://ncgtc.sdpondemand.manageengine.in/app/apphelpdesk/ui/requests/14047000006439662/details" TargetMode="External"/><Relationship Id="rId2507" Type="http://schemas.openxmlformats.org/officeDocument/2006/relationships/hyperlink" Target="https://ncgtc.sdpondemand.manageengine.in/app/apphelpdesk/ui/requests/14047000006439649/details" TargetMode="External"/><Relationship Id="rId2506" Type="http://schemas.openxmlformats.org/officeDocument/2006/relationships/hyperlink" Target="https://ncgtc.sdpondemand.manageengine.in/app/apphelpdesk/ui/requests/14047000006439619/details" TargetMode="External"/><Relationship Id="rId2505" Type="http://schemas.openxmlformats.org/officeDocument/2006/relationships/hyperlink" Target="https://ncgtc.sdpondemand.manageengine.in/app/apphelpdesk/ui/requests/14047000006439600/details" TargetMode="External"/><Relationship Id="rId2504" Type="http://schemas.openxmlformats.org/officeDocument/2006/relationships/hyperlink" Target="https://ncgtc.sdpondemand.manageengine.in/app/apphelpdesk/ui/requests/14047000006439522/details" TargetMode="External"/><Relationship Id="rId2503" Type="http://schemas.openxmlformats.org/officeDocument/2006/relationships/hyperlink" Target="https://ncgtc.sdpondemand.manageengine.in/app/apphelpdesk/ui/requests/14047000006439492/details" TargetMode="External"/><Relationship Id="rId2502" Type="http://schemas.openxmlformats.org/officeDocument/2006/relationships/hyperlink" Target="https://ncgtc.sdpondemand.manageengine.in/app/apphelpdesk/ui/requests/14047000006439483/details" TargetMode="External"/><Relationship Id="rId2501" Type="http://schemas.openxmlformats.org/officeDocument/2006/relationships/hyperlink" Target="https://ncgtc.sdpondemand.manageengine.in/app/apphelpdesk/ui/requests/14047000006439415/details" TargetMode="External"/><Relationship Id="rId2500" Type="http://schemas.openxmlformats.org/officeDocument/2006/relationships/hyperlink" Target="https://ncgtc.sdpondemand.manageengine.in/app/apphelpdesk/ui/requests/14047000006439364/details" TargetMode="External"/><Relationship Id="rId250" Type="http://schemas.openxmlformats.org/officeDocument/2006/relationships/hyperlink" Target="https://ncgtc.sdpondemand.manageengine.in/app/apphelpdesk/ui/requests/14047000005913381/details" TargetMode="External"/><Relationship Id="rId25" Type="http://schemas.openxmlformats.org/officeDocument/2006/relationships/hyperlink" Target="https://ncgtc.sdpondemand.manageengine.in/app/apphelpdesk/ui/requests/14047000005854616/details" TargetMode="External"/><Relationship Id="rId2499" Type="http://schemas.openxmlformats.org/officeDocument/2006/relationships/hyperlink" Target="https://ncgtc.sdpondemand.manageengine.in/app/apphelpdesk/ui/requests/14047000006439211/details" TargetMode="External"/><Relationship Id="rId2498" Type="http://schemas.openxmlformats.org/officeDocument/2006/relationships/hyperlink" Target="https://ncgtc.sdpondemand.manageengine.in/app/apphelpdesk/ui/requests/14047000006439188/details" TargetMode="External"/><Relationship Id="rId2497" Type="http://schemas.openxmlformats.org/officeDocument/2006/relationships/hyperlink" Target="https://ncgtc.sdpondemand.manageengine.in/app/apphelpdesk/ui/requests/14047000006439180/details" TargetMode="External"/><Relationship Id="rId2496" Type="http://schemas.openxmlformats.org/officeDocument/2006/relationships/hyperlink" Target="https://ncgtc.sdpondemand.manageengine.in/app/apphelpdesk/ui/requests/14047000006439162/details" TargetMode="External"/><Relationship Id="rId2495" Type="http://schemas.openxmlformats.org/officeDocument/2006/relationships/hyperlink" Target="https://ncgtc.sdpondemand.manageengine.in/app/apphelpdesk/ui/requests/14047000006439152/details" TargetMode="External"/><Relationship Id="rId2494" Type="http://schemas.openxmlformats.org/officeDocument/2006/relationships/hyperlink" Target="https://ncgtc.sdpondemand.manageengine.in/app/apphelpdesk/ui/requests/14047000006439138/details" TargetMode="External"/><Relationship Id="rId2493" Type="http://schemas.openxmlformats.org/officeDocument/2006/relationships/hyperlink" Target="https://ncgtc.sdpondemand.manageengine.in/app/apphelpdesk/ui/requests/14047000006439116/details" TargetMode="External"/><Relationship Id="rId2492" Type="http://schemas.openxmlformats.org/officeDocument/2006/relationships/hyperlink" Target="https://ncgtc.sdpondemand.manageengine.in/app/apphelpdesk/ui/requests/14047000006439089/details" TargetMode="External"/><Relationship Id="rId2491" Type="http://schemas.openxmlformats.org/officeDocument/2006/relationships/hyperlink" Target="https://ncgtc.sdpondemand.manageengine.in/app/apphelpdesk/ui/requests/14047000006439044/details" TargetMode="External"/><Relationship Id="rId2490" Type="http://schemas.openxmlformats.org/officeDocument/2006/relationships/hyperlink" Target="https://ncgtc.sdpondemand.manageengine.in/app/apphelpdesk/ui/requests/14047000006439035/details" TargetMode="External"/><Relationship Id="rId249" Type="http://schemas.openxmlformats.org/officeDocument/2006/relationships/hyperlink" Target="https://ncgtc.sdpondemand.manageengine.in/app/apphelpdesk/ui/requests/14047000005913346/details" TargetMode="External"/><Relationship Id="rId2489" Type="http://schemas.openxmlformats.org/officeDocument/2006/relationships/hyperlink" Target="https://ncgtc.sdpondemand.manageengine.in/app/apphelpdesk/ui/requests/14047000006439018/details" TargetMode="External"/><Relationship Id="rId2488" Type="http://schemas.openxmlformats.org/officeDocument/2006/relationships/hyperlink" Target="https://ncgtc.sdpondemand.manageengine.in/app/apphelpdesk/ui/requests/14047000006432089/details" TargetMode="External"/><Relationship Id="rId2487" Type="http://schemas.openxmlformats.org/officeDocument/2006/relationships/hyperlink" Target="https://ncgtc.sdpondemand.manageengine.in/app/apphelpdesk/ui/requests/14047000006432050/details" TargetMode="External"/><Relationship Id="rId2486" Type="http://schemas.openxmlformats.org/officeDocument/2006/relationships/hyperlink" Target="https://ncgtc.sdpondemand.manageengine.in/app/apphelpdesk/ui/requests/14047000006428966/details" TargetMode="External"/><Relationship Id="rId2485" Type="http://schemas.openxmlformats.org/officeDocument/2006/relationships/hyperlink" Target="https://ncgtc.sdpondemand.manageengine.in/app/apphelpdesk/ui/requests/14047000006428957/details" TargetMode="External"/><Relationship Id="rId2484" Type="http://schemas.openxmlformats.org/officeDocument/2006/relationships/hyperlink" Target="https://ncgtc.sdpondemand.manageengine.in/app/apphelpdesk/ui/requests/14047000006428931/details" TargetMode="External"/><Relationship Id="rId2483" Type="http://schemas.openxmlformats.org/officeDocument/2006/relationships/hyperlink" Target="https://ncgtc.sdpondemand.manageengine.in/app/apphelpdesk/ui/requests/14047000006428916/details" TargetMode="External"/><Relationship Id="rId2482" Type="http://schemas.openxmlformats.org/officeDocument/2006/relationships/hyperlink" Target="https://ncgtc.sdpondemand.manageengine.in/app/apphelpdesk/ui/requests/14047000006428895/details" TargetMode="External"/><Relationship Id="rId2481" Type="http://schemas.openxmlformats.org/officeDocument/2006/relationships/hyperlink" Target="https://ncgtc.sdpondemand.manageengine.in/app/apphelpdesk/ui/requests/14047000006428875/details" TargetMode="External"/><Relationship Id="rId2480" Type="http://schemas.openxmlformats.org/officeDocument/2006/relationships/hyperlink" Target="https://ncgtc.sdpondemand.manageengine.in/app/apphelpdesk/ui/requests/14047000006428835/details" TargetMode="External"/><Relationship Id="rId248" Type="http://schemas.openxmlformats.org/officeDocument/2006/relationships/hyperlink" Target="https://ncgtc.sdpondemand.manageengine.in/app/apphelpdesk/ui/requests/14047000005913331/details" TargetMode="External"/><Relationship Id="rId2479" Type="http://schemas.openxmlformats.org/officeDocument/2006/relationships/hyperlink" Target="https://ncgtc.sdpondemand.manageengine.in/app/apphelpdesk/ui/requests/14047000006428825/details" TargetMode="External"/><Relationship Id="rId2478" Type="http://schemas.openxmlformats.org/officeDocument/2006/relationships/hyperlink" Target="https://ncgtc.sdpondemand.manageengine.in/app/apphelpdesk/ui/requests/14047000006428817/details" TargetMode="External"/><Relationship Id="rId2477" Type="http://schemas.openxmlformats.org/officeDocument/2006/relationships/hyperlink" Target="https://ncgtc.sdpondemand.manageengine.in/app/apphelpdesk/ui/requests/14047000006428782/details" TargetMode="External"/><Relationship Id="rId2476" Type="http://schemas.openxmlformats.org/officeDocument/2006/relationships/hyperlink" Target="https://ncgtc.sdpondemand.manageengine.in/app/apphelpdesk/ui/requests/14047000006428758/details" TargetMode="External"/><Relationship Id="rId2475" Type="http://schemas.openxmlformats.org/officeDocument/2006/relationships/hyperlink" Target="https://ncgtc.sdpondemand.manageengine.in/app/apphelpdesk/ui/requests/14047000006428658/details" TargetMode="External"/><Relationship Id="rId2474" Type="http://schemas.openxmlformats.org/officeDocument/2006/relationships/hyperlink" Target="https://ncgtc.sdpondemand.manageengine.in/app/apphelpdesk/ui/requests/14047000006428649/details" TargetMode="External"/><Relationship Id="rId2473" Type="http://schemas.openxmlformats.org/officeDocument/2006/relationships/hyperlink" Target="https://ncgtc.sdpondemand.manageengine.in/app/apphelpdesk/ui/requests/14047000006428573/details" TargetMode="External"/><Relationship Id="rId2472" Type="http://schemas.openxmlformats.org/officeDocument/2006/relationships/hyperlink" Target="https://ncgtc.sdpondemand.manageengine.in/app/apphelpdesk/ui/requests/14047000006428530/details" TargetMode="External"/><Relationship Id="rId2471" Type="http://schemas.openxmlformats.org/officeDocument/2006/relationships/hyperlink" Target="https://ncgtc.sdpondemand.manageengine.in/app/apphelpdesk/ui/requests/14047000006428484/details" TargetMode="External"/><Relationship Id="rId2470" Type="http://schemas.openxmlformats.org/officeDocument/2006/relationships/hyperlink" Target="https://ncgtc.sdpondemand.manageengine.in/app/apphelpdesk/ui/requests/14047000006428464/details" TargetMode="External"/><Relationship Id="rId247" Type="http://schemas.openxmlformats.org/officeDocument/2006/relationships/hyperlink" Target="https://ncgtc.sdpondemand.manageengine.in/app/apphelpdesk/ui/requests/14047000005913310/details" TargetMode="External"/><Relationship Id="rId2469" Type="http://schemas.openxmlformats.org/officeDocument/2006/relationships/hyperlink" Target="https://ncgtc.sdpondemand.manageengine.in/app/apphelpdesk/ui/requests/14047000006428430/details" TargetMode="External"/><Relationship Id="rId2468" Type="http://schemas.openxmlformats.org/officeDocument/2006/relationships/hyperlink" Target="https://ncgtc.sdpondemand.manageengine.in/app/apphelpdesk/ui/requests/14047000006428422/details" TargetMode="External"/><Relationship Id="rId2467" Type="http://schemas.openxmlformats.org/officeDocument/2006/relationships/hyperlink" Target="https://ncgtc.sdpondemand.manageengine.in/app/apphelpdesk/ui/requests/14047000006428387/details" TargetMode="External"/><Relationship Id="rId2466" Type="http://schemas.openxmlformats.org/officeDocument/2006/relationships/hyperlink" Target="https://ncgtc.sdpondemand.manageengine.in/app/apphelpdesk/ui/requests/14047000006428365/details" TargetMode="External"/><Relationship Id="rId2465" Type="http://schemas.openxmlformats.org/officeDocument/2006/relationships/hyperlink" Target="https://ncgtc.sdpondemand.manageengine.in/app/apphelpdesk/ui/requests/14047000006428340/details" TargetMode="External"/><Relationship Id="rId2464" Type="http://schemas.openxmlformats.org/officeDocument/2006/relationships/hyperlink" Target="https://ncgtc.sdpondemand.manageengine.in/app/apphelpdesk/ui/requests/14047000006428305/details" TargetMode="External"/><Relationship Id="rId2463" Type="http://schemas.openxmlformats.org/officeDocument/2006/relationships/hyperlink" Target="https://ncgtc.sdpondemand.manageengine.in/app/apphelpdesk/ui/requests/14047000006428283/details" TargetMode="External"/><Relationship Id="rId2462" Type="http://schemas.openxmlformats.org/officeDocument/2006/relationships/hyperlink" Target="https://ncgtc.sdpondemand.manageengine.in/app/apphelpdesk/ui/requests/14047000006428274/details" TargetMode="External"/><Relationship Id="rId2461" Type="http://schemas.openxmlformats.org/officeDocument/2006/relationships/hyperlink" Target="https://ncgtc.sdpondemand.manageengine.in/app/apphelpdesk/ui/requests/14047000006428258/details" TargetMode="External"/><Relationship Id="rId2460" Type="http://schemas.openxmlformats.org/officeDocument/2006/relationships/hyperlink" Target="https://ncgtc.sdpondemand.manageengine.in/app/apphelpdesk/ui/requests/14047000006428249/details" TargetMode="External"/><Relationship Id="rId246" Type="http://schemas.openxmlformats.org/officeDocument/2006/relationships/hyperlink" Target="https://ncgtc.sdpondemand.manageengine.in/app/apphelpdesk/ui/requests/14047000005913288/details" TargetMode="External"/><Relationship Id="rId2459" Type="http://schemas.openxmlformats.org/officeDocument/2006/relationships/hyperlink" Target="https://ncgtc.sdpondemand.manageengine.in/app/apphelpdesk/ui/requests/14047000006428222/details" TargetMode="External"/><Relationship Id="rId2458" Type="http://schemas.openxmlformats.org/officeDocument/2006/relationships/hyperlink" Target="https://ncgtc.sdpondemand.manageengine.in/app/apphelpdesk/ui/requests/14047000006428208/details" TargetMode="External"/><Relationship Id="rId2457" Type="http://schemas.openxmlformats.org/officeDocument/2006/relationships/hyperlink" Target="https://ncgtc.sdpondemand.manageengine.in/app/apphelpdesk/ui/requests/14047000006428187/details" TargetMode="External"/><Relationship Id="rId2456" Type="http://schemas.openxmlformats.org/officeDocument/2006/relationships/hyperlink" Target="https://ncgtc.sdpondemand.manageengine.in/app/apphelpdesk/ui/requests/14047000006428178/details" TargetMode="External"/><Relationship Id="rId2455" Type="http://schemas.openxmlformats.org/officeDocument/2006/relationships/hyperlink" Target="https://ncgtc.sdpondemand.manageengine.in/app/apphelpdesk/ui/requests/14047000006428144/details" TargetMode="External"/><Relationship Id="rId2454" Type="http://schemas.openxmlformats.org/officeDocument/2006/relationships/hyperlink" Target="https://ncgtc.sdpondemand.manageengine.in/app/apphelpdesk/ui/requests/14047000006428110/details" TargetMode="External"/><Relationship Id="rId2453" Type="http://schemas.openxmlformats.org/officeDocument/2006/relationships/hyperlink" Target="https://ncgtc.sdpondemand.manageengine.in/app/apphelpdesk/ui/requests/14047000006428054/details" TargetMode="External"/><Relationship Id="rId2452" Type="http://schemas.openxmlformats.org/officeDocument/2006/relationships/hyperlink" Target="https://ncgtc.sdpondemand.manageengine.in/app/apphelpdesk/ui/requests/14047000006428046/details" TargetMode="External"/><Relationship Id="rId2451" Type="http://schemas.openxmlformats.org/officeDocument/2006/relationships/hyperlink" Target="https://ncgtc.sdpondemand.manageengine.in/app/apphelpdesk/ui/requests/14047000006428027/details" TargetMode="External"/><Relationship Id="rId2450" Type="http://schemas.openxmlformats.org/officeDocument/2006/relationships/hyperlink" Target="https://ncgtc.sdpondemand.manageengine.in/app/apphelpdesk/ui/requests/14047000006422981/details" TargetMode="External"/><Relationship Id="rId245" Type="http://schemas.openxmlformats.org/officeDocument/2006/relationships/hyperlink" Target="https://ncgtc.sdpondemand.manageengine.in/app/apphelpdesk/ui/requests/14047000005913228/details" TargetMode="External"/><Relationship Id="rId2449" Type="http://schemas.openxmlformats.org/officeDocument/2006/relationships/hyperlink" Target="https://ncgtc.sdpondemand.manageengine.in/app/apphelpdesk/ui/requests/14047000006422970/details" TargetMode="External"/><Relationship Id="rId2448" Type="http://schemas.openxmlformats.org/officeDocument/2006/relationships/hyperlink" Target="https://ncgtc.sdpondemand.manageengine.in/app/apphelpdesk/ui/requests/14047000006422943/details" TargetMode="External"/><Relationship Id="rId2447" Type="http://schemas.openxmlformats.org/officeDocument/2006/relationships/hyperlink" Target="https://ncgtc.sdpondemand.manageengine.in/app/apphelpdesk/ui/requests/14047000006422885/details" TargetMode="External"/><Relationship Id="rId2446" Type="http://schemas.openxmlformats.org/officeDocument/2006/relationships/hyperlink" Target="https://ncgtc.sdpondemand.manageengine.in/app/apphelpdesk/ui/requests/14047000006422875/details" TargetMode="External"/><Relationship Id="rId2445" Type="http://schemas.openxmlformats.org/officeDocument/2006/relationships/hyperlink" Target="https://ncgtc.sdpondemand.manageengine.in/app/apphelpdesk/ui/requests/14047000006422867/details" TargetMode="External"/><Relationship Id="rId2444" Type="http://schemas.openxmlformats.org/officeDocument/2006/relationships/hyperlink" Target="https://ncgtc.sdpondemand.manageengine.in/app/apphelpdesk/ui/requests/14047000006422855/details" TargetMode="External"/><Relationship Id="rId2443" Type="http://schemas.openxmlformats.org/officeDocument/2006/relationships/hyperlink" Target="https://ncgtc.sdpondemand.manageengine.in/app/apphelpdesk/ui/requests/14047000006422841/details" TargetMode="External"/><Relationship Id="rId2442" Type="http://schemas.openxmlformats.org/officeDocument/2006/relationships/hyperlink" Target="https://ncgtc.sdpondemand.manageengine.in/app/apphelpdesk/ui/requests/14047000006422818/details" TargetMode="External"/><Relationship Id="rId2441" Type="http://schemas.openxmlformats.org/officeDocument/2006/relationships/hyperlink" Target="https://ncgtc.sdpondemand.manageengine.in/app/apphelpdesk/ui/requests/14047000006422733/details" TargetMode="External"/><Relationship Id="rId2440" Type="http://schemas.openxmlformats.org/officeDocument/2006/relationships/hyperlink" Target="https://ncgtc.sdpondemand.manageengine.in/app/apphelpdesk/ui/requests/14047000006422693/details" TargetMode="External"/><Relationship Id="rId244" Type="http://schemas.openxmlformats.org/officeDocument/2006/relationships/hyperlink" Target="https://ncgtc.sdpondemand.manageengine.in/app/apphelpdesk/ui/requests/14047000005913219/details" TargetMode="External"/><Relationship Id="rId2439" Type="http://schemas.openxmlformats.org/officeDocument/2006/relationships/hyperlink" Target="https://ncgtc.sdpondemand.manageengine.in/app/apphelpdesk/ui/requests/14047000006422654/details" TargetMode="External"/><Relationship Id="rId2438" Type="http://schemas.openxmlformats.org/officeDocument/2006/relationships/hyperlink" Target="https://ncgtc.sdpondemand.manageengine.in/app/apphelpdesk/ui/requests/14047000006422632/details" TargetMode="External"/><Relationship Id="rId2437" Type="http://schemas.openxmlformats.org/officeDocument/2006/relationships/hyperlink" Target="https://ncgtc.sdpondemand.manageengine.in/app/apphelpdesk/ui/requests/14047000006422610/details" TargetMode="External"/><Relationship Id="rId2436" Type="http://schemas.openxmlformats.org/officeDocument/2006/relationships/hyperlink" Target="https://ncgtc.sdpondemand.manageengine.in/app/apphelpdesk/ui/requests/14047000006422465/details" TargetMode="External"/><Relationship Id="rId2435" Type="http://schemas.openxmlformats.org/officeDocument/2006/relationships/hyperlink" Target="https://ncgtc.sdpondemand.manageengine.in/app/apphelpdesk/ui/requests/14047000006422450/details" TargetMode="External"/><Relationship Id="rId2434" Type="http://schemas.openxmlformats.org/officeDocument/2006/relationships/hyperlink" Target="https://ncgtc.sdpondemand.manageengine.in/app/apphelpdesk/ui/requests/14047000006422391/details" TargetMode="External"/><Relationship Id="rId2433" Type="http://schemas.openxmlformats.org/officeDocument/2006/relationships/hyperlink" Target="https://ncgtc.sdpondemand.manageengine.in/app/apphelpdesk/ui/requests/14047000006422312/details" TargetMode="External"/><Relationship Id="rId2432" Type="http://schemas.openxmlformats.org/officeDocument/2006/relationships/hyperlink" Target="https://ncgtc.sdpondemand.manageengine.in/app/apphelpdesk/ui/requests/14047000006422298/details" TargetMode="External"/><Relationship Id="rId2431" Type="http://schemas.openxmlformats.org/officeDocument/2006/relationships/hyperlink" Target="https://ncgtc.sdpondemand.manageengine.in/app/apphelpdesk/ui/requests/14047000006422206/details" TargetMode="External"/><Relationship Id="rId2430" Type="http://schemas.openxmlformats.org/officeDocument/2006/relationships/hyperlink" Target="https://ncgtc.sdpondemand.manageengine.in/app/apphelpdesk/ui/requests/14047000006422166/details" TargetMode="External"/><Relationship Id="rId243" Type="http://schemas.openxmlformats.org/officeDocument/2006/relationships/hyperlink" Target="https://ncgtc.sdpondemand.manageengine.in/app/apphelpdesk/ui/requests/14047000005913174/details" TargetMode="External"/><Relationship Id="rId2429" Type="http://schemas.openxmlformats.org/officeDocument/2006/relationships/hyperlink" Target="https://ncgtc.sdpondemand.manageengine.in/app/apphelpdesk/ui/requests/14047000006422158/details" TargetMode="External"/><Relationship Id="rId2428" Type="http://schemas.openxmlformats.org/officeDocument/2006/relationships/hyperlink" Target="https://ncgtc.sdpondemand.manageengine.in/app/apphelpdesk/ui/requests/14047000006422134/details" TargetMode="External"/><Relationship Id="rId2427" Type="http://schemas.openxmlformats.org/officeDocument/2006/relationships/hyperlink" Target="https://ncgtc.sdpondemand.manageengine.in/app/apphelpdesk/ui/requests/14047000006422124/details" TargetMode="External"/><Relationship Id="rId2426" Type="http://schemas.openxmlformats.org/officeDocument/2006/relationships/hyperlink" Target="https://ncgtc.sdpondemand.manageengine.in/app/apphelpdesk/ui/requests/14047000006417998/details" TargetMode="External"/><Relationship Id="rId2425" Type="http://schemas.openxmlformats.org/officeDocument/2006/relationships/hyperlink" Target="https://ncgtc.sdpondemand.manageengine.in/app/apphelpdesk/ui/requests/14047000006417990/details" TargetMode="External"/><Relationship Id="rId2424" Type="http://schemas.openxmlformats.org/officeDocument/2006/relationships/hyperlink" Target="https://ncgtc.sdpondemand.manageengine.in/app/apphelpdesk/ui/requests/14047000006417959/details" TargetMode="External"/><Relationship Id="rId2423" Type="http://schemas.openxmlformats.org/officeDocument/2006/relationships/hyperlink" Target="https://ncgtc.sdpondemand.manageengine.in/app/apphelpdesk/ui/requests/14047000006417951/details" TargetMode="External"/><Relationship Id="rId2422" Type="http://schemas.openxmlformats.org/officeDocument/2006/relationships/hyperlink" Target="https://ncgtc.sdpondemand.manageengine.in/app/apphelpdesk/ui/requests/14047000006417925/details" TargetMode="External"/><Relationship Id="rId2421" Type="http://schemas.openxmlformats.org/officeDocument/2006/relationships/hyperlink" Target="https://ncgtc.sdpondemand.manageengine.in/app/apphelpdesk/ui/requests/14047000006417859/details" TargetMode="External"/><Relationship Id="rId2420" Type="http://schemas.openxmlformats.org/officeDocument/2006/relationships/hyperlink" Target="https://ncgtc.sdpondemand.manageengine.in/app/apphelpdesk/ui/requests/14047000006417820/details" TargetMode="External"/><Relationship Id="rId242" Type="http://schemas.openxmlformats.org/officeDocument/2006/relationships/hyperlink" Target="https://ncgtc.sdpondemand.manageengine.in/app/apphelpdesk/ui/requests/14047000005913151/details" TargetMode="External"/><Relationship Id="rId2419" Type="http://schemas.openxmlformats.org/officeDocument/2006/relationships/hyperlink" Target="https://ncgtc.sdpondemand.manageengine.in/app/apphelpdesk/ui/requests/14047000006417772/details" TargetMode="External"/><Relationship Id="rId2418" Type="http://schemas.openxmlformats.org/officeDocument/2006/relationships/hyperlink" Target="https://ncgtc.sdpondemand.manageengine.in/app/apphelpdesk/ui/requests/14047000006417728/details" TargetMode="External"/><Relationship Id="rId2417" Type="http://schemas.openxmlformats.org/officeDocument/2006/relationships/hyperlink" Target="https://ncgtc.sdpondemand.manageengine.in/app/apphelpdesk/ui/requests/14047000006417720/details" TargetMode="External"/><Relationship Id="rId2416" Type="http://schemas.openxmlformats.org/officeDocument/2006/relationships/hyperlink" Target="https://ncgtc.sdpondemand.manageengine.in/app/apphelpdesk/ui/requests/14047000006417632/details" TargetMode="External"/><Relationship Id="rId2415" Type="http://schemas.openxmlformats.org/officeDocument/2006/relationships/hyperlink" Target="https://ncgtc.sdpondemand.manageengine.in/app/apphelpdesk/ui/requests/14047000006417607/details" TargetMode="External"/><Relationship Id="rId2414" Type="http://schemas.openxmlformats.org/officeDocument/2006/relationships/hyperlink" Target="https://ncgtc.sdpondemand.manageengine.in/app/apphelpdesk/ui/requests/14047000006417540/details" TargetMode="External"/><Relationship Id="rId2413" Type="http://schemas.openxmlformats.org/officeDocument/2006/relationships/hyperlink" Target="https://ncgtc.sdpondemand.manageengine.in/app/apphelpdesk/ui/requests/14047000006417495/details" TargetMode="External"/><Relationship Id="rId2412" Type="http://schemas.openxmlformats.org/officeDocument/2006/relationships/hyperlink" Target="https://ncgtc.sdpondemand.manageengine.in/app/apphelpdesk/ui/requests/14047000006417475/details" TargetMode="External"/><Relationship Id="rId2411" Type="http://schemas.openxmlformats.org/officeDocument/2006/relationships/hyperlink" Target="https://ncgtc.sdpondemand.manageengine.in/app/apphelpdesk/ui/requests/14047000006417422/details" TargetMode="External"/><Relationship Id="rId2410" Type="http://schemas.openxmlformats.org/officeDocument/2006/relationships/hyperlink" Target="https://ncgtc.sdpondemand.manageengine.in/app/apphelpdesk/ui/requests/14047000006417402/details" TargetMode="External"/><Relationship Id="rId241" Type="http://schemas.openxmlformats.org/officeDocument/2006/relationships/hyperlink" Target="https://ncgtc.sdpondemand.manageengine.in/app/apphelpdesk/ui/requests/14047000005913143/details" TargetMode="External"/><Relationship Id="rId2409" Type="http://schemas.openxmlformats.org/officeDocument/2006/relationships/hyperlink" Target="https://ncgtc.sdpondemand.manageengine.in/app/apphelpdesk/ui/requests/14047000006417346/details" TargetMode="External"/><Relationship Id="rId2408" Type="http://schemas.openxmlformats.org/officeDocument/2006/relationships/hyperlink" Target="https://ncgtc.sdpondemand.manageengine.in/app/apphelpdesk/ui/requests/14047000006417323/details" TargetMode="External"/><Relationship Id="rId2407" Type="http://schemas.openxmlformats.org/officeDocument/2006/relationships/hyperlink" Target="https://ncgtc.sdpondemand.manageengine.in/app/apphelpdesk/ui/requests/14047000006417272/details" TargetMode="External"/><Relationship Id="rId2406" Type="http://schemas.openxmlformats.org/officeDocument/2006/relationships/hyperlink" Target="https://ncgtc.sdpondemand.manageengine.in/app/apphelpdesk/ui/requests/14047000006417169/details" TargetMode="External"/><Relationship Id="rId2405" Type="http://schemas.openxmlformats.org/officeDocument/2006/relationships/hyperlink" Target="https://ncgtc.sdpondemand.manageengine.in/app/apphelpdesk/ui/requests/14047000006417156/details" TargetMode="External"/><Relationship Id="rId2404" Type="http://schemas.openxmlformats.org/officeDocument/2006/relationships/hyperlink" Target="https://ncgtc.sdpondemand.manageengine.in/app/apphelpdesk/ui/requests/14047000006417142/details" TargetMode="External"/><Relationship Id="rId2403" Type="http://schemas.openxmlformats.org/officeDocument/2006/relationships/hyperlink" Target="https://ncgtc.sdpondemand.manageengine.in/app/apphelpdesk/ui/requests/14047000006417133/details" TargetMode="External"/><Relationship Id="rId2402" Type="http://schemas.openxmlformats.org/officeDocument/2006/relationships/hyperlink" Target="https://ncgtc.sdpondemand.manageengine.in/app/apphelpdesk/ui/requests/14047000006417028/details" TargetMode="External"/><Relationship Id="rId2401" Type="http://schemas.openxmlformats.org/officeDocument/2006/relationships/hyperlink" Target="https://ncgtc.sdpondemand.manageengine.in/app/apphelpdesk/ui/requests/14047000006417001/details" TargetMode="External"/><Relationship Id="rId2400" Type="http://schemas.openxmlformats.org/officeDocument/2006/relationships/hyperlink" Target="https://ncgtc.sdpondemand.manageengine.in/app/apphelpdesk/ui/requests/14047000006413976/details" TargetMode="External"/><Relationship Id="rId240" Type="http://schemas.openxmlformats.org/officeDocument/2006/relationships/hyperlink" Target="https://ncgtc.sdpondemand.manageengine.in/app/apphelpdesk/ui/requests/14047000005913125/details" TargetMode="External"/><Relationship Id="rId24" Type="http://schemas.openxmlformats.org/officeDocument/2006/relationships/hyperlink" Target="https://ncgtc.sdpondemand.manageengine.in/app/apphelpdesk/ui/requests/14047000005854591/details" TargetMode="External"/><Relationship Id="rId2399" Type="http://schemas.openxmlformats.org/officeDocument/2006/relationships/hyperlink" Target="https://ncgtc.sdpondemand.manageengine.in/app/apphelpdesk/ui/requests/14047000006413958/details" TargetMode="External"/><Relationship Id="rId2398" Type="http://schemas.openxmlformats.org/officeDocument/2006/relationships/hyperlink" Target="https://ncgtc.sdpondemand.manageengine.in/app/apphelpdesk/ui/requests/14047000006413858/details" TargetMode="External"/><Relationship Id="rId2397" Type="http://schemas.openxmlformats.org/officeDocument/2006/relationships/hyperlink" Target="https://ncgtc.sdpondemand.manageengine.in/app/apphelpdesk/ui/requests/14047000006413834/details" TargetMode="External"/><Relationship Id="rId2396" Type="http://schemas.openxmlformats.org/officeDocument/2006/relationships/hyperlink" Target="https://ncgtc.sdpondemand.manageengine.in/app/apphelpdesk/ui/requests/14047000006413825/details" TargetMode="External"/><Relationship Id="rId2395" Type="http://schemas.openxmlformats.org/officeDocument/2006/relationships/hyperlink" Target="https://ncgtc.sdpondemand.manageengine.in/app/apphelpdesk/ui/requests/14047000006413807/details" TargetMode="External"/><Relationship Id="rId2394" Type="http://schemas.openxmlformats.org/officeDocument/2006/relationships/hyperlink" Target="https://ncgtc.sdpondemand.manageengine.in/app/apphelpdesk/ui/requests/14047000006413694/details" TargetMode="External"/><Relationship Id="rId2393" Type="http://schemas.openxmlformats.org/officeDocument/2006/relationships/hyperlink" Target="https://ncgtc.sdpondemand.manageengine.in/app/apphelpdesk/ui/requests/14047000006413681/details" TargetMode="External"/><Relationship Id="rId2392" Type="http://schemas.openxmlformats.org/officeDocument/2006/relationships/hyperlink" Target="https://ncgtc.sdpondemand.manageengine.in/app/apphelpdesk/ui/requests/14047000006413671/details" TargetMode="External"/><Relationship Id="rId2391" Type="http://schemas.openxmlformats.org/officeDocument/2006/relationships/hyperlink" Target="https://ncgtc.sdpondemand.manageengine.in/app/apphelpdesk/ui/requests/14047000006413642/details" TargetMode="External"/><Relationship Id="rId2390" Type="http://schemas.openxmlformats.org/officeDocument/2006/relationships/hyperlink" Target="https://ncgtc.sdpondemand.manageengine.in/app/apphelpdesk/ui/requests/14047000006413627/details" TargetMode="External"/><Relationship Id="rId239" Type="http://schemas.openxmlformats.org/officeDocument/2006/relationships/hyperlink" Target="https://ncgtc.sdpondemand.manageengine.in/app/apphelpdesk/ui/requests/14047000005913109/details" TargetMode="External"/><Relationship Id="rId2389" Type="http://schemas.openxmlformats.org/officeDocument/2006/relationships/hyperlink" Target="https://ncgtc.sdpondemand.manageengine.in/app/apphelpdesk/ui/requests/14047000006413608/details" TargetMode="External"/><Relationship Id="rId2388" Type="http://schemas.openxmlformats.org/officeDocument/2006/relationships/hyperlink" Target="https://ncgtc.sdpondemand.manageengine.in/app/apphelpdesk/ui/requests/14047000006413580/details" TargetMode="External"/><Relationship Id="rId2387" Type="http://schemas.openxmlformats.org/officeDocument/2006/relationships/hyperlink" Target="https://ncgtc.sdpondemand.manageengine.in/app/apphelpdesk/ui/requests/14047000006413544/details" TargetMode="External"/><Relationship Id="rId2386" Type="http://schemas.openxmlformats.org/officeDocument/2006/relationships/hyperlink" Target="https://ncgtc.sdpondemand.manageengine.in/app/apphelpdesk/ui/requests/14047000006413517/details" TargetMode="External"/><Relationship Id="rId2385" Type="http://schemas.openxmlformats.org/officeDocument/2006/relationships/hyperlink" Target="https://ncgtc.sdpondemand.manageengine.in/app/apphelpdesk/ui/requests/14047000006413491/details" TargetMode="External"/><Relationship Id="rId2384" Type="http://schemas.openxmlformats.org/officeDocument/2006/relationships/hyperlink" Target="https://ncgtc.sdpondemand.manageengine.in/app/apphelpdesk/ui/requests/14047000006413461/details" TargetMode="External"/><Relationship Id="rId2383" Type="http://schemas.openxmlformats.org/officeDocument/2006/relationships/hyperlink" Target="https://ncgtc.sdpondemand.manageengine.in/app/apphelpdesk/ui/requests/14047000006413419/details" TargetMode="External"/><Relationship Id="rId2382" Type="http://schemas.openxmlformats.org/officeDocument/2006/relationships/hyperlink" Target="https://ncgtc.sdpondemand.manageengine.in/app/apphelpdesk/ui/requests/14047000006413387/details" TargetMode="External"/><Relationship Id="rId2381" Type="http://schemas.openxmlformats.org/officeDocument/2006/relationships/hyperlink" Target="https://ncgtc.sdpondemand.manageengine.in/app/apphelpdesk/ui/requests/14047000006413360/details" TargetMode="External"/><Relationship Id="rId2380" Type="http://schemas.openxmlformats.org/officeDocument/2006/relationships/hyperlink" Target="https://ncgtc.sdpondemand.manageengine.in/app/apphelpdesk/ui/requests/14047000006413246/details" TargetMode="External"/><Relationship Id="rId238" Type="http://schemas.openxmlformats.org/officeDocument/2006/relationships/hyperlink" Target="https://ncgtc.sdpondemand.manageengine.in/app/apphelpdesk/ui/requests/14047000005913100/details" TargetMode="External"/><Relationship Id="rId2379" Type="http://schemas.openxmlformats.org/officeDocument/2006/relationships/hyperlink" Target="https://ncgtc.sdpondemand.manageengine.in/app/apphelpdesk/ui/requests/14047000006413235/details" TargetMode="External"/><Relationship Id="rId2378" Type="http://schemas.openxmlformats.org/officeDocument/2006/relationships/hyperlink" Target="https://ncgtc.sdpondemand.manageengine.in/app/apphelpdesk/ui/requests/14047000006413114/details" TargetMode="External"/><Relationship Id="rId2377" Type="http://schemas.openxmlformats.org/officeDocument/2006/relationships/hyperlink" Target="https://ncgtc.sdpondemand.manageengine.in/app/apphelpdesk/ui/requests/14047000006413105/details" TargetMode="External"/><Relationship Id="rId2376" Type="http://schemas.openxmlformats.org/officeDocument/2006/relationships/hyperlink" Target="https://ncgtc.sdpondemand.manageengine.in/app/apphelpdesk/ui/requests/14047000006413025/details" TargetMode="External"/><Relationship Id="rId2375" Type="http://schemas.openxmlformats.org/officeDocument/2006/relationships/hyperlink" Target="https://ncgtc.sdpondemand.manageengine.in/app/apphelpdesk/ui/requests/14047000006408997/details" TargetMode="External"/><Relationship Id="rId2374" Type="http://schemas.openxmlformats.org/officeDocument/2006/relationships/hyperlink" Target="https://ncgtc.sdpondemand.manageengine.in/app/apphelpdesk/ui/requests/14047000006408984/details" TargetMode="External"/><Relationship Id="rId2373" Type="http://schemas.openxmlformats.org/officeDocument/2006/relationships/hyperlink" Target="https://ncgtc.sdpondemand.manageengine.in/app/apphelpdesk/ui/requests/14047000006408843/details" TargetMode="External"/><Relationship Id="rId2372" Type="http://schemas.openxmlformats.org/officeDocument/2006/relationships/hyperlink" Target="https://ncgtc.sdpondemand.manageengine.in/app/apphelpdesk/ui/requests/14047000006408834/details" TargetMode="External"/><Relationship Id="rId2371" Type="http://schemas.openxmlformats.org/officeDocument/2006/relationships/hyperlink" Target="https://ncgtc.sdpondemand.manageengine.in/app/apphelpdesk/ui/requests/14047000006408816/details" TargetMode="External"/><Relationship Id="rId2370" Type="http://schemas.openxmlformats.org/officeDocument/2006/relationships/hyperlink" Target="https://ncgtc.sdpondemand.manageengine.in/app/apphelpdesk/ui/requests/14047000006408786/details" TargetMode="External"/><Relationship Id="rId237" Type="http://schemas.openxmlformats.org/officeDocument/2006/relationships/hyperlink" Target="https://ncgtc.sdpondemand.manageengine.in/app/apphelpdesk/ui/requests/14047000005913081/details" TargetMode="External"/><Relationship Id="rId2369" Type="http://schemas.openxmlformats.org/officeDocument/2006/relationships/hyperlink" Target="https://ncgtc.sdpondemand.manageengine.in/app/apphelpdesk/ui/requests/14047000006408739/details" TargetMode="External"/><Relationship Id="rId2368" Type="http://schemas.openxmlformats.org/officeDocument/2006/relationships/hyperlink" Target="https://ncgtc.sdpondemand.manageengine.in/app/apphelpdesk/ui/requests/14047000006408730/details" TargetMode="External"/><Relationship Id="rId2367" Type="http://schemas.openxmlformats.org/officeDocument/2006/relationships/hyperlink" Target="https://ncgtc.sdpondemand.manageengine.in/app/apphelpdesk/ui/requests/14047000006408653/details" TargetMode="External"/><Relationship Id="rId2366" Type="http://schemas.openxmlformats.org/officeDocument/2006/relationships/hyperlink" Target="https://ncgtc.sdpondemand.manageengine.in/app/apphelpdesk/ui/requests/14047000006408602/details" TargetMode="External"/><Relationship Id="rId2365" Type="http://schemas.openxmlformats.org/officeDocument/2006/relationships/hyperlink" Target="https://ncgtc.sdpondemand.manageengine.in/app/apphelpdesk/ui/requests/14047000006408582/details" TargetMode="External"/><Relationship Id="rId2364" Type="http://schemas.openxmlformats.org/officeDocument/2006/relationships/hyperlink" Target="https://ncgtc.sdpondemand.manageengine.in/app/apphelpdesk/ui/requests/14047000006408558/details" TargetMode="External"/><Relationship Id="rId2363" Type="http://schemas.openxmlformats.org/officeDocument/2006/relationships/hyperlink" Target="https://ncgtc.sdpondemand.manageengine.in/app/apphelpdesk/ui/requests/14047000006408498/details" TargetMode="External"/><Relationship Id="rId2362" Type="http://schemas.openxmlformats.org/officeDocument/2006/relationships/hyperlink" Target="https://ncgtc.sdpondemand.manageengine.in/app/apphelpdesk/ui/requests/14047000006408462/details" TargetMode="External"/><Relationship Id="rId2361" Type="http://schemas.openxmlformats.org/officeDocument/2006/relationships/hyperlink" Target="https://ncgtc.sdpondemand.manageengine.in/app/apphelpdesk/ui/requests/14047000006408450/details" TargetMode="External"/><Relationship Id="rId2360" Type="http://schemas.openxmlformats.org/officeDocument/2006/relationships/hyperlink" Target="https://ncgtc.sdpondemand.manageengine.in/app/apphelpdesk/ui/requests/14047000006408377/details" TargetMode="External"/><Relationship Id="rId236" Type="http://schemas.openxmlformats.org/officeDocument/2006/relationships/hyperlink" Target="https://ncgtc.sdpondemand.manageengine.in/app/apphelpdesk/ui/requests/14047000005913066/details" TargetMode="External"/><Relationship Id="rId2359" Type="http://schemas.openxmlformats.org/officeDocument/2006/relationships/hyperlink" Target="https://ncgtc.sdpondemand.manageengine.in/app/apphelpdesk/ui/requests/14047000006408357/details" TargetMode="External"/><Relationship Id="rId2358" Type="http://schemas.openxmlformats.org/officeDocument/2006/relationships/hyperlink" Target="https://ncgtc.sdpondemand.manageengine.in/app/apphelpdesk/ui/requests/14047000006408348/details" TargetMode="External"/><Relationship Id="rId2357" Type="http://schemas.openxmlformats.org/officeDocument/2006/relationships/hyperlink" Target="https://ncgtc.sdpondemand.manageengine.in/app/apphelpdesk/ui/requests/14047000006408340/details" TargetMode="External"/><Relationship Id="rId2356" Type="http://schemas.openxmlformats.org/officeDocument/2006/relationships/hyperlink" Target="https://ncgtc.sdpondemand.manageengine.in/app/apphelpdesk/ui/requests/14047000006408331/details" TargetMode="External"/><Relationship Id="rId2355" Type="http://schemas.openxmlformats.org/officeDocument/2006/relationships/hyperlink" Target="https://ncgtc.sdpondemand.manageengine.in/app/apphelpdesk/ui/requests/14047000006408317/details" TargetMode="External"/><Relationship Id="rId2354" Type="http://schemas.openxmlformats.org/officeDocument/2006/relationships/hyperlink" Target="https://ncgtc.sdpondemand.manageengine.in/app/apphelpdesk/ui/requests/14047000006408309/details" TargetMode="External"/><Relationship Id="rId2353" Type="http://schemas.openxmlformats.org/officeDocument/2006/relationships/hyperlink" Target="https://ncgtc.sdpondemand.manageengine.in/app/apphelpdesk/ui/requests/14047000006408266/details" TargetMode="External"/><Relationship Id="rId2352" Type="http://schemas.openxmlformats.org/officeDocument/2006/relationships/hyperlink" Target="https://ncgtc.sdpondemand.manageengine.in/app/apphelpdesk/ui/requests/14047000006408235/details" TargetMode="External"/><Relationship Id="rId2351" Type="http://schemas.openxmlformats.org/officeDocument/2006/relationships/hyperlink" Target="https://ncgtc.sdpondemand.manageengine.in/app/apphelpdesk/ui/requests/14047000006408103/details" TargetMode="External"/><Relationship Id="rId2350" Type="http://schemas.openxmlformats.org/officeDocument/2006/relationships/hyperlink" Target="https://ncgtc.sdpondemand.manageengine.in/app/apphelpdesk/ui/requests/14047000006408068/details" TargetMode="External"/><Relationship Id="rId235" Type="http://schemas.openxmlformats.org/officeDocument/2006/relationships/hyperlink" Target="https://ncgtc.sdpondemand.manageengine.in/app/apphelpdesk/ui/requests/14047000005913025/details" TargetMode="External"/><Relationship Id="rId2349" Type="http://schemas.openxmlformats.org/officeDocument/2006/relationships/hyperlink" Target="https://ncgtc.sdpondemand.manageengine.in/app/apphelpdesk/ui/requests/14047000006408045/details" TargetMode="External"/><Relationship Id="rId2348" Type="http://schemas.openxmlformats.org/officeDocument/2006/relationships/hyperlink" Target="https://ncgtc.sdpondemand.manageengine.in/app/apphelpdesk/ui/requests/14047000006408030/details" TargetMode="External"/><Relationship Id="rId2347" Type="http://schemas.openxmlformats.org/officeDocument/2006/relationships/hyperlink" Target="https://ncgtc.sdpondemand.manageengine.in/app/apphelpdesk/ui/requests/14047000006394970/details" TargetMode="External"/><Relationship Id="rId2346" Type="http://schemas.openxmlformats.org/officeDocument/2006/relationships/hyperlink" Target="https://ncgtc.sdpondemand.manageengine.in/app/apphelpdesk/ui/requests/14047000006394955/details" TargetMode="External"/><Relationship Id="rId2345" Type="http://schemas.openxmlformats.org/officeDocument/2006/relationships/hyperlink" Target="https://ncgtc.sdpondemand.manageengine.in/app/apphelpdesk/ui/requests/14047000006394946/details" TargetMode="External"/><Relationship Id="rId2344" Type="http://schemas.openxmlformats.org/officeDocument/2006/relationships/hyperlink" Target="https://ncgtc.sdpondemand.manageengine.in/app/apphelpdesk/ui/requests/14047000006394882/details" TargetMode="External"/><Relationship Id="rId2343" Type="http://schemas.openxmlformats.org/officeDocument/2006/relationships/hyperlink" Target="https://ncgtc.sdpondemand.manageengine.in/app/apphelpdesk/ui/requests/14047000006394840/details" TargetMode="External"/><Relationship Id="rId2342" Type="http://schemas.openxmlformats.org/officeDocument/2006/relationships/hyperlink" Target="https://ncgtc.sdpondemand.manageengine.in/app/apphelpdesk/ui/requests/14047000006394782/details" TargetMode="External"/><Relationship Id="rId2341" Type="http://schemas.openxmlformats.org/officeDocument/2006/relationships/hyperlink" Target="https://ncgtc.sdpondemand.manageengine.in/app/apphelpdesk/ui/requests/14047000006394761/details" TargetMode="External"/><Relationship Id="rId2340" Type="http://schemas.openxmlformats.org/officeDocument/2006/relationships/hyperlink" Target="https://ncgtc.sdpondemand.manageengine.in/app/apphelpdesk/ui/requests/14047000006394727/details" TargetMode="External"/><Relationship Id="rId234" Type="http://schemas.openxmlformats.org/officeDocument/2006/relationships/hyperlink" Target="https://ncgtc.sdpondemand.manageengine.in/app/apphelpdesk/ui/requests/14047000005913009/details" TargetMode="External"/><Relationship Id="rId2339" Type="http://schemas.openxmlformats.org/officeDocument/2006/relationships/hyperlink" Target="https://ncgtc.sdpondemand.manageengine.in/app/apphelpdesk/ui/requests/14047000006394710/details" TargetMode="External"/><Relationship Id="rId2338" Type="http://schemas.openxmlformats.org/officeDocument/2006/relationships/hyperlink" Target="https://ncgtc.sdpondemand.manageengine.in/app/apphelpdesk/ui/requests/14047000006394653/details" TargetMode="External"/><Relationship Id="rId2337" Type="http://schemas.openxmlformats.org/officeDocument/2006/relationships/hyperlink" Target="https://ncgtc.sdpondemand.manageengine.in/app/apphelpdesk/ui/requests/14047000006394643/details" TargetMode="External"/><Relationship Id="rId2336" Type="http://schemas.openxmlformats.org/officeDocument/2006/relationships/hyperlink" Target="https://ncgtc.sdpondemand.manageengine.in/app/apphelpdesk/ui/requests/14047000006394634/details" TargetMode="External"/><Relationship Id="rId2335" Type="http://schemas.openxmlformats.org/officeDocument/2006/relationships/hyperlink" Target="https://ncgtc.sdpondemand.manageengine.in/app/apphelpdesk/ui/requests/14047000006394612/details" TargetMode="External"/><Relationship Id="rId2334" Type="http://schemas.openxmlformats.org/officeDocument/2006/relationships/hyperlink" Target="https://ncgtc.sdpondemand.manageengine.in/app/apphelpdesk/ui/requests/14047000006394597/details" TargetMode="External"/><Relationship Id="rId2333" Type="http://schemas.openxmlformats.org/officeDocument/2006/relationships/hyperlink" Target="https://ncgtc.sdpondemand.manageengine.in/app/apphelpdesk/ui/requests/14047000006394582/details" TargetMode="External"/><Relationship Id="rId2332" Type="http://schemas.openxmlformats.org/officeDocument/2006/relationships/hyperlink" Target="https://ncgtc.sdpondemand.manageengine.in/app/apphelpdesk/ui/requests/14047000006394545/details" TargetMode="External"/><Relationship Id="rId2331" Type="http://schemas.openxmlformats.org/officeDocument/2006/relationships/hyperlink" Target="https://ncgtc.sdpondemand.manageengine.in/app/apphelpdesk/ui/requests/14047000006394484/details" TargetMode="External"/><Relationship Id="rId2330" Type="http://schemas.openxmlformats.org/officeDocument/2006/relationships/hyperlink" Target="https://ncgtc.sdpondemand.manageengine.in/app/apphelpdesk/ui/requests/14047000006394469/details" TargetMode="External"/><Relationship Id="rId233" Type="http://schemas.openxmlformats.org/officeDocument/2006/relationships/hyperlink" Target="https://ncgtc.sdpondemand.manageengine.in/app/apphelpdesk/ui/requests/14047000005913001/details" TargetMode="External"/><Relationship Id="rId2329" Type="http://schemas.openxmlformats.org/officeDocument/2006/relationships/hyperlink" Target="https://ncgtc.sdpondemand.manageengine.in/app/apphelpdesk/ui/requests/14047000006394435/details" TargetMode="External"/><Relationship Id="rId2328" Type="http://schemas.openxmlformats.org/officeDocument/2006/relationships/hyperlink" Target="https://ncgtc.sdpondemand.manageengine.in/app/apphelpdesk/ui/requests/14047000006394405/details" TargetMode="External"/><Relationship Id="rId2327" Type="http://schemas.openxmlformats.org/officeDocument/2006/relationships/hyperlink" Target="https://ncgtc.sdpondemand.manageengine.in/app/apphelpdesk/ui/requests/14047000006394396/details" TargetMode="External"/><Relationship Id="rId2326" Type="http://schemas.openxmlformats.org/officeDocument/2006/relationships/hyperlink" Target="https://ncgtc.sdpondemand.manageengine.in/app/apphelpdesk/ui/requests/14047000006394379/details" TargetMode="External"/><Relationship Id="rId2325" Type="http://schemas.openxmlformats.org/officeDocument/2006/relationships/hyperlink" Target="https://ncgtc.sdpondemand.manageengine.in/app/apphelpdesk/ui/requests/14047000006394370/details" TargetMode="External"/><Relationship Id="rId2324" Type="http://schemas.openxmlformats.org/officeDocument/2006/relationships/hyperlink" Target="https://ncgtc.sdpondemand.manageengine.in/app/apphelpdesk/ui/requests/14047000006394361/details" TargetMode="External"/><Relationship Id="rId2323" Type="http://schemas.openxmlformats.org/officeDocument/2006/relationships/hyperlink" Target="https://ncgtc.sdpondemand.manageengine.in/app/apphelpdesk/ui/requests/14047000006394323/details" TargetMode="External"/><Relationship Id="rId2322" Type="http://schemas.openxmlformats.org/officeDocument/2006/relationships/hyperlink" Target="https://ncgtc.sdpondemand.manageengine.in/app/apphelpdesk/ui/requests/14047000006394305/details" TargetMode="External"/><Relationship Id="rId2321" Type="http://schemas.openxmlformats.org/officeDocument/2006/relationships/hyperlink" Target="https://ncgtc.sdpondemand.manageengine.in/app/apphelpdesk/ui/requests/14047000006394283/details" TargetMode="External"/><Relationship Id="rId2320" Type="http://schemas.openxmlformats.org/officeDocument/2006/relationships/hyperlink" Target="https://ncgtc.sdpondemand.manageengine.in/app/apphelpdesk/ui/requests/14047000006394266/details" TargetMode="External"/><Relationship Id="rId232" Type="http://schemas.openxmlformats.org/officeDocument/2006/relationships/hyperlink" Target="https://ncgtc.sdpondemand.manageengine.in/app/apphelpdesk/ui/requests/14047000005898979/details" TargetMode="External"/><Relationship Id="rId2319" Type="http://schemas.openxmlformats.org/officeDocument/2006/relationships/hyperlink" Target="https://ncgtc.sdpondemand.manageengine.in/app/apphelpdesk/ui/requests/14047000006394227/details" TargetMode="External"/><Relationship Id="rId2318" Type="http://schemas.openxmlformats.org/officeDocument/2006/relationships/hyperlink" Target="https://ncgtc.sdpondemand.manageengine.in/app/apphelpdesk/ui/requests/14047000006394208/details" TargetMode="External"/><Relationship Id="rId2317" Type="http://schemas.openxmlformats.org/officeDocument/2006/relationships/hyperlink" Target="https://ncgtc.sdpondemand.manageengine.in/app/apphelpdesk/ui/requests/14047000006394200/details" TargetMode="External"/><Relationship Id="rId2316" Type="http://schemas.openxmlformats.org/officeDocument/2006/relationships/hyperlink" Target="https://ncgtc.sdpondemand.manageengine.in/app/apphelpdesk/ui/requests/14047000006394172/details" TargetMode="External"/><Relationship Id="rId2315" Type="http://schemas.openxmlformats.org/officeDocument/2006/relationships/hyperlink" Target="https://ncgtc.sdpondemand.manageengine.in/app/apphelpdesk/ui/requests/14047000006394159/details" TargetMode="External"/><Relationship Id="rId2314" Type="http://schemas.openxmlformats.org/officeDocument/2006/relationships/hyperlink" Target="https://ncgtc.sdpondemand.manageengine.in/app/apphelpdesk/ui/requests/14047000006394150/details" TargetMode="External"/><Relationship Id="rId2313" Type="http://schemas.openxmlformats.org/officeDocument/2006/relationships/hyperlink" Target="https://ncgtc.sdpondemand.manageengine.in/app/apphelpdesk/ui/requests/14047000006394130/details" TargetMode="External"/><Relationship Id="rId2312" Type="http://schemas.openxmlformats.org/officeDocument/2006/relationships/hyperlink" Target="https://ncgtc.sdpondemand.manageengine.in/app/apphelpdesk/ui/requests/14047000006394049/details" TargetMode="External"/><Relationship Id="rId2311" Type="http://schemas.openxmlformats.org/officeDocument/2006/relationships/hyperlink" Target="https://ncgtc.sdpondemand.manageengine.in/app/apphelpdesk/ui/requests/14047000006394037/details" TargetMode="External"/><Relationship Id="rId2310" Type="http://schemas.openxmlformats.org/officeDocument/2006/relationships/hyperlink" Target="https://ncgtc.sdpondemand.manageengine.in/app/apphelpdesk/ui/requests/14047000006394028/details" TargetMode="External"/><Relationship Id="rId231" Type="http://schemas.openxmlformats.org/officeDocument/2006/relationships/hyperlink" Target="https://ncgtc.sdpondemand.manageengine.in/app/apphelpdesk/ui/requests/14047000005898932/details" TargetMode="External"/><Relationship Id="rId2309" Type="http://schemas.openxmlformats.org/officeDocument/2006/relationships/hyperlink" Target="https://ncgtc.sdpondemand.manageengine.in/app/apphelpdesk/ui/requests/14047000006394001/details" TargetMode="External"/><Relationship Id="rId2308" Type="http://schemas.openxmlformats.org/officeDocument/2006/relationships/hyperlink" Target="https://ncgtc.sdpondemand.manageengine.in/app/apphelpdesk/ui/requests/14047000006386483/details" TargetMode="External"/><Relationship Id="rId2307" Type="http://schemas.openxmlformats.org/officeDocument/2006/relationships/hyperlink" Target="https://ncgtc.sdpondemand.manageengine.in/app/apphelpdesk/ui/requests/14047000006386446/details" TargetMode="External"/><Relationship Id="rId2306" Type="http://schemas.openxmlformats.org/officeDocument/2006/relationships/hyperlink" Target="https://ncgtc.sdpondemand.manageengine.in/app/apphelpdesk/ui/requests/14047000006386438/details" TargetMode="External"/><Relationship Id="rId2305" Type="http://schemas.openxmlformats.org/officeDocument/2006/relationships/hyperlink" Target="https://ncgtc.sdpondemand.manageengine.in/app/apphelpdesk/ui/requests/14047000006386417/details" TargetMode="External"/><Relationship Id="rId2304" Type="http://schemas.openxmlformats.org/officeDocument/2006/relationships/hyperlink" Target="https://ncgtc.sdpondemand.manageengine.in/app/apphelpdesk/ui/requests/14047000006386387/details" TargetMode="External"/><Relationship Id="rId2303" Type="http://schemas.openxmlformats.org/officeDocument/2006/relationships/hyperlink" Target="https://ncgtc.sdpondemand.manageengine.in/app/apphelpdesk/ui/requests/14047000006386346/details" TargetMode="External"/><Relationship Id="rId2302" Type="http://schemas.openxmlformats.org/officeDocument/2006/relationships/hyperlink" Target="https://ncgtc.sdpondemand.manageengine.in/app/apphelpdesk/ui/requests/14047000006386329/details" TargetMode="External"/><Relationship Id="rId2301" Type="http://schemas.openxmlformats.org/officeDocument/2006/relationships/hyperlink" Target="https://ncgtc.sdpondemand.manageengine.in/app/apphelpdesk/ui/requests/14047000006386279/details" TargetMode="External"/><Relationship Id="rId2300" Type="http://schemas.openxmlformats.org/officeDocument/2006/relationships/hyperlink" Target="https://ncgtc.sdpondemand.manageengine.in/app/apphelpdesk/ui/requests/14047000006386186/details" TargetMode="External"/><Relationship Id="rId230" Type="http://schemas.openxmlformats.org/officeDocument/2006/relationships/hyperlink" Target="https://ncgtc.sdpondemand.manageengine.in/app/apphelpdesk/ui/requests/14047000005898902/details" TargetMode="External"/><Relationship Id="rId23" Type="http://schemas.openxmlformats.org/officeDocument/2006/relationships/hyperlink" Target="https://ncgtc.sdpondemand.manageengine.in/app/apphelpdesk/ui/requests/14047000005854583/details" TargetMode="External"/><Relationship Id="rId2299" Type="http://schemas.openxmlformats.org/officeDocument/2006/relationships/hyperlink" Target="https://ncgtc.sdpondemand.manageengine.in/app/apphelpdesk/ui/requests/14047000006386166/details" TargetMode="External"/><Relationship Id="rId2298" Type="http://schemas.openxmlformats.org/officeDocument/2006/relationships/hyperlink" Target="https://ncgtc.sdpondemand.manageengine.in/app/apphelpdesk/ui/requests/14047000006386146/details" TargetMode="External"/><Relationship Id="rId2297" Type="http://schemas.openxmlformats.org/officeDocument/2006/relationships/hyperlink" Target="https://ncgtc.sdpondemand.manageengine.in/app/apphelpdesk/ui/requests/14047000006386110/details" TargetMode="External"/><Relationship Id="rId2296" Type="http://schemas.openxmlformats.org/officeDocument/2006/relationships/hyperlink" Target="https://ncgtc.sdpondemand.manageengine.in/app/apphelpdesk/ui/requests/14047000006386090/details" TargetMode="External"/><Relationship Id="rId2295" Type="http://schemas.openxmlformats.org/officeDocument/2006/relationships/hyperlink" Target="https://ncgtc.sdpondemand.manageengine.in/app/apphelpdesk/ui/requests/14047000006386071/details" TargetMode="External"/><Relationship Id="rId2294" Type="http://schemas.openxmlformats.org/officeDocument/2006/relationships/hyperlink" Target="https://ncgtc.sdpondemand.manageengine.in/app/apphelpdesk/ui/requests/14047000006386050/details" TargetMode="External"/><Relationship Id="rId2293" Type="http://schemas.openxmlformats.org/officeDocument/2006/relationships/hyperlink" Target="https://ncgtc.sdpondemand.manageengine.in/app/apphelpdesk/ui/requests/14047000006386003/details" TargetMode="External"/><Relationship Id="rId2292" Type="http://schemas.openxmlformats.org/officeDocument/2006/relationships/hyperlink" Target="https://ncgtc.sdpondemand.manageengine.in/app/apphelpdesk/ui/requests/14047000006378719/details" TargetMode="External"/><Relationship Id="rId2291" Type="http://schemas.openxmlformats.org/officeDocument/2006/relationships/hyperlink" Target="https://ncgtc.sdpondemand.manageengine.in/app/apphelpdesk/ui/requests/14047000006378679/details" TargetMode="External"/><Relationship Id="rId2290" Type="http://schemas.openxmlformats.org/officeDocument/2006/relationships/hyperlink" Target="https://ncgtc.sdpondemand.manageengine.in/app/apphelpdesk/ui/requests/14047000006378645/details" TargetMode="External"/><Relationship Id="rId229" Type="http://schemas.openxmlformats.org/officeDocument/2006/relationships/hyperlink" Target="https://ncgtc.sdpondemand.manageengine.in/app/apphelpdesk/ui/requests/14047000005898888/details" TargetMode="External"/><Relationship Id="rId2289" Type="http://schemas.openxmlformats.org/officeDocument/2006/relationships/hyperlink" Target="https://ncgtc.sdpondemand.manageengine.in/app/apphelpdesk/ui/requests/14047000006378600/details" TargetMode="External"/><Relationship Id="rId2288" Type="http://schemas.openxmlformats.org/officeDocument/2006/relationships/hyperlink" Target="https://ncgtc.sdpondemand.manageengine.in/app/apphelpdesk/ui/requests/14047000006378573/details" TargetMode="External"/><Relationship Id="rId2287" Type="http://schemas.openxmlformats.org/officeDocument/2006/relationships/hyperlink" Target="https://ncgtc.sdpondemand.manageengine.in/app/apphelpdesk/ui/requests/14047000006378560/details" TargetMode="External"/><Relationship Id="rId2286" Type="http://schemas.openxmlformats.org/officeDocument/2006/relationships/hyperlink" Target="https://ncgtc.sdpondemand.manageengine.in/app/apphelpdesk/ui/requests/14047000006378549/details" TargetMode="External"/><Relationship Id="rId2285" Type="http://schemas.openxmlformats.org/officeDocument/2006/relationships/hyperlink" Target="https://ncgtc.sdpondemand.manageengine.in/app/apphelpdesk/ui/requests/14047000006378541/details" TargetMode="External"/><Relationship Id="rId2284" Type="http://schemas.openxmlformats.org/officeDocument/2006/relationships/hyperlink" Target="https://ncgtc.sdpondemand.manageengine.in/app/apphelpdesk/ui/requests/14047000006378527/details" TargetMode="External"/><Relationship Id="rId2283" Type="http://schemas.openxmlformats.org/officeDocument/2006/relationships/hyperlink" Target="https://ncgtc.sdpondemand.manageengine.in/app/apphelpdesk/ui/requests/14047000006378511/details" TargetMode="External"/><Relationship Id="rId2282" Type="http://schemas.openxmlformats.org/officeDocument/2006/relationships/hyperlink" Target="https://ncgtc.sdpondemand.manageengine.in/app/apphelpdesk/ui/requests/14047000006378502/details" TargetMode="External"/><Relationship Id="rId2281" Type="http://schemas.openxmlformats.org/officeDocument/2006/relationships/hyperlink" Target="https://ncgtc.sdpondemand.manageengine.in/app/apphelpdesk/ui/requests/14047000006378442/details" TargetMode="External"/><Relationship Id="rId2280" Type="http://schemas.openxmlformats.org/officeDocument/2006/relationships/hyperlink" Target="https://ncgtc.sdpondemand.manageengine.in/app/apphelpdesk/ui/requests/14047000006378434/details" TargetMode="External"/><Relationship Id="rId228" Type="http://schemas.openxmlformats.org/officeDocument/2006/relationships/hyperlink" Target="https://ncgtc.sdpondemand.manageengine.in/app/apphelpdesk/ui/requests/14047000005898861/details" TargetMode="External"/><Relationship Id="rId2279" Type="http://schemas.openxmlformats.org/officeDocument/2006/relationships/hyperlink" Target="https://ncgtc.sdpondemand.manageengine.in/app/apphelpdesk/ui/requests/14047000006378425/details" TargetMode="External"/><Relationship Id="rId2278" Type="http://schemas.openxmlformats.org/officeDocument/2006/relationships/hyperlink" Target="https://ncgtc.sdpondemand.manageengine.in/app/apphelpdesk/ui/requests/14047000006378375/details" TargetMode="External"/><Relationship Id="rId2277" Type="http://schemas.openxmlformats.org/officeDocument/2006/relationships/hyperlink" Target="https://ncgtc.sdpondemand.manageengine.in/app/apphelpdesk/ui/requests/14047000006378322/details" TargetMode="External"/><Relationship Id="rId2276" Type="http://schemas.openxmlformats.org/officeDocument/2006/relationships/hyperlink" Target="https://ncgtc.sdpondemand.manageengine.in/app/apphelpdesk/ui/requests/14047000006378262/details" TargetMode="External"/><Relationship Id="rId2275" Type="http://schemas.openxmlformats.org/officeDocument/2006/relationships/hyperlink" Target="https://ncgtc.sdpondemand.manageengine.in/app/apphelpdesk/ui/requests/14047000006378166/details" TargetMode="External"/><Relationship Id="rId2274" Type="http://schemas.openxmlformats.org/officeDocument/2006/relationships/hyperlink" Target="https://ncgtc.sdpondemand.manageengine.in/app/apphelpdesk/ui/requests/14047000006378156/details" TargetMode="External"/><Relationship Id="rId2273" Type="http://schemas.openxmlformats.org/officeDocument/2006/relationships/hyperlink" Target="https://ncgtc.sdpondemand.manageengine.in/app/apphelpdesk/ui/requests/14047000006378126/details" TargetMode="External"/><Relationship Id="rId2272" Type="http://schemas.openxmlformats.org/officeDocument/2006/relationships/hyperlink" Target="https://ncgtc.sdpondemand.manageengine.in/app/apphelpdesk/ui/requests/14047000006378046/details" TargetMode="External"/><Relationship Id="rId2271" Type="http://schemas.openxmlformats.org/officeDocument/2006/relationships/hyperlink" Target="https://ncgtc.sdpondemand.manageengine.in/app/apphelpdesk/ui/requests/14047000006374962/details" TargetMode="External"/><Relationship Id="rId2270" Type="http://schemas.openxmlformats.org/officeDocument/2006/relationships/hyperlink" Target="https://ncgtc.sdpondemand.manageengine.in/app/apphelpdesk/ui/requests/14047000006374946/details" TargetMode="External"/><Relationship Id="rId227" Type="http://schemas.openxmlformats.org/officeDocument/2006/relationships/hyperlink" Target="https://ncgtc.sdpondemand.manageengine.in/app/apphelpdesk/ui/requests/14047000005898829/details" TargetMode="External"/><Relationship Id="rId2269" Type="http://schemas.openxmlformats.org/officeDocument/2006/relationships/hyperlink" Target="https://ncgtc.sdpondemand.manageengine.in/app/apphelpdesk/ui/requests/14047000006374929/details" TargetMode="External"/><Relationship Id="rId2268" Type="http://schemas.openxmlformats.org/officeDocument/2006/relationships/hyperlink" Target="https://ncgtc.sdpondemand.manageengine.in/app/apphelpdesk/ui/requests/14047000006374896/details" TargetMode="External"/><Relationship Id="rId2267" Type="http://schemas.openxmlformats.org/officeDocument/2006/relationships/hyperlink" Target="https://ncgtc.sdpondemand.manageengine.in/app/apphelpdesk/ui/requests/14047000006374887/details" TargetMode="External"/><Relationship Id="rId2266" Type="http://schemas.openxmlformats.org/officeDocument/2006/relationships/hyperlink" Target="https://ncgtc.sdpondemand.manageengine.in/app/apphelpdesk/ui/requests/14047000006374873/details" TargetMode="External"/><Relationship Id="rId2265" Type="http://schemas.openxmlformats.org/officeDocument/2006/relationships/hyperlink" Target="https://ncgtc.sdpondemand.manageengine.in/app/apphelpdesk/ui/requests/14047000006374855/details" TargetMode="External"/><Relationship Id="rId2264" Type="http://schemas.openxmlformats.org/officeDocument/2006/relationships/hyperlink" Target="https://ncgtc.sdpondemand.manageengine.in/app/apphelpdesk/ui/requests/14047000006374766/details" TargetMode="External"/><Relationship Id="rId2263" Type="http://schemas.openxmlformats.org/officeDocument/2006/relationships/hyperlink" Target="https://ncgtc.sdpondemand.manageengine.in/app/apphelpdesk/ui/requests/14047000006374726/details" TargetMode="External"/><Relationship Id="rId2262" Type="http://schemas.openxmlformats.org/officeDocument/2006/relationships/hyperlink" Target="https://ncgtc.sdpondemand.manageengine.in/app/apphelpdesk/ui/requests/14047000006374706/details" TargetMode="External"/><Relationship Id="rId2261" Type="http://schemas.openxmlformats.org/officeDocument/2006/relationships/hyperlink" Target="https://ncgtc.sdpondemand.manageengine.in/app/apphelpdesk/ui/requests/14047000006374684/details" TargetMode="External"/><Relationship Id="rId2260" Type="http://schemas.openxmlformats.org/officeDocument/2006/relationships/hyperlink" Target="https://ncgtc.sdpondemand.manageengine.in/app/apphelpdesk/ui/requests/14047000006374640/details" TargetMode="External"/><Relationship Id="rId226" Type="http://schemas.openxmlformats.org/officeDocument/2006/relationships/hyperlink" Target="https://ncgtc.sdpondemand.manageengine.in/app/apphelpdesk/ui/requests/14047000005898812/details" TargetMode="External"/><Relationship Id="rId2259" Type="http://schemas.openxmlformats.org/officeDocument/2006/relationships/hyperlink" Target="https://ncgtc.sdpondemand.manageengine.in/app/apphelpdesk/ui/requests/14047000006374632/details" TargetMode="External"/><Relationship Id="rId2258" Type="http://schemas.openxmlformats.org/officeDocument/2006/relationships/hyperlink" Target="https://ncgtc.sdpondemand.manageengine.in/app/apphelpdesk/ui/requests/14047000006374528/details" TargetMode="External"/><Relationship Id="rId2257" Type="http://schemas.openxmlformats.org/officeDocument/2006/relationships/hyperlink" Target="https://ncgtc.sdpondemand.manageengine.in/app/apphelpdesk/ui/requests/14047000006374486/details" TargetMode="External"/><Relationship Id="rId2256" Type="http://schemas.openxmlformats.org/officeDocument/2006/relationships/hyperlink" Target="https://ncgtc.sdpondemand.manageengine.in/app/apphelpdesk/ui/requests/14047000006374478/details" TargetMode="External"/><Relationship Id="rId2255" Type="http://schemas.openxmlformats.org/officeDocument/2006/relationships/hyperlink" Target="https://ncgtc.sdpondemand.manageengine.in/app/apphelpdesk/ui/requests/14047000006374428/details" TargetMode="External"/><Relationship Id="rId2254" Type="http://schemas.openxmlformats.org/officeDocument/2006/relationships/hyperlink" Target="https://ncgtc.sdpondemand.manageengine.in/app/apphelpdesk/ui/requests/14047000006374419/details" TargetMode="External"/><Relationship Id="rId2253" Type="http://schemas.openxmlformats.org/officeDocument/2006/relationships/hyperlink" Target="https://ncgtc.sdpondemand.manageengine.in/app/apphelpdesk/ui/requests/14047000006374352/details" TargetMode="External"/><Relationship Id="rId2252" Type="http://schemas.openxmlformats.org/officeDocument/2006/relationships/hyperlink" Target="https://ncgtc.sdpondemand.manageengine.in/app/apphelpdesk/ui/requests/14047000006374318/details" TargetMode="External"/><Relationship Id="rId2251" Type="http://schemas.openxmlformats.org/officeDocument/2006/relationships/hyperlink" Target="https://ncgtc.sdpondemand.manageengine.in/app/apphelpdesk/ui/requests/14047000006374304/details" TargetMode="External"/><Relationship Id="rId2250" Type="http://schemas.openxmlformats.org/officeDocument/2006/relationships/hyperlink" Target="https://ncgtc.sdpondemand.manageengine.in/app/apphelpdesk/ui/requests/14047000006374283/details" TargetMode="External"/><Relationship Id="rId225" Type="http://schemas.openxmlformats.org/officeDocument/2006/relationships/hyperlink" Target="https://ncgtc.sdpondemand.manageengine.in/app/apphelpdesk/ui/requests/14047000005898802/details" TargetMode="External"/><Relationship Id="rId2249" Type="http://schemas.openxmlformats.org/officeDocument/2006/relationships/hyperlink" Target="https://ncgtc.sdpondemand.manageengine.in/app/apphelpdesk/ui/requests/14047000006374274/details" TargetMode="External"/><Relationship Id="rId2248" Type="http://schemas.openxmlformats.org/officeDocument/2006/relationships/hyperlink" Target="https://ncgtc.sdpondemand.manageengine.in/app/apphelpdesk/ui/requests/14047000006374249/details" TargetMode="External"/><Relationship Id="rId2247" Type="http://schemas.openxmlformats.org/officeDocument/2006/relationships/hyperlink" Target="https://ncgtc.sdpondemand.manageengine.in/app/apphelpdesk/ui/requests/14047000006374157/details" TargetMode="External"/><Relationship Id="rId2246" Type="http://schemas.openxmlformats.org/officeDocument/2006/relationships/hyperlink" Target="https://ncgtc.sdpondemand.manageengine.in/app/apphelpdesk/ui/requests/14047000006374129/details" TargetMode="External"/><Relationship Id="rId2245" Type="http://schemas.openxmlformats.org/officeDocument/2006/relationships/hyperlink" Target="https://ncgtc.sdpondemand.manageengine.in/app/apphelpdesk/ui/requests/14047000006374109/details" TargetMode="External"/><Relationship Id="rId2244" Type="http://schemas.openxmlformats.org/officeDocument/2006/relationships/hyperlink" Target="https://ncgtc.sdpondemand.manageengine.in/app/apphelpdesk/ui/requests/14047000006374092/details" TargetMode="External"/><Relationship Id="rId2243" Type="http://schemas.openxmlformats.org/officeDocument/2006/relationships/hyperlink" Target="https://ncgtc.sdpondemand.manageengine.in/app/apphelpdesk/ui/requests/14047000006374032/details" TargetMode="External"/><Relationship Id="rId2242" Type="http://schemas.openxmlformats.org/officeDocument/2006/relationships/hyperlink" Target="https://ncgtc.sdpondemand.manageengine.in/app/apphelpdesk/ui/requests/14047000006374023/details" TargetMode="External"/><Relationship Id="rId2241" Type="http://schemas.openxmlformats.org/officeDocument/2006/relationships/hyperlink" Target="https://ncgtc.sdpondemand.manageengine.in/app/apphelpdesk/ui/requests/14047000006369996/details" TargetMode="External"/><Relationship Id="rId2240" Type="http://schemas.openxmlformats.org/officeDocument/2006/relationships/hyperlink" Target="https://ncgtc.sdpondemand.manageengine.in/app/apphelpdesk/ui/requests/14047000006369986/details" TargetMode="External"/><Relationship Id="rId224" Type="http://schemas.openxmlformats.org/officeDocument/2006/relationships/hyperlink" Target="https://ncgtc.sdpondemand.manageengine.in/app/apphelpdesk/ui/requests/14047000005898793/details" TargetMode="External"/><Relationship Id="rId2239" Type="http://schemas.openxmlformats.org/officeDocument/2006/relationships/hyperlink" Target="https://ncgtc.sdpondemand.manageengine.in/app/apphelpdesk/ui/requests/14047000006369947/details" TargetMode="External"/><Relationship Id="rId2238" Type="http://schemas.openxmlformats.org/officeDocument/2006/relationships/hyperlink" Target="https://ncgtc.sdpondemand.manageengine.in/app/apphelpdesk/ui/requests/14047000006369925/details" TargetMode="External"/><Relationship Id="rId2237" Type="http://schemas.openxmlformats.org/officeDocument/2006/relationships/hyperlink" Target="https://ncgtc.sdpondemand.manageengine.in/app/apphelpdesk/ui/requests/14047000006369861/details" TargetMode="External"/><Relationship Id="rId2236" Type="http://schemas.openxmlformats.org/officeDocument/2006/relationships/hyperlink" Target="https://ncgtc.sdpondemand.manageengine.in/app/apphelpdesk/ui/requests/14047000006369843/details" TargetMode="External"/><Relationship Id="rId2235" Type="http://schemas.openxmlformats.org/officeDocument/2006/relationships/hyperlink" Target="https://ncgtc.sdpondemand.manageengine.in/app/apphelpdesk/ui/requests/14047000006369829/details" TargetMode="External"/><Relationship Id="rId2234" Type="http://schemas.openxmlformats.org/officeDocument/2006/relationships/hyperlink" Target="https://ncgtc.sdpondemand.manageengine.in/app/apphelpdesk/ui/requests/14047000006369773/details" TargetMode="External"/><Relationship Id="rId2233" Type="http://schemas.openxmlformats.org/officeDocument/2006/relationships/hyperlink" Target="https://ncgtc.sdpondemand.manageengine.in/app/apphelpdesk/ui/requests/14047000006369738/details" TargetMode="External"/><Relationship Id="rId2232" Type="http://schemas.openxmlformats.org/officeDocument/2006/relationships/hyperlink" Target="https://ncgtc.sdpondemand.manageengine.in/app/apphelpdesk/ui/requests/14047000006369729/details" TargetMode="External"/><Relationship Id="rId2231" Type="http://schemas.openxmlformats.org/officeDocument/2006/relationships/hyperlink" Target="https://ncgtc.sdpondemand.manageengine.in/app/apphelpdesk/ui/requests/14047000006369700/details" TargetMode="External"/><Relationship Id="rId2230" Type="http://schemas.openxmlformats.org/officeDocument/2006/relationships/hyperlink" Target="https://ncgtc.sdpondemand.manageengine.in/app/apphelpdesk/ui/requests/14047000006369614/details" TargetMode="External"/><Relationship Id="rId223" Type="http://schemas.openxmlformats.org/officeDocument/2006/relationships/hyperlink" Target="https://ncgtc.sdpondemand.manageengine.in/app/apphelpdesk/ui/requests/14047000005898737/details" TargetMode="External"/><Relationship Id="rId2229" Type="http://schemas.openxmlformats.org/officeDocument/2006/relationships/hyperlink" Target="https://ncgtc.sdpondemand.manageengine.in/app/apphelpdesk/ui/requests/14047000006369556/details" TargetMode="External"/><Relationship Id="rId2228" Type="http://schemas.openxmlformats.org/officeDocument/2006/relationships/hyperlink" Target="https://ncgtc.sdpondemand.manageengine.in/app/apphelpdesk/ui/requests/14047000006369540/details" TargetMode="External"/><Relationship Id="rId2227" Type="http://schemas.openxmlformats.org/officeDocument/2006/relationships/hyperlink" Target="https://ncgtc.sdpondemand.manageengine.in/app/apphelpdesk/ui/requests/14047000006369522/details" TargetMode="External"/><Relationship Id="rId2226" Type="http://schemas.openxmlformats.org/officeDocument/2006/relationships/hyperlink" Target="https://ncgtc.sdpondemand.manageengine.in/app/apphelpdesk/ui/requests/14047000006369514/details" TargetMode="External"/><Relationship Id="rId2225" Type="http://schemas.openxmlformats.org/officeDocument/2006/relationships/hyperlink" Target="https://ncgtc.sdpondemand.manageengine.in/app/apphelpdesk/ui/requests/14047000006369504/details" TargetMode="External"/><Relationship Id="rId2224" Type="http://schemas.openxmlformats.org/officeDocument/2006/relationships/hyperlink" Target="https://ncgtc.sdpondemand.manageengine.in/app/apphelpdesk/ui/requests/14047000006369495/details" TargetMode="External"/><Relationship Id="rId2223" Type="http://schemas.openxmlformats.org/officeDocument/2006/relationships/hyperlink" Target="https://ncgtc.sdpondemand.manageengine.in/app/apphelpdesk/ui/requests/14047000006369487/details" TargetMode="External"/><Relationship Id="rId2222" Type="http://schemas.openxmlformats.org/officeDocument/2006/relationships/hyperlink" Target="https://ncgtc.sdpondemand.manageengine.in/app/apphelpdesk/ui/requests/14047000006369339/details" TargetMode="External"/><Relationship Id="rId2221" Type="http://schemas.openxmlformats.org/officeDocument/2006/relationships/hyperlink" Target="https://ncgtc.sdpondemand.manageengine.in/app/apphelpdesk/ui/requests/14047000006369328/details" TargetMode="External"/><Relationship Id="rId2220" Type="http://schemas.openxmlformats.org/officeDocument/2006/relationships/hyperlink" Target="https://ncgtc.sdpondemand.manageengine.in/app/apphelpdesk/ui/requests/14047000006369302/details" TargetMode="External"/><Relationship Id="rId222" Type="http://schemas.openxmlformats.org/officeDocument/2006/relationships/hyperlink" Target="https://ncgtc.sdpondemand.manageengine.in/app/apphelpdesk/ui/requests/14047000005898705/details" TargetMode="External"/><Relationship Id="rId2219" Type="http://schemas.openxmlformats.org/officeDocument/2006/relationships/hyperlink" Target="https://ncgtc.sdpondemand.manageengine.in/app/apphelpdesk/ui/requests/14047000006369271/details" TargetMode="External"/><Relationship Id="rId2218" Type="http://schemas.openxmlformats.org/officeDocument/2006/relationships/hyperlink" Target="https://ncgtc.sdpondemand.manageengine.in/app/apphelpdesk/ui/requests/14047000006369233/details" TargetMode="External"/><Relationship Id="rId2217" Type="http://schemas.openxmlformats.org/officeDocument/2006/relationships/hyperlink" Target="https://ncgtc.sdpondemand.manageengine.in/app/apphelpdesk/ui/requests/14047000006369215/details" TargetMode="External"/><Relationship Id="rId2216" Type="http://schemas.openxmlformats.org/officeDocument/2006/relationships/hyperlink" Target="https://ncgtc.sdpondemand.manageengine.in/app/apphelpdesk/ui/requests/14047000006369207/details" TargetMode="External"/><Relationship Id="rId2215" Type="http://schemas.openxmlformats.org/officeDocument/2006/relationships/hyperlink" Target="https://ncgtc.sdpondemand.manageengine.in/app/apphelpdesk/ui/requests/14047000006369163/details" TargetMode="External"/><Relationship Id="rId2214" Type="http://schemas.openxmlformats.org/officeDocument/2006/relationships/hyperlink" Target="https://ncgtc.sdpondemand.manageengine.in/app/apphelpdesk/ui/requests/14047000006369129/details" TargetMode="External"/><Relationship Id="rId2213" Type="http://schemas.openxmlformats.org/officeDocument/2006/relationships/hyperlink" Target="https://ncgtc.sdpondemand.manageengine.in/app/apphelpdesk/ui/requests/14047000006369097/details" TargetMode="External"/><Relationship Id="rId2212" Type="http://schemas.openxmlformats.org/officeDocument/2006/relationships/hyperlink" Target="https://ncgtc.sdpondemand.manageengine.in/app/apphelpdesk/ui/requests/14047000006369046/details" TargetMode="External"/><Relationship Id="rId2211" Type="http://schemas.openxmlformats.org/officeDocument/2006/relationships/hyperlink" Target="https://ncgtc.sdpondemand.manageengine.in/app/apphelpdesk/ui/requests/14047000006355899/details" TargetMode="External"/><Relationship Id="rId2210" Type="http://schemas.openxmlformats.org/officeDocument/2006/relationships/hyperlink" Target="https://ncgtc.sdpondemand.manageengine.in/app/apphelpdesk/ui/requests/14047000006355822/details" TargetMode="External"/><Relationship Id="rId221" Type="http://schemas.openxmlformats.org/officeDocument/2006/relationships/hyperlink" Target="https://ncgtc.sdpondemand.manageengine.in/app/apphelpdesk/ui/requests/14047000005898668/details" TargetMode="External"/><Relationship Id="rId2209" Type="http://schemas.openxmlformats.org/officeDocument/2006/relationships/hyperlink" Target="https://ncgtc.sdpondemand.manageengine.in/app/apphelpdesk/ui/requests/14047000006355807/details" TargetMode="External"/><Relationship Id="rId2208" Type="http://schemas.openxmlformats.org/officeDocument/2006/relationships/hyperlink" Target="https://ncgtc.sdpondemand.manageengine.in/app/apphelpdesk/ui/requests/14047000006355721/details" TargetMode="External"/><Relationship Id="rId2207" Type="http://schemas.openxmlformats.org/officeDocument/2006/relationships/hyperlink" Target="https://ncgtc.sdpondemand.manageengine.in/app/apphelpdesk/ui/requests/14047000006355700/details" TargetMode="External"/><Relationship Id="rId2206" Type="http://schemas.openxmlformats.org/officeDocument/2006/relationships/hyperlink" Target="https://ncgtc.sdpondemand.manageengine.in/app/apphelpdesk/ui/requests/14047000006355640/details" TargetMode="External"/><Relationship Id="rId2205" Type="http://schemas.openxmlformats.org/officeDocument/2006/relationships/hyperlink" Target="https://ncgtc.sdpondemand.manageengine.in/app/apphelpdesk/ui/requests/14047000006355597/details" TargetMode="External"/><Relationship Id="rId2204" Type="http://schemas.openxmlformats.org/officeDocument/2006/relationships/hyperlink" Target="https://ncgtc.sdpondemand.manageengine.in/app/apphelpdesk/ui/requests/14047000006355588/details" TargetMode="External"/><Relationship Id="rId2203" Type="http://schemas.openxmlformats.org/officeDocument/2006/relationships/hyperlink" Target="https://ncgtc.sdpondemand.manageengine.in/app/apphelpdesk/ui/requests/14047000006355575/details" TargetMode="External"/><Relationship Id="rId2202" Type="http://schemas.openxmlformats.org/officeDocument/2006/relationships/hyperlink" Target="https://ncgtc.sdpondemand.manageengine.in/app/apphelpdesk/ui/requests/14047000006355563/details" TargetMode="External"/><Relationship Id="rId2201" Type="http://schemas.openxmlformats.org/officeDocument/2006/relationships/hyperlink" Target="https://ncgtc.sdpondemand.manageengine.in/app/apphelpdesk/ui/requests/14047000006355528/details" TargetMode="External"/><Relationship Id="rId2200" Type="http://schemas.openxmlformats.org/officeDocument/2006/relationships/hyperlink" Target="https://ncgtc.sdpondemand.manageengine.in/app/apphelpdesk/ui/requests/14047000006355496/details" TargetMode="External"/><Relationship Id="rId220" Type="http://schemas.openxmlformats.org/officeDocument/2006/relationships/hyperlink" Target="https://ncgtc.sdpondemand.manageengine.in/app/apphelpdesk/ui/requests/14047000005898652/details" TargetMode="External"/><Relationship Id="rId22" Type="http://schemas.openxmlformats.org/officeDocument/2006/relationships/hyperlink" Target="https://ncgtc.sdpondemand.manageengine.in/app/apphelpdesk/ui/requests/14047000005854554/details" TargetMode="External"/><Relationship Id="rId2199" Type="http://schemas.openxmlformats.org/officeDocument/2006/relationships/hyperlink" Target="https://ncgtc.sdpondemand.manageengine.in/app/apphelpdesk/ui/requests/14047000006355425/details" TargetMode="External"/><Relationship Id="rId2198" Type="http://schemas.openxmlformats.org/officeDocument/2006/relationships/hyperlink" Target="https://ncgtc.sdpondemand.manageengine.in/app/apphelpdesk/ui/requests/14047000006355383/details" TargetMode="External"/><Relationship Id="rId2197" Type="http://schemas.openxmlformats.org/officeDocument/2006/relationships/hyperlink" Target="https://ncgtc.sdpondemand.manageengine.in/app/apphelpdesk/ui/requests/14047000006355369/details" TargetMode="External"/><Relationship Id="rId2196" Type="http://schemas.openxmlformats.org/officeDocument/2006/relationships/hyperlink" Target="https://ncgtc.sdpondemand.manageengine.in/app/apphelpdesk/ui/requests/14047000006355336/details" TargetMode="External"/><Relationship Id="rId2195" Type="http://schemas.openxmlformats.org/officeDocument/2006/relationships/hyperlink" Target="https://ncgtc.sdpondemand.manageengine.in/app/apphelpdesk/ui/requests/14047000006355261/details" TargetMode="External"/><Relationship Id="rId2194" Type="http://schemas.openxmlformats.org/officeDocument/2006/relationships/hyperlink" Target="https://ncgtc.sdpondemand.manageengine.in/app/apphelpdesk/ui/requests/14047000006355238/details" TargetMode="External"/><Relationship Id="rId2193" Type="http://schemas.openxmlformats.org/officeDocument/2006/relationships/hyperlink" Target="https://ncgtc.sdpondemand.manageengine.in/app/apphelpdesk/ui/requests/14047000006355207/details" TargetMode="External"/><Relationship Id="rId2192" Type="http://schemas.openxmlformats.org/officeDocument/2006/relationships/hyperlink" Target="https://ncgtc.sdpondemand.manageengine.in/app/apphelpdesk/ui/requests/14047000006355197/details" TargetMode="External"/><Relationship Id="rId2191" Type="http://schemas.openxmlformats.org/officeDocument/2006/relationships/hyperlink" Target="https://ncgtc.sdpondemand.manageengine.in/app/apphelpdesk/ui/requests/14047000006355162/details" TargetMode="External"/><Relationship Id="rId2190" Type="http://schemas.openxmlformats.org/officeDocument/2006/relationships/hyperlink" Target="https://ncgtc.sdpondemand.manageengine.in/app/apphelpdesk/ui/requests/14047000006355108/details" TargetMode="External"/><Relationship Id="rId219" Type="http://schemas.openxmlformats.org/officeDocument/2006/relationships/hyperlink" Target="https://ncgtc.sdpondemand.manageengine.in/app/apphelpdesk/ui/requests/14047000005898603/details" TargetMode="External"/><Relationship Id="rId2189" Type="http://schemas.openxmlformats.org/officeDocument/2006/relationships/hyperlink" Target="https://ncgtc.sdpondemand.manageengine.in/app/apphelpdesk/ui/requests/14047000006355075/details" TargetMode="External"/><Relationship Id="rId2188" Type="http://schemas.openxmlformats.org/officeDocument/2006/relationships/hyperlink" Target="https://ncgtc.sdpondemand.manageengine.in/app/apphelpdesk/ui/requests/14047000006355063/details" TargetMode="External"/><Relationship Id="rId2187" Type="http://schemas.openxmlformats.org/officeDocument/2006/relationships/hyperlink" Target="https://ncgtc.sdpondemand.manageengine.in/app/apphelpdesk/ui/requests/14047000006355054/details" TargetMode="External"/><Relationship Id="rId2186" Type="http://schemas.openxmlformats.org/officeDocument/2006/relationships/hyperlink" Target="https://ncgtc.sdpondemand.manageengine.in/app/apphelpdesk/ui/requests/14047000006353426/details" TargetMode="External"/><Relationship Id="rId2185" Type="http://schemas.openxmlformats.org/officeDocument/2006/relationships/hyperlink" Target="https://ncgtc.sdpondemand.manageengine.in/app/apphelpdesk/ui/requests/14047000006353412/details" TargetMode="External"/><Relationship Id="rId2184" Type="http://schemas.openxmlformats.org/officeDocument/2006/relationships/hyperlink" Target="https://ncgtc.sdpondemand.manageengine.in/app/apphelpdesk/ui/requests/14047000006353282/details" TargetMode="External"/><Relationship Id="rId2183" Type="http://schemas.openxmlformats.org/officeDocument/2006/relationships/hyperlink" Target="https://ncgtc.sdpondemand.manageengine.in/app/apphelpdesk/ui/requests/14047000006353251/details" TargetMode="External"/><Relationship Id="rId2182" Type="http://schemas.openxmlformats.org/officeDocument/2006/relationships/hyperlink" Target="https://ncgtc.sdpondemand.manageengine.in/app/apphelpdesk/ui/requests/14047000006353178/details" TargetMode="External"/><Relationship Id="rId2181" Type="http://schemas.openxmlformats.org/officeDocument/2006/relationships/hyperlink" Target="https://ncgtc.sdpondemand.manageengine.in/app/apphelpdesk/ui/requests/14047000006353093/details" TargetMode="External"/><Relationship Id="rId2180" Type="http://schemas.openxmlformats.org/officeDocument/2006/relationships/hyperlink" Target="https://ncgtc.sdpondemand.manageengine.in/app/apphelpdesk/ui/requests/14047000006353056/details" TargetMode="External"/><Relationship Id="rId218" Type="http://schemas.openxmlformats.org/officeDocument/2006/relationships/hyperlink" Target="https://ncgtc.sdpondemand.manageengine.in/app/apphelpdesk/ui/requests/14047000005898504/details" TargetMode="External"/><Relationship Id="rId2179" Type="http://schemas.openxmlformats.org/officeDocument/2006/relationships/hyperlink" Target="https://ncgtc.sdpondemand.manageengine.in/app/apphelpdesk/ui/requests/14047000006353041/details" TargetMode="External"/><Relationship Id="rId2178" Type="http://schemas.openxmlformats.org/officeDocument/2006/relationships/hyperlink" Target="https://ncgtc.sdpondemand.manageengine.in/app/apphelpdesk/ui/requests/14047000006353032/details" TargetMode="External"/><Relationship Id="rId2177" Type="http://schemas.openxmlformats.org/officeDocument/2006/relationships/hyperlink" Target="https://ncgtc.sdpondemand.manageengine.in/app/apphelpdesk/ui/requests/14047000006353023/details" TargetMode="External"/><Relationship Id="rId2176" Type="http://schemas.openxmlformats.org/officeDocument/2006/relationships/hyperlink" Target="https://ncgtc.sdpondemand.manageengine.in/app/apphelpdesk/ui/requests/14047000006353008/details" TargetMode="External"/><Relationship Id="rId2175" Type="http://schemas.openxmlformats.org/officeDocument/2006/relationships/hyperlink" Target="https://ncgtc.sdpondemand.manageengine.in/app/apphelpdesk/ui/requests/14047000006350000/details" TargetMode="External"/><Relationship Id="rId2174" Type="http://schemas.openxmlformats.org/officeDocument/2006/relationships/hyperlink" Target="https://ncgtc.sdpondemand.manageengine.in/app/apphelpdesk/ui/requests/14047000006349991/details" TargetMode="External"/><Relationship Id="rId2173" Type="http://schemas.openxmlformats.org/officeDocument/2006/relationships/hyperlink" Target="https://ncgtc.sdpondemand.manageengine.in/app/apphelpdesk/ui/requests/14047000006349982/details" TargetMode="External"/><Relationship Id="rId2172" Type="http://schemas.openxmlformats.org/officeDocument/2006/relationships/hyperlink" Target="https://ncgtc.sdpondemand.manageengine.in/app/apphelpdesk/ui/requests/14047000006349958/details" TargetMode="External"/><Relationship Id="rId2171" Type="http://schemas.openxmlformats.org/officeDocument/2006/relationships/hyperlink" Target="https://ncgtc.sdpondemand.manageengine.in/app/apphelpdesk/ui/requests/14047000006349937/details" TargetMode="External"/><Relationship Id="rId2170" Type="http://schemas.openxmlformats.org/officeDocument/2006/relationships/hyperlink" Target="https://ncgtc.sdpondemand.manageengine.in/app/apphelpdesk/ui/requests/14047000006349895/details" TargetMode="External"/><Relationship Id="rId217" Type="http://schemas.openxmlformats.org/officeDocument/2006/relationships/hyperlink" Target="https://ncgtc.sdpondemand.manageengine.in/app/apphelpdesk/ui/requests/14047000005898480/details" TargetMode="External"/><Relationship Id="rId2169" Type="http://schemas.openxmlformats.org/officeDocument/2006/relationships/hyperlink" Target="https://ncgtc.sdpondemand.manageengine.in/app/apphelpdesk/ui/requests/14047000006349830/details" TargetMode="External"/><Relationship Id="rId2168" Type="http://schemas.openxmlformats.org/officeDocument/2006/relationships/hyperlink" Target="https://ncgtc.sdpondemand.manageengine.in/app/apphelpdesk/ui/requests/14047000006349815/details" TargetMode="External"/><Relationship Id="rId2167" Type="http://schemas.openxmlformats.org/officeDocument/2006/relationships/hyperlink" Target="https://ncgtc.sdpondemand.manageengine.in/app/apphelpdesk/ui/requests/14047000006349799/details" TargetMode="External"/><Relationship Id="rId2166" Type="http://schemas.openxmlformats.org/officeDocument/2006/relationships/hyperlink" Target="https://ncgtc.sdpondemand.manageengine.in/app/apphelpdesk/ui/requests/14047000006349761/details" TargetMode="External"/><Relationship Id="rId2165" Type="http://schemas.openxmlformats.org/officeDocument/2006/relationships/hyperlink" Target="https://ncgtc.sdpondemand.manageengine.in/app/apphelpdesk/ui/requests/14047000006349737/details" TargetMode="External"/><Relationship Id="rId2164" Type="http://schemas.openxmlformats.org/officeDocument/2006/relationships/hyperlink" Target="https://ncgtc.sdpondemand.manageengine.in/app/apphelpdesk/ui/requests/14047000006349723/details" TargetMode="External"/><Relationship Id="rId2163" Type="http://schemas.openxmlformats.org/officeDocument/2006/relationships/hyperlink" Target="https://ncgtc.sdpondemand.manageengine.in/app/apphelpdesk/ui/requests/14047000006349705/details" TargetMode="External"/><Relationship Id="rId2162" Type="http://schemas.openxmlformats.org/officeDocument/2006/relationships/hyperlink" Target="https://ncgtc.sdpondemand.manageengine.in/app/apphelpdesk/ui/requests/14047000006349694/details" TargetMode="External"/><Relationship Id="rId2161" Type="http://schemas.openxmlformats.org/officeDocument/2006/relationships/hyperlink" Target="https://ncgtc.sdpondemand.manageengine.in/app/apphelpdesk/ui/requests/14047000006349642/details" TargetMode="External"/><Relationship Id="rId2160" Type="http://schemas.openxmlformats.org/officeDocument/2006/relationships/hyperlink" Target="https://ncgtc.sdpondemand.manageengine.in/app/apphelpdesk/ui/requests/14047000006349607/details" TargetMode="External"/><Relationship Id="rId216" Type="http://schemas.openxmlformats.org/officeDocument/2006/relationships/hyperlink" Target="https://ncgtc.sdpondemand.manageengine.in/app/apphelpdesk/ui/requests/14047000005898456/details" TargetMode="External"/><Relationship Id="rId2159" Type="http://schemas.openxmlformats.org/officeDocument/2006/relationships/hyperlink" Target="https://ncgtc.sdpondemand.manageengine.in/app/apphelpdesk/ui/requests/14047000006349539/details" TargetMode="External"/><Relationship Id="rId2158" Type="http://schemas.openxmlformats.org/officeDocument/2006/relationships/hyperlink" Target="https://ncgtc.sdpondemand.manageengine.in/app/apphelpdesk/ui/requests/14047000006349530/details" TargetMode="External"/><Relationship Id="rId2157" Type="http://schemas.openxmlformats.org/officeDocument/2006/relationships/hyperlink" Target="https://ncgtc.sdpondemand.manageengine.in/app/apphelpdesk/ui/requests/14047000006349475/details" TargetMode="External"/><Relationship Id="rId2156" Type="http://schemas.openxmlformats.org/officeDocument/2006/relationships/hyperlink" Target="https://ncgtc.sdpondemand.manageengine.in/app/apphelpdesk/ui/requests/14047000006349458/details" TargetMode="External"/><Relationship Id="rId2155" Type="http://schemas.openxmlformats.org/officeDocument/2006/relationships/hyperlink" Target="https://ncgtc.sdpondemand.manageengine.in/app/apphelpdesk/ui/requests/14047000006349443/details" TargetMode="External"/><Relationship Id="rId2154" Type="http://schemas.openxmlformats.org/officeDocument/2006/relationships/hyperlink" Target="https://ncgtc.sdpondemand.manageengine.in/app/apphelpdesk/ui/requests/14047000006349435/details" TargetMode="External"/><Relationship Id="rId2153" Type="http://schemas.openxmlformats.org/officeDocument/2006/relationships/hyperlink" Target="https://ncgtc.sdpondemand.manageengine.in/app/apphelpdesk/ui/requests/14047000006349417/details" TargetMode="External"/><Relationship Id="rId2152" Type="http://schemas.openxmlformats.org/officeDocument/2006/relationships/hyperlink" Target="https://ncgtc.sdpondemand.manageengine.in/app/apphelpdesk/ui/requests/14047000006349389/details" TargetMode="External"/><Relationship Id="rId2151" Type="http://schemas.openxmlformats.org/officeDocument/2006/relationships/hyperlink" Target="https://ncgtc.sdpondemand.manageengine.in/app/apphelpdesk/ui/requests/14047000006349366/details" TargetMode="External"/><Relationship Id="rId2150" Type="http://schemas.openxmlformats.org/officeDocument/2006/relationships/hyperlink" Target="https://ncgtc.sdpondemand.manageengine.in/app/apphelpdesk/ui/requests/14047000006349324/details" TargetMode="External"/><Relationship Id="rId215" Type="http://schemas.openxmlformats.org/officeDocument/2006/relationships/hyperlink" Target="https://ncgtc.sdpondemand.manageengine.in/app/apphelpdesk/ui/requests/14047000005898407/details" TargetMode="External"/><Relationship Id="rId2149" Type="http://schemas.openxmlformats.org/officeDocument/2006/relationships/hyperlink" Target="https://ncgtc.sdpondemand.manageengine.in/app/apphelpdesk/ui/requests/14047000006349271/details" TargetMode="External"/><Relationship Id="rId2148" Type="http://schemas.openxmlformats.org/officeDocument/2006/relationships/hyperlink" Target="https://ncgtc.sdpondemand.manageengine.in/app/apphelpdesk/ui/requests/14047000006349173/details" TargetMode="External"/><Relationship Id="rId2147" Type="http://schemas.openxmlformats.org/officeDocument/2006/relationships/hyperlink" Target="https://ncgtc.sdpondemand.manageengine.in/app/apphelpdesk/ui/requests/14047000006349144/details" TargetMode="External"/><Relationship Id="rId2146" Type="http://schemas.openxmlformats.org/officeDocument/2006/relationships/hyperlink" Target="https://ncgtc.sdpondemand.manageengine.in/app/apphelpdesk/ui/requests/14047000006349130/details" TargetMode="External"/><Relationship Id="rId2145" Type="http://schemas.openxmlformats.org/officeDocument/2006/relationships/hyperlink" Target="https://ncgtc.sdpondemand.manageengine.in/app/apphelpdesk/ui/requests/14047000006349122/details" TargetMode="External"/><Relationship Id="rId2144" Type="http://schemas.openxmlformats.org/officeDocument/2006/relationships/hyperlink" Target="https://ncgtc.sdpondemand.manageengine.in/app/apphelpdesk/ui/requests/14047000006349095/details" TargetMode="External"/><Relationship Id="rId2143" Type="http://schemas.openxmlformats.org/officeDocument/2006/relationships/hyperlink" Target="https://ncgtc.sdpondemand.manageengine.in/app/apphelpdesk/ui/requests/14047000006349069/details" TargetMode="External"/><Relationship Id="rId2142" Type="http://schemas.openxmlformats.org/officeDocument/2006/relationships/hyperlink" Target="https://ncgtc.sdpondemand.manageengine.in/app/apphelpdesk/ui/requests/14047000006349060/details" TargetMode="External"/><Relationship Id="rId2141" Type="http://schemas.openxmlformats.org/officeDocument/2006/relationships/hyperlink" Target="https://ncgtc.sdpondemand.manageengine.in/app/apphelpdesk/ui/requests/14047000006349033/details" TargetMode="External"/><Relationship Id="rId2140" Type="http://schemas.openxmlformats.org/officeDocument/2006/relationships/hyperlink" Target="https://ncgtc.sdpondemand.manageengine.in/app/apphelpdesk/ui/requests/14047000006349019/details" TargetMode="External"/><Relationship Id="rId214" Type="http://schemas.openxmlformats.org/officeDocument/2006/relationships/hyperlink" Target="https://ncgtc.sdpondemand.manageengine.in/app/apphelpdesk/ui/requests/14047000005898391/details" TargetMode="External"/><Relationship Id="rId2139" Type="http://schemas.openxmlformats.org/officeDocument/2006/relationships/hyperlink" Target="https://ncgtc.sdpondemand.manageengine.in/app/apphelpdesk/ui/requests/14047000006347000/details" TargetMode="External"/><Relationship Id="rId2138" Type="http://schemas.openxmlformats.org/officeDocument/2006/relationships/hyperlink" Target="https://ncgtc.sdpondemand.manageengine.in/app/apphelpdesk/ui/requests/14047000006346987/details" TargetMode="External"/><Relationship Id="rId2137" Type="http://schemas.openxmlformats.org/officeDocument/2006/relationships/hyperlink" Target="https://ncgtc.sdpondemand.manageengine.in/app/apphelpdesk/ui/requests/14047000006346906/details" TargetMode="External"/><Relationship Id="rId2136" Type="http://schemas.openxmlformats.org/officeDocument/2006/relationships/hyperlink" Target="https://ncgtc.sdpondemand.manageengine.in/app/apphelpdesk/ui/requests/14047000006346892/details" TargetMode="External"/><Relationship Id="rId2135" Type="http://schemas.openxmlformats.org/officeDocument/2006/relationships/hyperlink" Target="https://ncgtc.sdpondemand.manageengine.in/app/apphelpdesk/ui/requests/14047000006346881/details" TargetMode="External"/><Relationship Id="rId2134" Type="http://schemas.openxmlformats.org/officeDocument/2006/relationships/hyperlink" Target="https://ncgtc.sdpondemand.manageengine.in/app/apphelpdesk/ui/requests/14047000006346873/details" TargetMode="External"/><Relationship Id="rId2133" Type="http://schemas.openxmlformats.org/officeDocument/2006/relationships/hyperlink" Target="https://ncgtc.sdpondemand.manageengine.in/app/apphelpdesk/ui/requests/14047000006346860/details" TargetMode="External"/><Relationship Id="rId2132" Type="http://schemas.openxmlformats.org/officeDocument/2006/relationships/hyperlink" Target="https://ncgtc.sdpondemand.manageengine.in/app/apphelpdesk/ui/requests/14047000006346845/details" TargetMode="External"/><Relationship Id="rId2131" Type="http://schemas.openxmlformats.org/officeDocument/2006/relationships/hyperlink" Target="https://ncgtc.sdpondemand.manageengine.in/app/apphelpdesk/ui/requests/14047000006346837/details" TargetMode="External"/><Relationship Id="rId2130" Type="http://schemas.openxmlformats.org/officeDocument/2006/relationships/hyperlink" Target="https://ncgtc.sdpondemand.manageengine.in/app/apphelpdesk/ui/requests/14047000006346825/details" TargetMode="External"/><Relationship Id="rId213" Type="http://schemas.openxmlformats.org/officeDocument/2006/relationships/hyperlink" Target="https://ncgtc.sdpondemand.manageengine.in/app/apphelpdesk/ui/requests/14047000005898371/details" TargetMode="External"/><Relationship Id="rId2129" Type="http://schemas.openxmlformats.org/officeDocument/2006/relationships/hyperlink" Target="https://ncgtc.sdpondemand.manageengine.in/app/apphelpdesk/ui/requests/14047000006346816/details" TargetMode="External"/><Relationship Id="rId2128" Type="http://schemas.openxmlformats.org/officeDocument/2006/relationships/hyperlink" Target="https://ncgtc.sdpondemand.manageengine.in/app/apphelpdesk/ui/requests/14047000006346784/details" TargetMode="External"/><Relationship Id="rId2127" Type="http://schemas.openxmlformats.org/officeDocument/2006/relationships/hyperlink" Target="https://ncgtc.sdpondemand.manageengine.in/app/apphelpdesk/ui/requests/14047000006346772/details" TargetMode="External"/><Relationship Id="rId2126" Type="http://schemas.openxmlformats.org/officeDocument/2006/relationships/hyperlink" Target="https://ncgtc.sdpondemand.manageengine.in/app/apphelpdesk/ui/requests/14047000006346719/details" TargetMode="External"/><Relationship Id="rId2125" Type="http://schemas.openxmlformats.org/officeDocument/2006/relationships/hyperlink" Target="https://ncgtc.sdpondemand.manageengine.in/app/apphelpdesk/ui/requests/14047000006346696/details" TargetMode="External"/><Relationship Id="rId2124" Type="http://schemas.openxmlformats.org/officeDocument/2006/relationships/hyperlink" Target="https://ncgtc.sdpondemand.manageengine.in/app/apphelpdesk/ui/requests/14047000006346683/details" TargetMode="External"/><Relationship Id="rId2123" Type="http://schemas.openxmlformats.org/officeDocument/2006/relationships/hyperlink" Target="https://ncgtc.sdpondemand.manageengine.in/app/apphelpdesk/ui/requests/14047000006346666/details" TargetMode="External"/><Relationship Id="rId2122" Type="http://schemas.openxmlformats.org/officeDocument/2006/relationships/hyperlink" Target="https://ncgtc.sdpondemand.manageengine.in/app/apphelpdesk/ui/requests/14047000006346638/details" TargetMode="External"/><Relationship Id="rId2121" Type="http://schemas.openxmlformats.org/officeDocument/2006/relationships/hyperlink" Target="https://ncgtc.sdpondemand.manageengine.in/app/apphelpdesk/ui/requests/14047000006346630/details" TargetMode="External"/><Relationship Id="rId2120" Type="http://schemas.openxmlformats.org/officeDocument/2006/relationships/hyperlink" Target="https://ncgtc.sdpondemand.manageengine.in/app/apphelpdesk/ui/requests/14047000006346612/details" TargetMode="External"/><Relationship Id="rId212" Type="http://schemas.openxmlformats.org/officeDocument/2006/relationships/hyperlink" Target="https://ncgtc.sdpondemand.manageengine.in/app/apphelpdesk/ui/requests/14047000005898356/details" TargetMode="External"/><Relationship Id="rId2119" Type="http://schemas.openxmlformats.org/officeDocument/2006/relationships/hyperlink" Target="https://ncgtc.sdpondemand.manageengine.in/app/apphelpdesk/ui/requests/14047000006346594/details" TargetMode="External"/><Relationship Id="rId2118" Type="http://schemas.openxmlformats.org/officeDocument/2006/relationships/hyperlink" Target="https://ncgtc.sdpondemand.manageengine.in/app/apphelpdesk/ui/requests/14047000006346585/details" TargetMode="External"/><Relationship Id="rId2117" Type="http://schemas.openxmlformats.org/officeDocument/2006/relationships/hyperlink" Target="https://ncgtc.sdpondemand.manageengine.in/app/apphelpdesk/ui/requests/14047000006346568/details" TargetMode="External"/><Relationship Id="rId2116" Type="http://schemas.openxmlformats.org/officeDocument/2006/relationships/hyperlink" Target="https://ncgtc.sdpondemand.manageengine.in/app/apphelpdesk/ui/requests/14047000006346549/details" TargetMode="External"/><Relationship Id="rId2115" Type="http://schemas.openxmlformats.org/officeDocument/2006/relationships/hyperlink" Target="https://ncgtc.sdpondemand.manageengine.in/app/apphelpdesk/ui/requests/14047000006346534/details" TargetMode="External"/><Relationship Id="rId2114" Type="http://schemas.openxmlformats.org/officeDocument/2006/relationships/hyperlink" Target="https://ncgtc.sdpondemand.manageengine.in/app/apphelpdesk/ui/requests/14047000006346503/details" TargetMode="External"/><Relationship Id="rId2113" Type="http://schemas.openxmlformats.org/officeDocument/2006/relationships/hyperlink" Target="https://ncgtc.sdpondemand.manageengine.in/app/apphelpdesk/ui/requests/14047000006346457/details" TargetMode="External"/><Relationship Id="rId2112" Type="http://schemas.openxmlformats.org/officeDocument/2006/relationships/hyperlink" Target="https://ncgtc.sdpondemand.manageengine.in/app/apphelpdesk/ui/requests/14047000006346429/details" TargetMode="External"/><Relationship Id="rId2111" Type="http://schemas.openxmlformats.org/officeDocument/2006/relationships/hyperlink" Target="https://ncgtc.sdpondemand.manageengine.in/app/apphelpdesk/ui/requests/14047000006346419/details" TargetMode="External"/><Relationship Id="rId2110" Type="http://schemas.openxmlformats.org/officeDocument/2006/relationships/hyperlink" Target="https://ncgtc.sdpondemand.manageengine.in/app/apphelpdesk/ui/requests/14047000006346408/details" TargetMode="External"/><Relationship Id="rId211" Type="http://schemas.openxmlformats.org/officeDocument/2006/relationships/hyperlink" Target="https://ncgtc.sdpondemand.manageengine.in/app/apphelpdesk/ui/requests/14047000005898335/details" TargetMode="External"/><Relationship Id="rId2109" Type="http://schemas.openxmlformats.org/officeDocument/2006/relationships/hyperlink" Target="https://ncgtc.sdpondemand.manageengine.in/app/apphelpdesk/ui/requests/14047000006346375/details" TargetMode="External"/><Relationship Id="rId2108" Type="http://schemas.openxmlformats.org/officeDocument/2006/relationships/hyperlink" Target="https://ncgtc.sdpondemand.manageengine.in/app/apphelpdesk/ui/requests/14047000006346340/details" TargetMode="External"/><Relationship Id="rId2107" Type="http://schemas.openxmlformats.org/officeDocument/2006/relationships/hyperlink" Target="https://ncgtc.sdpondemand.manageengine.in/app/apphelpdesk/ui/requests/14047000006346322/details" TargetMode="External"/><Relationship Id="rId2106" Type="http://schemas.openxmlformats.org/officeDocument/2006/relationships/hyperlink" Target="https://ncgtc.sdpondemand.manageengine.in/app/apphelpdesk/ui/requests/14047000006346300/details" TargetMode="External"/><Relationship Id="rId2105" Type="http://schemas.openxmlformats.org/officeDocument/2006/relationships/hyperlink" Target="https://ncgtc.sdpondemand.manageengine.in/app/apphelpdesk/ui/requests/14047000006346241/details" TargetMode="External"/><Relationship Id="rId2104" Type="http://schemas.openxmlformats.org/officeDocument/2006/relationships/hyperlink" Target="https://ncgtc.sdpondemand.manageengine.in/app/apphelpdesk/ui/requests/14047000006346226/details" TargetMode="External"/><Relationship Id="rId2103" Type="http://schemas.openxmlformats.org/officeDocument/2006/relationships/hyperlink" Target="https://ncgtc.sdpondemand.manageengine.in/app/apphelpdesk/ui/requests/14047000006346163/details" TargetMode="External"/><Relationship Id="rId2102" Type="http://schemas.openxmlformats.org/officeDocument/2006/relationships/hyperlink" Target="https://ncgtc.sdpondemand.manageengine.in/app/apphelpdesk/ui/requests/14047000006346154/details" TargetMode="External"/><Relationship Id="rId2101" Type="http://schemas.openxmlformats.org/officeDocument/2006/relationships/hyperlink" Target="https://ncgtc.sdpondemand.manageengine.in/app/apphelpdesk/ui/requests/14047000006346141/details" TargetMode="External"/><Relationship Id="rId2100" Type="http://schemas.openxmlformats.org/officeDocument/2006/relationships/hyperlink" Target="https://ncgtc.sdpondemand.manageengine.in/app/apphelpdesk/ui/requests/14047000006346126/details" TargetMode="External"/><Relationship Id="rId210" Type="http://schemas.openxmlformats.org/officeDocument/2006/relationships/hyperlink" Target="https://ncgtc.sdpondemand.manageengine.in/app/apphelpdesk/ui/requests/14047000005898251/details" TargetMode="External"/><Relationship Id="rId21" Type="http://schemas.openxmlformats.org/officeDocument/2006/relationships/hyperlink" Target="https://ncgtc.sdpondemand.manageengine.in/app/apphelpdesk/ui/requests/14047000005854510/details" TargetMode="External"/><Relationship Id="rId2099" Type="http://schemas.openxmlformats.org/officeDocument/2006/relationships/hyperlink" Target="https://ncgtc.sdpondemand.manageengine.in/app/apphelpdesk/ui/requests/14047000006346111/details" TargetMode="External"/><Relationship Id="rId2098" Type="http://schemas.openxmlformats.org/officeDocument/2006/relationships/hyperlink" Target="https://ncgtc.sdpondemand.manageengine.in/app/apphelpdesk/ui/requests/14047000006346090/details" TargetMode="External"/><Relationship Id="rId2097" Type="http://schemas.openxmlformats.org/officeDocument/2006/relationships/hyperlink" Target="https://ncgtc.sdpondemand.manageengine.in/app/apphelpdesk/ui/requests/14047000006346081/details" TargetMode="External"/><Relationship Id="rId2096" Type="http://schemas.openxmlformats.org/officeDocument/2006/relationships/hyperlink" Target="https://ncgtc.sdpondemand.manageengine.in/app/apphelpdesk/ui/requests/14047000006346072/details" TargetMode="External"/><Relationship Id="rId2095" Type="http://schemas.openxmlformats.org/officeDocument/2006/relationships/hyperlink" Target="https://ncgtc.sdpondemand.manageengine.in/app/apphelpdesk/ui/requests/14047000006346059/details" TargetMode="External"/><Relationship Id="rId2094" Type="http://schemas.openxmlformats.org/officeDocument/2006/relationships/hyperlink" Target="https://ncgtc.sdpondemand.manageengine.in/app/apphelpdesk/ui/requests/14047000006346041/details" TargetMode="External"/><Relationship Id="rId2093" Type="http://schemas.openxmlformats.org/officeDocument/2006/relationships/hyperlink" Target="https://ncgtc.sdpondemand.manageengine.in/app/apphelpdesk/ui/requests/14047000006346005/details" TargetMode="External"/><Relationship Id="rId2092" Type="http://schemas.openxmlformats.org/officeDocument/2006/relationships/hyperlink" Target="https://ncgtc.sdpondemand.manageengine.in/app/apphelpdesk/ui/requests/14047000006332944/details" TargetMode="External"/><Relationship Id="rId2091" Type="http://schemas.openxmlformats.org/officeDocument/2006/relationships/hyperlink" Target="https://ncgtc.sdpondemand.manageengine.in/app/apphelpdesk/ui/requests/14047000006332832/details" TargetMode="External"/><Relationship Id="rId2090" Type="http://schemas.openxmlformats.org/officeDocument/2006/relationships/hyperlink" Target="https://ncgtc.sdpondemand.manageengine.in/app/apphelpdesk/ui/requests/14047000006332720/details" TargetMode="External"/><Relationship Id="rId209" Type="http://schemas.openxmlformats.org/officeDocument/2006/relationships/hyperlink" Target="https://ncgtc.sdpondemand.manageengine.in/app/apphelpdesk/ui/requests/14047000005898231/details" TargetMode="External"/><Relationship Id="rId2089" Type="http://schemas.openxmlformats.org/officeDocument/2006/relationships/hyperlink" Target="https://ncgtc.sdpondemand.manageengine.in/app/apphelpdesk/ui/requests/14047000006332687/details" TargetMode="External"/><Relationship Id="rId2088" Type="http://schemas.openxmlformats.org/officeDocument/2006/relationships/hyperlink" Target="https://ncgtc.sdpondemand.manageengine.in/app/apphelpdesk/ui/requests/14047000006332679/details" TargetMode="External"/><Relationship Id="rId2087" Type="http://schemas.openxmlformats.org/officeDocument/2006/relationships/hyperlink" Target="https://ncgtc.sdpondemand.manageengine.in/app/apphelpdesk/ui/requests/14047000006332648/details" TargetMode="External"/><Relationship Id="rId2086" Type="http://schemas.openxmlformats.org/officeDocument/2006/relationships/hyperlink" Target="https://ncgtc.sdpondemand.manageengine.in/app/apphelpdesk/ui/requests/14047000006332611/details" TargetMode="External"/><Relationship Id="rId2085" Type="http://schemas.openxmlformats.org/officeDocument/2006/relationships/hyperlink" Target="https://ncgtc.sdpondemand.manageengine.in/app/apphelpdesk/ui/requests/14047000006332589/details" TargetMode="External"/><Relationship Id="rId2084" Type="http://schemas.openxmlformats.org/officeDocument/2006/relationships/hyperlink" Target="https://ncgtc.sdpondemand.manageengine.in/app/apphelpdesk/ui/requests/14047000006332490/details" TargetMode="External"/><Relationship Id="rId2083" Type="http://schemas.openxmlformats.org/officeDocument/2006/relationships/hyperlink" Target="https://ncgtc.sdpondemand.manageengine.in/app/apphelpdesk/ui/requests/14047000006332467/details" TargetMode="External"/><Relationship Id="rId2082" Type="http://schemas.openxmlformats.org/officeDocument/2006/relationships/hyperlink" Target="https://ncgtc.sdpondemand.manageengine.in/app/apphelpdesk/ui/requests/14047000006332450/details" TargetMode="External"/><Relationship Id="rId2081" Type="http://schemas.openxmlformats.org/officeDocument/2006/relationships/hyperlink" Target="https://ncgtc.sdpondemand.manageengine.in/app/apphelpdesk/ui/requests/14047000006332345/details" TargetMode="External"/><Relationship Id="rId2080" Type="http://schemas.openxmlformats.org/officeDocument/2006/relationships/hyperlink" Target="https://ncgtc.sdpondemand.manageengine.in/app/apphelpdesk/ui/requests/14047000006332322/details" TargetMode="External"/><Relationship Id="rId208" Type="http://schemas.openxmlformats.org/officeDocument/2006/relationships/hyperlink" Target="https://ncgtc.sdpondemand.manageengine.in/app/apphelpdesk/ui/requests/14047000005898198/details" TargetMode="External"/><Relationship Id="rId2079" Type="http://schemas.openxmlformats.org/officeDocument/2006/relationships/hyperlink" Target="https://ncgtc.sdpondemand.manageengine.in/app/apphelpdesk/ui/requests/14047000006332307/details" TargetMode="External"/><Relationship Id="rId2078" Type="http://schemas.openxmlformats.org/officeDocument/2006/relationships/hyperlink" Target="https://ncgtc.sdpondemand.manageengine.in/app/apphelpdesk/ui/requests/14047000006332276/details" TargetMode="External"/><Relationship Id="rId2077" Type="http://schemas.openxmlformats.org/officeDocument/2006/relationships/hyperlink" Target="https://ncgtc.sdpondemand.manageengine.in/app/apphelpdesk/ui/requests/14047000006332252/details" TargetMode="External"/><Relationship Id="rId2076" Type="http://schemas.openxmlformats.org/officeDocument/2006/relationships/hyperlink" Target="https://ncgtc.sdpondemand.manageengine.in/app/apphelpdesk/ui/requests/14047000006332232/details" TargetMode="External"/><Relationship Id="rId2075" Type="http://schemas.openxmlformats.org/officeDocument/2006/relationships/hyperlink" Target="https://ncgtc.sdpondemand.manageengine.in/app/apphelpdesk/ui/requests/14047000006332217/details" TargetMode="External"/><Relationship Id="rId2074" Type="http://schemas.openxmlformats.org/officeDocument/2006/relationships/hyperlink" Target="https://ncgtc.sdpondemand.manageengine.in/app/apphelpdesk/ui/requests/14047000006332180/details" TargetMode="External"/><Relationship Id="rId2073" Type="http://schemas.openxmlformats.org/officeDocument/2006/relationships/hyperlink" Target="https://ncgtc.sdpondemand.manageengine.in/app/apphelpdesk/ui/requests/14047000006332147/details" TargetMode="External"/><Relationship Id="rId2072" Type="http://schemas.openxmlformats.org/officeDocument/2006/relationships/hyperlink" Target="https://ncgtc.sdpondemand.manageengine.in/app/apphelpdesk/ui/requests/14047000006332129/details" TargetMode="External"/><Relationship Id="rId2071" Type="http://schemas.openxmlformats.org/officeDocument/2006/relationships/hyperlink" Target="https://ncgtc.sdpondemand.manageengine.in/app/apphelpdesk/ui/requests/14047000006332121/details" TargetMode="External"/><Relationship Id="rId2070" Type="http://schemas.openxmlformats.org/officeDocument/2006/relationships/hyperlink" Target="https://ncgtc.sdpondemand.manageengine.in/app/apphelpdesk/ui/requests/14047000006332075/details" TargetMode="External"/><Relationship Id="rId207" Type="http://schemas.openxmlformats.org/officeDocument/2006/relationships/hyperlink" Target="https://ncgtc.sdpondemand.manageengine.in/app/apphelpdesk/ui/requests/14047000005898097/details" TargetMode="External"/><Relationship Id="rId2069" Type="http://schemas.openxmlformats.org/officeDocument/2006/relationships/hyperlink" Target="https://ncgtc.sdpondemand.manageengine.in/app/apphelpdesk/ui/requests/14047000006332067/details" TargetMode="External"/><Relationship Id="rId2068" Type="http://schemas.openxmlformats.org/officeDocument/2006/relationships/hyperlink" Target="https://ncgtc.sdpondemand.manageengine.in/app/apphelpdesk/ui/requests/14047000006332051/details" TargetMode="External"/><Relationship Id="rId2067" Type="http://schemas.openxmlformats.org/officeDocument/2006/relationships/hyperlink" Target="https://ncgtc.sdpondemand.manageengine.in/app/apphelpdesk/ui/requests/14047000006331079/details" TargetMode="External"/><Relationship Id="rId2066" Type="http://schemas.openxmlformats.org/officeDocument/2006/relationships/hyperlink" Target="https://ncgtc.sdpondemand.manageengine.in/app/apphelpdesk/ui/requests/14047000006331043/details" TargetMode="External"/><Relationship Id="rId2065" Type="http://schemas.openxmlformats.org/officeDocument/2006/relationships/hyperlink" Target="https://ncgtc.sdpondemand.manageengine.in/app/apphelpdesk/ui/requests/14047000006325000/details" TargetMode="External"/><Relationship Id="rId2064" Type="http://schemas.openxmlformats.org/officeDocument/2006/relationships/hyperlink" Target="https://ncgtc.sdpondemand.manageengine.in/app/apphelpdesk/ui/requests/14047000006324966/details" TargetMode="External"/><Relationship Id="rId2063" Type="http://schemas.openxmlformats.org/officeDocument/2006/relationships/hyperlink" Target="https://ncgtc.sdpondemand.manageengine.in/app/apphelpdesk/ui/requests/14047000006324918/details" TargetMode="External"/><Relationship Id="rId2062" Type="http://schemas.openxmlformats.org/officeDocument/2006/relationships/hyperlink" Target="https://ncgtc.sdpondemand.manageengine.in/app/apphelpdesk/ui/requests/14047000006324908/details" TargetMode="External"/><Relationship Id="rId2061" Type="http://schemas.openxmlformats.org/officeDocument/2006/relationships/hyperlink" Target="https://ncgtc.sdpondemand.manageengine.in/app/apphelpdesk/ui/requests/14047000006324877/details" TargetMode="External"/><Relationship Id="rId2060" Type="http://schemas.openxmlformats.org/officeDocument/2006/relationships/hyperlink" Target="https://ncgtc.sdpondemand.manageengine.in/app/apphelpdesk/ui/requests/14047000006324853/details" TargetMode="External"/><Relationship Id="rId206" Type="http://schemas.openxmlformats.org/officeDocument/2006/relationships/hyperlink" Target="https://ncgtc.sdpondemand.manageengine.in/app/apphelpdesk/ui/requests/14047000005898078/details" TargetMode="External"/><Relationship Id="rId2059" Type="http://schemas.openxmlformats.org/officeDocument/2006/relationships/hyperlink" Target="https://ncgtc.sdpondemand.manageengine.in/app/apphelpdesk/ui/requests/14047000006324844/details" TargetMode="External"/><Relationship Id="rId2058" Type="http://schemas.openxmlformats.org/officeDocument/2006/relationships/hyperlink" Target="https://ncgtc.sdpondemand.manageengine.in/app/apphelpdesk/ui/requests/14047000006324831/details" TargetMode="External"/><Relationship Id="rId2057" Type="http://schemas.openxmlformats.org/officeDocument/2006/relationships/hyperlink" Target="https://ncgtc.sdpondemand.manageengine.in/app/apphelpdesk/ui/requests/14047000006324817/details" TargetMode="External"/><Relationship Id="rId2056" Type="http://schemas.openxmlformats.org/officeDocument/2006/relationships/hyperlink" Target="https://ncgtc.sdpondemand.manageengine.in/app/apphelpdesk/ui/requests/14047000006324809/details" TargetMode="External"/><Relationship Id="rId2055" Type="http://schemas.openxmlformats.org/officeDocument/2006/relationships/hyperlink" Target="https://ncgtc.sdpondemand.manageengine.in/app/apphelpdesk/ui/requests/14047000006324791/details" TargetMode="External"/><Relationship Id="rId2054" Type="http://schemas.openxmlformats.org/officeDocument/2006/relationships/hyperlink" Target="https://ncgtc.sdpondemand.manageengine.in/app/apphelpdesk/ui/requests/14047000006324733/details" TargetMode="External"/><Relationship Id="rId2053" Type="http://schemas.openxmlformats.org/officeDocument/2006/relationships/hyperlink" Target="https://ncgtc.sdpondemand.manageengine.in/app/apphelpdesk/ui/requests/14047000006324688/details" TargetMode="External"/><Relationship Id="rId2052" Type="http://schemas.openxmlformats.org/officeDocument/2006/relationships/hyperlink" Target="https://ncgtc.sdpondemand.manageengine.in/app/apphelpdesk/ui/requests/14047000006324674/details" TargetMode="External"/><Relationship Id="rId2051" Type="http://schemas.openxmlformats.org/officeDocument/2006/relationships/hyperlink" Target="https://ncgtc.sdpondemand.manageengine.in/app/apphelpdesk/ui/requests/14047000006324651/details" TargetMode="External"/><Relationship Id="rId2050" Type="http://schemas.openxmlformats.org/officeDocument/2006/relationships/hyperlink" Target="https://ncgtc.sdpondemand.manageengine.in/app/apphelpdesk/ui/requests/14047000006324632/details" TargetMode="External"/><Relationship Id="rId205" Type="http://schemas.openxmlformats.org/officeDocument/2006/relationships/hyperlink" Target="https://ncgtc.sdpondemand.manageengine.in/app/apphelpdesk/ui/requests/14047000005898055/details" TargetMode="External"/><Relationship Id="rId2049" Type="http://schemas.openxmlformats.org/officeDocument/2006/relationships/hyperlink" Target="https://ncgtc.sdpondemand.manageengine.in/app/apphelpdesk/ui/requests/14047000006324599/details" TargetMode="External"/><Relationship Id="rId2048" Type="http://schemas.openxmlformats.org/officeDocument/2006/relationships/hyperlink" Target="https://ncgtc.sdpondemand.manageengine.in/app/apphelpdesk/ui/requests/14047000006324591/details" TargetMode="External"/><Relationship Id="rId2047" Type="http://schemas.openxmlformats.org/officeDocument/2006/relationships/hyperlink" Target="https://ncgtc.sdpondemand.manageengine.in/app/apphelpdesk/ui/requests/14047000006324577/details" TargetMode="External"/><Relationship Id="rId2046" Type="http://schemas.openxmlformats.org/officeDocument/2006/relationships/hyperlink" Target="https://ncgtc.sdpondemand.manageengine.in/app/apphelpdesk/ui/requests/14047000006324565/details" TargetMode="External"/><Relationship Id="rId2045" Type="http://schemas.openxmlformats.org/officeDocument/2006/relationships/hyperlink" Target="https://ncgtc.sdpondemand.manageengine.in/app/apphelpdesk/ui/requests/14047000006324557/details" TargetMode="External"/><Relationship Id="rId2044" Type="http://schemas.openxmlformats.org/officeDocument/2006/relationships/hyperlink" Target="https://ncgtc.sdpondemand.manageengine.in/app/apphelpdesk/ui/requests/14047000006324548/details" TargetMode="External"/><Relationship Id="rId2043" Type="http://schemas.openxmlformats.org/officeDocument/2006/relationships/hyperlink" Target="https://ncgtc.sdpondemand.manageengine.in/app/apphelpdesk/ui/requests/14047000006324514/details" TargetMode="External"/><Relationship Id="rId2042" Type="http://schemas.openxmlformats.org/officeDocument/2006/relationships/hyperlink" Target="https://ncgtc.sdpondemand.manageengine.in/app/apphelpdesk/ui/requests/14047000006324499/details" TargetMode="External"/><Relationship Id="rId2041" Type="http://schemas.openxmlformats.org/officeDocument/2006/relationships/hyperlink" Target="https://ncgtc.sdpondemand.manageengine.in/app/apphelpdesk/ui/requests/14047000006324489/details" TargetMode="External"/><Relationship Id="rId2040" Type="http://schemas.openxmlformats.org/officeDocument/2006/relationships/hyperlink" Target="https://ncgtc.sdpondemand.manageengine.in/app/apphelpdesk/ui/requests/14047000006324442/details" TargetMode="External"/><Relationship Id="rId204" Type="http://schemas.openxmlformats.org/officeDocument/2006/relationships/hyperlink" Target="https://ncgtc.sdpondemand.manageengine.in/app/apphelpdesk/ui/requests/14047000005894999/details" TargetMode="External"/><Relationship Id="rId2039" Type="http://schemas.openxmlformats.org/officeDocument/2006/relationships/hyperlink" Target="https://ncgtc.sdpondemand.manageengine.in/app/apphelpdesk/ui/requests/14047000006324434/details" TargetMode="External"/><Relationship Id="rId2038" Type="http://schemas.openxmlformats.org/officeDocument/2006/relationships/hyperlink" Target="https://ncgtc.sdpondemand.manageengine.in/app/apphelpdesk/ui/requests/14047000006324414/details" TargetMode="External"/><Relationship Id="rId2037" Type="http://schemas.openxmlformats.org/officeDocument/2006/relationships/hyperlink" Target="https://ncgtc.sdpondemand.manageengine.in/app/apphelpdesk/ui/requests/14047000006324400/details" TargetMode="External"/><Relationship Id="rId2036" Type="http://schemas.openxmlformats.org/officeDocument/2006/relationships/hyperlink" Target="https://ncgtc.sdpondemand.manageengine.in/app/apphelpdesk/ui/requests/14047000006324341/details" TargetMode="External"/><Relationship Id="rId2035" Type="http://schemas.openxmlformats.org/officeDocument/2006/relationships/hyperlink" Target="https://ncgtc.sdpondemand.manageengine.in/app/apphelpdesk/ui/requests/14047000006324302/details" TargetMode="External"/><Relationship Id="rId2034" Type="http://schemas.openxmlformats.org/officeDocument/2006/relationships/hyperlink" Target="https://ncgtc.sdpondemand.manageengine.in/app/apphelpdesk/ui/requests/14047000006324255/details" TargetMode="External"/><Relationship Id="rId2033" Type="http://schemas.openxmlformats.org/officeDocument/2006/relationships/hyperlink" Target="https://ncgtc.sdpondemand.manageengine.in/app/apphelpdesk/ui/requests/14047000006324245/details" TargetMode="External"/><Relationship Id="rId2032" Type="http://schemas.openxmlformats.org/officeDocument/2006/relationships/hyperlink" Target="https://ncgtc.sdpondemand.manageengine.in/app/apphelpdesk/ui/requests/14047000006324199/details" TargetMode="External"/><Relationship Id="rId2031" Type="http://schemas.openxmlformats.org/officeDocument/2006/relationships/hyperlink" Target="https://ncgtc.sdpondemand.manageengine.in/app/apphelpdesk/ui/requests/14047000006324177/details" TargetMode="External"/><Relationship Id="rId2030" Type="http://schemas.openxmlformats.org/officeDocument/2006/relationships/hyperlink" Target="https://ncgtc.sdpondemand.manageengine.in/app/apphelpdesk/ui/requests/14047000006324162/details" TargetMode="External"/><Relationship Id="rId203" Type="http://schemas.openxmlformats.org/officeDocument/2006/relationships/hyperlink" Target="https://ncgtc.sdpondemand.manageengine.in/app/apphelpdesk/ui/requests/14047000005894960/details" TargetMode="External"/><Relationship Id="rId2029" Type="http://schemas.openxmlformats.org/officeDocument/2006/relationships/hyperlink" Target="https://ncgtc.sdpondemand.manageengine.in/app/apphelpdesk/ui/requests/14047000006324154/details" TargetMode="External"/><Relationship Id="rId2028" Type="http://schemas.openxmlformats.org/officeDocument/2006/relationships/hyperlink" Target="https://ncgtc.sdpondemand.manageengine.in/app/apphelpdesk/ui/requests/14047000006324136/details" TargetMode="External"/><Relationship Id="rId2027" Type="http://schemas.openxmlformats.org/officeDocument/2006/relationships/hyperlink" Target="https://ncgtc.sdpondemand.manageengine.in/app/apphelpdesk/ui/requests/14047000006324120/details" TargetMode="External"/><Relationship Id="rId2026" Type="http://schemas.openxmlformats.org/officeDocument/2006/relationships/hyperlink" Target="https://ncgtc.sdpondemand.manageengine.in/app/apphelpdesk/ui/requests/14047000006324084/details" TargetMode="External"/><Relationship Id="rId2025" Type="http://schemas.openxmlformats.org/officeDocument/2006/relationships/hyperlink" Target="https://ncgtc.sdpondemand.manageengine.in/app/apphelpdesk/ui/requests/14047000006324076/details" TargetMode="External"/><Relationship Id="rId2024" Type="http://schemas.openxmlformats.org/officeDocument/2006/relationships/hyperlink" Target="https://ncgtc.sdpondemand.manageengine.in/app/apphelpdesk/ui/requests/14047000006324066/details" TargetMode="External"/><Relationship Id="rId2023" Type="http://schemas.openxmlformats.org/officeDocument/2006/relationships/hyperlink" Target="https://ncgtc.sdpondemand.manageengine.in/app/apphelpdesk/ui/requests/14047000006324035/details" TargetMode="External"/><Relationship Id="rId2022" Type="http://schemas.openxmlformats.org/officeDocument/2006/relationships/hyperlink" Target="https://ncgtc.sdpondemand.manageengine.in/app/apphelpdesk/ui/requests/14047000006324001/details" TargetMode="External"/><Relationship Id="rId2021" Type="http://schemas.openxmlformats.org/officeDocument/2006/relationships/hyperlink" Target="https://ncgtc.sdpondemand.manageengine.in/app/apphelpdesk/ui/requests/14047000006321298/details" TargetMode="External"/><Relationship Id="rId2020" Type="http://schemas.openxmlformats.org/officeDocument/2006/relationships/hyperlink" Target="https://ncgtc.sdpondemand.manageengine.in/app/apphelpdesk/ui/requests/14047000006321268/details" TargetMode="External"/><Relationship Id="rId202" Type="http://schemas.openxmlformats.org/officeDocument/2006/relationships/hyperlink" Target="https://ncgtc.sdpondemand.manageengine.in/app/apphelpdesk/ui/requests/14047000005894890/details" TargetMode="External"/><Relationship Id="rId2019" Type="http://schemas.openxmlformats.org/officeDocument/2006/relationships/hyperlink" Target="https://ncgtc.sdpondemand.manageengine.in/app/apphelpdesk/ui/requests/14047000006321211/details" TargetMode="External"/><Relationship Id="rId2018" Type="http://schemas.openxmlformats.org/officeDocument/2006/relationships/hyperlink" Target="https://ncgtc.sdpondemand.manageengine.in/app/apphelpdesk/ui/requests/14047000006321182/details" TargetMode="External"/><Relationship Id="rId2017" Type="http://schemas.openxmlformats.org/officeDocument/2006/relationships/hyperlink" Target="https://ncgtc.sdpondemand.manageengine.in/app/apphelpdesk/ui/requests/14047000006321139/details" TargetMode="External"/><Relationship Id="rId2016" Type="http://schemas.openxmlformats.org/officeDocument/2006/relationships/hyperlink" Target="https://ncgtc.sdpondemand.manageengine.in/app/apphelpdesk/ui/requests/14047000006321130/details" TargetMode="External"/><Relationship Id="rId2015" Type="http://schemas.openxmlformats.org/officeDocument/2006/relationships/hyperlink" Target="https://ncgtc.sdpondemand.manageengine.in/app/apphelpdesk/ui/requests/14047000006321076/details" TargetMode="External"/><Relationship Id="rId2014" Type="http://schemas.openxmlformats.org/officeDocument/2006/relationships/hyperlink" Target="https://ncgtc.sdpondemand.manageengine.in/app/apphelpdesk/ui/requests/14047000006321047/details" TargetMode="External"/><Relationship Id="rId2013" Type="http://schemas.openxmlformats.org/officeDocument/2006/relationships/hyperlink" Target="https://ncgtc.sdpondemand.manageengine.in/app/apphelpdesk/ui/requests/14047000006321014/details" TargetMode="External"/><Relationship Id="rId2012" Type="http://schemas.openxmlformats.org/officeDocument/2006/relationships/hyperlink" Target="https://ncgtc.sdpondemand.manageengine.in/app/apphelpdesk/ui/requests/14047000006317968/details" TargetMode="External"/><Relationship Id="rId2011" Type="http://schemas.openxmlformats.org/officeDocument/2006/relationships/hyperlink" Target="https://ncgtc.sdpondemand.manageengine.in/app/apphelpdesk/ui/requests/14047000006317935/details" TargetMode="External"/><Relationship Id="rId2010" Type="http://schemas.openxmlformats.org/officeDocument/2006/relationships/hyperlink" Target="https://ncgtc.sdpondemand.manageengine.in/app/apphelpdesk/ui/requests/14047000006317907/details" TargetMode="External"/><Relationship Id="rId201" Type="http://schemas.openxmlformats.org/officeDocument/2006/relationships/hyperlink" Target="https://ncgtc.sdpondemand.manageengine.in/app/apphelpdesk/ui/requests/14047000005894844/details" TargetMode="External"/><Relationship Id="rId2009" Type="http://schemas.openxmlformats.org/officeDocument/2006/relationships/hyperlink" Target="https://ncgtc.sdpondemand.manageengine.in/app/apphelpdesk/ui/requests/14047000006317843/details" TargetMode="External"/><Relationship Id="rId2008" Type="http://schemas.openxmlformats.org/officeDocument/2006/relationships/hyperlink" Target="https://ncgtc.sdpondemand.manageengine.in/app/apphelpdesk/ui/requests/14047000006317777/details" TargetMode="External"/><Relationship Id="rId2007" Type="http://schemas.openxmlformats.org/officeDocument/2006/relationships/hyperlink" Target="https://ncgtc.sdpondemand.manageengine.in/app/apphelpdesk/ui/requests/14047000006317724/details" TargetMode="External"/><Relationship Id="rId2006" Type="http://schemas.openxmlformats.org/officeDocument/2006/relationships/hyperlink" Target="https://ncgtc.sdpondemand.manageengine.in/app/apphelpdesk/ui/requests/14047000006317673/details" TargetMode="External"/><Relationship Id="rId2005" Type="http://schemas.openxmlformats.org/officeDocument/2006/relationships/hyperlink" Target="https://ncgtc.sdpondemand.manageengine.in/app/apphelpdesk/ui/requests/14047000006317664/details" TargetMode="External"/><Relationship Id="rId2004" Type="http://schemas.openxmlformats.org/officeDocument/2006/relationships/hyperlink" Target="https://ncgtc.sdpondemand.manageengine.in/app/apphelpdesk/ui/requests/14047000006317649/details" TargetMode="External"/><Relationship Id="rId2003" Type="http://schemas.openxmlformats.org/officeDocument/2006/relationships/hyperlink" Target="https://ncgtc.sdpondemand.manageengine.in/app/apphelpdesk/ui/requests/14047000006317634/details" TargetMode="External"/><Relationship Id="rId2002" Type="http://schemas.openxmlformats.org/officeDocument/2006/relationships/hyperlink" Target="https://ncgtc.sdpondemand.manageengine.in/app/apphelpdesk/ui/requests/14047000006317626/details" TargetMode="External"/><Relationship Id="rId2001" Type="http://schemas.openxmlformats.org/officeDocument/2006/relationships/hyperlink" Target="https://ncgtc.sdpondemand.manageengine.in/app/apphelpdesk/ui/requests/14047000006317593/details" TargetMode="External"/><Relationship Id="rId2000" Type="http://schemas.openxmlformats.org/officeDocument/2006/relationships/hyperlink" Target="https://ncgtc.sdpondemand.manageengine.in/app/apphelpdesk/ui/requests/14047000006317584/details" TargetMode="External"/><Relationship Id="rId200" Type="http://schemas.openxmlformats.org/officeDocument/2006/relationships/hyperlink" Target="https://ncgtc.sdpondemand.manageengine.in/app/apphelpdesk/ui/requests/14047000005894815/details" TargetMode="External"/><Relationship Id="rId20" Type="http://schemas.openxmlformats.org/officeDocument/2006/relationships/hyperlink" Target="https://ncgtc.sdpondemand.manageengine.in/app/apphelpdesk/ui/requests/14047000005854501/details" TargetMode="External"/><Relationship Id="rId2" Type="http://schemas.openxmlformats.org/officeDocument/2006/relationships/hyperlink" Target="https://ncgtc.sdpondemand.manageengine.in/app/apphelpdesk/ui/requests/14047000005851988/details" TargetMode="External"/><Relationship Id="rId1999" Type="http://schemas.openxmlformats.org/officeDocument/2006/relationships/hyperlink" Target="https://ncgtc.sdpondemand.manageengine.in/app/apphelpdesk/ui/requests/14047000006317566/details" TargetMode="External"/><Relationship Id="rId1998" Type="http://schemas.openxmlformats.org/officeDocument/2006/relationships/hyperlink" Target="https://ncgtc.sdpondemand.manageengine.in/app/apphelpdesk/ui/requests/14047000006317552/details" TargetMode="External"/><Relationship Id="rId1997" Type="http://schemas.openxmlformats.org/officeDocument/2006/relationships/hyperlink" Target="https://ncgtc.sdpondemand.manageengine.in/app/apphelpdesk/ui/requests/14047000006317524/details" TargetMode="External"/><Relationship Id="rId1996" Type="http://schemas.openxmlformats.org/officeDocument/2006/relationships/hyperlink" Target="https://ncgtc.sdpondemand.manageengine.in/app/apphelpdesk/ui/requests/14047000006317475/details" TargetMode="External"/><Relationship Id="rId1995" Type="http://schemas.openxmlformats.org/officeDocument/2006/relationships/hyperlink" Target="https://ncgtc.sdpondemand.manageengine.in/app/apphelpdesk/ui/requests/14047000006317415/details" TargetMode="External"/><Relationship Id="rId1994" Type="http://schemas.openxmlformats.org/officeDocument/2006/relationships/hyperlink" Target="https://ncgtc.sdpondemand.manageengine.in/app/apphelpdesk/ui/requests/14047000006317406/details" TargetMode="External"/><Relationship Id="rId1993" Type="http://schemas.openxmlformats.org/officeDocument/2006/relationships/hyperlink" Target="https://ncgtc.sdpondemand.manageengine.in/app/apphelpdesk/ui/requests/14047000006317396/details" TargetMode="External"/><Relationship Id="rId1992" Type="http://schemas.openxmlformats.org/officeDocument/2006/relationships/hyperlink" Target="https://ncgtc.sdpondemand.manageengine.in/app/apphelpdesk/ui/requests/14047000006317378/details" TargetMode="External"/><Relationship Id="rId1991" Type="http://schemas.openxmlformats.org/officeDocument/2006/relationships/hyperlink" Target="https://ncgtc.sdpondemand.manageengine.in/app/apphelpdesk/ui/requests/14047000006317355/details" TargetMode="External"/><Relationship Id="rId1990" Type="http://schemas.openxmlformats.org/officeDocument/2006/relationships/hyperlink" Target="https://ncgtc.sdpondemand.manageengine.in/app/apphelpdesk/ui/requests/14047000006317313/details" TargetMode="External"/><Relationship Id="rId199" Type="http://schemas.openxmlformats.org/officeDocument/2006/relationships/hyperlink" Target="https://ncgtc.sdpondemand.manageengine.in/app/apphelpdesk/ui/requests/14047000005894761/details" TargetMode="External"/><Relationship Id="rId1989" Type="http://schemas.openxmlformats.org/officeDocument/2006/relationships/hyperlink" Target="https://ncgtc.sdpondemand.manageengine.in/app/apphelpdesk/ui/requests/14047000006317304/details" TargetMode="External"/><Relationship Id="rId1988" Type="http://schemas.openxmlformats.org/officeDocument/2006/relationships/hyperlink" Target="https://ncgtc.sdpondemand.manageengine.in/app/apphelpdesk/ui/requests/14047000006317265/details" TargetMode="External"/><Relationship Id="rId1987" Type="http://schemas.openxmlformats.org/officeDocument/2006/relationships/hyperlink" Target="https://ncgtc.sdpondemand.manageengine.in/app/apphelpdesk/ui/requests/14047000006317256/details" TargetMode="External"/><Relationship Id="rId1986" Type="http://schemas.openxmlformats.org/officeDocument/2006/relationships/hyperlink" Target="https://ncgtc.sdpondemand.manageengine.in/app/apphelpdesk/ui/requests/14047000006317212/details" TargetMode="External"/><Relationship Id="rId1985" Type="http://schemas.openxmlformats.org/officeDocument/2006/relationships/hyperlink" Target="https://ncgtc.sdpondemand.manageengine.in/app/apphelpdesk/ui/requests/14047000006317194/details" TargetMode="External"/><Relationship Id="rId1984" Type="http://schemas.openxmlformats.org/officeDocument/2006/relationships/hyperlink" Target="https://ncgtc.sdpondemand.manageengine.in/app/apphelpdesk/ui/requests/14047000006317134/details" TargetMode="External"/><Relationship Id="rId1983" Type="http://schemas.openxmlformats.org/officeDocument/2006/relationships/hyperlink" Target="https://ncgtc.sdpondemand.manageengine.in/app/apphelpdesk/ui/requests/14047000006317119/details" TargetMode="External"/><Relationship Id="rId1982" Type="http://schemas.openxmlformats.org/officeDocument/2006/relationships/hyperlink" Target="https://ncgtc.sdpondemand.manageengine.in/app/apphelpdesk/ui/requests/14047000006317110/details" TargetMode="External"/><Relationship Id="rId1981" Type="http://schemas.openxmlformats.org/officeDocument/2006/relationships/hyperlink" Target="https://ncgtc.sdpondemand.manageengine.in/app/apphelpdesk/ui/requests/14047000006317088/details" TargetMode="External"/><Relationship Id="rId1980" Type="http://schemas.openxmlformats.org/officeDocument/2006/relationships/hyperlink" Target="https://ncgtc.sdpondemand.manageengine.in/app/apphelpdesk/ui/requests/14047000006317078/details" TargetMode="External"/><Relationship Id="rId198" Type="http://schemas.openxmlformats.org/officeDocument/2006/relationships/hyperlink" Target="https://ncgtc.sdpondemand.manageengine.in/app/apphelpdesk/ui/requests/14047000005894721/details" TargetMode="External"/><Relationship Id="rId1979" Type="http://schemas.openxmlformats.org/officeDocument/2006/relationships/hyperlink" Target="https://ncgtc.sdpondemand.manageengine.in/app/apphelpdesk/ui/requests/14047000006317036/details" TargetMode="External"/><Relationship Id="rId1978" Type="http://schemas.openxmlformats.org/officeDocument/2006/relationships/hyperlink" Target="https://ncgtc.sdpondemand.manageengine.in/app/apphelpdesk/ui/requests/14047000006313967/details" TargetMode="External"/><Relationship Id="rId1977" Type="http://schemas.openxmlformats.org/officeDocument/2006/relationships/hyperlink" Target="https://ncgtc.sdpondemand.manageengine.in/app/apphelpdesk/ui/requests/14047000006313934/details" TargetMode="External"/><Relationship Id="rId1976" Type="http://schemas.openxmlformats.org/officeDocument/2006/relationships/hyperlink" Target="https://ncgtc.sdpondemand.manageengine.in/app/apphelpdesk/ui/requests/14047000006313906/details" TargetMode="External"/><Relationship Id="rId1975" Type="http://schemas.openxmlformats.org/officeDocument/2006/relationships/hyperlink" Target="https://ncgtc.sdpondemand.manageengine.in/app/apphelpdesk/ui/requests/14047000006313888/details" TargetMode="External"/><Relationship Id="rId1974" Type="http://schemas.openxmlformats.org/officeDocument/2006/relationships/hyperlink" Target="https://ncgtc.sdpondemand.manageengine.in/app/apphelpdesk/ui/requests/14047000006313841/details" TargetMode="External"/><Relationship Id="rId1973" Type="http://schemas.openxmlformats.org/officeDocument/2006/relationships/hyperlink" Target="https://ncgtc.sdpondemand.manageengine.in/app/apphelpdesk/ui/requests/14047000006313833/details" TargetMode="External"/><Relationship Id="rId1972" Type="http://schemas.openxmlformats.org/officeDocument/2006/relationships/hyperlink" Target="https://ncgtc.sdpondemand.manageengine.in/app/apphelpdesk/ui/requests/14047000006313818/details" TargetMode="External"/><Relationship Id="rId1971" Type="http://schemas.openxmlformats.org/officeDocument/2006/relationships/hyperlink" Target="https://ncgtc.sdpondemand.manageengine.in/app/apphelpdesk/ui/requests/14047000006313794/details" TargetMode="External"/><Relationship Id="rId1970" Type="http://schemas.openxmlformats.org/officeDocument/2006/relationships/hyperlink" Target="https://ncgtc.sdpondemand.manageengine.in/app/apphelpdesk/ui/requests/14047000006313775/details" TargetMode="External"/><Relationship Id="rId197" Type="http://schemas.openxmlformats.org/officeDocument/2006/relationships/hyperlink" Target="https://ncgtc.sdpondemand.manageengine.in/app/apphelpdesk/ui/requests/14047000005894619/details" TargetMode="External"/><Relationship Id="rId1969" Type="http://schemas.openxmlformats.org/officeDocument/2006/relationships/hyperlink" Target="https://ncgtc.sdpondemand.manageengine.in/app/apphelpdesk/ui/requests/14047000006313748/details" TargetMode="External"/><Relationship Id="rId1968" Type="http://schemas.openxmlformats.org/officeDocument/2006/relationships/hyperlink" Target="https://ncgtc.sdpondemand.manageengine.in/app/apphelpdesk/ui/requests/14047000006313691/details" TargetMode="External"/><Relationship Id="rId1967" Type="http://schemas.openxmlformats.org/officeDocument/2006/relationships/hyperlink" Target="https://ncgtc.sdpondemand.manageengine.in/app/apphelpdesk/ui/requests/14047000006313620/details" TargetMode="External"/><Relationship Id="rId1966" Type="http://schemas.openxmlformats.org/officeDocument/2006/relationships/hyperlink" Target="https://ncgtc.sdpondemand.manageengine.in/app/apphelpdesk/ui/requests/14047000006313551/details" TargetMode="External"/><Relationship Id="rId1965" Type="http://schemas.openxmlformats.org/officeDocument/2006/relationships/hyperlink" Target="https://ncgtc.sdpondemand.manageengine.in/app/apphelpdesk/ui/requests/14047000006313521/details" TargetMode="External"/><Relationship Id="rId1964" Type="http://schemas.openxmlformats.org/officeDocument/2006/relationships/hyperlink" Target="https://ncgtc.sdpondemand.manageengine.in/app/apphelpdesk/ui/requests/14047000006313404/details" TargetMode="External"/><Relationship Id="rId1963" Type="http://schemas.openxmlformats.org/officeDocument/2006/relationships/hyperlink" Target="https://ncgtc.sdpondemand.manageengine.in/app/apphelpdesk/ui/requests/14047000006313320/details" TargetMode="External"/><Relationship Id="rId1962" Type="http://schemas.openxmlformats.org/officeDocument/2006/relationships/hyperlink" Target="https://ncgtc.sdpondemand.manageengine.in/app/apphelpdesk/ui/requests/14047000006313304/details" TargetMode="External"/><Relationship Id="rId1961" Type="http://schemas.openxmlformats.org/officeDocument/2006/relationships/hyperlink" Target="https://ncgtc.sdpondemand.manageengine.in/app/apphelpdesk/ui/requests/14047000006313217/details" TargetMode="External"/><Relationship Id="rId1960" Type="http://schemas.openxmlformats.org/officeDocument/2006/relationships/hyperlink" Target="https://ncgtc.sdpondemand.manageengine.in/app/apphelpdesk/ui/requests/14047000006313183/details" TargetMode="External"/><Relationship Id="rId196" Type="http://schemas.openxmlformats.org/officeDocument/2006/relationships/hyperlink" Target="https://ncgtc.sdpondemand.manageengine.in/app/apphelpdesk/ui/requests/14047000005894603/details" TargetMode="External"/><Relationship Id="rId1959" Type="http://schemas.openxmlformats.org/officeDocument/2006/relationships/hyperlink" Target="https://ncgtc.sdpondemand.manageengine.in/app/apphelpdesk/ui/requests/14047000006313137/details" TargetMode="External"/><Relationship Id="rId1958" Type="http://schemas.openxmlformats.org/officeDocument/2006/relationships/hyperlink" Target="https://ncgtc.sdpondemand.manageengine.in/app/apphelpdesk/ui/requests/14047000006313114/details" TargetMode="External"/><Relationship Id="rId1957" Type="http://schemas.openxmlformats.org/officeDocument/2006/relationships/hyperlink" Target="https://ncgtc.sdpondemand.manageengine.in/app/apphelpdesk/ui/requests/14047000006313080/details" TargetMode="External"/><Relationship Id="rId1956" Type="http://schemas.openxmlformats.org/officeDocument/2006/relationships/hyperlink" Target="https://ncgtc.sdpondemand.manageengine.in/app/apphelpdesk/ui/requests/14047000006313068/details" TargetMode="External"/><Relationship Id="rId1955" Type="http://schemas.openxmlformats.org/officeDocument/2006/relationships/hyperlink" Target="https://ncgtc.sdpondemand.manageengine.in/app/apphelpdesk/ui/requests/14047000006313022/details" TargetMode="External"/><Relationship Id="rId1954" Type="http://schemas.openxmlformats.org/officeDocument/2006/relationships/hyperlink" Target="https://ncgtc.sdpondemand.manageengine.in/app/apphelpdesk/ui/requests/14047000006291983/details" TargetMode="External"/><Relationship Id="rId1953" Type="http://schemas.openxmlformats.org/officeDocument/2006/relationships/hyperlink" Target="https://ncgtc.sdpondemand.manageengine.in/app/apphelpdesk/ui/requests/14047000006291925/details" TargetMode="External"/><Relationship Id="rId1952" Type="http://schemas.openxmlformats.org/officeDocument/2006/relationships/hyperlink" Target="https://ncgtc.sdpondemand.manageengine.in/app/apphelpdesk/ui/requests/14047000006291905/details" TargetMode="External"/><Relationship Id="rId1951" Type="http://schemas.openxmlformats.org/officeDocument/2006/relationships/hyperlink" Target="https://ncgtc.sdpondemand.manageengine.in/app/apphelpdesk/ui/requests/14047000006291887/details" TargetMode="External"/><Relationship Id="rId1950" Type="http://schemas.openxmlformats.org/officeDocument/2006/relationships/hyperlink" Target="https://ncgtc.sdpondemand.manageengine.in/app/apphelpdesk/ui/requests/14047000006291879/details" TargetMode="External"/><Relationship Id="rId195" Type="http://schemas.openxmlformats.org/officeDocument/2006/relationships/hyperlink" Target="https://ncgtc.sdpondemand.manageengine.in/app/apphelpdesk/ui/requests/14047000005894579/details" TargetMode="External"/><Relationship Id="rId1949" Type="http://schemas.openxmlformats.org/officeDocument/2006/relationships/hyperlink" Target="https://ncgtc.sdpondemand.manageengine.in/app/apphelpdesk/ui/requests/14047000006291840/details" TargetMode="External"/><Relationship Id="rId1948" Type="http://schemas.openxmlformats.org/officeDocument/2006/relationships/hyperlink" Target="https://ncgtc.sdpondemand.manageengine.in/app/apphelpdesk/ui/requests/14047000006291820/details" TargetMode="External"/><Relationship Id="rId1947" Type="http://schemas.openxmlformats.org/officeDocument/2006/relationships/hyperlink" Target="https://ncgtc.sdpondemand.manageengine.in/app/apphelpdesk/ui/requests/14047000006291812/details" TargetMode="External"/><Relationship Id="rId1946" Type="http://schemas.openxmlformats.org/officeDocument/2006/relationships/hyperlink" Target="https://ncgtc.sdpondemand.manageengine.in/app/apphelpdesk/ui/requests/14047000006291804/details" TargetMode="External"/><Relationship Id="rId1945" Type="http://schemas.openxmlformats.org/officeDocument/2006/relationships/hyperlink" Target="https://ncgtc.sdpondemand.manageengine.in/app/apphelpdesk/ui/requests/14047000006291794/details" TargetMode="External"/><Relationship Id="rId1944" Type="http://schemas.openxmlformats.org/officeDocument/2006/relationships/hyperlink" Target="https://ncgtc.sdpondemand.manageengine.in/app/apphelpdesk/ui/requests/14047000006291773/details" TargetMode="External"/><Relationship Id="rId1943" Type="http://schemas.openxmlformats.org/officeDocument/2006/relationships/hyperlink" Target="https://ncgtc.sdpondemand.manageengine.in/app/apphelpdesk/ui/requests/14047000006291756/details" TargetMode="External"/><Relationship Id="rId1942" Type="http://schemas.openxmlformats.org/officeDocument/2006/relationships/hyperlink" Target="https://ncgtc.sdpondemand.manageengine.in/app/apphelpdesk/ui/requests/14047000006291746/details" TargetMode="External"/><Relationship Id="rId1941" Type="http://schemas.openxmlformats.org/officeDocument/2006/relationships/hyperlink" Target="https://ncgtc.sdpondemand.manageengine.in/app/apphelpdesk/ui/requests/14047000006291685/details" TargetMode="External"/><Relationship Id="rId1940" Type="http://schemas.openxmlformats.org/officeDocument/2006/relationships/hyperlink" Target="https://ncgtc.sdpondemand.manageengine.in/app/apphelpdesk/ui/requests/14047000006291648/details" TargetMode="External"/><Relationship Id="rId194" Type="http://schemas.openxmlformats.org/officeDocument/2006/relationships/hyperlink" Target="https://ncgtc.sdpondemand.manageengine.in/app/apphelpdesk/ui/requests/14047000005894502/details" TargetMode="External"/><Relationship Id="rId1939" Type="http://schemas.openxmlformats.org/officeDocument/2006/relationships/hyperlink" Target="https://ncgtc.sdpondemand.manageengine.in/app/apphelpdesk/ui/requests/14047000006291579/details" TargetMode="External"/><Relationship Id="rId1938" Type="http://schemas.openxmlformats.org/officeDocument/2006/relationships/hyperlink" Target="https://ncgtc.sdpondemand.manageengine.in/app/apphelpdesk/ui/requests/14047000006291567/details" TargetMode="External"/><Relationship Id="rId1937" Type="http://schemas.openxmlformats.org/officeDocument/2006/relationships/hyperlink" Target="https://ncgtc.sdpondemand.manageengine.in/app/apphelpdesk/ui/requests/14047000006291547/details" TargetMode="External"/><Relationship Id="rId1936" Type="http://schemas.openxmlformats.org/officeDocument/2006/relationships/hyperlink" Target="https://ncgtc.sdpondemand.manageengine.in/app/apphelpdesk/ui/requests/14047000006291528/details" TargetMode="External"/><Relationship Id="rId1935" Type="http://schemas.openxmlformats.org/officeDocument/2006/relationships/hyperlink" Target="https://ncgtc.sdpondemand.manageengine.in/app/apphelpdesk/ui/requests/14047000006291491/details" TargetMode="External"/><Relationship Id="rId1934" Type="http://schemas.openxmlformats.org/officeDocument/2006/relationships/hyperlink" Target="https://ncgtc.sdpondemand.manageengine.in/app/apphelpdesk/ui/requests/14047000006291482/details" TargetMode="External"/><Relationship Id="rId1933" Type="http://schemas.openxmlformats.org/officeDocument/2006/relationships/hyperlink" Target="https://ncgtc.sdpondemand.manageengine.in/app/apphelpdesk/ui/requests/14047000006291474/details" TargetMode="External"/><Relationship Id="rId1932" Type="http://schemas.openxmlformats.org/officeDocument/2006/relationships/hyperlink" Target="https://ncgtc.sdpondemand.manageengine.in/app/apphelpdesk/ui/requests/14047000006291455/details" TargetMode="External"/><Relationship Id="rId1931" Type="http://schemas.openxmlformats.org/officeDocument/2006/relationships/hyperlink" Target="https://ncgtc.sdpondemand.manageengine.in/app/apphelpdesk/ui/requests/14047000006291387/details" TargetMode="External"/><Relationship Id="rId1930" Type="http://schemas.openxmlformats.org/officeDocument/2006/relationships/hyperlink" Target="https://ncgtc.sdpondemand.manageengine.in/app/apphelpdesk/ui/requests/14047000006291376/details" TargetMode="External"/><Relationship Id="rId193" Type="http://schemas.openxmlformats.org/officeDocument/2006/relationships/hyperlink" Target="https://ncgtc.sdpondemand.manageengine.in/app/apphelpdesk/ui/requests/14047000005894479/details" TargetMode="External"/><Relationship Id="rId1929" Type="http://schemas.openxmlformats.org/officeDocument/2006/relationships/hyperlink" Target="https://ncgtc.sdpondemand.manageengine.in/app/apphelpdesk/ui/requests/14047000006291335/details" TargetMode="External"/><Relationship Id="rId1928" Type="http://schemas.openxmlformats.org/officeDocument/2006/relationships/hyperlink" Target="https://ncgtc.sdpondemand.manageengine.in/app/apphelpdesk/ui/requests/14047000006291303/details" TargetMode="External"/><Relationship Id="rId1927" Type="http://schemas.openxmlformats.org/officeDocument/2006/relationships/hyperlink" Target="https://ncgtc.sdpondemand.manageengine.in/app/apphelpdesk/ui/requests/14047000006291250/details" TargetMode="External"/><Relationship Id="rId1926" Type="http://schemas.openxmlformats.org/officeDocument/2006/relationships/hyperlink" Target="https://ncgtc.sdpondemand.manageengine.in/app/apphelpdesk/ui/requests/14047000006291215/details" TargetMode="External"/><Relationship Id="rId1925" Type="http://schemas.openxmlformats.org/officeDocument/2006/relationships/hyperlink" Target="https://ncgtc.sdpondemand.manageengine.in/app/apphelpdesk/ui/requests/14047000006291203/details" TargetMode="External"/><Relationship Id="rId1924" Type="http://schemas.openxmlformats.org/officeDocument/2006/relationships/hyperlink" Target="https://ncgtc.sdpondemand.manageengine.in/app/apphelpdesk/ui/requests/14047000006291195/details" TargetMode="External"/><Relationship Id="rId1923" Type="http://schemas.openxmlformats.org/officeDocument/2006/relationships/hyperlink" Target="https://ncgtc.sdpondemand.manageengine.in/app/apphelpdesk/ui/requests/14047000006291157/details" TargetMode="External"/><Relationship Id="rId1922" Type="http://schemas.openxmlformats.org/officeDocument/2006/relationships/hyperlink" Target="https://ncgtc.sdpondemand.manageengine.in/app/apphelpdesk/ui/requests/14047000006291133/details" TargetMode="External"/><Relationship Id="rId1921" Type="http://schemas.openxmlformats.org/officeDocument/2006/relationships/hyperlink" Target="https://ncgtc.sdpondemand.manageengine.in/app/apphelpdesk/ui/requests/14047000006291098/details" TargetMode="External"/><Relationship Id="rId1920" Type="http://schemas.openxmlformats.org/officeDocument/2006/relationships/hyperlink" Target="https://ncgtc.sdpondemand.manageengine.in/app/apphelpdesk/ui/requests/14047000006291088/details" TargetMode="External"/><Relationship Id="rId192" Type="http://schemas.openxmlformats.org/officeDocument/2006/relationships/hyperlink" Target="https://ncgtc.sdpondemand.manageengine.in/app/apphelpdesk/ui/requests/14047000005894407/details" TargetMode="External"/><Relationship Id="rId1919" Type="http://schemas.openxmlformats.org/officeDocument/2006/relationships/hyperlink" Target="https://ncgtc.sdpondemand.manageengine.in/app/apphelpdesk/ui/requests/14047000006291080/details" TargetMode="External"/><Relationship Id="rId1918" Type="http://schemas.openxmlformats.org/officeDocument/2006/relationships/hyperlink" Target="https://ncgtc.sdpondemand.manageengine.in/app/apphelpdesk/ui/requests/14047000006291001/details" TargetMode="External"/><Relationship Id="rId1917" Type="http://schemas.openxmlformats.org/officeDocument/2006/relationships/hyperlink" Target="https://ncgtc.sdpondemand.manageengine.in/app/apphelpdesk/ui/requests/14047000006279992/details" TargetMode="External"/><Relationship Id="rId1916" Type="http://schemas.openxmlformats.org/officeDocument/2006/relationships/hyperlink" Target="https://ncgtc.sdpondemand.manageengine.in/app/apphelpdesk/ui/requests/14047000006279934/details" TargetMode="External"/><Relationship Id="rId1915" Type="http://schemas.openxmlformats.org/officeDocument/2006/relationships/hyperlink" Target="https://ncgtc.sdpondemand.manageengine.in/app/apphelpdesk/ui/requests/14047000006279925/details" TargetMode="External"/><Relationship Id="rId1914" Type="http://schemas.openxmlformats.org/officeDocument/2006/relationships/hyperlink" Target="https://ncgtc.sdpondemand.manageengine.in/app/apphelpdesk/ui/requests/14047000006279874/details" TargetMode="External"/><Relationship Id="rId1913" Type="http://schemas.openxmlformats.org/officeDocument/2006/relationships/hyperlink" Target="https://ncgtc.sdpondemand.manageengine.in/app/apphelpdesk/ui/requests/14047000006279821/details" TargetMode="External"/><Relationship Id="rId1912" Type="http://schemas.openxmlformats.org/officeDocument/2006/relationships/hyperlink" Target="https://ncgtc.sdpondemand.manageengine.in/app/apphelpdesk/ui/requests/14047000006279808/details" TargetMode="External"/><Relationship Id="rId1911" Type="http://schemas.openxmlformats.org/officeDocument/2006/relationships/hyperlink" Target="https://ncgtc.sdpondemand.manageengine.in/app/apphelpdesk/ui/requests/14047000006279765/details" TargetMode="External"/><Relationship Id="rId1910" Type="http://schemas.openxmlformats.org/officeDocument/2006/relationships/hyperlink" Target="https://ncgtc.sdpondemand.manageengine.in/app/apphelpdesk/ui/requests/14047000006279733/details" TargetMode="External"/><Relationship Id="rId191" Type="http://schemas.openxmlformats.org/officeDocument/2006/relationships/hyperlink" Target="https://ncgtc.sdpondemand.manageengine.in/app/apphelpdesk/ui/requests/14047000005894383/details" TargetMode="External"/><Relationship Id="rId1909" Type="http://schemas.openxmlformats.org/officeDocument/2006/relationships/hyperlink" Target="https://ncgtc.sdpondemand.manageengine.in/app/apphelpdesk/ui/requests/14047000006279702/details" TargetMode="External"/><Relationship Id="rId1908" Type="http://schemas.openxmlformats.org/officeDocument/2006/relationships/hyperlink" Target="https://ncgtc.sdpondemand.manageengine.in/app/apphelpdesk/ui/requests/14047000006279694/details" TargetMode="External"/><Relationship Id="rId1907" Type="http://schemas.openxmlformats.org/officeDocument/2006/relationships/hyperlink" Target="https://ncgtc.sdpondemand.manageengine.in/app/apphelpdesk/ui/requests/14047000006279676/details" TargetMode="External"/><Relationship Id="rId1906" Type="http://schemas.openxmlformats.org/officeDocument/2006/relationships/hyperlink" Target="https://ncgtc.sdpondemand.manageengine.in/app/apphelpdesk/ui/requests/14047000006279660/details" TargetMode="External"/><Relationship Id="rId1905" Type="http://schemas.openxmlformats.org/officeDocument/2006/relationships/hyperlink" Target="https://ncgtc.sdpondemand.manageengine.in/app/apphelpdesk/ui/requests/14047000006279641/details" TargetMode="External"/><Relationship Id="rId1904" Type="http://schemas.openxmlformats.org/officeDocument/2006/relationships/hyperlink" Target="https://ncgtc.sdpondemand.manageengine.in/app/apphelpdesk/ui/requests/14047000006279612/details" TargetMode="External"/><Relationship Id="rId1903" Type="http://schemas.openxmlformats.org/officeDocument/2006/relationships/hyperlink" Target="https://ncgtc.sdpondemand.manageengine.in/app/apphelpdesk/ui/requests/14047000006279603/details" TargetMode="External"/><Relationship Id="rId1902" Type="http://schemas.openxmlformats.org/officeDocument/2006/relationships/hyperlink" Target="https://ncgtc.sdpondemand.manageengine.in/app/apphelpdesk/ui/requests/14047000006279594/details" TargetMode="External"/><Relationship Id="rId1901" Type="http://schemas.openxmlformats.org/officeDocument/2006/relationships/hyperlink" Target="https://ncgtc.sdpondemand.manageengine.in/app/apphelpdesk/ui/requests/14047000006279564/details" TargetMode="External"/><Relationship Id="rId1900" Type="http://schemas.openxmlformats.org/officeDocument/2006/relationships/hyperlink" Target="https://ncgtc.sdpondemand.manageengine.in/app/apphelpdesk/ui/requests/14047000006279552/details" TargetMode="External"/><Relationship Id="rId190" Type="http://schemas.openxmlformats.org/officeDocument/2006/relationships/hyperlink" Target="https://ncgtc.sdpondemand.manageengine.in/app/apphelpdesk/ui/requests/14047000005894360/details" TargetMode="External"/><Relationship Id="rId19" Type="http://schemas.openxmlformats.org/officeDocument/2006/relationships/hyperlink" Target="https://ncgtc.sdpondemand.manageengine.in/app/apphelpdesk/ui/requests/14047000005854464/details" TargetMode="External"/><Relationship Id="rId1899" Type="http://schemas.openxmlformats.org/officeDocument/2006/relationships/hyperlink" Target="https://ncgtc.sdpondemand.manageengine.in/app/apphelpdesk/ui/requests/14047000006279509/details" TargetMode="External"/><Relationship Id="rId1898" Type="http://schemas.openxmlformats.org/officeDocument/2006/relationships/hyperlink" Target="https://ncgtc.sdpondemand.manageengine.in/app/apphelpdesk/ui/requests/14047000006279488/details" TargetMode="External"/><Relationship Id="rId1897" Type="http://schemas.openxmlformats.org/officeDocument/2006/relationships/hyperlink" Target="https://ncgtc.sdpondemand.manageengine.in/app/apphelpdesk/ui/requests/14047000006279410/details" TargetMode="External"/><Relationship Id="rId1896" Type="http://schemas.openxmlformats.org/officeDocument/2006/relationships/hyperlink" Target="https://ncgtc.sdpondemand.manageengine.in/app/apphelpdesk/ui/requests/14047000006279368/details" TargetMode="External"/><Relationship Id="rId1895" Type="http://schemas.openxmlformats.org/officeDocument/2006/relationships/hyperlink" Target="https://ncgtc.sdpondemand.manageengine.in/app/apphelpdesk/ui/requests/14047000006279333/details" TargetMode="External"/><Relationship Id="rId1894" Type="http://schemas.openxmlformats.org/officeDocument/2006/relationships/hyperlink" Target="https://ncgtc.sdpondemand.manageengine.in/app/apphelpdesk/ui/requests/14047000006279322/details" TargetMode="External"/><Relationship Id="rId1893" Type="http://schemas.openxmlformats.org/officeDocument/2006/relationships/hyperlink" Target="https://ncgtc.sdpondemand.manageengine.in/app/apphelpdesk/ui/requests/14047000006279304/details" TargetMode="External"/><Relationship Id="rId1892" Type="http://schemas.openxmlformats.org/officeDocument/2006/relationships/hyperlink" Target="https://ncgtc.sdpondemand.manageengine.in/app/apphelpdesk/ui/requests/14047000006279288/details" TargetMode="External"/><Relationship Id="rId1891" Type="http://schemas.openxmlformats.org/officeDocument/2006/relationships/hyperlink" Target="https://ncgtc.sdpondemand.manageengine.in/app/apphelpdesk/ui/requests/14047000006279274/details" TargetMode="External"/><Relationship Id="rId1890" Type="http://schemas.openxmlformats.org/officeDocument/2006/relationships/hyperlink" Target="https://ncgtc.sdpondemand.manageengine.in/app/apphelpdesk/ui/requests/14047000006279186/details" TargetMode="External"/><Relationship Id="rId189" Type="http://schemas.openxmlformats.org/officeDocument/2006/relationships/hyperlink" Target="https://ncgtc.sdpondemand.manageengine.in/app/apphelpdesk/ui/requests/14047000005894347/details" TargetMode="External"/><Relationship Id="rId1889" Type="http://schemas.openxmlformats.org/officeDocument/2006/relationships/hyperlink" Target="https://ncgtc.sdpondemand.manageengine.in/app/apphelpdesk/ui/requests/14047000006279164/details" TargetMode="External"/><Relationship Id="rId1888" Type="http://schemas.openxmlformats.org/officeDocument/2006/relationships/hyperlink" Target="https://ncgtc.sdpondemand.manageengine.in/app/apphelpdesk/ui/requests/14047000006279115/details" TargetMode="External"/><Relationship Id="rId1887" Type="http://schemas.openxmlformats.org/officeDocument/2006/relationships/hyperlink" Target="https://ncgtc.sdpondemand.manageengine.in/app/apphelpdesk/ui/requests/14047000006279106/details" TargetMode="External"/><Relationship Id="rId1886" Type="http://schemas.openxmlformats.org/officeDocument/2006/relationships/hyperlink" Target="https://ncgtc.sdpondemand.manageengine.in/app/apphelpdesk/ui/requests/14047000006279072/details" TargetMode="External"/><Relationship Id="rId1885" Type="http://schemas.openxmlformats.org/officeDocument/2006/relationships/hyperlink" Target="https://ncgtc.sdpondemand.manageengine.in/app/apphelpdesk/ui/requests/14047000006279055/details" TargetMode="External"/><Relationship Id="rId1884" Type="http://schemas.openxmlformats.org/officeDocument/2006/relationships/hyperlink" Target="https://ncgtc.sdpondemand.manageengine.in/app/apphelpdesk/ui/requests/14047000006279027/details" TargetMode="External"/><Relationship Id="rId1883" Type="http://schemas.openxmlformats.org/officeDocument/2006/relationships/hyperlink" Target="https://ncgtc.sdpondemand.manageengine.in/app/apphelpdesk/ui/requests/14047000006275034/details" TargetMode="External"/><Relationship Id="rId1882" Type="http://schemas.openxmlformats.org/officeDocument/2006/relationships/hyperlink" Target="https://ncgtc.sdpondemand.manageengine.in/app/apphelpdesk/ui/requests/14047000006275026/details" TargetMode="External"/><Relationship Id="rId1881" Type="http://schemas.openxmlformats.org/officeDocument/2006/relationships/hyperlink" Target="https://ncgtc.sdpondemand.manageengine.in/app/apphelpdesk/ui/requests/14047000006271862/details" TargetMode="External"/><Relationship Id="rId1880" Type="http://schemas.openxmlformats.org/officeDocument/2006/relationships/hyperlink" Target="https://ncgtc.sdpondemand.manageengine.in/app/apphelpdesk/ui/requests/14047000006271842/details" TargetMode="External"/><Relationship Id="rId188" Type="http://schemas.openxmlformats.org/officeDocument/2006/relationships/hyperlink" Target="https://ncgtc.sdpondemand.manageengine.in/app/apphelpdesk/ui/requests/14047000005894332/details" TargetMode="External"/><Relationship Id="rId1879" Type="http://schemas.openxmlformats.org/officeDocument/2006/relationships/hyperlink" Target="https://ncgtc.sdpondemand.manageengine.in/app/apphelpdesk/ui/requests/14047000006271806/details" TargetMode="External"/><Relationship Id="rId1878" Type="http://schemas.openxmlformats.org/officeDocument/2006/relationships/hyperlink" Target="https://ncgtc.sdpondemand.manageengine.in/app/apphelpdesk/ui/requests/14047000006271798/details" TargetMode="External"/><Relationship Id="rId1877" Type="http://schemas.openxmlformats.org/officeDocument/2006/relationships/hyperlink" Target="https://ncgtc.sdpondemand.manageengine.in/app/apphelpdesk/ui/requests/14047000006271788/details" TargetMode="External"/><Relationship Id="rId1876" Type="http://schemas.openxmlformats.org/officeDocument/2006/relationships/hyperlink" Target="https://ncgtc.sdpondemand.manageengine.in/app/apphelpdesk/ui/requests/14047000006271754/details" TargetMode="External"/><Relationship Id="rId1875" Type="http://schemas.openxmlformats.org/officeDocument/2006/relationships/hyperlink" Target="https://ncgtc.sdpondemand.manageengine.in/app/apphelpdesk/ui/requests/14047000006271741/details" TargetMode="External"/><Relationship Id="rId1874" Type="http://schemas.openxmlformats.org/officeDocument/2006/relationships/hyperlink" Target="https://ncgtc.sdpondemand.manageengine.in/app/apphelpdesk/ui/requests/14047000006271669/details" TargetMode="External"/><Relationship Id="rId1873" Type="http://schemas.openxmlformats.org/officeDocument/2006/relationships/hyperlink" Target="https://ncgtc.sdpondemand.manageengine.in/app/apphelpdesk/ui/requests/14047000006271640/details" TargetMode="External"/><Relationship Id="rId1872" Type="http://schemas.openxmlformats.org/officeDocument/2006/relationships/hyperlink" Target="https://ncgtc.sdpondemand.manageengine.in/app/apphelpdesk/ui/requests/14047000006271590/details" TargetMode="External"/><Relationship Id="rId1871" Type="http://schemas.openxmlformats.org/officeDocument/2006/relationships/hyperlink" Target="https://ncgtc.sdpondemand.manageengine.in/app/apphelpdesk/ui/requests/14047000006271569/details" TargetMode="External"/><Relationship Id="rId1870" Type="http://schemas.openxmlformats.org/officeDocument/2006/relationships/hyperlink" Target="https://ncgtc.sdpondemand.manageengine.in/app/apphelpdesk/ui/requests/14047000006271557/details" TargetMode="External"/><Relationship Id="rId187" Type="http://schemas.openxmlformats.org/officeDocument/2006/relationships/hyperlink" Target="https://ncgtc.sdpondemand.manageengine.in/app/apphelpdesk/ui/requests/14047000005894323/details" TargetMode="External"/><Relationship Id="rId1869" Type="http://schemas.openxmlformats.org/officeDocument/2006/relationships/hyperlink" Target="https://ncgtc.sdpondemand.manageengine.in/app/apphelpdesk/ui/requests/14047000006271536/details" TargetMode="External"/><Relationship Id="rId1868" Type="http://schemas.openxmlformats.org/officeDocument/2006/relationships/hyperlink" Target="https://ncgtc.sdpondemand.manageengine.in/app/apphelpdesk/ui/requests/14047000006271514/details" TargetMode="External"/><Relationship Id="rId1867" Type="http://schemas.openxmlformats.org/officeDocument/2006/relationships/hyperlink" Target="https://ncgtc.sdpondemand.manageengine.in/app/apphelpdesk/ui/requests/14047000006271495/details" TargetMode="External"/><Relationship Id="rId1866" Type="http://schemas.openxmlformats.org/officeDocument/2006/relationships/hyperlink" Target="https://ncgtc.sdpondemand.manageengine.in/app/apphelpdesk/ui/requests/14047000006271421/details" TargetMode="External"/><Relationship Id="rId1865" Type="http://schemas.openxmlformats.org/officeDocument/2006/relationships/hyperlink" Target="https://ncgtc.sdpondemand.manageengine.in/app/apphelpdesk/ui/requests/14047000006271367/details" TargetMode="External"/><Relationship Id="rId1864" Type="http://schemas.openxmlformats.org/officeDocument/2006/relationships/hyperlink" Target="https://ncgtc.sdpondemand.manageengine.in/app/apphelpdesk/ui/requests/14047000006271322/details" TargetMode="External"/><Relationship Id="rId1863" Type="http://schemas.openxmlformats.org/officeDocument/2006/relationships/hyperlink" Target="https://ncgtc.sdpondemand.manageengine.in/app/apphelpdesk/ui/requests/14047000006271310/details" TargetMode="External"/><Relationship Id="rId1862" Type="http://schemas.openxmlformats.org/officeDocument/2006/relationships/hyperlink" Target="https://ncgtc.sdpondemand.manageengine.in/app/apphelpdesk/ui/requests/14047000006271203/details" TargetMode="External"/><Relationship Id="rId1861" Type="http://schemas.openxmlformats.org/officeDocument/2006/relationships/hyperlink" Target="https://ncgtc.sdpondemand.manageengine.in/app/apphelpdesk/ui/requests/14047000006271175/details" TargetMode="External"/><Relationship Id="rId1860" Type="http://schemas.openxmlformats.org/officeDocument/2006/relationships/hyperlink" Target="https://ncgtc.sdpondemand.manageengine.in/app/apphelpdesk/ui/requests/14047000006271136/details" TargetMode="External"/><Relationship Id="rId186" Type="http://schemas.openxmlformats.org/officeDocument/2006/relationships/hyperlink" Target="https://ncgtc.sdpondemand.manageengine.in/app/apphelpdesk/ui/requests/14047000005894272/details" TargetMode="External"/><Relationship Id="rId1859" Type="http://schemas.openxmlformats.org/officeDocument/2006/relationships/hyperlink" Target="https://ncgtc.sdpondemand.manageengine.in/app/apphelpdesk/ui/requests/14047000006271099/details" TargetMode="External"/><Relationship Id="rId1858" Type="http://schemas.openxmlformats.org/officeDocument/2006/relationships/hyperlink" Target="https://ncgtc.sdpondemand.manageengine.in/app/apphelpdesk/ui/requests/14047000006271006/details" TargetMode="External"/><Relationship Id="rId1857" Type="http://schemas.openxmlformats.org/officeDocument/2006/relationships/hyperlink" Target="https://ncgtc.sdpondemand.manageengine.in/app/apphelpdesk/ui/requests/14047000006265967/details" TargetMode="External"/><Relationship Id="rId1856" Type="http://schemas.openxmlformats.org/officeDocument/2006/relationships/hyperlink" Target="https://ncgtc.sdpondemand.manageengine.in/app/apphelpdesk/ui/requests/14047000006265944/details" TargetMode="External"/><Relationship Id="rId1855" Type="http://schemas.openxmlformats.org/officeDocument/2006/relationships/hyperlink" Target="https://ncgtc.sdpondemand.manageengine.in/app/apphelpdesk/ui/requests/14047000006265870/details" TargetMode="External"/><Relationship Id="rId1854" Type="http://schemas.openxmlformats.org/officeDocument/2006/relationships/hyperlink" Target="https://ncgtc.sdpondemand.manageengine.in/app/apphelpdesk/ui/requests/14047000006265849/details" TargetMode="External"/><Relationship Id="rId1853" Type="http://schemas.openxmlformats.org/officeDocument/2006/relationships/hyperlink" Target="https://ncgtc.sdpondemand.manageengine.in/app/apphelpdesk/ui/requests/14047000006265826/details" TargetMode="External"/><Relationship Id="rId1852" Type="http://schemas.openxmlformats.org/officeDocument/2006/relationships/hyperlink" Target="https://ncgtc.sdpondemand.manageengine.in/app/apphelpdesk/ui/requests/14047000006265796/details" TargetMode="External"/><Relationship Id="rId1851" Type="http://schemas.openxmlformats.org/officeDocument/2006/relationships/hyperlink" Target="https://ncgtc.sdpondemand.manageengine.in/app/apphelpdesk/ui/requests/14047000006265739/details" TargetMode="External"/><Relationship Id="rId1850" Type="http://schemas.openxmlformats.org/officeDocument/2006/relationships/hyperlink" Target="https://ncgtc.sdpondemand.manageengine.in/app/apphelpdesk/ui/requests/14047000006265722/details" TargetMode="External"/><Relationship Id="rId185" Type="http://schemas.openxmlformats.org/officeDocument/2006/relationships/hyperlink" Target="https://ncgtc.sdpondemand.manageengine.in/app/apphelpdesk/ui/requests/14047000005894255/details" TargetMode="External"/><Relationship Id="rId1849" Type="http://schemas.openxmlformats.org/officeDocument/2006/relationships/hyperlink" Target="https://ncgtc.sdpondemand.manageengine.in/app/apphelpdesk/ui/requests/14047000006265683/details" TargetMode="External"/><Relationship Id="rId1848" Type="http://schemas.openxmlformats.org/officeDocument/2006/relationships/hyperlink" Target="https://ncgtc.sdpondemand.manageengine.in/app/apphelpdesk/ui/requests/14047000006265671/details" TargetMode="External"/><Relationship Id="rId1847" Type="http://schemas.openxmlformats.org/officeDocument/2006/relationships/hyperlink" Target="https://ncgtc.sdpondemand.manageengine.in/app/apphelpdesk/ui/requests/14047000006265596/details" TargetMode="External"/><Relationship Id="rId1846" Type="http://schemas.openxmlformats.org/officeDocument/2006/relationships/hyperlink" Target="https://ncgtc.sdpondemand.manageengine.in/app/apphelpdesk/ui/requests/14047000006265563/details" TargetMode="External"/><Relationship Id="rId1845" Type="http://schemas.openxmlformats.org/officeDocument/2006/relationships/hyperlink" Target="https://ncgtc.sdpondemand.manageengine.in/app/apphelpdesk/ui/requests/14047000006265551/details" TargetMode="External"/><Relationship Id="rId1844" Type="http://schemas.openxmlformats.org/officeDocument/2006/relationships/hyperlink" Target="https://ncgtc.sdpondemand.manageengine.in/app/apphelpdesk/ui/requests/14047000006265539/details" TargetMode="External"/><Relationship Id="rId1843" Type="http://schemas.openxmlformats.org/officeDocument/2006/relationships/hyperlink" Target="https://ncgtc.sdpondemand.manageengine.in/app/apphelpdesk/ui/requests/14047000006265516/details" TargetMode="External"/><Relationship Id="rId1842" Type="http://schemas.openxmlformats.org/officeDocument/2006/relationships/hyperlink" Target="https://ncgtc.sdpondemand.manageengine.in/app/apphelpdesk/ui/requests/14047000006265471/details" TargetMode="External"/><Relationship Id="rId1841" Type="http://schemas.openxmlformats.org/officeDocument/2006/relationships/hyperlink" Target="https://ncgtc.sdpondemand.manageengine.in/app/apphelpdesk/ui/requests/14047000006265441/details" TargetMode="External"/><Relationship Id="rId1840" Type="http://schemas.openxmlformats.org/officeDocument/2006/relationships/hyperlink" Target="https://ncgtc.sdpondemand.manageengine.in/app/apphelpdesk/ui/requests/14047000006265427/details" TargetMode="External"/><Relationship Id="rId184" Type="http://schemas.openxmlformats.org/officeDocument/2006/relationships/hyperlink" Target="https://ncgtc.sdpondemand.manageengine.in/app/apphelpdesk/ui/requests/14047000005894246/details" TargetMode="External"/><Relationship Id="rId1839" Type="http://schemas.openxmlformats.org/officeDocument/2006/relationships/hyperlink" Target="https://ncgtc.sdpondemand.manageengine.in/app/apphelpdesk/ui/requests/14047000006265378/details" TargetMode="External"/><Relationship Id="rId1838" Type="http://schemas.openxmlformats.org/officeDocument/2006/relationships/hyperlink" Target="https://ncgtc.sdpondemand.manageengine.in/app/apphelpdesk/ui/requests/14047000006265343/details" TargetMode="External"/><Relationship Id="rId1837" Type="http://schemas.openxmlformats.org/officeDocument/2006/relationships/hyperlink" Target="https://ncgtc.sdpondemand.manageengine.in/app/apphelpdesk/ui/requests/14047000006265331/details" TargetMode="External"/><Relationship Id="rId1836" Type="http://schemas.openxmlformats.org/officeDocument/2006/relationships/hyperlink" Target="https://ncgtc.sdpondemand.manageengine.in/app/apphelpdesk/ui/requests/14047000006265319/details" TargetMode="External"/><Relationship Id="rId1835" Type="http://schemas.openxmlformats.org/officeDocument/2006/relationships/hyperlink" Target="https://ncgtc.sdpondemand.manageengine.in/app/apphelpdesk/ui/requests/14047000006265268/details" TargetMode="External"/><Relationship Id="rId1834" Type="http://schemas.openxmlformats.org/officeDocument/2006/relationships/hyperlink" Target="https://ncgtc.sdpondemand.manageengine.in/app/apphelpdesk/ui/requests/14047000006265240/details" TargetMode="External"/><Relationship Id="rId1833" Type="http://schemas.openxmlformats.org/officeDocument/2006/relationships/hyperlink" Target="https://ncgtc.sdpondemand.manageengine.in/app/apphelpdesk/ui/requests/14047000006265220/details" TargetMode="External"/><Relationship Id="rId1832" Type="http://schemas.openxmlformats.org/officeDocument/2006/relationships/hyperlink" Target="https://ncgtc.sdpondemand.manageengine.in/app/apphelpdesk/ui/requests/14047000006265189/details" TargetMode="External"/><Relationship Id="rId1831" Type="http://schemas.openxmlformats.org/officeDocument/2006/relationships/hyperlink" Target="https://ncgtc.sdpondemand.manageengine.in/app/apphelpdesk/ui/requests/14047000006265034/details" TargetMode="External"/><Relationship Id="rId1830" Type="http://schemas.openxmlformats.org/officeDocument/2006/relationships/hyperlink" Target="https://ncgtc.sdpondemand.manageengine.in/app/apphelpdesk/ui/requests/14047000006258965/details" TargetMode="External"/><Relationship Id="rId183" Type="http://schemas.openxmlformats.org/officeDocument/2006/relationships/hyperlink" Target="https://ncgtc.sdpondemand.manageengine.in/app/apphelpdesk/ui/requests/14047000005894193/details" TargetMode="External"/><Relationship Id="rId1829" Type="http://schemas.openxmlformats.org/officeDocument/2006/relationships/hyperlink" Target="https://ncgtc.sdpondemand.manageengine.in/app/apphelpdesk/ui/requests/14047000006258939/details" TargetMode="External"/><Relationship Id="rId1828" Type="http://schemas.openxmlformats.org/officeDocument/2006/relationships/hyperlink" Target="https://ncgtc.sdpondemand.manageengine.in/app/apphelpdesk/ui/requests/14047000006258878/details" TargetMode="External"/><Relationship Id="rId1827" Type="http://schemas.openxmlformats.org/officeDocument/2006/relationships/hyperlink" Target="https://ncgtc.sdpondemand.manageengine.in/app/apphelpdesk/ui/requests/14047000006258825/details" TargetMode="External"/><Relationship Id="rId1826" Type="http://schemas.openxmlformats.org/officeDocument/2006/relationships/hyperlink" Target="https://ncgtc.sdpondemand.manageengine.in/app/apphelpdesk/ui/requests/14047000006258805/details" TargetMode="External"/><Relationship Id="rId1825" Type="http://schemas.openxmlformats.org/officeDocument/2006/relationships/hyperlink" Target="https://ncgtc.sdpondemand.manageengine.in/app/apphelpdesk/ui/requests/14047000006258790/details" TargetMode="External"/><Relationship Id="rId1824" Type="http://schemas.openxmlformats.org/officeDocument/2006/relationships/hyperlink" Target="https://ncgtc.sdpondemand.manageengine.in/app/apphelpdesk/ui/requests/14047000006258760/details" TargetMode="External"/><Relationship Id="rId1823" Type="http://schemas.openxmlformats.org/officeDocument/2006/relationships/hyperlink" Target="https://ncgtc.sdpondemand.manageengine.in/app/apphelpdesk/ui/requests/14047000006258736/details" TargetMode="External"/><Relationship Id="rId1822" Type="http://schemas.openxmlformats.org/officeDocument/2006/relationships/hyperlink" Target="https://ncgtc.sdpondemand.manageengine.in/app/apphelpdesk/ui/requests/14047000006258722/details" TargetMode="External"/><Relationship Id="rId1821" Type="http://schemas.openxmlformats.org/officeDocument/2006/relationships/hyperlink" Target="https://ncgtc.sdpondemand.manageengine.in/app/apphelpdesk/ui/requests/14047000006258710/details" TargetMode="External"/><Relationship Id="rId1820" Type="http://schemas.openxmlformats.org/officeDocument/2006/relationships/hyperlink" Target="https://ncgtc.sdpondemand.manageengine.in/app/apphelpdesk/ui/requests/14047000006258698/details" TargetMode="External"/><Relationship Id="rId182" Type="http://schemas.openxmlformats.org/officeDocument/2006/relationships/hyperlink" Target="https://ncgtc.sdpondemand.manageengine.in/app/apphelpdesk/ui/requests/14047000005894151/details" TargetMode="External"/><Relationship Id="rId1819" Type="http://schemas.openxmlformats.org/officeDocument/2006/relationships/hyperlink" Target="https://ncgtc.sdpondemand.manageengine.in/app/apphelpdesk/ui/requests/14047000006258668/details" TargetMode="External"/><Relationship Id="rId1818" Type="http://schemas.openxmlformats.org/officeDocument/2006/relationships/hyperlink" Target="https://ncgtc.sdpondemand.manageengine.in/app/apphelpdesk/ui/requests/14047000006258591/details" TargetMode="External"/><Relationship Id="rId1817" Type="http://schemas.openxmlformats.org/officeDocument/2006/relationships/hyperlink" Target="https://ncgtc.sdpondemand.manageengine.in/app/apphelpdesk/ui/requests/14047000006258493/details" TargetMode="External"/><Relationship Id="rId1816" Type="http://schemas.openxmlformats.org/officeDocument/2006/relationships/hyperlink" Target="https://ncgtc.sdpondemand.manageengine.in/app/apphelpdesk/ui/requests/14047000006258481/details" TargetMode="External"/><Relationship Id="rId1815" Type="http://schemas.openxmlformats.org/officeDocument/2006/relationships/hyperlink" Target="https://ncgtc.sdpondemand.manageengine.in/app/apphelpdesk/ui/requests/14047000006258428/details" TargetMode="External"/><Relationship Id="rId1814" Type="http://schemas.openxmlformats.org/officeDocument/2006/relationships/hyperlink" Target="https://ncgtc.sdpondemand.manageengine.in/app/apphelpdesk/ui/requests/14047000006258408/details" TargetMode="External"/><Relationship Id="rId1813" Type="http://schemas.openxmlformats.org/officeDocument/2006/relationships/hyperlink" Target="https://ncgtc.sdpondemand.manageengine.in/app/apphelpdesk/ui/requests/14047000006258350/details" TargetMode="External"/><Relationship Id="rId1812" Type="http://schemas.openxmlformats.org/officeDocument/2006/relationships/hyperlink" Target="https://ncgtc.sdpondemand.manageengine.in/app/apphelpdesk/ui/requests/14047000006258322/details" TargetMode="External"/><Relationship Id="rId1811" Type="http://schemas.openxmlformats.org/officeDocument/2006/relationships/hyperlink" Target="https://ncgtc.sdpondemand.manageengine.in/app/apphelpdesk/ui/requests/14047000006258304/details" TargetMode="External"/><Relationship Id="rId1810" Type="http://schemas.openxmlformats.org/officeDocument/2006/relationships/hyperlink" Target="https://ncgtc.sdpondemand.manageengine.in/app/apphelpdesk/ui/requests/14047000006258292/details" TargetMode="External"/><Relationship Id="rId181" Type="http://schemas.openxmlformats.org/officeDocument/2006/relationships/hyperlink" Target="https://ncgtc.sdpondemand.manageengine.in/app/apphelpdesk/ui/requests/14047000005894141/details" TargetMode="External"/><Relationship Id="rId1809" Type="http://schemas.openxmlformats.org/officeDocument/2006/relationships/hyperlink" Target="https://ncgtc.sdpondemand.manageengine.in/app/apphelpdesk/ui/requests/14047000006258217/details" TargetMode="External"/><Relationship Id="rId1808" Type="http://schemas.openxmlformats.org/officeDocument/2006/relationships/hyperlink" Target="https://ncgtc.sdpondemand.manageengine.in/app/apphelpdesk/ui/requests/14047000006258205/details" TargetMode="External"/><Relationship Id="rId1807" Type="http://schemas.openxmlformats.org/officeDocument/2006/relationships/hyperlink" Target="https://ncgtc.sdpondemand.manageengine.in/app/apphelpdesk/ui/requests/14047000006258188/details" TargetMode="External"/><Relationship Id="rId1806" Type="http://schemas.openxmlformats.org/officeDocument/2006/relationships/hyperlink" Target="https://ncgtc.sdpondemand.manageengine.in/app/apphelpdesk/ui/requests/14047000006258144/details" TargetMode="External"/><Relationship Id="rId1805" Type="http://schemas.openxmlformats.org/officeDocument/2006/relationships/hyperlink" Target="https://ncgtc.sdpondemand.manageengine.in/app/apphelpdesk/ui/requests/14047000006258054/details" TargetMode="External"/><Relationship Id="rId1804" Type="http://schemas.openxmlformats.org/officeDocument/2006/relationships/hyperlink" Target="https://ncgtc.sdpondemand.manageengine.in/app/apphelpdesk/ui/requests/14047000006258003/details" TargetMode="External"/><Relationship Id="rId1803" Type="http://schemas.openxmlformats.org/officeDocument/2006/relationships/hyperlink" Target="https://ncgtc.sdpondemand.manageengine.in/app/apphelpdesk/ui/requests/14047000006252955/details" TargetMode="External"/><Relationship Id="rId1802" Type="http://schemas.openxmlformats.org/officeDocument/2006/relationships/hyperlink" Target="https://ncgtc.sdpondemand.manageengine.in/app/apphelpdesk/ui/requests/14047000006252897/details" TargetMode="External"/><Relationship Id="rId1801" Type="http://schemas.openxmlformats.org/officeDocument/2006/relationships/hyperlink" Target="https://ncgtc.sdpondemand.manageengine.in/app/apphelpdesk/ui/requests/14047000006252885/details" TargetMode="External"/><Relationship Id="rId1800" Type="http://schemas.openxmlformats.org/officeDocument/2006/relationships/hyperlink" Target="https://ncgtc.sdpondemand.manageengine.in/app/apphelpdesk/ui/requests/14047000006252851/details" TargetMode="External"/><Relationship Id="rId180" Type="http://schemas.openxmlformats.org/officeDocument/2006/relationships/hyperlink" Target="https://ncgtc.sdpondemand.manageengine.in/app/apphelpdesk/ui/requests/14047000005894118/details" TargetMode="External"/><Relationship Id="rId18" Type="http://schemas.openxmlformats.org/officeDocument/2006/relationships/hyperlink" Target="https://ncgtc.sdpondemand.manageengine.in/app/apphelpdesk/ui/requests/14047000005854385/details" TargetMode="External"/><Relationship Id="rId1799" Type="http://schemas.openxmlformats.org/officeDocument/2006/relationships/hyperlink" Target="https://ncgtc.sdpondemand.manageengine.in/app/apphelpdesk/ui/requests/14047000006252825/details" TargetMode="External"/><Relationship Id="rId1798" Type="http://schemas.openxmlformats.org/officeDocument/2006/relationships/hyperlink" Target="https://ncgtc.sdpondemand.manageengine.in/app/apphelpdesk/ui/requests/14047000006252804/details" TargetMode="External"/><Relationship Id="rId1797" Type="http://schemas.openxmlformats.org/officeDocument/2006/relationships/hyperlink" Target="https://ncgtc.sdpondemand.manageengine.in/app/apphelpdesk/ui/requests/14047000006252660/details" TargetMode="External"/><Relationship Id="rId1796" Type="http://schemas.openxmlformats.org/officeDocument/2006/relationships/hyperlink" Target="https://ncgtc.sdpondemand.manageengine.in/app/apphelpdesk/ui/requests/14047000006252643/details" TargetMode="External"/><Relationship Id="rId1795" Type="http://schemas.openxmlformats.org/officeDocument/2006/relationships/hyperlink" Target="https://ncgtc.sdpondemand.manageengine.in/app/apphelpdesk/ui/requests/14047000006252631/details" TargetMode="External"/><Relationship Id="rId1794" Type="http://schemas.openxmlformats.org/officeDocument/2006/relationships/hyperlink" Target="https://ncgtc.sdpondemand.manageengine.in/app/apphelpdesk/ui/requests/14047000006252606/details" TargetMode="External"/><Relationship Id="rId1793" Type="http://schemas.openxmlformats.org/officeDocument/2006/relationships/hyperlink" Target="https://ncgtc.sdpondemand.manageengine.in/app/apphelpdesk/ui/requests/14047000006252587/details" TargetMode="External"/><Relationship Id="rId1792" Type="http://schemas.openxmlformats.org/officeDocument/2006/relationships/hyperlink" Target="https://ncgtc.sdpondemand.manageengine.in/app/apphelpdesk/ui/requests/14047000006252521/details" TargetMode="External"/><Relationship Id="rId1791" Type="http://schemas.openxmlformats.org/officeDocument/2006/relationships/hyperlink" Target="https://ncgtc.sdpondemand.manageengine.in/app/apphelpdesk/ui/requests/14047000006252477/details" TargetMode="External"/><Relationship Id="rId1790" Type="http://schemas.openxmlformats.org/officeDocument/2006/relationships/hyperlink" Target="https://ncgtc.sdpondemand.manageengine.in/app/apphelpdesk/ui/requests/14047000006252412/details" TargetMode="External"/><Relationship Id="rId179" Type="http://schemas.openxmlformats.org/officeDocument/2006/relationships/hyperlink" Target="https://ncgtc.sdpondemand.manageengine.in/app/apphelpdesk/ui/requests/14047000005894100/details" TargetMode="External"/><Relationship Id="rId1789" Type="http://schemas.openxmlformats.org/officeDocument/2006/relationships/hyperlink" Target="https://ncgtc.sdpondemand.manageengine.in/app/apphelpdesk/ui/requests/14047000006252395/details" TargetMode="External"/><Relationship Id="rId1788" Type="http://schemas.openxmlformats.org/officeDocument/2006/relationships/hyperlink" Target="https://ncgtc.sdpondemand.manageengine.in/app/apphelpdesk/ui/requests/14047000006252376/details" TargetMode="External"/><Relationship Id="rId1787" Type="http://schemas.openxmlformats.org/officeDocument/2006/relationships/hyperlink" Target="https://ncgtc.sdpondemand.manageengine.in/app/apphelpdesk/ui/requests/14047000006252363/details" TargetMode="External"/><Relationship Id="rId1786" Type="http://schemas.openxmlformats.org/officeDocument/2006/relationships/hyperlink" Target="https://ncgtc.sdpondemand.manageengine.in/app/apphelpdesk/ui/requests/14047000006252350/details" TargetMode="External"/><Relationship Id="rId1785" Type="http://schemas.openxmlformats.org/officeDocument/2006/relationships/hyperlink" Target="https://ncgtc.sdpondemand.manageengine.in/app/apphelpdesk/ui/requests/14047000006252331/details" TargetMode="External"/><Relationship Id="rId1784" Type="http://schemas.openxmlformats.org/officeDocument/2006/relationships/hyperlink" Target="https://ncgtc.sdpondemand.manageengine.in/app/apphelpdesk/ui/requests/14047000006252292/details" TargetMode="External"/><Relationship Id="rId1783" Type="http://schemas.openxmlformats.org/officeDocument/2006/relationships/hyperlink" Target="https://ncgtc.sdpondemand.manageengine.in/app/apphelpdesk/ui/requests/14047000006252278/details" TargetMode="External"/><Relationship Id="rId1782" Type="http://schemas.openxmlformats.org/officeDocument/2006/relationships/hyperlink" Target="https://ncgtc.sdpondemand.manageengine.in/app/apphelpdesk/ui/requests/14047000006252242/details" TargetMode="External"/><Relationship Id="rId1781" Type="http://schemas.openxmlformats.org/officeDocument/2006/relationships/hyperlink" Target="https://ncgtc.sdpondemand.manageengine.in/app/apphelpdesk/ui/requests/14047000006252197/details" TargetMode="External"/><Relationship Id="rId1780" Type="http://schemas.openxmlformats.org/officeDocument/2006/relationships/hyperlink" Target="https://ncgtc.sdpondemand.manageengine.in/app/apphelpdesk/ui/requests/14047000006252152/details" TargetMode="External"/><Relationship Id="rId178" Type="http://schemas.openxmlformats.org/officeDocument/2006/relationships/hyperlink" Target="https://ncgtc.sdpondemand.manageengine.in/app/apphelpdesk/ui/requests/14047000005894071/details" TargetMode="External"/><Relationship Id="rId1779" Type="http://schemas.openxmlformats.org/officeDocument/2006/relationships/hyperlink" Target="https://ncgtc.sdpondemand.manageengine.in/app/apphelpdesk/ui/requests/14047000006252112/details" TargetMode="External"/><Relationship Id="rId1778" Type="http://schemas.openxmlformats.org/officeDocument/2006/relationships/hyperlink" Target="https://ncgtc.sdpondemand.manageengine.in/app/apphelpdesk/ui/requests/14047000006252090/details" TargetMode="External"/><Relationship Id="rId1777" Type="http://schemas.openxmlformats.org/officeDocument/2006/relationships/hyperlink" Target="https://ncgtc.sdpondemand.manageengine.in/app/apphelpdesk/ui/requests/14047000006252055/details" TargetMode="External"/><Relationship Id="rId1776" Type="http://schemas.openxmlformats.org/officeDocument/2006/relationships/hyperlink" Target="https://ncgtc.sdpondemand.manageengine.in/app/apphelpdesk/ui/requests/14047000006252023/details" TargetMode="External"/><Relationship Id="rId1775" Type="http://schemas.openxmlformats.org/officeDocument/2006/relationships/hyperlink" Target="https://ncgtc.sdpondemand.manageengine.in/app/apphelpdesk/ui/requests/14047000006249996/details" TargetMode="External"/><Relationship Id="rId1774" Type="http://schemas.openxmlformats.org/officeDocument/2006/relationships/hyperlink" Target="https://ncgtc.sdpondemand.manageengine.in/app/apphelpdesk/ui/requests/14047000006249962/details" TargetMode="External"/><Relationship Id="rId1773" Type="http://schemas.openxmlformats.org/officeDocument/2006/relationships/hyperlink" Target="https://ncgtc.sdpondemand.manageengine.in/app/apphelpdesk/ui/requests/14047000006249945/details" TargetMode="External"/><Relationship Id="rId1772" Type="http://schemas.openxmlformats.org/officeDocument/2006/relationships/hyperlink" Target="https://ncgtc.sdpondemand.manageengine.in/app/apphelpdesk/ui/requests/14047000006249884/details" TargetMode="External"/><Relationship Id="rId1771" Type="http://schemas.openxmlformats.org/officeDocument/2006/relationships/hyperlink" Target="https://ncgtc.sdpondemand.manageengine.in/app/apphelpdesk/ui/requests/14047000006249866/details" TargetMode="External"/><Relationship Id="rId1770" Type="http://schemas.openxmlformats.org/officeDocument/2006/relationships/hyperlink" Target="https://ncgtc.sdpondemand.manageengine.in/app/apphelpdesk/ui/requests/14047000006249829/details" TargetMode="External"/><Relationship Id="rId177" Type="http://schemas.openxmlformats.org/officeDocument/2006/relationships/hyperlink" Target="https://ncgtc.sdpondemand.manageengine.in/app/apphelpdesk/ui/requests/14047000005894033/details" TargetMode="External"/><Relationship Id="rId1769" Type="http://schemas.openxmlformats.org/officeDocument/2006/relationships/hyperlink" Target="https://ncgtc.sdpondemand.manageengine.in/app/apphelpdesk/ui/requests/14047000006249750/details" TargetMode="External"/><Relationship Id="rId1768" Type="http://schemas.openxmlformats.org/officeDocument/2006/relationships/hyperlink" Target="https://ncgtc.sdpondemand.manageengine.in/app/apphelpdesk/ui/requests/14047000006249656/details" TargetMode="External"/><Relationship Id="rId1767" Type="http://schemas.openxmlformats.org/officeDocument/2006/relationships/hyperlink" Target="https://ncgtc.sdpondemand.manageengine.in/app/apphelpdesk/ui/requests/14047000006249595/details" TargetMode="External"/><Relationship Id="rId1766" Type="http://schemas.openxmlformats.org/officeDocument/2006/relationships/hyperlink" Target="https://ncgtc.sdpondemand.manageengine.in/app/apphelpdesk/ui/requests/14047000006249565/details" TargetMode="External"/><Relationship Id="rId1765" Type="http://schemas.openxmlformats.org/officeDocument/2006/relationships/hyperlink" Target="https://ncgtc.sdpondemand.manageengine.in/app/apphelpdesk/ui/requests/14047000006249547/details" TargetMode="External"/><Relationship Id="rId1764" Type="http://schemas.openxmlformats.org/officeDocument/2006/relationships/hyperlink" Target="https://ncgtc.sdpondemand.manageengine.in/app/apphelpdesk/ui/requests/14047000006249535/details" TargetMode="External"/><Relationship Id="rId1763" Type="http://schemas.openxmlformats.org/officeDocument/2006/relationships/hyperlink" Target="https://ncgtc.sdpondemand.manageengine.in/app/apphelpdesk/ui/requests/14047000006249510/details" TargetMode="External"/><Relationship Id="rId1762" Type="http://schemas.openxmlformats.org/officeDocument/2006/relationships/hyperlink" Target="https://ncgtc.sdpondemand.manageengine.in/app/apphelpdesk/ui/requests/14047000006249430/details" TargetMode="External"/><Relationship Id="rId1761" Type="http://schemas.openxmlformats.org/officeDocument/2006/relationships/hyperlink" Target="https://ncgtc.sdpondemand.manageengine.in/app/apphelpdesk/ui/requests/14047000006249407/details" TargetMode="External"/><Relationship Id="rId1760" Type="http://schemas.openxmlformats.org/officeDocument/2006/relationships/hyperlink" Target="https://ncgtc.sdpondemand.manageengine.in/app/apphelpdesk/ui/requests/14047000006249342/details" TargetMode="External"/><Relationship Id="rId176" Type="http://schemas.openxmlformats.org/officeDocument/2006/relationships/hyperlink" Target="https://ncgtc.sdpondemand.manageengine.in/app/apphelpdesk/ui/requests/14047000005894024/details" TargetMode="External"/><Relationship Id="rId1759" Type="http://schemas.openxmlformats.org/officeDocument/2006/relationships/hyperlink" Target="https://ncgtc.sdpondemand.manageengine.in/app/apphelpdesk/ui/requests/14047000006249297/details" TargetMode="External"/><Relationship Id="rId1758" Type="http://schemas.openxmlformats.org/officeDocument/2006/relationships/hyperlink" Target="https://ncgtc.sdpondemand.manageengine.in/app/apphelpdesk/ui/requests/14047000006249261/details" TargetMode="External"/><Relationship Id="rId1757" Type="http://schemas.openxmlformats.org/officeDocument/2006/relationships/hyperlink" Target="https://ncgtc.sdpondemand.manageengine.in/app/apphelpdesk/ui/requests/14047000006249248/details" TargetMode="External"/><Relationship Id="rId1756" Type="http://schemas.openxmlformats.org/officeDocument/2006/relationships/hyperlink" Target="https://ncgtc.sdpondemand.manageengine.in/app/apphelpdesk/ui/requests/14047000006249206/details" TargetMode="External"/><Relationship Id="rId1755" Type="http://schemas.openxmlformats.org/officeDocument/2006/relationships/hyperlink" Target="https://ncgtc.sdpondemand.manageengine.in/app/apphelpdesk/ui/requests/14047000006249186/details" TargetMode="External"/><Relationship Id="rId1754" Type="http://schemas.openxmlformats.org/officeDocument/2006/relationships/hyperlink" Target="https://ncgtc.sdpondemand.manageengine.in/app/apphelpdesk/ui/requests/14047000006249173/details" TargetMode="External"/><Relationship Id="rId1753" Type="http://schemas.openxmlformats.org/officeDocument/2006/relationships/hyperlink" Target="https://ncgtc.sdpondemand.manageengine.in/app/apphelpdesk/ui/requests/14047000006249160/details" TargetMode="External"/><Relationship Id="rId1752" Type="http://schemas.openxmlformats.org/officeDocument/2006/relationships/hyperlink" Target="https://ncgtc.sdpondemand.manageengine.in/app/apphelpdesk/ui/requests/14047000006249143/details" TargetMode="External"/><Relationship Id="rId1751" Type="http://schemas.openxmlformats.org/officeDocument/2006/relationships/hyperlink" Target="https://ncgtc.sdpondemand.manageengine.in/app/apphelpdesk/ui/requests/14047000006249124/details" TargetMode="External"/><Relationship Id="rId1750" Type="http://schemas.openxmlformats.org/officeDocument/2006/relationships/hyperlink" Target="https://ncgtc.sdpondemand.manageengine.in/app/apphelpdesk/ui/requests/14047000006249100/details" TargetMode="External"/><Relationship Id="rId175" Type="http://schemas.openxmlformats.org/officeDocument/2006/relationships/hyperlink" Target="https://ncgtc.sdpondemand.manageengine.in/app/apphelpdesk/ui/requests/14047000005894015/details" TargetMode="External"/><Relationship Id="rId1749" Type="http://schemas.openxmlformats.org/officeDocument/2006/relationships/hyperlink" Target="https://ncgtc.sdpondemand.manageengine.in/app/apphelpdesk/ui/requests/14047000006249050/details" TargetMode="External"/><Relationship Id="rId1748" Type="http://schemas.openxmlformats.org/officeDocument/2006/relationships/hyperlink" Target="https://ncgtc.sdpondemand.manageengine.in/app/apphelpdesk/ui/requests/14047000006246925/details" TargetMode="External"/><Relationship Id="rId1747" Type="http://schemas.openxmlformats.org/officeDocument/2006/relationships/hyperlink" Target="https://ncgtc.sdpondemand.manageengine.in/app/apphelpdesk/ui/requests/14047000006246881/details" TargetMode="External"/><Relationship Id="rId1746" Type="http://schemas.openxmlformats.org/officeDocument/2006/relationships/hyperlink" Target="https://ncgtc.sdpondemand.manageengine.in/app/apphelpdesk/ui/requests/14047000006246850/details" TargetMode="External"/><Relationship Id="rId1745" Type="http://schemas.openxmlformats.org/officeDocument/2006/relationships/hyperlink" Target="https://ncgtc.sdpondemand.manageengine.in/app/apphelpdesk/ui/requests/14047000006246801/details" TargetMode="External"/><Relationship Id="rId1744" Type="http://schemas.openxmlformats.org/officeDocument/2006/relationships/hyperlink" Target="https://ncgtc.sdpondemand.manageengine.in/app/apphelpdesk/ui/requests/14047000006246745/details" TargetMode="External"/><Relationship Id="rId1743" Type="http://schemas.openxmlformats.org/officeDocument/2006/relationships/hyperlink" Target="https://ncgtc.sdpondemand.manageengine.in/app/apphelpdesk/ui/requests/14047000006246643/details" TargetMode="External"/><Relationship Id="rId1742" Type="http://schemas.openxmlformats.org/officeDocument/2006/relationships/hyperlink" Target="https://ncgtc.sdpondemand.manageengine.in/app/apphelpdesk/ui/requests/14047000006246599/details" TargetMode="External"/><Relationship Id="rId1741" Type="http://schemas.openxmlformats.org/officeDocument/2006/relationships/hyperlink" Target="https://ncgtc.sdpondemand.manageengine.in/app/apphelpdesk/ui/requests/14047000006246584/details" TargetMode="External"/><Relationship Id="rId1740" Type="http://schemas.openxmlformats.org/officeDocument/2006/relationships/hyperlink" Target="https://ncgtc.sdpondemand.manageengine.in/app/apphelpdesk/ui/requests/14047000006246525/details" TargetMode="External"/><Relationship Id="rId174" Type="http://schemas.openxmlformats.org/officeDocument/2006/relationships/hyperlink" Target="https://ncgtc.sdpondemand.manageengine.in/app/apphelpdesk/ui/requests/14047000005889991/details" TargetMode="External"/><Relationship Id="rId1739" Type="http://schemas.openxmlformats.org/officeDocument/2006/relationships/hyperlink" Target="https://ncgtc.sdpondemand.manageengine.in/app/apphelpdesk/ui/requests/14047000006246513/details" TargetMode="External"/><Relationship Id="rId1738" Type="http://schemas.openxmlformats.org/officeDocument/2006/relationships/hyperlink" Target="https://ncgtc.sdpondemand.manageengine.in/app/apphelpdesk/ui/requests/14047000006246499/details" TargetMode="External"/><Relationship Id="rId1737" Type="http://schemas.openxmlformats.org/officeDocument/2006/relationships/hyperlink" Target="https://ncgtc.sdpondemand.manageengine.in/app/apphelpdesk/ui/requests/14047000006246487/details" TargetMode="External"/><Relationship Id="rId1736" Type="http://schemas.openxmlformats.org/officeDocument/2006/relationships/hyperlink" Target="https://ncgtc.sdpondemand.manageengine.in/app/apphelpdesk/ui/requests/14047000006246393/details" TargetMode="External"/><Relationship Id="rId1735" Type="http://schemas.openxmlformats.org/officeDocument/2006/relationships/hyperlink" Target="https://ncgtc.sdpondemand.manageengine.in/app/apphelpdesk/ui/requests/14047000006246338/details" TargetMode="External"/><Relationship Id="rId1734" Type="http://schemas.openxmlformats.org/officeDocument/2006/relationships/hyperlink" Target="https://ncgtc.sdpondemand.manageengine.in/app/apphelpdesk/ui/requests/14047000006246320/details" TargetMode="External"/><Relationship Id="rId1733" Type="http://schemas.openxmlformats.org/officeDocument/2006/relationships/hyperlink" Target="https://ncgtc.sdpondemand.manageengine.in/app/apphelpdesk/ui/requests/14047000006246256/details" TargetMode="External"/><Relationship Id="rId1732" Type="http://schemas.openxmlformats.org/officeDocument/2006/relationships/hyperlink" Target="https://ncgtc.sdpondemand.manageengine.in/app/apphelpdesk/ui/requests/14047000006246201/details" TargetMode="External"/><Relationship Id="rId1731" Type="http://schemas.openxmlformats.org/officeDocument/2006/relationships/hyperlink" Target="https://ncgtc.sdpondemand.manageengine.in/app/apphelpdesk/ui/requests/14047000006246182/details" TargetMode="External"/><Relationship Id="rId1730" Type="http://schemas.openxmlformats.org/officeDocument/2006/relationships/hyperlink" Target="https://ncgtc.sdpondemand.manageengine.in/app/apphelpdesk/ui/requests/14047000006246116/details" TargetMode="External"/><Relationship Id="rId173" Type="http://schemas.openxmlformats.org/officeDocument/2006/relationships/hyperlink" Target="https://ncgtc.sdpondemand.manageengine.in/app/apphelpdesk/ui/requests/14047000005889982/details" TargetMode="External"/><Relationship Id="rId1729" Type="http://schemas.openxmlformats.org/officeDocument/2006/relationships/hyperlink" Target="https://ncgtc.sdpondemand.manageengine.in/app/apphelpdesk/ui/requests/14047000006246103/details" TargetMode="External"/><Relationship Id="rId1728" Type="http://schemas.openxmlformats.org/officeDocument/2006/relationships/hyperlink" Target="https://ncgtc.sdpondemand.manageengine.in/app/apphelpdesk/ui/requests/14047000006246074/details" TargetMode="External"/><Relationship Id="rId1727" Type="http://schemas.openxmlformats.org/officeDocument/2006/relationships/hyperlink" Target="https://ncgtc.sdpondemand.manageengine.in/app/apphelpdesk/ui/requests/14047000006246021/details" TargetMode="External"/><Relationship Id="rId1726" Type="http://schemas.openxmlformats.org/officeDocument/2006/relationships/hyperlink" Target="https://ncgtc.sdpondemand.manageengine.in/app/apphelpdesk/ui/requests/14047000006241906/details" TargetMode="External"/><Relationship Id="rId1725" Type="http://schemas.openxmlformats.org/officeDocument/2006/relationships/hyperlink" Target="https://ncgtc.sdpondemand.manageengine.in/app/apphelpdesk/ui/requests/14047000006241894/details" TargetMode="External"/><Relationship Id="rId1724" Type="http://schemas.openxmlformats.org/officeDocument/2006/relationships/hyperlink" Target="https://ncgtc.sdpondemand.manageengine.in/app/apphelpdesk/ui/requests/14047000006241810/details" TargetMode="External"/><Relationship Id="rId1723" Type="http://schemas.openxmlformats.org/officeDocument/2006/relationships/hyperlink" Target="https://ncgtc.sdpondemand.manageengine.in/app/apphelpdesk/ui/requests/14047000006241729/details" TargetMode="External"/><Relationship Id="rId1722" Type="http://schemas.openxmlformats.org/officeDocument/2006/relationships/hyperlink" Target="https://ncgtc.sdpondemand.manageengine.in/app/apphelpdesk/ui/requests/14047000006241653/details" TargetMode="External"/><Relationship Id="rId1721" Type="http://schemas.openxmlformats.org/officeDocument/2006/relationships/hyperlink" Target="https://ncgtc.sdpondemand.manageengine.in/app/apphelpdesk/ui/requests/14047000006241584/details" TargetMode="External"/><Relationship Id="rId1720" Type="http://schemas.openxmlformats.org/officeDocument/2006/relationships/hyperlink" Target="https://ncgtc.sdpondemand.manageengine.in/app/apphelpdesk/ui/requests/14047000006241551/details" TargetMode="External"/><Relationship Id="rId172" Type="http://schemas.openxmlformats.org/officeDocument/2006/relationships/hyperlink" Target="https://ncgtc.sdpondemand.manageengine.in/app/apphelpdesk/ui/requests/14047000005889942/details" TargetMode="External"/><Relationship Id="rId1719" Type="http://schemas.openxmlformats.org/officeDocument/2006/relationships/hyperlink" Target="https://ncgtc.sdpondemand.manageengine.in/app/apphelpdesk/ui/requests/14047000006241539/details" TargetMode="External"/><Relationship Id="rId1718" Type="http://schemas.openxmlformats.org/officeDocument/2006/relationships/hyperlink" Target="https://ncgtc.sdpondemand.manageengine.in/app/apphelpdesk/ui/requests/14047000006241503/details" TargetMode="External"/><Relationship Id="rId1717" Type="http://schemas.openxmlformats.org/officeDocument/2006/relationships/hyperlink" Target="https://ncgtc.sdpondemand.manageengine.in/app/apphelpdesk/ui/requests/14047000006241465/details" TargetMode="External"/><Relationship Id="rId1716" Type="http://schemas.openxmlformats.org/officeDocument/2006/relationships/hyperlink" Target="https://ncgtc.sdpondemand.manageengine.in/app/apphelpdesk/ui/requests/14047000006241433/details" TargetMode="External"/><Relationship Id="rId1715" Type="http://schemas.openxmlformats.org/officeDocument/2006/relationships/hyperlink" Target="https://ncgtc.sdpondemand.manageengine.in/app/apphelpdesk/ui/requests/14047000006241348/details" TargetMode="External"/><Relationship Id="rId1714" Type="http://schemas.openxmlformats.org/officeDocument/2006/relationships/hyperlink" Target="https://ncgtc.sdpondemand.manageengine.in/app/apphelpdesk/ui/requests/14047000006241297/details" TargetMode="External"/><Relationship Id="rId1713" Type="http://schemas.openxmlformats.org/officeDocument/2006/relationships/hyperlink" Target="https://ncgtc.sdpondemand.manageengine.in/app/apphelpdesk/ui/requests/14047000006241273/details" TargetMode="External"/><Relationship Id="rId1712" Type="http://schemas.openxmlformats.org/officeDocument/2006/relationships/hyperlink" Target="https://ncgtc.sdpondemand.manageengine.in/app/apphelpdesk/ui/requests/14047000006241248/details" TargetMode="External"/><Relationship Id="rId1711" Type="http://schemas.openxmlformats.org/officeDocument/2006/relationships/hyperlink" Target="https://ncgtc.sdpondemand.manageengine.in/app/apphelpdesk/ui/requests/14047000006241179/details" TargetMode="External"/><Relationship Id="rId1710" Type="http://schemas.openxmlformats.org/officeDocument/2006/relationships/hyperlink" Target="https://ncgtc.sdpondemand.manageengine.in/app/apphelpdesk/ui/requests/14047000006241161/details" TargetMode="External"/><Relationship Id="rId171" Type="http://schemas.openxmlformats.org/officeDocument/2006/relationships/hyperlink" Target="https://ncgtc.sdpondemand.manageengine.in/app/apphelpdesk/ui/requests/14047000005889908/details" TargetMode="External"/><Relationship Id="rId1709" Type="http://schemas.openxmlformats.org/officeDocument/2006/relationships/hyperlink" Target="https://ncgtc.sdpondemand.manageengine.in/app/apphelpdesk/ui/requests/14047000006241144/details" TargetMode="External"/><Relationship Id="rId1708" Type="http://schemas.openxmlformats.org/officeDocument/2006/relationships/hyperlink" Target="https://ncgtc.sdpondemand.manageengine.in/app/apphelpdesk/ui/requests/14047000006241131/details" TargetMode="External"/><Relationship Id="rId1707" Type="http://schemas.openxmlformats.org/officeDocument/2006/relationships/hyperlink" Target="https://ncgtc.sdpondemand.manageengine.in/app/apphelpdesk/ui/requests/14047000006241110/details" TargetMode="External"/><Relationship Id="rId1706" Type="http://schemas.openxmlformats.org/officeDocument/2006/relationships/hyperlink" Target="https://ncgtc.sdpondemand.manageengine.in/app/apphelpdesk/ui/requests/14047000006241045/details" TargetMode="External"/><Relationship Id="rId1705" Type="http://schemas.openxmlformats.org/officeDocument/2006/relationships/hyperlink" Target="https://ncgtc.sdpondemand.manageengine.in/app/apphelpdesk/ui/requests/14047000006241003/details" TargetMode="External"/><Relationship Id="rId1704" Type="http://schemas.openxmlformats.org/officeDocument/2006/relationships/hyperlink" Target="https://ncgtc.sdpondemand.manageengine.in/app/apphelpdesk/ui/requests/14047000006238962/details" TargetMode="External"/><Relationship Id="rId1703" Type="http://schemas.openxmlformats.org/officeDocument/2006/relationships/hyperlink" Target="https://ncgtc.sdpondemand.manageengine.in/app/apphelpdesk/ui/requests/14047000006238898/details" TargetMode="External"/><Relationship Id="rId1702" Type="http://schemas.openxmlformats.org/officeDocument/2006/relationships/hyperlink" Target="https://ncgtc.sdpondemand.manageengine.in/app/apphelpdesk/ui/requests/14047000006238854/details" TargetMode="External"/><Relationship Id="rId1701" Type="http://schemas.openxmlformats.org/officeDocument/2006/relationships/hyperlink" Target="https://ncgtc.sdpondemand.manageengine.in/app/apphelpdesk/ui/requests/14047000006238835/details" TargetMode="External"/><Relationship Id="rId1700" Type="http://schemas.openxmlformats.org/officeDocument/2006/relationships/hyperlink" Target="https://ncgtc.sdpondemand.manageengine.in/app/apphelpdesk/ui/requests/14047000006238820/details" TargetMode="External"/><Relationship Id="rId170" Type="http://schemas.openxmlformats.org/officeDocument/2006/relationships/hyperlink" Target="https://ncgtc.sdpondemand.manageengine.in/app/apphelpdesk/ui/requests/14047000005889886/details" TargetMode="External"/><Relationship Id="rId17" Type="http://schemas.openxmlformats.org/officeDocument/2006/relationships/hyperlink" Target="https://ncgtc.sdpondemand.manageengine.in/app/apphelpdesk/ui/requests/14047000005854375/details" TargetMode="External"/><Relationship Id="rId1699" Type="http://schemas.openxmlformats.org/officeDocument/2006/relationships/hyperlink" Target="https://ncgtc.sdpondemand.manageengine.in/app/apphelpdesk/ui/requests/14047000006238787/details" TargetMode="External"/><Relationship Id="rId1698" Type="http://schemas.openxmlformats.org/officeDocument/2006/relationships/hyperlink" Target="https://ncgtc.sdpondemand.manageengine.in/app/apphelpdesk/ui/requests/14047000006238770/details" TargetMode="External"/><Relationship Id="rId1697" Type="http://schemas.openxmlformats.org/officeDocument/2006/relationships/hyperlink" Target="https://ncgtc.sdpondemand.manageengine.in/app/apphelpdesk/ui/requests/14047000006238755/details" TargetMode="External"/><Relationship Id="rId1696" Type="http://schemas.openxmlformats.org/officeDocument/2006/relationships/hyperlink" Target="https://ncgtc.sdpondemand.manageengine.in/app/apphelpdesk/ui/requests/14047000006238729/details" TargetMode="External"/><Relationship Id="rId1695" Type="http://schemas.openxmlformats.org/officeDocument/2006/relationships/hyperlink" Target="https://ncgtc.sdpondemand.manageengine.in/app/apphelpdesk/ui/requests/14047000006238699/details" TargetMode="External"/><Relationship Id="rId1694" Type="http://schemas.openxmlformats.org/officeDocument/2006/relationships/hyperlink" Target="https://ncgtc.sdpondemand.manageengine.in/app/apphelpdesk/ui/requests/14047000006238685/details" TargetMode="External"/><Relationship Id="rId1693" Type="http://schemas.openxmlformats.org/officeDocument/2006/relationships/hyperlink" Target="https://ncgtc.sdpondemand.manageengine.in/app/apphelpdesk/ui/requests/14047000006238673/details" TargetMode="External"/><Relationship Id="rId1692" Type="http://schemas.openxmlformats.org/officeDocument/2006/relationships/hyperlink" Target="https://ncgtc.sdpondemand.manageengine.in/app/apphelpdesk/ui/requests/14047000006238654/details" TargetMode="External"/><Relationship Id="rId1691" Type="http://schemas.openxmlformats.org/officeDocument/2006/relationships/hyperlink" Target="https://ncgtc.sdpondemand.manageengine.in/app/apphelpdesk/ui/requests/14047000006238641/details" TargetMode="External"/><Relationship Id="rId1690" Type="http://schemas.openxmlformats.org/officeDocument/2006/relationships/hyperlink" Target="https://ncgtc.sdpondemand.manageengine.in/app/apphelpdesk/ui/requests/14047000006238614/details" TargetMode="External"/><Relationship Id="rId169" Type="http://schemas.openxmlformats.org/officeDocument/2006/relationships/hyperlink" Target="https://ncgtc.sdpondemand.manageengine.in/app/apphelpdesk/ui/requests/14047000005889833/details" TargetMode="External"/><Relationship Id="rId1689" Type="http://schemas.openxmlformats.org/officeDocument/2006/relationships/hyperlink" Target="https://ncgtc.sdpondemand.manageengine.in/app/apphelpdesk/ui/requests/14047000006238601/details" TargetMode="External"/><Relationship Id="rId1688" Type="http://schemas.openxmlformats.org/officeDocument/2006/relationships/hyperlink" Target="https://ncgtc.sdpondemand.manageengine.in/app/apphelpdesk/ui/requests/14047000006238589/details" TargetMode="External"/><Relationship Id="rId1687" Type="http://schemas.openxmlformats.org/officeDocument/2006/relationships/hyperlink" Target="https://ncgtc.sdpondemand.manageengine.in/app/apphelpdesk/ui/requests/14047000006238488/details" TargetMode="External"/><Relationship Id="rId1686" Type="http://schemas.openxmlformats.org/officeDocument/2006/relationships/hyperlink" Target="https://ncgtc.sdpondemand.manageengine.in/app/apphelpdesk/ui/requests/14047000006238452/details" TargetMode="External"/><Relationship Id="rId1685" Type="http://schemas.openxmlformats.org/officeDocument/2006/relationships/hyperlink" Target="https://ncgtc.sdpondemand.manageengine.in/app/apphelpdesk/ui/requests/14047000006238440/details" TargetMode="External"/><Relationship Id="rId1684" Type="http://schemas.openxmlformats.org/officeDocument/2006/relationships/hyperlink" Target="https://ncgtc.sdpondemand.manageengine.in/app/apphelpdesk/ui/requests/14047000006238427/details" TargetMode="External"/><Relationship Id="rId1683" Type="http://schemas.openxmlformats.org/officeDocument/2006/relationships/hyperlink" Target="https://ncgtc.sdpondemand.manageengine.in/app/apphelpdesk/ui/requests/14047000006238406/details" TargetMode="External"/><Relationship Id="rId1682" Type="http://schemas.openxmlformats.org/officeDocument/2006/relationships/hyperlink" Target="https://ncgtc.sdpondemand.manageengine.in/app/apphelpdesk/ui/requests/14047000006238356/details" TargetMode="External"/><Relationship Id="rId1681" Type="http://schemas.openxmlformats.org/officeDocument/2006/relationships/hyperlink" Target="https://ncgtc.sdpondemand.manageengine.in/app/apphelpdesk/ui/requests/14047000006238331/details" TargetMode="External"/><Relationship Id="rId1680" Type="http://schemas.openxmlformats.org/officeDocument/2006/relationships/hyperlink" Target="https://ncgtc.sdpondemand.manageengine.in/app/apphelpdesk/ui/requests/14047000006238317/details" TargetMode="External"/><Relationship Id="rId168" Type="http://schemas.openxmlformats.org/officeDocument/2006/relationships/hyperlink" Target="https://ncgtc.sdpondemand.manageengine.in/app/apphelpdesk/ui/requests/14047000005889756/details" TargetMode="External"/><Relationship Id="rId1679" Type="http://schemas.openxmlformats.org/officeDocument/2006/relationships/hyperlink" Target="https://ncgtc.sdpondemand.manageengine.in/app/apphelpdesk/ui/requests/14047000006238305/details" TargetMode="External"/><Relationship Id="rId1678" Type="http://schemas.openxmlformats.org/officeDocument/2006/relationships/hyperlink" Target="https://ncgtc.sdpondemand.manageengine.in/app/apphelpdesk/ui/requests/14047000006238277/details" TargetMode="External"/><Relationship Id="rId1677" Type="http://schemas.openxmlformats.org/officeDocument/2006/relationships/hyperlink" Target="https://ncgtc.sdpondemand.manageengine.in/app/apphelpdesk/ui/requests/14047000006238168/details" TargetMode="External"/><Relationship Id="rId1676" Type="http://schemas.openxmlformats.org/officeDocument/2006/relationships/hyperlink" Target="https://ncgtc.sdpondemand.manageengine.in/app/apphelpdesk/ui/requests/14047000006238155/details" TargetMode="External"/><Relationship Id="rId1675" Type="http://schemas.openxmlformats.org/officeDocument/2006/relationships/hyperlink" Target="https://ncgtc.sdpondemand.manageengine.in/app/apphelpdesk/ui/requests/14047000006238111/details" TargetMode="External"/><Relationship Id="rId1674" Type="http://schemas.openxmlformats.org/officeDocument/2006/relationships/hyperlink" Target="https://ncgtc.sdpondemand.manageengine.in/app/apphelpdesk/ui/requests/14047000006238092/details" TargetMode="External"/><Relationship Id="rId1673" Type="http://schemas.openxmlformats.org/officeDocument/2006/relationships/hyperlink" Target="https://ncgtc.sdpondemand.manageengine.in/app/apphelpdesk/ui/requests/14047000006238039/details" TargetMode="External"/><Relationship Id="rId1672" Type="http://schemas.openxmlformats.org/officeDocument/2006/relationships/hyperlink" Target="https://ncgtc.sdpondemand.manageengine.in/app/apphelpdesk/ui/requests/14047000006238026/details" TargetMode="External"/><Relationship Id="rId1671" Type="http://schemas.openxmlformats.org/officeDocument/2006/relationships/hyperlink" Target="https://ncgtc.sdpondemand.manageengine.in/app/apphelpdesk/ui/requests/14047000006238004/details" TargetMode="External"/><Relationship Id="rId1670" Type="http://schemas.openxmlformats.org/officeDocument/2006/relationships/hyperlink" Target="https://ncgtc.sdpondemand.manageengine.in/app/apphelpdesk/ui/requests/14047000006227970/details" TargetMode="External"/><Relationship Id="rId167" Type="http://schemas.openxmlformats.org/officeDocument/2006/relationships/hyperlink" Target="https://ncgtc.sdpondemand.manageengine.in/app/apphelpdesk/ui/requests/14047000005889742/details" TargetMode="External"/><Relationship Id="rId1669" Type="http://schemas.openxmlformats.org/officeDocument/2006/relationships/hyperlink" Target="https://ncgtc.sdpondemand.manageengine.in/app/apphelpdesk/ui/requests/14047000006227816/details" TargetMode="External"/><Relationship Id="rId1668" Type="http://schemas.openxmlformats.org/officeDocument/2006/relationships/hyperlink" Target="https://ncgtc.sdpondemand.manageengine.in/app/apphelpdesk/ui/requests/14047000006227803/details" TargetMode="External"/><Relationship Id="rId1667" Type="http://schemas.openxmlformats.org/officeDocument/2006/relationships/hyperlink" Target="https://ncgtc.sdpondemand.manageengine.in/app/apphelpdesk/ui/requests/14047000006227768/details" TargetMode="External"/><Relationship Id="rId1666" Type="http://schemas.openxmlformats.org/officeDocument/2006/relationships/hyperlink" Target="https://ncgtc.sdpondemand.manageengine.in/app/apphelpdesk/ui/requests/14047000006227744/details" TargetMode="External"/><Relationship Id="rId1665" Type="http://schemas.openxmlformats.org/officeDocument/2006/relationships/hyperlink" Target="https://ncgtc.sdpondemand.manageengine.in/app/apphelpdesk/ui/requests/14047000006227732/details" TargetMode="External"/><Relationship Id="rId1664" Type="http://schemas.openxmlformats.org/officeDocument/2006/relationships/hyperlink" Target="https://ncgtc.sdpondemand.manageengine.in/app/apphelpdesk/ui/requests/14047000006227645/details" TargetMode="External"/><Relationship Id="rId1663" Type="http://schemas.openxmlformats.org/officeDocument/2006/relationships/hyperlink" Target="https://ncgtc.sdpondemand.manageengine.in/app/apphelpdesk/ui/requests/14047000006227629/details" TargetMode="External"/><Relationship Id="rId1662" Type="http://schemas.openxmlformats.org/officeDocument/2006/relationships/hyperlink" Target="https://ncgtc.sdpondemand.manageengine.in/app/apphelpdesk/ui/requests/14047000006227612/details" TargetMode="External"/><Relationship Id="rId1661" Type="http://schemas.openxmlformats.org/officeDocument/2006/relationships/hyperlink" Target="https://ncgtc.sdpondemand.manageengine.in/app/apphelpdesk/ui/requests/14047000006227588/details" TargetMode="External"/><Relationship Id="rId1660" Type="http://schemas.openxmlformats.org/officeDocument/2006/relationships/hyperlink" Target="https://ncgtc.sdpondemand.manageengine.in/app/apphelpdesk/ui/requests/14047000006227565/details" TargetMode="External"/><Relationship Id="rId166" Type="http://schemas.openxmlformats.org/officeDocument/2006/relationships/hyperlink" Target="https://ncgtc.sdpondemand.manageengine.in/app/apphelpdesk/ui/requests/14047000005889697/details" TargetMode="External"/><Relationship Id="rId1659" Type="http://schemas.openxmlformats.org/officeDocument/2006/relationships/hyperlink" Target="https://ncgtc.sdpondemand.manageengine.in/app/apphelpdesk/ui/requests/14047000006227553/details" TargetMode="External"/><Relationship Id="rId1658" Type="http://schemas.openxmlformats.org/officeDocument/2006/relationships/hyperlink" Target="https://ncgtc.sdpondemand.manageengine.in/app/apphelpdesk/ui/requests/14047000006227540/details" TargetMode="External"/><Relationship Id="rId1657" Type="http://schemas.openxmlformats.org/officeDocument/2006/relationships/hyperlink" Target="https://ncgtc.sdpondemand.manageengine.in/app/apphelpdesk/ui/requests/14047000006227478/details" TargetMode="External"/><Relationship Id="rId1656" Type="http://schemas.openxmlformats.org/officeDocument/2006/relationships/hyperlink" Target="https://ncgtc.sdpondemand.manageengine.in/app/apphelpdesk/ui/requests/14047000006227422/details" TargetMode="External"/><Relationship Id="rId1655" Type="http://schemas.openxmlformats.org/officeDocument/2006/relationships/hyperlink" Target="https://ncgtc.sdpondemand.manageengine.in/app/apphelpdesk/ui/requests/14047000006227409/details" TargetMode="External"/><Relationship Id="rId1654" Type="http://schemas.openxmlformats.org/officeDocument/2006/relationships/hyperlink" Target="https://ncgtc.sdpondemand.manageengine.in/app/apphelpdesk/ui/requests/14047000006227396/details" TargetMode="External"/><Relationship Id="rId1653" Type="http://schemas.openxmlformats.org/officeDocument/2006/relationships/hyperlink" Target="https://ncgtc.sdpondemand.manageengine.in/app/apphelpdesk/ui/requests/14047000006227380/details" TargetMode="External"/><Relationship Id="rId1652" Type="http://schemas.openxmlformats.org/officeDocument/2006/relationships/hyperlink" Target="https://ncgtc.sdpondemand.manageengine.in/app/apphelpdesk/ui/requests/14047000006227352/details" TargetMode="External"/><Relationship Id="rId1651" Type="http://schemas.openxmlformats.org/officeDocument/2006/relationships/hyperlink" Target="https://ncgtc.sdpondemand.manageengine.in/app/apphelpdesk/ui/requests/14047000006227298/details" TargetMode="External"/><Relationship Id="rId1650" Type="http://schemas.openxmlformats.org/officeDocument/2006/relationships/hyperlink" Target="https://ncgtc.sdpondemand.manageengine.in/app/apphelpdesk/ui/requests/14047000006227285/details" TargetMode="External"/><Relationship Id="rId165" Type="http://schemas.openxmlformats.org/officeDocument/2006/relationships/hyperlink" Target="https://ncgtc.sdpondemand.manageengine.in/app/apphelpdesk/ui/requests/14047000005889660/details" TargetMode="External"/><Relationship Id="rId1649" Type="http://schemas.openxmlformats.org/officeDocument/2006/relationships/hyperlink" Target="https://ncgtc.sdpondemand.manageengine.in/app/apphelpdesk/ui/requests/14047000006227228/details" TargetMode="External"/><Relationship Id="rId1648" Type="http://schemas.openxmlformats.org/officeDocument/2006/relationships/hyperlink" Target="https://ncgtc.sdpondemand.manageengine.in/app/apphelpdesk/ui/requests/14047000006227209/details" TargetMode="External"/><Relationship Id="rId1647" Type="http://schemas.openxmlformats.org/officeDocument/2006/relationships/hyperlink" Target="https://ncgtc.sdpondemand.manageengine.in/app/apphelpdesk/ui/requests/14047000006227178/details" TargetMode="External"/><Relationship Id="rId1646" Type="http://schemas.openxmlformats.org/officeDocument/2006/relationships/hyperlink" Target="https://ncgtc.sdpondemand.manageengine.in/app/apphelpdesk/ui/requests/14047000006227147/details" TargetMode="External"/><Relationship Id="rId1645" Type="http://schemas.openxmlformats.org/officeDocument/2006/relationships/hyperlink" Target="https://ncgtc.sdpondemand.manageengine.in/app/apphelpdesk/ui/requests/14047000006227116/details" TargetMode="External"/><Relationship Id="rId1644" Type="http://schemas.openxmlformats.org/officeDocument/2006/relationships/hyperlink" Target="https://ncgtc.sdpondemand.manageengine.in/app/apphelpdesk/ui/requests/14047000006227104/details" TargetMode="External"/><Relationship Id="rId1643" Type="http://schemas.openxmlformats.org/officeDocument/2006/relationships/hyperlink" Target="https://ncgtc.sdpondemand.manageengine.in/app/apphelpdesk/ui/requests/14047000006227074/details" TargetMode="External"/><Relationship Id="rId1642" Type="http://schemas.openxmlformats.org/officeDocument/2006/relationships/hyperlink" Target="https://ncgtc.sdpondemand.manageengine.in/app/apphelpdesk/ui/requests/14047000006227056/details" TargetMode="External"/><Relationship Id="rId1641" Type="http://schemas.openxmlformats.org/officeDocument/2006/relationships/hyperlink" Target="https://ncgtc.sdpondemand.manageengine.in/app/apphelpdesk/ui/requests/14047000006227025/details" TargetMode="External"/><Relationship Id="rId1640" Type="http://schemas.openxmlformats.org/officeDocument/2006/relationships/hyperlink" Target="https://ncgtc.sdpondemand.manageengine.in/app/apphelpdesk/ui/requests/14047000006227008/details" TargetMode="External"/><Relationship Id="rId164" Type="http://schemas.openxmlformats.org/officeDocument/2006/relationships/hyperlink" Target="https://ncgtc.sdpondemand.manageengine.in/app/apphelpdesk/ui/requests/14047000005889635/details" TargetMode="External"/><Relationship Id="rId1639" Type="http://schemas.openxmlformats.org/officeDocument/2006/relationships/hyperlink" Target="https://ncgtc.sdpondemand.manageengine.in/app/apphelpdesk/ui/requests/14047000006222893/details" TargetMode="External"/><Relationship Id="rId1638" Type="http://schemas.openxmlformats.org/officeDocument/2006/relationships/hyperlink" Target="https://ncgtc.sdpondemand.manageengine.in/app/apphelpdesk/ui/requests/14047000006222866/details" TargetMode="External"/><Relationship Id="rId1637" Type="http://schemas.openxmlformats.org/officeDocument/2006/relationships/hyperlink" Target="https://ncgtc.sdpondemand.manageengine.in/app/apphelpdesk/ui/requests/14047000006222843/details" TargetMode="External"/><Relationship Id="rId1636" Type="http://schemas.openxmlformats.org/officeDocument/2006/relationships/hyperlink" Target="https://ncgtc.sdpondemand.manageengine.in/app/apphelpdesk/ui/requests/14047000006222820/details" TargetMode="External"/><Relationship Id="rId1635" Type="http://schemas.openxmlformats.org/officeDocument/2006/relationships/hyperlink" Target="https://ncgtc.sdpondemand.manageengine.in/app/apphelpdesk/ui/requests/14047000006222794/details" TargetMode="External"/><Relationship Id="rId1634" Type="http://schemas.openxmlformats.org/officeDocument/2006/relationships/hyperlink" Target="https://ncgtc.sdpondemand.manageengine.in/app/apphelpdesk/ui/requests/14047000006222736/details" TargetMode="External"/><Relationship Id="rId1633" Type="http://schemas.openxmlformats.org/officeDocument/2006/relationships/hyperlink" Target="https://ncgtc.sdpondemand.manageengine.in/app/apphelpdesk/ui/requests/14047000006222691/details" TargetMode="External"/><Relationship Id="rId1632" Type="http://schemas.openxmlformats.org/officeDocument/2006/relationships/hyperlink" Target="https://ncgtc.sdpondemand.manageengine.in/app/apphelpdesk/ui/requests/14047000006222669/details" TargetMode="External"/><Relationship Id="rId1631" Type="http://schemas.openxmlformats.org/officeDocument/2006/relationships/hyperlink" Target="https://ncgtc.sdpondemand.manageengine.in/app/apphelpdesk/ui/requests/14047000006222630/details" TargetMode="External"/><Relationship Id="rId1630" Type="http://schemas.openxmlformats.org/officeDocument/2006/relationships/hyperlink" Target="https://ncgtc.sdpondemand.manageengine.in/app/apphelpdesk/ui/requests/14047000006222605/details" TargetMode="External"/><Relationship Id="rId163" Type="http://schemas.openxmlformats.org/officeDocument/2006/relationships/hyperlink" Target="https://ncgtc.sdpondemand.manageengine.in/app/apphelpdesk/ui/requests/14047000005889626/details" TargetMode="External"/><Relationship Id="rId1629" Type="http://schemas.openxmlformats.org/officeDocument/2006/relationships/hyperlink" Target="https://ncgtc.sdpondemand.manageengine.in/app/apphelpdesk/ui/requests/14047000006222579/details" TargetMode="External"/><Relationship Id="rId1628" Type="http://schemas.openxmlformats.org/officeDocument/2006/relationships/hyperlink" Target="https://ncgtc.sdpondemand.manageengine.in/app/apphelpdesk/ui/requests/14047000006222472/details" TargetMode="External"/><Relationship Id="rId1627" Type="http://schemas.openxmlformats.org/officeDocument/2006/relationships/hyperlink" Target="https://ncgtc.sdpondemand.manageengine.in/app/apphelpdesk/ui/requests/14047000006222454/details" TargetMode="External"/><Relationship Id="rId1626" Type="http://schemas.openxmlformats.org/officeDocument/2006/relationships/hyperlink" Target="https://ncgtc.sdpondemand.manageengine.in/app/apphelpdesk/ui/requests/14047000006222421/details" TargetMode="External"/><Relationship Id="rId1625" Type="http://schemas.openxmlformats.org/officeDocument/2006/relationships/hyperlink" Target="https://ncgtc.sdpondemand.manageengine.in/app/apphelpdesk/ui/requests/14047000006222365/details" TargetMode="External"/><Relationship Id="rId1624" Type="http://schemas.openxmlformats.org/officeDocument/2006/relationships/hyperlink" Target="https://ncgtc.sdpondemand.manageengine.in/app/apphelpdesk/ui/requests/14047000006222342/details" TargetMode="External"/><Relationship Id="rId1623" Type="http://schemas.openxmlformats.org/officeDocument/2006/relationships/hyperlink" Target="https://ncgtc.sdpondemand.manageengine.in/app/apphelpdesk/ui/requests/14047000006222330/details" TargetMode="External"/><Relationship Id="rId1622" Type="http://schemas.openxmlformats.org/officeDocument/2006/relationships/hyperlink" Target="https://ncgtc.sdpondemand.manageengine.in/app/apphelpdesk/ui/requests/14047000006222249/details" TargetMode="External"/><Relationship Id="rId1621" Type="http://schemas.openxmlformats.org/officeDocument/2006/relationships/hyperlink" Target="https://ncgtc.sdpondemand.manageengine.in/app/apphelpdesk/ui/requests/14047000006222237/details" TargetMode="External"/><Relationship Id="rId1620" Type="http://schemas.openxmlformats.org/officeDocument/2006/relationships/hyperlink" Target="https://ncgtc.sdpondemand.manageengine.in/app/apphelpdesk/ui/requests/14047000006222205/details" TargetMode="External"/><Relationship Id="rId162" Type="http://schemas.openxmlformats.org/officeDocument/2006/relationships/hyperlink" Target="https://ncgtc.sdpondemand.manageengine.in/app/apphelpdesk/ui/requests/14047000005889603/details" TargetMode="External"/><Relationship Id="rId1619" Type="http://schemas.openxmlformats.org/officeDocument/2006/relationships/hyperlink" Target="https://ncgtc.sdpondemand.manageengine.in/app/apphelpdesk/ui/requests/14047000006222136/details" TargetMode="External"/><Relationship Id="rId1618" Type="http://schemas.openxmlformats.org/officeDocument/2006/relationships/hyperlink" Target="https://ncgtc.sdpondemand.manageengine.in/app/apphelpdesk/ui/requests/14047000006222106/details" TargetMode="External"/><Relationship Id="rId1617" Type="http://schemas.openxmlformats.org/officeDocument/2006/relationships/hyperlink" Target="https://ncgtc.sdpondemand.manageengine.in/app/apphelpdesk/ui/requests/14047000006222081/details" TargetMode="External"/><Relationship Id="rId1616" Type="http://schemas.openxmlformats.org/officeDocument/2006/relationships/hyperlink" Target="https://ncgtc.sdpondemand.manageengine.in/app/apphelpdesk/ui/requests/14047000006222030/details" TargetMode="External"/><Relationship Id="rId1615" Type="http://schemas.openxmlformats.org/officeDocument/2006/relationships/hyperlink" Target="https://ncgtc.sdpondemand.manageengine.in/app/apphelpdesk/ui/requests/14047000006216984/details" TargetMode="External"/><Relationship Id="rId1614" Type="http://schemas.openxmlformats.org/officeDocument/2006/relationships/hyperlink" Target="https://ncgtc.sdpondemand.manageengine.in/app/apphelpdesk/ui/requests/14047000006216961/details" TargetMode="External"/><Relationship Id="rId1613" Type="http://schemas.openxmlformats.org/officeDocument/2006/relationships/hyperlink" Target="https://ncgtc.sdpondemand.manageengine.in/app/apphelpdesk/ui/requests/14047000006216921/details" TargetMode="External"/><Relationship Id="rId1612" Type="http://schemas.openxmlformats.org/officeDocument/2006/relationships/hyperlink" Target="https://ncgtc.sdpondemand.manageengine.in/app/apphelpdesk/ui/requests/14047000006216876/details" TargetMode="External"/><Relationship Id="rId1611" Type="http://schemas.openxmlformats.org/officeDocument/2006/relationships/hyperlink" Target="https://ncgtc.sdpondemand.manageengine.in/app/apphelpdesk/ui/requests/14047000006216851/details" TargetMode="External"/><Relationship Id="rId1610" Type="http://schemas.openxmlformats.org/officeDocument/2006/relationships/hyperlink" Target="https://ncgtc.sdpondemand.manageengine.in/app/apphelpdesk/ui/requests/14047000006216839/details" TargetMode="External"/><Relationship Id="rId161" Type="http://schemas.openxmlformats.org/officeDocument/2006/relationships/hyperlink" Target="https://ncgtc.sdpondemand.manageengine.in/app/apphelpdesk/ui/requests/14047000005889593/details" TargetMode="External"/><Relationship Id="rId1609" Type="http://schemas.openxmlformats.org/officeDocument/2006/relationships/hyperlink" Target="https://ncgtc.sdpondemand.manageengine.in/app/apphelpdesk/ui/requests/14047000006216817/details" TargetMode="External"/><Relationship Id="rId1608" Type="http://schemas.openxmlformats.org/officeDocument/2006/relationships/hyperlink" Target="https://ncgtc.sdpondemand.manageengine.in/app/apphelpdesk/ui/requests/14047000006216798/details" TargetMode="External"/><Relationship Id="rId1607" Type="http://schemas.openxmlformats.org/officeDocument/2006/relationships/hyperlink" Target="https://ncgtc.sdpondemand.manageengine.in/app/apphelpdesk/ui/requests/14047000006216780/details" TargetMode="External"/><Relationship Id="rId1606" Type="http://schemas.openxmlformats.org/officeDocument/2006/relationships/hyperlink" Target="https://ncgtc.sdpondemand.manageengine.in/app/apphelpdesk/ui/requests/14047000006216766/details" TargetMode="External"/><Relationship Id="rId1605" Type="http://schemas.openxmlformats.org/officeDocument/2006/relationships/hyperlink" Target="https://ncgtc.sdpondemand.manageengine.in/app/apphelpdesk/ui/requests/14047000006216743/details" TargetMode="External"/><Relationship Id="rId1604" Type="http://schemas.openxmlformats.org/officeDocument/2006/relationships/hyperlink" Target="https://ncgtc.sdpondemand.manageengine.in/app/apphelpdesk/ui/requests/14047000006216726/details" TargetMode="External"/><Relationship Id="rId1603" Type="http://schemas.openxmlformats.org/officeDocument/2006/relationships/hyperlink" Target="https://ncgtc.sdpondemand.manageengine.in/app/apphelpdesk/ui/requests/14047000006216713/details" TargetMode="External"/><Relationship Id="rId1602" Type="http://schemas.openxmlformats.org/officeDocument/2006/relationships/hyperlink" Target="https://ncgtc.sdpondemand.manageengine.in/app/apphelpdesk/ui/requests/14047000006216669/details" TargetMode="External"/><Relationship Id="rId1601" Type="http://schemas.openxmlformats.org/officeDocument/2006/relationships/hyperlink" Target="https://ncgtc.sdpondemand.manageengine.in/app/apphelpdesk/ui/requests/14047000006216651/details" TargetMode="External"/><Relationship Id="rId1600" Type="http://schemas.openxmlformats.org/officeDocument/2006/relationships/hyperlink" Target="https://ncgtc.sdpondemand.manageengine.in/app/apphelpdesk/ui/requests/14047000006216602/details" TargetMode="External"/><Relationship Id="rId160" Type="http://schemas.openxmlformats.org/officeDocument/2006/relationships/hyperlink" Target="https://ncgtc.sdpondemand.manageengine.in/app/apphelpdesk/ui/requests/14047000005889573/details" TargetMode="External"/><Relationship Id="rId16" Type="http://schemas.openxmlformats.org/officeDocument/2006/relationships/hyperlink" Target="https://ncgtc.sdpondemand.manageengine.in/app/apphelpdesk/ui/requests/14047000005854346/details" TargetMode="External"/><Relationship Id="rId1599" Type="http://schemas.openxmlformats.org/officeDocument/2006/relationships/hyperlink" Target="https://ncgtc.sdpondemand.manageengine.in/app/apphelpdesk/ui/requests/14047000006216572/details" TargetMode="External"/><Relationship Id="rId1598" Type="http://schemas.openxmlformats.org/officeDocument/2006/relationships/hyperlink" Target="https://ncgtc.sdpondemand.manageengine.in/app/apphelpdesk/ui/requests/14047000006216543/details" TargetMode="External"/><Relationship Id="rId1597" Type="http://schemas.openxmlformats.org/officeDocument/2006/relationships/hyperlink" Target="https://ncgtc.sdpondemand.manageengine.in/app/apphelpdesk/ui/requests/14047000006216521/details" TargetMode="External"/><Relationship Id="rId1596" Type="http://schemas.openxmlformats.org/officeDocument/2006/relationships/hyperlink" Target="https://ncgtc.sdpondemand.manageengine.in/app/apphelpdesk/ui/requests/14047000006216496/details" TargetMode="External"/><Relationship Id="rId1595" Type="http://schemas.openxmlformats.org/officeDocument/2006/relationships/hyperlink" Target="https://ncgtc.sdpondemand.manageengine.in/app/apphelpdesk/ui/requests/14047000006216478/details" TargetMode="External"/><Relationship Id="rId1594" Type="http://schemas.openxmlformats.org/officeDocument/2006/relationships/hyperlink" Target="https://ncgtc.sdpondemand.manageengine.in/app/apphelpdesk/ui/requests/14047000006216460/details" TargetMode="External"/><Relationship Id="rId1593" Type="http://schemas.openxmlformats.org/officeDocument/2006/relationships/hyperlink" Target="https://ncgtc.sdpondemand.manageengine.in/app/apphelpdesk/ui/requests/14047000006216419/details" TargetMode="External"/><Relationship Id="rId1592" Type="http://schemas.openxmlformats.org/officeDocument/2006/relationships/hyperlink" Target="https://ncgtc.sdpondemand.manageengine.in/app/apphelpdesk/ui/requests/14047000006216403/details" TargetMode="External"/><Relationship Id="rId1591" Type="http://schemas.openxmlformats.org/officeDocument/2006/relationships/hyperlink" Target="https://ncgtc.sdpondemand.manageengine.in/app/apphelpdesk/ui/requests/14047000006216391/details" TargetMode="External"/><Relationship Id="rId1590" Type="http://schemas.openxmlformats.org/officeDocument/2006/relationships/hyperlink" Target="https://ncgtc.sdpondemand.manageengine.in/app/apphelpdesk/ui/requests/14047000006216352/details" TargetMode="External"/><Relationship Id="rId159" Type="http://schemas.openxmlformats.org/officeDocument/2006/relationships/hyperlink" Target="https://ncgtc.sdpondemand.manageengine.in/app/apphelpdesk/ui/requests/14047000005889551/details" TargetMode="External"/><Relationship Id="rId1589" Type="http://schemas.openxmlformats.org/officeDocument/2006/relationships/hyperlink" Target="https://ncgtc.sdpondemand.manageengine.in/app/apphelpdesk/ui/requests/14047000006216320/details" TargetMode="External"/><Relationship Id="rId1588" Type="http://schemas.openxmlformats.org/officeDocument/2006/relationships/hyperlink" Target="https://ncgtc.sdpondemand.manageengine.in/app/apphelpdesk/ui/requests/14047000006216307/details" TargetMode="External"/><Relationship Id="rId1587" Type="http://schemas.openxmlformats.org/officeDocument/2006/relationships/hyperlink" Target="https://ncgtc.sdpondemand.manageengine.in/app/apphelpdesk/ui/requests/14047000006216292/details" TargetMode="External"/><Relationship Id="rId1586" Type="http://schemas.openxmlformats.org/officeDocument/2006/relationships/hyperlink" Target="https://ncgtc.sdpondemand.manageengine.in/app/apphelpdesk/ui/requests/14047000006216235/details" TargetMode="External"/><Relationship Id="rId1585" Type="http://schemas.openxmlformats.org/officeDocument/2006/relationships/hyperlink" Target="https://ncgtc.sdpondemand.manageengine.in/app/apphelpdesk/ui/requests/14047000006216196/details" TargetMode="External"/><Relationship Id="rId1584" Type="http://schemas.openxmlformats.org/officeDocument/2006/relationships/hyperlink" Target="https://ncgtc.sdpondemand.manageengine.in/app/apphelpdesk/ui/requests/14047000006216166/details" TargetMode="External"/><Relationship Id="rId1583" Type="http://schemas.openxmlformats.org/officeDocument/2006/relationships/hyperlink" Target="https://ncgtc.sdpondemand.manageengine.in/app/apphelpdesk/ui/requests/14047000006216153/details" TargetMode="External"/><Relationship Id="rId1582" Type="http://schemas.openxmlformats.org/officeDocument/2006/relationships/hyperlink" Target="https://ncgtc.sdpondemand.manageengine.in/app/apphelpdesk/ui/requests/14047000006216111/details" TargetMode="External"/><Relationship Id="rId1581" Type="http://schemas.openxmlformats.org/officeDocument/2006/relationships/hyperlink" Target="https://ncgtc.sdpondemand.manageengine.in/app/apphelpdesk/ui/requests/14047000006216092/details" TargetMode="External"/><Relationship Id="rId1580" Type="http://schemas.openxmlformats.org/officeDocument/2006/relationships/hyperlink" Target="https://ncgtc.sdpondemand.manageengine.in/app/apphelpdesk/ui/requests/14047000006216075/details" TargetMode="External"/><Relationship Id="rId158" Type="http://schemas.openxmlformats.org/officeDocument/2006/relationships/hyperlink" Target="https://ncgtc.sdpondemand.manageengine.in/app/apphelpdesk/ui/requests/14047000005889530/details" TargetMode="External"/><Relationship Id="rId1579" Type="http://schemas.openxmlformats.org/officeDocument/2006/relationships/hyperlink" Target="https://ncgtc.sdpondemand.manageengine.in/app/apphelpdesk/ui/requests/14047000006216052/details" TargetMode="External"/><Relationship Id="rId1578" Type="http://schemas.openxmlformats.org/officeDocument/2006/relationships/hyperlink" Target="https://ncgtc.sdpondemand.manageengine.in/app/apphelpdesk/ui/requests/14047000006216040/details" TargetMode="External"/><Relationship Id="rId1577" Type="http://schemas.openxmlformats.org/officeDocument/2006/relationships/hyperlink" Target="https://ncgtc.sdpondemand.manageengine.in/app/apphelpdesk/ui/requests/14047000006216025/details" TargetMode="External"/><Relationship Id="rId1576" Type="http://schemas.openxmlformats.org/officeDocument/2006/relationships/hyperlink" Target="https://ncgtc.sdpondemand.manageengine.in/app/apphelpdesk/ui/requests/14047000006211956/details" TargetMode="External"/><Relationship Id="rId1575" Type="http://schemas.openxmlformats.org/officeDocument/2006/relationships/hyperlink" Target="https://ncgtc.sdpondemand.manageengine.in/app/apphelpdesk/ui/requests/14047000006211917/details" TargetMode="External"/><Relationship Id="rId1574" Type="http://schemas.openxmlformats.org/officeDocument/2006/relationships/hyperlink" Target="https://ncgtc.sdpondemand.manageengine.in/app/apphelpdesk/ui/requests/14047000006211904/details" TargetMode="External"/><Relationship Id="rId1573" Type="http://schemas.openxmlformats.org/officeDocument/2006/relationships/hyperlink" Target="https://ncgtc.sdpondemand.manageengine.in/app/apphelpdesk/ui/requests/14047000006211887/details" TargetMode="External"/><Relationship Id="rId1572" Type="http://schemas.openxmlformats.org/officeDocument/2006/relationships/hyperlink" Target="https://ncgtc.sdpondemand.manageengine.in/app/apphelpdesk/ui/requests/14047000006211827/details" TargetMode="External"/><Relationship Id="rId1571" Type="http://schemas.openxmlformats.org/officeDocument/2006/relationships/hyperlink" Target="https://ncgtc.sdpondemand.manageengine.in/app/apphelpdesk/ui/requests/14047000006211788/details" TargetMode="External"/><Relationship Id="rId1570" Type="http://schemas.openxmlformats.org/officeDocument/2006/relationships/hyperlink" Target="https://ncgtc.sdpondemand.manageengine.in/app/apphelpdesk/ui/requests/14047000006211769/details" TargetMode="External"/><Relationship Id="rId157" Type="http://schemas.openxmlformats.org/officeDocument/2006/relationships/hyperlink" Target="https://ncgtc.sdpondemand.manageengine.in/app/apphelpdesk/ui/requests/14047000005889505/details" TargetMode="External"/><Relationship Id="rId1569" Type="http://schemas.openxmlformats.org/officeDocument/2006/relationships/hyperlink" Target="https://ncgtc.sdpondemand.manageengine.in/app/apphelpdesk/ui/requests/14047000006211653/details" TargetMode="External"/><Relationship Id="rId1568" Type="http://schemas.openxmlformats.org/officeDocument/2006/relationships/hyperlink" Target="https://ncgtc.sdpondemand.manageengine.in/app/apphelpdesk/ui/requests/14047000006211636/details" TargetMode="External"/><Relationship Id="rId1567" Type="http://schemas.openxmlformats.org/officeDocument/2006/relationships/hyperlink" Target="https://ncgtc.sdpondemand.manageengine.in/app/apphelpdesk/ui/requests/14047000006211623/details" TargetMode="External"/><Relationship Id="rId1566" Type="http://schemas.openxmlformats.org/officeDocument/2006/relationships/hyperlink" Target="https://ncgtc.sdpondemand.manageengine.in/app/apphelpdesk/ui/requests/14047000006211597/details" TargetMode="External"/><Relationship Id="rId1565" Type="http://schemas.openxmlformats.org/officeDocument/2006/relationships/hyperlink" Target="https://ncgtc.sdpondemand.manageengine.in/app/apphelpdesk/ui/requests/14047000006211554/details" TargetMode="External"/><Relationship Id="rId1564" Type="http://schemas.openxmlformats.org/officeDocument/2006/relationships/hyperlink" Target="https://ncgtc.sdpondemand.manageengine.in/app/apphelpdesk/ui/requests/14047000006211479/details" TargetMode="External"/><Relationship Id="rId1563" Type="http://schemas.openxmlformats.org/officeDocument/2006/relationships/hyperlink" Target="https://ncgtc.sdpondemand.manageengine.in/app/apphelpdesk/ui/requests/14047000006211447/details" TargetMode="External"/><Relationship Id="rId1562" Type="http://schemas.openxmlformats.org/officeDocument/2006/relationships/hyperlink" Target="https://ncgtc.sdpondemand.manageengine.in/app/apphelpdesk/ui/requests/14047000006211401/details" TargetMode="External"/><Relationship Id="rId1561" Type="http://schemas.openxmlformats.org/officeDocument/2006/relationships/hyperlink" Target="https://ncgtc.sdpondemand.manageengine.in/app/apphelpdesk/ui/requests/14047000006211372/details" TargetMode="External"/><Relationship Id="rId1560" Type="http://schemas.openxmlformats.org/officeDocument/2006/relationships/hyperlink" Target="https://ncgtc.sdpondemand.manageengine.in/app/apphelpdesk/ui/requests/14047000006211353/details" TargetMode="External"/><Relationship Id="rId156" Type="http://schemas.openxmlformats.org/officeDocument/2006/relationships/hyperlink" Target="https://ncgtc.sdpondemand.manageengine.in/app/apphelpdesk/ui/requests/14047000005889394/details" TargetMode="External"/><Relationship Id="rId1559" Type="http://schemas.openxmlformats.org/officeDocument/2006/relationships/hyperlink" Target="https://ncgtc.sdpondemand.manageengine.in/app/apphelpdesk/ui/requests/14047000006211335/details" TargetMode="External"/><Relationship Id="rId1558" Type="http://schemas.openxmlformats.org/officeDocument/2006/relationships/hyperlink" Target="https://ncgtc.sdpondemand.manageengine.in/app/apphelpdesk/ui/requests/14047000006211312/details" TargetMode="External"/><Relationship Id="rId1557" Type="http://schemas.openxmlformats.org/officeDocument/2006/relationships/hyperlink" Target="https://ncgtc.sdpondemand.manageengine.in/app/apphelpdesk/ui/requests/14047000006211291/details" TargetMode="External"/><Relationship Id="rId1556" Type="http://schemas.openxmlformats.org/officeDocument/2006/relationships/hyperlink" Target="https://ncgtc.sdpondemand.manageengine.in/app/apphelpdesk/ui/requests/14047000006211270/details" TargetMode="External"/><Relationship Id="rId1555" Type="http://schemas.openxmlformats.org/officeDocument/2006/relationships/hyperlink" Target="https://ncgtc.sdpondemand.manageengine.in/app/apphelpdesk/ui/requests/14047000006211251/details" TargetMode="External"/><Relationship Id="rId1554" Type="http://schemas.openxmlformats.org/officeDocument/2006/relationships/hyperlink" Target="https://ncgtc.sdpondemand.manageengine.in/app/apphelpdesk/ui/requests/14047000006211238/details" TargetMode="External"/><Relationship Id="rId1553" Type="http://schemas.openxmlformats.org/officeDocument/2006/relationships/hyperlink" Target="https://ncgtc.sdpondemand.manageengine.in/app/apphelpdesk/ui/requests/14047000006211196/details" TargetMode="External"/><Relationship Id="rId1552" Type="http://schemas.openxmlformats.org/officeDocument/2006/relationships/hyperlink" Target="https://ncgtc.sdpondemand.manageengine.in/app/apphelpdesk/ui/requests/14047000006211177/details" TargetMode="External"/><Relationship Id="rId1551" Type="http://schemas.openxmlformats.org/officeDocument/2006/relationships/hyperlink" Target="https://ncgtc.sdpondemand.manageengine.in/app/apphelpdesk/ui/requests/14047000006211164/details" TargetMode="External"/><Relationship Id="rId1550" Type="http://schemas.openxmlformats.org/officeDocument/2006/relationships/hyperlink" Target="https://ncgtc.sdpondemand.manageengine.in/app/apphelpdesk/ui/requests/14047000006211151/details" TargetMode="External"/><Relationship Id="rId155" Type="http://schemas.openxmlformats.org/officeDocument/2006/relationships/hyperlink" Target="https://ncgtc.sdpondemand.manageengine.in/app/apphelpdesk/ui/requests/14047000005889363/details" TargetMode="External"/><Relationship Id="rId1549" Type="http://schemas.openxmlformats.org/officeDocument/2006/relationships/hyperlink" Target="https://ncgtc.sdpondemand.manageengine.in/app/apphelpdesk/ui/requests/14047000006211134/details" TargetMode="External"/><Relationship Id="rId1548" Type="http://schemas.openxmlformats.org/officeDocument/2006/relationships/hyperlink" Target="https://ncgtc.sdpondemand.manageengine.in/app/apphelpdesk/ui/requests/14047000006211117/details" TargetMode="External"/><Relationship Id="rId1547" Type="http://schemas.openxmlformats.org/officeDocument/2006/relationships/hyperlink" Target="https://ncgtc.sdpondemand.manageengine.in/app/apphelpdesk/ui/requests/14047000006211073/details" TargetMode="External"/><Relationship Id="rId1546" Type="http://schemas.openxmlformats.org/officeDocument/2006/relationships/hyperlink" Target="https://ncgtc.sdpondemand.manageengine.in/app/apphelpdesk/ui/requests/14047000006211044/details" TargetMode="External"/><Relationship Id="rId1545" Type="http://schemas.openxmlformats.org/officeDocument/2006/relationships/hyperlink" Target="https://ncgtc.sdpondemand.manageengine.in/app/apphelpdesk/ui/requests/14047000006206981/details" TargetMode="External"/><Relationship Id="rId1544" Type="http://schemas.openxmlformats.org/officeDocument/2006/relationships/hyperlink" Target="https://ncgtc.sdpondemand.manageengine.in/app/apphelpdesk/ui/requests/14047000006206943/details" TargetMode="External"/><Relationship Id="rId1543" Type="http://schemas.openxmlformats.org/officeDocument/2006/relationships/hyperlink" Target="https://ncgtc.sdpondemand.manageengine.in/app/apphelpdesk/ui/requests/14047000006206899/details" TargetMode="External"/><Relationship Id="rId1542" Type="http://schemas.openxmlformats.org/officeDocument/2006/relationships/hyperlink" Target="https://ncgtc.sdpondemand.manageengine.in/app/apphelpdesk/ui/requests/14047000006206881/details" TargetMode="External"/><Relationship Id="rId1541" Type="http://schemas.openxmlformats.org/officeDocument/2006/relationships/hyperlink" Target="https://ncgtc.sdpondemand.manageengine.in/app/apphelpdesk/ui/requests/14047000006206826/details" TargetMode="External"/><Relationship Id="rId1540" Type="http://schemas.openxmlformats.org/officeDocument/2006/relationships/hyperlink" Target="https://ncgtc.sdpondemand.manageengine.in/app/apphelpdesk/ui/requests/14047000006206780/details" TargetMode="External"/><Relationship Id="rId154" Type="http://schemas.openxmlformats.org/officeDocument/2006/relationships/hyperlink" Target="https://ncgtc.sdpondemand.manageengine.in/app/apphelpdesk/ui/requests/14047000005889321/details" TargetMode="External"/><Relationship Id="rId1539" Type="http://schemas.openxmlformats.org/officeDocument/2006/relationships/hyperlink" Target="https://ncgtc.sdpondemand.manageengine.in/app/apphelpdesk/ui/requests/14047000006206755/details" TargetMode="External"/><Relationship Id="rId1538" Type="http://schemas.openxmlformats.org/officeDocument/2006/relationships/hyperlink" Target="https://ncgtc.sdpondemand.manageengine.in/app/apphelpdesk/ui/requests/14047000006206742/details" TargetMode="External"/><Relationship Id="rId1537" Type="http://schemas.openxmlformats.org/officeDocument/2006/relationships/hyperlink" Target="https://ncgtc.sdpondemand.manageengine.in/app/apphelpdesk/ui/requests/14047000006206691/details" TargetMode="External"/><Relationship Id="rId1536" Type="http://schemas.openxmlformats.org/officeDocument/2006/relationships/hyperlink" Target="https://ncgtc.sdpondemand.manageengine.in/app/apphelpdesk/ui/requests/14047000006206593/details" TargetMode="External"/><Relationship Id="rId1535" Type="http://schemas.openxmlformats.org/officeDocument/2006/relationships/hyperlink" Target="https://ncgtc.sdpondemand.manageengine.in/app/apphelpdesk/ui/requests/14047000006206578/details" TargetMode="External"/><Relationship Id="rId1534" Type="http://schemas.openxmlformats.org/officeDocument/2006/relationships/hyperlink" Target="https://ncgtc.sdpondemand.manageengine.in/app/apphelpdesk/ui/requests/14047000006206566/details" TargetMode="External"/><Relationship Id="rId1533" Type="http://schemas.openxmlformats.org/officeDocument/2006/relationships/hyperlink" Target="https://ncgtc.sdpondemand.manageengine.in/app/apphelpdesk/ui/requests/14047000006206554/details" TargetMode="External"/><Relationship Id="rId1532" Type="http://schemas.openxmlformats.org/officeDocument/2006/relationships/hyperlink" Target="https://ncgtc.sdpondemand.manageengine.in/app/apphelpdesk/ui/requests/14047000006206537/details" TargetMode="External"/><Relationship Id="rId1531" Type="http://schemas.openxmlformats.org/officeDocument/2006/relationships/hyperlink" Target="https://ncgtc.sdpondemand.manageengine.in/app/apphelpdesk/ui/requests/14047000006206518/details" TargetMode="External"/><Relationship Id="rId1530" Type="http://schemas.openxmlformats.org/officeDocument/2006/relationships/hyperlink" Target="https://ncgtc.sdpondemand.manageengine.in/app/apphelpdesk/ui/requests/14047000006206473/details" TargetMode="External"/><Relationship Id="rId153" Type="http://schemas.openxmlformats.org/officeDocument/2006/relationships/hyperlink" Target="https://ncgtc.sdpondemand.manageengine.in/app/apphelpdesk/ui/requests/14047000005889296/details" TargetMode="External"/><Relationship Id="rId1529" Type="http://schemas.openxmlformats.org/officeDocument/2006/relationships/hyperlink" Target="https://ncgtc.sdpondemand.manageengine.in/app/apphelpdesk/ui/requests/14047000006206446/details" TargetMode="External"/><Relationship Id="rId1528" Type="http://schemas.openxmlformats.org/officeDocument/2006/relationships/hyperlink" Target="https://ncgtc.sdpondemand.manageengine.in/app/apphelpdesk/ui/requests/14047000006206419/details" TargetMode="External"/><Relationship Id="rId1527" Type="http://schemas.openxmlformats.org/officeDocument/2006/relationships/hyperlink" Target="https://ncgtc.sdpondemand.manageengine.in/app/apphelpdesk/ui/requests/14047000006206396/details" TargetMode="External"/><Relationship Id="rId1526" Type="http://schemas.openxmlformats.org/officeDocument/2006/relationships/hyperlink" Target="https://ncgtc.sdpondemand.manageengine.in/app/apphelpdesk/ui/requests/14047000006206328/details" TargetMode="External"/><Relationship Id="rId1525" Type="http://schemas.openxmlformats.org/officeDocument/2006/relationships/hyperlink" Target="https://ncgtc.sdpondemand.manageengine.in/app/apphelpdesk/ui/requests/14047000006206232/details" TargetMode="External"/><Relationship Id="rId1524" Type="http://schemas.openxmlformats.org/officeDocument/2006/relationships/hyperlink" Target="https://ncgtc.sdpondemand.manageengine.in/app/apphelpdesk/ui/requests/14047000006206198/details" TargetMode="External"/><Relationship Id="rId1523" Type="http://schemas.openxmlformats.org/officeDocument/2006/relationships/hyperlink" Target="https://ncgtc.sdpondemand.manageengine.in/app/apphelpdesk/ui/requests/14047000006206185/details" TargetMode="External"/><Relationship Id="rId1522" Type="http://schemas.openxmlformats.org/officeDocument/2006/relationships/hyperlink" Target="https://ncgtc.sdpondemand.manageengine.in/app/apphelpdesk/ui/requests/14047000006206156/details" TargetMode="External"/><Relationship Id="rId1521" Type="http://schemas.openxmlformats.org/officeDocument/2006/relationships/hyperlink" Target="https://ncgtc.sdpondemand.manageengine.in/app/apphelpdesk/ui/requests/14047000006206104/details" TargetMode="External"/><Relationship Id="rId1520" Type="http://schemas.openxmlformats.org/officeDocument/2006/relationships/hyperlink" Target="https://ncgtc.sdpondemand.manageengine.in/app/apphelpdesk/ui/requests/14047000006206073/details" TargetMode="External"/><Relationship Id="rId152" Type="http://schemas.openxmlformats.org/officeDocument/2006/relationships/hyperlink" Target="https://ncgtc.sdpondemand.manageengine.in/app/apphelpdesk/ui/requests/14047000005889283/details" TargetMode="External"/><Relationship Id="rId1519" Type="http://schemas.openxmlformats.org/officeDocument/2006/relationships/hyperlink" Target="https://ncgtc.sdpondemand.manageengine.in/app/apphelpdesk/ui/requests/14047000006206041/details" TargetMode="External"/><Relationship Id="rId1518" Type="http://schemas.openxmlformats.org/officeDocument/2006/relationships/hyperlink" Target="https://ncgtc.sdpondemand.manageengine.in/app/apphelpdesk/ui/requests/14047000006206001/details" TargetMode="External"/><Relationship Id="rId1517" Type="http://schemas.openxmlformats.org/officeDocument/2006/relationships/hyperlink" Target="https://ncgtc.sdpondemand.manageengine.in/app/apphelpdesk/ui/requests/14047000006202903/details" TargetMode="External"/><Relationship Id="rId1516" Type="http://schemas.openxmlformats.org/officeDocument/2006/relationships/hyperlink" Target="https://ncgtc.sdpondemand.manageengine.in/app/apphelpdesk/ui/requests/14047000006202867/details" TargetMode="External"/><Relationship Id="rId1515" Type="http://schemas.openxmlformats.org/officeDocument/2006/relationships/hyperlink" Target="https://ncgtc.sdpondemand.manageengine.in/app/apphelpdesk/ui/requests/14047000006202711/details" TargetMode="External"/><Relationship Id="rId1514" Type="http://schemas.openxmlformats.org/officeDocument/2006/relationships/hyperlink" Target="https://ncgtc.sdpondemand.manageengine.in/app/apphelpdesk/ui/requests/14047000006202591/details" TargetMode="External"/><Relationship Id="rId1513" Type="http://schemas.openxmlformats.org/officeDocument/2006/relationships/hyperlink" Target="https://ncgtc.sdpondemand.manageengine.in/app/apphelpdesk/ui/requests/14047000006202578/details" TargetMode="External"/><Relationship Id="rId1512" Type="http://schemas.openxmlformats.org/officeDocument/2006/relationships/hyperlink" Target="https://ncgtc.sdpondemand.manageengine.in/app/apphelpdesk/ui/requests/14047000006202552/details" TargetMode="External"/><Relationship Id="rId1511" Type="http://schemas.openxmlformats.org/officeDocument/2006/relationships/hyperlink" Target="https://ncgtc.sdpondemand.manageengine.in/app/apphelpdesk/ui/requests/14047000006202518/details" TargetMode="External"/><Relationship Id="rId1510" Type="http://schemas.openxmlformats.org/officeDocument/2006/relationships/hyperlink" Target="https://ncgtc.sdpondemand.manageengine.in/app/apphelpdesk/ui/requests/14047000006202500/details" TargetMode="External"/><Relationship Id="rId151" Type="http://schemas.openxmlformats.org/officeDocument/2006/relationships/hyperlink" Target="https://ncgtc.sdpondemand.manageengine.in/app/apphelpdesk/ui/requests/14047000005889267/details" TargetMode="External"/><Relationship Id="rId1509" Type="http://schemas.openxmlformats.org/officeDocument/2006/relationships/hyperlink" Target="https://ncgtc.sdpondemand.manageengine.in/app/apphelpdesk/ui/requests/14047000006202481/details" TargetMode="External"/><Relationship Id="rId1508" Type="http://schemas.openxmlformats.org/officeDocument/2006/relationships/hyperlink" Target="https://ncgtc.sdpondemand.manageengine.in/app/apphelpdesk/ui/requests/14047000006202401/details" TargetMode="External"/><Relationship Id="rId1507" Type="http://schemas.openxmlformats.org/officeDocument/2006/relationships/hyperlink" Target="https://ncgtc.sdpondemand.manageengine.in/app/apphelpdesk/ui/requests/14047000006202250/details" TargetMode="External"/><Relationship Id="rId1506" Type="http://schemas.openxmlformats.org/officeDocument/2006/relationships/hyperlink" Target="https://ncgtc.sdpondemand.manageengine.in/app/apphelpdesk/ui/requests/14047000006202208/details" TargetMode="External"/><Relationship Id="rId1505" Type="http://schemas.openxmlformats.org/officeDocument/2006/relationships/hyperlink" Target="https://ncgtc.sdpondemand.manageengine.in/app/apphelpdesk/ui/requests/14047000006202182/details" TargetMode="External"/><Relationship Id="rId1504" Type="http://schemas.openxmlformats.org/officeDocument/2006/relationships/hyperlink" Target="https://ncgtc.sdpondemand.manageengine.in/app/apphelpdesk/ui/requests/14047000006202170/details" TargetMode="External"/><Relationship Id="rId1503" Type="http://schemas.openxmlformats.org/officeDocument/2006/relationships/hyperlink" Target="https://ncgtc.sdpondemand.manageengine.in/app/apphelpdesk/ui/requests/14047000006202137/details" TargetMode="External"/><Relationship Id="rId1502" Type="http://schemas.openxmlformats.org/officeDocument/2006/relationships/hyperlink" Target="https://ncgtc.sdpondemand.manageengine.in/app/apphelpdesk/ui/requests/14047000006202110/details" TargetMode="External"/><Relationship Id="rId1501" Type="http://schemas.openxmlformats.org/officeDocument/2006/relationships/hyperlink" Target="https://ncgtc.sdpondemand.manageengine.in/app/apphelpdesk/ui/requests/14047000006202076/details" TargetMode="External"/><Relationship Id="rId1500" Type="http://schemas.openxmlformats.org/officeDocument/2006/relationships/hyperlink" Target="https://ncgtc.sdpondemand.manageengine.in/app/apphelpdesk/ui/requests/14047000006202059/details" TargetMode="External"/><Relationship Id="rId150" Type="http://schemas.openxmlformats.org/officeDocument/2006/relationships/hyperlink" Target="https://ncgtc.sdpondemand.manageengine.in/app/apphelpdesk/ui/requests/14047000005889234/details" TargetMode="External"/><Relationship Id="rId15" Type="http://schemas.openxmlformats.org/officeDocument/2006/relationships/hyperlink" Target="https://ncgtc.sdpondemand.manageengine.in/app/apphelpdesk/ui/requests/14047000005854338/details" TargetMode="External"/><Relationship Id="rId1499" Type="http://schemas.openxmlformats.org/officeDocument/2006/relationships/hyperlink" Target="https://ncgtc.sdpondemand.manageengine.in/app/apphelpdesk/ui/requests/14047000006202040/details" TargetMode="External"/><Relationship Id="rId1498" Type="http://schemas.openxmlformats.org/officeDocument/2006/relationships/hyperlink" Target="https://ncgtc.sdpondemand.manageengine.in/app/apphelpdesk/ui/requests/14047000006202028/details" TargetMode="External"/><Relationship Id="rId1497" Type="http://schemas.openxmlformats.org/officeDocument/2006/relationships/hyperlink" Target="https://ncgtc.sdpondemand.manageengine.in/app/apphelpdesk/ui/requests/14047000006202011/details" TargetMode="External"/><Relationship Id="rId1496" Type="http://schemas.openxmlformats.org/officeDocument/2006/relationships/hyperlink" Target="https://ncgtc.sdpondemand.manageengine.in/app/apphelpdesk/ui/requests/14047000006199993/details" TargetMode="External"/><Relationship Id="rId1495" Type="http://schemas.openxmlformats.org/officeDocument/2006/relationships/hyperlink" Target="https://ncgtc.sdpondemand.manageengine.in/app/apphelpdesk/ui/requests/14047000006199981/details" TargetMode="External"/><Relationship Id="rId1494" Type="http://schemas.openxmlformats.org/officeDocument/2006/relationships/hyperlink" Target="https://ncgtc.sdpondemand.manageengine.in/app/apphelpdesk/ui/requests/14047000006199955/details" TargetMode="External"/><Relationship Id="rId1493" Type="http://schemas.openxmlformats.org/officeDocument/2006/relationships/hyperlink" Target="https://ncgtc.sdpondemand.manageengine.in/app/apphelpdesk/ui/requests/14047000006199943/details" TargetMode="External"/><Relationship Id="rId1492" Type="http://schemas.openxmlformats.org/officeDocument/2006/relationships/hyperlink" Target="https://ncgtc.sdpondemand.manageengine.in/app/apphelpdesk/ui/requests/14047000006199928/details" TargetMode="External"/><Relationship Id="rId1491" Type="http://schemas.openxmlformats.org/officeDocument/2006/relationships/hyperlink" Target="https://ncgtc.sdpondemand.manageengine.in/app/apphelpdesk/ui/requests/14047000006199908/details" TargetMode="External"/><Relationship Id="rId1490" Type="http://schemas.openxmlformats.org/officeDocument/2006/relationships/hyperlink" Target="https://ncgtc.sdpondemand.manageengine.in/app/apphelpdesk/ui/requests/14047000006199813/details" TargetMode="External"/><Relationship Id="rId149" Type="http://schemas.openxmlformats.org/officeDocument/2006/relationships/hyperlink" Target="https://ncgtc.sdpondemand.manageengine.in/app/apphelpdesk/ui/requests/14047000005889210/details" TargetMode="External"/><Relationship Id="rId1489" Type="http://schemas.openxmlformats.org/officeDocument/2006/relationships/hyperlink" Target="https://ncgtc.sdpondemand.manageengine.in/app/apphelpdesk/ui/requests/14047000006199731/details" TargetMode="External"/><Relationship Id="rId1488" Type="http://schemas.openxmlformats.org/officeDocument/2006/relationships/hyperlink" Target="https://ncgtc.sdpondemand.manageengine.in/app/apphelpdesk/ui/requests/14047000006199712/details" TargetMode="External"/><Relationship Id="rId1487" Type="http://schemas.openxmlformats.org/officeDocument/2006/relationships/hyperlink" Target="https://ncgtc.sdpondemand.manageengine.in/app/apphelpdesk/ui/requests/14047000006199696/details" TargetMode="External"/><Relationship Id="rId1486" Type="http://schemas.openxmlformats.org/officeDocument/2006/relationships/hyperlink" Target="https://ncgtc.sdpondemand.manageengine.in/app/apphelpdesk/ui/requests/14047000006199682/details" TargetMode="External"/><Relationship Id="rId1485" Type="http://schemas.openxmlformats.org/officeDocument/2006/relationships/hyperlink" Target="https://ncgtc.sdpondemand.manageengine.in/app/apphelpdesk/ui/requests/14047000006199634/details" TargetMode="External"/><Relationship Id="rId1484" Type="http://schemas.openxmlformats.org/officeDocument/2006/relationships/hyperlink" Target="https://ncgtc.sdpondemand.manageengine.in/app/apphelpdesk/ui/requests/14047000006199622/details" TargetMode="External"/><Relationship Id="rId1483" Type="http://schemas.openxmlformats.org/officeDocument/2006/relationships/hyperlink" Target="https://ncgtc.sdpondemand.manageengine.in/app/apphelpdesk/ui/requests/14047000006199603/details" TargetMode="External"/><Relationship Id="rId1482" Type="http://schemas.openxmlformats.org/officeDocument/2006/relationships/hyperlink" Target="https://ncgtc.sdpondemand.manageengine.in/app/apphelpdesk/ui/requests/14047000006199590/details" TargetMode="External"/><Relationship Id="rId1481" Type="http://schemas.openxmlformats.org/officeDocument/2006/relationships/hyperlink" Target="https://ncgtc.sdpondemand.manageengine.in/app/apphelpdesk/ui/requests/14047000006199571/details" TargetMode="External"/><Relationship Id="rId1480" Type="http://schemas.openxmlformats.org/officeDocument/2006/relationships/hyperlink" Target="https://ncgtc.sdpondemand.manageengine.in/app/apphelpdesk/ui/requests/14047000006199542/details" TargetMode="External"/><Relationship Id="rId148" Type="http://schemas.openxmlformats.org/officeDocument/2006/relationships/hyperlink" Target="https://ncgtc.sdpondemand.manageengine.in/app/apphelpdesk/ui/requests/14047000005889186/details" TargetMode="External"/><Relationship Id="rId1479" Type="http://schemas.openxmlformats.org/officeDocument/2006/relationships/hyperlink" Target="https://ncgtc.sdpondemand.manageengine.in/app/apphelpdesk/ui/requests/14047000006199517/details" TargetMode="External"/><Relationship Id="rId1478" Type="http://schemas.openxmlformats.org/officeDocument/2006/relationships/hyperlink" Target="https://ncgtc.sdpondemand.manageengine.in/app/apphelpdesk/ui/requests/14047000006199490/details" TargetMode="External"/><Relationship Id="rId1477" Type="http://schemas.openxmlformats.org/officeDocument/2006/relationships/hyperlink" Target="https://ncgtc.sdpondemand.manageengine.in/app/apphelpdesk/ui/requests/14047000006199470/details" TargetMode="External"/><Relationship Id="rId1476" Type="http://schemas.openxmlformats.org/officeDocument/2006/relationships/hyperlink" Target="https://ncgtc.sdpondemand.manageengine.in/app/apphelpdesk/ui/requests/14047000006199452/details" TargetMode="External"/><Relationship Id="rId1475" Type="http://schemas.openxmlformats.org/officeDocument/2006/relationships/hyperlink" Target="https://ncgtc.sdpondemand.manageengine.in/app/apphelpdesk/ui/requests/14047000006199435/details" TargetMode="External"/><Relationship Id="rId1474" Type="http://schemas.openxmlformats.org/officeDocument/2006/relationships/hyperlink" Target="https://ncgtc.sdpondemand.manageengine.in/app/apphelpdesk/ui/requests/14047000006199421/details" TargetMode="External"/><Relationship Id="rId1473" Type="http://schemas.openxmlformats.org/officeDocument/2006/relationships/hyperlink" Target="https://ncgtc.sdpondemand.manageengine.in/app/apphelpdesk/ui/requests/14047000006199218/details" TargetMode="External"/><Relationship Id="rId1472" Type="http://schemas.openxmlformats.org/officeDocument/2006/relationships/hyperlink" Target="https://ncgtc.sdpondemand.manageengine.in/app/apphelpdesk/ui/requests/14047000006199193/details" TargetMode="External"/><Relationship Id="rId1471" Type="http://schemas.openxmlformats.org/officeDocument/2006/relationships/hyperlink" Target="https://ncgtc.sdpondemand.manageengine.in/app/apphelpdesk/ui/requests/14047000006199045/details" TargetMode="External"/><Relationship Id="rId1470" Type="http://schemas.openxmlformats.org/officeDocument/2006/relationships/hyperlink" Target="https://ncgtc.sdpondemand.manageengine.in/app/apphelpdesk/ui/requests/14047000006199003/details" TargetMode="External"/><Relationship Id="rId147" Type="http://schemas.openxmlformats.org/officeDocument/2006/relationships/hyperlink" Target="https://ncgtc.sdpondemand.manageengine.in/app/apphelpdesk/ui/requests/14047000005889156/details" TargetMode="External"/><Relationship Id="rId1469" Type="http://schemas.openxmlformats.org/officeDocument/2006/relationships/hyperlink" Target="https://ncgtc.sdpondemand.manageengine.in/app/apphelpdesk/ui/requests/14047000006195991/details" TargetMode="External"/><Relationship Id="rId1468" Type="http://schemas.openxmlformats.org/officeDocument/2006/relationships/hyperlink" Target="https://ncgtc.sdpondemand.manageengine.in/app/apphelpdesk/ui/requests/14047000006195974/details" TargetMode="External"/><Relationship Id="rId1467" Type="http://schemas.openxmlformats.org/officeDocument/2006/relationships/hyperlink" Target="https://ncgtc.sdpondemand.manageengine.in/app/apphelpdesk/ui/requests/14047000006195934/details" TargetMode="External"/><Relationship Id="rId1466" Type="http://schemas.openxmlformats.org/officeDocument/2006/relationships/hyperlink" Target="https://ncgtc.sdpondemand.manageengine.in/app/apphelpdesk/ui/requests/14047000006195843/details" TargetMode="External"/><Relationship Id="rId1465" Type="http://schemas.openxmlformats.org/officeDocument/2006/relationships/hyperlink" Target="https://ncgtc.sdpondemand.manageengine.in/app/apphelpdesk/ui/requests/14047000006195830/details" TargetMode="External"/><Relationship Id="rId1464" Type="http://schemas.openxmlformats.org/officeDocument/2006/relationships/hyperlink" Target="https://ncgtc.sdpondemand.manageengine.in/app/apphelpdesk/ui/requests/14047000006195817/details" TargetMode="External"/><Relationship Id="rId1463" Type="http://schemas.openxmlformats.org/officeDocument/2006/relationships/hyperlink" Target="https://ncgtc.sdpondemand.manageengine.in/app/apphelpdesk/ui/requests/14047000006195750/details" TargetMode="External"/><Relationship Id="rId1462" Type="http://schemas.openxmlformats.org/officeDocument/2006/relationships/hyperlink" Target="https://ncgtc.sdpondemand.manageengine.in/app/apphelpdesk/ui/requests/14047000006195737/details" TargetMode="External"/><Relationship Id="rId1461" Type="http://schemas.openxmlformats.org/officeDocument/2006/relationships/hyperlink" Target="https://ncgtc.sdpondemand.manageengine.in/app/apphelpdesk/ui/requests/14047000006195707/details" TargetMode="External"/><Relationship Id="rId1460" Type="http://schemas.openxmlformats.org/officeDocument/2006/relationships/hyperlink" Target="https://ncgtc.sdpondemand.manageengine.in/app/apphelpdesk/ui/requests/14047000006195513/details" TargetMode="External"/><Relationship Id="rId146" Type="http://schemas.openxmlformats.org/officeDocument/2006/relationships/hyperlink" Target="https://ncgtc.sdpondemand.manageengine.in/app/apphelpdesk/ui/requests/14047000005889140/details" TargetMode="External"/><Relationship Id="rId1459" Type="http://schemas.openxmlformats.org/officeDocument/2006/relationships/hyperlink" Target="https://ncgtc.sdpondemand.manageengine.in/app/apphelpdesk/ui/requests/14047000006195495/details" TargetMode="External"/><Relationship Id="rId1458" Type="http://schemas.openxmlformats.org/officeDocument/2006/relationships/hyperlink" Target="https://ncgtc.sdpondemand.manageengine.in/app/apphelpdesk/ui/requests/14047000006195465/details" TargetMode="External"/><Relationship Id="rId1457" Type="http://schemas.openxmlformats.org/officeDocument/2006/relationships/hyperlink" Target="https://ncgtc.sdpondemand.manageengine.in/app/apphelpdesk/ui/requests/14047000006195442/details" TargetMode="External"/><Relationship Id="rId1456" Type="http://schemas.openxmlformats.org/officeDocument/2006/relationships/hyperlink" Target="https://ncgtc.sdpondemand.manageengine.in/app/apphelpdesk/ui/requests/14047000006195429/details" TargetMode="External"/><Relationship Id="rId1455" Type="http://schemas.openxmlformats.org/officeDocument/2006/relationships/hyperlink" Target="https://ncgtc.sdpondemand.manageengine.in/app/apphelpdesk/ui/requests/14047000006195404/details" TargetMode="External"/><Relationship Id="rId1454" Type="http://schemas.openxmlformats.org/officeDocument/2006/relationships/hyperlink" Target="https://ncgtc.sdpondemand.manageengine.in/app/apphelpdesk/ui/requests/14047000006195391/details" TargetMode="External"/><Relationship Id="rId1453" Type="http://schemas.openxmlformats.org/officeDocument/2006/relationships/hyperlink" Target="https://ncgtc.sdpondemand.manageengine.in/app/apphelpdesk/ui/requests/14047000006195374/details" TargetMode="External"/><Relationship Id="rId1452" Type="http://schemas.openxmlformats.org/officeDocument/2006/relationships/hyperlink" Target="https://ncgtc.sdpondemand.manageengine.in/app/apphelpdesk/ui/requests/14047000006195312/details" TargetMode="External"/><Relationship Id="rId1451" Type="http://schemas.openxmlformats.org/officeDocument/2006/relationships/hyperlink" Target="https://ncgtc.sdpondemand.manageengine.in/app/apphelpdesk/ui/requests/14047000006195277/details" TargetMode="External"/><Relationship Id="rId1450" Type="http://schemas.openxmlformats.org/officeDocument/2006/relationships/hyperlink" Target="https://ncgtc.sdpondemand.manageengine.in/app/apphelpdesk/ui/requests/14047000006195265/details" TargetMode="External"/><Relationship Id="rId145" Type="http://schemas.openxmlformats.org/officeDocument/2006/relationships/hyperlink" Target="https://ncgtc.sdpondemand.manageengine.in/app/apphelpdesk/ui/requests/14047000005889102/details" TargetMode="External"/><Relationship Id="rId1449" Type="http://schemas.openxmlformats.org/officeDocument/2006/relationships/hyperlink" Target="https://ncgtc.sdpondemand.manageengine.in/app/apphelpdesk/ui/requests/14047000006195253/details" TargetMode="External"/><Relationship Id="rId1448" Type="http://schemas.openxmlformats.org/officeDocument/2006/relationships/hyperlink" Target="https://ncgtc.sdpondemand.manageengine.in/app/apphelpdesk/ui/requests/14047000006195237/details" TargetMode="External"/><Relationship Id="rId1447" Type="http://schemas.openxmlformats.org/officeDocument/2006/relationships/hyperlink" Target="https://ncgtc.sdpondemand.manageengine.in/app/apphelpdesk/ui/requests/14047000006195182/details" TargetMode="External"/><Relationship Id="rId1446" Type="http://schemas.openxmlformats.org/officeDocument/2006/relationships/hyperlink" Target="https://ncgtc.sdpondemand.manageengine.in/app/apphelpdesk/ui/requests/14047000006195170/details" TargetMode="External"/><Relationship Id="rId1445" Type="http://schemas.openxmlformats.org/officeDocument/2006/relationships/hyperlink" Target="https://ncgtc.sdpondemand.manageengine.in/app/apphelpdesk/ui/requests/14047000006195148/details" TargetMode="External"/><Relationship Id="rId1444" Type="http://schemas.openxmlformats.org/officeDocument/2006/relationships/hyperlink" Target="https://ncgtc.sdpondemand.manageengine.in/app/apphelpdesk/ui/requests/14047000006195122/details" TargetMode="External"/><Relationship Id="rId1443" Type="http://schemas.openxmlformats.org/officeDocument/2006/relationships/hyperlink" Target="https://ncgtc.sdpondemand.manageengine.in/app/apphelpdesk/ui/requests/14047000006195109/details" TargetMode="External"/><Relationship Id="rId1442" Type="http://schemas.openxmlformats.org/officeDocument/2006/relationships/hyperlink" Target="https://ncgtc.sdpondemand.manageengine.in/app/apphelpdesk/ui/requests/14047000006195092/details" TargetMode="External"/><Relationship Id="rId1441" Type="http://schemas.openxmlformats.org/officeDocument/2006/relationships/hyperlink" Target="https://ncgtc.sdpondemand.manageengine.in/app/apphelpdesk/ui/requests/14047000006195079/details" TargetMode="External"/><Relationship Id="rId1440" Type="http://schemas.openxmlformats.org/officeDocument/2006/relationships/hyperlink" Target="https://ncgtc.sdpondemand.manageengine.in/app/apphelpdesk/ui/requests/14047000006195061/details" TargetMode="External"/><Relationship Id="rId144" Type="http://schemas.openxmlformats.org/officeDocument/2006/relationships/hyperlink" Target="https://ncgtc.sdpondemand.manageengine.in/app/apphelpdesk/ui/requests/14047000005889063/details" TargetMode="External"/><Relationship Id="rId1439" Type="http://schemas.openxmlformats.org/officeDocument/2006/relationships/hyperlink" Target="https://ncgtc.sdpondemand.manageengine.in/app/apphelpdesk/ui/requests/14047000006195025/details" TargetMode="External"/><Relationship Id="rId1438" Type="http://schemas.openxmlformats.org/officeDocument/2006/relationships/hyperlink" Target="https://ncgtc.sdpondemand.manageengine.in/app/apphelpdesk/ui/requests/14047000006177993/details" TargetMode="External"/><Relationship Id="rId1437" Type="http://schemas.openxmlformats.org/officeDocument/2006/relationships/hyperlink" Target="https://ncgtc.sdpondemand.manageengine.in/app/apphelpdesk/ui/requests/14047000006177966/details" TargetMode="External"/><Relationship Id="rId1436" Type="http://schemas.openxmlformats.org/officeDocument/2006/relationships/hyperlink" Target="https://ncgtc.sdpondemand.manageengine.in/app/apphelpdesk/ui/requests/14047000006177935/details" TargetMode="External"/><Relationship Id="rId1435" Type="http://schemas.openxmlformats.org/officeDocument/2006/relationships/hyperlink" Target="https://ncgtc.sdpondemand.manageengine.in/app/apphelpdesk/ui/requests/14047000006177910/details" TargetMode="External"/><Relationship Id="rId1434" Type="http://schemas.openxmlformats.org/officeDocument/2006/relationships/hyperlink" Target="https://ncgtc.sdpondemand.manageengine.in/app/apphelpdesk/ui/requests/14047000006177857/details" TargetMode="External"/><Relationship Id="rId1433" Type="http://schemas.openxmlformats.org/officeDocument/2006/relationships/hyperlink" Target="https://ncgtc.sdpondemand.manageengine.in/app/apphelpdesk/ui/requests/14047000006177843/details" TargetMode="External"/><Relationship Id="rId1432" Type="http://schemas.openxmlformats.org/officeDocument/2006/relationships/hyperlink" Target="https://ncgtc.sdpondemand.manageengine.in/app/apphelpdesk/ui/requests/14047000006177825/details" TargetMode="External"/><Relationship Id="rId1431" Type="http://schemas.openxmlformats.org/officeDocument/2006/relationships/hyperlink" Target="https://ncgtc.sdpondemand.manageengine.in/app/apphelpdesk/ui/requests/14047000006177691/details" TargetMode="External"/><Relationship Id="rId1430" Type="http://schemas.openxmlformats.org/officeDocument/2006/relationships/hyperlink" Target="https://ncgtc.sdpondemand.manageengine.in/app/apphelpdesk/ui/requests/14047000006177674/details" TargetMode="External"/><Relationship Id="rId143" Type="http://schemas.openxmlformats.org/officeDocument/2006/relationships/hyperlink" Target="https://ncgtc.sdpondemand.manageengine.in/app/apphelpdesk/ui/requests/14047000005889029/details" TargetMode="External"/><Relationship Id="rId1429" Type="http://schemas.openxmlformats.org/officeDocument/2006/relationships/hyperlink" Target="https://ncgtc.sdpondemand.manageengine.in/app/apphelpdesk/ui/requests/14047000006177633/details" TargetMode="External"/><Relationship Id="rId1428" Type="http://schemas.openxmlformats.org/officeDocument/2006/relationships/hyperlink" Target="https://ncgtc.sdpondemand.manageengine.in/app/apphelpdesk/ui/requests/14047000006177589/details" TargetMode="External"/><Relationship Id="rId1427" Type="http://schemas.openxmlformats.org/officeDocument/2006/relationships/hyperlink" Target="https://ncgtc.sdpondemand.manageengine.in/app/apphelpdesk/ui/requests/14047000006177570/details" TargetMode="External"/><Relationship Id="rId1426" Type="http://schemas.openxmlformats.org/officeDocument/2006/relationships/hyperlink" Target="https://ncgtc.sdpondemand.manageengine.in/app/apphelpdesk/ui/requests/14047000006177535/details" TargetMode="External"/><Relationship Id="rId1425" Type="http://schemas.openxmlformats.org/officeDocument/2006/relationships/hyperlink" Target="https://ncgtc.sdpondemand.manageengine.in/app/apphelpdesk/ui/requests/14047000006177459/details" TargetMode="External"/><Relationship Id="rId1424" Type="http://schemas.openxmlformats.org/officeDocument/2006/relationships/hyperlink" Target="https://ncgtc.sdpondemand.manageengine.in/app/apphelpdesk/ui/requests/14047000006177367/details" TargetMode="External"/><Relationship Id="rId1423" Type="http://schemas.openxmlformats.org/officeDocument/2006/relationships/hyperlink" Target="https://ncgtc.sdpondemand.manageengine.in/app/apphelpdesk/ui/requests/14047000006177331/details" TargetMode="External"/><Relationship Id="rId1422" Type="http://schemas.openxmlformats.org/officeDocument/2006/relationships/hyperlink" Target="https://ncgtc.sdpondemand.manageengine.in/app/apphelpdesk/ui/requests/14047000006177258/details" TargetMode="External"/><Relationship Id="rId1421" Type="http://schemas.openxmlformats.org/officeDocument/2006/relationships/hyperlink" Target="https://ncgtc.sdpondemand.manageengine.in/app/apphelpdesk/ui/requests/14047000006177222/details" TargetMode="External"/><Relationship Id="rId1420" Type="http://schemas.openxmlformats.org/officeDocument/2006/relationships/hyperlink" Target="https://ncgtc.sdpondemand.manageengine.in/app/apphelpdesk/ui/requests/14047000006177202/details" TargetMode="External"/><Relationship Id="rId142" Type="http://schemas.openxmlformats.org/officeDocument/2006/relationships/hyperlink" Target="https://ncgtc.sdpondemand.manageengine.in/app/apphelpdesk/ui/requests/14047000005883986/details" TargetMode="External"/><Relationship Id="rId1419" Type="http://schemas.openxmlformats.org/officeDocument/2006/relationships/hyperlink" Target="https://ncgtc.sdpondemand.manageengine.in/app/apphelpdesk/ui/requests/14047000006177140/details" TargetMode="External"/><Relationship Id="rId1418" Type="http://schemas.openxmlformats.org/officeDocument/2006/relationships/hyperlink" Target="https://ncgtc.sdpondemand.manageengine.in/app/apphelpdesk/ui/requests/14047000006177126/details" TargetMode="External"/><Relationship Id="rId1417" Type="http://schemas.openxmlformats.org/officeDocument/2006/relationships/hyperlink" Target="https://ncgtc.sdpondemand.manageengine.in/app/apphelpdesk/ui/requests/14047000006177089/details" TargetMode="External"/><Relationship Id="rId1416" Type="http://schemas.openxmlformats.org/officeDocument/2006/relationships/hyperlink" Target="https://ncgtc.sdpondemand.manageengine.in/app/apphelpdesk/ui/requests/14047000006177076/details" TargetMode="External"/><Relationship Id="rId1415" Type="http://schemas.openxmlformats.org/officeDocument/2006/relationships/hyperlink" Target="https://ncgtc.sdpondemand.manageengine.in/app/apphelpdesk/ui/requests/14047000006177062/details" TargetMode="External"/><Relationship Id="rId1414" Type="http://schemas.openxmlformats.org/officeDocument/2006/relationships/hyperlink" Target="https://ncgtc.sdpondemand.manageengine.in/app/apphelpdesk/ui/requests/14047000006177033/details" TargetMode="External"/><Relationship Id="rId1413" Type="http://schemas.openxmlformats.org/officeDocument/2006/relationships/hyperlink" Target="https://ncgtc.sdpondemand.manageengine.in/app/apphelpdesk/ui/requests/14047000006177001/details" TargetMode="External"/><Relationship Id="rId1412" Type="http://schemas.openxmlformats.org/officeDocument/2006/relationships/hyperlink" Target="https://ncgtc.sdpondemand.manageengine.in/app/apphelpdesk/ui/requests/14047000006171794/details" TargetMode="External"/><Relationship Id="rId1411" Type="http://schemas.openxmlformats.org/officeDocument/2006/relationships/hyperlink" Target="https://ncgtc.sdpondemand.manageengine.in/app/apphelpdesk/ui/requests/14047000006171764/details" TargetMode="External"/><Relationship Id="rId1410" Type="http://schemas.openxmlformats.org/officeDocument/2006/relationships/hyperlink" Target="https://ncgtc.sdpondemand.manageengine.in/app/apphelpdesk/ui/requests/14047000006171710/details" TargetMode="External"/><Relationship Id="rId141" Type="http://schemas.openxmlformats.org/officeDocument/2006/relationships/hyperlink" Target="https://ncgtc.sdpondemand.manageengine.in/app/apphelpdesk/ui/requests/14047000005883931/details" TargetMode="External"/><Relationship Id="rId1409" Type="http://schemas.openxmlformats.org/officeDocument/2006/relationships/hyperlink" Target="https://ncgtc.sdpondemand.manageengine.in/app/apphelpdesk/ui/requests/14047000006171679/details" TargetMode="External"/><Relationship Id="rId1408" Type="http://schemas.openxmlformats.org/officeDocument/2006/relationships/hyperlink" Target="https://ncgtc.sdpondemand.manageengine.in/app/apphelpdesk/ui/requests/14047000006171637/details" TargetMode="External"/><Relationship Id="rId1407" Type="http://schemas.openxmlformats.org/officeDocument/2006/relationships/hyperlink" Target="https://ncgtc.sdpondemand.manageengine.in/app/apphelpdesk/ui/requests/14047000006171624/details" TargetMode="External"/><Relationship Id="rId1406" Type="http://schemas.openxmlformats.org/officeDocument/2006/relationships/hyperlink" Target="https://ncgtc.sdpondemand.manageengine.in/app/apphelpdesk/ui/requests/14047000006171586/details" TargetMode="External"/><Relationship Id="rId1405" Type="http://schemas.openxmlformats.org/officeDocument/2006/relationships/hyperlink" Target="https://ncgtc.sdpondemand.manageengine.in/app/apphelpdesk/ui/requests/14047000006171560/details" TargetMode="External"/><Relationship Id="rId1404" Type="http://schemas.openxmlformats.org/officeDocument/2006/relationships/hyperlink" Target="https://ncgtc.sdpondemand.manageengine.in/app/apphelpdesk/ui/requests/14047000006171498/details" TargetMode="External"/><Relationship Id="rId1403" Type="http://schemas.openxmlformats.org/officeDocument/2006/relationships/hyperlink" Target="https://ncgtc.sdpondemand.manageengine.in/app/apphelpdesk/ui/requests/14047000006171452/details" TargetMode="External"/><Relationship Id="rId1402" Type="http://schemas.openxmlformats.org/officeDocument/2006/relationships/hyperlink" Target="https://ncgtc.sdpondemand.manageengine.in/app/apphelpdesk/ui/requests/14047000006171435/details" TargetMode="External"/><Relationship Id="rId1401" Type="http://schemas.openxmlformats.org/officeDocument/2006/relationships/hyperlink" Target="https://ncgtc.sdpondemand.manageengine.in/app/apphelpdesk/ui/requests/14047000006171416/details" TargetMode="External"/><Relationship Id="rId1400" Type="http://schemas.openxmlformats.org/officeDocument/2006/relationships/hyperlink" Target="https://ncgtc.sdpondemand.manageengine.in/app/apphelpdesk/ui/requests/14047000006171362/details" TargetMode="External"/><Relationship Id="rId140" Type="http://schemas.openxmlformats.org/officeDocument/2006/relationships/hyperlink" Target="https://ncgtc.sdpondemand.manageengine.in/app/apphelpdesk/ui/requests/14047000005883873/details" TargetMode="External"/><Relationship Id="rId14" Type="http://schemas.openxmlformats.org/officeDocument/2006/relationships/hyperlink" Target="https://ncgtc.sdpondemand.manageengine.in/app/apphelpdesk/ui/requests/14047000005854307/details" TargetMode="External"/><Relationship Id="rId1399" Type="http://schemas.openxmlformats.org/officeDocument/2006/relationships/hyperlink" Target="https://ncgtc.sdpondemand.manageengine.in/app/apphelpdesk/ui/requests/14047000006171346/details" TargetMode="External"/><Relationship Id="rId1398" Type="http://schemas.openxmlformats.org/officeDocument/2006/relationships/hyperlink" Target="https://ncgtc.sdpondemand.manageengine.in/app/apphelpdesk/ui/requests/14047000006171333/details" TargetMode="External"/><Relationship Id="rId1397" Type="http://schemas.openxmlformats.org/officeDocument/2006/relationships/hyperlink" Target="https://ncgtc.sdpondemand.manageengine.in/app/apphelpdesk/ui/requests/14047000006171307/details" TargetMode="External"/><Relationship Id="rId1396" Type="http://schemas.openxmlformats.org/officeDocument/2006/relationships/hyperlink" Target="https://ncgtc.sdpondemand.manageengine.in/app/apphelpdesk/ui/requests/14047000006171193/details" TargetMode="External"/><Relationship Id="rId1395" Type="http://schemas.openxmlformats.org/officeDocument/2006/relationships/hyperlink" Target="https://ncgtc.sdpondemand.manageengine.in/app/apphelpdesk/ui/requests/14047000006171155/details" TargetMode="External"/><Relationship Id="rId1394" Type="http://schemas.openxmlformats.org/officeDocument/2006/relationships/hyperlink" Target="https://ncgtc.sdpondemand.manageengine.in/app/apphelpdesk/ui/requests/14047000006171105/details" TargetMode="External"/><Relationship Id="rId1393" Type="http://schemas.openxmlformats.org/officeDocument/2006/relationships/hyperlink" Target="https://ncgtc.sdpondemand.manageengine.in/app/apphelpdesk/ui/requests/14047000006171078/details" TargetMode="External"/><Relationship Id="rId1392" Type="http://schemas.openxmlformats.org/officeDocument/2006/relationships/hyperlink" Target="https://ncgtc.sdpondemand.manageengine.in/app/apphelpdesk/ui/requests/14047000006171044/details" TargetMode="External"/><Relationship Id="rId1391" Type="http://schemas.openxmlformats.org/officeDocument/2006/relationships/hyperlink" Target="https://ncgtc.sdpondemand.manageengine.in/app/apphelpdesk/ui/requests/14047000006165984/details" TargetMode="External"/><Relationship Id="rId1390" Type="http://schemas.openxmlformats.org/officeDocument/2006/relationships/hyperlink" Target="https://ncgtc.sdpondemand.manageengine.in/app/apphelpdesk/ui/requests/14047000006165967/details" TargetMode="External"/><Relationship Id="rId139" Type="http://schemas.openxmlformats.org/officeDocument/2006/relationships/hyperlink" Target="https://ncgtc.sdpondemand.manageengine.in/app/apphelpdesk/ui/requests/14047000005883794/details" TargetMode="External"/><Relationship Id="rId1389" Type="http://schemas.openxmlformats.org/officeDocument/2006/relationships/hyperlink" Target="https://ncgtc.sdpondemand.manageengine.in/app/apphelpdesk/ui/requests/14047000006165889/details" TargetMode="External"/><Relationship Id="rId1388" Type="http://schemas.openxmlformats.org/officeDocument/2006/relationships/hyperlink" Target="https://ncgtc.sdpondemand.manageengine.in/app/apphelpdesk/ui/requests/14047000006165830/details" TargetMode="External"/><Relationship Id="rId1387" Type="http://schemas.openxmlformats.org/officeDocument/2006/relationships/hyperlink" Target="https://ncgtc.sdpondemand.manageengine.in/app/apphelpdesk/ui/requests/14047000006165773/details" TargetMode="External"/><Relationship Id="rId1386" Type="http://schemas.openxmlformats.org/officeDocument/2006/relationships/hyperlink" Target="https://ncgtc.sdpondemand.manageengine.in/app/apphelpdesk/ui/requests/14047000006165756/details" TargetMode="External"/><Relationship Id="rId1385" Type="http://schemas.openxmlformats.org/officeDocument/2006/relationships/hyperlink" Target="https://ncgtc.sdpondemand.manageengine.in/app/apphelpdesk/ui/requests/14047000006165714/details" TargetMode="External"/><Relationship Id="rId1384" Type="http://schemas.openxmlformats.org/officeDocument/2006/relationships/hyperlink" Target="https://ncgtc.sdpondemand.manageengine.in/app/apphelpdesk/ui/requests/14047000006165668/details" TargetMode="External"/><Relationship Id="rId1383" Type="http://schemas.openxmlformats.org/officeDocument/2006/relationships/hyperlink" Target="https://ncgtc.sdpondemand.manageengine.in/app/apphelpdesk/ui/requests/14047000006165628/details" TargetMode="External"/><Relationship Id="rId1382" Type="http://schemas.openxmlformats.org/officeDocument/2006/relationships/hyperlink" Target="https://ncgtc.sdpondemand.manageengine.in/app/apphelpdesk/ui/requests/14047000006165596/details" TargetMode="External"/><Relationship Id="rId1381" Type="http://schemas.openxmlformats.org/officeDocument/2006/relationships/hyperlink" Target="https://ncgtc.sdpondemand.manageengine.in/app/apphelpdesk/ui/requests/14047000006165583/details" TargetMode="External"/><Relationship Id="rId1380" Type="http://schemas.openxmlformats.org/officeDocument/2006/relationships/hyperlink" Target="https://ncgtc.sdpondemand.manageengine.in/app/apphelpdesk/ui/requests/14047000006165554/details" TargetMode="External"/><Relationship Id="rId138" Type="http://schemas.openxmlformats.org/officeDocument/2006/relationships/hyperlink" Target="https://ncgtc.sdpondemand.manageengine.in/app/apphelpdesk/ui/requests/14047000005883750/details" TargetMode="External"/><Relationship Id="rId1379" Type="http://schemas.openxmlformats.org/officeDocument/2006/relationships/hyperlink" Target="https://ncgtc.sdpondemand.manageengine.in/app/apphelpdesk/ui/requests/14047000006165530/details" TargetMode="External"/><Relationship Id="rId1378" Type="http://schemas.openxmlformats.org/officeDocument/2006/relationships/hyperlink" Target="https://ncgtc.sdpondemand.manageengine.in/app/apphelpdesk/ui/requests/14047000006165495/details" TargetMode="External"/><Relationship Id="rId1377" Type="http://schemas.openxmlformats.org/officeDocument/2006/relationships/hyperlink" Target="https://ncgtc.sdpondemand.manageengine.in/app/apphelpdesk/ui/requests/14047000006165436/details" TargetMode="External"/><Relationship Id="rId1376" Type="http://schemas.openxmlformats.org/officeDocument/2006/relationships/hyperlink" Target="https://ncgtc.sdpondemand.manageengine.in/app/apphelpdesk/ui/requests/14047000006165417/details" TargetMode="External"/><Relationship Id="rId1375" Type="http://schemas.openxmlformats.org/officeDocument/2006/relationships/hyperlink" Target="https://ncgtc.sdpondemand.manageengine.in/app/apphelpdesk/ui/requests/14047000006165405/details" TargetMode="External"/><Relationship Id="rId1374" Type="http://schemas.openxmlformats.org/officeDocument/2006/relationships/hyperlink" Target="https://ncgtc.sdpondemand.manageengine.in/app/apphelpdesk/ui/requests/14047000006165376/details" TargetMode="External"/><Relationship Id="rId1373" Type="http://schemas.openxmlformats.org/officeDocument/2006/relationships/hyperlink" Target="https://ncgtc.sdpondemand.manageengine.in/app/apphelpdesk/ui/requests/14047000006165341/details" TargetMode="External"/><Relationship Id="rId1372" Type="http://schemas.openxmlformats.org/officeDocument/2006/relationships/hyperlink" Target="https://ncgtc.sdpondemand.manageengine.in/app/apphelpdesk/ui/requests/14047000006165327/details" TargetMode="External"/><Relationship Id="rId1371" Type="http://schemas.openxmlformats.org/officeDocument/2006/relationships/hyperlink" Target="https://ncgtc.sdpondemand.manageengine.in/app/apphelpdesk/ui/requests/14047000006165265/details" TargetMode="External"/><Relationship Id="rId1370" Type="http://schemas.openxmlformats.org/officeDocument/2006/relationships/hyperlink" Target="https://ncgtc.sdpondemand.manageengine.in/app/apphelpdesk/ui/requests/14047000006165252/details" TargetMode="External"/><Relationship Id="rId137" Type="http://schemas.openxmlformats.org/officeDocument/2006/relationships/hyperlink" Target="https://ncgtc.sdpondemand.manageengine.in/app/apphelpdesk/ui/requests/14047000005883672/details" TargetMode="External"/><Relationship Id="rId1369" Type="http://schemas.openxmlformats.org/officeDocument/2006/relationships/hyperlink" Target="https://ncgtc.sdpondemand.manageengine.in/app/apphelpdesk/ui/requests/14047000006165225/details" TargetMode="External"/><Relationship Id="rId1368" Type="http://schemas.openxmlformats.org/officeDocument/2006/relationships/hyperlink" Target="https://ncgtc.sdpondemand.manageengine.in/app/apphelpdesk/ui/requests/14047000006165182/details" TargetMode="External"/><Relationship Id="rId1367" Type="http://schemas.openxmlformats.org/officeDocument/2006/relationships/hyperlink" Target="https://ncgtc.sdpondemand.manageengine.in/app/apphelpdesk/ui/requests/14047000006165163/details" TargetMode="External"/><Relationship Id="rId1366" Type="http://schemas.openxmlformats.org/officeDocument/2006/relationships/hyperlink" Target="https://ncgtc.sdpondemand.manageengine.in/app/apphelpdesk/ui/requests/14047000006165137/details" TargetMode="External"/><Relationship Id="rId1365" Type="http://schemas.openxmlformats.org/officeDocument/2006/relationships/hyperlink" Target="https://ncgtc.sdpondemand.manageengine.in/app/apphelpdesk/ui/requests/14047000006165105/details" TargetMode="External"/><Relationship Id="rId1364" Type="http://schemas.openxmlformats.org/officeDocument/2006/relationships/hyperlink" Target="https://ncgtc.sdpondemand.manageengine.in/app/apphelpdesk/ui/requests/14047000006165084/details" TargetMode="External"/><Relationship Id="rId1363" Type="http://schemas.openxmlformats.org/officeDocument/2006/relationships/hyperlink" Target="https://ncgtc.sdpondemand.manageengine.in/app/apphelpdesk/ui/requests/14047000006165060/details" TargetMode="External"/><Relationship Id="rId1362" Type="http://schemas.openxmlformats.org/officeDocument/2006/relationships/hyperlink" Target="https://ncgtc.sdpondemand.manageengine.in/app/apphelpdesk/ui/requests/14047000006165047/details" TargetMode="External"/><Relationship Id="rId1361" Type="http://schemas.openxmlformats.org/officeDocument/2006/relationships/hyperlink" Target="https://ncgtc.sdpondemand.manageengine.in/app/apphelpdesk/ui/requests/14047000006165030/details" TargetMode="External"/><Relationship Id="rId1360" Type="http://schemas.openxmlformats.org/officeDocument/2006/relationships/hyperlink" Target="https://ncgtc.sdpondemand.manageengine.in/app/apphelpdesk/ui/requests/14047000006165015/details" TargetMode="External"/><Relationship Id="rId136" Type="http://schemas.openxmlformats.org/officeDocument/2006/relationships/hyperlink" Target="https://ncgtc.sdpondemand.manageengine.in/app/apphelpdesk/ui/requests/14047000005883647/details" TargetMode="External"/><Relationship Id="rId1359" Type="http://schemas.openxmlformats.org/officeDocument/2006/relationships/hyperlink" Target="https://ncgtc.sdpondemand.manageengine.in/app/apphelpdesk/ui/requests/14047000006160997/details" TargetMode="External"/><Relationship Id="rId1358" Type="http://schemas.openxmlformats.org/officeDocument/2006/relationships/hyperlink" Target="https://ncgtc.sdpondemand.manageengine.in/app/apphelpdesk/ui/requests/14047000006160985/details" TargetMode="External"/><Relationship Id="rId1357" Type="http://schemas.openxmlformats.org/officeDocument/2006/relationships/hyperlink" Target="https://ncgtc.sdpondemand.manageengine.in/app/apphelpdesk/ui/requests/14047000006160965/details" TargetMode="External"/><Relationship Id="rId1356" Type="http://schemas.openxmlformats.org/officeDocument/2006/relationships/hyperlink" Target="https://ncgtc.sdpondemand.manageengine.in/app/apphelpdesk/ui/requests/14047000006160878/details" TargetMode="External"/><Relationship Id="rId1355" Type="http://schemas.openxmlformats.org/officeDocument/2006/relationships/hyperlink" Target="https://ncgtc.sdpondemand.manageengine.in/app/apphelpdesk/ui/requests/14047000006160851/details" TargetMode="External"/><Relationship Id="rId1354" Type="http://schemas.openxmlformats.org/officeDocument/2006/relationships/hyperlink" Target="https://ncgtc.sdpondemand.manageengine.in/app/apphelpdesk/ui/requests/14047000006160819/details" TargetMode="External"/><Relationship Id="rId1353" Type="http://schemas.openxmlformats.org/officeDocument/2006/relationships/hyperlink" Target="https://ncgtc.sdpondemand.manageengine.in/app/apphelpdesk/ui/requests/14047000006160800/details" TargetMode="External"/><Relationship Id="rId1352" Type="http://schemas.openxmlformats.org/officeDocument/2006/relationships/hyperlink" Target="https://ncgtc.sdpondemand.manageengine.in/app/apphelpdesk/ui/requests/14047000006160774/details" TargetMode="External"/><Relationship Id="rId1351" Type="http://schemas.openxmlformats.org/officeDocument/2006/relationships/hyperlink" Target="https://ncgtc.sdpondemand.manageengine.in/app/apphelpdesk/ui/requests/14047000006160751/details" TargetMode="External"/><Relationship Id="rId1350" Type="http://schemas.openxmlformats.org/officeDocument/2006/relationships/hyperlink" Target="https://ncgtc.sdpondemand.manageengine.in/app/apphelpdesk/ui/requests/14047000006160727/details" TargetMode="External"/><Relationship Id="rId135" Type="http://schemas.openxmlformats.org/officeDocument/2006/relationships/hyperlink" Target="https://ncgtc.sdpondemand.manageengine.in/app/apphelpdesk/ui/requests/14047000005883554/details" TargetMode="External"/><Relationship Id="rId1349" Type="http://schemas.openxmlformats.org/officeDocument/2006/relationships/hyperlink" Target="https://ncgtc.sdpondemand.manageengine.in/app/apphelpdesk/ui/requests/14047000006160686/details" TargetMode="External"/><Relationship Id="rId1348" Type="http://schemas.openxmlformats.org/officeDocument/2006/relationships/hyperlink" Target="https://ncgtc.sdpondemand.manageengine.in/app/apphelpdesk/ui/requests/14047000006160610/details" TargetMode="External"/><Relationship Id="rId1347" Type="http://schemas.openxmlformats.org/officeDocument/2006/relationships/hyperlink" Target="https://ncgtc.sdpondemand.manageengine.in/app/apphelpdesk/ui/requests/14047000006160597/details" TargetMode="External"/><Relationship Id="rId1346" Type="http://schemas.openxmlformats.org/officeDocument/2006/relationships/hyperlink" Target="https://ncgtc.sdpondemand.manageengine.in/app/apphelpdesk/ui/requests/14047000006160560/details" TargetMode="External"/><Relationship Id="rId1345" Type="http://schemas.openxmlformats.org/officeDocument/2006/relationships/hyperlink" Target="https://ncgtc.sdpondemand.manageengine.in/app/apphelpdesk/ui/requests/14047000006160548/details" TargetMode="External"/><Relationship Id="rId1344" Type="http://schemas.openxmlformats.org/officeDocument/2006/relationships/hyperlink" Target="https://ncgtc.sdpondemand.manageengine.in/app/apphelpdesk/ui/requests/14047000006160498/details" TargetMode="External"/><Relationship Id="rId1343" Type="http://schemas.openxmlformats.org/officeDocument/2006/relationships/hyperlink" Target="https://ncgtc.sdpondemand.manageengine.in/app/apphelpdesk/ui/requests/14047000006160416/details" TargetMode="External"/><Relationship Id="rId1342" Type="http://schemas.openxmlformats.org/officeDocument/2006/relationships/hyperlink" Target="https://ncgtc.sdpondemand.manageengine.in/app/apphelpdesk/ui/requests/14047000006160402/details" TargetMode="External"/><Relationship Id="rId1341" Type="http://schemas.openxmlformats.org/officeDocument/2006/relationships/hyperlink" Target="https://ncgtc.sdpondemand.manageengine.in/app/apphelpdesk/ui/requests/14047000006160298/details" TargetMode="External"/><Relationship Id="rId1340" Type="http://schemas.openxmlformats.org/officeDocument/2006/relationships/hyperlink" Target="https://ncgtc.sdpondemand.manageengine.in/app/apphelpdesk/ui/requests/14047000006160285/details" TargetMode="External"/><Relationship Id="rId134" Type="http://schemas.openxmlformats.org/officeDocument/2006/relationships/hyperlink" Target="https://ncgtc.sdpondemand.manageengine.in/app/apphelpdesk/ui/requests/14047000005883538/details" TargetMode="External"/><Relationship Id="rId1339" Type="http://schemas.openxmlformats.org/officeDocument/2006/relationships/hyperlink" Target="https://ncgtc.sdpondemand.manageengine.in/app/apphelpdesk/ui/requests/14047000006160260/details" TargetMode="External"/><Relationship Id="rId1338" Type="http://schemas.openxmlformats.org/officeDocument/2006/relationships/hyperlink" Target="https://ncgtc.sdpondemand.manageengine.in/app/apphelpdesk/ui/requests/14047000006160231/details" TargetMode="External"/><Relationship Id="rId1337" Type="http://schemas.openxmlformats.org/officeDocument/2006/relationships/hyperlink" Target="https://ncgtc.sdpondemand.manageengine.in/app/apphelpdesk/ui/requests/14047000006160205/details" TargetMode="External"/><Relationship Id="rId1336" Type="http://schemas.openxmlformats.org/officeDocument/2006/relationships/hyperlink" Target="https://ncgtc.sdpondemand.manageengine.in/app/apphelpdesk/ui/requests/14047000006160187/details" TargetMode="External"/><Relationship Id="rId1335" Type="http://schemas.openxmlformats.org/officeDocument/2006/relationships/hyperlink" Target="https://ncgtc.sdpondemand.manageengine.in/app/apphelpdesk/ui/requests/14047000006160154/details" TargetMode="External"/><Relationship Id="rId1334" Type="http://schemas.openxmlformats.org/officeDocument/2006/relationships/hyperlink" Target="https://ncgtc.sdpondemand.manageengine.in/app/apphelpdesk/ui/requests/14047000006160142/details" TargetMode="External"/><Relationship Id="rId1333" Type="http://schemas.openxmlformats.org/officeDocument/2006/relationships/hyperlink" Target="https://ncgtc.sdpondemand.manageengine.in/app/apphelpdesk/ui/requests/14047000006160099/details" TargetMode="External"/><Relationship Id="rId1332" Type="http://schemas.openxmlformats.org/officeDocument/2006/relationships/hyperlink" Target="https://ncgtc.sdpondemand.manageengine.in/app/apphelpdesk/ui/requests/14047000006160074/details" TargetMode="External"/><Relationship Id="rId1331" Type="http://schemas.openxmlformats.org/officeDocument/2006/relationships/hyperlink" Target="https://ncgtc.sdpondemand.manageengine.in/app/apphelpdesk/ui/requests/14047000006160049/details" TargetMode="External"/><Relationship Id="rId1330" Type="http://schemas.openxmlformats.org/officeDocument/2006/relationships/hyperlink" Target="https://ncgtc.sdpondemand.manageengine.in/app/apphelpdesk/ui/requests/14047000006156995/details" TargetMode="External"/><Relationship Id="rId133" Type="http://schemas.openxmlformats.org/officeDocument/2006/relationships/hyperlink" Target="https://ncgtc.sdpondemand.manageengine.in/app/apphelpdesk/ui/requests/14047000005883513/details" TargetMode="External"/><Relationship Id="rId1329" Type="http://schemas.openxmlformats.org/officeDocument/2006/relationships/hyperlink" Target="https://ncgtc.sdpondemand.manageengine.in/app/apphelpdesk/ui/requests/14047000006156927/details" TargetMode="External"/><Relationship Id="rId1328" Type="http://schemas.openxmlformats.org/officeDocument/2006/relationships/hyperlink" Target="https://ncgtc.sdpondemand.manageengine.in/app/apphelpdesk/ui/requests/14047000006156914/details" TargetMode="External"/><Relationship Id="rId1327" Type="http://schemas.openxmlformats.org/officeDocument/2006/relationships/hyperlink" Target="https://ncgtc.sdpondemand.manageengine.in/app/apphelpdesk/ui/requests/14047000006156892/details" TargetMode="External"/><Relationship Id="rId1326" Type="http://schemas.openxmlformats.org/officeDocument/2006/relationships/hyperlink" Target="https://ncgtc.sdpondemand.manageengine.in/app/apphelpdesk/ui/requests/14047000006156867/details" TargetMode="External"/><Relationship Id="rId1325" Type="http://schemas.openxmlformats.org/officeDocument/2006/relationships/hyperlink" Target="https://ncgtc.sdpondemand.manageengine.in/app/apphelpdesk/ui/requests/14047000006156842/details" TargetMode="External"/><Relationship Id="rId1324" Type="http://schemas.openxmlformats.org/officeDocument/2006/relationships/hyperlink" Target="https://ncgtc.sdpondemand.manageengine.in/app/apphelpdesk/ui/requests/14047000006156819/details" TargetMode="External"/><Relationship Id="rId1323" Type="http://schemas.openxmlformats.org/officeDocument/2006/relationships/hyperlink" Target="https://ncgtc.sdpondemand.manageengine.in/app/apphelpdesk/ui/requests/14047000006156801/details" TargetMode="External"/><Relationship Id="rId1322" Type="http://schemas.openxmlformats.org/officeDocument/2006/relationships/hyperlink" Target="https://ncgtc.sdpondemand.manageengine.in/app/apphelpdesk/ui/requests/14047000006156789/details" TargetMode="External"/><Relationship Id="rId1321" Type="http://schemas.openxmlformats.org/officeDocument/2006/relationships/hyperlink" Target="https://ncgtc.sdpondemand.manageengine.in/app/apphelpdesk/ui/requests/14047000006156774/details" TargetMode="External"/><Relationship Id="rId1320" Type="http://schemas.openxmlformats.org/officeDocument/2006/relationships/hyperlink" Target="https://ncgtc.sdpondemand.manageengine.in/app/apphelpdesk/ui/requests/14047000006156760/details" TargetMode="External"/><Relationship Id="rId132" Type="http://schemas.openxmlformats.org/officeDocument/2006/relationships/hyperlink" Target="https://ncgtc.sdpondemand.manageengine.in/app/apphelpdesk/ui/requests/14047000005883505/details" TargetMode="External"/><Relationship Id="rId1319" Type="http://schemas.openxmlformats.org/officeDocument/2006/relationships/hyperlink" Target="https://ncgtc.sdpondemand.manageengine.in/app/apphelpdesk/ui/requests/14047000006156748/details" TargetMode="External"/><Relationship Id="rId1318" Type="http://schemas.openxmlformats.org/officeDocument/2006/relationships/hyperlink" Target="https://ncgtc.sdpondemand.manageengine.in/app/apphelpdesk/ui/requests/14047000006156735/details" TargetMode="External"/><Relationship Id="rId1317" Type="http://schemas.openxmlformats.org/officeDocument/2006/relationships/hyperlink" Target="https://ncgtc.sdpondemand.manageengine.in/app/apphelpdesk/ui/requests/14047000006156717/details" TargetMode="External"/><Relationship Id="rId1316" Type="http://schemas.openxmlformats.org/officeDocument/2006/relationships/hyperlink" Target="https://ncgtc.sdpondemand.manageengine.in/app/apphelpdesk/ui/requests/14047000006156705/details" TargetMode="External"/><Relationship Id="rId1315" Type="http://schemas.openxmlformats.org/officeDocument/2006/relationships/hyperlink" Target="https://ncgtc.sdpondemand.manageengine.in/app/apphelpdesk/ui/requests/14047000006156692/details" TargetMode="External"/><Relationship Id="rId1314" Type="http://schemas.openxmlformats.org/officeDocument/2006/relationships/hyperlink" Target="https://ncgtc.sdpondemand.manageengine.in/app/apphelpdesk/ui/requests/14047000006156656/details" TargetMode="External"/><Relationship Id="rId1313" Type="http://schemas.openxmlformats.org/officeDocument/2006/relationships/hyperlink" Target="https://ncgtc.sdpondemand.manageengine.in/app/apphelpdesk/ui/requests/14047000006156596/details" TargetMode="External"/><Relationship Id="rId1312" Type="http://schemas.openxmlformats.org/officeDocument/2006/relationships/hyperlink" Target="https://ncgtc.sdpondemand.manageengine.in/app/apphelpdesk/ui/requests/14047000006156578/details" TargetMode="External"/><Relationship Id="rId1311" Type="http://schemas.openxmlformats.org/officeDocument/2006/relationships/hyperlink" Target="https://ncgtc.sdpondemand.manageengine.in/app/apphelpdesk/ui/requests/14047000006156559/details" TargetMode="External"/><Relationship Id="rId1310" Type="http://schemas.openxmlformats.org/officeDocument/2006/relationships/hyperlink" Target="https://ncgtc.sdpondemand.manageengine.in/app/apphelpdesk/ui/requests/14047000006156533/details" TargetMode="External"/><Relationship Id="rId131" Type="http://schemas.openxmlformats.org/officeDocument/2006/relationships/hyperlink" Target="https://ncgtc.sdpondemand.manageengine.in/app/apphelpdesk/ui/requests/14047000005883497/details" TargetMode="External"/><Relationship Id="rId1309" Type="http://schemas.openxmlformats.org/officeDocument/2006/relationships/hyperlink" Target="https://ncgtc.sdpondemand.manageengine.in/app/apphelpdesk/ui/requests/14047000006156520/details" TargetMode="External"/><Relationship Id="rId1308" Type="http://schemas.openxmlformats.org/officeDocument/2006/relationships/hyperlink" Target="https://ncgtc.sdpondemand.manageengine.in/app/apphelpdesk/ui/requests/14047000006156502/details" TargetMode="External"/><Relationship Id="rId1307" Type="http://schemas.openxmlformats.org/officeDocument/2006/relationships/hyperlink" Target="https://ncgtc.sdpondemand.manageengine.in/app/apphelpdesk/ui/requests/14047000006156461/details" TargetMode="External"/><Relationship Id="rId1306" Type="http://schemas.openxmlformats.org/officeDocument/2006/relationships/hyperlink" Target="https://ncgtc.sdpondemand.manageengine.in/app/apphelpdesk/ui/requests/14047000006156434/details" TargetMode="External"/><Relationship Id="rId1305" Type="http://schemas.openxmlformats.org/officeDocument/2006/relationships/hyperlink" Target="https://ncgtc.sdpondemand.manageengine.in/app/apphelpdesk/ui/requests/14047000006156382/details" TargetMode="External"/><Relationship Id="rId1304" Type="http://schemas.openxmlformats.org/officeDocument/2006/relationships/hyperlink" Target="https://ncgtc.sdpondemand.manageengine.in/app/apphelpdesk/ui/requests/14047000006156362/details" TargetMode="External"/><Relationship Id="rId1303" Type="http://schemas.openxmlformats.org/officeDocument/2006/relationships/hyperlink" Target="https://ncgtc.sdpondemand.manageengine.in/app/apphelpdesk/ui/requests/14047000006156291/details" TargetMode="External"/><Relationship Id="rId1302" Type="http://schemas.openxmlformats.org/officeDocument/2006/relationships/hyperlink" Target="https://ncgtc.sdpondemand.manageengine.in/app/apphelpdesk/ui/requests/14047000006156273/details" TargetMode="External"/><Relationship Id="rId1301" Type="http://schemas.openxmlformats.org/officeDocument/2006/relationships/hyperlink" Target="https://ncgtc.sdpondemand.manageengine.in/app/apphelpdesk/ui/requests/14047000006156241/details" TargetMode="External"/><Relationship Id="rId1300" Type="http://schemas.openxmlformats.org/officeDocument/2006/relationships/hyperlink" Target="https://ncgtc.sdpondemand.manageengine.in/app/apphelpdesk/ui/requests/14047000006156200/details" TargetMode="External"/><Relationship Id="rId130" Type="http://schemas.openxmlformats.org/officeDocument/2006/relationships/hyperlink" Target="https://ncgtc.sdpondemand.manageengine.in/app/apphelpdesk/ui/requests/14047000005883469/details" TargetMode="External"/><Relationship Id="rId13" Type="http://schemas.openxmlformats.org/officeDocument/2006/relationships/hyperlink" Target="https://ncgtc.sdpondemand.manageengine.in/app/apphelpdesk/ui/requests/14047000005854291/details" TargetMode="External"/><Relationship Id="rId1299" Type="http://schemas.openxmlformats.org/officeDocument/2006/relationships/hyperlink" Target="https://ncgtc.sdpondemand.manageengine.in/app/apphelpdesk/ui/requests/14047000006156169/details" TargetMode="External"/><Relationship Id="rId1298" Type="http://schemas.openxmlformats.org/officeDocument/2006/relationships/hyperlink" Target="https://ncgtc.sdpondemand.manageengine.in/app/apphelpdesk/ui/requests/14047000006156131/details" TargetMode="External"/><Relationship Id="rId1297" Type="http://schemas.openxmlformats.org/officeDocument/2006/relationships/hyperlink" Target="https://ncgtc.sdpondemand.manageengine.in/app/apphelpdesk/ui/requests/14047000006156119/details" TargetMode="External"/><Relationship Id="rId1296" Type="http://schemas.openxmlformats.org/officeDocument/2006/relationships/hyperlink" Target="https://ncgtc.sdpondemand.manageengine.in/app/apphelpdesk/ui/requests/14047000006156106/details" TargetMode="External"/><Relationship Id="rId1295" Type="http://schemas.openxmlformats.org/officeDocument/2006/relationships/hyperlink" Target="https://ncgtc.sdpondemand.manageengine.in/app/apphelpdesk/ui/requests/14047000006156043/details" TargetMode="External"/><Relationship Id="rId1294" Type="http://schemas.openxmlformats.org/officeDocument/2006/relationships/hyperlink" Target="https://ncgtc.sdpondemand.manageengine.in/app/apphelpdesk/ui/requests/14047000006156017/details" TargetMode="External"/><Relationship Id="rId1293" Type="http://schemas.openxmlformats.org/officeDocument/2006/relationships/hyperlink" Target="https://ncgtc.sdpondemand.manageengine.in/app/apphelpdesk/ui/requests/14047000006156003/details" TargetMode="External"/><Relationship Id="rId1292" Type="http://schemas.openxmlformats.org/officeDocument/2006/relationships/hyperlink" Target="https://ncgtc.sdpondemand.manageengine.in/app/apphelpdesk/ui/requests/14047000006153968/details" TargetMode="External"/><Relationship Id="rId1291" Type="http://schemas.openxmlformats.org/officeDocument/2006/relationships/hyperlink" Target="https://ncgtc.sdpondemand.manageengine.in/app/apphelpdesk/ui/requests/14047000006153945/details" TargetMode="External"/><Relationship Id="rId1290" Type="http://schemas.openxmlformats.org/officeDocument/2006/relationships/hyperlink" Target="https://ncgtc.sdpondemand.manageengine.in/app/apphelpdesk/ui/requests/14047000006153910/details" TargetMode="External"/><Relationship Id="rId129" Type="http://schemas.openxmlformats.org/officeDocument/2006/relationships/hyperlink" Target="https://ncgtc.sdpondemand.manageengine.in/app/apphelpdesk/ui/requests/14047000005883448/details" TargetMode="External"/><Relationship Id="rId1289" Type="http://schemas.openxmlformats.org/officeDocument/2006/relationships/hyperlink" Target="https://ncgtc.sdpondemand.manageengine.in/app/apphelpdesk/ui/requests/14047000006153893/details" TargetMode="External"/><Relationship Id="rId1288" Type="http://schemas.openxmlformats.org/officeDocument/2006/relationships/hyperlink" Target="https://ncgtc.sdpondemand.manageengine.in/app/apphelpdesk/ui/requests/14047000006153881/details" TargetMode="External"/><Relationship Id="rId1287" Type="http://schemas.openxmlformats.org/officeDocument/2006/relationships/hyperlink" Target="https://ncgtc.sdpondemand.manageengine.in/app/apphelpdesk/ui/requests/14047000006153831/details" TargetMode="External"/><Relationship Id="rId1286" Type="http://schemas.openxmlformats.org/officeDocument/2006/relationships/hyperlink" Target="https://ncgtc.sdpondemand.manageengine.in/app/apphelpdesk/ui/requests/14047000006153809/details" TargetMode="External"/><Relationship Id="rId1285" Type="http://schemas.openxmlformats.org/officeDocument/2006/relationships/hyperlink" Target="https://ncgtc.sdpondemand.manageengine.in/app/apphelpdesk/ui/requests/14047000006153797/details" TargetMode="External"/><Relationship Id="rId1284" Type="http://schemas.openxmlformats.org/officeDocument/2006/relationships/hyperlink" Target="https://ncgtc.sdpondemand.manageengine.in/app/apphelpdesk/ui/requests/14047000006153739/details" TargetMode="External"/><Relationship Id="rId1283" Type="http://schemas.openxmlformats.org/officeDocument/2006/relationships/hyperlink" Target="https://ncgtc.sdpondemand.manageengine.in/app/apphelpdesk/ui/requests/14047000006153709/details" TargetMode="External"/><Relationship Id="rId1282" Type="http://schemas.openxmlformats.org/officeDocument/2006/relationships/hyperlink" Target="https://ncgtc.sdpondemand.manageengine.in/app/apphelpdesk/ui/requests/14047000006153677/details" TargetMode="External"/><Relationship Id="rId1281" Type="http://schemas.openxmlformats.org/officeDocument/2006/relationships/hyperlink" Target="https://ncgtc.sdpondemand.manageengine.in/app/apphelpdesk/ui/requests/14047000006153636/details" TargetMode="External"/><Relationship Id="rId1280" Type="http://schemas.openxmlformats.org/officeDocument/2006/relationships/hyperlink" Target="https://ncgtc.sdpondemand.manageengine.in/app/apphelpdesk/ui/requests/14047000006153616/details" TargetMode="External"/><Relationship Id="rId128" Type="http://schemas.openxmlformats.org/officeDocument/2006/relationships/hyperlink" Target="https://ncgtc.sdpondemand.manageengine.in/app/apphelpdesk/ui/requests/14047000005883427/details" TargetMode="External"/><Relationship Id="rId1279" Type="http://schemas.openxmlformats.org/officeDocument/2006/relationships/hyperlink" Target="https://ncgtc.sdpondemand.manageengine.in/app/apphelpdesk/ui/requests/14047000006153597/details" TargetMode="External"/><Relationship Id="rId1278" Type="http://schemas.openxmlformats.org/officeDocument/2006/relationships/hyperlink" Target="https://ncgtc.sdpondemand.manageengine.in/app/apphelpdesk/ui/requests/14047000006153492/details" TargetMode="External"/><Relationship Id="rId1277" Type="http://schemas.openxmlformats.org/officeDocument/2006/relationships/hyperlink" Target="https://ncgtc.sdpondemand.manageengine.in/app/apphelpdesk/ui/requests/14047000006153466/details" TargetMode="External"/><Relationship Id="rId1276" Type="http://schemas.openxmlformats.org/officeDocument/2006/relationships/hyperlink" Target="https://ncgtc.sdpondemand.manageengine.in/app/apphelpdesk/ui/requests/14047000006153452/details" TargetMode="External"/><Relationship Id="rId1275" Type="http://schemas.openxmlformats.org/officeDocument/2006/relationships/hyperlink" Target="https://ncgtc.sdpondemand.manageengine.in/app/apphelpdesk/ui/requests/14047000006153439/details" TargetMode="External"/><Relationship Id="rId1274" Type="http://schemas.openxmlformats.org/officeDocument/2006/relationships/hyperlink" Target="https://ncgtc.sdpondemand.manageengine.in/app/apphelpdesk/ui/requests/14047000006153412/details" TargetMode="External"/><Relationship Id="rId1273" Type="http://schemas.openxmlformats.org/officeDocument/2006/relationships/hyperlink" Target="https://ncgtc.sdpondemand.manageengine.in/app/apphelpdesk/ui/requests/14047000006153372/details" TargetMode="External"/><Relationship Id="rId1272" Type="http://schemas.openxmlformats.org/officeDocument/2006/relationships/hyperlink" Target="https://ncgtc.sdpondemand.manageengine.in/app/apphelpdesk/ui/requests/14047000006153332/details" TargetMode="External"/><Relationship Id="rId1271" Type="http://schemas.openxmlformats.org/officeDocument/2006/relationships/hyperlink" Target="https://ncgtc.sdpondemand.manageengine.in/app/apphelpdesk/ui/requests/14047000006153314/details" TargetMode="External"/><Relationship Id="rId1270" Type="http://schemas.openxmlformats.org/officeDocument/2006/relationships/hyperlink" Target="https://ncgtc.sdpondemand.manageengine.in/app/apphelpdesk/ui/requests/14047000006153259/details" TargetMode="External"/><Relationship Id="rId127" Type="http://schemas.openxmlformats.org/officeDocument/2006/relationships/hyperlink" Target="https://ncgtc.sdpondemand.manageengine.in/app/apphelpdesk/ui/requests/14047000005883411/details" TargetMode="External"/><Relationship Id="rId1269" Type="http://schemas.openxmlformats.org/officeDocument/2006/relationships/hyperlink" Target="https://ncgtc.sdpondemand.manageengine.in/app/apphelpdesk/ui/requests/14047000006153238/details" TargetMode="External"/><Relationship Id="rId1268" Type="http://schemas.openxmlformats.org/officeDocument/2006/relationships/hyperlink" Target="https://ncgtc.sdpondemand.manageengine.in/app/apphelpdesk/ui/requests/14047000006153222/details" TargetMode="External"/><Relationship Id="rId1267" Type="http://schemas.openxmlformats.org/officeDocument/2006/relationships/hyperlink" Target="https://ncgtc.sdpondemand.manageengine.in/app/apphelpdesk/ui/requests/14047000006153204/details" TargetMode="External"/><Relationship Id="rId1266" Type="http://schemas.openxmlformats.org/officeDocument/2006/relationships/hyperlink" Target="https://ncgtc.sdpondemand.manageengine.in/app/apphelpdesk/ui/requests/14047000006153190/details" TargetMode="External"/><Relationship Id="rId1265" Type="http://schemas.openxmlformats.org/officeDocument/2006/relationships/hyperlink" Target="https://ncgtc.sdpondemand.manageengine.in/app/apphelpdesk/ui/requests/14047000006153178/details" TargetMode="External"/><Relationship Id="rId1264" Type="http://schemas.openxmlformats.org/officeDocument/2006/relationships/hyperlink" Target="https://ncgtc.sdpondemand.manageengine.in/app/apphelpdesk/ui/requests/14047000006153163/details" TargetMode="External"/><Relationship Id="rId1263" Type="http://schemas.openxmlformats.org/officeDocument/2006/relationships/hyperlink" Target="https://ncgtc.sdpondemand.manageengine.in/app/apphelpdesk/ui/requests/14047000006153139/details" TargetMode="External"/><Relationship Id="rId1262" Type="http://schemas.openxmlformats.org/officeDocument/2006/relationships/hyperlink" Target="https://ncgtc.sdpondemand.manageengine.in/app/apphelpdesk/ui/requests/14047000006153121/details" TargetMode="External"/><Relationship Id="rId1261" Type="http://schemas.openxmlformats.org/officeDocument/2006/relationships/hyperlink" Target="https://ncgtc.sdpondemand.manageengine.in/app/apphelpdesk/ui/requests/14047000006153106/details" TargetMode="External"/><Relationship Id="rId1260" Type="http://schemas.openxmlformats.org/officeDocument/2006/relationships/hyperlink" Target="https://ncgtc.sdpondemand.manageengine.in/app/apphelpdesk/ui/requests/14047000006153059/details" TargetMode="External"/><Relationship Id="rId126" Type="http://schemas.openxmlformats.org/officeDocument/2006/relationships/hyperlink" Target="https://ncgtc.sdpondemand.manageengine.in/app/apphelpdesk/ui/requests/14047000005883403/details" TargetMode="External"/><Relationship Id="rId1259" Type="http://schemas.openxmlformats.org/officeDocument/2006/relationships/hyperlink" Target="https://ncgtc.sdpondemand.manageengine.in/app/apphelpdesk/ui/requests/14047000006153046/details" TargetMode="External"/><Relationship Id="rId1258" Type="http://schemas.openxmlformats.org/officeDocument/2006/relationships/hyperlink" Target="https://ncgtc.sdpondemand.manageengine.in/app/apphelpdesk/ui/requests/14047000006153028/details" TargetMode="External"/><Relationship Id="rId1257" Type="http://schemas.openxmlformats.org/officeDocument/2006/relationships/hyperlink" Target="https://ncgtc.sdpondemand.manageengine.in/app/apphelpdesk/ui/requests/14047000006153010/details" TargetMode="External"/><Relationship Id="rId1256" Type="http://schemas.openxmlformats.org/officeDocument/2006/relationships/hyperlink" Target="https://ncgtc.sdpondemand.manageengine.in/app/apphelpdesk/ui/requests/14047000006150967/details" TargetMode="External"/><Relationship Id="rId1255" Type="http://schemas.openxmlformats.org/officeDocument/2006/relationships/hyperlink" Target="https://ncgtc.sdpondemand.manageengine.in/app/apphelpdesk/ui/requests/14047000006150953/details" TargetMode="External"/><Relationship Id="rId1254" Type="http://schemas.openxmlformats.org/officeDocument/2006/relationships/hyperlink" Target="https://ncgtc.sdpondemand.manageengine.in/app/apphelpdesk/ui/requests/14047000006150941/details" TargetMode="External"/><Relationship Id="rId1253" Type="http://schemas.openxmlformats.org/officeDocument/2006/relationships/hyperlink" Target="https://ncgtc.sdpondemand.manageengine.in/app/apphelpdesk/ui/requests/14047000006150928/details" TargetMode="External"/><Relationship Id="rId1252" Type="http://schemas.openxmlformats.org/officeDocument/2006/relationships/hyperlink" Target="https://ncgtc.sdpondemand.manageengine.in/app/apphelpdesk/ui/requests/14047000006150881/details" TargetMode="External"/><Relationship Id="rId1251" Type="http://schemas.openxmlformats.org/officeDocument/2006/relationships/hyperlink" Target="https://ncgtc.sdpondemand.manageengine.in/app/apphelpdesk/ui/requests/14047000006150865/details" TargetMode="External"/><Relationship Id="rId1250" Type="http://schemas.openxmlformats.org/officeDocument/2006/relationships/hyperlink" Target="https://ncgtc.sdpondemand.manageengine.in/app/apphelpdesk/ui/requests/14047000006150851/details" TargetMode="External"/><Relationship Id="rId125" Type="http://schemas.openxmlformats.org/officeDocument/2006/relationships/hyperlink" Target="https://ncgtc.sdpondemand.manageengine.in/app/apphelpdesk/ui/requests/14047000005883372/details" TargetMode="External"/><Relationship Id="rId1249" Type="http://schemas.openxmlformats.org/officeDocument/2006/relationships/hyperlink" Target="https://ncgtc.sdpondemand.manageengine.in/app/apphelpdesk/ui/requests/14047000006150839/details" TargetMode="External"/><Relationship Id="rId1248" Type="http://schemas.openxmlformats.org/officeDocument/2006/relationships/hyperlink" Target="https://ncgtc.sdpondemand.manageengine.in/app/apphelpdesk/ui/requests/14047000006150774/details" TargetMode="External"/><Relationship Id="rId1247" Type="http://schemas.openxmlformats.org/officeDocument/2006/relationships/hyperlink" Target="https://ncgtc.sdpondemand.manageengine.in/app/apphelpdesk/ui/requests/14047000006150742/details" TargetMode="External"/><Relationship Id="rId1246" Type="http://schemas.openxmlformats.org/officeDocument/2006/relationships/hyperlink" Target="https://ncgtc.sdpondemand.manageengine.in/app/apphelpdesk/ui/requests/14047000006150705/details" TargetMode="External"/><Relationship Id="rId1245" Type="http://schemas.openxmlformats.org/officeDocument/2006/relationships/hyperlink" Target="https://ncgtc.sdpondemand.manageengine.in/app/apphelpdesk/ui/requests/14047000006150687/details" TargetMode="External"/><Relationship Id="rId1244" Type="http://schemas.openxmlformats.org/officeDocument/2006/relationships/hyperlink" Target="https://ncgtc.sdpondemand.manageengine.in/app/apphelpdesk/ui/requests/14047000006150675/details" TargetMode="External"/><Relationship Id="rId1243" Type="http://schemas.openxmlformats.org/officeDocument/2006/relationships/hyperlink" Target="https://ncgtc.sdpondemand.manageengine.in/app/apphelpdesk/ui/requests/14047000006150662/details" TargetMode="External"/><Relationship Id="rId1242" Type="http://schemas.openxmlformats.org/officeDocument/2006/relationships/hyperlink" Target="https://ncgtc.sdpondemand.manageengine.in/app/apphelpdesk/ui/requests/14047000006150645/details" TargetMode="External"/><Relationship Id="rId1241" Type="http://schemas.openxmlformats.org/officeDocument/2006/relationships/hyperlink" Target="https://ncgtc.sdpondemand.manageengine.in/app/apphelpdesk/ui/requests/14047000006150608/details" TargetMode="External"/><Relationship Id="rId1240" Type="http://schemas.openxmlformats.org/officeDocument/2006/relationships/hyperlink" Target="https://ncgtc.sdpondemand.manageengine.in/app/apphelpdesk/ui/requests/14047000006150592/details" TargetMode="External"/><Relationship Id="rId124" Type="http://schemas.openxmlformats.org/officeDocument/2006/relationships/hyperlink" Target="https://ncgtc.sdpondemand.manageengine.in/app/apphelpdesk/ui/requests/14047000005883358/details" TargetMode="External"/><Relationship Id="rId1239" Type="http://schemas.openxmlformats.org/officeDocument/2006/relationships/hyperlink" Target="https://ncgtc.sdpondemand.manageengine.in/app/apphelpdesk/ui/requests/14047000006150574/details" TargetMode="External"/><Relationship Id="rId1238" Type="http://schemas.openxmlformats.org/officeDocument/2006/relationships/hyperlink" Target="https://ncgtc.sdpondemand.manageengine.in/app/apphelpdesk/ui/requests/14047000006150555/details" TargetMode="External"/><Relationship Id="rId1237" Type="http://schemas.openxmlformats.org/officeDocument/2006/relationships/hyperlink" Target="https://ncgtc.sdpondemand.manageengine.in/app/apphelpdesk/ui/requests/14047000006150542/details" TargetMode="External"/><Relationship Id="rId1236" Type="http://schemas.openxmlformats.org/officeDocument/2006/relationships/hyperlink" Target="https://ncgtc.sdpondemand.manageengine.in/app/apphelpdesk/ui/requests/14047000006150528/details" TargetMode="External"/><Relationship Id="rId1235" Type="http://schemas.openxmlformats.org/officeDocument/2006/relationships/hyperlink" Target="https://ncgtc.sdpondemand.manageengine.in/app/apphelpdesk/ui/requests/14047000006150503/details" TargetMode="External"/><Relationship Id="rId1234" Type="http://schemas.openxmlformats.org/officeDocument/2006/relationships/hyperlink" Target="https://ncgtc.sdpondemand.manageengine.in/app/apphelpdesk/ui/requests/14047000006150485/details" TargetMode="External"/><Relationship Id="rId1233" Type="http://schemas.openxmlformats.org/officeDocument/2006/relationships/hyperlink" Target="https://ncgtc.sdpondemand.manageengine.in/app/apphelpdesk/ui/requests/14047000006150468/details" TargetMode="External"/><Relationship Id="rId1232" Type="http://schemas.openxmlformats.org/officeDocument/2006/relationships/hyperlink" Target="https://ncgtc.sdpondemand.manageengine.in/app/apphelpdesk/ui/requests/14047000006150445/details" TargetMode="External"/><Relationship Id="rId1231" Type="http://schemas.openxmlformats.org/officeDocument/2006/relationships/hyperlink" Target="https://ncgtc.sdpondemand.manageengine.in/app/apphelpdesk/ui/requests/14047000006150432/details" TargetMode="External"/><Relationship Id="rId1230" Type="http://schemas.openxmlformats.org/officeDocument/2006/relationships/hyperlink" Target="https://ncgtc.sdpondemand.manageengine.in/app/apphelpdesk/ui/requests/14047000006150419/details" TargetMode="External"/><Relationship Id="rId123" Type="http://schemas.openxmlformats.org/officeDocument/2006/relationships/hyperlink" Target="https://ncgtc.sdpondemand.manageengine.in/app/apphelpdesk/ui/requests/14047000005883324/details" TargetMode="External"/><Relationship Id="rId1229" Type="http://schemas.openxmlformats.org/officeDocument/2006/relationships/hyperlink" Target="https://ncgtc.sdpondemand.manageengine.in/app/apphelpdesk/ui/requests/14047000006150405/details" TargetMode="External"/><Relationship Id="rId1228" Type="http://schemas.openxmlformats.org/officeDocument/2006/relationships/hyperlink" Target="https://ncgtc.sdpondemand.manageengine.in/app/apphelpdesk/ui/requests/14047000006150386/details" TargetMode="External"/><Relationship Id="rId1227" Type="http://schemas.openxmlformats.org/officeDocument/2006/relationships/hyperlink" Target="https://ncgtc.sdpondemand.manageengine.in/app/apphelpdesk/ui/requests/14047000006150366/details" TargetMode="External"/><Relationship Id="rId1226" Type="http://schemas.openxmlformats.org/officeDocument/2006/relationships/hyperlink" Target="https://ncgtc.sdpondemand.manageengine.in/app/apphelpdesk/ui/requests/14047000006150354/details" TargetMode="External"/><Relationship Id="rId1225" Type="http://schemas.openxmlformats.org/officeDocument/2006/relationships/hyperlink" Target="https://ncgtc.sdpondemand.manageengine.in/app/apphelpdesk/ui/requests/14047000006150342/details" TargetMode="External"/><Relationship Id="rId1224" Type="http://schemas.openxmlformats.org/officeDocument/2006/relationships/hyperlink" Target="https://ncgtc.sdpondemand.manageengine.in/app/apphelpdesk/ui/requests/14047000006150279/details" TargetMode="External"/><Relationship Id="rId1223" Type="http://schemas.openxmlformats.org/officeDocument/2006/relationships/hyperlink" Target="https://ncgtc.sdpondemand.manageengine.in/app/apphelpdesk/ui/requests/14047000006150263/details" TargetMode="External"/><Relationship Id="rId1222" Type="http://schemas.openxmlformats.org/officeDocument/2006/relationships/hyperlink" Target="https://ncgtc.sdpondemand.manageengine.in/app/apphelpdesk/ui/requests/14047000006150245/details" TargetMode="External"/><Relationship Id="rId1221" Type="http://schemas.openxmlformats.org/officeDocument/2006/relationships/hyperlink" Target="https://ncgtc.sdpondemand.manageengine.in/app/apphelpdesk/ui/requests/14047000006150233/details" TargetMode="External"/><Relationship Id="rId1220" Type="http://schemas.openxmlformats.org/officeDocument/2006/relationships/hyperlink" Target="https://ncgtc.sdpondemand.manageengine.in/app/apphelpdesk/ui/requests/14047000006150219/details" TargetMode="External"/><Relationship Id="rId122" Type="http://schemas.openxmlformats.org/officeDocument/2006/relationships/hyperlink" Target="https://ncgtc.sdpondemand.manageengine.in/app/apphelpdesk/ui/requests/14047000005883299/details" TargetMode="External"/><Relationship Id="rId1219" Type="http://schemas.openxmlformats.org/officeDocument/2006/relationships/hyperlink" Target="https://ncgtc.sdpondemand.manageengine.in/app/apphelpdesk/ui/requests/14047000006150207/details" TargetMode="External"/><Relationship Id="rId1218" Type="http://schemas.openxmlformats.org/officeDocument/2006/relationships/hyperlink" Target="https://ncgtc.sdpondemand.manageengine.in/app/apphelpdesk/ui/requests/14047000006150171/details" TargetMode="External"/><Relationship Id="rId1217" Type="http://schemas.openxmlformats.org/officeDocument/2006/relationships/hyperlink" Target="https://ncgtc.sdpondemand.manageengine.in/app/apphelpdesk/ui/requests/14047000006150159/details" TargetMode="External"/><Relationship Id="rId1216" Type="http://schemas.openxmlformats.org/officeDocument/2006/relationships/hyperlink" Target="https://ncgtc.sdpondemand.manageengine.in/app/apphelpdesk/ui/requests/14047000006150106/details" TargetMode="External"/><Relationship Id="rId1215" Type="http://schemas.openxmlformats.org/officeDocument/2006/relationships/hyperlink" Target="https://ncgtc.sdpondemand.manageengine.in/app/apphelpdesk/ui/requests/14047000006150092/details" TargetMode="External"/><Relationship Id="rId1214" Type="http://schemas.openxmlformats.org/officeDocument/2006/relationships/hyperlink" Target="https://ncgtc.sdpondemand.manageengine.in/app/apphelpdesk/ui/requests/14047000006150080/details" TargetMode="External"/><Relationship Id="rId1213" Type="http://schemas.openxmlformats.org/officeDocument/2006/relationships/hyperlink" Target="https://ncgtc.sdpondemand.manageengine.in/app/apphelpdesk/ui/requests/14047000006150049/details" TargetMode="External"/><Relationship Id="rId1212" Type="http://schemas.openxmlformats.org/officeDocument/2006/relationships/hyperlink" Target="https://ncgtc.sdpondemand.manageengine.in/app/apphelpdesk/ui/requests/14047000006150037/details" TargetMode="External"/><Relationship Id="rId1211" Type="http://schemas.openxmlformats.org/officeDocument/2006/relationships/hyperlink" Target="https://ncgtc.sdpondemand.manageengine.in/app/apphelpdesk/ui/requests/14047000006150022/details" TargetMode="External"/><Relationship Id="rId1210" Type="http://schemas.openxmlformats.org/officeDocument/2006/relationships/hyperlink" Target="https://ncgtc.sdpondemand.manageengine.in/app/apphelpdesk/ui/requests/14047000006150004/details" TargetMode="External"/><Relationship Id="rId121" Type="http://schemas.openxmlformats.org/officeDocument/2006/relationships/hyperlink" Target="https://ncgtc.sdpondemand.manageengine.in/app/apphelpdesk/ui/requests/14047000005883275/details" TargetMode="External"/><Relationship Id="rId1209" Type="http://schemas.openxmlformats.org/officeDocument/2006/relationships/hyperlink" Target="https://ncgtc.sdpondemand.manageengine.in/app/apphelpdesk/ui/requests/14047000006141985/details" TargetMode="External"/><Relationship Id="rId1208" Type="http://schemas.openxmlformats.org/officeDocument/2006/relationships/hyperlink" Target="https://ncgtc.sdpondemand.manageengine.in/app/apphelpdesk/ui/requests/14047000006141971/details" TargetMode="External"/><Relationship Id="rId1207" Type="http://schemas.openxmlformats.org/officeDocument/2006/relationships/hyperlink" Target="https://ncgtc.sdpondemand.manageengine.in/app/apphelpdesk/ui/requests/14047000006141947/details" TargetMode="External"/><Relationship Id="rId1206" Type="http://schemas.openxmlformats.org/officeDocument/2006/relationships/hyperlink" Target="https://ncgtc.sdpondemand.manageengine.in/app/apphelpdesk/ui/requests/14047000006141920/details" TargetMode="External"/><Relationship Id="rId1205" Type="http://schemas.openxmlformats.org/officeDocument/2006/relationships/hyperlink" Target="https://ncgtc.sdpondemand.manageengine.in/app/apphelpdesk/ui/requests/14047000006141895/details" TargetMode="External"/><Relationship Id="rId1204" Type="http://schemas.openxmlformats.org/officeDocument/2006/relationships/hyperlink" Target="https://ncgtc.sdpondemand.manageengine.in/app/apphelpdesk/ui/requests/14047000006141881/details" TargetMode="External"/><Relationship Id="rId1203" Type="http://schemas.openxmlformats.org/officeDocument/2006/relationships/hyperlink" Target="https://ncgtc.sdpondemand.manageengine.in/app/apphelpdesk/ui/requests/14047000006141869/details" TargetMode="External"/><Relationship Id="rId1202" Type="http://schemas.openxmlformats.org/officeDocument/2006/relationships/hyperlink" Target="https://ncgtc.sdpondemand.manageengine.in/app/apphelpdesk/ui/requests/14047000006141848/details" TargetMode="External"/><Relationship Id="rId1201" Type="http://schemas.openxmlformats.org/officeDocument/2006/relationships/hyperlink" Target="https://ncgtc.sdpondemand.manageengine.in/app/apphelpdesk/ui/requests/14047000006141814/details" TargetMode="External"/><Relationship Id="rId1200" Type="http://schemas.openxmlformats.org/officeDocument/2006/relationships/hyperlink" Target="https://ncgtc.sdpondemand.manageengine.in/app/apphelpdesk/ui/requests/14047000006141802/details" TargetMode="External"/><Relationship Id="rId120" Type="http://schemas.openxmlformats.org/officeDocument/2006/relationships/hyperlink" Target="https://ncgtc.sdpondemand.manageengine.in/app/apphelpdesk/ui/requests/14047000005883251/details" TargetMode="External"/><Relationship Id="rId12" Type="http://schemas.openxmlformats.org/officeDocument/2006/relationships/hyperlink" Target="https://ncgtc.sdpondemand.manageengine.in/app/apphelpdesk/ui/requests/14047000005854280/details" TargetMode="External"/><Relationship Id="rId1199" Type="http://schemas.openxmlformats.org/officeDocument/2006/relationships/hyperlink" Target="https://ncgtc.sdpondemand.manageengine.in/app/apphelpdesk/ui/requests/14047000006141775/details" TargetMode="External"/><Relationship Id="rId1198" Type="http://schemas.openxmlformats.org/officeDocument/2006/relationships/hyperlink" Target="https://ncgtc.sdpondemand.manageengine.in/app/apphelpdesk/ui/requests/14047000006141751/details" TargetMode="External"/><Relationship Id="rId1197" Type="http://schemas.openxmlformats.org/officeDocument/2006/relationships/hyperlink" Target="https://ncgtc.sdpondemand.manageengine.in/app/apphelpdesk/ui/requests/14047000006141714/details" TargetMode="External"/><Relationship Id="rId1196" Type="http://schemas.openxmlformats.org/officeDocument/2006/relationships/hyperlink" Target="https://ncgtc.sdpondemand.manageengine.in/app/apphelpdesk/ui/requests/14047000006141692/details" TargetMode="External"/><Relationship Id="rId1195" Type="http://schemas.openxmlformats.org/officeDocument/2006/relationships/hyperlink" Target="https://ncgtc.sdpondemand.manageengine.in/app/apphelpdesk/ui/requests/14047000006141671/details" TargetMode="External"/><Relationship Id="rId1194" Type="http://schemas.openxmlformats.org/officeDocument/2006/relationships/hyperlink" Target="https://ncgtc.sdpondemand.manageengine.in/app/apphelpdesk/ui/requests/14047000006141659/details" TargetMode="External"/><Relationship Id="rId1193" Type="http://schemas.openxmlformats.org/officeDocument/2006/relationships/hyperlink" Target="https://ncgtc.sdpondemand.manageengine.in/app/apphelpdesk/ui/requests/14047000006141647/details" TargetMode="External"/><Relationship Id="rId1192" Type="http://schemas.openxmlformats.org/officeDocument/2006/relationships/hyperlink" Target="https://ncgtc.sdpondemand.manageengine.in/app/apphelpdesk/ui/requests/14047000006141553/details" TargetMode="External"/><Relationship Id="rId1191" Type="http://schemas.openxmlformats.org/officeDocument/2006/relationships/hyperlink" Target="https://ncgtc.sdpondemand.manageengine.in/app/apphelpdesk/ui/requests/14047000006141536/details" TargetMode="External"/><Relationship Id="rId1190" Type="http://schemas.openxmlformats.org/officeDocument/2006/relationships/hyperlink" Target="https://ncgtc.sdpondemand.manageengine.in/app/apphelpdesk/ui/requests/14047000006141509/details" TargetMode="External"/><Relationship Id="rId119" Type="http://schemas.openxmlformats.org/officeDocument/2006/relationships/hyperlink" Target="https://ncgtc.sdpondemand.manageengine.in/app/apphelpdesk/ui/requests/14047000005883221/details" TargetMode="External"/><Relationship Id="rId1189" Type="http://schemas.openxmlformats.org/officeDocument/2006/relationships/hyperlink" Target="https://ncgtc.sdpondemand.manageengine.in/app/apphelpdesk/ui/requests/14047000006141473/details" TargetMode="External"/><Relationship Id="rId1188" Type="http://schemas.openxmlformats.org/officeDocument/2006/relationships/hyperlink" Target="https://ncgtc.sdpondemand.manageengine.in/app/apphelpdesk/ui/requests/14047000006141460/details" TargetMode="External"/><Relationship Id="rId1187" Type="http://schemas.openxmlformats.org/officeDocument/2006/relationships/hyperlink" Target="https://ncgtc.sdpondemand.manageengine.in/app/apphelpdesk/ui/requests/14047000006141447/details" TargetMode="External"/><Relationship Id="rId1186" Type="http://schemas.openxmlformats.org/officeDocument/2006/relationships/hyperlink" Target="https://ncgtc.sdpondemand.manageengine.in/app/apphelpdesk/ui/requests/14047000006141430/details" TargetMode="External"/><Relationship Id="rId1185" Type="http://schemas.openxmlformats.org/officeDocument/2006/relationships/hyperlink" Target="https://ncgtc.sdpondemand.manageengine.in/app/apphelpdesk/ui/requests/14047000006141409/details" TargetMode="External"/><Relationship Id="rId1184" Type="http://schemas.openxmlformats.org/officeDocument/2006/relationships/hyperlink" Target="https://ncgtc.sdpondemand.manageengine.in/app/apphelpdesk/ui/requests/14047000006141392/details" TargetMode="External"/><Relationship Id="rId1183" Type="http://schemas.openxmlformats.org/officeDocument/2006/relationships/hyperlink" Target="https://ncgtc.sdpondemand.manageengine.in/app/apphelpdesk/ui/requests/14047000006141380/details" TargetMode="External"/><Relationship Id="rId1182" Type="http://schemas.openxmlformats.org/officeDocument/2006/relationships/hyperlink" Target="https://ncgtc.sdpondemand.manageengine.in/app/apphelpdesk/ui/requests/14047000006141300/details" TargetMode="External"/><Relationship Id="rId1181" Type="http://schemas.openxmlformats.org/officeDocument/2006/relationships/hyperlink" Target="https://ncgtc.sdpondemand.manageengine.in/app/apphelpdesk/ui/requests/14047000006141286/details" TargetMode="External"/><Relationship Id="rId1180" Type="http://schemas.openxmlformats.org/officeDocument/2006/relationships/hyperlink" Target="https://ncgtc.sdpondemand.manageengine.in/app/apphelpdesk/ui/requests/14047000006141274/details" TargetMode="External"/><Relationship Id="rId118" Type="http://schemas.openxmlformats.org/officeDocument/2006/relationships/hyperlink" Target="https://ncgtc.sdpondemand.manageengine.in/app/apphelpdesk/ui/requests/14047000005883184/details" TargetMode="External"/><Relationship Id="rId1179" Type="http://schemas.openxmlformats.org/officeDocument/2006/relationships/hyperlink" Target="https://ncgtc.sdpondemand.manageengine.in/app/apphelpdesk/ui/requests/14047000006141236/details" TargetMode="External"/><Relationship Id="rId1178" Type="http://schemas.openxmlformats.org/officeDocument/2006/relationships/hyperlink" Target="https://ncgtc.sdpondemand.manageengine.in/app/apphelpdesk/ui/requests/14047000006141192/details" TargetMode="External"/><Relationship Id="rId1177" Type="http://schemas.openxmlformats.org/officeDocument/2006/relationships/hyperlink" Target="https://ncgtc.sdpondemand.manageengine.in/app/apphelpdesk/ui/requests/14047000006141179/details" TargetMode="External"/><Relationship Id="rId1176" Type="http://schemas.openxmlformats.org/officeDocument/2006/relationships/hyperlink" Target="https://ncgtc.sdpondemand.manageengine.in/app/apphelpdesk/ui/requests/14047000006141151/details" TargetMode="External"/><Relationship Id="rId1175" Type="http://schemas.openxmlformats.org/officeDocument/2006/relationships/hyperlink" Target="https://ncgtc.sdpondemand.manageengine.in/app/apphelpdesk/ui/requests/14047000006141111/details" TargetMode="External"/><Relationship Id="rId1174" Type="http://schemas.openxmlformats.org/officeDocument/2006/relationships/hyperlink" Target="https://ncgtc.sdpondemand.manageengine.in/app/apphelpdesk/ui/requests/14047000006141082/details" TargetMode="External"/><Relationship Id="rId1173" Type="http://schemas.openxmlformats.org/officeDocument/2006/relationships/hyperlink" Target="https://ncgtc.sdpondemand.manageengine.in/app/apphelpdesk/ui/requests/14047000006141070/details" TargetMode="External"/><Relationship Id="rId1172" Type="http://schemas.openxmlformats.org/officeDocument/2006/relationships/hyperlink" Target="https://ncgtc.sdpondemand.manageengine.in/app/apphelpdesk/ui/requests/14047000006141001/details" TargetMode="External"/><Relationship Id="rId1171" Type="http://schemas.openxmlformats.org/officeDocument/2006/relationships/hyperlink" Target="https://ncgtc.sdpondemand.manageengine.in/app/apphelpdesk/ui/requests/14047000006128600/details" TargetMode="External"/><Relationship Id="rId1170" Type="http://schemas.openxmlformats.org/officeDocument/2006/relationships/hyperlink" Target="https://ncgtc.sdpondemand.manageengine.in/app/apphelpdesk/ui/requests/14047000006128581/details" TargetMode="External"/><Relationship Id="rId117" Type="http://schemas.openxmlformats.org/officeDocument/2006/relationships/hyperlink" Target="https://ncgtc.sdpondemand.manageengine.in/app/apphelpdesk/ui/requests/14047000005883175/details" TargetMode="External"/><Relationship Id="rId1169" Type="http://schemas.openxmlformats.org/officeDocument/2006/relationships/hyperlink" Target="https://ncgtc.sdpondemand.manageengine.in/app/apphelpdesk/ui/requests/14047000006128568/details" TargetMode="External"/><Relationship Id="rId1168" Type="http://schemas.openxmlformats.org/officeDocument/2006/relationships/hyperlink" Target="https://ncgtc.sdpondemand.manageengine.in/app/apphelpdesk/ui/requests/14047000006128541/details" TargetMode="External"/><Relationship Id="rId1167" Type="http://schemas.openxmlformats.org/officeDocument/2006/relationships/hyperlink" Target="https://ncgtc.sdpondemand.manageengine.in/app/apphelpdesk/ui/requests/14047000006128524/details" TargetMode="External"/><Relationship Id="rId1166" Type="http://schemas.openxmlformats.org/officeDocument/2006/relationships/hyperlink" Target="https://ncgtc.sdpondemand.manageengine.in/app/apphelpdesk/ui/requests/14047000006128487/details" TargetMode="External"/><Relationship Id="rId1165" Type="http://schemas.openxmlformats.org/officeDocument/2006/relationships/hyperlink" Target="https://ncgtc.sdpondemand.manageengine.in/app/apphelpdesk/ui/requests/14047000006128475/details" TargetMode="External"/><Relationship Id="rId1164" Type="http://schemas.openxmlformats.org/officeDocument/2006/relationships/hyperlink" Target="https://ncgtc.sdpondemand.manageengine.in/app/apphelpdesk/ui/requests/14047000006128453/details" TargetMode="External"/><Relationship Id="rId1163" Type="http://schemas.openxmlformats.org/officeDocument/2006/relationships/hyperlink" Target="https://ncgtc.sdpondemand.manageengine.in/app/apphelpdesk/ui/requests/14047000006128433/details" TargetMode="External"/><Relationship Id="rId1162" Type="http://schemas.openxmlformats.org/officeDocument/2006/relationships/hyperlink" Target="https://ncgtc.sdpondemand.manageengine.in/app/apphelpdesk/ui/requests/14047000006128421/details" TargetMode="External"/><Relationship Id="rId1161" Type="http://schemas.openxmlformats.org/officeDocument/2006/relationships/hyperlink" Target="https://ncgtc.sdpondemand.manageengine.in/app/apphelpdesk/ui/requests/14047000006128357/details" TargetMode="External"/><Relationship Id="rId1160" Type="http://schemas.openxmlformats.org/officeDocument/2006/relationships/hyperlink" Target="https://ncgtc.sdpondemand.manageengine.in/app/apphelpdesk/ui/requests/14047000006128321/details" TargetMode="External"/><Relationship Id="rId116" Type="http://schemas.openxmlformats.org/officeDocument/2006/relationships/hyperlink" Target="https://ncgtc.sdpondemand.manageengine.in/app/apphelpdesk/ui/requests/14047000005883153/details" TargetMode="External"/><Relationship Id="rId1159" Type="http://schemas.openxmlformats.org/officeDocument/2006/relationships/hyperlink" Target="https://ncgtc.sdpondemand.manageengine.in/app/apphelpdesk/ui/requests/14047000006128293/details" TargetMode="External"/><Relationship Id="rId1158" Type="http://schemas.openxmlformats.org/officeDocument/2006/relationships/hyperlink" Target="https://ncgtc.sdpondemand.manageengine.in/app/apphelpdesk/ui/requests/14047000006128152/details" TargetMode="External"/><Relationship Id="rId1157" Type="http://schemas.openxmlformats.org/officeDocument/2006/relationships/hyperlink" Target="https://ncgtc.sdpondemand.manageengine.in/app/apphelpdesk/ui/requests/14047000006128086/details" TargetMode="External"/><Relationship Id="rId1156" Type="http://schemas.openxmlformats.org/officeDocument/2006/relationships/hyperlink" Target="https://ncgtc.sdpondemand.manageengine.in/app/apphelpdesk/ui/requests/14047000006128074/details" TargetMode="External"/><Relationship Id="rId1155" Type="http://schemas.openxmlformats.org/officeDocument/2006/relationships/hyperlink" Target="https://ncgtc.sdpondemand.manageengine.in/app/apphelpdesk/ui/requests/14047000006128026/details" TargetMode="External"/><Relationship Id="rId1154" Type="http://schemas.openxmlformats.org/officeDocument/2006/relationships/hyperlink" Target="https://ncgtc.sdpondemand.manageengine.in/app/apphelpdesk/ui/requests/14047000006128008/details" TargetMode="External"/><Relationship Id="rId1153" Type="http://schemas.openxmlformats.org/officeDocument/2006/relationships/hyperlink" Target="https://ncgtc.sdpondemand.manageengine.in/app/apphelpdesk/ui/requests/14047000006114995/details" TargetMode="External"/><Relationship Id="rId1152" Type="http://schemas.openxmlformats.org/officeDocument/2006/relationships/hyperlink" Target="https://ncgtc.sdpondemand.manageengine.in/app/apphelpdesk/ui/requests/14047000006114971/details" TargetMode="External"/><Relationship Id="rId1151" Type="http://schemas.openxmlformats.org/officeDocument/2006/relationships/hyperlink" Target="https://ncgtc.sdpondemand.manageengine.in/app/apphelpdesk/ui/requests/14047000006114909/details" TargetMode="External"/><Relationship Id="rId1150" Type="http://schemas.openxmlformats.org/officeDocument/2006/relationships/hyperlink" Target="https://ncgtc.sdpondemand.manageengine.in/app/apphelpdesk/ui/requests/14047000006114852/details" TargetMode="External"/><Relationship Id="rId115" Type="http://schemas.openxmlformats.org/officeDocument/2006/relationships/hyperlink" Target="https://ncgtc.sdpondemand.manageengine.in/app/apphelpdesk/ui/requests/14047000005883133/details" TargetMode="External"/><Relationship Id="rId1149" Type="http://schemas.openxmlformats.org/officeDocument/2006/relationships/hyperlink" Target="https://ncgtc.sdpondemand.manageengine.in/app/apphelpdesk/ui/requests/14047000006114834/details" TargetMode="External"/><Relationship Id="rId1148" Type="http://schemas.openxmlformats.org/officeDocument/2006/relationships/hyperlink" Target="https://ncgtc.sdpondemand.manageengine.in/app/apphelpdesk/ui/requests/14047000006114745/details" TargetMode="External"/><Relationship Id="rId1147" Type="http://schemas.openxmlformats.org/officeDocument/2006/relationships/hyperlink" Target="https://ncgtc.sdpondemand.manageengine.in/app/apphelpdesk/ui/requests/14047000006114728/details" TargetMode="External"/><Relationship Id="rId1146" Type="http://schemas.openxmlformats.org/officeDocument/2006/relationships/hyperlink" Target="https://ncgtc.sdpondemand.manageengine.in/app/apphelpdesk/ui/requests/14047000006114711/details" TargetMode="External"/><Relationship Id="rId1145" Type="http://schemas.openxmlformats.org/officeDocument/2006/relationships/hyperlink" Target="https://ncgtc.sdpondemand.manageengine.in/app/apphelpdesk/ui/requests/14047000006114692/details" TargetMode="External"/><Relationship Id="rId1144" Type="http://schemas.openxmlformats.org/officeDocument/2006/relationships/hyperlink" Target="https://ncgtc.sdpondemand.manageengine.in/app/apphelpdesk/ui/requests/14047000006114604/details" TargetMode="External"/><Relationship Id="rId1143" Type="http://schemas.openxmlformats.org/officeDocument/2006/relationships/hyperlink" Target="https://ncgtc.sdpondemand.manageengine.in/app/apphelpdesk/ui/requests/14047000006114592/details" TargetMode="External"/><Relationship Id="rId1142" Type="http://schemas.openxmlformats.org/officeDocument/2006/relationships/hyperlink" Target="https://ncgtc.sdpondemand.manageengine.in/app/apphelpdesk/ui/requests/14047000006114575/details" TargetMode="External"/><Relationship Id="rId1141" Type="http://schemas.openxmlformats.org/officeDocument/2006/relationships/hyperlink" Target="https://ncgtc.sdpondemand.manageengine.in/app/apphelpdesk/ui/requests/14047000006114563/details" TargetMode="External"/><Relationship Id="rId1140" Type="http://schemas.openxmlformats.org/officeDocument/2006/relationships/hyperlink" Target="https://ncgtc.sdpondemand.manageengine.in/app/apphelpdesk/ui/requests/14047000006114545/details" TargetMode="External"/><Relationship Id="rId114" Type="http://schemas.openxmlformats.org/officeDocument/2006/relationships/hyperlink" Target="https://ncgtc.sdpondemand.manageengine.in/app/apphelpdesk/ui/requests/14047000005883113/details" TargetMode="External"/><Relationship Id="rId1139" Type="http://schemas.openxmlformats.org/officeDocument/2006/relationships/hyperlink" Target="https://ncgtc.sdpondemand.manageengine.in/app/apphelpdesk/ui/requests/14047000006114526/details" TargetMode="External"/><Relationship Id="rId1138" Type="http://schemas.openxmlformats.org/officeDocument/2006/relationships/hyperlink" Target="https://ncgtc.sdpondemand.manageengine.in/app/apphelpdesk/ui/requests/14047000006114494/details" TargetMode="External"/><Relationship Id="rId1137" Type="http://schemas.openxmlformats.org/officeDocument/2006/relationships/hyperlink" Target="https://ncgtc.sdpondemand.manageengine.in/app/apphelpdesk/ui/requests/14047000006114467/details" TargetMode="External"/><Relationship Id="rId1136" Type="http://schemas.openxmlformats.org/officeDocument/2006/relationships/hyperlink" Target="https://ncgtc.sdpondemand.manageengine.in/app/apphelpdesk/ui/requests/14047000006114455/details" TargetMode="External"/><Relationship Id="rId1135" Type="http://schemas.openxmlformats.org/officeDocument/2006/relationships/hyperlink" Target="https://ncgtc.sdpondemand.manageengine.in/app/apphelpdesk/ui/requests/14047000006114441/details" TargetMode="External"/><Relationship Id="rId1134" Type="http://schemas.openxmlformats.org/officeDocument/2006/relationships/hyperlink" Target="https://ncgtc.sdpondemand.manageengine.in/app/apphelpdesk/ui/requests/14047000006114429/details" TargetMode="External"/><Relationship Id="rId1133" Type="http://schemas.openxmlformats.org/officeDocument/2006/relationships/hyperlink" Target="https://ncgtc.sdpondemand.manageengine.in/app/apphelpdesk/ui/requests/14047000006114415/details" TargetMode="External"/><Relationship Id="rId1132" Type="http://schemas.openxmlformats.org/officeDocument/2006/relationships/hyperlink" Target="https://ncgtc.sdpondemand.manageengine.in/app/apphelpdesk/ui/requests/14047000006114403/details" TargetMode="External"/><Relationship Id="rId1131" Type="http://schemas.openxmlformats.org/officeDocument/2006/relationships/hyperlink" Target="https://ncgtc.sdpondemand.manageengine.in/app/apphelpdesk/ui/requests/14047000006114385/details" TargetMode="External"/><Relationship Id="rId1130" Type="http://schemas.openxmlformats.org/officeDocument/2006/relationships/hyperlink" Target="https://ncgtc.sdpondemand.manageengine.in/app/apphelpdesk/ui/requests/14047000006114372/details" TargetMode="External"/><Relationship Id="rId113" Type="http://schemas.openxmlformats.org/officeDocument/2006/relationships/hyperlink" Target="https://ncgtc.sdpondemand.manageengine.in/app/apphelpdesk/ui/requests/14047000005883053/details" TargetMode="External"/><Relationship Id="rId1129" Type="http://schemas.openxmlformats.org/officeDocument/2006/relationships/hyperlink" Target="https://ncgtc.sdpondemand.manageengine.in/app/apphelpdesk/ui/requests/14047000006114352/details" TargetMode="External"/><Relationship Id="rId1128" Type="http://schemas.openxmlformats.org/officeDocument/2006/relationships/hyperlink" Target="https://ncgtc.sdpondemand.manageengine.in/app/apphelpdesk/ui/requests/14047000006114340/details" TargetMode="External"/><Relationship Id="rId1127" Type="http://schemas.openxmlformats.org/officeDocument/2006/relationships/hyperlink" Target="https://ncgtc.sdpondemand.manageengine.in/app/apphelpdesk/ui/requests/14047000006114321/details" TargetMode="External"/><Relationship Id="rId1126" Type="http://schemas.openxmlformats.org/officeDocument/2006/relationships/hyperlink" Target="https://ncgtc.sdpondemand.manageengine.in/app/apphelpdesk/ui/requests/14047000006114308/details" TargetMode="External"/><Relationship Id="rId1125" Type="http://schemas.openxmlformats.org/officeDocument/2006/relationships/hyperlink" Target="https://ncgtc.sdpondemand.manageengine.in/app/apphelpdesk/ui/requests/14047000006114295/details" TargetMode="External"/><Relationship Id="rId1124" Type="http://schemas.openxmlformats.org/officeDocument/2006/relationships/hyperlink" Target="https://ncgtc.sdpondemand.manageengine.in/app/apphelpdesk/ui/requests/14047000006114281/details" TargetMode="External"/><Relationship Id="rId1123" Type="http://schemas.openxmlformats.org/officeDocument/2006/relationships/hyperlink" Target="https://ncgtc.sdpondemand.manageengine.in/app/apphelpdesk/ui/requests/14047000006114244/details" TargetMode="External"/><Relationship Id="rId1122" Type="http://schemas.openxmlformats.org/officeDocument/2006/relationships/hyperlink" Target="https://ncgtc.sdpondemand.manageengine.in/app/apphelpdesk/ui/requests/14047000006114184/details" TargetMode="External"/><Relationship Id="rId1121" Type="http://schemas.openxmlformats.org/officeDocument/2006/relationships/hyperlink" Target="https://ncgtc.sdpondemand.manageengine.in/app/apphelpdesk/ui/requests/14047000006114142/details" TargetMode="External"/><Relationship Id="rId1120" Type="http://schemas.openxmlformats.org/officeDocument/2006/relationships/hyperlink" Target="https://ncgtc.sdpondemand.manageengine.in/app/apphelpdesk/ui/requests/14047000006114105/details" TargetMode="External"/><Relationship Id="rId112" Type="http://schemas.openxmlformats.org/officeDocument/2006/relationships/hyperlink" Target="https://ncgtc.sdpondemand.manageengine.in/app/apphelpdesk/ui/requests/14047000005872961/details" TargetMode="External"/><Relationship Id="rId1119" Type="http://schemas.openxmlformats.org/officeDocument/2006/relationships/hyperlink" Target="https://ncgtc.sdpondemand.manageengine.in/app/apphelpdesk/ui/requests/14047000006114074/details" TargetMode="External"/><Relationship Id="rId1118" Type="http://schemas.openxmlformats.org/officeDocument/2006/relationships/hyperlink" Target="https://ncgtc.sdpondemand.manageengine.in/app/apphelpdesk/ui/requests/14047000006114050/details" TargetMode="External"/><Relationship Id="rId1117" Type="http://schemas.openxmlformats.org/officeDocument/2006/relationships/hyperlink" Target="https://ncgtc.sdpondemand.manageengine.in/app/apphelpdesk/ui/requests/14047000006114038/details" TargetMode="External"/><Relationship Id="rId1116" Type="http://schemas.openxmlformats.org/officeDocument/2006/relationships/hyperlink" Target="https://ncgtc.sdpondemand.manageengine.in/app/apphelpdesk/ui/requests/14047000006114019/details" TargetMode="External"/><Relationship Id="rId1115" Type="http://schemas.openxmlformats.org/officeDocument/2006/relationships/hyperlink" Target="https://ncgtc.sdpondemand.manageengine.in/app/apphelpdesk/ui/requests/14047000006114007/details" TargetMode="External"/><Relationship Id="rId1114" Type="http://schemas.openxmlformats.org/officeDocument/2006/relationships/hyperlink" Target="https://ncgtc.sdpondemand.manageengine.in/app/apphelpdesk/ui/requests/14047000006111884/details" TargetMode="External"/><Relationship Id="rId1113" Type="http://schemas.openxmlformats.org/officeDocument/2006/relationships/hyperlink" Target="https://ncgtc.sdpondemand.manageengine.in/app/apphelpdesk/ui/requests/14047000006111871/details" TargetMode="External"/><Relationship Id="rId1112" Type="http://schemas.openxmlformats.org/officeDocument/2006/relationships/hyperlink" Target="https://ncgtc.sdpondemand.manageengine.in/app/apphelpdesk/ui/requests/14047000006111850/details" TargetMode="External"/><Relationship Id="rId1111" Type="http://schemas.openxmlformats.org/officeDocument/2006/relationships/hyperlink" Target="https://ncgtc.sdpondemand.manageengine.in/app/apphelpdesk/ui/requests/14047000006111831/details" TargetMode="External"/><Relationship Id="rId1110" Type="http://schemas.openxmlformats.org/officeDocument/2006/relationships/hyperlink" Target="https://ncgtc.sdpondemand.manageengine.in/app/apphelpdesk/ui/requests/14047000006111795/details" TargetMode="External"/><Relationship Id="rId111" Type="http://schemas.openxmlformats.org/officeDocument/2006/relationships/hyperlink" Target="https://ncgtc.sdpondemand.manageengine.in/app/apphelpdesk/ui/requests/14047000005872913/details" TargetMode="External"/><Relationship Id="rId1109" Type="http://schemas.openxmlformats.org/officeDocument/2006/relationships/hyperlink" Target="https://ncgtc.sdpondemand.manageengine.in/app/apphelpdesk/ui/requests/14047000006111766/details" TargetMode="External"/><Relationship Id="rId1108" Type="http://schemas.openxmlformats.org/officeDocument/2006/relationships/hyperlink" Target="https://ncgtc.sdpondemand.manageengine.in/app/apphelpdesk/ui/requests/14047000006111749/details" TargetMode="External"/><Relationship Id="rId1107" Type="http://schemas.openxmlformats.org/officeDocument/2006/relationships/hyperlink" Target="https://ncgtc.sdpondemand.manageengine.in/app/apphelpdesk/ui/requests/14047000006111688/details" TargetMode="External"/><Relationship Id="rId1106" Type="http://schemas.openxmlformats.org/officeDocument/2006/relationships/hyperlink" Target="https://ncgtc.sdpondemand.manageengine.in/app/apphelpdesk/ui/requests/14047000006111667/details" TargetMode="External"/><Relationship Id="rId1105" Type="http://schemas.openxmlformats.org/officeDocument/2006/relationships/hyperlink" Target="https://ncgtc.sdpondemand.manageengine.in/app/apphelpdesk/ui/requests/14047000006111655/details" TargetMode="External"/><Relationship Id="rId1104" Type="http://schemas.openxmlformats.org/officeDocument/2006/relationships/hyperlink" Target="https://ncgtc.sdpondemand.manageengine.in/app/apphelpdesk/ui/requests/14047000006111627/details" TargetMode="External"/><Relationship Id="rId1103" Type="http://schemas.openxmlformats.org/officeDocument/2006/relationships/hyperlink" Target="https://ncgtc.sdpondemand.manageengine.in/app/apphelpdesk/ui/requests/14047000006111595/details" TargetMode="External"/><Relationship Id="rId1102" Type="http://schemas.openxmlformats.org/officeDocument/2006/relationships/hyperlink" Target="https://ncgtc.sdpondemand.manageengine.in/app/apphelpdesk/ui/requests/14047000006111524/details" TargetMode="External"/><Relationship Id="rId1101" Type="http://schemas.openxmlformats.org/officeDocument/2006/relationships/hyperlink" Target="https://ncgtc.sdpondemand.manageengine.in/app/apphelpdesk/ui/requests/14047000006111505/details" TargetMode="External"/><Relationship Id="rId1100" Type="http://schemas.openxmlformats.org/officeDocument/2006/relationships/hyperlink" Target="https://ncgtc.sdpondemand.manageengine.in/app/apphelpdesk/ui/requests/14047000006111492/details" TargetMode="External"/><Relationship Id="rId110" Type="http://schemas.openxmlformats.org/officeDocument/2006/relationships/hyperlink" Target="https://ncgtc.sdpondemand.manageengine.in/app/apphelpdesk/ui/requests/14047000005872855/details" TargetMode="External"/><Relationship Id="rId11" Type="http://schemas.openxmlformats.org/officeDocument/2006/relationships/hyperlink" Target="https://ncgtc.sdpondemand.manageengine.in/app/apphelpdesk/ui/requests/14047000005854266/details" TargetMode="External"/><Relationship Id="rId1099" Type="http://schemas.openxmlformats.org/officeDocument/2006/relationships/hyperlink" Target="https://ncgtc.sdpondemand.manageengine.in/app/apphelpdesk/ui/requests/14047000006111479/details" TargetMode="External"/><Relationship Id="rId1098" Type="http://schemas.openxmlformats.org/officeDocument/2006/relationships/hyperlink" Target="https://ncgtc.sdpondemand.manageengine.in/app/apphelpdesk/ui/requests/14047000006111466/details" TargetMode="External"/><Relationship Id="rId1097" Type="http://schemas.openxmlformats.org/officeDocument/2006/relationships/hyperlink" Target="https://ncgtc.sdpondemand.manageengine.in/app/apphelpdesk/ui/requests/14047000006111392/details" TargetMode="External"/><Relationship Id="rId1096" Type="http://schemas.openxmlformats.org/officeDocument/2006/relationships/hyperlink" Target="https://ncgtc.sdpondemand.manageengine.in/app/apphelpdesk/ui/requests/14047000006111379/details" TargetMode="External"/><Relationship Id="rId1095" Type="http://schemas.openxmlformats.org/officeDocument/2006/relationships/hyperlink" Target="https://ncgtc.sdpondemand.manageengine.in/app/apphelpdesk/ui/requests/14047000006111361/details" TargetMode="External"/><Relationship Id="rId1094" Type="http://schemas.openxmlformats.org/officeDocument/2006/relationships/hyperlink" Target="https://ncgtc.sdpondemand.manageengine.in/app/apphelpdesk/ui/requests/14047000006111295/details" TargetMode="External"/><Relationship Id="rId1093" Type="http://schemas.openxmlformats.org/officeDocument/2006/relationships/hyperlink" Target="https://ncgtc.sdpondemand.manageengine.in/app/apphelpdesk/ui/requests/14047000006111265/details" TargetMode="External"/><Relationship Id="rId1092" Type="http://schemas.openxmlformats.org/officeDocument/2006/relationships/hyperlink" Target="https://ncgtc.sdpondemand.manageengine.in/app/apphelpdesk/ui/requests/14047000006111223/details" TargetMode="External"/><Relationship Id="rId1091" Type="http://schemas.openxmlformats.org/officeDocument/2006/relationships/hyperlink" Target="https://ncgtc.sdpondemand.manageengine.in/app/apphelpdesk/ui/requests/14047000006111184/details" TargetMode="External"/><Relationship Id="rId1090" Type="http://schemas.openxmlformats.org/officeDocument/2006/relationships/hyperlink" Target="https://ncgtc.sdpondemand.manageengine.in/app/apphelpdesk/ui/requests/14047000006111135/details" TargetMode="External"/><Relationship Id="rId109" Type="http://schemas.openxmlformats.org/officeDocument/2006/relationships/hyperlink" Target="https://ncgtc.sdpondemand.manageengine.in/app/apphelpdesk/ui/requests/14047000005872834/details" TargetMode="External"/><Relationship Id="rId1089" Type="http://schemas.openxmlformats.org/officeDocument/2006/relationships/hyperlink" Target="https://ncgtc.sdpondemand.manageengine.in/app/apphelpdesk/ui/requests/14047000006111120/details" TargetMode="External"/><Relationship Id="rId1088" Type="http://schemas.openxmlformats.org/officeDocument/2006/relationships/hyperlink" Target="https://ncgtc.sdpondemand.manageengine.in/app/apphelpdesk/ui/requests/14047000006111086/details" TargetMode="External"/><Relationship Id="rId1087" Type="http://schemas.openxmlformats.org/officeDocument/2006/relationships/hyperlink" Target="https://ncgtc.sdpondemand.manageengine.in/app/apphelpdesk/ui/requests/14047000006111041/details" TargetMode="External"/><Relationship Id="rId1086" Type="http://schemas.openxmlformats.org/officeDocument/2006/relationships/hyperlink" Target="https://ncgtc.sdpondemand.manageengine.in/app/apphelpdesk/ui/requests/14047000006111015/details" TargetMode="External"/><Relationship Id="rId1085" Type="http://schemas.openxmlformats.org/officeDocument/2006/relationships/hyperlink" Target="https://ncgtc.sdpondemand.manageengine.in/app/apphelpdesk/ui/requests/14047000006105992/details" TargetMode="External"/><Relationship Id="rId1084" Type="http://schemas.openxmlformats.org/officeDocument/2006/relationships/hyperlink" Target="https://ncgtc.sdpondemand.manageengine.in/app/apphelpdesk/ui/requests/14047000006105904/details" TargetMode="External"/><Relationship Id="rId1083" Type="http://schemas.openxmlformats.org/officeDocument/2006/relationships/hyperlink" Target="https://ncgtc.sdpondemand.manageengine.in/app/apphelpdesk/ui/requests/14047000006105887/details" TargetMode="External"/><Relationship Id="rId1082" Type="http://schemas.openxmlformats.org/officeDocument/2006/relationships/hyperlink" Target="https://ncgtc.sdpondemand.manageengine.in/app/apphelpdesk/ui/requests/14047000006105873/details" TargetMode="External"/><Relationship Id="rId1081" Type="http://schemas.openxmlformats.org/officeDocument/2006/relationships/hyperlink" Target="https://ncgtc.sdpondemand.manageengine.in/app/apphelpdesk/ui/requests/14047000006105861/details" TargetMode="External"/><Relationship Id="rId1080" Type="http://schemas.openxmlformats.org/officeDocument/2006/relationships/hyperlink" Target="https://ncgtc.sdpondemand.manageengine.in/app/apphelpdesk/ui/requests/14047000006105836/details" TargetMode="External"/><Relationship Id="rId108" Type="http://schemas.openxmlformats.org/officeDocument/2006/relationships/hyperlink" Target="https://ncgtc.sdpondemand.manageengine.in/app/apphelpdesk/ui/requests/14047000005872787/details" TargetMode="External"/><Relationship Id="rId1079" Type="http://schemas.openxmlformats.org/officeDocument/2006/relationships/hyperlink" Target="https://ncgtc.sdpondemand.manageengine.in/app/apphelpdesk/ui/requests/14047000006105824/details" TargetMode="External"/><Relationship Id="rId1078" Type="http://schemas.openxmlformats.org/officeDocument/2006/relationships/hyperlink" Target="https://ncgtc.sdpondemand.manageengine.in/app/apphelpdesk/ui/requests/14047000006105807/details" TargetMode="External"/><Relationship Id="rId1077" Type="http://schemas.openxmlformats.org/officeDocument/2006/relationships/hyperlink" Target="https://ncgtc.sdpondemand.manageengine.in/app/apphelpdesk/ui/requests/14047000006105771/details" TargetMode="External"/><Relationship Id="rId1076" Type="http://schemas.openxmlformats.org/officeDocument/2006/relationships/hyperlink" Target="https://ncgtc.sdpondemand.manageengine.in/app/apphelpdesk/ui/requests/14047000006105724/details" TargetMode="External"/><Relationship Id="rId1075" Type="http://schemas.openxmlformats.org/officeDocument/2006/relationships/hyperlink" Target="https://ncgtc.sdpondemand.manageengine.in/app/apphelpdesk/ui/requests/14047000006105649/details" TargetMode="External"/><Relationship Id="rId1074" Type="http://schemas.openxmlformats.org/officeDocument/2006/relationships/hyperlink" Target="https://ncgtc.sdpondemand.manageengine.in/app/apphelpdesk/ui/requests/14047000006105630/details" TargetMode="External"/><Relationship Id="rId1073" Type="http://schemas.openxmlformats.org/officeDocument/2006/relationships/hyperlink" Target="https://ncgtc.sdpondemand.manageengine.in/app/apphelpdesk/ui/requests/14047000006105577/details" TargetMode="External"/><Relationship Id="rId1072" Type="http://schemas.openxmlformats.org/officeDocument/2006/relationships/hyperlink" Target="https://ncgtc.sdpondemand.manageengine.in/app/apphelpdesk/ui/requests/14047000006105560/details" TargetMode="External"/><Relationship Id="rId1071" Type="http://schemas.openxmlformats.org/officeDocument/2006/relationships/hyperlink" Target="https://ncgtc.sdpondemand.manageengine.in/app/apphelpdesk/ui/requests/14047000006105540/details" TargetMode="External"/><Relationship Id="rId1070" Type="http://schemas.openxmlformats.org/officeDocument/2006/relationships/hyperlink" Target="https://ncgtc.sdpondemand.manageengine.in/app/apphelpdesk/ui/requests/14047000006105528/details" TargetMode="External"/><Relationship Id="rId107" Type="http://schemas.openxmlformats.org/officeDocument/2006/relationships/hyperlink" Target="https://ncgtc.sdpondemand.manageengine.in/app/apphelpdesk/ui/requests/14047000005872713/details" TargetMode="External"/><Relationship Id="rId1069" Type="http://schemas.openxmlformats.org/officeDocument/2006/relationships/hyperlink" Target="https://ncgtc.sdpondemand.manageengine.in/app/apphelpdesk/ui/requests/14047000006105491/details" TargetMode="External"/><Relationship Id="rId1068" Type="http://schemas.openxmlformats.org/officeDocument/2006/relationships/hyperlink" Target="https://ncgtc.sdpondemand.manageengine.in/app/apphelpdesk/ui/requests/14047000006105466/details" TargetMode="External"/><Relationship Id="rId1067" Type="http://schemas.openxmlformats.org/officeDocument/2006/relationships/hyperlink" Target="https://ncgtc.sdpondemand.manageengine.in/app/apphelpdesk/ui/requests/14047000006105412/details" TargetMode="External"/><Relationship Id="rId1066" Type="http://schemas.openxmlformats.org/officeDocument/2006/relationships/hyperlink" Target="https://ncgtc.sdpondemand.manageengine.in/app/apphelpdesk/ui/requests/14047000006105386/details" TargetMode="External"/><Relationship Id="rId1065" Type="http://schemas.openxmlformats.org/officeDocument/2006/relationships/hyperlink" Target="https://ncgtc.sdpondemand.manageengine.in/app/apphelpdesk/ui/requests/14047000006105370/details" TargetMode="External"/><Relationship Id="rId1064" Type="http://schemas.openxmlformats.org/officeDocument/2006/relationships/hyperlink" Target="https://ncgtc.sdpondemand.manageengine.in/app/apphelpdesk/ui/requests/14047000006105316/details" TargetMode="External"/><Relationship Id="rId1063" Type="http://schemas.openxmlformats.org/officeDocument/2006/relationships/hyperlink" Target="https://ncgtc.sdpondemand.manageengine.in/app/apphelpdesk/ui/requests/14047000006105297/details" TargetMode="External"/><Relationship Id="rId1062" Type="http://schemas.openxmlformats.org/officeDocument/2006/relationships/hyperlink" Target="https://ncgtc.sdpondemand.manageengine.in/app/apphelpdesk/ui/requests/14047000006105206/details" TargetMode="External"/><Relationship Id="rId1061" Type="http://schemas.openxmlformats.org/officeDocument/2006/relationships/hyperlink" Target="https://ncgtc.sdpondemand.manageengine.in/app/apphelpdesk/ui/requests/14047000006105181/details" TargetMode="External"/><Relationship Id="rId1060" Type="http://schemas.openxmlformats.org/officeDocument/2006/relationships/hyperlink" Target="https://ncgtc.sdpondemand.manageengine.in/app/apphelpdesk/ui/requests/14047000006105059/details" TargetMode="External"/><Relationship Id="rId106" Type="http://schemas.openxmlformats.org/officeDocument/2006/relationships/hyperlink" Target="https://ncgtc.sdpondemand.manageengine.in/app/apphelpdesk/ui/requests/14047000005872647/details" TargetMode="External"/><Relationship Id="rId1059" Type="http://schemas.openxmlformats.org/officeDocument/2006/relationships/hyperlink" Target="https://ncgtc.sdpondemand.manageengine.in/app/apphelpdesk/ui/requests/14047000006105024/details" TargetMode="External"/><Relationship Id="rId1058" Type="http://schemas.openxmlformats.org/officeDocument/2006/relationships/hyperlink" Target="https://ncgtc.sdpondemand.manageengine.in/app/apphelpdesk/ui/requests/14047000006100953/details" TargetMode="External"/><Relationship Id="rId1057" Type="http://schemas.openxmlformats.org/officeDocument/2006/relationships/hyperlink" Target="https://ncgtc.sdpondemand.manageengine.in/app/apphelpdesk/ui/requests/14047000006100859/details" TargetMode="External"/><Relationship Id="rId1056" Type="http://schemas.openxmlformats.org/officeDocument/2006/relationships/hyperlink" Target="https://ncgtc.sdpondemand.manageengine.in/app/apphelpdesk/ui/requests/14047000006100846/details" TargetMode="External"/><Relationship Id="rId1055" Type="http://schemas.openxmlformats.org/officeDocument/2006/relationships/hyperlink" Target="https://ncgtc.sdpondemand.manageengine.in/app/apphelpdesk/ui/requests/14047000006100808/details" TargetMode="External"/><Relationship Id="rId1054" Type="http://schemas.openxmlformats.org/officeDocument/2006/relationships/hyperlink" Target="https://ncgtc.sdpondemand.manageengine.in/app/apphelpdesk/ui/requests/14047000006100770/details" TargetMode="External"/><Relationship Id="rId1053" Type="http://schemas.openxmlformats.org/officeDocument/2006/relationships/hyperlink" Target="https://ncgtc.sdpondemand.manageengine.in/app/apphelpdesk/ui/requests/14047000006100745/details" TargetMode="External"/><Relationship Id="rId1052" Type="http://schemas.openxmlformats.org/officeDocument/2006/relationships/hyperlink" Target="https://ncgtc.sdpondemand.manageengine.in/app/apphelpdesk/ui/requests/14047000006100732/details" TargetMode="External"/><Relationship Id="rId1051" Type="http://schemas.openxmlformats.org/officeDocument/2006/relationships/hyperlink" Target="https://ncgtc.sdpondemand.manageengine.in/app/apphelpdesk/ui/requests/14047000006100697/details" TargetMode="External"/><Relationship Id="rId1050" Type="http://schemas.openxmlformats.org/officeDocument/2006/relationships/hyperlink" Target="https://ncgtc.sdpondemand.manageengine.in/app/apphelpdesk/ui/requests/14047000006100684/details" TargetMode="External"/><Relationship Id="rId105" Type="http://schemas.openxmlformats.org/officeDocument/2006/relationships/hyperlink" Target="https://ncgtc.sdpondemand.manageengine.in/app/apphelpdesk/ui/requests/14047000005872623/details" TargetMode="External"/><Relationship Id="rId1049" Type="http://schemas.openxmlformats.org/officeDocument/2006/relationships/hyperlink" Target="https://ncgtc.sdpondemand.manageengine.in/app/apphelpdesk/ui/requests/14047000006100662/details" TargetMode="External"/><Relationship Id="rId1048" Type="http://schemas.openxmlformats.org/officeDocument/2006/relationships/hyperlink" Target="https://ncgtc.sdpondemand.manageengine.in/app/apphelpdesk/ui/requests/14047000006100613/details" TargetMode="External"/><Relationship Id="rId1047" Type="http://schemas.openxmlformats.org/officeDocument/2006/relationships/hyperlink" Target="https://ncgtc.sdpondemand.manageengine.in/app/apphelpdesk/ui/requests/14047000006100595/details" TargetMode="External"/><Relationship Id="rId1046" Type="http://schemas.openxmlformats.org/officeDocument/2006/relationships/hyperlink" Target="https://ncgtc.sdpondemand.manageengine.in/app/apphelpdesk/ui/requests/14047000006100580/details" TargetMode="External"/><Relationship Id="rId1045" Type="http://schemas.openxmlformats.org/officeDocument/2006/relationships/hyperlink" Target="https://ncgtc.sdpondemand.manageengine.in/app/apphelpdesk/ui/requests/14047000006100567/details" TargetMode="External"/><Relationship Id="rId1044" Type="http://schemas.openxmlformats.org/officeDocument/2006/relationships/hyperlink" Target="https://ncgtc.sdpondemand.manageengine.in/app/apphelpdesk/ui/requests/14047000006100539/details" TargetMode="External"/><Relationship Id="rId1043" Type="http://schemas.openxmlformats.org/officeDocument/2006/relationships/hyperlink" Target="https://ncgtc.sdpondemand.manageengine.in/app/apphelpdesk/ui/requests/14047000006100503/details" TargetMode="External"/><Relationship Id="rId1042" Type="http://schemas.openxmlformats.org/officeDocument/2006/relationships/hyperlink" Target="https://ncgtc.sdpondemand.manageengine.in/app/apphelpdesk/ui/requests/14047000006100489/details" TargetMode="External"/><Relationship Id="rId1041" Type="http://schemas.openxmlformats.org/officeDocument/2006/relationships/hyperlink" Target="https://ncgtc.sdpondemand.manageengine.in/app/apphelpdesk/ui/requests/14047000006100428/details" TargetMode="External"/><Relationship Id="rId1040" Type="http://schemas.openxmlformats.org/officeDocument/2006/relationships/hyperlink" Target="https://ncgtc.sdpondemand.manageengine.in/app/apphelpdesk/ui/requests/14047000006100404/details" TargetMode="External"/><Relationship Id="rId104" Type="http://schemas.openxmlformats.org/officeDocument/2006/relationships/hyperlink" Target="https://ncgtc.sdpondemand.manageengine.in/app/apphelpdesk/ui/requests/14047000005872572/details" TargetMode="External"/><Relationship Id="rId1039" Type="http://schemas.openxmlformats.org/officeDocument/2006/relationships/hyperlink" Target="https://ncgtc.sdpondemand.manageengine.in/app/apphelpdesk/ui/requests/14047000006100392/details" TargetMode="External"/><Relationship Id="rId1038" Type="http://schemas.openxmlformats.org/officeDocument/2006/relationships/hyperlink" Target="https://ncgtc.sdpondemand.manageengine.in/app/apphelpdesk/ui/requests/14047000006100324/details" TargetMode="External"/><Relationship Id="rId1037" Type="http://schemas.openxmlformats.org/officeDocument/2006/relationships/hyperlink" Target="https://ncgtc.sdpondemand.manageengine.in/app/apphelpdesk/ui/requests/14047000006100301/details" TargetMode="External"/><Relationship Id="rId1036" Type="http://schemas.openxmlformats.org/officeDocument/2006/relationships/hyperlink" Target="https://ncgtc.sdpondemand.manageengine.in/app/apphelpdesk/ui/requests/14047000006100270/details" TargetMode="External"/><Relationship Id="rId1035" Type="http://schemas.openxmlformats.org/officeDocument/2006/relationships/hyperlink" Target="https://ncgtc.sdpondemand.manageengine.in/app/apphelpdesk/ui/requests/14047000006100235/details" TargetMode="External"/><Relationship Id="rId1034" Type="http://schemas.openxmlformats.org/officeDocument/2006/relationships/hyperlink" Target="https://ncgtc.sdpondemand.manageengine.in/app/apphelpdesk/ui/requests/14047000006100216/details" TargetMode="External"/><Relationship Id="rId1033" Type="http://schemas.openxmlformats.org/officeDocument/2006/relationships/hyperlink" Target="https://ncgtc.sdpondemand.manageengine.in/app/apphelpdesk/ui/requests/14047000006100204/details" TargetMode="External"/><Relationship Id="rId1032" Type="http://schemas.openxmlformats.org/officeDocument/2006/relationships/hyperlink" Target="https://ncgtc.sdpondemand.manageengine.in/app/apphelpdesk/ui/requests/14047000006100143/details" TargetMode="External"/><Relationship Id="rId1031" Type="http://schemas.openxmlformats.org/officeDocument/2006/relationships/hyperlink" Target="https://ncgtc.sdpondemand.manageengine.in/app/apphelpdesk/ui/requests/14047000006100105/details" TargetMode="External"/><Relationship Id="rId1030" Type="http://schemas.openxmlformats.org/officeDocument/2006/relationships/hyperlink" Target="https://ncgtc.sdpondemand.manageengine.in/app/apphelpdesk/ui/requests/14047000006100052/details" TargetMode="External"/><Relationship Id="rId103" Type="http://schemas.openxmlformats.org/officeDocument/2006/relationships/hyperlink" Target="https://ncgtc.sdpondemand.manageengine.in/app/apphelpdesk/ui/requests/14047000005872551/details" TargetMode="External"/><Relationship Id="rId1029" Type="http://schemas.openxmlformats.org/officeDocument/2006/relationships/hyperlink" Target="https://ncgtc.sdpondemand.manageengine.in/app/apphelpdesk/ui/requests/14047000006097948/details" TargetMode="External"/><Relationship Id="rId1028" Type="http://schemas.openxmlformats.org/officeDocument/2006/relationships/hyperlink" Target="https://ncgtc.sdpondemand.manageengine.in/app/apphelpdesk/ui/requests/14047000006097914/details" TargetMode="External"/><Relationship Id="rId1027" Type="http://schemas.openxmlformats.org/officeDocument/2006/relationships/hyperlink" Target="https://ncgtc.sdpondemand.manageengine.in/app/apphelpdesk/ui/requests/14047000006097809/details" TargetMode="External"/><Relationship Id="rId1026" Type="http://schemas.openxmlformats.org/officeDocument/2006/relationships/hyperlink" Target="https://ncgtc.sdpondemand.manageengine.in/app/apphelpdesk/ui/requests/14047000006097796/details" TargetMode="External"/><Relationship Id="rId1025" Type="http://schemas.openxmlformats.org/officeDocument/2006/relationships/hyperlink" Target="https://ncgtc.sdpondemand.manageengine.in/app/apphelpdesk/ui/requests/14047000006097777/details" TargetMode="External"/><Relationship Id="rId1024" Type="http://schemas.openxmlformats.org/officeDocument/2006/relationships/hyperlink" Target="https://ncgtc.sdpondemand.manageengine.in/app/apphelpdesk/ui/requests/14047000006097737/details" TargetMode="External"/><Relationship Id="rId1023" Type="http://schemas.openxmlformats.org/officeDocument/2006/relationships/hyperlink" Target="https://ncgtc.sdpondemand.manageengine.in/app/apphelpdesk/ui/requests/14047000006097718/details" TargetMode="External"/><Relationship Id="rId1022" Type="http://schemas.openxmlformats.org/officeDocument/2006/relationships/hyperlink" Target="https://ncgtc.sdpondemand.manageengine.in/app/apphelpdesk/ui/requests/14047000006097704/details" TargetMode="External"/><Relationship Id="rId1021" Type="http://schemas.openxmlformats.org/officeDocument/2006/relationships/hyperlink" Target="https://ncgtc.sdpondemand.manageengine.in/app/apphelpdesk/ui/requests/14047000006097683/details" TargetMode="External"/><Relationship Id="rId1020" Type="http://schemas.openxmlformats.org/officeDocument/2006/relationships/hyperlink" Target="https://ncgtc.sdpondemand.manageengine.in/app/apphelpdesk/ui/requests/14047000006097636/details" TargetMode="External"/><Relationship Id="rId102" Type="http://schemas.openxmlformats.org/officeDocument/2006/relationships/hyperlink" Target="https://ncgtc.sdpondemand.manageengine.in/app/apphelpdesk/ui/requests/14047000005872511/details" TargetMode="External"/><Relationship Id="rId1019" Type="http://schemas.openxmlformats.org/officeDocument/2006/relationships/hyperlink" Target="https://ncgtc.sdpondemand.manageengine.in/app/apphelpdesk/ui/requests/14047000006097610/details" TargetMode="External"/><Relationship Id="rId1018" Type="http://schemas.openxmlformats.org/officeDocument/2006/relationships/hyperlink" Target="https://ncgtc.sdpondemand.manageengine.in/app/apphelpdesk/ui/requests/14047000006097592/details" TargetMode="External"/><Relationship Id="rId1017" Type="http://schemas.openxmlformats.org/officeDocument/2006/relationships/hyperlink" Target="https://ncgtc.sdpondemand.manageengine.in/app/apphelpdesk/ui/requests/14047000006097569/details" TargetMode="External"/><Relationship Id="rId1016" Type="http://schemas.openxmlformats.org/officeDocument/2006/relationships/hyperlink" Target="https://ncgtc.sdpondemand.manageengine.in/app/apphelpdesk/ui/requests/14047000006097557/details" TargetMode="External"/><Relationship Id="rId1015" Type="http://schemas.openxmlformats.org/officeDocument/2006/relationships/hyperlink" Target="https://ncgtc.sdpondemand.manageengine.in/app/apphelpdesk/ui/requests/14047000006097536/details" TargetMode="External"/><Relationship Id="rId1014" Type="http://schemas.openxmlformats.org/officeDocument/2006/relationships/hyperlink" Target="https://ncgtc.sdpondemand.manageengine.in/app/apphelpdesk/ui/requests/14047000006097519/details" TargetMode="External"/><Relationship Id="rId1013" Type="http://schemas.openxmlformats.org/officeDocument/2006/relationships/hyperlink" Target="https://ncgtc.sdpondemand.manageengine.in/app/apphelpdesk/ui/requests/14047000006097500/details" TargetMode="External"/><Relationship Id="rId1012" Type="http://schemas.openxmlformats.org/officeDocument/2006/relationships/hyperlink" Target="https://ncgtc.sdpondemand.manageengine.in/app/apphelpdesk/ui/requests/14047000006097457/details" TargetMode="External"/><Relationship Id="rId1011" Type="http://schemas.openxmlformats.org/officeDocument/2006/relationships/hyperlink" Target="https://ncgtc.sdpondemand.manageengine.in/app/apphelpdesk/ui/requests/14047000006097387/details" TargetMode="External"/><Relationship Id="rId1010" Type="http://schemas.openxmlformats.org/officeDocument/2006/relationships/hyperlink" Target="https://ncgtc.sdpondemand.manageengine.in/app/apphelpdesk/ui/requests/14047000006097355/details" TargetMode="External"/><Relationship Id="rId101" Type="http://schemas.openxmlformats.org/officeDocument/2006/relationships/hyperlink" Target="https://ncgtc.sdpondemand.manageengine.in/app/apphelpdesk/ui/requests/14047000005872472/details" TargetMode="External"/><Relationship Id="rId1009" Type="http://schemas.openxmlformats.org/officeDocument/2006/relationships/hyperlink" Target="https://ncgtc.sdpondemand.manageengine.in/app/apphelpdesk/ui/requests/14047000006097343/details" TargetMode="External"/><Relationship Id="rId1008" Type="http://schemas.openxmlformats.org/officeDocument/2006/relationships/hyperlink" Target="https://ncgtc.sdpondemand.manageengine.in/app/apphelpdesk/ui/requests/14047000006097246/details" TargetMode="External"/><Relationship Id="rId1007" Type="http://schemas.openxmlformats.org/officeDocument/2006/relationships/hyperlink" Target="https://ncgtc.sdpondemand.manageengine.in/app/apphelpdesk/ui/requests/14047000006097208/details" TargetMode="External"/><Relationship Id="rId1006" Type="http://schemas.openxmlformats.org/officeDocument/2006/relationships/hyperlink" Target="https://ncgtc.sdpondemand.manageengine.in/app/apphelpdesk/ui/requests/14047000006097186/details" TargetMode="External"/><Relationship Id="rId1005" Type="http://schemas.openxmlformats.org/officeDocument/2006/relationships/hyperlink" Target="https://ncgtc.sdpondemand.manageengine.in/app/apphelpdesk/ui/requests/14047000006097174/details" TargetMode="External"/><Relationship Id="rId1004" Type="http://schemas.openxmlformats.org/officeDocument/2006/relationships/hyperlink" Target="https://ncgtc.sdpondemand.manageengine.in/app/apphelpdesk/ui/requests/14047000006097154/details" TargetMode="External"/><Relationship Id="rId1003" Type="http://schemas.openxmlformats.org/officeDocument/2006/relationships/hyperlink" Target="https://ncgtc.sdpondemand.manageengine.in/app/apphelpdesk/ui/requests/14047000006097136/details" TargetMode="External"/><Relationship Id="rId1002" Type="http://schemas.openxmlformats.org/officeDocument/2006/relationships/hyperlink" Target="https://ncgtc.sdpondemand.manageengine.in/app/apphelpdesk/ui/requests/14047000006097123/details" TargetMode="External"/><Relationship Id="rId1001" Type="http://schemas.openxmlformats.org/officeDocument/2006/relationships/hyperlink" Target="https://ncgtc.sdpondemand.manageengine.in/app/apphelpdesk/ui/requests/14047000006097094/details" TargetMode="External"/><Relationship Id="rId1000" Type="http://schemas.openxmlformats.org/officeDocument/2006/relationships/hyperlink" Target="https://ncgtc.sdpondemand.manageengine.in/app/apphelpdesk/ui/requests/14047000006097081/details" TargetMode="External"/><Relationship Id="rId100" Type="http://schemas.openxmlformats.org/officeDocument/2006/relationships/hyperlink" Target="https://ncgtc.sdpondemand.manageengine.in/app/apphelpdesk/ui/requests/14047000005872436/details" TargetMode="External"/><Relationship Id="rId10" Type="http://schemas.openxmlformats.org/officeDocument/2006/relationships/hyperlink" Target="https://ncgtc.sdpondemand.manageengine.in/app/apphelpdesk/ui/requests/14047000005854252/details" TargetMode="External"/><Relationship Id="rId1" Type="http://schemas.openxmlformats.org/officeDocument/2006/relationships/hyperlink" Target="https://ncgtc.sdpondemand.manageengine.in/app/apphelpdesk/ui/requests/14047000005851949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3300"/>
  <sheetViews>
    <sheetView tabSelected="1" workbookViewId="0">
      <selection activeCell="A1" sqref="$A1:$XFD1"/>
    </sheetView>
  </sheetViews>
  <sheetFormatPr defaultColWidth="9" defaultRowHeight="15"/>
  <cols>
    <col min="1" max="1" width="13.3333333333333" customWidth="1"/>
    <col min="2" max="2" width="26.4285714285714" customWidth="1"/>
    <col min="3" max="4" width="21.6666666666667" customWidth="1"/>
    <col min="5" max="6" width="16.6666666666667" customWidth="1"/>
    <col min="7" max="8" width="21.6666666666667" customWidth="1"/>
    <col min="9" max="9" width="16.6666666666667" customWidth="1"/>
    <col min="10" max="10" width="18.4285714285714" customWidth="1"/>
    <col min="11" max="11" width="16.8571428571429" customWidth="1"/>
    <col min="12" max="12" width="23.5714285714286" customWidth="1"/>
    <col min="14" max="14" width="26.2857142857143" customWidth="1"/>
    <col min="15" max="15" width="16.5714285714286" customWidth="1"/>
    <col min="16" max="16" width="15.4285714285714" customWidth="1"/>
    <col min="17" max="17" width="13.4285714285714" style="12" customWidth="1"/>
    <col min="18" max="18" width="32.1428571428571" customWidth="1"/>
    <col min="19" max="19" width="19.1428571428571" customWidth="1"/>
  </cols>
  <sheetData>
    <row r="1" ht="30" customHeight="1" spans="1:20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16" t="s">
        <v>13</v>
      </c>
      <c r="O1" s="16" t="s">
        <v>14</v>
      </c>
      <c r="P1" s="15" t="s">
        <v>15</v>
      </c>
      <c r="Q1" s="17" t="s">
        <v>14</v>
      </c>
      <c r="R1" s="18" t="s">
        <v>16</v>
      </c>
      <c r="S1" s="17" t="s">
        <v>17</v>
      </c>
    </row>
    <row r="2" ht="21" customHeight="1" spans="1:20">
      <c r="A2" s="19" t="s">
        <v>18</v>
      </c>
      <c r="B2" s="20" t="s">
        <v>19</v>
      </c>
      <c r="C2" s="20" t="s">
        <v>20</v>
      </c>
      <c r="D2" s="20" t="s">
        <v>21</v>
      </c>
      <c r="E2" s="21" t="s">
        <v>22</v>
      </c>
      <c r="F2" s="21" t="s">
        <v>23</v>
      </c>
      <c r="G2" s="20" t="s">
        <v>24</v>
      </c>
      <c r="H2" s="20" t="s">
        <v>25</v>
      </c>
      <c r="I2" s="21" t="s">
        <v>26</v>
      </c>
      <c r="J2" s="22">
        <f>F2-I2</f>
        <v>90.976388888892</v>
      </c>
      <c r="K2" s="22">
        <f>J2*24</f>
        <v>2183.43333333341</v>
      </c>
      <c r="L2" s="22">
        <f>IF(_xlfn.DAYS(F2,I2)&gt;0,K2-IF(FLOOR(J2,1)=0,1,_xlfn.DAYS(F2,I2))*16,K2)</f>
        <v>727.433333333407</v>
      </c>
      <c r="M2" s="22" cm="1">
        <f ca="1" t="array" ref="M2">SUMPRODUCT(--(WEEKDAY(ROW(INDIRECT(INT(F2)&amp;":"&amp;INT(I2))),2)&gt;5))</f>
        <v>26</v>
      </c>
      <c r="N2" s="22">
        <f ca="1">IF(IF(M2&gt;0,L2-M2*8,L2)&lt;0,0,IF(M2&gt;0,L2-M2*8,L2))</f>
        <v>519.433333333407</v>
      </c>
      <c r="O2" s="22" t="str">
        <f ca="1">IF(OR(AND(D2="P1",N2&lt;=3),AND(D2="P2",N2&lt;=6),AND(D2="P3",N2&lt;=9),AND(D2="P4",N2&lt;=12)),"Within SLA","SLA Violated")</f>
        <v>SLA Violated</v>
      </c>
      <c r="P2" s="23" t="s">
        <v>27</v>
      </c>
      <c r="Q2" s="24" t="s">
        <v>28</v>
      </c>
      <c r="R2" s="25"/>
      <c r="S2" s="25"/>
    </row>
    <row r="3" ht="21" customHeight="1" spans="1:20">
      <c r="A3" s="19" t="s">
        <v>29</v>
      </c>
      <c r="B3" s="20" t="s">
        <v>30</v>
      </c>
      <c r="C3" s="20" t="s">
        <v>31</v>
      </c>
      <c r="D3" s="20" t="s">
        <v>32</v>
      </c>
      <c r="E3" s="21" t="s">
        <v>33</v>
      </c>
      <c r="F3" s="21" t="s">
        <v>34</v>
      </c>
      <c r="G3" s="20" t="s">
        <v>35</v>
      </c>
      <c r="H3" s="20" t="s">
        <v>25</v>
      </c>
      <c r="I3" s="21" t="s">
        <v>36</v>
      </c>
      <c r="J3" s="22">
        <f t="shared" ref="J3:J66" si="0">F3-I3</f>
        <v>1.30694444444089</v>
      </c>
      <c r="K3" s="22">
        <f t="shared" ref="K3:K66" si="1">J3*24</f>
        <v>31.3666666665813</v>
      </c>
      <c r="L3" s="22">
        <f t="shared" ref="L3:L66" si="2">IF(_xlfn.DAYS(F3,I3)&gt;0,K3-IF(FLOOR(J3,1)=0,1,_xlfn.DAYS(F3,I3))*16,K3)</f>
        <v>15.3666666665813</v>
      </c>
      <c r="M3" s="22" cm="1">
        <f ca="1" t="array" ref="M3">SUMPRODUCT(--(WEEKDAY(ROW(INDIRECT(INT(F3)&amp;":"&amp;INT(I3))),2)&gt;5))</f>
        <v>0</v>
      </c>
      <c r="N3" s="22">
        <f ca="1" t="shared" ref="N3:N66" si="3">IF(IF(M3&gt;0,L3-M3*8,L3)&lt;0,0,IF(M3&gt;0,L3-M3*8,L3))</f>
        <v>15.3666666665813</v>
      </c>
      <c r="O3" s="22" t="str">
        <f ca="1" t="shared" ref="O3:O66" si="4">IF(OR(AND(D3="P1",N3&lt;=3),AND(D3="P2",N3&lt;=6),AND(D3="P3",N3&lt;=9),AND(D3="P4",N3&lt;=12)),"Within SLA","SLA Violated")</f>
        <v>SLA Violated</v>
      </c>
      <c r="P3" s="26" t="s">
        <v>29</v>
      </c>
      <c r="Q3" s="24" t="s">
        <v>37</v>
      </c>
      <c r="R3" s="25" t="s">
        <v>38</v>
      </c>
      <c r="S3" s="25" t="s">
        <v>39</v>
      </c>
    </row>
    <row r="4" ht="21" customHeight="1" spans="1:20">
      <c r="A4" s="19" t="s">
        <v>40</v>
      </c>
      <c r="B4" s="20" t="s">
        <v>19</v>
      </c>
      <c r="C4" s="20" t="s">
        <v>20</v>
      </c>
      <c r="D4" s="20" t="s">
        <v>32</v>
      </c>
      <c r="E4" s="21" t="s">
        <v>41</v>
      </c>
      <c r="F4" s="21" t="s">
        <v>42</v>
      </c>
      <c r="G4" s="20" t="s">
        <v>35</v>
      </c>
      <c r="H4" s="20" t="s">
        <v>25</v>
      </c>
      <c r="I4" s="21" t="s">
        <v>43</v>
      </c>
      <c r="J4" s="22">
        <f t="shared" si="0"/>
        <v>1.00763888888469</v>
      </c>
      <c r="K4" s="22">
        <f t="shared" si="1"/>
        <v>24.1833333332324</v>
      </c>
      <c r="L4" s="22">
        <f t="shared" si="2"/>
        <v>8.18333333323244</v>
      </c>
      <c r="M4" s="22" cm="1">
        <f ca="1" t="array" ref="M4">SUMPRODUCT(--(WEEKDAY(ROW(INDIRECT(INT(F4)&amp;":"&amp;INT(I4))),2)&gt;5))</f>
        <v>0</v>
      </c>
      <c r="N4" s="22">
        <f ca="1" t="shared" si="3"/>
        <v>8.18333333323244</v>
      </c>
      <c r="O4" s="22" t="str">
        <f ca="1" t="shared" si="4"/>
        <v>Within SLA</v>
      </c>
      <c r="P4" s="26" t="s">
        <v>40</v>
      </c>
      <c r="Q4" s="24" t="s">
        <v>37</v>
      </c>
      <c r="R4" s="25"/>
      <c r="S4" s="25"/>
    </row>
    <row r="5" ht="21" customHeight="1" spans="1:20">
      <c r="A5" s="19" t="s">
        <v>44</v>
      </c>
      <c r="B5" s="20" t="s">
        <v>45</v>
      </c>
      <c r="C5" s="20" t="s">
        <v>46</v>
      </c>
      <c r="D5" s="20" t="s">
        <v>32</v>
      </c>
      <c r="E5" s="21" t="s">
        <v>47</v>
      </c>
      <c r="F5" s="21" t="s">
        <v>48</v>
      </c>
      <c r="G5" s="20" t="s">
        <v>35</v>
      </c>
      <c r="H5" s="20" t="s">
        <v>25</v>
      </c>
      <c r="I5" s="21" t="s">
        <v>49</v>
      </c>
      <c r="J5" s="22">
        <f t="shared" si="0"/>
        <v>0.047222222223354</v>
      </c>
      <c r="K5" s="22">
        <f t="shared" si="1"/>
        <v>1.1333333333605</v>
      </c>
      <c r="L5" s="22">
        <f t="shared" si="2"/>
        <v>1.1333333333605</v>
      </c>
      <c r="M5" s="22" cm="1">
        <f ca="1" t="array" ref="M5">SUMPRODUCT(--(WEEKDAY(ROW(INDIRECT(INT(F5)&amp;":"&amp;INT(I5))),2)&gt;5))</f>
        <v>0</v>
      </c>
      <c r="N5" s="22">
        <f ca="1" t="shared" si="3"/>
        <v>1.1333333333605</v>
      </c>
      <c r="O5" s="22" t="str">
        <f ca="1" t="shared" si="4"/>
        <v>Within SLA</v>
      </c>
      <c r="P5" s="26" t="s">
        <v>44</v>
      </c>
      <c r="Q5" s="24" t="s">
        <v>37</v>
      </c>
      <c r="R5" s="25"/>
      <c r="S5" s="25"/>
    </row>
    <row r="6" ht="21" customHeight="1" spans="1:20">
      <c r="A6" s="19" t="s">
        <v>50</v>
      </c>
      <c r="B6" s="20" t="s">
        <v>19</v>
      </c>
      <c r="C6" s="20" t="s">
        <v>20</v>
      </c>
      <c r="D6" s="20" t="s">
        <v>32</v>
      </c>
      <c r="E6" s="21" t="s">
        <v>51</v>
      </c>
      <c r="F6" s="21" t="s">
        <v>52</v>
      </c>
      <c r="G6" s="20" t="s">
        <v>35</v>
      </c>
      <c r="H6" s="20" t="s">
        <v>25</v>
      </c>
      <c r="I6" s="21" t="s">
        <v>43</v>
      </c>
      <c r="J6" s="22">
        <f t="shared" si="0"/>
        <v>0.288194444445253</v>
      </c>
      <c r="K6" s="22">
        <f t="shared" si="1"/>
        <v>6.91666666668607</v>
      </c>
      <c r="L6" s="22">
        <f t="shared" si="2"/>
        <v>6.91666666668607</v>
      </c>
      <c r="M6" s="22" cm="1">
        <f ca="1" t="array" ref="M6">SUMPRODUCT(--(WEEKDAY(ROW(INDIRECT(INT(F6)&amp;":"&amp;INT(I6))),2)&gt;5))</f>
        <v>0</v>
      </c>
      <c r="N6" s="22">
        <f ca="1" t="shared" si="3"/>
        <v>6.91666666668607</v>
      </c>
      <c r="O6" s="22" t="str">
        <f ca="1" t="shared" si="4"/>
        <v>Within SLA</v>
      </c>
      <c r="P6" s="23" t="s">
        <v>53</v>
      </c>
      <c r="Q6" s="24" t="s">
        <v>37</v>
      </c>
      <c r="R6" s="25"/>
      <c r="S6" s="25"/>
    </row>
    <row r="7" ht="39" customHeight="1" spans="1:20">
      <c r="A7" s="19" t="s">
        <v>54</v>
      </c>
      <c r="B7" s="20" t="s">
        <v>19</v>
      </c>
      <c r="C7" s="20" t="s">
        <v>20</v>
      </c>
      <c r="D7" s="20" t="s">
        <v>32</v>
      </c>
      <c r="E7" s="21" t="s">
        <v>51</v>
      </c>
      <c r="F7" s="21" t="s">
        <v>55</v>
      </c>
      <c r="G7" s="20" t="s">
        <v>35</v>
      </c>
      <c r="H7" s="20" t="s">
        <v>25</v>
      </c>
      <c r="I7" s="21" t="s">
        <v>56</v>
      </c>
      <c r="J7" s="22">
        <f t="shared" si="0"/>
        <v>0.0319444444394321</v>
      </c>
      <c r="K7" s="22">
        <f t="shared" si="1"/>
        <v>0.766666666546371</v>
      </c>
      <c r="L7" s="22">
        <f t="shared" si="2"/>
        <v>0.766666666546371</v>
      </c>
      <c r="M7" s="22" cm="1">
        <f ca="1" t="array" ref="M7">SUMPRODUCT(--(WEEKDAY(ROW(INDIRECT(INT(F7)&amp;":"&amp;INT(I7))),2)&gt;5))</f>
        <v>0</v>
      </c>
      <c r="N7" s="22">
        <f ca="1" t="shared" si="3"/>
        <v>0.766666666546371</v>
      </c>
      <c r="O7" s="22" t="str">
        <f ca="1" t="shared" si="4"/>
        <v>Within SLA</v>
      </c>
      <c r="P7" s="26" t="s">
        <v>54</v>
      </c>
      <c r="Q7" s="24" t="s">
        <v>37</v>
      </c>
      <c r="R7" s="25"/>
      <c r="S7" s="25"/>
    </row>
    <row r="8" ht="27" customHeight="1" spans="1:20">
      <c r="A8" s="19" t="s">
        <v>57</v>
      </c>
      <c r="B8" s="20" t="s">
        <v>30</v>
      </c>
      <c r="C8" s="20" t="s">
        <v>31</v>
      </c>
      <c r="D8" s="20" t="s">
        <v>32</v>
      </c>
      <c r="E8" s="21" t="s">
        <v>58</v>
      </c>
      <c r="F8" s="21" t="s">
        <v>59</v>
      </c>
      <c r="G8" s="20" t="s">
        <v>35</v>
      </c>
      <c r="H8" s="20" t="s">
        <v>25</v>
      </c>
      <c r="I8" s="21" t="s">
        <v>60</v>
      </c>
      <c r="J8" s="22">
        <f t="shared" si="0"/>
        <v>0.0569444444408873</v>
      </c>
      <c r="K8" s="22">
        <f t="shared" si="1"/>
        <v>1.3666666665813</v>
      </c>
      <c r="L8" s="22">
        <f t="shared" si="2"/>
        <v>1.3666666665813</v>
      </c>
      <c r="M8" s="22" cm="1">
        <f ca="1" t="array" ref="M8">SUMPRODUCT(--(WEEKDAY(ROW(INDIRECT(INT(F8)&amp;":"&amp;INT(I8))),2)&gt;5))</f>
        <v>0</v>
      </c>
      <c r="N8" s="22">
        <f ca="1" t="shared" si="3"/>
        <v>1.3666666665813</v>
      </c>
      <c r="O8" s="22" t="str">
        <f ca="1" t="shared" si="4"/>
        <v>Within SLA</v>
      </c>
      <c r="P8" s="26" t="s">
        <v>57</v>
      </c>
      <c r="Q8" s="24" t="s">
        <v>37</v>
      </c>
      <c r="R8" s="25"/>
      <c r="S8" s="25"/>
    </row>
    <row r="9" ht="39" customHeight="1" spans="1:20">
      <c r="A9" s="19" t="s">
        <v>61</v>
      </c>
      <c r="B9" s="20" t="s">
        <v>19</v>
      </c>
      <c r="C9" s="20" t="s">
        <v>20</v>
      </c>
      <c r="D9" s="20" t="s">
        <v>32</v>
      </c>
      <c r="E9" s="21" t="s">
        <v>62</v>
      </c>
      <c r="F9" s="21" t="s">
        <v>63</v>
      </c>
      <c r="G9" s="20" t="s">
        <v>35</v>
      </c>
      <c r="H9" s="20" t="s">
        <v>25</v>
      </c>
      <c r="I9" s="21" t="s">
        <v>64</v>
      </c>
      <c r="J9" s="22">
        <f t="shared" si="0"/>
        <v>41.1784722222219</v>
      </c>
      <c r="K9" s="22">
        <f t="shared" si="1"/>
        <v>988.283333333326</v>
      </c>
      <c r="L9" s="22">
        <f t="shared" si="2"/>
        <v>332.283333333326</v>
      </c>
      <c r="M9" s="22" cm="1">
        <f ca="1" t="array" ref="M9">SUMPRODUCT(--(WEEKDAY(ROW(INDIRECT(INT(F9)&amp;":"&amp;INT(I9))),2)&gt;5))</f>
        <v>12</v>
      </c>
      <c r="N9" s="22">
        <f ca="1" t="shared" si="3"/>
        <v>236.283333333326</v>
      </c>
      <c r="O9" s="22" t="str">
        <f ca="1" t="shared" si="4"/>
        <v>SLA Violated</v>
      </c>
      <c r="P9" s="23" t="s">
        <v>65</v>
      </c>
      <c r="Q9" s="24" t="s">
        <v>28</v>
      </c>
      <c r="R9" s="25"/>
      <c r="S9" s="25"/>
    </row>
    <row r="10" ht="27" customHeight="1" spans="1:20">
      <c r="A10" s="19" t="s">
        <v>66</v>
      </c>
      <c r="B10" s="20" t="s">
        <v>30</v>
      </c>
      <c r="C10" s="20" t="s">
        <v>67</v>
      </c>
      <c r="D10" s="20" t="s">
        <v>32</v>
      </c>
      <c r="E10" s="21" t="s">
        <v>68</v>
      </c>
      <c r="F10" s="21" t="s">
        <v>69</v>
      </c>
      <c r="G10" s="20" t="s">
        <v>35</v>
      </c>
      <c r="H10" s="20" t="s">
        <v>25</v>
      </c>
      <c r="I10" s="21" t="s">
        <v>70</v>
      </c>
      <c r="J10" s="22">
        <f t="shared" si="0"/>
        <v>5.20763888888905</v>
      </c>
      <c r="K10" s="22">
        <f t="shared" si="1"/>
        <v>124.983333333337</v>
      </c>
      <c r="L10" s="22">
        <f t="shared" si="2"/>
        <v>44.9833333333372</v>
      </c>
      <c r="M10" s="22" cm="1">
        <f ca="1" t="array" ref="M10">SUMPRODUCT(--(WEEKDAY(ROW(INDIRECT(INT(F10)&amp;":"&amp;INT(I10))),2)&gt;5))</f>
        <v>2</v>
      </c>
      <c r="N10" s="22">
        <f ca="1" t="shared" si="3"/>
        <v>28.9833333333372</v>
      </c>
      <c r="O10" s="22" t="str">
        <f ca="1" t="shared" si="4"/>
        <v>SLA Violated</v>
      </c>
      <c r="P10" s="23" t="s">
        <v>71</v>
      </c>
      <c r="Q10" s="24" t="s">
        <v>28</v>
      </c>
      <c r="R10" s="25"/>
      <c r="S10" s="25"/>
    </row>
    <row r="11" ht="39" customHeight="1" spans="1:20">
      <c r="A11" s="19" t="s">
        <v>72</v>
      </c>
      <c r="B11" s="20" t="s">
        <v>19</v>
      </c>
      <c r="C11" s="20" t="s">
        <v>20</v>
      </c>
      <c r="D11" s="20" t="s">
        <v>32</v>
      </c>
      <c r="E11" s="21" t="s">
        <v>64</v>
      </c>
      <c r="F11" s="21" t="s">
        <v>73</v>
      </c>
      <c r="G11" s="20" t="s">
        <v>35</v>
      </c>
      <c r="H11" s="20" t="s">
        <v>25</v>
      </c>
      <c r="I11" s="21" t="s">
        <v>74</v>
      </c>
      <c r="J11" s="22">
        <f t="shared" si="0"/>
        <v>41.1743055555562</v>
      </c>
      <c r="K11" s="22">
        <f t="shared" si="1"/>
        <v>988.183333333349</v>
      </c>
      <c r="L11" s="22">
        <f t="shared" si="2"/>
        <v>332.183333333349</v>
      </c>
      <c r="M11" s="22" cm="1">
        <f ca="1" t="array" ref="M11">SUMPRODUCT(--(WEEKDAY(ROW(INDIRECT(INT(F11)&amp;":"&amp;INT(I11))),2)&gt;5))</f>
        <v>12</v>
      </c>
      <c r="N11" s="22">
        <f ca="1" t="shared" si="3"/>
        <v>236.183333333349</v>
      </c>
      <c r="O11" s="22" t="str">
        <f ca="1" t="shared" si="4"/>
        <v>SLA Violated</v>
      </c>
      <c r="P11" s="23" t="s">
        <v>75</v>
      </c>
      <c r="Q11" s="24" t="s">
        <v>28</v>
      </c>
      <c r="R11" s="25"/>
      <c r="S11" s="25"/>
    </row>
    <row r="12" ht="39" customHeight="1" spans="1:20">
      <c r="A12" s="19" t="s">
        <v>76</v>
      </c>
      <c r="B12" s="20" t="s">
        <v>19</v>
      </c>
      <c r="C12" s="20" t="s">
        <v>20</v>
      </c>
      <c r="D12" s="20" t="s">
        <v>32</v>
      </c>
      <c r="E12" s="21" t="s">
        <v>77</v>
      </c>
      <c r="F12" s="21" t="s">
        <v>78</v>
      </c>
      <c r="G12" s="20" t="s">
        <v>35</v>
      </c>
      <c r="H12" s="20" t="s">
        <v>25</v>
      </c>
      <c r="I12" s="21" t="s">
        <v>79</v>
      </c>
      <c r="J12" s="22">
        <f t="shared" si="0"/>
        <v>8.27569444444089</v>
      </c>
      <c r="K12" s="22">
        <f t="shared" si="1"/>
        <v>198.616666666581</v>
      </c>
      <c r="L12" s="22">
        <f t="shared" si="2"/>
        <v>70.6166666665813</v>
      </c>
      <c r="M12" s="22" cm="1">
        <f ca="1" t="array" ref="M12">SUMPRODUCT(--(WEEKDAY(ROW(INDIRECT(INT(F12)&amp;":"&amp;INT(I12))),2)&gt;5))</f>
        <v>2</v>
      </c>
      <c r="N12" s="22">
        <f ca="1" t="shared" si="3"/>
        <v>54.6166666665813</v>
      </c>
      <c r="O12" s="22" t="str">
        <f ca="1" t="shared" si="4"/>
        <v>SLA Violated</v>
      </c>
      <c r="P12" s="23" t="s">
        <v>80</v>
      </c>
      <c r="Q12" s="24" t="s">
        <v>28</v>
      </c>
      <c r="R12" s="25"/>
      <c r="S12" s="25"/>
    </row>
    <row r="13" ht="39" customHeight="1" spans="1:20">
      <c r="A13" s="19" t="s">
        <v>81</v>
      </c>
      <c r="B13" s="20" t="s">
        <v>19</v>
      </c>
      <c r="C13" s="20" t="s">
        <v>20</v>
      </c>
      <c r="D13" s="20" t="s">
        <v>32</v>
      </c>
      <c r="E13" s="21" t="s">
        <v>82</v>
      </c>
      <c r="F13" s="21" t="s">
        <v>83</v>
      </c>
      <c r="G13" s="20" t="s">
        <v>24</v>
      </c>
      <c r="H13" s="20" t="s">
        <v>25</v>
      </c>
      <c r="I13" s="21" t="s">
        <v>79</v>
      </c>
      <c r="J13" s="22">
        <f t="shared" si="0"/>
        <v>50.2659722222234</v>
      </c>
      <c r="K13" s="22">
        <f t="shared" si="1"/>
        <v>1206.38333333336</v>
      </c>
      <c r="L13" s="22">
        <f t="shared" si="2"/>
        <v>406.38333333336</v>
      </c>
      <c r="M13" s="22" cm="1">
        <f ca="1" t="array" ref="M13">SUMPRODUCT(--(WEEKDAY(ROW(INDIRECT(INT(F13)&amp;":"&amp;INT(I13))),2)&gt;5))</f>
        <v>14</v>
      </c>
      <c r="N13" s="22">
        <f ca="1" t="shared" si="3"/>
        <v>294.38333333336</v>
      </c>
      <c r="O13" s="22" t="str">
        <f ca="1" t="shared" si="4"/>
        <v>SLA Violated</v>
      </c>
      <c r="P13" s="23" t="s">
        <v>84</v>
      </c>
      <c r="Q13" s="24" t="s">
        <v>28</v>
      </c>
      <c r="R13" s="25"/>
      <c r="S13" s="25"/>
    </row>
    <row r="14" ht="39" customHeight="1" spans="1:20">
      <c r="A14" s="19" t="s">
        <v>85</v>
      </c>
      <c r="B14" s="20" t="s">
        <v>19</v>
      </c>
      <c r="C14" s="20" t="s">
        <v>20</v>
      </c>
      <c r="D14" s="20" t="s">
        <v>32</v>
      </c>
      <c r="E14" s="21" t="s">
        <v>86</v>
      </c>
      <c r="F14" s="21" t="s">
        <v>87</v>
      </c>
      <c r="G14" s="20" t="s">
        <v>35</v>
      </c>
      <c r="H14" s="20" t="s">
        <v>25</v>
      </c>
      <c r="I14" s="21" t="s">
        <v>88</v>
      </c>
      <c r="J14" s="22">
        <f t="shared" si="0"/>
        <v>7.13541666666424</v>
      </c>
      <c r="K14" s="22">
        <f t="shared" si="1"/>
        <v>171.249999999942</v>
      </c>
      <c r="L14" s="22">
        <f t="shared" si="2"/>
        <v>59.2499999999418</v>
      </c>
      <c r="M14" s="22" cm="1">
        <f ca="1" t="array" ref="M14">SUMPRODUCT(--(WEEKDAY(ROW(INDIRECT(INT(F14)&amp;":"&amp;INT(I14))),2)&gt;5))</f>
        <v>2</v>
      </c>
      <c r="N14" s="22">
        <f ca="1" t="shared" si="3"/>
        <v>43.2499999999418</v>
      </c>
      <c r="O14" s="22" t="str">
        <f ca="1" t="shared" si="4"/>
        <v>SLA Violated</v>
      </c>
      <c r="P14" s="23">
        <v>19356</v>
      </c>
      <c r="Q14" s="24" t="s">
        <v>28</v>
      </c>
      <c r="R14" s="25"/>
      <c r="S14" s="25"/>
    </row>
    <row r="15" ht="39" customHeight="1" spans="1:20">
      <c r="A15" s="19" t="s">
        <v>89</v>
      </c>
      <c r="B15" s="20" t="s">
        <v>19</v>
      </c>
      <c r="C15" s="20" t="s">
        <v>20</v>
      </c>
      <c r="D15" s="20" t="s">
        <v>32</v>
      </c>
      <c r="E15" s="21" t="s">
        <v>86</v>
      </c>
      <c r="F15" s="21" t="s">
        <v>90</v>
      </c>
      <c r="G15" s="20" t="s">
        <v>35</v>
      </c>
      <c r="H15" s="20" t="s">
        <v>25</v>
      </c>
      <c r="I15" s="21" t="s">
        <v>91</v>
      </c>
      <c r="J15" s="22">
        <f t="shared" si="0"/>
        <v>8.26944444444234</v>
      </c>
      <c r="K15" s="22">
        <f t="shared" si="1"/>
        <v>198.466666666616</v>
      </c>
      <c r="L15" s="22">
        <f t="shared" si="2"/>
        <v>70.4666666666162</v>
      </c>
      <c r="M15" s="22" cm="1">
        <f ca="1" t="array" ref="M15">SUMPRODUCT(--(WEEKDAY(ROW(INDIRECT(INT(F15)&amp;":"&amp;INT(I15))),2)&gt;5))</f>
        <v>2</v>
      </c>
      <c r="N15" s="22">
        <f ca="1" t="shared" si="3"/>
        <v>54.4666666666162</v>
      </c>
      <c r="O15" s="22" t="str">
        <f ca="1" t="shared" si="4"/>
        <v>SLA Violated</v>
      </c>
      <c r="P15" s="23" t="s">
        <v>92</v>
      </c>
      <c r="Q15" s="24" t="s">
        <v>28</v>
      </c>
      <c r="R15" s="25"/>
      <c r="S15" s="25"/>
    </row>
    <row r="16" ht="39" customHeight="1" spans="1:20">
      <c r="A16" s="19" t="s">
        <v>93</v>
      </c>
      <c r="B16" s="20" t="s">
        <v>19</v>
      </c>
      <c r="C16" s="20" t="s">
        <v>20</v>
      </c>
      <c r="D16" s="20" t="s">
        <v>32</v>
      </c>
      <c r="E16" s="21" t="s">
        <v>55</v>
      </c>
      <c r="F16" s="21" t="s">
        <v>94</v>
      </c>
      <c r="G16" s="20" t="s">
        <v>24</v>
      </c>
      <c r="H16" s="20" t="s">
        <v>25</v>
      </c>
      <c r="I16" s="21" t="s">
        <v>91</v>
      </c>
      <c r="J16" s="22">
        <f t="shared" si="0"/>
        <v>50.2576388888847</v>
      </c>
      <c r="K16" s="22">
        <f t="shared" si="1"/>
        <v>1206.18333333323</v>
      </c>
      <c r="L16" s="22">
        <f t="shared" si="2"/>
        <v>406.183333333232</v>
      </c>
      <c r="M16" s="22" cm="1">
        <f ca="1" t="array" ref="M16">SUMPRODUCT(--(WEEKDAY(ROW(INDIRECT(INT(F16)&amp;":"&amp;INT(I16))),2)&gt;5))</f>
        <v>14</v>
      </c>
      <c r="N16" s="22">
        <f ca="1" t="shared" si="3"/>
        <v>294.183333333232</v>
      </c>
      <c r="O16" s="22" t="str">
        <f ca="1" t="shared" si="4"/>
        <v>SLA Violated</v>
      </c>
      <c r="P16" s="23" t="s">
        <v>95</v>
      </c>
      <c r="Q16" s="24" t="s">
        <v>37</v>
      </c>
      <c r="R16" s="25" t="s">
        <v>96</v>
      </c>
      <c r="S16" s="25" t="s">
        <v>97</v>
      </c>
      <c r="T16" t="s">
        <v>98</v>
      </c>
    </row>
    <row r="17" ht="16" customHeight="1" spans="1:20">
      <c r="A17" s="19" t="s">
        <v>99</v>
      </c>
      <c r="B17" s="20" t="s">
        <v>100</v>
      </c>
      <c r="C17" s="20" t="s">
        <v>101</v>
      </c>
      <c r="D17" s="20" t="s">
        <v>32</v>
      </c>
      <c r="E17" s="21" t="s">
        <v>55</v>
      </c>
      <c r="F17" s="21" t="s">
        <v>102</v>
      </c>
      <c r="G17" s="20" t="s">
        <v>35</v>
      </c>
      <c r="H17" s="20" t="s">
        <v>25</v>
      </c>
      <c r="I17" s="21" t="s">
        <v>103</v>
      </c>
      <c r="J17" s="22">
        <f t="shared" si="0"/>
        <v>0.0298611111138598</v>
      </c>
      <c r="K17" s="22">
        <f t="shared" si="1"/>
        <v>0.716666666732635</v>
      </c>
      <c r="L17" s="22">
        <f t="shared" si="2"/>
        <v>0.716666666732635</v>
      </c>
      <c r="M17" s="22" cm="1">
        <f ca="1" t="array" ref="M17">SUMPRODUCT(--(WEEKDAY(ROW(INDIRECT(INT(F17)&amp;":"&amp;INT(I17))),2)&gt;5))</f>
        <v>0</v>
      </c>
      <c r="N17" s="22">
        <f ca="1" t="shared" si="3"/>
        <v>0.716666666732635</v>
      </c>
      <c r="O17" s="22" t="str">
        <f ca="1" t="shared" si="4"/>
        <v>Within SLA</v>
      </c>
      <c r="P17" s="26" t="s">
        <v>99</v>
      </c>
      <c r="Q17" s="24" t="s">
        <v>37</v>
      </c>
      <c r="R17" s="25"/>
      <c r="S17" s="25"/>
    </row>
    <row r="18" ht="39" customHeight="1" spans="1:20">
      <c r="A18" s="19" t="s">
        <v>104</v>
      </c>
      <c r="B18" s="20" t="s">
        <v>19</v>
      </c>
      <c r="C18" s="20" t="s">
        <v>20</v>
      </c>
      <c r="D18" s="20" t="s">
        <v>105</v>
      </c>
      <c r="E18" s="21" t="s">
        <v>106</v>
      </c>
      <c r="F18" s="21" t="s">
        <v>107</v>
      </c>
      <c r="G18" s="20" t="s">
        <v>35</v>
      </c>
      <c r="H18" s="20" t="s">
        <v>25</v>
      </c>
      <c r="I18" s="21" t="s">
        <v>108</v>
      </c>
      <c r="J18" s="22">
        <f t="shared" si="0"/>
        <v>0.252083333332848</v>
      </c>
      <c r="K18" s="22">
        <f t="shared" si="1"/>
        <v>6.04999999998836</v>
      </c>
      <c r="L18" s="22">
        <f t="shared" si="2"/>
        <v>6.04999999998836</v>
      </c>
      <c r="M18" s="22" cm="1">
        <f ca="1" t="array" ref="M18">SUMPRODUCT(--(WEEKDAY(ROW(INDIRECT(INT(F18)&amp;":"&amp;INT(I18))),2)&gt;5))</f>
        <v>0</v>
      </c>
      <c r="N18" s="22">
        <f ca="1" t="shared" si="3"/>
        <v>6.04999999998836</v>
      </c>
      <c r="O18" s="22" t="str">
        <f ca="1" t="shared" si="4"/>
        <v>SLA Violated</v>
      </c>
      <c r="P18" s="26" t="s">
        <v>104</v>
      </c>
      <c r="Q18" s="24" t="s">
        <v>37</v>
      </c>
      <c r="R18" s="6" t="s">
        <v>109</v>
      </c>
      <c r="S18" s="5" t="s">
        <v>39</v>
      </c>
    </row>
    <row r="19" ht="27" customHeight="1" spans="1:20">
      <c r="A19" s="19" t="s">
        <v>110</v>
      </c>
      <c r="B19" s="20" t="s">
        <v>30</v>
      </c>
      <c r="C19" s="20" t="s">
        <v>67</v>
      </c>
      <c r="D19" s="20" t="s">
        <v>32</v>
      </c>
      <c r="E19" s="21" t="s">
        <v>48</v>
      </c>
      <c r="F19" s="21" t="s">
        <v>111</v>
      </c>
      <c r="G19" s="20" t="s">
        <v>35</v>
      </c>
      <c r="H19" s="20" t="s">
        <v>25</v>
      </c>
      <c r="I19" s="21" t="s">
        <v>112</v>
      </c>
      <c r="J19" s="22">
        <f t="shared" si="0"/>
        <v>1.98819444444234</v>
      </c>
      <c r="K19" s="22">
        <f t="shared" si="1"/>
        <v>47.7166666666162</v>
      </c>
      <c r="L19" s="22">
        <f t="shared" si="2"/>
        <v>15.7166666666162</v>
      </c>
      <c r="M19" s="22" cm="1">
        <f ca="1" t="array" ref="M19">SUMPRODUCT(--(WEEKDAY(ROW(INDIRECT(INT(F19)&amp;":"&amp;INT(I19))),2)&gt;5))</f>
        <v>0</v>
      </c>
      <c r="N19" s="22">
        <f ca="1" t="shared" si="3"/>
        <v>15.7166666666162</v>
      </c>
      <c r="O19" s="22" t="str">
        <f ca="1" t="shared" si="4"/>
        <v>SLA Violated</v>
      </c>
      <c r="P19" s="23" t="s">
        <v>113</v>
      </c>
      <c r="Q19" s="24" t="s">
        <v>28</v>
      </c>
      <c r="R19" s="25"/>
      <c r="S19" s="25"/>
      <c r="T19" s="27"/>
    </row>
    <row r="20" ht="39" customHeight="1" spans="1:20">
      <c r="A20" s="19" t="s">
        <v>114</v>
      </c>
      <c r="B20" s="20" t="s">
        <v>19</v>
      </c>
      <c r="C20" s="20" t="s">
        <v>20</v>
      </c>
      <c r="D20" s="20" t="s">
        <v>115</v>
      </c>
      <c r="E20" s="21" t="s">
        <v>116</v>
      </c>
      <c r="F20" s="21" t="s">
        <v>117</v>
      </c>
      <c r="G20" s="20" t="s">
        <v>35</v>
      </c>
      <c r="H20" s="20" t="s">
        <v>25</v>
      </c>
      <c r="I20" s="21" t="s">
        <v>118</v>
      </c>
      <c r="J20" s="22">
        <f t="shared" si="0"/>
        <v>41.1569444444467</v>
      </c>
      <c r="K20" s="22">
        <f t="shared" si="1"/>
        <v>987.766666666721</v>
      </c>
      <c r="L20" s="22">
        <f t="shared" si="2"/>
        <v>331.766666666721</v>
      </c>
      <c r="M20" s="22" cm="1">
        <f ca="1" t="array" ref="M20">SUMPRODUCT(--(WEEKDAY(ROW(INDIRECT(INT(F20)&amp;":"&amp;INT(I20))),2)&gt;5))</f>
        <v>12</v>
      </c>
      <c r="N20" s="22">
        <f ca="1" t="shared" si="3"/>
        <v>235.766666666721</v>
      </c>
      <c r="O20" s="22" t="str">
        <f ca="1" t="shared" si="4"/>
        <v>SLA Violated</v>
      </c>
      <c r="P20" s="23" t="s">
        <v>119</v>
      </c>
      <c r="Q20" s="24" t="s">
        <v>28</v>
      </c>
      <c r="R20" s="25"/>
      <c r="S20" s="25"/>
    </row>
    <row r="21" ht="27" customHeight="1" spans="1:20">
      <c r="A21" s="19" t="s">
        <v>120</v>
      </c>
      <c r="B21" s="20" t="s">
        <v>121</v>
      </c>
      <c r="C21" s="20" t="s">
        <v>46</v>
      </c>
      <c r="D21" s="20" t="s">
        <v>32</v>
      </c>
      <c r="E21" s="21" t="s">
        <v>59</v>
      </c>
      <c r="F21" s="21" t="s">
        <v>122</v>
      </c>
      <c r="G21" s="20" t="s">
        <v>35</v>
      </c>
      <c r="H21" s="20" t="s">
        <v>25</v>
      </c>
      <c r="I21" s="21" t="s">
        <v>123</v>
      </c>
      <c r="J21" s="22">
        <f t="shared" si="0"/>
        <v>0.0736111111109494</v>
      </c>
      <c r="K21" s="22">
        <f t="shared" si="1"/>
        <v>1.76666666666279</v>
      </c>
      <c r="L21" s="22">
        <f t="shared" si="2"/>
        <v>1.76666666666279</v>
      </c>
      <c r="M21" s="22" cm="1">
        <f ca="1" t="array" ref="M21">SUMPRODUCT(--(WEEKDAY(ROW(INDIRECT(INT(F21)&amp;":"&amp;INT(I21))),2)&gt;5))</f>
        <v>0</v>
      </c>
      <c r="N21" s="22">
        <f ca="1" t="shared" si="3"/>
        <v>1.76666666666279</v>
      </c>
      <c r="O21" s="22" t="str">
        <f ca="1" t="shared" si="4"/>
        <v>Within SLA</v>
      </c>
      <c r="P21" s="26" t="s">
        <v>120</v>
      </c>
      <c r="Q21" s="24" t="s">
        <v>37</v>
      </c>
      <c r="R21" s="25"/>
      <c r="S21" s="25"/>
    </row>
    <row r="22" ht="39" customHeight="1" spans="1:20">
      <c r="A22" s="19" t="s">
        <v>124</v>
      </c>
      <c r="B22" s="20" t="s">
        <v>19</v>
      </c>
      <c r="C22" s="20" t="s">
        <v>20</v>
      </c>
      <c r="D22" s="20" t="s">
        <v>32</v>
      </c>
      <c r="E22" s="21" t="s">
        <v>125</v>
      </c>
      <c r="F22" s="21" t="s">
        <v>126</v>
      </c>
      <c r="G22" s="20" t="s">
        <v>35</v>
      </c>
      <c r="H22" s="20" t="s">
        <v>25</v>
      </c>
      <c r="I22" s="21" t="s">
        <v>127</v>
      </c>
      <c r="J22" s="22">
        <f t="shared" si="0"/>
        <v>50.2090277777825</v>
      </c>
      <c r="K22" s="22">
        <f t="shared" si="1"/>
        <v>1205.01666666678</v>
      </c>
      <c r="L22" s="22">
        <f t="shared" si="2"/>
        <v>405.016666666779</v>
      </c>
      <c r="M22" s="22" cm="1">
        <f ca="1" t="array" ref="M22">SUMPRODUCT(--(WEEKDAY(ROW(INDIRECT(INT(F22)&amp;":"&amp;INT(I22))),2)&gt;5))</f>
        <v>14</v>
      </c>
      <c r="N22" s="22">
        <f ca="1" t="shared" si="3"/>
        <v>293.016666666779</v>
      </c>
      <c r="O22" s="22" t="str">
        <f ca="1" t="shared" si="4"/>
        <v>SLA Violated</v>
      </c>
      <c r="P22" s="23" t="s">
        <v>128</v>
      </c>
      <c r="Q22" s="24" t="s">
        <v>37</v>
      </c>
      <c r="R22" s="25" t="s">
        <v>129</v>
      </c>
      <c r="S22" s="25" t="s">
        <v>39</v>
      </c>
    </row>
    <row r="23" ht="39" customHeight="1" spans="1:20">
      <c r="A23" s="19" t="s">
        <v>130</v>
      </c>
      <c r="B23" s="20" t="s">
        <v>19</v>
      </c>
      <c r="C23" s="20" t="s">
        <v>20</v>
      </c>
      <c r="D23" s="20" t="s">
        <v>32</v>
      </c>
      <c r="E23" s="21" t="s">
        <v>131</v>
      </c>
      <c r="F23" s="21" t="s">
        <v>132</v>
      </c>
      <c r="G23" s="20" t="s">
        <v>35</v>
      </c>
      <c r="H23" s="20" t="s">
        <v>25</v>
      </c>
      <c r="I23" s="21" t="s">
        <v>133</v>
      </c>
      <c r="J23" s="22">
        <f t="shared" si="0"/>
        <v>0.920138888890506</v>
      </c>
      <c r="K23" s="22">
        <f t="shared" si="1"/>
        <v>22.0833333333721</v>
      </c>
      <c r="L23" s="22">
        <f t="shared" si="2"/>
        <v>6.08333333337214</v>
      </c>
      <c r="M23" s="22" cm="1">
        <f ca="1" t="array" ref="M23">SUMPRODUCT(--(WEEKDAY(ROW(INDIRECT(INT(F23)&amp;":"&amp;INT(I23))),2)&gt;5))</f>
        <v>0</v>
      </c>
      <c r="N23" s="22">
        <f ca="1" t="shared" si="3"/>
        <v>6.08333333337214</v>
      </c>
      <c r="O23" s="22" t="str">
        <f ca="1" t="shared" si="4"/>
        <v>Within SLA</v>
      </c>
      <c r="P23" s="26" t="s">
        <v>130</v>
      </c>
      <c r="Q23" s="24" t="s">
        <v>37</v>
      </c>
      <c r="R23" s="25"/>
      <c r="S23" s="25"/>
    </row>
    <row r="24" ht="39" customHeight="1" spans="1:20">
      <c r="A24" s="19" t="s">
        <v>134</v>
      </c>
      <c r="B24" s="20" t="s">
        <v>19</v>
      </c>
      <c r="C24" s="20" t="s">
        <v>20</v>
      </c>
      <c r="D24" s="20" t="s">
        <v>32</v>
      </c>
      <c r="E24" s="21" t="s">
        <v>135</v>
      </c>
      <c r="F24" s="21" t="s">
        <v>117</v>
      </c>
      <c r="G24" s="20" t="s">
        <v>35</v>
      </c>
      <c r="H24" s="20" t="s">
        <v>25</v>
      </c>
      <c r="I24" s="21" t="s">
        <v>136</v>
      </c>
      <c r="J24" s="22">
        <f t="shared" si="0"/>
        <v>41.0958333333328</v>
      </c>
      <c r="K24" s="22">
        <f t="shared" si="1"/>
        <v>986.299999999988</v>
      </c>
      <c r="L24" s="22">
        <f t="shared" si="2"/>
        <v>330.299999999988</v>
      </c>
      <c r="M24" s="22" cm="1">
        <f ca="1" t="array" ref="M24">SUMPRODUCT(--(WEEKDAY(ROW(INDIRECT(INT(F24)&amp;":"&amp;INT(I24))),2)&gt;5))</f>
        <v>12</v>
      </c>
      <c r="N24" s="22">
        <f ca="1" t="shared" si="3"/>
        <v>234.299999999988</v>
      </c>
      <c r="O24" s="22" t="str">
        <f ca="1" t="shared" si="4"/>
        <v>SLA Violated</v>
      </c>
      <c r="P24" s="23" t="s">
        <v>137</v>
      </c>
      <c r="Q24" s="24" t="s">
        <v>28</v>
      </c>
      <c r="R24" s="25"/>
      <c r="S24" s="25"/>
    </row>
    <row r="25" ht="27" customHeight="1" spans="1:20">
      <c r="A25" s="19" t="s">
        <v>138</v>
      </c>
      <c r="B25" s="20" t="s">
        <v>139</v>
      </c>
      <c r="C25" s="20" t="s">
        <v>67</v>
      </c>
      <c r="D25" s="20" t="s">
        <v>32</v>
      </c>
      <c r="E25" s="21" t="s">
        <v>135</v>
      </c>
      <c r="F25" s="21" t="s">
        <v>140</v>
      </c>
      <c r="G25" s="20" t="s">
        <v>35</v>
      </c>
      <c r="H25" s="20" t="s">
        <v>25</v>
      </c>
      <c r="I25" s="21" t="s">
        <v>141</v>
      </c>
      <c r="J25" s="22">
        <f t="shared" si="0"/>
        <v>29.1437499999956</v>
      </c>
      <c r="K25" s="22">
        <f t="shared" si="1"/>
        <v>699.449999999895</v>
      </c>
      <c r="L25" s="22">
        <f t="shared" si="2"/>
        <v>235.449999999895</v>
      </c>
      <c r="M25" s="22" cm="1">
        <f ca="1" t="array" ref="M25">SUMPRODUCT(--(WEEKDAY(ROW(INDIRECT(INT(F25)&amp;":"&amp;INT(I25))),2)&gt;5))</f>
        <v>8</v>
      </c>
      <c r="N25" s="22">
        <f ca="1" t="shared" si="3"/>
        <v>171.449999999895</v>
      </c>
      <c r="O25" s="22" t="str">
        <f ca="1" t="shared" si="4"/>
        <v>SLA Violated</v>
      </c>
      <c r="P25" s="23" t="s">
        <v>142</v>
      </c>
      <c r="Q25" s="24" t="s">
        <v>28</v>
      </c>
      <c r="R25" s="25"/>
      <c r="S25" s="25"/>
    </row>
    <row r="26" ht="39" customHeight="1" spans="1:20">
      <c r="A26" s="19" t="s">
        <v>143</v>
      </c>
      <c r="B26" s="20" t="s">
        <v>19</v>
      </c>
      <c r="C26" s="20" t="s">
        <v>20</v>
      </c>
      <c r="D26" s="20" t="s">
        <v>32</v>
      </c>
      <c r="E26" s="21" t="s">
        <v>144</v>
      </c>
      <c r="F26" s="21" t="s">
        <v>145</v>
      </c>
      <c r="G26" s="20" t="s">
        <v>35</v>
      </c>
      <c r="H26" s="20" t="s">
        <v>25</v>
      </c>
      <c r="I26" s="21" t="s">
        <v>146</v>
      </c>
      <c r="J26" s="22">
        <f t="shared" si="0"/>
        <v>29.1236111111139</v>
      </c>
      <c r="K26" s="22">
        <f t="shared" si="1"/>
        <v>698.966666666733</v>
      </c>
      <c r="L26" s="22">
        <f t="shared" si="2"/>
        <v>234.966666666733</v>
      </c>
      <c r="M26" s="22" cm="1">
        <f ca="1" t="array" ref="M26">SUMPRODUCT(--(WEEKDAY(ROW(INDIRECT(INT(F26)&amp;":"&amp;INT(I26))),2)&gt;5))</f>
        <v>8</v>
      </c>
      <c r="N26" s="22">
        <f ca="1" t="shared" si="3"/>
        <v>170.966666666733</v>
      </c>
      <c r="O26" s="22" t="str">
        <f ca="1" t="shared" si="4"/>
        <v>SLA Violated</v>
      </c>
      <c r="P26" s="23" t="s">
        <v>147</v>
      </c>
      <c r="Q26" s="24" t="s">
        <v>28</v>
      </c>
      <c r="R26" s="25"/>
      <c r="S26" s="25"/>
    </row>
    <row r="27" ht="27" customHeight="1" spans="1:20">
      <c r="A27" s="19" t="s">
        <v>148</v>
      </c>
      <c r="B27" s="20" t="s">
        <v>139</v>
      </c>
      <c r="C27" s="20" t="s">
        <v>67</v>
      </c>
      <c r="D27" s="20" t="s">
        <v>32</v>
      </c>
      <c r="E27" s="21" t="s">
        <v>149</v>
      </c>
      <c r="F27" s="21" t="s">
        <v>150</v>
      </c>
      <c r="G27" s="20" t="s">
        <v>35</v>
      </c>
      <c r="H27" s="20" t="s">
        <v>25</v>
      </c>
      <c r="I27" s="21" t="s">
        <v>151</v>
      </c>
      <c r="J27" s="22">
        <f t="shared" si="0"/>
        <v>36.1819444444409</v>
      </c>
      <c r="K27" s="22">
        <f t="shared" si="1"/>
        <v>868.366666666581</v>
      </c>
      <c r="L27" s="22">
        <f t="shared" si="2"/>
        <v>292.366666666581</v>
      </c>
      <c r="M27" s="22" cm="1">
        <f ca="1" t="array" ref="M27">SUMPRODUCT(--(WEEKDAY(ROW(INDIRECT(INT(F27)&amp;":"&amp;INT(I27))),2)&gt;5))</f>
        <v>10</v>
      </c>
      <c r="N27" s="22">
        <f ca="1" t="shared" si="3"/>
        <v>212.366666666581</v>
      </c>
      <c r="O27" s="22" t="str">
        <f ca="1" t="shared" si="4"/>
        <v>SLA Violated</v>
      </c>
      <c r="P27" s="23" t="s">
        <v>152</v>
      </c>
      <c r="Q27" s="24" t="s">
        <v>28</v>
      </c>
      <c r="R27" s="25"/>
      <c r="S27" s="25"/>
    </row>
    <row r="28" ht="27" customHeight="1" spans="1:20">
      <c r="A28" s="19" t="s">
        <v>153</v>
      </c>
      <c r="B28" s="20" t="s">
        <v>139</v>
      </c>
      <c r="C28" s="20" t="s">
        <v>67</v>
      </c>
      <c r="D28" s="20" t="s">
        <v>32</v>
      </c>
      <c r="E28" s="21" t="s">
        <v>154</v>
      </c>
      <c r="F28" s="21" t="s">
        <v>155</v>
      </c>
      <c r="G28" s="20" t="s">
        <v>35</v>
      </c>
      <c r="H28" s="20" t="s">
        <v>25</v>
      </c>
      <c r="I28" s="21" t="s">
        <v>156</v>
      </c>
      <c r="J28" s="22">
        <f t="shared" si="0"/>
        <v>36.1812500000015</v>
      </c>
      <c r="K28" s="22">
        <f t="shared" si="1"/>
        <v>868.350000000035</v>
      </c>
      <c r="L28" s="22">
        <f t="shared" si="2"/>
        <v>292.350000000035</v>
      </c>
      <c r="M28" s="22" cm="1">
        <f ca="1" t="array" ref="M28">SUMPRODUCT(--(WEEKDAY(ROW(INDIRECT(INT(F28)&amp;":"&amp;INT(I28))),2)&gt;5))</f>
        <v>10</v>
      </c>
      <c r="N28" s="22">
        <f ca="1" t="shared" si="3"/>
        <v>212.350000000035</v>
      </c>
      <c r="O28" s="22" t="str">
        <f ca="1" t="shared" si="4"/>
        <v>SLA Violated</v>
      </c>
      <c r="P28" s="23" t="s">
        <v>157</v>
      </c>
      <c r="Q28" s="24" t="s">
        <v>28</v>
      </c>
      <c r="R28" s="25"/>
      <c r="S28" s="25"/>
    </row>
    <row r="29" ht="27" customHeight="1" spans="1:20">
      <c r="A29" s="19" t="s">
        <v>158</v>
      </c>
      <c r="B29" s="20" t="s">
        <v>30</v>
      </c>
      <c r="C29" s="20" t="s">
        <v>67</v>
      </c>
      <c r="D29" s="20" t="s">
        <v>32</v>
      </c>
      <c r="E29" s="21" t="s">
        <v>159</v>
      </c>
      <c r="F29" s="21" t="s">
        <v>160</v>
      </c>
      <c r="G29" s="20" t="s">
        <v>35</v>
      </c>
      <c r="H29" s="20" t="s">
        <v>25</v>
      </c>
      <c r="I29" s="21" t="s">
        <v>161</v>
      </c>
      <c r="J29" s="22">
        <f t="shared" si="0"/>
        <v>0.894444444442343</v>
      </c>
      <c r="K29" s="22">
        <f t="shared" si="1"/>
        <v>21.4666666666162</v>
      </c>
      <c r="L29" s="22">
        <f t="shared" si="2"/>
        <v>5.46666666661622</v>
      </c>
      <c r="M29" s="22" cm="1">
        <f ca="1" t="array" ref="M29">SUMPRODUCT(--(WEEKDAY(ROW(INDIRECT(INT(F29)&amp;":"&amp;INT(I29))),2)&gt;5))</f>
        <v>0</v>
      </c>
      <c r="N29" s="22">
        <f ca="1" t="shared" si="3"/>
        <v>5.46666666661622</v>
      </c>
      <c r="O29" s="22" t="str">
        <f ca="1" t="shared" si="4"/>
        <v>Within SLA</v>
      </c>
      <c r="P29" s="26" t="s">
        <v>158</v>
      </c>
      <c r="Q29" s="24" t="s">
        <v>37</v>
      </c>
      <c r="R29" s="25"/>
      <c r="S29" s="25"/>
    </row>
    <row r="30" ht="39" customHeight="1" spans="1:20">
      <c r="A30" s="19" t="s">
        <v>162</v>
      </c>
      <c r="B30" s="20" t="s">
        <v>19</v>
      </c>
      <c r="C30" s="20" t="s">
        <v>20</v>
      </c>
      <c r="D30" s="20" t="s">
        <v>32</v>
      </c>
      <c r="E30" s="21" t="s">
        <v>163</v>
      </c>
      <c r="F30" s="21" t="s">
        <v>164</v>
      </c>
      <c r="G30" s="20" t="s">
        <v>35</v>
      </c>
      <c r="H30" s="20" t="s">
        <v>25</v>
      </c>
      <c r="I30" s="21" t="s">
        <v>165</v>
      </c>
      <c r="J30" s="22">
        <f t="shared" si="0"/>
        <v>0.00902777777810115</v>
      </c>
      <c r="K30" s="22">
        <f t="shared" si="1"/>
        <v>0.216666666674428</v>
      </c>
      <c r="L30" s="22">
        <f t="shared" si="2"/>
        <v>0.216666666674428</v>
      </c>
      <c r="M30" s="22" cm="1">
        <f ca="1" t="array" ref="M30">SUMPRODUCT(--(WEEKDAY(ROW(INDIRECT(INT(F30)&amp;":"&amp;INT(I30))),2)&gt;5))</f>
        <v>0</v>
      </c>
      <c r="N30" s="22">
        <f ca="1" t="shared" si="3"/>
        <v>0.216666666674428</v>
      </c>
      <c r="O30" s="22" t="str">
        <f ca="1" t="shared" si="4"/>
        <v>Within SLA</v>
      </c>
      <c r="P30" s="26" t="s">
        <v>162</v>
      </c>
      <c r="Q30" s="24" t="s">
        <v>37</v>
      </c>
      <c r="R30" s="25"/>
      <c r="S30" s="25"/>
    </row>
    <row r="31" ht="39" customHeight="1" spans="1:20">
      <c r="A31" s="19" t="s">
        <v>166</v>
      </c>
      <c r="B31" s="20" t="s">
        <v>19</v>
      </c>
      <c r="C31" s="20" t="s">
        <v>167</v>
      </c>
      <c r="D31" s="20" t="s">
        <v>21</v>
      </c>
      <c r="E31" s="21" t="s">
        <v>168</v>
      </c>
      <c r="F31" s="21" t="s">
        <v>169</v>
      </c>
      <c r="G31" s="20" t="s">
        <v>35</v>
      </c>
      <c r="H31" s="20" t="s">
        <v>25</v>
      </c>
      <c r="I31" s="21" t="s">
        <v>170</v>
      </c>
      <c r="J31" s="22">
        <f t="shared" si="0"/>
        <v>0.0326388888861402</v>
      </c>
      <c r="K31" s="22">
        <f t="shared" si="1"/>
        <v>0.783333333267365</v>
      </c>
      <c r="L31" s="22">
        <f t="shared" si="2"/>
        <v>0.783333333267365</v>
      </c>
      <c r="M31" s="22" cm="1">
        <f ca="1" t="array" ref="M31">SUMPRODUCT(--(WEEKDAY(ROW(INDIRECT(INT(F31)&amp;":"&amp;INT(I31))),2)&gt;5))</f>
        <v>0</v>
      </c>
      <c r="N31" s="22">
        <f ca="1" t="shared" si="3"/>
        <v>0.783333333267365</v>
      </c>
      <c r="O31" s="22" t="str">
        <f ca="1" t="shared" si="4"/>
        <v>Within SLA</v>
      </c>
      <c r="P31" s="26" t="s">
        <v>166</v>
      </c>
      <c r="Q31" s="24" t="s">
        <v>37</v>
      </c>
      <c r="R31" s="25"/>
      <c r="S31" s="25"/>
    </row>
    <row r="32" ht="39" customHeight="1" spans="1:20">
      <c r="A32" s="19" t="s">
        <v>171</v>
      </c>
      <c r="B32" s="20" t="s">
        <v>19</v>
      </c>
      <c r="C32" s="20" t="s">
        <v>20</v>
      </c>
      <c r="D32" s="20" t="s">
        <v>32</v>
      </c>
      <c r="E32" s="21" t="s">
        <v>172</v>
      </c>
      <c r="F32" s="21" t="s">
        <v>173</v>
      </c>
      <c r="G32" s="20" t="s">
        <v>35</v>
      </c>
      <c r="H32" s="20" t="s">
        <v>25</v>
      </c>
      <c r="I32" s="21" t="s">
        <v>174</v>
      </c>
      <c r="J32" s="22">
        <f t="shared" si="0"/>
        <v>0.845833333332848</v>
      </c>
      <c r="K32" s="22">
        <f t="shared" si="1"/>
        <v>20.2999999999884</v>
      </c>
      <c r="L32" s="22">
        <f t="shared" si="2"/>
        <v>4.29999999998836</v>
      </c>
      <c r="M32" s="22" cm="1">
        <f ca="1" t="array" ref="M32">SUMPRODUCT(--(WEEKDAY(ROW(INDIRECT(INT(F32)&amp;":"&amp;INT(I32))),2)&gt;5))</f>
        <v>0</v>
      </c>
      <c r="N32" s="22">
        <f ca="1" t="shared" si="3"/>
        <v>4.29999999998836</v>
      </c>
      <c r="O32" s="22" t="str">
        <f ca="1" t="shared" si="4"/>
        <v>Within SLA</v>
      </c>
      <c r="P32" s="26" t="s">
        <v>171</v>
      </c>
      <c r="Q32" s="24" t="s">
        <v>37</v>
      </c>
      <c r="R32" s="25"/>
      <c r="S32" s="25"/>
    </row>
    <row r="33" ht="39" customHeight="1" spans="1:20">
      <c r="A33" s="19" t="s">
        <v>175</v>
      </c>
      <c r="B33" s="20" t="s">
        <v>19</v>
      </c>
      <c r="C33" s="20" t="s">
        <v>20</v>
      </c>
      <c r="D33" s="20" t="s">
        <v>32</v>
      </c>
      <c r="E33" s="21" t="s">
        <v>172</v>
      </c>
      <c r="F33" s="21" t="s">
        <v>176</v>
      </c>
      <c r="G33" s="20" t="s">
        <v>35</v>
      </c>
      <c r="H33" s="20" t="s">
        <v>25</v>
      </c>
      <c r="I33" s="21" t="s">
        <v>177</v>
      </c>
      <c r="J33" s="22">
        <f t="shared" si="0"/>
        <v>1.08402777777519</v>
      </c>
      <c r="K33" s="22">
        <f t="shared" si="1"/>
        <v>26.0166666666046</v>
      </c>
      <c r="L33" s="22">
        <f t="shared" si="2"/>
        <v>10.0166666666046</v>
      </c>
      <c r="M33" s="22" cm="1">
        <f ca="1" t="array" ref="M33">SUMPRODUCT(--(WEEKDAY(ROW(INDIRECT(INT(F33)&amp;":"&amp;INT(I33))),2)&gt;5))</f>
        <v>0</v>
      </c>
      <c r="N33" s="22">
        <f ca="1" t="shared" si="3"/>
        <v>10.0166666666046</v>
      </c>
      <c r="O33" s="22" t="str">
        <f ca="1" t="shared" si="4"/>
        <v>Within SLA</v>
      </c>
      <c r="P33" s="26" t="s">
        <v>175</v>
      </c>
      <c r="Q33" s="24" t="s">
        <v>37</v>
      </c>
      <c r="R33" s="25"/>
      <c r="S33" s="25"/>
    </row>
    <row r="34" ht="39" customHeight="1" spans="1:20">
      <c r="A34" s="19" t="s">
        <v>178</v>
      </c>
      <c r="B34" s="20" t="s">
        <v>19</v>
      </c>
      <c r="C34" s="20" t="s">
        <v>20</v>
      </c>
      <c r="D34" s="20" t="s">
        <v>32</v>
      </c>
      <c r="E34" s="21" t="s">
        <v>179</v>
      </c>
      <c r="F34" s="21" t="s">
        <v>180</v>
      </c>
      <c r="G34" s="20" t="s">
        <v>24</v>
      </c>
      <c r="H34" s="20" t="s">
        <v>25</v>
      </c>
      <c r="I34" s="21" t="s">
        <v>181</v>
      </c>
      <c r="J34" s="22">
        <f t="shared" si="0"/>
        <v>50.1125000000029</v>
      </c>
      <c r="K34" s="22">
        <f t="shared" si="1"/>
        <v>1202.70000000007</v>
      </c>
      <c r="L34" s="22">
        <f t="shared" si="2"/>
        <v>402.70000000007</v>
      </c>
      <c r="M34" s="22" cm="1">
        <f ca="1" t="array" ref="M34">SUMPRODUCT(--(WEEKDAY(ROW(INDIRECT(INT(F34)&amp;":"&amp;INT(I34))),2)&gt;5))</f>
        <v>14</v>
      </c>
      <c r="N34" s="22">
        <f ca="1" t="shared" si="3"/>
        <v>290.70000000007</v>
      </c>
      <c r="O34" s="22" t="str">
        <f ca="1" t="shared" si="4"/>
        <v>SLA Violated</v>
      </c>
      <c r="P34" s="23" t="s">
        <v>182</v>
      </c>
      <c r="Q34" s="24" t="s">
        <v>37</v>
      </c>
      <c r="R34" s="25"/>
      <c r="S34" s="25" t="s">
        <v>97</v>
      </c>
    </row>
    <row r="35" ht="39" customHeight="1" spans="1:20">
      <c r="A35" s="19" t="s">
        <v>183</v>
      </c>
      <c r="B35" s="20" t="s">
        <v>19</v>
      </c>
      <c r="C35" s="20" t="s">
        <v>20</v>
      </c>
      <c r="D35" s="20" t="s">
        <v>32</v>
      </c>
      <c r="E35" s="21" t="s">
        <v>184</v>
      </c>
      <c r="F35" s="21" t="s">
        <v>185</v>
      </c>
      <c r="G35" s="20" t="s">
        <v>35</v>
      </c>
      <c r="H35" s="20" t="s">
        <v>25</v>
      </c>
      <c r="I35" s="21" t="s">
        <v>186</v>
      </c>
      <c r="J35" s="22">
        <f t="shared" si="0"/>
        <v>0.814583333332848</v>
      </c>
      <c r="K35" s="22">
        <f t="shared" si="1"/>
        <v>19.5499999999884</v>
      </c>
      <c r="L35" s="22">
        <f t="shared" si="2"/>
        <v>3.54999999998836</v>
      </c>
      <c r="M35" s="22" cm="1">
        <f ca="1" t="array" ref="M35">SUMPRODUCT(--(WEEKDAY(ROW(INDIRECT(INT(F35)&amp;":"&amp;INT(I35))),2)&gt;5))</f>
        <v>0</v>
      </c>
      <c r="N35" s="22">
        <f ca="1" t="shared" si="3"/>
        <v>3.54999999998836</v>
      </c>
      <c r="O35" s="22" t="str">
        <f ca="1" t="shared" si="4"/>
        <v>Within SLA</v>
      </c>
      <c r="P35" s="26" t="s">
        <v>183</v>
      </c>
      <c r="Q35" s="24" t="s">
        <v>37</v>
      </c>
      <c r="R35" s="25"/>
      <c r="S35" s="25"/>
    </row>
    <row r="36" ht="39" customHeight="1" spans="1:20">
      <c r="A36" s="19" t="s">
        <v>187</v>
      </c>
      <c r="B36" s="20" t="s">
        <v>19</v>
      </c>
      <c r="C36" s="20" t="s">
        <v>20</v>
      </c>
      <c r="D36" s="20" t="s">
        <v>32</v>
      </c>
      <c r="E36" s="21" t="s">
        <v>188</v>
      </c>
      <c r="F36" s="21" t="s">
        <v>189</v>
      </c>
      <c r="G36" s="20" t="s">
        <v>35</v>
      </c>
      <c r="H36" s="20" t="s">
        <v>25</v>
      </c>
      <c r="I36" s="21" t="s">
        <v>190</v>
      </c>
      <c r="J36" s="22">
        <f t="shared" si="0"/>
        <v>0.78125</v>
      </c>
      <c r="K36" s="22">
        <f t="shared" si="1"/>
        <v>18.75</v>
      </c>
      <c r="L36" s="22">
        <f t="shared" si="2"/>
        <v>2.75</v>
      </c>
      <c r="M36" s="22" cm="1">
        <f ca="1" t="array" ref="M36">SUMPRODUCT(--(WEEKDAY(ROW(INDIRECT(INT(F36)&amp;":"&amp;INT(I36))),2)&gt;5))</f>
        <v>0</v>
      </c>
      <c r="N36" s="22">
        <f ca="1" t="shared" si="3"/>
        <v>2.75</v>
      </c>
      <c r="O36" s="22" t="str">
        <f ca="1" t="shared" si="4"/>
        <v>Within SLA</v>
      </c>
      <c r="P36" s="26" t="s">
        <v>187</v>
      </c>
      <c r="Q36" s="24" t="s">
        <v>37</v>
      </c>
      <c r="R36" s="25"/>
      <c r="S36" s="25"/>
    </row>
    <row r="37" ht="39" customHeight="1" spans="1:20">
      <c r="A37" s="19" t="s">
        <v>191</v>
      </c>
      <c r="B37" s="20" t="s">
        <v>19</v>
      </c>
      <c r="C37" s="20" t="s">
        <v>20</v>
      </c>
      <c r="D37" s="20" t="s">
        <v>32</v>
      </c>
      <c r="E37" s="21" t="s">
        <v>192</v>
      </c>
      <c r="F37" s="21" t="s">
        <v>193</v>
      </c>
      <c r="G37" s="20" t="s">
        <v>35</v>
      </c>
      <c r="H37" s="20" t="s">
        <v>25</v>
      </c>
      <c r="I37" s="21" t="s">
        <v>194</v>
      </c>
      <c r="J37" s="22">
        <f t="shared" si="0"/>
        <v>0.8125</v>
      </c>
      <c r="K37" s="22">
        <f t="shared" si="1"/>
        <v>19.5</v>
      </c>
      <c r="L37" s="22">
        <f t="shared" si="2"/>
        <v>3.5</v>
      </c>
      <c r="M37" s="22" cm="1">
        <f ca="1" t="array" ref="M37">SUMPRODUCT(--(WEEKDAY(ROW(INDIRECT(INT(F37)&amp;":"&amp;INT(I37))),2)&gt;5))</f>
        <v>0</v>
      </c>
      <c r="N37" s="22">
        <f ca="1" t="shared" si="3"/>
        <v>3.5</v>
      </c>
      <c r="O37" s="22" t="str">
        <f ca="1" t="shared" si="4"/>
        <v>Within SLA</v>
      </c>
      <c r="P37" s="26" t="s">
        <v>191</v>
      </c>
      <c r="Q37" s="24" t="s">
        <v>37</v>
      </c>
      <c r="R37" s="25"/>
      <c r="S37" s="25"/>
    </row>
    <row r="38" ht="39" customHeight="1" spans="1:20">
      <c r="A38" s="19" t="s">
        <v>195</v>
      </c>
      <c r="B38" s="20" t="s">
        <v>196</v>
      </c>
      <c r="C38" s="20" t="s">
        <v>46</v>
      </c>
      <c r="D38" s="20" t="s">
        <v>105</v>
      </c>
      <c r="E38" s="21" t="s">
        <v>197</v>
      </c>
      <c r="F38" s="21" t="s">
        <v>198</v>
      </c>
      <c r="G38" s="20" t="s">
        <v>35</v>
      </c>
      <c r="H38" s="20" t="s">
        <v>25</v>
      </c>
      <c r="I38" s="21" t="s">
        <v>199</v>
      </c>
      <c r="J38" s="22">
        <f t="shared" si="0"/>
        <v>0.0506944444423425</v>
      </c>
      <c r="K38" s="22">
        <f t="shared" si="1"/>
        <v>1.21666666661622</v>
      </c>
      <c r="L38" s="22">
        <f t="shared" si="2"/>
        <v>1.21666666661622</v>
      </c>
      <c r="M38" s="22" cm="1">
        <f ca="1" t="array" ref="M38">SUMPRODUCT(--(WEEKDAY(ROW(INDIRECT(INT(F38)&amp;":"&amp;INT(I38))),2)&gt;5))</f>
        <v>0</v>
      </c>
      <c r="N38" s="22">
        <f ca="1" t="shared" si="3"/>
        <v>1.21666666661622</v>
      </c>
      <c r="O38" s="22" t="str">
        <f ca="1" t="shared" si="4"/>
        <v>Within SLA</v>
      </c>
      <c r="P38" s="26" t="s">
        <v>195</v>
      </c>
      <c r="Q38" s="24" t="s">
        <v>37</v>
      </c>
      <c r="R38" s="25"/>
      <c r="S38" s="25"/>
    </row>
    <row r="39" ht="27" customHeight="1" spans="1:20">
      <c r="A39" s="19" t="s">
        <v>200</v>
      </c>
      <c r="B39" s="20" t="s">
        <v>30</v>
      </c>
      <c r="C39" s="20" t="s">
        <v>67</v>
      </c>
      <c r="D39" s="20" t="s">
        <v>32</v>
      </c>
      <c r="E39" s="21" t="s">
        <v>199</v>
      </c>
      <c r="F39" s="21" t="s">
        <v>201</v>
      </c>
      <c r="G39" s="20" t="s">
        <v>35</v>
      </c>
      <c r="H39" s="20" t="s">
        <v>25</v>
      </c>
      <c r="I39" s="21" t="s">
        <v>202</v>
      </c>
      <c r="J39" s="22">
        <f t="shared" si="0"/>
        <v>1.94444444444525</v>
      </c>
      <c r="K39" s="22">
        <f t="shared" si="1"/>
        <v>46.6666666666861</v>
      </c>
      <c r="L39" s="22">
        <f t="shared" si="2"/>
        <v>14.6666666666861</v>
      </c>
      <c r="M39" s="22" cm="1">
        <f ca="1" t="array" ref="M39">SUMPRODUCT(--(WEEKDAY(ROW(INDIRECT(INT(F39)&amp;":"&amp;INT(I39))),2)&gt;5))</f>
        <v>0</v>
      </c>
      <c r="N39" s="22">
        <f ca="1" t="shared" si="3"/>
        <v>14.6666666666861</v>
      </c>
      <c r="O39" s="22" t="str">
        <f ca="1" t="shared" si="4"/>
        <v>SLA Violated</v>
      </c>
      <c r="P39" s="23" t="s">
        <v>203</v>
      </c>
      <c r="Q39" s="24" t="s">
        <v>28</v>
      </c>
      <c r="R39" s="25"/>
      <c r="S39" s="25"/>
      <c r="T39" s="27"/>
    </row>
    <row r="40" ht="39" customHeight="1" spans="1:20">
      <c r="A40" s="19" t="s">
        <v>204</v>
      </c>
      <c r="B40" s="20" t="s">
        <v>19</v>
      </c>
      <c r="C40" s="20" t="s">
        <v>20</v>
      </c>
      <c r="D40" s="20" t="s">
        <v>32</v>
      </c>
      <c r="E40" s="21" t="s">
        <v>199</v>
      </c>
      <c r="F40" s="21" t="s">
        <v>205</v>
      </c>
      <c r="G40" s="20" t="s">
        <v>35</v>
      </c>
      <c r="H40" s="20" t="s">
        <v>25</v>
      </c>
      <c r="I40" s="21" t="s">
        <v>206</v>
      </c>
      <c r="J40" s="22">
        <f t="shared" si="0"/>
        <v>8.10972222222335</v>
      </c>
      <c r="K40" s="22">
        <f t="shared" si="1"/>
        <v>194.63333333336</v>
      </c>
      <c r="L40" s="22">
        <f t="shared" si="2"/>
        <v>66.6333333333605</v>
      </c>
      <c r="M40" s="22" cm="1">
        <f ca="1" t="array" ref="M40">SUMPRODUCT(--(WEEKDAY(ROW(INDIRECT(INT(F40)&amp;":"&amp;INT(I40))),2)&gt;5))</f>
        <v>2</v>
      </c>
      <c r="N40" s="22">
        <f ca="1" t="shared" si="3"/>
        <v>50.6333333333605</v>
      </c>
      <c r="O40" s="22" t="str">
        <f ca="1" t="shared" si="4"/>
        <v>SLA Violated</v>
      </c>
      <c r="P40" s="23" t="s">
        <v>207</v>
      </c>
      <c r="Q40" s="24" t="s">
        <v>28</v>
      </c>
      <c r="R40" s="25"/>
      <c r="S40" s="25"/>
    </row>
    <row r="41" ht="27" customHeight="1" spans="1:20">
      <c r="A41" s="19" t="s">
        <v>208</v>
      </c>
      <c r="B41" s="20" t="s">
        <v>30</v>
      </c>
      <c r="C41" s="20" t="s">
        <v>31</v>
      </c>
      <c r="D41" s="20" t="s">
        <v>32</v>
      </c>
      <c r="E41" s="21" t="s">
        <v>199</v>
      </c>
      <c r="F41" s="21" t="s">
        <v>209</v>
      </c>
      <c r="G41" s="20" t="s">
        <v>35</v>
      </c>
      <c r="H41" s="20" t="s">
        <v>25</v>
      </c>
      <c r="I41" s="21" t="s">
        <v>210</v>
      </c>
      <c r="J41" s="22">
        <f t="shared" si="0"/>
        <v>0.0506944444423425</v>
      </c>
      <c r="K41" s="22">
        <f t="shared" si="1"/>
        <v>1.21666666661622</v>
      </c>
      <c r="L41" s="22">
        <f t="shared" si="2"/>
        <v>1.21666666661622</v>
      </c>
      <c r="M41" s="22" cm="1">
        <f ca="1" t="array" ref="M41">SUMPRODUCT(--(WEEKDAY(ROW(INDIRECT(INT(F41)&amp;":"&amp;INT(I41))),2)&gt;5))</f>
        <v>0</v>
      </c>
      <c r="N41" s="22">
        <f ca="1" t="shared" si="3"/>
        <v>1.21666666661622</v>
      </c>
      <c r="O41" s="22" t="str">
        <f ca="1" t="shared" si="4"/>
        <v>Within SLA</v>
      </c>
      <c r="P41" s="26" t="s">
        <v>208</v>
      </c>
      <c r="Q41" s="24" t="s">
        <v>37</v>
      </c>
      <c r="R41" s="25"/>
      <c r="S41" s="25"/>
    </row>
    <row r="42" ht="39" customHeight="1" spans="1:20">
      <c r="A42" s="19" t="s">
        <v>211</v>
      </c>
      <c r="B42" s="20" t="s">
        <v>19</v>
      </c>
      <c r="C42" s="20" t="s">
        <v>20</v>
      </c>
      <c r="D42" s="20" t="s">
        <v>32</v>
      </c>
      <c r="E42" s="21" t="s">
        <v>199</v>
      </c>
      <c r="F42" s="21" t="s">
        <v>212</v>
      </c>
      <c r="G42" s="20" t="s">
        <v>35</v>
      </c>
      <c r="H42" s="20" t="s">
        <v>25</v>
      </c>
      <c r="I42" s="21" t="s">
        <v>213</v>
      </c>
      <c r="J42" s="22">
        <f t="shared" si="0"/>
        <v>4.16666666666424</v>
      </c>
      <c r="K42" s="22">
        <f t="shared" si="1"/>
        <v>99.9999999999418</v>
      </c>
      <c r="L42" s="22">
        <f t="shared" si="2"/>
        <v>35.9999999999418</v>
      </c>
      <c r="M42" s="22" cm="1">
        <f ca="1" t="array" ref="M42">SUMPRODUCT(--(WEEKDAY(ROW(INDIRECT(INT(F42)&amp;":"&amp;INT(I42))),2)&gt;5))</f>
        <v>2</v>
      </c>
      <c r="N42" s="22">
        <f ca="1" t="shared" si="3"/>
        <v>19.9999999999418</v>
      </c>
      <c r="O42" s="22" t="str">
        <f ca="1" t="shared" si="4"/>
        <v>SLA Violated</v>
      </c>
      <c r="P42" s="23" t="s">
        <v>214</v>
      </c>
      <c r="Q42" s="24" t="s">
        <v>28</v>
      </c>
      <c r="R42" s="25"/>
      <c r="S42" s="25"/>
    </row>
    <row r="43" ht="39" customHeight="1" spans="1:20">
      <c r="A43" s="19" t="s">
        <v>215</v>
      </c>
      <c r="B43" s="20" t="s">
        <v>19</v>
      </c>
      <c r="C43" s="20" t="s">
        <v>20</v>
      </c>
      <c r="D43" s="20" t="s">
        <v>32</v>
      </c>
      <c r="E43" s="21" t="s">
        <v>216</v>
      </c>
      <c r="F43" s="21" t="s">
        <v>217</v>
      </c>
      <c r="G43" s="20" t="s">
        <v>35</v>
      </c>
      <c r="H43" s="20" t="s">
        <v>25</v>
      </c>
      <c r="I43" s="21" t="s">
        <v>218</v>
      </c>
      <c r="J43" s="22">
        <f t="shared" si="0"/>
        <v>8.87291666666715</v>
      </c>
      <c r="K43" s="22">
        <f t="shared" si="1"/>
        <v>212.950000000012</v>
      </c>
      <c r="L43" s="22">
        <f t="shared" si="2"/>
        <v>68.9500000000116</v>
      </c>
      <c r="M43" s="22" cm="1">
        <f ca="1" t="array" ref="M43">SUMPRODUCT(--(WEEKDAY(ROW(INDIRECT(INT(F43)&amp;":"&amp;INT(I43))),2)&gt;5))</f>
        <v>2</v>
      </c>
      <c r="N43" s="22">
        <f ca="1" t="shared" si="3"/>
        <v>52.9500000000116</v>
      </c>
      <c r="O43" s="22" t="str">
        <f ca="1" t="shared" si="4"/>
        <v>SLA Violated</v>
      </c>
      <c r="P43" s="23" t="s">
        <v>219</v>
      </c>
      <c r="Q43" s="24" t="s">
        <v>37</v>
      </c>
      <c r="R43" s="6" t="s">
        <v>220</v>
      </c>
      <c r="S43" s="5" t="s">
        <v>39</v>
      </c>
    </row>
    <row r="44" ht="39" customHeight="1" spans="1:20">
      <c r="A44" s="19" t="s">
        <v>221</v>
      </c>
      <c r="B44" s="20" t="s">
        <v>19</v>
      </c>
      <c r="C44" s="20" t="s">
        <v>20</v>
      </c>
      <c r="D44" s="20" t="s">
        <v>32</v>
      </c>
      <c r="E44" s="21" t="s">
        <v>222</v>
      </c>
      <c r="F44" s="21" t="s">
        <v>223</v>
      </c>
      <c r="G44" s="20" t="s">
        <v>35</v>
      </c>
      <c r="H44" s="20" t="s">
        <v>25</v>
      </c>
      <c r="I44" s="21" t="s">
        <v>224</v>
      </c>
      <c r="J44" s="22">
        <f t="shared" si="0"/>
        <v>0.809027777773736</v>
      </c>
      <c r="K44" s="22">
        <f t="shared" si="1"/>
        <v>19.4166666665697</v>
      </c>
      <c r="L44" s="22">
        <f t="shared" si="2"/>
        <v>3.41666666656965</v>
      </c>
      <c r="M44" s="22" cm="1">
        <f ca="1" t="array" ref="M44">SUMPRODUCT(--(WEEKDAY(ROW(INDIRECT(INT(F44)&amp;":"&amp;INT(I44))),2)&gt;5))</f>
        <v>0</v>
      </c>
      <c r="N44" s="22">
        <f ca="1" t="shared" si="3"/>
        <v>3.41666666656965</v>
      </c>
      <c r="O44" s="22" t="str">
        <f ca="1" t="shared" si="4"/>
        <v>Within SLA</v>
      </c>
      <c r="P44" s="26" t="s">
        <v>221</v>
      </c>
      <c r="Q44" s="24" t="s">
        <v>37</v>
      </c>
      <c r="R44" s="25"/>
      <c r="S44" s="25"/>
    </row>
    <row r="45" ht="16" customHeight="1" spans="1:20">
      <c r="A45" s="19" t="s">
        <v>225</v>
      </c>
      <c r="B45" s="20" t="s">
        <v>100</v>
      </c>
      <c r="C45" s="20" t="s">
        <v>101</v>
      </c>
      <c r="D45" s="20" t="s">
        <v>32</v>
      </c>
      <c r="E45" s="21" t="s">
        <v>224</v>
      </c>
      <c r="F45" s="21" t="s">
        <v>226</v>
      </c>
      <c r="G45" s="20" t="s">
        <v>35</v>
      </c>
      <c r="H45" s="20" t="s">
        <v>25</v>
      </c>
      <c r="I45" s="21" t="s">
        <v>227</v>
      </c>
      <c r="J45" s="22">
        <f t="shared" si="0"/>
        <v>0.953472222223354</v>
      </c>
      <c r="K45" s="22">
        <f t="shared" si="1"/>
        <v>22.8833333333605</v>
      </c>
      <c r="L45" s="22">
        <f t="shared" si="2"/>
        <v>6.8833333333605</v>
      </c>
      <c r="M45" s="22" cm="1">
        <f ca="1" t="array" ref="M45">SUMPRODUCT(--(WEEKDAY(ROW(INDIRECT(INT(F45)&amp;":"&amp;INT(I45))),2)&gt;5))</f>
        <v>0</v>
      </c>
      <c r="N45" s="22">
        <f ca="1" t="shared" si="3"/>
        <v>6.8833333333605</v>
      </c>
      <c r="O45" s="22" t="str">
        <f ca="1" t="shared" si="4"/>
        <v>Within SLA</v>
      </c>
      <c r="P45" s="26" t="s">
        <v>225</v>
      </c>
      <c r="Q45" s="24" t="s">
        <v>37</v>
      </c>
      <c r="R45" s="25"/>
      <c r="S45" s="25"/>
    </row>
    <row r="46" ht="39" customHeight="1" spans="1:20">
      <c r="A46" s="19" t="s">
        <v>228</v>
      </c>
      <c r="B46" s="20" t="s">
        <v>19</v>
      </c>
      <c r="C46" s="20" t="s">
        <v>20</v>
      </c>
      <c r="D46" s="20" t="s">
        <v>32</v>
      </c>
      <c r="E46" s="21" t="s">
        <v>206</v>
      </c>
      <c r="F46" s="21" t="s">
        <v>229</v>
      </c>
      <c r="G46" s="20" t="s">
        <v>24</v>
      </c>
      <c r="H46" s="20" t="s">
        <v>25</v>
      </c>
      <c r="I46" s="21" t="s">
        <v>230</v>
      </c>
      <c r="J46" s="22">
        <f t="shared" si="0"/>
        <v>40.9777777777781</v>
      </c>
      <c r="K46" s="22">
        <f t="shared" si="1"/>
        <v>983.466666666674</v>
      </c>
      <c r="L46" s="22">
        <f t="shared" si="2"/>
        <v>327.466666666674</v>
      </c>
      <c r="M46" s="22" cm="1">
        <f ca="1" t="array" ref="M46">SUMPRODUCT(--(WEEKDAY(ROW(INDIRECT(INT(F46)&amp;":"&amp;INT(I46))),2)&gt;5))</f>
        <v>12</v>
      </c>
      <c r="N46" s="22">
        <f ca="1" t="shared" si="3"/>
        <v>231.466666666674</v>
      </c>
      <c r="O46" s="22" t="str">
        <f ca="1" t="shared" si="4"/>
        <v>SLA Violated</v>
      </c>
      <c r="P46" s="23" t="s">
        <v>231</v>
      </c>
      <c r="Q46" s="24" t="s">
        <v>37</v>
      </c>
      <c r="R46" s="25" t="s">
        <v>38</v>
      </c>
      <c r="S46" s="25" t="s">
        <v>39</v>
      </c>
    </row>
    <row r="47" ht="16" customHeight="1" spans="1:20">
      <c r="A47" s="19" t="s">
        <v>232</v>
      </c>
      <c r="B47" s="20" t="s">
        <v>100</v>
      </c>
      <c r="C47" s="20" t="s">
        <v>101</v>
      </c>
      <c r="D47" s="20" t="s">
        <v>21</v>
      </c>
      <c r="E47" s="21" t="s">
        <v>233</v>
      </c>
      <c r="F47" s="21" t="s">
        <v>234</v>
      </c>
      <c r="G47" s="20" t="s">
        <v>35</v>
      </c>
      <c r="H47" s="20" t="s">
        <v>25</v>
      </c>
      <c r="I47" s="21" t="s">
        <v>235</v>
      </c>
      <c r="J47" s="22">
        <f t="shared" si="0"/>
        <v>0.815277777779556</v>
      </c>
      <c r="K47" s="22">
        <f t="shared" si="1"/>
        <v>19.5666666667094</v>
      </c>
      <c r="L47" s="22">
        <f t="shared" si="2"/>
        <v>3.56666666670935</v>
      </c>
      <c r="M47" s="22" cm="1">
        <f ca="1" t="array" ref="M47">SUMPRODUCT(--(WEEKDAY(ROW(INDIRECT(INT(F47)&amp;":"&amp;INT(I47))),2)&gt;5))</f>
        <v>0</v>
      </c>
      <c r="N47" s="22">
        <f ca="1" t="shared" si="3"/>
        <v>3.56666666670935</v>
      </c>
      <c r="O47" s="22" t="str">
        <f ca="1" t="shared" si="4"/>
        <v>SLA Violated</v>
      </c>
      <c r="P47" s="26" t="s">
        <v>232</v>
      </c>
      <c r="Q47" s="24" t="s">
        <v>37</v>
      </c>
      <c r="R47" s="25"/>
      <c r="S47" s="25" t="s">
        <v>236</v>
      </c>
    </row>
    <row r="48" ht="39" customHeight="1" spans="1:20">
      <c r="A48" s="19" t="s">
        <v>237</v>
      </c>
      <c r="B48" s="20" t="s">
        <v>19</v>
      </c>
      <c r="C48" s="20" t="s">
        <v>20</v>
      </c>
      <c r="D48" s="20" t="s">
        <v>32</v>
      </c>
      <c r="E48" s="21" t="s">
        <v>238</v>
      </c>
      <c r="F48" s="21" t="s">
        <v>239</v>
      </c>
      <c r="G48" s="20" t="s">
        <v>35</v>
      </c>
      <c r="H48" s="20" t="s">
        <v>25</v>
      </c>
      <c r="I48" s="21" t="s">
        <v>240</v>
      </c>
      <c r="J48" s="22">
        <f t="shared" si="0"/>
        <v>8.09305555555329</v>
      </c>
      <c r="K48" s="22">
        <f t="shared" si="1"/>
        <v>194.233333333279</v>
      </c>
      <c r="L48" s="22">
        <f t="shared" si="2"/>
        <v>66.233333333279</v>
      </c>
      <c r="M48" s="22" cm="1">
        <f ca="1" t="array" ref="M48">SUMPRODUCT(--(WEEKDAY(ROW(INDIRECT(INT(F48)&amp;":"&amp;INT(I48))),2)&gt;5))</f>
        <v>2</v>
      </c>
      <c r="N48" s="22">
        <f ca="1" t="shared" si="3"/>
        <v>50.233333333279</v>
      </c>
      <c r="O48" s="22" t="str">
        <f ca="1" t="shared" si="4"/>
        <v>SLA Violated</v>
      </c>
      <c r="P48" s="23" t="s">
        <v>241</v>
      </c>
      <c r="Q48" s="24" t="s">
        <v>28</v>
      </c>
      <c r="R48" s="25"/>
      <c r="S48" s="25"/>
    </row>
    <row r="49" ht="27" customHeight="1" spans="1:19">
      <c r="A49" s="19" t="s">
        <v>242</v>
      </c>
      <c r="B49" s="20" t="s">
        <v>30</v>
      </c>
      <c r="C49" s="20" t="s">
        <v>101</v>
      </c>
      <c r="D49" s="20" t="s">
        <v>32</v>
      </c>
      <c r="E49" s="21" t="s">
        <v>243</v>
      </c>
      <c r="F49" s="21" t="s">
        <v>244</v>
      </c>
      <c r="G49" s="20" t="s">
        <v>35</v>
      </c>
      <c r="H49" s="20" t="s">
        <v>25</v>
      </c>
      <c r="I49" s="21" t="s">
        <v>245</v>
      </c>
      <c r="J49" s="22">
        <f t="shared" si="0"/>
        <v>0.00972222221753327</v>
      </c>
      <c r="K49" s="22">
        <f t="shared" si="1"/>
        <v>0.233333333220799</v>
      </c>
      <c r="L49" s="22">
        <f t="shared" si="2"/>
        <v>0.233333333220799</v>
      </c>
      <c r="M49" s="22" cm="1">
        <f ca="1" t="array" ref="M49">SUMPRODUCT(--(WEEKDAY(ROW(INDIRECT(INT(F49)&amp;":"&amp;INT(I49))),2)&gt;5))</f>
        <v>0</v>
      </c>
      <c r="N49" s="22">
        <f ca="1" t="shared" si="3"/>
        <v>0.233333333220799</v>
      </c>
      <c r="O49" s="22" t="str">
        <f ca="1" t="shared" si="4"/>
        <v>Within SLA</v>
      </c>
      <c r="P49" s="26" t="s">
        <v>242</v>
      </c>
      <c r="Q49" s="24" t="s">
        <v>37</v>
      </c>
      <c r="R49" s="25"/>
      <c r="S49" s="25"/>
    </row>
    <row r="50" ht="16" customHeight="1" spans="1:19">
      <c r="A50" s="19" t="s">
        <v>246</v>
      </c>
      <c r="B50" s="20" t="s">
        <v>45</v>
      </c>
      <c r="C50" s="20" t="s">
        <v>46</v>
      </c>
      <c r="D50" s="20" t="s">
        <v>32</v>
      </c>
      <c r="E50" s="21" t="s">
        <v>230</v>
      </c>
      <c r="F50" s="21" t="s">
        <v>247</v>
      </c>
      <c r="G50" s="20" t="s">
        <v>24</v>
      </c>
      <c r="H50" s="20" t="s">
        <v>25</v>
      </c>
      <c r="I50" s="21" t="s">
        <v>248</v>
      </c>
      <c r="J50" s="22">
        <f t="shared" si="0"/>
        <v>0.039583333338669</v>
      </c>
      <c r="K50" s="22">
        <f t="shared" si="1"/>
        <v>0.950000000128057</v>
      </c>
      <c r="L50" s="22">
        <f t="shared" si="2"/>
        <v>0.950000000128057</v>
      </c>
      <c r="M50" s="22" cm="1">
        <f ca="1" t="array" ref="M50">SUMPRODUCT(--(WEEKDAY(ROW(INDIRECT(INT(F50)&amp;":"&amp;INT(I50))),2)&gt;5))</f>
        <v>0</v>
      </c>
      <c r="N50" s="22">
        <f ca="1" t="shared" si="3"/>
        <v>0.950000000128057</v>
      </c>
      <c r="O50" s="22" t="str">
        <f ca="1" t="shared" si="4"/>
        <v>Within SLA</v>
      </c>
      <c r="P50" s="26" t="s">
        <v>246</v>
      </c>
      <c r="Q50" s="24" t="s">
        <v>37</v>
      </c>
      <c r="R50" s="25"/>
      <c r="S50" s="25"/>
    </row>
    <row r="51" ht="27" customHeight="1" spans="1:19">
      <c r="A51" s="19" t="s">
        <v>249</v>
      </c>
      <c r="B51" s="20" t="s">
        <v>30</v>
      </c>
      <c r="C51" s="20" t="s">
        <v>31</v>
      </c>
      <c r="D51" s="20" t="s">
        <v>32</v>
      </c>
      <c r="E51" s="21" t="s">
        <v>250</v>
      </c>
      <c r="F51" s="21" t="s">
        <v>251</v>
      </c>
      <c r="G51" s="20" t="s">
        <v>35</v>
      </c>
      <c r="H51" s="20" t="s">
        <v>25</v>
      </c>
      <c r="I51" s="21" t="s">
        <v>252</v>
      </c>
      <c r="J51" s="22">
        <f t="shared" si="0"/>
        <v>0.00555555555911269</v>
      </c>
      <c r="K51" s="22">
        <f t="shared" si="1"/>
        <v>0.133333333418705</v>
      </c>
      <c r="L51" s="22">
        <f t="shared" si="2"/>
        <v>0.133333333418705</v>
      </c>
      <c r="M51" s="22" cm="1">
        <f ca="1" t="array" ref="M51">SUMPRODUCT(--(WEEKDAY(ROW(INDIRECT(INT(F51)&amp;":"&amp;INT(I51))),2)&gt;5))</f>
        <v>0</v>
      </c>
      <c r="N51" s="22">
        <f ca="1" t="shared" si="3"/>
        <v>0.133333333418705</v>
      </c>
      <c r="O51" s="22" t="str">
        <f ca="1" t="shared" si="4"/>
        <v>Within SLA</v>
      </c>
      <c r="P51" s="26" t="s">
        <v>249</v>
      </c>
      <c r="Q51" s="24" t="s">
        <v>37</v>
      </c>
      <c r="R51" s="25"/>
      <c r="S51" s="25"/>
    </row>
    <row r="52" ht="39" customHeight="1" spans="1:19">
      <c r="A52" s="19" t="s">
        <v>253</v>
      </c>
      <c r="B52" s="20" t="s">
        <v>19</v>
      </c>
      <c r="C52" s="20" t="s">
        <v>20</v>
      </c>
      <c r="D52" s="20" t="s">
        <v>32</v>
      </c>
      <c r="E52" s="21" t="s">
        <v>254</v>
      </c>
      <c r="F52" s="21" t="s">
        <v>255</v>
      </c>
      <c r="G52" s="20" t="s">
        <v>35</v>
      </c>
      <c r="H52" s="20" t="s">
        <v>25</v>
      </c>
      <c r="I52" s="21" t="s">
        <v>256</v>
      </c>
      <c r="J52" s="22">
        <f t="shared" si="0"/>
        <v>0.763888888890506</v>
      </c>
      <c r="K52" s="22">
        <f t="shared" si="1"/>
        <v>18.3333333333721</v>
      </c>
      <c r="L52" s="22">
        <f t="shared" si="2"/>
        <v>2.33333333337214</v>
      </c>
      <c r="M52" s="22" cm="1">
        <f ca="1" t="array" ref="M52">SUMPRODUCT(--(WEEKDAY(ROW(INDIRECT(INT(F52)&amp;":"&amp;INT(I52))),2)&gt;5))</f>
        <v>0</v>
      </c>
      <c r="N52" s="22">
        <f ca="1" t="shared" si="3"/>
        <v>2.33333333337214</v>
      </c>
      <c r="O52" s="22" t="str">
        <f ca="1" t="shared" si="4"/>
        <v>Within SLA</v>
      </c>
      <c r="P52" s="26" t="s">
        <v>253</v>
      </c>
      <c r="Q52" s="24" t="s">
        <v>37</v>
      </c>
      <c r="R52" s="25"/>
      <c r="S52" s="25"/>
    </row>
    <row r="53" ht="16" customHeight="1" spans="1:19">
      <c r="A53" s="19" t="s">
        <v>257</v>
      </c>
      <c r="B53" s="20" t="s">
        <v>45</v>
      </c>
      <c r="C53" s="20" t="s">
        <v>46</v>
      </c>
      <c r="D53" s="20" t="s">
        <v>32</v>
      </c>
      <c r="E53" s="21" t="s">
        <v>258</v>
      </c>
      <c r="F53" s="21" t="s">
        <v>259</v>
      </c>
      <c r="G53" s="20" t="s">
        <v>35</v>
      </c>
      <c r="H53" s="20" t="s">
        <v>25</v>
      </c>
      <c r="I53" s="21" t="s">
        <v>260</v>
      </c>
      <c r="J53" s="22">
        <f t="shared" si="0"/>
        <v>0.0111111111109494</v>
      </c>
      <c r="K53" s="22">
        <f t="shared" si="1"/>
        <v>0.266666666662786</v>
      </c>
      <c r="L53" s="22">
        <f t="shared" si="2"/>
        <v>0.266666666662786</v>
      </c>
      <c r="M53" s="22" cm="1">
        <f ca="1" t="array" ref="M53">SUMPRODUCT(--(WEEKDAY(ROW(INDIRECT(INT(F53)&amp;":"&amp;INT(I53))),2)&gt;5))</f>
        <v>0</v>
      </c>
      <c r="N53" s="22">
        <f ca="1" t="shared" si="3"/>
        <v>0.266666666662786</v>
      </c>
      <c r="O53" s="22" t="str">
        <f ca="1" t="shared" si="4"/>
        <v>Within SLA</v>
      </c>
      <c r="P53" s="26" t="s">
        <v>257</v>
      </c>
      <c r="Q53" s="24" t="s">
        <v>37</v>
      </c>
      <c r="R53" s="25"/>
      <c r="S53" s="25"/>
    </row>
    <row r="54" ht="27" customHeight="1" spans="1:19">
      <c r="A54" s="19" t="s">
        <v>261</v>
      </c>
      <c r="B54" s="20" t="s">
        <v>30</v>
      </c>
      <c r="C54" s="20" t="s">
        <v>67</v>
      </c>
      <c r="D54" s="20" t="s">
        <v>32</v>
      </c>
      <c r="E54" s="21" t="s">
        <v>256</v>
      </c>
      <c r="F54" s="21" t="s">
        <v>262</v>
      </c>
      <c r="G54" s="20" t="s">
        <v>35</v>
      </c>
      <c r="H54" s="20" t="s">
        <v>25</v>
      </c>
      <c r="I54" s="21" t="s">
        <v>263</v>
      </c>
      <c r="J54" s="22">
        <f t="shared" si="0"/>
        <v>0.766666666662786</v>
      </c>
      <c r="K54" s="22">
        <f t="shared" si="1"/>
        <v>18.3999999999069</v>
      </c>
      <c r="L54" s="22">
        <f t="shared" si="2"/>
        <v>2.39999999990687</v>
      </c>
      <c r="M54" s="22" cm="1">
        <f ca="1" t="array" ref="M54">SUMPRODUCT(--(WEEKDAY(ROW(INDIRECT(INT(F54)&amp;":"&amp;INT(I54))),2)&gt;5))</f>
        <v>0</v>
      </c>
      <c r="N54" s="22">
        <f ca="1" t="shared" si="3"/>
        <v>2.39999999990687</v>
      </c>
      <c r="O54" s="22" t="str">
        <f ca="1" t="shared" si="4"/>
        <v>Within SLA</v>
      </c>
      <c r="P54" s="26" t="s">
        <v>261</v>
      </c>
      <c r="Q54" s="24" t="s">
        <v>37</v>
      </c>
      <c r="R54" s="25"/>
      <c r="S54" s="25"/>
    </row>
    <row r="55" ht="27" customHeight="1" spans="1:19">
      <c r="A55" s="19" t="s">
        <v>264</v>
      </c>
      <c r="B55" s="20" t="s">
        <v>30</v>
      </c>
      <c r="C55" s="20" t="s">
        <v>31</v>
      </c>
      <c r="D55" s="20" t="s">
        <v>32</v>
      </c>
      <c r="E55" s="21" t="s">
        <v>265</v>
      </c>
      <c r="F55" s="21" t="s">
        <v>266</v>
      </c>
      <c r="G55" s="20" t="s">
        <v>35</v>
      </c>
      <c r="H55" s="20" t="s">
        <v>25</v>
      </c>
      <c r="I55" s="21" t="s">
        <v>267</v>
      </c>
      <c r="J55" s="22">
        <f t="shared" si="0"/>
        <v>0.825694444443798</v>
      </c>
      <c r="K55" s="22">
        <f t="shared" si="1"/>
        <v>19.8166666666511</v>
      </c>
      <c r="L55" s="22">
        <f t="shared" si="2"/>
        <v>3.81666666665114</v>
      </c>
      <c r="M55" s="22" cm="1">
        <f ca="1" t="array" ref="M55">SUMPRODUCT(--(WEEKDAY(ROW(INDIRECT(INT(F55)&amp;":"&amp;INT(I55))),2)&gt;5))</f>
        <v>0</v>
      </c>
      <c r="N55" s="22">
        <f ca="1" t="shared" si="3"/>
        <v>3.81666666665114</v>
      </c>
      <c r="O55" s="22" t="str">
        <f ca="1" t="shared" si="4"/>
        <v>Within SLA</v>
      </c>
      <c r="P55" s="26" t="s">
        <v>264</v>
      </c>
      <c r="Q55" s="24" t="s">
        <v>37</v>
      </c>
      <c r="R55" s="25"/>
      <c r="S55" s="25"/>
    </row>
    <row r="56" ht="27" customHeight="1" spans="1:19">
      <c r="A56" s="19" t="s">
        <v>268</v>
      </c>
      <c r="B56" s="20" t="s">
        <v>30</v>
      </c>
      <c r="C56" s="20" t="s">
        <v>31</v>
      </c>
      <c r="D56" s="20" t="s">
        <v>32</v>
      </c>
      <c r="E56" s="21" t="s">
        <v>269</v>
      </c>
      <c r="F56" s="21" t="s">
        <v>270</v>
      </c>
      <c r="G56" s="20" t="s">
        <v>35</v>
      </c>
      <c r="H56" s="20" t="s">
        <v>25</v>
      </c>
      <c r="I56" s="21" t="s">
        <v>271</v>
      </c>
      <c r="J56" s="22">
        <f t="shared" si="0"/>
        <v>0.015972222223354</v>
      </c>
      <c r="K56" s="22">
        <f t="shared" si="1"/>
        <v>0.383333333360497</v>
      </c>
      <c r="L56" s="22">
        <f t="shared" si="2"/>
        <v>0.383333333360497</v>
      </c>
      <c r="M56" s="22" cm="1">
        <f ca="1" t="array" ref="M56">SUMPRODUCT(--(WEEKDAY(ROW(INDIRECT(INT(F56)&amp;":"&amp;INT(I56))),2)&gt;5))</f>
        <v>0</v>
      </c>
      <c r="N56" s="22">
        <f ca="1" t="shared" si="3"/>
        <v>0.383333333360497</v>
      </c>
      <c r="O56" s="22" t="str">
        <f ca="1" t="shared" si="4"/>
        <v>Within SLA</v>
      </c>
      <c r="P56" s="26" t="s">
        <v>268</v>
      </c>
      <c r="Q56" s="24" t="s">
        <v>37</v>
      </c>
      <c r="R56" s="25"/>
      <c r="S56" s="25"/>
    </row>
    <row r="57" ht="39" customHeight="1" spans="1:19">
      <c r="A57" s="19" t="s">
        <v>272</v>
      </c>
      <c r="B57" s="20" t="s">
        <v>19</v>
      </c>
      <c r="C57" s="20" t="s">
        <v>20</v>
      </c>
      <c r="D57" s="20" t="s">
        <v>32</v>
      </c>
      <c r="E57" s="21" t="s">
        <v>273</v>
      </c>
      <c r="F57" s="21" t="s">
        <v>274</v>
      </c>
      <c r="G57" s="20" t="s">
        <v>35</v>
      </c>
      <c r="H57" s="20" t="s">
        <v>25</v>
      </c>
      <c r="I57" s="21" t="s">
        <v>275</v>
      </c>
      <c r="J57" s="22">
        <f t="shared" si="0"/>
        <v>0.700694444443798</v>
      </c>
      <c r="K57" s="22">
        <f t="shared" si="1"/>
        <v>16.8166666666511</v>
      </c>
      <c r="L57" s="22">
        <f t="shared" si="2"/>
        <v>0.816666666651145</v>
      </c>
      <c r="M57" s="22" cm="1">
        <f ca="1" t="array" ref="M57">SUMPRODUCT(--(WEEKDAY(ROW(INDIRECT(INT(F57)&amp;":"&amp;INT(I57))),2)&gt;5))</f>
        <v>0</v>
      </c>
      <c r="N57" s="22">
        <f ca="1" t="shared" si="3"/>
        <v>0.816666666651145</v>
      </c>
      <c r="O57" s="22" t="str">
        <f ca="1" t="shared" si="4"/>
        <v>Within SLA</v>
      </c>
      <c r="P57" s="26" t="s">
        <v>272</v>
      </c>
      <c r="Q57" s="24" t="s">
        <v>37</v>
      </c>
      <c r="R57" s="25"/>
      <c r="S57" s="25"/>
    </row>
    <row r="58" ht="39" customHeight="1" spans="1:19">
      <c r="A58" s="19" t="s">
        <v>276</v>
      </c>
      <c r="B58" s="20" t="s">
        <v>19</v>
      </c>
      <c r="C58" s="20" t="s">
        <v>20</v>
      </c>
      <c r="D58" s="20" t="s">
        <v>32</v>
      </c>
      <c r="E58" s="21" t="s">
        <v>277</v>
      </c>
      <c r="F58" s="21" t="s">
        <v>278</v>
      </c>
      <c r="G58" s="20" t="s">
        <v>35</v>
      </c>
      <c r="H58" s="20" t="s">
        <v>25</v>
      </c>
      <c r="I58" s="21" t="s">
        <v>279</v>
      </c>
      <c r="J58" s="22">
        <f t="shared" si="0"/>
        <v>7.73958333333576</v>
      </c>
      <c r="K58" s="22">
        <f t="shared" si="1"/>
        <v>185.750000000058</v>
      </c>
      <c r="L58" s="22">
        <f t="shared" si="2"/>
        <v>57.7500000000582</v>
      </c>
      <c r="M58" s="22" cm="1">
        <f ca="1" t="array" ref="M58">SUMPRODUCT(--(WEEKDAY(ROW(INDIRECT(INT(F58)&amp;":"&amp;INT(I58))),2)&gt;5))</f>
        <v>2</v>
      </c>
      <c r="N58" s="22">
        <f ca="1" t="shared" si="3"/>
        <v>41.7500000000582</v>
      </c>
      <c r="O58" s="22" t="str">
        <f ca="1" t="shared" si="4"/>
        <v>SLA Violated</v>
      </c>
      <c r="P58" s="23" t="s">
        <v>280</v>
      </c>
      <c r="Q58" s="24" t="s">
        <v>37</v>
      </c>
      <c r="R58" s="25" t="s">
        <v>38</v>
      </c>
      <c r="S58" s="25" t="s">
        <v>39</v>
      </c>
    </row>
    <row r="59" ht="39" customHeight="1" spans="1:19">
      <c r="A59" s="19" t="s">
        <v>281</v>
      </c>
      <c r="B59" s="20" t="s">
        <v>19</v>
      </c>
      <c r="C59" s="20" t="s">
        <v>20</v>
      </c>
      <c r="D59" s="20" t="s">
        <v>32</v>
      </c>
      <c r="E59" s="21" t="s">
        <v>282</v>
      </c>
      <c r="F59" s="21" t="s">
        <v>283</v>
      </c>
      <c r="G59" s="20" t="s">
        <v>35</v>
      </c>
      <c r="H59" s="20" t="s">
        <v>25</v>
      </c>
      <c r="I59" s="21" t="s">
        <v>284</v>
      </c>
      <c r="J59" s="22">
        <f t="shared" si="0"/>
        <v>0.688194444439432</v>
      </c>
      <c r="K59" s="22">
        <f t="shared" si="1"/>
        <v>16.5166666665464</v>
      </c>
      <c r="L59" s="22">
        <f t="shared" si="2"/>
        <v>0.516666666546371</v>
      </c>
      <c r="M59" s="22" cm="1">
        <f ca="1" t="array" ref="M59">SUMPRODUCT(--(WEEKDAY(ROW(INDIRECT(INT(F59)&amp;":"&amp;INT(I59))),2)&gt;5))</f>
        <v>0</v>
      </c>
      <c r="N59" s="22">
        <f ca="1" t="shared" si="3"/>
        <v>0.516666666546371</v>
      </c>
      <c r="O59" s="22" t="str">
        <f ca="1" t="shared" si="4"/>
        <v>Within SLA</v>
      </c>
      <c r="P59" s="26" t="s">
        <v>281</v>
      </c>
      <c r="Q59" s="24" t="s">
        <v>37</v>
      </c>
      <c r="R59" s="25"/>
      <c r="S59" s="25"/>
    </row>
    <row r="60" ht="39" customHeight="1" spans="1:19">
      <c r="A60" s="19" t="s">
        <v>285</v>
      </c>
      <c r="B60" s="20" t="s">
        <v>19</v>
      </c>
      <c r="C60" s="20" t="s">
        <v>20</v>
      </c>
      <c r="D60" s="20" t="s">
        <v>32</v>
      </c>
      <c r="E60" s="21" t="s">
        <v>286</v>
      </c>
      <c r="F60" s="21" t="s">
        <v>287</v>
      </c>
      <c r="G60" s="20" t="s">
        <v>35</v>
      </c>
      <c r="H60" s="20" t="s">
        <v>25</v>
      </c>
      <c r="I60" s="21" t="s">
        <v>288</v>
      </c>
      <c r="J60" s="22">
        <f t="shared" si="0"/>
        <v>4.04236111111095</v>
      </c>
      <c r="K60" s="22">
        <f t="shared" si="1"/>
        <v>97.0166666666628</v>
      </c>
      <c r="L60" s="22">
        <f t="shared" si="2"/>
        <v>33.0166666666628</v>
      </c>
      <c r="M60" s="22" cm="1">
        <f ca="1" t="array" ref="M60">SUMPRODUCT(--(WEEKDAY(ROW(INDIRECT(INT(F60)&amp;":"&amp;INT(I60))),2)&gt;5))</f>
        <v>2</v>
      </c>
      <c r="N60" s="22">
        <f ca="1" t="shared" si="3"/>
        <v>17.0166666666628</v>
      </c>
      <c r="O60" s="22" t="str">
        <f ca="1" t="shared" si="4"/>
        <v>SLA Violated</v>
      </c>
      <c r="P60" s="23" t="s">
        <v>289</v>
      </c>
      <c r="Q60" s="24" t="s">
        <v>37</v>
      </c>
      <c r="R60" s="25"/>
      <c r="S60" s="25" t="s">
        <v>97</v>
      </c>
    </row>
    <row r="61" ht="39" customHeight="1" spans="1:19">
      <c r="A61" s="19" t="s">
        <v>290</v>
      </c>
      <c r="B61" s="20" t="s">
        <v>19</v>
      </c>
      <c r="C61" s="20" t="s">
        <v>20</v>
      </c>
      <c r="D61" s="20" t="s">
        <v>32</v>
      </c>
      <c r="E61" s="21" t="s">
        <v>291</v>
      </c>
      <c r="F61" s="21" t="s">
        <v>292</v>
      </c>
      <c r="G61" s="20" t="s">
        <v>35</v>
      </c>
      <c r="H61" s="20" t="s">
        <v>25</v>
      </c>
      <c r="I61" s="21" t="s">
        <v>293</v>
      </c>
      <c r="J61" s="22">
        <f t="shared" si="0"/>
        <v>27.1965277777781</v>
      </c>
      <c r="K61" s="22">
        <f t="shared" si="1"/>
        <v>652.716666666674</v>
      </c>
      <c r="L61" s="22">
        <f t="shared" si="2"/>
        <v>220.716666666674</v>
      </c>
      <c r="M61" s="22" cm="1">
        <f ca="1" t="array" ref="M61">SUMPRODUCT(--(WEEKDAY(ROW(INDIRECT(INT(F61)&amp;":"&amp;INT(I61))),2)&gt;5))</f>
        <v>8</v>
      </c>
      <c r="N61" s="22">
        <f ca="1" t="shared" si="3"/>
        <v>156.716666666674</v>
      </c>
      <c r="O61" s="22" t="str">
        <f ca="1" t="shared" si="4"/>
        <v>SLA Violated</v>
      </c>
      <c r="P61" s="23" t="s">
        <v>294</v>
      </c>
      <c r="Q61" s="24" t="s">
        <v>28</v>
      </c>
      <c r="R61" s="25"/>
      <c r="S61" s="25"/>
    </row>
    <row r="62" ht="39" customHeight="1" spans="1:19">
      <c r="A62" s="19" t="s">
        <v>295</v>
      </c>
      <c r="B62" s="20" t="s">
        <v>19</v>
      </c>
      <c r="C62" s="20" t="s">
        <v>20</v>
      </c>
      <c r="D62" s="20" t="s">
        <v>32</v>
      </c>
      <c r="E62" s="21" t="s">
        <v>296</v>
      </c>
      <c r="F62" s="21" t="s">
        <v>297</v>
      </c>
      <c r="G62" s="20" t="s">
        <v>35</v>
      </c>
      <c r="H62" s="20" t="s">
        <v>25</v>
      </c>
      <c r="I62" s="21" t="s">
        <v>298</v>
      </c>
      <c r="J62" s="22">
        <f t="shared" si="0"/>
        <v>7.33263888888905</v>
      </c>
      <c r="K62" s="22">
        <f t="shared" si="1"/>
        <v>175.983333333337</v>
      </c>
      <c r="L62" s="22">
        <f t="shared" si="2"/>
        <v>63.9833333333372</v>
      </c>
      <c r="M62" s="22" cm="1">
        <f ca="1" t="array" ref="M62">SUMPRODUCT(--(WEEKDAY(ROW(INDIRECT(INT(F62)&amp;":"&amp;INT(I62))),2)&gt;5))</f>
        <v>2</v>
      </c>
      <c r="N62" s="22">
        <f ca="1" t="shared" si="3"/>
        <v>47.9833333333372</v>
      </c>
      <c r="O62" s="22" t="str">
        <f ca="1" t="shared" si="4"/>
        <v>SLA Violated</v>
      </c>
      <c r="P62" s="23" t="s">
        <v>299</v>
      </c>
      <c r="Q62" s="24" t="s">
        <v>28</v>
      </c>
      <c r="R62" s="25"/>
      <c r="S62" s="25"/>
    </row>
    <row r="63" ht="39" customHeight="1" spans="1:19">
      <c r="A63" s="19" t="s">
        <v>300</v>
      </c>
      <c r="B63" s="20" t="s">
        <v>19</v>
      </c>
      <c r="C63" s="20" t="s">
        <v>20</v>
      </c>
      <c r="D63" s="20" t="s">
        <v>32</v>
      </c>
      <c r="E63" s="21" t="s">
        <v>301</v>
      </c>
      <c r="F63" s="21" t="s">
        <v>302</v>
      </c>
      <c r="G63" s="20" t="s">
        <v>35</v>
      </c>
      <c r="H63" s="20" t="s">
        <v>25</v>
      </c>
      <c r="I63" s="21" t="s">
        <v>303</v>
      </c>
      <c r="J63" s="22">
        <f t="shared" si="0"/>
        <v>6.33749999999418</v>
      </c>
      <c r="K63" s="22">
        <f t="shared" si="1"/>
        <v>152.09999999986</v>
      </c>
      <c r="L63" s="22">
        <f t="shared" si="2"/>
        <v>56.0999999998603</v>
      </c>
      <c r="M63" s="22" cm="1">
        <f ca="1" t="array" ref="M63">SUMPRODUCT(--(WEEKDAY(ROW(INDIRECT(INT(F63)&amp;":"&amp;INT(I63))),2)&gt;5))</f>
        <v>2</v>
      </c>
      <c r="N63" s="22">
        <f ca="1" t="shared" si="3"/>
        <v>40.0999999998603</v>
      </c>
      <c r="O63" s="22" t="str">
        <f ca="1" t="shared" si="4"/>
        <v>SLA Violated</v>
      </c>
      <c r="P63" s="23" t="s">
        <v>304</v>
      </c>
      <c r="Q63" s="24" t="s">
        <v>28</v>
      </c>
      <c r="R63" s="25"/>
      <c r="S63" s="25"/>
    </row>
    <row r="64" ht="39" customHeight="1" spans="1:19">
      <c r="A64" s="19" t="s">
        <v>305</v>
      </c>
      <c r="B64" s="20" t="s">
        <v>19</v>
      </c>
      <c r="C64" s="20" t="s">
        <v>20</v>
      </c>
      <c r="D64" s="20" t="s">
        <v>32</v>
      </c>
      <c r="E64" s="21" t="s">
        <v>306</v>
      </c>
      <c r="F64" s="21" t="s">
        <v>307</v>
      </c>
      <c r="G64" s="20" t="s">
        <v>35</v>
      </c>
      <c r="H64" s="20" t="s">
        <v>25</v>
      </c>
      <c r="I64" s="21" t="s">
        <v>308</v>
      </c>
      <c r="J64" s="22">
        <f t="shared" si="0"/>
        <v>4.5354166666657</v>
      </c>
      <c r="K64" s="22">
        <f t="shared" si="1"/>
        <v>108.849999999977</v>
      </c>
      <c r="L64" s="22">
        <f t="shared" si="2"/>
        <v>44.8499999999767</v>
      </c>
      <c r="M64" s="22" cm="1">
        <f ca="1" t="array" ref="M64">SUMPRODUCT(--(WEEKDAY(ROW(INDIRECT(INT(F64)&amp;":"&amp;INT(I64))),2)&gt;5))</f>
        <v>2</v>
      </c>
      <c r="N64" s="22">
        <f ca="1" t="shared" si="3"/>
        <v>28.8499999999767</v>
      </c>
      <c r="O64" s="22" t="str">
        <f ca="1" t="shared" si="4"/>
        <v>SLA Violated</v>
      </c>
      <c r="P64" s="23" t="s">
        <v>309</v>
      </c>
      <c r="Q64" s="24" t="s">
        <v>28</v>
      </c>
      <c r="R64" s="25"/>
      <c r="S64" s="25"/>
    </row>
    <row r="65" ht="27" customHeight="1" spans="1:20">
      <c r="A65" s="19" t="s">
        <v>310</v>
      </c>
      <c r="B65" s="20" t="s">
        <v>30</v>
      </c>
      <c r="C65" s="20" t="s">
        <v>31</v>
      </c>
      <c r="D65" s="20" t="s">
        <v>32</v>
      </c>
      <c r="E65" s="21" t="s">
        <v>311</v>
      </c>
      <c r="F65" s="21" t="s">
        <v>312</v>
      </c>
      <c r="G65" s="20" t="s">
        <v>35</v>
      </c>
      <c r="H65" s="20" t="s">
        <v>25</v>
      </c>
      <c r="I65" s="21" t="s">
        <v>313</v>
      </c>
      <c r="J65" s="22">
        <f t="shared" si="0"/>
        <v>0.211805555554747</v>
      </c>
      <c r="K65" s="22">
        <f t="shared" si="1"/>
        <v>5.08333333331393</v>
      </c>
      <c r="L65" s="22">
        <f t="shared" si="2"/>
        <v>5.08333333331393</v>
      </c>
      <c r="M65" s="22" cm="1">
        <f ca="1" t="array" ref="M65">SUMPRODUCT(--(WEEKDAY(ROW(INDIRECT(INT(F65)&amp;":"&amp;INT(I65))),2)&gt;5))</f>
        <v>0</v>
      </c>
      <c r="N65" s="22">
        <f ca="1" t="shared" si="3"/>
        <v>5.08333333331393</v>
      </c>
      <c r="O65" s="22" t="str">
        <f ca="1" t="shared" si="4"/>
        <v>Within SLA</v>
      </c>
      <c r="P65" s="26" t="s">
        <v>310</v>
      </c>
      <c r="Q65" s="24" t="s">
        <v>37</v>
      </c>
      <c r="R65" s="25"/>
      <c r="S65" s="25"/>
    </row>
    <row r="66" ht="27" customHeight="1" spans="1:20">
      <c r="A66" s="19" t="s">
        <v>314</v>
      </c>
      <c r="B66" s="20" t="s">
        <v>30</v>
      </c>
      <c r="C66" s="20" t="s">
        <v>31</v>
      </c>
      <c r="D66" s="20" t="s">
        <v>32</v>
      </c>
      <c r="E66" s="21" t="s">
        <v>315</v>
      </c>
      <c r="F66" s="21" t="s">
        <v>316</v>
      </c>
      <c r="G66" s="20" t="s">
        <v>35</v>
      </c>
      <c r="H66" s="20" t="s">
        <v>25</v>
      </c>
      <c r="I66" s="21" t="s">
        <v>317</v>
      </c>
      <c r="J66" s="22">
        <f t="shared" si="0"/>
        <v>0.0180555555562023</v>
      </c>
      <c r="K66" s="22">
        <f t="shared" si="1"/>
        <v>0.433333333348855</v>
      </c>
      <c r="L66" s="22">
        <f t="shared" si="2"/>
        <v>0.433333333348855</v>
      </c>
      <c r="M66" s="22" cm="1">
        <f ca="1" t="array" ref="M66">SUMPRODUCT(--(WEEKDAY(ROW(INDIRECT(INT(F66)&amp;":"&amp;INT(I66))),2)&gt;5))</f>
        <v>0</v>
      </c>
      <c r="N66" s="22">
        <f ca="1" t="shared" si="3"/>
        <v>0.433333333348855</v>
      </c>
      <c r="O66" s="22" t="str">
        <f ca="1" t="shared" si="4"/>
        <v>Within SLA</v>
      </c>
      <c r="P66" s="26" t="s">
        <v>314</v>
      </c>
      <c r="Q66" s="24" t="s">
        <v>37</v>
      </c>
      <c r="R66" s="25"/>
      <c r="S66" s="25"/>
    </row>
    <row r="67" ht="39" customHeight="1" spans="1:20">
      <c r="A67" s="19" t="s">
        <v>318</v>
      </c>
      <c r="B67" s="20" t="s">
        <v>19</v>
      </c>
      <c r="C67" s="20" t="s">
        <v>20</v>
      </c>
      <c r="D67" s="20" t="s">
        <v>32</v>
      </c>
      <c r="E67" s="21" t="s">
        <v>319</v>
      </c>
      <c r="F67" s="21" t="s">
        <v>320</v>
      </c>
      <c r="G67" s="20" t="s">
        <v>35</v>
      </c>
      <c r="H67" s="20" t="s">
        <v>25</v>
      </c>
      <c r="I67" s="21" t="s">
        <v>321</v>
      </c>
      <c r="J67" s="22">
        <f t="shared" ref="J67:J130" si="5">F67-I67</f>
        <v>7.31319444444671</v>
      </c>
      <c r="K67" s="22">
        <f t="shared" ref="K67:K130" si="6">J67*24</f>
        <v>175.516666666721</v>
      </c>
      <c r="L67" s="22">
        <f t="shared" ref="L67:L130" si="7">IF(_xlfn.DAYS(F67,I67)&gt;0,K67-IF(FLOOR(J67,1)=0,1,_xlfn.DAYS(F67,I67))*16,K67)</f>
        <v>63.516666666721</v>
      </c>
      <c r="M67" s="22" cm="1">
        <f ca="1" t="array" ref="M67">SUMPRODUCT(--(WEEKDAY(ROW(INDIRECT(INT(F67)&amp;":"&amp;INT(I67))),2)&gt;5))</f>
        <v>2</v>
      </c>
      <c r="N67" s="22">
        <f ca="1" t="shared" ref="N67:N130" si="8">IF(IF(M67&gt;0,L67-M67*8,L67)&lt;0,0,IF(M67&gt;0,L67-M67*8,L67))</f>
        <v>47.516666666721</v>
      </c>
      <c r="O67" s="22" t="str">
        <f ca="1" t="shared" ref="O67:O130" si="9">IF(OR(AND(D67="P1",N67&lt;=3),AND(D67="P2",N67&lt;=6),AND(D67="P3",N67&lt;=9),AND(D67="P4",N67&lt;=12)),"Within SLA","SLA Violated")</f>
        <v>SLA Violated</v>
      </c>
      <c r="P67" s="23" t="s">
        <v>322</v>
      </c>
      <c r="Q67" s="24" t="s">
        <v>28</v>
      </c>
      <c r="R67" s="25"/>
      <c r="S67" s="25"/>
    </row>
    <row r="68" ht="27" customHeight="1" spans="1:20">
      <c r="A68" s="19" t="s">
        <v>323</v>
      </c>
      <c r="B68" s="20" t="s">
        <v>121</v>
      </c>
      <c r="C68" s="20" t="s">
        <v>46</v>
      </c>
      <c r="D68" s="20" t="s">
        <v>32</v>
      </c>
      <c r="E68" s="21" t="s">
        <v>324</v>
      </c>
      <c r="F68" s="21" t="s">
        <v>325</v>
      </c>
      <c r="G68" s="20" t="s">
        <v>35</v>
      </c>
      <c r="H68" s="20" t="s">
        <v>25</v>
      </c>
      <c r="I68" s="21" t="s">
        <v>326</v>
      </c>
      <c r="J68" s="22">
        <f t="shared" si="5"/>
        <v>0.000694444446708076</v>
      </c>
      <c r="K68" s="22">
        <f t="shared" si="6"/>
        <v>0.0166666667209938</v>
      </c>
      <c r="L68" s="22">
        <f t="shared" si="7"/>
        <v>0.0166666667209938</v>
      </c>
      <c r="M68" s="22" cm="1">
        <f ca="1" t="array" ref="M68">SUMPRODUCT(--(WEEKDAY(ROW(INDIRECT(INT(F68)&amp;":"&amp;INT(I68))),2)&gt;5))</f>
        <v>0</v>
      </c>
      <c r="N68" s="22">
        <f ca="1" t="shared" si="8"/>
        <v>0.0166666667209938</v>
      </c>
      <c r="O68" s="22" t="str">
        <f ca="1" t="shared" si="9"/>
        <v>Within SLA</v>
      </c>
      <c r="P68" s="26" t="s">
        <v>323</v>
      </c>
      <c r="Q68" s="24" t="s">
        <v>37</v>
      </c>
      <c r="R68" s="25"/>
      <c r="S68" s="25"/>
    </row>
    <row r="69" ht="39" customHeight="1" spans="1:20">
      <c r="A69" s="19" t="s">
        <v>327</v>
      </c>
      <c r="B69" s="20" t="s">
        <v>19</v>
      </c>
      <c r="C69" s="20" t="s">
        <v>20</v>
      </c>
      <c r="D69" s="20" t="s">
        <v>32</v>
      </c>
      <c r="E69" s="21" t="s">
        <v>328</v>
      </c>
      <c r="F69" s="21" t="s">
        <v>329</v>
      </c>
      <c r="G69" s="20" t="s">
        <v>35</v>
      </c>
      <c r="H69" s="20" t="s">
        <v>25</v>
      </c>
      <c r="I69" s="21" t="s">
        <v>330</v>
      </c>
      <c r="J69" s="22">
        <f t="shared" si="5"/>
        <v>7.0576388888876</v>
      </c>
      <c r="K69" s="22">
        <f t="shared" si="6"/>
        <v>169.383333333302</v>
      </c>
      <c r="L69" s="22">
        <f t="shared" si="7"/>
        <v>57.3833333333023</v>
      </c>
      <c r="M69" s="22" cm="1">
        <f ca="1" t="array" ref="M69">SUMPRODUCT(--(WEEKDAY(ROW(INDIRECT(INT(F69)&amp;":"&amp;INT(I69))),2)&gt;5))</f>
        <v>2</v>
      </c>
      <c r="N69" s="22">
        <f ca="1" t="shared" si="8"/>
        <v>41.3833333333023</v>
      </c>
      <c r="O69" s="22" t="str">
        <f ca="1" t="shared" si="9"/>
        <v>SLA Violated</v>
      </c>
      <c r="P69" s="23" t="s">
        <v>331</v>
      </c>
      <c r="Q69" s="24" t="s">
        <v>28</v>
      </c>
      <c r="R69" s="25"/>
      <c r="S69" s="25"/>
    </row>
    <row r="70" ht="27" customHeight="1" spans="1:20">
      <c r="A70" s="19" t="s">
        <v>332</v>
      </c>
      <c r="B70" s="20" t="s">
        <v>30</v>
      </c>
      <c r="C70" s="20" t="s">
        <v>67</v>
      </c>
      <c r="D70" s="20" t="s">
        <v>32</v>
      </c>
      <c r="E70" s="21" t="s">
        <v>333</v>
      </c>
      <c r="F70" s="21" t="s">
        <v>334</v>
      </c>
      <c r="G70" s="20" t="s">
        <v>35</v>
      </c>
      <c r="H70" s="20" t="s">
        <v>25</v>
      </c>
      <c r="I70" s="21" t="s">
        <v>335</v>
      </c>
      <c r="J70" s="22">
        <f t="shared" si="5"/>
        <v>1.05416666666861</v>
      </c>
      <c r="K70" s="22">
        <f t="shared" si="6"/>
        <v>25.3000000000466</v>
      </c>
      <c r="L70" s="22">
        <f t="shared" si="7"/>
        <v>9.30000000004657</v>
      </c>
      <c r="M70" s="22" cm="1">
        <f ca="1" t="array" ref="M70">SUMPRODUCT(--(WEEKDAY(ROW(INDIRECT(INT(F70)&amp;":"&amp;INT(I70))),2)&gt;5))</f>
        <v>0</v>
      </c>
      <c r="N70" s="22">
        <f ca="1" t="shared" si="8"/>
        <v>9.30000000004657</v>
      </c>
      <c r="O70" s="22" t="str">
        <f ca="1" t="shared" si="9"/>
        <v>Within SLA</v>
      </c>
      <c r="P70" s="26" t="s">
        <v>332</v>
      </c>
      <c r="Q70" s="24" t="s">
        <v>37</v>
      </c>
      <c r="R70" s="25"/>
      <c r="S70" s="25"/>
    </row>
    <row r="71" ht="39" customHeight="1" spans="1:20">
      <c r="A71" s="19" t="s">
        <v>336</v>
      </c>
      <c r="B71" s="20" t="s">
        <v>19</v>
      </c>
      <c r="C71" s="20" t="s">
        <v>20</v>
      </c>
      <c r="D71" s="20" t="s">
        <v>32</v>
      </c>
      <c r="E71" s="21" t="s">
        <v>337</v>
      </c>
      <c r="F71" s="21" t="s">
        <v>338</v>
      </c>
      <c r="G71" s="20" t="s">
        <v>35</v>
      </c>
      <c r="H71" s="20" t="s">
        <v>25</v>
      </c>
      <c r="I71" s="21" t="s">
        <v>330</v>
      </c>
      <c r="J71" s="22">
        <f t="shared" si="5"/>
        <v>40.1805555555547</v>
      </c>
      <c r="K71" s="22">
        <f t="shared" si="6"/>
        <v>964.333333333314</v>
      </c>
      <c r="L71" s="22">
        <f t="shared" si="7"/>
        <v>324.333333333314</v>
      </c>
      <c r="M71" s="22" cm="1">
        <f ca="1" t="array" ref="M71">SUMPRODUCT(--(WEEKDAY(ROW(INDIRECT(INT(F71)&amp;":"&amp;INT(I71))),2)&gt;5))</f>
        <v>12</v>
      </c>
      <c r="N71" s="22">
        <f ca="1" t="shared" si="8"/>
        <v>228.333333333314</v>
      </c>
      <c r="O71" s="22" t="str">
        <f ca="1" t="shared" si="9"/>
        <v>SLA Violated</v>
      </c>
      <c r="P71" s="23" t="s">
        <v>339</v>
      </c>
      <c r="Q71" s="24" t="s">
        <v>28</v>
      </c>
      <c r="R71" s="25"/>
      <c r="S71" s="25"/>
    </row>
    <row r="72" ht="27" customHeight="1" spans="1:20">
      <c r="A72" s="19" t="s">
        <v>340</v>
      </c>
      <c r="B72" s="20" t="s">
        <v>30</v>
      </c>
      <c r="C72" s="20" t="s">
        <v>31</v>
      </c>
      <c r="D72" s="20" t="s">
        <v>32</v>
      </c>
      <c r="E72" s="21" t="s">
        <v>341</v>
      </c>
      <c r="F72" s="21" t="s">
        <v>342</v>
      </c>
      <c r="G72" s="20" t="s">
        <v>35</v>
      </c>
      <c r="H72" s="20" t="s">
        <v>25</v>
      </c>
      <c r="I72" s="21" t="s">
        <v>343</v>
      </c>
      <c r="J72" s="22">
        <f t="shared" si="5"/>
        <v>0.015972222223354</v>
      </c>
      <c r="K72" s="22">
        <f t="shared" si="6"/>
        <v>0.383333333360497</v>
      </c>
      <c r="L72" s="22">
        <f t="shared" si="7"/>
        <v>0.383333333360497</v>
      </c>
      <c r="M72" s="22" cm="1">
        <f ca="1" t="array" ref="M72">SUMPRODUCT(--(WEEKDAY(ROW(INDIRECT(INT(F72)&amp;":"&amp;INT(I72))),2)&gt;5))</f>
        <v>0</v>
      </c>
      <c r="N72" s="22">
        <f ca="1" t="shared" si="8"/>
        <v>0.383333333360497</v>
      </c>
      <c r="O72" s="22" t="str">
        <f ca="1" t="shared" si="9"/>
        <v>Within SLA</v>
      </c>
      <c r="P72" s="26" t="s">
        <v>340</v>
      </c>
      <c r="Q72" s="24" t="s">
        <v>37</v>
      </c>
      <c r="R72" s="25"/>
      <c r="S72" s="25"/>
    </row>
    <row r="73" ht="39" customHeight="1" spans="1:20">
      <c r="A73" s="19" t="s">
        <v>344</v>
      </c>
      <c r="B73" s="20" t="s">
        <v>19</v>
      </c>
      <c r="C73" s="20" t="s">
        <v>20</v>
      </c>
      <c r="D73" s="20" t="s">
        <v>32</v>
      </c>
      <c r="E73" s="21" t="s">
        <v>345</v>
      </c>
      <c r="F73" s="21" t="s">
        <v>346</v>
      </c>
      <c r="G73" s="20" t="s">
        <v>35</v>
      </c>
      <c r="H73" s="20" t="s">
        <v>25</v>
      </c>
      <c r="I73" s="21" t="s">
        <v>347</v>
      </c>
      <c r="J73" s="22">
        <f t="shared" si="5"/>
        <v>7.03333333333285</v>
      </c>
      <c r="K73" s="22">
        <f t="shared" si="6"/>
        <v>168.799999999988</v>
      </c>
      <c r="L73" s="22">
        <f t="shared" si="7"/>
        <v>56.7999999999884</v>
      </c>
      <c r="M73" s="22" cm="1">
        <f ca="1" t="array" ref="M73">SUMPRODUCT(--(WEEKDAY(ROW(INDIRECT(INT(F73)&amp;":"&amp;INT(I73))),2)&gt;5))</f>
        <v>2</v>
      </c>
      <c r="N73" s="22">
        <f ca="1" t="shared" si="8"/>
        <v>40.7999999999884</v>
      </c>
      <c r="O73" s="22" t="str">
        <f ca="1" t="shared" si="9"/>
        <v>SLA Violated</v>
      </c>
      <c r="P73" s="23" t="s">
        <v>348</v>
      </c>
      <c r="Q73" s="24" t="s">
        <v>28</v>
      </c>
      <c r="R73" s="25"/>
      <c r="S73" s="25"/>
    </row>
    <row r="74" ht="39" customHeight="1" spans="1:20">
      <c r="A74" s="19" t="s">
        <v>349</v>
      </c>
      <c r="B74" s="20" t="s">
        <v>19</v>
      </c>
      <c r="C74" s="20" t="s">
        <v>20</v>
      </c>
      <c r="D74" s="20" t="s">
        <v>32</v>
      </c>
      <c r="E74" s="21" t="s">
        <v>350</v>
      </c>
      <c r="F74" s="21" t="s">
        <v>351</v>
      </c>
      <c r="G74" s="20" t="s">
        <v>35</v>
      </c>
      <c r="H74" s="20" t="s">
        <v>25</v>
      </c>
      <c r="I74" s="21" t="s">
        <v>352</v>
      </c>
      <c r="J74" s="22">
        <f t="shared" si="5"/>
        <v>3.32986111110949</v>
      </c>
      <c r="K74" s="22">
        <f t="shared" si="6"/>
        <v>79.9166666666279</v>
      </c>
      <c r="L74" s="22">
        <f t="shared" si="7"/>
        <v>31.9166666666279</v>
      </c>
      <c r="M74" s="22" cm="1">
        <f ca="1" t="array" ref="M74">SUMPRODUCT(--(WEEKDAY(ROW(INDIRECT(INT(F74)&amp;":"&amp;INT(I74))),2)&gt;5))</f>
        <v>2</v>
      </c>
      <c r="N74" s="22">
        <f ca="1" t="shared" si="8"/>
        <v>15.9166666666279</v>
      </c>
      <c r="O74" s="22" t="str">
        <f ca="1" t="shared" si="9"/>
        <v>SLA Violated</v>
      </c>
      <c r="P74" s="23" t="s">
        <v>353</v>
      </c>
      <c r="Q74" s="24" t="s">
        <v>28</v>
      </c>
      <c r="R74" s="25"/>
      <c r="S74" s="25"/>
    </row>
    <row r="75" ht="39" customHeight="1" spans="1:20">
      <c r="A75" s="19" t="s">
        <v>354</v>
      </c>
      <c r="B75" s="20" t="s">
        <v>19</v>
      </c>
      <c r="C75" s="20" t="s">
        <v>20</v>
      </c>
      <c r="D75" s="20" t="s">
        <v>32</v>
      </c>
      <c r="E75" s="21" t="s">
        <v>132</v>
      </c>
      <c r="F75" s="21" t="s">
        <v>355</v>
      </c>
      <c r="G75" s="20" t="s">
        <v>35</v>
      </c>
      <c r="H75" s="20" t="s">
        <v>25</v>
      </c>
      <c r="I75" s="21" t="s">
        <v>352</v>
      </c>
      <c r="J75" s="22">
        <f t="shared" si="5"/>
        <v>28.1152777777825</v>
      </c>
      <c r="K75" s="22">
        <f t="shared" si="6"/>
        <v>674.766666666779</v>
      </c>
      <c r="L75" s="22">
        <f t="shared" si="7"/>
        <v>226.766666666779</v>
      </c>
      <c r="M75" s="22" cm="1">
        <f ca="1" t="array" ref="M75">SUMPRODUCT(--(WEEKDAY(ROW(INDIRECT(INT(F75)&amp;":"&amp;INT(I75))),2)&gt;5))</f>
        <v>8</v>
      </c>
      <c r="N75" s="22">
        <f ca="1" t="shared" si="8"/>
        <v>162.766666666779</v>
      </c>
      <c r="O75" s="22" t="str">
        <f ca="1" t="shared" si="9"/>
        <v>SLA Violated</v>
      </c>
      <c r="P75" s="23" t="s">
        <v>356</v>
      </c>
      <c r="Q75" s="24" t="s">
        <v>28</v>
      </c>
      <c r="R75" s="25"/>
      <c r="S75" s="25"/>
    </row>
    <row r="76" ht="27" customHeight="1" spans="1:20">
      <c r="A76" s="28" t="s">
        <v>357</v>
      </c>
      <c r="B76" s="20" t="s">
        <v>30</v>
      </c>
      <c r="C76" s="20" t="s">
        <v>46</v>
      </c>
      <c r="D76" s="20" t="s">
        <v>32</v>
      </c>
      <c r="E76" s="21" t="s">
        <v>234</v>
      </c>
      <c r="F76" s="21" t="s">
        <v>358</v>
      </c>
      <c r="G76" s="20" t="s">
        <v>35</v>
      </c>
      <c r="H76" s="20" t="s">
        <v>25</v>
      </c>
      <c r="I76" s="21" t="s">
        <v>359</v>
      </c>
      <c r="J76" s="22">
        <f t="shared" si="5"/>
        <v>13.5201388888891</v>
      </c>
      <c r="K76" s="22">
        <f t="shared" si="6"/>
        <v>324.483333333337</v>
      </c>
      <c r="L76" s="22">
        <f t="shared" si="7"/>
        <v>116.483333333337</v>
      </c>
      <c r="M76" s="22" cm="1">
        <f ca="1" t="array" ref="M76">SUMPRODUCT(--(WEEKDAY(ROW(INDIRECT(INT(F76)&amp;":"&amp;INT(I76))),2)&gt;5))</f>
        <v>4</v>
      </c>
      <c r="N76" s="22">
        <f ca="1" t="shared" si="8"/>
        <v>84.483333333337</v>
      </c>
      <c r="O76" s="22" t="str">
        <f ca="1" t="shared" si="9"/>
        <v>SLA Violated</v>
      </c>
      <c r="P76" s="23" t="s">
        <v>357</v>
      </c>
      <c r="Q76" s="24" t="s">
        <v>28</v>
      </c>
      <c r="R76" s="25"/>
      <c r="S76" s="25"/>
      <c r="T76" s="27"/>
    </row>
    <row r="77" ht="27" customHeight="1" spans="1:20">
      <c r="A77" s="19" t="s">
        <v>360</v>
      </c>
      <c r="B77" s="20" t="s">
        <v>30</v>
      </c>
      <c r="C77" s="20" t="s">
        <v>31</v>
      </c>
      <c r="D77" s="20" t="s">
        <v>32</v>
      </c>
      <c r="E77" s="21" t="s">
        <v>361</v>
      </c>
      <c r="F77" s="21" t="s">
        <v>362</v>
      </c>
      <c r="G77" s="20" t="s">
        <v>35</v>
      </c>
      <c r="H77" s="20" t="s">
        <v>25</v>
      </c>
      <c r="I77" s="21" t="s">
        <v>363</v>
      </c>
      <c r="J77" s="22">
        <f t="shared" si="5"/>
        <v>0.188194444439432</v>
      </c>
      <c r="K77" s="22">
        <f t="shared" si="6"/>
        <v>4.51666666654637</v>
      </c>
      <c r="L77" s="22">
        <f t="shared" si="7"/>
        <v>4.51666666654637</v>
      </c>
      <c r="M77" s="22" cm="1">
        <f ca="1" t="array" ref="M77">SUMPRODUCT(--(WEEKDAY(ROW(INDIRECT(INT(F77)&amp;":"&amp;INT(I77))),2)&gt;5))</f>
        <v>0</v>
      </c>
      <c r="N77" s="22">
        <f ca="1" t="shared" si="8"/>
        <v>4.51666666654637</v>
      </c>
      <c r="O77" s="22" t="str">
        <f ca="1" t="shared" si="9"/>
        <v>Within SLA</v>
      </c>
      <c r="P77" s="26" t="s">
        <v>360</v>
      </c>
      <c r="Q77" s="24" t="s">
        <v>37</v>
      </c>
      <c r="R77" s="25"/>
      <c r="S77" s="25"/>
    </row>
    <row r="78" ht="39" customHeight="1" spans="1:20">
      <c r="A78" s="19" t="s">
        <v>364</v>
      </c>
      <c r="B78" s="20" t="s">
        <v>19</v>
      </c>
      <c r="C78" s="20" t="s">
        <v>20</v>
      </c>
      <c r="D78" s="20" t="s">
        <v>32</v>
      </c>
      <c r="E78" s="21" t="s">
        <v>365</v>
      </c>
      <c r="F78" s="21" t="s">
        <v>366</v>
      </c>
      <c r="G78" s="20" t="s">
        <v>35</v>
      </c>
      <c r="H78" s="20" t="s">
        <v>25</v>
      </c>
      <c r="I78" s="21" t="s">
        <v>367</v>
      </c>
      <c r="J78" s="22">
        <f t="shared" si="5"/>
        <v>0.0194444444423425</v>
      </c>
      <c r="K78" s="22">
        <f t="shared" si="6"/>
        <v>0.46666666661622</v>
      </c>
      <c r="L78" s="22">
        <f t="shared" si="7"/>
        <v>0.46666666661622</v>
      </c>
      <c r="M78" s="22" cm="1">
        <f ca="1" t="array" ref="M78">SUMPRODUCT(--(WEEKDAY(ROW(INDIRECT(INT(F78)&amp;":"&amp;INT(I78))),2)&gt;5))</f>
        <v>0</v>
      </c>
      <c r="N78" s="22">
        <f ca="1" t="shared" si="8"/>
        <v>0.46666666661622</v>
      </c>
      <c r="O78" s="22" t="str">
        <f ca="1" t="shared" si="9"/>
        <v>Within SLA</v>
      </c>
      <c r="P78" s="26" t="s">
        <v>364</v>
      </c>
      <c r="Q78" s="24" t="s">
        <v>37</v>
      </c>
      <c r="R78" s="25"/>
      <c r="S78" s="25"/>
    </row>
    <row r="79" ht="50" customHeight="1" spans="1:20">
      <c r="A79" s="19" t="s">
        <v>368</v>
      </c>
      <c r="B79" s="20" t="s">
        <v>369</v>
      </c>
      <c r="C79" s="20" t="s">
        <v>46</v>
      </c>
      <c r="D79" s="20" t="s">
        <v>32</v>
      </c>
      <c r="E79" s="21" t="s">
        <v>370</v>
      </c>
      <c r="F79" s="21" t="s">
        <v>371</v>
      </c>
      <c r="G79" s="20" t="s">
        <v>35</v>
      </c>
      <c r="H79" s="20" t="s">
        <v>25</v>
      </c>
      <c r="I79" s="21" t="s">
        <v>372</v>
      </c>
      <c r="J79" s="22">
        <f t="shared" si="5"/>
        <v>0.0902777777810115</v>
      </c>
      <c r="K79" s="22">
        <f t="shared" si="6"/>
        <v>2.16666666674428</v>
      </c>
      <c r="L79" s="22">
        <f t="shared" si="7"/>
        <v>2.16666666674428</v>
      </c>
      <c r="M79" s="22" cm="1">
        <f ca="1" t="array" ref="M79">SUMPRODUCT(--(WEEKDAY(ROW(INDIRECT(INT(F79)&amp;":"&amp;INT(I79))),2)&gt;5))</f>
        <v>0</v>
      </c>
      <c r="N79" s="22">
        <f ca="1" t="shared" si="8"/>
        <v>2.16666666674428</v>
      </c>
      <c r="O79" s="22" t="str">
        <f ca="1" t="shared" si="9"/>
        <v>Within SLA</v>
      </c>
      <c r="P79" s="26" t="s">
        <v>368</v>
      </c>
      <c r="Q79" s="24" t="s">
        <v>37</v>
      </c>
      <c r="R79" s="25"/>
      <c r="S79" s="25"/>
    </row>
    <row r="80" ht="39" customHeight="1" spans="1:20">
      <c r="A80" s="19" t="s">
        <v>373</v>
      </c>
      <c r="B80" s="20" t="s">
        <v>19</v>
      </c>
      <c r="C80" s="20" t="s">
        <v>167</v>
      </c>
      <c r="D80" s="20" t="s">
        <v>32</v>
      </c>
      <c r="E80" s="21" t="s">
        <v>374</v>
      </c>
      <c r="F80" s="21" t="s">
        <v>375</v>
      </c>
      <c r="G80" s="20" t="s">
        <v>35</v>
      </c>
      <c r="H80" s="20" t="s">
        <v>25</v>
      </c>
      <c r="I80" s="21" t="s">
        <v>170</v>
      </c>
      <c r="J80" s="22">
        <f t="shared" si="5"/>
        <v>0.0597222222204437</v>
      </c>
      <c r="K80" s="22">
        <f t="shared" si="6"/>
        <v>1.43333333329065</v>
      </c>
      <c r="L80" s="22">
        <f t="shared" si="7"/>
        <v>1.43333333329065</v>
      </c>
      <c r="M80" s="22" cm="1">
        <f ca="1" t="array" ref="M80">SUMPRODUCT(--(WEEKDAY(ROW(INDIRECT(INT(F80)&amp;":"&amp;INT(I80))),2)&gt;5))</f>
        <v>0</v>
      </c>
      <c r="N80" s="22">
        <f ca="1" t="shared" si="8"/>
        <v>1.43333333329065</v>
      </c>
      <c r="O80" s="22" t="str">
        <f ca="1" t="shared" si="9"/>
        <v>Within SLA</v>
      </c>
      <c r="P80" s="26" t="s">
        <v>373</v>
      </c>
      <c r="Q80" s="24" t="s">
        <v>37</v>
      </c>
      <c r="R80" s="25"/>
      <c r="S80" s="25"/>
    </row>
    <row r="81" ht="27" customHeight="1" spans="1:20">
      <c r="A81" s="19" t="s">
        <v>376</v>
      </c>
      <c r="B81" s="20" t="s">
        <v>30</v>
      </c>
      <c r="C81" s="20" t="s">
        <v>31</v>
      </c>
      <c r="D81" s="20" t="s">
        <v>32</v>
      </c>
      <c r="E81" s="21" t="s">
        <v>377</v>
      </c>
      <c r="F81" s="21" t="s">
        <v>378</v>
      </c>
      <c r="G81" s="20" t="s">
        <v>35</v>
      </c>
      <c r="H81" s="20" t="s">
        <v>25</v>
      </c>
      <c r="I81" s="21" t="s">
        <v>379</v>
      </c>
      <c r="J81" s="22">
        <f t="shared" si="5"/>
        <v>0.054861111108039</v>
      </c>
      <c r="K81" s="22">
        <f t="shared" si="6"/>
        <v>1.31666666659294</v>
      </c>
      <c r="L81" s="22">
        <f t="shared" si="7"/>
        <v>1.31666666659294</v>
      </c>
      <c r="M81" s="22" cm="1">
        <f ca="1" t="array" ref="M81">SUMPRODUCT(--(WEEKDAY(ROW(INDIRECT(INT(F81)&amp;":"&amp;INT(I81))),2)&gt;5))</f>
        <v>0</v>
      </c>
      <c r="N81" s="22">
        <f ca="1" t="shared" si="8"/>
        <v>1.31666666659294</v>
      </c>
      <c r="O81" s="22" t="str">
        <f ca="1" t="shared" si="9"/>
        <v>Within SLA</v>
      </c>
      <c r="P81" s="26" t="s">
        <v>376</v>
      </c>
      <c r="Q81" s="24" t="s">
        <v>37</v>
      </c>
      <c r="R81" s="25"/>
      <c r="S81" s="25"/>
    </row>
    <row r="82" ht="39" customHeight="1" spans="1:20">
      <c r="A82" s="19" t="s">
        <v>380</v>
      </c>
      <c r="B82" s="20" t="s">
        <v>19</v>
      </c>
      <c r="C82" s="20" t="s">
        <v>20</v>
      </c>
      <c r="D82" s="20" t="s">
        <v>32</v>
      </c>
      <c r="E82" s="21" t="s">
        <v>381</v>
      </c>
      <c r="F82" s="21" t="s">
        <v>382</v>
      </c>
      <c r="G82" s="20" t="s">
        <v>24</v>
      </c>
      <c r="H82" s="20" t="s">
        <v>25</v>
      </c>
      <c r="I82" s="21" t="s">
        <v>383</v>
      </c>
      <c r="J82" s="22">
        <f t="shared" si="5"/>
        <v>40.9465277777781</v>
      </c>
      <c r="K82" s="22">
        <f t="shared" si="6"/>
        <v>982.716666666674</v>
      </c>
      <c r="L82" s="22">
        <f t="shared" si="7"/>
        <v>326.716666666674</v>
      </c>
      <c r="M82" s="22" cm="1">
        <f ca="1" t="array" ref="M82">SUMPRODUCT(--(WEEKDAY(ROW(INDIRECT(INT(F82)&amp;":"&amp;INT(I82))),2)&gt;5))</f>
        <v>12</v>
      </c>
      <c r="N82" s="22">
        <f ca="1" t="shared" si="8"/>
        <v>230.716666666674</v>
      </c>
      <c r="O82" s="22" t="str">
        <f ca="1" t="shared" si="9"/>
        <v>SLA Violated</v>
      </c>
      <c r="P82" s="23" t="s">
        <v>384</v>
      </c>
      <c r="Q82" s="24" t="s">
        <v>37</v>
      </c>
      <c r="R82" s="25" t="s">
        <v>38</v>
      </c>
      <c r="S82" s="25" t="s">
        <v>39</v>
      </c>
    </row>
    <row r="83" ht="39" customHeight="1" spans="1:20">
      <c r="A83" s="19" t="s">
        <v>385</v>
      </c>
      <c r="B83" s="20" t="s">
        <v>19</v>
      </c>
      <c r="C83" s="20" t="s">
        <v>20</v>
      </c>
      <c r="D83" s="20" t="s">
        <v>32</v>
      </c>
      <c r="E83" s="21" t="s">
        <v>386</v>
      </c>
      <c r="F83" s="21" t="s">
        <v>387</v>
      </c>
      <c r="G83" s="20" t="s">
        <v>35</v>
      </c>
      <c r="H83" s="20" t="s">
        <v>25</v>
      </c>
      <c r="I83" s="21" t="s">
        <v>388</v>
      </c>
      <c r="J83" s="22">
        <f t="shared" si="5"/>
        <v>0.022916666661331</v>
      </c>
      <c r="K83" s="22">
        <f t="shared" si="6"/>
        <v>0.549999999871943</v>
      </c>
      <c r="L83" s="22">
        <f t="shared" si="7"/>
        <v>0.549999999871943</v>
      </c>
      <c r="M83" s="22" cm="1">
        <f ca="1" t="array" ref="M83">SUMPRODUCT(--(WEEKDAY(ROW(INDIRECT(INT(F83)&amp;":"&amp;INT(I83))),2)&gt;5))</f>
        <v>0</v>
      </c>
      <c r="N83" s="22">
        <f ca="1" t="shared" si="8"/>
        <v>0.549999999871943</v>
      </c>
      <c r="O83" s="22" t="str">
        <f ca="1" t="shared" si="9"/>
        <v>Within SLA</v>
      </c>
      <c r="P83" s="26" t="s">
        <v>385</v>
      </c>
      <c r="Q83" s="24" t="s">
        <v>37</v>
      </c>
      <c r="R83" s="25"/>
      <c r="S83" s="25"/>
    </row>
    <row r="84" ht="39" customHeight="1" spans="1:20">
      <c r="A84" s="19" t="s">
        <v>389</v>
      </c>
      <c r="B84" s="20" t="s">
        <v>19</v>
      </c>
      <c r="C84" s="20" t="s">
        <v>20</v>
      </c>
      <c r="D84" s="20" t="s">
        <v>32</v>
      </c>
      <c r="E84" s="21" t="s">
        <v>390</v>
      </c>
      <c r="F84" s="21" t="s">
        <v>391</v>
      </c>
      <c r="G84" s="20" t="s">
        <v>35</v>
      </c>
      <c r="H84" s="20" t="s">
        <v>25</v>
      </c>
      <c r="I84" s="21" t="s">
        <v>392</v>
      </c>
      <c r="J84" s="22">
        <f t="shared" si="5"/>
        <v>40.0291666666672</v>
      </c>
      <c r="K84" s="22">
        <f t="shared" si="6"/>
        <v>960.700000000012</v>
      </c>
      <c r="L84" s="22">
        <f t="shared" si="7"/>
        <v>320.700000000012</v>
      </c>
      <c r="M84" s="22" cm="1">
        <f ca="1" t="array" ref="M84">SUMPRODUCT(--(WEEKDAY(ROW(INDIRECT(INT(F84)&amp;":"&amp;INT(I84))),2)&gt;5))</f>
        <v>12</v>
      </c>
      <c r="N84" s="22">
        <f ca="1" t="shared" si="8"/>
        <v>224.700000000012</v>
      </c>
      <c r="O84" s="22" t="str">
        <f ca="1" t="shared" si="9"/>
        <v>SLA Violated</v>
      </c>
      <c r="P84" s="23" t="s">
        <v>393</v>
      </c>
      <c r="Q84" s="24" t="s">
        <v>28</v>
      </c>
      <c r="R84" s="25"/>
      <c r="S84" s="25"/>
    </row>
    <row r="85" ht="39" customHeight="1" spans="1:20">
      <c r="A85" s="19" t="s">
        <v>394</v>
      </c>
      <c r="B85" s="20" t="s">
        <v>19</v>
      </c>
      <c r="C85" s="20" t="s">
        <v>20</v>
      </c>
      <c r="D85" s="20" t="s">
        <v>115</v>
      </c>
      <c r="E85" s="21" t="s">
        <v>390</v>
      </c>
      <c r="F85" s="21" t="s">
        <v>395</v>
      </c>
      <c r="G85" s="20" t="s">
        <v>35</v>
      </c>
      <c r="H85" s="20" t="s">
        <v>25</v>
      </c>
      <c r="I85" s="21" t="s">
        <v>396</v>
      </c>
      <c r="J85" s="22">
        <f t="shared" si="5"/>
        <v>28.0284722222277</v>
      </c>
      <c r="K85" s="22">
        <f t="shared" si="6"/>
        <v>672.683333333465</v>
      </c>
      <c r="L85" s="22">
        <f t="shared" si="7"/>
        <v>224.683333333465</v>
      </c>
      <c r="M85" s="22" cm="1">
        <f ca="1" t="array" ref="M85">SUMPRODUCT(--(WEEKDAY(ROW(INDIRECT(INT(F85)&amp;":"&amp;INT(I85))),2)&gt;5))</f>
        <v>8</v>
      </c>
      <c r="N85" s="22">
        <f ca="1" t="shared" si="8"/>
        <v>160.683333333465</v>
      </c>
      <c r="O85" s="22" t="str">
        <f ca="1" t="shared" si="9"/>
        <v>SLA Violated</v>
      </c>
      <c r="P85" s="23" t="s">
        <v>397</v>
      </c>
      <c r="Q85" s="24" t="s">
        <v>28</v>
      </c>
      <c r="R85" s="25"/>
      <c r="S85" s="25"/>
    </row>
    <row r="86" ht="27" customHeight="1" spans="1:20">
      <c r="A86" s="19" t="s">
        <v>398</v>
      </c>
      <c r="B86" s="20" t="s">
        <v>30</v>
      </c>
      <c r="C86" s="20" t="s">
        <v>67</v>
      </c>
      <c r="D86" s="20" t="s">
        <v>32</v>
      </c>
      <c r="E86" s="21" t="s">
        <v>399</v>
      </c>
      <c r="F86" s="21" t="s">
        <v>400</v>
      </c>
      <c r="G86" s="20" t="s">
        <v>35</v>
      </c>
      <c r="H86" s="20" t="s">
        <v>25</v>
      </c>
      <c r="I86" s="21" t="s">
        <v>401</v>
      </c>
      <c r="J86" s="22">
        <f t="shared" si="5"/>
        <v>4.06944444444525</v>
      </c>
      <c r="K86" s="22">
        <f t="shared" si="6"/>
        <v>97.6666666666861</v>
      </c>
      <c r="L86" s="22">
        <f t="shared" si="7"/>
        <v>33.6666666666861</v>
      </c>
      <c r="M86" s="22" cm="1">
        <f ca="1" t="array" ref="M86">SUMPRODUCT(--(WEEKDAY(ROW(INDIRECT(INT(F86)&amp;":"&amp;INT(I86))),2)&gt;5))</f>
        <v>2</v>
      </c>
      <c r="N86" s="22">
        <f ca="1" t="shared" si="8"/>
        <v>17.6666666666861</v>
      </c>
      <c r="O86" s="22" t="str">
        <f ca="1" t="shared" si="9"/>
        <v>SLA Violated</v>
      </c>
      <c r="P86" s="23" t="s">
        <v>402</v>
      </c>
      <c r="Q86" s="24" t="s">
        <v>28</v>
      </c>
      <c r="R86" s="25"/>
      <c r="S86" s="25"/>
      <c r="T86" s="27"/>
    </row>
    <row r="87" ht="39" customHeight="1" spans="1:20">
      <c r="A87" s="19" t="s">
        <v>403</v>
      </c>
      <c r="B87" s="20" t="s">
        <v>19</v>
      </c>
      <c r="C87" s="20" t="s">
        <v>20</v>
      </c>
      <c r="D87" s="20" t="s">
        <v>32</v>
      </c>
      <c r="E87" s="21" t="s">
        <v>404</v>
      </c>
      <c r="F87" s="21" t="s">
        <v>405</v>
      </c>
      <c r="G87" s="20" t="s">
        <v>35</v>
      </c>
      <c r="H87" s="20" t="s">
        <v>25</v>
      </c>
      <c r="I87" s="21" t="s">
        <v>406</v>
      </c>
      <c r="J87" s="22">
        <f t="shared" si="5"/>
        <v>28.0013888888934</v>
      </c>
      <c r="K87" s="22">
        <f t="shared" si="6"/>
        <v>672.033333333442</v>
      </c>
      <c r="L87" s="22">
        <f t="shared" si="7"/>
        <v>224.033333333442</v>
      </c>
      <c r="M87" s="22" cm="1">
        <f ca="1" t="array" ref="M87">SUMPRODUCT(--(WEEKDAY(ROW(INDIRECT(INT(F87)&amp;":"&amp;INT(I87))),2)&gt;5))</f>
        <v>8</v>
      </c>
      <c r="N87" s="22">
        <f ca="1" t="shared" si="8"/>
        <v>160.033333333442</v>
      </c>
      <c r="O87" s="22" t="str">
        <f ca="1" t="shared" si="9"/>
        <v>SLA Violated</v>
      </c>
      <c r="P87" s="23" t="s">
        <v>407</v>
      </c>
      <c r="Q87" s="24" t="s">
        <v>28</v>
      </c>
      <c r="R87" s="25"/>
      <c r="S87" s="25"/>
    </row>
    <row r="88" ht="39" customHeight="1" spans="1:20">
      <c r="A88" s="19" t="s">
        <v>408</v>
      </c>
      <c r="B88" s="20" t="s">
        <v>19</v>
      </c>
      <c r="C88" s="20" t="s">
        <v>20</v>
      </c>
      <c r="D88" s="20" t="s">
        <v>32</v>
      </c>
      <c r="E88" s="21" t="s">
        <v>409</v>
      </c>
      <c r="F88" s="21" t="s">
        <v>410</v>
      </c>
      <c r="G88" s="20" t="s">
        <v>35</v>
      </c>
      <c r="H88" s="20" t="s">
        <v>25</v>
      </c>
      <c r="I88" s="21" t="s">
        <v>411</v>
      </c>
      <c r="J88" s="22">
        <f t="shared" si="5"/>
        <v>35.9659722222204</v>
      </c>
      <c r="K88" s="22">
        <f t="shared" si="6"/>
        <v>863.183333333291</v>
      </c>
      <c r="L88" s="22">
        <f t="shared" si="7"/>
        <v>287.183333333291</v>
      </c>
      <c r="M88" s="22" cm="1">
        <f ca="1" t="array" ref="M88">SUMPRODUCT(--(WEEKDAY(ROW(INDIRECT(INT(F88)&amp;":"&amp;INT(I88))),2)&gt;5))</f>
        <v>10</v>
      </c>
      <c r="N88" s="22">
        <f ca="1" t="shared" si="8"/>
        <v>207.183333333291</v>
      </c>
      <c r="O88" s="22" t="str">
        <f ca="1" t="shared" si="9"/>
        <v>SLA Violated</v>
      </c>
      <c r="P88" s="23" t="s">
        <v>412</v>
      </c>
      <c r="Q88" s="24" t="s">
        <v>28</v>
      </c>
      <c r="R88" s="25"/>
      <c r="S88" s="25"/>
    </row>
    <row r="89" ht="39" customHeight="1" spans="1:20">
      <c r="A89" s="19" t="s">
        <v>413</v>
      </c>
      <c r="B89" s="20" t="s">
        <v>19</v>
      </c>
      <c r="C89" s="20" t="s">
        <v>20</v>
      </c>
      <c r="D89" s="20" t="s">
        <v>105</v>
      </c>
      <c r="E89" s="21" t="s">
        <v>414</v>
      </c>
      <c r="F89" s="21" t="s">
        <v>415</v>
      </c>
      <c r="G89" s="20" t="s">
        <v>35</v>
      </c>
      <c r="H89" s="20" t="s">
        <v>25</v>
      </c>
      <c r="I89" s="21" t="s">
        <v>416</v>
      </c>
      <c r="J89" s="22">
        <f t="shared" si="5"/>
        <v>0.00833333333866904</v>
      </c>
      <c r="K89" s="22">
        <f t="shared" si="6"/>
        <v>0.200000000128057</v>
      </c>
      <c r="L89" s="22">
        <f t="shared" si="7"/>
        <v>0.200000000128057</v>
      </c>
      <c r="M89" s="22" cm="1">
        <f ca="1" t="array" ref="M89">SUMPRODUCT(--(WEEKDAY(ROW(INDIRECT(INT(F89)&amp;":"&amp;INT(I89))),2)&gt;5))</f>
        <v>0</v>
      </c>
      <c r="N89" s="22">
        <f ca="1" t="shared" si="8"/>
        <v>0.200000000128057</v>
      </c>
      <c r="O89" s="22" t="str">
        <f ca="1" t="shared" si="9"/>
        <v>Within SLA</v>
      </c>
      <c r="P89" s="26" t="s">
        <v>413</v>
      </c>
      <c r="Q89" s="24" t="s">
        <v>37</v>
      </c>
      <c r="R89" s="25"/>
      <c r="S89" s="25"/>
    </row>
    <row r="90" ht="39" customHeight="1" spans="1:20">
      <c r="A90" s="19" t="s">
        <v>417</v>
      </c>
      <c r="B90" s="20" t="s">
        <v>19</v>
      </c>
      <c r="C90" s="20" t="s">
        <v>20</v>
      </c>
      <c r="D90" s="20" t="s">
        <v>32</v>
      </c>
      <c r="E90" s="21" t="s">
        <v>414</v>
      </c>
      <c r="F90" s="21" t="s">
        <v>418</v>
      </c>
      <c r="G90" s="20" t="s">
        <v>35</v>
      </c>
      <c r="H90" s="20" t="s">
        <v>25</v>
      </c>
      <c r="I90" s="21" t="s">
        <v>419</v>
      </c>
      <c r="J90" s="22">
        <f t="shared" si="5"/>
        <v>40.03125</v>
      </c>
      <c r="K90" s="22">
        <f t="shared" si="6"/>
        <v>960.75</v>
      </c>
      <c r="L90" s="22">
        <f t="shared" si="7"/>
        <v>320.75</v>
      </c>
      <c r="M90" s="22" cm="1">
        <f ca="1" t="array" ref="M90">SUMPRODUCT(--(WEEKDAY(ROW(INDIRECT(INT(F90)&amp;":"&amp;INT(I90))),2)&gt;5))</f>
        <v>12</v>
      </c>
      <c r="N90" s="22">
        <f ca="1" t="shared" si="8"/>
        <v>224.75</v>
      </c>
      <c r="O90" s="22" t="str">
        <f ca="1" t="shared" si="9"/>
        <v>SLA Violated</v>
      </c>
      <c r="P90" s="23" t="s">
        <v>420</v>
      </c>
      <c r="Q90" s="24" t="s">
        <v>28</v>
      </c>
      <c r="R90" s="25"/>
      <c r="S90" s="25"/>
    </row>
    <row r="91" ht="39" customHeight="1" spans="1:20">
      <c r="A91" s="19" t="s">
        <v>421</v>
      </c>
      <c r="B91" s="20" t="s">
        <v>19</v>
      </c>
      <c r="C91" s="20" t="s">
        <v>20</v>
      </c>
      <c r="D91" s="20" t="s">
        <v>32</v>
      </c>
      <c r="E91" s="21" t="s">
        <v>312</v>
      </c>
      <c r="F91" s="21" t="s">
        <v>422</v>
      </c>
      <c r="G91" s="20" t="s">
        <v>35</v>
      </c>
      <c r="H91" s="20" t="s">
        <v>25</v>
      </c>
      <c r="I91" s="21" t="s">
        <v>423</v>
      </c>
      <c r="J91" s="22">
        <f t="shared" si="5"/>
        <v>35.7541666666657</v>
      </c>
      <c r="K91" s="22">
        <f t="shared" si="6"/>
        <v>858.099999999977</v>
      </c>
      <c r="L91" s="22">
        <f t="shared" si="7"/>
        <v>282.099999999977</v>
      </c>
      <c r="M91" s="22" cm="1">
        <f ca="1" t="array" ref="M91">SUMPRODUCT(--(WEEKDAY(ROW(INDIRECT(INT(F91)&amp;":"&amp;INT(I91))),2)&gt;5))</f>
        <v>10</v>
      </c>
      <c r="N91" s="22">
        <f ca="1" t="shared" si="8"/>
        <v>202.099999999977</v>
      </c>
      <c r="O91" s="22" t="str">
        <f ca="1" t="shared" si="9"/>
        <v>SLA Violated</v>
      </c>
      <c r="P91" s="23" t="s">
        <v>424</v>
      </c>
      <c r="Q91" s="24" t="s">
        <v>28</v>
      </c>
      <c r="R91" s="25"/>
      <c r="S91" s="25"/>
    </row>
    <row r="92" ht="39" customHeight="1" spans="1:20">
      <c r="A92" s="19" t="s">
        <v>425</v>
      </c>
      <c r="B92" s="20" t="s">
        <v>19</v>
      </c>
      <c r="C92" s="20" t="s">
        <v>20</v>
      </c>
      <c r="D92" s="20" t="s">
        <v>21</v>
      </c>
      <c r="E92" s="21" t="s">
        <v>426</v>
      </c>
      <c r="F92" s="21" t="s">
        <v>427</v>
      </c>
      <c r="G92" s="20" t="s">
        <v>35</v>
      </c>
      <c r="H92" s="20" t="s">
        <v>25</v>
      </c>
      <c r="I92" s="21" t="s">
        <v>428</v>
      </c>
      <c r="J92" s="22">
        <f t="shared" si="5"/>
        <v>0.831249999995634</v>
      </c>
      <c r="K92" s="22">
        <f t="shared" si="6"/>
        <v>19.9499999998952</v>
      </c>
      <c r="L92" s="22">
        <f t="shared" si="7"/>
        <v>3.94999999989523</v>
      </c>
      <c r="M92" s="22" cm="1">
        <f ca="1" t="array" ref="M92">SUMPRODUCT(--(WEEKDAY(ROW(INDIRECT(INT(F92)&amp;":"&amp;INT(I92))),2)&gt;5))</f>
        <v>0</v>
      </c>
      <c r="N92" s="22">
        <f ca="1" t="shared" si="8"/>
        <v>3.94999999989523</v>
      </c>
      <c r="O92" s="22" t="str">
        <f ca="1" t="shared" si="9"/>
        <v>SLA Violated</v>
      </c>
      <c r="P92" s="23" t="s">
        <v>429</v>
      </c>
      <c r="Q92" s="24" t="s">
        <v>37</v>
      </c>
      <c r="R92" s="25" t="s">
        <v>430</v>
      </c>
      <c r="S92" s="25"/>
    </row>
    <row r="93" ht="27" customHeight="1" spans="1:20">
      <c r="A93" s="19" t="s">
        <v>431</v>
      </c>
      <c r="B93" s="20" t="s">
        <v>30</v>
      </c>
      <c r="C93" s="20" t="s">
        <v>31</v>
      </c>
      <c r="D93" s="20" t="s">
        <v>32</v>
      </c>
      <c r="E93" s="21" t="s">
        <v>426</v>
      </c>
      <c r="F93" s="21" t="s">
        <v>432</v>
      </c>
      <c r="G93" s="20" t="s">
        <v>35</v>
      </c>
      <c r="H93" s="20" t="s">
        <v>25</v>
      </c>
      <c r="I93" s="21" t="s">
        <v>433</v>
      </c>
      <c r="J93" s="22">
        <f t="shared" si="5"/>
        <v>0.070138888891961</v>
      </c>
      <c r="K93" s="22">
        <f t="shared" si="6"/>
        <v>1.68333333340706</v>
      </c>
      <c r="L93" s="22">
        <f t="shared" si="7"/>
        <v>1.68333333340706</v>
      </c>
      <c r="M93" s="22" cm="1">
        <f ca="1" t="array" ref="M93">SUMPRODUCT(--(WEEKDAY(ROW(INDIRECT(INT(F93)&amp;":"&amp;INT(I93))),2)&gt;5))</f>
        <v>0</v>
      </c>
      <c r="N93" s="22">
        <f ca="1" t="shared" si="8"/>
        <v>1.68333333340706</v>
      </c>
      <c r="O93" s="22" t="str">
        <f ca="1" t="shared" si="9"/>
        <v>Within SLA</v>
      </c>
      <c r="P93" s="26" t="s">
        <v>431</v>
      </c>
      <c r="Q93" s="24" t="s">
        <v>37</v>
      </c>
      <c r="R93" s="25"/>
      <c r="S93" s="25"/>
    </row>
    <row r="94" ht="39" customHeight="1" spans="1:20">
      <c r="A94" s="19" t="s">
        <v>434</v>
      </c>
      <c r="B94" s="20" t="s">
        <v>19</v>
      </c>
      <c r="C94" s="20" t="s">
        <v>20</v>
      </c>
      <c r="D94" s="20" t="s">
        <v>32</v>
      </c>
      <c r="E94" s="21" t="s">
        <v>435</v>
      </c>
      <c r="F94" s="21" t="s">
        <v>436</v>
      </c>
      <c r="G94" s="20" t="s">
        <v>35</v>
      </c>
      <c r="H94" s="20" t="s">
        <v>25</v>
      </c>
      <c r="I94" s="21" t="s">
        <v>437</v>
      </c>
      <c r="J94" s="22">
        <f t="shared" si="5"/>
        <v>38.7645833333299</v>
      </c>
      <c r="K94" s="22">
        <f t="shared" si="6"/>
        <v>930.349999999919</v>
      </c>
      <c r="L94" s="22">
        <f t="shared" si="7"/>
        <v>306.349999999919</v>
      </c>
      <c r="M94" s="22" cm="1">
        <f ca="1" t="array" ref="M94">SUMPRODUCT(--(WEEKDAY(ROW(INDIRECT(INT(F94)&amp;":"&amp;INT(I94))),2)&gt;5))</f>
        <v>12</v>
      </c>
      <c r="N94" s="22">
        <f ca="1" t="shared" si="8"/>
        <v>210.349999999919</v>
      </c>
      <c r="O94" s="22" t="str">
        <f ca="1" t="shared" si="9"/>
        <v>SLA Violated</v>
      </c>
      <c r="P94" s="23" t="s">
        <v>438</v>
      </c>
      <c r="Q94" s="24" t="s">
        <v>37</v>
      </c>
      <c r="R94" s="25" t="s">
        <v>439</v>
      </c>
      <c r="S94" s="25" t="s">
        <v>39</v>
      </c>
    </row>
    <row r="95" ht="39" customHeight="1" spans="1:20">
      <c r="A95" s="19" t="s">
        <v>440</v>
      </c>
      <c r="B95" s="20" t="s">
        <v>19</v>
      </c>
      <c r="C95" s="20" t="s">
        <v>20</v>
      </c>
      <c r="D95" s="20" t="s">
        <v>32</v>
      </c>
      <c r="E95" s="21" t="s">
        <v>437</v>
      </c>
      <c r="F95" s="21" t="s">
        <v>441</v>
      </c>
      <c r="G95" s="20" t="s">
        <v>35</v>
      </c>
      <c r="H95" s="20" t="s">
        <v>25</v>
      </c>
      <c r="I95" s="21" t="s">
        <v>442</v>
      </c>
      <c r="J95" s="22">
        <f t="shared" si="5"/>
        <v>0.0277777777810115</v>
      </c>
      <c r="K95" s="22">
        <f t="shared" si="6"/>
        <v>0.666666666744277</v>
      </c>
      <c r="L95" s="22">
        <f t="shared" si="7"/>
        <v>0.666666666744277</v>
      </c>
      <c r="M95" s="22" cm="1">
        <f ca="1" t="array" ref="M95">SUMPRODUCT(--(WEEKDAY(ROW(INDIRECT(INT(F95)&amp;":"&amp;INT(I95))),2)&gt;5))</f>
        <v>0</v>
      </c>
      <c r="N95" s="22">
        <f ca="1" t="shared" si="8"/>
        <v>0.666666666744277</v>
      </c>
      <c r="O95" s="22" t="str">
        <f ca="1" t="shared" si="9"/>
        <v>Within SLA</v>
      </c>
      <c r="P95" s="26" t="s">
        <v>440</v>
      </c>
      <c r="Q95" s="24" t="s">
        <v>37</v>
      </c>
      <c r="R95" s="25"/>
      <c r="S95" s="25"/>
    </row>
    <row r="96" ht="39" customHeight="1" spans="1:20">
      <c r="A96" s="19" t="s">
        <v>443</v>
      </c>
      <c r="B96" s="20" t="s">
        <v>19</v>
      </c>
      <c r="C96" s="20" t="s">
        <v>20</v>
      </c>
      <c r="D96" s="20" t="s">
        <v>32</v>
      </c>
      <c r="E96" s="21" t="s">
        <v>444</v>
      </c>
      <c r="F96" s="21" t="s">
        <v>445</v>
      </c>
      <c r="G96" s="20" t="s">
        <v>35</v>
      </c>
      <c r="H96" s="20" t="s">
        <v>25</v>
      </c>
      <c r="I96" s="21" t="s">
        <v>446</v>
      </c>
      <c r="J96" s="22">
        <f t="shared" si="5"/>
        <v>0.0124999999970896</v>
      </c>
      <c r="K96" s="22">
        <f t="shared" si="6"/>
        <v>0.299999999930151</v>
      </c>
      <c r="L96" s="22">
        <f t="shared" si="7"/>
        <v>0.299999999930151</v>
      </c>
      <c r="M96" s="22" cm="1">
        <f ca="1" t="array" ref="M96">SUMPRODUCT(--(WEEKDAY(ROW(INDIRECT(INT(F96)&amp;":"&amp;INT(I96))),2)&gt;5))</f>
        <v>0</v>
      </c>
      <c r="N96" s="22">
        <f ca="1" t="shared" si="8"/>
        <v>0.299999999930151</v>
      </c>
      <c r="O96" s="22" t="str">
        <f ca="1" t="shared" si="9"/>
        <v>Within SLA</v>
      </c>
      <c r="P96" s="26" t="s">
        <v>443</v>
      </c>
      <c r="Q96" s="24" t="s">
        <v>37</v>
      </c>
      <c r="R96" s="25"/>
      <c r="S96" s="25"/>
    </row>
    <row r="97" ht="39" customHeight="1" spans="1:19">
      <c r="A97" s="19" t="s">
        <v>447</v>
      </c>
      <c r="B97" s="20" t="s">
        <v>19</v>
      </c>
      <c r="C97" s="20" t="s">
        <v>20</v>
      </c>
      <c r="D97" s="20" t="s">
        <v>32</v>
      </c>
      <c r="E97" s="21" t="s">
        <v>448</v>
      </c>
      <c r="F97" s="21" t="s">
        <v>449</v>
      </c>
      <c r="G97" s="20" t="s">
        <v>35</v>
      </c>
      <c r="H97" s="20" t="s">
        <v>25</v>
      </c>
      <c r="I97" s="21" t="s">
        <v>450</v>
      </c>
      <c r="J97" s="22">
        <f t="shared" si="5"/>
        <v>27.9326388888876</v>
      </c>
      <c r="K97" s="22">
        <f t="shared" si="6"/>
        <v>670.383333333302</v>
      </c>
      <c r="L97" s="22">
        <f t="shared" si="7"/>
        <v>222.383333333302</v>
      </c>
      <c r="M97" s="22" cm="1">
        <f ca="1" t="array" ref="M97">SUMPRODUCT(--(WEEKDAY(ROW(INDIRECT(INT(F97)&amp;":"&amp;INT(I97))),2)&gt;5))</f>
        <v>8</v>
      </c>
      <c r="N97" s="22">
        <f ca="1" t="shared" si="8"/>
        <v>158.383333333302</v>
      </c>
      <c r="O97" s="22" t="str">
        <f ca="1" t="shared" si="9"/>
        <v>SLA Violated</v>
      </c>
      <c r="P97" s="23" t="s">
        <v>451</v>
      </c>
      <c r="Q97" s="24" t="s">
        <v>28</v>
      </c>
      <c r="R97" s="25"/>
      <c r="S97" s="25"/>
    </row>
    <row r="98" ht="39" customHeight="1" spans="1:19">
      <c r="A98" s="19" t="s">
        <v>452</v>
      </c>
      <c r="B98" s="20" t="s">
        <v>19</v>
      </c>
      <c r="C98" s="20" t="s">
        <v>20</v>
      </c>
      <c r="D98" s="20" t="s">
        <v>32</v>
      </c>
      <c r="E98" s="21" t="s">
        <v>423</v>
      </c>
      <c r="F98" s="21" t="s">
        <v>453</v>
      </c>
      <c r="G98" s="20" t="s">
        <v>35</v>
      </c>
      <c r="H98" s="20" t="s">
        <v>25</v>
      </c>
      <c r="I98" s="21" t="s">
        <v>454</v>
      </c>
      <c r="J98" s="22">
        <f t="shared" si="5"/>
        <v>0.0708333333313931</v>
      </c>
      <c r="K98" s="22">
        <f t="shared" si="6"/>
        <v>1.69999999995343</v>
      </c>
      <c r="L98" s="22">
        <f t="shared" si="7"/>
        <v>1.69999999995343</v>
      </c>
      <c r="M98" s="22" cm="1">
        <f ca="1" t="array" ref="M98">SUMPRODUCT(--(WEEKDAY(ROW(INDIRECT(INT(F98)&amp;":"&amp;INT(I98))),2)&gt;5))</f>
        <v>0</v>
      </c>
      <c r="N98" s="22">
        <f ca="1" t="shared" si="8"/>
        <v>1.69999999995343</v>
      </c>
      <c r="O98" s="22" t="str">
        <f ca="1" t="shared" si="9"/>
        <v>Within SLA</v>
      </c>
      <c r="P98" s="26" t="s">
        <v>452</v>
      </c>
      <c r="Q98" s="24" t="s">
        <v>37</v>
      </c>
      <c r="R98" s="25"/>
      <c r="S98" s="25"/>
    </row>
    <row r="99" ht="39" customHeight="1" spans="1:19">
      <c r="A99" s="19" t="s">
        <v>455</v>
      </c>
      <c r="B99" s="20" t="s">
        <v>19</v>
      </c>
      <c r="C99" s="20" t="s">
        <v>20</v>
      </c>
      <c r="D99" s="20" t="s">
        <v>32</v>
      </c>
      <c r="E99" s="21" t="s">
        <v>456</v>
      </c>
      <c r="F99" s="21" t="s">
        <v>457</v>
      </c>
      <c r="G99" s="20" t="s">
        <v>35</v>
      </c>
      <c r="H99" s="20" t="s">
        <v>25</v>
      </c>
      <c r="I99" s="21" t="s">
        <v>458</v>
      </c>
      <c r="J99" s="22">
        <f t="shared" si="5"/>
        <v>0.070138888884685</v>
      </c>
      <c r="K99" s="22">
        <f t="shared" si="6"/>
        <v>1.68333333323244</v>
      </c>
      <c r="L99" s="22">
        <f t="shared" si="7"/>
        <v>1.68333333323244</v>
      </c>
      <c r="M99" s="22" cm="1">
        <f ca="1" t="array" ref="M99">SUMPRODUCT(--(WEEKDAY(ROW(INDIRECT(INT(F99)&amp;":"&amp;INT(I99))),2)&gt;5))</f>
        <v>0</v>
      </c>
      <c r="N99" s="22">
        <f ca="1" t="shared" si="8"/>
        <v>1.68333333323244</v>
      </c>
      <c r="O99" s="22" t="str">
        <f ca="1" t="shared" si="9"/>
        <v>Within SLA</v>
      </c>
      <c r="P99" s="26" t="s">
        <v>455</v>
      </c>
      <c r="Q99" s="24" t="s">
        <v>37</v>
      </c>
      <c r="R99" s="25"/>
      <c r="S99" s="25"/>
    </row>
    <row r="100" ht="50" customHeight="1" spans="1:19">
      <c r="A100" s="19" t="s">
        <v>459</v>
      </c>
      <c r="B100" s="20" t="s">
        <v>369</v>
      </c>
      <c r="C100" s="20" t="s">
        <v>67</v>
      </c>
      <c r="D100" s="20" t="s">
        <v>32</v>
      </c>
      <c r="E100" s="21" t="s">
        <v>460</v>
      </c>
      <c r="F100" s="21" t="s">
        <v>461</v>
      </c>
      <c r="G100" s="20" t="s">
        <v>35</v>
      </c>
      <c r="H100" s="20" t="s">
        <v>25</v>
      </c>
      <c r="I100" s="21" t="s">
        <v>462</v>
      </c>
      <c r="J100" s="22">
        <f t="shared" si="5"/>
        <v>29.0395833333314</v>
      </c>
      <c r="K100" s="22">
        <f t="shared" si="6"/>
        <v>696.949999999953</v>
      </c>
      <c r="L100" s="22">
        <f t="shared" si="7"/>
        <v>232.949999999953</v>
      </c>
      <c r="M100" s="22" cm="1">
        <f ca="1" t="array" ref="M100">SUMPRODUCT(--(WEEKDAY(ROW(INDIRECT(INT(F100)&amp;":"&amp;INT(I100))),2)&gt;5))</f>
        <v>8</v>
      </c>
      <c r="N100" s="22">
        <f ca="1" t="shared" si="8"/>
        <v>168.949999999953</v>
      </c>
      <c r="O100" s="22" t="str">
        <f ca="1" t="shared" si="9"/>
        <v>SLA Violated</v>
      </c>
      <c r="P100" s="23" t="s">
        <v>463</v>
      </c>
      <c r="Q100" s="24" t="s">
        <v>28</v>
      </c>
      <c r="R100" s="25"/>
      <c r="S100" s="25"/>
    </row>
    <row r="101" ht="39" customHeight="1" spans="1:19">
      <c r="A101" s="19" t="s">
        <v>464</v>
      </c>
      <c r="B101" s="20" t="s">
        <v>19</v>
      </c>
      <c r="C101" s="20" t="s">
        <v>20</v>
      </c>
      <c r="D101" s="20" t="s">
        <v>32</v>
      </c>
      <c r="E101" s="21" t="s">
        <v>465</v>
      </c>
      <c r="F101" s="21" t="s">
        <v>466</v>
      </c>
      <c r="G101" s="20" t="s">
        <v>35</v>
      </c>
      <c r="H101" s="20" t="s">
        <v>25</v>
      </c>
      <c r="I101" s="21" t="s">
        <v>467</v>
      </c>
      <c r="J101" s="22">
        <f t="shared" si="5"/>
        <v>27.9236111111095</v>
      </c>
      <c r="K101" s="22">
        <f t="shared" si="6"/>
        <v>670.166666666628</v>
      </c>
      <c r="L101" s="22">
        <f t="shared" si="7"/>
        <v>222.166666666628</v>
      </c>
      <c r="M101" s="22" cm="1">
        <f ca="1" t="array" ref="M101">SUMPRODUCT(--(WEEKDAY(ROW(INDIRECT(INT(F101)&amp;":"&amp;INT(I101))),2)&gt;5))</f>
        <v>8</v>
      </c>
      <c r="N101" s="22">
        <f ca="1" t="shared" si="8"/>
        <v>158.166666666628</v>
      </c>
      <c r="O101" s="22" t="str">
        <f ca="1" t="shared" si="9"/>
        <v>SLA Violated</v>
      </c>
      <c r="P101" s="23" t="s">
        <v>468</v>
      </c>
      <c r="Q101" s="24" t="s">
        <v>28</v>
      </c>
      <c r="R101" s="25"/>
      <c r="S101" s="25"/>
    </row>
    <row r="102" ht="39" customHeight="1" spans="1:19">
      <c r="A102" s="19" t="s">
        <v>469</v>
      </c>
      <c r="B102" s="20" t="s">
        <v>19</v>
      </c>
      <c r="C102" s="20" t="s">
        <v>20</v>
      </c>
      <c r="D102" s="20" t="s">
        <v>32</v>
      </c>
      <c r="E102" s="21" t="s">
        <v>470</v>
      </c>
      <c r="F102" s="21" t="s">
        <v>471</v>
      </c>
      <c r="G102" s="20" t="s">
        <v>35</v>
      </c>
      <c r="H102" s="20" t="s">
        <v>25</v>
      </c>
      <c r="I102" s="21" t="s">
        <v>472</v>
      </c>
      <c r="J102" s="22">
        <f t="shared" si="5"/>
        <v>26.2784722222204</v>
      </c>
      <c r="K102" s="22">
        <f t="shared" si="6"/>
        <v>630.683333333291</v>
      </c>
      <c r="L102" s="22">
        <f t="shared" si="7"/>
        <v>214.683333333291</v>
      </c>
      <c r="M102" s="22" cm="1">
        <f ca="1" t="array" ref="M102">SUMPRODUCT(--(WEEKDAY(ROW(INDIRECT(INT(F102)&amp;":"&amp;INT(I102))),2)&gt;5))</f>
        <v>8</v>
      </c>
      <c r="N102" s="22">
        <f ca="1" t="shared" si="8"/>
        <v>150.683333333291</v>
      </c>
      <c r="O102" s="22" t="str">
        <f ca="1" t="shared" si="9"/>
        <v>SLA Violated</v>
      </c>
      <c r="P102" s="23" t="s">
        <v>473</v>
      </c>
      <c r="Q102" s="24" t="s">
        <v>28</v>
      </c>
      <c r="R102" s="25"/>
      <c r="S102" s="25"/>
    </row>
    <row r="103" ht="39" customHeight="1" spans="1:19">
      <c r="A103" s="19" t="s">
        <v>474</v>
      </c>
      <c r="B103" s="20" t="s">
        <v>19</v>
      </c>
      <c r="C103" s="20" t="s">
        <v>20</v>
      </c>
      <c r="D103" s="20" t="s">
        <v>32</v>
      </c>
      <c r="E103" s="21" t="s">
        <v>475</v>
      </c>
      <c r="F103" s="21" t="s">
        <v>466</v>
      </c>
      <c r="G103" s="20" t="s">
        <v>35</v>
      </c>
      <c r="H103" s="20" t="s">
        <v>25</v>
      </c>
      <c r="I103" s="21" t="s">
        <v>476</v>
      </c>
      <c r="J103" s="22">
        <f t="shared" si="5"/>
        <v>27.8624999999956</v>
      </c>
      <c r="K103" s="22">
        <f t="shared" si="6"/>
        <v>668.699999999895</v>
      </c>
      <c r="L103" s="22">
        <f t="shared" si="7"/>
        <v>220.699999999895</v>
      </c>
      <c r="M103" s="22" cm="1">
        <f ca="1" t="array" ref="M103">SUMPRODUCT(--(WEEKDAY(ROW(INDIRECT(INT(F103)&amp;":"&amp;INT(I103))),2)&gt;5))</f>
        <v>8</v>
      </c>
      <c r="N103" s="22">
        <f ca="1" t="shared" si="8"/>
        <v>156.699999999895</v>
      </c>
      <c r="O103" s="22" t="str">
        <f ca="1" t="shared" si="9"/>
        <v>SLA Violated</v>
      </c>
      <c r="P103" s="23" t="s">
        <v>477</v>
      </c>
      <c r="Q103" s="24" t="s">
        <v>28</v>
      </c>
      <c r="R103" s="25"/>
      <c r="S103" s="25"/>
    </row>
    <row r="104" ht="16" customHeight="1" spans="1:19">
      <c r="A104" s="28" t="s">
        <v>478</v>
      </c>
      <c r="B104" s="20" t="s">
        <v>100</v>
      </c>
      <c r="C104" s="20" t="s">
        <v>101</v>
      </c>
      <c r="D104" s="20" t="s">
        <v>32</v>
      </c>
      <c r="E104" s="21" t="s">
        <v>479</v>
      </c>
      <c r="F104" s="21" t="s">
        <v>480</v>
      </c>
      <c r="G104" s="20" t="s">
        <v>35</v>
      </c>
      <c r="H104" s="20" t="s">
        <v>25</v>
      </c>
      <c r="I104" s="21" t="s">
        <v>481</v>
      </c>
      <c r="J104" s="22">
        <f t="shared" si="5"/>
        <v>4.7722222222219</v>
      </c>
      <c r="K104" s="22">
        <f t="shared" si="6"/>
        <v>114.533333333326</v>
      </c>
      <c r="L104" s="22">
        <f t="shared" si="7"/>
        <v>34.5333333333256</v>
      </c>
      <c r="M104" s="22" cm="1">
        <f ca="1" t="array" ref="M104">SUMPRODUCT(--(WEEKDAY(ROW(INDIRECT(INT(F104)&amp;":"&amp;INT(I104))),2)&gt;5))</f>
        <v>2</v>
      </c>
      <c r="N104" s="22">
        <f ca="1" t="shared" si="8"/>
        <v>18.5333333333256</v>
      </c>
      <c r="O104" s="22" t="str">
        <f ca="1" t="shared" si="9"/>
        <v>SLA Violated</v>
      </c>
      <c r="P104" s="26" t="s">
        <v>482</v>
      </c>
      <c r="Q104" s="24" t="s">
        <v>28</v>
      </c>
      <c r="R104" s="25"/>
      <c r="S104" s="25"/>
    </row>
    <row r="105" ht="39" customHeight="1" spans="1:19">
      <c r="A105" s="19" t="s">
        <v>483</v>
      </c>
      <c r="B105" s="20" t="s">
        <v>19</v>
      </c>
      <c r="C105" s="20" t="s">
        <v>20</v>
      </c>
      <c r="D105" s="20" t="s">
        <v>32</v>
      </c>
      <c r="E105" s="21" t="s">
        <v>484</v>
      </c>
      <c r="F105" s="21" t="s">
        <v>485</v>
      </c>
      <c r="G105" s="20" t="s">
        <v>35</v>
      </c>
      <c r="H105" s="20" t="s">
        <v>25</v>
      </c>
      <c r="I105" s="21" t="s">
        <v>486</v>
      </c>
      <c r="J105" s="22">
        <f t="shared" si="5"/>
        <v>25.7562499999985</v>
      </c>
      <c r="K105" s="22">
        <f t="shared" si="6"/>
        <v>618.149999999965</v>
      </c>
      <c r="L105" s="22">
        <f t="shared" si="7"/>
        <v>202.149999999965</v>
      </c>
      <c r="M105" s="22" cm="1">
        <f ca="1" t="array" ref="M105">SUMPRODUCT(--(WEEKDAY(ROW(INDIRECT(INT(F105)&amp;":"&amp;INT(I105))),2)&gt;5))</f>
        <v>8</v>
      </c>
      <c r="N105" s="22">
        <f ca="1" t="shared" si="8"/>
        <v>138.149999999965</v>
      </c>
      <c r="O105" s="22" t="str">
        <f ca="1" t="shared" si="9"/>
        <v>SLA Violated</v>
      </c>
      <c r="P105" s="23" t="s">
        <v>487</v>
      </c>
      <c r="Q105" s="24" t="s">
        <v>28</v>
      </c>
      <c r="R105" s="25"/>
      <c r="S105" s="25"/>
    </row>
    <row r="106" ht="39" customHeight="1" spans="1:19">
      <c r="A106" s="19" t="s">
        <v>488</v>
      </c>
      <c r="B106" s="20" t="s">
        <v>19</v>
      </c>
      <c r="C106" s="20" t="s">
        <v>20</v>
      </c>
      <c r="D106" s="20" t="s">
        <v>32</v>
      </c>
      <c r="E106" s="21" t="s">
        <v>489</v>
      </c>
      <c r="F106" s="21" t="s">
        <v>490</v>
      </c>
      <c r="G106" s="20" t="s">
        <v>35</v>
      </c>
      <c r="H106" s="20" t="s">
        <v>25</v>
      </c>
      <c r="I106" s="21" t="s">
        <v>491</v>
      </c>
      <c r="J106" s="22">
        <f t="shared" si="5"/>
        <v>27.0305555555533</v>
      </c>
      <c r="K106" s="22">
        <f t="shared" si="6"/>
        <v>648.733333333279</v>
      </c>
      <c r="L106" s="22">
        <f t="shared" si="7"/>
        <v>216.733333333279</v>
      </c>
      <c r="M106" s="22" cm="1">
        <f ca="1" t="array" ref="M106">SUMPRODUCT(--(WEEKDAY(ROW(INDIRECT(INT(F106)&amp;":"&amp;INT(I106))),2)&gt;5))</f>
        <v>8</v>
      </c>
      <c r="N106" s="22">
        <f ca="1" t="shared" si="8"/>
        <v>152.733333333279</v>
      </c>
      <c r="O106" s="22" t="str">
        <f ca="1" t="shared" si="9"/>
        <v>SLA Violated</v>
      </c>
      <c r="P106" s="23" t="s">
        <v>492</v>
      </c>
      <c r="Q106" s="24" t="s">
        <v>28</v>
      </c>
      <c r="R106" s="25"/>
      <c r="S106" s="25"/>
    </row>
    <row r="107" ht="39" customHeight="1" spans="1:19">
      <c r="A107" s="19" t="s">
        <v>493</v>
      </c>
      <c r="B107" s="20" t="s">
        <v>19</v>
      </c>
      <c r="C107" s="20" t="s">
        <v>20</v>
      </c>
      <c r="D107" s="20" t="s">
        <v>32</v>
      </c>
      <c r="E107" s="21" t="s">
        <v>176</v>
      </c>
      <c r="F107" s="21" t="s">
        <v>494</v>
      </c>
      <c r="G107" s="20" t="s">
        <v>35</v>
      </c>
      <c r="H107" s="20" t="s">
        <v>25</v>
      </c>
      <c r="I107" s="21" t="s">
        <v>495</v>
      </c>
      <c r="J107" s="22">
        <f t="shared" si="5"/>
        <v>35.0611111111139</v>
      </c>
      <c r="K107" s="22">
        <f t="shared" si="6"/>
        <v>841.466666666733</v>
      </c>
      <c r="L107" s="22">
        <f t="shared" si="7"/>
        <v>281.466666666733</v>
      </c>
      <c r="M107" s="22" cm="1">
        <f ca="1" t="array" ref="M107">SUMPRODUCT(--(WEEKDAY(ROW(INDIRECT(INT(F107)&amp;":"&amp;INT(I107))),2)&gt;5))</f>
        <v>10</v>
      </c>
      <c r="N107" s="22">
        <f ca="1" t="shared" si="8"/>
        <v>201.466666666733</v>
      </c>
      <c r="O107" s="22" t="str">
        <f ca="1" t="shared" si="9"/>
        <v>SLA Violated</v>
      </c>
      <c r="P107" s="23" t="s">
        <v>496</v>
      </c>
      <c r="Q107" s="24" t="s">
        <v>28</v>
      </c>
      <c r="R107" s="25"/>
      <c r="S107" s="25"/>
    </row>
    <row r="108" ht="39" customHeight="1" spans="1:19">
      <c r="A108" s="19" t="s">
        <v>497</v>
      </c>
      <c r="B108" s="20" t="s">
        <v>19</v>
      </c>
      <c r="C108" s="20" t="s">
        <v>20</v>
      </c>
      <c r="D108" s="20" t="s">
        <v>32</v>
      </c>
      <c r="E108" s="21" t="s">
        <v>498</v>
      </c>
      <c r="F108" s="21" t="s">
        <v>499</v>
      </c>
      <c r="G108" s="20" t="s">
        <v>35</v>
      </c>
      <c r="H108" s="20" t="s">
        <v>25</v>
      </c>
      <c r="I108" s="21" t="s">
        <v>500</v>
      </c>
      <c r="J108" s="22">
        <f t="shared" si="5"/>
        <v>3.05138888888905</v>
      </c>
      <c r="K108" s="22">
        <f t="shared" si="6"/>
        <v>73.2333333333372</v>
      </c>
      <c r="L108" s="22">
        <f t="shared" si="7"/>
        <v>25.2333333333372</v>
      </c>
      <c r="M108" s="22" cm="1">
        <f ca="1" t="array" ref="M108">SUMPRODUCT(--(WEEKDAY(ROW(INDIRECT(INT(F108)&amp;":"&amp;INT(I108))),2)&gt;5))</f>
        <v>2</v>
      </c>
      <c r="N108" s="22">
        <f ca="1" t="shared" si="8"/>
        <v>9.2333333333372</v>
      </c>
      <c r="O108" s="22" t="str">
        <f ca="1" t="shared" si="9"/>
        <v>Within SLA</v>
      </c>
      <c r="P108" s="26" t="s">
        <v>497</v>
      </c>
      <c r="Q108" s="24" t="s">
        <v>37</v>
      </c>
      <c r="R108" s="25"/>
      <c r="S108" s="25"/>
    </row>
    <row r="109" ht="39" customHeight="1" spans="1:19">
      <c r="A109" s="19" t="s">
        <v>501</v>
      </c>
      <c r="B109" s="20" t="s">
        <v>19</v>
      </c>
      <c r="C109" s="20" t="s">
        <v>20</v>
      </c>
      <c r="D109" s="20" t="s">
        <v>32</v>
      </c>
      <c r="E109" s="21" t="s">
        <v>502</v>
      </c>
      <c r="F109" s="21" t="s">
        <v>503</v>
      </c>
      <c r="G109" s="20" t="s">
        <v>35</v>
      </c>
      <c r="H109" s="20" t="s">
        <v>25</v>
      </c>
      <c r="I109" s="21" t="s">
        <v>500</v>
      </c>
      <c r="J109" s="22">
        <f t="shared" si="5"/>
        <v>0.947916666671517</v>
      </c>
      <c r="K109" s="22">
        <f t="shared" si="6"/>
        <v>22.7500000001164</v>
      </c>
      <c r="L109" s="22">
        <f t="shared" si="7"/>
        <v>6.75000000011642</v>
      </c>
      <c r="M109" s="22" cm="1">
        <f ca="1" t="array" ref="M109">SUMPRODUCT(--(WEEKDAY(ROW(INDIRECT(INT(F109)&amp;":"&amp;INT(I109))),2)&gt;5))</f>
        <v>0</v>
      </c>
      <c r="N109" s="22">
        <f ca="1" t="shared" si="8"/>
        <v>6.75000000011642</v>
      </c>
      <c r="O109" s="22" t="str">
        <f ca="1" t="shared" si="9"/>
        <v>Within SLA</v>
      </c>
      <c r="P109" s="26" t="s">
        <v>501</v>
      </c>
      <c r="Q109" s="24" t="s">
        <v>37</v>
      </c>
      <c r="R109" s="25"/>
      <c r="S109" s="25"/>
    </row>
    <row r="110" ht="39" customHeight="1" spans="1:19">
      <c r="A110" s="19" t="s">
        <v>504</v>
      </c>
      <c r="B110" s="20" t="s">
        <v>19</v>
      </c>
      <c r="C110" s="20" t="s">
        <v>20</v>
      </c>
      <c r="D110" s="20" t="s">
        <v>32</v>
      </c>
      <c r="E110" s="21" t="s">
        <v>505</v>
      </c>
      <c r="F110" s="21" t="s">
        <v>506</v>
      </c>
      <c r="G110" s="20" t="s">
        <v>35</v>
      </c>
      <c r="H110" s="20" t="s">
        <v>25</v>
      </c>
      <c r="I110" s="21" t="s">
        <v>507</v>
      </c>
      <c r="J110" s="22">
        <f t="shared" si="5"/>
        <v>7.0041666666657</v>
      </c>
      <c r="K110" s="22">
        <f t="shared" si="6"/>
        <v>168.099999999977</v>
      </c>
      <c r="L110" s="22">
        <f t="shared" si="7"/>
        <v>56.0999999999767</v>
      </c>
      <c r="M110" s="22" cm="1">
        <f ca="1" t="array" ref="M110">SUMPRODUCT(--(WEEKDAY(ROW(INDIRECT(INT(F110)&amp;":"&amp;INT(I110))),2)&gt;5))</f>
        <v>2</v>
      </c>
      <c r="N110" s="22">
        <f ca="1" t="shared" si="8"/>
        <v>40.0999999999767</v>
      </c>
      <c r="O110" s="22" t="str">
        <f ca="1" t="shared" si="9"/>
        <v>SLA Violated</v>
      </c>
      <c r="P110" s="23" t="s">
        <v>508</v>
      </c>
      <c r="Q110" s="24" t="s">
        <v>28</v>
      </c>
      <c r="R110" s="25"/>
      <c r="S110" s="25"/>
    </row>
    <row r="111" ht="39" customHeight="1" spans="1:19">
      <c r="A111" s="19" t="s">
        <v>509</v>
      </c>
      <c r="B111" s="20" t="s">
        <v>19</v>
      </c>
      <c r="C111" s="20" t="s">
        <v>20</v>
      </c>
      <c r="D111" s="20" t="s">
        <v>105</v>
      </c>
      <c r="E111" s="21" t="s">
        <v>510</v>
      </c>
      <c r="F111" s="21" t="s">
        <v>511</v>
      </c>
      <c r="G111" s="20" t="s">
        <v>35</v>
      </c>
      <c r="H111" s="20" t="s">
        <v>25</v>
      </c>
      <c r="I111" s="21" t="s">
        <v>512</v>
      </c>
      <c r="J111" s="22">
        <f t="shared" si="5"/>
        <v>6.02430555555475</v>
      </c>
      <c r="K111" s="22">
        <f t="shared" si="6"/>
        <v>144.583333333314</v>
      </c>
      <c r="L111" s="22">
        <f t="shared" si="7"/>
        <v>48.5833333333139</v>
      </c>
      <c r="M111" s="22" cm="1">
        <f ca="1" t="array" ref="M111">SUMPRODUCT(--(WEEKDAY(ROW(INDIRECT(INT(F111)&amp;":"&amp;INT(I111))),2)&gt;5))</f>
        <v>2</v>
      </c>
      <c r="N111" s="22">
        <f ca="1" t="shared" si="8"/>
        <v>32.5833333333139</v>
      </c>
      <c r="O111" s="22" t="str">
        <f ca="1" t="shared" si="9"/>
        <v>SLA Violated</v>
      </c>
      <c r="P111" s="23" t="s">
        <v>513</v>
      </c>
      <c r="Q111" s="24" t="s">
        <v>28</v>
      </c>
      <c r="R111" s="25"/>
      <c r="S111" s="25"/>
    </row>
    <row r="112" ht="50" customHeight="1" spans="1:19">
      <c r="A112" s="19" t="s">
        <v>514</v>
      </c>
      <c r="B112" s="20" t="s">
        <v>369</v>
      </c>
      <c r="C112" s="20" t="s">
        <v>67</v>
      </c>
      <c r="D112" s="20" t="s">
        <v>32</v>
      </c>
      <c r="E112" s="21" t="s">
        <v>515</v>
      </c>
      <c r="F112" s="21" t="s">
        <v>516</v>
      </c>
      <c r="G112" s="20" t="s">
        <v>35</v>
      </c>
      <c r="H112" s="20" t="s">
        <v>25</v>
      </c>
      <c r="I112" s="21" t="s">
        <v>517</v>
      </c>
      <c r="J112" s="22">
        <f t="shared" si="5"/>
        <v>3.97569444444525</v>
      </c>
      <c r="K112" s="22">
        <f t="shared" si="6"/>
        <v>95.4166666666861</v>
      </c>
      <c r="L112" s="22">
        <f t="shared" si="7"/>
        <v>31.4166666666861</v>
      </c>
      <c r="M112" s="22" cm="1">
        <f ca="1" t="array" ref="M112">SUMPRODUCT(--(WEEKDAY(ROW(INDIRECT(INT(F112)&amp;":"&amp;INT(I112))),2)&gt;5))</f>
        <v>2</v>
      </c>
      <c r="N112" s="22">
        <f ca="1" t="shared" si="8"/>
        <v>15.4166666666861</v>
      </c>
      <c r="O112" s="22" t="str">
        <f ca="1" t="shared" si="9"/>
        <v>SLA Violated</v>
      </c>
      <c r="P112" s="23" t="s">
        <v>518</v>
      </c>
      <c r="Q112" s="24" t="s">
        <v>37</v>
      </c>
      <c r="R112" s="25" t="s">
        <v>38</v>
      </c>
      <c r="S112" s="25" t="s">
        <v>39</v>
      </c>
    </row>
    <row r="113" ht="39" customHeight="1" spans="1:20">
      <c r="A113" s="19" t="s">
        <v>519</v>
      </c>
      <c r="B113" s="20" t="s">
        <v>19</v>
      </c>
      <c r="C113" s="20" t="s">
        <v>20</v>
      </c>
      <c r="D113" s="20" t="s">
        <v>32</v>
      </c>
      <c r="E113" s="21" t="s">
        <v>520</v>
      </c>
      <c r="F113" s="21" t="s">
        <v>521</v>
      </c>
      <c r="G113" s="20" t="s">
        <v>35</v>
      </c>
      <c r="H113" s="20" t="s">
        <v>25</v>
      </c>
      <c r="I113" s="21" t="s">
        <v>308</v>
      </c>
      <c r="J113" s="22">
        <f t="shared" si="5"/>
        <v>6.05000000000291</v>
      </c>
      <c r="K113" s="22">
        <f t="shared" si="6"/>
        <v>145.20000000007</v>
      </c>
      <c r="L113" s="22">
        <f t="shared" si="7"/>
        <v>49.2000000000698</v>
      </c>
      <c r="M113" s="22" cm="1">
        <f ca="1" t="array" ref="M113">SUMPRODUCT(--(WEEKDAY(ROW(INDIRECT(INT(F113)&amp;":"&amp;INT(I113))),2)&gt;5))</f>
        <v>2</v>
      </c>
      <c r="N113" s="22">
        <f ca="1" t="shared" si="8"/>
        <v>33.2000000000698</v>
      </c>
      <c r="O113" s="22" t="str">
        <f ca="1" t="shared" si="9"/>
        <v>SLA Violated</v>
      </c>
      <c r="P113" s="23" t="s">
        <v>522</v>
      </c>
      <c r="Q113" s="24" t="s">
        <v>28</v>
      </c>
      <c r="R113" s="25"/>
      <c r="S113" s="25"/>
    </row>
    <row r="114" ht="39" customHeight="1" spans="1:20">
      <c r="A114" s="19" t="s">
        <v>523</v>
      </c>
      <c r="B114" s="20" t="s">
        <v>19</v>
      </c>
      <c r="C114" s="20" t="s">
        <v>20</v>
      </c>
      <c r="D114" s="20" t="s">
        <v>115</v>
      </c>
      <c r="E114" s="21" t="s">
        <v>524</v>
      </c>
      <c r="F114" s="21" t="s">
        <v>525</v>
      </c>
      <c r="G114" s="20" t="s">
        <v>35</v>
      </c>
      <c r="H114" s="20" t="s">
        <v>25</v>
      </c>
      <c r="I114" s="21" t="s">
        <v>526</v>
      </c>
      <c r="J114" s="22">
        <f t="shared" si="5"/>
        <v>4.10138888889196</v>
      </c>
      <c r="K114" s="22">
        <f t="shared" si="6"/>
        <v>98.4333333334071</v>
      </c>
      <c r="L114" s="22">
        <f t="shared" si="7"/>
        <v>34.4333333334071</v>
      </c>
      <c r="M114" s="22" cm="1">
        <f ca="1" t="array" ref="M114">SUMPRODUCT(--(WEEKDAY(ROW(INDIRECT(INT(F114)&amp;":"&amp;INT(I114))),2)&gt;5))</f>
        <v>2</v>
      </c>
      <c r="N114" s="22">
        <f ca="1" t="shared" si="8"/>
        <v>18.4333333334071</v>
      </c>
      <c r="O114" s="22" t="str">
        <f ca="1" t="shared" si="9"/>
        <v>SLA Violated</v>
      </c>
      <c r="P114" s="23" t="s">
        <v>527</v>
      </c>
      <c r="Q114" s="24" t="s">
        <v>28</v>
      </c>
      <c r="R114" s="25"/>
      <c r="S114" s="25"/>
    </row>
    <row r="115" ht="39" customHeight="1" spans="1:20">
      <c r="A115" s="19" t="s">
        <v>528</v>
      </c>
      <c r="B115" s="20" t="s">
        <v>19</v>
      </c>
      <c r="C115" s="20" t="s">
        <v>20</v>
      </c>
      <c r="D115" s="20" t="s">
        <v>32</v>
      </c>
      <c r="E115" s="21" t="s">
        <v>529</v>
      </c>
      <c r="F115" s="21" t="s">
        <v>530</v>
      </c>
      <c r="G115" s="20" t="s">
        <v>35</v>
      </c>
      <c r="H115" s="20" t="s">
        <v>25</v>
      </c>
      <c r="I115" s="21" t="s">
        <v>531</v>
      </c>
      <c r="J115" s="22">
        <f t="shared" si="5"/>
        <v>6.30694444444816</v>
      </c>
      <c r="K115" s="22">
        <f t="shared" si="6"/>
        <v>151.366666666756</v>
      </c>
      <c r="L115" s="22">
        <f t="shared" si="7"/>
        <v>55.3666666667559</v>
      </c>
      <c r="M115" s="22" cm="1">
        <f ca="1" t="array" ref="M115">SUMPRODUCT(--(WEEKDAY(ROW(INDIRECT(INT(F115)&amp;":"&amp;INT(I115))),2)&gt;5))</f>
        <v>2</v>
      </c>
      <c r="N115" s="22">
        <f ca="1" t="shared" si="8"/>
        <v>39.3666666667559</v>
      </c>
      <c r="O115" s="22" t="str">
        <f ca="1" t="shared" si="9"/>
        <v>SLA Violated</v>
      </c>
      <c r="P115" s="23" t="s">
        <v>532</v>
      </c>
      <c r="Q115" s="24" t="s">
        <v>28</v>
      </c>
      <c r="R115" s="25"/>
      <c r="S115" s="25"/>
    </row>
    <row r="116" ht="39" customHeight="1" spans="1:20">
      <c r="A116" s="19" t="s">
        <v>533</v>
      </c>
      <c r="B116" s="20" t="s">
        <v>19</v>
      </c>
      <c r="C116" s="20" t="s">
        <v>20</v>
      </c>
      <c r="D116" s="20" t="s">
        <v>32</v>
      </c>
      <c r="E116" s="21" t="s">
        <v>534</v>
      </c>
      <c r="F116" s="21" t="s">
        <v>436</v>
      </c>
      <c r="G116" s="20" t="s">
        <v>35</v>
      </c>
      <c r="H116" s="20" t="s">
        <v>25</v>
      </c>
      <c r="I116" s="21" t="s">
        <v>535</v>
      </c>
      <c r="J116" s="22">
        <f t="shared" si="5"/>
        <v>37.9791666666642</v>
      </c>
      <c r="K116" s="22">
        <f t="shared" si="6"/>
        <v>911.499999999942</v>
      </c>
      <c r="L116" s="22">
        <f t="shared" si="7"/>
        <v>303.499999999942</v>
      </c>
      <c r="M116" s="22" cm="1">
        <f ca="1" t="array" ref="M116">SUMPRODUCT(--(WEEKDAY(ROW(INDIRECT(INT(F116)&amp;":"&amp;INT(I116))),2)&gt;5))</f>
        <v>12</v>
      </c>
      <c r="N116" s="22">
        <f ca="1" t="shared" si="8"/>
        <v>207.499999999942</v>
      </c>
      <c r="O116" s="22" t="str">
        <f ca="1" t="shared" si="9"/>
        <v>SLA Violated</v>
      </c>
      <c r="P116" s="23" t="s">
        <v>536</v>
      </c>
      <c r="Q116" s="24" t="s">
        <v>28</v>
      </c>
      <c r="R116" s="25"/>
      <c r="S116" s="25"/>
    </row>
    <row r="117" ht="39" customHeight="1" spans="1:20">
      <c r="A117" s="19" t="s">
        <v>537</v>
      </c>
      <c r="B117" s="20" t="s">
        <v>19</v>
      </c>
      <c r="C117" s="20" t="s">
        <v>20</v>
      </c>
      <c r="D117" s="20" t="s">
        <v>32</v>
      </c>
      <c r="E117" s="21" t="s">
        <v>538</v>
      </c>
      <c r="F117" s="21" t="s">
        <v>539</v>
      </c>
      <c r="G117" s="20" t="s">
        <v>35</v>
      </c>
      <c r="H117" s="20" t="s">
        <v>25</v>
      </c>
      <c r="I117" s="21" t="s">
        <v>535</v>
      </c>
      <c r="J117" s="22">
        <f t="shared" si="5"/>
        <v>6.2993055555562</v>
      </c>
      <c r="K117" s="22">
        <f t="shared" si="6"/>
        <v>151.183333333349</v>
      </c>
      <c r="L117" s="22">
        <f t="shared" si="7"/>
        <v>55.1833333333489</v>
      </c>
      <c r="M117" s="22" cm="1">
        <f ca="1" t="array" ref="M117">SUMPRODUCT(--(WEEKDAY(ROW(INDIRECT(INT(F117)&amp;":"&amp;INT(I117))),2)&gt;5))</f>
        <v>2</v>
      </c>
      <c r="N117" s="22">
        <f ca="1" t="shared" si="8"/>
        <v>39.1833333333489</v>
      </c>
      <c r="O117" s="22" t="str">
        <f ca="1" t="shared" si="9"/>
        <v>SLA Violated</v>
      </c>
      <c r="P117" s="23" t="s">
        <v>540</v>
      </c>
      <c r="Q117" s="24" t="s">
        <v>28</v>
      </c>
      <c r="R117" s="25"/>
      <c r="S117" s="25"/>
    </row>
    <row r="118" ht="27" customHeight="1" spans="1:20">
      <c r="A118" s="19" t="s">
        <v>541</v>
      </c>
      <c r="B118" s="20" t="s">
        <v>30</v>
      </c>
      <c r="C118" s="20" t="s">
        <v>67</v>
      </c>
      <c r="D118" s="20" t="s">
        <v>32</v>
      </c>
      <c r="E118" s="21" t="s">
        <v>542</v>
      </c>
      <c r="F118" s="21" t="s">
        <v>543</v>
      </c>
      <c r="G118" s="20" t="s">
        <v>35</v>
      </c>
      <c r="H118" s="20" t="s">
        <v>25</v>
      </c>
      <c r="I118" s="21" t="s">
        <v>544</v>
      </c>
      <c r="J118" s="22">
        <f t="shared" si="5"/>
        <v>3.9152777777781</v>
      </c>
      <c r="K118" s="22">
        <f t="shared" si="6"/>
        <v>93.9666666666744</v>
      </c>
      <c r="L118" s="22">
        <f t="shared" si="7"/>
        <v>29.9666666666744</v>
      </c>
      <c r="M118" s="22" cm="1">
        <f ca="1" t="array" ref="M118">SUMPRODUCT(--(WEEKDAY(ROW(INDIRECT(INT(F118)&amp;":"&amp;INT(I118))),2)&gt;5))</f>
        <v>2</v>
      </c>
      <c r="N118" s="22">
        <f ca="1" t="shared" si="8"/>
        <v>13.9666666666744</v>
      </c>
      <c r="O118" s="22" t="str">
        <f ca="1" t="shared" si="9"/>
        <v>SLA Violated</v>
      </c>
      <c r="P118" s="23" t="s">
        <v>545</v>
      </c>
      <c r="Q118" s="24" t="s">
        <v>28</v>
      </c>
      <c r="R118" s="25"/>
      <c r="S118" s="25"/>
      <c r="T118" s="27"/>
    </row>
    <row r="119" ht="39" customHeight="1" spans="1:20">
      <c r="A119" s="19" t="s">
        <v>546</v>
      </c>
      <c r="B119" s="20" t="s">
        <v>19</v>
      </c>
      <c r="C119" s="20" t="s">
        <v>20</v>
      </c>
      <c r="D119" s="20" t="s">
        <v>32</v>
      </c>
      <c r="E119" s="21" t="s">
        <v>547</v>
      </c>
      <c r="F119" s="21" t="s">
        <v>548</v>
      </c>
      <c r="G119" s="20" t="s">
        <v>35</v>
      </c>
      <c r="H119" s="20" t="s">
        <v>25</v>
      </c>
      <c r="I119" s="21" t="s">
        <v>549</v>
      </c>
      <c r="J119" s="22">
        <f t="shared" si="5"/>
        <v>7.125</v>
      </c>
      <c r="K119" s="22">
        <f t="shared" si="6"/>
        <v>171</v>
      </c>
      <c r="L119" s="22">
        <f t="shared" si="7"/>
        <v>59</v>
      </c>
      <c r="M119" s="22" cm="1">
        <f ca="1" t="array" ref="M119">SUMPRODUCT(--(WEEKDAY(ROW(INDIRECT(INT(F119)&amp;":"&amp;INT(I119))),2)&gt;5))</f>
        <v>2</v>
      </c>
      <c r="N119" s="22">
        <f ca="1" t="shared" si="8"/>
        <v>43</v>
      </c>
      <c r="O119" s="22" t="str">
        <f ca="1" t="shared" si="9"/>
        <v>SLA Violated</v>
      </c>
      <c r="P119" s="23" t="s">
        <v>550</v>
      </c>
      <c r="Q119" s="24" t="s">
        <v>28</v>
      </c>
      <c r="R119" s="25"/>
      <c r="S119" s="25"/>
    </row>
    <row r="120" ht="27" customHeight="1" spans="1:20">
      <c r="A120" s="19" t="s">
        <v>551</v>
      </c>
      <c r="B120" s="20" t="s">
        <v>30</v>
      </c>
      <c r="C120" s="20" t="s">
        <v>31</v>
      </c>
      <c r="D120" s="20" t="s">
        <v>21</v>
      </c>
      <c r="E120" s="21" t="s">
        <v>552</v>
      </c>
      <c r="F120" s="21" t="s">
        <v>553</v>
      </c>
      <c r="G120" s="20" t="s">
        <v>35</v>
      </c>
      <c r="H120" s="20" t="s">
        <v>25</v>
      </c>
      <c r="I120" s="21" t="s">
        <v>554</v>
      </c>
      <c r="J120" s="22">
        <f t="shared" si="5"/>
        <v>3.08402777777519</v>
      </c>
      <c r="K120" s="22">
        <f t="shared" si="6"/>
        <v>74.0166666666046</v>
      </c>
      <c r="L120" s="22">
        <f t="shared" si="7"/>
        <v>26.0166666666046</v>
      </c>
      <c r="M120" s="22" cm="1">
        <f ca="1" t="array" ref="M120">SUMPRODUCT(--(WEEKDAY(ROW(INDIRECT(INT(F120)&amp;":"&amp;INT(I120))),2)&gt;5))</f>
        <v>2</v>
      </c>
      <c r="N120" s="22">
        <f ca="1" t="shared" si="8"/>
        <v>10.0166666666046</v>
      </c>
      <c r="O120" s="22" t="str">
        <f ca="1" t="shared" si="9"/>
        <v>SLA Violated</v>
      </c>
      <c r="P120" s="23" t="s">
        <v>555</v>
      </c>
      <c r="Q120" s="24" t="s">
        <v>28</v>
      </c>
      <c r="R120" s="25"/>
      <c r="S120" s="25"/>
    </row>
    <row r="121" ht="27" customHeight="1" spans="1:20">
      <c r="A121" s="19" t="s">
        <v>556</v>
      </c>
      <c r="B121" s="20" t="s">
        <v>30</v>
      </c>
      <c r="C121" s="20" t="s">
        <v>67</v>
      </c>
      <c r="D121" s="20" t="s">
        <v>32</v>
      </c>
      <c r="E121" s="21" t="s">
        <v>557</v>
      </c>
      <c r="F121" s="21" t="s">
        <v>558</v>
      </c>
      <c r="G121" s="20" t="s">
        <v>35</v>
      </c>
      <c r="H121" s="20" t="s">
        <v>25</v>
      </c>
      <c r="I121" s="21" t="s">
        <v>559</v>
      </c>
      <c r="J121" s="22">
        <f t="shared" si="5"/>
        <v>3.17500000000291</v>
      </c>
      <c r="K121" s="22">
        <f t="shared" si="6"/>
        <v>76.2000000000698</v>
      </c>
      <c r="L121" s="22">
        <f t="shared" si="7"/>
        <v>28.2000000000698</v>
      </c>
      <c r="M121" s="22" cm="1">
        <f ca="1" t="array" ref="M121">SUMPRODUCT(--(WEEKDAY(ROW(INDIRECT(INT(F121)&amp;":"&amp;INT(I121))),2)&gt;5))</f>
        <v>2</v>
      </c>
      <c r="N121" s="22">
        <f ca="1" t="shared" si="8"/>
        <v>12.2000000000698</v>
      </c>
      <c r="O121" s="22" t="str">
        <f ca="1" t="shared" si="9"/>
        <v>SLA Violated</v>
      </c>
      <c r="P121" s="23" t="s">
        <v>560</v>
      </c>
      <c r="Q121" s="24" t="s">
        <v>28</v>
      </c>
      <c r="R121" s="25"/>
      <c r="S121" s="25"/>
      <c r="T121" s="27"/>
    </row>
    <row r="122" ht="39" customHeight="1" spans="1:20">
      <c r="A122" s="19" t="s">
        <v>561</v>
      </c>
      <c r="B122" s="20" t="s">
        <v>19</v>
      </c>
      <c r="C122" s="20" t="s">
        <v>20</v>
      </c>
      <c r="D122" s="20" t="s">
        <v>32</v>
      </c>
      <c r="E122" s="21" t="s">
        <v>562</v>
      </c>
      <c r="F122" s="21" t="s">
        <v>563</v>
      </c>
      <c r="G122" s="20" t="s">
        <v>35</v>
      </c>
      <c r="H122" s="20" t="s">
        <v>25</v>
      </c>
      <c r="I122" s="21" t="s">
        <v>564</v>
      </c>
      <c r="J122" s="22">
        <f t="shared" si="5"/>
        <v>3.10208333333139</v>
      </c>
      <c r="K122" s="22">
        <f t="shared" si="6"/>
        <v>74.4499999999534</v>
      </c>
      <c r="L122" s="22">
        <f t="shared" si="7"/>
        <v>26.4499999999534</v>
      </c>
      <c r="M122" s="22" cm="1">
        <f ca="1" t="array" ref="M122">SUMPRODUCT(--(WEEKDAY(ROW(INDIRECT(INT(F122)&amp;":"&amp;INT(I122))),2)&gt;5))</f>
        <v>2</v>
      </c>
      <c r="N122" s="22">
        <f ca="1" t="shared" si="8"/>
        <v>10.4499999999534</v>
      </c>
      <c r="O122" s="22" t="str">
        <f ca="1" t="shared" si="9"/>
        <v>Within SLA</v>
      </c>
      <c r="P122" s="26" t="s">
        <v>561</v>
      </c>
      <c r="Q122" s="24" t="s">
        <v>37</v>
      </c>
      <c r="R122" s="25"/>
      <c r="S122" s="25"/>
    </row>
    <row r="123" ht="39" customHeight="1" spans="1:20">
      <c r="A123" s="19" t="s">
        <v>565</v>
      </c>
      <c r="B123" s="20" t="s">
        <v>19</v>
      </c>
      <c r="C123" s="20" t="s">
        <v>20</v>
      </c>
      <c r="D123" s="20" t="s">
        <v>32</v>
      </c>
      <c r="E123" s="21" t="s">
        <v>566</v>
      </c>
      <c r="F123" s="21" t="s">
        <v>567</v>
      </c>
      <c r="G123" s="20" t="s">
        <v>35</v>
      </c>
      <c r="H123" s="20" t="s">
        <v>25</v>
      </c>
      <c r="I123" s="21" t="s">
        <v>568</v>
      </c>
      <c r="J123" s="22">
        <f t="shared" si="5"/>
        <v>34.3465277777796</v>
      </c>
      <c r="K123" s="22">
        <f t="shared" si="6"/>
        <v>824.316666666709</v>
      </c>
      <c r="L123" s="22">
        <f t="shared" si="7"/>
        <v>280.316666666709</v>
      </c>
      <c r="M123" s="22" cm="1">
        <f ca="1" t="array" ref="M123">SUMPRODUCT(--(WEEKDAY(ROW(INDIRECT(INT(F123)&amp;":"&amp;INT(I123))),2)&gt;5))</f>
        <v>10</v>
      </c>
      <c r="N123" s="22">
        <f ca="1" t="shared" si="8"/>
        <v>200.316666666709</v>
      </c>
      <c r="O123" s="22" t="str">
        <f ca="1" t="shared" si="9"/>
        <v>SLA Violated</v>
      </c>
      <c r="P123" s="23" t="s">
        <v>569</v>
      </c>
      <c r="Q123" s="24" t="s">
        <v>28</v>
      </c>
      <c r="R123" s="25"/>
      <c r="S123" s="25"/>
    </row>
    <row r="124" ht="27" customHeight="1" spans="1:20">
      <c r="A124" s="19" t="s">
        <v>570</v>
      </c>
      <c r="B124" s="20" t="s">
        <v>30</v>
      </c>
      <c r="C124" s="20" t="s">
        <v>46</v>
      </c>
      <c r="D124" s="20" t="s">
        <v>32</v>
      </c>
      <c r="E124" s="21" t="s">
        <v>571</v>
      </c>
      <c r="F124" s="21" t="s">
        <v>572</v>
      </c>
      <c r="G124" s="20" t="s">
        <v>35</v>
      </c>
      <c r="H124" s="20" t="s">
        <v>25</v>
      </c>
      <c r="I124" s="21" t="s">
        <v>573</v>
      </c>
      <c r="J124" s="22">
        <f t="shared" si="5"/>
        <v>0.0555555555547471</v>
      </c>
      <c r="K124" s="22">
        <f t="shared" si="6"/>
        <v>1.33333333331393</v>
      </c>
      <c r="L124" s="22">
        <f t="shared" si="7"/>
        <v>1.33333333331393</v>
      </c>
      <c r="M124" s="22" cm="1">
        <f ca="1" t="array" ref="M124">SUMPRODUCT(--(WEEKDAY(ROW(INDIRECT(INT(F124)&amp;":"&amp;INT(I124))),2)&gt;5))</f>
        <v>0</v>
      </c>
      <c r="N124" s="22">
        <f ca="1" t="shared" si="8"/>
        <v>1.33333333331393</v>
      </c>
      <c r="O124" s="22" t="str">
        <f ca="1" t="shared" si="9"/>
        <v>Within SLA</v>
      </c>
      <c r="P124" s="26" t="s">
        <v>570</v>
      </c>
      <c r="Q124" s="24" t="s">
        <v>37</v>
      </c>
      <c r="R124" s="25"/>
      <c r="S124" s="25"/>
    </row>
    <row r="125" ht="27" customHeight="1" spans="1:20">
      <c r="A125" s="19" t="s">
        <v>574</v>
      </c>
      <c r="B125" s="20" t="s">
        <v>30</v>
      </c>
      <c r="C125" s="20" t="s">
        <v>31</v>
      </c>
      <c r="D125" s="20" t="s">
        <v>32</v>
      </c>
      <c r="E125" s="21" t="s">
        <v>575</v>
      </c>
      <c r="F125" s="21" t="s">
        <v>576</v>
      </c>
      <c r="G125" s="20" t="s">
        <v>35</v>
      </c>
      <c r="H125" s="20" t="s">
        <v>25</v>
      </c>
      <c r="I125" s="21" t="s">
        <v>577</v>
      </c>
      <c r="J125" s="22">
        <f t="shared" si="5"/>
        <v>0.0437500000043656</v>
      </c>
      <c r="K125" s="22">
        <f t="shared" si="6"/>
        <v>1.05000000010477</v>
      </c>
      <c r="L125" s="22">
        <f t="shared" si="7"/>
        <v>1.05000000010477</v>
      </c>
      <c r="M125" s="22" cm="1">
        <f ca="1" t="array" ref="M125">SUMPRODUCT(--(WEEKDAY(ROW(INDIRECT(INT(F125)&amp;":"&amp;INT(I125))),2)&gt;5))</f>
        <v>0</v>
      </c>
      <c r="N125" s="22">
        <f ca="1" t="shared" si="8"/>
        <v>1.05000000010477</v>
      </c>
      <c r="O125" s="22" t="str">
        <f ca="1" t="shared" si="9"/>
        <v>Within SLA</v>
      </c>
      <c r="P125" s="26" t="s">
        <v>574</v>
      </c>
      <c r="Q125" s="24" t="s">
        <v>37</v>
      </c>
      <c r="R125" s="25"/>
      <c r="S125" s="25"/>
    </row>
    <row r="126" ht="27" customHeight="1" spans="1:20">
      <c r="A126" s="19" t="s">
        <v>578</v>
      </c>
      <c r="B126" s="20" t="s">
        <v>121</v>
      </c>
      <c r="C126" s="20" t="s">
        <v>46</v>
      </c>
      <c r="D126" s="20" t="s">
        <v>21</v>
      </c>
      <c r="E126" s="21" t="s">
        <v>575</v>
      </c>
      <c r="F126" s="21" t="s">
        <v>579</v>
      </c>
      <c r="G126" s="20" t="s">
        <v>35</v>
      </c>
      <c r="H126" s="20" t="s">
        <v>25</v>
      </c>
      <c r="I126" s="21" t="s">
        <v>580</v>
      </c>
      <c r="J126" s="22">
        <f t="shared" si="5"/>
        <v>0.0118055555576575</v>
      </c>
      <c r="K126" s="22">
        <f t="shared" si="6"/>
        <v>0.28333333338378</v>
      </c>
      <c r="L126" s="22">
        <f t="shared" si="7"/>
        <v>0.28333333338378</v>
      </c>
      <c r="M126" s="22" cm="1">
        <f ca="1" t="array" ref="M126">SUMPRODUCT(--(WEEKDAY(ROW(INDIRECT(INT(F126)&amp;":"&amp;INT(I126))),2)&gt;5))</f>
        <v>0</v>
      </c>
      <c r="N126" s="22">
        <f ca="1" t="shared" si="8"/>
        <v>0.28333333338378</v>
      </c>
      <c r="O126" s="22" t="str">
        <f ca="1" t="shared" si="9"/>
        <v>Within SLA</v>
      </c>
      <c r="P126" s="26" t="s">
        <v>578</v>
      </c>
      <c r="Q126" s="24" t="s">
        <v>37</v>
      </c>
      <c r="R126" s="25"/>
      <c r="S126" s="25"/>
    </row>
    <row r="127" ht="50" customHeight="1" spans="1:20">
      <c r="A127" s="19" t="s">
        <v>581</v>
      </c>
      <c r="B127" s="20" t="s">
        <v>369</v>
      </c>
      <c r="C127" s="20" t="s">
        <v>46</v>
      </c>
      <c r="D127" s="20" t="s">
        <v>32</v>
      </c>
      <c r="E127" s="21" t="s">
        <v>580</v>
      </c>
      <c r="F127" s="21" t="s">
        <v>582</v>
      </c>
      <c r="G127" s="20" t="s">
        <v>35</v>
      </c>
      <c r="H127" s="20" t="s">
        <v>25</v>
      </c>
      <c r="I127" s="21" t="s">
        <v>583</v>
      </c>
      <c r="J127" s="22">
        <f t="shared" si="5"/>
        <v>0.038888888891961</v>
      </c>
      <c r="K127" s="22">
        <f t="shared" si="6"/>
        <v>0.933333333407063</v>
      </c>
      <c r="L127" s="22">
        <f t="shared" si="7"/>
        <v>0.933333333407063</v>
      </c>
      <c r="M127" s="22" cm="1">
        <f ca="1" t="array" ref="M127">SUMPRODUCT(--(WEEKDAY(ROW(INDIRECT(INT(F127)&amp;":"&amp;INT(I127))),2)&gt;5))</f>
        <v>0</v>
      </c>
      <c r="N127" s="22">
        <f ca="1" t="shared" si="8"/>
        <v>0.933333333407063</v>
      </c>
      <c r="O127" s="22" t="str">
        <f ca="1" t="shared" si="9"/>
        <v>Within SLA</v>
      </c>
      <c r="P127" s="26" t="s">
        <v>581</v>
      </c>
      <c r="Q127" s="24" t="s">
        <v>37</v>
      </c>
      <c r="R127" s="25"/>
      <c r="S127" s="25"/>
    </row>
    <row r="128" ht="27" customHeight="1" spans="1:20">
      <c r="A128" s="19" t="s">
        <v>584</v>
      </c>
      <c r="B128" s="20" t="s">
        <v>30</v>
      </c>
      <c r="C128" s="20" t="s">
        <v>67</v>
      </c>
      <c r="D128" s="20" t="s">
        <v>32</v>
      </c>
      <c r="E128" s="21" t="s">
        <v>580</v>
      </c>
      <c r="F128" s="21" t="s">
        <v>585</v>
      </c>
      <c r="G128" s="20" t="s">
        <v>35</v>
      </c>
      <c r="H128" s="20" t="s">
        <v>25</v>
      </c>
      <c r="I128" s="21" t="s">
        <v>586</v>
      </c>
      <c r="J128" s="22">
        <f t="shared" si="5"/>
        <v>3.18958333334012</v>
      </c>
      <c r="K128" s="22">
        <f t="shared" si="6"/>
        <v>76.550000000163</v>
      </c>
      <c r="L128" s="22">
        <f t="shared" si="7"/>
        <v>28.550000000163</v>
      </c>
      <c r="M128" s="22" cm="1">
        <f ca="1" t="array" ref="M128">SUMPRODUCT(--(WEEKDAY(ROW(INDIRECT(INT(F128)&amp;":"&amp;INT(I128))),2)&gt;5))</f>
        <v>2</v>
      </c>
      <c r="N128" s="22">
        <f ca="1" t="shared" si="8"/>
        <v>12.550000000163</v>
      </c>
      <c r="O128" s="22" t="str">
        <f ca="1" t="shared" si="9"/>
        <v>SLA Violated</v>
      </c>
      <c r="P128" s="23" t="s">
        <v>587</v>
      </c>
      <c r="Q128" s="24" t="s">
        <v>28</v>
      </c>
      <c r="R128" s="25"/>
      <c r="S128" s="25"/>
      <c r="T128" s="27"/>
    </row>
    <row r="129" ht="27" customHeight="1" spans="1:20">
      <c r="A129" s="19" t="s">
        <v>588</v>
      </c>
      <c r="B129" s="20" t="s">
        <v>30</v>
      </c>
      <c r="C129" s="20" t="s">
        <v>67</v>
      </c>
      <c r="D129" s="20" t="s">
        <v>32</v>
      </c>
      <c r="E129" s="21" t="s">
        <v>589</v>
      </c>
      <c r="F129" s="21" t="s">
        <v>590</v>
      </c>
      <c r="G129" s="20" t="s">
        <v>35</v>
      </c>
      <c r="H129" s="20" t="s">
        <v>25</v>
      </c>
      <c r="I129" s="21" t="s">
        <v>591</v>
      </c>
      <c r="J129" s="22">
        <f t="shared" si="5"/>
        <v>3.18125000000146</v>
      </c>
      <c r="K129" s="22">
        <f t="shared" si="6"/>
        <v>76.3500000000349</v>
      </c>
      <c r="L129" s="22">
        <f t="shared" si="7"/>
        <v>28.3500000000349</v>
      </c>
      <c r="M129" s="22" cm="1">
        <f ca="1" t="array" ref="M129">SUMPRODUCT(--(WEEKDAY(ROW(INDIRECT(INT(F129)&amp;":"&amp;INT(I129))),2)&gt;5))</f>
        <v>2</v>
      </c>
      <c r="N129" s="22">
        <f ca="1" t="shared" si="8"/>
        <v>12.3500000000349</v>
      </c>
      <c r="O129" s="22" t="str">
        <f ca="1" t="shared" si="9"/>
        <v>SLA Violated</v>
      </c>
      <c r="P129" s="23" t="s">
        <v>592</v>
      </c>
      <c r="Q129" s="24" t="s">
        <v>28</v>
      </c>
      <c r="R129" s="25"/>
      <c r="S129" s="25"/>
      <c r="T129" s="27"/>
    </row>
    <row r="130" ht="27" customHeight="1" spans="1:20">
      <c r="A130" s="19" t="s">
        <v>593</v>
      </c>
      <c r="B130" s="20" t="s">
        <v>30</v>
      </c>
      <c r="C130" s="20" t="s">
        <v>31</v>
      </c>
      <c r="D130" s="20" t="s">
        <v>21</v>
      </c>
      <c r="E130" s="21" t="s">
        <v>594</v>
      </c>
      <c r="F130" s="21" t="s">
        <v>595</v>
      </c>
      <c r="G130" s="20" t="s">
        <v>35</v>
      </c>
      <c r="H130" s="20" t="s">
        <v>25</v>
      </c>
      <c r="I130" s="21" t="s">
        <v>596</v>
      </c>
      <c r="J130" s="22">
        <f t="shared" si="5"/>
        <v>11.2472222222204</v>
      </c>
      <c r="K130" s="22">
        <f t="shared" si="6"/>
        <v>269.933333333291</v>
      </c>
      <c r="L130" s="22">
        <f t="shared" si="7"/>
        <v>93.9333333332906</v>
      </c>
      <c r="M130" s="22" cm="1">
        <f ca="1" t="array" ref="M130">SUMPRODUCT(--(WEEKDAY(ROW(INDIRECT(INT(F130)&amp;":"&amp;INT(I130))),2)&gt;5))</f>
        <v>4</v>
      </c>
      <c r="N130" s="22">
        <f ca="1" t="shared" si="8"/>
        <v>61.9333333332906</v>
      </c>
      <c r="O130" s="22" t="str">
        <f ca="1" t="shared" si="9"/>
        <v>SLA Violated</v>
      </c>
      <c r="P130" s="26" t="s">
        <v>593</v>
      </c>
      <c r="Q130" s="24" t="s">
        <v>37</v>
      </c>
      <c r="R130" s="6" t="s">
        <v>597</v>
      </c>
      <c r="S130" s="25" t="s">
        <v>39</v>
      </c>
    </row>
    <row r="131" ht="39" customHeight="1" spans="1:20">
      <c r="A131" s="19" t="s">
        <v>598</v>
      </c>
      <c r="B131" s="20" t="s">
        <v>19</v>
      </c>
      <c r="C131" s="20" t="s">
        <v>20</v>
      </c>
      <c r="D131" s="20" t="s">
        <v>32</v>
      </c>
      <c r="E131" s="21" t="s">
        <v>599</v>
      </c>
      <c r="F131" s="21" t="s">
        <v>600</v>
      </c>
      <c r="G131" s="20" t="s">
        <v>35</v>
      </c>
      <c r="H131" s="20" t="s">
        <v>25</v>
      </c>
      <c r="I131" s="21" t="s">
        <v>601</v>
      </c>
      <c r="J131" s="22">
        <f t="shared" ref="J131:J194" si="10">F131-I131</f>
        <v>26.2770833333343</v>
      </c>
      <c r="K131" s="22">
        <f t="shared" ref="K131:K194" si="11">J131*24</f>
        <v>630.650000000023</v>
      </c>
      <c r="L131" s="22">
        <f t="shared" ref="L131:L194" si="12">IF(_xlfn.DAYS(F131,I131)&gt;0,K131-IF(FLOOR(J131,1)=0,1,_xlfn.DAYS(F131,I131))*16,K131)</f>
        <v>214.650000000023</v>
      </c>
      <c r="M131" s="22" cm="1">
        <f ca="1" t="array" ref="M131">SUMPRODUCT(--(WEEKDAY(ROW(INDIRECT(INT(F131)&amp;":"&amp;INT(I131))),2)&gt;5))</f>
        <v>8</v>
      </c>
      <c r="N131" s="22">
        <f ca="1" t="shared" ref="N131:N194" si="13">IF(IF(M131&gt;0,L131-M131*8,L131)&lt;0,0,IF(M131&gt;0,L131-M131*8,L131))</f>
        <v>150.650000000023</v>
      </c>
      <c r="O131" s="22" t="str">
        <f ca="1" t="shared" ref="O131:O194" si="14">IF(OR(AND(D131="P1",N131&lt;=3),AND(D131="P2",N131&lt;=6),AND(D131="P3",N131&lt;=9),AND(D131="P4",N131&lt;=12)),"Within SLA","SLA Violated")</f>
        <v>SLA Violated</v>
      </c>
      <c r="P131" s="23" t="s">
        <v>602</v>
      </c>
      <c r="Q131" s="24" t="s">
        <v>28</v>
      </c>
      <c r="R131" s="25"/>
      <c r="S131" s="25"/>
    </row>
    <row r="132" ht="50" customHeight="1" spans="1:20">
      <c r="A132" s="19" t="s">
        <v>603</v>
      </c>
      <c r="B132" s="20" t="s">
        <v>369</v>
      </c>
      <c r="C132" s="20" t="s">
        <v>46</v>
      </c>
      <c r="D132" s="20" t="s">
        <v>32</v>
      </c>
      <c r="E132" s="21" t="s">
        <v>604</v>
      </c>
      <c r="F132" s="21" t="s">
        <v>605</v>
      </c>
      <c r="G132" s="20" t="s">
        <v>35</v>
      </c>
      <c r="H132" s="20" t="s">
        <v>25</v>
      </c>
      <c r="I132" s="21" t="s">
        <v>606</v>
      </c>
      <c r="J132" s="22">
        <f t="shared" si="10"/>
        <v>0.0368055555518367</v>
      </c>
      <c r="K132" s="22">
        <f t="shared" si="11"/>
        <v>0.883333333244082</v>
      </c>
      <c r="L132" s="22">
        <f t="shared" si="12"/>
        <v>0.883333333244082</v>
      </c>
      <c r="M132" s="22" cm="1">
        <f ca="1" t="array" ref="M132">SUMPRODUCT(--(WEEKDAY(ROW(INDIRECT(INT(F132)&amp;":"&amp;INT(I132))),2)&gt;5))</f>
        <v>0</v>
      </c>
      <c r="N132" s="22">
        <f ca="1" t="shared" si="13"/>
        <v>0.883333333244082</v>
      </c>
      <c r="O132" s="22" t="str">
        <f ca="1" t="shared" si="14"/>
        <v>Within SLA</v>
      </c>
      <c r="P132" s="26" t="s">
        <v>603</v>
      </c>
      <c r="Q132" s="24" t="s">
        <v>37</v>
      </c>
      <c r="R132" s="25"/>
      <c r="S132" s="25"/>
    </row>
    <row r="133" ht="39" customHeight="1" spans="1:20">
      <c r="A133" s="19" t="s">
        <v>607</v>
      </c>
      <c r="B133" s="20" t="s">
        <v>19</v>
      </c>
      <c r="C133" s="20" t="s">
        <v>20</v>
      </c>
      <c r="D133" s="20" t="s">
        <v>32</v>
      </c>
      <c r="E133" s="21" t="s">
        <v>604</v>
      </c>
      <c r="F133" s="21" t="s">
        <v>608</v>
      </c>
      <c r="G133" s="20" t="s">
        <v>35</v>
      </c>
      <c r="H133" s="20" t="s">
        <v>25</v>
      </c>
      <c r="I133" s="21" t="s">
        <v>609</v>
      </c>
      <c r="J133" s="22">
        <f t="shared" si="10"/>
        <v>0.163194444445253</v>
      </c>
      <c r="K133" s="22">
        <f t="shared" si="11"/>
        <v>3.91666666668607</v>
      </c>
      <c r="L133" s="22">
        <f t="shared" si="12"/>
        <v>3.91666666668607</v>
      </c>
      <c r="M133" s="22" cm="1">
        <f ca="1" t="array" ref="M133">SUMPRODUCT(--(WEEKDAY(ROW(INDIRECT(INT(F133)&amp;":"&amp;INT(I133))),2)&gt;5))</f>
        <v>0</v>
      </c>
      <c r="N133" s="22">
        <f ca="1" t="shared" si="13"/>
        <v>3.91666666668607</v>
      </c>
      <c r="O133" s="22" t="str">
        <f ca="1" t="shared" si="14"/>
        <v>Within SLA</v>
      </c>
      <c r="P133" s="26" t="s">
        <v>607</v>
      </c>
      <c r="Q133" s="24" t="s">
        <v>37</v>
      </c>
      <c r="R133" s="25"/>
      <c r="S133" s="25"/>
    </row>
    <row r="134" ht="50" customHeight="1" spans="1:20">
      <c r="A134" s="19" t="s">
        <v>610</v>
      </c>
      <c r="B134" s="20" t="s">
        <v>369</v>
      </c>
      <c r="C134" s="20" t="s">
        <v>46</v>
      </c>
      <c r="D134" s="20" t="s">
        <v>32</v>
      </c>
      <c r="E134" s="21" t="s">
        <v>604</v>
      </c>
      <c r="F134" s="21" t="s">
        <v>611</v>
      </c>
      <c r="G134" s="20" t="s">
        <v>35</v>
      </c>
      <c r="H134" s="20" t="s">
        <v>25</v>
      </c>
      <c r="I134" s="21" t="s">
        <v>612</v>
      </c>
      <c r="J134" s="22">
        <f t="shared" si="10"/>
        <v>0.03125</v>
      </c>
      <c r="K134" s="22">
        <f t="shared" si="11"/>
        <v>0.75</v>
      </c>
      <c r="L134" s="22">
        <f t="shared" si="12"/>
        <v>0.75</v>
      </c>
      <c r="M134" s="22" cm="1">
        <f ca="1" t="array" ref="M134">SUMPRODUCT(--(WEEKDAY(ROW(INDIRECT(INT(F134)&amp;":"&amp;INT(I134))),2)&gt;5))</f>
        <v>0</v>
      </c>
      <c r="N134" s="22">
        <f ca="1" t="shared" si="13"/>
        <v>0.75</v>
      </c>
      <c r="O134" s="22" t="str">
        <f ca="1" t="shared" si="14"/>
        <v>Within SLA</v>
      </c>
      <c r="P134" s="26" t="s">
        <v>610</v>
      </c>
      <c r="Q134" s="24" t="s">
        <v>37</v>
      </c>
      <c r="R134" s="25"/>
      <c r="S134" s="25"/>
    </row>
    <row r="135" ht="27" customHeight="1" spans="1:20">
      <c r="A135" s="19" t="s">
        <v>613</v>
      </c>
      <c r="B135" s="20" t="s">
        <v>30</v>
      </c>
      <c r="C135" s="20" t="s">
        <v>46</v>
      </c>
      <c r="D135" s="20" t="s">
        <v>32</v>
      </c>
      <c r="E135" s="21" t="s">
        <v>614</v>
      </c>
      <c r="F135" s="21" t="s">
        <v>615</v>
      </c>
      <c r="G135" s="20" t="s">
        <v>35</v>
      </c>
      <c r="H135" s="20" t="s">
        <v>25</v>
      </c>
      <c r="I135" s="21" t="s">
        <v>616</v>
      </c>
      <c r="J135" s="22">
        <f t="shared" si="10"/>
        <v>4.96041666666861</v>
      </c>
      <c r="K135" s="22">
        <f t="shared" si="11"/>
        <v>119.050000000047</v>
      </c>
      <c r="L135" s="22">
        <f t="shared" si="12"/>
        <v>39.0500000000466</v>
      </c>
      <c r="M135" s="22" cm="1">
        <f ca="1" t="array" ref="M135">SUMPRODUCT(--(WEEKDAY(ROW(INDIRECT(INT(F135)&amp;":"&amp;INT(I135))),2)&gt;5))</f>
        <v>2</v>
      </c>
      <c r="N135" s="22">
        <f ca="1" t="shared" si="13"/>
        <v>23.0500000000466</v>
      </c>
      <c r="O135" s="22" t="str">
        <f ca="1" t="shared" si="14"/>
        <v>SLA Violated</v>
      </c>
      <c r="P135" s="23" t="s">
        <v>617</v>
      </c>
      <c r="Q135" s="24" t="s">
        <v>37</v>
      </c>
      <c r="R135" s="25" t="s">
        <v>618</v>
      </c>
      <c r="S135" s="25"/>
    </row>
    <row r="136" ht="39" customHeight="1" spans="1:20">
      <c r="A136" s="19" t="s">
        <v>619</v>
      </c>
      <c r="B136" s="20" t="s">
        <v>19</v>
      </c>
      <c r="C136" s="20" t="s">
        <v>20</v>
      </c>
      <c r="D136" s="20" t="s">
        <v>32</v>
      </c>
      <c r="E136" s="21" t="s">
        <v>620</v>
      </c>
      <c r="F136" s="21" t="s">
        <v>621</v>
      </c>
      <c r="G136" s="20" t="s">
        <v>35</v>
      </c>
      <c r="H136" s="20" t="s">
        <v>25</v>
      </c>
      <c r="I136" s="21" t="s">
        <v>622</v>
      </c>
      <c r="J136" s="22">
        <f t="shared" si="10"/>
        <v>34.3173611111124</v>
      </c>
      <c r="K136" s="22">
        <f t="shared" si="11"/>
        <v>823.616666666698</v>
      </c>
      <c r="L136" s="22">
        <f t="shared" si="12"/>
        <v>279.616666666698</v>
      </c>
      <c r="M136" s="22" cm="1">
        <f ca="1" t="array" ref="M136">SUMPRODUCT(--(WEEKDAY(ROW(INDIRECT(INT(F136)&amp;":"&amp;INT(I136))),2)&gt;5))</f>
        <v>10</v>
      </c>
      <c r="N136" s="22">
        <f ca="1" t="shared" si="13"/>
        <v>199.616666666698</v>
      </c>
      <c r="O136" s="22" t="str">
        <f ca="1" t="shared" si="14"/>
        <v>SLA Violated</v>
      </c>
      <c r="P136" s="23" t="s">
        <v>623</v>
      </c>
      <c r="Q136" s="24" t="s">
        <v>28</v>
      </c>
      <c r="R136" s="25"/>
      <c r="S136" s="25"/>
    </row>
    <row r="137" ht="39" customHeight="1" spans="1:20">
      <c r="A137" s="19" t="s">
        <v>624</v>
      </c>
      <c r="B137" s="20" t="s">
        <v>19</v>
      </c>
      <c r="C137" s="20" t="s">
        <v>20</v>
      </c>
      <c r="D137" s="20" t="s">
        <v>32</v>
      </c>
      <c r="E137" s="21" t="s">
        <v>625</v>
      </c>
      <c r="F137" s="21" t="s">
        <v>626</v>
      </c>
      <c r="G137" s="20" t="s">
        <v>35</v>
      </c>
      <c r="H137" s="20" t="s">
        <v>25</v>
      </c>
      <c r="I137" s="21" t="s">
        <v>472</v>
      </c>
      <c r="J137" s="22">
        <f t="shared" si="10"/>
        <v>34.309027777781</v>
      </c>
      <c r="K137" s="22">
        <f t="shared" si="11"/>
        <v>823.416666666744</v>
      </c>
      <c r="L137" s="22">
        <f t="shared" si="12"/>
        <v>279.416666666744</v>
      </c>
      <c r="M137" s="22" cm="1">
        <f ca="1" t="array" ref="M137">SUMPRODUCT(--(WEEKDAY(ROW(INDIRECT(INT(F137)&amp;":"&amp;INT(I137))),2)&gt;5))</f>
        <v>10</v>
      </c>
      <c r="N137" s="22">
        <f ca="1" t="shared" si="13"/>
        <v>199.416666666744</v>
      </c>
      <c r="O137" s="22" t="str">
        <f ca="1" t="shared" si="14"/>
        <v>SLA Violated</v>
      </c>
      <c r="P137" s="23" t="s">
        <v>627</v>
      </c>
      <c r="Q137" s="24" t="s">
        <v>28</v>
      </c>
      <c r="R137" s="25"/>
      <c r="S137" s="25"/>
    </row>
    <row r="138" ht="39" customHeight="1" spans="1:20">
      <c r="A138" s="19" t="s">
        <v>628</v>
      </c>
      <c r="B138" s="20" t="s">
        <v>19</v>
      </c>
      <c r="C138" s="20" t="s">
        <v>20</v>
      </c>
      <c r="D138" s="20" t="s">
        <v>32</v>
      </c>
      <c r="E138" s="21" t="s">
        <v>625</v>
      </c>
      <c r="F138" s="21" t="s">
        <v>629</v>
      </c>
      <c r="G138" s="20" t="s">
        <v>35</v>
      </c>
      <c r="H138" s="20" t="s">
        <v>25</v>
      </c>
      <c r="I138" s="21" t="s">
        <v>630</v>
      </c>
      <c r="J138" s="22">
        <f t="shared" si="10"/>
        <v>34.3111111111066</v>
      </c>
      <c r="K138" s="22">
        <f t="shared" si="11"/>
        <v>823.466666666558</v>
      </c>
      <c r="L138" s="22">
        <f t="shared" si="12"/>
        <v>279.466666666558</v>
      </c>
      <c r="M138" s="22" cm="1">
        <f ca="1" t="array" ref="M138">SUMPRODUCT(--(WEEKDAY(ROW(INDIRECT(INT(F138)&amp;":"&amp;INT(I138))),2)&gt;5))</f>
        <v>10</v>
      </c>
      <c r="N138" s="22">
        <f ca="1" t="shared" si="13"/>
        <v>199.466666666558</v>
      </c>
      <c r="O138" s="22" t="str">
        <f ca="1" t="shared" si="14"/>
        <v>SLA Violated</v>
      </c>
      <c r="P138" s="23" t="s">
        <v>631</v>
      </c>
      <c r="Q138" s="24" t="s">
        <v>28</v>
      </c>
      <c r="R138" s="25"/>
      <c r="S138" s="25"/>
    </row>
    <row r="139" ht="39" customHeight="1" spans="1:20">
      <c r="A139" s="19" t="s">
        <v>632</v>
      </c>
      <c r="B139" s="20" t="s">
        <v>19</v>
      </c>
      <c r="C139" s="20" t="s">
        <v>20</v>
      </c>
      <c r="D139" s="20" t="s">
        <v>32</v>
      </c>
      <c r="E139" s="21" t="s">
        <v>633</v>
      </c>
      <c r="F139" s="21" t="s">
        <v>634</v>
      </c>
      <c r="G139" s="20" t="s">
        <v>35</v>
      </c>
      <c r="H139" s="20" t="s">
        <v>25</v>
      </c>
      <c r="I139" s="21" t="s">
        <v>635</v>
      </c>
      <c r="J139" s="22">
        <f t="shared" si="10"/>
        <v>0.279166666667152</v>
      </c>
      <c r="K139" s="22">
        <f t="shared" si="11"/>
        <v>6.70000000001164</v>
      </c>
      <c r="L139" s="22">
        <f t="shared" si="12"/>
        <v>6.70000000001164</v>
      </c>
      <c r="M139" s="22" cm="1">
        <f ca="1" t="array" ref="M139">SUMPRODUCT(--(WEEKDAY(ROW(INDIRECT(INT(F139)&amp;":"&amp;INT(I139))),2)&gt;5))</f>
        <v>0</v>
      </c>
      <c r="N139" s="22">
        <f ca="1" t="shared" si="13"/>
        <v>6.70000000001164</v>
      </c>
      <c r="O139" s="22" t="str">
        <f ca="1" t="shared" si="14"/>
        <v>Within SLA</v>
      </c>
      <c r="P139" s="26" t="s">
        <v>632</v>
      </c>
      <c r="Q139" s="24" t="s">
        <v>37</v>
      </c>
      <c r="R139" s="25"/>
      <c r="S139" s="25"/>
    </row>
    <row r="140" ht="39" customHeight="1" spans="1:20">
      <c r="A140" s="19" t="s">
        <v>636</v>
      </c>
      <c r="B140" s="20" t="s">
        <v>196</v>
      </c>
      <c r="C140" s="20" t="s">
        <v>46</v>
      </c>
      <c r="D140" s="20" t="s">
        <v>32</v>
      </c>
      <c r="E140" s="21" t="s">
        <v>637</v>
      </c>
      <c r="F140" s="21" t="s">
        <v>638</v>
      </c>
      <c r="G140" s="20" t="s">
        <v>35</v>
      </c>
      <c r="H140" s="20" t="s">
        <v>25</v>
      </c>
      <c r="I140" s="21" t="s">
        <v>639</v>
      </c>
      <c r="J140" s="22">
        <f t="shared" si="10"/>
        <v>0.0750000000043656</v>
      </c>
      <c r="K140" s="22">
        <f t="shared" si="11"/>
        <v>1.80000000010477</v>
      </c>
      <c r="L140" s="22">
        <f t="shared" si="12"/>
        <v>1.80000000010477</v>
      </c>
      <c r="M140" s="22" cm="1">
        <f ca="1" t="array" ref="M140">SUMPRODUCT(--(WEEKDAY(ROW(INDIRECT(INT(F140)&amp;":"&amp;INT(I140))),2)&gt;5))</f>
        <v>0</v>
      </c>
      <c r="N140" s="22">
        <f ca="1" t="shared" si="13"/>
        <v>1.80000000010477</v>
      </c>
      <c r="O140" s="22" t="str">
        <f ca="1" t="shared" si="14"/>
        <v>Within SLA</v>
      </c>
      <c r="P140" s="26" t="s">
        <v>636</v>
      </c>
      <c r="Q140" s="24" t="s">
        <v>37</v>
      </c>
      <c r="R140" s="25"/>
      <c r="S140" s="25"/>
    </row>
    <row r="141" ht="39" customHeight="1" spans="1:20">
      <c r="A141" s="19" t="s">
        <v>640</v>
      </c>
      <c r="B141" s="20" t="s">
        <v>19</v>
      </c>
      <c r="C141" s="20" t="s">
        <v>20</v>
      </c>
      <c r="D141" s="20" t="s">
        <v>32</v>
      </c>
      <c r="E141" s="21" t="s">
        <v>576</v>
      </c>
      <c r="F141" s="21" t="s">
        <v>641</v>
      </c>
      <c r="G141" s="20" t="s">
        <v>35</v>
      </c>
      <c r="H141" s="20" t="s">
        <v>25</v>
      </c>
      <c r="I141" s="21" t="s">
        <v>642</v>
      </c>
      <c r="J141" s="22">
        <f t="shared" si="10"/>
        <v>2.29375000000437</v>
      </c>
      <c r="K141" s="22">
        <f t="shared" si="11"/>
        <v>55.0500000001048</v>
      </c>
      <c r="L141" s="22">
        <f t="shared" si="12"/>
        <v>23.0500000001048</v>
      </c>
      <c r="M141" s="22" cm="1">
        <f ca="1" t="array" ref="M141">SUMPRODUCT(--(WEEKDAY(ROW(INDIRECT(INT(F141)&amp;":"&amp;INT(I141))),2)&gt;5))</f>
        <v>2</v>
      </c>
      <c r="N141" s="22">
        <f ca="1" t="shared" si="13"/>
        <v>7.0500000001048</v>
      </c>
      <c r="O141" s="22" t="str">
        <f ca="1" t="shared" si="14"/>
        <v>Within SLA</v>
      </c>
      <c r="P141" s="26" t="s">
        <v>640</v>
      </c>
      <c r="Q141" s="24" t="s">
        <v>37</v>
      </c>
      <c r="R141" s="25"/>
      <c r="S141" s="25"/>
    </row>
    <row r="142" ht="39" customHeight="1" spans="1:20">
      <c r="A142" s="19" t="s">
        <v>643</v>
      </c>
      <c r="B142" s="20" t="s">
        <v>19</v>
      </c>
      <c r="C142" s="20" t="s">
        <v>20</v>
      </c>
      <c r="D142" s="20" t="s">
        <v>32</v>
      </c>
      <c r="E142" s="21" t="s">
        <v>644</v>
      </c>
      <c r="F142" s="21" t="s">
        <v>645</v>
      </c>
      <c r="G142" s="20" t="s">
        <v>35</v>
      </c>
      <c r="H142" s="20" t="s">
        <v>25</v>
      </c>
      <c r="I142" s="21" t="s">
        <v>646</v>
      </c>
      <c r="J142" s="22">
        <f t="shared" si="10"/>
        <v>37.9201388888905</v>
      </c>
      <c r="K142" s="22">
        <f t="shared" si="11"/>
        <v>910.083333333372</v>
      </c>
      <c r="L142" s="22">
        <f t="shared" si="12"/>
        <v>302.083333333372</v>
      </c>
      <c r="M142" s="22" cm="1">
        <f ca="1" t="array" ref="M142">SUMPRODUCT(--(WEEKDAY(ROW(INDIRECT(INT(F142)&amp;":"&amp;INT(I142))),2)&gt;5))</f>
        <v>12</v>
      </c>
      <c r="N142" s="22">
        <f ca="1" t="shared" si="13"/>
        <v>206.083333333372</v>
      </c>
      <c r="O142" s="22" t="str">
        <f ca="1" t="shared" si="14"/>
        <v>SLA Violated</v>
      </c>
      <c r="P142" s="23" t="s">
        <v>647</v>
      </c>
      <c r="Q142" s="24" t="s">
        <v>28</v>
      </c>
      <c r="R142" s="25"/>
      <c r="S142" s="25"/>
    </row>
    <row r="143" ht="27" customHeight="1" spans="1:20">
      <c r="A143" s="19" t="s">
        <v>648</v>
      </c>
      <c r="B143" s="20" t="s">
        <v>30</v>
      </c>
      <c r="C143" s="20" t="s">
        <v>31</v>
      </c>
      <c r="D143" s="20" t="s">
        <v>32</v>
      </c>
      <c r="E143" s="21" t="s">
        <v>649</v>
      </c>
      <c r="F143" s="21" t="s">
        <v>650</v>
      </c>
      <c r="G143" s="20" t="s">
        <v>35</v>
      </c>
      <c r="H143" s="20" t="s">
        <v>25</v>
      </c>
      <c r="I143" s="21" t="s">
        <v>651</v>
      </c>
      <c r="J143" s="22">
        <f t="shared" si="10"/>
        <v>0.234027777776646</v>
      </c>
      <c r="K143" s="22">
        <f t="shared" si="11"/>
        <v>5.6166666666395</v>
      </c>
      <c r="L143" s="22">
        <f t="shared" si="12"/>
        <v>5.6166666666395</v>
      </c>
      <c r="M143" s="22" cm="1">
        <f ca="1" t="array" ref="M143">SUMPRODUCT(--(WEEKDAY(ROW(INDIRECT(INT(F143)&amp;":"&amp;INT(I143))),2)&gt;5))</f>
        <v>0</v>
      </c>
      <c r="N143" s="22">
        <f ca="1" t="shared" si="13"/>
        <v>5.6166666666395</v>
      </c>
      <c r="O143" s="22" t="str">
        <f ca="1" t="shared" si="14"/>
        <v>Within SLA</v>
      </c>
      <c r="P143" s="26" t="s">
        <v>648</v>
      </c>
      <c r="Q143" s="24" t="s">
        <v>37</v>
      </c>
      <c r="R143" s="25"/>
      <c r="S143" s="25"/>
    </row>
    <row r="144" ht="50" customHeight="1" spans="1:20">
      <c r="A144" s="19" t="s">
        <v>652</v>
      </c>
      <c r="B144" s="20" t="s">
        <v>369</v>
      </c>
      <c r="C144" s="20" t="s">
        <v>46</v>
      </c>
      <c r="D144" s="20" t="s">
        <v>32</v>
      </c>
      <c r="E144" s="21" t="s">
        <v>653</v>
      </c>
      <c r="F144" s="21" t="s">
        <v>654</v>
      </c>
      <c r="G144" s="20" t="s">
        <v>35</v>
      </c>
      <c r="H144" s="20" t="s">
        <v>25</v>
      </c>
      <c r="I144" s="21" t="s">
        <v>655</v>
      </c>
      <c r="J144" s="22">
        <f t="shared" si="10"/>
        <v>0.177083333328483</v>
      </c>
      <c r="K144" s="22">
        <f t="shared" si="11"/>
        <v>4.24999999988358</v>
      </c>
      <c r="L144" s="22">
        <f t="shared" si="12"/>
        <v>4.24999999988358</v>
      </c>
      <c r="M144" s="22" cm="1">
        <f ca="1" t="array" ref="M144">SUMPRODUCT(--(WEEKDAY(ROW(INDIRECT(INT(F144)&amp;":"&amp;INT(I144))),2)&gt;5))</f>
        <v>0</v>
      </c>
      <c r="N144" s="22">
        <f ca="1" t="shared" si="13"/>
        <v>4.24999999988358</v>
      </c>
      <c r="O144" s="22" t="str">
        <f ca="1" t="shared" si="14"/>
        <v>Within SLA</v>
      </c>
      <c r="P144" s="26" t="s">
        <v>652</v>
      </c>
      <c r="Q144" s="24" t="s">
        <v>37</v>
      </c>
      <c r="R144" s="25"/>
      <c r="S144" s="25"/>
    </row>
    <row r="145" ht="39" customHeight="1" spans="1:19">
      <c r="A145" s="19" t="s">
        <v>656</v>
      </c>
      <c r="B145" s="20" t="s">
        <v>19</v>
      </c>
      <c r="C145" s="20" t="s">
        <v>20</v>
      </c>
      <c r="D145" s="20" t="s">
        <v>32</v>
      </c>
      <c r="E145" s="21" t="s">
        <v>639</v>
      </c>
      <c r="F145" s="21" t="s">
        <v>657</v>
      </c>
      <c r="G145" s="20" t="s">
        <v>35</v>
      </c>
      <c r="H145" s="20" t="s">
        <v>25</v>
      </c>
      <c r="I145" s="21" t="s">
        <v>658</v>
      </c>
      <c r="J145" s="22">
        <f t="shared" si="10"/>
        <v>2.2770833333343</v>
      </c>
      <c r="K145" s="22">
        <f t="shared" si="11"/>
        <v>54.6500000000233</v>
      </c>
      <c r="L145" s="22">
        <f t="shared" si="12"/>
        <v>22.6500000000233</v>
      </c>
      <c r="M145" s="22" cm="1">
        <f ca="1" t="array" ref="M145">SUMPRODUCT(--(WEEKDAY(ROW(INDIRECT(INT(F145)&amp;":"&amp;INT(I145))),2)&gt;5))</f>
        <v>2</v>
      </c>
      <c r="N145" s="22">
        <f ca="1" t="shared" si="13"/>
        <v>6.6500000000233</v>
      </c>
      <c r="O145" s="22" t="str">
        <f ca="1" t="shared" si="14"/>
        <v>Within SLA</v>
      </c>
      <c r="P145" s="26" t="s">
        <v>656</v>
      </c>
      <c r="Q145" s="24" t="s">
        <v>37</v>
      </c>
      <c r="R145" s="25"/>
      <c r="S145" s="25"/>
    </row>
    <row r="146" ht="39" customHeight="1" spans="1:19">
      <c r="A146" s="19" t="s">
        <v>659</v>
      </c>
      <c r="B146" s="20" t="s">
        <v>19</v>
      </c>
      <c r="C146" s="20" t="s">
        <v>20</v>
      </c>
      <c r="D146" s="20" t="s">
        <v>32</v>
      </c>
      <c r="E146" s="21" t="s">
        <v>660</v>
      </c>
      <c r="F146" s="21" t="s">
        <v>661</v>
      </c>
      <c r="G146" s="20" t="s">
        <v>35</v>
      </c>
      <c r="H146" s="20" t="s">
        <v>25</v>
      </c>
      <c r="I146" s="21" t="s">
        <v>662</v>
      </c>
      <c r="J146" s="22">
        <f t="shared" si="10"/>
        <v>2.27569444444089</v>
      </c>
      <c r="K146" s="22">
        <f t="shared" si="11"/>
        <v>54.6166666665813</v>
      </c>
      <c r="L146" s="22">
        <f t="shared" si="12"/>
        <v>22.6166666665813</v>
      </c>
      <c r="M146" s="22" cm="1">
        <f ca="1" t="array" ref="M146">SUMPRODUCT(--(WEEKDAY(ROW(INDIRECT(INT(F146)&amp;":"&amp;INT(I146))),2)&gt;5))</f>
        <v>2</v>
      </c>
      <c r="N146" s="22">
        <f ca="1" t="shared" si="13"/>
        <v>6.6166666665813</v>
      </c>
      <c r="O146" s="22" t="str">
        <f ca="1" t="shared" si="14"/>
        <v>Within SLA</v>
      </c>
      <c r="P146" s="26" t="s">
        <v>659</v>
      </c>
      <c r="Q146" s="24" t="s">
        <v>37</v>
      </c>
      <c r="R146" s="25"/>
      <c r="S146" s="25"/>
    </row>
    <row r="147" ht="27" customHeight="1" spans="1:19">
      <c r="A147" s="19" t="s">
        <v>663</v>
      </c>
      <c r="B147" s="20" t="s">
        <v>30</v>
      </c>
      <c r="C147" s="20" t="s">
        <v>31</v>
      </c>
      <c r="D147" s="20" t="s">
        <v>32</v>
      </c>
      <c r="E147" s="21" t="s">
        <v>664</v>
      </c>
      <c r="F147" s="21" t="s">
        <v>665</v>
      </c>
      <c r="G147" s="20" t="s">
        <v>35</v>
      </c>
      <c r="H147" s="20" t="s">
        <v>25</v>
      </c>
      <c r="I147" s="21" t="s">
        <v>666</v>
      </c>
      <c r="J147" s="22">
        <f t="shared" si="10"/>
        <v>0.0854166666686069</v>
      </c>
      <c r="K147" s="22">
        <f t="shared" si="11"/>
        <v>2.05000000004657</v>
      </c>
      <c r="L147" s="22">
        <f t="shared" si="12"/>
        <v>2.05000000004657</v>
      </c>
      <c r="M147" s="22" cm="1">
        <f ca="1" t="array" ref="M147">SUMPRODUCT(--(WEEKDAY(ROW(INDIRECT(INT(F147)&amp;":"&amp;INT(I147))),2)&gt;5))</f>
        <v>0</v>
      </c>
      <c r="N147" s="22">
        <f ca="1" t="shared" si="13"/>
        <v>2.05000000004657</v>
      </c>
      <c r="O147" s="22" t="str">
        <f ca="1" t="shared" si="14"/>
        <v>Within SLA</v>
      </c>
      <c r="P147" s="26" t="s">
        <v>663</v>
      </c>
      <c r="Q147" s="24" t="s">
        <v>37</v>
      </c>
      <c r="R147" s="25"/>
      <c r="S147" s="25"/>
    </row>
    <row r="148" ht="39" customHeight="1" spans="1:19">
      <c r="A148" s="19" t="s">
        <v>667</v>
      </c>
      <c r="B148" s="20" t="s">
        <v>19</v>
      </c>
      <c r="C148" s="20" t="s">
        <v>20</v>
      </c>
      <c r="D148" s="20" t="s">
        <v>32</v>
      </c>
      <c r="E148" s="21" t="s">
        <v>664</v>
      </c>
      <c r="F148" s="21" t="s">
        <v>668</v>
      </c>
      <c r="G148" s="20" t="s">
        <v>35</v>
      </c>
      <c r="H148" s="20" t="s">
        <v>25</v>
      </c>
      <c r="I148" s="21" t="s">
        <v>669</v>
      </c>
      <c r="J148" s="22">
        <f t="shared" si="10"/>
        <v>34.2687500000029</v>
      </c>
      <c r="K148" s="22">
        <f t="shared" si="11"/>
        <v>822.45000000007</v>
      </c>
      <c r="L148" s="22">
        <f t="shared" si="12"/>
        <v>278.45000000007</v>
      </c>
      <c r="M148" s="22" cm="1">
        <f ca="1" t="array" ref="M148">SUMPRODUCT(--(WEEKDAY(ROW(INDIRECT(INT(F148)&amp;":"&amp;INT(I148))),2)&gt;5))</f>
        <v>10</v>
      </c>
      <c r="N148" s="22">
        <f ca="1" t="shared" si="13"/>
        <v>198.45000000007</v>
      </c>
      <c r="O148" s="22" t="str">
        <f ca="1" t="shared" si="14"/>
        <v>SLA Violated</v>
      </c>
      <c r="P148" s="23" t="s">
        <v>670</v>
      </c>
      <c r="Q148" s="24" t="s">
        <v>28</v>
      </c>
      <c r="R148" s="25"/>
      <c r="S148" s="25"/>
    </row>
    <row r="149" ht="39" customHeight="1" spans="1:19">
      <c r="A149" s="19" t="s">
        <v>671</v>
      </c>
      <c r="B149" s="20" t="s">
        <v>19</v>
      </c>
      <c r="C149" s="20" t="s">
        <v>20</v>
      </c>
      <c r="D149" s="20" t="s">
        <v>32</v>
      </c>
      <c r="E149" s="21" t="s">
        <v>658</v>
      </c>
      <c r="F149" s="21" t="s">
        <v>672</v>
      </c>
      <c r="G149" s="20" t="s">
        <v>35</v>
      </c>
      <c r="H149" s="20" t="s">
        <v>25</v>
      </c>
      <c r="I149" s="21" t="s">
        <v>673</v>
      </c>
      <c r="J149" s="22">
        <f t="shared" si="10"/>
        <v>34.2312499999971</v>
      </c>
      <c r="K149" s="22">
        <f t="shared" si="11"/>
        <v>821.54999999993</v>
      </c>
      <c r="L149" s="22">
        <f t="shared" si="12"/>
        <v>277.54999999993</v>
      </c>
      <c r="M149" s="22" cm="1">
        <f ca="1" t="array" ref="M149">SUMPRODUCT(--(WEEKDAY(ROW(INDIRECT(INT(F149)&amp;":"&amp;INT(I149))),2)&gt;5))</f>
        <v>10</v>
      </c>
      <c r="N149" s="22">
        <f ca="1" t="shared" si="13"/>
        <v>197.54999999993</v>
      </c>
      <c r="O149" s="22" t="str">
        <f ca="1" t="shared" si="14"/>
        <v>SLA Violated</v>
      </c>
      <c r="P149" s="23" t="s">
        <v>674</v>
      </c>
      <c r="Q149" s="24" t="s">
        <v>28</v>
      </c>
      <c r="R149" s="25"/>
      <c r="S149" s="25"/>
    </row>
    <row r="150" ht="39" customHeight="1" spans="1:19">
      <c r="A150" s="19" t="s">
        <v>675</v>
      </c>
      <c r="B150" s="20" t="s">
        <v>19</v>
      </c>
      <c r="C150" s="20" t="s">
        <v>20</v>
      </c>
      <c r="D150" s="20" t="s">
        <v>32</v>
      </c>
      <c r="E150" s="21" t="s">
        <v>666</v>
      </c>
      <c r="F150" s="21" t="s">
        <v>676</v>
      </c>
      <c r="G150" s="20" t="s">
        <v>35</v>
      </c>
      <c r="H150" s="20" t="s">
        <v>25</v>
      </c>
      <c r="I150" s="21" t="s">
        <v>673</v>
      </c>
      <c r="J150" s="22">
        <f t="shared" si="10"/>
        <v>34.4243055555562</v>
      </c>
      <c r="K150" s="22">
        <f t="shared" si="11"/>
        <v>826.183333333349</v>
      </c>
      <c r="L150" s="22">
        <f t="shared" si="12"/>
        <v>282.183333333349</v>
      </c>
      <c r="M150" s="22" cm="1">
        <f ca="1" t="array" ref="M150">SUMPRODUCT(--(WEEKDAY(ROW(INDIRECT(INT(F150)&amp;":"&amp;INT(I150))),2)&gt;5))</f>
        <v>10</v>
      </c>
      <c r="N150" s="22">
        <f ca="1" t="shared" si="13"/>
        <v>202.183333333349</v>
      </c>
      <c r="O150" s="22" t="str">
        <f ca="1" t="shared" si="14"/>
        <v>SLA Violated</v>
      </c>
      <c r="P150" s="23" t="s">
        <v>677</v>
      </c>
      <c r="Q150" s="24" t="s">
        <v>28</v>
      </c>
      <c r="R150" s="25"/>
      <c r="S150" s="25"/>
    </row>
    <row r="151" ht="39" customHeight="1" spans="1:19">
      <c r="A151" s="19" t="s">
        <v>678</v>
      </c>
      <c r="B151" s="20" t="s">
        <v>196</v>
      </c>
      <c r="C151" s="20" t="s">
        <v>31</v>
      </c>
      <c r="D151" s="20" t="s">
        <v>32</v>
      </c>
      <c r="E151" s="21" t="s">
        <v>679</v>
      </c>
      <c r="F151" s="21" t="s">
        <v>680</v>
      </c>
      <c r="G151" s="20" t="s">
        <v>35</v>
      </c>
      <c r="H151" s="20" t="s">
        <v>25</v>
      </c>
      <c r="I151" s="21" t="s">
        <v>681</v>
      </c>
      <c r="J151" s="22">
        <f t="shared" si="10"/>
        <v>0.176388888889051</v>
      </c>
      <c r="K151" s="22">
        <f t="shared" si="11"/>
        <v>4.23333333333721</v>
      </c>
      <c r="L151" s="22">
        <f t="shared" si="12"/>
        <v>4.23333333333721</v>
      </c>
      <c r="M151" s="22" cm="1">
        <f ca="1" t="array" ref="M151">SUMPRODUCT(--(WEEKDAY(ROW(INDIRECT(INT(F151)&amp;":"&amp;INT(I151))),2)&gt;5))</f>
        <v>0</v>
      </c>
      <c r="N151" s="22">
        <f ca="1" t="shared" si="13"/>
        <v>4.23333333333721</v>
      </c>
      <c r="O151" s="22" t="str">
        <f ca="1" t="shared" si="14"/>
        <v>Within SLA</v>
      </c>
      <c r="P151" s="26" t="s">
        <v>678</v>
      </c>
      <c r="Q151" s="24" t="s">
        <v>37</v>
      </c>
      <c r="R151" s="25"/>
      <c r="S151" s="25"/>
    </row>
    <row r="152" ht="39" customHeight="1" spans="1:19">
      <c r="A152" s="19" t="s">
        <v>682</v>
      </c>
      <c r="B152" s="20" t="s">
        <v>19</v>
      </c>
      <c r="C152" s="20" t="s">
        <v>20</v>
      </c>
      <c r="D152" s="20" t="s">
        <v>32</v>
      </c>
      <c r="E152" s="21" t="s">
        <v>683</v>
      </c>
      <c r="F152" s="21" t="s">
        <v>684</v>
      </c>
      <c r="G152" s="20" t="s">
        <v>35</v>
      </c>
      <c r="H152" s="20" t="s">
        <v>25</v>
      </c>
      <c r="I152" s="21" t="s">
        <v>685</v>
      </c>
      <c r="J152" s="22">
        <f t="shared" si="10"/>
        <v>3.15347222222044</v>
      </c>
      <c r="K152" s="22">
        <f t="shared" si="11"/>
        <v>75.6833333332906</v>
      </c>
      <c r="L152" s="22">
        <f t="shared" si="12"/>
        <v>27.6833333332906</v>
      </c>
      <c r="M152" s="22" cm="1">
        <f ca="1" t="array" ref="M152">SUMPRODUCT(--(WEEKDAY(ROW(INDIRECT(INT(F152)&amp;":"&amp;INT(I152))),2)&gt;5))</f>
        <v>2</v>
      </c>
      <c r="N152" s="22">
        <f ca="1" t="shared" si="13"/>
        <v>11.6833333332906</v>
      </c>
      <c r="O152" s="22" t="str">
        <f ca="1" t="shared" si="14"/>
        <v>Within SLA</v>
      </c>
      <c r="P152" s="26" t="s">
        <v>682</v>
      </c>
      <c r="Q152" s="24" t="s">
        <v>37</v>
      </c>
      <c r="R152" s="25"/>
      <c r="S152" s="25"/>
    </row>
    <row r="153" ht="16" customHeight="1" spans="1:19">
      <c r="A153" s="28" t="s">
        <v>686</v>
      </c>
      <c r="B153" s="20" t="s">
        <v>100</v>
      </c>
      <c r="C153" s="20" t="s">
        <v>101</v>
      </c>
      <c r="D153" s="20" t="s">
        <v>32</v>
      </c>
      <c r="E153" s="21" t="s">
        <v>687</v>
      </c>
      <c r="F153" s="21" t="s">
        <v>688</v>
      </c>
      <c r="G153" s="20" t="s">
        <v>35</v>
      </c>
      <c r="H153" s="20" t="s">
        <v>25</v>
      </c>
      <c r="I153" s="21" t="s">
        <v>689</v>
      </c>
      <c r="J153" s="22">
        <f t="shared" si="10"/>
        <v>3.95694444444234</v>
      </c>
      <c r="K153" s="22">
        <f t="shared" si="11"/>
        <v>94.9666666666162</v>
      </c>
      <c r="L153" s="22">
        <f t="shared" si="12"/>
        <v>30.9666666666162</v>
      </c>
      <c r="M153" s="22" cm="1">
        <f ca="1" t="array" ref="M153">SUMPRODUCT(--(WEEKDAY(ROW(INDIRECT(INT(F153)&amp;":"&amp;INT(I153))),2)&gt;5))</f>
        <v>2</v>
      </c>
      <c r="N153" s="22">
        <f ca="1" t="shared" si="13"/>
        <v>14.9666666666162</v>
      </c>
      <c r="O153" s="22" t="str">
        <f ca="1" t="shared" si="14"/>
        <v>SLA Violated</v>
      </c>
      <c r="P153" s="26" t="s">
        <v>690</v>
      </c>
      <c r="Q153" s="24" t="s">
        <v>37</v>
      </c>
      <c r="R153" s="25"/>
      <c r="S153" s="25" t="s">
        <v>236</v>
      </c>
    </row>
    <row r="154" ht="27" customHeight="1" spans="1:19">
      <c r="A154" s="19" t="s">
        <v>691</v>
      </c>
      <c r="B154" s="20" t="s">
        <v>30</v>
      </c>
      <c r="C154" s="20" t="s">
        <v>31</v>
      </c>
      <c r="D154" s="20" t="s">
        <v>115</v>
      </c>
      <c r="E154" s="21" t="s">
        <v>692</v>
      </c>
      <c r="F154" s="21" t="s">
        <v>693</v>
      </c>
      <c r="G154" s="20" t="s">
        <v>35</v>
      </c>
      <c r="H154" s="20" t="s">
        <v>25</v>
      </c>
      <c r="I154" s="21" t="s">
        <v>694</v>
      </c>
      <c r="J154" s="22">
        <f t="shared" si="10"/>
        <v>8.89930555555475</v>
      </c>
      <c r="K154" s="22">
        <f t="shared" si="11"/>
        <v>213.583333333314</v>
      </c>
      <c r="L154" s="22">
        <f t="shared" si="12"/>
        <v>69.5833333333139</v>
      </c>
      <c r="M154" s="22" cm="1">
        <f ca="1" t="array" ref="M154">SUMPRODUCT(--(WEEKDAY(ROW(INDIRECT(INT(F154)&amp;":"&amp;INT(I154))),2)&gt;5))</f>
        <v>2</v>
      </c>
      <c r="N154" s="22">
        <f ca="1" t="shared" si="13"/>
        <v>53.5833333333139</v>
      </c>
      <c r="O154" s="22" t="str">
        <f ca="1" t="shared" si="14"/>
        <v>SLA Violated</v>
      </c>
      <c r="P154" s="26" t="s">
        <v>691</v>
      </c>
      <c r="Q154" s="24" t="s">
        <v>37</v>
      </c>
      <c r="R154" s="6" t="s">
        <v>695</v>
      </c>
      <c r="S154" s="25" t="s">
        <v>39</v>
      </c>
    </row>
    <row r="155" ht="39" customHeight="1" spans="1:19">
      <c r="A155" s="19" t="s">
        <v>696</v>
      </c>
      <c r="B155" s="20" t="s">
        <v>19</v>
      </c>
      <c r="C155" s="20" t="s">
        <v>20</v>
      </c>
      <c r="D155" s="20" t="s">
        <v>32</v>
      </c>
      <c r="E155" s="21" t="s">
        <v>697</v>
      </c>
      <c r="F155" s="21" t="s">
        <v>698</v>
      </c>
      <c r="G155" s="20" t="s">
        <v>35</v>
      </c>
      <c r="H155" s="20" t="s">
        <v>25</v>
      </c>
      <c r="I155" s="21" t="s">
        <v>699</v>
      </c>
      <c r="J155" s="22">
        <f t="shared" si="10"/>
        <v>26.1506944444482</v>
      </c>
      <c r="K155" s="22">
        <f t="shared" si="11"/>
        <v>627.616666666756</v>
      </c>
      <c r="L155" s="22">
        <f t="shared" si="12"/>
        <v>211.616666666756</v>
      </c>
      <c r="M155" s="22" cm="1">
        <f ca="1" t="array" ref="M155">SUMPRODUCT(--(WEEKDAY(ROW(INDIRECT(INT(F155)&amp;":"&amp;INT(I155))),2)&gt;5))</f>
        <v>8</v>
      </c>
      <c r="N155" s="22">
        <f ca="1" t="shared" si="13"/>
        <v>147.616666666756</v>
      </c>
      <c r="O155" s="22" t="str">
        <f ca="1" t="shared" si="14"/>
        <v>SLA Violated</v>
      </c>
      <c r="P155" s="23" t="s">
        <v>700</v>
      </c>
      <c r="Q155" s="24" t="s">
        <v>28</v>
      </c>
      <c r="R155" s="25"/>
      <c r="S155" s="25"/>
    </row>
    <row r="156" ht="39" customHeight="1" spans="1:19">
      <c r="A156" s="19" t="s">
        <v>701</v>
      </c>
      <c r="B156" s="20" t="s">
        <v>702</v>
      </c>
      <c r="C156" s="20" t="s">
        <v>101</v>
      </c>
      <c r="D156" s="20" t="s">
        <v>32</v>
      </c>
      <c r="E156" s="21" t="s">
        <v>703</v>
      </c>
      <c r="F156" s="21" t="s">
        <v>704</v>
      </c>
      <c r="G156" s="20" t="s">
        <v>35</v>
      </c>
      <c r="H156" s="20" t="s">
        <v>25</v>
      </c>
      <c r="I156" s="21" t="s">
        <v>705</v>
      </c>
      <c r="J156" s="22">
        <f t="shared" si="10"/>
        <v>0.981944444443798</v>
      </c>
      <c r="K156" s="22">
        <f t="shared" si="11"/>
        <v>23.5666666666511</v>
      </c>
      <c r="L156" s="22">
        <f t="shared" si="12"/>
        <v>7.56666666665114</v>
      </c>
      <c r="M156" s="22" cm="1">
        <f ca="1" t="array" ref="M156">SUMPRODUCT(--(WEEKDAY(ROW(INDIRECT(INT(F156)&amp;":"&amp;INT(I156))),2)&gt;5))</f>
        <v>1</v>
      </c>
      <c r="N156" s="22">
        <f ca="1" t="shared" si="13"/>
        <v>0</v>
      </c>
      <c r="O156" s="22" t="str">
        <f ca="1" t="shared" si="14"/>
        <v>Within SLA</v>
      </c>
      <c r="P156" s="26" t="s">
        <v>701</v>
      </c>
      <c r="Q156" s="24" t="s">
        <v>37</v>
      </c>
      <c r="R156" s="25"/>
      <c r="S156" s="25"/>
    </row>
    <row r="157" ht="39" customHeight="1" spans="1:19">
      <c r="A157" s="19" t="s">
        <v>706</v>
      </c>
      <c r="B157" s="20" t="s">
        <v>19</v>
      </c>
      <c r="C157" s="20" t="s">
        <v>20</v>
      </c>
      <c r="D157" s="20" t="s">
        <v>32</v>
      </c>
      <c r="E157" s="21" t="s">
        <v>707</v>
      </c>
      <c r="F157" s="21" t="s">
        <v>708</v>
      </c>
      <c r="G157" s="20" t="s">
        <v>35</v>
      </c>
      <c r="H157" s="20" t="s">
        <v>25</v>
      </c>
      <c r="I157" s="21" t="s">
        <v>709</v>
      </c>
      <c r="J157" s="22">
        <f t="shared" si="10"/>
        <v>34.9104166666657</v>
      </c>
      <c r="K157" s="22">
        <f t="shared" si="11"/>
        <v>837.849999999977</v>
      </c>
      <c r="L157" s="22">
        <f t="shared" si="12"/>
        <v>277.849999999977</v>
      </c>
      <c r="M157" s="22" cm="1">
        <f ca="1" t="array" ref="M157">SUMPRODUCT(--(WEEKDAY(ROW(INDIRECT(INT(F157)&amp;":"&amp;INT(I157))),2)&gt;5))</f>
        <v>10</v>
      </c>
      <c r="N157" s="22">
        <f ca="1" t="shared" si="13"/>
        <v>197.849999999977</v>
      </c>
      <c r="O157" s="22" t="str">
        <f ca="1" t="shared" si="14"/>
        <v>SLA Violated</v>
      </c>
      <c r="P157" s="23" t="s">
        <v>710</v>
      </c>
      <c r="Q157" s="24" t="s">
        <v>28</v>
      </c>
      <c r="R157" s="25"/>
      <c r="S157" s="25"/>
    </row>
    <row r="158" ht="39" customHeight="1" spans="1:19">
      <c r="A158" s="19" t="s">
        <v>711</v>
      </c>
      <c r="B158" s="20" t="s">
        <v>196</v>
      </c>
      <c r="C158" s="20" t="s">
        <v>46</v>
      </c>
      <c r="D158" s="20" t="s">
        <v>21</v>
      </c>
      <c r="E158" s="21" t="s">
        <v>638</v>
      </c>
      <c r="F158" s="21" t="s">
        <v>712</v>
      </c>
      <c r="G158" s="20" t="s">
        <v>35</v>
      </c>
      <c r="H158" s="20" t="s">
        <v>25</v>
      </c>
      <c r="I158" s="21" t="s">
        <v>713</v>
      </c>
      <c r="J158" s="22">
        <f t="shared" si="10"/>
        <v>0.00833333333139308</v>
      </c>
      <c r="K158" s="22">
        <f t="shared" si="11"/>
        <v>0.199999999953434</v>
      </c>
      <c r="L158" s="22">
        <f t="shared" si="12"/>
        <v>0.199999999953434</v>
      </c>
      <c r="M158" s="22" cm="1">
        <f ca="1" t="array" ref="M158">SUMPRODUCT(--(WEEKDAY(ROW(INDIRECT(INT(F158)&amp;":"&amp;INT(I158))),2)&gt;5))</f>
        <v>0</v>
      </c>
      <c r="N158" s="22">
        <f ca="1" t="shared" si="13"/>
        <v>0.199999999953434</v>
      </c>
      <c r="O158" s="22" t="str">
        <f ca="1" t="shared" si="14"/>
        <v>Within SLA</v>
      </c>
      <c r="P158" s="26" t="s">
        <v>711</v>
      </c>
      <c r="Q158" s="24" t="s">
        <v>37</v>
      </c>
      <c r="R158" s="25"/>
      <c r="S158" s="25"/>
    </row>
    <row r="159" ht="27" customHeight="1" spans="1:19">
      <c r="A159" s="19" t="s">
        <v>714</v>
      </c>
      <c r="B159" s="20" t="s">
        <v>30</v>
      </c>
      <c r="C159" s="20" t="s">
        <v>46</v>
      </c>
      <c r="D159" s="20" t="s">
        <v>21</v>
      </c>
      <c r="E159" s="21" t="s">
        <v>715</v>
      </c>
      <c r="F159" s="21" t="s">
        <v>716</v>
      </c>
      <c r="G159" s="20" t="s">
        <v>35</v>
      </c>
      <c r="H159" s="20" t="s">
        <v>25</v>
      </c>
      <c r="I159" s="21" t="s">
        <v>717</v>
      </c>
      <c r="J159" s="22">
        <f t="shared" si="10"/>
        <v>5.05902777777374</v>
      </c>
      <c r="K159" s="22">
        <f t="shared" si="11"/>
        <v>121.41666666657</v>
      </c>
      <c r="L159" s="22">
        <f t="shared" si="12"/>
        <v>41.4166666665697</v>
      </c>
      <c r="M159" s="22" cm="1">
        <f ca="1" t="array" ref="M159">SUMPRODUCT(--(WEEKDAY(ROW(INDIRECT(INT(F159)&amp;":"&amp;INT(I159))),2)&gt;5))</f>
        <v>2</v>
      </c>
      <c r="N159" s="22">
        <f ca="1" t="shared" si="13"/>
        <v>25.4166666665697</v>
      </c>
      <c r="O159" s="22" t="str">
        <f ca="1" t="shared" si="14"/>
        <v>SLA Violated</v>
      </c>
      <c r="P159" s="23" t="s">
        <v>718</v>
      </c>
      <c r="Q159" s="24" t="s">
        <v>37</v>
      </c>
      <c r="R159" s="25" t="s">
        <v>719</v>
      </c>
      <c r="S159" s="25" t="s">
        <v>39</v>
      </c>
    </row>
    <row r="160" ht="39" customHeight="1" spans="1:19">
      <c r="A160" s="19" t="s">
        <v>720</v>
      </c>
      <c r="B160" s="20" t="s">
        <v>19</v>
      </c>
      <c r="C160" s="20" t="s">
        <v>20</v>
      </c>
      <c r="D160" s="20" t="s">
        <v>32</v>
      </c>
      <c r="E160" s="21" t="s">
        <v>715</v>
      </c>
      <c r="F160" s="21" t="s">
        <v>721</v>
      </c>
      <c r="G160" s="20" t="s">
        <v>35</v>
      </c>
      <c r="H160" s="20" t="s">
        <v>25</v>
      </c>
      <c r="I160" s="21" t="s">
        <v>722</v>
      </c>
      <c r="J160" s="22">
        <f t="shared" si="10"/>
        <v>34.1875</v>
      </c>
      <c r="K160" s="22">
        <f t="shared" si="11"/>
        <v>820.5</v>
      </c>
      <c r="L160" s="22">
        <f t="shared" si="12"/>
        <v>276.5</v>
      </c>
      <c r="M160" s="22" cm="1">
        <f ca="1" t="array" ref="M160">SUMPRODUCT(--(WEEKDAY(ROW(INDIRECT(INT(F160)&amp;":"&amp;INT(I160))),2)&gt;5))</f>
        <v>10</v>
      </c>
      <c r="N160" s="22">
        <f ca="1" t="shared" si="13"/>
        <v>196.5</v>
      </c>
      <c r="O160" s="22" t="str">
        <f ca="1" t="shared" si="14"/>
        <v>SLA Violated</v>
      </c>
      <c r="P160" s="23" t="s">
        <v>723</v>
      </c>
      <c r="Q160" s="24" t="s">
        <v>28</v>
      </c>
      <c r="R160" s="25"/>
      <c r="S160" s="25"/>
    </row>
    <row r="161" ht="39" customHeight="1" spans="1:19">
      <c r="A161" s="19" t="s">
        <v>724</v>
      </c>
      <c r="B161" s="20" t="s">
        <v>725</v>
      </c>
      <c r="C161" s="20" t="s">
        <v>46</v>
      </c>
      <c r="D161" s="20" t="s">
        <v>32</v>
      </c>
      <c r="E161" s="21" t="s">
        <v>712</v>
      </c>
      <c r="F161" s="21" t="s">
        <v>726</v>
      </c>
      <c r="G161" s="20" t="s">
        <v>35</v>
      </c>
      <c r="H161" s="20" t="s">
        <v>25</v>
      </c>
      <c r="I161" s="21" t="s">
        <v>727</v>
      </c>
      <c r="J161" s="22">
        <f t="shared" si="10"/>
        <v>17.1611111111124</v>
      </c>
      <c r="K161" s="22">
        <f t="shared" si="11"/>
        <v>411.866666666698</v>
      </c>
      <c r="L161" s="22">
        <f t="shared" si="12"/>
        <v>139.866666666698</v>
      </c>
      <c r="M161" s="22" cm="1">
        <f ca="1" t="array" ref="M161">SUMPRODUCT(--(WEEKDAY(ROW(INDIRECT(INT(F161)&amp;":"&amp;INT(I161))),2)&gt;5))</f>
        <v>6</v>
      </c>
      <c r="N161" s="22">
        <f ca="1" t="shared" si="13"/>
        <v>91.866666666698</v>
      </c>
      <c r="O161" s="22" t="str">
        <f ca="1" t="shared" si="14"/>
        <v>SLA Violated</v>
      </c>
      <c r="P161" s="23" t="s">
        <v>728</v>
      </c>
      <c r="Q161" s="24" t="s">
        <v>37</v>
      </c>
      <c r="R161" s="25" t="s">
        <v>729</v>
      </c>
      <c r="S161" s="25" t="s">
        <v>39</v>
      </c>
    </row>
    <row r="162" ht="27" customHeight="1" spans="1:19">
      <c r="A162" s="19" t="s">
        <v>730</v>
      </c>
      <c r="B162" s="20" t="s">
        <v>30</v>
      </c>
      <c r="C162" s="20" t="s">
        <v>46</v>
      </c>
      <c r="D162" s="20" t="s">
        <v>32</v>
      </c>
      <c r="E162" s="21" t="s">
        <v>712</v>
      </c>
      <c r="F162" s="21" t="s">
        <v>731</v>
      </c>
      <c r="G162" s="20" t="s">
        <v>35</v>
      </c>
      <c r="H162" s="20" t="s">
        <v>25</v>
      </c>
      <c r="I162" s="21" t="s">
        <v>732</v>
      </c>
      <c r="J162" s="22">
        <f t="shared" si="10"/>
        <v>6.87083333332703</v>
      </c>
      <c r="K162" s="22">
        <f t="shared" si="11"/>
        <v>164.899999999849</v>
      </c>
      <c r="L162" s="22">
        <f t="shared" si="12"/>
        <v>52.8999999998487</v>
      </c>
      <c r="M162" s="22" cm="1">
        <f ca="1" t="array" ref="M162">SUMPRODUCT(--(WEEKDAY(ROW(INDIRECT(INT(F162)&amp;":"&amp;INT(I162))),2)&gt;5))</f>
        <v>2</v>
      </c>
      <c r="N162" s="22">
        <f ca="1" t="shared" si="13"/>
        <v>36.8999999998487</v>
      </c>
      <c r="O162" s="22" t="str">
        <f ca="1" t="shared" si="14"/>
        <v>SLA Violated</v>
      </c>
      <c r="P162" s="26" t="s">
        <v>730</v>
      </c>
      <c r="Q162" s="24" t="s">
        <v>37</v>
      </c>
      <c r="R162" s="6" t="s">
        <v>733</v>
      </c>
      <c r="S162" s="25" t="s">
        <v>39</v>
      </c>
    </row>
    <row r="163" ht="27" customHeight="1" spans="1:19">
      <c r="A163" s="19" t="s">
        <v>734</v>
      </c>
      <c r="B163" s="20" t="s">
        <v>30</v>
      </c>
      <c r="C163" s="20" t="s">
        <v>46</v>
      </c>
      <c r="D163" s="20" t="s">
        <v>32</v>
      </c>
      <c r="E163" s="21" t="s">
        <v>735</v>
      </c>
      <c r="F163" s="21" t="s">
        <v>736</v>
      </c>
      <c r="G163" s="20" t="s">
        <v>35</v>
      </c>
      <c r="H163" s="20" t="s">
        <v>25</v>
      </c>
      <c r="I163" s="21" t="s">
        <v>737</v>
      </c>
      <c r="J163" s="22">
        <f t="shared" si="10"/>
        <v>2.84930555555184</v>
      </c>
      <c r="K163" s="22">
        <f t="shared" si="11"/>
        <v>68.3833333332441</v>
      </c>
      <c r="L163" s="22">
        <f t="shared" si="12"/>
        <v>20.3833333332441</v>
      </c>
      <c r="M163" s="22" cm="1">
        <f ca="1" t="array" ref="M163">SUMPRODUCT(--(WEEKDAY(ROW(INDIRECT(INT(F163)&amp;":"&amp;INT(I163))),2)&gt;5))</f>
        <v>2</v>
      </c>
      <c r="N163" s="22">
        <f ca="1" t="shared" si="13"/>
        <v>4.3833333332441</v>
      </c>
      <c r="O163" s="22" t="str">
        <f ca="1" t="shared" si="14"/>
        <v>Within SLA</v>
      </c>
      <c r="P163" s="26" t="s">
        <v>734</v>
      </c>
      <c r="Q163" s="24" t="s">
        <v>37</v>
      </c>
      <c r="R163" s="25"/>
      <c r="S163" s="25"/>
    </row>
    <row r="164" ht="50" customHeight="1" spans="1:19">
      <c r="A164" s="19" t="s">
        <v>738</v>
      </c>
      <c r="B164" s="20" t="s">
        <v>369</v>
      </c>
      <c r="C164" s="20" t="s">
        <v>46</v>
      </c>
      <c r="D164" s="20" t="s">
        <v>32</v>
      </c>
      <c r="E164" s="21" t="s">
        <v>709</v>
      </c>
      <c r="F164" s="21" t="s">
        <v>739</v>
      </c>
      <c r="G164" s="20" t="s">
        <v>35</v>
      </c>
      <c r="H164" s="20" t="s">
        <v>25</v>
      </c>
      <c r="I164" s="21" t="s">
        <v>740</v>
      </c>
      <c r="J164" s="22">
        <f t="shared" si="10"/>
        <v>0.0187499999956344</v>
      </c>
      <c r="K164" s="22">
        <f t="shared" si="11"/>
        <v>0.449999999895226</v>
      </c>
      <c r="L164" s="22">
        <f t="shared" si="12"/>
        <v>0.449999999895226</v>
      </c>
      <c r="M164" s="22" cm="1">
        <f ca="1" t="array" ref="M164">SUMPRODUCT(--(WEEKDAY(ROW(INDIRECT(INT(F164)&amp;":"&amp;INT(I164))),2)&gt;5))</f>
        <v>0</v>
      </c>
      <c r="N164" s="22">
        <f ca="1" t="shared" si="13"/>
        <v>0.449999999895226</v>
      </c>
      <c r="O164" s="22" t="str">
        <f ca="1" t="shared" si="14"/>
        <v>Within SLA</v>
      </c>
      <c r="P164" s="26" t="s">
        <v>738</v>
      </c>
      <c r="Q164" s="24" t="s">
        <v>37</v>
      </c>
      <c r="R164" s="25"/>
      <c r="S164" s="25"/>
    </row>
    <row r="165" ht="39" customHeight="1" spans="1:19">
      <c r="A165" s="19" t="s">
        <v>741</v>
      </c>
      <c r="B165" s="20" t="s">
        <v>19</v>
      </c>
      <c r="C165" s="20" t="s">
        <v>20</v>
      </c>
      <c r="D165" s="20" t="s">
        <v>32</v>
      </c>
      <c r="E165" s="21" t="s">
        <v>709</v>
      </c>
      <c r="F165" s="21" t="s">
        <v>742</v>
      </c>
      <c r="G165" s="20" t="s">
        <v>35</v>
      </c>
      <c r="H165" s="20" t="s">
        <v>25</v>
      </c>
      <c r="I165" s="21" t="s">
        <v>743</v>
      </c>
      <c r="J165" s="22">
        <f t="shared" si="10"/>
        <v>2.18194444444816</v>
      </c>
      <c r="K165" s="22">
        <f t="shared" si="11"/>
        <v>52.3666666667559</v>
      </c>
      <c r="L165" s="22">
        <f t="shared" si="12"/>
        <v>20.3666666667559</v>
      </c>
      <c r="M165" s="22" cm="1">
        <f ca="1" t="array" ref="M165">SUMPRODUCT(--(WEEKDAY(ROW(INDIRECT(INT(F165)&amp;":"&amp;INT(I165))),2)&gt;5))</f>
        <v>2</v>
      </c>
      <c r="N165" s="22">
        <f ca="1" t="shared" si="13"/>
        <v>4.3666666667559</v>
      </c>
      <c r="O165" s="22" t="str">
        <f ca="1" t="shared" si="14"/>
        <v>Within SLA</v>
      </c>
      <c r="P165" s="26" t="s">
        <v>741</v>
      </c>
      <c r="Q165" s="24" t="s">
        <v>37</v>
      </c>
      <c r="R165" s="25"/>
      <c r="S165" s="25"/>
    </row>
    <row r="166" ht="39" customHeight="1" spans="1:19">
      <c r="A166" s="19" t="s">
        <v>744</v>
      </c>
      <c r="B166" s="20" t="s">
        <v>19</v>
      </c>
      <c r="C166" s="20" t="s">
        <v>20</v>
      </c>
      <c r="D166" s="20" t="s">
        <v>32</v>
      </c>
      <c r="E166" s="21" t="s">
        <v>745</v>
      </c>
      <c r="F166" s="21" t="s">
        <v>746</v>
      </c>
      <c r="G166" s="20" t="s">
        <v>35</v>
      </c>
      <c r="H166" s="20" t="s">
        <v>25</v>
      </c>
      <c r="I166" s="21" t="s">
        <v>747</v>
      </c>
      <c r="J166" s="22">
        <f t="shared" si="10"/>
        <v>4.12847222221899</v>
      </c>
      <c r="K166" s="22">
        <f t="shared" si="11"/>
        <v>99.0833333332557</v>
      </c>
      <c r="L166" s="22">
        <f t="shared" si="12"/>
        <v>35.0833333332557</v>
      </c>
      <c r="M166" s="22" cm="1">
        <f ca="1" t="array" ref="M166">SUMPRODUCT(--(WEEKDAY(ROW(INDIRECT(INT(F166)&amp;":"&amp;INT(I166))),2)&gt;5))</f>
        <v>2</v>
      </c>
      <c r="N166" s="22">
        <f ca="1" t="shared" si="13"/>
        <v>19.0833333332557</v>
      </c>
      <c r="O166" s="22" t="str">
        <f ca="1" t="shared" si="14"/>
        <v>SLA Violated</v>
      </c>
      <c r="P166" s="23" t="s">
        <v>748</v>
      </c>
      <c r="Q166" s="24" t="s">
        <v>37</v>
      </c>
      <c r="R166" s="25" t="s">
        <v>749</v>
      </c>
      <c r="S166" s="25" t="s">
        <v>39</v>
      </c>
    </row>
    <row r="167" ht="39" customHeight="1" spans="1:19">
      <c r="A167" s="19" t="s">
        <v>750</v>
      </c>
      <c r="B167" s="20" t="s">
        <v>19</v>
      </c>
      <c r="C167" s="20" t="s">
        <v>20</v>
      </c>
      <c r="D167" s="20" t="s">
        <v>32</v>
      </c>
      <c r="E167" s="21" t="s">
        <v>743</v>
      </c>
      <c r="F167" s="21" t="s">
        <v>751</v>
      </c>
      <c r="G167" s="20" t="s">
        <v>35</v>
      </c>
      <c r="H167" s="20" t="s">
        <v>25</v>
      </c>
      <c r="I167" s="21" t="s">
        <v>752</v>
      </c>
      <c r="J167" s="22">
        <f t="shared" si="10"/>
        <v>0.0590277777737356</v>
      </c>
      <c r="K167" s="22">
        <f t="shared" si="11"/>
        <v>1.41666666656965</v>
      </c>
      <c r="L167" s="22">
        <f t="shared" si="12"/>
        <v>1.41666666656965</v>
      </c>
      <c r="M167" s="22" cm="1">
        <f ca="1" t="array" ref="M167">SUMPRODUCT(--(WEEKDAY(ROW(INDIRECT(INT(F167)&amp;":"&amp;INT(I167))),2)&gt;5))</f>
        <v>0</v>
      </c>
      <c r="N167" s="22">
        <f ca="1" t="shared" si="13"/>
        <v>1.41666666656965</v>
      </c>
      <c r="O167" s="22" t="str">
        <f ca="1" t="shared" si="14"/>
        <v>Within SLA</v>
      </c>
      <c r="P167" s="26" t="s">
        <v>750</v>
      </c>
      <c r="Q167" s="24" t="s">
        <v>37</v>
      </c>
      <c r="R167" s="25"/>
      <c r="S167" s="25"/>
    </row>
    <row r="168" ht="39" customHeight="1" spans="1:19">
      <c r="A168" s="19" t="s">
        <v>753</v>
      </c>
      <c r="B168" s="20" t="s">
        <v>19</v>
      </c>
      <c r="C168" s="20" t="s">
        <v>20</v>
      </c>
      <c r="D168" s="20" t="s">
        <v>32</v>
      </c>
      <c r="E168" s="21" t="s">
        <v>754</v>
      </c>
      <c r="F168" s="21" t="s">
        <v>755</v>
      </c>
      <c r="G168" s="20" t="s">
        <v>35</v>
      </c>
      <c r="H168" s="20" t="s">
        <v>25</v>
      </c>
      <c r="I168" s="21" t="s">
        <v>756</v>
      </c>
      <c r="J168" s="22">
        <f t="shared" si="10"/>
        <v>34.1062499999971</v>
      </c>
      <c r="K168" s="22">
        <f t="shared" si="11"/>
        <v>818.54999999993</v>
      </c>
      <c r="L168" s="22">
        <f t="shared" si="12"/>
        <v>274.54999999993</v>
      </c>
      <c r="M168" s="22" cm="1">
        <f ca="1" t="array" ref="M168">SUMPRODUCT(--(WEEKDAY(ROW(INDIRECT(INT(F168)&amp;":"&amp;INT(I168))),2)&gt;5))</f>
        <v>10</v>
      </c>
      <c r="N168" s="22">
        <f ca="1" t="shared" si="13"/>
        <v>194.54999999993</v>
      </c>
      <c r="O168" s="22" t="str">
        <f ca="1" t="shared" si="14"/>
        <v>SLA Violated</v>
      </c>
      <c r="P168" s="23" t="s">
        <v>757</v>
      </c>
      <c r="Q168" s="24" t="s">
        <v>37</v>
      </c>
      <c r="R168" s="25" t="s">
        <v>38</v>
      </c>
      <c r="S168" s="25" t="s">
        <v>39</v>
      </c>
    </row>
    <row r="169" ht="39" customHeight="1" spans="1:19">
      <c r="A169" s="19" t="s">
        <v>758</v>
      </c>
      <c r="B169" s="20" t="s">
        <v>19</v>
      </c>
      <c r="C169" s="20" t="s">
        <v>20</v>
      </c>
      <c r="D169" s="20" t="s">
        <v>21</v>
      </c>
      <c r="E169" s="21" t="s">
        <v>754</v>
      </c>
      <c r="F169" s="21" t="s">
        <v>759</v>
      </c>
      <c r="G169" s="20" t="s">
        <v>35</v>
      </c>
      <c r="H169" s="20" t="s">
        <v>25</v>
      </c>
      <c r="I169" s="21" t="s">
        <v>760</v>
      </c>
      <c r="J169" s="22">
        <f t="shared" si="10"/>
        <v>0.0451388888905058</v>
      </c>
      <c r="K169" s="22">
        <f t="shared" si="11"/>
        <v>1.08333333337214</v>
      </c>
      <c r="L169" s="22">
        <f t="shared" si="12"/>
        <v>1.08333333337214</v>
      </c>
      <c r="M169" s="22" cm="1">
        <f ca="1" t="array" ref="M169">SUMPRODUCT(--(WEEKDAY(ROW(INDIRECT(INT(F169)&amp;":"&amp;INT(I169))),2)&gt;5))</f>
        <v>0</v>
      </c>
      <c r="N169" s="22">
        <f ca="1" t="shared" si="13"/>
        <v>1.08333333337214</v>
      </c>
      <c r="O169" s="22" t="str">
        <f ca="1" t="shared" si="14"/>
        <v>Within SLA</v>
      </c>
      <c r="P169" s="26" t="s">
        <v>758</v>
      </c>
      <c r="Q169" s="24" t="s">
        <v>37</v>
      </c>
      <c r="R169" s="25"/>
      <c r="S169" s="25"/>
    </row>
    <row r="170" ht="27" customHeight="1" spans="1:19">
      <c r="A170" s="19" t="s">
        <v>761</v>
      </c>
      <c r="B170" s="20" t="s">
        <v>30</v>
      </c>
      <c r="C170" s="20" t="s">
        <v>31</v>
      </c>
      <c r="D170" s="20" t="s">
        <v>32</v>
      </c>
      <c r="E170" s="21" t="s">
        <v>762</v>
      </c>
      <c r="F170" s="21" t="s">
        <v>763</v>
      </c>
      <c r="G170" s="20" t="s">
        <v>35</v>
      </c>
      <c r="H170" s="20" t="s">
        <v>25</v>
      </c>
      <c r="I170" s="21" t="s">
        <v>764</v>
      </c>
      <c r="J170" s="22">
        <f t="shared" si="10"/>
        <v>0.0770833333372138</v>
      </c>
      <c r="K170" s="22">
        <f t="shared" si="11"/>
        <v>1.85000000009313</v>
      </c>
      <c r="L170" s="22">
        <f t="shared" si="12"/>
        <v>1.85000000009313</v>
      </c>
      <c r="M170" s="22" cm="1">
        <f ca="1" t="array" ref="M170">SUMPRODUCT(--(WEEKDAY(ROW(INDIRECT(INT(F170)&amp;":"&amp;INT(I170))),2)&gt;5))</f>
        <v>0</v>
      </c>
      <c r="N170" s="22">
        <f ca="1" t="shared" si="13"/>
        <v>1.85000000009313</v>
      </c>
      <c r="O170" s="22" t="str">
        <f ca="1" t="shared" si="14"/>
        <v>Within SLA</v>
      </c>
      <c r="P170" s="26" t="s">
        <v>761</v>
      </c>
      <c r="Q170" s="24" t="s">
        <v>37</v>
      </c>
      <c r="R170" s="25"/>
      <c r="S170" s="25"/>
    </row>
    <row r="171" ht="39" customHeight="1" spans="1:19">
      <c r="A171" s="19" t="s">
        <v>765</v>
      </c>
      <c r="B171" s="20" t="s">
        <v>19</v>
      </c>
      <c r="C171" s="20" t="s">
        <v>20</v>
      </c>
      <c r="D171" s="20" t="s">
        <v>32</v>
      </c>
      <c r="E171" s="21" t="s">
        <v>766</v>
      </c>
      <c r="F171" s="21" t="s">
        <v>767</v>
      </c>
      <c r="G171" s="20" t="s">
        <v>35</v>
      </c>
      <c r="H171" s="20" t="s">
        <v>25</v>
      </c>
      <c r="I171" s="21" t="s">
        <v>768</v>
      </c>
      <c r="J171" s="22">
        <f t="shared" si="10"/>
        <v>0.0277777777810115</v>
      </c>
      <c r="K171" s="22">
        <f t="shared" si="11"/>
        <v>0.666666666744277</v>
      </c>
      <c r="L171" s="22">
        <f t="shared" si="12"/>
        <v>0.666666666744277</v>
      </c>
      <c r="M171" s="22" cm="1">
        <f ca="1" t="array" ref="M171">SUMPRODUCT(--(WEEKDAY(ROW(INDIRECT(INT(F171)&amp;":"&amp;INT(I171))),2)&gt;5))</f>
        <v>0</v>
      </c>
      <c r="N171" s="22">
        <f ca="1" t="shared" si="13"/>
        <v>0.666666666744277</v>
      </c>
      <c r="O171" s="22" t="str">
        <f ca="1" t="shared" si="14"/>
        <v>Within SLA</v>
      </c>
      <c r="P171" s="26" t="s">
        <v>765</v>
      </c>
      <c r="Q171" s="24" t="s">
        <v>37</v>
      </c>
      <c r="R171" s="25"/>
      <c r="S171" s="25"/>
    </row>
    <row r="172" ht="39" customHeight="1" spans="1:19">
      <c r="A172" s="19" t="s">
        <v>769</v>
      </c>
      <c r="B172" s="20" t="s">
        <v>19</v>
      </c>
      <c r="C172" s="20" t="s">
        <v>20</v>
      </c>
      <c r="D172" s="20" t="s">
        <v>32</v>
      </c>
      <c r="E172" s="21" t="s">
        <v>766</v>
      </c>
      <c r="F172" s="21" t="s">
        <v>770</v>
      </c>
      <c r="G172" s="20" t="s">
        <v>35</v>
      </c>
      <c r="H172" s="20" t="s">
        <v>25</v>
      </c>
      <c r="I172" s="21" t="s">
        <v>771</v>
      </c>
      <c r="J172" s="22">
        <f t="shared" si="10"/>
        <v>0.0256944444408873</v>
      </c>
      <c r="K172" s="22">
        <f t="shared" si="11"/>
        <v>0.616666666581295</v>
      </c>
      <c r="L172" s="22">
        <f t="shared" si="12"/>
        <v>0.616666666581295</v>
      </c>
      <c r="M172" s="22" cm="1">
        <f ca="1" t="array" ref="M172">SUMPRODUCT(--(WEEKDAY(ROW(INDIRECT(INT(F172)&amp;":"&amp;INT(I172))),2)&gt;5))</f>
        <v>0</v>
      </c>
      <c r="N172" s="22">
        <f ca="1" t="shared" si="13"/>
        <v>0.616666666581295</v>
      </c>
      <c r="O172" s="22" t="str">
        <f ca="1" t="shared" si="14"/>
        <v>Within SLA</v>
      </c>
      <c r="P172" s="26" t="s">
        <v>769</v>
      </c>
      <c r="Q172" s="24" t="s">
        <v>37</v>
      </c>
      <c r="R172" s="25"/>
      <c r="S172" s="25"/>
    </row>
    <row r="173" ht="39" customHeight="1" spans="1:19">
      <c r="A173" s="19" t="s">
        <v>772</v>
      </c>
      <c r="B173" s="20" t="s">
        <v>19</v>
      </c>
      <c r="C173" s="20" t="s">
        <v>20</v>
      </c>
      <c r="D173" s="20" t="s">
        <v>32</v>
      </c>
      <c r="E173" s="21" t="s">
        <v>773</v>
      </c>
      <c r="F173" s="21" t="s">
        <v>774</v>
      </c>
      <c r="G173" s="20" t="s">
        <v>35</v>
      </c>
      <c r="H173" s="20" t="s">
        <v>25</v>
      </c>
      <c r="I173" s="21" t="s">
        <v>775</v>
      </c>
      <c r="J173" s="22">
        <f t="shared" si="10"/>
        <v>26.0569444444409</v>
      </c>
      <c r="K173" s="22">
        <f t="shared" si="11"/>
        <v>625.366666666581</v>
      </c>
      <c r="L173" s="22">
        <f t="shared" si="12"/>
        <v>209.366666666581</v>
      </c>
      <c r="M173" s="22" cm="1">
        <f ca="1" t="array" ref="M173">SUMPRODUCT(--(WEEKDAY(ROW(INDIRECT(INT(F173)&amp;":"&amp;INT(I173))),2)&gt;5))</f>
        <v>8</v>
      </c>
      <c r="N173" s="22">
        <f ca="1" t="shared" si="13"/>
        <v>145.366666666581</v>
      </c>
      <c r="O173" s="22" t="str">
        <f ca="1" t="shared" si="14"/>
        <v>SLA Violated</v>
      </c>
      <c r="P173" s="23" t="s">
        <v>776</v>
      </c>
      <c r="Q173" s="24" t="s">
        <v>37</v>
      </c>
      <c r="R173" s="25" t="s">
        <v>38</v>
      </c>
      <c r="S173" s="25" t="s">
        <v>39</v>
      </c>
    </row>
    <row r="174" ht="39" customHeight="1" spans="1:19">
      <c r="A174" s="19" t="s">
        <v>777</v>
      </c>
      <c r="B174" s="20" t="s">
        <v>19</v>
      </c>
      <c r="C174" s="20" t="s">
        <v>20</v>
      </c>
      <c r="D174" s="20" t="s">
        <v>32</v>
      </c>
      <c r="E174" s="21" t="s">
        <v>778</v>
      </c>
      <c r="F174" s="21" t="s">
        <v>779</v>
      </c>
      <c r="G174" s="20" t="s">
        <v>35</v>
      </c>
      <c r="H174" s="20" t="s">
        <v>25</v>
      </c>
      <c r="I174" s="21" t="s">
        <v>780</v>
      </c>
      <c r="J174" s="22">
        <f t="shared" si="10"/>
        <v>38.9833333333299</v>
      </c>
      <c r="K174" s="22">
        <f t="shared" si="11"/>
        <v>935.599999999919</v>
      </c>
      <c r="L174" s="22">
        <f t="shared" si="12"/>
        <v>311.599999999919</v>
      </c>
      <c r="M174" s="22" cm="1">
        <f ca="1" t="array" ref="M174">SUMPRODUCT(--(WEEKDAY(ROW(INDIRECT(INT(F174)&amp;":"&amp;INT(I174))),2)&gt;5))</f>
        <v>12</v>
      </c>
      <c r="N174" s="22">
        <f ca="1" t="shared" si="13"/>
        <v>215.599999999919</v>
      </c>
      <c r="O174" s="22" t="str">
        <f ca="1" t="shared" si="14"/>
        <v>SLA Violated</v>
      </c>
      <c r="P174" s="23" t="s">
        <v>781</v>
      </c>
      <c r="Q174" s="24" t="s">
        <v>28</v>
      </c>
      <c r="R174" s="25"/>
      <c r="S174" s="25"/>
    </row>
    <row r="175" ht="39" customHeight="1" spans="1:19">
      <c r="A175" s="19" t="s">
        <v>782</v>
      </c>
      <c r="B175" s="20" t="s">
        <v>19</v>
      </c>
      <c r="C175" s="20" t="s">
        <v>20</v>
      </c>
      <c r="D175" s="20" t="s">
        <v>32</v>
      </c>
      <c r="E175" s="21" t="s">
        <v>783</v>
      </c>
      <c r="F175" s="21" t="s">
        <v>784</v>
      </c>
      <c r="G175" s="20" t="s">
        <v>35</v>
      </c>
      <c r="H175" s="20" t="s">
        <v>25</v>
      </c>
      <c r="I175" s="21" t="s">
        <v>780</v>
      </c>
      <c r="J175" s="22">
        <f t="shared" si="10"/>
        <v>0.00694444444525288</v>
      </c>
      <c r="K175" s="22">
        <f t="shared" si="11"/>
        <v>0.166666666686069</v>
      </c>
      <c r="L175" s="22">
        <f t="shared" si="12"/>
        <v>0.166666666686069</v>
      </c>
      <c r="M175" s="22" cm="1">
        <f ca="1" t="array" ref="M175">SUMPRODUCT(--(WEEKDAY(ROW(INDIRECT(INT(F175)&amp;":"&amp;INT(I175))),2)&gt;5))</f>
        <v>0</v>
      </c>
      <c r="N175" s="22">
        <f ca="1" t="shared" si="13"/>
        <v>0.166666666686069</v>
      </c>
      <c r="O175" s="22" t="str">
        <f ca="1" t="shared" si="14"/>
        <v>Within SLA</v>
      </c>
      <c r="P175" s="26" t="s">
        <v>782</v>
      </c>
      <c r="Q175" s="24" t="s">
        <v>37</v>
      </c>
      <c r="R175" s="25"/>
      <c r="S175" s="25"/>
    </row>
    <row r="176" ht="39" customHeight="1" spans="1:19">
      <c r="A176" s="19" t="s">
        <v>785</v>
      </c>
      <c r="B176" s="20" t="s">
        <v>19</v>
      </c>
      <c r="C176" s="20" t="s">
        <v>20</v>
      </c>
      <c r="D176" s="20" t="s">
        <v>115</v>
      </c>
      <c r="E176" s="21" t="s">
        <v>786</v>
      </c>
      <c r="F176" s="21" t="s">
        <v>787</v>
      </c>
      <c r="G176" s="20" t="s">
        <v>35</v>
      </c>
      <c r="H176" s="20" t="s">
        <v>25</v>
      </c>
      <c r="I176" s="21" t="s">
        <v>788</v>
      </c>
      <c r="J176" s="22">
        <f t="shared" si="10"/>
        <v>46.0590277777737</v>
      </c>
      <c r="K176" s="22">
        <f t="shared" si="11"/>
        <v>1105.41666666657</v>
      </c>
      <c r="L176" s="22">
        <f t="shared" si="12"/>
        <v>369.41666666657</v>
      </c>
      <c r="M176" s="22" cm="1">
        <f ca="1" t="array" ref="M176">SUMPRODUCT(--(WEEKDAY(ROW(INDIRECT(INT(F176)&amp;":"&amp;INT(I176))),2)&gt;5))</f>
        <v>14</v>
      </c>
      <c r="N176" s="22">
        <f ca="1" t="shared" si="13"/>
        <v>257.41666666657</v>
      </c>
      <c r="O176" s="22" t="str">
        <f ca="1" t="shared" si="14"/>
        <v>SLA Violated</v>
      </c>
      <c r="P176" s="23" t="s">
        <v>789</v>
      </c>
      <c r="Q176" s="24" t="s">
        <v>28</v>
      </c>
      <c r="R176" s="25"/>
      <c r="S176" s="25"/>
    </row>
    <row r="177" ht="39" customHeight="1" spans="1:19">
      <c r="A177" s="19" t="s">
        <v>790</v>
      </c>
      <c r="B177" s="20" t="s">
        <v>19</v>
      </c>
      <c r="C177" s="20" t="s">
        <v>20</v>
      </c>
      <c r="D177" s="20" t="s">
        <v>32</v>
      </c>
      <c r="E177" s="21" t="s">
        <v>791</v>
      </c>
      <c r="F177" s="21" t="s">
        <v>792</v>
      </c>
      <c r="G177" s="20" t="s">
        <v>24</v>
      </c>
      <c r="H177" s="20" t="s">
        <v>25</v>
      </c>
      <c r="I177" s="21" t="s">
        <v>793</v>
      </c>
      <c r="J177" s="22">
        <f t="shared" si="10"/>
        <v>61.007638888892</v>
      </c>
      <c r="K177" s="22">
        <f t="shared" si="11"/>
        <v>1464.18333333341</v>
      </c>
      <c r="L177" s="22">
        <f t="shared" si="12"/>
        <v>488.183333333407</v>
      </c>
      <c r="M177" s="22" cm="1">
        <f ca="1" t="array" ref="M177">SUMPRODUCT(--(WEEKDAY(ROW(INDIRECT(INT(F177)&amp;":"&amp;INT(I177))),2)&gt;5))</f>
        <v>18</v>
      </c>
      <c r="N177" s="22">
        <f ca="1" t="shared" si="13"/>
        <v>344.183333333407</v>
      </c>
      <c r="O177" s="22" t="str">
        <f ca="1" t="shared" si="14"/>
        <v>SLA Violated</v>
      </c>
      <c r="P177" s="23" t="s">
        <v>794</v>
      </c>
      <c r="Q177" s="24" t="s">
        <v>28</v>
      </c>
      <c r="R177" s="25"/>
      <c r="S177" s="25"/>
    </row>
    <row r="178" ht="39" customHeight="1" spans="1:19">
      <c r="A178" s="19" t="s">
        <v>795</v>
      </c>
      <c r="B178" s="20" t="s">
        <v>196</v>
      </c>
      <c r="C178" s="20" t="s">
        <v>46</v>
      </c>
      <c r="D178" s="20" t="s">
        <v>32</v>
      </c>
      <c r="E178" s="21" t="s">
        <v>796</v>
      </c>
      <c r="F178" s="21" t="s">
        <v>797</v>
      </c>
      <c r="G178" s="20" t="s">
        <v>35</v>
      </c>
      <c r="H178" s="20" t="s">
        <v>25</v>
      </c>
      <c r="I178" s="21" t="s">
        <v>798</v>
      </c>
      <c r="J178" s="22">
        <f t="shared" si="10"/>
        <v>3.02916666666715</v>
      </c>
      <c r="K178" s="22">
        <f t="shared" si="11"/>
        <v>72.7000000000116</v>
      </c>
      <c r="L178" s="22">
        <f t="shared" si="12"/>
        <v>24.7000000000116</v>
      </c>
      <c r="M178" s="22" cm="1">
        <f ca="1" t="array" ref="M178">SUMPRODUCT(--(WEEKDAY(ROW(INDIRECT(INT(F178)&amp;":"&amp;INT(I178))),2)&gt;5))</f>
        <v>2</v>
      </c>
      <c r="N178" s="22">
        <f ca="1" t="shared" si="13"/>
        <v>8.7000000000116</v>
      </c>
      <c r="O178" s="22" t="str">
        <f ca="1" t="shared" si="14"/>
        <v>Within SLA</v>
      </c>
      <c r="P178" s="26" t="s">
        <v>795</v>
      </c>
      <c r="Q178" s="24" t="s">
        <v>37</v>
      </c>
      <c r="R178" s="25"/>
      <c r="S178" s="25"/>
    </row>
    <row r="179" ht="39" customHeight="1" spans="1:19">
      <c r="A179" s="19" t="s">
        <v>799</v>
      </c>
      <c r="B179" s="20" t="s">
        <v>19</v>
      </c>
      <c r="C179" s="20" t="s">
        <v>20</v>
      </c>
      <c r="D179" s="20" t="s">
        <v>32</v>
      </c>
      <c r="E179" s="21" t="s">
        <v>800</v>
      </c>
      <c r="F179" s="21" t="s">
        <v>801</v>
      </c>
      <c r="G179" s="20" t="s">
        <v>35</v>
      </c>
      <c r="H179" s="20" t="s">
        <v>25</v>
      </c>
      <c r="I179" s="21" t="s">
        <v>802</v>
      </c>
      <c r="J179" s="22">
        <f t="shared" si="10"/>
        <v>33.9826388888905</v>
      </c>
      <c r="K179" s="22">
        <f t="shared" si="11"/>
        <v>815.583333333372</v>
      </c>
      <c r="L179" s="22">
        <f t="shared" si="12"/>
        <v>271.583333333372</v>
      </c>
      <c r="M179" s="22" cm="1">
        <f ca="1" t="array" ref="M179">SUMPRODUCT(--(WEEKDAY(ROW(INDIRECT(INT(F179)&amp;":"&amp;INT(I179))),2)&gt;5))</f>
        <v>10</v>
      </c>
      <c r="N179" s="22">
        <f ca="1" t="shared" si="13"/>
        <v>191.583333333372</v>
      </c>
      <c r="O179" s="22" t="str">
        <f ca="1" t="shared" si="14"/>
        <v>SLA Violated</v>
      </c>
      <c r="P179" s="23" t="s">
        <v>803</v>
      </c>
      <c r="Q179" s="24" t="s">
        <v>28</v>
      </c>
      <c r="R179" s="25"/>
      <c r="S179" s="25"/>
    </row>
    <row r="180" ht="39" customHeight="1" spans="1:19">
      <c r="A180" s="19" t="s">
        <v>804</v>
      </c>
      <c r="B180" s="20" t="s">
        <v>19</v>
      </c>
      <c r="C180" s="20" t="s">
        <v>20</v>
      </c>
      <c r="D180" s="20" t="s">
        <v>32</v>
      </c>
      <c r="E180" s="21" t="s">
        <v>805</v>
      </c>
      <c r="F180" s="21" t="s">
        <v>806</v>
      </c>
      <c r="G180" s="20" t="s">
        <v>35</v>
      </c>
      <c r="H180" s="20" t="s">
        <v>25</v>
      </c>
      <c r="I180" s="21" t="s">
        <v>807</v>
      </c>
      <c r="J180" s="22">
        <f t="shared" si="10"/>
        <v>4.9638888888876</v>
      </c>
      <c r="K180" s="22">
        <f t="shared" si="11"/>
        <v>119.133333333302</v>
      </c>
      <c r="L180" s="22">
        <f t="shared" si="12"/>
        <v>39.1333333333023</v>
      </c>
      <c r="M180" s="22" cm="1">
        <f ca="1" t="array" ref="M180">SUMPRODUCT(--(WEEKDAY(ROW(INDIRECT(INT(F180)&amp;":"&amp;INT(I180))),2)&gt;5))</f>
        <v>2</v>
      </c>
      <c r="N180" s="22">
        <f ca="1" t="shared" si="13"/>
        <v>23.1333333333023</v>
      </c>
      <c r="O180" s="22" t="str">
        <f ca="1" t="shared" si="14"/>
        <v>SLA Violated</v>
      </c>
      <c r="P180" s="23" t="s">
        <v>808</v>
      </c>
      <c r="Q180" s="24" t="s">
        <v>28</v>
      </c>
      <c r="R180" s="25"/>
      <c r="S180" s="25"/>
    </row>
    <row r="181" ht="39" customHeight="1" spans="1:19">
      <c r="A181" s="19" t="s">
        <v>809</v>
      </c>
      <c r="B181" s="20" t="s">
        <v>19</v>
      </c>
      <c r="C181" s="20" t="s">
        <v>20</v>
      </c>
      <c r="D181" s="20" t="s">
        <v>32</v>
      </c>
      <c r="E181" s="21" t="s">
        <v>807</v>
      </c>
      <c r="F181" s="21" t="s">
        <v>810</v>
      </c>
      <c r="G181" s="20" t="s">
        <v>35</v>
      </c>
      <c r="H181" s="20" t="s">
        <v>25</v>
      </c>
      <c r="I181" s="21" t="s">
        <v>811</v>
      </c>
      <c r="J181" s="22">
        <f t="shared" si="10"/>
        <v>25.9770833333387</v>
      </c>
      <c r="K181" s="22">
        <f t="shared" si="11"/>
        <v>623.450000000128</v>
      </c>
      <c r="L181" s="22">
        <f t="shared" si="12"/>
        <v>207.450000000128</v>
      </c>
      <c r="M181" s="22" cm="1">
        <f ca="1" t="array" ref="M181">SUMPRODUCT(--(WEEKDAY(ROW(INDIRECT(INT(F181)&amp;":"&amp;INT(I181))),2)&gt;5))</f>
        <v>8</v>
      </c>
      <c r="N181" s="22">
        <f ca="1" t="shared" si="13"/>
        <v>143.450000000128</v>
      </c>
      <c r="O181" s="22" t="str">
        <f ca="1" t="shared" si="14"/>
        <v>SLA Violated</v>
      </c>
      <c r="P181" s="23" t="s">
        <v>812</v>
      </c>
      <c r="Q181" s="24" t="s">
        <v>28</v>
      </c>
      <c r="R181" s="25"/>
      <c r="S181" s="25"/>
    </row>
    <row r="182" ht="16" customHeight="1" spans="1:19">
      <c r="A182" s="19" t="s">
        <v>813</v>
      </c>
      <c r="B182" s="20" t="s">
        <v>45</v>
      </c>
      <c r="C182" s="20" t="s">
        <v>20</v>
      </c>
      <c r="D182" s="20" t="s">
        <v>32</v>
      </c>
      <c r="E182" s="21" t="s">
        <v>814</v>
      </c>
      <c r="F182" s="21" t="s">
        <v>815</v>
      </c>
      <c r="G182" s="20" t="s">
        <v>35</v>
      </c>
      <c r="H182" s="20" t="s">
        <v>25</v>
      </c>
      <c r="I182" s="21" t="s">
        <v>816</v>
      </c>
      <c r="J182" s="22">
        <f t="shared" si="10"/>
        <v>2.73888888888905</v>
      </c>
      <c r="K182" s="22">
        <f t="shared" si="11"/>
        <v>65.7333333333372</v>
      </c>
      <c r="L182" s="22">
        <f t="shared" si="12"/>
        <v>17.7333333333372</v>
      </c>
      <c r="M182" s="22" cm="1">
        <f ca="1" t="array" ref="M182">SUMPRODUCT(--(WEEKDAY(ROW(INDIRECT(INT(F182)&amp;":"&amp;INT(I182))),2)&gt;5))</f>
        <v>2</v>
      </c>
      <c r="N182" s="22">
        <f ca="1" t="shared" si="13"/>
        <v>1.7333333333372</v>
      </c>
      <c r="O182" s="22" t="str">
        <f ca="1" t="shared" si="14"/>
        <v>Within SLA</v>
      </c>
      <c r="P182" s="26" t="s">
        <v>813</v>
      </c>
      <c r="Q182" s="24" t="s">
        <v>37</v>
      </c>
      <c r="R182" s="25"/>
      <c r="S182" s="25"/>
    </row>
    <row r="183" ht="39" customHeight="1" spans="1:19">
      <c r="A183" s="19" t="s">
        <v>817</v>
      </c>
      <c r="B183" s="20" t="s">
        <v>19</v>
      </c>
      <c r="C183" s="20" t="s">
        <v>20</v>
      </c>
      <c r="D183" s="20" t="s">
        <v>32</v>
      </c>
      <c r="E183" s="21" t="s">
        <v>818</v>
      </c>
      <c r="F183" s="21" t="s">
        <v>819</v>
      </c>
      <c r="G183" s="20" t="s">
        <v>35</v>
      </c>
      <c r="H183" s="20" t="s">
        <v>25</v>
      </c>
      <c r="I183" s="21" t="s">
        <v>820</v>
      </c>
      <c r="J183" s="22">
        <f t="shared" si="10"/>
        <v>2.7548611111124</v>
      </c>
      <c r="K183" s="22">
        <f t="shared" si="11"/>
        <v>66.1166666666977</v>
      </c>
      <c r="L183" s="22">
        <f t="shared" si="12"/>
        <v>18.1166666666977</v>
      </c>
      <c r="M183" s="22" cm="1">
        <f ca="1" t="array" ref="M183">SUMPRODUCT(--(WEEKDAY(ROW(INDIRECT(INT(F183)&amp;":"&amp;INT(I183))),2)&gt;5))</f>
        <v>2</v>
      </c>
      <c r="N183" s="22">
        <f ca="1" t="shared" si="13"/>
        <v>2.1166666666977</v>
      </c>
      <c r="O183" s="22" t="str">
        <f ca="1" t="shared" si="14"/>
        <v>Within SLA</v>
      </c>
      <c r="P183" s="26" t="s">
        <v>817</v>
      </c>
      <c r="Q183" s="24" t="s">
        <v>37</v>
      </c>
      <c r="R183" s="25"/>
      <c r="S183" s="25"/>
    </row>
    <row r="184" ht="27" customHeight="1" spans="1:19">
      <c r="A184" s="19" t="s">
        <v>821</v>
      </c>
      <c r="B184" s="20" t="s">
        <v>30</v>
      </c>
      <c r="C184" s="20" t="s">
        <v>67</v>
      </c>
      <c r="D184" s="20" t="s">
        <v>32</v>
      </c>
      <c r="E184" s="21" t="s">
        <v>822</v>
      </c>
      <c r="F184" s="21" t="s">
        <v>823</v>
      </c>
      <c r="G184" s="20" t="s">
        <v>35</v>
      </c>
      <c r="H184" s="20" t="s">
        <v>25</v>
      </c>
      <c r="I184" s="21" t="s">
        <v>824</v>
      </c>
      <c r="J184" s="22">
        <f t="shared" si="10"/>
        <v>2.85486111111095</v>
      </c>
      <c r="K184" s="22">
        <f t="shared" si="11"/>
        <v>68.5166666666628</v>
      </c>
      <c r="L184" s="22">
        <f t="shared" si="12"/>
        <v>20.5166666666628</v>
      </c>
      <c r="M184" s="22" cm="1">
        <f ca="1" t="array" ref="M184">SUMPRODUCT(--(WEEKDAY(ROW(INDIRECT(INT(F184)&amp;":"&amp;INT(I184))),2)&gt;5))</f>
        <v>2</v>
      </c>
      <c r="N184" s="22">
        <f ca="1" t="shared" si="13"/>
        <v>4.5166666666628</v>
      </c>
      <c r="O184" s="22" t="str">
        <f ca="1" t="shared" si="14"/>
        <v>Within SLA</v>
      </c>
      <c r="P184" s="26" t="s">
        <v>821</v>
      </c>
      <c r="Q184" s="24" t="s">
        <v>37</v>
      </c>
      <c r="R184" s="25"/>
      <c r="S184" s="25"/>
    </row>
    <row r="185" ht="39" customHeight="1" spans="1:19">
      <c r="A185" s="19" t="s">
        <v>825</v>
      </c>
      <c r="B185" s="20" t="s">
        <v>19</v>
      </c>
      <c r="C185" s="20" t="s">
        <v>20</v>
      </c>
      <c r="D185" s="20" t="s">
        <v>32</v>
      </c>
      <c r="E185" s="21" t="s">
        <v>826</v>
      </c>
      <c r="F185" s="21" t="s">
        <v>827</v>
      </c>
      <c r="G185" s="20" t="s">
        <v>35</v>
      </c>
      <c r="H185" s="20" t="s">
        <v>25</v>
      </c>
      <c r="I185" s="21" t="s">
        <v>828</v>
      </c>
      <c r="J185" s="22">
        <f t="shared" si="10"/>
        <v>34.8423611111139</v>
      </c>
      <c r="K185" s="22">
        <f t="shared" si="11"/>
        <v>836.216666666733</v>
      </c>
      <c r="L185" s="22">
        <f t="shared" si="12"/>
        <v>276.216666666733</v>
      </c>
      <c r="M185" s="22" cm="1">
        <f ca="1" t="array" ref="M185">SUMPRODUCT(--(WEEKDAY(ROW(INDIRECT(INT(F185)&amp;":"&amp;INT(I185))),2)&gt;5))</f>
        <v>10</v>
      </c>
      <c r="N185" s="22">
        <f ca="1" t="shared" si="13"/>
        <v>196.216666666733</v>
      </c>
      <c r="O185" s="22" t="str">
        <f ca="1" t="shared" si="14"/>
        <v>SLA Violated</v>
      </c>
      <c r="P185" s="23" t="s">
        <v>829</v>
      </c>
      <c r="Q185" s="24" t="s">
        <v>28</v>
      </c>
      <c r="R185" s="25"/>
      <c r="S185" s="25"/>
    </row>
    <row r="186" ht="27" customHeight="1" spans="1:19">
      <c r="A186" s="19" t="s">
        <v>830</v>
      </c>
      <c r="B186" s="20" t="s">
        <v>30</v>
      </c>
      <c r="C186" s="20" t="s">
        <v>67</v>
      </c>
      <c r="D186" s="20" t="s">
        <v>32</v>
      </c>
      <c r="E186" s="21" t="s">
        <v>831</v>
      </c>
      <c r="F186" s="21" t="s">
        <v>832</v>
      </c>
      <c r="G186" s="20" t="s">
        <v>35</v>
      </c>
      <c r="H186" s="20" t="s">
        <v>25</v>
      </c>
      <c r="I186" s="21" t="s">
        <v>833</v>
      </c>
      <c r="J186" s="22">
        <f t="shared" si="10"/>
        <v>0.163888888884685</v>
      </c>
      <c r="K186" s="22">
        <f t="shared" si="11"/>
        <v>3.93333333323244</v>
      </c>
      <c r="L186" s="22">
        <f t="shared" si="12"/>
        <v>3.93333333323244</v>
      </c>
      <c r="M186" s="22" cm="1">
        <f ca="1" t="array" ref="M186">SUMPRODUCT(--(WEEKDAY(ROW(INDIRECT(INT(F186)&amp;":"&amp;INT(I186))),2)&gt;5))</f>
        <v>0</v>
      </c>
      <c r="N186" s="22">
        <f ca="1" t="shared" si="13"/>
        <v>3.93333333323244</v>
      </c>
      <c r="O186" s="22" t="str">
        <f ca="1" t="shared" si="14"/>
        <v>Within SLA</v>
      </c>
      <c r="P186" s="26" t="s">
        <v>830</v>
      </c>
      <c r="Q186" s="24" t="s">
        <v>37</v>
      </c>
      <c r="R186" s="25"/>
      <c r="S186" s="25"/>
    </row>
    <row r="187" ht="39" customHeight="1" spans="1:19">
      <c r="A187" s="19" t="s">
        <v>834</v>
      </c>
      <c r="B187" s="20" t="s">
        <v>19</v>
      </c>
      <c r="C187" s="20" t="s">
        <v>20</v>
      </c>
      <c r="D187" s="20" t="s">
        <v>32</v>
      </c>
      <c r="E187" s="21" t="s">
        <v>835</v>
      </c>
      <c r="F187" s="21" t="s">
        <v>836</v>
      </c>
      <c r="G187" s="20" t="s">
        <v>24</v>
      </c>
      <c r="H187" s="20" t="s">
        <v>25</v>
      </c>
      <c r="I187" s="21" t="s">
        <v>837</v>
      </c>
      <c r="J187" s="22">
        <f t="shared" si="10"/>
        <v>42.1229166666599</v>
      </c>
      <c r="K187" s="22">
        <f t="shared" si="11"/>
        <v>1010.94999999984</v>
      </c>
      <c r="L187" s="22">
        <f t="shared" si="12"/>
        <v>338.949999999837</v>
      </c>
      <c r="M187" s="22" cm="1">
        <f ca="1" t="array" ref="M187">SUMPRODUCT(--(WEEKDAY(ROW(INDIRECT(INT(F187)&amp;":"&amp;INT(I187))),2)&gt;5))</f>
        <v>12</v>
      </c>
      <c r="N187" s="22">
        <f ca="1" t="shared" si="13"/>
        <v>242.949999999837</v>
      </c>
      <c r="O187" s="22" t="str">
        <f ca="1" t="shared" si="14"/>
        <v>SLA Violated</v>
      </c>
      <c r="P187" s="23" t="s">
        <v>838</v>
      </c>
      <c r="Q187" s="24" t="s">
        <v>28</v>
      </c>
      <c r="R187" s="25"/>
      <c r="S187" s="25"/>
    </row>
    <row r="188" ht="39" customHeight="1" spans="1:19">
      <c r="A188" s="19" t="s">
        <v>839</v>
      </c>
      <c r="B188" s="20" t="s">
        <v>19</v>
      </c>
      <c r="C188" s="20" t="s">
        <v>20</v>
      </c>
      <c r="D188" s="20" t="s">
        <v>32</v>
      </c>
      <c r="E188" s="21" t="s">
        <v>840</v>
      </c>
      <c r="F188" s="21" t="s">
        <v>841</v>
      </c>
      <c r="G188" s="20" t="s">
        <v>35</v>
      </c>
      <c r="H188" s="20" t="s">
        <v>25</v>
      </c>
      <c r="I188" s="21" t="s">
        <v>549</v>
      </c>
      <c r="J188" s="22">
        <f t="shared" si="10"/>
        <v>31.2611111111109</v>
      </c>
      <c r="K188" s="22">
        <f t="shared" si="11"/>
        <v>750.266666666663</v>
      </c>
      <c r="L188" s="22">
        <f t="shared" si="12"/>
        <v>254.266666666663</v>
      </c>
      <c r="M188" s="22" cm="1">
        <f ca="1" t="array" ref="M188">SUMPRODUCT(--(WEEKDAY(ROW(INDIRECT(INT(F188)&amp;":"&amp;INT(I188))),2)&gt;5))</f>
        <v>8</v>
      </c>
      <c r="N188" s="22">
        <f ca="1" t="shared" si="13"/>
        <v>190.266666666663</v>
      </c>
      <c r="O188" s="22" t="str">
        <f ca="1" t="shared" si="14"/>
        <v>SLA Violated</v>
      </c>
      <c r="P188" s="23" t="s">
        <v>842</v>
      </c>
      <c r="Q188" s="24" t="s">
        <v>28</v>
      </c>
      <c r="R188" s="25"/>
      <c r="S188" s="25"/>
    </row>
    <row r="189" ht="39" customHeight="1" spans="1:19">
      <c r="A189" s="19" t="s">
        <v>843</v>
      </c>
      <c r="B189" s="20" t="s">
        <v>19</v>
      </c>
      <c r="C189" s="20" t="s">
        <v>20</v>
      </c>
      <c r="D189" s="20" t="s">
        <v>32</v>
      </c>
      <c r="E189" s="21" t="s">
        <v>844</v>
      </c>
      <c r="F189" s="21" t="s">
        <v>845</v>
      </c>
      <c r="G189" s="20" t="s">
        <v>35</v>
      </c>
      <c r="H189" s="20" t="s">
        <v>25</v>
      </c>
      <c r="I189" s="21" t="s">
        <v>846</v>
      </c>
      <c r="J189" s="22">
        <f t="shared" si="10"/>
        <v>23.2590277777781</v>
      </c>
      <c r="K189" s="22">
        <f t="shared" si="11"/>
        <v>558.216666666674</v>
      </c>
      <c r="L189" s="22">
        <f t="shared" si="12"/>
        <v>190.216666666674</v>
      </c>
      <c r="M189" s="22" cm="1">
        <f ca="1" t="array" ref="M189">SUMPRODUCT(--(WEEKDAY(ROW(INDIRECT(INT(F189)&amp;":"&amp;INT(I189))),2)&gt;5))</f>
        <v>6</v>
      </c>
      <c r="N189" s="22">
        <f ca="1" t="shared" si="13"/>
        <v>142.216666666674</v>
      </c>
      <c r="O189" s="22" t="str">
        <f ca="1" t="shared" si="14"/>
        <v>SLA Violated</v>
      </c>
      <c r="P189" s="23" t="s">
        <v>847</v>
      </c>
      <c r="Q189" s="24" t="s">
        <v>28</v>
      </c>
      <c r="R189" s="25"/>
      <c r="S189" s="25"/>
    </row>
    <row r="190" ht="27" customHeight="1" spans="1:19">
      <c r="A190" s="19" t="s">
        <v>848</v>
      </c>
      <c r="B190" s="20" t="s">
        <v>121</v>
      </c>
      <c r="C190" s="20" t="s">
        <v>849</v>
      </c>
      <c r="D190" s="20" t="s">
        <v>32</v>
      </c>
      <c r="E190" s="21" t="s">
        <v>850</v>
      </c>
      <c r="F190" s="21" t="s">
        <v>851</v>
      </c>
      <c r="G190" s="20" t="s">
        <v>35</v>
      </c>
      <c r="H190" s="20" t="s">
        <v>25</v>
      </c>
      <c r="I190" s="21" t="s">
        <v>852</v>
      </c>
      <c r="J190" s="22">
        <f t="shared" si="10"/>
        <v>0.070138888891961</v>
      </c>
      <c r="K190" s="22">
        <f t="shared" si="11"/>
        <v>1.68333333340706</v>
      </c>
      <c r="L190" s="22">
        <f t="shared" si="12"/>
        <v>1.68333333340706</v>
      </c>
      <c r="M190" s="22" cm="1">
        <f ca="1" t="array" ref="M190">SUMPRODUCT(--(WEEKDAY(ROW(INDIRECT(INT(F190)&amp;":"&amp;INT(I190))),2)&gt;5))</f>
        <v>0</v>
      </c>
      <c r="N190" s="22">
        <f ca="1" t="shared" si="13"/>
        <v>1.68333333340706</v>
      </c>
      <c r="O190" s="22" t="str">
        <f ca="1" t="shared" si="14"/>
        <v>Within SLA</v>
      </c>
      <c r="P190" s="26" t="s">
        <v>848</v>
      </c>
      <c r="Q190" s="24" t="s">
        <v>37</v>
      </c>
      <c r="R190" s="25"/>
      <c r="S190" s="25"/>
    </row>
    <row r="191" ht="39" customHeight="1" spans="1:19">
      <c r="A191" s="19" t="s">
        <v>853</v>
      </c>
      <c r="B191" s="20" t="s">
        <v>19</v>
      </c>
      <c r="C191" s="20" t="s">
        <v>20</v>
      </c>
      <c r="D191" s="20" t="s">
        <v>32</v>
      </c>
      <c r="E191" s="21" t="s">
        <v>854</v>
      </c>
      <c r="F191" s="21" t="s">
        <v>855</v>
      </c>
      <c r="G191" s="20" t="s">
        <v>35</v>
      </c>
      <c r="H191" s="20" t="s">
        <v>25</v>
      </c>
      <c r="I191" s="21" t="s">
        <v>856</v>
      </c>
      <c r="J191" s="22">
        <f t="shared" si="10"/>
        <v>2.95624999999563</v>
      </c>
      <c r="K191" s="22">
        <f t="shared" si="11"/>
        <v>70.9499999998952</v>
      </c>
      <c r="L191" s="22">
        <f t="shared" si="12"/>
        <v>22.9499999998952</v>
      </c>
      <c r="M191" s="22" cm="1">
        <f ca="1" t="array" ref="M191">SUMPRODUCT(--(WEEKDAY(ROW(INDIRECT(INT(F191)&amp;":"&amp;INT(I191))),2)&gt;5))</f>
        <v>0</v>
      </c>
      <c r="N191" s="22">
        <f ca="1" t="shared" si="13"/>
        <v>22.9499999998952</v>
      </c>
      <c r="O191" s="22" t="str">
        <f ca="1" t="shared" si="14"/>
        <v>SLA Violated</v>
      </c>
      <c r="P191" s="23" t="s">
        <v>857</v>
      </c>
      <c r="Q191" s="24" t="s">
        <v>28</v>
      </c>
      <c r="R191" s="25"/>
      <c r="S191" s="25"/>
    </row>
    <row r="192" ht="27" customHeight="1" spans="1:19">
      <c r="A192" s="19" t="s">
        <v>858</v>
      </c>
      <c r="B192" s="20" t="s">
        <v>30</v>
      </c>
      <c r="C192" s="20" t="s">
        <v>31</v>
      </c>
      <c r="D192" s="20" t="s">
        <v>32</v>
      </c>
      <c r="E192" s="21" t="s">
        <v>859</v>
      </c>
      <c r="F192" s="21" t="s">
        <v>860</v>
      </c>
      <c r="G192" s="20" t="s">
        <v>35</v>
      </c>
      <c r="H192" s="20" t="s">
        <v>25</v>
      </c>
      <c r="I192" s="21" t="s">
        <v>861</v>
      </c>
      <c r="J192" s="22">
        <f t="shared" si="10"/>
        <v>0.215277777781012</v>
      </c>
      <c r="K192" s="22">
        <f t="shared" si="11"/>
        <v>5.16666666674428</v>
      </c>
      <c r="L192" s="22">
        <f t="shared" si="12"/>
        <v>5.16666666674428</v>
      </c>
      <c r="M192" s="22" cm="1">
        <f ca="1" t="array" ref="M192">SUMPRODUCT(--(WEEKDAY(ROW(INDIRECT(INT(F192)&amp;":"&amp;INT(I192))),2)&gt;5))</f>
        <v>0</v>
      </c>
      <c r="N192" s="22">
        <f ca="1" t="shared" si="13"/>
        <v>5.16666666674428</v>
      </c>
      <c r="O192" s="22" t="str">
        <f ca="1" t="shared" si="14"/>
        <v>Within SLA</v>
      </c>
      <c r="P192" s="26" t="s">
        <v>858</v>
      </c>
      <c r="Q192" s="24" t="s">
        <v>37</v>
      </c>
      <c r="R192" s="25"/>
      <c r="S192" s="25"/>
    </row>
    <row r="193" ht="39" customHeight="1" spans="1:20">
      <c r="A193" s="19" t="s">
        <v>862</v>
      </c>
      <c r="B193" s="20" t="s">
        <v>19</v>
      </c>
      <c r="C193" s="20" t="s">
        <v>863</v>
      </c>
      <c r="D193" s="20" t="s">
        <v>32</v>
      </c>
      <c r="E193" s="21" t="s">
        <v>864</v>
      </c>
      <c r="F193" s="21" t="s">
        <v>865</v>
      </c>
      <c r="G193" s="20" t="s">
        <v>35</v>
      </c>
      <c r="H193" s="20" t="s">
        <v>25</v>
      </c>
      <c r="I193" s="21" t="s">
        <v>866</v>
      </c>
      <c r="J193" s="22">
        <f t="shared" si="10"/>
        <v>1.40069444444816</v>
      </c>
      <c r="K193" s="22">
        <f t="shared" si="11"/>
        <v>33.6166666667559</v>
      </c>
      <c r="L193" s="22">
        <f t="shared" si="12"/>
        <v>17.6166666667559</v>
      </c>
      <c r="M193" s="22" cm="1">
        <f ca="1" t="array" ref="M193">SUMPRODUCT(--(WEEKDAY(ROW(INDIRECT(INT(F193)&amp;":"&amp;INT(I193))),2)&gt;5))</f>
        <v>2</v>
      </c>
      <c r="N193" s="22">
        <f ca="1" t="shared" si="13"/>
        <v>1.6166666667559</v>
      </c>
      <c r="O193" s="22" t="str">
        <f ca="1" t="shared" si="14"/>
        <v>Within SLA</v>
      </c>
      <c r="P193" s="26" t="s">
        <v>862</v>
      </c>
      <c r="Q193" s="24" t="s">
        <v>37</v>
      </c>
      <c r="R193" s="25"/>
      <c r="S193" s="25"/>
    </row>
    <row r="194" ht="39" customHeight="1" spans="1:20">
      <c r="A194" s="19" t="s">
        <v>867</v>
      </c>
      <c r="B194" s="20" t="s">
        <v>19</v>
      </c>
      <c r="C194" s="20" t="s">
        <v>20</v>
      </c>
      <c r="D194" s="20" t="s">
        <v>32</v>
      </c>
      <c r="E194" s="21" t="s">
        <v>868</v>
      </c>
      <c r="F194" s="21" t="s">
        <v>869</v>
      </c>
      <c r="G194" s="20" t="s">
        <v>35</v>
      </c>
      <c r="H194" s="20" t="s">
        <v>25</v>
      </c>
      <c r="I194" s="21" t="s">
        <v>856</v>
      </c>
      <c r="J194" s="22">
        <f t="shared" si="10"/>
        <v>0.0743055555503815</v>
      </c>
      <c r="K194" s="22">
        <f t="shared" si="11"/>
        <v>1.78333333320916</v>
      </c>
      <c r="L194" s="22">
        <f t="shared" si="12"/>
        <v>1.78333333320916</v>
      </c>
      <c r="M194" s="22" cm="1">
        <f ca="1" t="array" ref="M194">SUMPRODUCT(--(WEEKDAY(ROW(INDIRECT(INT(F194)&amp;":"&amp;INT(I194))),2)&gt;5))</f>
        <v>0</v>
      </c>
      <c r="N194" s="22">
        <f ca="1" t="shared" si="13"/>
        <v>1.78333333320916</v>
      </c>
      <c r="O194" s="22" t="str">
        <f ca="1" t="shared" si="14"/>
        <v>Within SLA</v>
      </c>
      <c r="P194" s="26" t="s">
        <v>867</v>
      </c>
      <c r="Q194" s="24" t="s">
        <v>37</v>
      </c>
      <c r="R194" s="25"/>
      <c r="S194" s="25"/>
    </row>
    <row r="195" ht="39" customHeight="1" spans="1:20">
      <c r="A195" s="19" t="s">
        <v>870</v>
      </c>
      <c r="B195" s="20" t="s">
        <v>19</v>
      </c>
      <c r="C195" s="20" t="s">
        <v>20</v>
      </c>
      <c r="D195" s="20" t="s">
        <v>32</v>
      </c>
      <c r="E195" s="21" t="s">
        <v>871</v>
      </c>
      <c r="F195" s="21" t="s">
        <v>872</v>
      </c>
      <c r="G195" s="20" t="s">
        <v>35</v>
      </c>
      <c r="H195" s="20" t="s">
        <v>25</v>
      </c>
      <c r="I195" s="21" t="s">
        <v>873</v>
      </c>
      <c r="J195" s="22">
        <f t="shared" ref="J195:J258" si="15">F195-I195</f>
        <v>23.2562500000058</v>
      </c>
      <c r="K195" s="22">
        <f t="shared" ref="K195:K258" si="16">J195*24</f>
        <v>558.15000000014</v>
      </c>
      <c r="L195" s="22">
        <f t="shared" ref="L195:L258" si="17">IF(_xlfn.DAYS(F195,I195)&gt;0,K195-IF(FLOOR(J195,1)=0,1,_xlfn.DAYS(F195,I195))*16,K195)</f>
        <v>190.15000000014</v>
      </c>
      <c r="M195" s="22" cm="1">
        <f ca="1" t="array" ref="M195">SUMPRODUCT(--(WEEKDAY(ROW(INDIRECT(INT(F195)&amp;":"&amp;INT(I195))),2)&gt;5))</f>
        <v>6</v>
      </c>
      <c r="N195" s="22">
        <f ca="1" t="shared" ref="N195:N258" si="18">IF(IF(M195&gt;0,L195-M195*8,L195)&lt;0,0,IF(M195&gt;0,L195-M195*8,L195))</f>
        <v>142.15000000014</v>
      </c>
      <c r="O195" s="22" t="str">
        <f ca="1" t="shared" ref="O195:O258" si="19">IF(OR(AND(D195="P1",N195&lt;=3),AND(D195="P2",N195&lt;=6),AND(D195="P3",N195&lt;=9),AND(D195="P4",N195&lt;=12)),"Within SLA","SLA Violated")</f>
        <v>SLA Violated</v>
      </c>
      <c r="P195" s="23" t="s">
        <v>874</v>
      </c>
      <c r="Q195" s="24" t="s">
        <v>28</v>
      </c>
      <c r="R195" s="25"/>
      <c r="S195" s="25"/>
    </row>
    <row r="196" ht="39" customHeight="1" spans="1:20">
      <c r="A196" s="19" t="s">
        <v>875</v>
      </c>
      <c r="B196" s="20" t="s">
        <v>19</v>
      </c>
      <c r="C196" s="20" t="s">
        <v>863</v>
      </c>
      <c r="D196" s="20" t="s">
        <v>32</v>
      </c>
      <c r="E196" s="21" t="s">
        <v>876</v>
      </c>
      <c r="F196" s="21" t="s">
        <v>877</v>
      </c>
      <c r="G196" s="20" t="s">
        <v>35</v>
      </c>
      <c r="H196" s="20" t="s">
        <v>25</v>
      </c>
      <c r="I196" s="21" t="s">
        <v>878</v>
      </c>
      <c r="J196" s="22">
        <f t="shared" si="15"/>
        <v>0.14236111111677</v>
      </c>
      <c r="K196" s="22">
        <f t="shared" si="16"/>
        <v>3.41666666680248</v>
      </c>
      <c r="L196" s="22">
        <f t="shared" si="17"/>
        <v>3.41666666680248</v>
      </c>
      <c r="M196" s="22" cm="1">
        <f ca="1" t="array" ref="M196">SUMPRODUCT(--(WEEKDAY(ROW(INDIRECT(INT(F196)&amp;":"&amp;INT(I196))),2)&gt;5))</f>
        <v>1</v>
      </c>
      <c r="N196" s="22">
        <f ca="1" t="shared" si="18"/>
        <v>0</v>
      </c>
      <c r="O196" s="22" t="str">
        <f ca="1" t="shared" si="19"/>
        <v>Within SLA</v>
      </c>
      <c r="P196" s="26" t="s">
        <v>875</v>
      </c>
      <c r="Q196" s="24" t="s">
        <v>37</v>
      </c>
      <c r="R196" s="25"/>
      <c r="S196" s="25"/>
    </row>
    <row r="197" ht="27" customHeight="1" spans="1:20">
      <c r="A197" s="19" t="s">
        <v>879</v>
      </c>
      <c r="B197" s="20" t="s">
        <v>30</v>
      </c>
      <c r="C197" s="20" t="s">
        <v>31</v>
      </c>
      <c r="D197" s="20" t="s">
        <v>32</v>
      </c>
      <c r="E197" s="21" t="s">
        <v>880</v>
      </c>
      <c r="F197" s="21" t="s">
        <v>881</v>
      </c>
      <c r="G197" s="20" t="s">
        <v>35</v>
      </c>
      <c r="H197" s="20" t="s">
        <v>25</v>
      </c>
      <c r="I197" s="21" t="s">
        <v>882</v>
      </c>
      <c r="J197" s="22">
        <f t="shared" si="15"/>
        <v>1.07847222222335</v>
      </c>
      <c r="K197" s="22">
        <f t="shared" si="16"/>
        <v>25.8833333333605</v>
      </c>
      <c r="L197" s="22">
        <f t="shared" si="17"/>
        <v>9.8833333333605</v>
      </c>
      <c r="M197" s="22" cm="1">
        <f ca="1" t="array" ref="M197">SUMPRODUCT(--(WEEKDAY(ROW(INDIRECT(INT(F197)&amp;":"&amp;INT(I197))),2)&gt;5))</f>
        <v>0</v>
      </c>
      <c r="N197" s="22">
        <f ca="1" t="shared" si="18"/>
        <v>9.8833333333605</v>
      </c>
      <c r="O197" s="22" t="str">
        <f ca="1" t="shared" si="19"/>
        <v>Within SLA</v>
      </c>
      <c r="P197" s="26" t="s">
        <v>879</v>
      </c>
      <c r="Q197" s="24" t="s">
        <v>37</v>
      </c>
      <c r="R197" s="25"/>
      <c r="S197" s="25"/>
    </row>
    <row r="198" ht="27" customHeight="1" spans="1:20">
      <c r="A198" s="19" t="s">
        <v>883</v>
      </c>
      <c r="B198" s="20" t="s">
        <v>139</v>
      </c>
      <c r="C198" s="20" t="s">
        <v>31</v>
      </c>
      <c r="D198" s="20" t="s">
        <v>32</v>
      </c>
      <c r="E198" s="21" t="s">
        <v>884</v>
      </c>
      <c r="F198" s="21" t="s">
        <v>885</v>
      </c>
      <c r="G198" s="20" t="s">
        <v>35</v>
      </c>
      <c r="H198" s="20" t="s">
        <v>25</v>
      </c>
      <c r="I198" s="21" t="s">
        <v>886</v>
      </c>
      <c r="J198" s="22">
        <f t="shared" si="15"/>
        <v>1.0402777777781</v>
      </c>
      <c r="K198" s="22">
        <f t="shared" si="16"/>
        <v>24.9666666666744</v>
      </c>
      <c r="L198" s="22">
        <f t="shared" si="17"/>
        <v>8.96666666667443</v>
      </c>
      <c r="M198" s="22" cm="1">
        <f ca="1" t="array" ref="M198">SUMPRODUCT(--(WEEKDAY(ROW(INDIRECT(INT(F198)&amp;":"&amp;INT(I198))),2)&gt;5))</f>
        <v>0</v>
      </c>
      <c r="N198" s="22">
        <f ca="1" t="shared" si="18"/>
        <v>8.96666666667443</v>
      </c>
      <c r="O198" s="22" t="str">
        <f ca="1" t="shared" si="19"/>
        <v>Within SLA</v>
      </c>
      <c r="P198" s="26" t="s">
        <v>883</v>
      </c>
      <c r="Q198" s="24" t="s">
        <v>37</v>
      </c>
      <c r="R198" s="25"/>
      <c r="S198" s="25"/>
    </row>
    <row r="199" ht="39" customHeight="1" spans="1:20">
      <c r="A199" s="19" t="s">
        <v>887</v>
      </c>
      <c r="B199" s="20" t="s">
        <v>19</v>
      </c>
      <c r="C199" s="20" t="s">
        <v>20</v>
      </c>
      <c r="D199" s="20" t="s">
        <v>32</v>
      </c>
      <c r="E199" s="21" t="s">
        <v>888</v>
      </c>
      <c r="F199" s="21" t="s">
        <v>889</v>
      </c>
      <c r="G199" s="20" t="s">
        <v>35</v>
      </c>
      <c r="H199" s="20" t="s">
        <v>25</v>
      </c>
      <c r="I199" s="21" t="s">
        <v>890</v>
      </c>
      <c r="J199" s="22">
        <f t="shared" si="15"/>
        <v>0.286111111112405</v>
      </c>
      <c r="K199" s="22">
        <f t="shared" si="16"/>
        <v>6.86666666669771</v>
      </c>
      <c r="L199" s="22">
        <f t="shared" si="17"/>
        <v>6.86666666669771</v>
      </c>
      <c r="M199" s="22" cm="1">
        <f ca="1" t="array" ref="M199">SUMPRODUCT(--(WEEKDAY(ROW(INDIRECT(INT(F199)&amp;":"&amp;INT(I199))),2)&gt;5))</f>
        <v>0</v>
      </c>
      <c r="N199" s="22">
        <f ca="1" t="shared" si="18"/>
        <v>6.86666666669771</v>
      </c>
      <c r="O199" s="22" t="str">
        <f ca="1" t="shared" si="19"/>
        <v>Within SLA</v>
      </c>
      <c r="P199" s="26" t="s">
        <v>887</v>
      </c>
      <c r="Q199" s="24" t="s">
        <v>37</v>
      </c>
      <c r="R199" s="25"/>
      <c r="S199" s="25"/>
    </row>
    <row r="200" ht="39" customHeight="1" spans="1:20">
      <c r="A200" s="19" t="s">
        <v>891</v>
      </c>
      <c r="B200" s="20" t="s">
        <v>19</v>
      </c>
      <c r="C200" s="20" t="s">
        <v>20</v>
      </c>
      <c r="D200" s="20" t="s">
        <v>105</v>
      </c>
      <c r="E200" s="21" t="s">
        <v>892</v>
      </c>
      <c r="F200" s="21" t="s">
        <v>893</v>
      </c>
      <c r="G200" s="20" t="s">
        <v>35</v>
      </c>
      <c r="H200" s="20" t="s">
        <v>25</v>
      </c>
      <c r="I200" s="21" t="s">
        <v>890</v>
      </c>
      <c r="J200" s="22">
        <f t="shared" si="15"/>
        <v>34.9590277777752</v>
      </c>
      <c r="K200" s="22">
        <f t="shared" si="16"/>
        <v>839.016666666605</v>
      </c>
      <c r="L200" s="22">
        <f t="shared" si="17"/>
        <v>279.016666666605</v>
      </c>
      <c r="M200" s="22" cm="1">
        <f ca="1" t="array" ref="M200">SUMPRODUCT(--(WEEKDAY(ROW(INDIRECT(INT(F200)&amp;":"&amp;INT(I200))),2)&gt;5))</f>
        <v>10</v>
      </c>
      <c r="N200" s="22">
        <f ca="1" t="shared" si="18"/>
        <v>199.016666666605</v>
      </c>
      <c r="O200" s="22" t="str">
        <f ca="1" t="shared" si="19"/>
        <v>SLA Violated</v>
      </c>
      <c r="P200" s="23" t="s">
        <v>894</v>
      </c>
      <c r="Q200" s="24" t="s">
        <v>28</v>
      </c>
      <c r="R200" s="25"/>
      <c r="S200" s="25"/>
    </row>
    <row r="201" ht="39" customHeight="1" spans="1:20">
      <c r="A201" s="19" t="s">
        <v>895</v>
      </c>
      <c r="B201" s="20" t="s">
        <v>19</v>
      </c>
      <c r="C201" s="20" t="s">
        <v>20</v>
      </c>
      <c r="D201" s="20" t="s">
        <v>32</v>
      </c>
      <c r="E201" s="21" t="s">
        <v>896</v>
      </c>
      <c r="F201" s="21" t="s">
        <v>897</v>
      </c>
      <c r="G201" s="20" t="s">
        <v>35</v>
      </c>
      <c r="H201" s="20" t="s">
        <v>25</v>
      </c>
      <c r="I201" s="21" t="s">
        <v>898</v>
      </c>
      <c r="J201" s="22">
        <f t="shared" si="15"/>
        <v>31.3284722222234</v>
      </c>
      <c r="K201" s="22">
        <f t="shared" si="16"/>
        <v>751.88333333336</v>
      </c>
      <c r="L201" s="22">
        <f t="shared" si="17"/>
        <v>255.88333333336</v>
      </c>
      <c r="M201" s="22" cm="1">
        <f ca="1" t="array" ref="M201">SUMPRODUCT(--(WEEKDAY(ROW(INDIRECT(INT(F201)&amp;":"&amp;INT(I201))),2)&gt;5))</f>
        <v>8</v>
      </c>
      <c r="N201" s="22">
        <f ca="1" t="shared" si="18"/>
        <v>191.88333333336</v>
      </c>
      <c r="O201" s="22" t="str">
        <f ca="1" t="shared" si="19"/>
        <v>SLA Violated</v>
      </c>
      <c r="P201" s="23" t="s">
        <v>899</v>
      </c>
      <c r="Q201" s="24" t="s">
        <v>28</v>
      </c>
      <c r="R201" s="25"/>
      <c r="S201" s="25"/>
    </row>
    <row r="202" ht="39" customHeight="1" spans="1:20">
      <c r="A202" s="19" t="s">
        <v>900</v>
      </c>
      <c r="B202" s="20" t="s">
        <v>19</v>
      </c>
      <c r="C202" s="20" t="s">
        <v>863</v>
      </c>
      <c r="D202" s="20" t="s">
        <v>32</v>
      </c>
      <c r="E202" s="21" t="s">
        <v>901</v>
      </c>
      <c r="F202" s="21" t="s">
        <v>902</v>
      </c>
      <c r="G202" s="20" t="s">
        <v>35</v>
      </c>
      <c r="H202" s="20" t="s">
        <v>25</v>
      </c>
      <c r="I202" s="21" t="s">
        <v>903</v>
      </c>
      <c r="J202" s="22">
        <f t="shared" si="15"/>
        <v>0.179166666661331</v>
      </c>
      <c r="K202" s="22">
        <f t="shared" si="16"/>
        <v>4.29999999987194</v>
      </c>
      <c r="L202" s="22">
        <f t="shared" si="17"/>
        <v>4.29999999987194</v>
      </c>
      <c r="M202" s="22" cm="1">
        <f ca="1" t="array" ref="M202">SUMPRODUCT(--(WEEKDAY(ROW(INDIRECT(INT(F202)&amp;":"&amp;INT(I202))),2)&gt;5))</f>
        <v>1</v>
      </c>
      <c r="N202" s="22">
        <f ca="1" t="shared" si="18"/>
        <v>0</v>
      </c>
      <c r="O202" s="22" t="str">
        <f ca="1" t="shared" si="19"/>
        <v>Within SLA</v>
      </c>
      <c r="P202" s="26" t="s">
        <v>900</v>
      </c>
      <c r="Q202" s="24" t="s">
        <v>37</v>
      </c>
      <c r="R202" s="25"/>
      <c r="S202" s="25"/>
    </row>
    <row r="203" ht="27" customHeight="1" spans="1:20">
      <c r="A203" s="19" t="s">
        <v>904</v>
      </c>
      <c r="B203" s="20" t="s">
        <v>121</v>
      </c>
      <c r="C203" s="20" t="s">
        <v>849</v>
      </c>
      <c r="D203" s="20" t="s">
        <v>21</v>
      </c>
      <c r="E203" s="21" t="s">
        <v>905</v>
      </c>
      <c r="F203" s="21" t="s">
        <v>906</v>
      </c>
      <c r="G203" s="20" t="s">
        <v>35</v>
      </c>
      <c r="H203" s="20" t="s">
        <v>25</v>
      </c>
      <c r="I203" s="21" t="s">
        <v>907</v>
      </c>
      <c r="J203" s="22">
        <f t="shared" si="15"/>
        <v>9.24444444444089</v>
      </c>
      <c r="K203" s="22">
        <f t="shared" si="16"/>
        <v>221.866666666581</v>
      </c>
      <c r="L203" s="22">
        <f t="shared" si="17"/>
        <v>77.8666666665813</v>
      </c>
      <c r="M203" s="22" cm="1">
        <f ca="1" t="array" ref="M203">SUMPRODUCT(--(WEEKDAY(ROW(INDIRECT(INT(F203)&amp;":"&amp;INT(I203))),2)&gt;5))</f>
        <v>2</v>
      </c>
      <c r="N203" s="22">
        <f ca="1" t="shared" si="18"/>
        <v>61.8666666665813</v>
      </c>
      <c r="O203" s="22" t="str">
        <f ca="1" t="shared" si="19"/>
        <v>SLA Violated</v>
      </c>
      <c r="P203" s="23" t="s">
        <v>908</v>
      </c>
      <c r="Q203" s="24" t="s">
        <v>28</v>
      </c>
      <c r="R203" s="25"/>
      <c r="S203" s="25"/>
    </row>
    <row r="204" ht="39" customHeight="1" spans="1:20">
      <c r="A204" s="19" t="s">
        <v>909</v>
      </c>
      <c r="B204" s="20" t="s">
        <v>19</v>
      </c>
      <c r="C204" s="20" t="s">
        <v>20</v>
      </c>
      <c r="D204" s="20" t="s">
        <v>32</v>
      </c>
      <c r="E204" s="21" t="s">
        <v>910</v>
      </c>
      <c r="F204" s="21" t="s">
        <v>911</v>
      </c>
      <c r="G204" s="20" t="s">
        <v>24</v>
      </c>
      <c r="H204" s="20" t="s">
        <v>25</v>
      </c>
      <c r="I204" s="21" t="s">
        <v>912</v>
      </c>
      <c r="J204" s="22">
        <f t="shared" si="15"/>
        <v>85.9597222222219</v>
      </c>
      <c r="K204" s="22">
        <f t="shared" si="16"/>
        <v>2063.03333333333</v>
      </c>
      <c r="L204" s="22">
        <f t="shared" si="17"/>
        <v>687.033333333326</v>
      </c>
      <c r="M204" s="22" cm="1">
        <f ca="1" t="array" ref="M204">SUMPRODUCT(--(WEEKDAY(ROW(INDIRECT(INT(F204)&amp;":"&amp;INT(I204))),2)&gt;5))</f>
        <v>24</v>
      </c>
      <c r="N204" s="22">
        <f ca="1" t="shared" si="18"/>
        <v>495.033333333326</v>
      </c>
      <c r="O204" s="22" t="str">
        <f ca="1" t="shared" si="19"/>
        <v>SLA Violated</v>
      </c>
      <c r="P204" s="23" t="s">
        <v>913</v>
      </c>
      <c r="Q204" s="24" t="s">
        <v>28</v>
      </c>
      <c r="R204" s="25"/>
      <c r="S204" s="25"/>
    </row>
    <row r="205" ht="39" customHeight="1" spans="1:20">
      <c r="A205" s="19" t="s">
        <v>914</v>
      </c>
      <c r="B205" s="20" t="s">
        <v>19</v>
      </c>
      <c r="C205" s="20" t="s">
        <v>863</v>
      </c>
      <c r="D205" s="20" t="s">
        <v>32</v>
      </c>
      <c r="E205" s="21" t="s">
        <v>915</v>
      </c>
      <c r="F205" s="21" t="s">
        <v>916</v>
      </c>
      <c r="G205" s="20" t="s">
        <v>35</v>
      </c>
      <c r="H205" s="20" t="s">
        <v>25</v>
      </c>
      <c r="I205" s="21" t="s">
        <v>917</v>
      </c>
      <c r="J205" s="22">
        <f t="shared" si="15"/>
        <v>1.24305555555475</v>
      </c>
      <c r="K205" s="22">
        <f t="shared" si="16"/>
        <v>29.8333333333139</v>
      </c>
      <c r="L205" s="22">
        <f t="shared" si="17"/>
        <v>13.8333333333139</v>
      </c>
      <c r="M205" s="22" cm="1">
        <f ca="1" t="array" ref="M205">SUMPRODUCT(--(WEEKDAY(ROW(INDIRECT(INT(F205)&amp;":"&amp;INT(I205))),2)&gt;5))</f>
        <v>2</v>
      </c>
      <c r="N205" s="22">
        <f ca="1" t="shared" si="18"/>
        <v>0</v>
      </c>
      <c r="O205" s="22" t="str">
        <f ca="1" t="shared" si="19"/>
        <v>Within SLA</v>
      </c>
      <c r="P205" s="26" t="s">
        <v>914</v>
      </c>
      <c r="Q205" s="24" t="s">
        <v>37</v>
      </c>
      <c r="R205" s="25"/>
      <c r="S205" s="25"/>
    </row>
    <row r="206" ht="39" customHeight="1" spans="1:20">
      <c r="A206" s="19" t="s">
        <v>918</v>
      </c>
      <c r="B206" s="20" t="s">
        <v>19</v>
      </c>
      <c r="C206" s="20" t="s">
        <v>20</v>
      </c>
      <c r="D206" s="20" t="s">
        <v>32</v>
      </c>
      <c r="E206" s="21" t="s">
        <v>919</v>
      </c>
      <c r="F206" s="21" t="s">
        <v>920</v>
      </c>
      <c r="G206" s="20" t="s">
        <v>35</v>
      </c>
      <c r="H206" s="20" t="s">
        <v>25</v>
      </c>
      <c r="I206" s="21" t="s">
        <v>921</v>
      </c>
      <c r="J206" s="22">
        <f t="shared" si="15"/>
        <v>31.1708333333372</v>
      </c>
      <c r="K206" s="22">
        <f t="shared" si="16"/>
        <v>748.100000000093</v>
      </c>
      <c r="L206" s="22">
        <f t="shared" si="17"/>
        <v>252.100000000093</v>
      </c>
      <c r="M206" s="22" cm="1">
        <f ca="1" t="array" ref="M206">SUMPRODUCT(--(WEEKDAY(ROW(INDIRECT(INT(F206)&amp;":"&amp;INT(I206))),2)&gt;5))</f>
        <v>8</v>
      </c>
      <c r="N206" s="22">
        <f ca="1" t="shared" si="18"/>
        <v>188.100000000093</v>
      </c>
      <c r="O206" s="22" t="str">
        <f ca="1" t="shared" si="19"/>
        <v>SLA Violated</v>
      </c>
      <c r="P206" s="23" t="s">
        <v>922</v>
      </c>
      <c r="Q206" s="24" t="s">
        <v>28</v>
      </c>
      <c r="R206" s="25"/>
      <c r="S206" s="25"/>
    </row>
    <row r="207" ht="39" customHeight="1" spans="1:20">
      <c r="A207" s="19" t="s">
        <v>923</v>
      </c>
      <c r="B207" s="20" t="s">
        <v>702</v>
      </c>
      <c r="C207" s="20" t="s">
        <v>101</v>
      </c>
      <c r="D207" s="20" t="s">
        <v>32</v>
      </c>
      <c r="E207" s="21" t="s">
        <v>924</v>
      </c>
      <c r="F207" s="21" t="s">
        <v>925</v>
      </c>
      <c r="G207" s="20" t="s">
        <v>35</v>
      </c>
      <c r="H207" s="20" t="s">
        <v>25</v>
      </c>
      <c r="I207" s="21" t="s">
        <v>926</v>
      </c>
      <c r="J207" s="22">
        <f t="shared" si="15"/>
        <v>0.0173611111167702</v>
      </c>
      <c r="K207" s="22">
        <f t="shared" si="16"/>
        <v>0.416666666802485</v>
      </c>
      <c r="L207" s="22">
        <f t="shared" si="17"/>
        <v>0.416666666802485</v>
      </c>
      <c r="M207" s="22" cm="1">
        <f ca="1" t="array" ref="M207">SUMPRODUCT(--(WEEKDAY(ROW(INDIRECT(INT(F207)&amp;":"&amp;INT(I207))),2)&gt;5))</f>
        <v>0</v>
      </c>
      <c r="N207" s="22">
        <f ca="1" t="shared" si="18"/>
        <v>0.416666666802485</v>
      </c>
      <c r="O207" s="22" t="str">
        <f ca="1" t="shared" si="19"/>
        <v>Within SLA</v>
      </c>
      <c r="P207" s="26" t="s">
        <v>923</v>
      </c>
      <c r="Q207" s="24" t="s">
        <v>37</v>
      </c>
      <c r="R207" s="25"/>
      <c r="S207" s="25"/>
    </row>
    <row r="208" ht="27" customHeight="1" spans="1:20">
      <c r="A208" s="19" t="s">
        <v>927</v>
      </c>
      <c r="B208" s="20" t="s">
        <v>30</v>
      </c>
      <c r="C208" s="20" t="s">
        <v>31</v>
      </c>
      <c r="D208" s="20" t="s">
        <v>32</v>
      </c>
      <c r="E208" s="21" t="s">
        <v>928</v>
      </c>
      <c r="F208" s="21" t="s">
        <v>929</v>
      </c>
      <c r="G208" s="20" t="s">
        <v>35</v>
      </c>
      <c r="H208" s="20" t="s">
        <v>25</v>
      </c>
      <c r="I208" s="21" t="s">
        <v>930</v>
      </c>
      <c r="J208" s="22">
        <f t="shared" si="15"/>
        <v>2.17708333332848</v>
      </c>
      <c r="K208" s="22">
        <f t="shared" si="16"/>
        <v>52.2499999998836</v>
      </c>
      <c r="L208" s="22">
        <f t="shared" si="17"/>
        <v>20.2499999998836</v>
      </c>
      <c r="M208" s="22" cm="1">
        <f ca="1" t="array" ref="M208">SUMPRODUCT(--(WEEKDAY(ROW(INDIRECT(INT(F208)&amp;":"&amp;INT(I208))),2)&gt;5))</f>
        <v>0</v>
      </c>
      <c r="N208" s="22">
        <f ca="1" t="shared" si="18"/>
        <v>20.2499999998836</v>
      </c>
      <c r="O208" s="22" t="str">
        <f ca="1" t="shared" si="19"/>
        <v>SLA Violated</v>
      </c>
      <c r="P208" s="23" t="s">
        <v>931</v>
      </c>
      <c r="Q208" s="24" t="s">
        <v>28</v>
      </c>
      <c r="R208" s="25"/>
      <c r="S208" s="25"/>
      <c r="T208" s="27"/>
    </row>
    <row r="209" ht="39" customHeight="1" spans="1:20">
      <c r="A209" s="19" t="s">
        <v>932</v>
      </c>
      <c r="B209" s="20" t="s">
        <v>702</v>
      </c>
      <c r="C209" s="20" t="s">
        <v>101</v>
      </c>
      <c r="D209" s="20" t="s">
        <v>32</v>
      </c>
      <c r="E209" s="21" t="s">
        <v>933</v>
      </c>
      <c r="F209" s="21" t="s">
        <v>934</v>
      </c>
      <c r="G209" s="20" t="s">
        <v>35</v>
      </c>
      <c r="H209" s="20" t="s">
        <v>25</v>
      </c>
      <c r="I209" s="21" t="s">
        <v>935</v>
      </c>
      <c r="J209" s="22">
        <f t="shared" si="15"/>
        <v>0.00833333333866904</v>
      </c>
      <c r="K209" s="22">
        <f t="shared" si="16"/>
        <v>0.200000000128057</v>
      </c>
      <c r="L209" s="22">
        <f t="shared" si="17"/>
        <v>0.200000000128057</v>
      </c>
      <c r="M209" s="22" cm="1">
        <f ca="1" t="array" ref="M209">SUMPRODUCT(--(WEEKDAY(ROW(INDIRECT(INT(F209)&amp;":"&amp;INT(I209))),2)&gt;5))</f>
        <v>0</v>
      </c>
      <c r="N209" s="22">
        <f ca="1" t="shared" si="18"/>
        <v>0.200000000128057</v>
      </c>
      <c r="O209" s="22" t="str">
        <f ca="1" t="shared" si="19"/>
        <v>Within SLA</v>
      </c>
      <c r="P209" s="26" t="s">
        <v>932</v>
      </c>
      <c r="Q209" s="24" t="s">
        <v>37</v>
      </c>
      <c r="R209" s="25"/>
      <c r="S209" s="25"/>
    </row>
    <row r="210" ht="27" customHeight="1" spans="1:20">
      <c r="A210" s="19" t="s">
        <v>936</v>
      </c>
      <c r="B210" s="20" t="s">
        <v>30</v>
      </c>
      <c r="C210" s="20" t="s">
        <v>31</v>
      </c>
      <c r="D210" s="20" t="s">
        <v>32</v>
      </c>
      <c r="E210" s="21" t="s">
        <v>937</v>
      </c>
      <c r="F210" s="21" t="s">
        <v>938</v>
      </c>
      <c r="G210" s="20" t="s">
        <v>35</v>
      </c>
      <c r="H210" s="20" t="s">
        <v>25</v>
      </c>
      <c r="I210" s="21" t="s">
        <v>939</v>
      </c>
      <c r="J210" s="22">
        <f t="shared" si="15"/>
        <v>1.2993055555562</v>
      </c>
      <c r="K210" s="22">
        <f t="shared" si="16"/>
        <v>31.1833333333489</v>
      </c>
      <c r="L210" s="22">
        <f t="shared" si="17"/>
        <v>15.1833333333489</v>
      </c>
      <c r="M210" s="22" cm="1">
        <f ca="1" t="array" ref="M210">SUMPRODUCT(--(WEEKDAY(ROW(INDIRECT(INT(F210)&amp;":"&amp;INT(I210))),2)&gt;5))</f>
        <v>0</v>
      </c>
      <c r="N210" s="22">
        <f ca="1" t="shared" si="18"/>
        <v>15.1833333333489</v>
      </c>
      <c r="O210" s="22" t="str">
        <f ca="1" t="shared" si="19"/>
        <v>SLA Violated</v>
      </c>
      <c r="P210" s="23" t="s">
        <v>940</v>
      </c>
      <c r="Q210" s="24" t="s">
        <v>28</v>
      </c>
      <c r="R210" s="25"/>
      <c r="S210" s="25"/>
      <c r="T210" s="27"/>
    </row>
    <row r="211" ht="27" customHeight="1" spans="1:20">
      <c r="A211" s="19" t="s">
        <v>941</v>
      </c>
      <c r="B211" s="20" t="s">
        <v>30</v>
      </c>
      <c r="C211" s="20" t="s">
        <v>31</v>
      </c>
      <c r="D211" s="20" t="s">
        <v>115</v>
      </c>
      <c r="E211" s="21" t="s">
        <v>942</v>
      </c>
      <c r="F211" s="21" t="s">
        <v>943</v>
      </c>
      <c r="G211" s="20" t="s">
        <v>35</v>
      </c>
      <c r="H211" s="20" t="s">
        <v>25</v>
      </c>
      <c r="I211" s="21" t="s">
        <v>944</v>
      </c>
      <c r="J211" s="22">
        <f t="shared" si="15"/>
        <v>1.21805555555329</v>
      </c>
      <c r="K211" s="22">
        <f t="shared" si="16"/>
        <v>29.233333333279</v>
      </c>
      <c r="L211" s="22">
        <f t="shared" si="17"/>
        <v>13.233333333279</v>
      </c>
      <c r="M211" s="22" cm="1">
        <f ca="1" t="array" ref="M211">SUMPRODUCT(--(WEEKDAY(ROW(INDIRECT(INT(F211)&amp;":"&amp;INT(I211))),2)&gt;5))</f>
        <v>0</v>
      </c>
      <c r="N211" s="22">
        <f ca="1" t="shared" si="18"/>
        <v>13.233333333279</v>
      </c>
      <c r="O211" s="22" t="str">
        <f ca="1" t="shared" si="19"/>
        <v>SLA Violated</v>
      </c>
      <c r="P211" s="23" t="s">
        <v>945</v>
      </c>
      <c r="Q211" s="24" t="s">
        <v>28</v>
      </c>
      <c r="R211" s="25"/>
      <c r="S211" s="25"/>
    </row>
    <row r="212" ht="27" customHeight="1" spans="1:20">
      <c r="A212" s="19" t="s">
        <v>946</v>
      </c>
      <c r="B212" s="20" t="s">
        <v>30</v>
      </c>
      <c r="C212" s="20" t="s">
        <v>67</v>
      </c>
      <c r="D212" s="20" t="s">
        <v>32</v>
      </c>
      <c r="E212" s="21" t="s">
        <v>947</v>
      </c>
      <c r="F212" s="21" t="s">
        <v>948</v>
      </c>
      <c r="G212" s="20" t="s">
        <v>35</v>
      </c>
      <c r="H212" s="20" t="s">
        <v>25</v>
      </c>
      <c r="I212" s="21" t="s">
        <v>949</v>
      </c>
      <c r="J212" s="22">
        <f t="shared" si="15"/>
        <v>2.0263888888876</v>
      </c>
      <c r="K212" s="22">
        <f t="shared" si="16"/>
        <v>48.6333333333023</v>
      </c>
      <c r="L212" s="22">
        <f t="shared" si="17"/>
        <v>16.6333333333023</v>
      </c>
      <c r="M212" s="22" cm="1">
        <f ca="1" t="array" ref="M212">SUMPRODUCT(--(WEEKDAY(ROW(INDIRECT(INT(F212)&amp;":"&amp;INT(I212))),2)&gt;5))</f>
        <v>0</v>
      </c>
      <c r="N212" s="22">
        <f ca="1" t="shared" si="18"/>
        <v>16.6333333333023</v>
      </c>
      <c r="O212" s="22" t="str">
        <f ca="1" t="shared" si="19"/>
        <v>SLA Violated</v>
      </c>
      <c r="P212" s="23" t="s">
        <v>950</v>
      </c>
      <c r="Q212" s="24" t="s">
        <v>28</v>
      </c>
      <c r="R212" s="25"/>
      <c r="S212" s="25"/>
      <c r="T212" s="27"/>
    </row>
    <row r="213" ht="39" customHeight="1" spans="1:20">
      <c r="A213" s="19" t="s">
        <v>951</v>
      </c>
      <c r="B213" s="20" t="s">
        <v>19</v>
      </c>
      <c r="C213" s="20" t="s">
        <v>20</v>
      </c>
      <c r="D213" s="20" t="s">
        <v>32</v>
      </c>
      <c r="E213" s="21" t="s">
        <v>952</v>
      </c>
      <c r="F213" s="21" t="s">
        <v>953</v>
      </c>
      <c r="G213" s="20" t="s">
        <v>35</v>
      </c>
      <c r="H213" s="20" t="s">
        <v>25</v>
      </c>
      <c r="I213" s="21" t="s">
        <v>954</v>
      </c>
      <c r="J213" s="22">
        <f t="shared" si="15"/>
        <v>36.0493055555562</v>
      </c>
      <c r="K213" s="22">
        <f t="shared" si="16"/>
        <v>865.183333333349</v>
      </c>
      <c r="L213" s="22">
        <f t="shared" si="17"/>
        <v>289.183333333349</v>
      </c>
      <c r="M213" s="22" cm="1">
        <f ca="1" t="array" ref="M213">SUMPRODUCT(--(WEEKDAY(ROW(INDIRECT(INT(F213)&amp;":"&amp;INT(I213))),2)&gt;5))</f>
        <v>10</v>
      </c>
      <c r="N213" s="22">
        <f ca="1" t="shared" si="18"/>
        <v>209.183333333349</v>
      </c>
      <c r="O213" s="22" t="str">
        <f ca="1" t="shared" si="19"/>
        <v>SLA Violated</v>
      </c>
      <c r="P213" s="23" t="s">
        <v>955</v>
      </c>
      <c r="Q213" s="24" t="s">
        <v>28</v>
      </c>
      <c r="R213" s="25"/>
      <c r="S213" s="25"/>
    </row>
    <row r="214" ht="39" customHeight="1" spans="1:20">
      <c r="A214" s="19" t="s">
        <v>956</v>
      </c>
      <c r="B214" s="20" t="s">
        <v>19</v>
      </c>
      <c r="C214" s="20" t="s">
        <v>20</v>
      </c>
      <c r="D214" s="20" t="s">
        <v>32</v>
      </c>
      <c r="E214" s="21" t="s">
        <v>957</v>
      </c>
      <c r="F214" s="21" t="s">
        <v>958</v>
      </c>
      <c r="G214" s="20" t="s">
        <v>35</v>
      </c>
      <c r="H214" s="20" t="s">
        <v>25</v>
      </c>
      <c r="I214" s="21" t="s">
        <v>912</v>
      </c>
      <c r="J214" s="22">
        <f t="shared" si="15"/>
        <v>31.3270833333372</v>
      </c>
      <c r="K214" s="22">
        <f t="shared" si="16"/>
        <v>751.850000000093</v>
      </c>
      <c r="L214" s="22">
        <f t="shared" si="17"/>
        <v>255.850000000093</v>
      </c>
      <c r="M214" s="22" cm="1">
        <f ca="1" t="array" ref="M214">SUMPRODUCT(--(WEEKDAY(ROW(INDIRECT(INT(F214)&amp;":"&amp;INT(I214))),2)&gt;5))</f>
        <v>8</v>
      </c>
      <c r="N214" s="22">
        <f ca="1" t="shared" si="18"/>
        <v>191.850000000093</v>
      </c>
      <c r="O214" s="22" t="str">
        <f ca="1" t="shared" si="19"/>
        <v>SLA Violated</v>
      </c>
      <c r="P214" s="23" t="s">
        <v>959</v>
      </c>
      <c r="Q214" s="24" t="s">
        <v>28</v>
      </c>
      <c r="R214" s="25"/>
      <c r="S214" s="25"/>
    </row>
    <row r="215" ht="39" customHeight="1" spans="1:20">
      <c r="A215" s="19" t="s">
        <v>960</v>
      </c>
      <c r="B215" s="20" t="s">
        <v>19</v>
      </c>
      <c r="C215" s="20" t="s">
        <v>863</v>
      </c>
      <c r="D215" s="20" t="s">
        <v>32</v>
      </c>
      <c r="E215" s="21" t="s">
        <v>957</v>
      </c>
      <c r="F215" s="21" t="s">
        <v>961</v>
      </c>
      <c r="G215" s="20" t="s">
        <v>35</v>
      </c>
      <c r="H215" s="20" t="s">
        <v>25</v>
      </c>
      <c r="I215" s="21" t="s">
        <v>962</v>
      </c>
      <c r="J215" s="22">
        <f t="shared" si="15"/>
        <v>1.73611111110949</v>
      </c>
      <c r="K215" s="22">
        <f t="shared" si="16"/>
        <v>41.6666666666279</v>
      </c>
      <c r="L215" s="22">
        <f t="shared" si="17"/>
        <v>9.66666666662786</v>
      </c>
      <c r="M215" s="22" cm="1">
        <f ca="1" t="array" ref="M215">SUMPRODUCT(--(WEEKDAY(ROW(INDIRECT(INT(F215)&amp;":"&amp;INT(I215))),2)&gt;5))</f>
        <v>2</v>
      </c>
      <c r="N215" s="22">
        <f ca="1" t="shared" si="18"/>
        <v>0</v>
      </c>
      <c r="O215" s="22" t="str">
        <f ca="1" t="shared" si="19"/>
        <v>Within SLA</v>
      </c>
      <c r="P215" s="26" t="s">
        <v>960</v>
      </c>
      <c r="Q215" s="24" t="s">
        <v>37</v>
      </c>
      <c r="R215" s="25"/>
      <c r="S215" s="25"/>
    </row>
    <row r="216" ht="39" customHeight="1" spans="1:20">
      <c r="A216" s="19" t="s">
        <v>963</v>
      </c>
      <c r="B216" s="20" t="s">
        <v>19</v>
      </c>
      <c r="C216" s="20" t="s">
        <v>20</v>
      </c>
      <c r="D216" s="20" t="s">
        <v>32</v>
      </c>
      <c r="E216" s="21" t="s">
        <v>964</v>
      </c>
      <c r="F216" s="21" t="s">
        <v>965</v>
      </c>
      <c r="G216" s="20" t="s">
        <v>35</v>
      </c>
      <c r="H216" s="20" t="s">
        <v>25</v>
      </c>
      <c r="I216" s="21" t="s">
        <v>966</v>
      </c>
      <c r="J216" s="22">
        <f t="shared" si="15"/>
        <v>1.06180555555329</v>
      </c>
      <c r="K216" s="22">
        <f t="shared" si="16"/>
        <v>25.483333333279</v>
      </c>
      <c r="L216" s="22">
        <f t="shared" si="17"/>
        <v>9.48333333327901</v>
      </c>
      <c r="M216" s="22" cm="1">
        <f ca="1" t="array" ref="M216">SUMPRODUCT(--(WEEKDAY(ROW(INDIRECT(INT(F216)&amp;":"&amp;INT(I216))),2)&gt;5))</f>
        <v>0</v>
      </c>
      <c r="N216" s="22">
        <f ca="1" t="shared" si="18"/>
        <v>9.48333333327901</v>
      </c>
      <c r="O216" s="22" t="str">
        <f ca="1" t="shared" si="19"/>
        <v>Within SLA</v>
      </c>
      <c r="P216" s="26" t="s">
        <v>963</v>
      </c>
      <c r="Q216" s="24" t="s">
        <v>37</v>
      </c>
      <c r="R216" s="25"/>
      <c r="S216" s="25"/>
    </row>
    <row r="217" ht="39" customHeight="1" spans="1:20">
      <c r="A217" s="19" t="s">
        <v>967</v>
      </c>
      <c r="B217" s="20" t="s">
        <v>19</v>
      </c>
      <c r="C217" s="20" t="s">
        <v>20</v>
      </c>
      <c r="D217" s="20" t="s">
        <v>32</v>
      </c>
      <c r="E217" s="21" t="s">
        <v>968</v>
      </c>
      <c r="F217" s="21" t="s">
        <v>969</v>
      </c>
      <c r="G217" s="20" t="s">
        <v>35</v>
      </c>
      <c r="H217" s="20" t="s">
        <v>25</v>
      </c>
      <c r="I217" s="21" t="s">
        <v>970</v>
      </c>
      <c r="J217" s="22">
        <f t="shared" si="15"/>
        <v>31.163194444438</v>
      </c>
      <c r="K217" s="22">
        <f t="shared" si="16"/>
        <v>747.916666666511</v>
      </c>
      <c r="L217" s="22">
        <f t="shared" si="17"/>
        <v>251.916666666511</v>
      </c>
      <c r="M217" s="22" cm="1">
        <f ca="1" t="array" ref="M217">SUMPRODUCT(--(WEEKDAY(ROW(INDIRECT(INT(F217)&amp;":"&amp;INT(I217))),2)&gt;5))</f>
        <v>8</v>
      </c>
      <c r="N217" s="22">
        <f ca="1" t="shared" si="18"/>
        <v>187.916666666511</v>
      </c>
      <c r="O217" s="22" t="str">
        <f ca="1" t="shared" si="19"/>
        <v>SLA Violated</v>
      </c>
      <c r="P217" s="23" t="s">
        <v>971</v>
      </c>
      <c r="Q217" s="24" t="s">
        <v>28</v>
      </c>
      <c r="R217" s="25"/>
      <c r="S217" s="25"/>
    </row>
    <row r="218" ht="39" customHeight="1" spans="1:20">
      <c r="A218" s="19" t="s">
        <v>972</v>
      </c>
      <c r="B218" s="20" t="s">
        <v>19</v>
      </c>
      <c r="C218" s="20" t="s">
        <v>20</v>
      </c>
      <c r="D218" s="20" t="s">
        <v>32</v>
      </c>
      <c r="E218" s="21" t="s">
        <v>973</v>
      </c>
      <c r="F218" s="21" t="s">
        <v>974</v>
      </c>
      <c r="G218" s="20" t="s">
        <v>35</v>
      </c>
      <c r="H218" s="20" t="s">
        <v>25</v>
      </c>
      <c r="I218" s="21" t="s">
        <v>975</v>
      </c>
      <c r="J218" s="22">
        <f t="shared" si="15"/>
        <v>0.00902777777810115</v>
      </c>
      <c r="K218" s="22">
        <f t="shared" si="16"/>
        <v>0.216666666674428</v>
      </c>
      <c r="L218" s="22">
        <f t="shared" si="17"/>
        <v>0.216666666674428</v>
      </c>
      <c r="M218" s="22" cm="1">
        <f ca="1" t="array" ref="M218">SUMPRODUCT(--(WEEKDAY(ROW(INDIRECT(INT(F218)&amp;":"&amp;INT(I218))),2)&gt;5))</f>
        <v>0</v>
      </c>
      <c r="N218" s="22">
        <f ca="1" t="shared" si="18"/>
        <v>0.216666666674428</v>
      </c>
      <c r="O218" s="22" t="str">
        <f ca="1" t="shared" si="19"/>
        <v>Within SLA</v>
      </c>
      <c r="P218" s="26" t="s">
        <v>972</v>
      </c>
      <c r="Q218" s="24" t="s">
        <v>37</v>
      </c>
      <c r="R218" s="25"/>
      <c r="S218" s="25"/>
    </row>
    <row r="219" ht="39" customHeight="1" spans="1:20">
      <c r="A219" s="19" t="s">
        <v>976</v>
      </c>
      <c r="B219" s="20" t="s">
        <v>19</v>
      </c>
      <c r="C219" s="20" t="s">
        <v>20</v>
      </c>
      <c r="D219" s="20" t="s">
        <v>32</v>
      </c>
      <c r="E219" s="21" t="s">
        <v>977</v>
      </c>
      <c r="F219" s="21" t="s">
        <v>978</v>
      </c>
      <c r="G219" s="20" t="s">
        <v>35</v>
      </c>
      <c r="H219" s="20" t="s">
        <v>25</v>
      </c>
      <c r="I219" s="21" t="s">
        <v>979</v>
      </c>
      <c r="J219" s="22">
        <f t="shared" si="15"/>
        <v>0.818750000005821</v>
      </c>
      <c r="K219" s="22">
        <f t="shared" si="16"/>
        <v>19.6500000001397</v>
      </c>
      <c r="L219" s="22">
        <f t="shared" si="17"/>
        <v>3.6500000001397</v>
      </c>
      <c r="M219" s="22" cm="1">
        <f ca="1" t="array" ref="M219">SUMPRODUCT(--(WEEKDAY(ROW(INDIRECT(INT(F219)&amp;":"&amp;INT(I219))),2)&gt;5))</f>
        <v>0</v>
      </c>
      <c r="N219" s="22">
        <f ca="1" t="shared" si="18"/>
        <v>3.6500000001397</v>
      </c>
      <c r="O219" s="22" t="str">
        <f ca="1" t="shared" si="19"/>
        <v>Within SLA</v>
      </c>
      <c r="P219" s="26" t="s">
        <v>976</v>
      </c>
      <c r="Q219" s="24" t="s">
        <v>37</v>
      </c>
      <c r="R219" s="25"/>
      <c r="S219" s="25"/>
    </row>
    <row r="220" ht="39" customHeight="1" spans="1:20">
      <c r="A220" s="19" t="s">
        <v>980</v>
      </c>
      <c r="B220" s="20" t="s">
        <v>19</v>
      </c>
      <c r="C220" s="20" t="s">
        <v>20</v>
      </c>
      <c r="D220" s="20" t="s">
        <v>32</v>
      </c>
      <c r="E220" s="21" t="s">
        <v>852</v>
      </c>
      <c r="F220" s="21" t="s">
        <v>981</v>
      </c>
      <c r="G220" s="20" t="s">
        <v>35</v>
      </c>
      <c r="H220" s="20" t="s">
        <v>25</v>
      </c>
      <c r="I220" s="21" t="s">
        <v>982</v>
      </c>
      <c r="J220" s="22">
        <f t="shared" si="15"/>
        <v>0.163194444445253</v>
      </c>
      <c r="K220" s="22">
        <f t="shared" si="16"/>
        <v>3.91666666668607</v>
      </c>
      <c r="L220" s="22">
        <f t="shared" si="17"/>
        <v>3.91666666668607</v>
      </c>
      <c r="M220" s="22" cm="1">
        <f ca="1" t="array" ref="M220">SUMPRODUCT(--(WEEKDAY(ROW(INDIRECT(INT(F220)&amp;":"&amp;INT(I220))),2)&gt;5))</f>
        <v>0</v>
      </c>
      <c r="N220" s="22">
        <f ca="1" t="shared" si="18"/>
        <v>3.91666666668607</v>
      </c>
      <c r="O220" s="22" t="str">
        <f ca="1" t="shared" si="19"/>
        <v>Within SLA</v>
      </c>
      <c r="P220" s="26" t="s">
        <v>980</v>
      </c>
      <c r="Q220" s="24" t="s">
        <v>37</v>
      </c>
      <c r="R220" s="25"/>
      <c r="S220" s="25"/>
    </row>
    <row r="221" ht="39" customHeight="1" spans="1:20">
      <c r="A221" s="19" t="s">
        <v>983</v>
      </c>
      <c r="B221" s="20" t="s">
        <v>19</v>
      </c>
      <c r="C221" s="20" t="s">
        <v>20</v>
      </c>
      <c r="D221" s="20" t="s">
        <v>32</v>
      </c>
      <c r="E221" s="21" t="s">
        <v>925</v>
      </c>
      <c r="F221" s="21" t="s">
        <v>984</v>
      </c>
      <c r="G221" s="20" t="s">
        <v>35</v>
      </c>
      <c r="H221" s="20" t="s">
        <v>25</v>
      </c>
      <c r="I221" s="21" t="s">
        <v>982</v>
      </c>
      <c r="J221" s="22">
        <f t="shared" si="15"/>
        <v>1.0048611111124</v>
      </c>
      <c r="K221" s="22">
        <f t="shared" si="16"/>
        <v>24.1166666666977</v>
      </c>
      <c r="L221" s="22">
        <f t="shared" si="17"/>
        <v>8.11666666669771</v>
      </c>
      <c r="M221" s="22" cm="1">
        <f ca="1" t="array" ref="M221">SUMPRODUCT(--(WEEKDAY(ROW(INDIRECT(INT(F221)&amp;":"&amp;INT(I221))),2)&gt;5))</f>
        <v>0</v>
      </c>
      <c r="N221" s="22">
        <f ca="1" t="shared" si="18"/>
        <v>8.11666666669771</v>
      </c>
      <c r="O221" s="22" t="str">
        <f ca="1" t="shared" si="19"/>
        <v>Within SLA</v>
      </c>
      <c r="P221" s="26" t="s">
        <v>983</v>
      </c>
      <c r="Q221" s="24" t="s">
        <v>37</v>
      </c>
      <c r="R221" s="25"/>
      <c r="S221" s="25"/>
    </row>
    <row r="222" ht="27" customHeight="1" spans="1:20">
      <c r="A222" s="19" t="s">
        <v>985</v>
      </c>
      <c r="B222" s="20" t="s">
        <v>30</v>
      </c>
      <c r="C222" s="20" t="s">
        <v>31</v>
      </c>
      <c r="D222" s="20" t="s">
        <v>105</v>
      </c>
      <c r="E222" s="21" t="s">
        <v>961</v>
      </c>
      <c r="F222" s="21" t="s">
        <v>986</v>
      </c>
      <c r="G222" s="20" t="s">
        <v>35</v>
      </c>
      <c r="H222" s="20" t="s">
        <v>25</v>
      </c>
      <c r="I222" s="21" t="s">
        <v>987</v>
      </c>
      <c r="J222" s="22">
        <f t="shared" si="15"/>
        <v>1.00694444444525</v>
      </c>
      <c r="K222" s="22">
        <f t="shared" si="16"/>
        <v>24.1666666666861</v>
      </c>
      <c r="L222" s="22">
        <f t="shared" si="17"/>
        <v>8.16666666668607</v>
      </c>
      <c r="M222" s="22" cm="1">
        <f ca="1" t="array" ref="M222">SUMPRODUCT(--(WEEKDAY(ROW(INDIRECT(INT(F222)&amp;":"&amp;INT(I222))),2)&gt;5))</f>
        <v>0</v>
      </c>
      <c r="N222" s="22">
        <f ca="1" t="shared" si="18"/>
        <v>8.16666666668607</v>
      </c>
      <c r="O222" s="22" t="str">
        <f ca="1" t="shared" si="19"/>
        <v>SLA Violated</v>
      </c>
      <c r="P222" s="26" t="s">
        <v>985</v>
      </c>
      <c r="Q222" s="24" t="s">
        <v>37</v>
      </c>
      <c r="R222" s="6" t="s">
        <v>109</v>
      </c>
      <c r="S222" s="25" t="s">
        <v>39</v>
      </c>
    </row>
    <row r="223" ht="39" customHeight="1" spans="1:20">
      <c r="A223" s="19" t="s">
        <v>988</v>
      </c>
      <c r="B223" s="20" t="s">
        <v>19</v>
      </c>
      <c r="C223" s="20" t="s">
        <v>20</v>
      </c>
      <c r="D223" s="20" t="s">
        <v>32</v>
      </c>
      <c r="E223" s="21" t="s">
        <v>856</v>
      </c>
      <c r="F223" s="21" t="s">
        <v>989</v>
      </c>
      <c r="G223" s="20" t="s">
        <v>35</v>
      </c>
      <c r="H223" s="20" t="s">
        <v>25</v>
      </c>
      <c r="I223" s="21" t="s">
        <v>990</v>
      </c>
      <c r="J223" s="22">
        <f t="shared" si="15"/>
        <v>45.2819444444394</v>
      </c>
      <c r="K223" s="22">
        <f t="shared" si="16"/>
        <v>1086.76666666655</v>
      </c>
      <c r="L223" s="22">
        <f t="shared" si="17"/>
        <v>366.766666666546</v>
      </c>
      <c r="M223" s="22" cm="1">
        <f ca="1" t="array" ref="M223">SUMPRODUCT(--(WEEKDAY(ROW(INDIRECT(INT(F223)&amp;":"&amp;INT(I223))),2)&gt;5))</f>
        <v>12</v>
      </c>
      <c r="N223" s="22">
        <f ca="1" t="shared" si="18"/>
        <v>270.766666666546</v>
      </c>
      <c r="O223" s="22" t="str">
        <f ca="1" t="shared" si="19"/>
        <v>SLA Violated</v>
      </c>
      <c r="P223" s="23" t="s">
        <v>991</v>
      </c>
      <c r="Q223" s="24" t="s">
        <v>28</v>
      </c>
      <c r="R223" s="25"/>
      <c r="S223" s="25"/>
    </row>
    <row r="224" ht="39" customHeight="1" spans="1:20">
      <c r="A224" s="19" t="s">
        <v>992</v>
      </c>
      <c r="B224" s="20" t="s">
        <v>19</v>
      </c>
      <c r="C224" s="20" t="s">
        <v>20</v>
      </c>
      <c r="D224" s="20" t="s">
        <v>32</v>
      </c>
      <c r="E224" s="21" t="s">
        <v>993</v>
      </c>
      <c r="F224" s="21" t="s">
        <v>994</v>
      </c>
      <c r="G224" s="20" t="s">
        <v>35</v>
      </c>
      <c r="H224" s="20" t="s">
        <v>25</v>
      </c>
      <c r="I224" s="21" t="s">
        <v>995</v>
      </c>
      <c r="J224" s="22">
        <f t="shared" si="15"/>
        <v>2.1916666666657</v>
      </c>
      <c r="K224" s="22">
        <f t="shared" si="16"/>
        <v>52.5999999999767</v>
      </c>
      <c r="L224" s="22">
        <f t="shared" si="17"/>
        <v>20.5999999999767</v>
      </c>
      <c r="M224" s="22" cm="1">
        <f ca="1" t="array" ref="M224">SUMPRODUCT(--(WEEKDAY(ROW(INDIRECT(INT(F224)&amp;":"&amp;INT(I224))),2)&gt;5))</f>
        <v>0</v>
      </c>
      <c r="N224" s="22">
        <f ca="1" t="shared" si="18"/>
        <v>20.5999999999767</v>
      </c>
      <c r="O224" s="22" t="str">
        <f ca="1" t="shared" si="19"/>
        <v>SLA Violated</v>
      </c>
      <c r="P224" s="23" t="s">
        <v>996</v>
      </c>
      <c r="Q224" s="24" t="s">
        <v>28</v>
      </c>
      <c r="R224" s="25"/>
      <c r="S224" s="25"/>
    </row>
    <row r="225" ht="16" customHeight="1" spans="1:19">
      <c r="A225" s="19" t="s">
        <v>997</v>
      </c>
      <c r="B225" s="20" t="s">
        <v>100</v>
      </c>
      <c r="C225" s="20" t="s">
        <v>863</v>
      </c>
      <c r="D225" s="20" t="s">
        <v>32</v>
      </c>
      <c r="E225" s="21" t="s">
        <v>998</v>
      </c>
      <c r="F225" s="21" t="s">
        <v>999</v>
      </c>
      <c r="G225" s="20" t="s">
        <v>35</v>
      </c>
      <c r="H225" s="20" t="s">
        <v>25</v>
      </c>
      <c r="I225" s="21" t="s">
        <v>1000</v>
      </c>
      <c r="J225" s="22">
        <f t="shared" si="15"/>
        <v>0.0118055555576575</v>
      </c>
      <c r="K225" s="22">
        <f t="shared" si="16"/>
        <v>0.28333333338378</v>
      </c>
      <c r="L225" s="22">
        <f t="shared" si="17"/>
        <v>0.28333333338378</v>
      </c>
      <c r="M225" s="22" cm="1">
        <f ca="1" t="array" ref="M225">SUMPRODUCT(--(WEEKDAY(ROW(INDIRECT(INT(F225)&amp;":"&amp;INT(I225))),2)&gt;5))</f>
        <v>0</v>
      </c>
      <c r="N225" s="22">
        <f ca="1" t="shared" si="18"/>
        <v>0.28333333338378</v>
      </c>
      <c r="O225" s="22" t="str">
        <f ca="1" t="shared" si="19"/>
        <v>Within SLA</v>
      </c>
      <c r="P225" s="26" t="s">
        <v>997</v>
      </c>
      <c r="Q225" s="24" t="s">
        <v>37</v>
      </c>
      <c r="R225" s="25"/>
      <c r="S225" s="25"/>
    </row>
    <row r="226" ht="39" customHeight="1" spans="1:19">
      <c r="A226" s="19" t="s">
        <v>1001</v>
      </c>
      <c r="B226" s="20" t="s">
        <v>19</v>
      </c>
      <c r="C226" s="20" t="s">
        <v>20</v>
      </c>
      <c r="D226" s="20" t="s">
        <v>32</v>
      </c>
      <c r="E226" s="21" t="s">
        <v>998</v>
      </c>
      <c r="F226" s="21" t="s">
        <v>1002</v>
      </c>
      <c r="G226" s="20" t="s">
        <v>35</v>
      </c>
      <c r="H226" s="20" t="s">
        <v>25</v>
      </c>
      <c r="I226" s="21" t="s">
        <v>1003</v>
      </c>
      <c r="J226" s="22">
        <f t="shared" si="15"/>
        <v>0.984027777776646</v>
      </c>
      <c r="K226" s="22">
        <f t="shared" si="16"/>
        <v>23.6166666666395</v>
      </c>
      <c r="L226" s="22">
        <f t="shared" si="17"/>
        <v>7.6166666666395</v>
      </c>
      <c r="M226" s="22" cm="1">
        <f ca="1" t="array" ref="M226">SUMPRODUCT(--(WEEKDAY(ROW(INDIRECT(INT(F226)&amp;":"&amp;INT(I226))),2)&gt;5))</f>
        <v>0</v>
      </c>
      <c r="N226" s="22">
        <f ca="1" t="shared" si="18"/>
        <v>7.6166666666395</v>
      </c>
      <c r="O226" s="22" t="str">
        <f ca="1" t="shared" si="19"/>
        <v>Within SLA</v>
      </c>
      <c r="P226" s="26" t="s">
        <v>1001</v>
      </c>
      <c r="Q226" s="24" t="s">
        <v>37</v>
      </c>
      <c r="R226" s="25"/>
      <c r="S226" s="25"/>
    </row>
    <row r="227" ht="39" customHeight="1" spans="1:19">
      <c r="A227" s="19" t="s">
        <v>1004</v>
      </c>
      <c r="B227" s="20" t="s">
        <v>19</v>
      </c>
      <c r="C227" s="20" t="s">
        <v>20</v>
      </c>
      <c r="D227" s="20" t="s">
        <v>21</v>
      </c>
      <c r="E227" s="21" t="s">
        <v>990</v>
      </c>
      <c r="F227" s="21" t="s">
        <v>1005</v>
      </c>
      <c r="G227" s="20" t="s">
        <v>35</v>
      </c>
      <c r="H227" s="20" t="s">
        <v>25</v>
      </c>
      <c r="I227" s="21" t="s">
        <v>1006</v>
      </c>
      <c r="J227" s="22">
        <f t="shared" si="15"/>
        <v>0.228472222224809</v>
      </c>
      <c r="K227" s="22">
        <f t="shared" si="16"/>
        <v>5.48333333339542</v>
      </c>
      <c r="L227" s="22">
        <f t="shared" si="17"/>
        <v>5.48333333339542</v>
      </c>
      <c r="M227" s="22" cm="1">
        <f ca="1" t="array" ref="M227">SUMPRODUCT(--(WEEKDAY(ROW(INDIRECT(INT(F227)&amp;":"&amp;INT(I227))),2)&gt;5))</f>
        <v>0</v>
      </c>
      <c r="N227" s="22">
        <f ca="1" t="shared" si="18"/>
        <v>5.48333333339542</v>
      </c>
      <c r="O227" s="22" t="str">
        <f ca="1" t="shared" si="19"/>
        <v>SLA Violated</v>
      </c>
      <c r="P227" s="23" t="s">
        <v>1007</v>
      </c>
      <c r="Q227" s="24" t="s">
        <v>28</v>
      </c>
      <c r="R227" s="25"/>
      <c r="S227" s="25"/>
    </row>
    <row r="228" ht="39" customHeight="1" spans="1:19">
      <c r="A228" s="19" t="s">
        <v>1008</v>
      </c>
      <c r="B228" s="20" t="s">
        <v>19</v>
      </c>
      <c r="C228" s="20" t="s">
        <v>20</v>
      </c>
      <c r="D228" s="20" t="s">
        <v>32</v>
      </c>
      <c r="E228" s="21" t="s">
        <v>1009</v>
      </c>
      <c r="F228" s="21" t="s">
        <v>1010</v>
      </c>
      <c r="G228" s="20" t="s">
        <v>35</v>
      </c>
      <c r="H228" s="20" t="s">
        <v>25</v>
      </c>
      <c r="I228" s="21" t="s">
        <v>1006</v>
      </c>
      <c r="J228" s="22">
        <f t="shared" si="15"/>
        <v>0.255555555559113</v>
      </c>
      <c r="K228" s="22">
        <f t="shared" si="16"/>
        <v>6.1333333334187</v>
      </c>
      <c r="L228" s="22">
        <f t="shared" si="17"/>
        <v>6.1333333334187</v>
      </c>
      <c r="M228" s="22" cm="1">
        <f ca="1" t="array" ref="M228">SUMPRODUCT(--(WEEKDAY(ROW(INDIRECT(INT(F228)&amp;":"&amp;INT(I228))),2)&gt;5))</f>
        <v>0</v>
      </c>
      <c r="N228" s="22">
        <f ca="1" t="shared" si="18"/>
        <v>6.1333333334187</v>
      </c>
      <c r="O228" s="22" t="str">
        <f ca="1" t="shared" si="19"/>
        <v>Within SLA</v>
      </c>
      <c r="P228" s="26" t="s">
        <v>1008</v>
      </c>
      <c r="Q228" s="24" t="s">
        <v>37</v>
      </c>
      <c r="R228" s="25"/>
      <c r="S228" s="25"/>
    </row>
    <row r="229" ht="39" customHeight="1" spans="1:19">
      <c r="A229" s="19" t="s">
        <v>1011</v>
      </c>
      <c r="B229" s="20" t="s">
        <v>19</v>
      </c>
      <c r="C229" s="20" t="s">
        <v>20</v>
      </c>
      <c r="D229" s="20" t="s">
        <v>32</v>
      </c>
      <c r="E229" s="21" t="s">
        <v>1003</v>
      </c>
      <c r="F229" s="21" t="s">
        <v>1012</v>
      </c>
      <c r="G229" s="20" t="s">
        <v>35</v>
      </c>
      <c r="H229" s="20" t="s">
        <v>25</v>
      </c>
      <c r="I229" s="21" t="s">
        <v>1013</v>
      </c>
      <c r="J229" s="22">
        <f t="shared" si="15"/>
        <v>1.2541666666657</v>
      </c>
      <c r="K229" s="22">
        <f t="shared" si="16"/>
        <v>30.0999999999767</v>
      </c>
      <c r="L229" s="22">
        <f t="shared" si="17"/>
        <v>14.0999999999767</v>
      </c>
      <c r="M229" s="22" cm="1">
        <f ca="1" t="array" ref="M229">SUMPRODUCT(--(WEEKDAY(ROW(INDIRECT(INT(F229)&amp;":"&amp;INT(I229))),2)&gt;5))</f>
        <v>0</v>
      </c>
      <c r="N229" s="22">
        <f ca="1" t="shared" si="18"/>
        <v>14.0999999999767</v>
      </c>
      <c r="O229" s="22" t="str">
        <f ca="1" t="shared" si="19"/>
        <v>SLA Violated</v>
      </c>
      <c r="P229" s="23" t="s">
        <v>1014</v>
      </c>
      <c r="Q229" s="24" t="s">
        <v>28</v>
      </c>
      <c r="R229" s="25"/>
      <c r="S229" s="25"/>
    </row>
    <row r="230" ht="16" customHeight="1" spans="1:19">
      <c r="A230" s="28" t="s">
        <v>1015</v>
      </c>
      <c r="B230" s="20" t="s">
        <v>100</v>
      </c>
      <c r="C230" s="20" t="s">
        <v>101</v>
      </c>
      <c r="D230" s="20" t="s">
        <v>32</v>
      </c>
      <c r="E230" s="21" t="s">
        <v>1016</v>
      </c>
      <c r="F230" s="21" t="s">
        <v>1017</v>
      </c>
      <c r="G230" s="20" t="s">
        <v>35</v>
      </c>
      <c r="H230" s="20" t="s">
        <v>25</v>
      </c>
      <c r="I230" s="21" t="s">
        <v>1018</v>
      </c>
      <c r="J230" s="22">
        <f t="shared" si="15"/>
        <v>1.23055555555766</v>
      </c>
      <c r="K230" s="22">
        <f t="shared" si="16"/>
        <v>29.5333333333838</v>
      </c>
      <c r="L230" s="22">
        <f t="shared" si="17"/>
        <v>13.5333333333838</v>
      </c>
      <c r="M230" s="22" cm="1">
        <f ca="1" t="array" ref="M230">SUMPRODUCT(--(WEEKDAY(ROW(INDIRECT(INT(F230)&amp;":"&amp;INT(I230))),2)&gt;5))</f>
        <v>0</v>
      </c>
      <c r="N230" s="22">
        <f ca="1" t="shared" si="18"/>
        <v>13.5333333333838</v>
      </c>
      <c r="O230" s="22" t="str">
        <f ca="1" t="shared" si="19"/>
        <v>SLA Violated</v>
      </c>
      <c r="P230" s="26" t="s">
        <v>1019</v>
      </c>
      <c r="Q230" s="24" t="s">
        <v>37</v>
      </c>
      <c r="R230" s="25" t="s">
        <v>1020</v>
      </c>
      <c r="S230" s="25" t="s">
        <v>39</v>
      </c>
    </row>
    <row r="231" ht="39" customHeight="1" spans="1:19">
      <c r="A231" s="19" t="s">
        <v>1021</v>
      </c>
      <c r="B231" s="20" t="s">
        <v>196</v>
      </c>
      <c r="C231" s="20" t="s">
        <v>46</v>
      </c>
      <c r="D231" s="20" t="s">
        <v>32</v>
      </c>
      <c r="E231" s="21" t="s">
        <v>1016</v>
      </c>
      <c r="F231" s="21" t="s">
        <v>1022</v>
      </c>
      <c r="G231" s="20" t="s">
        <v>35</v>
      </c>
      <c r="H231" s="20" t="s">
        <v>25</v>
      </c>
      <c r="I231" s="21" t="s">
        <v>1023</v>
      </c>
      <c r="J231" s="22">
        <f t="shared" si="15"/>
        <v>1.1298611111124</v>
      </c>
      <c r="K231" s="22">
        <f t="shared" si="16"/>
        <v>27.1166666666977</v>
      </c>
      <c r="L231" s="22">
        <f t="shared" si="17"/>
        <v>11.1166666666977</v>
      </c>
      <c r="M231" s="22" cm="1">
        <f ca="1" t="array" ref="M231">SUMPRODUCT(--(WEEKDAY(ROW(INDIRECT(INT(F231)&amp;":"&amp;INT(I231))),2)&gt;5))</f>
        <v>0</v>
      </c>
      <c r="N231" s="22">
        <f ca="1" t="shared" si="18"/>
        <v>11.1166666666977</v>
      </c>
      <c r="O231" s="22" t="str">
        <f ca="1" t="shared" si="19"/>
        <v>Within SLA</v>
      </c>
      <c r="P231" s="26" t="s">
        <v>1021</v>
      </c>
      <c r="Q231" s="24" t="s">
        <v>37</v>
      </c>
      <c r="R231" s="25"/>
      <c r="S231" s="25"/>
    </row>
    <row r="232" ht="39" customHeight="1" spans="1:19">
      <c r="A232" s="19" t="s">
        <v>1024</v>
      </c>
      <c r="B232" s="20" t="s">
        <v>19</v>
      </c>
      <c r="C232" s="20" t="s">
        <v>20</v>
      </c>
      <c r="D232" s="20" t="s">
        <v>32</v>
      </c>
      <c r="E232" s="21" t="s">
        <v>1025</v>
      </c>
      <c r="F232" s="21" t="s">
        <v>1026</v>
      </c>
      <c r="G232" s="20" t="s">
        <v>35</v>
      </c>
      <c r="H232" s="20" t="s">
        <v>25</v>
      </c>
      <c r="I232" s="21" t="s">
        <v>1027</v>
      </c>
      <c r="J232" s="22">
        <f t="shared" si="15"/>
        <v>1.45416666667006</v>
      </c>
      <c r="K232" s="22">
        <f t="shared" si="16"/>
        <v>34.9000000000815</v>
      </c>
      <c r="L232" s="22">
        <f t="shared" si="17"/>
        <v>18.9000000000815</v>
      </c>
      <c r="M232" s="22" cm="1">
        <f ca="1" t="array" ref="M232">SUMPRODUCT(--(WEEKDAY(ROW(INDIRECT(INT(F232)&amp;":"&amp;INT(I232))),2)&gt;5))</f>
        <v>0</v>
      </c>
      <c r="N232" s="22">
        <f ca="1" t="shared" si="18"/>
        <v>18.9000000000815</v>
      </c>
      <c r="O232" s="22" t="str">
        <f ca="1" t="shared" si="19"/>
        <v>SLA Violated</v>
      </c>
      <c r="P232" s="23" t="s">
        <v>1028</v>
      </c>
      <c r="Q232" s="24" t="s">
        <v>28</v>
      </c>
      <c r="R232" s="25"/>
      <c r="S232" s="25"/>
    </row>
    <row r="233" ht="39" customHeight="1" spans="1:19">
      <c r="A233" s="19" t="s">
        <v>1029</v>
      </c>
      <c r="B233" s="20" t="s">
        <v>19</v>
      </c>
      <c r="C233" s="20" t="s">
        <v>20</v>
      </c>
      <c r="D233" s="20" t="s">
        <v>32</v>
      </c>
      <c r="E233" s="21" t="s">
        <v>1030</v>
      </c>
      <c r="F233" s="21" t="s">
        <v>1031</v>
      </c>
      <c r="G233" s="20" t="s">
        <v>35</v>
      </c>
      <c r="H233" s="20" t="s">
        <v>25</v>
      </c>
      <c r="I233" s="21" t="s">
        <v>1027</v>
      </c>
      <c r="J233" s="22">
        <f t="shared" si="15"/>
        <v>1.45694444444234</v>
      </c>
      <c r="K233" s="22">
        <f t="shared" si="16"/>
        <v>34.9666666666162</v>
      </c>
      <c r="L233" s="22">
        <f t="shared" si="17"/>
        <v>18.9666666666162</v>
      </c>
      <c r="M233" s="22" cm="1">
        <f ca="1" t="array" ref="M233">SUMPRODUCT(--(WEEKDAY(ROW(INDIRECT(INT(F233)&amp;":"&amp;INT(I233))),2)&gt;5))</f>
        <v>0</v>
      </c>
      <c r="N233" s="22">
        <f ca="1" t="shared" si="18"/>
        <v>18.9666666666162</v>
      </c>
      <c r="O233" s="22" t="str">
        <f ca="1" t="shared" si="19"/>
        <v>SLA Violated</v>
      </c>
      <c r="P233" s="23" t="s">
        <v>1032</v>
      </c>
      <c r="Q233" s="24" t="s">
        <v>28</v>
      </c>
      <c r="R233" s="25"/>
      <c r="S233" s="25"/>
    </row>
    <row r="234" ht="39" customHeight="1" spans="1:19">
      <c r="A234" s="19" t="s">
        <v>1033</v>
      </c>
      <c r="B234" s="20" t="s">
        <v>19</v>
      </c>
      <c r="C234" s="20" t="s">
        <v>20</v>
      </c>
      <c r="D234" s="20" t="s">
        <v>32</v>
      </c>
      <c r="E234" s="21" t="s">
        <v>1034</v>
      </c>
      <c r="F234" s="21" t="s">
        <v>1035</v>
      </c>
      <c r="G234" s="20" t="s">
        <v>35</v>
      </c>
      <c r="H234" s="20" t="s">
        <v>25</v>
      </c>
      <c r="I234" s="21" t="s">
        <v>1036</v>
      </c>
      <c r="J234" s="22">
        <f t="shared" si="15"/>
        <v>1.45416666667006</v>
      </c>
      <c r="K234" s="22">
        <f t="shared" si="16"/>
        <v>34.9000000000815</v>
      </c>
      <c r="L234" s="22">
        <f t="shared" si="17"/>
        <v>18.9000000000815</v>
      </c>
      <c r="M234" s="22" cm="1">
        <f ca="1" t="array" ref="M234">SUMPRODUCT(--(WEEKDAY(ROW(INDIRECT(INT(F234)&amp;":"&amp;INT(I234))),2)&gt;5))</f>
        <v>0</v>
      </c>
      <c r="N234" s="22">
        <f ca="1" t="shared" si="18"/>
        <v>18.9000000000815</v>
      </c>
      <c r="O234" s="22" t="str">
        <f ca="1" t="shared" si="19"/>
        <v>SLA Violated</v>
      </c>
      <c r="P234" s="23" t="s">
        <v>1037</v>
      </c>
      <c r="Q234" s="24" t="s">
        <v>28</v>
      </c>
      <c r="R234" s="25"/>
      <c r="S234" s="25"/>
    </row>
    <row r="235" ht="39" customHeight="1" spans="1:19">
      <c r="A235" s="19" t="s">
        <v>1038</v>
      </c>
      <c r="B235" s="20" t="s">
        <v>19</v>
      </c>
      <c r="C235" s="20" t="s">
        <v>20</v>
      </c>
      <c r="D235" s="20" t="s">
        <v>32</v>
      </c>
      <c r="E235" s="21" t="s">
        <v>1034</v>
      </c>
      <c r="F235" s="21" t="s">
        <v>1039</v>
      </c>
      <c r="G235" s="20" t="s">
        <v>35</v>
      </c>
      <c r="H235" s="20" t="s">
        <v>25</v>
      </c>
      <c r="I235" s="21" t="s">
        <v>1040</v>
      </c>
      <c r="J235" s="22">
        <f t="shared" si="15"/>
        <v>23.2041666666701</v>
      </c>
      <c r="K235" s="22">
        <f t="shared" si="16"/>
        <v>556.900000000081</v>
      </c>
      <c r="L235" s="22">
        <f t="shared" si="17"/>
        <v>188.900000000081</v>
      </c>
      <c r="M235" s="22" cm="1">
        <f ca="1" t="array" ref="M235">SUMPRODUCT(--(WEEKDAY(ROW(INDIRECT(INT(F235)&amp;":"&amp;INT(I235))),2)&gt;5))</f>
        <v>6</v>
      </c>
      <c r="N235" s="22">
        <f ca="1" t="shared" si="18"/>
        <v>140.900000000081</v>
      </c>
      <c r="O235" s="22" t="str">
        <f ca="1" t="shared" si="19"/>
        <v>SLA Violated</v>
      </c>
      <c r="P235" s="23" t="s">
        <v>1041</v>
      </c>
      <c r="Q235" s="24" t="s">
        <v>28</v>
      </c>
      <c r="R235" s="25"/>
      <c r="S235" s="25"/>
    </row>
    <row r="236" ht="39" customHeight="1" spans="1:19">
      <c r="A236" s="19" t="s">
        <v>1042</v>
      </c>
      <c r="B236" s="20" t="s">
        <v>702</v>
      </c>
      <c r="C236" s="20" t="s">
        <v>101</v>
      </c>
      <c r="D236" s="20" t="s">
        <v>32</v>
      </c>
      <c r="E236" s="21" t="s">
        <v>1043</v>
      </c>
      <c r="F236" s="21" t="s">
        <v>1044</v>
      </c>
      <c r="G236" s="20" t="s">
        <v>35</v>
      </c>
      <c r="H236" s="20" t="s">
        <v>25</v>
      </c>
      <c r="I236" s="21" t="s">
        <v>1045</v>
      </c>
      <c r="J236" s="22">
        <f t="shared" si="15"/>
        <v>0.213194444448163</v>
      </c>
      <c r="K236" s="22">
        <f t="shared" si="16"/>
        <v>5.11666666675592</v>
      </c>
      <c r="L236" s="22">
        <f t="shared" si="17"/>
        <v>5.11666666675592</v>
      </c>
      <c r="M236" s="22" cm="1">
        <f ca="1" t="array" ref="M236">SUMPRODUCT(--(WEEKDAY(ROW(INDIRECT(INT(F236)&amp;":"&amp;INT(I236))),2)&gt;5))</f>
        <v>0</v>
      </c>
      <c r="N236" s="22">
        <f ca="1" t="shared" si="18"/>
        <v>5.11666666675592</v>
      </c>
      <c r="O236" s="22" t="str">
        <f ca="1" t="shared" si="19"/>
        <v>Within SLA</v>
      </c>
      <c r="P236" s="26" t="s">
        <v>1042</v>
      </c>
      <c r="Q236" s="24" t="s">
        <v>37</v>
      </c>
      <c r="R236" s="25"/>
      <c r="S236" s="25"/>
    </row>
    <row r="237" ht="27" customHeight="1" spans="1:19">
      <c r="A237" s="19" t="s">
        <v>1046</v>
      </c>
      <c r="B237" s="20" t="s">
        <v>1047</v>
      </c>
      <c r="C237" s="20" t="s">
        <v>46</v>
      </c>
      <c r="D237" s="20" t="s">
        <v>32</v>
      </c>
      <c r="E237" s="21" t="s">
        <v>1048</v>
      </c>
      <c r="F237" s="21" t="s">
        <v>1049</v>
      </c>
      <c r="G237" s="20" t="s">
        <v>35</v>
      </c>
      <c r="H237" s="20" t="s">
        <v>25</v>
      </c>
      <c r="I237" s="21" t="s">
        <v>1050</v>
      </c>
      <c r="J237" s="22">
        <f t="shared" si="15"/>
        <v>0.0659722222189885</v>
      </c>
      <c r="K237" s="22">
        <f t="shared" si="16"/>
        <v>1.58333333325572</v>
      </c>
      <c r="L237" s="22">
        <f t="shared" si="17"/>
        <v>1.58333333325572</v>
      </c>
      <c r="M237" s="22" cm="1">
        <f ca="1" t="array" ref="M237">SUMPRODUCT(--(WEEKDAY(ROW(INDIRECT(INT(F237)&amp;":"&amp;INT(I237))),2)&gt;5))</f>
        <v>0</v>
      </c>
      <c r="N237" s="22">
        <f ca="1" t="shared" si="18"/>
        <v>1.58333333325572</v>
      </c>
      <c r="O237" s="22" t="str">
        <f ca="1" t="shared" si="19"/>
        <v>Within SLA</v>
      </c>
      <c r="P237" s="26" t="s">
        <v>1046</v>
      </c>
      <c r="Q237" s="24" t="s">
        <v>37</v>
      </c>
      <c r="R237" s="25"/>
      <c r="S237" s="25"/>
    </row>
    <row r="238" ht="27" customHeight="1" spans="1:19">
      <c r="A238" s="19" t="s">
        <v>1051</v>
      </c>
      <c r="B238" s="20" t="s">
        <v>30</v>
      </c>
      <c r="C238" s="20" t="s">
        <v>67</v>
      </c>
      <c r="D238" s="20" t="s">
        <v>32</v>
      </c>
      <c r="E238" s="21" t="s">
        <v>1052</v>
      </c>
      <c r="F238" s="21" t="s">
        <v>1053</v>
      </c>
      <c r="G238" s="20" t="s">
        <v>35</v>
      </c>
      <c r="H238" s="20" t="s">
        <v>25</v>
      </c>
      <c r="I238" s="21" t="s">
        <v>1054</v>
      </c>
      <c r="J238" s="22">
        <f t="shared" si="15"/>
        <v>1.13958333333721</v>
      </c>
      <c r="K238" s="22">
        <f t="shared" si="16"/>
        <v>27.3500000000931</v>
      </c>
      <c r="L238" s="22">
        <f t="shared" si="17"/>
        <v>11.3500000000931</v>
      </c>
      <c r="M238" s="22" cm="1">
        <f ca="1" t="array" ref="M238">SUMPRODUCT(--(WEEKDAY(ROW(INDIRECT(INT(F238)&amp;":"&amp;INT(I238))),2)&gt;5))</f>
        <v>0</v>
      </c>
      <c r="N238" s="22">
        <f ca="1" t="shared" si="18"/>
        <v>11.3500000000931</v>
      </c>
      <c r="O238" s="22" t="str">
        <f ca="1" t="shared" si="19"/>
        <v>Within SLA</v>
      </c>
      <c r="P238" s="26" t="s">
        <v>1051</v>
      </c>
      <c r="Q238" s="24" t="s">
        <v>37</v>
      </c>
      <c r="R238" s="25"/>
      <c r="S238" s="25"/>
    </row>
    <row r="239" ht="39" customHeight="1" spans="1:19">
      <c r="A239" s="19" t="s">
        <v>1055</v>
      </c>
      <c r="B239" s="20" t="s">
        <v>19</v>
      </c>
      <c r="C239" s="20" t="s">
        <v>20</v>
      </c>
      <c r="D239" s="20" t="s">
        <v>32</v>
      </c>
      <c r="E239" s="21" t="s">
        <v>1056</v>
      </c>
      <c r="F239" s="21" t="s">
        <v>1057</v>
      </c>
      <c r="G239" s="20" t="s">
        <v>35</v>
      </c>
      <c r="H239" s="20" t="s">
        <v>25</v>
      </c>
      <c r="I239" s="21" t="s">
        <v>1058</v>
      </c>
      <c r="J239" s="22">
        <f t="shared" si="15"/>
        <v>0.00416666666569654</v>
      </c>
      <c r="K239" s="22">
        <f t="shared" si="16"/>
        <v>0.0999999999767169</v>
      </c>
      <c r="L239" s="22">
        <f t="shared" si="17"/>
        <v>0.0999999999767169</v>
      </c>
      <c r="M239" s="22" cm="1">
        <f ca="1" t="array" ref="M239">SUMPRODUCT(--(WEEKDAY(ROW(INDIRECT(INT(F239)&amp;":"&amp;INT(I239))),2)&gt;5))</f>
        <v>0</v>
      </c>
      <c r="N239" s="22">
        <f ca="1" t="shared" si="18"/>
        <v>0.0999999999767169</v>
      </c>
      <c r="O239" s="22" t="str">
        <f ca="1" t="shared" si="19"/>
        <v>Within SLA</v>
      </c>
      <c r="P239" s="26" t="s">
        <v>1055</v>
      </c>
      <c r="Q239" s="24" t="s">
        <v>37</v>
      </c>
      <c r="R239" s="25"/>
      <c r="S239" s="25"/>
    </row>
    <row r="240" ht="39" customHeight="1" spans="1:19">
      <c r="A240" s="19" t="s">
        <v>1059</v>
      </c>
      <c r="B240" s="20" t="s">
        <v>19</v>
      </c>
      <c r="C240" s="20" t="s">
        <v>20</v>
      </c>
      <c r="D240" s="20" t="s">
        <v>32</v>
      </c>
      <c r="E240" s="21" t="s">
        <v>1060</v>
      </c>
      <c r="F240" s="21" t="s">
        <v>1061</v>
      </c>
      <c r="G240" s="20" t="s">
        <v>35</v>
      </c>
      <c r="H240" s="20" t="s">
        <v>25</v>
      </c>
      <c r="I240" s="21" t="s">
        <v>1062</v>
      </c>
      <c r="J240" s="22">
        <f t="shared" si="15"/>
        <v>0.935416666667152</v>
      </c>
      <c r="K240" s="22">
        <f t="shared" si="16"/>
        <v>22.4500000000116</v>
      </c>
      <c r="L240" s="22">
        <f t="shared" si="17"/>
        <v>6.45000000001164</v>
      </c>
      <c r="M240" s="22" cm="1">
        <f ca="1" t="array" ref="M240">SUMPRODUCT(--(WEEKDAY(ROW(INDIRECT(INT(F240)&amp;":"&amp;INT(I240))),2)&gt;5))</f>
        <v>0</v>
      </c>
      <c r="N240" s="22">
        <f ca="1" t="shared" si="18"/>
        <v>6.45000000001164</v>
      </c>
      <c r="O240" s="22" t="str">
        <f ca="1" t="shared" si="19"/>
        <v>Within SLA</v>
      </c>
      <c r="P240" s="26" t="s">
        <v>1059</v>
      </c>
      <c r="Q240" s="24" t="s">
        <v>37</v>
      </c>
      <c r="R240" s="25"/>
      <c r="S240" s="25"/>
    </row>
    <row r="241" ht="27" customHeight="1" spans="1:19">
      <c r="A241" s="19" t="s">
        <v>1063</v>
      </c>
      <c r="B241" s="20" t="s">
        <v>139</v>
      </c>
      <c r="C241" s="20" t="s">
        <v>46</v>
      </c>
      <c r="D241" s="20" t="s">
        <v>32</v>
      </c>
      <c r="E241" s="21" t="s">
        <v>1064</v>
      </c>
      <c r="F241" s="21" t="s">
        <v>1065</v>
      </c>
      <c r="G241" s="20" t="s">
        <v>35</v>
      </c>
      <c r="H241" s="20" t="s">
        <v>25</v>
      </c>
      <c r="I241" s="21" t="s">
        <v>1066</v>
      </c>
      <c r="J241" s="22">
        <f t="shared" si="15"/>
        <v>0.0229166666686069</v>
      </c>
      <c r="K241" s="22">
        <f t="shared" si="16"/>
        <v>0.550000000046566</v>
      </c>
      <c r="L241" s="22">
        <f t="shared" si="17"/>
        <v>0.550000000046566</v>
      </c>
      <c r="M241" s="22" cm="1">
        <f ca="1" t="array" ref="M241">SUMPRODUCT(--(WEEKDAY(ROW(INDIRECT(INT(F241)&amp;":"&amp;INT(I241))),2)&gt;5))</f>
        <v>0</v>
      </c>
      <c r="N241" s="22">
        <f ca="1" t="shared" si="18"/>
        <v>0.550000000046566</v>
      </c>
      <c r="O241" s="22" t="str">
        <f ca="1" t="shared" si="19"/>
        <v>Within SLA</v>
      </c>
      <c r="P241" s="26" t="s">
        <v>1063</v>
      </c>
      <c r="Q241" s="24" t="s">
        <v>37</v>
      </c>
      <c r="R241" s="25"/>
      <c r="S241" s="25"/>
    </row>
    <row r="242" ht="39" customHeight="1" spans="1:19">
      <c r="A242" s="19" t="s">
        <v>1067</v>
      </c>
      <c r="B242" s="20" t="s">
        <v>19</v>
      </c>
      <c r="C242" s="20" t="s">
        <v>20</v>
      </c>
      <c r="D242" s="20" t="s">
        <v>32</v>
      </c>
      <c r="E242" s="21" t="s">
        <v>1068</v>
      </c>
      <c r="F242" s="21" t="s">
        <v>1069</v>
      </c>
      <c r="G242" s="20" t="s">
        <v>35</v>
      </c>
      <c r="H242" s="20" t="s">
        <v>25</v>
      </c>
      <c r="I242" s="21" t="s">
        <v>1070</v>
      </c>
      <c r="J242" s="22">
        <f t="shared" si="15"/>
        <v>0.0958333333328483</v>
      </c>
      <c r="K242" s="22">
        <f t="shared" si="16"/>
        <v>2.29999999998836</v>
      </c>
      <c r="L242" s="22">
        <f t="shared" si="17"/>
        <v>2.29999999998836</v>
      </c>
      <c r="M242" s="22" cm="1">
        <f ca="1" t="array" ref="M242">SUMPRODUCT(--(WEEKDAY(ROW(INDIRECT(INT(F242)&amp;":"&amp;INT(I242))),2)&gt;5))</f>
        <v>0</v>
      </c>
      <c r="N242" s="22">
        <f ca="1" t="shared" si="18"/>
        <v>2.29999999998836</v>
      </c>
      <c r="O242" s="22" t="str">
        <f ca="1" t="shared" si="19"/>
        <v>Within SLA</v>
      </c>
      <c r="P242" s="26" t="s">
        <v>1067</v>
      </c>
      <c r="Q242" s="24" t="s">
        <v>37</v>
      </c>
      <c r="R242" s="25"/>
      <c r="S242" s="25"/>
    </row>
    <row r="243" ht="27" customHeight="1" spans="1:19">
      <c r="A243" s="19" t="s">
        <v>1071</v>
      </c>
      <c r="B243" s="20" t="s">
        <v>139</v>
      </c>
      <c r="C243" s="20" t="s">
        <v>67</v>
      </c>
      <c r="D243" s="20" t="s">
        <v>32</v>
      </c>
      <c r="E243" s="21" t="s">
        <v>1068</v>
      </c>
      <c r="F243" s="21" t="s">
        <v>1072</v>
      </c>
      <c r="G243" s="20" t="s">
        <v>35</v>
      </c>
      <c r="H243" s="20" t="s">
        <v>25</v>
      </c>
      <c r="I243" s="21" t="s">
        <v>1073</v>
      </c>
      <c r="J243" s="22">
        <f t="shared" si="15"/>
        <v>22.1361111111109</v>
      </c>
      <c r="K243" s="22">
        <f t="shared" si="16"/>
        <v>531.266666666663</v>
      </c>
      <c r="L243" s="22">
        <f t="shared" si="17"/>
        <v>179.266666666663</v>
      </c>
      <c r="M243" s="22" cm="1">
        <f ca="1" t="array" ref="M243">SUMPRODUCT(--(WEEKDAY(ROW(INDIRECT(INT(F243)&amp;":"&amp;INT(I243))),2)&gt;5))</f>
        <v>6</v>
      </c>
      <c r="N243" s="22">
        <f ca="1" t="shared" si="18"/>
        <v>131.266666666663</v>
      </c>
      <c r="O243" s="22" t="str">
        <f ca="1" t="shared" si="19"/>
        <v>SLA Violated</v>
      </c>
      <c r="P243" s="23" t="s">
        <v>1074</v>
      </c>
      <c r="Q243" s="24" t="s">
        <v>28</v>
      </c>
      <c r="R243" s="25"/>
      <c r="S243" s="25"/>
    </row>
    <row r="244" ht="39" customHeight="1" spans="1:19">
      <c r="A244" s="19" t="s">
        <v>1075</v>
      </c>
      <c r="B244" s="20" t="s">
        <v>1076</v>
      </c>
      <c r="C244" s="20" t="s">
        <v>67</v>
      </c>
      <c r="D244" s="20" t="s">
        <v>32</v>
      </c>
      <c r="E244" s="21" t="s">
        <v>1077</v>
      </c>
      <c r="F244" s="21" t="s">
        <v>1078</v>
      </c>
      <c r="G244" s="20" t="s">
        <v>35</v>
      </c>
      <c r="H244" s="20" t="s">
        <v>25</v>
      </c>
      <c r="I244" s="21" t="s">
        <v>1079</v>
      </c>
      <c r="J244" s="22">
        <f t="shared" si="15"/>
        <v>1.08263888888905</v>
      </c>
      <c r="K244" s="22">
        <f t="shared" si="16"/>
        <v>25.9833333333372</v>
      </c>
      <c r="L244" s="22">
        <f t="shared" si="17"/>
        <v>9.98333333333721</v>
      </c>
      <c r="M244" s="22" cm="1">
        <f ca="1" t="array" ref="M244">SUMPRODUCT(--(WEEKDAY(ROW(INDIRECT(INT(F244)&amp;":"&amp;INT(I244))),2)&gt;5))</f>
        <v>0</v>
      </c>
      <c r="N244" s="22">
        <f ca="1" t="shared" si="18"/>
        <v>9.98333333333721</v>
      </c>
      <c r="O244" s="22" t="str">
        <f ca="1" t="shared" si="19"/>
        <v>Within SLA</v>
      </c>
      <c r="P244" s="26" t="s">
        <v>1075</v>
      </c>
      <c r="Q244" s="24" t="s">
        <v>37</v>
      </c>
      <c r="R244" s="25"/>
      <c r="S244" s="25"/>
    </row>
    <row r="245" ht="27" customHeight="1" spans="1:19">
      <c r="A245" s="19" t="s">
        <v>1080</v>
      </c>
      <c r="B245" s="20" t="s">
        <v>30</v>
      </c>
      <c r="C245" s="20" t="s">
        <v>31</v>
      </c>
      <c r="D245" s="20" t="s">
        <v>32</v>
      </c>
      <c r="E245" s="21" t="s">
        <v>1081</v>
      </c>
      <c r="F245" s="21" t="s">
        <v>1082</v>
      </c>
      <c r="G245" s="20" t="s">
        <v>35</v>
      </c>
      <c r="H245" s="20" t="s">
        <v>25</v>
      </c>
      <c r="I245" s="21" t="s">
        <v>1083</v>
      </c>
      <c r="J245" s="22">
        <f t="shared" si="15"/>
        <v>2.0756944444438</v>
      </c>
      <c r="K245" s="22">
        <f t="shared" si="16"/>
        <v>49.8166666666511</v>
      </c>
      <c r="L245" s="22">
        <f t="shared" si="17"/>
        <v>17.8166666666511</v>
      </c>
      <c r="M245" s="22" cm="1">
        <f ca="1" t="array" ref="M245">SUMPRODUCT(--(WEEKDAY(ROW(INDIRECT(INT(F245)&amp;":"&amp;INT(I245))),2)&gt;5))</f>
        <v>0</v>
      </c>
      <c r="N245" s="22">
        <f ca="1" t="shared" si="18"/>
        <v>17.8166666666511</v>
      </c>
      <c r="O245" s="22" t="str">
        <f ca="1" t="shared" si="19"/>
        <v>SLA Violated</v>
      </c>
      <c r="P245" s="26" t="s">
        <v>1080</v>
      </c>
      <c r="Q245" s="24" t="s">
        <v>37</v>
      </c>
      <c r="R245" s="6" t="s">
        <v>1084</v>
      </c>
      <c r="S245" s="25" t="s">
        <v>39</v>
      </c>
    </row>
    <row r="246" ht="39" customHeight="1" spans="1:19">
      <c r="A246" s="19" t="s">
        <v>1085</v>
      </c>
      <c r="B246" s="20" t="s">
        <v>19</v>
      </c>
      <c r="C246" s="20" t="s">
        <v>20</v>
      </c>
      <c r="D246" s="20" t="s">
        <v>32</v>
      </c>
      <c r="E246" s="21" t="s">
        <v>1086</v>
      </c>
      <c r="F246" s="21" t="s">
        <v>1087</v>
      </c>
      <c r="G246" s="20" t="s">
        <v>35</v>
      </c>
      <c r="H246" s="20" t="s">
        <v>25</v>
      </c>
      <c r="I246" s="21" t="s">
        <v>1070</v>
      </c>
      <c r="J246" s="22">
        <f t="shared" si="15"/>
        <v>0.176388888889051</v>
      </c>
      <c r="K246" s="22">
        <f t="shared" si="16"/>
        <v>4.23333333333721</v>
      </c>
      <c r="L246" s="22">
        <f t="shared" si="17"/>
        <v>4.23333333333721</v>
      </c>
      <c r="M246" s="22" cm="1">
        <f ca="1" t="array" ref="M246">SUMPRODUCT(--(WEEKDAY(ROW(INDIRECT(INT(F246)&amp;":"&amp;INT(I246))),2)&gt;5))</f>
        <v>0</v>
      </c>
      <c r="N246" s="22">
        <f ca="1" t="shared" si="18"/>
        <v>4.23333333333721</v>
      </c>
      <c r="O246" s="22" t="str">
        <f ca="1" t="shared" si="19"/>
        <v>Within SLA</v>
      </c>
      <c r="P246" s="26" t="s">
        <v>1085</v>
      </c>
      <c r="Q246" s="24" t="s">
        <v>37</v>
      </c>
      <c r="R246" s="25"/>
      <c r="S246" s="25"/>
    </row>
    <row r="247" ht="27" customHeight="1" spans="1:19">
      <c r="A247" s="19" t="s">
        <v>1088</v>
      </c>
      <c r="B247" s="20" t="s">
        <v>30</v>
      </c>
      <c r="C247" s="20" t="s">
        <v>31</v>
      </c>
      <c r="D247" s="20" t="s">
        <v>32</v>
      </c>
      <c r="E247" s="21" t="s">
        <v>1089</v>
      </c>
      <c r="F247" s="21" t="s">
        <v>1090</v>
      </c>
      <c r="G247" s="20" t="s">
        <v>35</v>
      </c>
      <c r="H247" s="20" t="s">
        <v>25</v>
      </c>
      <c r="I247" s="21" t="s">
        <v>1091</v>
      </c>
      <c r="J247" s="22">
        <f t="shared" si="15"/>
        <v>0.0666666666729725</v>
      </c>
      <c r="K247" s="22">
        <f t="shared" si="16"/>
        <v>1.60000000015134</v>
      </c>
      <c r="L247" s="22">
        <f t="shared" si="17"/>
        <v>1.60000000015134</v>
      </c>
      <c r="M247" s="22" cm="1">
        <f ca="1" t="array" ref="M247">SUMPRODUCT(--(WEEKDAY(ROW(INDIRECT(INT(F247)&amp;":"&amp;INT(I247))),2)&gt;5))</f>
        <v>0</v>
      </c>
      <c r="N247" s="22">
        <f ca="1" t="shared" si="18"/>
        <v>1.60000000015134</v>
      </c>
      <c r="O247" s="22" t="str">
        <f ca="1" t="shared" si="19"/>
        <v>Within SLA</v>
      </c>
      <c r="P247" s="26" t="s">
        <v>1088</v>
      </c>
      <c r="Q247" s="24" t="s">
        <v>37</v>
      </c>
      <c r="R247" s="25"/>
      <c r="S247" s="25"/>
    </row>
    <row r="248" ht="27" customHeight="1" spans="1:19">
      <c r="A248" s="19" t="s">
        <v>1092</v>
      </c>
      <c r="B248" s="20" t="s">
        <v>139</v>
      </c>
      <c r="C248" s="20" t="s">
        <v>67</v>
      </c>
      <c r="D248" s="20" t="s">
        <v>32</v>
      </c>
      <c r="E248" s="21" t="s">
        <v>1049</v>
      </c>
      <c r="F248" s="21" t="s">
        <v>1093</v>
      </c>
      <c r="G248" s="20" t="s">
        <v>35</v>
      </c>
      <c r="H248" s="20" t="s">
        <v>25</v>
      </c>
      <c r="I248" s="21" t="s">
        <v>1094</v>
      </c>
      <c r="J248" s="22">
        <f t="shared" si="15"/>
        <v>24.1305555555591</v>
      </c>
      <c r="K248" s="22">
        <f t="shared" si="16"/>
        <v>579.133333333419</v>
      </c>
      <c r="L248" s="22">
        <f t="shared" si="17"/>
        <v>195.133333333419</v>
      </c>
      <c r="M248" s="22" cm="1">
        <f ca="1" t="array" ref="M248">SUMPRODUCT(--(WEEKDAY(ROW(INDIRECT(INT(F248)&amp;":"&amp;INT(I248))),2)&gt;5))</f>
        <v>6</v>
      </c>
      <c r="N248" s="22">
        <f ca="1" t="shared" si="18"/>
        <v>147.133333333419</v>
      </c>
      <c r="O248" s="22" t="str">
        <f ca="1" t="shared" si="19"/>
        <v>SLA Violated</v>
      </c>
      <c r="P248" s="23" t="s">
        <v>1095</v>
      </c>
      <c r="Q248" s="24" t="s">
        <v>28</v>
      </c>
      <c r="R248" s="25"/>
      <c r="S248" s="25"/>
    </row>
    <row r="249" ht="27" customHeight="1" spans="1:19">
      <c r="A249" s="19" t="s">
        <v>1096</v>
      </c>
      <c r="B249" s="20" t="s">
        <v>30</v>
      </c>
      <c r="C249" s="20" t="s">
        <v>31</v>
      </c>
      <c r="D249" s="20" t="s">
        <v>32</v>
      </c>
      <c r="E249" s="21" t="s">
        <v>1097</v>
      </c>
      <c r="F249" s="21" t="s">
        <v>1098</v>
      </c>
      <c r="G249" s="20" t="s">
        <v>35</v>
      </c>
      <c r="H249" s="20" t="s">
        <v>25</v>
      </c>
      <c r="I249" s="21" t="s">
        <v>1099</v>
      </c>
      <c r="J249" s="22">
        <f t="shared" si="15"/>
        <v>1.0986111111124</v>
      </c>
      <c r="K249" s="22">
        <f t="shared" si="16"/>
        <v>26.3666666666977</v>
      </c>
      <c r="L249" s="22">
        <f t="shared" si="17"/>
        <v>10.3666666666977</v>
      </c>
      <c r="M249" s="22" cm="1">
        <f ca="1" t="array" ref="M249">SUMPRODUCT(--(WEEKDAY(ROW(INDIRECT(INT(F249)&amp;":"&amp;INT(I249))),2)&gt;5))</f>
        <v>0</v>
      </c>
      <c r="N249" s="22">
        <f ca="1" t="shared" si="18"/>
        <v>10.3666666666977</v>
      </c>
      <c r="O249" s="22" t="str">
        <f ca="1" t="shared" si="19"/>
        <v>Within SLA</v>
      </c>
      <c r="P249" s="26" t="s">
        <v>1096</v>
      </c>
      <c r="Q249" s="24" t="s">
        <v>37</v>
      </c>
      <c r="R249" s="25"/>
      <c r="S249" s="25"/>
    </row>
    <row r="250" ht="39" customHeight="1" spans="1:19">
      <c r="A250" s="19" t="s">
        <v>1100</v>
      </c>
      <c r="B250" s="20" t="s">
        <v>19</v>
      </c>
      <c r="C250" s="20" t="s">
        <v>20</v>
      </c>
      <c r="D250" s="20" t="s">
        <v>32</v>
      </c>
      <c r="E250" s="21" t="s">
        <v>1065</v>
      </c>
      <c r="F250" s="21" t="s">
        <v>1101</v>
      </c>
      <c r="G250" s="20" t="s">
        <v>35</v>
      </c>
      <c r="H250" s="20" t="s">
        <v>25</v>
      </c>
      <c r="I250" s="21" t="s">
        <v>1102</v>
      </c>
      <c r="J250" s="22">
        <f t="shared" si="15"/>
        <v>1.3256944444438</v>
      </c>
      <c r="K250" s="22">
        <f t="shared" si="16"/>
        <v>31.8166666666511</v>
      </c>
      <c r="L250" s="22">
        <f t="shared" si="17"/>
        <v>15.8166666666511</v>
      </c>
      <c r="M250" s="22" cm="1">
        <f ca="1" t="array" ref="M250">SUMPRODUCT(--(WEEKDAY(ROW(INDIRECT(INT(F250)&amp;":"&amp;INT(I250))),2)&gt;5))</f>
        <v>0</v>
      </c>
      <c r="N250" s="22">
        <f ca="1" t="shared" si="18"/>
        <v>15.8166666666511</v>
      </c>
      <c r="O250" s="22" t="str">
        <f ca="1" t="shared" si="19"/>
        <v>SLA Violated</v>
      </c>
      <c r="P250" s="23" t="s">
        <v>1103</v>
      </c>
      <c r="Q250" s="24" t="s">
        <v>28</v>
      </c>
      <c r="R250" s="25"/>
      <c r="S250" s="25"/>
    </row>
    <row r="251" ht="39" customHeight="1" spans="1:19">
      <c r="A251" s="19" t="s">
        <v>1104</v>
      </c>
      <c r="B251" s="20" t="s">
        <v>19</v>
      </c>
      <c r="C251" s="20" t="s">
        <v>20</v>
      </c>
      <c r="D251" s="20" t="s">
        <v>32</v>
      </c>
      <c r="E251" s="21" t="s">
        <v>1105</v>
      </c>
      <c r="F251" s="21" t="s">
        <v>1106</v>
      </c>
      <c r="G251" s="20" t="s">
        <v>35</v>
      </c>
      <c r="H251" s="20" t="s">
        <v>25</v>
      </c>
      <c r="I251" s="21" t="s">
        <v>1102</v>
      </c>
      <c r="J251" s="22">
        <f t="shared" si="15"/>
        <v>23.0722222222175</v>
      </c>
      <c r="K251" s="22">
        <f t="shared" si="16"/>
        <v>553.733333333221</v>
      </c>
      <c r="L251" s="22">
        <f t="shared" si="17"/>
        <v>185.733333333221</v>
      </c>
      <c r="M251" s="22" cm="1">
        <f ca="1" t="array" ref="M251">SUMPRODUCT(--(WEEKDAY(ROW(INDIRECT(INT(F251)&amp;":"&amp;INT(I251))),2)&gt;5))</f>
        <v>6</v>
      </c>
      <c r="N251" s="22">
        <f ca="1" t="shared" si="18"/>
        <v>137.733333333221</v>
      </c>
      <c r="O251" s="22" t="str">
        <f ca="1" t="shared" si="19"/>
        <v>SLA Violated</v>
      </c>
      <c r="P251" s="23" t="s">
        <v>1107</v>
      </c>
      <c r="Q251" s="24" t="s">
        <v>28</v>
      </c>
      <c r="R251" s="25"/>
      <c r="S251" s="25"/>
    </row>
    <row r="252" ht="27" customHeight="1" spans="1:19">
      <c r="A252" s="19" t="s">
        <v>1108</v>
      </c>
      <c r="B252" s="20" t="s">
        <v>30</v>
      </c>
      <c r="C252" s="20" t="s">
        <v>67</v>
      </c>
      <c r="D252" s="20" t="s">
        <v>32</v>
      </c>
      <c r="E252" s="21" t="s">
        <v>1109</v>
      </c>
      <c r="F252" s="21" t="s">
        <v>1110</v>
      </c>
      <c r="G252" s="20" t="s">
        <v>35</v>
      </c>
      <c r="H252" s="20" t="s">
        <v>25</v>
      </c>
      <c r="I252" s="21" t="s">
        <v>1111</v>
      </c>
      <c r="J252" s="22">
        <f t="shared" si="15"/>
        <v>1.82708333332994</v>
      </c>
      <c r="K252" s="22">
        <f t="shared" si="16"/>
        <v>43.8499999999185</v>
      </c>
      <c r="L252" s="22">
        <f t="shared" si="17"/>
        <v>11.8499999999185</v>
      </c>
      <c r="M252" s="22" cm="1">
        <f ca="1" t="array" ref="M252">SUMPRODUCT(--(WEEKDAY(ROW(INDIRECT(INT(F252)&amp;":"&amp;INT(I252))),2)&gt;5))</f>
        <v>0</v>
      </c>
      <c r="N252" s="22">
        <f ca="1" t="shared" si="18"/>
        <v>11.8499999999185</v>
      </c>
      <c r="O252" s="22" t="str">
        <f ca="1" t="shared" si="19"/>
        <v>Within SLA</v>
      </c>
      <c r="P252" s="26" t="s">
        <v>1108</v>
      </c>
      <c r="Q252" s="24" t="s">
        <v>37</v>
      </c>
      <c r="R252" s="25"/>
      <c r="S252" s="25"/>
    </row>
    <row r="253" ht="39" customHeight="1" spans="1:19">
      <c r="A253" s="19" t="s">
        <v>1112</v>
      </c>
      <c r="B253" s="20" t="s">
        <v>19</v>
      </c>
      <c r="C253" s="20" t="s">
        <v>20</v>
      </c>
      <c r="D253" s="20" t="s">
        <v>32</v>
      </c>
      <c r="E253" s="21" t="s">
        <v>1113</v>
      </c>
      <c r="F253" s="21" t="s">
        <v>1114</v>
      </c>
      <c r="G253" s="20" t="s">
        <v>24</v>
      </c>
      <c r="H253" s="20" t="s">
        <v>25</v>
      </c>
      <c r="I253" s="21" t="s">
        <v>1115</v>
      </c>
      <c r="J253" s="22">
        <f t="shared" si="15"/>
        <v>35.8979166666613</v>
      </c>
      <c r="K253" s="22">
        <f t="shared" si="16"/>
        <v>861.549999999872</v>
      </c>
      <c r="L253" s="22">
        <f t="shared" si="17"/>
        <v>285.549999999872</v>
      </c>
      <c r="M253" s="22" cm="1">
        <f ca="1" t="array" ref="M253">SUMPRODUCT(--(WEEKDAY(ROW(INDIRECT(INT(F253)&amp;":"&amp;INT(I253))),2)&gt;5))</f>
        <v>10</v>
      </c>
      <c r="N253" s="22">
        <f ca="1" t="shared" si="18"/>
        <v>205.549999999872</v>
      </c>
      <c r="O253" s="22" t="str">
        <f ca="1" t="shared" si="19"/>
        <v>SLA Violated</v>
      </c>
      <c r="P253" s="23" t="s">
        <v>1116</v>
      </c>
      <c r="Q253" s="24" t="s">
        <v>28</v>
      </c>
      <c r="R253" s="25"/>
      <c r="S253" s="25"/>
    </row>
    <row r="254" ht="27" customHeight="1" spans="1:19">
      <c r="A254" s="19" t="s">
        <v>1117</v>
      </c>
      <c r="B254" s="20" t="s">
        <v>30</v>
      </c>
      <c r="C254" s="20" t="s">
        <v>31</v>
      </c>
      <c r="D254" s="20" t="s">
        <v>21</v>
      </c>
      <c r="E254" s="21" t="s">
        <v>1118</v>
      </c>
      <c r="F254" s="21" t="s">
        <v>1119</v>
      </c>
      <c r="G254" s="20" t="s">
        <v>35</v>
      </c>
      <c r="H254" s="20" t="s">
        <v>25</v>
      </c>
      <c r="I254" s="21" t="s">
        <v>1120</v>
      </c>
      <c r="J254" s="22">
        <f t="shared" si="15"/>
        <v>8.85972222221608</v>
      </c>
      <c r="K254" s="22">
        <f t="shared" si="16"/>
        <v>212.633333333186</v>
      </c>
      <c r="L254" s="22">
        <f t="shared" si="17"/>
        <v>68.6333333331859</v>
      </c>
      <c r="M254" s="22" cm="1">
        <f ca="1" t="array" ref="M254">SUMPRODUCT(--(WEEKDAY(ROW(INDIRECT(INT(F254)&amp;":"&amp;INT(I254))),2)&gt;5))</f>
        <v>2</v>
      </c>
      <c r="N254" s="22">
        <f ca="1" t="shared" si="18"/>
        <v>52.6333333331859</v>
      </c>
      <c r="O254" s="22" t="str">
        <f ca="1" t="shared" si="19"/>
        <v>SLA Violated</v>
      </c>
      <c r="P254" s="26" t="s">
        <v>1117</v>
      </c>
      <c r="Q254" s="24" t="s">
        <v>37</v>
      </c>
      <c r="R254" s="6" t="s">
        <v>1121</v>
      </c>
      <c r="S254" s="25" t="s">
        <v>39</v>
      </c>
    </row>
    <row r="255" ht="39" customHeight="1" spans="1:19">
      <c r="A255" s="19" t="s">
        <v>1122</v>
      </c>
      <c r="B255" s="20" t="s">
        <v>19</v>
      </c>
      <c r="C255" s="20" t="s">
        <v>20</v>
      </c>
      <c r="D255" s="20" t="s">
        <v>32</v>
      </c>
      <c r="E255" s="21" t="s">
        <v>1123</v>
      </c>
      <c r="F255" s="21" t="s">
        <v>1124</v>
      </c>
      <c r="G255" s="20" t="s">
        <v>35</v>
      </c>
      <c r="H255" s="20" t="s">
        <v>25</v>
      </c>
      <c r="I255" s="21" t="s">
        <v>1125</v>
      </c>
      <c r="J255" s="22">
        <f t="shared" si="15"/>
        <v>0.0430555555576575</v>
      </c>
      <c r="K255" s="22">
        <f t="shared" si="16"/>
        <v>1.03333333338378</v>
      </c>
      <c r="L255" s="22">
        <f t="shared" si="17"/>
        <v>1.03333333338378</v>
      </c>
      <c r="M255" s="22" cm="1">
        <f ca="1" t="array" ref="M255">SUMPRODUCT(--(WEEKDAY(ROW(INDIRECT(INT(F255)&amp;":"&amp;INT(I255))),2)&gt;5))</f>
        <v>0</v>
      </c>
      <c r="N255" s="22">
        <f ca="1" t="shared" si="18"/>
        <v>1.03333333338378</v>
      </c>
      <c r="O255" s="22" t="str">
        <f ca="1" t="shared" si="19"/>
        <v>Within SLA</v>
      </c>
      <c r="P255" s="26" t="s">
        <v>1122</v>
      </c>
      <c r="Q255" s="24" t="s">
        <v>37</v>
      </c>
      <c r="R255" s="25"/>
      <c r="S255" s="25"/>
    </row>
    <row r="256" ht="27" customHeight="1" spans="1:19">
      <c r="A256" s="19" t="s">
        <v>1126</v>
      </c>
      <c r="B256" s="20" t="s">
        <v>30</v>
      </c>
      <c r="C256" s="20" t="s">
        <v>31</v>
      </c>
      <c r="D256" s="20" t="s">
        <v>32</v>
      </c>
      <c r="E256" s="21" t="s">
        <v>1127</v>
      </c>
      <c r="F256" s="21" t="s">
        <v>1128</v>
      </c>
      <c r="G256" s="20" t="s">
        <v>35</v>
      </c>
      <c r="H256" s="20" t="s">
        <v>25</v>
      </c>
      <c r="I256" s="21" t="s">
        <v>1129</v>
      </c>
      <c r="J256" s="22">
        <f t="shared" si="15"/>
        <v>0.763888888890506</v>
      </c>
      <c r="K256" s="22">
        <f t="shared" si="16"/>
        <v>18.3333333333721</v>
      </c>
      <c r="L256" s="22">
        <f t="shared" si="17"/>
        <v>2.33333333337214</v>
      </c>
      <c r="M256" s="22" cm="1">
        <f ca="1" t="array" ref="M256">SUMPRODUCT(--(WEEKDAY(ROW(INDIRECT(INT(F256)&amp;":"&amp;INT(I256))),2)&gt;5))</f>
        <v>0</v>
      </c>
      <c r="N256" s="22">
        <f ca="1" t="shared" si="18"/>
        <v>2.33333333337214</v>
      </c>
      <c r="O256" s="22" t="str">
        <f ca="1" t="shared" si="19"/>
        <v>Within SLA</v>
      </c>
      <c r="P256" s="26" t="s">
        <v>1126</v>
      </c>
      <c r="Q256" s="24" t="s">
        <v>37</v>
      </c>
      <c r="R256" s="25"/>
      <c r="S256" s="25"/>
    </row>
    <row r="257" ht="39" customHeight="1" spans="1:19">
      <c r="A257" s="19" t="s">
        <v>1130</v>
      </c>
      <c r="B257" s="20" t="s">
        <v>702</v>
      </c>
      <c r="C257" s="20" t="s">
        <v>101</v>
      </c>
      <c r="D257" s="20" t="s">
        <v>32</v>
      </c>
      <c r="E257" s="21" t="s">
        <v>1131</v>
      </c>
      <c r="F257" s="21" t="s">
        <v>1132</v>
      </c>
      <c r="G257" s="20" t="s">
        <v>35</v>
      </c>
      <c r="H257" s="20" t="s">
        <v>25</v>
      </c>
      <c r="I257" s="21" t="s">
        <v>1133</v>
      </c>
      <c r="J257" s="22">
        <f t="shared" si="15"/>
        <v>0.0625</v>
      </c>
      <c r="K257" s="22">
        <f t="shared" si="16"/>
        <v>1.5</v>
      </c>
      <c r="L257" s="22">
        <f t="shared" si="17"/>
        <v>1.5</v>
      </c>
      <c r="M257" s="22" cm="1">
        <f ca="1" t="array" ref="M257">SUMPRODUCT(--(WEEKDAY(ROW(INDIRECT(INT(F257)&amp;":"&amp;INT(I257))),2)&gt;5))</f>
        <v>0</v>
      </c>
      <c r="N257" s="22">
        <f ca="1" t="shared" si="18"/>
        <v>1.5</v>
      </c>
      <c r="O257" s="22" t="str">
        <f ca="1" t="shared" si="19"/>
        <v>Within SLA</v>
      </c>
      <c r="P257" s="26" t="s">
        <v>1130</v>
      </c>
      <c r="Q257" s="24" t="s">
        <v>37</v>
      </c>
      <c r="R257" s="25"/>
      <c r="S257" s="25"/>
    </row>
    <row r="258" ht="39" customHeight="1" spans="1:19">
      <c r="A258" s="19" t="s">
        <v>1134</v>
      </c>
      <c r="B258" s="20" t="s">
        <v>19</v>
      </c>
      <c r="C258" s="20" t="s">
        <v>20</v>
      </c>
      <c r="D258" s="20" t="s">
        <v>32</v>
      </c>
      <c r="E258" s="21" t="s">
        <v>1135</v>
      </c>
      <c r="F258" s="21" t="s">
        <v>1136</v>
      </c>
      <c r="G258" s="20" t="s">
        <v>35</v>
      </c>
      <c r="H258" s="20" t="s">
        <v>25</v>
      </c>
      <c r="I258" s="21" t="s">
        <v>1137</v>
      </c>
      <c r="J258" s="22">
        <f t="shared" si="15"/>
        <v>0.038888888884685</v>
      </c>
      <c r="K258" s="22">
        <f t="shared" si="16"/>
        <v>0.93333333323244</v>
      </c>
      <c r="L258" s="22">
        <f t="shared" si="17"/>
        <v>0.93333333323244</v>
      </c>
      <c r="M258" s="22" cm="1">
        <f ca="1" t="array" ref="M258">SUMPRODUCT(--(WEEKDAY(ROW(INDIRECT(INT(F258)&amp;":"&amp;INT(I258))),2)&gt;5))</f>
        <v>0</v>
      </c>
      <c r="N258" s="22">
        <f ca="1" t="shared" si="18"/>
        <v>0.93333333323244</v>
      </c>
      <c r="O258" s="22" t="str">
        <f ca="1" t="shared" si="19"/>
        <v>Within SLA</v>
      </c>
      <c r="P258" s="26" t="s">
        <v>1134</v>
      </c>
      <c r="Q258" s="24" t="s">
        <v>37</v>
      </c>
      <c r="R258" s="25"/>
      <c r="S258" s="25"/>
    </row>
    <row r="259" ht="39" customHeight="1" spans="1:19">
      <c r="A259" s="19" t="s">
        <v>1138</v>
      </c>
      <c r="B259" s="20" t="s">
        <v>19</v>
      </c>
      <c r="C259" s="20" t="s">
        <v>20</v>
      </c>
      <c r="D259" s="20" t="s">
        <v>32</v>
      </c>
      <c r="E259" s="21" t="s">
        <v>1139</v>
      </c>
      <c r="F259" s="21" t="s">
        <v>1140</v>
      </c>
      <c r="G259" s="20" t="s">
        <v>35</v>
      </c>
      <c r="H259" s="20" t="s">
        <v>25</v>
      </c>
      <c r="I259" s="21" t="s">
        <v>1141</v>
      </c>
      <c r="J259" s="22">
        <f t="shared" ref="J259:J322" si="20">F259-I259</f>
        <v>0.0444444444437977</v>
      </c>
      <c r="K259" s="22">
        <f t="shared" ref="K259:K322" si="21">J259*24</f>
        <v>1.06666666665114</v>
      </c>
      <c r="L259" s="22">
        <f t="shared" ref="L259:L322" si="22">IF(_xlfn.DAYS(F259,I259)&gt;0,K259-IF(FLOOR(J259,1)=0,1,_xlfn.DAYS(F259,I259))*16,K259)</f>
        <v>1.06666666665114</v>
      </c>
      <c r="M259" s="22" cm="1">
        <f ca="1" t="array" ref="M259">SUMPRODUCT(--(WEEKDAY(ROW(INDIRECT(INT(F259)&amp;":"&amp;INT(I259))),2)&gt;5))</f>
        <v>0</v>
      </c>
      <c r="N259" s="22">
        <f ca="1" t="shared" ref="N259:N322" si="23">IF(IF(M259&gt;0,L259-M259*8,L259)&lt;0,0,IF(M259&gt;0,L259-M259*8,L259))</f>
        <v>1.06666666665114</v>
      </c>
      <c r="O259" s="22" t="str">
        <f ca="1" t="shared" ref="O259:O322" si="24">IF(OR(AND(D259="P1",N259&lt;=3),AND(D259="P2",N259&lt;=6),AND(D259="P3",N259&lt;=9),AND(D259="P4",N259&lt;=12)),"Within SLA","SLA Violated")</f>
        <v>Within SLA</v>
      </c>
      <c r="P259" s="26" t="s">
        <v>1138</v>
      </c>
      <c r="Q259" s="24" t="s">
        <v>37</v>
      </c>
      <c r="R259" s="25"/>
      <c r="S259" s="25"/>
    </row>
    <row r="260" ht="39" customHeight="1" spans="1:19">
      <c r="A260" s="19" t="s">
        <v>1142</v>
      </c>
      <c r="B260" s="20" t="s">
        <v>19</v>
      </c>
      <c r="C260" s="20" t="s">
        <v>20</v>
      </c>
      <c r="D260" s="20" t="s">
        <v>32</v>
      </c>
      <c r="E260" s="21" t="s">
        <v>1143</v>
      </c>
      <c r="F260" s="21" t="s">
        <v>1144</v>
      </c>
      <c r="G260" s="20" t="s">
        <v>35</v>
      </c>
      <c r="H260" s="20" t="s">
        <v>25</v>
      </c>
      <c r="I260" s="21" t="s">
        <v>1145</v>
      </c>
      <c r="J260" s="22">
        <f t="shared" si="20"/>
        <v>0.0180555555562023</v>
      </c>
      <c r="K260" s="22">
        <f t="shared" si="21"/>
        <v>0.433333333348855</v>
      </c>
      <c r="L260" s="22">
        <f t="shared" si="22"/>
        <v>0.433333333348855</v>
      </c>
      <c r="M260" s="22" cm="1">
        <f ca="1" t="array" ref="M260">SUMPRODUCT(--(WEEKDAY(ROW(INDIRECT(INT(F260)&amp;":"&amp;INT(I260))),2)&gt;5))</f>
        <v>0</v>
      </c>
      <c r="N260" s="22">
        <f ca="1" t="shared" si="23"/>
        <v>0.433333333348855</v>
      </c>
      <c r="O260" s="22" t="str">
        <f ca="1" t="shared" si="24"/>
        <v>Within SLA</v>
      </c>
      <c r="P260" s="26" t="s">
        <v>1142</v>
      </c>
      <c r="Q260" s="24" t="s">
        <v>37</v>
      </c>
      <c r="R260" s="25"/>
      <c r="S260" s="25"/>
    </row>
    <row r="261" ht="39" customHeight="1" spans="1:19">
      <c r="A261" s="19" t="s">
        <v>1146</v>
      </c>
      <c r="B261" s="20" t="s">
        <v>19</v>
      </c>
      <c r="C261" s="20" t="s">
        <v>20</v>
      </c>
      <c r="D261" s="20" t="s">
        <v>32</v>
      </c>
      <c r="E261" s="21" t="s">
        <v>1147</v>
      </c>
      <c r="F261" s="21" t="s">
        <v>1148</v>
      </c>
      <c r="G261" s="20" t="s">
        <v>35</v>
      </c>
      <c r="H261" s="20" t="s">
        <v>25</v>
      </c>
      <c r="I261" s="21" t="s">
        <v>1149</v>
      </c>
      <c r="J261" s="22">
        <f t="shared" si="20"/>
        <v>0.0263888888875954</v>
      </c>
      <c r="K261" s="22">
        <f t="shared" si="21"/>
        <v>0.633333333302289</v>
      </c>
      <c r="L261" s="22">
        <f t="shared" si="22"/>
        <v>0.633333333302289</v>
      </c>
      <c r="M261" s="22" cm="1">
        <f ca="1" t="array" ref="M261">SUMPRODUCT(--(WEEKDAY(ROW(INDIRECT(INT(F261)&amp;":"&amp;INT(I261))),2)&gt;5))</f>
        <v>0</v>
      </c>
      <c r="N261" s="22">
        <f ca="1" t="shared" si="23"/>
        <v>0.633333333302289</v>
      </c>
      <c r="O261" s="22" t="str">
        <f ca="1" t="shared" si="24"/>
        <v>Within SLA</v>
      </c>
      <c r="P261" s="26" t="s">
        <v>1146</v>
      </c>
      <c r="Q261" s="24" t="s">
        <v>37</v>
      </c>
      <c r="R261" s="25"/>
      <c r="S261" s="25"/>
    </row>
    <row r="262" ht="39" customHeight="1" spans="1:19">
      <c r="A262" s="19" t="s">
        <v>1150</v>
      </c>
      <c r="B262" s="20" t="s">
        <v>19</v>
      </c>
      <c r="C262" s="20" t="s">
        <v>20</v>
      </c>
      <c r="D262" s="20" t="s">
        <v>32</v>
      </c>
      <c r="E262" s="21" t="s">
        <v>1151</v>
      </c>
      <c r="F262" s="21" t="s">
        <v>1152</v>
      </c>
      <c r="G262" s="20" t="s">
        <v>35</v>
      </c>
      <c r="H262" s="20" t="s">
        <v>25</v>
      </c>
      <c r="I262" s="21" t="s">
        <v>1153</v>
      </c>
      <c r="J262" s="22">
        <f t="shared" si="20"/>
        <v>0.650000000001455</v>
      </c>
      <c r="K262" s="22">
        <f t="shared" si="21"/>
        <v>15.6000000000349</v>
      </c>
      <c r="L262" s="22">
        <f t="shared" si="22"/>
        <v>-0.399999999965075</v>
      </c>
      <c r="M262" s="22" cm="1">
        <f ca="1" t="array" ref="M262">SUMPRODUCT(--(WEEKDAY(ROW(INDIRECT(INT(F262)&amp;":"&amp;INT(I262))),2)&gt;5))</f>
        <v>0</v>
      </c>
      <c r="N262" s="22">
        <f ca="1" t="shared" si="23"/>
        <v>0</v>
      </c>
      <c r="O262" s="22" t="str">
        <f ca="1" t="shared" si="24"/>
        <v>Within SLA</v>
      </c>
      <c r="P262" s="26" t="s">
        <v>1150</v>
      </c>
      <c r="Q262" s="24" t="s">
        <v>37</v>
      </c>
      <c r="R262" s="25"/>
      <c r="S262" s="25"/>
    </row>
    <row r="263" ht="39" customHeight="1" spans="1:19">
      <c r="A263" s="19" t="s">
        <v>1154</v>
      </c>
      <c r="B263" s="20" t="s">
        <v>19</v>
      </c>
      <c r="C263" s="20" t="s">
        <v>20</v>
      </c>
      <c r="D263" s="20" t="s">
        <v>32</v>
      </c>
      <c r="E263" s="21" t="s">
        <v>1155</v>
      </c>
      <c r="F263" s="21" t="s">
        <v>1156</v>
      </c>
      <c r="G263" s="20" t="s">
        <v>35</v>
      </c>
      <c r="H263" s="20" t="s">
        <v>25</v>
      </c>
      <c r="I263" s="21" t="s">
        <v>1157</v>
      </c>
      <c r="J263" s="22">
        <f t="shared" si="20"/>
        <v>35.1631944444453</v>
      </c>
      <c r="K263" s="22">
        <f t="shared" si="21"/>
        <v>843.916666666686</v>
      </c>
      <c r="L263" s="22">
        <f t="shared" si="22"/>
        <v>283.916666666686</v>
      </c>
      <c r="M263" s="22" cm="1">
        <f ca="1" t="array" ref="M263">SUMPRODUCT(--(WEEKDAY(ROW(INDIRECT(INT(F263)&amp;":"&amp;INT(I263))),2)&gt;5))</f>
        <v>10</v>
      </c>
      <c r="N263" s="22">
        <f ca="1" t="shared" si="23"/>
        <v>203.916666666686</v>
      </c>
      <c r="O263" s="22" t="str">
        <f ca="1" t="shared" si="24"/>
        <v>SLA Violated</v>
      </c>
      <c r="P263" s="23" t="s">
        <v>1158</v>
      </c>
      <c r="Q263" s="24" t="s">
        <v>28</v>
      </c>
      <c r="R263" s="25"/>
      <c r="S263" s="25"/>
    </row>
    <row r="264" ht="50" customHeight="1" spans="1:19">
      <c r="A264" s="19" t="s">
        <v>1159</v>
      </c>
      <c r="B264" s="20" t="s">
        <v>369</v>
      </c>
      <c r="C264" s="20" t="s">
        <v>67</v>
      </c>
      <c r="D264" s="20" t="s">
        <v>32</v>
      </c>
      <c r="E264" s="21" t="s">
        <v>1160</v>
      </c>
      <c r="F264" s="21" t="s">
        <v>1161</v>
      </c>
      <c r="G264" s="20" t="s">
        <v>35</v>
      </c>
      <c r="H264" s="20" t="s">
        <v>25</v>
      </c>
      <c r="I264" s="21" t="s">
        <v>1162</v>
      </c>
      <c r="J264" s="22">
        <f t="shared" si="20"/>
        <v>0.0736111111109494</v>
      </c>
      <c r="K264" s="22">
        <f t="shared" si="21"/>
        <v>1.76666666666279</v>
      </c>
      <c r="L264" s="22">
        <f t="shared" si="22"/>
        <v>1.76666666666279</v>
      </c>
      <c r="M264" s="22" cm="1">
        <f ca="1" t="array" ref="M264">SUMPRODUCT(--(WEEKDAY(ROW(INDIRECT(INT(F264)&amp;":"&amp;INT(I264))),2)&gt;5))</f>
        <v>0</v>
      </c>
      <c r="N264" s="22">
        <f ca="1" t="shared" si="23"/>
        <v>1.76666666666279</v>
      </c>
      <c r="O264" s="22" t="str">
        <f ca="1" t="shared" si="24"/>
        <v>Within SLA</v>
      </c>
      <c r="P264" s="26" t="s">
        <v>1159</v>
      </c>
      <c r="Q264" s="24" t="s">
        <v>37</v>
      </c>
      <c r="R264" s="25"/>
      <c r="S264" s="25"/>
    </row>
    <row r="265" ht="39" customHeight="1" spans="1:19">
      <c r="A265" s="19" t="s">
        <v>1163</v>
      </c>
      <c r="B265" s="20" t="s">
        <v>19</v>
      </c>
      <c r="C265" s="20" t="s">
        <v>20</v>
      </c>
      <c r="D265" s="20" t="s">
        <v>32</v>
      </c>
      <c r="E265" s="21" t="s">
        <v>1164</v>
      </c>
      <c r="F265" s="21" t="s">
        <v>1165</v>
      </c>
      <c r="G265" s="20" t="s">
        <v>35</v>
      </c>
      <c r="H265" s="20" t="s">
        <v>25</v>
      </c>
      <c r="I265" s="21" t="s">
        <v>1166</v>
      </c>
      <c r="J265" s="22">
        <f t="shared" si="20"/>
        <v>0.254861111112405</v>
      </c>
      <c r="K265" s="22">
        <f t="shared" si="21"/>
        <v>6.11666666669771</v>
      </c>
      <c r="L265" s="22">
        <f t="shared" si="22"/>
        <v>6.11666666669771</v>
      </c>
      <c r="M265" s="22" cm="1">
        <f ca="1" t="array" ref="M265">SUMPRODUCT(--(WEEKDAY(ROW(INDIRECT(INT(F265)&amp;":"&amp;INT(I265))),2)&gt;5))</f>
        <v>0</v>
      </c>
      <c r="N265" s="22">
        <f ca="1" t="shared" si="23"/>
        <v>6.11666666669771</v>
      </c>
      <c r="O265" s="22" t="str">
        <f ca="1" t="shared" si="24"/>
        <v>Within SLA</v>
      </c>
      <c r="P265" s="26" t="s">
        <v>1163</v>
      </c>
      <c r="Q265" s="24" t="s">
        <v>37</v>
      </c>
      <c r="R265" s="25"/>
      <c r="S265" s="25"/>
    </row>
    <row r="266" ht="27" customHeight="1" spans="1:19">
      <c r="A266" s="19" t="s">
        <v>1167</v>
      </c>
      <c r="B266" s="20" t="s">
        <v>121</v>
      </c>
      <c r="C266" s="20" t="s">
        <v>46</v>
      </c>
      <c r="D266" s="20" t="s">
        <v>21</v>
      </c>
      <c r="E266" s="21" t="s">
        <v>1168</v>
      </c>
      <c r="F266" s="21" t="s">
        <v>1169</v>
      </c>
      <c r="G266" s="20" t="s">
        <v>35</v>
      </c>
      <c r="H266" s="20" t="s">
        <v>25</v>
      </c>
      <c r="I266" s="21" t="s">
        <v>1170</v>
      </c>
      <c r="J266" s="22">
        <f t="shared" si="20"/>
        <v>0.0680555555518367</v>
      </c>
      <c r="K266" s="22">
        <f t="shared" si="21"/>
        <v>1.63333333324408</v>
      </c>
      <c r="L266" s="22">
        <f t="shared" si="22"/>
        <v>1.63333333324408</v>
      </c>
      <c r="M266" s="22" cm="1">
        <f ca="1" t="array" ref="M266">SUMPRODUCT(--(WEEKDAY(ROW(INDIRECT(INT(F266)&amp;":"&amp;INT(I266))),2)&gt;5))</f>
        <v>0</v>
      </c>
      <c r="N266" s="22">
        <f ca="1" t="shared" si="23"/>
        <v>1.63333333324408</v>
      </c>
      <c r="O266" s="22" t="str">
        <f ca="1" t="shared" si="24"/>
        <v>Within SLA</v>
      </c>
      <c r="P266" s="26" t="s">
        <v>1167</v>
      </c>
      <c r="Q266" s="24" t="s">
        <v>37</v>
      </c>
      <c r="R266" s="25"/>
      <c r="S266" s="25"/>
    </row>
    <row r="267" ht="39" customHeight="1" spans="1:19">
      <c r="A267" s="19" t="s">
        <v>1171</v>
      </c>
      <c r="B267" s="20" t="s">
        <v>196</v>
      </c>
      <c r="C267" s="20" t="s">
        <v>67</v>
      </c>
      <c r="D267" s="20" t="s">
        <v>32</v>
      </c>
      <c r="E267" s="21" t="s">
        <v>1172</v>
      </c>
      <c r="F267" s="21" t="s">
        <v>1173</v>
      </c>
      <c r="G267" s="20" t="s">
        <v>35</v>
      </c>
      <c r="H267" s="20" t="s">
        <v>25</v>
      </c>
      <c r="I267" s="21" t="s">
        <v>1174</v>
      </c>
      <c r="J267" s="22">
        <f t="shared" si="20"/>
        <v>23.9875000000029</v>
      </c>
      <c r="K267" s="22">
        <f t="shared" si="21"/>
        <v>575.70000000007</v>
      </c>
      <c r="L267" s="22">
        <f t="shared" si="22"/>
        <v>191.70000000007</v>
      </c>
      <c r="M267" s="22" cm="1">
        <f ca="1" t="array" ref="M267">SUMPRODUCT(--(WEEKDAY(ROW(INDIRECT(INT(F267)&amp;":"&amp;INT(I267))),2)&gt;5))</f>
        <v>6</v>
      </c>
      <c r="N267" s="22">
        <f ca="1" t="shared" si="23"/>
        <v>143.70000000007</v>
      </c>
      <c r="O267" s="22" t="str">
        <f ca="1" t="shared" si="24"/>
        <v>SLA Violated</v>
      </c>
      <c r="P267" s="23" t="s">
        <v>1175</v>
      </c>
      <c r="Q267" s="24" t="s">
        <v>28</v>
      </c>
      <c r="R267" s="25"/>
      <c r="S267" s="25"/>
    </row>
    <row r="268" ht="50" customHeight="1" spans="1:19">
      <c r="A268" s="19" t="s">
        <v>1176</v>
      </c>
      <c r="B268" s="20" t="s">
        <v>369</v>
      </c>
      <c r="C268" s="20" t="s">
        <v>46</v>
      </c>
      <c r="D268" s="20" t="s">
        <v>32</v>
      </c>
      <c r="E268" s="21" t="s">
        <v>480</v>
      </c>
      <c r="F268" s="21" t="s">
        <v>1177</v>
      </c>
      <c r="G268" s="20" t="s">
        <v>35</v>
      </c>
      <c r="H268" s="20" t="s">
        <v>25</v>
      </c>
      <c r="I268" s="21" t="s">
        <v>1178</v>
      </c>
      <c r="J268" s="22">
        <f t="shared" si="20"/>
        <v>0.177083333335759</v>
      </c>
      <c r="K268" s="22">
        <f t="shared" si="21"/>
        <v>4.25000000005821</v>
      </c>
      <c r="L268" s="22">
        <f t="shared" si="22"/>
        <v>4.25000000005821</v>
      </c>
      <c r="M268" s="22" cm="1">
        <f ca="1" t="array" ref="M268">SUMPRODUCT(--(WEEKDAY(ROW(INDIRECT(INT(F268)&amp;":"&amp;INT(I268))),2)&gt;5))</f>
        <v>0</v>
      </c>
      <c r="N268" s="22">
        <f ca="1" t="shared" si="23"/>
        <v>4.25000000005821</v>
      </c>
      <c r="O268" s="22" t="str">
        <f ca="1" t="shared" si="24"/>
        <v>Within SLA</v>
      </c>
      <c r="P268" s="26" t="s">
        <v>1176</v>
      </c>
      <c r="Q268" s="24" t="s">
        <v>37</v>
      </c>
      <c r="R268" s="25"/>
      <c r="S268" s="25"/>
    </row>
    <row r="269" ht="27" customHeight="1" spans="1:19">
      <c r="A269" s="19" t="s">
        <v>1179</v>
      </c>
      <c r="B269" s="20" t="s">
        <v>30</v>
      </c>
      <c r="C269" s="20" t="s">
        <v>31</v>
      </c>
      <c r="D269" s="20" t="s">
        <v>32</v>
      </c>
      <c r="E269" s="21" t="s">
        <v>1178</v>
      </c>
      <c r="F269" s="21" t="s">
        <v>1180</v>
      </c>
      <c r="G269" s="20" t="s">
        <v>35</v>
      </c>
      <c r="H269" s="20" t="s">
        <v>25</v>
      </c>
      <c r="I269" s="21" t="s">
        <v>1181</v>
      </c>
      <c r="J269" s="22">
        <f t="shared" si="20"/>
        <v>0.21875</v>
      </c>
      <c r="K269" s="22">
        <f t="shared" si="21"/>
        <v>5.25</v>
      </c>
      <c r="L269" s="22">
        <f t="shared" si="22"/>
        <v>5.25</v>
      </c>
      <c r="M269" s="22" cm="1">
        <f ca="1" t="array" ref="M269">SUMPRODUCT(--(WEEKDAY(ROW(INDIRECT(INT(F269)&amp;":"&amp;INT(I269))),2)&gt;5))</f>
        <v>0</v>
      </c>
      <c r="N269" s="22">
        <f ca="1" t="shared" si="23"/>
        <v>5.25</v>
      </c>
      <c r="O269" s="22" t="str">
        <f ca="1" t="shared" si="24"/>
        <v>Within SLA</v>
      </c>
      <c r="P269" s="26" t="s">
        <v>1179</v>
      </c>
      <c r="Q269" s="24" t="s">
        <v>37</v>
      </c>
      <c r="R269" s="25"/>
      <c r="S269" s="25"/>
    </row>
    <row r="270" ht="27" customHeight="1" spans="1:19">
      <c r="A270" s="19" t="s">
        <v>1182</v>
      </c>
      <c r="B270" s="20" t="s">
        <v>30</v>
      </c>
      <c r="C270" s="20" t="s">
        <v>67</v>
      </c>
      <c r="D270" s="20" t="s">
        <v>32</v>
      </c>
      <c r="E270" s="21" t="s">
        <v>1183</v>
      </c>
      <c r="F270" s="21" t="s">
        <v>1184</v>
      </c>
      <c r="G270" s="20" t="s">
        <v>35</v>
      </c>
      <c r="H270" s="20" t="s">
        <v>25</v>
      </c>
      <c r="I270" s="21" t="s">
        <v>1185</v>
      </c>
      <c r="J270" s="22">
        <f t="shared" si="20"/>
        <v>0.970833333332848</v>
      </c>
      <c r="K270" s="22">
        <f t="shared" si="21"/>
        <v>23.2999999999884</v>
      </c>
      <c r="L270" s="22">
        <f t="shared" si="22"/>
        <v>7.29999999998836</v>
      </c>
      <c r="M270" s="22" cm="1">
        <f ca="1" t="array" ref="M270">SUMPRODUCT(--(WEEKDAY(ROW(INDIRECT(INT(F270)&amp;":"&amp;INT(I270))),2)&gt;5))</f>
        <v>0</v>
      </c>
      <c r="N270" s="22">
        <f ca="1" t="shared" si="23"/>
        <v>7.29999999998836</v>
      </c>
      <c r="O270" s="22" t="str">
        <f ca="1" t="shared" si="24"/>
        <v>Within SLA</v>
      </c>
      <c r="P270" s="26" t="s">
        <v>1182</v>
      </c>
      <c r="Q270" s="24" t="s">
        <v>37</v>
      </c>
      <c r="R270" s="25"/>
      <c r="S270" s="25"/>
    </row>
    <row r="271" ht="27" customHeight="1" spans="1:19">
      <c r="A271" s="19" t="s">
        <v>1186</v>
      </c>
      <c r="B271" s="20" t="s">
        <v>30</v>
      </c>
      <c r="C271" s="20" t="s">
        <v>46</v>
      </c>
      <c r="D271" s="20" t="s">
        <v>32</v>
      </c>
      <c r="E271" s="21" t="s">
        <v>688</v>
      </c>
      <c r="F271" s="21" t="s">
        <v>1187</v>
      </c>
      <c r="G271" s="20" t="s">
        <v>35</v>
      </c>
      <c r="H271" s="20" t="s">
        <v>25</v>
      </c>
      <c r="I271" s="21" t="s">
        <v>1188</v>
      </c>
      <c r="J271" s="22">
        <f t="shared" si="20"/>
        <v>0.104166666664241</v>
      </c>
      <c r="K271" s="22">
        <f t="shared" si="21"/>
        <v>2.49999999994179</v>
      </c>
      <c r="L271" s="22">
        <f t="shared" si="22"/>
        <v>2.49999999994179</v>
      </c>
      <c r="M271" s="22" cm="1">
        <f ca="1" t="array" ref="M271">SUMPRODUCT(--(WEEKDAY(ROW(INDIRECT(INT(F271)&amp;":"&amp;INT(I271))),2)&gt;5))</f>
        <v>0</v>
      </c>
      <c r="N271" s="22">
        <f ca="1" t="shared" si="23"/>
        <v>2.49999999994179</v>
      </c>
      <c r="O271" s="22" t="str">
        <f ca="1" t="shared" si="24"/>
        <v>Within SLA</v>
      </c>
      <c r="P271" s="26" t="s">
        <v>1186</v>
      </c>
      <c r="Q271" s="24" t="s">
        <v>37</v>
      </c>
      <c r="R271" s="25"/>
      <c r="S271" s="25"/>
    </row>
    <row r="272" ht="39" customHeight="1" spans="1:19">
      <c r="A272" s="19" t="s">
        <v>1189</v>
      </c>
      <c r="B272" s="20" t="s">
        <v>19</v>
      </c>
      <c r="C272" s="20" t="s">
        <v>20</v>
      </c>
      <c r="D272" s="20" t="s">
        <v>32</v>
      </c>
      <c r="E272" s="21" t="s">
        <v>1190</v>
      </c>
      <c r="F272" s="21" t="s">
        <v>1191</v>
      </c>
      <c r="G272" s="20" t="s">
        <v>35</v>
      </c>
      <c r="H272" s="20" t="s">
        <v>25</v>
      </c>
      <c r="I272" s="21" t="s">
        <v>1192</v>
      </c>
      <c r="J272" s="22">
        <f t="shared" si="20"/>
        <v>1.19027777777956</v>
      </c>
      <c r="K272" s="22">
        <f t="shared" si="21"/>
        <v>28.5666666667094</v>
      </c>
      <c r="L272" s="22">
        <f t="shared" si="22"/>
        <v>12.5666666667094</v>
      </c>
      <c r="M272" s="22" cm="1">
        <f ca="1" t="array" ref="M272">SUMPRODUCT(--(WEEKDAY(ROW(INDIRECT(INT(F272)&amp;":"&amp;INT(I272))),2)&gt;5))</f>
        <v>0</v>
      </c>
      <c r="N272" s="22">
        <f ca="1" t="shared" si="23"/>
        <v>12.5666666667094</v>
      </c>
      <c r="O272" s="22" t="str">
        <f ca="1" t="shared" si="24"/>
        <v>SLA Violated</v>
      </c>
      <c r="P272" s="23" t="s">
        <v>1193</v>
      </c>
      <c r="Q272" s="24" t="s">
        <v>37</v>
      </c>
      <c r="R272" s="25" t="s">
        <v>38</v>
      </c>
      <c r="S272" s="25" t="s">
        <v>39</v>
      </c>
    </row>
    <row r="273" ht="27" customHeight="1" spans="1:19">
      <c r="A273" s="19" t="s">
        <v>1194</v>
      </c>
      <c r="B273" s="20" t="s">
        <v>30</v>
      </c>
      <c r="C273" s="20" t="s">
        <v>31</v>
      </c>
      <c r="D273" s="20" t="s">
        <v>32</v>
      </c>
      <c r="E273" s="21" t="s">
        <v>1190</v>
      </c>
      <c r="F273" s="21" t="s">
        <v>1195</v>
      </c>
      <c r="G273" s="20" t="s">
        <v>35</v>
      </c>
      <c r="H273" s="20" t="s">
        <v>25</v>
      </c>
      <c r="I273" s="21" t="s">
        <v>1196</v>
      </c>
      <c r="J273" s="22">
        <f t="shared" si="20"/>
        <v>2.17083333333721</v>
      </c>
      <c r="K273" s="22">
        <f t="shared" si="21"/>
        <v>52.1000000000931</v>
      </c>
      <c r="L273" s="22">
        <f t="shared" si="22"/>
        <v>20.1000000000931</v>
      </c>
      <c r="M273" s="22" cm="1">
        <f ca="1" t="array" ref="M273">SUMPRODUCT(--(WEEKDAY(ROW(INDIRECT(INT(F273)&amp;":"&amp;INT(I273))),2)&gt;5))</f>
        <v>0</v>
      </c>
      <c r="N273" s="22">
        <f ca="1" t="shared" si="23"/>
        <v>20.1000000000931</v>
      </c>
      <c r="O273" s="22" t="str">
        <f ca="1" t="shared" si="24"/>
        <v>SLA Violated</v>
      </c>
      <c r="P273" s="26" t="s">
        <v>1194</v>
      </c>
      <c r="Q273" s="24" t="s">
        <v>37</v>
      </c>
      <c r="R273" s="6" t="s">
        <v>1084</v>
      </c>
      <c r="S273" s="25" t="s">
        <v>39</v>
      </c>
    </row>
    <row r="274" ht="39" customHeight="1" spans="1:19">
      <c r="A274" s="19" t="s">
        <v>1197</v>
      </c>
      <c r="B274" s="20" t="s">
        <v>19</v>
      </c>
      <c r="C274" s="20" t="s">
        <v>20</v>
      </c>
      <c r="D274" s="20" t="s">
        <v>32</v>
      </c>
      <c r="E274" s="21" t="s">
        <v>1198</v>
      </c>
      <c r="F274" s="21" t="s">
        <v>1199</v>
      </c>
      <c r="G274" s="20" t="s">
        <v>35</v>
      </c>
      <c r="H274" s="20" t="s">
        <v>25</v>
      </c>
      <c r="I274" s="21" t="s">
        <v>1200</v>
      </c>
      <c r="J274" s="22">
        <f t="shared" si="20"/>
        <v>0.191666666665697</v>
      </c>
      <c r="K274" s="22">
        <f t="shared" si="21"/>
        <v>4.59999999997672</v>
      </c>
      <c r="L274" s="22">
        <f t="shared" si="22"/>
        <v>4.59999999997672</v>
      </c>
      <c r="M274" s="22" cm="1">
        <f ca="1" t="array" ref="M274">SUMPRODUCT(--(WEEKDAY(ROW(INDIRECT(INT(F274)&amp;":"&amp;INT(I274))),2)&gt;5))</f>
        <v>0</v>
      </c>
      <c r="N274" s="22">
        <f ca="1" t="shared" si="23"/>
        <v>4.59999999997672</v>
      </c>
      <c r="O274" s="22" t="str">
        <f ca="1" t="shared" si="24"/>
        <v>Within SLA</v>
      </c>
      <c r="P274" s="26" t="s">
        <v>1197</v>
      </c>
      <c r="Q274" s="24" t="s">
        <v>37</v>
      </c>
      <c r="R274" s="25"/>
      <c r="S274" s="25"/>
    </row>
    <row r="275" ht="39" customHeight="1" spans="1:19">
      <c r="A275" s="19" t="s">
        <v>1201</v>
      </c>
      <c r="B275" s="20" t="s">
        <v>19</v>
      </c>
      <c r="C275" s="20" t="s">
        <v>20</v>
      </c>
      <c r="D275" s="20" t="s">
        <v>32</v>
      </c>
      <c r="E275" s="21" t="s">
        <v>1202</v>
      </c>
      <c r="F275" s="21" t="s">
        <v>1203</v>
      </c>
      <c r="G275" s="20" t="s">
        <v>35</v>
      </c>
      <c r="H275" s="20" t="s">
        <v>25</v>
      </c>
      <c r="I275" s="21" t="s">
        <v>1204</v>
      </c>
      <c r="J275" s="22">
        <f t="shared" si="20"/>
        <v>0.00347222222626442</v>
      </c>
      <c r="K275" s="22">
        <f t="shared" si="21"/>
        <v>0.0833333334303461</v>
      </c>
      <c r="L275" s="22">
        <f t="shared" si="22"/>
        <v>0.0833333334303461</v>
      </c>
      <c r="M275" s="22" cm="1">
        <f ca="1" t="array" ref="M275">SUMPRODUCT(--(WEEKDAY(ROW(INDIRECT(INT(F275)&amp;":"&amp;INT(I275))),2)&gt;5))</f>
        <v>0</v>
      </c>
      <c r="N275" s="22">
        <f ca="1" t="shared" si="23"/>
        <v>0.0833333334303461</v>
      </c>
      <c r="O275" s="22" t="str">
        <f ca="1" t="shared" si="24"/>
        <v>Within SLA</v>
      </c>
      <c r="P275" s="26" t="s">
        <v>1201</v>
      </c>
      <c r="Q275" s="24" t="s">
        <v>37</v>
      </c>
      <c r="R275" s="25"/>
      <c r="S275" s="25"/>
    </row>
    <row r="276" ht="39" customHeight="1" spans="1:19">
      <c r="A276" s="19" t="s">
        <v>1205</v>
      </c>
      <c r="B276" s="20" t="s">
        <v>19</v>
      </c>
      <c r="C276" s="20" t="s">
        <v>167</v>
      </c>
      <c r="D276" s="20" t="s">
        <v>32</v>
      </c>
      <c r="E276" s="21" t="s">
        <v>1200</v>
      </c>
      <c r="F276" s="21" t="s">
        <v>1206</v>
      </c>
      <c r="G276" s="20" t="s">
        <v>35</v>
      </c>
      <c r="H276" s="20" t="s">
        <v>25</v>
      </c>
      <c r="I276" s="21" t="s">
        <v>1206</v>
      </c>
      <c r="J276" s="22">
        <f t="shared" si="20"/>
        <v>0</v>
      </c>
      <c r="K276" s="22">
        <f t="shared" si="21"/>
        <v>0</v>
      </c>
      <c r="L276" s="22">
        <f t="shared" si="22"/>
        <v>0</v>
      </c>
      <c r="M276" s="22" cm="1">
        <f ca="1" t="array" ref="M276">SUMPRODUCT(--(WEEKDAY(ROW(INDIRECT(INT(F276)&amp;":"&amp;INT(I276))),2)&gt;5))</f>
        <v>0</v>
      </c>
      <c r="N276" s="22">
        <f ca="1" t="shared" si="23"/>
        <v>0</v>
      </c>
      <c r="O276" s="22" t="str">
        <f ca="1" t="shared" si="24"/>
        <v>Within SLA</v>
      </c>
      <c r="P276" s="26" t="s">
        <v>1205</v>
      </c>
      <c r="Q276" s="24" t="s">
        <v>37</v>
      </c>
      <c r="R276" s="25"/>
      <c r="S276" s="25"/>
    </row>
    <row r="277" ht="39" customHeight="1" spans="1:19">
      <c r="A277" s="19" t="s">
        <v>1207</v>
      </c>
      <c r="B277" s="20" t="s">
        <v>19</v>
      </c>
      <c r="C277" s="20" t="s">
        <v>20</v>
      </c>
      <c r="D277" s="20" t="s">
        <v>32</v>
      </c>
      <c r="E277" s="21" t="s">
        <v>525</v>
      </c>
      <c r="F277" s="21" t="s">
        <v>1208</v>
      </c>
      <c r="G277" s="20" t="s">
        <v>35</v>
      </c>
      <c r="H277" s="20" t="s">
        <v>25</v>
      </c>
      <c r="I277" s="21" t="s">
        <v>1209</v>
      </c>
      <c r="J277" s="22">
        <f t="shared" si="20"/>
        <v>1.22638888888469</v>
      </c>
      <c r="K277" s="22">
        <f t="shared" si="21"/>
        <v>29.4333333332324</v>
      </c>
      <c r="L277" s="22">
        <f t="shared" si="22"/>
        <v>13.4333333332324</v>
      </c>
      <c r="M277" s="22" cm="1">
        <f ca="1" t="array" ref="M277">SUMPRODUCT(--(WEEKDAY(ROW(INDIRECT(INT(F277)&amp;":"&amp;INT(I277))),2)&gt;5))</f>
        <v>0</v>
      </c>
      <c r="N277" s="22">
        <f ca="1" t="shared" si="23"/>
        <v>13.4333333332324</v>
      </c>
      <c r="O277" s="22" t="str">
        <f ca="1" t="shared" si="24"/>
        <v>SLA Violated</v>
      </c>
      <c r="P277" s="23" t="s">
        <v>1210</v>
      </c>
      <c r="Q277" s="24" t="s">
        <v>37</v>
      </c>
      <c r="R277" s="25" t="s">
        <v>38</v>
      </c>
      <c r="S277" s="25" t="s">
        <v>39</v>
      </c>
    </row>
    <row r="278" ht="27" customHeight="1" spans="1:19">
      <c r="A278" s="19" t="s">
        <v>1211</v>
      </c>
      <c r="B278" s="20" t="s">
        <v>139</v>
      </c>
      <c r="C278" s="20" t="s">
        <v>67</v>
      </c>
      <c r="D278" s="20" t="s">
        <v>32</v>
      </c>
      <c r="E278" s="21" t="s">
        <v>1209</v>
      </c>
      <c r="F278" s="21" t="s">
        <v>1212</v>
      </c>
      <c r="G278" s="20" t="s">
        <v>35</v>
      </c>
      <c r="H278" s="20" t="s">
        <v>25</v>
      </c>
      <c r="I278" s="21" t="s">
        <v>1213</v>
      </c>
      <c r="J278" s="22">
        <f t="shared" si="20"/>
        <v>0.129861111112405</v>
      </c>
      <c r="K278" s="22">
        <f t="shared" si="21"/>
        <v>3.11666666669771</v>
      </c>
      <c r="L278" s="22">
        <f t="shared" si="22"/>
        <v>3.11666666669771</v>
      </c>
      <c r="M278" s="22" cm="1">
        <f ca="1" t="array" ref="M278">SUMPRODUCT(--(WEEKDAY(ROW(INDIRECT(INT(F278)&amp;":"&amp;INT(I278))),2)&gt;5))</f>
        <v>0</v>
      </c>
      <c r="N278" s="22">
        <f ca="1" t="shared" si="23"/>
        <v>3.11666666669771</v>
      </c>
      <c r="O278" s="22" t="str">
        <f ca="1" t="shared" si="24"/>
        <v>Within SLA</v>
      </c>
      <c r="P278" s="26" t="s">
        <v>1211</v>
      </c>
      <c r="Q278" s="24" t="s">
        <v>37</v>
      </c>
      <c r="R278" s="25"/>
      <c r="S278" s="25"/>
    </row>
    <row r="279" ht="27" customHeight="1" spans="1:19">
      <c r="A279" s="19" t="s">
        <v>1214</v>
      </c>
      <c r="B279" s="20" t="s">
        <v>30</v>
      </c>
      <c r="C279" s="20" t="s">
        <v>31</v>
      </c>
      <c r="D279" s="20" t="s">
        <v>32</v>
      </c>
      <c r="E279" s="21" t="s">
        <v>1215</v>
      </c>
      <c r="F279" s="21" t="s">
        <v>1216</v>
      </c>
      <c r="G279" s="20" t="s">
        <v>35</v>
      </c>
      <c r="H279" s="20" t="s">
        <v>25</v>
      </c>
      <c r="I279" s="21" t="s">
        <v>1217</v>
      </c>
      <c r="J279" s="22">
        <f t="shared" si="20"/>
        <v>0.0493055555562023</v>
      </c>
      <c r="K279" s="22">
        <f t="shared" si="21"/>
        <v>1.18333333334886</v>
      </c>
      <c r="L279" s="22">
        <f t="shared" si="22"/>
        <v>1.18333333334886</v>
      </c>
      <c r="M279" s="22" cm="1">
        <f ca="1" t="array" ref="M279">SUMPRODUCT(--(WEEKDAY(ROW(INDIRECT(INT(F279)&amp;":"&amp;INT(I279))),2)&gt;5))</f>
        <v>0</v>
      </c>
      <c r="N279" s="22">
        <f ca="1" t="shared" si="23"/>
        <v>1.18333333334886</v>
      </c>
      <c r="O279" s="22" t="str">
        <f ca="1" t="shared" si="24"/>
        <v>Within SLA</v>
      </c>
      <c r="P279" s="26" t="s">
        <v>1214</v>
      </c>
      <c r="Q279" s="24" t="s">
        <v>37</v>
      </c>
      <c r="R279" s="25"/>
      <c r="S279" s="25"/>
    </row>
    <row r="280" ht="39" customHeight="1" spans="1:19">
      <c r="A280" s="19" t="s">
        <v>1218</v>
      </c>
      <c r="B280" s="20" t="s">
        <v>19</v>
      </c>
      <c r="C280" s="20" t="s">
        <v>20</v>
      </c>
      <c r="D280" s="20" t="s">
        <v>32</v>
      </c>
      <c r="E280" s="21" t="s">
        <v>1219</v>
      </c>
      <c r="F280" s="21" t="s">
        <v>1220</v>
      </c>
      <c r="G280" s="20" t="s">
        <v>35</v>
      </c>
      <c r="H280" s="20" t="s">
        <v>25</v>
      </c>
      <c r="I280" s="21" t="s">
        <v>1221</v>
      </c>
      <c r="J280" s="22">
        <f t="shared" si="20"/>
        <v>0.369444444440887</v>
      </c>
      <c r="K280" s="22">
        <f t="shared" si="21"/>
        <v>8.8666666665813</v>
      </c>
      <c r="L280" s="22">
        <f t="shared" si="22"/>
        <v>8.8666666665813</v>
      </c>
      <c r="M280" s="22" cm="1">
        <f ca="1" t="array" ref="M280">SUMPRODUCT(--(WEEKDAY(ROW(INDIRECT(INT(F280)&amp;":"&amp;INT(I280))),2)&gt;5))</f>
        <v>0</v>
      </c>
      <c r="N280" s="22">
        <f ca="1" t="shared" si="23"/>
        <v>8.8666666665813</v>
      </c>
      <c r="O280" s="22" t="str">
        <f ca="1" t="shared" si="24"/>
        <v>Within SLA</v>
      </c>
      <c r="P280" s="26" t="s">
        <v>1218</v>
      </c>
      <c r="Q280" s="24" t="s">
        <v>37</v>
      </c>
      <c r="R280" s="25"/>
      <c r="S280" s="25"/>
    </row>
    <row r="281" ht="39" customHeight="1" spans="1:19">
      <c r="A281" s="19" t="s">
        <v>1222</v>
      </c>
      <c r="B281" s="20" t="s">
        <v>19</v>
      </c>
      <c r="C281" s="20" t="s">
        <v>20</v>
      </c>
      <c r="D281" s="20" t="s">
        <v>32</v>
      </c>
      <c r="E281" s="21" t="s">
        <v>1223</v>
      </c>
      <c r="F281" s="21" t="s">
        <v>1224</v>
      </c>
      <c r="G281" s="20" t="s">
        <v>35</v>
      </c>
      <c r="H281" s="20" t="s">
        <v>25</v>
      </c>
      <c r="I281" s="21" t="s">
        <v>1225</v>
      </c>
      <c r="J281" s="22">
        <f t="shared" si="20"/>
        <v>0.183333333327028</v>
      </c>
      <c r="K281" s="22">
        <f t="shared" si="21"/>
        <v>4.39999999984866</v>
      </c>
      <c r="L281" s="22">
        <f t="shared" si="22"/>
        <v>4.39999999984866</v>
      </c>
      <c r="M281" s="22" cm="1">
        <f ca="1" t="array" ref="M281">SUMPRODUCT(--(WEEKDAY(ROW(INDIRECT(INT(F281)&amp;":"&amp;INT(I281))),2)&gt;5))</f>
        <v>0</v>
      </c>
      <c r="N281" s="22">
        <f ca="1" t="shared" si="23"/>
        <v>4.39999999984866</v>
      </c>
      <c r="O281" s="22" t="str">
        <f ca="1" t="shared" si="24"/>
        <v>Within SLA</v>
      </c>
      <c r="P281" s="26" t="s">
        <v>1222</v>
      </c>
      <c r="Q281" s="24" t="s">
        <v>37</v>
      </c>
      <c r="R281" s="25"/>
      <c r="S281" s="25"/>
    </row>
    <row r="282" ht="39" customHeight="1" spans="1:19">
      <c r="A282" s="19" t="s">
        <v>1226</v>
      </c>
      <c r="B282" s="20" t="s">
        <v>19</v>
      </c>
      <c r="C282" s="20" t="s">
        <v>20</v>
      </c>
      <c r="D282" s="20" t="s">
        <v>32</v>
      </c>
      <c r="E282" s="21" t="s">
        <v>1227</v>
      </c>
      <c r="F282" s="21" t="s">
        <v>1228</v>
      </c>
      <c r="G282" s="20" t="s">
        <v>35</v>
      </c>
      <c r="H282" s="20" t="s">
        <v>25</v>
      </c>
      <c r="I282" s="21" t="s">
        <v>1229</v>
      </c>
      <c r="J282" s="22">
        <f t="shared" si="20"/>
        <v>0.00694444444525288</v>
      </c>
      <c r="K282" s="22">
        <f t="shared" si="21"/>
        <v>0.166666666686069</v>
      </c>
      <c r="L282" s="22">
        <f t="shared" si="22"/>
        <v>0.166666666686069</v>
      </c>
      <c r="M282" s="22" cm="1">
        <f ca="1" t="array" ref="M282">SUMPRODUCT(--(WEEKDAY(ROW(INDIRECT(INT(F282)&amp;":"&amp;INT(I282))),2)&gt;5))</f>
        <v>0</v>
      </c>
      <c r="N282" s="22">
        <f ca="1" t="shared" si="23"/>
        <v>0.166666666686069</v>
      </c>
      <c r="O282" s="22" t="str">
        <f ca="1" t="shared" si="24"/>
        <v>Within SLA</v>
      </c>
      <c r="P282" s="26" t="s">
        <v>1226</v>
      </c>
      <c r="Q282" s="24" t="s">
        <v>37</v>
      </c>
      <c r="R282" s="25"/>
      <c r="S282" s="25"/>
    </row>
    <row r="283" ht="27" customHeight="1" spans="1:19">
      <c r="A283" s="19" t="s">
        <v>1230</v>
      </c>
      <c r="B283" s="20" t="s">
        <v>30</v>
      </c>
      <c r="C283" s="20" t="s">
        <v>67</v>
      </c>
      <c r="D283" s="20" t="s">
        <v>32</v>
      </c>
      <c r="E283" s="21" t="s">
        <v>1231</v>
      </c>
      <c r="F283" s="21" t="s">
        <v>1232</v>
      </c>
      <c r="G283" s="20" t="s">
        <v>35</v>
      </c>
      <c r="H283" s="20" t="s">
        <v>25</v>
      </c>
      <c r="I283" s="21" t="s">
        <v>1233</v>
      </c>
      <c r="J283" s="22">
        <f t="shared" si="20"/>
        <v>0.872916666667152</v>
      </c>
      <c r="K283" s="22">
        <f t="shared" si="21"/>
        <v>20.9500000000116</v>
      </c>
      <c r="L283" s="22">
        <f t="shared" si="22"/>
        <v>4.95000000001164</v>
      </c>
      <c r="M283" s="22" cm="1">
        <f ca="1" t="array" ref="M283">SUMPRODUCT(--(WEEKDAY(ROW(INDIRECT(INT(F283)&amp;":"&amp;INT(I283))),2)&gt;5))</f>
        <v>0</v>
      </c>
      <c r="N283" s="22">
        <f ca="1" t="shared" si="23"/>
        <v>4.95000000001164</v>
      </c>
      <c r="O283" s="22" t="str">
        <f ca="1" t="shared" si="24"/>
        <v>Within SLA</v>
      </c>
      <c r="P283" s="26" t="s">
        <v>1230</v>
      </c>
      <c r="Q283" s="24" t="s">
        <v>37</v>
      </c>
      <c r="R283" s="25"/>
      <c r="S283" s="25"/>
    </row>
    <row r="284" ht="39" customHeight="1" spans="1:19">
      <c r="A284" s="28" t="s">
        <v>1234</v>
      </c>
      <c r="B284" s="20" t="s">
        <v>196</v>
      </c>
      <c r="C284" s="20" t="s">
        <v>46</v>
      </c>
      <c r="D284" s="20" t="s">
        <v>32</v>
      </c>
      <c r="E284" s="21" t="s">
        <v>1235</v>
      </c>
      <c r="F284" s="21" t="s">
        <v>1236</v>
      </c>
      <c r="G284" s="20" t="s">
        <v>35</v>
      </c>
      <c r="H284" s="20" t="s">
        <v>25</v>
      </c>
      <c r="I284" s="21" t="s">
        <v>1237</v>
      </c>
      <c r="J284" s="22">
        <f t="shared" si="20"/>
        <v>2.8972222222219</v>
      </c>
      <c r="K284" s="22">
        <f t="shared" si="21"/>
        <v>69.5333333333256</v>
      </c>
      <c r="L284" s="22">
        <f t="shared" si="22"/>
        <v>21.5333333333256</v>
      </c>
      <c r="M284" s="22" cm="1">
        <f ca="1" t="array" ref="M284">SUMPRODUCT(--(WEEKDAY(ROW(INDIRECT(INT(F284)&amp;":"&amp;INT(I284))),2)&gt;5))</f>
        <v>0</v>
      </c>
      <c r="N284" s="22">
        <f ca="1" t="shared" si="23"/>
        <v>21.5333333333256</v>
      </c>
      <c r="O284" s="22" t="str">
        <f ca="1" t="shared" si="24"/>
        <v>SLA Violated</v>
      </c>
      <c r="P284" s="23" t="s">
        <v>1234</v>
      </c>
      <c r="Q284" s="24" t="s">
        <v>37</v>
      </c>
      <c r="R284" s="25" t="s">
        <v>749</v>
      </c>
      <c r="S284" s="25" t="s">
        <v>39</v>
      </c>
    </row>
    <row r="285" ht="27" customHeight="1" spans="1:19">
      <c r="A285" s="19" t="s">
        <v>1238</v>
      </c>
      <c r="B285" s="20" t="s">
        <v>30</v>
      </c>
      <c r="C285" s="20" t="s">
        <v>67</v>
      </c>
      <c r="D285" s="20" t="s">
        <v>115</v>
      </c>
      <c r="E285" s="21" t="s">
        <v>1239</v>
      </c>
      <c r="F285" s="21" t="s">
        <v>1240</v>
      </c>
      <c r="G285" s="20" t="s">
        <v>35</v>
      </c>
      <c r="H285" s="20" t="s">
        <v>25</v>
      </c>
      <c r="I285" s="21" t="s">
        <v>1241</v>
      </c>
      <c r="J285" s="22">
        <f t="shared" si="20"/>
        <v>6.97916666666424</v>
      </c>
      <c r="K285" s="22">
        <f t="shared" si="21"/>
        <v>167.499999999942</v>
      </c>
      <c r="L285" s="22">
        <f t="shared" si="22"/>
        <v>55.4999999999418</v>
      </c>
      <c r="M285" s="22" cm="1">
        <f ca="1" t="array" ref="M285">SUMPRODUCT(--(WEEKDAY(ROW(INDIRECT(INT(F285)&amp;":"&amp;INT(I285))),2)&gt;5))</f>
        <v>2</v>
      </c>
      <c r="N285" s="22">
        <f ca="1" t="shared" si="23"/>
        <v>39.4999999999418</v>
      </c>
      <c r="O285" s="22" t="str">
        <f ca="1" t="shared" si="24"/>
        <v>SLA Violated</v>
      </c>
      <c r="P285" s="23" t="s">
        <v>1242</v>
      </c>
      <c r="Q285" s="24" t="s">
        <v>28</v>
      </c>
      <c r="R285" s="25"/>
      <c r="S285" s="25"/>
    </row>
    <row r="286" ht="39" customHeight="1" spans="1:19">
      <c r="A286" s="19" t="s">
        <v>1243</v>
      </c>
      <c r="B286" s="20" t="s">
        <v>19</v>
      </c>
      <c r="C286" s="20" t="s">
        <v>20</v>
      </c>
      <c r="D286" s="20" t="s">
        <v>32</v>
      </c>
      <c r="E286" s="21" t="s">
        <v>1239</v>
      </c>
      <c r="F286" s="21" t="s">
        <v>1244</v>
      </c>
      <c r="G286" s="20" t="s">
        <v>35</v>
      </c>
      <c r="H286" s="20" t="s">
        <v>25</v>
      </c>
      <c r="I286" s="21" t="s">
        <v>1245</v>
      </c>
      <c r="J286" s="22">
        <f t="shared" si="20"/>
        <v>0.34652777777228</v>
      </c>
      <c r="K286" s="22">
        <f t="shared" si="21"/>
        <v>8.31666666653473</v>
      </c>
      <c r="L286" s="22">
        <f t="shared" si="22"/>
        <v>8.31666666653473</v>
      </c>
      <c r="M286" s="22" cm="1">
        <f ca="1" t="array" ref="M286">SUMPRODUCT(--(WEEKDAY(ROW(INDIRECT(INT(F286)&amp;":"&amp;INT(I286))),2)&gt;5))</f>
        <v>0</v>
      </c>
      <c r="N286" s="22">
        <f ca="1" t="shared" si="23"/>
        <v>8.31666666653473</v>
      </c>
      <c r="O286" s="22" t="str">
        <f ca="1" t="shared" si="24"/>
        <v>Within SLA</v>
      </c>
      <c r="P286" s="26" t="s">
        <v>1243</v>
      </c>
      <c r="Q286" s="24" t="s">
        <v>37</v>
      </c>
      <c r="R286" s="25"/>
      <c r="S286" s="25"/>
    </row>
    <row r="287" ht="39" customHeight="1" spans="1:19">
      <c r="A287" s="19" t="s">
        <v>1246</v>
      </c>
      <c r="B287" s="20" t="s">
        <v>19</v>
      </c>
      <c r="C287" s="20" t="s">
        <v>20</v>
      </c>
      <c r="D287" s="20" t="s">
        <v>32</v>
      </c>
      <c r="E287" s="21" t="s">
        <v>1247</v>
      </c>
      <c r="F287" s="21" t="s">
        <v>1248</v>
      </c>
      <c r="G287" s="20" t="s">
        <v>35</v>
      </c>
      <c r="H287" s="20" t="s">
        <v>25</v>
      </c>
      <c r="I287" s="21" t="s">
        <v>1249</v>
      </c>
      <c r="J287" s="22">
        <f t="shared" si="20"/>
        <v>0.104861111110949</v>
      </c>
      <c r="K287" s="22">
        <f t="shared" si="21"/>
        <v>2.51666666666279</v>
      </c>
      <c r="L287" s="22">
        <f t="shared" si="22"/>
        <v>2.51666666666279</v>
      </c>
      <c r="M287" s="22" cm="1">
        <f ca="1" t="array" ref="M287">SUMPRODUCT(--(WEEKDAY(ROW(INDIRECT(INT(F287)&amp;":"&amp;INT(I287))),2)&gt;5))</f>
        <v>0</v>
      </c>
      <c r="N287" s="22">
        <f ca="1" t="shared" si="23"/>
        <v>2.51666666666279</v>
      </c>
      <c r="O287" s="22" t="str">
        <f ca="1" t="shared" si="24"/>
        <v>Within SLA</v>
      </c>
      <c r="P287" s="26" t="s">
        <v>1246</v>
      </c>
      <c r="Q287" s="24" t="s">
        <v>37</v>
      </c>
      <c r="R287" s="25"/>
      <c r="S287" s="25"/>
    </row>
    <row r="288" ht="39" customHeight="1" spans="1:19">
      <c r="A288" s="19" t="s">
        <v>1250</v>
      </c>
      <c r="B288" s="20" t="s">
        <v>19</v>
      </c>
      <c r="C288" s="20" t="s">
        <v>20</v>
      </c>
      <c r="D288" s="20" t="s">
        <v>32</v>
      </c>
      <c r="E288" s="21" t="s">
        <v>1251</v>
      </c>
      <c r="F288" s="21" t="s">
        <v>1252</v>
      </c>
      <c r="G288" s="20" t="s">
        <v>35</v>
      </c>
      <c r="H288" s="20" t="s">
        <v>25</v>
      </c>
      <c r="I288" s="21" t="s">
        <v>1253</v>
      </c>
      <c r="J288" s="22">
        <f t="shared" si="20"/>
        <v>22.0729166666642</v>
      </c>
      <c r="K288" s="22">
        <f t="shared" si="21"/>
        <v>529.749999999942</v>
      </c>
      <c r="L288" s="22">
        <f t="shared" si="22"/>
        <v>177.749999999942</v>
      </c>
      <c r="M288" s="22" cm="1">
        <f ca="1" t="array" ref="M288">SUMPRODUCT(--(WEEKDAY(ROW(INDIRECT(INT(F288)&amp;":"&amp;INT(I288))),2)&gt;5))</f>
        <v>6</v>
      </c>
      <c r="N288" s="22">
        <f ca="1" t="shared" si="23"/>
        <v>129.749999999942</v>
      </c>
      <c r="O288" s="22" t="str">
        <f ca="1" t="shared" si="24"/>
        <v>SLA Violated</v>
      </c>
      <c r="P288" s="23" t="s">
        <v>1254</v>
      </c>
      <c r="Q288" s="24" t="s">
        <v>37</v>
      </c>
      <c r="R288" s="25" t="s">
        <v>38</v>
      </c>
      <c r="S288" s="25" t="s">
        <v>39</v>
      </c>
    </row>
    <row r="289" ht="16" customHeight="1" spans="1:19">
      <c r="A289" s="19" t="s">
        <v>1255</v>
      </c>
      <c r="B289" s="20" t="s">
        <v>100</v>
      </c>
      <c r="C289" s="20" t="s">
        <v>101</v>
      </c>
      <c r="D289" s="20" t="s">
        <v>21</v>
      </c>
      <c r="E289" s="21" t="s">
        <v>1256</v>
      </c>
      <c r="F289" s="21" t="s">
        <v>1257</v>
      </c>
      <c r="G289" s="20" t="s">
        <v>35</v>
      </c>
      <c r="H289" s="20" t="s">
        <v>25</v>
      </c>
      <c r="I289" s="21" t="s">
        <v>1258</v>
      </c>
      <c r="J289" s="22">
        <f t="shared" si="20"/>
        <v>0.867361111108039</v>
      </c>
      <c r="K289" s="22">
        <f t="shared" si="21"/>
        <v>20.8166666665929</v>
      </c>
      <c r="L289" s="22">
        <f t="shared" si="22"/>
        <v>4.81666666659294</v>
      </c>
      <c r="M289" s="22" cm="1">
        <f ca="1" t="array" ref="M289">SUMPRODUCT(--(WEEKDAY(ROW(INDIRECT(INT(F289)&amp;":"&amp;INT(I289))),2)&gt;5))</f>
        <v>0</v>
      </c>
      <c r="N289" s="22">
        <f ca="1" t="shared" si="23"/>
        <v>4.81666666659294</v>
      </c>
      <c r="O289" s="22" t="str">
        <f ca="1" t="shared" si="24"/>
        <v>SLA Violated</v>
      </c>
      <c r="P289" s="23" t="s">
        <v>1259</v>
      </c>
      <c r="Q289" s="24" t="s">
        <v>28</v>
      </c>
      <c r="R289" s="25"/>
      <c r="S289" s="25"/>
    </row>
    <row r="290" ht="39" customHeight="1" spans="1:19">
      <c r="A290" s="19" t="s">
        <v>1260</v>
      </c>
      <c r="B290" s="20" t="s">
        <v>19</v>
      </c>
      <c r="C290" s="20" t="s">
        <v>20</v>
      </c>
      <c r="D290" s="20" t="s">
        <v>32</v>
      </c>
      <c r="E290" s="21" t="s">
        <v>1261</v>
      </c>
      <c r="F290" s="21" t="s">
        <v>1262</v>
      </c>
      <c r="G290" s="20" t="s">
        <v>35</v>
      </c>
      <c r="H290" s="20" t="s">
        <v>25</v>
      </c>
      <c r="I290" s="21" t="s">
        <v>1263</v>
      </c>
      <c r="J290" s="22">
        <f t="shared" si="20"/>
        <v>-0.0138888888905058</v>
      </c>
      <c r="K290" s="22">
        <f t="shared" si="21"/>
        <v>-0.333333333372138</v>
      </c>
      <c r="L290" s="22">
        <f t="shared" si="22"/>
        <v>-0.333333333372138</v>
      </c>
      <c r="M290" s="22" cm="1">
        <f ca="1" t="array" ref="M290">SUMPRODUCT(--(WEEKDAY(ROW(INDIRECT(INT(F290)&amp;":"&amp;INT(I290))),2)&gt;5))</f>
        <v>0</v>
      </c>
      <c r="N290" s="22">
        <f ca="1" t="shared" si="23"/>
        <v>0</v>
      </c>
      <c r="O290" s="22" t="str">
        <f ca="1" t="shared" si="24"/>
        <v>Within SLA</v>
      </c>
      <c r="P290" s="26" t="s">
        <v>1260</v>
      </c>
      <c r="Q290" s="24" t="s">
        <v>37</v>
      </c>
      <c r="R290" s="25"/>
      <c r="S290" s="25"/>
    </row>
    <row r="291" ht="39" customHeight="1" spans="1:19">
      <c r="A291" s="19" t="s">
        <v>1264</v>
      </c>
      <c r="B291" s="20" t="s">
        <v>19</v>
      </c>
      <c r="C291" s="20" t="s">
        <v>20</v>
      </c>
      <c r="D291" s="20" t="s">
        <v>32</v>
      </c>
      <c r="E291" s="21" t="s">
        <v>1265</v>
      </c>
      <c r="F291" s="21" t="s">
        <v>1266</v>
      </c>
      <c r="G291" s="20" t="s">
        <v>35</v>
      </c>
      <c r="H291" s="20" t="s">
        <v>25</v>
      </c>
      <c r="I291" s="21" t="s">
        <v>1267</v>
      </c>
      <c r="J291" s="22">
        <f t="shared" si="20"/>
        <v>0.0888888888875954</v>
      </c>
      <c r="K291" s="22">
        <f t="shared" si="21"/>
        <v>2.13333333330229</v>
      </c>
      <c r="L291" s="22">
        <f t="shared" si="22"/>
        <v>2.13333333330229</v>
      </c>
      <c r="M291" s="22" cm="1">
        <f ca="1" t="array" ref="M291">SUMPRODUCT(--(WEEKDAY(ROW(INDIRECT(INT(F291)&amp;":"&amp;INT(I291))),2)&gt;5))</f>
        <v>0</v>
      </c>
      <c r="N291" s="22">
        <f ca="1" t="shared" si="23"/>
        <v>2.13333333330229</v>
      </c>
      <c r="O291" s="22" t="str">
        <f ca="1" t="shared" si="24"/>
        <v>Within SLA</v>
      </c>
      <c r="P291" s="26" t="s">
        <v>1264</v>
      </c>
      <c r="Q291" s="24" t="s">
        <v>37</v>
      </c>
      <c r="R291" s="25"/>
      <c r="S291" s="25"/>
    </row>
    <row r="292" ht="27" customHeight="1" spans="1:19">
      <c r="A292" s="19" t="s">
        <v>1268</v>
      </c>
      <c r="B292" s="20" t="s">
        <v>30</v>
      </c>
      <c r="C292" s="20" t="s">
        <v>67</v>
      </c>
      <c r="D292" s="20" t="s">
        <v>21</v>
      </c>
      <c r="E292" s="21" t="s">
        <v>1265</v>
      </c>
      <c r="F292" s="21" t="s">
        <v>1269</v>
      </c>
      <c r="G292" s="20" t="s">
        <v>35</v>
      </c>
      <c r="H292" s="20" t="s">
        <v>25</v>
      </c>
      <c r="I292" s="21" t="s">
        <v>1267</v>
      </c>
      <c r="J292" s="22">
        <f t="shared" si="20"/>
        <v>0.787499999998545</v>
      </c>
      <c r="K292" s="22">
        <f t="shared" si="21"/>
        <v>18.8999999999651</v>
      </c>
      <c r="L292" s="22">
        <f t="shared" si="22"/>
        <v>2.89999999996508</v>
      </c>
      <c r="M292" s="22" cm="1">
        <f ca="1" t="array" ref="M292">SUMPRODUCT(--(WEEKDAY(ROW(INDIRECT(INT(F292)&amp;":"&amp;INT(I292))),2)&gt;5))</f>
        <v>0</v>
      </c>
      <c r="N292" s="22">
        <f ca="1" t="shared" si="23"/>
        <v>2.89999999996508</v>
      </c>
      <c r="O292" s="22" t="str">
        <f ca="1" t="shared" si="24"/>
        <v>Within SLA</v>
      </c>
      <c r="P292" s="26" t="s">
        <v>1268</v>
      </c>
      <c r="Q292" s="24" t="s">
        <v>37</v>
      </c>
      <c r="R292" s="25"/>
      <c r="S292" s="25"/>
    </row>
    <row r="293" ht="39" customHeight="1" spans="1:19">
      <c r="A293" s="19" t="s">
        <v>1270</v>
      </c>
      <c r="B293" s="20" t="s">
        <v>19</v>
      </c>
      <c r="C293" s="20" t="s">
        <v>20</v>
      </c>
      <c r="D293" s="20" t="s">
        <v>115</v>
      </c>
      <c r="E293" s="21" t="s">
        <v>1271</v>
      </c>
      <c r="F293" s="21" t="s">
        <v>1272</v>
      </c>
      <c r="G293" s="20" t="s">
        <v>35</v>
      </c>
      <c r="H293" s="20" t="s">
        <v>25</v>
      </c>
      <c r="I293" s="21" t="s">
        <v>1273</v>
      </c>
      <c r="J293" s="22">
        <f t="shared" si="20"/>
        <v>15.8145833333401</v>
      </c>
      <c r="K293" s="22">
        <f t="shared" si="21"/>
        <v>379.550000000163</v>
      </c>
      <c r="L293" s="22">
        <f t="shared" si="22"/>
        <v>123.550000000163</v>
      </c>
      <c r="M293" s="22" cm="1">
        <f ca="1" t="array" ref="M293">SUMPRODUCT(--(WEEKDAY(ROW(INDIRECT(INT(F293)&amp;":"&amp;INT(I293))),2)&gt;5))</f>
        <v>4</v>
      </c>
      <c r="N293" s="22">
        <f ca="1" t="shared" si="23"/>
        <v>91.550000000163</v>
      </c>
      <c r="O293" s="22" t="str">
        <f ca="1" t="shared" si="24"/>
        <v>SLA Violated</v>
      </c>
      <c r="P293" s="26" t="s">
        <v>1270</v>
      </c>
      <c r="Q293" s="24" t="s">
        <v>37</v>
      </c>
      <c r="R293" s="6" t="s">
        <v>1084</v>
      </c>
      <c r="S293" s="25" t="s">
        <v>39</v>
      </c>
    </row>
    <row r="294" ht="27" customHeight="1" spans="1:19">
      <c r="A294" s="19" t="s">
        <v>1274</v>
      </c>
      <c r="B294" s="20" t="s">
        <v>121</v>
      </c>
      <c r="C294" s="20" t="s">
        <v>849</v>
      </c>
      <c r="D294" s="20" t="s">
        <v>32</v>
      </c>
      <c r="E294" s="21" t="s">
        <v>1275</v>
      </c>
      <c r="F294" s="21" t="s">
        <v>1276</v>
      </c>
      <c r="G294" s="20" t="s">
        <v>35</v>
      </c>
      <c r="H294" s="20" t="s">
        <v>25</v>
      </c>
      <c r="I294" s="21" t="s">
        <v>1277</v>
      </c>
      <c r="J294" s="22">
        <f t="shared" si="20"/>
        <v>29.8465277777796</v>
      </c>
      <c r="K294" s="22">
        <f t="shared" si="21"/>
        <v>716.316666666709</v>
      </c>
      <c r="L294" s="22">
        <f t="shared" si="22"/>
        <v>236.316666666709</v>
      </c>
      <c r="M294" s="22" cm="1">
        <f ca="1" t="array" ref="M294">SUMPRODUCT(--(WEEKDAY(ROW(INDIRECT(INT(F294)&amp;":"&amp;INT(I294))),2)&gt;5))</f>
        <v>8</v>
      </c>
      <c r="N294" s="22">
        <f ca="1" t="shared" si="23"/>
        <v>172.316666666709</v>
      </c>
      <c r="O294" s="22" t="str">
        <f ca="1" t="shared" si="24"/>
        <v>SLA Violated</v>
      </c>
      <c r="P294" s="23" t="s">
        <v>1278</v>
      </c>
      <c r="Q294" s="24" t="s">
        <v>28</v>
      </c>
      <c r="R294" s="25"/>
      <c r="S294" s="25"/>
    </row>
    <row r="295" ht="39" customHeight="1" spans="1:19">
      <c r="A295" s="19" t="s">
        <v>1279</v>
      </c>
      <c r="B295" s="20" t="s">
        <v>19</v>
      </c>
      <c r="C295" s="20" t="s">
        <v>20</v>
      </c>
      <c r="D295" s="20" t="s">
        <v>32</v>
      </c>
      <c r="E295" s="21" t="s">
        <v>1280</v>
      </c>
      <c r="F295" s="21" t="s">
        <v>1281</v>
      </c>
      <c r="G295" s="20" t="s">
        <v>35</v>
      </c>
      <c r="H295" s="20" t="s">
        <v>25</v>
      </c>
      <c r="I295" s="21" t="s">
        <v>1282</v>
      </c>
      <c r="J295" s="22">
        <f t="shared" si="20"/>
        <v>21.9875000000029</v>
      </c>
      <c r="K295" s="22">
        <f t="shared" si="21"/>
        <v>527.70000000007</v>
      </c>
      <c r="L295" s="22">
        <f t="shared" si="22"/>
        <v>175.70000000007</v>
      </c>
      <c r="M295" s="22" cm="1">
        <f ca="1" t="array" ref="M295">SUMPRODUCT(--(WEEKDAY(ROW(INDIRECT(INT(F295)&amp;":"&amp;INT(I295))),2)&gt;5))</f>
        <v>6</v>
      </c>
      <c r="N295" s="22">
        <f ca="1" t="shared" si="23"/>
        <v>127.70000000007</v>
      </c>
      <c r="O295" s="22" t="str">
        <f ca="1" t="shared" si="24"/>
        <v>SLA Violated</v>
      </c>
      <c r="P295" s="23" t="s">
        <v>1283</v>
      </c>
      <c r="Q295" s="24" t="s">
        <v>28</v>
      </c>
      <c r="R295" s="25"/>
      <c r="S295" s="25"/>
    </row>
    <row r="296" ht="27" customHeight="1" spans="1:19">
      <c r="A296" s="19" t="s">
        <v>1284</v>
      </c>
      <c r="B296" s="20" t="s">
        <v>30</v>
      </c>
      <c r="C296" s="20" t="s">
        <v>67</v>
      </c>
      <c r="D296" s="20" t="s">
        <v>32</v>
      </c>
      <c r="E296" s="21" t="s">
        <v>1285</v>
      </c>
      <c r="F296" s="21" t="s">
        <v>1286</v>
      </c>
      <c r="G296" s="20" t="s">
        <v>35</v>
      </c>
      <c r="H296" s="20" t="s">
        <v>25</v>
      </c>
      <c r="I296" s="21" t="s">
        <v>1287</v>
      </c>
      <c r="J296" s="22">
        <f t="shared" si="20"/>
        <v>0.726388888884685</v>
      </c>
      <c r="K296" s="22">
        <f t="shared" si="21"/>
        <v>17.4333333332324</v>
      </c>
      <c r="L296" s="22">
        <f t="shared" si="22"/>
        <v>1.43333333323244</v>
      </c>
      <c r="M296" s="22" cm="1">
        <f ca="1" t="array" ref="M296">SUMPRODUCT(--(WEEKDAY(ROW(INDIRECT(INT(F296)&amp;":"&amp;INT(I296))),2)&gt;5))</f>
        <v>0</v>
      </c>
      <c r="N296" s="22">
        <f ca="1" t="shared" si="23"/>
        <v>1.43333333323244</v>
      </c>
      <c r="O296" s="22" t="str">
        <f ca="1" t="shared" si="24"/>
        <v>Within SLA</v>
      </c>
      <c r="P296" s="26" t="s">
        <v>1284</v>
      </c>
      <c r="Q296" s="24" t="s">
        <v>37</v>
      </c>
      <c r="R296" s="25"/>
      <c r="S296" s="25"/>
    </row>
    <row r="297" ht="39" customHeight="1" spans="1:19">
      <c r="A297" s="19" t="s">
        <v>1288</v>
      </c>
      <c r="B297" s="20" t="s">
        <v>19</v>
      </c>
      <c r="C297" s="20" t="s">
        <v>20</v>
      </c>
      <c r="D297" s="20" t="s">
        <v>32</v>
      </c>
      <c r="E297" s="21" t="s">
        <v>1289</v>
      </c>
      <c r="F297" s="21" t="s">
        <v>1290</v>
      </c>
      <c r="G297" s="20" t="s">
        <v>35</v>
      </c>
      <c r="H297" s="20" t="s">
        <v>25</v>
      </c>
      <c r="I297" s="21" t="s">
        <v>1291</v>
      </c>
      <c r="J297" s="22">
        <f t="shared" si="20"/>
        <v>42.9749999999985</v>
      </c>
      <c r="K297" s="22">
        <f t="shared" si="21"/>
        <v>1031.39999999997</v>
      </c>
      <c r="L297" s="22">
        <f t="shared" si="22"/>
        <v>343.399999999965</v>
      </c>
      <c r="M297" s="22" cm="1">
        <f ca="1" t="array" ref="M297">SUMPRODUCT(--(WEEKDAY(ROW(INDIRECT(INT(F297)&amp;":"&amp;INT(I297))),2)&gt;5))</f>
        <v>12</v>
      </c>
      <c r="N297" s="22">
        <f ca="1" t="shared" si="23"/>
        <v>247.399999999965</v>
      </c>
      <c r="O297" s="22" t="str">
        <f ca="1" t="shared" si="24"/>
        <v>SLA Violated</v>
      </c>
      <c r="P297" s="23" t="s">
        <v>1292</v>
      </c>
      <c r="Q297" s="24" t="s">
        <v>37</v>
      </c>
      <c r="R297" s="25" t="s">
        <v>1020</v>
      </c>
      <c r="S297" s="25" t="s">
        <v>39</v>
      </c>
    </row>
    <row r="298" ht="27" customHeight="1" spans="1:19">
      <c r="A298" s="19" t="s">
        <v>1293</v>
      </c>
      <c r="B298" s="20" t="s">
        <v>139</v>
      </c>
      <c r="C298" s="20" t="s">
        <v>67</v>
      </c>
      <c r="D298" s="20" t="s">
        <v>32</v>
      </c>
      <c r="E298" s="21" t="s">
        <v>1289</v>
      </c>
      <c r="F298" s="21" t="s">
        <v>1294</v>
      </c>
      <c r="G298" s="20" t="s">
        <v>35</v>
      </c>
      <c r="H298" s="20" t="s">
        <v>25</v>
      </c>
      <c r="I298" s="21" t="s">
        <v>1295</v>
      </c>
      <c r="J298" s="22">
        <f t="shared" si="20"/>
        <v>40.6756944444496</v>
      </c>
      <c r="K298" s="22">
        <f t="shared" si="21"/>
        <v>976.216666666791</v>
      </c>
      <c r="L298" s="22">
        <f t="shared" si="22"/>
        <v>320.216666666791</v>
      </c>
      <c r="M298" s="22" cm="1">
        <f ca="1" t="array" ref="M298">SUMPRODUCT(--(WEEKDAY(ROW(INDIRECT(INT(F298)&amp;":"&amp;INT(I298))),2)&gt;5))</f>
        <v>12</v>
      </c>
      <c r="N298" s="22">
        <f ca="1" t="shared" si="23"/>
        <v>224.216666666791</v>
      </c>
      <c r="O298" s="22" t="str">
        <f ca="1" t="shared" si="24"/>
        <v>SLA Violated</v>
      </c>
      <c r="P298" s="23" t="s">
        <v>1296</v>
      </c>
      <c r="Q298" s="24" t="s">
        <v>37</v>
      </c>
      <c r="R298" s="25" t="s">
        <v>1297</v>
      </c>
      <c r="S298" s="25" t="s">
        <v>1298</v>
      </c>
    </row>
    <row r="299" ht="39" customHeight="1" spans="1:19">
      <c r="A299" s="19" t="s">
        <v>1299</v>
      </c>
      <c r="B299" s="20" t="s">
        <v>19</v>
      </c>
      <c r="C299" s="20" t="s">
        <v>20</v>
      </c>
      <c r="D299" s="20" t="s">
        <v>32</v>
      </c>
      <c r="E299" s="21" t="s">
        <v>1300</v>
      </c>
      <c r="F299" s="21" t="s">
        <v>1301</v>
      </c>
      <c r="G299" s="20" t="s">
        <v>35</v>
      </c>
      <c r="H299" s="20" t="s">
        <v>25</v>
      </c>
      <c r="I299" s="21" t="s">
        <v>1302</v>
      </c>
      <c r="J299" s="22">
        <f t="shared" si="20"/>
        <v>0.930555555554747</v>
      </c>
      <c r="K299" s="22">
        <f t="shared" si="21"/>
        <v>22.3333333333139</v>
      </c>
      <c r="L299" s="22">
        <f t="shared" si="22"/>
        <v>6.33333333331393</v>
      </c>
      <c r="M299" s="22" cm="1">
        <f ca="1" t="array" ref="M299">SUMPRODUCT(--(WEEKDAY(ROW(INDIRECT(INT(F299)&amp;":"&amp;INT(I299))),2)&gt;5))</f>
        <v>0</v>
      </c>
      <c r="N299" s="22">
        <f ca="1" t="shared" si="23"/>
        <v>6.33333333331393</v>
      </c>
      <c r="O299" s="22" t="str">
        <f ca="1" t="shared" si="24"/>
        <v>Within SLA</v>
      </c>
      <c r="P299" s="26" t="s">
        <v>1299</v>
      </c>
      <c r="Q299" s="24" t="s">
        <v>37</v>
      </c>
      <c r="R299" s="25"/>
      <c r="S299" s="25"/>
    </row>
    <row r="300" ht="39" customHeight="1" spans="1:19">
      <c r="A300" s="19" t="s">
        <v>1303</v>
      </c>
      <c r="B300" s="20" t="s">
        <v>19</v>
      </c>
      <c r="C300" s="20" t="s">
        <v>20</v>
      </c>
      <c r="D300" s="20" t="s">
        <v>21</v>
      </c>
      <c r="E300" s="21" t="s">
        <v>1304</v>
      </c>
      <c r="F300" s="21" t="s">
        <v>1305</v>
      </c>
      <c r="G300" s="20" t="s">
        <v>24</v>
      </c>
      <c r="H300" s="20" t="s">
        <v>25</v>
      </c>
      <c r="I300" s="21" t="s">
        <v>1306</v>
      </c>
      <c r="J300" s="22">
        <f t="shared" si="20"/>
        <v>8.92291666667006</v>
      </c>
      <c r="K300" s="22">
        <f t="shared" si="21"/>
        <v>214.150000000081</v>
      </c>
      <c r="L300" s="22">
        <f t="shared" si="22"/>
        <v>70.1500000000815</v>
      </c>
      <c r="M300" s="22" cm="1">
        <f ca="1" t="array" ref="M300">SUMPRODUCT(--(WEEKDAY(ROW(INDIRECT(INT(F300)&amp;":"&amp;INT(I300))),2)&gt;5))</f>
        <v>2</v>
      </c>
      <c r="N300" s="22">
        <f ca="1" t="shared" si="23"/>
        <v>54.1500000000815</v>
      </c>
      <c r="O300" s="22" t="str">
        <f ca="1" t="shared" si="24"/>
        <v>SLA Violated</v>
      </c>
      <c r="P300" s="23" t="s">
        <v>1307</v>
      </c>
      <c r="Q300" s="24" t="s">
        <v>28</v>
      </c>
      <c r="R300" s="25"/>
      <c r="S300" s="25"/>
    </row>
    <row r="301" ht="39" customHeight="1" spans="1:19">
      <c r="A301" s="19" t="s">
        <v>1308</v>
      </c>
      <c r="B301" s="20" t="s">
        <v>19</v>
      </c>
      <c r="C301" s="20" t="s">
        <v>20</v>
      </c>
      <c r="D301" s="20" t="s">
        <v>32</v>
      </c>
      <c r="E301" s="21" t="s">
        <v>34</v>
      </c>
      <c r="F301" s="21" t="s">
        <v>1309</v>
      </c>
      <c r="G301" s="20" t="s">
        <v>35</v>
      </c>
      <c r="H301" s="20" t="s">
        <v>25</v>
      </c>
      <c r="I301" s="21" t="s">
        <v>1310</v>
      </c>
      <c r="J301" s="22">
        <f t="shared" si="20"/>
        <v>0.0847222222218988</v>
      </c>
      <c r="K301" s="22">
        <f t="shared" si="21"/>
        <v>2.03333333332557</v>
      </c>
      <c r="L301" s="22">
        <f t="shared" si="22"/>
        <v>2.03333333332557</v>
      </c>
      <c r="M301" s="22" cm="1">
        <f ca="1" t="array" ref="M301">SUMPRODUCT(--(WEEKDAY(ROW(INDIRECT(INT(F301)&amp;":"&amp;INT(I301))),2)&gt;5))</f>
        <v>0</v>
      </c>
      <c r="N301" s="22">
        <f ca="1" t="shared" si="23"/>
        <v>2.03333333332557</v>
      </c>
      <c r="O301" s="22" t="str">
        <f ca="1" t="shared" si="24"/>
        <v>Within SLA</v>
      </c>
      <c r="P301" s="26" t="s">
        <v>1308</v>
      </c>
      <c r="Q301" s="24" t="s">
        <v>37</v>
      </c>
      <c r="R301" s="25"/>
      <c r="S301" s="25"/>
    </row>
    <row r="302" ht="39" customHeight="1" spans="1:19">
      <c r="A302" s="19" t="s">
        <v>1311</v>
      </c>
      <c r="B302" s="20" t="s">
        <v>19</v>
      </c>
      <c r="C302" s="20" t="s">
        <v>20</v>
      </c>
      <c r="D302" s="20" t="s">
        <v>32</v>
      </c>
      <c r="E302" s="21" t="s">
        <v>1312</v>
      </c>
      <c r="F302" s="21" t="s">
        <v>1313</v>
      </c>
      <c r="G302" s="20" t="s">
        <v>35</v>
      </c>
      <c r="H302" s="20" t="s">
        <v>25</v>
      </c>
      <c r="I302" s="21" t="s">
        <v>1314</v>
      </c>
      <c r="J302" s="22">
        <f t="shared" si="20"/>
        <v>0.900694444440887</v>
      </c>
      <c r="K302" s="22">
        <f t="shared" si="21"/>
        <v>21.6166666665813</v>
      </c>
      <c r="L302" s="22">
        <f t="shared" si="22"/>
        <v>5.6166666665813</v>
      </c>
      <c r="M302" s="22" cm="1">
        <f ca="1" t="array" ref="M302">SUMPRODUCT(--(WEEKDAY(ROW(INDIRECT(INT(F302)&amp;":"&amp;INT(I302))),2)&gt;5))</f>
        <v>0</v>
      </c>
      <c r="N302" s="22">
        <f ca="1" t="shared" si="23"/>
        <v>5.6166666665813</v>
      </c>
      <c r="O302" s="22" t="str">
        <f ca="1" t="shared" si="24"/>
        <v>Within SLA</v>
      </c>
      <c r="P302" s="26" t="s">
        <v>1311</v>
      </c>
      <c r="Q302" s="24" t="s">
        <v>37</v>
      </c>
      <c r="R302" s="25"/>
      <c r="S302" s="25"/>
    </row>
    <row r="303" ht="39" customHeight="1" spans="1:19">
      <c r="A303" s="19" t="s">
        <v>1315</v>
      </c>
      <c r="B303" s="20" t="s">
        <v>19</v>
      </c>
      <c r="C303" s="20" t="s">
        <v>20</v>
      </c>
      <c r="D303" s="20" t="s">
        <v>32</v>
      </c>
      <c r="E303" s="21" t="s">
        <v>1316</v>
      </c>
      <c r="F303" s="21" t="s">
        <v>1317</v>
      </c>
      <c r="G303" s="20" t="s">
        <v>35</v>
      </c>
      <c r="H303" s="20" t="s">
        <v>25</v>
      </c>
      <c r="I303" s="21" t="s">
        <v>1318</v>
      </c>
      <c r="J303" s="22">
        <f t="shared" si="20"/>
        <v>0.208333333335759</v>
      </c>
      <c r="K303" s="22">
        <f t="shared" si="21"/>
        <v>5.00000000005821</v>
      </c>
      <c r="L303" s="22">
        <f t="shared" si="22"/>
        <v>5.00000000005821</v>
      </c>
      <c r="M303" s="22" cm="1">
        <f ca="1" t="array" ref="M303">SUMPRODUCT(--(WEEKDAY(ROW(INDIRECT(INT(F303)&amp;":"&amp;INT(I303))),2)&gt;5))</f>
        <v>0</v>
      </c>
      <c r="N303" s="22">
        <f ca="1" t="shared" si="23"/>
        <v>5.00000000005821</v>
      </c>
      <c r="O303" s="22" t="str">
        <f ca="1" t="shared" si="24"/>
        <v>Within SLA</v>
      </c>
      <c r="P303" s="26" t="s">
        <v>1315</v>
      </c>
      <c r="Q303" s="24" t="s">
        <v>37</v>
      </c>
      <c r="R303" s="25"/>
      <c r="S303" s="25"/>
    </row>
    <row r="304" ht="39" customHeight="1" spans="1:19">
      <c r="A304" s="19" t="s">
        <v>1319</v>
      </c>
      <c r="B304" s="20" t="s">
        <v>19</v>
      </c>
      <c r="C304" s="20" t="s">
        <v>20</v>
      </c>
      <c r="D304" s="20" t="s">
        <v>32</v>
      </c>
      <c r="E304" s="21" t="s">
        <v>1266</v>
      </c>
      <c r="F304" s="21" t="s">
        <v>1320</v>
      </c>
      <c r="G304" s="20" t="s">
        <v>35</v>
      </c>
      <c r="H304" s="20" t="s">
        <v>25</v>
      </c>
      <c r="I304" s="21" t="s">
        <v>1321</v>
      </c>
      <c r="J304" s="22">
        <f t="shared" si="20"/>
        <v>0.204166666662786</v>
      </c>
      <c r="K304" s="22">
        <f t="shared" si="21"/>
        <v>4.89999999990687</v>
      </c>
      <c r="L304" s="22">
        <f t="shared" si="22"/>
        <v>4.89999999990687</v>
      </c>
      <c r="M304" s="22" cm="1">
        <f ca="1" t="array" ref="M304">SUMPRODUCT(--(WEEKDAY(ROW(INDIRECT(INT(F304)&amp;":"&amp;INT(I304))),2)&gt;5))</f>
        <v>0</v>
      </c>
      <c r="N304" s="22">
        <f ca="1" t="shared" si="23"/>
        <v>4.89999999990687</v>
      </c>
      <c r="O304" s="22" t="str">
        <f ca="1" t="shared" si="24"/>
        <v>Within SLA</v>
      </c>
      <c r="P304" s="26" t="s">
        <v>1319</v>
      </c>
      <c r="Q304" s="24" t="s">
        <v>37</v>
      </c>
      <c r="R304" s="25"/>
      <c r="S304" s="25"/>
    </row>
    <row r="305" ht="39" customHeight="1" spans="1:19">
      <c r="A305" s="19" t="s">
        <v>1322</v>
      </c>
      <c r="B305" s="20" t="s">
        <v>19</v>
      </c>
      <c r="C305" s="20" t="s">
        <v>20</v>
      </c>
      <c r="D305" s="20" t="s">
        <v>32</v>
      </c>
      <c r="E305" s="21" t="s">
        <v>1323</v>
      </c>
      <c r="F305" s="21" t="s">
        <v>1324</v>
      </c>
      <c r="G305" s="20" t="s">
        <v>35</v>
      </c>
      <c r="H305" s="20" t="s">
        <v>25</v>
      </c>
      <c r="I305" s="21" t="s">
        <v>1324</v>
      </c>
      <c r="J305" s="22">
        <f t="shared" si="20"/>
        <v>0</v>
      </c>
      <c r="K305" s="22">
        <f t="shared" si="21"/>
        <v>0</v>
      </c>
      <c r="L305" s="22">
        <f t="shared" si="22"/>
        <v>0</v>
      </c>
      <c r="M305" s="22" cm="1">
        <f ca="1" t="array" ref="M305">SUMPRODUCT(--(WEEKDAY(ROW(INDIRECT(INT(F305)&amp;":"&amp;INT(I305))),2)&gt;5))</f>
        <v>0</v>
      </c>
      <c r="N305" s="22">
        <f ca="1" t="shared" si="23"/>
        <v>0</v>
      </c>
      <c r="O305" s="22" t="str">
        <f ca="1" t="shared" si="24"/>
        <v>Within SLA</v>
      </c>
      <c r="P305" s="26" t="s">
        <v>1322</v>
      </c>
      <c r="Q305" s="24" t="s">
        <v>37</v>
      </c>
      <c r="R305" s="25"/>
      <c r="S305" s="25"/>
    </row>
    <row r="306" ht="39" customHeight="1" spans="1:19">
      <c r="A306" s="19" t="s">
        <v>1325</v>
      </c>
      <c r="B306" s="20" t="s">
        <v>19</v>
      </c>
      <c r="C306" s="20" t="s">
        <v>20</v>
      </c>
      <c r="D306" s="20" t="s">
        <v>32</v>
      </c>
      <c r="E306" s="21" t="s">
        <v>1326</v>
      </c>
      <c r="F306" s="21" t="s">
        <v>1327</v>
      </c>
      <c r="G306" s="20" t="s">
        <v>35</v>
      </c>
      <c r="H306" s="20" t="s">
        <v>25</v>
      </c>
      <c r="I306" s="21" t="s">
        <v>1328</v>
      </c>
      <c r="J306" s="22">
        <f t="shared" si="20"/>
        <v>0.000694444446708076</v>
      </c>
      <c r="K306" s="22">
        <f t="shared" si="21"/>
        <v>0.0166666667209938</v>
      </c>
      <c r="L306" s="22">
        <f t="shared" si="22"/>
        <v>0.0166666667209938</v>
      </c>
      <c r="M306" s="22" cm="1">
        <f ca="1" t="array" ref="M306">SUMPRODUCT(--(WEEKDAY(ROW(INDIRECT(INT(F306)&amp;":"&amp;INT(I306))),2)&gt;5))</f>
        <v>0</v>
      </c>
      <c r="N306" s="22">
        <f ca="1" t="shared" si="23"/>
        <v>0.0166666667209938</v>
      </c>
      <c r="O306" s="22" t="str">
        <f ca="1" t="shared" si="24"/>
        <v>Within SLA</v>
      </c>
      <c r="P306" s="26" t="s">
        <v>1325</v>
      </c>
      <c r="Q306" s="24" t="s">
        <v>37</v>
      </c>
      <c r="R306" s="25"/>
      <c r="S306" s="25"/>
    </row>
    <row r="307" ht="27" customHeight="1" spans="1:19">
      <c r="A307" s="19" t="s">
        <v>1329</v>
      </c>
      <c r="B307" s="20" t="s">
        <v>139</v>
      </c>
      <c r="C307" s="20" t="s">
        <v>67</v>
      </c>
      <c r="D307" s="20" t="s">
        <v>32</v>
      </c>
      <c r="E307" s="21" t="s">
        <v>1330</v>
      </c>
      <c r="F307" s="21" t="s">
        <v>1331</v>
      </c>
      <c r="G307" s="20" t="s">
        <v>35</v>
      </c>
      <c r="H307" s="20" t="s">
        <v>25</v>
      </c>
      <c r="I307" s="21" t="s">
        <v>1332</v>
      </c>
      <c r="J307" s="22">
        <f t="shared" si="20"/>
        <v>0.0145833333299379</v>
      </c>
      <c r="K307" s="22">
        <f t="shared" si="21"/>
        <v>0.349999999918509</v>
      </c>
      <c r="L307" s="22">
        <f t="shared" si="22"/>
        <v>0.349999999918509</v>
      </c>
      <c r="M307" s="22" cm="1">
        <f ca="1" t="array" ref="M307">SUMPRODUCT(--(WEEKDAY(ROW(INDIRECT(INT(F307)&amp;":"&amp;INT(I307))),2)&gt;5))</f>
        <v>0</v>
      </c>
      <c r="N307" s="22">
        <f ca="1" t="shared" si="23"/>
        <v>0.349999999918509</v>
      </c>
      <c r="O307" s="22" t="str">
        <f ca="1" t="shared" si="24"/>
        <v>Within SLA</v>
      </c>
      <c r="P307" s="26" t="s">
        <v>1329</v>
      </c>
      <c r="Q307" s="24" t="s">
        <v>37</v>
      </c>
      <c r="R307" s="25"/>
      <c r="S307" s="25"/>
    </row>
    <row r="308" ht="39" customHeight="1" spans="1:19">
      <c r="A308" s="19" t="s">
        <v>1333</v>
      </c>
      <c r="B308" s="20" t="s">
        <v>19</v>
      </c>
      <c r="C308" s="20" t="s">
        <v>20</v>
      </c>
      <c r="D308" s="20" t="s">
        <v>32</v>
      </c>
      <c r="E308" s="21" t="s">
        <v>1334</v>
      </c>
      <c r="F308" s="21" t="s">
        <v>1335</v>
      </c>
      <c r="G308" s="20" t="s">
        <v>35</v>
      </c>
      <c r="H308" s="20" t="s">
        <v>25</v>
      </c>
      <c r="I308" s="21" t="s">
        <v>1336</v>
      </c>
      <c r="J308" s="22">
        <f t="shared" si="20"/>
        <v>0.00138888889341615</v>
      </c>
      <c r="K308" s="22">
        <f t="shared" si="21"/>
        <v>0.0333333334419876</v>
      </c>
      <c r="L308" s="22">
        <f t="shared" si="22"/>
        <v>0.0333333334419876</v>
      </c>
      <c r="M308" s="22" cm="1">
        <f ca="1" t="array" ref="M308">SUMPRODUCT(--(WEEKDAY(ROW(INDIRECT(INT(F308)&amp;":"&amp;INT(I308))),2)&gt;5))</f>
        <v>0</v>
      </c>
      <c r="N308" s="22">
        <f ca="1" t="shared" si="23"/>
        <v>0.0333333334419876</v>
      </c>
      <c r="O308" s="22" t="str">
        <f ca="1" t="shared" si="24"/>
        <v>Within SLA</v>
      </c>
      <c r="P308" s="26" t="s">
        <v>1333</v>
      </c>
      <c r="Q308" s="24" t="s">
        <v>37</v>
      </c>
      <c r="R308" s="25"/>
      <c r="S308" s="25"/>
    </row>
    <row r="309" ht="27" customHeight="1" spans="1:19">
      <c r="A309" s="19" t="s">
        <v>1337</v>
      </c>
      <c r="B309" s="20" t="s">
        <v>30</v>
      </c>
      <c r="C309" s="20" t="s">
        <v>31</v>
      </c>
      <c r="D309" s="20" t="s">
        <v>32</v>
      </c>
      <c r="E309" s="21" t="s">
        <v>1338</v>
      </c>
      <c r="F309" s="21" t="s">
        <v>1339</v>
      </c>
      <c r="G309" s="20" t="s">
        <v>35</v>
      </c>
      <c r="H309" s="20" t="s">
        <v>25</v>
      </c>
      <c r="I309" s="21" t="s">
        <v>1340</v>
      </c>
      <c r="J309" s="22">
        <f t="shared" si="20"/>
        <v>1.00069444444671</v>
      </c>
      <c r="K309" s="22">
        <f t="shared" si="21"/>
        <v>24.016666666721</v>
      </c>
      <c r="L309" s="22">
        <f t="shared" si="22"/>
        <v>8.01666666672099</v>
      </c>
      <c r="M309" s="22" cm="1">
        <f ca="1" t="array" ref="M309">SUMPRODUCT(--(WEEKDAY(ROW(INDIRECT(INT(F309)&amp;":"&amp;INT(I309))),2)&gt;5))</f>
        <v>0</v>
      </c>
      <c r="N309" s="22">
        <f ca="1" t="shared" si="23"/>
        <v>8.01666666672099</v>
      </c>
      <c r="O309" s="22" t="str">
        <f ca="1" t="shared" si="24"/>
        <v>Within SLA</v>
      </c>
      <c r="P309" s="26" t="s">
        <v>1337</v>
      </c>
      <c r="Q309" s="24" t="s">
        <v>37</v>
      </c>
      <c r="R309" s="25"/>
      <c r="S309" s="25"/>
    </row>
    <row r="310" ht="39" customHeight="1" spans="1:19">
      <c r="A310" s="19" t="s">
        <v>1341</v>
      </c>
      <c r="B310" s="20" t="s">
        <v>19</v>
      </c>
      <c r="C310" s="20" t="s">
        <v>20</v>
      </c>
      <c r="D310" s="20" t="s">
        <v>32</v>
      </c>
      <c r="E310" s="21" t="s">
        <v>1342</v>
      </c>
      <c r="F310" s="21" t="s">
        <v>1343</v>
      </c>
      <c r="G310" s="20" t="s">
        <v>35</v>
      </c>
      <c r="H310" s="20" t="s">
        <v>25</v>
      </c>
      <c r="I310" s="21" t="s">
        <v>1344</v>
      </c>
      <c r="J310" s="22">
        <f t="shared" si="20"/>
        <v>34.0625</v>
      </c>
      <c r="K310" s="22">
        <f t="shared" si="21"/>
        <v>817.5</v>
      </c>
      <c r="L310" s="22">
        <f t="shared" si="22"/>
        <v>273.5</v>
      </c>
      <c r="M310" s="22" cm="1">
        <f ca="1" t="array" ref="M310">SUMPRODUCT(--(WEEKDAY(ROW(INDIRECT(INT(F310)&amp;":"&amp;INT(I310))),2)&gt;5))</f>
        <v>10</v>
      </c>
      <c r="N310" s="22">
        <f ca="1" t="shared" si="23"/>
        <v>193.5</v>
      </c>
      <c r="O310" s="22" t="str">
        <f ca="1" t="shared" si="24"/>
        <v>SLA Violated</v>
      </c>
      <c r="P310" s="23" t="s">
        <v>1345</v>
      </c>
      <c r="Q310" s="24" t="s">
        <v>28</v>
      </c>
      <c r="R310" s="25"/>
      <c r="S310" s="25"/>
    </row>
    <row r="311" ht="39" customHeight="1" spans="1:19">
      <c r="A311" s="19" t="s">
        <v>1346</v>
      </c>
      <c r="B311" s="20" t="s">
        <v>19</v>
      </c>
      <c r="C311" s="20" t="s">
        <v>20</v>
      </c>
      <c r="D311" s="20" t="s">
        <v>32</v>
      </c>
      <c r="E311" s="21" t="s">
        <v>1347</v>
      </c>
      <c r="F311" s="21" t="s">
        <v>1348</v>
      </c>
      <c r="G311" s="20" t="s">
        <v>35</v>
      </c>
      <c r="H311" s="20" t="s">
        <v>25</v>
      </c>
      <c r="I311" s="21" t="s">
        <v>1349</v>
      </c>
      <c r="J311" s="22">
        <f t="shared" si="20"/>
        <v>0.0833333333357587</v>
      </c>
      <c r="K311" s="22">
        <f t="shared" si="21"/>
        <v>2.00000000005821</v>
      </c>
      <c r="L311" s="22">
        <f t="shared" si="22"/>
        <v>2.00000000005821</v>
      </c>
      <c r="M311" s="22" cm="1">
        <f ca="1" t="array" ref="M311">SUMPRODUCT(--(WEEKDAY(ROW(INDIRECT(INT(F311)&amp;":"&amp;INT(I311))),2)&gt;5))</f>
        <v>0</v>
      </c>
      <c r="N311" s="22">
        <f ca="1" t="shared" si="23"/>
        <v>2.00000000005821</v>
      </c>
      <c r="O311" s="22" t="str">
        <f ca="1" t="shared" si="24"/>
        <v>Within SLA</v>
      </c>
      <c r="P311" s="26" t="s">
        <v>1346</v>
      </c>
      <c r="Q311" s="24" t="s">
        <v>37</v>
      </c>
      <c r="R311" s="25"/>
      <c r="S311" s="25"/>
    </row>
    <row r="312" ht="27" customHeight="1" spans="1:19">
      <c r="A312" s="19" t="s">
        <v>1350</v>
      </c>
      <c r="B312" s="20" t="s">
        <v>30</v>
      </c>
      <c r="C312" s="20" t="s">
        <v>31</v>
      </c>
      <c r="D312" s="20" t="s">
        <v>32</v>
      </c>
      <c r="E312" s="21" t="s">
        <v>1286</v>
      </c>
      <c r="F312" s="21" t="s">
        <v>1351</v>
      </c>
      <c r="G312" s="20" t="s">
        <v>35</v>
      </c>
      <c r="H312" s="20" t="s">
        <v>25</v>
      </c>
      <c r="I312" s="21" t="s">
        <v>1352</v>
      </c>
      <c r="J312" s="22">
        <f t="shared" si="20"/>
        <v>0.212499999994179</v>
      </c>
      <c r="K312" s="22">
        <f t="shared" si="21"/>
        <v>5.0999999998603</v>
      </c>
      <c r="L312" s="22">
        <f t="shared" si="22"/>
        <v>5.0999999998603</v>
      </c>
      <c r="M312" s="22" cm="1">
        <f ca="1" t="array" ref="M312">SUMPRODUCT(--(WEEKDAY(ROW(INDIRECT(INT(F312)&amp;":"&amp;INT(I312))),2)&gt;5))</f>
        <v>0</v>
      </c>
      <c r="N312" s="22">
        <f ca="1" t="shared" si="23"/>
        <v>5.0999999998603</v>
      </c>
      <c r="O312" s="22" t="str">
        <f ca="1" t="shared" si="24"/>
        <v>Within SLA</v>
      </c>
      <c r="P312" s="26" t="s">
        <v>1350</v>
      </c>
      <c r="Q312" s="24" t="s">
        <v>37</v>
      </c>
      <c r="R312" s="25"/>
      <c r="S312" s="25"/>
    </row>
    <row r="313" ht="16" customHeight="1" spans="1:19">
      <c r="A313" s="19" t="s">
        <v>1353</v>
      </c>
      <c r="B313" s="20" t="s">
        <v>100</v>
      </c>
      <c r="C313" s="20" t="s">
        <v>101</v>
      </c>
      <c r="D313" s="20" t="s">
        <v>32</v>
      </c>
      <c r="E313" s="21" t="s">
        <v>1354</v>
      </c>
      <c r="F313" s="21" t="s">
        <v>1355</v>
      </c>
      <c r="G313" s="20" t="s">
        <v>35</v>
      </c>
      <c r="H313" s="20" t="s">
        <v>25</v>
      </c>
      <c r="I313" s="21" t="s">
        <v>1356</v>
      </c>
      <c r="J313" s="22">
        <f t="shared" si="20"/>
        <v>0.15486111111386</v>
      </c>
      <c r="K313" s="22">
        <f t="shared" si="21"/>
        <v>3.71666666673264</v>
      </c>
      <c r="L313" s="22">
        <f t="shared" si="22"/>
        <v>3.71666666673264</v>
      </c>
      <c r="M313" s="22" cm="1">
        <f ca="1" t="array" ref="M313">SUMPRODUCT(--(WEEKDAY(ROW(INDIRECT(INT(F313)&amp;":"&amp;INT(I313))),2)&gt;5))</f>
        <v>0</v>
      </c>
      <c r="N313" s="22">
        <f ca="1" t="shared" si="23"/>
        <v>3.71666666673264</v>
      </c>
      <c r="O313" s="22" t="str">
        <f ca="1" t="shared" si="24"/>
        <v>Within SLA</v>
      </c>
      <c r="P313" s="26" t="s">
        <v>1353</v>
      </c>
      <c r="Q313" s="24" t="s">
        <v>37</v>
      </c>
      <c r="R313" s="25"/>
      <c r="S313" s="25"/>
    </row>
    <row r="314" ht="27" customHeight="1" spans="1:19">
      <c r="A314" s="19" t="s">
        <v>1357</v>
      </c>
      <c r="B314" s="20" t="s">
        <v>30</v>
      </c>
      <c r="C314" s="20" t="s">
        <v>31</v>
      </c>
      <c r="D314" s="20" t="s">
        <v>32</v>
      </c>
      <c r="E314" s="21" t="s">
        <v>1358</v>
      </c>
      <c r="F314" s="21" t="s">
        <v>1359</v>
      </c>
      <c r="G314" s="20" t="s">
        <v>35</v>
      </c>
      <c r="H314" s="20" t="s">
        <v>25</v>
      </c>
      <c r="I314" s="21" t="s">
        <v>1360</v>
      </c>
      <c r="J314" s="22">
        <f t="shared" si="20"/>
        <v>0.0131944444437977</v>
      </c>
      <c r="K314" s="22">
        <f t="shared" si="21"/>
        <v>0.316666666651145</v>
      </c>
      <c r="L314" s="22">
        <f t="shared" si="22"/>
        <v>0.316666666651145</v>
      </c>
      <c r="M314" s="22" cm="1">
        <f ca="1" t="array" ref="M314">SUMPRODUCT(--(WEEKDAY(ROW(INDIRECT(INT(F314)&amp;":"&amp;INT(I314))),2)&gt;5))</f>
        <v>0</v>
      </c>
      <c r="N314" s="22">
        <f ca="1" t="shared" si="23"/>
        <v>0.316666666651145</v>
      </c>
      <c r="O314" s="22" t="str">
        <f ca="1" t="shared" si="24"/>
        <v>Within SLA</v>
      </c>
      <c r="P314" s="26" t="s">
        <v>1357</v>
      </c>
      <c r="Q314" s="24" t="s">
        <v>37</v>
      </c>
      <c r="R314" s="25"/>
      <c r="S314" s="25"/>
    </row>
    <row r="315" ht="39" customHeight="1" spans="1:19">
      <c r="A315" s="19" t="s">
        <v>1361</v>
      </c>
      <c r="B315" s="20" t="s">
        <v>196</v>
      </c>
      <c r="C315" s="20" t="s">
        <v>46</v>
      </c>
      <c r="D315" s="20" t="s">
        <v>32</v>
      </c>
      <c r="E315" s="21" t="s">
        <v>1362</v>
      </c>
      <c r="F315" s="21" t="s">
        <v>1363</v>
      </c>
      <c r="G315" s="20" t="s">
        <v>35</v>
      </c>
      <c r="H315" s="20" t="s">
        <v>25</v>
      </c>
      <c r="I315" s="21" t="s">
        <v>1364</v>
      </c>
      <c r="J315" s="22">
        <f t="shared" si="20"/>
        <v>0.0124999999970896</v>
      </c>
      <c r="K315" s="22">
        <f t="shared" si="21"/>
        <v>0.299999999930151</v>
      </c>
      <c r="L315" s="22">
        <f t="shared" si="22"/>
        <v>0.299999999930151</v>
      </c>
      <c r="M315" s="22" cm="1">
        <f ca="1" t="array" ref="M315">SUMPRODUCT(--(WEEKDAY(ROW(INDIRECT(INT(F315)&amp;":"&amp;INT(I315))),2)&gt;5))</f>
        <v>0</v>
      </c>
      <c r="N315" s="22">
        <f ca="1" t="shared" si="23"/>
        <v>0.299999999930151</v>
      </c>
      <c r="O315" s="22" t="str">
        <f ca="1" t="shared" si="24"/>
        <v>Within SLA</v>
      </c>
      <c r="P315" s="26" t="s">
        <v>1361</v>
      </c>
      <c r="Q315" s="24" t="s">
        <v>37</v>
      </c>
      <c r="R315" s="25"/>
      <c r="S315" s="25"/>
    </row>
    <row r="316" ht="39" customHeight="1" spans="1:19">
      <c r="A316" s="19" t="s">
        <v>1365</v>
      </c>
      <c r="B316" s="20" t="s">
        <v>19</v>
      </c>
      <c r="C316" s="20" t="s">
        <v>20</v>
      </c>
      <c r="D316" s="20" t="s">
        <v>115</v>
      </c>
      <c r="E316" s="21" t="s">
        <v>1366</v>
      </c>
      <c r="F316" s="21" t="s">
        <v>1367</v>
      </c>
      <c r="G316" s="20" t="s">
        <v>35</v>
      </c>
      <c r="H316" s="20" t="s">
        <v>25</v>
      </c>
      <c r="I316" s="21" t="s">
        <v>1368</v>
      </c>
      <c r="J316" s="22">
        <f t="shared" si="20"/>
        <v>42.9291666666686</v>
      </c>
      <c r="K316" s="22">
        <f t="shared" si="21"/>
        <v>1030.30000000005</v>
      </c>
      <c r="L316" s="22">
        <f t="shared" si="22"/>
        <v>342.300000000047</v>
      </c>
      <c r="M316" s="22" cm="1">
        <f ca="1" t="array" ref="M316">SUMPRODUCT(--(WEEKDAY(ROW(INDIRECT(INT(F316)&amp;":"&amp;INT(I316))),2)&gt;5))</f>
        <v>12</v>
      </c>
      <c r="N316" s="22">
        <f ca="1" t="shared" si="23"/>
        <v>246.300000000047</v>
      </c>
      <c r="O316" s="22" t="str">
        <f ca="1" t="shared" si="24"/>
        <v>SLA Violated</v>
      </c>
      <c r="P316" s="23" t="s">
        <v>1369</v>
      </c>
      <c r="Q316" s="24" t="s">
        <v>28</v>
      </c>
      <c r="R316" s="25"/>
      <c r="S316" s="25"/>
    </row>
    <row r="317" ht="39" customHeight="1" spans="1:19">
      <c r="A317" s="19" t="s">
        <v>1370</v>
      </c>
      <c r="B317" s="20" t="s">
        <v>19</v>
      </c>
      <c r="C317" s="20" t="s">
        <v>20</v>
      </c>
      <c r="D317" s="20" t="s">
        <v>32</v>
      </c>
      <c r="E317" s="21" t="s">
        <v>1371</v>
      </c>
      <c r="F317" s="21" t="s">
        <v>1372</v>
      </c>
      <c r="G317" s="20" t="s">
        <v>35</v>
      </c>
      <c r="H317" s="20" t="s">
        <v>25</v>
      </c>
      <c r="I317" s="21" t="s">
        <v>1373</v>
      </c>
      <c r="J317" s="22">
        <f t="shared" si="20"/>
        <v>0.0993055555591127</v>
      </c>
      <c r="K317" s="22">
        <f t="shared" si="21"/>
        <v>2.3833333334187</v>
      </c>
      <c r="L317" s="22">
        <f t="shared" si="22"/>
        <v>2.3833333334187</v>
      </c>
      <c r="M317" s="22" cm="1">
        <f ca="1" t="array" ref="M317">SUMPRODUCT(--(WEEKDAY(ROW(INDIRECT(INT(F317)&amp;":"&amp;INT(I317))),2)&gt;5))</f>
        <v>0</v>
      </c>
      <c r="N317" s="22">
        <f ca="1" t="shared" si="23"/>
        <v>2.3833333334187</v>
      </c>
      <c r="O317" s="22" t="str">
        <f ca="1" t="shared" si="24"/>
        <v>Within SLA</v>
      </c>
      <c r="P317" s="26" t="s">
        <v>1370</v>
      </c>
      <c r="Q317" s="24" t="s">
        <v>37</v>
      </c>
      <c r="R317" s="25"/>
      <c r="S317" s="25"/>
    </row>
    <row r="318" ht="39" customHeight="1" spans="1:19">
      <c r="A318" s="19" t="s">
        <v>1374</v>
      </c>
      <c r="B318" s="20" t="s">
        <v>19</v>
      </c>
      <c r="C318" s="20" t="s">
        <v>20</v>
      </c>
      <c r="D318" s="20" t="s">
        <v>21</v>
      </c>
      <c r="E318" s="21" t="s">
        <v>1371</v>
      </c>
      <c r="F318" s="21" t="s">
        <v>1375</v>
      </c>
      <c r="G318" s="20" t="s">
        <v>24</v>
      </c>
      <c r="H318" s="20" t="s">
        <v>25</v>
      </c>
      <c r="I318" s="21" t="s">
        <v>1376</v>
      </c>
      <c r="J318" s="22">
        <f t="shared" si="20"/>
        <v>43.2451388888876</v>
      </c>
      <c r="K318" s="22">
        <f t="shared" si="21"/>
        <v>1037.8833333333</v>
      </c>
      <c r="L318" s="22">
        <f t="shared" si="22"/>
        <v>349.883333333302</v>
      </c>
      <c r="M318" s="22" cm="1">
        <f ca="1" t="array" ref="M318">SUMPRODUCT(--(WEEKDAY(ROW(INDIRECT(INT(F318)&amp;":"&amp;INT(I318))),2)&gt;5))</f>
        <v>12</v>
      </c>
      <c r="N318" s="22">
        <f ca="1" t="shared" si="23"/>
        <v>253.883333333302</v>
      </c>
      <c r="O318" s="22" t="str">
        <f ca="1" t="shared" si="24"/>
        <v>SLA Violated</v>
      </c>
      <c r="P318" s="23" t="s">
        <v>1377</v>
      </c>
      <c r="Q318" s="24" t="s">
        <v>28</v>
      </c>
      <c r="R318" s="25"/>
      <c r="S318" s="25"/>
    </row>
    <row r="319" ht="39" customHeight="1" spans="1:19">
      <c r="A319" s="19" t="s">
        <v>1378</v>
      </c>
      <c r="B319" s="20" t="s">
        <v>19</v>
      </c>
      <c r="C319" s="20" t="s">
        <v>167</v>
      </c>
      <c r="D319" s="20" t="s">
        <v>32</v>
      </c>
      <c r="E319" s="21" t="s">
        <v>1379</v>
      </c>
      <c r="F319" s="21" t="s">
        <v>1380</v>
      </c>
      <c r="G319" s="20" t="s">
        <v>35</v>
      </c>
      <c r="H319" s="20" t="s">
        <v>25</v>
      </c>
      <c r="I319" s="21" t="s">
        <v>1381</v>
      </c>
      <c r="J319" s="22">
        <f t="shared" si="20"/>
        <v>0.0138888888905058</v>
      </c>
      <c r="K319" s="22">
        <f t="shared" si="21"/>
        <v>0.333333333372138</v>
      </c>
      <c r="L319" s="22">
        <f t="shared" si="22"/>
        <v>0.333333333372138</v>
      </c>
      <c r="M319" s="22" cm="1">
        <f ca="1" t="array" ref="M319">SUMPRODUCT(--(WEEKDAY(ROW(INDIRECT(INT(F319)&amp;":"&amp;INT(I319))),2)&gt;5))</f>
        <v>0</v>
      </c>
      <c r="N319" s="22">
        <f ca="1" t="shared" si="23"/>
        <v>0.333333333372138</v>
      </c>
      <c r="O319" s="22" t="str">
        <f ca="1" t="shared" si="24"/>
        <v>Within SLA</v>
      </c>
      <c r="P319" s="26" t="s">
        <v>1378</v>
      </c>
      <c r="Q319" s="24" t="s">
        <v>37</v>
      </c>
      <c r="R319" s="25"/>
      <c r="S319" s="25"/>
    </row>
    <row r="320" ht="39" customHeight="1" spans="1:19">
      <c r="A320" s="19" t="s">
        <v>1382</v>
      </c>
      <c r="B320" s="20" t="s">
        <v>196</v>
      </c>
      <c r="C320" s="20" t="s">
        <v>46</v>
      </c>
      <c r="D320" s="20" t="s">
        <v>21</v>
      </c>
      <c r="E320" s="21" t="s">
        <v>1383</v>
      </c>
      <c r="F320" s="21" t="s">
        <v>1384</v>
      </c>
      <c r="G320" s="20" t="s">
        <v>35</v>
      </c>
      <c r="H320" s="20" t="s">
        <v>25</v>
      </c>
      <c r="I320" s="21" t="s">
        <v>1385</v>
      </c>
      <c r="J320" s="22">
        <f t="shared" si="20"/>
        <v>0.0583333333343035</v>
      </c>
      <c r="K320" s="22">
        <f t="shared" si="21"/>
        <v>1.40000000002328</v>
      </c>
      <c r="L320" s="22">
        <f t="shared" si="22"/>
        <v>1.40000000002328</v>
      </c>
      <c r="M320" s="22" cm="1">
        <f ca="1" t="array" ref="M320">SUMPRODUCT(--(WEEKDAY(ROW(INDIRECT(INT(F320)&amp;":"&amp;INT(I320))),2)&gt;5))</f>
        <v>0</v>
      </c>
      <c r="N320" s="22">
        <f ca="1" t="shared" si="23"/>
        <v>1.40000000002328</v>
      </c>
      <c r="O320" s="22" t="str">
        <f ca="1" t="shared" si="24"/>
        <v>Within SLA</v>
      </c>
      <c r="P320" s="26" t="s">
        <v>1382</v>
      </c>
      <c r="Q320" s="24" t="s">
        <v>37</v>
      </c>
      <c r="R320" s="25"/>
      <c r="S320" s="25"/>
    </row>
    <row r="321" ht="39" customHeight="1" spans="1:20">
      <c r="A321" s="19" t="s">
        <v>1386</v>
      </c>
      <c r="B321" s="20" t="s">
        <v>19</v>
      </c>
      <c r="C321" s="20" t="s">
        <v>20</v>
      </c>
      <c r="D321" s="20" t="s">
        <v>32</v>
      </c>
      <c r="E321" s="21" t="s">
        <v>1387</v>
      </c>
      <c r="F321" s="21" t="s">
        <v>1388</v>
      </c>
      <c r="G321" s="20" t="s">
        <v>35</v>
      </c>
      <c r="H321" s="20" t="s">
        <v>25</v>
      </c>
      <c r="I321" s="21" t="s">
        <v>1389</v>
      </c>
      <c r="J321" s="22">
        <f t="shared" si="20"/>
        <v>0.015972222223354</v>
      </c>
      <c r="K321" s="22">
        <f t="shared" si="21"/>
        <v>0.383333333360497</v>
      </c>
      <c r="L321" s="22">
        <f t="shared" si="22"/>
        <v>0.383333333360497</v>
      </c>
      <c r="M321" s="22" cm="1">
        <f ca="1" t="array" ref="M321">SUMPRODUCT(--(WEEKDAY(ROW(INDIRECT(INT(F321)&amp;":"&amp;INT(I321))),2)&gt;5))</f>
        <v>0</v>
      </c>
      <c r="N321" s="22">
        <f ca="1" t="shared" si="23"/>
        <v>0.383333333360497</v>
      </c>
      <c r="O321" s="22" t="str">
        <f ca="1" t="shared" si="24"/>
        <v>Within SLA</v>
      </c>
      <c r="P321" s="26" t="s">
        <v>1386</v>
      </c>
      <c r="Q321" s="24" t="s">
        <v>37</v>
      </c>
      <c r="R321" s="25"/>
      <c r="S321" s="25"/>
    </row>
    <row r="322" ht="27" customHeight="1" spans="1:20">
      <c r="A322" s="19" t="s">
        <v>1390</v>
      </c>
      <c r="B322" s="20" t="s">
        <v>139</v>
      </c>
      <c r="C322" s="20" t="s">
        <v>67</v>
      </c>
      <c r="D322" s="20" t="s">
        <v>32</v>
      </c>
      <c r="E322" s="21" t="s">
        <v>1391</v>
      </c>
      <c r="F322" s="21" t="s">
        <v>1392</v>
      </c>
      <c r="G322" s="20" t="s">
        <v>35</v>
      </c>
      <c r="H322" s="20" t="s">
        <v>25</v>
      </c>
      <c r="I322" s="21" t="s">
        <v>1393</v>
      </c>
      <c r="J322" s="22">
        <f t="shared" si="20"/>
        <v>22.8416666666672</v>
      </c>
      <c r="K322" s="22">
        <f t="shared" si="21"/>
        <v>548.200000000012</v>
      </c>
      <c r="L322" s="22">
        <f t="shared" si="22"/>
        <v>180.200000000012</v>
      </c>
      <c r="M322" s="22" cm="1">
        <f ca="1" t="array" ref="M322">SUMPRODUCT(--(WEEKDAY(ROW(INDIRECT(INT(F322)&amp;":"&amp;INT(I322))),2)&gt;5))</f>
        <v>6</v>
      </c>
      <c r="N322" s="22">
        <f ca="1" t="shared" si="23"/>
        <v>132.200000000012</v>
      </c>
      <c r="O322" s="22" t="str">
        <f ca="1" t="shared" si="24"/>
        <v>SLA Violated</v>
      </c>
      <c r="P322" s="23" t="s">
        <v>1394</v>
      </c>
      <c r="Q322" s="24" t="s">
        <v>28</v>
      </c>
      <c r="R322" s="25"/>
      <c r="S322" s="25"/>
    </row>
    <row r="323" ht="27" customHeight="1" spans="1:20">
      <c r="A323" s="19" t="s">
        <v>1395</v>
      </c>
      <c r="B323" s="20" t="s">
        <v>139</v>
      </c>
      <c r="C323" s="20" t="s">
        <v>67</v>
      </c>
      <c r="D323" s="20" t="s">
        <v>32</v>
      </c>
      <c r="E323" s="21" t="s">
        <v>1396</v>
      </c>
      <c r="F323" s="21" t="s">
        <v>1397</v>
      </c>
      <c r="G323" s="20" t="s">
        <v>24</v>
      </c>
      <c r="H323" s="20" t="s">
        <v>25</v>
      </c>
      <c r="I323" s="21" t="s">
        <v>1398</v>
      </c>
      <c r="J323" s="22">
        <f t="shared" ref="J323:J386" si="25">F323-I323</f>
        <v>11.8854166666642</v>
      </c>
      <c r="K323" s="22">
        <f t="shared" ref="K323:K386" si="26">J323*24</f>
        <v>285.249999999942</v>
      </c>
      <c r="L323" s="22">
        <f t="shared" ref="L323:L386" si="27">IF(_xlfn.DAYS(F323,I323)&gt;0,K323-IF(FLOOR(J323,1)=0,1,_xlfn.DAYS(F323,I323))*16,K323)</f>
        <v>93.2499999999418</v>
      </c>
      <c r="M323" s="22" cm="1">
        <f ca="1" t="array" ref="M323">SUMPRODUCT(--(WEEKDAY(ROW(INDIRECT(INT(F323)&amp;":"&amp;INT(I323))),2)&gt;5))</f>
        <v>4</v>
      </c>
      <c r="N323" s="22">
        <f ca="1" t="shared" ref="N323:N386" si="28">IF(IF(M323&gt;0,L323-M323*8,L323)&lt;0,0,IF(M323&gt;0,L323-M323*8,L323))</f>
        <v>61.2499999999418</v>
      </c>
      <c r="O323" s="22" t="str">
        <f ca="1" t="shared" ref="O323:O386" si="29">IF(OR(AND(D323="P1",N323&lt;=3),AND(D323="P2",N323&lt;=6),AND(D323="P3",N323&lt;=9),AND(D323="P4",N323&lt;=12)),"Within SLA","SLA Violated")</f>
        <v>SLA Violated</v>
      </c>
      <c r="P323" s="23" t="s">
        <v>1399</v>
      </c>
      <c r="Q323" s="24" t="s">
        <v>37</v>
      </c>
      <c r="R323" s="25" t="s">
        <v>1400</v>
      </c>
      <c r="S323" s="25" t="s">
        <v>39</v>
      </c>
    </row>
    <row r="324" ht="39" customHeight="1" spans="1:20">
      <c r="A324" s="19" t="s">
        <v>1401</v>
      </c>
      <c r="B324" s="20" t="s">
        <v>19</v>
      </c>
      <c r="C324" s="20" t="s">
        <v>20</v>
      </c>
      <c r="D324" s="20" t="s">
        <v>115</v>
      </c>
      <c r="E324" s="21" t="s">
        <v>1396</v>
      </c>
      <c r="F324" s="21" t="s">
        <v>1402</v>
      </c>
      <c r="G324" s="20" t="s">
        <v>35</v>
      </c>
      <c r="H324" s="20" t="s">
        <v>25</v>
      </c>
      <c r="I324" s="21" t="s">
        <v>1403</v>
      </c>
      <c r="J324" s="22">
        <f t="shared" si="25"/>
        <v>4.87361111111386</v>
      </c>
      <c r="K324" s="22">
        <f t="shared" si="26"/>
        <v>116.966666666733</v>
      </c>
      <c r="L324" s="22">
        <f t="shared" si="27"/>
        <v>36.9666666667326</v>
      </c>
      <c r="M324" s="22" cm="1">
        <f ca="1" t="array" ref="M324">SUMPRODUCT(--(WEEKDAY(ROW(INDIRECT(INT(F324)&amp;":"&amp;INT(I324))),2)&gt;5))</f>
        <v>2</v>
      </c>
      <c r="N324" s="22">
        <f ca="1" t="shared" si="28"/>
        <v>20.9666666667326</v>
      </c>
      <c r="O324" s="22" t="str">
        <f ca="1" t="shared" si="29"/>
        <v>SLA Violated</v>
      </c>
      <c r="P324" s="26" t="s">
        <v>1401</v>
      </c>
      <c r="Q324" s="24" t="s">
        <v>37</v>
      </c>
      <c r="R324" s="6" t="s">
        <v>1084</v>
      </c>
      <c r="S324" s="25" t="s">
        <v>39</v>
      </c>
    </row>
    <row r="325" ht="39" customHeight="1" spans="1:20">
      <c r="A325" s="19" t="s">
        <v>1404</v>
      </c>
      <c r="B325" s="20" t="s">
        <v>19</v>
      </c>
      <c r="C325" s="20" t="s">
        <v>20</v>
      </c>
      <c r="D325" s="20" t="s">
        <v>32</v>
      </c>
      <c r="E325" s="21" t="s">
        <v>1396</v>
      </c>
      <c r="F325" s="21" t="s">
        <v>1405</v>
      </c>
      <c r="G325" s="20" t="s">
        <v>35</v>
      </c>
      <c r="H325" s="20" t="s">
        <v>25</v>
      </c>
      <c r="I325" s="21" t="s">
        <v>1406</v>
      </c>
      <c r="J325" s="22">
        <f t="shared" si="25"/>
        <v>0.00138888888614019</v>
      </c>
      <c r="K325" s="22">
        <f t="shared" si="26"/>
        <v>0.0333333332673647</v>
      </c>
      <c r="L325" s="22">
        <f t="shared" si="27"/>
        <v>0.0333333332673647</v>
      </c>
      <c r="M325" s="22" cm="1">
        <f ca="1" t="array" ref="M325">SUMPRODUCT(--(WEEKDAY(ROW(INDIRECT(INT(F325)&amp;":"&amp;INT(I325))),2)&gt;5))</f>
        <v>0</v>
      </c>
      <c r="N325" s="22">
        <f ca="1" t="shared" si="28"/>
        <v>0.0333333332673647</v>
      </c>
      <c r="O325" s="22" t="str">
        <f ca="1" t="shared" si="29"/>
        <v>Within SLA</v>
      </c>
      <c r="P325" s="26" t="s">
        <v>1404</v>
      </c>
      <c r="Q325" s="24" t="s">
        <v>37</v>
      </c>
      <c r="R325" s="25"/>
      <c r="S325" s="25"/>
    </row>
    <row r="326" ht="39" customHeight="1" spans="1:20">
      <c r="A326" s="19" t="s">
        <v>1407</v>
      </c>
      <c r="B326" s="20" t="s">
        <v>19</v>
      </c>
      <c r="C326" s="20" t="s">
        <v>20</v>
      </c>
      <c r="D326" s="20" t="s">
        <v>32</v>
      </c>
      <c r="E326" s="21" t="s">
        <v>1408</v>
      </c>
      <c r="F326" s="21" t="s">
        <v>1409</v>
      </c>
      <c r="G326" s="20" t="s">
        <v>35</v>
      </c>
      <c r="H326" s="20" t="s">
        <v>25</v>
      </c>
      <c r="I326" s="21" t="s">
        <v>1410</v>
      </c>
      <c r="J326" s="22">
        <f t="shared" si="25"/>
        <v>0.0562500000014552</v>
      </c>
      <c r="K326" s="22">
        <f t="shared" si="26"/>
        <v>1.35000000003492</v>
      </c>
      <c r="L326" s="22">
        <f t="shared" si="27"/>
        <v>1.35000000003492</v>
      </c>
      <c r="M326" s="22" cm="1">
        <f ca="1" t="array" ref="M326">SUMPRODUCT(--(WEEKDAY(ROW(INDIRECT(INT(F326)&amp;":"&amp;INT(I326))),2)&gt;5))</f>
        <v>0</v>
      </c>
      <c r="N326" s="22">
        <f ca="1" t="shared" si="28"/>
        <v>1.35000000003492</v>
      </c>
      <c r="O326" s="22" t="str">
        <f ca="1" t="shared" si="29"/>
        <v>Within SLA</v>
      </c>
      <c r="P326" s="26" t="s">
        <v>1407</v>
      </c>
      <c r="Q326" s="24" t="s">
        <v>37</v>
      </c>
      <c r="R326" s="25"/>
      <c r="S326" s="25"/>
    </row>
    <row r="327" ht="39" customHeight="1" spans="1:20">
      <c r="A327" s="19" t="s">
        <v>1411</v>
      </c>
      <c r="B327" s="20" t="s">
        <v>19</v>
      </c>
      <c r="C327" s="20" t="s">
        <v>20</v>
      </c>
      <c r="D327" s="20" t="s">
        <v>32</v>
      </c>
      <c r="E327" s="21" t="s">
        <v>1412</v>
      </c>
      <c r="F327" s="21" t="s">
        <v>1413</v>
      </c>
      <c r="G327" s="20" t="s">
        <v>35</v>
      </c>
      <c r="H327" s="20" t="s">
        <v>25</v>
      </c>
      <c r="I327" s="21" t="s">
        <v>1414</v>
      </c>
      <c r="J327" s="22">
        <f t="shared" si="25"/>
        <v>0.102777777778101</v>
      </c>
      <c r="K327" s="22">
        <f t="shared" si="26"/>
        <v>2.46666666667443</v>
      </c>
      <c r="L327" s="22">
        <f t="shared" si="27"/>
        <v>2.46666666667443</v>
      </c>
      <c r="M327" s="22" cm="1">
        <f ca="1" t="array" ref="M327">SUMPRODUCT(--(WEEKDAY(ROW(INDIRECT(INT(F327)&amp;":"&amp;INT(I327))),2)&gt;5))</f>
        <v>0</v>
      </c>
      <c r="N327" s="22">
        <f ca="1" t="shared" si="28"/>
        <v>2.46666666667443</v>
      </c>
      <c r="O327" s="22" t="str">
        <f ca="1" t="shared" si="29"/>
        <v>Within SLA</v>
      </c>
      <c r="P327" s="26" t="s">
        <v>1411</v>
      </c>
      <c r="Q327" s="24" t="s">
        <v>37</v>
      </c>
      <c r="R327" s="25"/>
      <c r="S327" s="25"/>
    </row>
    <row r="328" ht="27" customHeight="1" spans="1:20">
      <c r="A328" s="19" t="s">
        <v>1415</v>
      </c>
      <c r="B328" s="20" t="s">
        <v>30</v>
      </c>
      <c r="C328" s="20" t="s">
        <v>46</v>
      </c>
      <c r="D328" s="20" t="s">
        <v>21</v>
      </c>
      <c r="E328" s="21" t="s">
        <v>1393</v>
      </c>
      <c r="F328" s="21" t="s">
        <v>1416</v>
      </c>
      <c r="G328" s="20" t="s">
        <v>35</v>
      </c>
      <c r="H328" s="20" t="s">
        <v>25</v>
      </c>
      <c r="I328" s="21" t="s">
        <v>1417</v>
      </c>
      <c r="J328" s="22">
        <f t="shared" si="25"/>
        <v>0.0159722222160781</v>
      </c>
      <c r="K328" s="22">
        <f t="shared" si="26"/>
        <v>0.383333333185874</v>
      </c>
      <c r="L328" s="22">
        <f t="shared" si="27"/>
        <v>0.383333333185874</v>
      </c>
      <c r="M328" s="22" cm="1">
        <f ca="1" t="array" ref="M328">SUMPRODUCT(--(WEEKDAY(ROW(INDIRECT(INT(F328)&amp;":"&amp;INT(I328))),2)&gt;5))</f>
        <v>0</v>
      </c>
      <c r="N328" s="22">
        <f ca="1" t="shared" si="28"/>
        <v>0.383333333185874</v>
      </c>
      <c r="O328" s="22" t="str">
        <f ca="1" t="shared" si="29"/>
        <v>Within SLA</v>
      </c>
      <c r="P328" s="26" t="s">
        <v>1415</v>
      </c>
      <c r="Q328" s="24" t="s">
        <v>37</v>
      </c>
      <c r="R328" s="25"/>
      <c r="S328" s="25"/>
    </row>
    <row r="329" ht="16" customHeight="1" spans="1:20">
      <c r="A329" s="28" t="s">
        <v>1418</v>
      </c>
      <c r="B329" s="20" t="s">
        <v>100</v>
      </c>
      <c r="C329" s="20" t="s">
        <v>101</v>
      </c>
      <c r="D329" s="20" t="s">
        <v>32</v>
      </c>
      <c r="E329" s="21" t="s">
        <v>1410</v>
      </c>
      <c r="F329" s="21" t="s">
        <v>1419</v>
      </c>
      <c r="G329" s="20" t="s">
        <v>35</v>
      </c>
      <c r="H329" s="20" t="s">
        <v>25</v>
      </c>
      <c r="I329" s="21" t="s">
        <v>1420</v>
      </c>
      <c r="J329" s="22">
        <f t="shared" si="25"/>
        <v>4.97777777777083</v>
      </c>
      <c r="K329" s="22">
        <f t="shared" si="26"/>
        <v>119.4666666665</v>
      </c>
      <c r="L329" s="22">
        <f t="shared" si="27"/>
        <v>39.4666666664998</v>
      </c>
      <c r="M329" s="22" cm="1">
        <f ca="1" t="array" ref="M329">SUMPRODUCT(--(WEEKDAY(ROW(INDIRECT(INT(F329)&amp;":"&amp;INT(I329))),2)&gt;5))</f>
        <v>2</v>
      </c>
      <c r="N329" s="22">
        <f ca="1" t="shared" si="28"/>
        <v>23.4666666664998</v>
      </c>
      <c r="O329" s="22" t="str">
        <f ca="1" t="shared" si="29"/>
        <v>SLA Violated</v>
      </c>
      <c r="P329" s="26" t="s">
        <v>1421</v>
      </c>
      <c r="Q329" s="24" t="s">
        <v>37</v>
      </c>
      <c r="R329" s="25" t="s">
        <v>1020</v>
      </c>
      <c r="S329" s="25" t="s">
        <v>1422</v>
      </c>
    </row>
    <row r="330" ht="16" customHeight="1" spans="1:20">
      <c r="A330" s="19" t="s">
        <v>1423</v>
      </c>
      <c r="B330" s="20" t="s">
        <v>100</v>
      </c>
      <c r="C330" s="20" t="s">
        <v>101</v>
      </c>
      <c r="D330" s="20" t="s">
        <v>21</v>
      </c>
      <c r="E330" s="21" t="s">
        <v>1417</v>
      </c>
      <c r="F330" s="21" t="s">
        <v>1424</v>
      </c>
      <c r="G330" s="20" t="s">
        <v>35</v>
      </c>
      <c r="H330" s="20" t="s">
        <v>25</v>
      </c>
      <c r="I330" s="21" t="s">
        <v>1425</v>
      </c>
      <c r="J330" s="22">
        <f t="shared" si="25"/>
        <v>4.98124999999709</v>
      </c>
      <c r="K330" s="22">
        <f t="shared" si="26"/>
        <v>119.54999999993</v>
      </c>
      <c r="L330" s="22">
        <f t="shared" si="27"/>
        <v>39.5499999999302</v>
      </c>
      <c r="M330" s="22" cm="1">
        <f ca="1" t="array" ref="M330">SUMPRODUCT(--(WEEKDAY(ROW(INDIRECT(INT(F330)&amp;":"&amp;INT(I330))),2)&gt;5))</f>
        <v>2</v>
      </c>
      <c r="N330" s="22">
        <f ca="1" t="shared" si="28"/>
        <v>23.5499999999302</v>
      </c>
      <c r="O330" s="22" t="str">
        <f ca="1" t="shared" si="29"/>
        <v>SLA Violated</v>
      </c>
      <c r="P330" s="23" t="s">
        <v>1426</v>
      </c>
      <c r="Q330" s="24" t="s">
        <v>28</v>
      </c>
      <c r="R330" s="25"/>
      <c r="S330" s="25"/>
    </row>
    <row r="331" ht="27" customHeight="1" spans="1:20">
      <c r="A331" s="19" t="s">
        <v>1427</v>
      </c>
      <c r="B331" s="20" t="s">
        <v>121</v>
      </c>
      <c r="C331" s="20" t="s">
        <v>46</v>
      </c>
      <c r="D331" s="20" t="s">
        <v>32</v>
      </c>
      <c r="E331" s="21" t="s">
        <v>1428</v>
      </c>
      <c r="F331" s="21" t="s">
        <v>1429</v>
      </c>
      <c r="G331" s="20" t="s">
        <v>35</v>
      </c>
      <c r="H331" s="20" t="s">
        <v>25</v>
      </c>
      <c r="I331" s="21" t="s">
        <v>1430</v>
      </c>
      <c r="J331" s="22">
        <f t="shared" si="25"/>
        <v>0.0250000000014552</v>
      </c>
      <c r="K331" s="22">
        <f t="shared" si="26"/>
        <v>0.600000000034925</v>
      </c>
      <c r="L331" s="22">
        <f t="shared" si="27"/>
        <v>0.600000000034925</v>
      </c>
      <c r="M331" s="22" cm="1">
        <f ca="1" t="array" ref="M331">SUMPRODUCT(--(WEEKDAY(ROW(INDIRECT(INT(F331)&amp;":"&amp;INT(I331))),2)&gt;5))</f>
        <v>0</v>
      </c>
      <c r="N331" s="22">
        <f ca="1" t="shared" si="28"/>
        <v>0.600000000034925</v>
      </c>
      <c r="O331" s="22" t="str">
        <f ca="1" t="shared" si="29"/>
        <v>Within SLA</v>
      </c>
      <c r="P331" s="26" t="s">
        <v>1427</v>
      </c>
      <c r="Q331" s="24" t="s">
        <v>37</v>
      </c>
      <c r="R331" s="25"/>
      <c r="S331" s="25"/>
    </row>
    <row r="332" ht="16" customHeight="1" spans="1:20">
      <c r="A332" s="28" t="s">
        <v>1431</v>
      </c>
      <c r="B332" s="20" t="s">
        <v>100</v>
      </c>
      <c r="C332" s="20" t="s">
        <v>101</v>
      </c>
      <c r="D332" s="20" t="s">
        <v>32</v>
      </c>
      <c r="E332" s="21" t="s">
        <v>1432</v>
      </c>
      <c r="F332" s="21" t="s">
        <v>1433</v>
      </c>
      <c r="G332" s="20" t="s">
        <v>24</v>
      </c>
      <c r="H332" s="20" t="s">
        <v>25</v>
      </c>
      <c r="I332" s="21" t="s">
        <v>1434</v>
      </c>
      <c r="J332" s="22">
        <f t="shared" si="25"/>
        <v>32.8861111111109</v>
      </c>
      <c r="K332" s="22">
        <f t="shared" si="26"/>
        <v>789.266666666663</v>
      </c>
      <c r="L332" s="22">
        <f t="shared" si="27"/>
        <v>261.266666666663</v>
      </c>
      <c r="M332" s="22" cm="1">
        <f ca="1" t="array" ref="M332">SUMPRODUCT(--(WEEKDAY(ROW(INDIRECT(INT(F332)&amp;":"&amp;INT(I332))),2)&gt;5))</f>
        <v>10</v>
      </c>
      <c r="N332" s="22">
        <f ca="1" t="shared" si="28"/>
        <v>181.266666666663</v>
      </c>
      <c r="O332" s="22" t="str">
        <f ca="1" t="shared" si="29"/>
        <v>SLA Violated</v>
      </c>
      <c r="P332" s="26" t="s">
        <v>1435</v>
      </c>
      <c r="Q332" s="24" t="s">
        <v>37</v>
      </c>
      <c r="R332" s="25" t="s">
        <v>1020</v>
      </c>
      <c r="S332" s="25" t="s">
        <v>39</v>
      </c>
    </row>
    <row r="333" ht="16" customHeight="1" spans="1:20">
      <c r="A333" s="28" t="s">
        <v>1436</v>
      </c>
      <c r="B333" s="20" t="s">
        <v>100</v>
      </c>
      <c r="C333" s="20" t="s">
        <v>101</v>
      </c>
      <c r="D333" s="20" t="s">
        <v>32</v>
      </c>
      <c r="E333" s="21" t="s">
        <v>87</v>
      </c>
      <c r="F333" s="21" t="s">
        <v>1437</v>
      </c>
      <c r="G333" s="20" t="s">
        <v>35</v>
      </c>
      <c r="H333" s="20" t="s">
        <v>25</v>
      </c>
      <c r="I333" s="21" t="s">
        <v>1438</v>
      </c>
      <c r="J333" s="22">
        <f t="shared" si="25"/>
        <v>83.1270833333328</v>
      </c>
      <c r="K333" s="22">
        <f t="shared" si="26"/>
        <v>1995.04999999999</v>
      </c>
      <c r="L333" s="22">
        <f t="shared" si="27"/>
        <v>667.049999999988</v>
      </c>
      <c r="M333" s="22" cm="1">
        <f ca="1" t="array" ref="M333">SUMPRODUCT(--(WEEKDAY(ROW(INDIRECT(INT(F333)&amp;":"&amp;INT(I333))),2)&gt;5))</f>
        <v>24</v>
      </c>
      <c r="N333" s="22">
        <f ca="1" t="shared" si="28"/>
        <v>475.049999999988</v>
      </c>
      <c r="O333" s="22" t="str">
        <f ca="1" t="shared" si="29"/>
        <v>SLA Violated</v>
      </c>
      <c r="P333" s="26" t="s">
        <v>1439</v>
      </c>
      <c r="Q333" s="24" t="s">
        <v>37</v>
      </c>
      <c r="R333" s="25" t="s">
        <v>1440</v>
      </c>
      <c r="S333" s="25" t="s">
        <v>39</v>
      </c>
    </row>
    <row r="334" ht="27" customHeight="1" spans="1:20">
      <c r="A334" s="19" t="s">
        <v>1441</v>
      </c>
      <c r="B334" s="20" t="s">
        <v>30</v>
      </c>
      <c r="C334" s="20" t="s">
        <v>67</v>
      </c>
      <c r="D334" s="20" t="s">
        <v>32</v>
      </c>
      <c r="E334" s="21" t="s">
        <v>1442</v>
      </c>
      <c r="F334" s="21" t="s">
        <v>1443</v>
      </c>
      <c r="G334" s="20" t="s">
        <v>35</v>
      </c>
      <c r="H334" s="20" t="s">
        <v>25</v>
      </c>
      <c r="I334" s="21" t="s">
        <v>1444</v>
      </c>
      <c r="J334" s="22">
        <f t="shared" si="25"/>
        <v>7.85555555555766</v>
      </c>
      <c r="K334" s="22">
        <f t="shared" si="26"/>
        <v>188.533333333384</v>
      </c>
      <c r="L334" s="22">
        <f t="shared" si="27"/>
        <v>60.5333333333838</v>
      </c>
      <c r="M334" s="22" cm="1">
        <f ca="1" t="array" ref="M334">SUMPRODUCT(--(WEEKDAY(ROW(INDIRECT(INT(F334)&amp;":"&amp;INT(I334))),2)&gt;5))</f>
        <v>2</v>
      </c>
      <c r="N334" s="22">
        <f ca="1" t="shared" si="28"/>
        <v>44.5333333333838</v>
      </c>
      <c r="O334" s="22" t="str">
        <f ca="1" t="shared" si="29"/>
        <v>SLA Violated</v>
      </c>
      <c r="P334" s="23" t="s">
        <v>1445</v>
      </c>
      <c r="Q334" s="24" t="s">
        <v>28</v>
      </c>
      <c r="R334" s="25"/>
      <c r="S334" s="25"/>
      <c r="T334" s="27"/>
    </row>
    <row r="335" ht="39" customHeight="1" spans="1:20">
      <c r="A335" s="19" t="s">
        <v>1446</v>
      </c>
      <c r="B335" s="20" t="s">
        <v>19</v>
      </c>
      <c r="C335" s="20" t="s">
        <v>20</v>
      </c>
      <c r="D335" s="20" t="s">
        <v>32</v>
      </c>
      <c r="E335" s="21" t="s">
        <v>1447</v>
      </c>
      <c r="F335" s="21" t="s">
        <v>1448</v>
      </c>
      <c r="G335" s="20" t="s">
        <v>35</v>
      </c>
      <c r="H335" s="20" t="s">
        <v>25</v>
      </c>
      <c r="I335" s="21" t="s">
        <v>1449</v>
      </c>
      <c r="J335" s="22">
        <f t="shared" si="25"/>
        <v>0.0215277777751908</v>
      </c>
      <c r="K335" s="22">
        <f t="shared" si="26"/>
        <v>0.516666666604578</v>
      </c>
      <c r="L335" s="22">
        <f t="shared" si="27"/>
        <v>0.516666666604578</v>
      </c>
      <c r="M335" s="22" cm="1">
        <f ca="1" t="array" ref="M335">SUMPRODUCT(--(WEEKDAY(ROW(INDIRECT(INT(F335)&amp;":"&amp;INT(I335))),2)&gt;5))</f>
        <v>0</v>
      </c>
      <c r="N335" s="22">
        <f ca="1" t="shared" si="28"/>
        <v>0.516666666604578</v>
      </c>
      <c r="O335" s="22" t="str">
        <f ca="1" t="shared" si="29"/>
        <v>Within SLA</v>
      </c>
      <c r="P335" s="26" t="s">
        <v>1446</v>
      </c>
      <c r="Q335" s="24" t="s">
        <v>37</v>
      </c>
      <c r="R335" s="25"/>
      <c r="S335" s="25"/>
    </row>
    <row r="336" ht="39" customHeight="1" spans="1:20">
      <c r="A336" s="19" t="s">
        <v>1450</v>
      </c>
      <c r="B336" s="20" t="s">
        <v>19</v>
      </c>
      <c r="C336" s="20" t="s">
        <v>20</v>
      </c>
      <c r="D336" s="20" t="s">
        <v>32</v>
      </c>
      <c r="E336" s="21" t="s">
        <v>1451</v>
      </c>
      <c r="F336" s="21" t="s">
        <v>1452</v>
      </c>
      <c r="G336" s="20" t="s">
        <v>35</v>
      </c>
      <c r="H336" s="20" t="s">
        <v>25</v>
      </c>
      <c r="I336" s="21" t="s">
        <v>1453</v>
      </c>
      <c r="J336" s="22">
        <f t="shared" si="25"/>
        <v>0.973611111112405</v>
      </c>
      <c r="K336" s="22">
        <f t="shared" si="26"/>
        <v>23.3666666666977</v>
      </c>
      <c r="L336" s="22">
        <f t="shared" si="27"/>
        <v>7.36666666669771</v>
      </c>
      <c r="M336" s="22" cm="1">
        <f ca="1" t="array" ref="M336">SUMPRODUCT(--(WEEKDAY(ROW(INDIRECT(INT(F336)&amp;":"&amp;INT(I336))),2)&gt;5))</f>
        <v>0</v>
      </c>
      <c r="N336" s="22">
        <f ca="1" t="shared" si="28"/>
        <v>7.36666666669771</v>
      </c>
      <c r="O336" s="22" t="str">
        <f ca="1" t="shared" si="29"/>
        <v>Within SLA</v>
      </c>
      <c r="P336" s="26" t="s">
        <v>1450</v>
      </c>
      <c r="Q336" s="24" t="s">
        <v>37</v>
      </c>
      <c r="R336" s="25"/>
      <c r="S336" s="25"/>
    </row>
    <row r="337" ht="27" customHeight="1" spans="1:20">
      <c r="A337" s="19" t="s">
        <v>1454</v>
      </c>
      <c r="B337" s="20" t="s">
        <v>30</v>
      </c>
      <c r="C337" s="20" t="s">
        <v>67</v>
      </c>
      <c r="D337" s="20" t="s">
        <v>32</v>
      </c>
      <c r="E337" s="21" t="s">
        <v>1455</v>
      </c>
      <c r="F337" s="21" t="s">
        <v>1456</v>
      </c>
      <c r="G337" s="20" t="s">
        <v>24</v>
      </c>
      <c r="H337" s="20" t="s">
        <v>25</v>
      </c>
      <c r="I337" s="21" t="s">
        <v>1457</v>
      </c>
      <c r="J337" s="22">
        <f t="shared" si="25"/>
        <v>8.78263888888614</v>
      </c>
      <c r="K337" s="22">
        <f t="shared" si="26"/>
        <v>210.783333333267</v>
      </c>
      <c r="L337" s="22">
        <f t="shared" si="27"/>
        <v>66.7833333332674</v>
      </c>
      <c r="M337" s="22" cm="1">
        <f ca="1" t="array" ref="M337">SUMPRODUCT(--(WEEKDAY(ROW(INDIRECT(INT(F337)&amp;":"&amp;INT(I337))),2)&gt;5))</f>
        <v>2</v>
      </c>
      <c r="N337" s="22">
        <f ca="1" t="shared" si="28"/>
        <v>50.7833333332674</v>
      </c>
      <c r="O337" s="22" t="str">
        <f ca="1" t="shared" si="29"/>
        <v>SLA Violated</v>
      </c>
      <c r="P337" s="23" t="s">
        <v>1458</v>
      </c>
      <c r="Q337" s="24" t="s">
        <v>28</v>
      </c>
      <c r="R337" s="25"/>
      <c r="S337" s="25"/>
      <c r="T337" s="27"/>
    </row>
    <row r="338" ht="16" customHeight="1" spans="1:20">
      <c r="A338" s="28" t="s">
        <v>1459</v>
      </c>
      <c r="B338" s="20" t="s">
        <v>100</v>
      </c>
      <c r="C338" s="20" t="s">
        <v>101</v>
      </c>
      <c r="D338" s="20" t="s">
        <v>32</v>
      </c>
      <c r="E338" s="21" t="s">
        <v>1460</v>
      </c>
      <c r="F338" s="21" t="s">
        <v>1461</v>
      </c>
      <c r="G338" s="20" t="s">
        <v>35</v>
      </c>
      <c r="H338" s="20" t="s">
        <v>25</v>
      </c>
      <c r="I338" s="21" t="s">
        <v>1462</v>
      </c>
      <c r="J338" s="22">
        <f t="shared" si="25"/>
        <v>6.74791666666715</v>
      </c>
      <c r="K338" s="22">
        <f t="shared" si="26"/>
        <v>161.950000000012</v>
      </c>
      <c r="L338" s="22">
        <f t="shared" si="27"/>
        <v>49.9500000000116</v>
      </c>
      <c r="M338" s="22" cm="1">
        <f ca="1" t="array" ref="M338">SUMPRODUCT(--(WEEKDAY(ROW(INDIRECT(INT(F338)&amp;":"&amp;INT(I338))),2)&gt;5))</f>
        <v>2</v>
      </c>
      <c r="N338" s="22">
        <f ca="1" t="shared" si="28"/>
        <v>33.9500000000116</v>
      </c>
      <c r="O338" s="22" t="str">
        <f ca="1" t="shared" si="29"/>
        <v>SLA Violated</v>
      </c>
      <c r="P338" s="26" t="s">
        <v>1463</v>
      </c>
      <c r="Q338" s="24" t="s">
        <v>28</v>
      </c>
      <c r="R338" s="25"/>
      <c r="S338" s="25"/>
    </row>
    <row r="339" ht="16" customHeight="1" spans="1:20">
      <c r="A339" s="19" t="s">
        <v>1464</v>
      </c>
      <c r="B339" s="20" t="s">
        <v>100</v>
      </c>
      <c r="C339" s="20" t="s">
        <v>101</v>
      </c>
      <c r="D339" s="20" t="s">
        <v>21</v>
      </c>
      <c r="E339" s="21" t="s">
        <v>1465</v>
      </c>
      <c r="F339" s="21" t="s">
        <v>1424</v>
      </c>
      <c r="G339" s="20" t="s">
        <v>35</v>
      </c>
      <c r="H339" s="20" t="s">
        <v>25</v>
      </c>
      <c r="I339" s="21" t="s">
        <v>1466</v>
      </c>
      <c r="J339" s="22">
        <f t="shared" si="25"/>
        <v>4.8881944444438</v>
      </c>
      <c r="K339" s="22">
        <f t="shared" si="26"/>
        <v>117.316666666651</v>
      </c>
      <c r="L339" s="22">
        <f t="shared" si="27"/>
        <v>37.3166666666511</v>
      </c>
      <c r="M339" s="22" cm="1">
        <f ca="1" t="array" ref="M339">SUMPRODUCT(--(WEEKDAY(ROW(INDIRECT(INT(F339)&amp;":"&amp;INT(I339))),2)&gt;5))</f>
        <v>2</v>
      </c>
      <c r="N339" s="22">
        <f ca="1" t="shared" si="28"/>
        <v>21.3166666666511</v>
      </c>
      <c r="O339" s="22" t="str">
        <f ca="1" t="shared" si="29"/>
        <v>SLA Violated</v>
      </c>
      <c r="P339" s="23" t="s">
        <v>1467</v>
      </c>
      <c r="Q339" s="24" t="s">
        <v>28</v>
      </c>
      <c r="R339" s="25"/>
      <c r="S339" s="25"/>
    </row>
    <row r="340" ht="27" customHeight="1" spans="1:20">
      <c r="A340" s="19" t="s">
        <v>1468</v>
      </c>
      <c r="B340" s="20" t="s">
        <v>30</v>
      </c>
      <c r="C340" s="20" t="s">
        <v>31</v>
      </c>
      <c r="D340" s="20" t="s">
        <v>32</v>
      </c>
      <c r="E340" s="21" t="s">
        <v>1466</v>
      </c>
      <c r="F340" s="21" t="s">
        <v>1469</v>
      </c>
      <c r="G340" s="20" t="s">
        <v>35</v>
      </c>
      <c r="H340" s="20" t="s">
        <v>25</v>
      </c>
      <c r="I340" s="21" t="s">
        <v>1470</v>
      </c>
      <c r="J340" s="22">
        <f t="shared" si="25"/>
        <v>0.0291666666671517</v>
      </c>
      <c r="K340" s="22">
        <f t="shared" si="26"/>
        <v>0.700000000011642</v>
      </c>
      <c r="L340" s="22">
        <f t="shared" si="27"/>
        <v>0.700000000011642</v>
      </c>
      <c r="M340" s="22" cm="1">
        <f ca="1" t="array" ref="M340">SUMPRODUCT(--(WEEKDAY(ROW(INDIRECT(INT(F340)&amp;":"&amp;INT(I340))),2)&gt;5))</f>
        <v>0</v>
      </c>
      <c r="N340" s="22">
        <f ca="1" t="shared" si="28"/>
        <v>0.700000000011642</v>
      </c>
      <c r="O340" s="22" t="str">
        <f ca="1" t="shared" si="29"/>
        <v>Within SLA</v>
      </c>
      <c r="P340" s="26" t="s">
        <v>1468</v>
      </c>
      <c r="Q340" s="24" t="s">
        <v>37</v>
      </c>
      <c r="R340" s="25"/>
      <c r="S340" s="25"/>
    </row>
    <row r="341" ht="39" customHeight="1" spans="1:20">
      <c r="A341" s="19" t="s">
        <v>1471</v>
      </c>
      <c r="B341" s="20" t="s">
        <v>702</v>
      </c>
      <c r="C341" s="20" t="s">
        <v>46</v>
      </c>
      <c r="D341" s="20" t="s">
        <v>32</v>
      </c>
      <c r="E341" s="21" t="s">
        <v>1472</v>
      </c>
      <c r="F341" s="21" t="s">
        <v>1473</v>
      </c>
      <c r="G341" s="20" t="s">
        <v>35</v>
      </c>
      <c r="H341" s="20" t="s">
        <v>25</v>
      </c>
      <c r="I341" s="21" t="s">
        <v>1403</v>
      </c>
      <c r="J341" s="22">
        <f t="shared" si="25"/>
        <v>0.0486111111094942</v>
      </c>
      <c r="K341" s="22">
        <f t="shared" si="26"/>
        <v>1.16666666662786</v>
      </c>
      <c r="L341" s="22">
        <f t="shared" si="27"/>
        <v>1.16666666662786</v>
      </c>
      <c r="M341" s="22" cm="1">
        <f ca="1" t="array" ref="M341">SUMPRODUCT(--(WEEKDAY(ROW(INDIRECT(INT(F341)&amp;":"&amp;INT(I341))),2)&gt;5))</f>
        <v>0</v>
      </c>
      <c r="N341" s="22">
        <f ca="1" t="shared" si="28"/>
        <v>1.16666666662786</v>
      </c>
      <c r="O341" s="22" t="str">
        <f ca="1" t="shared" si="29"/>
        <v>Within SLA</v>
      </c>
      <c r="P341" s="26" t="s">
        <v>1471</v>
      </c>
      <c r="Q341" s="24" t="s">
        <v>37</v>
      </c>
      <c r="R341" s="25"/>
      <c r="S341" s="25"/>
    </row>
    <row r="342" ht="39" customHeight="1" spans="1:20">
      <c r="A342" s="19" t="s">
        <v>1474</v>
      </c>
      <c r="B342" s="20" t="s">
        <v>702</v>
      </c>
      <c r="C342" s="20" t="s">
        <v>46</v>
      </c>
      <c r="D342" s="20" t="s">
        <v>32</v>
      </c>
      <c r="E342" s="21" t="s">
        <v>1475</v>
      </c>
      <c r="F342" s="21" t="s">
        <v>1476</v>
      </c>
      <c r="G342" s="20" t="s">
        <v>35</v>
      </c>
      <c r="H342" s="20" t="s">
        <v>25</v>
      </c>
      <c r="I342" s="21" t="s">
        <v>1477</v>
      </c>
      <c r="J342" s="22">
        <f t="shared" si="25"/>
        <v>0.166666666664241</v>
      </c>
      <c r="K342" s="22">
        <f t="shared" si="26"/>
        <v>3.99999999994179</v>
      </c>
      <c r="L342" s="22">
        <f t="shared" si="27"/>
        <v>3.99999999994179</v>
      </c>
      <c r="M342" s="22" cm="1">
        <f ca="1" t="array" ref="M342">SUMPRODUCT(--(WEEKDAY(ROW(INDIRECT(INT(F342)&amp;":"&amp;INT(I342))),2)&gt;5))</f>
        <v>0</v>
      </c>
      <c r="N342" s="22">
        <f ca="1" t="shared" si="28"/>
        <v>3.99999999994179</v>
      </c>
      <c r="O342" s="22" t="str">
        <f ca="1" t="shared" si="29"/>
        <v>Within SLA</v>
      </c>
      <c r="P342" s="26" t="s">
        <v>1474</v>
      </c>
      <c r="Q342" s="24" t="s">
        <v>37</v>
      </c>
      <c r="R342" s="25"/>
      <c r="S342" s="25"/>
    </row>
    <row r="343" ht="39" customHeight="1" spans="1:20">
      <c r="A343" s="19" t="s">
        <v>1478</v>
      </c>
      <c r="B343" s="20" t="s">
        <v>19</v>
      </c>
      <c r="C343" s="20" t="s">
        <v>20</v>
      </c>
      <c r="D343" s="20" t="s">
        <v>32</v>
      </c>
      <c r="E343" s="21" t="s">
        <v>1479</v>
      </c>
      <c r="F343" s="21" t="s">
        <v>1480</v>
      </c>
      <c r="G343" s="20" t="s">
        <v>35</v>
      </c>
      <c r="H343" s="20" t="s">
        <v>25</v>
      </c>
      <c r="I343" s="21" t="s">
        <v>1481</v>
      </c>
      <c r="J343" s="22">
        <f t="shared" si="25"/>
        <v>0.0166666666627862</v>
      </c>
      <c r="K343" s="22">
        <f t="shared" si="26"/>
        <v>0.399999999906868</v>
      </c>
      <c r="L343" s="22">
        <f t="shared" si="27"/>
        <v>0.399999999906868</v>
      </c>
      <c r="M343" s="22" cm="1">
        <f ca="1" t="array" ref="M343">SUMPRODUCT(--(WEEKDAY(ROW(INDIRECT(INT(F343)&amp;":"&amp;INT(I343))),2)&gt;5))</f>
        <v>0</v>
      </c>
      <c r="N343" s="22">
        <f ca="1" t="shared" si="28"/>
        <v>0.399999999906868</v>
      </c>
      <c r="O343" s="22" t="str">
        <f ca="1" t="shared" si="29"/>
        <v>Within SLA</v>
      </c>
      <c r="P343" s="26" t="s">
        <v>1478</v>
      </c>
      <c r="Q343" s="24" t="s">
        <v>37</v>
      </c>
      <c r="R343" s="25"/>
      <c r="S343" s="25"/>
    </row>
    <row r="344" ht="39" customHeight="1" spans="1:20">
      <c r="A344" s="19" t="s">
        <v>1482</v>
      </c>
      <c r="B344" s="20" t="s">
        <v>196</v>
      </c>
      <c r="C344" s="20" t="s">
        <v>67</v>
      </c>
      <c r="D344" s="20" t="s">
        <v>21</v>
      </c>
      <c r="E344" s="21" t="s">
        <v>1479</v>
      </c>
      <c r="F344" s="21" t="s">
        <v>1483</v>
      </c>
      <c r="G344" s="20" t="s">
        <v>35</v>
      </c>
      <c r="H344" s="20" t="s">
        <v>25</v>
      </c>
      <c r="I344" s="21" t="s">
        <v>1484</v>
      </c>
      <c r="J344" s="22">
        <f t="shared" si="25"/>
        <v>0.0166666666700621</v>
      </c>
      <c r="K344" s="22">
        <f t="shared" si="26"/>
        <v>0.400000000081491</v>
      </c>
      <c r="L344" s="22">
        <f t="shared" si="27"/>
        <v>0.400000000081491</v>
      </c>
      <c r="M344" s="22" cm="1">
        <f ca="1" t="array" ref="M344">SUMPRODUCT(--(WEEKDAY(ROW(INDIRECT(INT(F344)&amp;":"&amp;INT(I344))),2)&gt;5))</f>
        <v>0</v>
      </c>
      <c r="N344" s="22">
        <f ca="1" t="shared" si="28"/>
        <v>0.400000000081491</v>
      </c>
      <c r="O344" s="22" t="str">
        <f ca="1" t="shared" si="29"/>
        <v>Within SLA</v>
      </c>
      <c r="P344" s="26" t="s">
        <v>1482</v>
      </c>
      <c r="Q344" s="24" t="s">
        <v>37</v>
      </c>
      <c r="R344" s="25"/>
      <c r="S344" s="25"/>
    </row>
    <row r="345" ht="27" customHeight="1" spans="1:20">
      <c r="A345" s="19" t="s">
        <v>1485</v>
      </c>
      <c r="B345" s="20" t="s">
        <v>30</v>
      </c>
      <c r="C345" s="20" t="s">
        <v>31</v>
      </c>
      <c r="D345" s="20" t="s">
        <v>115</v>
      </c>
      <c r="E345" s="21" t="s">
        <v>1486</v>
      </c>
      <c r="F345" s="21" t="s">
        <v>1487</v>
      </c>
      <c r="G345" s="20" t="s">
        <v>35</v>
      </c>
      <c r="H345" s="20" t="s">
        <v>25</v>
      </c>
      <c r="I345" s="21" t="s">
        <v>1488</v>
      </c>
      <c r="J345" s="22">
        <f t="shared" si="25"/>
        <v>14.9277777777752</v>
      </c>
      <c r="K345" s="22">
        <f t="shared" si="26"/>
        <v>358.266666666605</v>
      </c>
      <c r="L345" s="22">
        <f t="shared" si="27"/>
        <v>118.266666666605</v>
      </c>
      <c r="M345" s="22" cm="1">
        <f ca="1" t="array" ref="M345">SUMPRODUCT(--(WEEKDAY(ROW(INDIRECT(INT(F345)&amp;":"&amp;INT(I345))),2)&gt;5))</f>
        <v>4</v>
      </c>
      <c r="N345" s="22">
        <f ca="1" t="shared" si="28"/>
        <v>86.266666666605</v>
      </c>
      <c r="O345" s="22" t="str">
        <f ca="1" t="shared" si="29"/>
        <v>SLA Violated</v>
      </c>
      <c r="P345" s="26" t="s">
        <v>1485</v>
      </c>
      <c r="Q345" s="24" t="s">
        <v>37</v>
      </c>
      <c r="R345" s="6" t="s">
        <v>1489</v>
      </c>
      <c r="S345" s="25" t="s">
        <v>39</v>
      </c>
    </row>
    <row r="346" ht="39" customHeight="1" spans="1:20">
      <c r="A346" s="19" t="s">
        <v>1490</v>
      </c>
      <c r="B346" s="20" t="s">
        <v>19</v>
      </c>
      <c r="C346" s="20" t="s">
        <v>20</v>
      </c>
      <c r="D346" s="20" t="s">
        <v>32</v>
      </c>
      <c r="E346" s="21" t="s">
        <v>1491</v>
      </c>
      <c r="F346" s="21" t="s">
        <v>1492</v>
      </c>
      <c r="G346" s="20" t="s">
        <v>35</v>
      </c>
      <c r="H346" s="20" t="s">
        <v>25</v>
      </c>
      <c r="I346" s="21" t="s">
        <v>1493</v>
      </c>
      <c r="J346" s="22">
        <f t="shared" si="25"/>
        <v>0.629166666665697</v>
      </c>
      <c r="K346" s="22">
        <f t="shared" si="26"/>
        <v>15.0999999999767</v>
      </c>
      <c r="L346" s="22">
        <f t="shared" si="27"/>
        <v>-0.900000000023283</v>
      </c>
      <c r="M346" s="22" cm="1">
        <f ca="1" t="array" ref="M346">SUMPRODUCT(--(WEEKDAY(ROW(INDIRECT(INT(F346)&amp;":"&amp;INT(I346))),2)&gt;5))</f>
        <v>0</v>
      </c>
      <c r="N346" s="22">
        <f ca="1" t="shared" si="28"/>
        <v>0</v>
      </c>
      <c r="O346" s="22" t="str">
        <f ca="1" t="shared" si="29"/>
        <v>Within SLA</v>
      </c>
      <c r="P346" s="26" t="s">
        <v>1490</v>
      </c>
      <c r="Q346" s="24" t="s">
        <v>37</v>
      </c>
      <c r="R346" s="25"/>
      <c r="S346" s="25"/>
    </row>
    <row r="347" ht="27" customHeight="1" spans="1:20">
      <c r="A347" s="19" t="s">
        <v>1494</v>
      </c>
      <c r="B347" s="20" t="s">
        <v>1047</v>
      </c>
      <c r="C347" s="20" t="s">
        <v>101</v>
      </c>
      <c r="D347" s="20" t="s">
        <v>32</v>
      </c>
      <c r="E347" s="21" t="s">
        <v>1491</v>
      </c>
      <c r="F347" s="21" t="s">
        <v>1419</v>
      </c>
      <c r="G347" s="20" t="s">
        <v>35</v>
      </c>
      <c r="H347" s="20" t="s">
        <v>25</v>
      </c>
      <c r="I347" s="21" t="s">
        <v>1495</v>
      </c>
      <c r="J347" s="22">
        <f t="shared" si="25"/>
        <v>4.86041666666279</v>
      </c>
      <c r="K347" s="22">
        <f t="shared" si="26"/>
        <v>116.649999999907</v>
      </c>
      <c r="L347" s="22">
        <f t="shared" si="27"/>
        <v>36.6499999999069</v>
      </c>
      <c r="M347" s="22" cm="1">
        <f ca="1" t="array" ref="M347">SUMPRODUCT(--(WEEKDAY(ROW(INDIRECT(INT(F347)&amp;":"&amp;INT(I347))),2)&gt;5))</f>
        <v>2</v>
      </c>
      <c r="N347" s="22">
        <f ca="1" t="shared" si="28"/>
        <v>20.6499999999069</v>
      </c>
      <c r="O347" s="22" t="str">
        <f ca="1" t="shared" si="29"/>
        <v>SLA Violated</v>
      </c>
      <c r="P347" s="23" t="s">
        <v>1496</v>
      </c>
      <c r="Q347" s="24" t="s">
        <v>37</v>
      </c>
      <c r="R347" s="25" t="s">
        <v>1020</v>
      </c>
      <c r="S347" s="25" t="s">
        <v>39</v>
      </c>
    </row>
    <row r="348" ht="27" customHeight="1" spans="1:20">
      <c r="A348" s="19" t="s">
        <v>1497</v>
      </c>
      <c r="B348" s="20" t="s">
        <v>139</v>
      </c>
      <c r="C348" s="20" t="s">
        <v>67</v>
      </c>
      <c r="D348" s="20" t="s">
        <v>21</v>
      </c>
      <c r="E348" s="21" t="s">
        <v>1498</v>
      </c>
      <c r="F348" s="21" t="s">
        <v>1499</v>
      </c>
      <c r="G348" s="20" t="s">
        <v>35</v>
      </c>
      <c r="H348" s="20" t="s">
        <v>25</v>
      </c>
      <c r="I348" s="21" t="s">
        <v>1500</v>
      </c>
      <c r="J348" s="22">
        <f t="shared" si="25"/>
        <v>26.195138888892</v>
      </c>
      <c r="K348" s="22">
        <f t="shared" si="26"/>
        <v>628.683333333407</v>
      </c>
      <c r="L348" s="22">
        <f t="shared" si="27"/>
        <v>212.683333333407</v>
      </c>
      <c r="M348" s="22" cm="1">
        <f ca="1" t="array" ref="M348">SUMPRODUCT(--(WEEKDAY(ROW(INDIRECT(INT(F348)&amp;":"&amp;INT(I348))),2)&gt;5))</f>
        <v>8</v>
      </c>
      <c r="N348" s="22">
        <f ca="1" t="shared" si="28"/>
        <v>148.683333333407</v>
      </c>
      <c r="O348" s="22" t="str">
        <f ca="1" t="shared" si="29"/>
        <v>SLA Violated</v>
      </c>
      <c r="P348" s="23" t="s">
        <v>1501</v>
      </c>
      <c r="Q348" s="24" t="s">
        <v>28</v>
      </c>
      <c r="R348" s="25"/>
      <c r="S348" s="25"/>
    </row>
    <row r="349" ht="39" customHeight="1" spans="1:20">
      <c r="A349" s="19" t="s">
        <v>1502</v>
      </c>
      <c r="B349" s="20" t="s">
        <v>19</v>
      </c>
      <c r="C349" s="20" t="s">
        <v>20</v>
      </c>
      <c r="D349" s="20" t="s">
        <v>32</v>
      </c>
      <c r="E349" s="21" t="s">
        <v>1503</v>
      </c>
      <c r="F349" s="21" t="s">
        <v>1504</v>
      </c>
      <c r="G349" s="20" t="s">
        <v>35</v>
      </c>
      <c r="H349" s="20" t="s">
        <v>25</v>
      </c>
      <c r="I349" s="21" t="s">
        <v>1505</v>
      </c>
      <c r="J349" s="22">
        <f t="shared" si="25"/>
        <v>0.0423611111109494</v>
      </c>
      <c r="K349" s="22">
        <f t="shared" si="26"/>
        <v>1.01666666666279</v>
      </c>
      <c r="L349" s="22">
        <f t="shared" si="27"/>
        <v>1.01666666666279</v>
      </c>
      <c r="M349" s="22" cm="1">
        <f ca="1" t="array" ref="M349">SUMPRODUCT(--(WEEKDAY(ROW(INDIRECT(INT(F349)&amp;":"&amp;INT(I349))),2)&gt;5))</f>
        <v>0</v>
      </c>
      <c r="N349" s="22">
        <f ca="1" t="shared" si="28"/>
        <v>1.01666666666279</v>
      </c>
      <c r="O349" s="22" t="str">
        <f ca="1" t="shared" si="29"/>
        <v>Within SLA</v>
      </c>
      <c r="P349" s="26" t="s">
        <v>1502</v>
      </c>
      <c r="Q349" s="24" t="s">
        <v>37</v>
      </c>
      <c r="R349" s="25"/>
      <c r="S349" s="25"/>
    </row>
    <row r="350" ht="27" customHeight="1" spans="1:20">
      <c r="A350" s="19" t="s">
        <v>1506</v>
      </c>
      <c r="B350" s="20" t="s">
        <v>30</v>
      </c>
      <c r="C350" s="20" t="s">
        <v>31</v>
      </c>
      <c r="D350" s="20" t="s">
        <v>32</v>
      </c>
      <c r="E350" s="21" t="s">
        <v>1507</v>
      </c>
      <c r="F350" s="21" t="s">
        <v>1508</v>
      </c>
      <c r="G350" s="20" t="s">
        <v>35</v>
      </c>
      <c r="H350" s="20" t="s">
        <v>25</v>
      </c>
      <c r="I350" s="21" t="s">
        <v>1509</v>
      </c>
      <c r="J350" s="22">
        <f t="shared" si="25"/>
        <v>0.226388888891961</v>
      </c>
      <c r="K350" s="22">
        <f t="shared" si="26"/>
        <v>5.43333333340706</v>
      </c>
      <c r="L350" s="22">
        <f t="shared" si="27"/>
        <v>5.43333333340706</v>
      </c>
      <c r="M350" s="22" cm="1">
        <f ca="1" t="array" ref="M350">SUMPRODUCT(--(WEEKDAY(ROW(INDIRECT(INT(F350)&amp;":"&amp;INT(I350))),2)&gt;5))</f>
        <v>0</v>
      </c>
      <c r="N350" s="22">
        <f ca="1" t="shared" si="28"/>
        <v>5.43333333340706</v>
      </c>
      <c r="O350" s="22" t="str">
        <f ca="1" t="shared" si="29"/>
        <v>Within SLA</v>
      </c>
      <c r="P350" s="26" t="s">
        <v>1506</v>
      </c>
      <c r="Q350" s="24" t="s">
        <v>37</v>
      </c>
      <c r="R350" s="25"/>
      <c r="S350" s="25"/>
    </row>
    <row r="351" ht="27" customHeight="1" spans="1:20">
      <c r="A351" s="19" t="s">
        <v>1510</v>
      </c>
      <c r="B351" s="20" t="s">
        <v>30</v>
      </c>
      <c r="C351" s="20" t="s">
        <v>31</v>
      </c>
      <c r="D351" s="20" t="s">
        <v>32</v>
      </c>
      <c r="E351" s="21" t="s">
        <v>1511</v>
      </c>
      <c r="F351" s="21" t="s">
        <v>1512</v>
      </c>
      <c r="G351" s="20" t="s">
        <v>24</v>
      </c>
      <c r="H351" s="20" t="s">
        <v>25</v>
      </c>
      <c r="I351" s="21" t="s">
        <v>1513</v>
      </c>
      <c r="J351" s="22">
        <f t="shared" si="25"/>
        <v>0.0666666666656965</v>
      </c>
      <c r="K351" s="22">
        <f t="shared" si="26"/>
        <v>1.59999999997672</v>
      </c>
      <c r="L351" s="22">
        <f t="shared" si="27"/>
        <v>1.59999999997672</v>
      </c>
      <c r="M351" s="22" cm="1">
        <f ca="1" t="array" ref="M351">SUMPRODUCT(--(WEEKDAY(ROW(INDIRECT(INT(F351)&amp;":"&amp;INT(I351))),2)&gt;5))</f>
        <v>0</v>
      </c>
      <c r="N351" s="22">
        <f ca="1" t="shared" si="28"/>
        <v>1.59999999997672</v>
      </c>
      <c r="O351" s="22" t="str">
        <f ca="1" t="shared" si="29"/>
        <v>Within SLA</v>
      </c>
      <c r="P351" s="26" t="s">
        <v>1510</v>
      </c>
      <c r="Q351" s="24" t="s">
        <v>37</v>
      </c>
      <c r="R351" s="25"/>
      <c r="S351" s="25"/>
    </row>
    <row r="352" ht="39" customHeight="1" spans="1:20">
      <c r="A352" s="19" t="s">
        <v>1514</v>
      </c>
      <c r="B352" s="20" t="s">
        <v>19</v>
      </c>
      <c r="C352" s="20" t="s">
        <v>20</v>
      </c>
      <c r="D352" s="20" t="s">
        <v>32</v>
      </c>
      <c r="E352" s="21" t="s">
        <v>1515</v>
      </c>
      <c r="F352" s="21" t="s">
        <v>1516</v>
      </c>
      <c r="G352" s="20" t="s">
        <v>35</v>
      </c>
      <c r="H352" s="20" t="s">
        <v>25</v>
      </c>
      <c r="I352" s="21" t="s">
        <v>1517</v>
      </c>
      <c r="J352" s="22">
        <f t="shared" si="25"/>
        <v>4.15069444444816</v>
      </c>
      <c r="K352" s="22">
        <f t="shared" si="26"/>
        <v>99.6166666667559</v>
      </c>
      <c r="L352" s="22">
        <f t="shared" si="27"/>
        <v>35.6166666667559</v>
      </c>
      <c r="M352" s="22" cm="1">
        <f ca="1" t="array" ref="M352">SUMPRODUCT(--(WEEKDAY(ROW(INDIRECT(INT(F352)&amp;":"&amp;INT(I352))),2)&gt;5))</f>
        <v>2</v>
      </c>
      <c r="N352" s="22">
        <f ca="1" t="shared" si="28"/>
        <v>19.6166666667559</v>
      </c>
      <c r="O352" s="22" t="str">
        <f ca="1" t="shared" si="29"/>
        <v>SLA Violated</v>
      </c>
      <c r="P352" s="23" t="s">
        <v>1518</v>
      </c>
      <c r="Q352" s="24" t="s">
        <v>28</v>
      </c>
      <c r="R352" s="25"/>
      <c r="S352" s="25"/>
    </row>
    <row r="353" ht="39" customHeight="1" spans="1:20">
      <c r="A353" s="19" t="s">
        <v>1519</v>
      </c>
      <c r="B353" s="20" t="s">
        <v>196</v>
      </c>
      <c r="C353" s="20" t="s">
        <v>46</v>
      </c>
      <c r="D353" s="20" t="s">
        <v>32</v>
      </c>
      <c r="E353" s="21" t="s">
        <v>1520</v>
      </c>
      <c r="F353" s="21" t="s">
        <v>1521</v>
      </c>
      <c r="G353" s="20" t="s">
        <v>35</v>
      </c>
      <c r="H353" s="20" t="s">
        <v>25</v>
      </c>
      <c r="I353" s="21" t="s">
        <v>1522</v>
      </c>
      <c r="J353" s="22">
        <f t="shared" si="25"/>
        <v>0.0451388888905058</v>
      </c>
      <c r="K353" s="22">
        <f t="shared" si="26"/>
        <v>1.08333333337214</v>
      </c>
      <c r="L353" s="22">
        <f t="shared" si="27"/>
        <v>1.08333333337214</v>
      </c>
      <c r="M353" s="22" cm="1">
        <f ca="1" t="array" ref="M353">SUMPRODUCT(--(WEEKDAY(ROW(INDIRECT(INT(F353)&amp;":"&amp;INT(I353))),2)&gt;5))</f>
        <v>0</v>
      </c>
      <c r="N353" s="22">
        <f ca="1" t="shared" si="28"/>
        <v>1.08333333337214</v>
      </c>
      <c r="O353" s="22" t="str">
        <f ca="1" t="shared" si="29"/>
        <v>Within SLA</v>
      </c>
      <c r="P353" s="26" t="s">
        <v>1519</v>
      </c>
      <c r="Q353" s="24" t="s">
        <v>37</v>
      </c>
      <c r="R353" s="25"/>
      <c r="S353" s="25"/>
    </row>
    <row r="354" ht="27" customHeight="1" spans="1:20">
      <c r="A354" s="19" t="s">
        <v>1523</v>
      </c>
      <c r="B354" s="20" t="s">
        <v>30</v>
      </c>
      <c r="C354" s="20" t="s">
        <v>46</v>
      </c>
      <c r="D354" s="20" t="s">
        <v>32</v>
      </c>
      <c r="E354" s="21" t="s">
        <v>1513</v>
      </c>
      <c r="F354" s="21" t="s">
        <v>1524</v>
      </c>
      <c r="G354" s="20" t="s">
        <v>35</v>
      </c>
      <c r="H354" s="20" t="s">
        <v>25</v>
      </c>
      <c r="I354" s="21" t="s">
        <v>1525</v>
      </c>
      <c r="J354" s="22">
        <f t="shared" si="25"/>
        <v>0.0402777777708252</v>
      </c>
      <c r="K354" s="22">
        <f t="shared" si="26"/>
        <v>0.966666666499805</v>
      </c>
      <c r="L354" s="22">
        <f t="shared" si="27"/>
        <v>0.966666666499805</v>
      </c>
      <c r="M354" s="22" cm="1">
        <f ca="1" t="array" ref="M354">SUMPRODUCT(--(WEEKDAY(ROW(INDIRECT(INT(F354)&amp;":"&amp;INT(I354))),2)&gt;5))</f>
        <v>0</v>
      </c>
      <c r="N354" s="22">
        <f ca="1" t="shared" si="28"/>
        <v>0.966666666499805</v>
      </c>
      <c r="O354" s="22" t="str">
        <f ca="1" t="shared" si="29"/>
        <v>Within SLA</v>
      </c>
      <c r="P354" s="26" t="s">
        <v>1523</v>
      </c>
      <c r="Q354" s="24" t="s">
        <v>37</v>
      </c>
      <c r="R354" s="25"/>
      <c r="S354" s="25"/>
    </row>
    <row r="355" ht="27" customHeight="1" spans="1:20">
      <c r="A355" s="19" t="s">
        <v>1526</v>
      </c>
      <c r="B355" s="20" t="s">
        <v>30</v>
      </c>
      <c r="C355" s="20" t="s">
        <v>31</v>
      </c>
      <c r="D355" s="20" t="s">
        <v>32</v>
      </c>
      <c r="E355" s="21" t="s">
        <v>1527</v>
      </c>
      <c r="F355" s="21" t="s">
        <v>1528</v>
      </c>
      <c r="G355" s="20" t="s">
        <v>35</v>
      </c>
      <c r="H355" s="20" t="s">
        <v>25</v>
      </c>
      <c r="I355" s="21" t="s">
        <v>1529</v>
      </c>
      <c r="J355" s="22">
        <f t="shared" si="25"/>
        <v>0.047222222223354</v>
      </c>
      <c r="K355" s="22">
        <f t="shared" si="26"/>
        <v>1.1333333333605</v>
      </c>
      <c r="L355" s="22">
        <f t="shared" si="27"/>
        <v>1.1333333333605</v>
      </c>
      <c r="M355" s="22" cm="1">
        <f ca="1" t="array" ref="M355">SUMPRODUCT(--(WEEKDAY(ROW(INDIRECT(INT(F355)&amp;":"&amp;INT(I355))),2)&gt;5))</f>
        <v>0</v>
      </c>
      <c r="N355" s="22">
        <f ca="1" t="shared" si="28"/>
        <v>1.1333333333605</v>
      </c>
      <c r="O355" s="22" t="str">
        <f ca="1" t="shared" si="29"/>
        <v>Within SLA</v>
      </c>
      <c r="P355" s="26" t="s">
        <v>1526</v>
      </c>
      <c r="Q355" s="24" t="s">
        <v>37</v>
      </c>
      <c r="R355" s="25"/>
      <c r="S355" s="25"/>
    </row>
    <row r="356" ht="39" customHeight="1" spans="1:20">
      <c r="A356" s="19" t="s">
        <v>1530</v>
      </c>
      <c r="B356" s="20" t="s">
        <v>702</v>
      </c>
      <c r="C356" s="20" t="s">
        <v>101</v>
      </c>
      <c r="D356" s="20" t="s">
        <v>32</v>
      </c>
      <c r="E356" s="21" t="s">
        <v>1339</v>
      </c>
      <c r="F356" s="21" t="s">
        <v>1531</v>
      </c>
      <c r="G356" s="20" t="s">
        <v>35</v>
      </c>
      <c r="H356" s="20" t="s">
        <v>25</v>
      </c>
      <c r="I356" s="21" t="s">
        <v>1532</v>
      </c>
      <c r="J356" s="22">
        <f t="shared" si="25"/>
        <v>1.00833333333139</v>
      </c>
      <c r="K356" s="22">
        <f t="shared" si="26"/>
        <v>24.1999999999534</v>
      </c>
      <c r="L356" s="22">
        <f t="shared" si="27"/>
        <v>8.19999999995343</v>
      </c>
      <c r="M356" s="22" cm="1">
        <f ca="1" t="array" ref="M356">SUMPRODUCT(--(WEEKDAY(ROW(INDIRECT(INT(F356)&amp;":"&amp;INT(I356))),2)&gt;5))</f>
        <v>0</v>
      </c>
      <c r="N356" s="22">
        <f ca="1" t="shared" si="28"/>
        <v>8.19999999995343</v>
      </c>
      <c r="O356" s="22" t="str">
        <f ca="1" t="shared" si="29"/>
        <v>Within SLA</v>
      </c>
      <c r="P356" s="26" t="s">
        <v>1530</v>
      </c>
      <c r="Q356" s="24" t="s">
        <v>37</v>
      </c>
      <c r="R356" s="25"/>
      <c r="S356" s="25"/>
    </row>
    <row r="357" ht="39" customHeight="1" spans="1:20">
      <c r="A357" s="19" t="s">
        <v>1533</v>
      </c>
      <c r="B357" s="20" t="s">
        <v>19</v>
      </c>
      <c r="C357" s="20" t="s">
        <v>20</v>
      </c>
      <c r="D357" s="20" t="s">
        <v>32</v>
      </c>
      <c r="E357" s="21" t="s">
        <v>1534</v>
      </c>
      <c r="F357" s="21" t="s">
        <v>1535</v>
      </c>
      <c r="G357" s="20" t="s">
        <v>35</v>
      </c>
      <c r="H357" s="20" t="s">
        <v>25</v>
      </c>
      <c r="I357" s="21" t="s">
        <v>1536</v>
      </c>
      <c r="J357" s="22">
        <f t="shared" si="25"/>
        <v>0.0215277777751908</v>
      </c>
      <c r="K357" s="22">
        <f t="shared" si="26"/>
        <v>0.516666666604578</v>
      </c>
      <c r="L357" s="22">
        <f t="shared" si="27"/>
        <v>0.516666666604578</v>
      </c>
      <c r="M357" s="22" cm="1">
        <f ca="1" t="array" ref="M357">SUMPRODUCT(--(WEEKDAY(ROW(INDIRECT(INT(F357)&amp;":"&amp;INT(I357))),2)&gt;5))</f>
        <v>0</v>
      </c>
      <c r="N357" s="22">
        <f ca="1" t="shared" si="28"/>
        <v>0.516666666604578</v>
      </c>
      <c r="O357" s="22" t="str">
        <f ca="1" t="shared" si="29"/>
        <v>Within SLA</v>
      </c>
      <c r="P357" s="26" t="s">
        <v>1533</v>
      </c>
      <c r="Q357" s="24" t="s">
        <v>37</v>
      </c>
      <c r="R357" s="25"/>
      <c r="S357" s="25"/>
    </row>
    <row r="358" ht="16" customHeight="1" spans="1:20">
      <c r="A358" s="19" t="s">
        <v>1537</v>
      </c>
      <c r="B358" s="20" t="s">
        <v>45</v>
      </c>
      <c r="C358" s="20" t="s">
        <v>67</v>
      </c>
      <c r="D358" s="20" t="s">
        <v>32</v>
      </c>
      <c r="E358" s="21" t="s">
        <v>1538</v>
      </c>
      <c r="F358" s="21" t="s">
        <v>1539</v>
      </c>
      <c r="G358" s="20" t="s">
        <v>35</v>
      </c>
      <c r="H358" s="20" t="s">
        <v>25</v>
      </c>
      <c r="I358" s="21" t="s">
        <v>1540</v>
      </c>
      <c r="J358" s="22">
        <f t="shared" si="25"/>
        <v>21.9881944444496</v>
      </c>
      <c r="K358" s="22">
        <f t="shared" si="26"/>
        <v>527.716666666791</v>
      </c>
      <c r="L358" s="22">
        <f t="shared" si="27"/>
        <v>175.716666666791</v>
      </c>
      <c r="M358" s="22" cm="1">
        <f ca="1" t="array" ref="M358">SUMPRODUCT(--(WEEKDAY(ROW(INDIRECT(INT(F358)&amp;":"&amp;INT(I358))),2)&gt;5))</f>
        <v>6</v>
      </c>
      <c r="N358" s="22">
        <f ca="1" t="shared" si="28"/>
        <v>127.716666666791</v>
      </c>
      <c r="O358" s="22" t="str">
        <f ca="1" t="shared" si="29"/>
        <v>SLA Violated</v>
      </c>
      <c r="P358" s="23" t="s">
        <v>1541</v>
      </c>
      <c r="Q358" s="24" t="s">
        <v>37</v>
      </c>
      <c r="R358" s="25"/>
      <c r="S358" s="25"/>
    </row>
    <row r="359" ht="39" customHeight="1" spans="1:20">
      <c r="A359" s="19" t="s">
        <v>1542</v>
      </c>
      <c r="B359" s="20" t="s">
        <v>19</v>
      </c>
      <c r="C359" s="20" t="s">
        <v>20</v>
      </c>
      <c r="D359" s="20" t="s">
        <v>32</v>
      </c>
      <c r="E359" s="21" t="s">
        <v>1543</v>
      </c>
      <c r="F359" s="21" t="s">
        <v>1544</v>
      </c>
      <c r="G359" s="20" t="s">
        <v>35</v>
      </c>
      <c r="H359" s="20" t="s">
        <v>25</v>
      </c>
      <c r="I359" s="21" t="s">
        <v>1545</v>
      </c>
      <c r="J359" s="22">
        <f t="shared" si="25"/>
        <v>0.00555555555911269</v>
      </c>
      <c r="K359" s="22">
        <f t="shared" si="26"/>
        <v>0.133333333418705</v>
      </c>
      <c r="L359" s="22">
        <f t="shared" si="27"/>
        <v>0.133333333418705</v>
      </c>
      <c r="M359" s="22" cm="1">
        <f ca="1" t="array" ref="M359">SUMPRODUCT(--(WEEKDAY(ROW(INDIRECT(INT(F359)&amp;":"&amp;INT(I359))),2)&gt;5))</f>
        <v>0</v>
      </c>
      <c r="N359" s="22">
        <f ca="1" t="shared" si="28"/>
        <v>0.133333333418705</v>
      </c>
      <c r="O359" s="22" t="str">
        <f ca="1" t="shared" si="29"/>
        <v>Within SLA</v>
      </c>
      <c r="P359" s="26" t="s">
        <v>1542</v>
      </c>
      <c r="Q359" s="24" t="s">
        <v>37</v>
      </c>
      <c r="R359" s="25"/>
      <c r="S359" s="25"/>
    </row>
    <row r="360" ht="27" customHeight="1" spans="1:20">
      <c r="A360" s="19" t="s">
        <v>1546</v>
      </c>
      <c r="B360" s="20" t="s">
        <v>139</v>
      </c>
      <c r="C360" s="20" t="s">
        <v>67</v>
      </c>
      <c r="D360" s="20" t="s">
        <v>32</v>
      </c>
      <c r="E360" s="21" t="s">
        <v>1547</v>
      </c>
      <c r="F360" s="21" t="s">
        <v>1548</v>
      </c>
      <c r="G360" s="20" t="s">
        <v>35</v>
      </c>
      <c r="H360" s="20" t="s">
        <v>25</v>
      </c>
      <c r="I360" s="21" t="s">
        <v>1549</v>
      </c>
      <c r="J360" s="22">
        <f t="shared" si="25"/>
        <v>27.2604166666642</v>
      </c>
      <c r="K360" s="22">
        <f t="shared" si="26"/>
        <v>654.249999999942</v>
      </c>
      <c r="L360" s="22">
        <f t="shared" si="27"/>
        <v>222.249999999942</v>
      </c>
      <c r="M360" s="22" cm="1">
        <f ca="1" t="array" ref="M360">SUMPRODUCT(--(WEEKDAY(ROW(INDIRECT(INT(F360)&amp;":"&amp;INT(I360))),2)&gt;5))</f>
        <v>8</v>
      </c>
      <c r="N360" s="22">
        <f ca="1" t="shared" si="28"/>
        <v>158.249999999942</v>
      </c>
      <c r="O360" s="22" t="str">
        <f ca="1" t="shared" si="29"/>
        <v>SLA Violated</v>
      </c>
      <c r="P360" s="23" t="s">
        <v>1550</v>
      </c>
      <c r="Q360" s="24" t="s">
        <v>28</v>
      </c>
      <c r="R360" s="25"/>
      <c r="S360" s="25"/>
    </row>
    <row r="361" ht="39" customHeight="1" spans="1:20">
      <c r="A361" s="19" t="s">
        <v>1551</v>
      </c>
      <c r="B361" s="20" t="s">
        <v>19</v>
      </c>
      <c r="C361" s="20" t="s">
        <v>20</v>
      </c>
      <c r="D361" s="20" t="s">
        <v>32</v>
      </c>
      <c r="E361" s="21" t="s">
        <v>1552</v>
      </c>
      <c r="F361" s="21" t="s">
        <v>1553</v>
      </c>
      <c r="G361" s="20" t="s">
        <v>35</v>
      </c>
      <c r="H361" s="20" t="s">
        <v>25</v>
      </c>
      <c r="I361" s="21" t="s">
        <v>1554</v>
      </c>
      <c r="J361" s="22">
        <f t="shared" si="25"/>
        <v>0.150694444448163</v>
      </c>
      <c r="K361" s="22">
        <f t="shared" si="26"/>
        <v>3.61666666675592</v>
      </c>
      <c r="L361" s="22">
        <f t="shared" si="27"/>
        <v>3.61666666675592</v>
      </c>
      <c r="M361" s="22" cm="1">
        <f ca="1" t="array" ref="M361">SUMPRODUCT(--(WEEKDAY(ROW(INDIRECT(INT(F361)&amp;":"&amp;INT(I361))),2)&gt;5))</f>
        <v>0</v>
      </c>
      <c r="N361" s="22">
        <f ca="1" t="shared" si="28"/>
        <v>3.61666666675592</v>
      </c>
      <c r="O361" s="22" t="str">
        <f ca="1" t="shared" si="29"/>
        <v>Within SLA</v>
      </c>
      <c r="P361" s="26" t="s">
        <v>1551</v>
      </c>
      <c r="Q361" s="24" t="s">
        <v>37</v>
      </c>
      <c r="R361" s="25"/>
      <c r="S361" s="25"/>
    </row>
    <row r="362" ht="39" customHeight="1" spans="1:20">
      <c r="A362" s="19" t="s">
        <v>1555</v>
      </c>
      <c r="B362" s="20" t="s">
        <v>19</v>
      </c>
      <c r="C362" s="20" t="s">
        <v>20</v>
      </c>
      <c r="D362" s="20" t="s">
        <v>32</v>
      </c>
      <c r="E362" s="21" t="s">
        <v>1521</v>
      </c>
      <c r="F362" s="21" t="s">
        <v>1556</v>
      </c>
      <c r="G362" s="20" t="s">
        <v>35</v>
      </c>
      <c r="H362" s="20" t="s">
        <v>25</v>
      </c>
      <c r="I362" s="21" t="s">
        <v>1557</v>
      </c>
      <c r="J362" s="22">
        <f t="shared" si="25"/>
        <v>4.08819444444089</v>
      </c>
      <c r="K362" s="22">
        <f t="shared" si="26"/>
        <v>98.1166666665813</v>
      </c>
      <c r="L362" s="22">
        <f t="shared" si="27"/>
        <v>34.1166666665813</v>
      </c>
      <c r="M362" s="22" cm="1">
        <f ca="1" t="array" ref="M362">SUMPRODUCT(--(WEEKDAY(ROW(INDIRECT(INT(F362)&amp;":"&amp;INT(I362))),2)&gt;5))</f>
        <v>2</v>
      </c>
      <c r="N362" s="22">
        <f ca="1" t="shared" si="28"/>
        <v>18.1166666665813</v>
      </c>
      <c r="O362" s="22" t="str">
        <f ca="1" t="shared" si="29"/>
        <v>SLA Violated</v>
      </c>
      <c r="P362" s="23" t="s">
        <v>1558</v>
      </c>
      <c r="Q362" s="24" t="s">
        <v>37</v>
      </c>
      <c r="R362" s="25" t="s">
        <v>38</v>
      </c>
      <c r="S362" s="25" t="s">
        <v>39</v>
      </c>
    </row>
    <row r="363" ht="39" customHeight="1" spans="1:20">
      <c r="A363" s="19" t="s">
        <v>1559</v>
      </c>
      <c r="B363" s="20" t="s">
        <v>19</v>
      </c>
      <c r="C363" s="20" t="s">
        <v>20</v>
      </c>
      <c r="D363" s="20" t="s">
        <v>32</v>
      </c>
      <c r="E363" s="21" t="s">
        <v>1528</v>
      </c>
      <c r="F363" s="21" t="s">
        <v>1560</v>
      </c>
      <c r="G363" s="20" t="s">
        <v>35</v>
      </c>
      <c r="H363" s="20" t="s">
        <v>25</v>
      </c>
      <c r="I363" s="21" t="s">
        <v>1561</v>
      </c>
      <c r="J363" s="22">
        <f t="shared" si="25"/>
        <v>28.1180555555547</v>
      </c>
      <c r="K363" s="22">
        <f t="shared" si="26"/>
        <v>674.833333333314</v>
      </c>
      <c r="L363" s="22">
        <f t="shared" si="27"/>
        <v>226.833333333314</v>
      </c>
      <c r="M363" s="22" cm="1">
        <f ca="1" t="array" ref="M363">SUMPRODUCT(--(WEEKDAY(ROW(INDIRECT(INT(F363)&amp;":"&amp;INT(I363))),2)&gt;5))</f>
        <v>8</v>
      </c>
      <c r="N363" s="22">
        <f ca="1" t="shared" si="28"/>
        <v>162.833333333314</v>
      </c>
      <c r="O363" s="22" t="str">
        <f ca="1" t="shared" si="29"/>
        <v>SLA Violated</v>
      </c>
      <c r="P363" s="23" t="s">
        <v>1562</v>
      </c>
      <c r="Q363" s="24" t="s">
        <v>37</v>
      </c>
      <c r="R363" s="25" t="s">
        <v>38</v>
      </c>
      <c r="S363" s="25" t="s">
        <v>39</v>
      </c>
    </row>
    <row r="364" ht="27" customHeight="1" spans="1:20">
      <c r="A364" s="19" t="s">
        <v>1563</v>
      </c>
      <c r="B364" s="20" t="s">
        <v>139</v>
      </c>
      <c r="C364" s="20" t="s">
        <v>46</v>
      </c>
      <c r="D364" s="20" t="s">
        <v>32</v>
      </c>
      <c r="E364" s="21" t="s">
        <v>329</v>
      </c>
      <c r="F364" s="21" t="s">
        <v>1564</v>
      </c>
      <c r="G364" s="20" t="s">
        <v>35</v>
      </c>
      <c r="H364" s="20" t="s">
        <v>25</v>
      </c>
      <c r="I364" s="21" t="s">
        <v>1565</v>
      </c>
      <c r="J364" s="22">
        <f t="shared" si="25"/>
        <v>0.170833333337214</v>
      </c>
      <c r="K364" s="22">
        <f t="shared" si="26"/>
        <v>4.10000000009313</v>
      </c>
      <c r="L364" s="22">
        <f t="shared" si="27"/>
        <v>4.10000000009313</v>
      </c>
      <c r="M364" s="22" cm="1">
        <f ca="1" t="array" ref="M364">SUMPRODUCT(--(WEEKDAY(ROW(INDIRECT(INT(F364)&amp;":"&amp;INT(I364))),2)&gt;5))</f>
        <v>0</v>
      </c>
      <c r="N364" s="22">
        <f ca="1" t="shared" si="28"/>
        <v>4.10000000009313</v>
      </c>
      <c r="O364" s="22" t="str">
        <f ca="1" t="shared" si="29"/>
        <v>Within SLA</v>
      </c>
      <c r="P364" s="26" t="s">
        <v>1563</v>
      </c>
      <c r="Q364" s="24" t="s">
        <v>37</v>
      </c>
      <c r="R364" s="25"/>
      <c r="S364" s="25"/>
    </row>
    <row r="365" ht="39" customHeight="1" spans="1:20">
      <c r="A365" s="19" t="s">
        <v>1566</v>
      </c>
      <c r="B365" s="20" t="s">
        <v>196</v>
      </c>
      <c r="C365" s="20" t="s">
        <v>46</v>
      </c>
      <c r="D365" s="20" t="s">
        <v>32</v>
      </c>
      <c r="E365" s="21" t="s">
        <v>1567</v>
      </c>
      <c r="F365" s="21" t="s">
        <v>1568</v>
      </c>
      <c r="G365" s="20" t="s">
        <v>35</v>
      </c>
      <c r="H365" s="20" t="s">
        <v>25</v>
      </c>
      <c r="I365" s="21" t="s">
        <v>1569</v>
      </c>
      <c r="J365" s="22">
        <f t="shared" si="25"/>
        <v>0.122916666659876</v>
      </c>
      <c r="K365" s="22">
        <f t="shared" si="26"/>
        <v>2.94999999983702</v>
      </c>
      <c r="L365" s="22">
        <f t="shared" si="27"/>
        <v>2.94999999983702</v>
      </c>
      <c r="M365" s="22" cm="1">
        <f ca="1" t="array" ref="M365">SUMPRODUCT(--(WEEKDAY(ROW(INDIRECT(INT(F365)&amp;":"&amp;INT(I365))),2)&gt;5))</f>
        <v>0</v>
      </c>
      <c r="N365" s="22">
        <f ca="1" t="shared" si="28"/>
        <v>2.94999999983702</v>
      </c>
      <c r="O365" s="22" t="str">
        <f ca="1" t="shared" si="29"/>
        <v>Within SLA</v>
      </c>
      <c r="P365" s="26" t="s">
        <v>1566</v>
      </c>
      <c r="Q365" s="24" t="s">
        <v>37</v>
      </c>
      <c r="R365" s="25"/>
      <c r="S365" s="25"/>
    </row>
    <row r="366" ht="27" customHeight="1" spans="1:20">
      <c r="A366" s="19" t="s">
        <v>1570</v>
      </c>
      <c r="B366" s="20" t="s">
        <v>30</v>
      </c>
      <c r="C366" s="20" t="s">
        <v>67</v>
      </c>
      <c r="D366" s="20" t="s">
        <v>32</v>
      </c>
      <c r="E366" s="21" t="s">
        <v>1571</v>
      </c>
      <c r="F366" s="21" t="s">
        <v>1572</v>
      </c>
      <c r="G366" s="20" t="s">
        <v>24</v>
      </c>
      <c r="H366" s="20" t="s">
        <v>25</v>
      </c>
      <c r="I366" s="21" t="s">
        <v>1573</v>
      </c>
      <c r="J366" s="22">
        <f t="shared" si="25"/>
        <v>7.93125000000146</v>
      </c>
      <c r="K366" s="22">
        <f t="shared" si="26"/>
        <v>190.350000000035</v>
      </c>
      <c r="L366" s="22">
        <f t="shared" si="27"/>
        <v>62.3500000000349</v>
      </c>
      <c r="M366" s="22" cm="1">
        <f ca="1" t="array" ref="M366">SUMPRODUCT(--(WEEKDAY(ROW(INDIRECT(INT(F366)&amp;":"&amp;INT(I366))),2)&gt;5))</f>
        <v>2</v>
      </c>
      <c r="N366" s="22">
        <f ca="1" t="shared" si="28"/>
        <v>46.3500000000349</v>
      </c>
      <c r="O366" s="22" t="str">
        <f ca="1" t="shared" si="29"/>
        <v>SLA Violated</v>
      </c>
      <c r="P366" s="23" t="s">
        <v>1574</v>
      </c>
      <c r="Q366" s="24" t="s">
        <v>28</v>
      </c>
      <c r="R366" s="25"/>
      <c r="S366" s="25"/>
      <c r="T366" s="27"/>
    </row>
    <row r="367" ht="39" customHeight="1" spans="1:20">
      <c r="A367" s="19" t="s">
        <v>1575</v>
      </c>
      <c r="B367" s="20" t="s">
        <v>19</v>
      </c>
      <c r="C367" s="20" t="s">
        <v>20</v>
      </c>
      <c r="D367" s="20" t="s">
        <v>32</v>
      </c>
      <c r="E367" s="21" t="s">
        <v>1571</v>
      </c>
      <c r="F367" s="21" t="s">
        <v>1576</v>
      </c>
      <c r="G367" s="20" t="s">
        <v>35</v>
      </c>
      <c r="H367" s="20" t="s">
        <v>25</v>
      </c>
      <c r="I367" s="21" t="s">
        <v>1577</v>
      </c>
      <c r="J367" s="22">
        <f t="shared" si="25"/>
        <v>0.00347222222626442</v>
      </c>
      <c r="K367" s="22">
        <f t="shared" si="26"/>
        <v>0.0833333334303461</v>
      </c>
      <c r="L367" s="22">
        <f t="shared" si="27"/>
        <v>0.0833333334303461</v>
      </c>
      <c r="M367" s="22" cm="1">
        <f ca="1" t="array" ref="M367">SUMPRODUCT(--(WEEKDAY(ROW(INDIRECT(INT(F367)&amp;":"&amp;INT(I367))),2)&gt;5))</f>
        <v>0</v>
      </c>
      <c r="N367" s="22">
        <f ca="1" t="shared" si="28"/>
        <v>0.0833333334303461</v>
      </c>
      <c r="O367" s="22" t="str">
        <f ca="1" t="shared" si="29"/>
        <v>Within SLA</v>
      </c>
      <c r="P367" s="26" t="s">
        <v>1575</v>
      </c>
      <c r="Q367" s="24" t="s">
        <v>37</v>
      </c>
      <c r="R367" s="25"/>
      <c r="S367" s="25"/>
    </row>
    <row r="368" ht="27" customHeight="1" spans="1:20">
      <c r="A368" s="19" t="s">
        <v>1578</v>
      </c>
      <c r="B368" s="20" t="s">
        <v>139</v>
      </c>
      <c r="C368" s="20" t="s">
        <v>67</v>
      </c>
      <c r="D368" s="20" t="s">
        <v>32</v>
      </c>
      <c r="E368" s="21" t="s">
        <v>1579</v>
      </c>
      <c r="F368" s="21" t="s">
        <v>1580</v>
      </c>
      <c r="G368" s="20" t="s">
        <v>35</v>
      </c>
      <c r="H368" s="20" t="s">
        <v>25</v>
      </c>
      <c r="I368" s="21" t="s">
        <v>1581</v>
      </c>
      <c r="J368" s="22">
        <f t="shared" si="25"/>
        <v>20.003472222219</v>
      </c>
      <c r="K368" s="22">
        <f t="shared" si="26"/>
        <v>480.083333333256</v>
      </c>
      <c r="L368" s="22">
        <f t="shared" si="27"/>
        <v>160.083333333256</v>
      </c>
      <c r="M368" s="22" cm="1">
        <f ca="1" t="array" ref="M368">SUMPRODUCT(--(WEEKDAY(ROW(INDIRECT(INT(F368)&amp;":"&amp;INT(I368))),2)&gt;5))</f>
        <v>6</v>
      </c>
      <c r="N368" s="22">
        <f ca="1" t="shared" si="28"/>
        <v>112.083333333256</v>
      </c>
      <c r="O368" s="22" t="str">
        <f ca="1" t="shared" si="29"/>
        <v>SLA Violated</v>
      </c>
      <c r="P368" s="23" t="s">
        <v>1582</v>
      </c>
      <c r="Q368" s="24" t="s">
        <v>28</v>
      </c>
      <c r="R368" s="25"/>
      <c r="S368" s="25"/>
    </row>
    <row r="369" ht="27" customHeight="1" spans="1:19">
      <c r="A369" s="19" t="s">
        <v>1583</v>
      </c>
      <c r="B369" s="20" t="s">
        <v>30</v>
      </c>
      <c r="C369" s="20" t="s">
        <v>46</v>
      </c>
      <c r="D369" s="20" t="s">
        <v>32</v>
      </c>
      <c r="E369" s="21" t="s">
        <v>1584</v>
      </c>
      <c r="F369" s="21" t="s">
        <v>1585</v>
      </c>
      <c r="G369" s="20" t="s">
        <v>35</v>
      </c>
      <c r="H369" s="20" t="s">
        <v>25</v>
      </c>
      <c r="I369" s="21" t="s">
        <v>1586</v>
      </c>
      <c r="J369" s="22">
        <f t="shared" si="25"/>
        <v>0.0673611111124046</v>
      </c>
      <c r="K369" s="22">
        <f t="shared" si="26"/>
        <v>1.61666666669771</v>
      </c>
      <c r="L369" s="22">
        <f t="shared" si="27"/>
        <v>1.61666666669771</v>
      </c>
      <c r="M369" s="22" cm="1">
        <f ca="1" t="array" ref="M369">SUMPRODUCT(--(WEEKDAY(ROW(INDIRECT(INT(F369)&amp;":"&amp;INT(I369))),2)&gt;5))</f>
        <v>0</v>
      </c>
      <c r="N369" s="22">
        <f ca="1" t="shared" si="28"/>
        <v>1.61666666669771</v>
      </c>
      <c r="O369" s="22" t="str">
        <f ca="1" t="shared" si="29"/>
        <v>Within SLA</v>
      </c>
      <c r="P369" s="26" t="s">
        <v>1583</v>
      </c>
      <c r="Q369" s="24" t="s">
        <v>37</v>
      </c>
      <c r="R369" s="25"/>
      <c r="S369" s="25"/>
    </row>
    <row r="370" ht="39" customHeight="1" spans="1:19">
      <c r="A370" s="19" t="s">
        <v>1587</v>
      </c>
      <c r="B370" s="20" t="s">
        <v>19</v>
      </c>
      <c r="C370" s="20" t="s">
        <v>20</v>
      </c>
      <c r="D370" s="20" t="s">
        <v>32</v>
      </c>
      <c r="E370" s="21" t="s">
        <v>1576</v>
      </c>
      <c r="F370" s="21" t="s">
        <v>1588</v>
      </c>
      <c r="G370" s="20" t="s">
        <v>35</v>
      </c>
      <c r="H370" s="20" t="s">
        <v>25</v>
      </c>
      <c r="I370" s="21" t="s">
        <v>1589</v>
      </c>
      <c r="J370" s="22">
        <f t="shared" si="25"/>
        <v>0.00416666666569654</v>
      </c>
      <c r="K370" s="22">
        <f t="shared" si="26"/>
        <v>0.0999999999767169</v>
      </c>
      <c r="L370" s="22">
        <f t="shared" si="27"/>
        <v>0.0999999999767169</v>
      </c>
      <c r="M370" s="22" cm="1">
        <f ca="1" t="array" ref="M370">SUMPRODUCT(--(WEEKDAY(ROW(INDIRECT(INT(F370)&amp;":"&amp;INT(I370))),2)&gt;5))</f>
        <v>0</v>
      </c>
      <c r="N370" s="22">
        <f ca="1" t="shared" si="28"/>
        <v>0.0999999999767169</v>
      </c>
      <c r="O370" s="22" t="str">
        <f ca="1" t="shared" si="29"/>
        <v>Within SLA</v>
      </c>
      <c r="P370" s="26" t="s">
        <v>1587</v>
      </c>
      <c r="Q370" s="24" t="s">
        <v>37</v>
      </c>
      <c r="R370" s="25"/>
      <c r="S370" s="25"/>
    </row>
    <row r="371" ht="27" customHeight="1" spans="1:19">
      <c r="A371" s="19" t="s">
        <v>1590</v>
      </c>
      <c r="B371" s="20" t="s">
        <v>30</v>
      </c>
      <c r="C371" s="20" t="s">
        <v>67</v>
      </c>
      <c r="D371" s="20" t="s">
        <v>32</v>
      </c>
      <c r="E371" s="21" t="s">
        <v>1576</v>
      </c>
      <c r="F371" s="21" t="s">
        <v>1591</v>
      </c>
      <c r="G371" s="20" t="s">
        <v>24</v>
      </c>
      <c r="H371" s="20" t="s">
        <v>25</v>
      </c>
      <c r="I371" s="21" t="s">
        <v>1592</v>
      </c>
      <c r="J371" s="22">
        <f t="shared" si="25"/>
        <v>7.92361111110949</v>
      </c>
      <c r="K371" s="22">
        <f t="shared" si="26"/>
        <v>190.166666666628</v>
      </c>
      <c r="L371" s="22">
        <f t="shared" si="27"/>
        <v>62.1666666666279</v>
      </c>
      <c r="M371" s="22" cm="1">
        <f ca="1" t="array" ref="M371">SUMPRODUCT(--(WEEKDAY(ROW(INDIRECT(INT(F371)&amp;":"&amp;INT(I371))),2)&gt;5))</f>
        <v>2</v>
      </c>
      <c r="N371" s="22">
        <f ca="1" t="shared" si="28"/>
        <v>46.1666666666279</v>
      </c>
      <c r="O371" s="22" t="str">
        <f ca="1" t="shared" si="29"/>
        <v>SLA Violated</v>
      </c>
      <c r="P371" s="23" t="s">
        <v>1593</v>
      </c>
      <c r="Q371" s="24" t="s">
        <v>28</v>
      </c>
      <c r="R371" s="25"/>
      <c r="S371" s="25"/>
    </row>
    <row r="372" ht="27" customHeight="1" spans="1:19">
      <c r="A372" s="19" t="s">
        <v>1594</v>
      </c>
      <c r="B372" s="20" t="s">
        <v>30</v>
      </c>
      <c r="C372" s="20" t="s">
        <v>31</v>
      </c>
      <c r="D372" s="20" t="s">
        <v>32</v>
      </c>
      <c r="E372" s="21" t="s">
        <v>1595</v>
      </c>
      <c r="F372" s="21" t="s">
        <v>1596</v>
      </c>
      <c r="G372" s="20" t="s">
        <v>35</v>
      </c>
      <c r="H372" s="20" t="s">
        <v>25</v>
      </c>
      <c r="I372" s="21" t="s">
        <v>1597</v>
      </c>
      <c r="J372" s="22">
        <f t="shared" si="25"/>
        <v>0.0666666666656965</v>
      </c>
      <c r="K372" s="22">
        <f t="shared" si="26"/>
        <v>1.59999999997672</v>
      </c>
      <c r="L372" s="22">
        <f t="shared" si="27"/>
        <v>1.59999999997672</v>
      </c>
      <c r="M372" s="22" cm="1">
        <f ca="1" t="array" ref="M372">SUMPRODUCT(--(WEEKDAY(ROW(INDIRECT(INT(F372)&amp;":"&amp;INT(I372))),2)&gt;5))</f>
        <v>0</v>
      </c>
      <c r="N372" s="22">
        <f ca="1" t="shared" si="28"/>
        <v>1.59999999997672</v>
      </c>
      <c r="O372" s="22" t="str">
        <f ca="1" t="shared" si="29"/>
        <v>Within SLA</v>
      </c>
      <c r="P372" s="26" t="s">
        <v>1594</v>
      </c>
      <c r="Q372" s="24" t="s">
        <v>37</v>
      </c>
      <c r="R372" s="25"/>
      <c r="S372" s="25"/>
    </row>
    <row r="373" ht="27" customHeight="1" spans="1:19">
      <c r="A373" s="19" t="s">
        <v>1598</v>
      </c>
      <c r="B373" s="20" t="s">
        <v>121</v>
      </c>
      <c r="C373" s="20" t="s">
        <v>46</v>
      </c>
      <c r="D373" s="20" t="s">
        <v>32</v>
      </c>
      <c r="E373" s="21" t="s">
        <v>1599</v>
      </c>
      <c r="F373" s="21" t="s">
        <v>1600</v>
      </c>
      <c r="G373" s="20" t="s">
        <v>35</v>
      </c>
      <c r="H373" s="20" t="s">
        <v>25</v>
      </c>
      <c r="I373" s="21" t="s">
        <v>1601</v>
      </c>
      <c r="J373" s="22">
        <f t="shared" si="25"/>
        <v>0.0770833333299379</v>
      </c>
      <c r="K373" s="22">
        <f t="shared" si="26"/>
        <v>1.84999999991851</v>
      </c>
      <c r="L373" s="22">
        <f t="shared" si="27"/>
        <v>1.84999999991851</v>
      </c>
      <c r="M373" s="22" cm="1">
        <f ca="1" t="array" ref="M373">SUMPRODUCT(--(WEEKDAY(ROW(INDIRECT(INT(F373)&amp;":"&amp;INT(I373))),2)&gt;5))</f>
        <v>0</v>
      </c>
      <c r="N373" s="22">
        <f ca="1" t="shared" si="28"/>
        <v>1.84999999991851</v>
      </c>
      <c r="O373" s="22" t="str">
        <f ca="1" t="shared" si="29"/>
        <v>Within SLA</v>
      </c>
      <c r="P373" s="26" t="s">
        <v>1598</v>
      </c>
      <c r="Q373" s="24" t="s">
        <v>37</v>
      </c>
      <c r="R373" s="25"/>
      <c r="S373" s="25"/>
    </row>
    <row r="374" ht="39" customHeight="1" spans="1:19">
      <c r="A374" s="19" t="s">
        <v>1602</v>
      </c>
      <c r="B374" s="20" t="s">
        <v>702</v>
      </c>
      <c r="C374" s="20" t="s">
        <v>101</v>
      </c>
      <c r="D374" s="20" t="s">
        <v>32</v>
      </c>
      <c r="E374" s="21" t="s">
        <v>1603</v>
      </c>
      <c r="F374" s="21" t="s">
        <v>1604</v>
      </c>
      <c r="G374" s="20" t="s">
        <v>35</v>
      </c>
      <c r="H374" s="20" t="s">
        <v>25</v>
      </c>
      <c r="I374" s="21" t="s">
        <v>1605</v>
      </c>
      <c r="J374" s="22">
        <f t="shared" si="25"/>
        <v>0.0416666666715173</v>
      </c>
      <c r="K374" s="22">
        <f t="shared" si="26"/>
        <v>1.00000000011642</v>
      </c>
      <c r="L374" s="22">
        <f t="shared" si="27"/>
        <v>1.00000000011642</v>
      </c>
      <c r="M374" s="22" cm="1">
        <f ca="1" t="array" ref="M374">SUMPRODUCT(--(WEEKDAY(ROW(INDIRECT(INT(F374)&amp;":"&amp;INT(I374))),2)&gt;5))</f>
        <v>0</v>
      </c>
      <c r="N374" s="22">
        <f ca="1" t="shared" si="28"/>
        <v>1.00000000011642</v>
      </c>
      <c r="O374" s="22" t="str">
        <f ca="1" t="shared" si="29"/>
        <v>Within SLA</v>
      </c>
      <c r="P374" s="26" t="s">
        <v>1602</v>
      </c>
      <c r="Q374" s="24" t="s">
        <v>37</v>
      </c>
      <c r="R374" s="25"/>
      <c r="S374" s="25"/>
    </row>
    <row r="375" ht="50" customHeight="1" spans="1:19">
      <c r="A375" s="19" t="s">
        <v>1606</v>
      </c>
      <c r="B375" s="20" t="s">
        <v>369</v>
      </c>
      <c r="C375" s="20" t="s">
        <v>31</v>
      </c>
      <c r="D375" s="20" t="s">
        <v>32</v>
      </c>
      <c r="E375" s="21" t="s">
        <v>1607</v>
      </c>
      <c r="F375" s="21" t="s">
        <v>1608</v>
      </c>
      <c r="G375" s="20" t="s">
        <v>35</v>
      </c>
      <c r="H375" s="20" t="s">
        <v>25</v>
      </c>
      <c r="I375" s="21" t="s">
        <v>1609</v>
      </c>
      <c r="J375" s="22">
        <f t="shared" si="25"/>
        <v>0.890972222223354</v>
      </c>
      <c r="K375" s="22">
        <f t="shared" si="26"/>
        <v>21.3833333333605</v>
      </c>
      <c r="L375" s="22">
        <f t="shared" si="27"/>
        <v>5.3833333333605</v>
      </c>
      <c r="M375" s="22" cm="1">
        <f ca="1" t="array" ref="M375">SUMPRODUCT(--(WEEKDAY(ROW(INDIRECT(INT(F375)&amp;":"&amp;INT(I375))),2)&gt;5))</f>
        <v>0</v>
      </c>
      <c r="N375" s="22">
        <f ca="1" t="shared" si="28"/>
        <v>5.3833333333605</v>
      </c>
      <c r="O375" s="22" t="str">
        <f ca="1" t="shared" si="29"/>
        <v>Within SLA</v>
      </c>
      <c r="P375" s="26" t="s">
        <v>1606</v>
      </c>
      <c r="Q375" s="24" t="s">
        <v>37</v>
      </c>
      <c r="R375" s="25"/>
      <c r="S375" s="25"/>
    </row>
    <row r="376" ht="27" customHeight="1" spans="1:19">
      <c r="A376" s="19" t="s">
        <v>1610</v>
      </c>
      <c r="B376" s="20" t="s">
        <v>30</v>
      </c>
      <c r="C376" s="20" t="s">
        <v>67</v>
      </c>
      <c r="D376" s="20" t="s">
        <v>32</v>
      </c>
      <c r="E376" s="21" t="s">
        <v>1607</v>
      </c>
      <c r="F376" s="21" t="s">
        <v>1611</v>
      </c>
      <c r="G376" s="20" t="s">
        <v>35</v>
      </c>
      <c r="H376" s="20" t="s">
        <v>25</v>
      </c>
      <c r="I376" s="21" t="s">
        <v>1612</v>
      </c>
      <c r="J376" s="22">
        <f t="shared" si="25"/>
        <v>7.93125000000146</v>
      </c>
      <c r="K376" s="22">
        <f t="shared" si="26"/>
        <v>190.350000000035</v>
      </c>
      <c r="L376" s="22">
        <f t="shared" si="27"/>
        <v>62.3500000000349</v>
      </c>
      <c r="M376" s="22" cm="1">
        <f ca="1" t="array" ref="M376">SUMPRODUCT(--(WEEKDAY(ROW(INDIRECT(INT(F376)&amp;":"&amp;INT(I376))),2)&gt;5))</f>
        <v>2</v>
      </c>
      <c r="N376" s="22">
        <f ca="1" t="shared" si="28"/>
        <v>46.3500000000349</v>
      </c>
      <c r="O376" s="22" t="str">
        <f ca="1" t="shared" si="29"/>
        <v>SLA Violated</v>
      </c>
      <c r="P376" s="23" t="s">
        <v>1613</v>
      </c>
      <c r="Q376" s="24" t="s">
        <v>28</v>
      </c>
      <c r="R376" s="25"/>
      <c r="S376" s="25"/>
    </row>
    <row r="377" ht="39" customHeight="1" spans="1:19">
      <c r="A377" s="19" t="s">
        <v>1614</v>
      </c>
      <c r="B377" s="20" t="s">
        <v>19</v>
      </c>
      <c r="C377" s="20" t="s">
        <v>20</v>
      </c>
      <c r="D377" s="20" t="s">
        <v>32</v>
      </c>
      <c r="E377" s="21" t="s">
        <v>1615</v>
      </c>
      <c r="F377" s="21" t="s">
        <v>1616</v>
      </c>
      <c r="G377" s="20" t="s">
        <v>35</v>
      </c>
      <c r="H377" s="20" t="s">
        <v>25</v>
      </c>
      <c r="I377" s="21" t="s">
        <v>1617</v>
      </c>
      <c r="J377" s="22">
        <f t="shared" si="25"/>
        <v>0.14375000000291</v>
      </c>
      <c r="K377" s="22">
        <f t="shared" si="26"/>
        <v>3.45000000006985</v>
      </c>
      <c r="L377" s="22">
        <f t="shared" si="27"/>
        <v>3.45000000006985</v>
      </c>
      <c r="M377" s="22" cm="1">
        <f ca="1" t="array" ref="M377">SUMPRODUCT(--(WEEKDAY(ROW(INDIRECT(INT(F377)&amp;":"&amp;INT(I377))),2)&gt;5))</f>
        <v>0</v>
      </c>
      <c r="N377" s="22">
        <f ca="1" t="shared" si="28"/>
        <v>3.45000000006985</v>
      </c>
      <c r="O377" s="22" t="str">
        <f ca="1" t="shared" si="29"/>
        <v>Within SLA</v>
      </c>
      <c r="P377" s="26" t="s">
        <v>1614</v>
      </c>
      <c r="Q377" s="24" t="s">
        <v>37</v>
      </c>
      <c r="R377" s="25"/>
      <c r="S377" s="25"/>
    </row>
    <row r="378" ht="39" customHeight="1" spans="1:19">
      <c r="A378" s="19" t="s">
        <v>1618</v>
      </c>
      <c r="B378" s="20" t="s">
        <v>19</v>
      </c>
      <c r="C378" s="20" t="s">
        <v>20</v>
      </c>
      <c r="D378" s="20" t="s">
        <v>32</v>
      </c>
      <c r="E378" s="21" t="s">
        <v>1619</v>
      </c>
      <c r="F378" s="21" t="s">
        <v>1620</v>
      </c>
      <c r="G378" s="20" t="s">
        <v>35</v>
      </c>
      <c r="H378" s="20" t="s">
        <v>25</v>
      </c>
      <c r="I378" s="21" t="s">
        <v>1621</v>
      </c>
      <c r="J378" s="22">
        <f t="shared" si="25"/>
        <v>0.13888888888323</v>
      </c>
      <c r="K378" s="22">
        <f t="shared" si="26"/>
        <v>3.33333333319752</v>
      </c>
      <c r="L378" s="22">
        <f t="shared" si="27"/>
        <v>3.33333333319752</v>
      </c>
      <c r="M378" s="22" cm="1">
        <f ca="1" t="array" ref="M378">SUMPRODUCT(--(WEEKDAY(ROW(INDIRECT(INT(F378)&amp;":"&amp;INT(I378))),2)&gt;5))</f>
        <v>0</v>
      </c>
      <c r="N378" s="22">
        <f ca="1" t="shared" si="28"/>
        <v>3.33333333319752</v>
      </c>
      <c r="O378" s="22" t="str">
        <f ca="1" t="shared" si="29"/>
        <v>Within SLA</v>
      </c>
      <c r="P378" s="26" t="s">
        <v>1618</v>
      </c>
      <c r="Q378" s="24" t="s">
        <v>37</v>
      </c>
      <c r="R378" s="25"/>
      <c r="S378" s="25"/>
    </row>
    <row r="379" ht="27" customHeight="1" spans="1:19">
      <c r="A379" s="19" t="s">
        <v>1622</v>
      </c>
      <c r="B379" s="20" t="s">
        <v>30</v>
      </c>
      <c r="C379" s="20" t="s">
        <v>67</v>
      </c>
      <c r="D379" s="20" t="s">
        <v>32</v>
      </c>
      <c r="E379" s="21" t="s">
        <v>1623</v>
      </c>
      <c r="F379" s="21" t="s">
        <v>1624</v>
      </c>
      <c r="G379" s="20" t="s">
        <v>35</v>
      </c>
      <c r="H379" s="20" t="s">
        <v>25</v>
      </c>
      <c r="I379" s="21" t="s">
        <v>1625</v>
      </c>
      <c r="J379" s="22">
        <f t="shared" si="25"/>
        <v>3.9819444444438</v>
      </c>
      <c r="K379" s="22">
        <f t="shared" si="26"/>
        <v>95.5666666666511</v>
      </c>
      <c r="L379" s="22">
        <f t="shared" si="27"/>
        <v>31.5666666666511</v>
      </c>
      <c r="M379" s="22" cm="1">
        <f ca="1" t="array" ref="M379">SUMPRODUCT(--(WEEKDAY(ROW(INDIRECT(INT(F379)&amp;":"&amp;INT(I379))),2)&gt;5))</f>
        <v>2</v>
      </c>
      <c r="N379" s="22">
        <f ca="1" t="shared" si="28"/>
        <v>15.5666666666511</v>
      </c>
      <c r="O379" s="22" t="str">
        <f ca="1" t="shared" si="29"/>
        <v>SLA Violated</v>
      </c>
      <c r="P379" s="26" t="s">
        <v>1622</v>
      </c>
      <c r="Q379" s="24" t="s">
        <v>37</v>
      </c>
      <c r="R379" s="6" t="s">
        <v>597</v>
      </c>
      <c r="S379" s="25" t="s">
        <v>39</v>
      </c>
    </row>
    <row r="380" ht="27" customHeight="1" spans="1:19">
      <c r="A380" s="19" t="s">
        <v>1626</v>
      </c>
      <c r="B380" s="20" t="s">
        <v>121</v>
      </c>
      <c r="C380" s="20" t="s">
        <v>46</v>
      </c>
      <c r="D380" s="20" t="s">
        <v>32</v>
      </c>
      <c r="E380" s="21" t="s">
        <v>1627</v>
      </c>
      <c r="F380" s="21" t="s">
        <v>1628</v>
      </c>
      <c r="G380" s="20" t="s">
        <v>35</v>
      </c>
      <c r="H380" s="20" t="s">
        <v>25</v>
      </c>
      <c r="I380" s="21" t="s">
        <v>1629</v>
      </c>
      <c r="J380" s="22">
        <f t="shared" si="25"/>
        <v>0.14375000000291</v>
      </c>
      <c r="K380" s="22">
        <f t="shared" si="26"/>
        <v>3.45000000006985</v>
      </c>
      <c r="L380" s="22">
        <f t="shared" si="27"/>
        <v>3.45000000006985</v>
      </c>
      <c r="M380" s="22" cm="1">
        <f ca="1" t="array" ref="M380">SUMPRODUCT(--(WEEKDAY(ROW(INDIRECT(INT(F380)&amp;":"&amp;INT(I380))),2)&gt;5))</f>
        <v>0</v>
      </c>
      <c r="N380" s="22">
        <f ca="1" t="shared" si="28"/>
        <v>3.45000000006985</v>
      </c>
      <c r="O380" s="22" t="str">
        <f ca="1" t="shared" si="29"/>
        <v>Within SLA</v>
      </c>
      <c r="P380" s="26" t="s">
        <v>1626</v>
      </c>
      <c r="Q380" s="24" t="s">
        <v>37</v>
      </c>
      <c r="R380" s="25"/>
      <c r="S380" s="25"/>
    </row>
    <row r="381" ht="39" customHeight="1" spans="1:19">
      <c r="A381" s="19" t="s">
        <v>1630</v>
      </c>
      <c r="B381" s="20" t="s">
        <v>19</v>
      </c>
      <c r="C381" s="20" t="s">
        <v>20</v>
      </c>
      <c r="D381" s="20" t="s">
        <v>32</v>
      </c>
      <c r="E381" s="21" t="s">
        <v>1604</v>
      </c>
      <c r="F381" s="21" t="s">
        <v>1631</v>
      </c>
      <c r="G381" s="20" t="s">
        <v>35</v>
      </c>
      <c r="H381" s="20" t="s">
        <v>25</v>
      </c>
      <c r="I381" s="21" t="s">
        <v>1632</v>
      </c>
      <c r="J381" s="22">
        <f t="shared" si="25"/>
        <v>0.0493055555562023</v>
      </c>
      <c r="K381" s="22">
        <f t="shared" si="26"/>
        <v>1.18333333334886</v>
      </c>
      <c r="L381" s="22">
        <f t="shared" si="27"/>
        <v>1.18333333334886</v>
      </c>
      <c r="M381" s="22" cm="1">
        <f ca="1" t="array" ref="M381">SUMPRODUCT(--(WEEKDAY(ROW(INDIRECT(INT(F381)&amp;":"&amp;INT(I381))),2)&gt;5))</f>
        <v>0</v>
      </c>
      <c r="N381" s="22">
        <f ca="1" t="shared" si="28"/>
        <v>1.18333333334886</v>
      </c>
      <c r="O381" s="22" t="str">
        <f ca="1" t="shared" si="29"/>
        <v>Within SLA</v>
      </c>
      <c r="P381" s="26" t="s">
        <v>1630</v>
      </c>
      <c r="Q381" s="24" t="s">
        <v>37</v>
      </c>
      <c r="R381" s="25"/>
      <c r="S381" s="25"/>
    </row>
    <row r="382" ht="39" customHeight="1" spans="1:19">
      <c r="A382" s="19" t="s">
        <v>1633</v>
      </c>
      <c r="B382" s="20" t="s">
        <v>196</v>
      </c>
      <c r="C382" s="20" t="s">
        <v>101</v>
      </c>
      <c r="D382" s="20" t="s">
        <v>21</v>
      </c>
      <c r="E382" s="21" t="s">
        <v>1634</v>
      </c>
      <c r="F382" s="21" t="s">
        <v>1635</v>
      </c>
      <c r="G382" s="20" t="s">
        <v>35</v>
      </c>
      <c r="H382" s="20" t="s">
        <v>25</v>
      </c>
      <c r="I382" s="21" t="s">
        <v>1636</v>
      </c>
      <c r="J382" s="22">
        <f t="shared" si="25"/>
        <v>0.0215277777824667</v>
      </c>
      <c r="K382" s="22">
        <f t="shared" si="26"/>
        <v>0.516666666779201</v>
      </c>
      <c r="L382" s="22">
        <f t="shared" si="27"/>
        <v>0.516666666779201</v>
      </c>
      <c r="M382" s="22" cm="1">
        <f ca="1" t="array" ref="M382">SUMPRODUCT(--(WEEKDAY(ROW(INDIRECT(INT(F382)&amp;":"&amp;INT(I382))),2)&gt;5))</f>
        <v>0</v>
      </c>
      <c r="N382" s="22">
        <f ca="1" t="shared" si="28"/>
        <v>0.516666666779201</v>
      </c>
      <c r="O382" s="22" t="str">
        <f ca="1" t="shared" si="29"/>
        <v>Within SLA</v>
      </c>
      <c r="P382" s="26" t="s">
        <v>1633</v>
      </c>
      <c r="Q382" s="24" t="s">
        <v>37</v>
      </c>
      <c r="R382" s="25"/>
      <c r="S382" s="25"/>
    </row>
    <row r="383" ht="27" customHeight="1" spans="1:19">
      <c r="A383" s="19" t="s">
        <v>1637</v>
      </c>
      <c r="B383" s="20" t="s">
        <v>139</v>
      </c>
      <c r="C383" s="20" t="s">
        <v>67</v>
      </c>
      <c r="D383" s="20" t="s">
        <v>32</v>
      </c>
      <c r="E383" s="21" t="s">
        <v>1638</v>
      </c>
      <c r="F383" s="21" t="s">
        <v>1639</v>
      </c>
      <c r="G383" s="20" t="s">
        <v>35</v>
      </c>
      <c r="H383" s="20" t="s">
        <v>25</v>
      </c>
      <c r="I383" s="21" t="s">
        <v>1640</v>
      </c>
      <c r="J383" s="22">
        <f t="shared" si="25"/>
        <v>25.995833333327</v>
      </c>
      <c r="K383" s="22">
        <f t="shared" si="26"/>
        <v>623.899999999849</v>
      </c>
      <c r="L383" s="22">
        <f t="shared" si="27"/>
        <v>207.899999999849</v>
      </c>
      <c r="M383" s="22" cm="1">
        <f ca="1" t="array" ref="M383">SUMPRODUCT(--(WEEKDAY(ROW(INDIRECT(INT(F383)&amp;":"&amp;INT(I383))),2)&gt;5))</f>
        <v>8</v>
      </c>
      <c r="N383" s="22">
        <f ca="1" t="shared" si="28"/>
        <v>143.899999999849</v>
      </c>
      <c r="O383" s="22" t="str">
        <f ca="1" t="shared" si="29"/>
        <v>SLA Violated</v>
      </c>
      <c r="P383" s="23" t="s">
        <v>1641</v>
      </c>
      <c r="Q383" s="24" t="s">
        <v>28</v>
      </c>
      <c r="R383" s="25"/>
      <c r="S383" s="25"/>
    </row>
    <row r="384" ht="27" customHeight="1" spans="1:19">
      <c r="A384" s="19" t="s">
        <v>1642</v>
      </c>
      <c r="B384" s="20" t="s">
        <v>30</v>
      </c>
      <c r="C384" s="20" t="s">
        <v>67</v>
      </c>
      <c r="D384" s="20" t="s">
        <v>32</v>
      </c>
      <c r="E384" s="21" t="s">
        <v>1643</v>
      </c>
      <c r="F384" s="21" t="s">
        <v>1644</v>
      </c>
      <c r="G384" s="20" t="s">
        <v>35</v>
      </c>
      <c r="H384" s="20" t="s">
        <v>25</v>
      </c>
      <c r="I384" s="21" t="s">
        <v>1645</v>
      </c>
      <c r="J384" s="22">
        <f t="shared" si="25"/>
        <v>0.889583333337214</v>
      </c>
      <c r="K384" s="22">
        <f t="shared" si="26"/>
        <v>21.3500000000931</v>
      </c>
      <c r="L384" s="22">
        <f t="shared" si="27"/>
        <v>5.35000000009313</v>
      </c>
      <c r="M384" s="22" cm="1">
        <f ca="1" t="array" ref="M384">SUMPRODUCT(--(WEEKDAY(ROW(INDIRECT(INT(F384)&amp;":"&amp;INT(I384))),2)&gt;5))</f>
        <v>0</v>
      </c>
      <c r="N384" s="22">
        <f ca="1" t="shared" si="28"/>
        <v>5.35000000009313</v>
      </c>
      <c r="O384" s="22" t="str">
        <f ca="1" t="shared" si="29"/>
        <v>Within SLA</v>
      </c>
      <c r="P384" s="26" t="s">
        <v>1642</v>
      </c>
      <c r="Q384" s="24" t="s">
        <v>37</v>
      </c>
      <c r="R384" s="25"/>
      <c r="S384" s="25"/>
    </row>
    <row r="385" ht="27" customHeight="1" spans="1:19">
      <c r="A385" s="19" t="s">
        <v>1646</v>
      </c>
      <c r="B385" s="20" t="s">
        <v>30</v>
      </c>
      <c r="C385" s="20" t="s">
        <v>849</v>
      </c>
      <c r="D385" s="20" t="s">
        <v>32</v>
      </c>
      <c r="E385" s="21" t="s">
        <v>1647</v>
      </c>
      <c r="F385" s="21" t="s">
        <v>1648</v>
      </c>
      <c r="G385" s="20" t="s">
        <v>35</v>
      </c>
      <c r="H385" s="20" t="s">
        <v>25</v>
      </c>
      <c r="I385" s="21" t="s">
        <v>1649</v>
      </c>
      <c r="J385" s="22">
        <f t="shared" si="25"/>
        <v>0.0194444444423425</v>
      </c>
      <c r="K385" s="22">
        <f t="shared" si="26"/>
        <v>0.46666666661622</v>
      </c>
      <c r="L385" s="22">
        <f t="shared" si="27"/>
        <v>0.46666666661622</v>
      </c>
      <c r="M385" s="22" cm="1">
        <f ca="1" t="array" ref="M385">SUMPRODUCT(--(WEEKDAY(ROW(INDIRECT(INT(F385)&amp;":"&amp;INT(I385))),2)&gt;5))</f>
        <v>0</v>
      </c>
      <c r="N385" s="22">
        <f ca="1" t="shared" si="28"/>
        <v>0.46666666661622</v>
      </c>
      <c r="O385" s="22" t="str">
        <f ca="1" t="shared" si="29"/>
        <v>Within SLA</v>
      </c>
      <c r="P385" s="26" t="s">
        <v>1646</v>
      </c>
      <c r="Q385" s="24" t="s">
        <v>37</v>
      </c>
      <c r="R385" s="25"/>
      <c r="S385" s="25"/>
    </row>
    <row r="386" ht="39" customHeight="1" spans="1:19">
      <c r="A386" s="19" t="s">
        <v>1650</v>
      </c>
      <c r="B386" s="20" t="s">
        <v>196</v>
      </c>
      <c r="C386" s="20" t="s">
        <v>46</v>
      </c>
      <c r="D386" s="20" t="s">
        <v>21</v>
      </c>
      <c r="E386" s="21" t="s">
        <v>1600</v>
      </c>
      <c r="F386" s="21" t="s">
        <v>1651</v>
      </c>
      <c r="G386" s="20" t="s">
        <v>35</v>
      </c>
      <c r="H386" s="20" t="s">
        <v>25</v>
      </c>
      <c r="I386" s="21" t="s">
        <v>1652</v>
      </c>
      <c r="J386" s="22">
        <f t="shared" si="25"/>
        <v>0.0194444444423425</v>
      </c>
      <c r="K386" s="22">
        <f t="shared" si="26"/>
        <v>0.46666666661622</v>
      </c>
      <c r="L386" s="22">
        <f t="shared" si="27"/>
        <v>0.46666666661622</v>
      </c>
      <c r="M386" s="22" cm="1">
        <f ca="1" t="array" ref="M386">SUMPRODUCT(--(WEEKDAY(ROW(INDIRECT(INT(F386)&amp;":"&amp;INT(I386))),2)&gt;5))</f>
        <v>0</v>
      </c>
      <c r="N386" s="22">
        <f ca="1" t="shared" si="28"/>
        <v>0.46666666661622</v>
      </c>
      <c r="O386" s="22" t="str">
        <f ca="1" t="shared" si="29"/>
        <v>Within SLA</v>
      </c>
      <c r="P386" s="26" t="s">
        <v>1650</v>
      </c>
      <c r="Q386" s="24" t="s">
        <v>37</v>
      </c>
      <c r="R386" s="25"/>
      <c r="S386" s="25"/>
    </row>
    <row r="387" ht="39" customHeight="1" spans="1:19">
      <c r="A387" s="19" t="s">
        <v>1653</v>
      </c>
      <c r="B387" s="20" t="s">
        <v>19</v>
      </c>
      <c r="C387" s="20" t="s">
        <v>20</v>
      </c>
      <c r="D387" s="20" t="s">
        <v>32</v>
      </c>
      <c r="E387" s="21" t="s">
        <v>1654</v>
      </c>
      <c r="F387" s="21" t="s">
        <v>1655</v>
      </c>
      <c r="G387" s="20" t="s">
        <v>35</v>
      </c>
      <c r="H387" s="20" t="s">
        <v>25</v>
      </c>
      <c r="I387" s="21" t="s">
        <v>1656</v>
      </c>
      <c r="J387" s="22">
        <f t="shared" ref="J387:J450" si="30">F387-I387</f>
        <v>27.8694444444482</v>
      </c>
      <c r="K387" s="22">
        <f t="shared" ref="K387:K450" si="31">J387*24</f>
        <v>668.866666666756</v>
      </c>
      <c r="L387" s="22">
        <f t="shared" ref="L387:L450" si="32">IF(_xlfn.DAYS(F387,I387)&gt;0,K387-IF(FLOOR(J387,1)=0,1,_xlfn.DAYS(F387,I387))*16,K387)</f>
        <v>220.866666666756</v>
      </c>
      <c r="M387" s="22" cm="1">
        <f ca="1" t="array" ref="M387">SUMPRODUCT(--(WEEKDAY(ROW(INDIRECT(INT(F387)&amp;":"&amp;INT(I387))),2)&gt;5))</f>
        <v>8</v>
      </c>
      <c r="N387" s="22">
        <f ca="1" t="shared" ref="N387:N450" si="33">IF(IF(M387&gt;0,L387-M387*8,L387)&lt;0,0,IF(M387&gt;0,L387-M387*8,L387))</f>
        <v>156.866666666756</v>
      </c>
      <c r="O387" s="22" t="str">
        <f ca="1" t="shared" ref="O387:O450" si="34">IF(OR(AND(D387="P1",N387&lt;=3),AND(D387="P2",N387&lt;=6),AND(D387="P3",N387&lt;=9),AND(D387="P4",N387&lt;=12)),"Within SLA","SLA Violated")</f>
        <v>SLA Violated</v>
      </c>
      <c r="P387" s="23" t="s">
        <v>1657</v>
      </c>
      <c r="Q387" s="24" t="s">
        <v>37</v>
      </c>
      <c r="R387" s="25" t="s">
        <v>38</v>
      </c>
      <c r="S387" s="25" t="s">
        <v>39</v>
      </c>
    </row>
    <row r="388" ht="39" customHeight="1" spans="1:19">
      <c r="A388" s="19" t="s">
        <v>1658</v>
      </c>
      <c r="B388" s="20" t="s">
        <v>19</v>
      </c>
      <c r="C388" s="20" t="s">
        <v>20</v>
      </c>
      <c r="D388" s="20" t="s">
        <v>32</v>
      </c>
      <c r="E388" s="21" t="s">
        <v>1659</v>
      </c>
      <c r="F388" s="21" t="s">
        <v>1660</v>
      </c>
      <c r="G388" s="20" t="s">
        <v>35</v>
      </c>
      <c r="H388" s="20" t="s">
        <v>25</v>
      </c>
      <c r="I388" s="21" t="s">
        <v>1661</v>
      </c>
      <c r="J388" s="22">
        <f t="shared" si="30"/>
        <v>0.0645833333328483</v>
      </c>
      <c r="K388" s="22">
        <f t="shared" si="31"/>
        <v>1.54999999998836</v>
      </c>
      <c r="L388" s="22">
        <f t="shared" si="32"/>
        <v>1.54999999998836</v>
      </c>
      <c r="M388" s="22" cm="1">
        <f ca="1" t="array" ref="M388">SUMPRODUCT(--(WEEKDAY(ROW(INDIRECT(INT(F388)&amp;":"&amp;INT(I388))),2)&gt;5))</f>
        <v>0</v>
      </c>
      <c r="N388" s="22">
        <f ca="1" t="shared" si="33"/>
        <v>1.54999999998836</v>
      </c>
      <c r="O388" s="22" t="str">
        <f ca="1" t="shared" si="34"/>
        <v>Within SLA</v>
      </c>
      <c r="P388" s="26" t="s">
        <v>1658</v>
      </c>
      <c r="Q388" s="24" t="s">
        <v>37</v>
      </c>
      <c r="R388" s="25"/>
      <c r="S388" s="25"/>
    </row>
    <row r="389" ht="39" customHeight="1" spans="1:19">
      <c r="A389" s="19" t="s">
        <v>1662</v>
      </c>
      <c r="B389" s="20" t="s">
        <v>19</v>
      </c>
      <c r="C389" s="20" t="s">
        <v>20</v>
      </c>
      <c r="D389" s="20" t="s">
        <v>32</v>
      </c>
      <c r="E389" s="21" t="s">
        <v>1663</v>
      </c>
      <c r="F389" s="21" t="s">
        <v>1664</v>
      </c>
      <c r="G389" s="20" t="s">
        <v>35</v>
      </c>
      <c r="H389" s="20" t="s">
        <v>25</v>
      </c>
      <c r="I389" s="21" t="s">
        <v>1665</v>
      </c>
      <c r="J389" s="22">
        <f t="shared" si="30"/>
        <v>0.0590277777810115</v>
      </c>
      <c r="K389" s="22">
        <f t="shared" si="31"/>
        <v>1.41666666674428</v>
      </c>
      <c r="L389" s="22">
        <f t="shared" si="32"/>
        <v>1.41666666674428</v>
      </c>
      <c r="M389" s="22" cm="1">
        <f ca="1" t="array" ref="M389">SUMPRODUCT(--(WEEKDAY(ROW(INDIRECT(INT(F389)&amp;":"&amp;INT(I389))),2)&gt;5))</f>
        <v>0</v>
      </c>
      <c r="N389" s="22">
        <f ca="1" t="shared" si="33"/>
        <v>1.41666666674428</v>
      </c>
      <c r="O389" s="22" t="str">
        <f ca="1" t="shared" si="34"/>
        <v>Within SLA</v>
      </c>
      <c r="P389" s="26" t="s">
        <v>1662</v>
      </c>
      <c r="Q389" s="24" t="s">
        <v>37</v>
      </c>
      <c r="R389" s="25"/>
      <c r="S389" s="25"/>
    </row>
    <row r="390" ht="39" customHeight="1" spans="1:19">
      <c r="A390" s="19" t="s">
        <v>1666</v>
      </c>
      <c r="B390" s="20" t="s">
        <v>19</v>
      </c>
      <c r="C390" s="20" t="s">
        <v>20</v>
      </c>
      <c r="D390" s="20" t="s">
        <v>32</v>
      </c>
      <c r="E390" s="21" t="s">
        <v>1667</v>
      </c>
      <c r="F390" s="21" t="s">
        <v>1668</v>
      </c>
      <c r="G390" s="20" t="s">
        <v>35</v>
      </c>
      <c r="H390" s="20" t="s">
        <v>25</v>
      </c>
      <c r="I390" s="21" t="s">
        <v>1669</v>
      </c>
      <c r="J390" s="22">
        <f t="shared" si="30"/>
        <v>0.0499999999956344</v>
      </c>
      <c r="K390" s="22">
        <f t="shared" si="31"/>
        <v>1.19999999989523</v>
      </c>
      <c r="L390" s="22">
        <f t="shared" si="32"/>
        <v>1.19999999989523</v>
      </c>
      <c r="M390" s="22" cm="1">
        <f ca="1" t="array" ref="M390">SUMPRODUCT(--(WEEKDAY(ROW(INDIRECT(INT(F390)&amp;":"&amp;INT(I390))),2)&gt;5))</f>
        <v>0</v>
      </c>
      <c r="N390" s="22">
        <f ca="1" t="shared" si="33"/>
        <v>1.19999999989523</v>
      </c>
      <c r="O390" s="22" t="str">
        <f ca="1" t="shared" si="34"/>
        <v>Within SLA</v>
      </c>
      <c r="P390" s="26" t="s">
        <v>1666</v>
      </c>
      <c r="Q390" s="24" t="s">
        <v>37</v>
      </c>
      <c r="R390" s="25"/>
      <c r="S390" s="25"/>
    </row>
    <row r="391" ht="39" customHeight="1" spans="1:19">
      <c r="A391" s="19" t="s">
        <v>1670</v>
      </c>
      <c r="B391" s="20" t="s">
        <v>19</v>
      </c>
      <c r="C391" s="20" t="s">
        <v>20</v>
      </c>
      <c r="D391" s="20" t="s">
        <v>32</v>
      </c>
      <c r="E391" s="21" t="s">
        <v>1667</v>
      </c>
      <c r="F391" s="21" t="s">
        <v>1671</v>
      </c>
      <c r="G391" s="20" t="s">
        <v>35</v>
      </c>
      <c r="H391" s="20" t="s">
        <v>25</v>
      </c>
      <c r="I391" s="21" t="s">
        <v>1672</v>
      </c>
      <c r="J391" s="22">
        <f t="shared" si="30"/>
        <v>0.0486111111167702</v>
      </c>
      <c r="K391" s="22">
        <f t="shared" si="31"/>
        <v>1.16666666680248</v>
      </c>
      <c r="L391" s="22">
        <f t="shared" si="32"/>
        <v>1.16666666680248</v>
      </c>
      <c r="M391" s="22" cm="1">
        <f ca="1" t="array" ref="M391">SUMPRODUCT(--(WEEKDAY(ROW(INDIRECT(INT(F391)&amp;":"&amp;INT(I391))),2)&gt;5))</f>
        <v>0</v>
      </c>
      <c r="N391" s="22">
        <f ca="1" t="shared" si="33"/>
        <v>1.16666666680248</v>
      </c>
      <c r="O391" s="22" t="str">
        <f ca="1" t="shared" si="34"/>
        <v>Within SLA</v>
      </c>
      <c r="P391" s="26" t="s">
        <v>1670</v>
      </c>
      <c r="Q391" s="24" t="s">
        <v>37</v>
      </c>
      <c r="R391" s="25"/>
      <c r="S391" s="25"/>
    </row>
    <row r="392" ht="39" customHeight="1" spans="1:19">
      <c r="A392" s="19" t="s">
        <v>1673</v>
      </c>
      <c r="B392" s="20" t="s">
        <v>19</v>
      </c>
      <c r="C392" s="20" t="s">
        <v>20</v>
      </c>
      <c r="D392" s="20" t="s">
        <v>32</v>
      </c>
      <c r="E392" s="21" t="s">
        <v>1674</v>
      </c>
      <c r="F392" s="21" t="s">
        <v>1675</v>
      </c>
      <c r="G392" s="20" t="s">
        <v>35</v>
      </c>
      <c r="H392" s="20" t="s">
        <v>25</v>
      </c>
      <c r="I392" s="21" t="s">
        <v>1676</v>
      </c>
      <c r="J392" s="22">
        <f t="shared" si="30"/>
        <v>0.0326388888934162</v>
      </c>
      <c r="K392" s="22">
        <f t="shared" si="31"/>
        <v>0.783333333441988</v>
      </c>
      <c r="L392" s="22">
        <f t="shared" si="32"/>
        <v>0.783333333441988</v>
      </c>
      <c r="M392" s="22" cm="1">
        <f ca="1" t="array" ref="M392">SUMPRODUCT(--(WEEKDAY(ROW(INDIRECT(INT(F392)&amp;":"&amp;INT(I392))),2)&gt;5))</f>
        <v>0</v>
      </c>
      <c r="N392" s="22">
        <f ca="1" t="shared" si="33"/>
        <v>0.783333333441988</v>
      </c>
      <c r="O392" s="22" t="str">
        <f ca="1" t="shared" si="34"/>
        <v>Within SLA</v>
      </c>
      <c r="P392" s="26" t="s">
        <v>1673</v>
      </c>
      <c r="Q392" s="24" t="s">
        <v>37</v>
      </c>
      <c r="R392" s="25"/>
      <c r="S392" s="25"/>
    </row>
    <row r="393" ht="27" customHeight="1" spans="1:19">
      <c r="A393" s="19" t="s">
        <v>1677</v>
      </c>
      <c r="B393" s="20" t="s">
        <v>30</v>
      </c>
      <c r="C393" s="20" t="s">
        <v>31</v>
      </c>
      <c r="D393" s="20" t="s">
        <v>32</v>
      </c>
      <c r="E393" s="21" t="s">
        <v>1678</v>
      </c>
      <c r="F393" s="21" t="s">
        <v>1679</v>
      </c>
      <c r="G393" s="20" t="s">
        <v>35</v>
      </c>
      <c r="H393" s="20" t="s">
        <v>25</v>
      </c>
      <c r="I393" s="21" t="s">
        <v>1680</v>
      </c>
      <c r="J393" s="22">
        <f t="shared" si="30"/>
        <v>0.0138888888905058</v>
      </c>
      <c r="K393" s="22">
        <f t="shared" si="31"/>
        <v>0.333333333372138</v>
      </c>
      <c r="L393" s="22">
        <f t="shared" si="32"/>
        <v>0.333333333372138</v>
      </c>
      <c r="M393" s="22" cm="1">
        <f ca="1" t="array" ref="M393">SUMPRODUCT(--(WEEKDAY(ROW(INDIRECT(INT(F393)&amp;":"&amp;INT(I393))),2)&gt;5))</f>
        <v>0</v>
      </c>
      <c r="N393" s="22">
        <f ca="1" t="shared" si="33"/>
        <v>0.333333333372138</v>
      </c>
      <c r="O393" s="22" t="str">
        <f ca="1" t="shared" si="34"/>
        <v>Within SLA</v>
      </c>
      <c r="P393" s="26" t="s">
        <v>1677</v>
      </c>
      <c r="Q393" s="24" t="s">
        <v>37</v>
      </c>
      <c r="R393" s="25"/>
      <c r="S393" s="25"/>
    </row>
    <row r="394" ht="27" customHeight="1" spans="1:19">
      <c r="A394" s="19" t="s">
        <v>1681</v>
      </c>
      <c r="B394" s="20" t="s">
        <v>30</v>
      </c>
      <c r="C394" s="20" t="s">
        <v>31</v>
      </c>
      <c r="D394" s="20" t="s">
        <v>21</v>
      </c>
      <c r="E394" s="21" t="s">
        <v>1676</v>
      </c>
      <c r="F394" s="21" t="s">
        <v>1682</v>
      </c>
      <c r="G394" s="20" t="s">
        <v>35</v>
      </c>
      <c r="H394" s="20" t="s">
        <v>25</v>
      </c>
      <c r="I394" s="21" t="s">
        <v>1683</v>
      </c>
      <c r="J394" s="22">
        <f t="shared" si="30"/>
        <v>28.7249999999985</v>
      </c>
      <c r="K394" s="22">
        <f t="shared" si="31"/>
        <v>689.399999999965</v>
      </c>
      <c r="L394" s="22">
        <f t="shared" si="32"/>
        <v>225.399999999965</v>
      </c>
      <c r="M394" s="22" cm="1">
        <f ca="1" t="array" ref="M394">SUMPRODUCT(--(WEEKDAY(ROW(INDIRECT(INT(F394)&amp;":"&amp;INT(I394))),2)&gt;5))</f>
        <v>8</v>
      </c>
      <c r="N394" s="22">
        <f ca="1" t="shared" si="33"/>
        <v>161.399999999965</v>
      </c>
      <c r="O394" s="22" t="str">
        <f ca="1" t="shared" si="34"/>
        <v>SLA Violated</v>
      </c>
      <c r="P394" s="23" t="s">
        <v>1684</v>
      </c>
      <c r="Q394" s="24" t="s">
        <v>28</v>
      </c>
      <c r="R394" s="25"/>
      <c r="S394" s="25"/>
    </row>
    <row r="395" ht="39" customHeight="1" spans="1:19">
      <c r="A395" s="19" t="s">
        <v>1685</v>
      </c>
      <c r="B395" s="20" t="s">
        <v>196</v>
      </c>
      <c r="C395" s="20" t="s">
        <v>67</v>
      </c>
      <c r="D395" s="20" t="s">
        <v>32</v>
      </c>
      <c r="E395" s="21" t="s">
        <v>1686</v>
      </c>
      <c r="F395" s="21" t="s">
        <v>1687</v>
      </c>
      <c r="G395" s="20" t="s">
        <v>35</v>
      </c>
      <c r="H395" s="20" t="s">
        <v>25</v>
      </c>
      <c r="I395" s="21" t="s">
        <v>1688</v>
      </c>
      <c r="J395" s="22">
        <f t="shared" si="30"/>
        <v>22.038888888892</v>
      </c>
      <c r="K395" s="22">
        <f t="shared" si="31"/>
        <v>528.933333333407</v>
      </c>
      <c r="L395" s="22">
        <f t="shared" si="32"/>
        <v>176.933333333407</v>
      </c>
      <c r="M395" s="22" cm="1">
        <f ca="1" t="array" ref="M395">SUMPRODUCT(--(WEEKDAY(ROW(INDIRECT(INT(F395)&amp;":"&amp;INT(I395))),2)&gt;5))</f>
        <v>6</v>
      </c>
      <c r="N395" s="22">
        <f ca="1" t="shared" si="33"/>
        <v>128.933333333407</v>
      </c>
      <c r="O395" s="22" t="str">
        <f ca="1" t="shared" si="34"/>
        <v>SLA Violated</v>
      </c>
      <c r="P395" s="23" t="s">
        <v>1689</v>
      </c>
      <c r="Q395" s="24" t="s">
        <v>37</v>
      </c>
      <c r="R395" s="25" t="s">
        <v>1690</v>
      </c>
      <c r="S395" s="25" t="s">
        <v>39</v>
      </c>
    </row>
    <row r="396" ht="39" customHeight="1" spans="1:19">
      <c r="A396" s="19" t="s">
        <v>1691</v>
      </c>
      <c r="B396" s="20" t="s">
        <v>19</v>
      </c>
      <c r="C396" s="20" t="s">
        <v>20</v>
      </c>
      <c r="D396" s="20" t="s">
        <v>32</v>
      </c>
      <c r="E396" s="21" t="s">
        <v>1692</v>
      </c>
      <c r="F396" s="21" t="s">
        <v>1693</v>
      </c>
      <c r="G396" s="20" t="s">
        <v>35</v>
      </c>
      <c r="H396" s="20" t="s">
        <v>25</v>
      </c>
      <c r="I396" s="21" t="s">
        <v>1694</v>
      </c>
      <c r="J396" s="22">
        <f t="shared" si="30"/>
        <v>23.5173611111095</v>
      </c>
      <c r="K396" s="22">
        <f t="shared" si="31"/>
        <v>564.416666666628</v>
      </c>
      <c r="L396" s="22">
        <f t="shared" si="32"/>
        <v>196.416666666628</v>
      </c>
      <c r="M396" s="22" cm="1">
        <f ca="1" t="array" ref="M396">SUMPRODUCT(--(WEEKDAY(ROW(INDIRECT(INT(F396)&amp;":"&amp;INT(I396))),2)&gt;5))</f>
        <v>6</v>
      </c>
      <c r="N396" s="22">
        <f ca="1" t="shared" si="33"/>
        <v>148.416666666628</v>
      </c>
      <c r="O396" s="22" t="str">
        <f ca="1" t="shared" si="34"/>
        <v>SLA Violated</v>
      </c>
      <c r="P396" s="23" t="s">
        <v>1695</v>
      </c>
      <c r="Q396" s="24" t="s">
        <v>28</v>
      </c>
      <c r="R396" s="25"/>
      <c r="S396" s="25"/>
    </row>
    <row r="397" ht="27" customHeight="1" spans="1:19">
      <c r="A397" s="19" t="s">
        <v>1696</v>
      </c>
      <c r="B397" s="20" t="s">
        <v>30</v>
      </c>
      <c r="C397" s="20" t="s">
        <v>31</v>
      </c>
      <c r="D397" s="20" t="s">
        <v>32</v>
      </c>
      <c r="E397" s="21" t="s">
        <v>1697</v>
      </c>
      <c r="F397" s="21" t="s">
        <v>1698</v>
      </c>
      <c r="G397" s="20" t="s">
        <v>35</v>
      </c>
      <c r="H397" s="20" t="s">
        <v>25</v>
      </c>
      <c r="I397" s="21" t="s">
        <v>1699</v>
      </c>
      <c r="J397" s="22">
        <f t="shared" si="30"/>
        <v>0.0222222222218988</v>
      </c>
      <c r="K397" s="22">
        <f t="shared" si="31"/>
        <v>0.533333333325572</v>
      </c>
      <c r="L397" s="22">
        <f t="shared" si="32"/>
        <v>0.533333333325572</v>
      </c>
      <c r="M397" s="22" cm="1">
        <f ca="1" t="array" ref="M397">SUMPRODUCT(--(WEEKDAY(ROW(INDIRECT(INT(F397)&amp;":"&amp;INT(I397))),2)&gt;5))</f>
        <v>0</v>
      </c>
      <c r="N397" s="22">
        <f ca="1" t="shared" si="33"/>
        <v>0.533333333325572</v>
      </c>
      <c r="O397" s="22" t="str">
        <f ca="1" t="shared" si="34"/>
        <v>Within SLA</v>
      </c>
      <c r="P397" s="26" t="s">
        <v>1696</v>
      </c>
      <c r="Q397" s="24" t="s">
        <v>37</v>
      </c>
      <c r="R397" s="25"/>
      <c r="S397" s="25"/>
    </row>
    <row r="398" ht="27" customHeight="1" spans="1:19">
      <c r="A398" s="19" t="s">
        <v>1700</v>
      </c>
      <c r="B398" s="20" t="s">
        <v>30</v>
      </c>
      <c r="C398" s="20" t="s">
        <v>46</v>
      </c>
      <c r="D398" s="20" t="s">
        <v>32</v>
      </c>
      <c r="E398" s="21" t="s">
        <v>1660</v>
      </c>
      <c r="F398" s="21" t="s">
        <v>1701</v>
      </c>
      <c r="G398" s="20" t="s">
        <v>35</v>
      </c>
      <c r="H398" s="20" t="s">
        <v>25</v>
      </c>
      <c r="I398" s="21" t="s">
        <v>1702</v>
      </c>
      <c r="J398" s="22">
        <f t="shared" si="30"/>
        <v>10.7277777777781</v>
      </c>
      <c r="K398" s="22">
        <f t="shared" si="31"/>
        <v>257.466666666674</v>
      </c>
      <c r="L398" s="22">
        <f t="shared" si="32"/>
        <v>81.4666666666744</v>
      </c>
      <c r="M398" s="22" cm="1">
        <f ca="1" t="array" ref="M398">SUMPRODUCT(--(WEEKDAY(ROW(INDIRECT(INT(F398)&amp;":"&amp;INT(I398))),2)&gt;5))</f>
        <v>4</v>
      </c>
      <c r="N398" s="22">
        <f ca="1" t="shared" si="33"/>
        <v>49.4666666666744</v>
      </c>
      <c r="O398" s="22" t="str">
        <f ca="1" t="shared" si="34"/>
        <v>SLA Violated</v>
      </c>
      <c r="P398" s="26" t="s">
        <v>1700</v>
      </c>
      <c r="Q398" s="24" t="s">
        <v>37</v>
      </c>
      <c r="R398" s="6" t="s">
        <v>1703</v>
      </c>
      <c r="S398" s="25" t="s">
        <v>39</v>
      </c>
    </row>
    <row r="399" ht="39" customHeight="1" spans="1:19">
      <c r="A399" s="19" t="s">
        <v>1704</v>
      </c>
      <c r="B399" s="20" t="s">
        <v>19</v>
      </c>
      <c r="C399" s="20" t="s">
        <v>20</v>
      </c>
      <c r="D399" s="20" t="s">
        <v>32</v>
      </c>
      <c r="E399" s="21" t="s">
        <v>1620</v>
      </c>
      <c r="F399" s="21" t="s">
        <v>1705</v>
      </c>
      <c r="G399" s="20" t="s">
        <v>35</v>
      </c>
      <c r="H399" s="20" t="s">
        <v>25</v>
      </c>
      <c r="I399" s="21" t="s">
        <v>1706</v>
      </c>
      <c r="J399" s="22">
        <f t="shared" si="30"/>
        <v>0.00972222221753327</v>
      </c>
      <c r="K399" s="22">
        <f t="shared" si="31"/>
        <v>0.233333333220799</v>
      </c>
      <c r="L399" s="22">
        <f t="shared" si="32"/>
        <v>0.233333333220799</v>
      </c>
      <c r="M399" s="22" cm="1">
        <f ca="1" t="array" ref="M399">SUMPRODUCT(--(WEEKDAY(ROW(INDIRECT(INT(F399)&amp;":"&amp;INT(I399))),2)&gt;5))</f>
        <v>0</v>
      </c>
      <c r="N399" s="22">
        <f ca="1" t="shared" si="33"/>
        <v>0.233333333220799</v>
      </c>
      <c r="O399" s="22" t="str">
        <f ca="1" t="shared" si="34"/>
        <v>Within SLA</v>
      </c>
      <c r="P399" s="26" t="s">
        <v>1704</v>
      </c>
      <c r="Q399" s="24" t="s">
        <v>37</v>
      </c>
      <c r="R399" s="25"/>
      <c r="S399" s="25"/>
    </row>
    <row r="400" ht="27" customHeight="1" spans="1:19">
      <c r="A400" s="19" t="s">
        <v>1707</v>
      </c>
      <c r="B400" s="20" t="s">
        <v>30</v>
      </c>
      <c r="C400" s="20" t="s">
        <v>31</v>
      </c>
      <c r="D400" s="20" t="s">
        <v>32</v>
      </c>
      <c r="E400" s="21" t="s">
        <v>1708</v>
      </c>
      <c r="F400" s="21" t="s">
        <v>1709</v>
      </c>
      <c r="G400" s="20" t="s">
        <v>35</v>
      </c>
      <c r="H400" s="20" t="s">
        <v>25</v>
      </c>
      <c r="I400" s="21" t="s">
        <v>1710</v>
      </c>
      <c r="J400" s="22">
        <f t="shared" si="30"/>
        <v>0.160416666665697</v>
      </c>
      <c r="K400" s="22">
        <f t="shared" si="31"/>
        <v>3.84999999997672</v>
      </c>
      <c r="L400" s="22">
        <f t="shared" si="32"/>
        <v>3.84999999997672</v>
      </c>
      <c r="M400" s="22" cm="1">
        <f ca="1" t="array" ref="M400">SUMPRODUCT(--(WEEKDAY(ROW(INDIRECT(INT(F400)&amp;":"&amp;INT(I400))),2)&gt;5))</f>
        <v>0</v>
      </c>
      <c r="N400" s="22">
        <f ca="1" t="shared" si="33"/>
        <v>3.84999999997672</v>
      </c>
      <c r="O400" s="22" t="str">
        <f ca="1" t="shared" si="34"/>
        <v>Within SLA</v>
      </c>
      <c r="P400" s="26" t="s">
        <v>1707</v>
      </c>
      <c r="Q400" s="24" t="s">
        <v>37</v>
      </c>
      <c r="R400" s="25"/>
      <c r="S400" s="25"/>
    </row>
    <row r="401" ht="39" customHeight="1" spans="1:19">
      <c r="A401" s="19" t="s">
        <v>1711</v>
      </c>
      <c r="B401" s="20" t="s">
        <v>19</v>
      </c>
      <c r="C401" s="20" t="s">
        <v>20</v>
      </c>
      <c r="D401" s="20" t="s">
        <v>32</v>
      </c>
      <c r="E401" s="21" t="s">
        <v>1712</v>
      </c>
      <c r="F401" s="21" t="s">
        <v>1713</v>
      </c>
      <c r="G401" s="20" t="s">
        <v>35</v>
      </c>
      <c r="H401" s="20" t="s">
        <v>25</v>
      </c>
      <c r="I401" s="21" t="s">
        <v>1694</v>
      </c>
      <c r="J401" s="22">
        <f t="shared" si="30"/>
        <v>0.197916666664241</v>
      </c>
      <c r="K401" s="22">
        <f t="shared" si="31"/>
        <v>4.74999999994179</v>
      </c>
      <c r="L401" s="22">
        <f t="shared" si="32"/>
        <v>4.74999999994179</v>
      </c>
      <c r="M401" s="22" cm="1">
        <f ca="1" t="array" ref="M401">SUMPRODUCT(--(WEEKDAY(ROW(INDIRECT(INT(F401)&amp;":"&amp;INT(I401))),2)&gt;5))</f>
        <v>0</v>
      </c>
      <c r="N401" s="22">
        <f ca="1" t="shared" si="33"/>
        <v>4.74999999994179</v>
      </c>
      <c r="O401" s="22" t="str">
        <f ca="1" t="shared" si="34"/>
        <v>Within SLA</v>
      </c>
      <c r="P401" s="26" t="s">
        <v>1711</v>
      </c>
      <c r="Q401" s="24" t="s">
        <v>37</v>
      </c>
      <c r="R401" s="25"/>
      <c r="S401" s="25"/>
    </row>
    <row r="402" ht="39" customHeight="1" spans="1:19">
      <c r="A402" s="19" t="s">
        <v>1714</v>
      </c>
      <c r="B402" s="20" t="s">
        <v>19</v>
      </c>
      <c r="C402" s="20" t="s">
        <v>20</v>
      </c>
      <c r="D402" s="20" t="s">
        <v>32</v>
      </c>
      <c r="E402" s="21" t="s">
        <v>1715</v>
      </c>
      <c r="F402" s="21" t="s">
        <v>1716</v>
      </c>
      <c r="G402" s="20" t="s">
        <v>35</v>
      </c>
      <c r="H402" s="20" t="s">
        <v>25</v>
      </c>
      <c r="I402" s="21" t="s">
        <v>1717</v>
      </c>
      <c r="J402" s="22">
        <f t="shared" si="30"/>
        <v>3.06458333333285</v>
      </c>
      <c r="K402" s="22">
        <f t="shared" si="31"/>
        <v>73.5499999999884</v>
      </c>
      <c r="L402" s="22">
        <f t="shared" si="32"/>
        <v>25.5499999999884</v>
      </c>
      <c r="M402" s="22" cm="1">
        <f ca="1" t="array" ref="M402">SUMPRODUCT(--(WEEKDAY(ROW(INDIRECT(INT(F402)&amp;":"&amp;INT(I402))),2)&gt;5))</f>
        <v>2</v>
      </c>
      <c r="N402" s="22">
        <f ca="1" t="shared" si="33"/>
        <v>9.5499999999884</v>
      </c>
      <c r="O402" s="22" t="str">
        <f ca="1" t="shared" si="34"/>
        <v>Within SLA</v>
      </c>
      <c r="P402" s="26" t="s">
        <v>1714</v>
      </c>
      <c r="Q402" s="24" t="s">
        <v>37</v>
      </c>
      <c r="R402" s="25"/>
      <c r="S402" s="25"/>
    </row>
    <row r="403" ht="39" customHeight="1" spans="1:19">
      <c r="A403" s="19" t="s">
        <v>1718</v>
      </c>
      <c r="B403" s="20" t="s">
        <v>19</v>
      </c>
      <c r="C403" s="20" t="s">
        <v>20</v>
      </c>
      <c r="D403" s="20" t="s">
        <v>32</v>
      </c>
      <c r="E403" s="21" t="s">
        <v>1719</v>
      </c>
      <c r="F403" s="21" t="s">
        <v>1720</v>
      </c>
      <c r="G403" s="20" t="s">
        <v>35</v>
      </c>
      <c r="H403" s="20" t="s">
        <v>25</v>
      </c>
      <c r="I403" s="21" t="s">
        <v>1721</v>
      </c>
      <c r="J403" s="22">
        <f t="shared" si="30"/>
        <v>27.3597222222234</v>
      </c>
      <c r="K403" s="22">
        <f t="shared" si="31"/>
        <v>656.63333333336</v>
      </c>
      <c r="L403" s="22">
        <f t="shared" si="32"/>
        <v>224.63333333336</v>
      </c>
      <c r="M403" s="22" cm="1">
        <f ca="1" t="array" ref="M403">SUMPRODUCT(--(WEEKDAY(ROW(INDIRECT(INT(F403)&amp;":"&amp;INT(I403))),2)&gt;5))</f>
        <v>8</v>
      </c>
      <c r="N403" s="22">
        <f ca="1" t="shared" si="33"/>
        <v>160.63333333336</v>
      </c>
      <c r="O403" s="22" t="str">
        <f ca="1" t="shared" si="34"/>
        <v>SLA Violated</v>
      </c>
      <c r="P403" s="23" t="s">
        <v>1722</v>
      </c>
      <c r="Q403" s="24" t="s">
        <v>37</v>
      </c>
      <c r="R403" s="25" t="s">
        <v>38</v>
      </c>
      <c r="S403" s="25" t="s">
        <v>39</v>
      </c>
    </row>
    <row r="404" ht="27" customHeight="1" spans="1:19">
      <c r="A404" s="19" t="s">
        <v>1723</v>
      </c>
      <c r="B404" s="20" t="s">
        <v>30</v>
      </c>
      <c r="C404" s="20" t="s">
        <v>31</v>
      </c>
      <c r="D404" s="20" t="s">
        <v>32</v>
      </c>
      <c r="E404" s="21" t="s">
        <v>1724</v>
      </c>
      <c r="F404" s="21" t="s">
        <v>1725</v>
      </c>
      <c r="G404" s="20" t="s">
        <v>35</v>
      </c>
      <c r="H404" s="20" t="s">
        <v>25</v>
      </c>
      <c r="I404" s="21" t="s">
        <v>1726</v>
      </c>
      <c r="J404" s="22">
        <f t="shared" si="30"/>
        <v>7.31805555555911</v>
      </c>
      <c r="K404" s="22">
        <f t="shared" si="31"/>
        <v>175.633333333419</v>
      </c>
      <c r="L404" s="22">
        <f t="shared" si="32"/>
        <v>63.6333333334187</v>
      </c>
      <c r="M404" s="22" cm="1">
        <f ca="1" t="array" ref="M404">SUMPRODUCT(--(WEEKDAY(ROW(INDIRECT(INT(F404)&amp;":"&amp;INT(I404))),2)&gt;5))</f>
        <v>2</v>
      </c>
      <c r="N404" s="22">
        <f ca="1" t="shared" si="33"/>
        <v>47.6333333334187</v>
      </c>
      <c r="O404" s="22" t="str">
        <f ca="1" t="shared" si="34"/>
        <v>SLA Violated</v>
      </c>
      <c r="P404" s="26" t="s">
        <v>1723</v>
      </c>
      <c r="Q404" s="24" t="s">
        <v>37</v>
      </c>
      <c r="R404" s="6" t="s">
        <v>1084</v>
      </c>
      <c r="S404" s="25" t="s">
        <v>39</v>
      </c>
    </row>
    <row r="405" ht="39" customHeight="1" spans="1:19">
      <c r="A405" s="19" t="s">
        <v>1727</v>
      </c>
      <c r="B405" s="20" t="s">
        <v>196</v>
      </c>
      <c r="C405" s="20" t="s">
        <v>46</v>
      </c>
      <c r="D405" s="20" t="s">
        <v>105</v>
      </c>
      <c r="E405" s="21" t="s">
        <v>1728</v>
      </c>
      <c r="F405" s="21" t="s">
        <v>1729</v>
      </c>
      <c r="G405" s="20" t="s">
        <v>35</v>
      </c>
      <c r="H405" s="20" t="s">
        <v>25</v>
      </c>
      <c r="I405" s="21" t="s">
        <v>1730</v>
      </c>
      <c r="J405" s="22">
        <f t="shared" si="30"/>
        <v>0.054861111115315</v>
      </c>
      <c r="K405" s="22">
        <f t="shared" si="31"/>
        <v>1.31666666676756</v>
      </c>
      <c r="L405" s="22">
        <f t="shared" si="32"/>
        <v>1.31666666676756</v>
      </c>
      <c r="M405" s="22" cm="1">
        <f ca="1" t="array" ref="M405">SUMPRODUCT(--(WEEKDAY(ROW(INDIRECT(INT(F405)&amp;":"&amp;INT(I405))),2)&gt;5))</f>
        <v>0</v>
      </c>
      <c r="N405" s="22">
        <f ca="1" t="shared" si="33"/>
        <v>1.31666666676756</v>
      </c>
      <c r="O405" s="22" t="str">
        <f ca="1" t="shared" si="34"/>
        <v>Within SLA</v>
      </c>
      <c r="P405" s="26" t="s">
        <v>1727</v>
      </c>
      <c r="Q405" s="24" t="s">
        <v>37</v>
      </c>
      <c r="R405" s="25"/>
      <c r="S405" s="25"/>
    </row>
    <row r="406" ht="27" customHeight="1" spans="1:19">
      <c r="A406" s="19" t="s">
        <v>1731</v>
      </c>
      <c r="B406" s="20" t="s">
        <v>30</v>
      </c>
      <c r="C406" s="20" t="s">
        <v>31</v>
      </c>
      <c r="D406" s="20" t="s">
        <v>32</v>
      </c>
      <c r="E406" s="21" t="s">
        <v>1732</v>
      </c>
      <c r="F406" s="21" t="s">
        <v>1733</v>
      </c>
      <c r="G406" s="20" t="s">
        <v>35</v>
      </c>
      <c r="H406" s="20" t="s">
        <v>25</v>
      </c>
      <c r="I406" s="21" t="s">
        <v>1734</v>
      </c>
      <c r="J406" s="22">
        <f t="shared" si="30"/>
        <v>0.0944444444467081</v>
      </c>
      <c r="K406" s="22">
        <f t="shared" si="31"/>
        <v>2.26666666672099</v>
      </c>
      <c r="L406" s="22">
        <f t="shared" si="32"/>
        <v>2.26666666672099</v>
      </c>
      <c r="M406" s="22" cm="1">
        <f ca="1" t="array" ref="M406">SUMPRODUCT(--(WEEKDAY(ROW(INDIRECT(INT(F406)&amp;":"&amp;INT(I406))),2)&gt;5))</f>
        <v>0</v>
      </c>
      <c r="N406" s="22">
        <f ca="1" t="shared" si="33"/>
        <v>2.26666666672099</v>
      </c>
      <c r="O406" s="22" t="str">
        <f ca="1" t="shared" si="34"/>
        <v>Within SLA</v>
      </c>
      <c r="P406" s="26" t="s">
        <v>1731</v>
      </c>
      <c r="Q406" s="24" t="s">
        <v>37</v>
      </c>
      <c r="R406" s="25"/>
      <c r="S406" s="25"/>
    </row>
    <row r="407" ht="27" customHeight="1" spans="1:19">
      <c r="A407" s="19" t="s">
        <v>1735</v>
      </c>
      <c r="B407" s="20" t="s">
        <v>30</v>
      </c>
      <c r="C407" s="20" t="s">
        <v>67</v>
      </c>
      <c r="D407" s="20" t="s">
        <v>32</v>
      </c>
      <c r="E407" s="21" t="s">
        <v>1736</v>
      </c>
      <c r="F407" s="21" t="s">
        <v>1737</v>
      </c>
      <c r="G407" s="20" t="s">
        <v>24</v>
      </c>
      <c r="H407" s="20" t="s">
        <v>25</v>
      </c>
      <c r="I407" s="21" t="s">
        <v>1738</v>
      </c>
      <c r="J407" s="22">
        <f t="shared" si="30"/>
        <v>7.05277777777519</v>
      </c>
      <c r="K407" s="22">
        <f t="shared" si="31"/>
        <v>169.266666666605</v>
      </c>
      <c r="L407" s="22">
        <f t="shared" si="32"/>
        <v>57.2666666666046</v>
      </c>
      <c r="M407" s="22" cm="1">
        <f ca="1" t="array" ref="M407">SUMPRODUCT(--(WEEKDAY(ROW(INDIRECT(INT(F407)&amp;":"&amp;INT(I407))),2)&gt;5))</f>
        <v>2</v>
      </c>
      <c r="N407" s="22">
        <f ca="1" t="shared" si="33"/>
        <v>41.2666666666046</v>
      </c>
      <c r="O407" s="22" t="str">
        <f ca="1" t="shared" si="34"/>
        <v>SLA Violated</v>
      </c>
      <c r="P407" s="23" t="s">
        <v>1739</v>
      </c>
      <c r="Q407" s="24" t="s">
        <v>28</v>
      </c>
      <c r="R407" s="25"/>
      <c r="S407" s="25"/>
    </row>
    <row r="408" ht="27" customHeight="1" spans="1:19">
      <c r="A408" s="19" t="s">
        <v>1740</v>
      </c>
      <c r="B408" s="20" t="s">
        <v>30</v>
      </c>
      <c r="C408" s="20" t="s">
        <v>31</v>
      </c>
      <c r="D408" s="20" t="s">
        <v>32</v>
      </c>
      <c r="E408" s="21" t="s">
        <v>1738</v>
      </c>
      <c r="F408" s="21" t="s">
        <v>1741</v>
      </c>
      <c r="G408" s="20" t="s">
        <v>35</v>
      </c>
      <c r="H408" s="20" t="s">
        <v>25</v>
      </c>
      <c r="I408" s="21" t="s">
        <v>1742</v>
      </c>
      <c r="J408" s="22">
        <f t="shared" si="30"/>
        <v>3.09375</v>
      </c>
      <c r="K408" s="22">
        <f t="shared" si="31"/>
        <v>74.25</v>
      </c>
      <c r="L408" s="22">
        <f t="shared" si="32"/>
        <v>26.25</v>
      </c>
      <c r="M408" s="22" cm="1">
        <f ca="1" t="array" ref="M408">SUMPRODUCT(--(WEEKDAY(ROW(INDIRECT(INT(F408)&amp;":"&amp;INT(I408))),2)&gt;5))</f>
        <v>2</v>
      </c>
      <c r="N408" s="22">
        <f ca="1" t="shared" si="33"/>
        <v>10.25</v>
      </c>
      <c r="O408" s="22" t="str">
        <f ca="1" t="shared" si="34"/>
        <v>Within SLA</v>
      </c>
      <c r="P408" s="26" t="s">
        <v>1740</v>
      </c>
      <c r="Q408" s="24" t="s">
        <v>37</v>
      </c>
      <c r="R408" s="25"/>
      <c r="S408" s="25"/>
    </row>
    <row r="409" ht="27" customHeight="1" spans="1:19">
      <c r="A409" s="19" t="s">
        <v>1743</v>
      </c>
      <c r="B409" s="20" t="s">
        <v>30</v>
      </c>
      <c r="C409" s="20" t="s">
        <v>31</v>
      </c>
      <c r="D409" s="20" t="s">
        <v>32</v>
      </c>
      <c r="E409" s="21" t="s">
        <v>1738</v>
      </c>
      <c r="F409" s="21" t="s">
        <v>1744</v>
      </c>
      <c r="G409" s="20" t="s">
        <v>35</v>
      </c>
      <c r="H409" s="20" t="s">
        <v>25</v>
      </c>
      <c r="I409" s="21" t="s">
        <v>1745</v>
      </c>
      <c r="J409" s="22">
        <f t="shared" si="30"/>
        <v>0.0770833333299379</v>
      </c>
      <c r="K409" s="22">
        <f t="shared" si="31"/>
        <v>1.84999999991851</v>
      </c>
      <c r="L409" s="22">
        <f t="shared" si="32"/>
        <v>1.84999999991851</v>
      </c>
      <c r="M409" s="22" cm="1">
        <f ca="1" t="array" ref="M409">SUMPRODUCT(--(WEEKDAY(ROW(INDIRECT(INT(F409)&amp;":"&amp;INT(I409))),2)&gt;5))</f>
        <v>0</v>
      </c>
      <c r="N409" s="22">
        <f ca="1" t="shared" si="33"/>
        <v>1.84999999991851</v>
      </c>
      <c r="O409" s="22" t="str">
        <f ca="1" t="shared" si="34"/>
        <v>Within SLA</v>
      </c>
      <c r="P409" s="26" t="s">
        <v>1743</v>
      </c>
      <c r="Q409" s="24" t="s">
        <v>37</v>
      </c>
      <c r="R409" s="25"/>
      <c r="S409" s="25"/>
    </row>
    <row r="410" ht="39" customHeight="1" spans="1:19">
      <c r="A410" s="19" t="s">
        <v>1746</v>
      </c>
      <c r="B410" s="20" t="s">
        <v>19</v>
      </c>
      <c r="C410" s="20" t="s">
        <v>20</v>
      </c>
      <c r="D410" s="20" t="s">
        <v>32</v>
      </c>
      <c r="E410" s="21" t="s">
        <v>1747</v>
      </c>
      <c r="F410" s="21" t="s">
        <v>1748</v>
      </c>
      <c r="G410" s="20" t="s">
        <v>24</v>
      </c>
      <c r="H410" s="20" t="s">
        <v>25</v>
      </c>
      <c r="I410" s="21" t="s">
        <v>1749</v>
      </c>
      <c r="J410" s="22">
        <f t="shared" si="30"/>
        <v>41.3041666666686</v>
      </c>
      <c r="K410" s="22">
        <f t="shared" si="31"/>
        <v>991.300000000047</v>
      </c>
      <c r="L410" s="22">
        <f t="shared" si="32"/>
        <v>335.300000000047</v>
      </c>
      <c r="M410" s="22" cm="1">
        <f ca="1" t="array" ref="M410">SUMPRODUCT(--(WEEKDAY(ROW(INDIRECT(INT(F410)&amp;":"&amp;INT(I410))),2)&gt;5))</f>
        <v>12</v>
      </c>
      <c r="N410" s="22">
        <f ca="1" t="shared" si="33"/>
        <v>239.300000000047</v>
      </c>
      <c r="O410" s="22" t="str">
        <f ca="1" t="shared" si="34"/>
        <v>SLA Violated</v>
      </c>
      <c r="P410" s="23" t="s">
        <v>1750</v>
      </c>
      <c r="Q410" s="24" t="s">
        <v>28</v>
      </c>
      <c r="R410" s="25"/>
      <c r="S410" s="25"/>
    </row>
    <row r="411" ht="39" customHeight="1" spans="1:19">
      <c r="A411" s="19" t="s">
        <v>1751</v>
      </c>
      <c r="B411" s="20" t="s">
        <v>196</v>
      </c>
      <c r="C411" s="20" t="s">
        <v>67</v>
      </c>
      <c r="D411" s="20" t="s">
        <v>32</v>
      </c>
      <c r="E411" s="21" t="s">
        <v>1752</v>
      </c>
      <c r="F411" s="21" t="s">
        <v>1753</v>
      </c>
      <c r="G411" s="20" t="s">
        <v>35</v>
      </c>
      <c r="H411" s="20" t="s">
        <v>25</v>
      </c>
      <c r="I411" s="21" t="s">
        <v>1754</v>
      </c>
      <c r="J411" s="22">
        <f t="shared" si="30"/>
        <v>21.2638888888905</v>
      </c>
      <c r="K411" s="22">
        <f t="shared" si="31"/>
        <v>510.333333333372</v>
      </c>
      <c r="L411" s="22">
        <f t="shared" si="32"/>
        <v>174.333333333372</v>
      </c>
      <c r="M411" s="22" cm="1">
        <f ca="1" t="array" ref="M411">SUMPRODUCT(--(WEEKDAY(ROW(INDIRECT(INT(F411)&amp;":"&amp;INT(I411))),2)&gt;5))</f>
        <v>6</v>
      </c>
      <c r="N411" s="22">
        <f ca="1" t="shared" si="33"/>
        <v>126.333333333372</v>
      </c>
      <c r="O411" s="22" t="str">
        <f ca="1" t="shared" si="34"/>
        <v>SLA Violated</v>
      </c>
      <c r="P411" s="23" t="s">
        <v>1755</v>
      </c>
      <c r="Q411" s="24" t="s">
        <v>28</v>
      </c>
      <c r="R411" s="25"/>
      <c r="S411" s="25"/>
    </row>
    <row r="412" ht="27" customHeight="1" spans="1:19">
      <c r="A412" s="19" t="s">
        <v>1756</v>
      </c>
      <c r="B412" s="20" t="s">
        <v>139</v>
      </c>
      <c r="C412" s="20" t="s">
        <v>67</v>
      </c>
      <c r="D412" s="20" t="s">
        <v>32</v>
      </c>
      <c r="E412" s="21" t="s">
        <v>1757</v>
      </c>
      <c r="F412" s="21" t="s">
        <v>1758</v>
      </c>
      <c r="G412" s="20" t="s">
        <v>35</v>
      </c>
      <c r="H412" s="20" t="s">
        <v>25</v>
      </c>
      <c r="I412" s="21" t="s">
        <v>1759</v>
      </c>
      <c r="J412" s="22">
        <f t="shared" si="30"/>
        <v>0.0479166666700621</v>
      </c>
      <c r="K412" s="22">
        <f t="shared" si="31"/>
        <v>1.15000000008149</v>
      </c>
      <c r="L412" s="22">
        <f t="shared" si="32"/>
        <v>1.15000000008149</v>
      </c>
      <c r="M412" s="22" cm="1">
        <f ca="1" t="array" ref="M412">SUMPRODUCT(--(WEEKDAY(ROW(INDIRECT(INT(F412)&amp;":"&amp;INT(I412))),2)&gt;5))</f>
        <v>0</v>
      </c>
      <c r="N412" s="22">
        <f ca="1" t="shared" si="33"/>
        <v>1.15000000008149</v>
      </c>
      <c r="O412" s="22" t="str">
        <f ca="1" t="shared" si="34"/>
        <v>Within SLA</v>
      </c>
      <c r="P412" s="26" t="s">
        <v>1756</v>
      </c>
      <c r="Q412" s="24" t="s">
        <v>37</v>
      </c>
      <c r="R412" s="25"/>
      <c r="S412" s="25"/>
    </row>
    <row r="413" ht="27" customHeight="1" spans="1:19">
      <c r="A413" s="19" t="s">
        <v>1760</v>
      </c>
      <c r="B413" s="20" t="s">
        <v>30</v>
      </c>
      <c r="C413" s="20" t="s">
        <v>31</v>
      </c>
      <c r="D413" s="20" t="s">
        <v>32</v>
      </c>
      <c r="E413" s="21" t="s">
        <v>1761</v>
      </c>
      <c r="F413" s="21" t="s">
        <v>1762</v>
      </c>
      <c r="G413" s="20" t="s">
        <v>35</v>
      </c>
      <c r="H413" s="20" t="s">
        <v>25</v>
      </c>
      <c r="I413" s="21" t="s">
        <v>1763</v>
      </c>
      <c r="J413" s="22">
        <f t="shared" si="30"/>
        <v>0.0326388888861402</v>
      </c>
      <c r="K413" s="22">
        <f t="shared" si="31"/>
        <v>0.783333333267365</v>
      </c>
      <c r="L413" s="22">
        <f t="shared" si="32"/>
        <v>0.783333333267365</v>
      </c>
      <c r="M413" s="22" cm="1">
        <f ca="1" t="array" ref="M413">SUMPRODUCT(--(WEEKDAY(ROW(INDIRECT(INT(F413)&amp;":"&amp;INT(I413))),2)&gt;5))</f>
        <v>0</v>
      </c>
      <c r="N413" s="22">
        <f ca="1" t="shared" si="33"/>
        <v>0.783333333267365</v>
      </c>
      <c r="O413" s="22" t="str">
        <f ca="1" t="shared" si="34"/>
        <v>Within SLA</v>
      </c>
      <c r="P413" s="26" t="s">
        <v>1760</v>
      </c>
      <c r="Q413" s="24" t="s">
        <v>37</v>
      </c>
      <c r="R413" s="25"/>
      <c r="S413" s="25"/>
    </row>
    <row r="414" ht="39" customHeight="1" spans="1:19">
      <c r="A414" s="19" t="s">
        <v>1764</v>
      </c>
      <c r="B414" s="20" t="s">
        <v>19</v>
      </c>
      <c r="C414" s="20" t="s">
        <v>20</v>
      </c>
      <c r="D414" s="20" t="s">
        <v>32</v>
      </c>
      <c r="E414" s="21" t="s">
        <v>1765</v>
      </c>
      <c r="F414" s="21" t="s">
        <v>1766</v>
      </c>
      <c r="G414" s="20" t="s">
        <v>35</v>
      </c>
      <c r="H414" s="20" t="s">
        <v>25</v>
      </c>
      <c r="I414" s="21" t="s">
        <v>1767</v>
      </c>
      <c r="J414" s="22">
        <f t="shared" si="30"/>
        <v>0.179861111115315</v>
      </c>
      <c r="K414" s="22">
        <f t="shared" si="31"/>
        <v>4.31666666676756</v>
      </c>
      <c r="L414" s="22">
        <f t="shared" si="32"/>
        <v>4.31666666676756</v>
      </c>
      <c r="M414" s="22" cm="1">
        <f ca="1" t="array" ref="M414">SUMPRODUCT(--(WEEKDAY(ROW(INDIRECT(INT(F414)&amp;":"&amp;INT(I414))),2)&gt;5))</f>
        <v>0</v>
      </c>
      <c r="N414" s="22">
        <f ca="1" t="shared" si="33"/>
        <v>4.31666666676756</v>
      </c>
      <c r="O414" s="22" t="str">
        <f ca="1" t="shared" si="34"/>
        <v>Within SLA</v>
      </c>
      <c r="P414" s="26" t="s">
        <v>1764</v>
      </c>
      <c r="Q414" s="24" t="s">
        <v>37</v>
      </c>
      <c r="R414" s="25"/>
      <c r="S414" s="25"/>
    </row>
    <row r="415" ht="39" customHeight="1" spans="1:19">
      <c r="A415" s="19" t="s">
        <v>1768</v>
      </c>
      <c r="B415" s="20" t="s">
        <v>19</v>
      </c>
      <c r="C415" s="20" t="s">
        <v>20</v>
      </c>
      <c r="D415" s="20" t="s">
        <v>32</v>
      </c>
      <c r="E415" s="21" t="s">
        <v>1769</v>
      </c>
      <c r="F415" s="21" t="s">
        <v>1770</v>
      </c>
      <c r="G415" s="20" t="s">
        <v>35</v>
      </c>
      <c r="H415" s="20" t="s">
        <v>25</v>
      </c>
      <c r="I415" s="21" t="s">
        <v>1771</v>
      </c>
      <c r="J415" s="22">
        <f t="shared" si="30"/>
        <v>0.0243055555547471</v>
      </c>
      <c r="K415" s="22">
        <f t="shared" si="31"/>
        <v>0.583333333313931</v>
      </c>
      <c r="L415" s="22">
        <f t="shared" si="32"/>
        <v>0.583333333313931</v>
      </c>
      <c r="M415" s="22" cm="1">
        <f ca="1" t="array" ref="M415">SUMPRODUCT(--(WEEKDAY(ROW(INDIRECT(INT(F415)&amp;":"&amp;INT(I415))),2)&gt;5))</f>
        <v>0</v>
      </c>
      <c r="N415" s="22">
        <f ca="1" t="shared" si="33"/>
        <v>0.583333333313931</v>
      </c>
      <c r="O415" s="22" t="str">
        <f ca="1" t="shared" si="34"/>
        <v>Within SLA</v>
      </c>
      <c r="P415" s="26" t="s">
        <v>1768</v>
      </c>
      <c r="Q415" s="24" t="s">
        <v>37</v>
      </c>
      <c r="R415" s="25"/>
      <c r="S415" s="25"/>
    </row>
    <row r="416" ht="27" customHeight="1" spans="1:19">
      <c r="A416" s="19" t="s">
        <v>1772</v>
      </c>
      <c r="B416" s="20" t="s">
        <v>30</v>
      </c>
      <c r="C416" s="20" t="s">
        <v>67</v>
      </c>
      <c r="D416" s="20" t="s">
        <v>32</v>
      </c>
      <c r="E416" s="21" t="s">
        <v>1771</v>
      </c>
      <c r="F416" s="21" t="s">
        <v>1773</v>
      </c>
      <c r="G416" s="20" t="s">
        <v>35</v>
      </c>
      <c r="H416" s="20" t="s">
        <v>25</v>
      </c>
      <c r="I416" s="21" t="s">
        <v>1774</v>
      </c>
      <c r="J416" s="22">
        <f t="shared" si="30"/>
        <v>4.10833333333721</v>
      </c>
      <c r="K416" s="22">
        <f t="shared" si="31"/>
        <v>98.6000000000931</v>
      </c>
      <c r="L416" s="22">
        <f t="shared" si="32"/>
        <v>34.6000000000931</v>
      </c>
      <c r="M416" s="22" cm="1">
        <f ca="1" t="array" ref="M416">SUMPRODUCT(--(WEEKDAY(ROW(INDIRECT(INT(F416)&amp;":"&amp;INT(I416))),2)&gt;5))</f>
        <v>2</v>
      </c>
      <c r="N416" s="22">
        <f ca="1" t="shared" si="33"/>
        <v>18.6000000000931</v>
      </c>
      <c r="O416" s="22" t="str">
        <f ca="1" t="shared" si="34"/>
        <v>SLA Violated</v>
      </c>
      <c r="P416" s="23" t="s">
        <v>1775</v>
      </c>
      <c r="Q416" s="24" t="s">
        <v>28</v>
      </c>
      <c r="R416" s="25"/>
      <c r="S416" s="25"/>
    </row>
    <row r="417" ht="27" customHeight="1" spans="1:19">
      <c r="A417" s="19" t="s">
        <v>1776</v>
      </c>
      <c r="B417" s="20" t="s">
        <v>30</v>
      </c>
      <c r="C417" s="20" t="s">
        <v>67</v>
      </c>
      <c r="D417" s="20" t="s">
        <v>115</v>
      </c>
      <c r="E417" s="21" t="s">
        <v>1777</v>
      </c>
      <c r="F417" s="21" t="s">
        <v>1778</v>
      </c>
      <c r="G417" s="20" t="s">
        <v>24</v>
      </c>
      <c r="H417" s="20" t="s">
        <v>25</v>
      </c>
      <c r="I417" s="21" t="s">
        <v>1779</v>
      </c>
      <c r="J417" s="22">
        <f t="shared" si="30"/>
        <v>6.98055555555038</v>
      </c>
      <c r="K417" s="22">
        <f t="shared" si="31"/>
        <v>167.533333333209</v>
      </c>
      <c r="L417" s="22">
        <f t="shared" si="32"/>
        <v>55.5333333332092</v>
      </c>
      <c r="M417" s="22" cm="1">
        <f ca="1" t="array" ref="M417">SUMPRODUCT(--(WEEKDAY(ROW(INDIRECT(INT(F417)&amp;":"&amp;INT(I417))),2)&gt;5))</f>
        <v>2</v>
      </c>
      <c r="N417" s="22">
        <f ca="1" t="shared" si="33"/>
        <v>39.5333333332092</v>
      </c>
      <c r="O417" s="22" t="str">
        <f ca="1" t="shared" si="34"/>
        <v>SLA Violated</v>
      </c>
      <c r="P417" s="23" t="s">
        <v>1780</v>
      </c>
      <c r="Q417" s="24" t="s">
        <v>28</v>
      </c>
      <c r="R417" s="25"/>
      <c r="S417" s="25"/>
    </row>
    <row r="418" ht="39" customHeight="1" spans="1:19">
      <c r="A418" s="19" t="s">
        <v>1781</v>
      </c>
      <c r="B418" s="20" t="s">
        <v>19</v>
      </c>
      <c r="C418" s="20" t="s">
        <v>20</v>
      </c>
      <c r="D418" s="20" t="s">
        <v>32</v>
      </c>
      <c r="E418" s="21" t="s">
        <v>1782</v>
      </c>
      <c r="F418" s="21" t="s">
        <v>1783</v>
      </c>
      <c r="G418" s="20" t="s">
        <v>35</v>
      </c>
      <c r="H418" s="20" t="s">
        <v>25</v>
      </c>
      <c r="I418" s="21" t="s">
        <v>1784</v>
      </c>
      <c r="J418" s="22">
        <f t="shared" si="30"/>
        <v>0.138888888890506</v>
      </c>
      <c r="K418" s="22">
        <f t="shared" si="31"/>
        <v>3.33333333337214</v>
      </c>
      <c r="L418" s="22">
        <f t="shared" si="32"/>
        <v>3.33333333337214</v>
      </c>
      <c r="M418" s="22" cm="1">
        <f ca="1" t="array" ref="M418">SUMPRODUCT(--(WEEKDAY(ROW(INDIRECT(INT(F418)&amp;":"&amp;INT(I418))),2)&gt;5))</f>
        <v>0</v>
      </c>
      <c r="N418" s="22">
        <f ca="1" t="shared" si="33"/>
        <v>3.33333333337214</v>
      </c>
      <c r="O418" s="22" t="str">
        <f ca="1" t="shared" si="34"/>
        <v>Within SLA</v>
      </c>
      <c r="P418" s="26" t="s">
        <v>1781</v>
      </c>
      <c r="Q418" s="24" t="s">
        <v>37</v>
      </c>
      <c r="R418" s="25"/>
      <c r="S418" s="25"/>
    </row>
    <row r="419" ht="39" customHeight="1" spans="1:19">
      <c r="A419" s="19" t="s">
        <v>1785</v>
      </c>
      <c r="B419" s="20" t="s">
        <v>196</v>
      </c>
      <c r="C419" s="20" t="s">
        <v>46</v>
      </c>
      <c r="D419" s="20" t="s">
        <v>32</v>
      </c>
      <c r="E419" s="21" t="s">
        <v>1786</v>
      </c>
      <c r="F419" s="21" t="s">
        <v>1787</v>
      </c>
      <c r="G419" s="20" t="s">
        <v>35</v>
      </c>
      <c r="H419" s="20" t="s">
        <v>25</v>
      </c>
      <c r="I419" s="21" t="s">
        <v>1788</v>
      </c>
      <c r="J419" s="22">
        <f t="shared" si="30"/>
        <v>0.206944444442343</v>
      </c>
      <c r="K419" s="22">
        <f t="shared" si="31"/>
        <v>4.96666666661622</v>
      </c>
      <c r="L419" s="22">
        <f t="shared" si="32"/>
        <v>4.96666666661622</v>
      </c>
      <c r="M419" s="22" cm="1">
        <f ca="1" t="array" ref="M419">SUMPRODUCT(--(WEEKDAY(ROW(INDIRECT(INT(F419)&amp;":"&amp;INT(I419))),2)&gt;5))</f>
        <v>0</v>
      </c>
      <c r="N419" s="22">
        <f ca="1" t="shared" si="33"/>
        <v>4.96666666661622</v>
      </c>
      <c r="O419" s="22" t="str">
        <f ca="1" t="shared" si="34"/>
        <v>Within SLA</v>
      </c>
      <c r="P419" s="26" t="s">
        <v>1785</v>
      </c>
      <c r="Q419" s="24" t="s">
        <v>37</v>
      </c>
      <c r="R419" s="25"/>
      <c r="S419" s="25"/>
    </row>
    <row r="420" ht="39" customHeight="1" spans="1:19">
      <c r="A420" s="19" t="s">
        <v>1789</v>
      </c>
      <c r="B420" s="20" t="s">
        <v>19</v>
      </c>
      <c r="C420" s="20" t="s">
        <v>20</v>
      </c>
      <c r="D420" s="20" t="s">
        <v>32</v>
      </c>
      <c r="E420" s="21" t="s">
        <v>1790</v>
      </c>
      <c r="F420" s="21" t="s">
        <v>1791</v>
      </c>
      <c r="G420" s="20" t="s">
        <v>35</v>
      </c>
      <c r="H420" s="20" t="s">
        <v>25</v>
      </c>
      <c r="I420" s="21" t="s">
        <v>1792</v>
      </c>
      <c r="J420" s="22">
        <f t="shared" si="30"/>
        <v>0.0638888888934162</v>
      </c>
      <c r="K420" s="22">
        <f t="shared" si="31"/>
        <v>1.53333333344199</v>
      </c>
      <c r="L420" s="22">
        <f t="shared" si="32"/>
        <v>1.53333333344199</v>
      </c>
      <c r="M420" s="22" cm="1">
        <f ca="1" t="array" ref="M420">SUMPRODUCT(--(WEEKDAY(ROW(INDIRECT(INT(F420)&amp;":"&amp;INT(I420))),2)&gt;5))</f>
        <v>0</v>
      </c>
      <c r="N420" s="22">
        <f ca="1" t="shared" si="33"/>
        <v>1.53333333344199</v>
      </c>
      <c r="O420" s="22" t="str">
        <f ca="1" t="shared" si="34"/>
        <v>Within SLA</v>
      </c>
      <c r="P420" s="26" t="s">
        <v>1789</v>
      </c>
      <c r="Q420" s="24" t="s">
        <v>37</v>
      </c>
      <c r="R420" s="25"/>
      <c r="S420" s="25"/>
    </row>
    <row r="421" ht="39" customHeight="1" spans="1:19">
      <c r="A421" s="19" t="s">
        <v>1793</v>
      </c>
      <c r="B421" s="20" t="s">
        <v>19</v>
      </c>
      <c r="C421" s="20" t="s">
        <v>20</v>
      </c>
      <c r="D421" s="20" t="s">
        <v>32</v>
      </c>
      <c r="E421" s="21" t="s">
        <v>1794</v>
      </c>
      <c r="F421" s="21" t="s">
        <v>1795</v>
      </c>
      <c r="G421" s="20" t="s">
        <v>35</v>
      </c>
      <c r="H421" s="20" t="s">
        <v>25</v>
      </c>
      <c r="I421" s="21" t="s">
        <v>1796</v>
      </c>
      <c r="J421" s="22">
        <f t="shared" si="30"/>
        <v>0.161805555551837</v>
      </c>
      <c r="K421" s="22">
        <f t="shared" si="31"/>
        <v>3.88333333324408</v>
      </c>
      <c r="L421" s="22">
        <f t="shared" si="32"/>
        <v>3.88333333324408</v>
      </c>
      <c r="M421" s="22" cm="1">
        <f ca="1" t="array" ref="M421">SUMPRODUCT(--(WEEKDAY(ROW(INDIRECT(INT(F421)&amp;":"&amp;INT(I421))),2)&gt;5))</f>
        <v>0</v>
      </c>
      <c r="N421" s="22">
        <f ca="1" t="shared" si="33"/>
        <v>3.88333333324408</v>
      </c>
      <c r="O421" s="22" t="str">
        <f ca="1" t="shared" si="34"/>
        <v>Within SLA</v>
      </c>
      <c r="P421" s="26" t="s">
        <v>1793</v>
      </c>
      <c r="Q421" s="24" t="s">
        <v>37</v>
      </c>
      <c r="R421" s="25"/>
      <c r="S421" s="25"/>
    </row>
    <row r="422" ht="27" customHeight="1" spans="1:19">
      <c r="A422" s="19" t="s">
        <v>1797</v>
      </c>
      <c r="B422" s="20" t="s">
        <v>30</v>
      </c>
      <c r="C422" s="20" t="s">
        <v>67</v>
      </c>
      <c r="D422" s="20" t="s">
        <v>32</v>
      </c>
      <c r="E422" s="21" t="s">
        <v>1733</v>
      </c>
      <c r="F422" s="21" t="s">
        <v>1798</v>
      </c>
      <c r="G422" s="20" t="s">
        <v>35</v>
      </c>
      <c r="H422" s="20" t="s">
        <v>25</v>
      </c>
      <c r="I422" s="21" t="s">
        <v>1799</v>
      </c>
      <c r="J422" s="22">
        <f t="shared" si="30"/>
        <v>4.06319444443943</v>
      </c>
      <c r="K422" s="22">
        <f t="shared" si="31"/>
        <v>97.5166666665464</v>
      </c>
      <c r="L422" s="22">
        <f t="shared" si="32"/>
        <v>33.5166666665464</v>
      </c>
      <c r="M422" s="22" cm="1">
        <f ca="1" t="array" ref="M422">SUMPRODUCT(--(WEEKDAY(ROW(INDIRECT(INT(F422)&amp;":"&amp;INT(I422))),2)&gt;5))</f>
        <v>2</v>
      </c>
      <c r="N422" s="22">
        <f ca="1" t="shared" si="33"/>
        <v>17.5166666665464</v>
      </c>
      <c r="O422" s="22" t="str">
        <f ca="1" t="shared" si="34"/>
        <v>SLA Violated</v>
      </c>
      <c r="P422" s="23" t="s">
        <v>1800</v>
      </c>
      <c r="Q422" s="24" t="s">
        <v>28</v>
      </c>
      <c r="R422" s="25"/>
      <c r="S422" s="25"/>
    </row>
    <row r="423" ht="27" customHeight="1" spans="1:19">
      <c r="A423" s="19" t="s">
        <v>1801</v>
      </c>
      <c r="B423" s="20" t="s">
        <v>30</v>
      </c>
      <c r="C423" s="20" t="s">
        <v>67</v>
      </c>
      <c r="D423" s="20" t="s">
        <v>32</v>
      </c>
      <c r="E423" s="21" t="s">
        <v>1802</v>
      </c>
      <c r="F423" s="21" t="s">
        <v>1803</v>
      </c>
      <c r="G423" s="20" t="s">
        <v>35</v>
      </c>
      <c r="H423" s="20" t="s">
        <v>25</v>
      </c>
      <c r="I423" s="21" t="s">
        <v>1804</v>
      </c>
      <c r="J423" s="22">
        <f t="shared" si="30"/>
        <v>6.92013888889051</v>
      </c>
      <c r="K423" s="22">
        <f t="shared" si="31"/>
        <v>166.083333333372</v>
      </c>
      <c r="L423" s="22">
        <f t="shared" si="32"/>
        <v>54.0833333333721</v>
      </c>
      <c r="M423" s="22" cm="1">
        <f ca="1" t="array" ref="M423">SUMPRODUCT(--(WEEKDAY(ROW(INDIRECT(INT(F423)&amp;":"&amp;INT(I423))),2)&gt;5))</f>
        <v>2</v>
      </c>
      <c r="N423" s="22">
        <f ca="1" t="shared" si="33"/>
        <v>38.0833333333721</v>
      </c>
      <c r="O423" s="22" t="str">
        <f ca="1" t="shared" si="34"/>
        <v>SLA Violated</v>
      </c>
      <c r="P423" s="23" t="s">
        <v>1805</v>
      </c>
      <c r="Q423" s="24" t="s">
        <v>28</v>
      </c>
      <c r="R423" s="25"/>
      <c r="S423" s="25"/>
    </row>
    <row r="424" ht="39" customHeight="1" spans="1:19">
      <c r="A424" s="19" t="s">
        <v>1806</v>
      </c>
      <c r="B424" s="20" t="s">
        <v>19</v>
      </c>
      <c r="C424" s="20" t="s">
        <v>20</v>
      </c>
      <c r="D424" s="20" t="s">
        <v>32</v>
      </c>
      <c r="E424" s="21" t="s">
        <v>1807</v>
      </c>
      <c r="F424" s="21" t="s">
        <v>1808</v>
      </c>
      <c r="G424" s="20" t="s">
        <v>35</v>
      </c>
      <c r="H424" s="20" t="s">
        <v>25</v>
      </c>
      <c r="I424" s="21" t="s">
        <v>1809</v>
      </c>
      <c r="J424" s="22">
        <f t="shared" si="30"/>
        <v>0.0361111111124046</v>
      </c>
      <c r="K424" s="22">
        <f t="shared" si="31"/>
        <v>0.866666666697711</v>
      </c>
      <c r="L424" s="22">
        <f t="shared" si="32"/>
        <v>0.866666666697711</v>
      </c>
      <c r="M424" s="22" cm="1">
        <f ca="1" t="array" ref="M424">SUMPRODUCT(--(WEEKDAY(ROW(INDIRECT(INT(F424)&amp;":"&amp;INT(I424))),2)&gt;5))</f>
        <v>0</v>
      </c>
      <c r="N424" s="22">
        <f ca="1" t="shared" si="33"/>
        <v>0.866666666697711</v>
      </c>
      <c r="O424" s="22" t="str">
        <f ca="1" t="shared" si="34"/>
        <v>Within SLA</v>
      </c>
      <c r="P424" s="26" t="s">
        <v>1806</v>
      </c>
      <c r="Q424" s="24" t="s">
        <v>37</v>
      </c>
      <c r="R424" s="25"/>
      <c r="S424" s="25"/>
    </row>
    <row r="425" ht="27" customHeight="1" spans="1:19">
      <c r="A425" s="19" t="s">
        <v>1810</v>
      </c>
      <c r="B425" s="20" t="s">
        <v>30</v>
      </c>
      <c r="C425" s="20" t="s">
        <v>67</v>
      </c>
      <c r="D425" s="20" t="s">
        <v>32</v>
      </c>
      <c r="E425" s="21" t="s">
        <v>1811</v>
      </c>
      <c r="F425" s="21" t="s">
        <v>1812</v>
      </c>
      <c r="G425" s="20" t="s">
        <v>24</v>
      </c>
      <c r="H425" s="20" t="s">
        <v>25</v>
      </c>
      <c r="I425" s="21" t="s">
        <v>1809</v>
      </c>
      <c r="J425" s="22">
        <f t="shared" si="30"/>
        <v>6.90833333333285</v>
      </c>
      <c r="K425" s="22">
        <f t="shared" si="31"/>
        <v>165.799999999988</v>
      </c>
      <c r="L425" s="22">
        <f t="shared" si="32"/>
        <v>53.7999999999884</v>
      </c>
      <c r="M425" s="22" cm="1">
        <f ca="1" t="array" ref="M425">SUMPRODUCT(--(WEEKDAY(ROW(INDIRECT(INT(F425)&amp;":"&amp;INT(I425))),2)&gt;5))</f>
        <v>2</v>
      </c>
      <c r="N425" s="22">
        <f ca="1" t="shared" si="33"/>
        <v>37.7999999999884</v>
      </c>
      <c r="O425" s="22" t="str">
        <f ca="1" t="shared" si="34"/>
        <v>SLA Violated</v>
      </c>
      <c r="P425" s="23" t="s">
        <v>1813</v>
      </c>
      <c r="Q425" s="24" t="s">
        <v>28</v>
      </c>
      <c r="R425" s="25"/>
      <c r="S425" s="25"/>
    </row>
    <row r="426" ht="39" customHeight="1" spans="1:19">
      <c r="A426" s="19" t="s">
        <v>1814</v>
      </c>
      <c r="B426" s="20" t="s">
        <v>19</v>
      </c>
      <c r="C426" s="20" t="s">
        <v>20</v>
      </c>
      <c r="D426" s="20" t="s">
        <v>32</v>
      </c>
      <c r="E426" s="21" t="s">
        <v>1815</v>
      </c>
      <c r="F426" s="21" t="s">
        <v>1816</v>
      </c>
      <c r="G426" s="20" t="s">
        <v>35</v>
      </c>
      <c r="H426" s="20" t="s">
        <v>25</v>
      </c>
      <c r="I426" s="21" t="s">
        <v>1817</v>
      </c>
      <c r="J426" s="22">
        <f t="shared" si="30"/>
        <v>14.9979166666672</v>
      </c>
      <c r="K426" s="22">
        <f t="shared" si="31"/>
        <v>359.950000000012</v>
      </c>
      <c r="L426" s="22">
        <f t="shared" si="32"/>
        <v>119.950000000012</v>
      </c>
      <c r="M426" s="22" cm="1">
        <f ca="1" t="array" ref="M426">SUMPRODUCT(--(WEEKDAY(ROW(INDIRECT(INT(F426)&amp;":"&amp;INT(I426))),2)&gt;5))</f>
        <v>4</v>
      </c>
      <c r="N426" s="22">
        <f ca="1" t="shared" si="33"/>
        <v>87.950000000012</v>
      </c>
      <c r="O426" s="22" t="str">
        <f ca="1" t="shared" si="34"/>
        <v>SLA Violated</v>
      </c>
      <c r="P426" s="23" t="s">
        <v>1818</v>
      </c>
      <c r="Q426" s="24" t="s">
        <v>37</v>
      </c>
      <c r="R426" s="25" t="s">
        <v>38</v>
      </c>
      <c r="S426" s="25" t="s">
        <v>39</v>
      </c>
    </row>
    <row r="427" ht="27" customHeight="1" spans="1:19">
      <c r="A427" s="19" t="s">
        <v>1819</v>
      </c>
      <c r="B427" s="20" t="s">
        <v>30</v>
      </c>
      <c r="C427" s="20" t="s">
        <v>67</v>
      </c>
      <c r="D427" s="20" t="s">
        <v>32</v>
      </c>
      <c r="E427" s="21" t="s">
        <v>1820</v>
      </c>
      <c r="F427" s="21" t="s">
        <v>1821</v>
      </c>
      <c r="G427" s="20" t="s">
        <v>35</v>
      </c>
      <c r="H427" s="20" t="s">
        <v>25</v>
      </c>
      <c r="I427" s="21" t="s">
        <v>1822</v>
      </c>
      <c r="J427" s="22">
        <f t="shared" si="30"/>
        <v>5.9326388888876</v>
      </c>
      <c r="K427" s="22">
        <f t="shared" si="31"/>
        <v>142.383333333302</v>
      </c>
      <c r="L427" s="22">
        <f t="shared" si="32"/>
        <v>46.3833333333023</v>
      </c>
      <c r="M427" s="22" cm="1">
        <f ca="1" t="array" ref="M427">SUMPRODUCT(--(WEEKDAY(ROW(INDIRECT(INT(F427)&amp;":"&amp;INT(I427))),2)&gt;5))</f>
        <v>2</v>
      </c>
      <c r="N427" s="22">
        <f ca="1" t="shared" si="33"/>
        <v>30.3833333333023</v>
      </c>
      <c r="O427" s="22" t="str">
        <f ca="1" t="shared" si="34"/>
        <v>SLA Violated</v>
      </c>
      <c r="P427" s="23" t="s">
        <v>1823</v>
      </c>
      <c r="Q427" s="24" t="s">
        <v>28</v>
      </c>
      <c r="R427" s="25"/>
      <c r="S427" s="25"/>
    </row>
    <row r="428" ht="39" customHeight="1" spans="1:19">
      <c r="A428" s="19" t="s">
        <v>1824</v>
      </c>
      <c r="B428" s="20" t="s">
        <v>19</v>
      </c>
      <c r="C428" s="20" t="s">
        <v>20</v>
      </c>
      <c r="D428" s="20" t="s">
        <v>32</v>
      </c>
      <c r="E428" s="21" t="s">
        <v>1825</v>
      </c>
      <c r="F428" s="21" t="s">
        <v>1826</v>
      </c>
      <c r="G428" s="20" t="s">
        <v>35</v>
      </c>
      <c r="H428" s="20" t="s">
        <v>25</v>
      </c>
      <c r="I428" s="21" t="s">
        <v>1827</v>
      </c>
      <c r="J428" s="22">
        <f t="shared" si="30"/>
        <v>0.0187500000029104</v>
      </c>
      <c r="K428" s="22">
        <f t="shared" si="31"/>
        <v>0.450000000069849</v>
      </c>
      <c r="L428" s="22">
        <f t="shared" si="32"/>
        <v>0.450000000069849</v>
      </c>
      <c r="M428" s="22" cm="1">
        <f ca="1" t="array" ref="M428">SUMPRODUCT(--(WEEKDAY(ROW(INDIRECT(INT(F428)&amp;":"&amp;INT(I428))),2)&gt;5))</f>
        <v>0</v>
      </c>
      <c r="N428" s="22">
        <f ca="1" t="shared" si="33"/>
        <v>0.450000000069849</v>
      </c>
      <c r="O428" s="22" t="str">
        <f ca="1" t="shared" si="34"/>
        <v>Within SLA</v>
      </c>
      <c r="P428" s="26" t="s">
        <v>1824</v>
      </c>
      <c r="Q428" s="24" t="s">
        <v>37</v>
      </c>
      <c r="R428" s="25"/>
      <c r="S428" s="25"/>
    </row>
    <row r="429" ht="39" customHeight="1" spans="1:19">
      <c r="A429" s="19" t="s">
        <v>1828</v>
      </c>
      <c r="B429" s="20" t="s">
        <v>19</v>
      </c>
      <c r="C429" s="20" t="s">
        <v>20</v>
      </c>
      <c r="D429" s="20" t="s">
        <v>32</v>
      </c>
      <c r="E429" s="21" t="s">
        <v>1829</v>
      </c>
      <c r="F429" s="21" t="s">
        <v>1830</v>
      </c>
      <c r="G429" s="20" t="s">
        <v>35</v>
      </c>
      <c r="H429" s="20" t="s">
        <v>25</v>
      </c>
      <c r="I429" s="21" t="s">
        <v>1831</v>
      </c>
      <c r="J429" s="22">
        <f t="shared" si="30"/>
        <v>0.141666666662786</v>
      </c>
      <c r="K429" s="22">
        <f t="shared" si="31"/>
        <v>3.39999999990687</v>
      </c>
      <c r="L429" s="22">
        <f t="shared" si="32"/>
        <v>3.39999999990687</v>
      </c>
      <c r="M429" s="22" cm="1">
        <f ca="1" t="array" ref="M429">SUMPRODUCT(--(WEEKDAY(ROW(INDIRECT(INT(F429)&amp;":"&amp;INT(I429))),2)&gt;5))</f>
        <v>0</v>
      </c>
      <c r="N429" s="22">
        <f ca="1" t="shared" si="33"/>
        <v>3.39999999990687</v>
      </c>
      <c r="O429" s="22" t="str">
        <f ca="1" t="shared" si="34"/>
        <v>Within SLA</v>
      </c>
      <c r="P429" s="26" t="s">
        <v>1828</v>
      </c>
      <c r="Q429" s="24" t="s">
        <v>37</v>
      </c>
      <c r="R429" s="25"/>
      <c r="S429" s="25"/>
    </row>
    <row r="430" ht="39" customHeight="1" spans="1:19">
      <c r="A430" s="19" t="s">
        <v>1832</v>
      </c>
      <c r="B430" s="20" t="s">
        <v>19</v>
      </c>
      <c r="C430" s="20" t="s">
        <v>20</v>
      </c>
      <c r="D430" s="20" t="s">
        <v>32</v>
      </c>
      <c r="E430" s="21" t="s">
        <v>1833</v>
      </c>
      <c r="F430" s="21" t="s">
        <v>1834</v>
      </c>
      <c r="G430" s="20" t="s">
        <v>35</v>
      </c>
      <c r="H430" s="20" t="s">
        <v>25</v>
      </c>
      <c r="I430" s="21" t="s">
        <v>1835</v>
      </c>
      <c r="J430" s="22">
        <f t="shared" si="30"/>
        <v>41.0597222222277</v>
      </c>
      <c r="K430" s="22">
        <f t="shared" si="31"/>
        <v>985.433333333465</v>
      </c>
      <c r="L430" s="22">
        <f t="shared" si="32"/>
        <v>329.433333333465</v>
      </c>
      <c r="M430" s="22" cm="1">
        <f ca="1" t="array" ref="M430">SUMPRODUCT(--(WEEKDAY(ROW(INDIRECT(INT(F430)&amp;":"&amp;INT(I430))),2)&gt;5))</f>
        <v>12</v>
      </c>
      <c r="N430" s="22">
        <f ca="1" t="shared" si="33"/>
        <v>233.433333333465</v>
      </c>
      <c r="O430" s="22" t="str">
        <f ca="1" t="shared" si="34"/>
        <v>SLA Violated</v>
      </c>
      <c r="P430" s="23" t="s">
        <v>1836</v>
      </c>
      <c r="Q430" s="24" t="s">
        <v>28</v>
      </c>
      <c r="R430" s="25"/>
      <c r="S430" s="25"/>
    </row>
    <row r="431" ht="39" customHeight="1" spans="1:19">
      <c r="A431" s="19" t="s">
        <v>1837</v>
      </c>
      <c r="B431" s="20" t="s">
        <v>19</v>
      </c>
      <c r="C431" s="20" t="s">
        <v>20</v>
      </c>
      <c r="D431" s="20" t="s">
        <v>32</v>
      </c>
      <c r="E431" s="21" t="s">
        <v>1838</v>
      </c>
      <c r="F431" s="21" t="s">
        <v>1839</v>
      </c>
      <c r="G431" s="20" t="s">
        <v>35</v>
      </c>
      <c r="H431" s="20" t="s">
        <v>25</v>
      </c>
      <c r="I431" s="21" t="s">
        <v>1827</v>
      </c>
      <c r="J431" s="22">
        <f t="shared" si="30"/>
        <v>0.0930555555532919</v>
      </c>
      <c r="K431" s="22">
        <f t="shared" si="31"/>
        <v>2.23333333327901</v>
      </c>
      <c r="L431" s="22">
        <f t="shared" si="32"/>
        <v>2.23333333327901</v>
      </c>
      <c r="M431" s="22" cm="1">
        <f ca="1" t="array" ref="M431">SUMPRODUCT(--(WEEKDAY(ROW(INDIRECT(INT(F431)&amp;":"&amp;INT(I431))),2)&gt;5))</f>
        <v>0</v>
      </c>
      <c r="N431" s="22">
        <f ca="1" t="shared" si="33"/>
        <v>2.23333333327901</v>
      </c>
      <c r="O431" s="22" t="str">
        <f ca="1" t="shared" si="34"/>
        <v>Within SLA</v>
      </c>
      <c r="P431" s="26" t="s">
        <v>1837</v>
      </c>
      <c r="Q431" s="24" t="s">
        <v>37</v>
      </c>
      <c r="R431" s="25"/>
      <c r="S431" s="25"/>
    </row>
    <row r="432" ht="27" customHeight="1" spans="1:19">
      <c r="A432" s="19" t="s">
        <v>1840</v>
      </c>
      <c r="B432" s="20" t="s">
        <v>30</v>
      </c>
      <c r="C432" s="20" t="s">
        <v>67</v>
      </c>
      <c r="D432" s="20" t="s">
        <v>32</v>
      </c>
      <c r="E432" s="21" t="s">
        <v>1841</v>
      </c>
      <c r="F432" s="21" t="s">
        <v>1842</v>
      </c>
      <c r="G432" s="20" t="s">
        <v>35</v>
      </c>
      <c r="H432" s="20" t="s">
        <v>25</v>
      </c>
      <c r="I432" s="21" t="s">
        <v>1843</v>
      </c>
      <c r="J432" s="22">
        <f t="shared" si="30"/>
        <v>5.8881944444438</v>
      </c>
      <c r="K432" s="22">
        <f t="shared" si="31"/>
        <v>141.316666666651</v>
      </c>
      <c r="L432" s="22">
        <f t="shared" si="32"/>
        <v>45.3166666666511</v>
      </c>
      <c r="M432" s="22" cm="1">
        <f ca="1" t="array" ref="M432">SUMPRODUCT(--(WEEKDAY(ROW(INDIRECT(INT(F432)&amp;":"&amp;INT(I432))),2)&gt;5))</f>
        <v>2</v>
      </c>
      <c r="N432" s="22">
        <f ca="1" t="shared" si="33"/>
        <v>29.3166666666511</v>
      </c>
      <c r="O432" s="22" t="str">
        <f ca="1" t="shared" si="34"/>
        <v>SLA Violated</v>
      </c>
      <c r="P432" s="23" t="s">
        <v>1844</v>
      </c>
      <c r="Q432" s="24" t="s">
        <v>28</v>
      </c>
      <c r="R432" s="25"/>
      <c r="S432" s="25"/>
    </row>
    <row r="433" ht="39" customHeight="1" spans="1:19">
      <c r="A433" s="19" t="s">
        <v>1845</v>
      </c>
      <c r="B433" s="20" t="s">
        <v>196</v>
      </c>
      <c r="C433" s="20" t="s">
        <v>31</v>
      </c>
      <c r="D433" s="20" t="s">
        <v>32</v>
      </c>
      <c r="E433" s="21" t="s">
        <v>1846</v>
      </c>
      <c r="F433" s="21" t="s">
        <v>1847</v>
      </c>
      <c r="G433" s="20" t="s">
        <v>35</v>
      </c>
      <c r="H433" s="20" t="s">
        <v>25</v>
      </c>
      <c r="I433" s="21" t="s">
        <v>1848</v>
      </c>
      <c r="J433" s="22">
        <f t="shared" si="30"/>
        <v>0.0284722222277196</v>
      </c>
      <c r="K433" s="22">
        <f t="shared" si="31"/>
        <v>0.683333333465271</v>
      </c>
      <c r="L433" s="22">
        <f t="shared" si="32"/>
        <v>0.683333333465271</v>
      </c>
      <c r="M433" s="22" cm="1">
        <f ca="1" t="array" ref="M433">SUMPRODUCT(--(WEEKDAY(ROW(INDIRECT(INT(F433)&amp;":"&amp;INT(I433))),2)&gt;5))</f>
        <v>0</v>
      </c>
      <c r="N433" s="22">
        <f ca="1" t="shared" si="33"/>
        <v>0.683333333465271</v>
      </c>
      <c r="O433" s="22" t="str">
        <f ca="1" t="shared" si="34"/>
        <v>Within SLA</v>
      </c>
      <c r="P433" s="26" t="s">
        <v>1845</v>
      </c>
      <c r="Q433" s="24" t="s">
        <v>37</v>
      </c>
      <c r="R433" s="25"/>
      <c r="S433" s="25"/>
    </row>
    <row r="434" ht="39" customHeight="1" spans="1:19">
      <c r="A434" s="19" t="s">
        <v>1849</v>
      </c>
      <c r="B434" s="20" t="s">
        <v>19</v>
      </c>
      <c r="C434" s="20" t="s">
        <v>20</v>
      </c>
      <c r="D434" s="20" t="s">
        <v>32</v>
      </c>
      <c r="E434" s="21" t="s">
        <v>1850</v>
      </c>
      <c r="F434" s="21" t="s">
        <v>1851</v>
      </c>
      <c r="G434" s="20" t="s">
        <v>35</v>
      </c>
      <c r="H434" s="20" t="s">
        <v>25</v>
      </c>
      <c r="I434" s="21" t="s">
        <v>1852</v>
      </c>
      <c r="J434" s="22">
        <f t="shared" si="30"/>
        <v>0.00555555555183673</v>
      </c>
      <c r="K434" s="22">
        <f t="shared" si="31"/>
        <v>0.133333333244082</v>
      </c>
      <c r="L434" s="22">
        <f t="shared" si="32"/>
        <v>0.133333333244082</v>
      </c>
      <c r="M434" s="22" cm="1">
        <f ca="1" t="array" ref="M434">SUMPRODUCT(--(WEEKDAY(ROW(INDIRECT(INT(F434)&amp;":"&amp;INT(I434))),2)&gt;5))</f>
        <v>0</v>
      </c>
      <c r="N434" s="22">
        <f ca="1" t="shared" si="33"/>
        <v>0.133333333244082</v>
      </c>
      <c r="O434" s="22" t="str">
        <f ca="1" t="shared" si="34"/>
        <v>Within SLA</v>
      </c>
      <c r="P434" s="26" t="s">
        <v>1849</v>
      </c>
      <c r="Q434" s="24" t="s">
        <v>37</v>
      </c>
      <c r="R434" s="25"/>
      <c r="S434" s="25"/>
    </row>
    <row r="435" ht="39" customHeight="1" spans="1:19">
      <c r="A435" s="19" t="s">
        <v>1853</v>
      </c>
      <c r="B435" s="20" t="s">
        <v>19</v>
      </c>
      <c r="C435" s="20" t="s">
        <v>20</v>
      </c>
      <c r="D435" s="20" t="s">
        <v>32</v>
      </c>
      <c r="E435" s="21" t="s">
        <v>1854</v>
      </c>
      <c r="F435" s="21" t="s">
        <v>1855</v>
      </c>
      <c r="G435" s="20" t="s">
        <v>35</v>
      </c>
      <c r="H435" s="20" t="s">
        <v>25</v>
      </c>
      <c r="I435" s="21" t="s">
        <v>1856</v>
      </c>
      <c r="J435" s="22">
        <f t="shared" si="30"/>
        <v>0.0111111111109494</v>
      </c>
      <c r="K435" s="22">
        <f t="shared" si="31"/>
        <v>0.266666666662786</v>
      </c>
      <c r="L435" s="22">
        <f t="shared" si="32"/>
        <v>0.266666666662786</v>
      </c>
      <c r="M435" s="22" cm="1">
        <f ca="1" t="array" ref="M435">SUMPRODUCT(--(WEEKDAY(ROW(INDIRECT(INT(F435)&amp;":"&amp;INT(I435))),2)&gt;5))</f>
        <v>0</v>
      </c>
      <c r="N435" s="22">
        <f ca="1" t="shared" si="33"/>
        <v>0.266666666662786</v>
      </c>
      <c r="O435" s="22" t="str">
        <f ca="1" t="shared" si="34"/>
        <v>Within SLA</v>
      </c>
      <c r="P435" s="26" t="s">
        <v>1853</v>
      </c>
      <c r="Q435" s="24" t="s">
        <v>37</v>
      </c>
      <c r="R435" s="25"/>
      <c r="S435" s="25"/>
    </row>
    <row r="436" ht="27" customHeight="1" spans="1:19">
      <c r="A436" s="19" t="s">
        <v>1857</v>
      </c>
      <c r="B436" s="20" t="s">
        <v>139</v>
      </c>
      <c r="C436" s="20" t="s">
        <v>67</v>
      </c>
      <c r="D436" s="20" t="s">
        <v>32</v>
      </c>
      <c r="E436" s="21" t="s">
        <v>1854</v>
      </c>
      <c r="F436" s="21" t="s">
        <v>1858</v>
      </c>
      <c r="G436" s="20" t="s">
        <v>35</v>
      </c>
      <c r="H436" s="20" t="s">
        <v>25</v>
      </c>
      <c r="I436" s="21" t="s">
        <v>1859</v>
      </c>
      <c r="J436" s="22">
        <f t="shared" si="30"/>
        <v>18.8770833333328</v>
      </c>
      <c r="K436" s="22">
        <f t="shared" si="31"/>
        <v>453.049999999988</v>
      </c>
      <c r="L436" s="22">
        <f t="shared" si="32"/>
        <v>149.049999999988</v>
      </c>
      <c r="M436" s="22" cm="1">
        <f ca="1" t="array" ref="M436">SUMPRODUCT(--(WEEKDAY(ROW(INDIRECT(INT(F436)&amp;":"&amp;INT(I436))),2)&gt;5))</f>
        <v>6</v>
      </c>
      <c r="N436" s="22">
        <f ca="1" t="shared" si="33"/>
        <v>101.049999999988</v>
      </c>
      <c r="O436" s="22" t="str">
        <f ca="1" t="shared" si="34"/>
        <v>SLA Violated</v>
      </c>
      <c r="P436" s="23" t="s">
        <v>1860</v>
      </c>
      <c r="Q436" s="24" t="s">
        <v>28</v>
      </c>
      <c r="R436" s="25"/>
      <c r="S436" s="25"/>
    </row>
    <row r="437" ht="39" customHeight="1" spans="1:19">
      <c r="A437" s="19" t="s">
        <v>1861</v>
      </c>
      <c r="B437" s="20" t="s">
        <v>19</v>
      </c>
      <c r="C437" s="20" t="s">
        <v>20</v>
      </c>
      <c r="D437" s="20" t="s">
        <v>32</v>
      </c>
      <c r="E437" s="21" t="s">
        <v>1843</v>
      </c>
      <c r="F437" s="21" t="s">
        <v>1862</v>
      </c>
      <c r="G437" s="20" t="s">
        <v>35</v>
      </c>
      <c r="H437" s="20" t="s">
        <v>25</v>
      </c>
      <c r="I437" s="21" t="s">
        <v>1851</v>
      </c>
      <c r="J437" s="22">
        <f t="shared" si="30"/>
        <v>1.79097222222481</v>
      </c>
      <c r="K437" s="22">
        <f t="shared" si="31"/>
        <v>42.9833333333954</v>
      </c>
      <c r="L437" s="22">
        <f t="shared" si="32"/>
        <v>10.9833333333954</v>
      </c>
      <c r="M437" s="22" cm="1">
        <f ca="1" t="array" ref="M437">SUMPRODUCT(--(WEEKDAY(ROW(INDIRECT(INT(F437)&amp;":"&amp;INT(I437))),2)&gt;5))</f>
        <v>2</v>
      </c>
      <c r="N437" s="22">
        <f ca="1" t="shared" si="33"/>
        <v>0</v>
      </c>
      <c r="O437" s="22" t="str">
        <f ca="1" t="shared" si="34"/>
        <v>Within SLA</v>
      </c>
      <c r="P437" s="26" t="s">
        <v>1861</v>
      </c>
      <c r="Q437" s="24" t="s">
        <v>37</v>
      </c>
      <c r="R437" s="25"/>
      <c r="S437" s="25"/>
    </row>
    <row r="438" ht="27" customHeight="1" spans="1:19">
      <c r="A438" s="19" t="s">
        <v>1863</v>
      </c>
      <c r="B438" s="20" t="s">
        <v>30</v>
      </c>
      <c r="C438" s="20" t="s">
        <v>31</v>
      </c>
      <c r="D438" s="20" t="s">
        <v>105</v>
      </c>
      <c r="E438" s="21" t="s">
        <v>1852</v>
      </c>
      <c r="F438" s="21" t="s">
        <v>1864</v>
      </c>
      <c r="G438" s="20" t="s">
        <v>35</v>
      </c>
      <c r="H438" s="20" t="s">
        <v>25</v>
      </c>
      <c r="I438" s="21" t="s">
        <v>1865</v>
      </c>
      <c r="J438" s="22">
        <f t="shared" si="30"/>
        <v>11.0062499999985</v>
      </c>
      <c r="K438" s="22">
        <f t="shared" si="31"/>
        <v>264.149999999965</v>
      </c>
      <c r="L438" s="22">
        <f t="shared" si="32"/>
        <v>88.1499999999651</v>
      </c>
      <c r="M438" s="22" cm="1">
        <f ca="1" t="array" ref="M438">SUMPRODUCT(--(WEEKDAY(ROW(INDIRECT(INT(F438)&amp;":"&amp;INT(I438))),2)&gt;5))</f>
        <v>4</v>
      </c>
      <c r="N438" s="22">
        <f ca="1" t="shared" si="33"/>
        <v>56.1499999999651</v>
      </c>
      <c r="O438" s="22" t="str">
        <f ca="1" t="shared" si="34"/>
        <v>SLA Violated</v>
      </c>
      <c r="P438" s="23" t="s">
        <v>1866</v>
      </c>
      <c r="Q438" s="24" t="s">
        <v>28</v>
      </c>
      <c r="R438" s="25"/>
      <c r="S438" s="25"/>
    </row>
    <row r="439" ht="39" customHeight="1" spans="1:19">
      <c r="A439" s="19" t="s">
        <v>1867</v>
      </c>
      <c r="B439" s="20" t="s">
        <v>19</v>
      </c>
      <c r="C439" s="20" t="s">
        <v>20</v>
      </c>
      <c r="D439" s="20" t="s">
        <v>32</v>
      </c>
      <c r="E439" s="21" t="s">
        <v>1868</v>
      </c>
      <c r="F439" s="21" t="s">
        <v>1869</v>
      </c>
      <c r="G439" s="20" t="s">
        <v>35</v>
      </c>
      <c r="H439" s="20" t="s">
        <v>25</v>
      </c>
      <c r="I439" s="21" t="s">
        <v>1870</v>
      </c>
      <c r="J439" s="22">
        <f t="shared" si="30"/>
        <v>0.0680555555518367</v>
      </c>
      <c r="K439" s="22">
        <f t="shared" si="31"/>
        <v>1.63333333324408</v>
      </c>
      <c r="L439" s="22">
        <f t="shared" si="32"/>
        <v>1.63333333324408</v>
      </c>
      <c r="M439" s="22" cm="1">
        <f ca="1" t="array" ref="M439">SUMPRODUCT(--(WEEKDAY(ROW(INDIRECT(INT(F439)&amp;":"&amp;INT(I439))),2)&gt;5))</f>
        <v>0</v>
      </c>
      <c r="N439" s="22">
        <f ca="1" t="shared" si="33"/>
        <v>1.63333333324408</v>
      </c>
      <c r="O439" s="22" t="str">
        <f ca="1" t="shared" si="34"/>
        <v>Within SLA</v>
      </c>
      <c r="P439" s="26" t="s">
        <v>1867</v>
      </c>
      <c r="Q439" s="24" t="s">
        <v>37</v>
      </c>
      <c r="R439" s="25"/>
      <c r="S439" s="25"/>
    </row>
    <row r="440" ht="27" customHeight="1" spans="1:19">
      <c r="A440" s="19" t="s">
        <v>1871</v>
      </c>
      <c r="B440" s="20" t="s">
        <v>30</v>
      </c>
      <c r="C440" s="20" t="s">
        <v>67</v>
      </c>
      <c r="D440" s="20" t="s">
        <v>32</v>
      </c>
      <c r="E440" s="21" t="s">
        <v>1868</v>
      </c>
      <c r="F440" s="21" t="s">
        <v>1872</v>
      </c>
      <c r="G440" s="20" t="s">
        <v>35</v>
      </c>
      <c r="H440" s="20" t="s">
        <v>25</v>
      </c>
      <c r="I440" s="21" t="s">
        <v>1873</v>
      </c>
      <c r="J440" s="22">
        <f t="shared" si="30"/>
        <v>5.875</v>
      </c>
      <c r="K440" s="22">
        <f t="shared" si="31"/>
        <v>141</v>
      </c>
      <c r="L440" s="22">
        <f t="shared" si="32"/>
        <v>45</v>
      </c>
      <c r="M440" s="22" cm="1">
        <f ca="1" t="array" ref="M440">SUMPRODUCT(--(WEEKDAY(ROW(INDIRECT(INT(F440)&amp;":"&amp;INT(I440))),2)&gt;5))</f>
        <v>2</v>
      </c>
      <c r="N440" s="22">
        <f ca="1" t="shared" si="33"/>
        <v>29</v>
      </c>
      <c r="O440" s="22" t="str">
        <f ca="1" t="shared" si="34"/>
        <v>SLA Violated</v>
      </c>
      <c r="P440" s="23" t="s">
        <v>1874</v>
      </c>
      <c r="Q440" s="24" t="s">
        <v>28</v>
      </c>
      <c r="R440" s="25"/>
      <c r="S440" s="25"/>
    </row>
    <row r="441" ht="39" customHeight="1" spans="1:19">
      <c r="A441" s="19" t="s">
        <v>1875</v>
      </c>
      <c r="B441" s="20" t="s">
        <v>19</v>
      </c>
      <c r="C441" s="20" t="s">
        <v>20</v>
      </c>
      <c r="D441" s="20" t="s">
        <v>32</v>
      </c>
      <c r="E441" s="21" t="s">
        <v>1876</v>
      </c>
      <c r="F441" s="21" t="s">
        <v>1877</v>
      </c>
      <c r="G441" s="20" t="s">
        <v>35</v>
      </c>
      <c r="H441" s="20" t="s">
        <v>25</v>
      </c>
      <c r="I441" s="21" t="s">
        <v>1878</v>
      </c>
      <c r="J441" s="22">
        <f t="shared" si="30"/>
        <v>39.1076388888832</v>
      </c>
      <c r="K441" s="22">
        <f t="shared" si="31"/>
        <v>938.583333333198</v>
      </c>
      <c r="L441" s="22">
        <f t="shared" si="32"/>
        <v>314.583333333198</v>
      </c>
      <c r="M441" s="22" cm="1">
        <f ca="1" t="array" ref="M441">SUMPRODUCT(--(WEEKDAY(ROW(INDIRECT(INT(F441)&amp;":"&amp;INT(I441))),2)&gt;5))</f>
        <v>12</v>
      </c>
      <c r="N441" s="22">
        <f ca="1" t="shared" si="33"/>
        <v>218.583333333198</v>
      </c>
      <c r="O441" s="22" t="str">
        <f ca="1" t="shared" si="34"/>
        <v>SLA Violated</v>
      </c>
      <c r="P441" s="23" t="s">
        <v>1879</v>
      </c>
      <c r="Q441" s="24" t="s">
        <v>28</v>
      </c>
      <c r="R441" s="25"/>
      <c r="S441" s="25"/>
    </row>
    <row r="442" ht="39" customHeight="1" spans="1:19">
      <c r="A442" s="19" t="s">
        <v>1880</v>
      </c>
      <c r="B442" s="20" t="s">
        <v>19</v>
      </c>
      <c r="C442" s="20" t="s">
        <v>20</v>
      </c>
      <c r="D442" s="20" t="s">
        <v>32</v>
      </c>
      <c r="E442" s="21" t="s">
        <v>1881</v>
      </c>
      <c r="F442" s="21" t="s">
        <v>1882</v>
      </c>
      <c r="G442" s="20" t="s">
        <v>35</v>
      </c>
      <c r="H442" s="20" t="s">
        <v>25</v>
      </c>
      <c r="I442" s="21" t="s">
        <v>1883</v>
      </c>
      <c r="J442" s="22">
        <f t="shared" si="30"/>
        <v>0.0604166666671517</v>
      </c>
      <c r="K442" s="22">
        <f t="shared" si="31"/>
        <v>1.45000000001164</v>
      </c>
      <c r="L442" s="22">
        <f t="shared" si="32"/>
        <v>1.45000000001164</v>
      </c>
      <c r="M442" s="22" cm="1">
        <f ca="1" t="array" ref="M442">SUMPRODUCT(--(WEEKDAY(ROW(INDIRECT(INT(F442)&amp;":"&amp;INT(I442))),2)&gt;5))</f>
        <v>0</v>
      </c>
      <c r="N442" s="22">
        <f ca="1" t="shared" si="33"/>
        <v>1.45000000001164</v>
      </c>
      <c r="O442" s="22" t="str">
        <f ca="1" t="shared" si="34"/>
        <v>Within SLA</v>
      </c>
      <c r="P442" s="26" t="s">
        <v>1880</v>
      </c>
      <c r="Q442" s="24" t="s">
        <v>37</v>
      </c>
      <c r="R442" s="25"/>
      <c r="S442" s="25"/>
    </row>
    <row r="443" ht="39" customHeight="1" spans="1:19">
      <c r="A443" s="19" t="s">
        <v>1884</v>
      </c>
      <c r="B443" s="20" t="s">
        <v>19</v>
      </c>
      <c r="C443" s="20" t="s">
        <v>20</v>
      </c>
      <c r="D443" s="20" t="s">
        <v>32</v>
      </c>
      <c r="E443" s="21" t="s">
        <v>1885</v>
      </c>
      <c r="F443" s="21" t="s">
        <v>1886</v>
      </c>
      <c r="G443" s="20" t="s">
        <v>35</v>
      </c>
      <c r="H443" s="20" t="s">
        <v>25</v>
      </c>
      <c r="I443" s="21" t="s">
        <v>1883</v>
      </c>
      <c r="J443" s="22">
        <f t="shared" si="30"/>
        <v>0.000694444439432118</v>
      </c>
      <c r="K443" s="22">
        <f t="shared" si="31"/>
        <v>0.0166666665463708</v>
      </c>
      <c r="L443" s="22">
        <f t="shared" si="32"/>
        <v>0.0166666665463708</v>
      </c>
      <c r="M443" s="22" cm="1">
        <f ca="1" t="array" ref="M443">SUMPRODUCT(--(WEEKDAY(ROW(INDIRECT(INT(F443)&amp;":"&amp;INT(I443))),2)&gt;5))</f>
        <v>0</v>
      </c>
      <c r="N443" s="22">
        <f ca="1" t="shared" si="33"/>
        <v>0.0166666665463708</v>
      </c>
      <c r="O443" s="22" t="str">
        <f ca="1" t="shared" si="34"/>
        <v>Within SLA</v>
      </c>
      <c r="P443" s="26" t="s">
        <v>1884</v>
      </c>
      <c r="Q443" s="24" t="s">
        <v>37</v>
      </c>
      <c r="R443" s="25"/>
      <c r="S443" s="25"/>
    </row>
    <row r="444" ht="39" customHeight="1" spans="1:19">
      <c r="A444" s="19" t="s">
        <v>1887</v>
      </c>
      <c r="B444" s="20" t="s">
        <v>19</v>
      </c>
      <c r="C444" s="20" t="s">
        <v>20</v>
      </c>
      <c r="D444" s="20" t="s">
        <v>32</v>
      </c>
      <c r="E444" s="21" t="s">
        <v>1888</v>
      </c>
      <c r="F444" s="21" t="s">
        <v>1889</v>
      </c>
      <c r="G444" s="20" t="s">
        <v>35</v>
      </c>
      <c r="H444" s="20" t="s">
        <v>25</v>
      </c>
      <c r="I444" s="21" t="s">
        <v>1890</v>
      </c>
      <c r="J444" s="22">
        <f t="shared" si="30"/>
        <v>0.0493055555562023</v>
      </c>
      <c r="K444" s="22">
        <f t="shared" si="31"/>
        <v>1.18333333334886</v>
      </c>
      <c r="L444" s="22">
        <f t="shared" si="32"/>
        <v>1.18333333334886</v>
      </c>
      <c r="M444" s="22" cm="1">
        <f ca="1" t="array" ref="M444">SUMPRODUCT(--(WEEKDAY(ROW(INDIRECT(INT(F444)&amp;":"&amp;INT(I444))),2)&gt;5))</f>
        <v>0</v>
      </c>
      <c r="N444" s="22">
        <f ca="1" t="shared" si="33"/>
        <v>1.18333333334886</v>
      </c>
      <c r="O444" s="22" t="str">
        <f ca="1" t="shared" si="34"/>
        <v>Within SLA</v>
      </c>
      <c r="P444" s="26" t="s">
        <v>1887</v>
      </c>
      <c r="Q444" s="24" t="s">
        <v>37</v>
      </c>
      <c r="R444" s="25"/>
      <c r="S444" s="25"/>
    </row>
    <row r="445" ht="39" customHeight="1" spans="1:19">
      <c r="A445" s="19" t="s">
        <v>1891</v>
      </c>
      <c r="B445" s="20" t="s">
        <v>19</v>
      </c>
      <c r="C445" s="20" t="s">
        <v>20</v>
      </c>
      <c r="D445" s="20" t="s">
        <v>32</v>
      </c>
      <c r="E445" s="21" t="s">
        <v>1865</v>
      </c>
      <c r="F445" s="21" t="s">
        <v>1892</v>
      </c>
      <c r="G445" s="20" t="s">
        <v>35</v>
      </c>
      <c r="H445" s="20" t="s">
        <v>25</v>
      </c>
      <c r="I445" s="21" t="s">
        <v>1890</v>
      </c>
      <c r="J445" s="22">
        <f t="shared" si="30"/>
        <v>0.0847222222218988</v>
      </c>
      <c r="K445" s="22">
        <f t="shared" si="31"/>
        <v>2.03333333332557</v>
      </c>
      <c r="L445" s="22">
        <f t="shared" si="32"/>
        <v>2.03333333332557</v>
      </c>
      <c r="M445" s="22" cm="1">
        <f ca="1" t="array" ref="M445">SUMPRODUCT(--(WEEKDAY(ROW(INDIRECT(INT(F445)&amp;":"&amp;INT(I445))),2)&gt;5))</f>
        <v>0</v>
      </c>
      <c r="N445" s="22">
        <f ca="1" t="shared" si="33"/>
        <v>2.03333333332557</v>
      </c>
      <c r="O445" s="22" t="str">
        <f ca="1" t="shared" si="34"/>
        <v>Within SLA</v>
      </c>
      <c r="P445" s="26" t="s">
        <v>1891</v>
      </c>
      <c r="Q445" s="24" t="s">
        <v>37</v>
      </c>
      <c r="R445" s="25"/>
      <c r="S445" s="25"/>
    </row>
    <row r="446" ht="39" customHeight="1" spans="1:19">
      <c r="A446" s="19" t="s">
        <v>1893</v>
      </c>
      <c r="B446" s="20" t="s">
        <v>19</v>
      </c>
      <c r="C446" s="20" t="s">
        <v>20</v>
      </c>
      <c r="D446" s="20" t="s">
        <v>32</v>
      </c>
      <c r="E446" s="21" t="s">
        <v>1865</v>
      </c>
      <c r="F446" s="21" t="s">
        <v>1894</v>
      </c>
      <c r="G446" s="20" t="s">
        <v>35</v>
      </c>
      <c r="H446" s="20" t="s">
        <v>25</v>
      </c>
      <c r="I446" s="21" t="s">
        <v>1895</v>
      </c>
      <c r="J446" s="22">
        <f t="shared" si="30"/>
        <v>0.03125</v>
      </c>
      <c r="K446" s="22">
        <f t="shared" si="31"/>
        <v>0.75</v>
      </c>
      <c r="L446" s="22">
        <f t="shared" si="32"/>
        <v>0.75</v>
      </c>
      <c r="M446" s="22" cm="1">
        <f ca="1" t="array" ref="M446">SUMPRODUCT(--(WEEKDAY(ROW(INDIRECT(INT(F446)&amp;":"&amp;INT(I446))),2)&gt;5))</f>
        <v>0</v>
      </c>
      <c r="N446" s="22">
        <f ca="1" t="shared" si="33"/>
        <v>0.75</v>
      </c>
      <c r="O446" s="22" t="str">
        <f ca="1" t="shared" si="34"/>
        <v>Within SLA</v>
      </c>
      <c r="P446" s="26" t="s">
        <v>1893</v>
      </c>
      <c r="Q446" s="24" t="s">
        <v>37</v>
      </c>
      <c r="R446" s="25"/>
      <c r="S446" s="25"/>
    </row>
    <row r="447" ht="39" customHeight="1" spans="1:19">
      <c r="A447" s="19" t="s">
        <v>1896</v>
      </c>
      <c r="B447" s="20" t="s">
        <v>19</v>
      </c>
      <c r="C447" s="20" t="s">
        <v>20</v>
      </c>
      <c r="D447" s="20" t="s">
        <v>32</v>
      </c>
      <c r="E447" s="21" t="s">
        <v>1865</v>
      </c>
      <c r="F447" s="21" t="s">
        <v>1897</v>
      </c>
      <c r="G447" s="20" t="s">
        <v>35</v>
      </c>
      <c r="H447" s="20" t="s">
        <v>25</v>
      </c>
      <c r="I447" s="21" t="s">
        <v>1895</v>
      </c>
      <c r="J447" s="22">
        <f t="shared" si="30"/>
        <v>0.0395833333313931</v>
      </c>
      <c r="K447" s="22">
        <f t="shared" si="31"/>
        <v>0.949999999953434</v>
      </c>
      <c r="L447" s="22">
        <f t="shared" si="32"/>
        <v>0.949999999953434</v>
      </c>
      <c r="M447" s="22" cm="1">
        <f ca="1" t="array" ref="M447">SUMPRODUCT(--(WEEKDAY(ROW(INDIRECT(INT(F447)&amp;":"&amp;INT(I447))),2)&gt;5))</f>
        <v>0</v>
      </c>
      <c r="N447" s="22">
        <f ca="1" t="shared" si="33"/>
        <v>0.949999999953434</v>
      </c>
      <c r="O447" s="22" t="str">
        <f ca="1" t="shared" si="34"/>
        <v>Within SLA</v>
      </c>
      <c r="P447" s="26" t="s">
        <v>1896</v>
      </c>
      <c r="Q447" s="24" t="s">
        <v>37</v>
      </c>
      <c r="R447" s="25"/>
      <c r="S447" s="25"/>
    </row>
    <row r="448" ht="39" customHeight="1" spans="1:19">
      <c r="A448" s="19" t="s">
        <v>1898</v>
      </c>
      <c r="B448" s="20" t="s">
        <v>19</v>
      </c>
      <c r="C448" s="20" t="s">
        <v>20</v>
      </c>
      <c r="D448" s="20" t="s">
        <v>32</v>
      </c>
      <c r="E448" s="21" t="s">
        <v>1899</v>
      </c>
      <c r="F448" s="21" t="s">
        <v>1900</v>
      </c>
      <c r="G448" s="20" t="s">
        <v>35</v>
      </c>
      <c r="H448" s="20" t="s">
        <v>25</v>
      </c>
      <c r="I448" s="21" t="s">
        <v>1901</v>
      </c>
      <c r="J448" s="22">
        <f t="shared" si="30"/>
        <v>0.0111111111109494</v>
      </c>
      <c r="K448" s="22">
        <f t="shared" si="31"/>
        <v>0.266666666662786</v>
      </c>
      <c r="L448" s="22">
        <f t="shared" si="32"/>
        <v>0.266666666662786</v>
      </c>
      <c r="M448" s="22" cm="1">
        <f ca="1" t="array" ref="M448">SUMPRODUCT(--(WEEKDAY(ROW(INDIRECT(INT(F448)&amp;":"&amp;INT(I448))),2)&gt;5))</f>
        <v>0</v>
      </c>
      <c r="N448" s="22">
        <f ca="1" t="shared" si="33"/>
        <v>0.266666666662786</v>
      </c>
      <c r="O448" s="22" t="str">
        <f ca="1" t="shared" si="34"/>
        <v>Within SLA</v>
      </c>
      <c r="P448" s="26" t="s">
        <v>1898</v>
      </c>
      <c r="Q448" s="24" t="s">
        <v>37</v>
      </c>
      <c r="R448" s="25"/>
      <c r="S448" s="25"/>
    </row>
    <row r="449" ht="39" customHeight="1" spans="1:19">
      <c r="A449" s="19" t="s">
        <v>1902</v>
      </c>
      <c r="B449" s="20" t="s">
        <v>19</v>
      </c>
      <c r="C449" s="20" t="s">
        <v>20</v>
      </c>
      <c r="D449" s="20" t="s">
        <v>32</v>
      </c>
      <c r="E449" s="21" t="s">
        <v>1903</v>
      </c>
      <c r="F449" s="21" t="s">
        <v>1904</v>
      </c>
      <c r="G449" s="20" t="s">
        <v>35</v>
      </c>
      <c r="H449" s="20" t="s">
        <v>25</v>
      </c>
      <c r="I449" s="21" t="s">
        <v>1905</v>
      </c>
      <c r="J449" s="22">
        <f t="shared" si="30"/>
        <v>24.7437500000015</v>
      </c>
      <c r="K449" s="22">
        <f t="shared" si="31"/>
        <v>593.850000000035</v>
      </c>
      <c r="L449" s="22">
        <f t="shared" si="32"/>
        <v>193.850000000035</v>
      </c>
      <c r="M449" s="22" cm="1">
        <f ca="1" t="array" ref="M449">SUMPRODUCT(--(WEEKDAY(ROW(INDIRECT(INT(F449)&amp;":"&amp;INT(I449))),2)&gt;5))</f>
        <v>8</v>
      </c>
      <c r="N449" s="22">
        <f ca="1" t="shared" si="33"/>
        <v>129.850000000035</v>
      </c>
      <c r="O449" s="22" t="str">
        <f ca="1" t="shared" si="34"/>
        <v>SLA Violated</v>
      </c>
      <c r="P449" s="23" t="s">
        <v>1906</v>
      </c>
      <c r="Q449" s="24" t="s">
        <v>37</v>
      </c>
      <c r="R449" s="25" t="s">
        <v>439</v>
      </c>
      <c r="S449" s="25" t="s">
        <v>39</v>
      </c>
    </row>
    <row r="450" ht="39" customHeight="1" spans="1:19">
      <c r="A450" s="19" t="s">
        <v>1907</v>
      </c>
      <c r="B450" s="20" t="s">
        <v>19</v>
      </c>
      <c r="C450" s="20" t="s">
        <v>20</v>
      </c>
      <c r="D450" s="20" t="s">
        <v>32</v>
      </c>
      <c r="E450" s="21" t="s">
        <v>1908</v>
      </c>
      <c r="F450" s="21" t="s">
        <v>1909</v>
      </c>
      <c r="G450" s="20" t="s">
        <v>35</v>
      </c>
      <c r="H450" s="20" t="s">
        <v>25</v>
      </c>
      <c r="I450" s="21" t="s">
        <v>1905</v>
      </c>
      <c r="J450" s="22">
        <f t="shared" si="30"/>
        <v>1.75972222222481</v>
      </c>
      <c r="K450" s="22">
        <f t="shared" si="31"/>
        <v>42.2333333333954</v>
      </c>
      <c r="L450" s="22">
        <f t="shared" si="32"/>
        <v>10.2333333333954</v>
      </c>
      <c r="M450" s="22" cm="1">
        <f ca="1" t="array" ref="M450">SUMPRODUCT(--(WEEKDAY(ROW(INDIRECT(INT(F450)&amp;":"&amp;INT(I450))),2)&gt;5))</f>
        <v>2</v>
      </c>
      <c r="N450" s="22">
        <f ca="1" t="shared" si="33"/>
        <v>0</v>
      </c>
      <c r="O450" s="22" t="str">
        <f ca="1" t="shared" si="34"/>
        <v>Within SLA</v>
      </c>
      <c r="P450" s="26" t="s">
        <v>1907</v>
      </c>
      <c r="Q450" s="24" t="s">
        <v>37</v>
      </c>
      <c r="R450" s="25"/>
      <c r="S450" s="25"/>
    </row>
    <row r="451" ht="39" customHeight="1" spans="1:19">
      <c r="A451" s="19" t="s">
        <v>1910</v>
      </c>
      <c r="B451" s="20" t="s">
        <v>19</v>
      </c>
      <c r="C451" s="20" t="s">
        <v>20</v>
      </c>
      <c r="D451" s="20" t="s">
        <v>32</v>
      </c>
      <c r="E451" s="21" t="s">
        <v>1911</v>
      </c>
      <c r="F451" s="21" t="s">
        <v>1912</v>
      </c>
      <c r="G451" s="20" t="s">
        <v>35</v>
      </c>
      <c r="H451" s="20" t="s">
        <v>25</v>
      </c>
      <c r="I451" s="21" t="s">
        <v>1913</v>
      </c>
      <c r="J451" s="22">
        <f t="shared" ref="J451:J514" si="35">F451-I451</f>
        <v>0.00555555555911269</v>
      </c>
      <c r="K451" s="22">
        <f t="shared" ref="K451:K514" si="36">J451*24</f>
        <v>0.133333333418705</v>
      </c>
      <c r="L451" s="22">
        <f t="shared" ref="L451:L514" si="37">IF(_xlfn.DAYS(F451,I451)&gt;0,K451-IF(FLOOR(J451,1)=0,1,_xlfn.DAYS(F451,I451))*16,K451)</f>
        <v>0.133333333418705</v>
      </c>
      <c r="M451" s="22" cm="1">
        <f ca="1" t="array" ref="M451">SUMPRODUCT(--(WEEKDAY(ROW(INDIRECT(INT(F451)&amp;":"&amp;INT(I451))),2)&gt;5))</f>
        <v>0</v>
      </c>
      <c r="N451" s="22">
        <f ca="1" t="shared" ref="N451:N514" si="38">IF(IF(M451&gt;0,L451-M451*8,L451)&lt;0,0,IF(M451&gt;0,L451-M451*8,L451))</f>
        <v>0.133333333418705</v>
      </c>
      <c r="O451" s="22" t="str">
        <f ca="1" t="shared" ref="O451:O514" si="39">IF(OR(AND(D451="P1",N451&lt;=3),AND(D451="P2",N451&lt;=6),AND(D451="P3",N451&lt;=9),AND(D451="P4",N451&lt;=12)),"Within SLA","SLA Violated")</f>
        <v>Within SLA</v>
      </c>
      <c r="P451" s="26" t="s">
        <v>1910</v>
      </c>
      <c r="Q451" s="24" t="s">
        <v>37</v>
      </c>
      <c r="R451" s="25"/>
      <c r="S451" s="25"/>
    </row>
    <row r="452" ht="27" customHeight="1" spans="1:19">
      <c r="A452" s="19" t="s">
        <v>1914</v>
      </c>
      <c r="B452" s="20" t="s">
        <v>30</v>
      </c>
      <c r="C452" s="20" t="s">
        <v>31</v>
      </c>
      <c r="D452" s="20" t="s">
        <v>32</v>
      </c>
      <c r="E452" s="21" t="s">
        <v>1915</v>
      </c>
      <c r="F452" s="21" t="s">
        <v>1916</v>
      </c>
      <c r="G452" s="20" t="s">
        <v>35</v>
      </c>
      <c r="H452" s="20" t="s">
        <v>25</v>
      </c>
      <c r="I452" s="21" t="s">
        <v>1917</v>
      </c>
      <c r="J452" s="22">
        <f t="shared" si="35"/>
        <v>0.046527777776646</v>
      </c>
      <c r="K452" s="22">
        <f t="shared" si="36"/>
        <v>1.1166666666395</v>
      </c>
      <c r="L452" s="22">
        <f t="shared" si="37"/>
        <v>1.1166666666395</v>
      </c>
      <c r="M452" s="22" cm="1">
        <f ca="1" t="array" ref="M452">SUMPRODUCT(--(WEEKDAY(ROW(INDIRECT(INT(F452)&amp;":"&amp;INT(I452))),2)&gt;5))</f>
        <v>0</v>
      </c>
      <c r="N452" s="22">
        <f ca="1" t="shared" si="38"/>
        <v>1.1166666666395</v>
      </c>
      <c r="O452" s="22" t="str">
        <f ca="1" t="shared" si="39"/>
        <v>Within SLA</v>
      </c>
      <c r="P452" s="26" t="s">
        <v>1914</v>
      </c>
      <c r="Q452" s="24" t="s">
        <v>37</v>
      </c>
      <c r="R452" s="25"/>
      <c r="S452" s="25"/>
    </row>
    <row r="453" ht="39" customHeight="1" spans="1:19">
      <c r="A453" s="19" t="s">
        <v>1918</v>
      </c>
      <c r="B453" s="20" t="s">
        <v>19</v>
      </c>
      <c r="C453" s="20" t="s">
        <v>20</v>
      </c>
      <c r="D453" s="20" t="s">
        <v>32</v>
      </c>
      <c r="E453" s="21" t="s">
        <v>1919</v>
      </c>
      <c r="F453" s="21" t="s">
        <v>1920</v>
      </c>
      <c r="G453" s="20" t="s">
        <v>35</v>
      </c>
      <c r="H453" s="20" t="s">
        <v>25</v>
      </c>
      <c r="I453" s="21" t="s">
        <v>1921</v>
      </c>
      <c r="J453" s="22">
        <f t="shared" si="35"/>
        <v>0.00347222221898846</v>
      </c>
      <c r="K453" s="22">
        <f t="shared" si="36"/>
        <v>0.0833333332557231</v>
      </c>
      <c r="L453" s="22">
        <f t="shared" si="37"/>
        <v>0.0833333332557231</v>
      </c>
      <c r="M453" s="22" cm="1">
        <f ca="1" t="array" ref="M453">SUMPRODUCT(--(WEEKDAY(ROW(INDIRECT(INT(F453)&amp;":"&amp;INT(I453))),2)&gt;5))</f>
        <v>0</v>
      </c>
      <c r="N453" s="22">
        <f ca="1" t="shared" si="38"/>
        <v>0.0833333332557231</v>
      </c>
      <c r="O453" s="22" t="str">
        <f ca="1" t="shared" si="39"/>
        <v>Within SLA</v>
      </c>
      <c r="P453" s="26" t="s">
        <v>1918</v>
      </c>
      <c r="Q453" s="24" t="s">
        <v>37</v>
      </c>
      <c r="R453" s="25"/>
      <c r="S453" s="25"/>
    </row>
    <row r="454" ht="39" customHeight="1" spans="1:19">
      <c r="A454" s="19" t="s">
        <v>1922</v>
      </c>
      <c r="B454" s="20" t="s">
        <v>19</v>
      </c>
      <c r="C454" s="20" t="s">
        <v>20</v>
      </c>
      <c r="D454" s="20" t="s">
        <v>32</v>
      </c>
      <c r="E454" s="21" t="s">
        <v>1912</v>
      </c>
      <c r="F454" s="21" t="s">
        <v>1923</v>
      </c>
      <c r="G454" s="20" t="s">
        <v>35</v>
      </c>
      <c r="H454" s="20" t="s">
        <v>25</v>
      </c>
      <c r="I454" s="21" t="s">
        <v>1924</v>
      </c>
      <c r="J454" s="22">
        <f t="shared" si="35"/>
        <v>0.0500000000029104</v>
      </c>
      <c r="K454" s="22">
        <f t="shared" si="36"/>
        <v>1.20000000006985</v>
      </c>
      <c r="L454" s="22">
        <f t="shared" si="37"/>
        <v>1.20000000006985</v>
      </c>
      <c r="M454" s="22" cm="1">
        <f ca="1" t="array" ref="M454">SUMPRODUCT(--(WEEKDAY(ROW(INDIRECT(INT(F454)&amp;":"&amp;INT(I454))),2)&gt;5))</f>
        <v>0</v>
      </c>
      <c r="N454" s="22">
        <f ca="1" t="shared" si="38"/>
        <v>1.20000000006985</v>
      </c>
      <c r="O454" s="22" t="str">
        <f ca="1" t="shared" si="39"/>
        <v>Within SLA</v>
      </c>
      <c r="P454" s="26" t="s">
        <v>1922</v>
      </c>
      <c r="Q454" s="24" t="s">
        <v>37</v>
      </c>
      <c r="R454" s="25"/>
      <c r="S454" s="25"/>
    </row>
    <row r="455" ht="39" customHeight="1" spans="1:19">
      <c r="A455" s="19" t="s">
        <v>1925</v>
      </c>
      <c r="B455" s="20" t="s">
        <v>19</v>
      </c>
      <c r="C455" s="20" t="s">
        <v>20</v>
      </c>
      <c r="D455" s="20" t="s">
        <v>32</v>
      </c>
      <c r="E455" s="21" t="s">
        <v>1912</v>
      </c>
      <c r="F455" s="21" t="s">
        <v>1926</v>
      </c>
      <c r="G455" s="20" t="s">
        <v>35</v>
      </c>
      <c r="H455" s="20" t="s">
        <v>25</v>
      </c>
      <c r="I455" s="21" t="s">
        <v>1927</v>
      </c>
      <c r="J455" s="22">
        <f t="shared" si="35"/>
        <v>18.9784722222248</v>
      </c>
      <c r="K455" s="22">
        <f t="shared" si="36"/>
        <v>455.483333333395</v>
      </c>
      <c r="L455" s="22">
        <f t="shared" si="37"/>
        <v>151.483333333395</v>
      </c>
      <c r="M455" s="22" cm="1">
        <f ca="1" t="array" ref="M455">SUMPRODUCT(--(WEEKDAY(ROW(INDIRECT(INT(F455)&amp;":"&amp;INT(I455))),2)&gt;5))</f>
        <v>6</v>
      </c>
      <c r="N455" s="22">
        <f ca="1" t="shared" si="38"/>
        <v>103.483333333395</v>
      </c>
      <c r="O455" s="22" t="str">
        <f ca="1" t="shared" si="39"/>
        <v>SLA Violated</v>
      </c>
      <c r="P455" s="23" t="s">
        <v>1928</v>
      </c>
      <c r="Q455" s="24" t="s">
        <v>37</v>
      </c>
      <c r="R455" s="25" t="s">
        <v>38</v>
      </c>
      <c r="S455" s="25" t="s">
        <v>39</v>
      </c>
    </row>
    <row r="456" ht="39" customHeight="1" spans="1:19">
      <c r="A456" s="19" t="s">
        <v>1929</v>
      </c>
      <c r="B456" s="20" t="s">
        <v>19</v>
      </c>
      <c r="C456" s="20" t="s">
        <v>20</v>
      </c>
      <c r="D456" s="20" t="s">
        <v>32</v>
      </c>
      <c r="E456" s="21" t="s">
        <v>1894</v>
      </c>
      <c r="F456" s="21" t="s">
        <v>1930</v>
      </c>
      <c r="G456" s="20" t="s">
        <v>35</v>
      </c>
      <c r="H456" s="20" t="s">
        <v>25</v>
      </c>
      <c r="I456" s="21" t="s">
        <v>1931</v>
      </c>
      <c r="J456" s="22">
        <f t="shared" si="35"/>
        <v>0.0284722222204437</v>
      </c>
      <c r="K456" s="22">
        <f t="shared" si="36"/>
        <v>0.683333333290648</v>
      </c>
      <c r="L456" s="22">
        <f t="shared" si="37"/>
        <v>0.683333333290648</v>
      </c>
      <c r="M456" s="22" cm="1">
        <f ca="1" t="array" ref="M456">SUMPRODUCT(--(WEEKDAY(ROW(INDIRECT(INT(F456)&amp;":"&amp;INT(I456))),2)&gt;5))</f>
        <v>0</v>
      </c>
      <c r="N456" s="22">
        <f ca="1" t="shared" si="38"/>
        <v>0.683333333290648</v>
      </c>
      <c r="O456" s="22" t="str">
        <f ca="1" t="shared" si="39"/>
        <v>Within SLA</v>
      </c>
      <c r="P456" s="26" t="s">
        <v>1929</v>
      </c>
      <c r="Q456" s="24" t="s">
        <v>37</v>
      </c>
      <c r="R456" s="25"/>
      <c r="S456" s="25"/>
    </row>
    <row r="457" ht="39" customHeight="1" spans="1:19">
      <c r="A457" s="19" t="s">
        <v>1932</v>
      </c>
      <c r="B457" s="20" t="s">
        <v>19</v>
      </c>
      <c r="C457" s="20" t="s">
        <v>20</v>
      </c>
      <c r="D457" s="20" t="s">
        <v>32</v>
      </c>
      <c r="E457" s="21" t="s">
        <v>1897</v>
      </c>
      <c r="F457" s="21" t="s">
        <v>1933</v>
      </c>
      <c r="G457" s="20" t="s">
        <v>35</v>
      </c>
      <c r="H457" s="20" t="s">
        <v>25</v>
      </c>
      <c r="I457" s="21" t="s">
        <v>1869</v>
      </c>
      <c r="J457" s="22">
        <f t="shared" si="35"/>
        <v>0.0270833333343035</v>
      </c>
      <c r="K457" s="22">
        <f t="shared" si="36"/>
        <v>0.650000000023283</v>
      </c>
      <c r="L457" s="22">
        <f t="shared" si="37"/>
        <v>0.650000000023283</v>
      </c>
      <c r="M457" s="22" cm="1">
        <f ca="1" t="array" ref="M457">SUMPRODUCT(--(WEEKDAY(ROW(INDIRECT(INT(F457)&amp;":"&amp;INT(I457))),2)&gt;5))</f>
        <v>0</v>
      </c>
      <c r="N457" s="22">
        <f ca="1" t="shared" si="38"/>
        <v>0.650000000023283</v>
      </c>
      <c r="O457" s="22" t="str">
        <f ca="1" t="shared" si="39"/>
        <v>Within SLA</v>
      </c>
      <c r="P457" s="26" t="s">
        <v>1932</v>
      </c>
      <c r="Q457" s="24" t="s">
        <v>37</v>
      </c>
      <c r="R457" s="25"/>
      <c r="S457" s="25"/>
    </row>
    <row r="458" ht="39" customHeight="1" spans="1:19">
      <c r="A458" s="19" t="s">
        <v>1934</v>
      </c>
      <c r="B458" s="20" t="s">
        <v>196</v>
      </c>
      <c r="C458" s="20" t="s">
        <v>1935</v>
      </c>
      <c r="D458" s="20" t="s">
        <v>21</v>
      </c>
      <c r="E458" s="21" t="s">
        <v>1889</v>
      </c>
      <c r="F458" s="21" t="s">
        <v>1936</v>
      </c>
      <c r="G458" s="20" t="s">
        <v>35</v>
      </c>
      <c r="H458" s="20" t="s">
        <v>25</v>
      </c>
      <c r="I458" s="21" t="s">
        <v>1937</v>
      </c>
      <c r="J458" s="22">
        <f t="shared" si="35"/>
        <v>0.0277777777810115</v>
      </c>
      <c r="K458" s="22">
        <f t="shared" si="36"/>
        <v>0.666666666744277</v>
      </c>
      <c r="L458" s="22">
        <f t="shared" si="37"/>
        <v>0.666666666744277</v>
      </c>
      <c r="M458" s="22" cm="1">
        <f ca="1" t="array" ref="M458">SUMPRODUCT(--(WEEKDAY(ROW(INDIRECT(INT(F458)&amp;":"&amp;INT(I458))),2)&gt;5))</f>
        <v>0</v>
      </c>
      <c r="N458" s="22">
        <f ca="1" t="shared" si="38"/>
        <v>0.666666666744277</v>
      </c>
      <c r="O458" s="22" t="str">
        <f ca="1" t="shared" si="39"/>
        <v>Within SLA</v>
      </c>
      <c r="P458" s="26" t="s">
        <v>1934</v>
      </c>
      <c r="Q458" s="24" t="s">
        <v>37</v>
      </c>
      <c r="R458" s="25"/>
      <c r="S458" s="25"/>
    </row>
    <row r="459" ht="39" customHeight="1" spans="1:19">
      <c r="A459" s="19" t="s">
        <v>1938</v>
      </c>
      <c r="B459" s="20" t="s">
        <v>19</v>
      </c>
      <c r="C459" s="20" t="s">
        <v>20</v>
      </c>
      <c r="D459" s="20" t="s">
        <v>32</v>
      </c>
      <c r="E459" s="21" t="s">
        <v>1889</v>
      </c>
      <c r="F459" s="21" t="s">
        <v>1939</v>
      </c>
      <c r="G459" s="20" t="s">
        <v>35</v>
      </c>
      <c r="H459" s="20" t="s">
        <v>25</v>
      </c>
      <c r="I459" s="21" t="s">
        <v>1940</v>
      </c>
      <c r="J459" s="22">
        <f t="shared" si="35"/>
        <v>0.0208333333357587</v>
      </c>
      <c r="K459" s="22">
        <f t="shared" si="36"/>
        <v>0.500000000058208</v>
      </c>
      <c r="L459" s="22">
        <f t="shared" si="37"/>
        <v>0.500000000058208</v>
      </c>
      <c r="M459" s="22" cm="1">
        <f ca="1" t="array" ref="M459">SUMPRODUCT(--(WEEKDAY(ROW(INDIRECT(INT(F459)&amp;":"&amp;INT(I459))),2)&gt;5))</f>
        <v>0</v>
      </c>
      <c r="N459" s="22">
        <f ca="1" t="shared" si="38"/>
        <v>0.500000000058208</v>
      </c>
      <c r="O459" s="22" t="str">
        <f ca="1" t="shared" si="39"/>
        <v>Within SLA</v>
      </c>
      <c r="P459" s="26" t="s">
        <v>1938</v>
      </c>
      <c r="Q459" s="24" t="s">
        <v>37</v>
      </c>
      <c r="R459" s="25"/>
      <c r="S459" s="25"/>
    </row>
    <row r="460" ht="39" customHeight="1" spans="1:19">
      <c r="A460" s="19" t="s">
        <v>1941</v>
      </c>
      <c r="B460" s="20" t="s">
        <v>19</v>
      </c>
      <c r="C460" s="20" t="s">
        <v>20</v>
      </c>
      <c r="D460" s="20" t="s">
        <v>32</v>
      </c>
      <c r="E460" s="21" t="s">
        <v>1869</v>
      </c>
      <c r="F460" s="21" t="s">
        <v>1942</v>
      </c>
      <c r="G460" s="20" t="s">
        <v>35</v>
      </c>
      <c r="H460" s="20" t="s">
        <v>25</v>
      </c>
      <c r="I460" s="21" t="s">
        <v>1943</v>
      </c>
      <c r="J460" s="22">
        <f t="shared" si="35"/>
        <v>0.00555555555183673</v>
      </c>
      <c r="K460" s="22">
        <f t="shared" si="36"/>
        <v>0.133333333244082</v>
      </c>
      <c r="L460" s="22">
        <f t="shared" si="37"/>
        <v>0.133333333244082</v>
      </c>
      <c r="M460" s="22" cm="1">
        <f ca="1" t="array" ref="M460">SUMPRODUCT(--(WEEKDAY(ROW(INDIRECT(INT(F460)&amp;":"&amp;INT(I460))),2)&gt;5))</f>
        <v>0</v>
      </c>
      <c r="N460" s="22">
        <f ca="1" t="shared" si="38"/>
        <v>0.133333333244082</v>
      </c>
      <c r="O460" s="22" t="str">
        <f ca="1" t="shared" si="39"/>
        <v>Within SLA</v>
      </c>
      <c r="P460" s="26" t="s">
        <v>1941</v>
      </c>
      <c r="Q460" s="24" t="s">
        <v>37</v>
      </c>
      <c r="R460" s="25"/>
      <c r="S460" s="25"/>
    </row>
    <row r="461" ht="39" customHeight="1" spans="1:19">
      <c r="A461" s="19" t="s">
        <v>1944</v>
      </c>
      <c r="B461" s="20" t="s">
        <v>196</v>
      </c>
      <c r="C461" s="20" t="s">
        <v>1935</v>
      </c>
      <c r="D461" s="20" t="s">
        <v>21</v>
      </c>
      <c r="E461" s="21" t="s">
        <v>1945</v>
      </c>
      <c r="F461" s="21" t="s">
        <v>1946</v>
      </c>
      <c r="G461" s="20" t="s">
        <v>35</v>
      </c>
      <c r="H461" s="20" t="s">
        <v>25</v>
      </c>
      <c r="I461" s="21" t="s">
        <v>1947</v>
      </c>
      <c r="J461" s="22">
        <f t="shared" si="35"/>
        <v>0.0597222222204437</v>
      </c>
      <c r="K461" s="22">
        <f t="shared" si="36"/>
        <v>1.43333333329065</v>
      </c>
      <c r="L461" s="22">
        <f t="shared" si="37"/>
        <v>1.43333333329065</v>
      </c>
      <c r="M461" s="22" cm="1">
        <f ca="1" t="array" ref="M461">SUMPRODUCT(--(WEEKDAY(ROW(INDIRECT(INT(F461)&amp;":"&amp;INT(I461))),2)&gt;5))</f>
        <v>0</v>
      </c>
      <c r="N461" s="22">
        <f ca="1" t="shared" si="38"/>
        <v>1.43333333329065</v>
      </c>
      <c r="O461" s="22" t="str">
        <f ca="1" t="shared" si="39"/>
        <v>Within SLA</v>
      </c>
      <c r="P461" s="26" t="s">
        <v>1944</v>
      </c>
      <c r="Q461" s="24" t="s">
        <v>37</v>
      </c>
      <c r="R461" s="25"/>
      <c r="S461" s="25"/>
    </row>
    <row r="462" ht="39" customHeight="1" spans="1:19">
      <c r="A462" s="19" t="s">
        <v>1948</v>
      </c>
      <c r="B462" s="20" t="s">
        <v>19</v>
      </c>
      <c r="C462" s="20" t="s">
        <v>167</v>
      </c>
      <c r="D462" s="20" t="s">
        <v>32</v>
      </c>
      <c r="E462" s="21" t="s">
        <v>1945</v>
      </c>
      <c r="F462" s="21" t="s">
        <v>1949</v>
      </c>
      <c r="G462" s="20" t="s">
        <v>35</v>
      </c>
      <c r="H462" s="20" t="s">
        <v>25</v>
      </c>
      <c r="I462" s="21" t="s">
        <v>1950</v>
      </c>
      <c r="J462" s="22">
        <f t="shared" si="35"/>
        <v>0.0944444444467081</v>
      </c>
      <c r="K462" s="22">
        <f t="shared" si="36"/>
        <v>2.26666666672099</v>
      </c>
      <c r="L462" s="22">
        <f t="shared" si="37"/>
        <v>2.26666666672099</v>
      </c>
      <c r="M462" s="22" cm="1">
        <f ca="1" t="array" ref="M462">SUMPRODUCT(--(WEEKDAY(ROW(INDIRECT(INT(F462)&amp;":"&amp;INT(I462))),2)&gt;5))</f>
        <v>0</v>
      </c>
      <c r="N462" s="22">
        <f ca="1" t="shared" si="38"/>
        <v>2.26666666672099</v>
      </c>
      <c r="O462" s="22" t="str">
        <f ca="1" t="shared" si="39"/>
        <v>Within SLA</v>
      </c>
      <c r="P462" s="26" t="s">
        <v>1948</v>
      </c>
      <c r="Q462" s="24" t="s">
        <v>37</v>
      </c>
      <c r="R462" s="25"/>
      <c r="S462" s="25"/>
    </row>
    <row r="463" ht="27" customHeight="1" spans="1:19">
      <c r="A463" s="19" t="s">
        <v>1951</v>
      </c>
      <c r="B463" s="20" t="s">
        <v>121</v>
      </c>
      <c r="C463" s="20" t="s">
        <v>101</v>
      </c>
      <c r="D463" s="20" t="s">
        <v>32</v>
      </c>
      <c r="E463" s="21" t="s">
        <v>1952</v>
      </c>
      <c r="F463" s="21" t="s">
        <v>1953</v>
      </c>
      <c r="G463" s="20" t="s">
        <v>35</v>
      </c>
      <c r="H463" s="20" t="s">
        <v>25</v>
      </c>
      <c r="I463" s="21" t="s">
        <v>1954</v>
      </c>
      <c r="J463" s="22">
        <f t="shared" si="35"/>
        <v>0.0118055555503815</v>
      </c>
      <c r="K463" s="22">
        <f t="shared" si="36"/>
        <v>0.283333333209157</v>
      </c>
      <c r="L463" s="22">
        <f t="shared" si="37"/>
        <v>0.283333333209157</v>
      </c>
      <c r="M463" s="22" cm="1">
        <f ca="1" t="array" ref="M463">SUMPRODUCT(--(WEEKDAY(ROW(INDIRECT(INT(F463)&amp;":"&amp;INT(I463))),2)&gt;5))</f>
        <v>0</v>
      </c>
      <c r="N463" s="22">
        <f ca="1" t="shared" si="38"/>
        <v>0.283333333209157</v>
      </c>
      <c r="O463" s="22" t="str">
        <f ca="1" t="shared" si="39"/>
        <v>Within SLA</v>
      </c>
      <c r="P463" s="26" t="s">
        <v>1951</v>
      </c>
      <c r="Q463" s="24" t="s">
        <v>37</v>
      </c>
      <c r="R463" s="25"/>
      <c r="S463" s="25"/>
    </row>
    <row r="464" ht="39" customHeight="1" spans="1:19">
      <c r="A464" s="19" t="s">
        <v>1955</v>
      </c>
      <c r="B464" s="20" t="s">
        <v>19</v>
      </c>
      <c r="C464" s="20" t="s">
        <v>20</v>
      </c>
      <c r="D464" s="20" t="s">
        <v>105</v>
      </c>
      <c r="E464" s="21" t="s">
        <v>1956</v>
      </c>
      <c r="F464" s="21" t="s">
        <v>1957</v>
      </c>
      <c r="G464" s="20" t="s">
        <v>35</v>
      </c>
      <c r="H464" s="20" t="s">
        <v>25</v>
      </c>
      <c r="I464" s="21" t="s">
        <v>1958</v>
      </c>
      <c r="J464" s="22">
        <f t="shared" si="35"/>
        <v>0.23750000000291</v>
      </c>
      <c r="K464" s="22">
        <f t="shared" si="36"/>
        <v>5.70000000006985</v>
      </c>
      <c r="L464" s="22">
        <f t="shared" si="37"/>
        <v>5.70000000006985</v>
      </c>
      <c r="M464" s="22" cm="1">
        <f ca="1" t="array" ref="M464">SUMPRODUCT(--(WEEKDAY(ROW(INDIRECT(INT(F464)&amp;":"&amp;INT(I464))),2)&gt;5))</f>
        <v>0</v>
      </c>
      <c r="N464" s="22">
        <f ca="1" t="shared" si="38"/>
        <v>5.70000000006985</v>
      </c>
      <c r="O464" s="22" t="str">
        <f ca="1" t="shared" si="39"/>
        <v>Within SLA</v>
      </c>
      <c r="P464" s="26" t="s">
        <v>1955</v>
      </c>
      <c r="Q464" s="24" t="s">
        <v>37</v>
      </c>
      <c r="R464" s="25"/>
      <c r="S464" s="25"/>
    </row>
    <row r="465" ht="39" customHeight="1" spans="1:19">
      <c r="A465" s="19" t="s">
        <v>1959</v>
      </c>
      <c r="B465" s="20" t="s">
        <v>19</v>
      </c>
      <c r="C465" s="20" t="s">
        <v>167</v>
      </c>
      <c r="D465" s="20" t="s">
        <v>32</v>
      </c>
      <c r="E465" s="21" t="s">
        <v>1956</v>
      </c>
      <c r="F465" s="21" t="s">
        <v>1960</v>
      </c>
      <c r="G465" s="20" t="s">
        <v>35</v>
      </c>
      <c r="H465" s="20" t="s">
        <v>25</v>
      </c>
      <c r="I465" s="21" t="s">
        <v>1954</v>
      </c>
      <c r="J465" s="22">
        <f t="shared" si="35"/>
        <v>0.0569444444408873</v>
      </c>
      <c r="K465" s="22">
        <f t="shared" si="36"/>
        <v>1.3666666665813</v>
      </c>
      <c r="L465" s="22">
        <f t="shared" si="37"/>
        <v>1.3666666665813</v>
      </c>
      <c r="M465" s="22" cm="1">
        <f ca="1" t="array" ref="M465">SUMPRODUCT(--(WEEKDAY(ROW(INDIRECT(INT(F465)&amp;":"&amp;INT(I465))),2)&gt;5))</f>
        <v>0</v>
      </c>
      <c r="N465" s="22">
        <f ca="1" t="shared" si="38"/>
        <v>1.3666666665813</v>
      </c>
      <c r="O465" s="22" t="str">
        <f ca="1" t="shared" si="39"/>
        <v>Within SLA</v>
      </c>
      <c r="P465" s="26" t="s">
        <v>1959</v>
      </c>
      <c r="Q465" s="24" t="s">
        <v>37</v>
      </c>
      <c r="R465" s="25"/>
      <c r="S465" s="25"/>
    </row>
    <row r="466" ht="39" customHeight="1" spans="1:19">
      <c r="A466" s="19" t="s">
        <v>1961</v>
      </c>
      <c r="B466" s="20" t="s">
        <v>19</v>
      </c>
      <c r="C466" s="20" t="s">
        <v>863</v>
      </c>
      <c r="D466" s="20" t="s">
        <v>32</v>
      </c>
      <c r="E466" s="21" t="s">
        <v>1962</v>
      </c>
      <c r="F466" s="21" t="s">
        <v>1963</v>
      </c>
      <c r="G466" s="20" t="s">
        <v>35</v>
      </c>
      <c r="H466" s="20" t="s">
        <v>25</v>
      </c>
      <c r="I466" s="21" t="s">
        <v>1964</v>
      </c>
      <c r="J466" s="22">
        <f t="shared" si="35"/>
        <v>2.8479166666657</v>
      </c>
      <c r="K466" s="22">
        <f t="shared" si="36"/>
        <v>68.3499999999767</v>
      </c>
      <c r="L466" s="22">
        <f t="shared" si="37"/>
        <v>20.3499999999767</v>
      </c>
      <c r="M466" s="22" cm="1">
        <f ca="1" t="array" ref="M466">SUMPRODUCT(--(WEEKDAY(ROW(INDIRECT(INT(F466)&amp;":"&amp;INT(I466))),2)&gt;5))</f>
        <v>2</v>
      </c>
      <c r="N466" s="22">
        <f ca="1" t="shared" si="38"/>
        <v>4.3499999999767</v>
      </c>
      <c r="O466" s="22" t="str">
        <f ca="1" t="shared" si="39"/>
        <v>Within SLA</v>
      </c>
      <c r="P466" s="26" t="s">
        <v>1961</v>
      </c>
      <c r="Q466" s="24" t="s">
        <v>37</v>
      </c>
      <c r="R466" s="25"/>
      <c r="S466" s="25"/>
    </row>
    <row r="467" ht="39" customHeight="1" spans="1:19">
      <c r="A467" s="19" t="s">
        <v>1965</v>
      </c>
      <c r="B467" s="20" t="s">
        <v>19</v>
      </c>
      <c r="C467" s="20" t="s">
        <v>167</v>
      </c>
      <c r="D467" s="20" t="s">
        <v>32</v>
      </c>
      <c r="E467" s="21" t="s">
        <v>1966</v>
      </c>
      <c r="F467" s="21" t="s">
        <v>1949</v>
      </c>
      <c r="G467" s="20" t="s">
        <v>35</v>
      </c>
      <c r="H467" s="20" t="s">
        <v>25</v>
      </c>
      <c r="I467" s="21" t="s">
        <v>1967</v>
      </c>
      <c r="J467" s="22">
        <f t="shared" si="35"/>
        <v>0.0687499999985448</v>
      </c>
      <c r="K467" s="22">
        <f t="shared" si="36"/>
        <v>1.64999999996508</v>
      </c>
      <c r="L467" s="22">
        <f t="shared" si="37"/>
        <v>1.64999999996508</v>
      </c>
      <c r="M467" s="22" cm="1">
        <f ca="1" t="array" ref="M467">SUMPRODUCT(--(WEEKDAY(ROW(INDIRECT(INT(F467)&amp;":"&amp;INT(I467))),2)&gt;5))</f>
        <v>0</v>
      </c>
      <c r="N467" s="22">
        <f ca="1" t="shared" si="38"/>
        <v>1.64999999996508</v>
      </c>
      <c r="O467" s="22" t="str">
        <f ca="1" t="shared" si="39"/>
        <v>Within SLA</v>
      </c>
      <c r="P467" s="26" t="s">
        <v>1965</v>
      </c>
      <c r="Q467" s="24" t="s">
        <v>37</v>
      </c>
      <c r="R467" s="25"/>
      <c r="S467" s="25"/>
    </row>
    <row r="468" ht="39" customHeight="1" spans="1:19">
      <c r="A468" s="28" t="s">
        <v>1968</v>
      </c>
      <c r="B468" s="20" t="s">
        <v>19</v>
      </c>
      <c r="C468" s="20" t="s">
        <v>167</v>
      </c>
      <c r="D468" s="20" t="s">
        <v>32</v>
      </c>
      <c r="E468" s="21" t="s">
        <v>1969</v>
      </c>
      <c r="F468" s="21" t="s">
        <v>1970</v>
      </c>
      <c r="G468" s="20" t="s">
        <v>35</v>
      </c>
      <c r="H468" s="20" t="s">
        <v>25</v>
      </c>
      <c r="I468" s="21" t="s">
        <v>1971</v>
      </c>
      <c r="J468" s="22">
        <f t="shared" si="35"/>
        <v>29.0652777777796</v>
      </c>
      <c r="K468" s="22">
        <f t="shared" si="36"/>
        <v>697.566666666709</v>
      </c>
      <c r="L468" s="22">
        <f t="shared" si="37"/>
        <v>233.566666666709</v>
      </c>
      <c r="M468" s="22" cm="1">
        <f ca="1" t="array" ref="M468">SUMPRODUCT(--(WEEKDAY(ROW(INDIRECT(INT(F468)&amp;":"&amp;INT(I468))),2)&gt;5))</f>
        <v>8</v>
      </c>
      <c r="N468" s="22">
        <f ca="1" t="shared" si="38"/>
        <v>169.566666666709</v>
      </c>
      <c r="O468" s="22" t="str">
        <f ca="1" t="shared" si="39"/>
        <v>SLA Violated</v>
      </c>
      <c r="P468" s="23" t="s">
        <v>1968</v>
      </c>
      <c r="Q468" s="24" t="s">
        <v>28</v>
      </c>
      <c r="R468" s="25"/>
      <c r="S468" s="25"/>
    </row>
    <row r="469" ht="39" customHeight="1" spans="1:19">
      <c r="A469" s="19" t="s">
        <v>1972</v>
      </c>
      <c r="B469" s="20" t="s">
        <v>19</v>
      </c>
      <c r="C469" s="20" t="s">
        <v>863</v>
      </c>
      <c r="D469" s="20" t="s">
        <v>32</v>
      </c>
      <c r="E469" s="21" t="s">
        <v>1973</v>
      </c>
      <c r="F469" s="21" t="s">
        <v>1974</v>
      </c>
      <c r="G469" s="20" t="s">
        <v>35</v>
      </c>
      <c r="H469" s="20" t="s">
        <v>25</v>
      </c>
      <c r="I469" s="21" t="s">
        <v>1975</v>
      </c>
      <c r="J469" s="22">
        <f t="shared" si="35"/>
        <v>2.91736111111095</v>
      </c>
      <c r="K469" s="22">
        <f t="shared" si="36"/>
        <v>70.0166666666628</v>
      </c>
      <c r="L469" s="22">
        <f t="shared" si="37"/>
        <v>22.0166666666628</v>
      </c>
      <c r="M469" s="22" cm="1">
        <f ca="1" t="array" ref="M469">SUMPRODUCT(--(WEEKDAY(ROW(INDIRECT(INT(F469)&amp;":"&amp;INT(I469))),2)&gt;5))</f>
        <v>2</v>
      </c>
      <c r="N469" s="22">
        <f ca="1" t="shared" si="38"/>
        <v>6.0166666666628</v>
      </c>
      <c r="O469" s="22" t="str">
        <f ca="1" t="shared" si="39"/>
        <v>Within SLA</v>
      </c>
      <c r="P469" s="26" t="s">
        <v>1972</v>
      </c>
      <c r="Q469" s="24" t="s">
        <v>37</v>
      </c>
      <c r="R469" s="25"/>
      <c r="S469" s="25"/>
    </row>
    <row r="470" ht="39" customHeight="1" spans="1:19">
      <c r="A470" s="28" t="s">
        <v>1976</v>
      </c>
      <c r="B470" s="20" t="s">
        <v>19</v>
      </c>
      <c r="C470" s="20" t="s">
        <v>167</v>
      </c>
      <c r="D470" s="20" t="s">
        <v>32</v>
      </c>
      <c r="E470" s="21" t="s">
        <v>1975</v>
      </c>
      <c r="F470" s="21" t="s">
        <v>1977</v>
      </c>
      <c r="G470" s="20" t="s">
        <v>35</v>
      </c>
      <c r="H470" s="20" t="s">
        <v>25</v>
      </c>
      <c r="I470" s="21" t="s">
        <v>1978</v>
      </c>
      <c r="J470" s="22">
        <f t="shared" si="35"/>
        <v>38.7756944444409</v>
      </c>
      <c r="K470" s="22">
        <f t="shared" si="36"/>
        <v>930.616666666581</v>
      </c>
      <c r="L470" s="22">
        <f t="shared" si="37"/>
        <v>306.616666666581</v>
      </c>
      <c r="M470" s="22" cm="1">
        <f ca="1" t="array" ref="M470">SUMPRODUCT(--(WEEKDAY(ROW(INDIRECT(INT(F470)&amp;":"&amp;INT(I470))),2)&gt;5))</f>
        <v>10</v>
      </c>
      <c r="N470" s="22">
        <f ca="1" t="shared" si="38"/>
        <v>226.616666666581</v>
      </c>
      <c r="O470" s="22" t="str">
        <f ca="1" t="shared" si="39"/>
        <v>SLA Violated</v>
      </c>
      <c r="P470" s="23" t="s">
        <v>1976</v>
      </c>
      <c r="Q470" s="24" t="s">
        <v>28</v>
      </c>
      <c r="R470" s="25"/>
      <c r="S470" s="25"/>
    </row>
    <row r="471" ht="39" customHeight="1" spans="1:19">
      <c r="A471" s="19" t="s">
        <v>1979</v>
      </c>
      <c r="B471" s="20" t="s">
        <v>19</v>
      </c>
      <c r="C471" s="20" t="s">
        <v>20</v>
      </c>
      <c r="D471" s="20" t="s">
        <v>32</v>
      </c>
      <c r="E471" s="21" t="s">
        <v>1980</v>
      </c>
      <c r="F471" s="21" t="s">
        <v>1981</v>
      </c>
      <c r="G471" s="20" t="s">
        <v>35</v>
      </c>
      <c r="H471" s="20" t="s">
        <v>25</v>
      </c>
      <c r="I471" s="21" t="s">
        <v>1982</v>
      </c>
      <c r="J471" s="22">
        <f t="shared" si="35"/>
        <v>37.1479166666686</v>
      </c>
      <c r="K471" s="22">
        <f t="shared" si="36"/>
        <v>891.550000000047</v>
      </c>
      <c r="L471" s="22">
        <f t="shared" si="37"/>
        <v>299.550000000047</v>
      </c>
      <c r="M471" s="22" cm="1">
        <f ca="1" t="array" ref="M471">SUMPRODUCT(--(WEEKDAY(ROW(INDIRECT(INT(F471)&amp;":"&amp;INT(I471))),2)&gt;5))</f>
        <v>10</v>
      </c>
      <c r="N471" s="22">
        <f ca="1" t="shared" si="38"/>
        <v>219.550000000047</v>
      </c>
      <c r="O471" s="22" t="str">
        <f ca="1" t="shared" si="39"/>
        <v>SLA Violated</v>
      </c>
      <c r="P471" s="23" t="s">
        <v>1983</v>
      </c>
      <c r="Q471" s="24" t="s">
        <v>28</v>
      </c>
      <c r="R471" s="25"/>
      <c r="S471" s="25"/>
    </row>
    <row r="472" ht="39" customHeight="1" spans="1:19">
      <c r="A472" s="19" t="s">
        <v>1984</v>
      </c>
      <c r="B472" s="20" t="s">
        <v>19</v>
      </c>
      <c r="C472" s="20" t="s">
        <v>20</v>
      </c>
      <c r="D472" s="20" t="s">
        <v>32</v>
      </c>
      <c r="E472" s="21" t="s">
        <v>1985</v>
      </c>
      <c r="F472" s="21" t="s">
        <v>1986</v>
      </c>
      <c r="G472" s="20" t="s">
        <v>35</v>
      </c>
      <c r="H472" s="20" t="s">
        <v>25</v>
      </c>
      <c r="I472" s="21" t="s">
        <v>1987</v>
      </c>
      <c r="J472" s="22">
        <f t="shared" si="35"/>
        <v>22.9145833333314</v>
      </c>
      <c r="K472" s="22">
        <f t="shared" si="36"/>
        <v>549.949999999953</v>
      </c>
      <c r="L472" s="22">
        <f t="shared" si="37"/>
        <v>181.949999999953</v>
      </c>
      <c r="M472" s="22" cm="1">
        <f ca="1" t="array" ref="M472">SUMPRODUCT(--(WEEKDAY(ROW(INDIRECT(INT(F472)&amp;":"&amp;INT(I472))),2)&gt;5))</f>
        <v>6</v>
      </c>
      <c r="N472" s="22">
        <f ca="1" t="shared" si="38"/>
        <v>133.949999999953</v>
      </c>
      <c r="O472" s="22" t="str">
        <f ca="1" t="shared" si="39"/>
        <v>SLA Violated</v>
      </c>
      <c r="P472" s="23" t="s">
        <v>1988</v>
      </c>
      <c r="Q472" s="24" t="s">
        <v>28</v>
      </c>
      <c r="R472" s="25"/>
      <c r="S472" s="25"/>
    </row>
    <row r="473" ht="27" customHeight="1" spans="1:19">
      <c r="A473" s="19" t="s">
        <v>1989</v>
      </c>
      <c r="B473" s="20" t="s">
        <v>30</v>
      </c>
      <c r="C473" s="20" t="s">
        <v>31</v>
      </c>
      <c r="D473" s="20" t="s">
        <v>32</v>
      </c>
      <c r="E473" s="21" t="s">
        <v>1990</v>
      </c>
      <c r="F473" s="21" t="s">
        <v>1991</v>
      </c>
      <c r="G473" s="20" t="s">
        <v>35</v>
      </c>
      <c r="H473" s="20" t="s">
        <v>25</v>
      </c>
      <c r="I473" s="21" t="s">
        <v>1992</v>
      </c>
      <c r="J473" s="22">
        <f t="shared" si="35"/>
        <v>1.01527777777665</v>
      </c>
      <c r="K473" s="22">
        <f t="shared" si="36"/>
        <v>24.3666666666395</v>
      </c>
      <c r="L473" s="22">
        <f t="shared" si="37"/>
        <v>8.3666666666395</v>
      </c>
      <c r="M473" s="22" cm="1">
        <f ca="1" t="array" ref="M473">SUMPRODUCT(--(WEEKDAY(ROW(INDIRECT(INT(F473)&amp;":"&amp;INT(I473))),2)&gt;5))</f>
        <v>0</v>
      </c>
      <c r="N473" s="22">
        <f ca="1" t="shared" si="38"/>
        <v>8.3666666666395</v>
      </c>
      <c r="O473" s="22" t="str">
        <f ca="1" t="shared" si="39"/>
        <v>Within SLA</v>
      </c>
      <c r="P473" s="26" t="s">
        <v>1989</v>
      </c>
      <c r="Q473" s="24" t="s">
        <v>37</v>
      </c>
      <c r="R473" s="25"/>
      <c r="S473" s="25"/>
    </row>
    <row r="474" ht="39" customHeight="1" spans="1:19">
      <c r="A474" s="19" t="s">
        <v>1993</v>
      </c>
      <c r="B474" s="20" t="s">
        <v>19</v>
      </c>
      <c r="C474" s="20" t="s">
        <v>20</v>
      </c>
      <c r="D474" s="20" t="s">
        <v>32</v>
      </c>
      <c r="E474" s="21" t="s">
        <v>1994</v>
      </c>
      <c r="F474" s="21" t="s">
        <v>1995</v>
      </c>
      <c r="G474" s="20" t="s">
        <v>35</v>
      </c>
      <c r="H474" s="20" t="s">
        <v>25</v>
      </c>
      <c r="I474" s="21" t="s">
        <v>1996</v>
      </c>
      <c r="J474" s="22">
        <f t="shared" si="35"/>
        <v>15.2347222222161</v>
      </c>
      <c r="K474" s="22">
        <f t="shared" si="36"/>
        <v>365.633333333186</v>
      </c>
      <c r="L474" s="22">
        <f t="shared" si="37"/>
        <v>125.633333333186</v>
      </c>
      <c r="M474" s="22" cm="1">
        <f ca="1" t="array" ref="M474">SUMPRODUCT(--(WEEKDAY(ROW(INDIRECT(INT(F474)&amp;":"&amp;INT(I474))),2)&gt;5))</f>
        <v>4</v>
      </c>
      <c r="N474" s="22">
        <f ca="1" t="shared" si="38"/>
        <v>93.633333333186</v>
      </c>
      <c r="O474" s="22" t="str">
        <f ca="1" t="shared" si="39"/>
        <v>SLA Violated</v>
      </c>
      <c r="P474" s="23" t="s">
        <v>1997</v>
      </c>
      <c r="Q474" s="24" t="s">
        <v>28</v>
      </c>
      <c r="R474" s="25"/>
      <c r="S474" s="25"/>
    </row>
    <row r="475" ht="39" customHeight="1" spans="1:19">
      <c r="A475" s="19" t="s">
        <v>1998</v>
      </c>
      <c r="B475" s="20" t="s">
        <v>19</v>
      </c>
      <c r="C475" s="20" t="s">
        <v>20</v>
      </c>
      <c r="D475" s="20" t="s">
        <v>21</v>
      </c>
      <c r="E475" s="21" t="s">
        <v>1999</v>
      </c>
      <c r="F475" s="21" t="s">
        <v>2000</v>
      </c>
      <c r="G475" s="20" t="s">
        <v>35</v>
      </c>
      <c r="H475" s="20" t="s">
        <v>25</v>
      </c>
      <c r="I475" s="21" t="s">
        <v>2001</v>
      </c>
      <c r="J475" s="22">
        <f t="shared" si="35"/>
        <v>6.16736111111095</v>
      </c>
      <c r="K475" s="22">
        <f t="shared" si="36"/>
        <v>148.016666666663</v>
      </c>
      <c r="L475" s="22">
        <f t="shared" si="37"/>
        <v>52.0166666666628</v>
      </c>
      <c r="M475" s="22" cm="1">
        <f ca="1" t="array" ref="M475">SUMPRODUCT(--(WEEKDAY(ROW(INDIRECT(INT(F475)&amp;":"&amp;INT(I475))),2)&gt;5))</f>
        <v>2</v>
      </c>
      <c r="N475" s="22">
        <f ca="1" t="shared" si="38"/>
        <v>36.0166666666628</v>
      </c>
      <c r="O475" s="22" t="str">
        <f ca="1" t="shared" si="39"/>
        <v>SLA Violated</v>
      </c>
      <c r="P475" s="23" t="s">
        <v>2002</v>
      </c>
      <c r="Q475" s="24" t="s">
        <v>28</v>
      </c>
      <c r="R475" s="25"/>
      <c r="S475" s="25"/>
    </row>
    <row r="476" ht="27" customHeight="1" spans="1:19">
      <c r="A476" s="19" t="s">
        <v>2003</v>
      </c>
      <c r="B476" s="20" t="s">
        <v>30</v>
      </c>
      <c r="C476" s="20" t="s">
        <v>46</v>
      </c>
      <c r="D476" s="20" t="s">
        <v>32</v>
      </c>
      <c r="E476" s="21" t="s">
        <v>2004</v>
      </c>
      <c r="F476" s="21" t="s">
        <v>2005</v>
      </c>
      <c r="G476" s="20" t="s">
        <v>35</v>
      </c>
      <c r="H476" s="20" t="s">
        <v>25</v>
      </c>
      <c r="I476" s="21" t="s">
        <v>2006</v>
      </c>
      <c r="J476" s="22">
        <f t="shared" si="35"/>
        <v>0.277777777773736</v>
      </c>
      <c r="K476" s="22">
        <f t="shared" si="36"/>
        <v>6.66666666656965</v>
      </c>
      <c r="L476" s="22">
        <f t="shared" si="37"/>
        <v>6.66666666656965</v>
      </c>
      <c r="M476" s="22" cm="1">
        <f ca="1" t="array" ref="M476">SUMPRODUCT(--(WEEKDAY(ROW(INDIRECT(INT(F476)&amp;":"&amp;INT(I476))),2)&gt;5))</f>
        <v>0</v>
      </c>
      <c r="N476" s="22">
        <f ca="1" t="shared" si="38"/>
        <v>6.66666666656965</v>
      </c>
      <c r="O476" s="22" t="str">
        <f ca="1" t="shared" si="39"/>
        <v>Within SLA</v>
      </c>
      <c r="P476" s="26" t="s">
        <v>2003</v>
      </c>
      <c r="Q476" s="24" t="s">
        <v>37</v>
      </c>
      <c r="R476" s="25"/>
      <c r="S476" s="25"/>
    </row>
    <row r="477" ht="27" customHeight="1" spans="1:19">
      <c r="A477" s="19" t="s">
        <v>2007</v>
      </c>
      <c r="B477" s="20" t="s">
        <v>30</v>
      </c>
      <c r="C477" s="20" t="s">
        <v>863</v>
      </c>
      <c r="D477" s="20" t="s">
        <v>32</v>
      </c>
      <c r="E477" s="21" t="s">
        <v>2004</v>
      </c>
      <c r="F477" s="21" t="s">
        <v>2008</v>
      </c>
      <c r="G477" s="20" t="s">
        <v>35</v>
      </c>
      <c r="H477" s="20" t="s">
        <v>25</v>
      </c>
      <c r="I477" s="21" t="s">
        <v>2009</v>
      </c>
      <c r="J477" s="22">
        <f t="shared" si="35"/>
        <v>0.160416666665697</v>
      </c>
      <c r="K477" s="22">
        <f t="shared" si="36"/>
        <v>3.84999999997672</v>
      </c>
      <c r="L477" s="22">
        <f t="shared" si="37"/>
        <v>3.84999999997672</v>
      </c>
      <c r="M477" s="22" cm="1">
        <f ca="1" t="array" ref="M477">SUMPRODUCT(--(WEEKDAY(ROW(INDIRECT(INT(F477)&amp;":"&amp;INT(I477))),2)&gt;5))</f>
        <v>0</v>
      </c>
      <c r="N477" s="22">
        <f ca="1" t="shared" si="38"/>
        <v>3.84999999997672</v>
      </c>
      <c r="O477" s="22" t="str">
        <f ca="1" t="shared" si="39"/>
        <v>Within SLA</v>
      </c>
      <c r="P477" s="26" t="s">
        <v>2007</v>
      </c>
      <c r="Q477" s="24" t="s">
        <v>37</v>
      </c>
      <c r="R477" s="25"/>
      <c r="S477" s="25"/>
    </row>
    <row r="478" ht="39" customHeight="1" spans="1:19">
      <c r="A478" s="19" t="s">
        <v>2010</v>
      </c>
      <c r="B478" s="20" t="s">
        <v>19</v>
      </c>
      <c r="C478" s="20" t="s">
        <v>863</v>
      </c>
      <c r="D478" s="20" t="s">
        <v>105</v>
      </c>
      <c r="E478" s="21" t="s">
        <v>2011</v>
      </c>
      <c r="F478" s="21" t="s">
        <v>2012</v>
      </c>
      <c r="G478" s="20" t="s">
        <v>35</v>
      </c>
      <c r="H478" s="20" t="s">
        <v>25</v>
      </c>
      <c r="I478" s="21" t="s">
        <v>2013</v>
      </c>
      <c r="J478" s="22">
        <f t="shared" si="35"/>
        <v>0.212500000001455</v>
      </c>
      <c r="K478" s="22">
        <f t="shared" si="36"/>
        <v>5.10000000003492</v>
      </c>
      <c r="L478" s="22">
        <f t="shared" si="37"/>
        <v>5.10000000003492</v>
      </c>
      <c r="M478" s="22" cm="1">
        <f ca="1" t="array" ref="M478">SUMPRODUCT(--(WEEKDAY(ROW(INDIRECT(INT(F478)&amp;":"&amp;INT(I478))),2)&gt;5))</f>
        <v>0</v>
      </c>
      <c r="N478" s="22">
        <f ca="1" t="shared" si="38"/>
        <v>5.10000000003492</v>
      </c>
      <c r="O478" s="22" t="str">
        <f ca="1" t="shared" si="39"/>
        <v>Within SLA</v>
      </c>
      <c r="P478" s="26" t="s">
        <v>2010</v>
      </c>
      <c r="Q478" s="24" t="s">
        <v>37</v>
      </c>
      <c r="R478" s="25"/>
      <c r="S478" s="25"/>
    </row>
    <row r="479" ht="39" customHeight="1" spans="1:19">
      <c r="A479" s="19" t="s">
        <v>2014</v>
      </c>
      <c r="B479" s="20" t="s">
        <v>702</v>
      </c>
      <c r="C479" s="20" t="s">
        <v>863</v>
      </c>
      <c r="D479" s="20" t="s">
        <v>32</v>
      </c>
      <c r="E479" s="21" t="s">
        <v>2015</v>
      </c>
      <c r="F479" s="21" t="s">
        <v>2016</v>
      </c>
      <c r="G479" s="20" t="s">
        <v>35</v>
      </c>
      <c r="H479" s="20" t="s">
        <v>25</v>
      </c>
      <c r="I479" s="21" t="s">
        <v>2017</v>
      </c>
      <c r="J479" s="22">
        <f t="shared" si="35"/>
        <v>0.140277777776646</v>
      </c>
      <c r="K479" s="22">
        <f t="shared" si="36"/>
        <v>3.3666666666395</v>
      </c>
      <c r="L479" s="22">
        <f t="shared" si="37"/>
        <v>3.3666666666395</v>
      </c>
      <c r="M479" s="22" cm="1">
        <f ca="1" t="array" ref="M479">SUMPRODUCT(--(WEEKDAY(ROW(INDIRECT(INT(F479)&amp;":"&amp;INT(I479))),2)&gt;5))</f>
        <v>0</v>
      </c>
      <c r="N479" s="22">
        <f ca="1" t="shared" si="38"/>
        <v>3.3666666666395</v>
      </c>
      <c r="O479" s="22" t="str">
        <f ca="1" t="shared" si="39"/>
        <v>Within SLA</v>
      </c>
      <c r="P479" s="26" t="s">
        <v>2014</v>
      </c>
      <c r="Q479" s="24" t="s">
        <v>37</v>
      </c>
      <c r="R479" s="25"/>
      <c r="S479" s="25"/>
    </row>
    <row r="480" ht="27" customHeight="1" spans="1:19">
      <c r="A480" s="28" t="s">
        <v>2018</v>
      </c>
      <c r="B480" s="20" t="s">
        <v>30</v>
      </c>
      <c r="C480" s="20" t="s">
        <v>20</v>
      </c>
      <c r="D480" s="20" t="s">
        <v>32</v>
      </c>
      <c r="E480" s="21" t="s">
        <v>2019</v>
      </c>
      <c r="F480" s="21" t="s">
        <v>2020</v>
      </c>
      <c r="G480" s="20" t="s">
        <v>24</v>
      </c>
      <c r="H480" s="20" t="s">
        <v>25</v>
      </c>
      <c r="I480" s="21" t="s">
        <v>2001</v>
      </c>
      <c r="J480" s="22">
        <f t="shared" si="35"/>
        <v>3.05208333333576</v>
      </c>
      <c r="K480" s="22">
        <f t="shared" si="36"/>
        <v>73.2500000000582</v>
      </c>
      <c r="L480" s="22">
        <f t="shared" si="37"/>
        <v>25.2500000000582</v>
      </c>
      <c r="M480" s="22" cm="1">
        <f ca="1" t="array" ref="M480">SUMPRODUCT(--(WEEKDAY(ROW(INDIRECT(INT(F480)&amp;":"&amp;INT(I480))),2)&gt;5))</f>
        <v>0</v>
      </c>
      <c r="N480" s="22">
        <f ca="1" t="shared" si="38"/>
        <v>25.2500000000582</v>
      </c>
      <c r="O480" s="22" t="str">
        <f ca="1" t="shared" si="39"/>
        <v>SLA Violated</v>
      </c>
      <c r="P480" s="23" t="s">
        <v>2018</v>
      </c>
      <c r="Q480" s="24" t="s">
        <v>28</v>
      </c>
      <c r="R480" s="25"/>
      <c r="S480" s="25"/>
    </row>
    <row r="481" ht="39" customHeight="1" spans="1:19">
      <c r="A481" s="19" t="s">
        <v>2021</v>
      </c>
      <c r="B481" s="20" t="s">
        <v>19</v>
      </c>
      <c r="C481" s="20" t="s">
        <v>20</v>
      </c>
      <c r="D481" s="20" t="s">
        <v>105</v>
      </c>
      <c r="E481" s="21" t="s">
        <v>2022</v>
      </c>
      <c r="F481" s="21" t="s">
        <v>2023</v>
      </c>
      <c r="G481" s="20" t="s">
        <v>35</v>
      </c>
      <c r="H481" s="20" t="s">
        <v>25</v>
      </c>
      <c r="I481" s="21" t="s">
        <v>2024</v>
      </c>
      <c r="J481" s="22">
        <f t="shared" si="35"/>
        <v>9.3166666666657</v>
      </c>
      <c r="K481" s="22">
        <f t="shared" si="36"/>
        <v>223.599999999977</v>
      </c>
      <c r="L481" s="22">
        <f t="shared" si="37"/>
        <v>79.5999999999767</v>
      </c>
      <c r="M481" s="22" cm="1">
        <f ca="1" t="array" ref="M481">SUMPRODUCT(--(WEEKDAY(ROW(INDIRECT(INT(F481)&amp;":"&amp;INT(I481))),2)&gt;5))</f>
        <v>2</v>
      </c>
      <c r="N481" s="22">
        <f ca="1" t="shared" si="38"/>
        <v>63.5999999999767</v>
      </c>
      <c r="O481" s="22" t="str">
        <f ca="1" t="shared" si="39"/>
        <v>SLA Violated</v>
      </c>
      <c r="P481" s="23" t="s">
        <v>2025</v>
      </c>
      <c r="Q481" s="24" t="s">
        <v>28</v>
      </c>
      <c r="R481" s="25"/>
      <c r="S481" s="25"/>
    </row>
    <row r="482" ht="39" customHeight="1" spans="1:19">
      <c r="A482" s="19" t="s">
        <v>2026</v>
      </c>
      <c r="B482" s="20" t="s">
        <v>19</v>
      </c>
      <c r="C482" s="20" t="s">
        <v>20</v>
      </c>
      <c r="D482" s="20" t="s">
        <v>32</v>
      </c>
      <c r="E482" s="21" t="s">
        <v>2027</v>
      </c>
      <c r="F482" s="21" t="s">
        <v>2028</v>
      </c>
      <c r="G482" s="20" t="s">
        <v>35</v>
      </c>
      <c r="H482" s="20" t="s">
        <v>25</v>
      </c>
      <c r="I482" s="21" t="s">
        <v>2001</v>
      </c>
      <c r="J482" s="22">
        <f t="shared" si="35"/>
        <v>28.0562500000015</v>
      </c>
      <c r="K482" s="22">
        <f t="shared" si="36"/>
        <v>673.350000000035</v>
      </c>
      <c r="L482" s="22">
        <f t="shared" si="37"/>
        <v>225.350000000035</v>
      </c>
      <c r="M482" s="22" cm="1">
        <f ca="1" t="array" ref="M482">SUMPRODUCT(--(WEEKDAY(ROW(INDIRECT(INT(F482)&amp;":"&amp;INT(I482))),2)&gt;5))</f>
        <v>8</v>
      </c>
      <c r="N482" s="22">
        <f ca="1" t="shared" si="38"/>
        <v>161.350000000035</v>
      </c>
      <c r="O482" s="22" t="str">
        <f ca="1" t="shared" si="39"/>
        <v>SLA Violated</v>
      </c>
      <c r="P482" s="23" t="s">
        <v>2029</v>
      </c>
      <c r="Q482" s="24" t="s">
        <v>28</v>
      </c>
      <c r="R482" s="25"/>
      <c r="S482" s="25"/>
    </row>
    <row r="483" ht="27" customHeight="1" spans="1:19">
      <c r="A483" s="19" t="s">
        <v>2030</v>
      </c>
      <c r="B483" s="20" t="s">
        <v>30</v>
      </c>
      <c r="C483" s="20" t="s">
        <v>1935</v>
      </c>
      <c r="D483" s="20" t="s">
        <v>32</v>
      </c>
      <c r="E483" s="21" t="s">
        <v>2031</v>
      </c>
      <c r="F483" s="21" t="s">
        <v>2032</v>
      </c>
      <c r="G483" s="20" t="s">
        <v>24</v>
      </c>
      <c r="H483" s="20" t="s">
        <v>25</v>
      </c>
      <c r="I483" s="21" t="s">
        <v>2001</v>
      </c>
      <c r="J483" s="22">
        <f t="shared" si="35"/>
        <v>15.9819444444438</v>
      </c>
      <c r="K483" s="22">
        <f t="shared" si="36"/>
        <v>383.566666666651</v>
      </c>
      <c r="L483" s="22">
        <f t="shared" si="37"/>
        <v>127.566666666651</v>
      </c>
      <c r="M483" s="22" cm="1">
        <f ca="1" t="array" ref="M483">SUMPRODUCT(--(WEEKDAY(ROW(INDIRECT(INT(F483)&amp;":"&amp;INT(I483))),2)&gt;5))</f>
        <v>4</v>
      </c>
      <c r="N483" s="22">
        <f ca="1" t="shared" si="38"/>
        <v>95.566666666651</v>
      </c>
      <c r="O483" s="22" t="str">
        <f ca="1" t="shared" si="39"/>
        <v>SLA Violated</v>
      </c>
      <c r="P483" s="26" t="s">
        <v>2030</v>
      </c>
      <c r="Q483" s="24" t="s">
        <v>37</v>
      </c>
      <c r="R483" s="6" t="s">
        <v>2033</v>
      </c>
      <c r="S483" s="25" t="s">
        <v>39</v>
      </c>
    </row>
    <row r="484" ht="27" customHeight="1" spans="1:19">
      <c r="A484" s="19" t="s">
        <v>2034</v>
      </c>
      <c r="B484" s="20" t="s">
        <v>30</v>
      </c>
      <c r="C484" s="20" t="s">
        <v>863</v>
      </c>
      <c r="D484" s="20" t="s">
        <v>32</v>
      </c>
      <c r="E484" s="21" t="s">
        <v>2035</v>
      </c>
      <c r="F484" s="21" t="s">
        <v>2036</v>
      </c>
      <c r="G484" s="20" t="s">
        <v>35</v>
      </c>
      <c r="H484" s="20" t="s">
        <v>25</v>
      </c>
      <c r="I484" s="21" t="s">
        <v>2037</v>
      </c>
      <c r="J484" s="22">
        <f t="shared" si="35"/>
        <v>0.271527777775191</v>
      </c>
      <c r="K484" s="22">
        <f t="shared" si="36"/>
        <v>6.51666666660458</v>
      </c>
      <c r="L484" s="22">
        <f t="shared" si="37"/>
        <v>6.51666666660458</v>
      </c>
      <c r="M484" s="22" cm="1">
        <f ca="1" t="array" ref="M484">SUMPRODUCT(--(WEEKDAY(ROW(INDIRECT(INT(F484)&amp;":"&amp;INT(I484))),2)&gt;5))</f>
        <v>0</v>
      </c>
      <c r="N484" s="22">
        <f ca="1" t="shared" si="38"/>
        <v>6.51666666660458</v>
      </c>
      <c r="O484" s="22" t="str">
        <f ca="1" t="shared" si="39"/>
        <v>Within SLA</v>
      </c>
      <c r="P484" s="26" t="s">
        <v>2034</v>
      </c>
      <c r="Q484" s="24" t="s">
        <v>37</v>
      </c>
      <c r="R484" s="25"/>
      <c r="S484" s="25"/>
    </row>
    <row r="485" ht="27" customHeight="1" spans="1:19">
      <c r="A485" s="19" t="s">
        <v>2038</v>
      </c>
      <c r="B485" s="20" t="s">
        <v>30</v>
      </c>
      <c r="C485" s="20" t="s">
        <v>31</v>
      </c>
      <c r="D485" s="20" t="s">
        <v>32</v>
      </c>
      <c r="E485" s="21" t="s">
        <v>2039</v>
      </c>
      <c r="F485" s="21" t="s">
        <v>2040</v>
      </c>
      <c r="G485" s="20" t="s">
        <v>35</v>
      </c>
      <c r="H485" s="20" t="s">
        <v>25</v>
      </c>
      <c r="I485" s="21" t="s">
        <v>2041</v>
      </c>
      <c r="J485" s="22">
        <f t="shared" si="35"/>
        <v>0.988194444442343</v>
      </c>
      <c r="K485" s="22">
        <f t="shared" si="36"/>
        <v>23.7166666666162</v>
      </c>
      <c r="L485" s="22">
        <f t="shared" si="37"/>
        <v>7.71666666661622</v>
      </c>
      <c r="M485" s="22" cm="1">
        <f ca="1" t="array" ref="M485">SUMPRODUCT(--(WEEKDAY(ROW(INDIRECT(INT(F485)&amp;":"&amp;INT(I485))),2)&gt;5))</f>
        <v>0</v>
      </c>
      <c r="N485" s="22">
        <f ca="1" t="shared" si="38"/>
        <v>7.71666666661622</v>
      </c>
      <c r="O485" s="22" t="str">
        <f ca="1" t="shared" si="39"/>
        <v>Within SLA</v>
      </c>
      <c r="P485" s="26" t="s">
        <v>2038</v>
      </c>
      <c r="Q485" s="24" t="s">
        <v>37</v>
      </c>
      <c r="R485" s="25"/>
      <c r="S485" s="25"/>
    </row>
    <row r="486" ht="39" customHeight="1" spans="1:19">
      <c r="A486" s="19" t="s">
        <v>2042</v>
      </c>
      <c r="B486" s="20" t="s">
        <v>725</v>
      </c>
      <c r="C486" s="20" t="s">
        <v>46</v>
      </c>
      <c r="D486" s="20" t="s">
        <v>32</v>
      </c>
      <c r="E486" s="21" t="s">
        <v>2043</v>
      </c>
      <c r="F486" s="21" t="s">
        <v>2044</v>
      </c>
      <c r="G486" s="20" t="s">
        <v>35</v>
      </c>
      <c r="H486" s="20" t="s">
        <v>25</v>
      </c>
      <c r="I486" s="21" t="s">
        <v>2045</v>
      </c>
      <c r="J486" s="22">
        <f t="shared" si="35"/>
        <v>0.917361111110949</v>
      </c>
      <c r="K486" s="22">
        <f t="shared" si="36"/>
        <v>22.0166666666628</v>
      </c>
      <c r="L486" s="22">
        <f t="shared" si="37"/>
        <v>6.01666666666279</v>
      </c>
      <c r="M486" s="22" cm="1">
        <f ca="1" t="array" ref="M486">SUMPRODUCT(--(WEEKDAY(ROW(INDIRECT(INT(F486)&amp;":"&amp;INT(I486))),2)&gt;5))</f>
        <v>0</v>
      </c>
      <c r="N486" s="22">
        <f ca="1" t="shared" si="38"/>
        <v>6.01666666666279</v>
      </c>
      <c r="O486" s="22" t="str">
        <f ca="1" t="shared" si="39"/>
        <v>Within SLA</v>
      </c>
      <c r="P486" s="26" t="s">
        <v>2042</v>
      </c>
      <c r="Q486" s="24" t="s">
        <v>37</v>
      </c>
      <c r="R486" s="25"/>
      <c r="S486" s="25"/>
    </row>
    <row r="487" ht="39" customHeight="1" spans="1:19">
      <c r="A487" s="19" t="s">
        <v>2046</v>
      </c>
      <c r="B487" s="20" t="s">
        <v>19</v>
      </c>
      <c r="C487" s="20" t="s">
        <v>167</v>
      </c>
      <c r="D487" s="20" t="s">
        <v>32</v>
      </c>
      <c r="E487" s="21" t="s">
        <v>2047</v>
      </c>
      <c r="F487" s="21" t="s">
        <v>2048</v>
      </c>
      <c r="G487" s="20" t="s">
        <v>35</v>
      </c>
      <c r="H487" s="20" t="s">
        <v>25</v>
      </c>
      <c r="I487" s="21" t="s">
        <v>2049</v>
      </c>
      <c r="J487" s="22">
        <f t="shared" si="35"/>
        <v>0.0756944444437977</v>
      </c>
      <c r="K487" s="22">
        <f t="shared" si="36"/>
        <v>1.81666666665114</v>
      </c>
      <c r="L487" s="22">
        <f t="shared" si="37"/>
        <v>1.81666666665114</v>
      </c>
      <c r="M487" s="22" cm="1">
        <f ca="1" t="array" ref="M487">SUMPRODUCT(--(WEEKDAY(ROW(INDIRECT(INT(F487)&amp;":"&amp;INT(I487))),2)&gt;5))</f>
        <v>0</v>
      </c>
      <c r="N487" s="22">
        <f ca="1" t="shared" si="38"/>
        <v>1.81666666665114</v>
      </c>
      <c r="O487" s="22" t="str">
        <f ca="1" t="shared" si="39"/>
        <v>Within SLA</v>
      </c>
      <c r="P487" s="26" t="s">
        <v>2046</v>
      </c>
      <c r="Q487" s="24" t="s">
        <v>37</v>
      </c>
      <c r="R487" s="25"/>
      <c r="S487" s="25"/>
    </row>
    <row r="488" ht="39" customHeight="1" spans="1:19">
      <c r="A488" s="19" t="s">
        <v>2050</v>
      </c>
      <c r="B488" s="20" t="s">
        <v>19</v>
      </c>
      <c r="C488" s="20" t="s">
        <v>20</v>
      </c>
      <c r="D488" s="20" t="s">
        <v>21</v>
      </c>
      <c r="E488" s="21" t="s">
        <v>2051</v>
      </c>
      <c r="F488" s="21" t="s">
        <v>2052</v>
      </c>
      <c r="G488" s="20" t="s">
        <v>35</v>
      </c>
      <c r="H488" s="20" t="s">
        <v>25</v>
      </c>
      <c r="I488" s="21" t="s">
        <v>2006</v>
      </c>
      <c r="J488" s="22">
        <f t="shared" si="35"/>
        <v>0.000694444439432118</v>
      </c>
      <c r="K488" s="22">
        <f t="shared" si="36"/>
        <v>0.0166666665463708</v>
      </c>
      <c r="L488" s="22">
        <f t="shared" si="37"/>
        <v>0.0166666665463708</v>
      </c>
      <c r="M488" s="22" cm="1">
        <f ca="1" t="array" ref="M488">SUMPRODUCT(--(WEEKDAY(ROW(INDIRECT(INT(F488)&amp;":"&amp;INT(I488))),2)&gt;5))</f>
        <v>0</v>
      </c>
      <c r="N488" s="22">
        <f ca="1" t="shared" si="38"/>
        <v>0.0166666665463708</v>
      </c>
      <c r="O488" s="22" t="str">
        <f ca="1" t="shared" si="39"/>
        <v>Within SLA</v>
      </c>
      <c r="P488" s="26" t="s">
        <v>2050</v>
      </c>
      <c r="Q488" s="24" t="s">
        <v>37</v>
      </c>
      <c r="R488" s="25"/>
      <c r="S488" s="25"/>
    </row>
    <row r="489" ht="39" customHeight="1" spans="1:19">
      <c r="A489" s="19" t="s">
        <v>2053</v>
      </c>
      <c r="B489" s="20" t="s">
        <v>19</v>
      </c>
      <c r="C489" s="20" t="s">
        <v>20</v>
      </c>
      <c r="D489" s="20" t="s">
        <v>32</v>
      </c>
      <c r="E489" s="21" t="s">
        <v>2051</v>
      </c>
      <c r="F489" s="21" t="s">
        <v>2054</v>
      </c>
      <c r="G489" s="20" t="s">
        <v>35</v>
      </c>
      <c r="H489" s="20" t="s">
        <v>25</v>
      </c>
      <c r="I489" s="21" t="s">
        <v>2024</v>
      </c>
      <c r="J489" s="22">
        <f t="shared" si="35"/>
        <v>1.24305555555475</v>
      </c>
      <c r="K489" s="22">
        <f t="shared" si="36"/>
        <v>29.8333333333139</v>
      </c>
      <c r="L489" s="22">
        <f t="shared" si="37"/>
        <v>13.8333333333139</v>
      </c>
      <c r="M489" s="22" cm="1">
        <f ca="1" t="array" ref="M489">SUMPRODUCT(--(WEEKDAY(ROW(INDIRECT(INT(F489)&amp;":"&amp;INT(I489))),2)&gt;5))</f>
        <v>0</v>
      </c>
      <c r="N489" s="22">
        <f ca="1" t="shared" si="38"/>
        <v>13.8333333333139</v>
      </c>
      <c r="O489" s="22" t="str">
        <f ca="1" t="shared" si="39"/>
        <v>SLA Violated</v>
      </c>
      <c r="P489" s="23" t="s">
        <v>2055</v>
      </c>
      <c r="Q489" s="24" t="s">
        <v>37</v>
      </c>
      <c r="R489" s="25" t="s">
        <v>38</v>
      </c>
      <c r="S489" s="25" t="s">
        <v>39</v>
      </c>
    </row>
    <row r="490" ht="27" customHeight="1" spans="1:19">
      <c r="A490" s="19" t="s">
        <v>2056</v>
      </c>
      <c r="B490" s="20" t="s">
        <v>30</v>
      </c>
      <c r="C490" s="20" t="s">
        <v>2057</v>
      </c>
      <c r="D490" s="20" t="s">
        <v>32</v>
      </c>
      <c r="E490" s="21" t="s">
        <v>2058</v>
      </c>
      <c r="F490" s="21" t="s">
        <v>2059</v>
      </c>
      <c r="G490" s="20" t="s">
        <v>35</v>
      </c>
      <c r="H490" s="20" t="s">
        <v>25</v>
      </c>
      <c r="I490" s="21" t="s">
        <v>2041</v>
      </c>
      <c r="J490" s="22">
        <f t="shared" si="35"/>
        <v>29.0652777777723</v>
      </c>
      <c r="K490" s="22">
        <f t="shared" si="36"/>
        <v>697.566666666535</v>
      </c>
      <c r="L490" s="22">
        <f t="shared" si="37"/>
        <v>233.566666666535</v>
      </c>
      <c r="M490" s="22" cm="1">
        <f ca="1" t="array" ref="M490">SUMPRODUCT(--(WEEKDAY(ROW(INDIRECT(INT(F490)&amp;":"&amp;INT(I490))),2)&gt;5))</f>
        <v>8</v>
      </c>
      <c r="N490" s="22">
        <f ca="1" t="shared" si="38"/>
        <v>169.566666666535</v>
      </c>
      <c r="O490" s="22" t="str">
        <f ca="1" t="shared" si="39"/>
        <v>SLA Violated</v>
      </c>
      <c r="P490" s="23" t="s">
        <v>2060</v>
      </c>
      <c r="Q490" s="24" t="s">
        <v>28</v>
      </c>
      <c r="R490" s="25"/>
      <c r="S490" s="25"/>
    </row>
    <row r="491" ht="27" customHeight="1" spans="1:19">
      <c r="A491" s="19" t="s">
        <v>2061</v>
      </c>
      <c r="B491" s="20" t="s">
        <v>30</v>
      </c>
      <c r="C491" s="20" t="s">
        <v>1935</v>
      </c>
      <c r="D491" s="20" t="s">
        <v>32</v>
      </c>
      <c r="E491" s="21" t="s">
        <v>2062</v>
      </c>
      <c r="F491" s="21" t="s">
        <v>2063</v>
      </c>
      <c r="G491" s="20" t="s">
        <v>24</v>
      </c>
      <c r="H491" s="20" t="s">
        <v>25</v>
      </c>
      <c r="I491" s="21" t="s">
        <v>1424</v>
      </c>
      <c r="J491" s="22">
        <f t="shared" si="35"/>
        <v>0.845138888893416</v>
      </c>
      <c r="K491" s="22">
        <f t="shared" si="36"/>
        <v>20.283333333442</v>
      </c>
      <c r="L491" s="22">
        <f t="shared" si="37"/>
        <v>4.28333333344199</v>
      </c>
      <c r="M491" s="22" cm="1">
        <f ca="1" t="array" ref="M491">SUMPRODUCT(--(WEEKDAY(ROW(INDIRECT(INT(F491)&amp;":"&amp;INT(I491))),2)&gt;5))</f>
        <v>0</v>
      </c>
      <c r="N491" s="22">
        <f ca="1" t="shared" si="38"/>
        <v>4.28333333344199</v>
      </c>
      <c r="O491" s="22" t="str">
        <f ca="1" t="shared" si="39"/>
        <v>Within SLA</v>
      </c>
      <c r="P491" s="26" t="s">
        <v>2061</v>
      </c>
      <c r="Q491" s="24" t="s">
        <v>37</v>
      </c>
      <c r="R491" s="25"/>
      <c r="S491" s="25"/>
    </row>
    <row r="492" ht="39" customHeight="1" spans="1:19">
      <c r="A492" s="19" t="s">
        <v>2064</v>
      </c>
      <c r="B492" s="20" t="s">
        <v>19</v>
      </c>
      <c r="C492" s="20" t="s">
        <v>167</v>
      </c>
      <c r="D492" s="20" t="s">
        <v>32</v>
      </c>
      <c r="E492" s="21" t="s">
        <v>2065</v>
      </c>
      <c r="F492" s="21" t="s">
        <v>2006</v>
      </c>
      <c r="G492" s="20" t="s">
        <v>35</v>
      </c>
      <c r="H492" s="20" t="s">
        <v>25</v>
      </c>
      <c r="I492" s="21" t="s">
        <v>2066</v>
      </c>
      <c r="J492" s="22">
        <f t="shared" si="35"/>
        <v>0.83125000000291</v>
      </c>
      <c r="K492" s="22">
        <f t="shared" si="36"/>
        <v>19.9500000000698</v>
      </c>
      <c r="L492" s="22">
        <f t="shared" si="37"/>
        <v>3.95000000006985</v>
      </c>
      <c r="M492" s="22" cm="1">
        <f ca="1" t="array" ref="M492">SUMPRODUCT(--(WEEKDAY(ROW(INDIRECT(INT(F492)&amp;":"&amp;INT(I492))),2)&gt;5))</f>
        <v>0</v>
      </c>
      <c r="N492" s="22">
        <f ca="1" t="shared" si="38"/>
        <v>3.95000000006985</v>
      </c>
      <c r="O492" s="22" t="str">
        <f ca="1" t="shared" si="39"/>
        <v>Within SLA</v>
      </c>
      <c r="P492" s="26" t="s">
        <v>2064</v>
      </c>
      <c r="Q492" s="24" t="s">
        <v>37</v>
      </c>
      <c r="R492" s="25"/>
      <c r="S492" s="25"/>
    </row>
    <row r="493" ht="27" customHeight="1" spans="1:19">
      <c r="A493" s="19" t="s">
        <v>2067</v>
      </c>
      <c r="B493" s="20" t="s">
        <v>30</v>
      </c>
      <c r="C493" s="20" t="s">
        <v>1935</v>
      </c>
      <c r="D493" s="20" t="s">
        <v>32</v>
      </c>
      <c r="E493" s="21" t="s">
        <v>2068</v>
      </c>
      <c r="F493" s="21" t="s">
        <v>2069</v>
      </c>
      <c r="G493" s="20" t="s">
        <v>35</v>
      </c>
      <c r="H493" s="20" t="s">
        <v>25</v>
      </c>
      <c r="I493" s="21" t="s">
        <v>2070</v>
      </c>
      <c r="J493" s="22">
        <f t="shared" si="35"/>
        <v>0.0493055555562023</v>
      </c>
      <c r="K493" s="22">
        <f t="shared" si="36"/>
        <v>1.18333333334886</v>
      </c>
      <c r="L493" s="22">
        <f t="shared" si="37"/>
        <v>1.18333333334886</v>
      </c>
      <c r="M493" s="22" cm="1">
        <f ca="1" t="array" ref="M493">SUMPRODUCT(--(WEEKDAY(ROW(INDIRECT(INT(F493)&amp;":"&amp;INT(I493))),2)&gt;5))</f>
        <v>0</v>
      </c>
      <c r="N493" s="22">
        <f ca="1" t="shared" si="38"/>
        <v>1.18333333334886</v>
      </c>
      <c r="O493" s="22" t="str">
        <f ca="1" t="shared" si="39"/>
        <v>Within SLA</v>
      </c>
      <c r="P493" s="26" t="s">
        <v>2067</v>
      </c>
      <c r="Q493" s="24" t="s">
        <v>37</v>
      </c>
      <c r="R493" s="25"/>
      <c r="S493" s="25"/>
    </row>
    <row r="494" ht="27" customHeight="1" spans="1:19">
      <c r="A494" s="19" t="s">
        <v>2071</v>
      </c>
      <c r="B494" s="20" t="s">
        <v>30</v>
      </c>
      <c r="C494" s="20" t="s">
        <v>863</v>
      </c>
      <c r="D494" s="20" t="s">
        <v>32</v>
      </c>
      <c r="E494" s="21" t="s">
        <v>2072</v>
      </c>
      <c r="F494" s="21" t="s">
        <v>2073</v>
      </c>
      <c r="G494" s="20" t="s">
        <v>35</v>
      </c>
      <c r="H494" s="20" t="s">
        <v>25</v>
      </c>
      <c r="I494" s="21" t="s">
        <v>2074</v>
      </c>
      <c r="J494" s="22">
        <f t="shared" si="35"/>
        <v>0.0437499999970896</v>
      </c>
      <c r="K494" s="22">
        <f t="shared" si="36"/>
        <v>1.04999999993015</v>
      </c>
      <c r="L494" s="22">
        <f t="shared" si="37"/>
        <v>1.04999999993015</v>
      </c>
      <c r="M494" s="22" cm="1">
        <f ca="1" t="array" ref="M494">SUMPRODUCT(--(WEEKDAY(ROW(INDIRECT(INT(F494)&amp;":"&amp;INT(I494))),2)&gt;5))</f>
        <v>0</v>
      </c>
      <c r="N494" s="22">
        <f ca="1" t="shared" si="38"/>
        <v>1.04999999993015</v>
      </c>
      <c r="O494" s="22" t="str">
        <f ca="1" t="shared" si="39"/>
        <v>Within SLA</v>
      </c>
      <c r="P494" s="26" t="s">
        <v>2071</v>
      </c>
      <c r="Q494" s="24" t="s">
        <v>37</v>
      </c>
      <c r="R494" s="25"/>
      <c r="S494" s="25"/>
    </row>
    <row r="495" ht="27" customHeight="1" spans="1:19">
      <c r="A495" s="19" t="s">
        <v>2075</v>
      </c>
      <c r="B495" s="20" t="s">
        <v>30</v>
      </c>
      <c r="C495" s="20" t="s">
        <v>863</v>
      </c>
      <c r="D495" s="20" t="s">
        <v>32</v>
      </c>
      <c r="E495" s="21" t="s">
        <v>2076</v>
      </c>
      <c r="F495" s="21" t="s">
        <v>2077</v>
      </c>
      <c r="G495" s="20" t="s">
        <v>35</v>
      </c>
      <c r="H495" s="20" t="s">
        <v>25</v>
      </c>
      <c r="I495" s="21" t="s">
        <v>2078</v>
      </c>
      <c r="J495" s="22">
        <f t="shared" si="35"/>
        <v>0.0368055555518367</v>
      </c>
      <c r="K495" s="22">
        <f t="shared" si="36"/>
        <v>0.883333333244082</v>
      </c>
      <c r="L495" s="22">
        <f t="shared" si="37"/>
        <v>0.883333333244082</v>
      </c>
      <c r="M495" s="22" cm="1">
        <f ca="1" t="array" ref="M495">SUMPRODUCT(--(WEEKDAY(ROW(INDIRECT(INT(F495)&amp;":"&amp;INT(I495))),2)&gt;5))</f>
        <v>0</v>
      </c>
      <c r="N495" s="22">
        <f ca="1" t="shared" si="38"/>
        <v>0.883333333244082</v>
      </c>
      <c r="O495" s="22" t="str">
        <f ca="1" t="shared" si="39"/>
        <v>Within SLA</v>
      </c>
      <c r="P495" s="26" t="s">
        <v>2075</v>
      </c>
      <c r="Q495" s="24" t="s">
        <v>37</v>
      </c>
      <c r="R495" s="25"/>
      <c r="S495" s="25"/>
    </row>
    <row r="496" ht="39" customHeight="1" spans="1:19">
      <c r="A496" s="19" t="s">
        <v>2079</v>
      </c>
      <c r="B496" s="20" t="s">
        <v>19</v>
      </c>
      <c r="C496" s="20" t="s">
        <v>863</v>
      </c>
      <c r="D496" s="20" t="s">
        <v>32</v>
      </c>
      <c r="E496" s="21" t="s">
        <v>2080</v>
      </c>
      <c r="F496" s="21" t="s">
        <v>2081</v>
      </c>
      <c r="G496" s="20" t="s">
        <v>35</v>
      </c>
      <c r="H496" s="20" t="s">
        <v>25</v>
      </c>
      <c r="I496" s="21" t="s">
        <v>2082</v>
      </c>
      <c r="J496" s="22">
        <f t="shared" si="35"/>
        <v>0.107638888890506</v>
      </c>
      <c r="K496" s="22">
        <f t="shared" si="36"/>
        <v>2.58333333337214</v>
      </c>
      <c r="L496" s="22">
        <f t="shared" si="37"/>
        <v>2.58333333337214</v>
      </c>
      <c r="M496" s="22" cm="1">
        <f ca="1" t="array" ref="M496">SUMPRODUCT(--(WEEKDAY(ROW(INDIRECT(INT(F496)&amp;":"&amp;INT(I496))),2)&gt;5))</f>
        <v>0</v>
      </c>
      <c r="N496" s="22">
        <f ca="1" t="shared" si="38"/>
        <v>2.58333333337214</v>
      </c>
      <c r="O496" s="22" t="str">
        <f ca="1" t="shared" si="39"/>
        <v>Within SLA</v>
      </c>
      <c r="P496" s="26" t="s">
        <v>2079</v>
      </c>
      <c r="Q496" s="24" t="s">
        <v>37</v>
      </c>
      <c r="R496" s="25"/>
      <c r="S496" s="25"/>
    </row>
    <row r="497" ht="39" customHeight="1" spans="1:19">
      <c r="A497" s="19" t="s">
        <v>2083</v>
      </c>
      <c r="B497" s="20" t="s">
        <v>196</v>
      </c>
      <c r="C497" s="20" t="s">
        <v>1935</v>
      </c>
      <c r="D497" s="20" t="s">
        <v>21</v>
      </c>
      <c r="E497" s="21" t="s">
        <v>2084</v>
      </c>
      <c r="F497" s="21" t="s">
        <v>2085</v>
      </c>
      <c r="G497" s="20" t="s">
        <v>35</v>
      </c>
      <c r="H497" s="20" t="s">
        <v>25</v>
      </c>
      <c r="I497" s="21" t="s">
        <v>2045</v>
      </c>
      <c r="J497" s="22">
        <f t="shared" si="35"/>
        <v>0.0722222222248092</v>
      </c>
      <c r="K497" s="22">
        <f t="shared" si="36"/>
        <v>1.73333333339542</v>
      </c>
      <c r="L497" s="22">
        <f t="shared" si="37"/>
        <v>1.73333333339542</v>
      </c>
      <c r="M497" s="22" cm="1">
        <f ca="1" t="array" ref="M497">SUMPRODUCT(--(WEEKDAY(ROW(INDIRECT(INT(F497)&amp;":"&amp;INT(I497))),2)&gt;5))</f>
        <v>0</v>
      </c>
      <c r="N497" s="22">
        <f ca="1" t="shared" si="38"/>
        <v>1.73333333339542</v>
      </c>
      <c r="O497" s="22" t="str">
        <f ca="1" t="shared" si="39"/>
        <v>Within SLA</v>
      </c>
      <c r="P497" s="26" t="s">
        <v>2083</v>
      </c>
      <c r="Q497" s="24" t="s">
        <v>37</v>
      </c>
      <c r="R497" s="25"/>
      <c r="S497" s="25"/>
    </row>
    <row r="498" ht="27" customHeight="1" spans="1:19">
      <c r="A498" s="19" t="s">
        <v>2086</v>
      </c>
      <c r="B498" s="20" t="s">
        <v>30</v>
      </c>
      <c r="C498" s="20" t="s">
        <v>863</v>
      </c>
      <c r="D498" s="20" t="s">
        <v>32</v>
      </c>
      <c r="E498" s="21" t="s">
        <v>2045</v>
      </c>
      <c r="F498" s="21" t="s">
        <v>2087</v>
      </c>
      <c r="G498" s="20" t="s">
        <v>35</v>
      </c>
      <c r="H498" s="20" t="s">
        <v>25</v>
      </c>
      <c r="I498" s="21" t="s">
        <v>2088</v>
      </c>
      <c r="J498" s="22">
        <f t="shared" si="35"/>
        <v>0.0465277777839219</v>
      </c>
      <c r="K498" s="22">
        <f t="shared" si="36"/>
        <v>1.11666666681413</v>
      </c>
      <c r="L498" s="22">
        <f t="shared" si="37"/>
        <v>1.11666666681413</v>
      </c>
      <c r="M498" s="22" cm="1">
        <f ca="1" t="array" ref="M498">SUMPRODUCT(--(WEEKDAY(ROW(INDIRECT(INT(F498)&amp;":"&amp;INT(I498))),2)&gt;5))</f>
        <v>0</v>
      </c>
      <c r="N498" s="22">
        <f ca="1" t="shared" si="38"/>
        <v>1.11666666681413</v>
      </c>
      <c r="O498" s="22" t="str">
        <f ca="1" t="shared" si="39"/>
        <v>Within SLA</v>
      </c>
      <c r="P498" s="26" t="s">
        <v>2086</v>
      </c>
      <c r="Q498" s="24" t="s">
        <v>37</v>
      </c>
      <c r="R498" s="25"/>
      <c r="S498" s="25"/>
    </row>
    <row r="499" ht="39" customHeight="1" spans="1:19">
      <c r="A499" s="19" t="s">
        <v>2089</v>
      </c>
      <c r="B499" s="20" t="s">
        <v>19</v>
      </c>
      <c r="C499" s="20" t="s">
        <v>863</v>
      </c>
      <c r="D499" s="20" t="s">
        <v>32</v>
      </c>
      <c r="E499" s="21" t="s">
        <v>2090</v>
      </c>
      <c r="F499" s="21" t="s">
        <v>2091</v>
      </c>
      <c r="G499" s="20" t="s">
        <v>35</v>
      </c>
      <c r="H499" s="20" t="s">
        <v>25</v>
      </c>
      <c r="I499" s="21" t="s">
        <v>2092</v>
      </c>
      <c r="J499" s="22">
        <f t="shared" si="35"/>
        <v>0.0250000000014552</v>
      </c>
      <c r="K499" s="22">
        <f t="shared" si="36"/>
        <v>0.600000000034925</v>
      </c>
      <c r="L499" s="22">
        <f t="shared" si="37"/>
        <v>0.600000000034925</v>
      </c>
      <c r="M499" s="22" cm="1">
        <f ca="1" t="array" ref="M499">SUMPRODUCT(--(WEEKDAY(ROW(INDIRECT(INT(F499)&amp;":"&amp;INT(I499))),2)&gt;5))</f>
        <v>0</v>
      </c>
      <c r="N499" s="22">
        <f ca="1" t="shared" si="38"/>
        <v>0.600000000034925</v>
      </c>
      <c r="O499" s="22" t="str">
        <f ca="1" t="shared" si="39"/>
        <v>Within SLA</v>
      </c>
      <c r="P499" s="26" t="s">
        <v>2089</v>
      </c>
      <c r="Q499" s="24" t="s">
        <v>37</v>
      </c>
      <c r="R499" s="25"/>
      <c r="S499" s="25"/>
    </row>
    <row r="500" ht="27" customHeight="1" spans="1:19">
      <c r="A500" s="19" t="s">
        <v>2093</v>
      </c>
      <c r="B500" s="20" t="s">
        <v>30</v>
      </c>
      <c r="C500" s="20" t="s">
        <v>31</v>
      </c>
      <c r="D500" s="20" t="s">
        <v>32</v>
      </c>
      <c r="E500" s="21" t="s">
        <v>2094</v>
      </c>
      <c r="F500" s="21" t="s">
        <v>1443</v>
      </c>
      <c r="G500" s="20" t="s">
        <v>35</v>
      </c>
      <c r="H500" s="20" t="s">
        <v>25</v>
      </c>
      <c r="I500" s="21" t="s">
        <v>1978</v>
      </c>
      <c r="J500" s="22">
        <f t="shared" si="35"/>
        <v>2.80972222222044</v>
      </c>
      <c r="K500" s="22">
        <f t="shared" si="36"/>
        <v>67.4333333332906</v>
      </c>
      <c r="L500" s="22">
        <f t="shared" si="37"/>
        <v>19.4333333332906</v>
      </c>
      <c r="M500" s="22" cm="1">
        <f ca="1" t="array" ref="M500">SUMPRODUCT(--(WEEKDAY(ROW(INDIRECT(INT(F500)&amp;":"&amp;INT(I500))),2)&gt;5))</f>
        <v>0</v>
      </c>
      <c r="N500" s="22">
        <f ca="1" t="shared" si="38"/>
        <v>19.4333333332906</v>
      </c>
      <c r="O500" s="22" t="str">
        <f ca="1" t="shared" si="39"/>
        <v>SLA Violated</v>
      </c>
      <c r="P500" s="23" t="s">
        <v>2095</v>
      </c>
      <c r="Q500" s="24" t="s">
        <v>28</v>
      </c>
      <c r="R500" s="25"/>
      <c r="S500" s="25"/>
    </row>
    <row r="501" ht="39" customHeight="1" spans="1:19">
      <c r="A501" s="19" t="s">
        <v>2096</v>
      </c>
      <c r="B501" s="20" t="s">
        <v>19</v>
      </c>
      <c r="C501" s="20" t="s">
        <v>20</v>
      </c>
      <c r="D501" s="20" t="s">
        <v>21</v>
      </c>
      <c r="E501" s="21" t="s">
        <v>2012</v>
      </c>
      <c r="F501" s="21" t="s">
        <v>2097</v>
      </c>
      <c r="G501" s="20" t="s">
        <v>35</v>
      </c>
      <c r="H501" s="20" t="s">
        <v>25</v>
      </c>
      <c r="I501" s="21" t="s">
        <v>2098</v>
      </c>
      <c r="J501" s="22">
        <f t="shared" si="35"/>
        <v>16.3555555555577</v>
      </c>
      <c r="K501" s="22">
        <f t="shared" si="36"/>
        <v>392.533333333384</v>
      </c>
      <c r="L501" s="22">
        <f t="shared" si="37"/>
        <v>136.533333333384</v>
      </c>
      <c r="M501" s="22" cm="1">
        <f ca="1" t="array" ref="M501">SUMPRODUCT(--(WEEKDAY(ROW(INDIRECT(INT(F501)&amp;":"&amp;INT(I501))),2)&gt;5))</f>
        <v>4</v>
      </c>
      <c r="N501" s="22">
        <f ca="1" t="shared" si="38"/>
        <v>104.533333333384</v>
      </c>
      <c r="O501" s="22" t="str">
        <f ca="1" t="shared" si="39"/>
        <v>SLA Violated</v>
      </c>
      <c r="P501" s="23" t="s">
        <v>2099</v>
      </c>
      <c r="Q501" s="24" t="s">
        <v>28</v>
      </c>
      <c r="R501" s="25"/>
      <c r="S501" s="25"/>
    </row>
    <row r="502" ht="27" customHeight="1" spans="1:19">
      <c r="A502" s="19" t="s">
        <v>2100</v>
      </c>
      <c r="B502" s="20" t="s">
        <v>139</v>
      </c>
      <c r="C502" s="20" t="s">
        <v>1935</v>
      </c>
      <c r="D502" s="20" t="s">
        <v>21</v>
      </c>
      <c r="E502" s="21" t="s">
        <v>2101</v>
      </c>
      <c r="F502" s="21" t="s">
        <v>2102</v>
      </c>
      <c r="G502" s="20" t="s">
        <v>35</v>
      </c>
      <c r="H502" s="20" t="s">
        <v>25</v>
      </c>
      <c r="I502" s="21" t="s">
        <v>2103</v>
      </c>
      <c r="J502" s="22">
        <f t="shared" si="35"/>
        <v>0.78263888888614</v>
      </c>
      <c r="K502" s="22">
        <f t="shared" si="36"/>
        <v>18.7833333332674</v>
      </c>
      <c r="L502" s="22">
        <f t="shared" si="37"/>
        <v>2.78333333326736</v>
      </c>
      <c r="M502" s="22" cm="1">
        <f ca="1" t="array" ref="M502">SUMPRODUCT(--(WEEKDAY(ROW(INDIRECT(INT(F502)&amp;":"&amp;INT(I502))),2)&gt;5))</f>
        <v>0</v>
      </c>
      <c r="N502" s="22">
        <f ca="1" t="shared" si="38"/>
        <v>2.78333333326736</v>
      </c>
      <c r="O502" s="22" t="str">
        <f ca="1" t="shared" si="39"/>
        <v>Within SLA</v>
      </c>
      <c r="P502" s="26" t="s">
        <v>2100</v>
      </c>
      <c r="Q502" s="24" t="s">
        <v>37</v>
      </c>
      <c r="R502" s="25"/>
      <c r="S502" s="25"/>
    </row>
    <row r="503" ht="39" customHeight="1" spans="1:19">
      <c r="A503" s="19" t="s">
        <v>2104</v>
      </c>
      <c r="B503" s="20" t="s">
        <v>19</v>
      </c>
      <c r="C503" s="20" t="s">
        <v>20</v>
      </c>
      <c r="D503" s="20" t="s">
        <v>32</v>
      </c>
      <c r="E503" s="21" t="s">
        <v>2069</v>
      </c>
      <c r="F503" s="21" t="s">
        <v>2105</v>
      </c>
      <c r="G503" s="20" t="s">
        <v>35</v>
      </c>
      <c r="H503" s="20" t="s">
        <v>25</v>
      </c>
      <c r="I503" s="21" t="s">
        <v>2024</v>
      </c>
      <c r="J503" s="22">
        <f t="shared" si="35"/>
        <v>15.2284722222248</v>
      </c>
      <c r="K503" s="22">
        <f t="shared" si="36"/>
        <v>365.483333333395</v>
      </c>
      <c r="L503" s="22">
        <f t="shared" si="37"/>
        <v>125.483333333395</v>
      </c>
      <c r="M503" s="22" cm="1">
        <f ca="1" t="array" ref="M503">SUMPRODUCT(--(WEEKDAY(ROW(INDIRECT(INT(F503)&amp;":"&amp;INT(I503))),2)&gt;5))</f>
        <v>4</v>
      </c>
      <c r="N503" s="22">
        <f ca="1" t="shared" si="38"/>
        <v>93.483333333395</v>
      </c>
      <c r="O503" s="22" t="str">
        <f ca="1" t="shared" si="39"/>
        <v>SLA Violated</v>
      </c>
      <c r="P503" s="23" t="s">
        <v>2106</v>
      </c>
      <c r="Q503" s="24" t="s">
        <v>28</v>
      </c>
      <c r="R503" s="25"/>
      <c r="S503" s="25"/>
    </row>
    <row r="504" ht="39" customHeight="1" spans="1:19">
      <c r="A504" s="19" t="s">
        <v>2107</v>
      </c>
      <c r="B504" s="20" t="s">
        <v>19</v>
      </c>
      <c r="C504" s="20" t="s">
        <v>20</v>
      </c>
      <c r="D504" s="20" t="s">
        <v>32</v>
      </c>
      <c r="E504" s="21" t="s">
        <v>2108</v>
      </c>
      <c r="F504" s="21" t="s">
        <v>2109</v>
      </c>
      <c r="G504" s="20" t="s">
        <v>35</v>
      </c>
      <c r="H504" s="20" t="s">
        <v>25</v>
      </c>
      <c r="I504" s="21" t="s">
        <v>2098</v>
      </c>
      <c r="J504" s="22">
        <f t="shared" si="35"/>
        <v>28.0368055555591</v>
      </c>
      <c r="K504" s="22">
        <f t="shared" si="36"/>
        <v>672.883333333419</v>
      </c>
      <c r="L504" s="22">
        <f t="shared" si="37"/>
        <v>224.883333333419</v>
      </c>
      <c r="M504" s="22" cm="1">
        <f ca="1" t="array" ref="M504">SUMPRODUCT(--(WEEKDAY(ROW(INDIRECT(INT(F504)&amp;":"&amp;INT(I504))),2)&gt;5))</f>
        <v>8</v>
      </c>
      <c r="N504" s="22">
        <f ca="1" t="shared" si="38"/>
        <v>160.883333333419</v>
      </c>
      <c r="O504" s="22" t="str">
        <f ca="1" t="shared" si="39"/>
        <v>SLA Violated</v>
      </c>
      <c r="P504" s="23" t="s">
        <v>2110</v>
      </c>
      <c r="Q504" s="24" t="s">
        <v>28</v>
      </c>
      <c r="R504" s="25"/>
      <c r="S504" s="25"/>
    </row>
    <row r="505" ht="16" customHeight="1" spans="1:19">
      <c r="A505" s="28" t="s">
        <v>2111</v>
      </c>
      <c r="B505" s="20" t="s">
        <v>100</v>
      </c>
      <c r="C505" s="20" t="s">
        <v>101</v>
      </c>
      <c r="D505" s="20" t="s">
        <v>32</v>
      </c>
      <c r="E505" s="21" t="s">
        <v>2112</v>
      </c>
      <c r="F505" s="21" t="s">
        <v>2113</v>
      </c>
      <c r="G505" s="20" t="s">
        <v>35</v>
      </c>
      <c r="H505" s="20" t="s">
        <v>25</v>
      </c>
      <c r="I505" s="21" t="s">
        <v>2114</v>
      </c>
      <c r="J505" s="22">
        <f t="shared" si="35"/>
        <v>7.24583333332703</v>
      </c>
      <c r="K505" s="22">
        <f t="shared" si="36"/>
        <v>173.899999999849</v>
      </c>
      <c r="L505" s="22">
        <f t="shared" si="37"/>
        <v>61.8999999998487</v>
      </c>
      <c r="M505" s="22" cm="1">
        <f ca="1" t="array" ref="M505">SUMPRODUCT(--(WEEKDAY(ROW(INDIRECT(INT(F505)&amp;":"&amp;INT(I505))),2)&gt;5))</f>
        <v>2</v>
      </c>
      <c r="N505" s="22">
        <f ca="1" t="shared" si="38"/>
        <v>45.8999999998487</v>
      </c>
      <c r="O505" s="22" t="str">
        <f ca="1" t="shared" si="39"/>
        <v>SLA Violated</v>
      </c>
      <c r="P505" s="26" t="s">
        <v>2115</v>
      </c>
      <c r="Q505" s="24" t="s">
        <v>37</v>
      </c>
      <c r="R505" s="25" t="s">
        <v>2116</v>
      </c>
      <c r="S505" s="25" t="s">
        <v>1422</v>
      </c>
    </row>
    <row r="506" ht="16" customHeight="1" spans="1:19">
      <c r="A506" s="19" t="s">
        <v>2117</v>
      </c>
      <c r="B506" s="20" t="s">
        <v>100</v>
      </c>
      <c r="C506" s="20" t="s">
        <v>101</v>
      </c>
      <c r="D506" s="20" t="s">
        <v>32</v>
      </c>
      <c r="E506" s="21" t="s">
        <v>2085</v>
      </c>
      <c r="F506" s="21" t="s">
        <v>1996</v>
      </c>
      <c r="G506" s="20" t="s">
        <v>24</v>
      </c>
      <c r="H506" s="20" t="s">
        <v>25</v>
      </c>
      <c r="I506" s="21" t="s">
        <v>2118</v>
      </c>
      <c r="J506" s="22">
        <f t="shared" si="35"/>
        <v>0.0104166666715173</v>
      </c>
      <c r="K506" s="22">
        <f t="shared" si="36"/>
        <v>0.250000000116415</v>
      </c>
      <c r="L506" s="22">
        <f t="shared" si="37"/>
        <v>0.250000000116415</v>
      </c>
      <c r="M506" s="22" cm="1">
        <f ca="1" t="array" ref="M506">SUMPRODUCT(--(WEEKDAY(ROW(INDIRECT(INT(F506)&amp;":"&amp;INT(I506))),2)&gt;5))</f>
        <v>0</v>
      </c>
      <c r="N506" s="22">
        <f ca="1" t="shared" si="38"/>
        <v>0.250000000116415</v>
      </c>
      <c r="O506" s="22" t="str">
        <f ca="1" t="shared" si="39"/>
        <v>Within SLA</v>
      </c>
      <c r="P506" s="26" t="s">
        <v>2117</v>
      </c>
      <c r="Q506" s="24" t="s">
        <v>37</v>
      </c>
      <c r="R506" s="25"/>
      <c r="S506" s="25"/>
    </row>
    <row r="507" ht="39" customHeight="1" spans="1:19">
      <c r="A507" s="19" t="s">
        <v>2119</v>
      </c>
      <c r="B507" s="20" t="s">
        <v>19</v>
      </c>
      <c r="C507" s="20" t="s">
        <v>20</v>
      </c>
      <c r="D507" s="20" t="s">
        <v>32</v>
      </c>
      <c r="E507" s="21" t="s">
        <v>2120</v>
      </c>
      <c r="F507" s="21" t="s">
        <v>2121</v>
      </c>
      <c r="G507" s="20" t="s">
        <v>35</v>
      </c>
      <c r="H507" s="20" t="s">
        <v>25</v>
      </c>
      <c r="I507" s="21" t="s">
        <v>2098</v>
      </c>
      <c r="J507" s="22">
        <f t="shared" si="35"/>
        <v>0.0506944444423425</v>
      </c>
      <c r="K507" s="22">
        <f t="shared" si="36"/>
        <v>1.21666666661622</v>
      </c>
      <c r="L507" s="22">
        <f t="shared" si="37"/>
        <v>1.21666666661622</v>
      </c>
      <c r="M507" s="22" cm="1">
        <f ca="1" t="array" ref="M507">SUMPRODUCT(--(WEEKDAY(ROW(INDIRECT(INT(F507)&amp;":"&amp;INT(I507))),2)&gt;5))</f>
        <v>0</v>
      </c>
      <c r="N507" s="22">
        <f ca="1" t="shared" si="38"/>
        <v>1.21666666661622</v>
      </c>
      <c r="O507" s="22" t="str">
        <f ca="1" t="shared" si="39"/>
        <v>Within SLA</v>
      </c>
      <c r="P507" s="26" t="s">
        <v>2119</v>
      </c>
      <c r="Q507" s="24" t="s">
        <v>37</v>
      </c>
      <c r="R507" s="25"/>
      <c r="S507" s="25"/>
    </row>
    <row r="508" ht="27" customHeight="1" spans="1:19">
      <c r="A508" s="19" t="s">
        <v>2122</v>
      </c>
      <c r="B508" s="20" t="s">
        <v>30</v>
      </c>
      <c r="C508" s="20" t="s">
        <v>31</v>
      </c>
      <c r="D508" s="20" t="s">
        <v>32</v>
      </c>
      <c r="E508" s="21" t="s">
        <v>2123</v>
      </c>
      <c r="F508" s="21" t="s">
        <v>2124</v>
      </c>
      <c r="G508" s="20" t="s">
        <v>35</v>
      </c>
      <c r="H508" s="20" t="s">
        <v>25</v>
      </c>
      <c r="I508" s="21" t="s">
        <v>2114</v>
      </c>
      <c r="J508" s="22">
        <f t="shared" si="35"/>
        <v>0.177777777775191</v>
      </c>
      <c r="K508" s="22">
        <f t="shared" si="36"/>
        <v>4.26666666660458</v>
      </c>
      <c r="L508" s="22">
        <f t="shared" si="37"/>
        <v>4.26666666660458</v>
      </c>
      <c r="M508" s="22" cm="1">
        <f ca="1" t="array" ref="M508">SUMPRODUCT(--(WEEKDAY(ROW(INDIRECT(INT(F508)&amp;":"&amp;INT(I508))),2)&gt;5))</f>
        <v>0</v>
      </c>
      <c r="N508" s="22">
        <f ca="1" t="shared" si="38"/>
        <v>4.26666666660458</v>
      </c>
      <c r="O508" s="22" t="str">
        <f ca="1" t="shared" si="39"/>
        <v>Within SLA</v>
      </c>
      <c r="P508" s="26" t="s">
        <v>2122</v>
      </c>
      <c r="Q508" s="24" t="s">
        <v>37</v>
      </c>
      <c r="R508" s="25"/>
      <c r="S508" s="25"/>
    </row>
    <row r="509" ht="39" customHeight="1" spans="1:19">
      <c r="A509" s="19" t="s">
        <v>2125</v>
      </c>
      <c r="B509" s="20" t="s">
        <v>196</v>
      </c>
      <c r="C509" s="20" t="s">
        <v>863</v>
      </c>
      <c r="D509" s="20" t="s">
        <v>21</v>
      </c>
      <c r="E509" s="21" t="s">
        <v>2126</v>
      </c>
      <c r="F509" s="21" t="s">
        <v>2127</v>
      </c>
      <c r="G509" s="20" t="s">
        <v>35</v>
      </c>
      <c r="H509" s="20" t="s">
        <v>25</v>
      </c>
      <c r="I509" s="21" t="s">
        <v>2128</v>
      </c>
      <c r="J509" s="22">
        <f t="shared" si="35"/>
        <v>0.172916666662786</v>
      </c>
      <c r="K509" s="22">
        <f t="shared" si="36"/>
        <v>4.14999999990687</v>
      </c>
      <c r="L509" s="22">
        <f t="shared" si="37"/>
        <v>4.14999999990687</v>
      </c>
      <c r="M509" s="22" cm="1">
        <f ca="1" t="array" ref="M509">SUMPRODUCT(--(WEEKDAY(ROW(INDIRECT(INT(F509)&amp;":"&amp;INT(I509))),2)&gt;5))</f>
        <v>0</v>
      </c>
      <c r="N509" s="22">
        <f ca="1" t="shared" si="38"/>
        <v>4.14999999990687</v>
      </c>
      <c r="O509" s="22" t="str">
        <f ca="1" t="shared" si="39"/>
        <v>SLA Violated</v>
      </c>
      <c r="P509" s="23" t="s">
        <v>2129</v>
      </c>
      <c r="Q509" s="24" t="s">
        <v>37</v>
      </c>
      <c r="R509" s="25" t="s">
        <v>2130</v>
      </c>
      <c r="S509" s="25" t="s">
        <v>39</v>
      </c>
    </row>
    <row r="510" ht="39" customHeight="1" spans="1:19">
      <c r="A510" s="19" t="s">
        <v>2131</v>
      </c>
      <c r="B510" s="20" t="s">
        <v>19</v>
      </c>
      <c r="C510" s="20" t="s">
        <v>20</v>
      </c>
      <c r="D510" s="20" t="s">
        <v>32</v>
      </c>
      <c r="E510" s="21" t="s">
        <v>2132</v>
      </c>
      <c r="F510" s="21" t="s">
        <v>2133</v>
      </c>
      <c r="G510" s="20" t="s">
        <v>24</v>
      </c>
      <c r="H510" s="20" t="s">
        <v>25</v>
      </c>
      <c r="I510" s="21" t="s">
        <v>2098</v>
      </c>
      <c r="J510" s="22">
        <f t="shared" si="35"/>
        <v>29.1652777777781</v>
      </c>
      <c r="K510" s="22">
        <f t="shared" si="36"/>
        <v>699.966666666674</v>
      </c>
      <c r="L510" s="22">
        <f t="shared" si="37"/>
        <v>235.966666666674</v>
      </c>
      <c r="M510" s="22" cm="1">
        <f ca="1" t="array" ref="M510">SUMPRODUCT(--(WEEKDAY(ROW(INDIRECT(INT(F510)&amp;":"&amp;INT(I510))),2)&gt;5))</f>
        <v>8</v>
      </c>
      <c r="N510" s="22">
        <f ca="1" t="shared" si="38"/>
        <v>171.966666666674</v>
      </c>
      <c r="O510" s="22" t="str">
        <f ca="1" t="shared" si="39"/>
        <v>SLA Violated</v>
      </c>
      <c r="P510" s="23" t="s">
        <v>2134</v>
      </c>
      <c r="Q510" s="24" t="s">
        <v>28</v>
      </c>
      <c r="R510" s="25"/>
      <c r="S510" s="25"/>
    </row>
    <row r="511" ht="39" customHeight="1" spans="1:19">
      <c r="A511" s="19" t="s">
        <v>2135</v>
      </c>
      <c r="B511" s="20" t="s">
        <v>19</v>
      </c>
      <c r="C511" s="20" t="s">
        <v>20</v>
      </c>
      <c r="D511" s="20" t="s">
        <v>32</v>
      </c>
      <c r="E511" s="21" t="s">
        <v>2136</v>
      </c>
      <c r="F511" s="21" t="s">
        <v>2137</v>
      </c>
      <c r="G511" s="20" t="s">
        <v>35</v>
      </c>
      <c r="H511" s="20" t="s">
        <v>25</v>
      </c>
      <c r="I511" s="21" t="s">
        <v>388</v>
      </c>
      <c r="J511" s="22">
        <f t="shared" si="35"/>
        <v>0.0479166666627862</v>
      </c>
      <c r="K511" s="22">
        <f t="shared" si="36"/>
        <v>1.14999999990687</v>
      </c>
      <c r="L511" s="22">
        <f t="shared" si="37"/>
        <v>1.14999999990687</v>
      </c>
      <c r="M511" s="22" cm="1">
        <f ca="1" t="array" ref="M511">SUMPRODUCT(--(WEEKDAY(ROW(INDIRECT(INT(F511)&amp;":"&amp;INT(I511))),2)&gt;5))</f>
        <v>0</v>
      </c>
      <c r="N511" s="22">
        <f ca="1" t="shared" si="38"/>
        <v>1.14999999990687</v>
      </c>
      <c r="O511" s="22" t="str">
        <f ca="1" t="shared" si="39"/>
        <v>Within SLA</v>
      </c>
      <c r="P511" s="26" t="s">
        <v>2135</v>
      </c>
      <c r="Q511" s="24" t="s">
        <v>37</v>
      </c>
      <c r="R511" s="25"/>
      <c r="S511" s="25"/>
    </row>
    <row r="512" ht="39" customHeight="1" spans="1:19">
      <c r="A512" s="28" t="s">
        <v>2138</v>
      </c>
      <c r="B512" s="20" t="s">
        <v>19</v>
      </c>
      <c r="C512" s="20" t="s">
        <v>167</v>
      </c>
      <c r="D512" s="20" t="s">
        <v>32</v>
      </c>
      <c r="E512" s="21" t="s">
        <v>2139</v>
      </c>
      <c r="F512" s="21" t="s">
        <v>2140</v>
      </c>
      <c r="G512" s="20" t="s">
        <v>35</v>
      </c>
      <c r="H512" s="20" t="s">
        <v>25</v>
      </c>
      <c r="I512" s="21" t="s">
        <v>2098</v>
      </c>
      <c r="J512" s="22">
        <f t="shared" si="35"/>
        <v>42.3381944444482</v>
      </c>
      <c r="K512" s="22">
        <f t="shared" si="36"/>
        <v>1016.11666666676</v>
      </c>
      <c r="L512" s="22">
        <f t="shared" si="37"/>
        <v>344.116666666756</v>
      </c>
      <c r="M512" s="22" cm="1">
        <f ca="1" t="array" ref="M512">SUMPRODUCT(--(WEEKDAY(ROW(INDIRECT(INT(F512)&amp;":"&amp;INT(I512))),2)&gt;5))</f>
        <v>12</v>
      </c>
      <c r="N512" s="22">
        <f ca="1" t="shared" si="38"/>
        <v>248.116666666756</v>
      </c>
      <c r="O512" s="22" t="str">
        <f ca="1" t="shared" si="39"/>
        <v>SLA Violated</v>
      </c>
      <c r="P512" s="23" t="s">
        <v>2138</v>
      </c>
      <c r="Q512" s="24" t="s">
        <v>28</v>
      </c>
      <c r="R512" s="25"/>
      <c r="S512" s="25"/>
    </row>
    <row r="513" ht="27" customHeight="1" spans="1:19">
      <c r="A513" s="19" t="s">
        <v>2141</v>
      </c>
      <c r="B513" s="20" t="s">
        <v>30</v>
      </c>
      <c r="C513" s="20" t="s">
        <v>31</v>
      </c>
      <c r="D513" s="20" t="s">
        <v>32</v>
      </c>
      <c r="E513" s="21" t="s">
        <v>2142</v>
      </c>
      <c r="F513" s="21" t="s">
        <v>2143</v>
      </c>
      <c r="G513" s="20" t="s">
        <v>35</v>
      </c>
      <c r="H513" s="20" t="s">
        <v>25</v>
      </c>
      <c r="I513" s="21" t="s">
        <v>2144</v>
      </c>
      <c r="J513" s="22">
        <f t="shared" si="35"/>
        <v>2.05069444444962</v>
      </c>
      <c r="K513" s="22">
        <f t="shared" si="36"/>
        <v>49.2166666667908</v>
      </c>
      <c r="L513" s="22">
        <f t="shared" si="37"/>
        <v>17.2166666667908</v>
      </c>
      <c r="M513" s="22" cm="1">
        <f ca="1" t="array" ref="M513">SUMPRODUCT(--(WEEKDAY(ROW(INDIRECT(INT(F513)&amp;":"&amp;INT(I513))),2)&gt;5))</f>
        <v>0</v>
      </c>
      <c r="N513" s="22">
        <f ca="1" t="shared" si="38"/>
        <v>17.2166666667908</v>
      </c>
      <c r="O513" s="22" t="str">
        <f ca="1" t="shared" si="39"/>
        <v>SLA Violated</v>
      </c>
      <c r="P513" s="23" t="s">
        <v>2145</v>
      </c>
      <c r="Q513" s="24" t="s">
        <v>28</v>
      </c>
      <c r="R513" s="25"/>
      <c r="S513" s="25"/>
    </row>
    <row r="514" ht="39" customHeight="1" spans="1:19">
      <c r="A514" s="19" t="s">
        <v>2146</v>
      </c>
      <c r="B514" s="20" t="s">
        <v>19</v>
      </c>
      <c r="C514" s="20" t="s">
        <v>863</v>
      </c>
      <c r="D514" s="20" t="s">
        <v>32</v>
      </c>
      <c r="E514" s="21" t="s">
        <v>2142</v>
      </c>
      <c r="F514" s="21" t="s">
        <v>2147</v>
      </c>
      <c r="G514" s="20" t="s">
        <v>35</v>
      </c>
      <c r="H514" s="20" t="s">
        <v>25</v>
      </c>
      <c r="I514" s="21" t="s">
        <v>2148</v>
      </c>
      <c r="J514" s="22">
        <f t="shared" si="35"/>
        <v>0.00694444444525288</v>
      </c>
      <c r="K514" s="22">
        <f t="shared" si="36"/>
        <v>0.166666666686069</v>
      </c>
      <c r="L514" s="22">
        <f t="shared" si="37"/>
        <v>0.166666666686069</v>
      </c>
      <c r="M514" s="22" cm="1">
        <f ca="1" t="array" ref="M514">SUMPRODUCT(--(WEEKDAY(ROW(INDIRECT(INT(F514)&amp;":"&amp;INT(I514))),2)&gt;5))</f>
        <v>0</v>
      </c>
      <c r="N514" s="22">
        <f ca="1" t="shared" si="38"/>
        <v>0.166666666686069</v>
      </c>
      <c r="O514" s="22" t="str">
        <f ca="1" t="shared" si="39"/>
        <v>Within SLA</v>
      </c>
      <c r="P514" s="26" t="s">
        <v>2146</v>
      </c>
      <c r="Q514" s="24" t="s">
        <v>37</v>
      </c>
      <c r="R514" s="25"/>
      <c r="S514" s="25"/>
    </row>
    <row r="515" ht="39" customHeight="1" spans="1:19">
      <c r="A515" s="19" t="s">
        <v>2149</v>
      </c>
      <c r="B515" s="20" t="s">
        <v>19</v>
      </c>
      <c r="C515" s="20" t="s">
        <v>20</v>
      </c>
      <c r="D515" s="20" t="s">
        <v>32</v>
      </c>
      <c r="E515" s="21" t="s">
        <v>2150</v>
      </c>
      <c r="F515" s="21" t="s">
        <v>2151</v>
      </c>
      <c r="G515" s="20" t="s">
        <v>35</v>
      </c>
      <c r="H515" s="20" t="s">
        <v>25</v>
      </c>
      <c r="I515" s="21" t="s">
        <v>2098</v>
      </c>
      <c r="J515" s="22">
        <f t="shared" ref="J515:J578" si="40">F515-I515</f>
        <v>28.2854166666657</v>
      </c>
      <c r="K515" s="22">
        <f t="shared" ref="K515:K578" si="41">J515*24</f>
        <v>678.849999999977</v>
      </c>
      <c r="L515" s="22">
        <f t="shared" ref="L515:L578" si="42">IF(_xlfn.DAYS(F515,I515)&gt;0,K515-IF(FLOOR(J515,1)=0,1,_xlfn.DAYS(F515,I515))*16,K515)</f>
        <v>230.849999999977</v>
      </c>
      <c r="M515" s="22" cm="1">
        <f ca="1" t="array" ref="M515">SUMPRODUCT(--(WEEKDAY(ROW(INDIRECT(INT(F515)&amp;":"&amp;INT(I515))),2)&gt;5))</f>
        <v>8</v>
      </c>
      <c r="N515" s="22">
        <f ca="1" t="shared" ref="N515:N578" si="43">IF(IF(M515&gt;0,L515-M515*8,L515)&lt;0,0,IF(M515&gt;0,L515-M515*8,L515))</f>
        <v>166.849999999977</v>
      </c>
      <c r="O515" s="22" t="str">
        <f ca="1" t="shared" ref="O515:O578" si="44">IF(OR(AND(D515="P1",N515&lt;=3),AND(D515="P2",N515&lt;=6),AND(D515="P3",N515&lt;=9),AND(D515="P4",N515&lt;=12)),"Within SLA","SLA Violated")</f>
        <v>SLA Violated</v>
      </c>
      <c r="P515" s="23" t="s">
        <v>2152</v>
      </c>
      <c r="Q515" s="24" t="s">
        <v>37</v>
      </c>
      <c r="R515" s="25" t="s">
        <v>38</v>
      </c>
      <c r="S515" s="25" t="s">
        <v>39</v>
      </c>
    </row>
    <row r="516" ht="27" customHeight="1" spans="1:19">
      <c r="A516" s="19" t="s">
        <v>2153</v>
      </c>
      <c r="B516" s="20" t="s">
        <v>30</v>
      </c>
      <c r="C516" s="20" t="s">
        <v>31</v>
      </c>
      <c r="D516" s="20" t="s">
        <v>32</v>
      </c>
      <c r="E516" s="21" t="s">
        <v>2154</v>
      </c>
      <c r="F516" s="21" t="s">
        <v>2155</v>
      </c>
      <c r="G516" s="20" t="s">
        <v>35</v>
      </c>
      <c r="H516" s="20" t="s">
        <v>25</v>
      </c>
      <c r="I516" s="21" t="s">
        <v>2156</v>
      </c>
      <c r="J516" s="22">
        <f t="shared" si="40"/>
        <v>1.09305555555329</v>
      </c>
      <c r="K516" s="22">
        <f t="shared" si="41"/>
        <v>26.233333333279</v>
      </c>
      <c r="L516" s="22">
        <f t="shared" si="42"/>
        <v>10.233333333279</v>
      </c>
      <c r="M516" s="22" cm="1">
        <f ca="1" t="array" ref="M516">SUMPRODUCT(--(WEEKDAY(ROW(INDIRECT(INT(F516)&amp;":"&amp;INT(I516))),2)&gt;5))</f>
        <v>0</v>
      </c>
      <c r="N516" s="22">
        <f ca="1" t="shared" si="43"/>
        <v>10.233333333279</v>
      </c>
      <c r="O516" s="22" t="str">
        <f ca="1" t="shared" si="44"/>
        <v>Within SLA</v>
      </c>
      <c r="P516" s="26" t="s">
        <v>2153</v>
      </c>
      <c r="Q516" s="24" t="s">
        <v>37</v>
      </c>
      <c r="R516" s="25"/>
      <c r="S516" s="25"/>
    </row>
    <row r="517" ht="27" customHeight="1" spans="1:19">
      <c r="A517" s="19" t="s">
        <v>2157</v>
      </c>
      <c r="B517" s="20" t="s">
        <v>30</v>
      </c>
      <c r="C517" s="20" t="s">
        <v>31</v>
      </c>
      <c r="D517" s="20" t="s">
        <v>105</v>
      </c>
      <c r="E517" s="21" t="s">
        <v>2158</v>
      </c>
      <c r="F517" s="21" t="s">
        <v>2159</v>
      </c>
      <c r="G517" s="20" t="s">
        <v>35</v>
      </c>
      <c r="H517" s="20" t="s">
        <v>25</v>
      </c>
      <c r="I517" s="21" t="s">
        <v>2160</v>
      </c>
      <c r="J517" s="22">
        <f t="shared" si="40"/>
        <v>1.9951388888876</v>
      </c>
      <c r="K517" s="22">
        <f t="shared" si="41"/>
        <v>47.8833333333023</v>
      </c>
      <c r="L517" s="22">
        <f t="shared" si="42"/>
        <v>15.8833333333023</v>
      </c>
      <c r="M517" s="22" cm="1">
        <f ca="1" t="array" ref="M517">SUMPRODUCT(--(WEEKDAY(ROW(INDIRECT(INT(F517)&amp;":"&amp;INT(I517))),2)&gt;5))</f>
        <v>0</v>
      </c>
      <c r="N517" s="22">
        <f ca="1" t="shared" si="43"/>
        <v>15.8833333333023</v>
      </c>
      <c r="O517" s="22" t="str">
        <f ca="1" t="shared" si="44"/>
        <v>SLA Violated</v>
      </c>
      <c r="P517" s="23" t="s">
        <v>2161</v>
      </c>
      <c r="Q517" s="24" t="s">
        <v>37</v>
      </c>
      <c r="R517" s="25" t="s">
        <v>749</v>
      </c>
      <c r="S517" s="25" t="s">
        <v>39</v>
      </c>
    </row>
    <row r="518" ht="27" customHeight="1" spans="1:19">
      <c r="A518" s="19" t="s">
        <v>2162</v>
      </c>
      <c r="B518" s="20" t="s">
        <v>30</v>
      </c>
      <c r="C518" s="20" t="s">
        <v>31</v>
      </c>
      <c r="D518" s="20" t="s">
        <v>32</v>
      </c>
      <c r="E518" s="21" t="s">
        <v>2163</v>
      </c>
      <c r="F518" s="21" t="s">
        <v>2164</v>
      </c>
      <c r="G518" s="20" t="s">
        <v>35</v>
      </c>
      <c r="H518" s="20" t="s">
        <v>25</v>
      </c>
      <c r="I518" s="21" t="s">
        <v>2165</v>
      </c>
      <c r="J518" s="22">
        <f t="shared" si="40"/>
        <v>1.0805555555562</v>
      </c>
      <c r="K518" s="22">
        <f t="shared" si="41"/>
        <v>25.9333333333489</v>
      </c>
      <c r="L518" s="22">
        <f t="shared" si="42"/>
        <v>9.93333333334886</v>
      </c>
      <c r="M518" s="22" cm="1">
        <f ca="1" t="array" ref="M518">SUMPRODUCT(--(WEEKDAY(ROW(INDIRECT(INT(F518)&amp;":"&amp;INT(I518))),2)&gt;5))</f>
        <v>0</v>
      </c>
      <c r="N518" s="22">
        <f ca="1" t="shared" si="43"/>
        <v>9.93333333334886</v>
      </c>
      <c r="O518" s="22" t="str">
        <f ca="1" t="shared" si="44"/>
        <v>Within SLA</v>
      </c>
      <c r="P518" s="26" t="s">
        <v>2162</v>
      </c>
      <c r="Q518" s="24" t="s">
        <v>37</v>
      </c>
      <c r="R518" s="25"/>
      <c r="S518" s="25"/>
    </row>
    <row r="519" ht="27" customHeight="1" spans="1:19">
      <c r="A519" s="19" t="s">
        <v>2166</v>
      </c>
      <c r="B519" s="20" t="s">
        <v>139</v>
      </c>
      <c r="C519" s="20" t="s">
        <v>2057</v>
      </c>
      <c r="D519" s="20" t="s">
        <v>32</v>
      </c>
      <c r="E519" s="21" t="s">
        <v>2167</v>
      </c>
      <c r="F519" s="21" t="s">
        <v>2168</v>
      </c>
      <c r="G519" s="20" t="s">
        <v>35</v>
      </c>
      <c r="H519" s="20" t="s">
        <v>25</v>
      </c>
      <c r="I519" s="21" t="s">
        <v>2169</v>
      </c>
      <c r="J519" s="22">
        <f t="shared" si="40"/>
        <v>23.2194444444467</v>
      </c>
      <c r="K519" s="22">
        <f t="shared" si="41"/>
        <v>557.266666666721</v>
      </c>
      <c r="L519" s="22">
        <f t="shared" si="42"/>
        <v>189.266666666721</v>
      </c>
      <c r="M519" s="22" cm="1">
        <f ca="1" t="array" ref="M519">SUMPRODUCT(--(WEEKDAY(ROW(INDIRECT(INT(F519)&amp;":"&amp;INT(I519))),2)&gt;5))</f>
        <v>6</v>
      </c>
      <c r="N519" s="22">
        <f ca="1" t="shared" si="43"/>
        <v>141.266666666721</v>
      </c>
      <c r="O519" s="22" t="str">
        <f ca="1" t="shared" si="44"/>
        <v>SLA Violated</v>
      </c>
      <c r="P519" s="23" t="s">
        <v>2170</v>
      </c>
      <c r="Q519" s="24" t="s">
        <v>28</v>
      </c>
      <c r="R519" s="25"/>
      <c r="S519" s="25"/>
    </row>
    <row r="520" ht="27" customHeight="1" spans="1:19">
      <c r="A520" s="19" t="s">
        <v>2171</v>
      </c>
      <c r="B520" s="20" t="s">
        <v>30</v>
      </c>
      <c r="C520" s="20" t="s">
        <v>31</v>
      </c>
      <c r="D520" s="20" t="s">
        <v>32</v>
      </c>
      <c r="E520" s="21" t="s">
        <v>2172</v>
      </c>
      <c r="F520" s="21" t="s">
        <v>2173</v>
      </c>
      <c r="G520" s="20" t="s">
        <v>35</v>
      </c>
      <c r="H520" s="20" t="s">
        <v>25</v>
      </c>
      <c r="I520" s="21" t="s">
        <v>1648</v>
      </c>
      <c r="J520" s="22">
        <f t="shared" si="40"/>
        <v>1.01736111111677</v>
      </c>
      <c r="K520" s="22">
        <f t="shared" si="41"/>
        <v>24.4166666668025</v>
      </c>
      <c r="L520" s="22">
        <f t="shared" si="42"/>
        <v>8.41666666680248</v>
      </c>
      <c r="M520" s="22" cm="1">
        <f ca="1" t="array" ref="M520">SUMPRODUCT(--(WEEKDAY(ROW(INDIRECT(INT(F520)&amp;":"&amp;INT(I520))),2)&gt;5))</f>
        <v>0</v>
      </c>
      <c r="N520" s="22">
        <f ca="1" t="shared" si="43"/>
        <v>8.41666666680248</v>
      </c>
      <c r="O520" s="22" t="str">
        <f ca="1" t="shared" si="44"/>
        <v>Within SLA</v>
      </c>
      <c r="P520" s="26" t="s">
        <v>2171</v>
      </c>
      <c r="Q520" s="24" t="s">
        <v>37</v>
      </c>
      <c r="R520" s="25"/>
      <c r="S520" s="25"/>
    </row>
    <row r="521" ht="27" customHeight="1" spans="1:19">
      <c r="A521" s="19" t="s">
        <v>2174</v>
      </c>
      <c r="B521" s="20" t="s">
        <v>139</v>
      </c>
      <c r="C521" s="20" t="s">
        <v>46</v>
      </c>
      <c r="D521" s="20" t="s">
        <v>32</v>
      </c>
      <c r="E521" s="21" t="s">
        <v>2175</v>
      </c>
      <c r="F521" s="21" t="s">
        <v>2176</v>
      </c>
      <c r="G521" s="20" t="s">
        <v>35</v>
      </c>
      <c r="H521" s="20" t="s">
        <v>25</v>
      </c>
      <c r="I521" s="21" t="s">
        <v>1648</v>
      </c>
      <c r="J521" s="22">
        <f t="shared" si="40"/>
        <v>0.207638888889051</v>
      </c>
      <c r="K521" s="22">
        <f t="shared" si="41"/>
        <v>4.98333333333721</v>
      </c>
      <c r="L521" s="22">
        <f t="shared" si="42"/>
        <v>4.98333333333721</v>
      </c>
      <c r="M521" s="22" cm="1">
        <f ca="1" t="array" ref="M521">SUMPRODUCT(--(WEEKDAY(ROW(INDIRECT(INT(F521)&amp;":"&amp;INT(I521))),2)&gt;5))</f>
        <v>0</v>
      </c>
      <c r="N521" s="22">
        <f ca="1" t="shared" si="43"/>
        <v>4.98333333333721</v>
      </c>
      <c r="O521" s="22" t="str">
        <f ca="1" t="shared" si="44"/>
        <v>Within SLA</v>
      </c>
      <c r="P521" s="26" t="s">
        <v>2174</v>
      </c>
      <c r="Q521" s="24" t="s">
        <v>37</v>
      </c>
      <c r="R521" s="25"/>
      <c r="S521" s="25"/>
    </row>
    <row r="522" ht="27" customHeight="1" spans="1:19">
      <c r="A522" s="19" t="s">
        <v>2177</v>
      </c>
      <c r="B522" s="20" t="s">
        <v>30</v>
      </c>
      <c r="C522" s="20" t="s">
        <v>31</v>
      </c>
      <c r="D522" s="20" t="s">
        <v>32</v>
      </c>
      <c r="E522" s="21" t="s">
        <v>2175</v>
      </c>
      <c r="F522" s="21" t="s">
        <v>2178</v>
      </c>
      <c r="G522" s="20" t="s">
        <v>35</v>
      </c>
      <c r="H522" s="20" t="s">
        <v>25</v>
      </c>
      <c r="I522" s="21" t="s">
        <v>2179</v>
      </c>
      <c r="J522" s="22">
        <f t="shared" si="40"/>
        <v>3.23402777778392</v>
      </c>
      <c r="K522" s="22">
        <f t="shared" si="41"/>
        <v>77.6166666668141</v>
      </c>
      <c r="L522" s="22">
        <f t="shared" si="42"/>
        <v>29.6166666668141</v>
      </c>
      <c r="M522" s="22" cm="1">
        <f ca="1" t="array" ref="M522">SUMPRODUCT(--(WEEKDAY(ROW(INDIRECT(INT(F522)&amp;":"&amp;INT(I522))),2)&gt;5))</f>
        <v>0</v>
      </c>
      <c r="N522" s="22">
        <f ca="1" t="shared" si="43"/>
        <v>29.6166666668141</v>
      </c>
      <c r="O522" s="22" t="str">
        <f ca="1" t="shared" si="44"/>
        <v>SLA Violated</v>
      </c>
      <c r="P522" s="23" t="s">
        <v>2180</v>
      </c>
      <c r="Q522" s="24" t="s">
        <v>28</v>
      </c>
      <c r="R522" s="25"/>
      <c r="S522" s="25"/>
    </row>
    <row r="523" ht="27" customHeight="1" spans="1:19">
      <c r="A523" s="19" t="s">
        <v>2181</v>
      </c>
      <c r="B523" s="20" t="s">
        <v>30</v>
      </c>
      <c r="C523" s="20" t="s">
        <v>31</v>
      </c>
      <c r="D523" s="20" t="s">
        <v>21</v>
      </c>
      <c r="E523" s="21" t="s">
        <v>2182</v>
      </c>
      <c r="F523" s="21" t="s">
        <v>2183</v>
      </c>
      <c r="G523" s="20" t="s">
        <v>35</v>
      </c>
      <c r="H523" s="20" t="s">
        <v>25</v>
      </c>
      <c r="I523" s="21" t="s">
        <v>2184</v>
      </c>
      <c r="J523" s="22">
        <f t="shared" si="40"/>
        <v>27.0395833333314</v>
      </c>
      <c r="K523" s="22">
        <f t="shared" si="41"/>
        <v>648.949999999953</v>
      </c>
      <c r="L523" s="22">
        <f t="shared" si="42"/>
        <v>216.949999999953</v>
      </c>
      <c r="M523" s="22" cm="1">
        <f ca="1" t="array" ref="M523">SUMPRODUCT(--(WEEKDAY(ROW(INDIRECT(INT(F523)&amp;":"&amp;INT(I523))),2)&gt;5))</f>
        <v>8</v>
      </c>
      <c r="N523" s="22">
        <f ca="1" t="shared" si="43"/>
        <v>152.949999999953</v>
      </c>
      <c r="O523" s="22" t="str">
        <f ca="1" t="shared" si="44"/>
        <v>SLA Violated</v>
      </c>
      <c r="P523" s="26" t="s">
        <v>2181</v>
      </c>
      <c r="Q523" s="24" t="s">
        <v>37</v>
      </c>
      <c r="R523" s="6" t="s">
        <v>2185</v>
      </c>
      <c r="S523" s="25" t="s">
        <v>39</v>
      </c>
    </row>
    <row r="524" ht="39" customHeight="1" spans="1:19">
      <c r="A524" s="19" t="s">
        <v>2186</v>
      </c>
      <c r="B524" s="20" t="s">
        <v>19</v>
      </c>
      <c r="C524" s="20" t="s">
        <v>20</v>
      </c>
      <c r="D524" s="20" t="s">
        <v>32</v>
      </c>
      <c r="E524" s="21" t="s">
        <v>2182</v>
      </c>
      <c r="F524" s="21" t="s">
        <v>2063</v>
      </c>
      <c r="G524" s="20" t="s">
        <v>35</v>
      </c>
      <c r="H524" s="20" t="s">
        <v>25</v>
      </c>
      <c r="I524" s="21" t="s">
        <v>2187</v>
      </c>
      <c r="J524" s="22">
        <f t="shared" si="40"/>
        <v>0.00277777777955635</v>
      </c>
      <c r="K524" s="22">
        <f t="shared" si="41"/>
        <v>0.0666666667093523</v>
      </c>
      <c r="L524" s="22">
        <f t="shared" si="42"/>
        <v>0.0666666667093523</v>
      </c>
      <c r="M524" s="22" cm="1">
        <f ca="1" t="array" ref="M524">SUMPRODUCT(--(WEEKDAY(ROW(INDIRECT(INT(F524)&amp;":"&amp;INT(I524))),2)&gt;5))</f>
        <v>0</v>
      </c>
      <c r="N524" s="22">
        <f ca="1" t="shared" si="43"/>
        <v>0.0666666667093523</v>
      </c>
      <c r="O524" s="22" t="str">
        <f ca="1" t="shared" si="44"/>
        <v>Within SLA</v>
      </c>
      <c r="P524" s="26" t="s">
        <v>2186</v>
      </c>
      <c r="Q524" s="24" t="s">
        <v>37</v>
      </c>
      <c r="R524" s="25"/>
      <c r="S524" s="25"/>
    </row>
    <row r="525" ht="39" customHeight="1" spans="1:19">
      <c r="A525" s="19" t="s">
        <v>2188</v>
      </c>
      <c r="B525" s="20" t="s">
        <v>19</v>
      </c>
      <c r="C525" s="20" t="s">
        <v>20</v>
      </c>
      <c r="D525" s="20" t="s">
        <v>32</v>
      </c>
      <c r="E525" s="21" t="s">
        <v>2189</v>
      </c>
      <c r="F525" s="21" t="s">
        <v>2190</v>
      </c>
      <c r="G525" s="20" t="s">
        <v>35</v>
      </c>
      <c r="H525" s="20" t="s">
        <v>25</v>
      </c>
      <c r="I525" s="21" t="s">
        <v>2191</v>
      </c>
      <c r="J525" s="22">
        <f t="shared" si="40"/>
        <v>0.0215277777751908</v>
      </c>
      <c r="K525" s="22">
        <f t="shared" si="41"/>
        <v>0.516666666604578</v>
      </c>
      <c r="L525" s="22">
        <f t="shared" si="42"/>
        <v>0.516666666604578</v>
      </c>
      <c r="M525" s="22" cm="1">
        <f ca="1" t="array" ref="M525">SUMPRODUCT(--(WEEKDAY(ROW(INDIRECT(INT(F525)&amp;":"&amp;INT(I525))),2)&gt;5))</f>
        <v>0</v>
      </c>
      <c r="N525" s="22">
        <f ca="1" t="shared" si="43"/>
        <v>0.516666666604578</v>
      </c>
      <c r="O525" s="22" t="str">
        <f ca="1" t="shared" si="44"/>
        <v>Within SLA</v>
      </c>
      <c r="P525" s="26" t="s">
        <v>2188</v>
      </c>
      <c r="Q525" s="24" t="s">
        <v>37</v>
      </c>
      <c r="R525" s="25"/>
      <c r="S525" s="25"/>
    </row>
    <row r="526" ht="27" customHeight="1" spans="1:19">
      <c r="A526" s="19" t="s">
        <v>2192</v>
      </c>
      <c r="B526" s="20" t="s">
        <v>30</v>
      </c>
      <c r="C526" s="20" t="s">
        <v>31</v>
      </c>
      <c r="D526" s="20" t="s">
        <v>32</v>
      </c>
      <c r="E526" s="21" t="s">
        <v>2144</v>
      </c>
      <c r="F526" s="21" t="s">
        <v>2193</v>
      </c>
      <c r="G526" s="20" t="s">
        <v>35</v>
      </c>
      <c r="H526" s="20" t="s">
        <v>25</v>
      </c>
      <c r="I526" s="21" t="s">
        <v>2194</v>
      </c>
      <c r="J526" s="22">
        <f t="shared" si="40"/>
        <v>3.2854166666657</v>
      </c>
      <c r="K526" s="22">
        <f t="shared" si="41"/>
        <v>78.8499999999767</v>
      </c>
      <c r="L526" s="22">
        <f t="shared" si="42"/>
        <v>30.8499999999767</v>
      </c>
      <c r="M526" s="22" cm="1">
        <f ca="1" t="array" ref="M526">SUMPRODUCT(--(WEEKDAY(ROW(INDIRECT(INT(F526)&amp;":"&amp;INT(I526))),2)&gt;5))</f>
        <v>0</v>
      </c>
      <c r="N526" s="22">
        <f ca="1" t="shared" si="43"/>
        <v>30.8499999999767</v>
      </c>
      <c r="O526" s="22" t="str">
        <f ca="1" t="shared" si="44"/>
        <v>SLA Violated</v>
      </c>
      <c r="P526" s="26" t="s">
        <v>2192</v>
      </c>
      <c r="Q526" s="24" t="s">
        <v>37</v>
      </c>
      <c r="R526" s="6" t="s">
        <v>2195</v>
      </c>
      <c r="S526" s="25" t="s">
        <v>39</v>
      </c>
    </row>
    <row r="527" ht="39" customHeight="1" spans="1:19">
      <c r="A527" s="19" t="s">
        <v>2196</v>
      </c>
      <c r="B527" s="20" t="s">
        <v>196</v>
      </c>
      <c r="C527" s="20" t="s">
        <v>2057</v>
      </c>
      <c r="D527" s="20" t="s">
        <v>32</v>
      </c>
      <c r="E527" s="21" t="s">
        <v>2197</v>
      </c>
      <c r="F527" s="21" t="s">
        <v>2198</v>
      </c>
      <c r="G527" s="20" t="s">
        <v>35</v>
      </c>
      <c r="H527" s="20" t="s">
        <v>25</v>
      </c>
      <c r="I527" s="21" t="s">
        <v>2199</v>
      </c>
      <c r="J527" s="22">
        <f t="shared" si="40"/>
        <v>1.2055555555562</v>
      </c>
      <c r="K527" s="22">
        <f t="shared" si="41"/>
        <v>28.9333333333489</v>
      </c>
      <c r="L527" s="22">
        <f t="shared" si="42"/>
        <v>12.9333333333489</v>
      </c>
      <c r="M527" s="22" cm="1">
        <f ca="1" t="array" ref="M527">SUMPRODUCT(--(WEEKDAY(ROW(INDIRECT(INT(F527)&amp;":"&amp;INT(I527))),2)&gt;5))</f>
        <v>0</v>
      </c>
      <c r="N527" s="22">
        <f ca="1" t="shared" si="43"/>
        <v>12.9333333333489</v>
      </c>
      <c r="O527" s="22" t="str">
        <f ca="1" t="shared" si="44"/>
        <v>SLA Violated</v>
      </c>
      <c r="P527" s="23" t="s">
        <v>2200</v>
      </c>
      <c r="Q527" s="24" t="s">
        <v>28</v>
      </c>
      <c r="R527" s="25"/>
      <c r="S527" s="25"/>
    </row>
    <row r="528" ht="39" customHeight="1" spans="1:19">
      <c r="A528" s="19" t="s">
        <v>2201</v>
      </c>
      <c r="B528" s="20" t="s">
        <v>19</v>
      </c>
      <c r="C528" s="20" t="s">
        <v>20</v>
      </c>
      <c r="D528" s="20" t="s">
        <v>32</v>
      </c>
      <c r="E528" s="21" t="s">
        <v>2202</v>
      </c>
      <c r="F528" s="21" t="s">
        <v>2203</v>
      </c>
      <c r="G528" s="20" t="s">
        <v>35</v>
      </c>
      <c r="H528" s="20" t="s">
        <v>25</v>
      </c>
      <c r="I528" s="21" t="s">
        <v>2204</v>
      </c>
      <c r="J528" s="22">
        <f t="shared" si="40"/>
        <v>47.9493055555577</v>
      </c>
      <c r="K528" s="22">
        <f t="shared" si="41"/>
        <v>1150.78333333338</v>
      </c>
      <c r="L528" s="22">
        <f t="shared" si="42"/>
        <v>382.783333333384</v>
      </c>
      <c r="M528" s="22" cm="1">
        <f ca="1" t="array" ref="M528">SUMPRODUCT(--(WEEKDAY(ROW(INDIRECT(INT(F528)&amp;":"&amp;INT(I528))),2)&gt;5))</f>
        <v>14</v>
      </c>
      <c r="N528" s="22">
        <f ca="1" t="shared" si="43"/>
        <v>270.783333333384</v>
      </c>
      <c r="O528" s="22" t="str">
        <f ca="1" t="shared" si="44"/>
        <v>SLA Violated</v>
      </c>
      <c r="P528" s="23" t="s">
        <v>2205</v>
      </c>
      <c r="Q528" s="24" t="s">
        <v>37</v>
      </c>
      <c r="R528" s="25" t="s">
        <v>38</v>
      </c>
      <c r="S528" s="25" t="s">
        <v>39</v>
      </c>
    </row>
    <row r="529" ht="39" customHeight="1" spans="1:19">
      <c r="A529" s="19" t="s">
        <v>2206</v>
      </c>
      <c r="B529" s="20" t="s">
        <v>19</v>
      </c>
      <c r="C529" s="20" t="s">
        <v>20</v>
      </c>
      <c r="D529" s="20" t="s">
        <v>32</v>
      </c>
      <c r="E529" s="21" t="s">
        <v>2202</v>
      </c>
      <c r="F529" s="21" t="s">
        <v>2207</v>
      </c>
      <c r="G529" s="20" t="s">
        <v>35</v>
      </c>
      <c r="H529" s="20" t="s">
        <v>25</v>
      </c>
      <c r="I529" s="21" t="s">
        <v>2208</v>
      </c>
      <c r="J529" s="22">
        <f t="shared" si="40"/>
        <v>0.0222222222218988</v>
      </c>
      <c r="K529" s="22">
        <f t="shared" si="41"/>
        <v>0.533333333325572</v>
      </c>
      <c r="L529" s="22">
        <f t="shared" si="42"/>
        <v>0.533333333325572</v>
      </c>
      <c r="M529" s="22" cm="1">
        <f ca="1" t="array" ref="M529">SUMPRODUCT(--(WEEKDAY(ROW(INDIRECT(INT(F529)&amp;":"&amp;INT(I529))),2)&gt;5))</f>
        <v>0</v>
      </c>
      <c r="N529" s="22">
        <f ca="1" t="shared" si="43"/>
        <v>0.533333333325572</v>
      </c>
      <c r="O529" s="22" t="str">
        <f ca="1" t="shared" si="44"/>
        <v>Within SLA</v>
      </c>
      <c r="P529" s="26" t="s">
        <v>2206</v>
      </c>
      <c r="Q529" s="24" t="s">
        <v>37</v>
      </c>
      <c r="R529" s="25"/>
      <c r="S529" s="25"/>
    </row>
    <row r="530" ht="39" customHeight="1" spans="1:19">
      <c r="A530" s="19" t="s">
        <v>2209</v>
      </c>
      <c r="B530" s="20" t="s">
        <v>196</v>
      </c>
      <c r="C530" s="20" t="s">
        <v>1935</v>
      </c>
      <c r="D530" s="20" t="s">
        <v>21</v>
      </c>
      <c r="E530" s="21" t="s">
        <v>2210</v>
      </c>
      <c r="F530" s="21" t="s">
        <v>2211</v>
      </c>
      <c r="G530" s="20" t="s">
        <v>35</v>
      </c>
      <c r="H530" s="20" t="s">
        <v>25</v>
      </c>
      <c r="I530" s="21" t="s">
        <v>2212</v>
      </c>
      <c r="J530" s="22">
        <f t="shared" si="40"/>
        <v>1.0048611111124</v>
      </c>
      <c r="K530" s="22">
        <f t="shared" si="41"/>
        <v>24.1166666666977</v>
      </c>
      <c r="L530" s="22">
        <f t="shared" si="42"/>
        <v>8.11666666669771</v>
      </c>
      <c r="M530" s="22" cm="1">
        <f ca="1" t="array" ref="M530">SUMPRODUCT(--(WEEKDAY(ROW(INDIRECT(INT(F530)&amp;":"&amp;INT(I530))),2)&gt;5))</f>
        <v>0</v>
      </c>
      <c r="N530" s="22">
        <f ca="1" t="shared" si="43"/>
        <v>8.11666666669771</v>
      </c>
      <c r="O530" s="22" t="str">
        <f ca="1" t="shared" si="44"/>
        <v>SLA Violated</v>
      </c>
      <c r="P530" s="26" t="s">
        <v>2209</v>
      </c>
      <c r="Q530" s="24" t="s">
        <v>37</v>
      </c>
      <c r="R530" s="6" t="s">
        <v>2213</v>
      </c>
      <c r="S530" s="25" t="s">
        <v>39</v>
      </c>
    </row>
    <row r="531" ht="39" customHeight="1" spans="1:19">
      <c r="A531" s="19" t="s">
        <v>2214</v>
      </c>
      <c r="B531" s="20" t="s">
        <v>19</v>
      </c>
      <c r="C531" s="20" t="s">
        <v>20</v>
      </c>
      <c r="D531" s="20" t="s">
        <v>32</v>
      </c>
      <c r="E531" s="21" t="s">
        <v>2215</v>
      </c>
      <c r="F531" s="21" t="s">
        <v>2216</v>
      </c>
      <c r="G531" s="20" t="s">
        <v>35</v>
      </c>
      <c r="H531" s="20" t="s">
        <v>25</v>
      </c>
      <c r="I531" s="21" t="s">
        <v>2217</v>
      </c>
      <c r="J531" s="22">
        <f t="shared" si="40"/>
        <v>15.1784722222219</v>
      </c>
      <c r="K531" s="22">
        <f t="shared" si="41"/>
        <v>364.283333333326</v>
      </c>
      <c r="L531" s="22">
        <f t="shared" si="42"/>
        <v>124.283333333326</v>
      </c>
      <c r="M531" s="22" cm="1">
        <f ca="1" t="array" ref="M531">SUMPRODUCT(--(WEEKDAY(ROW(INDIRECT(INT(F531)&amp;":"&amp;INT(I531))),2)&gt;5))</f>
        <v>4</v>
      </c>
      <c r="N531" s="22">
        <f ca="1" t="shared" si="43"/>
        <v>92.283333333326</v>
      </c>
      <c r="O531" s="22" t="str">
        <f ca="1" t="shared" si="44"/>
        <v>SLA Violated</v>
      </c>
      <c r="P531" s="23" t="s">
        <v>2218</v>
      </c>
      <c r="Q531" s="24" t="s">
        <v>28</v>
      </c>
      <c r="R531" s="25"/>
      <c r="S531" s="25"/>
    </row>
    <row r="532" ht="27" customHeight="1" spans="1:19">
      <c r="A532" s="19" t="s">
        <v>2219</v>
      </c>
      <c r="B532" s="20" t="s">
        <v>30</v>
      </c>
      <c r="C532" s="20" t="s">
        <v>2057</v>
      </c>
      <c r="D532" s="20" t="s">
        <v>32</v>
      </c>
      <c r="E532" s="21" t="s">
        <v>2220</v>
      </c>
      <c r="F532" s="21" t="s">
        <v>2193</v>
      </c>
      <c r="G532" s="20" t="s">
        <v>24</v>
      </c>
      <c r="H532" s="20" t="s">
        <v>25</v>
      </c>
      <c r="I532" s="21" t="s">
        <v>2137</v>
      </c>
      <c r="J532" s="22">
        <f t="shared" si="40"/>
        <v>3.24305555555475</v>
      </c>
      <c r="K532" s="22">
        <f t="shared" si="41"/>
        <v>77.8333333333139</v>
      </c>
      <c r="L532" s="22">
        <f t="shared" si="42"/>
        <v>29.8333333333139</v>
      </c>
      <c r="M532" s="22" cm="1">
        <f ca="1" t="array" ref="M532">SUMPRODUCT(--(WEEKDAY(ROW(INDIRECT(INT(F532)&amp;":"&amp;INT(I532))),2)&gt;5))</f>
        <v>0</v>
      </c>
      <c r="N532" s="22">
        <f ca="1" t="shared" si="43"/>
        <v>29.8333333333139</v>
      </c>
      <c r="O532" s="22" t="str">
        <f ca="1" t="shared" si="44"/>
        <v>SLA Violated</v>
      </c>
      <c r="P532" s="23" t="s">
        <v>2221</v>
      </c>
      <c r="Q532" s="24" t="s">
        <v>28</v>
      </c>
      <c r="R532" s="25"/>
      <c r="S532" s="25"/>
    </row>
    <row r="533" ht="39" customHeight="1" spans="1:19">
      <c r="A533" s="19" t="s">
        <v>2222</v>
      </c>
      <c r="B533" s="20" t="s">
        <v>19</v>
      </c>
      <c r="C533" s="20" t="s">
        <v>20</v>
      </c>
      <c r="D533" s="20" t="s">
        <v>32</v>
      </c>
      <c r="E533" s="21" t="s">
        <v>2223</v>
      </c>
      <c r="F533" s="21" t="s">
        <v>2224</v>
      </c>
      <c r="G533" s="20" t="s">
        <v>35</v>
      </c>
      <c r="H533" s="20" t="s">
        <v>25</v>
      </c>
      <c r="I533" s="21" t="s">
        <v>2225</v>
      </c>
      <c r="J533" s="22">
        <f t="shared" si="40"/>
        <v>15.1715277777766</v>
      </c>
      <c r="K533" s="22">
        <f t="shared" si="41"/>
        <v>364.11666666664</v>
      </c>
      <c r="L533" s="22">
        <f t="shared" si="42"/>
        <v>124.11666666664</v>
      </c>
      <c r="M533" s="22" cm="1">
        <f ca="1" t="array" ref="M533">SUMPRODUCT(--(WEEKDAY(ROW(INDIRECT(INT(F533)&amp;":"&amp;INT(I533))),2)&gt;5))</f>
        <v>4</v>
      </c>
      <c r="N533" s="22">
        <f ca="1" t="shared" si="43"/>
        <v>92.11666666664</v>
      </c>
      <c r="O533" s="22" t="str">
        <f ca="1" t="shared" si="44"/>
        <v>SLA Violated</v>
      </c>
      <c r="P533" s="23" t="s">
        <v>2226</v>
      </c>
      <c r="Q533" s="24" t="s">
        <v>37</v>
      </c>
      <c r="R533" s="25" t="s">
        <v>38</v>
      </c>
      <c r="S533" s="25" t="s">
        <v>39</v>
      </c>
    </row>
    <row r="534" ht="27" customHeight="1" spans="1:19">
      <c r="A534" s="19" t="s">
        <v>2227</v>
      </c>
      <c r="B534" s="20" t="s">
        <v>30</v>
      </c>
      <c r="C534" s="20" t="s">
        <v>31</v>
      </c>
      <c r="D534" s="20" t="s">
        <v>32</v>
      </c>
      <c r="E534" s="21" t="s">
        <v>2207</v>
      </c>
      <c r="F534" s="21" t="s">
        <v>2228</v>
      </c>
      <c r="G534" s="20" t="s">
        <v>35</v>
      </c>
      <c r="H534" s="20" t="s">
        <v>25</v>
      </c>
      <c r="I534" s="21" t="s">
        <v>2229</v>
      </c>
      <c r="J534" s="22">
        <f t="shared" si="40"/>
        <v>0.945833333331393</v>
      </c>
      <c r="K534" s="22">
        <f t="shared" si="41"/>
        <v>22.6999999999534</v>
      </c>
      <c r="L534" s="22">
        <f t="shared" si="42"/>
        <v>6.69999999995343</v>
      </c>
      <c r="M534" s="22" cm="1">
        <f ca="1" t="array" ref="M534">SUMPRODUCT(--(WEEKDAY(ROW(INDIRECT(INT(F534)&amp;":"&amp;INT(I534))),2)&gt;5))</f>
        <v>0</v>
      </c>
      <c r="N534" s="22">
        <f ca="1" t="shared" si="43"/>
        <v>6.69999999995343</v>
      </c>
      <c r="O534" s="22" t="str">
        <f ca="1" t="shared" si="44"/>
        <v>Within SLA</v>
      </c>
      <c r="P534" s="26" t="s">
        <v>2227</v>
      </c>
      <c r="Q534" s="24" t="s">
        <v>37</v>
      </c>
      <c r="R534" s="25"/>
      <c r="S534" s="25"/>
    </row>
    <row r="535" ht="39" customHeight="1" spans="1:19">
      <c r="A535" s="19" t="s">
        <v>2230</v>
      </c>
      <c r="B535" s="20" t="s">
        <v>19</v>
      </c>
      <c r="C535" s="20" t="s">
        <v>20</v>
      </c>
      <c r="D535" s="20" t="s">
        <v>32</v>
      </c>
      <c r="E535" s="21" t="s">
        <v>2231</v>
      </c>
      <c r="F535" s="21" t="s">
        <v>2232</v>
      </c>
      <c r="G535" s="20" t="s">
        <v>35</v>
      </c>
      <c r="H535" s="20" t="s">
        <v>25</v>
      </c>
      <c r="I535" s="21" t="s">
        <v>2233</v>
      </c>
      <c r="J535" s="22">
        <f t="shared" si="40"/>
        <v>0.0944444444467081</v>
      </c>
      <c r="K535" s="22">
        <f t="shared" si="41"/>
        <v>2.26666666672099</v>
      </c>
      <c r="L535" s="22">
        <f t="shared" si="42"/>
        <v>2.26666666672099</v>
      </c>
      <c r="M535" s="22" cm="1">
        <f ca="1" t="array" ref="M535">SUMPRODUCT(--(WEEKDAY(ROW(INDIRECT(INT(F535)&amp;":"&amp;INT(I535))),2)&gt;5))</f>
        <v>0</v>
      </c>
      <c r="N535" s="22">
        <f ca="1" t="shared" si="43"/>
        <v>2.26666666672099</v>
      </c>
      <c r="O535" s="22" t="str">
        <f ca="1" t="shared" si="44"/>
        <v>Within SLA</v>
      </c>
      <c r="P535" s="26" t="s">
        <v>2230</v>
      </c>
      <c r="Q535" s="24" t="s">
        <v>37</v>
      </c>
      <c r="R535" s="25"/>
      <c r="S535" s="25"/>
    </row>
    <row r="536" ht="27" customHeight="1" spans="1:19">
      <c r="A536" s="19" t="s">
        <v>2234</v>
      </c>
      <c r="B536" s="20" t="s">
        <v>30</v>
      </c>
      <c r="C536" s="20" t="s">
        <v>2235</v>
      </c>
      <c r="D536" s="20" t="s">
        <v>32</v>
      </c>
      <c r="E536" s="21" t="s">
        <v>2233</v>
      </c>
      <c r="F536" s="21" t="s">
        <v>2236</v>
      </c>
      <c r="G536" s="20" t="s">
        <v>35</v>
      </c>
      <c r="H536" s="20" t="s">
        <v>25</v>
      </c>
      <c r="I536" s="21" t="s">
        <v>2176</v>
      </c>
      <c r="J536" s="22">
        <f t="shared" si="40"/>
        <v>0.0645833333328483</v>
      </c>
      <c r="K536" s="22">
        <f t="shared" si="41"/>
        <v>1.54999999998836</v>
      </c>
      <c r="L536" s="22">
        <f t="shared" si="42"/>
        <v>1.54999999998836</v>
      </c>
      <c r="M536" s="22" cm="1">
        <f ca="1" t="array" ref="M536">SUMPRODUCT(--(WEEKDAY(ROW(INDIRECT(INT(F536)&amp;":"&amp;INT(I536))),2)&gt;5))</f>
        <v>0</v>
      </c>
      <c r="N536" s="22">
        <f ca="1" t="shared" si="43"/>
        <v>1.54999999998836</v>
      </c>
      <c r="O536" s="22" t="str">
        <f ca="1" t="shared" si="44"/>
        <v>Within SLA</v>
      </c>
      <c r="P536" s="26" t="s">
        <v>2234</v>
      </c>
      <c r="Q536" s="24" t="s">
        <v>37</v>
      </c>
      <c r="R536" s="25"/>
      <c r="S536" s="25"/>
    </row>
    <row r="537" ht="39" customHeight="1" spans="1:19">
      <c r="A537" s="19" t="s">
        <v>2237</v>
      </c>
      <c r="B537" s="20" t="s">
        <v>19</v>
      </c>
      <c r="C537" s="20" t="s">
        <v>20</v>
      </c>
      <c r="D537" s="20" t="s">
        <v>21</v>
      </c>
      <c r="E537" s="21" t="s">
        <v>2233</v>
      </c>
      <c r="F537" s="21" t="s">
        <v>2238</v>
      </c>
      <c r="G537" s="20" t="s">
        <v>35</v>
      </c>
      <c r="H537" s="20" t="s">
        <v>25</v>
      </c>
      <c r="I537" s="21" t="s">
        <v>2239</v>
      </c>
      <c r="J537" s="22">
        <f t="shared" si="40"/>
        <v>17.0631944444394</v>
      </c>
      <c r="K537" s="22">
        <f t="shared" si="41"/>
        <v>409.516666666546</v>
      </c>
      <c r="L537" s="22">
        <f t="shared" si="42"/>
        <v>137.516666666546</v>
      </c>
      <c r="M537" s="22" cm="1">
        <f ca="1" t="array" ref="M537">SUMPRODUCT(--(WEEKDAY(ROW(INDIRECT(INT(F537)&amp;":"&amp;INT(I537))),2)&gt;5))</f>
        <v>4</v>
      </c>
      <c r="N537" s="22">
        <f ca="1" t="shared" si="43"/>
        <v>105.516666666546</v>
      </c>
      <c r="O537" s="22" t="str">
        <f ca="1" t="shared" si="44"/>
        <v>SLA Violated</v>
      </c>
      <c r="P537" s="26" t="s">
        <v>2237</v>
      </c>
      <c r="Q537" s="24" t="s">
        <v>37</v>
      </c>
      <c r="R537" s="25" t="s">
        <v>38</v>
      </c>
      <c r="S537" s="25" t="s">
        <v>39</v>
      </c>
    </row>
    <row r="538" ht="39" customHeight="1" spans="1:19">
      <c r="A538" s="19" t="s">
        <v>2240</v>
      </c>
      <c r="B538" s="20" t="s">
        <v>19</v>
      </c>
      <c r="C538" s="20" t="s">
        <v>20</v>
      </c>
      <c r="D538" s="20" t="s">
        <v>32</v>
      </c>
      <c r="E538" s="21" t="s">
        <v>2233</v>
      </c>
      <c r="F538" s="21" t="s">
        <v>2241</v>
      </c>
      <c r="G538" s="20" t="s">
        <v>35</v>
      </c>
      <c r="H538" s="20" t="s">
        <v>25</v>
      </c>
      <c r="I538" s="21" t="s">
        <v>2239</v>
      </c>
      <c r="J538" s="22">
        <f t="shared" si="40"/>
        <v>0.09375</v>
      </c>
      <c r="K538" s="22">
        <f t="shared" si="41"/>
        <v>2.25</v>
      </c>
      <c r="L538" s="22">
        <f t="shared" si="42"/>
        <v>2.25</v>
      </c>
      <c r="M538" s="22" cm="1">
        <f ca="1" t="array" ref="M538">SUMPRODUCT(--(WEEKDAY(ROW(INDIRECT(INT(F538)&amp;":"&amp;INT(I538))),2)&gt;5))</f>
        <v>0</v>
      </c>
      <c r="N538" s="22">
        <f ca="1" t="shared" si="43"/>
        <v>2.25</v>
      </c>
      <c r="O538" s="22" t="str">
        <f ca="1" t="shared" si="44"/>
        <v>Within SLA</v>
      </c>
      <c r="P538" s="26" t="s">
        <v>2240</v>
      </c>
      <c r="Q538" s="24" t="s">
        <v>37</v>
      </c>
      <c r="R538" s="25"/>
      <c r="S538" s="25"/>
    </row>
    <row r="539" ht="39" customHeight="1" spans="1:19">
      <c r="A539" s="19" t="s">
        <v>2242</v>
      </c>
      <c r="B539" s="20" t="s">
        <v>19</v>
      </c>
      <c r="C539" s="20" t="s">
        <v>20</v>
      </c>
      <c r="D539" s="20" t="s">
        <v>32</v>
      </c>
      <c r="E539" s="21" t="s">
        <v>2233</v>
      </c>
      <c r="F539" s="21" t="s">
        <v>2243</v>
      </c>
      <c r="G539" s="20" t="s">
        <v>35</v>
      </c>
      <c r="H539" s="20" t="s">
        <v>25</v>
      </c>
      <c r="I539" s="21" t="s">
        <v>2244</v>
      </c>
      <c r="J539" s="22">
        <f t="shared" si="40"/>
        <v>0.09375</v>
      </c>
      <c r="K539" s="22">
        <f t="shared" si="41"/>
        <v>2.25</v>
      </c>
      <c r="L539" s="22">
        <f t="shared" si="42"/>
        <v>2.25</v>
      </c>
      <c r="M539" s="22" cm="1">
        <f ca="1" t="array" ref="M539">SUMPRODUCT(--(WEEKDAY(ROW(INDIRECT(INT(F539)&amp;":"&amp;INT(I539))),2)&gt;5))</f>
        <v>0</v>
      </c>
      <c r="N539" s="22">
        <f ca="1" t="shared" si="43"/>
        <v>2.25</v>
      </c>
      <c r="O539" s="22" t="str">
        <f ca="1" t="shared" si="44"/>
        <v>Within SLA</v>
      </c>
      <c r="P539" s="26" t="s">
        <v>2242</v>
      </c>
      <c r="Q539" s="24" t="s">
        <v>37</v>
      </c>
      <c r="R539" s="25"/>
      <c r="S539" s="25"/>
    </row>
    <row r="540" ht="27" customHeight="1" spans="1:19">
      <c r="A540" s="19" t="s">
        <v>2245</v>
      </c>
      <c r="B540" s="20" t="s">
        <v>30</v>
      </c>
      <c r="C540" s="20" t="s">
        <v>31</v>
      </c>
      <c r="D540" s="20" t="s">
        <v>21</v>
      </c>
      <c r="E540" s="21" t="s">
        <v>2239</v>
      </c>
      <c r="F540" s="21" t="s">
        <v>2246</v>
      </c>
      <c r="G540" s="20" t="s">
        <v>24</v>
      </c>
      <c r="H540" s="20" t="s">
        <v>25</v>
      </c>
      <c r="I540" s="21" t="s">
        <v>2247</v>
      </c>
      <c r="J540" s="22">
        <f t="shared" si="40"/>
        <v>7.9597222222219</v>
      </c>
      <c r="K540" s="22">
        <f t="shared" si="41"/>
        <v>191.033333333326</v>
      </c>
      <c r="L540" s="22">
        <f t="shared" si="42"/>
        <v>63.0333333333256</v>
      </c>
      <c r="M540" s="22" cm="1">
        <f ca="1" t="array" ref="M540">SUMPRODUCT(--(WEEKDAY(ROW(INDIRECT(INT(F540)&amp;":"&amp;INT(I540))),2)&gt;5))</f>
        <v>2</v>
      </c>
      <c r="N540" s="22">
        <f ca="1" t="shared" si="43"/>
        <v>47.0333333333256</v>
      </c>
      <c r="O540" s="22" t="str">
        <f ca="1" t="shared" si="44"/>
        <v>SLA Violated</v>
      </c>
      <c r="P540" s="26" t="s">
        <v>2245</v>
      </c>
      <c r="Q540" s="24" t="s">
        <v>37</v>
      </c>
      <c r="R540" s="6" t="s">
        <v>2248</v>
      </c>
      <c r="S540" s="25" t="s">
        <v>39</v>
      </c>
    </row>
    <row r="541" ht="27" customHeight="1" spans="1:19">
      <c r="A541" s="19" t="s">
        <v>2249</v>
      </c>
      <c r="B541" s="20" t="s">
        <v>30</v>
      </c>
      <c r="C541" s="20" t="s">
        <v>31</v>
      </c>
      <c r="D541" s="20" t="s">
        <v>32</v>
      </c>
      <c r="E541" s="21" t="s">
        <v>2239</v>
      </c>
      <c r="F541" s="21" t="s">
        <v>2250</v>
      </c>
      <c r="G541" s="20" t="s">
        <v>35</v>
      </c>
      <c r="H541" s="20" t="s">
        <v>25</v>
      </c>
      <c r="I541" s="21" t="s">
        <v>2251</v>
      </c>
      <c r="J541" s="22">
        <f t="shared" si="40"/>
        <v>5.96527777778101</v>
      </c>
      <c r="K541" s="22">
        <f t="shared" si="41"/>
        <v>143.166666666744</v>
      </c>
      <c r="L541" s="22">
        <f t="shared" si="42"/>
        <v>47.1666666667443</v>
      </c>
      <c r="M541" s="22" cm="1">
        <f ca="1" t="array" ref="M541">SUMPRODUCT(--(WEEKDAY(ROW(INDIRECT(INT(F541)&amp;":"&amp;INT(I541))),2)&gt;5))</f>
        <v>2</v>
      </c>
      <c r="N541" s="22">
        <f ca="1" t="shared" si="43"/>
        <v>31.1666666667443</v>
      </c>
      <c r="O541" s="22" t="str">
        <f ca="1" t="shared" si="44"/>
        <v>SLA Violated</v>
      </c>
      <c r="P541" s="26" t="s">
        <v>2249</v>
      </c>
      <c r="Q541" s="24" t="s">
        <v>37</v>
      </c>
      <c r="R541" s="6" t="s">
        <v>2252</v>
      </c>
      <c r="S541" s="25" t="s">
        <v>39</v>
      </c>
    </row>
    <row r="542" ht="39" customHeight="1" spans="1:19">
      <c r="A542" s="19" t="s">
        <v>2253</v>
      </c>
      <c r="B542" s="20" t="s">
        <v>19</v>
      </c>
      <c r="C542" s="20" t="s">
        <v>20</v>
      </c>
      <c r="D542" s="20" t="s">
        <v>32</v>
      </c>
      <c r="E542" s="21" t="s">
        <v>2254</v>
      </c>
      <c r="F542" s="21" t="s">
        <v>2255</v>
      </c>
      <c r="G542" s="20" t="s">
        <v>35</v>
      </c>
      <c r="H542" s="20" t="s">
        <v>25</v>
      </c>
      <c r="I542" s="21" t="s">
        <v>2256</v>
      </c>
      <c r="J542" s="22">
        <f t="shared" si="40"/>
        <v>0.123611111106584</v>
      </c>
      <c r="K542" s="22">
        <f t="shared" si="41"/>
        <v>2.96666666655801</v>
      </c>
      <c r="L542" s="22">
        <f t="shared" si="42"/>
        <v>2.96666666655801</v>
      </c>
      <c r="M542" s="22" cm="1">
        <f ca="1" t="array" ref="M542">SUMPRODUCT(--(WEEKDAY(ROW(INDIRECT(INT(F542)&amp;":"&amp;INT(I542))),2)&gt;5))</f>
        <v>0</v>
      </c>
      <c r="N542" s="22">
        <f ca="1" t="shared" si="43"/>
        <v>2.96666666655801</v>
      </c>
      <c r="O542" s="22" t="str">
        <f ca="1" t="shared" si="44"/>
        <v>Within SLA</v>
      </c>
      <c r="P542" s="26" t="s">
        <v>2253</v>
      </c>
      <c r="Q542" s="24" t="s">
        <v>37</v>
      </c>
      <c r="R542" s="25"/>
      <c r="S542" s="25"/>
    </row>
    <row r="543" ht="27" customHeight="1" spans="1:19">
      <c r="A543" s="19" t="s">
        <v>2257</v>
      </c>
      <c r="B543" s="20" t="s">
        <v>30</v>
      </c>
      <c r="C543" s="20" t="s">
        <v>31</v>
      </c>
      <c r="D543" s="20" t="s">
        <v>32</v>
      </c>
      <c r="E543" s="21" t="s">
        <v>2254</v>
      </c>
      <c r="F543" s="21" t="s">
        <v>2258</v>
      </c>
      <c r="G543" s="20" t="s">
        <v>35</v>
      </c>
      <c r="H543" s="20" t="s">
        <v>25</v>
      </c>
      <c r="I543" s="21" t="s">
        <v>2259</v>
      </c>
      <c r="J543" s="22">
        <f t="shared" si="40"/>
        <v>0.0104166666642413</v>
      </c>
      <c r="K543" s="22">
        <f t="shared" si="41"/>
        <v>0.249999999941792</v>
      </c>
      <c r="L543" s="22">
        <f t="shared" si="42"/>
        <v>0.249999999941792</v>
      </c>
      <c r="M543" s="22" cm="1">
        <f ca="1" t="array" ref="M543">SUMPRODUCT(--(WEEKDAY(ROW(INDIRECT(INT(F543)&amp;":"&amp;INT(I543))),2)&gt;5))</f>
        <v>0</v>
      </c>
      <c r="N543" s="22">
        <f ca="1" t="shared" si="43"/>
        <v>0.249999999941792</v>
      </c>
      <c r="O543" s="22" t="str">
        <f ca="1" t="shared" si="44"/>
        <v>Within SLA</v>
      </c>
      <c r="P543" s="26" t="s">
        <v>2257</v>
      </c>
      <c r="Q543" s="24" t="s">
        <v>37</v>
      </c>
      <c r="R543" s="25"/>
      <c r="S543" s="25"/>
    </row>
    <row r="544" ht="16" customHeight="1" spans="1:19">
      <c r="A544" s="28" t="s">
        <v>2260</v>
      </c>
      <c r="B544" s="20" t="s">
        <v>100</v>
      </c>
      <c r="C544" s="20" t="s">
        <v>101</v>
      </c>
      <c r="D544" s="20" t="s">
        <v>32</v>
      </c>
      <c r="E544" s="21" t="s">
        <v>2254</v>
      </c>
      <c r="F544" s="21" t="s">
        <v>2261</v>
      </c>
      <c r="G544" s="20" t="s">
        <v>35</v>
      </c>
      <c r="H544" s="20" t="s">
        <v>25</v>
      </c>
      <c r="I544" s="21" t="s">
        <v>2256</v>
      </c>
      <c r="J544" s="22">
        <f t="shared" si="40"/>
        <v>2.92222222221608</v>
      </c>
      <c r="K544" s="22">
        <f t="shared" si="41"/>
        <v>70.1333333331859</v>
      </c>
      <c r="L544" s="22">
        <f t="shared" si="42"/>
        <v>22.1333333331859</v>
      </c>
      <c r="M544" s="22" cm="1">
        <f ca="1" t="array" ref="M544">SUMPRODUCT(--(WEEKDAY(ROW(INDIRECT(INT(F544)&amp;":"&amp;INT(I544))),2)&gt;5))</f>
        <v>0</v>
      </c>
      <c r="N544" s="22">
        <f ca="1" t="shared" si="43"/>
        <v>22.1333333331859</v>
      </c>
      <c r="O544" s="22" t="str">
        <f ca="1" t="shared" si="44"/>
        <v>SLA Violated</v>
      </c>
      <c r="P544" s="26" t="s">
        <v>2262</v>
      </c>
      <c r="Q544" s="24" t="s">
        <v>28</v>
      </c>
      <c r="R544" s="25"/>
      <c r="S544" s="25"/>
    </row>
    <row r="545" ht="27" customHeight="1" spans="1:19">
      <c r="A545" s="19" t="s">
        <v>2263</v>
      </c>
      <c r="B545" s="20" t="s">
        <v>30</v>
      </c>
      <c r="C545" s="20" t="s">
        <v>31</v>
      </c>
      <c r="D545" s="20" t="s">
        <v>32</v>
      </c>
      <c r="E545" s="21" t="s">
        <v>2264</v>
      </c>
      <c r="F545" s="21" t="s">
        <v>2265</v>
      </c>
      <c r="G545" s="20" t="s">
        <v>35</v>
      </c>
      <c r="H545" s="20" t="s">
        <v>25</v>
      </c>
      <c r="I545" s="21" t="s">
        <v>2266</v>
      </c>
      <c r="J545" s="22">
        <f t="shared" si="40"/>
        <v>0.90625</v>
      </c>
      <c r="K545" s="22">
        <f t="shared" si="41"/>
        <v>21.75</v>
      </c>
      <c r="L545" s="22">
        <f t="shared" si="42"/>
        <v>5.75</v>
      </c>
      <c r="M545" s="22" cm="1">
        <f ca="1" t="array" ref="M545">SUMPRODUCT(--(WEEKDAY(ROW(INDIRECT(INT(F545)&amp;":"&amp;INT(I545))),2)&gt;5))</f>
        <v>0</v>
      </c>
      <c r="N545" s="22">
        <f ca="1" t="shared" si="43"/>
        <v>5.75</v>
      </c>
      <c r="O545" s="22" t="str">
        <f ca="1" t="shared" si="44"/>
        <v>Within SLA</v>
      </c>
      <c r="P545" s="26" t="s">
        <v>2263</v>
      </c>
      <c r="Q545" s="24" t="s">
        <v>37</v>
      </c>
      <c r="R545" s="25"/>
      <c r="S545" s="25"/>
    </row>
    <row r="546" ht="39" customHeight="1" spans="1:19">
      <c r="A546" s="19" t="s">
        <v>2267</v>
      </c>
      <c r="B546" s="20" t="s">
        <v>19</v>
      </c>
      <c r="C546" s="20" t="s">
        <v>20</v>
      </c>
      <c r="D546" s="20" t="s">
        <v>32</v>
      </c>
      <c r="E546" s="21" t="s">
        <v>2268</v>
      </c>
      <c r="F546" s="21" t="s">
        <v>2269</v>
      </c>
      <c r="G546" s="20" t="s">
        <v>35</v>
      </c>
      <c r="H546" s="20" t="s">
        <v>25</v>
      </c>
      <c r="I546" s="21" t="s">
        <v>2270</v>
      </c>
      <c r="J546" s="22">
        <f t="shared" si="40"/>
        <v>0.188888888893416</v>
      </c>
      <c r="K546" s="22">
        <f t="shared" si="41"/>
        <v>4.53333333344199</v>
      </c>
      <c r="L546" s="22">
        <f t="shared" si="42"/>
        <v>4.53333333344199</v>
      </c>
      <c r="M546" s="22" cm="1">
        <f ca="1" t="array" ref="M546">SUMPRODUCT(--(WEEKDAY(ROW(INDIRECT(INT(F546)&amp;":"&amp;INT(I546))),2)&gt;5))</f>
        <v>0</v>
      </c>
      <c r="N546" s="22">
        <f ca="1" t="shared" si="43"/>
        <v>4.53333333344199</v>
      </c>
      <c r="O546" s="22" t="str">
        <f ca="1" t="shared" si="44"/>
        <v>Within SLA</v>
      </c>
      <c r="P546" s="26" t="s">
        <v>2267</v>
      </c>
      <c r="Q546" s="24" t="s">
        <v>37</v>
      </c>
      <c r="R546" s="25"/>
      <c r="S546" s="25"/>
    </row>
    <row r="547" ht="27" customHeight="1" spans="1:19">
      <c r="A547" s="19" t="s">
        <v>2271</v>
      </c>
      <c r="B547" s="20" t="s">
        <v>30</v>
      </c>
      <c r="C547" s="20" t="s">
        <v>31</v>
      </c>
      <c r="D547" s="20" t="s">
        <v>32</v>
      </c>
      <c r="E547" s="21" t="s">
        <v>2272</v>
      </c>
      <c r="F547" s="21" t="s">
        <v>2273</v>
      </c>
      <c r="G547" s="20" t="s">
        <v>35</v>
      </c>
      <c r="H547" s="20" t="s">
        <v>25</v>
      </c>
      <c r="I547" s="21" t="s">
        <v>2274</v>
      </c>
      <c r="J547" s="22">
        <f t="shared" si="40"/>
        <v>0.0583333333343035</v>
      </c>
      <c r="K547" s="22">
        <f t="shared" si="41"/>
        <v>1.40000000002328</v>
      </c>
      <c r="L547" s="22">
        <f t="shared" si="42"/>
        <v>1.40000000002328</v>
      </c>
      <c r="M547" s="22" cm="1">
        <f ca="1" t="array" ref="M547">SUMPRODUCT(--(WEEKDAY(ROW(INDIRECT(INT(F547)&amp;":"&amp;INT(I547))),2)&gt;5))</f>
        <v>0</v>
      </c>
      <c r="N547" s="22">
        <f ca="1" t="shared" si="43"/>
        <v>1.40000000002328</v>
      </c>
      <c r="O547" s="22" t="str">
        <f ca="1" t="shared" si="44"/>
        <v>Within SLA</v>
      </c>
      <c r="P547" s="26" t="s">
        <v>2271</v>
      </c>
      <c r="Q547" s="24" t="s">
        <v>37</v>
      </c>
      <c r="R547" s="25"/>
      <c r="S547" s="25"/>
    </row>
    <row r="548" ht="39" customHeight="1" spans="1:19">
      <c r="A548" s="19" t="s">
        <v>2275</v>
      </c>
      <c r="B548" s="20" t="s">
        <v>19</v>
      </c>
      <c r="C548" s="20" t="s">
        <v>20</v>
      </c>
      <c r="D548" s="20" t="s">
        <v>32</v>
      </c>
      <c r="E548" s="21" t="s">
        <v>2276</v>
      </c>
      <c r="F548" s="21" t="s">
        <v>2277</v>
      </c>
      <c r="G548" s="20" t="s">
        <v>35</v>
      </c>
      <c r="H548" s="20" t="s">
        <v>25</v>
      </c>
      <c r="I548" s="21" t="s">
        <v>2278</v>
      </c>
      <c r="J548" s="22">
        <f t="shared" si="40"/>
        <v>0.0298611111065838</v>
      </c>
      <c r="K548" s="22">
        <f t="shared" si="41"/>
        <v>0.716666666558012</v>
      </c>
      <c r="L548" s="22">
        <f t="shared" si="42"/>
        <v>0.716666666558012</v>
      </c>
      <c r="M548" s="22" cm="1">
        <f ca="1" t="array" ref="M548">SUMPRODUCT(--(WEEKDAY(ROW(INDIRECT(INT(F548)&amp;":"&amp;INT(I548))),2)&gt;5))</f>
        <v>0</v>
      </c>
      <c r="N548" s="22">
        <f ca="1" t="shared" si="43"/>
        <v>0.716666666558012</v>
      </c>
      <c r="O548" s="22" t="str">
        <f ca="1" t="shared" si="44"/>
        <v>Within SLA</v>
      </c>
      <c r="P548" s="26" t="s">
        <v>2275</v>
      </c>
      <c r="Q548" s="24" t="s">
        <v>37</v>
      </c>
      <c r="R548" s="25"/>
      <c r="S548" s="25"/>
    </row>
    <row r="549" ht="27" customHeight="1" spans="1:19">
      <c r="A549" s="19" t="s">
        <v>2279</v>
      </c>
      <c r="B549" s="20" t="s">
        <v>1047</v>
      </c>
      <c r="C549" s="20" t="s">
        <v>46</v>
      </c>
      <c r="D549" s="20" t="s">
        <v>32</v>
      </c>
      <c r="E549" s="21" t="s">
        <v>2280</v>
      </c>
      <c r="F549" s="21" t="s">
        <v>2281</v>
      </c>
      <c r="G549" s="20" t="s">
        <v>35</v>
      </c>
      <c r="H549" s="20" t="s">
        <v>25</v>
      </c>
      <c r="I549" s="21" t="s">
        <v>2282</v>
      </c>
      <c r="J549" s="22">
        <f t="shared" si="40"/>
        <v>0.170138888890506</v>
      </c>
      <c r="K549" s="22">
        <f t="shared" si="41"/>
        <v>4.08333333337214</v>
      </c>
      <c r="L549" s="22">
        <f t="shared" si="42"/>
        <v>4.08333333337214</v>
      </c>
      <c r="M549" s="22" cm="1">
        <f ca="1" t="array" ref="M549">SUMPRODUCT(--(WEEKDAY(ROW(INDIRECT(INT(F549)&amp;":"&amp;INT(I549))),2)&gt;5))</f>
        <v>0</v>
      </c>
      <c r="N549" s="22">
        <f ca="1" t="shared" si="43"/>
        <v>4.08333333337214</v>
      </c>
      <c r="O549" s="22" t="str">
        <f ca="1" t="shared" si="44"/>
        <v>Within SLA</v>
      </c>
      <c r="P549" s="26" t="s">
        <v>2279</v>
      </c>
      <c r="Q549" s="24" t="s">
        <v>37</v>
      </c>
      <c r="R549" s="25"/>
      <c r="S549" s="25"/>
    </row>
    <row r="550" ht="27" customHeight="1" spans="1:19">
      <c r="A550" s="19" t="s">
        <v>2283</v>
      </c>
      <c r="B550" s="20" t="s">
        <v>1047</v>
      </c>
      <c r="C550" s="20" t="s">
        <v>46</v>
      </c>
      <c r="D550" s="20" t="s">
        <v>32</v>
      </c>
      <c r="E550" s="21" t="s">
        <v>2280</v>
      </c>
      <c r="F550" s="21" t="s">
        <v>2284</v>
      </c>
      <c r="G550" s="20" t="s">
        <v>35</v>
      </c>
      <c r="H550" s="20" t="s">
        <v>25</v>
      </c>
      <c r="I550" s="21" t="s">
        <v>2282</v>
      </c>
      <c r="J550" s="22">
        <f t="shared" si="40"/>
        <v>0.0881944444481633</v>
      </c>
      <c r="K550" s="22">
        <f t="shared" si="41"/>
        <v>2.11666666675592</v>
      </c>
      <c r="L550" s="22">
        <f t="shared" si="42"/>
        <v>2.11666666675592</v>
      </c>
      <c r="M550" s="22" cm="1">
        <f ca="1" t="array" ref="M550">SUMPRODUCT(--(WEEKDAY(ROW(INDIRECT(INT(F550)&amp;":"&amp;INT(I550))),2)&gt;5))</f>
        <v>0</v>
      </c>
      <c r="N550" s="22">
        <f ca="1" t="shared" si="43"/>
        <v>2.11666666675592</v>
      </c>
      <c r="O550" s="22" t="str">
        <f ca="1" t="shared" si="44"/>
        <v>Within SLA</v>
      </c>
      <c r="P550" s="26" t="s">
        <v>2283</v>
      </c>
      <c r="Q550" s="24" t="s">
        <v>37</v>
      </c>
      <c r="R550" s="25"/>
      <c r="S550" s="25"/>
    </row>
    <row r="551" ht="27" customHeight="1" spans="1:19">
      <c r="A551" s="19" t="s">
        <v>2285</v>
      </c>
      <c r="B551" s="20" t="s">
        <v>30</v>
      </c>
      <c r="C551" s="20" t="s">
        <v>31</v>
      </c>
      <c r="D551" s="20" t="s">
        <v>32</v>
      </c>
      <c r="E551" s="21" t="s">
        <v>2286</v>
      </c>
      <c r="F551" s="21" t="s">
        <v>2287</v>
      </c>
      <c r="G551" s="20" t="s">
        <v>35</v>
      </c>
      <c r="H551" s="20" t="s">
        <v>25</v>
      </c>
      <c r="I551" s="21" t="s">
        <v>2288</v>
      </c>
      <c r="J551" s="22">
        <f t="shared" si="40"/>
        <v>2.12152777777374</v>
      </c>
      <c r="K551" s="22">
        <f t="shared" si="41"/>
        <v>50.9166666665697</v>
      </c>
      <c r="L551" s="22">
        <f t="shared" si="42"/>
        <v>18.9166666665697</v>
      </c>
      <c r="M551" s="22" cm="1">
        <f ca="1" t="array" ref="M551">SUMPRODUCT(--(WEEKDAY(ROW(INDIRECT(INT(F551)&amp;":"&amp;INT(I551))),2)&gt;5))</f>
        <v>0</v>
      </c>
      <c r="N551" s="22">
        <f ca="1" t="shared" si="43"/>
        <v>18.9166666665697</v>
      </c>
      <c r="O551" s="22" t="str">
        <f ca="1" t="shared" si="44"/>
        <v>SLA Violated</v>
      </c>
      <c r="P551" s="26" t="s">
        <v>2285</v>
      </c>
      <c r="Q551" s="24" t="s">
        <v>37</v>
      </c>
      <c r="R551" s="6" t="s">
        <v>2289</v>
      </c>
      <c r="S551" s="25" t="s">
        <v>39</v>
      </c>
    </row>
    <row r="552" ht="27" customHeight="1" spans="1:19">
      <c r="A552" s="19" t="s">
        <v>2290</v>
      </c>
      <c r="B552" s="20" t="s">
        <v>30</v>
      </c>
      <c r="C552" s="20" t="s">
        <v>31</v>
      </c>
      <c r="D552" s="20" t="s">
        <v>32</v>
      </c>
      <c r="E552" s="21" t="s">
        <v>2291</v>
      </c>
      <c r="F552" s="21" t="s">
        <v>2292</v>
      </c>
      <c r="G552" s="20" t="s">
        <v>35</v>
      </c>
      <c r="H552" s="20" t="s">
        <v>25</v>
      </c>
      <c r="I552" s="21" t="s">
        <v>2293</v>
      </c>
      <c r="J552" s="22">
        <f t="shared" si="40"/>
        <v>0.819444444445253</v>
      </c>
      <c r="K552" s="22">
        <f t="shared" si="41"/>
        <v>19.6666666666861</v>
      </c>
      <c r="L552" s="22">
        <f t="shared" si="42"/>
        <v>3.66666666668607</v>
      </c>
      <c r="M552" s="22" cm="1">
        <f ca="1" t="array" ref="M552">SUMPRODUCT(--(WEEKDAY(ROW(INDIRECT(INT(F552)&amp;":"&amp;INT(I552))),2)&gt;5))</f>
        <v>0</v>
      </c>
      <c r="N552" s="22">
        <f ca="1" t="shared" si="43"/>
        <v>3.66666666668607</v>
      </c>
      <c r="O552" s="22" t="str">
        <f ca="1" t="shared" si="44"/>
        <v>Within SLA</v>
      </c>
      <c r="P552" s="26" t="s">
        <v>2290</v>
      </c>
      <c r="Q552" s="24" t="s">
        <v>37</v>
      </c>
      <c r="R552" s="25"/>
      <c r="S552" s="25"/>
    </row>
    <row r="553" ht="39" customHeight="1" spans="1:19">
      <c r="A553" s="19" t="s">
        <v>2294</v>
      </c>
      <c r="B553" s="20" t="s">
        <v>196</v>
      </c>
      <c r="C553" s="20" t="s">
        <v>46</v>
      </c>
      <c r="D553" s="20" t="s">
        <v>32</v>
      </c>
      <c r="E553" s="21" t="s">
        <v>2295</v>
      </c>
      <c r="F553" s="21" t="s">
        <v>2296</v>
      </c>
      <c r="G553" s="20" t="s">
        <v>35</v>
      </c>
      <c r="H553" s="20" t="s">
        <v>25</v>
      </c>
      <c r="I553" s="21" t="s">
        <v>2297</v>
      </c>
      <c r="J553" s="22">
        <f t="shared" si="40"/>
        <v>0.121527777781012</v>
      </c>
      <c r="K553" s="22">
        <f t="shared" si="41"/>
        <v>2.91666666674428</v>
      </c>
      <c r="L553" s="22">
        <f t="shared" si="42"/>
        <v>2.91666666674428</v>
      </c>
      <c r="M553" s="22" cm="1">
        <f ca="1" t="array" ref="M553">SUMPRODUCT(--(WEEKDAY(ROW(INDIRECT(INT(F553)&amp;":"&amp;INT(I553))),2)&gt;5))</f>
        <v>0</v>
      </c>
      <c r="N553" s="22">
        <f ca="1" t="shared" si="43"/>
        <v>2.91666666674428</v>
      </c>
      <c r="O553" s="22" t="str">
        <f ca="1" t="shared" si="44"/>
        <v>Within SLA</v>
      </c>
      <c r="P553" s="26" t="s">
        <v>2294</v>
      </c>
      <c r="Q553" s="24" t="s">
        <v>37</v>
      </c>
      <c r="R553" s="25"/>
      <c r="S553" s="25"/>
    </row>
    <row r="554" ht="27" customHeight="1" spans="1:19">
      <c r="A554" s="19" t="s">
        <v>2298</v>
      </c>
      <c r="B554" s="20" t="s">
        <v>30</v>
      </c>
      <c r="C554" s="20" t="s">
        <v>31</v>
      </c>
      <c r="D554" s="20" t="s">
        <v>32</v>
      </c>
      <c r="E554" s="21" t="s">
        <v>2295</v>
      </c>
      <c r="F554" s="21" t="s">
        <v>2299</v>
      </c>
      <c r="G554" s="20" t="s">
        <v>35</v>
      </c>
      <c r="H554" s="20" t="s">
        <v>25</v>
      </c>
      <c r="I554" s="21" t="s">
        <v>2300</v>
      </c>
      <c r="J554" s="22">
        <f t="shared" si="40"/>
        <v>7.05694444444816</v>
      </c>
      <c r="K554" s="22">
        <f t="shared" si="41"/>
        <v>169.366666666756</v>
      </c>
      <c r="L554" s="22">
        <f t="shared" si="42"/>
        <v>57.3666666667559</v>
      </c>
      <c r="M554" s="22" cm="1">
        <f ca="1" t="array" ref="M554">SUMPRODUCT(--(WEEKDAY(ROW(INDIRECT(INT(F554)&amp;":"&amp;INT(I554))),2)&gt;5))</f>
        <v>2</v>
      </c>
      <c r="N554" s="22">
        <f ca="1" t="shared" si="43"/>
        <v>41.3666666667559</v>
      </c>
      <c r="O554" s="22" t="str">
        <f ca="1" t="shared" si="44"/>
        <v>SLA Violated</v>
      </c>
      <c r="P554" s="23" t="s">
        <v>2301</v>
      </c>
      <c r="Q554" s="24" t="s">
        <v>28</v>
      </c>
      <c r="R554" s="25"/>
      <c r="S554" s="25"/>
    </row>
    <row r="555" ht="27" customHeight="1" spans="1:19">
      <c r="A555" s="19" t="s">
        <v>2302</v>
      </c>
      <c r="B555" s="20" t="s">
        <v>30</v>
      </c>
      <c r="C555" s="20" t="s">
        <v>31</v>
      </c>
      <c r="D555" s="20" t="s">
        <v>32</v>
      </c>
      <c r="E555" s="21" t="s">
        <v>2295</v>
      </c>
      <c r="F555" s="21" t="s">
        <v>2303</v>
      </c>
      <c r="G555" s="20" t="s">
        <v>35</v>
      </c>
      <c r="H555" s="20" t="s">
        <v>25</v>
      </c>
      <c r="I555" s="21" t="s">
        <v>2304</v>
      </c>
      <c r="J555" s="22">
        <f t="shared" si="40"/>
        <v>1.87777777777956</v>
      </c>
      <c r="K555" s="22">
        <f t="shared" si="41"/>
        <v>45.0666666667094</v>
      </c>
      <c r="L555" s="22">
        <f t="shared" si="42"/>
        <v>13.0666666667094</v>
      </c>
      <c r="M555" s="22" cm="1">
        <f ca="1" t="array" ref="M555">SUMPRODUCT(--(WEEKDAY(ROW(INDIRECT(INT(F555)&amp;":"&amp;INT(I555))),2)&gt;5))</f>
        <v>0</v>
      </c>
      <c r="N555" s="22">
        <f ca="1" t="shared" si="43"/>
        <v>13.0666666667094</v>
      </c>
      <c r="O555" s="22" t="str">
        <f ca="1" t="shared" si="44"/>
        <v>SLA Violated</v>
      </c>
      <c r="P555" s="26" t="s">
        <v>2302</v>
      </c>
      <c r="Q555" s="24" t="s">
        <v>37</v>
      </c>
      <c r="R555" s="6" t="s">
        <v>2252</v>
      </c>
      <c r="S555" s="25" t="s">
        <v>39</v>
      </c>
    </row>
    <row r="556" ht="27" customHeight="1" spans="1:19">
      <c r="A556" s="19" t="s">
        <v>2305</v>
      </c>
      <c r="B556" s="20" t="s">
        <v>30</v>
      </c>
      <c r="C556" s="20" t="s">
        <v>31</v>
      </c>
      <c r="D556" s="20" t="s">
        <v>32</v>
      </c>
      <c r="E556" s="21" t="s">
        <v>2297</v>
      </c>
      <c r="F556" s="21" t="s">
        <v>2306</v>
      </c>
      <c r="G556" s="20" t="s">
        <v>24</v>
      </c>
      <c r="H556" s="20" t="s">
        <v>25</v>
      </c>
      <c r="I556" s="21" t="s">
        <v>2307</v>
      </c>
      <c r="J556" s="22">
        <f t="shared" si="40"/>
        <v>2.87222222222044</v>
      </c>
      <c r="K556" s="22">
        <f t="shared" si="41"/>
        <v>68.9333333332906</v>
      </c>
      <c r="L556" s="22">
        <f t="shared" si="42"/>
        <v>20.9333333332906</v>
      </c>
      <c r="M556" s="22" cm="1">
        <f ca="1" t="array" ref="M556">SUMPRODUCT(--(WEEKDAY(ROW(INDIRECT(INT(F556)&amp;":"&amp;INT(I556))),2)&gt;5))</f>
        <v>0</v>
      </c>
      <c r="N556" s="22">
        <f ca="1" t="shared" si="43"/>
        <v>20.9333333332906</v>
      </c>
      <c r="O556" s="22" t="str">
        <f ca="1" t="shared" si="44"/>
        <v>SLA Violated</v>
      </c>
      <c r="P556" s="23" t="s">
        <v>2308</v>
      </c>
      <c r="Q556" s="24" t="s">
        <v>28</v>
      </c>
      <c r="R556" s="25"/>
      <c r="S556" s="25"/>
    </row>
    <row r="557" ht="27" customHeight="1" spans="1:19">
      <c r="A557" s="19" t="s">
        <v>2309</v>
      </c>
      <c r="B557" s="20" t="s">
        <v>121</v>
      </c>
      <c r="C557" s="20" t="s">
        <v>849</v>
      </c>
      <c r="D557" s="20" t="s">
        <v>32</v>
      </c>
      <c r="E557" s="21" t="s">
        <v>2310</v>
      </c>
      <c r="F557" s="21" t="s">
        <v>2311</v>
      </c>
      <c r="G557" s="20" t="s">
        <v>35</v>
      </c>
      <c r="H557" s="20" t="s">
        <v>25</v>
      </c>
      <c r="I557" s="21" t="s">
        <v>2312</v>
      </c>
      <c r="J557" s="22">
        <f t="shared" si="40"/>
        <v>7.77916666666715</v>
      </c>
      <c r="K557" s="22">
        <f t="shared" si="41"/>
        <v>186.700000000012</v>
      </c>
      <c r="L557" s="22">
        <f t="shared" si="42"/>
        <v>58.7000000000116</v>
      </c>
      <c r="M557" s="22" cm="1">
        <f ca="1" t="array" ref="M557">SUMPRODUCT(--(WEEKDAY(ROW(INDIRECT(INT(F557)&amp;":"&amp;INT(I557))),2)&gt;5))</f>
        <v>2</v>
      </c>
      <c r="N557" s="22">
        <f ca="1" t="shared" si="43"/>
        <v>42.7000000000116</v>
      </c>
      <c r="O557" s="22" t="str">
        <f ca="1" t="shared" si="44"/>
        <v>SLA Violated</v>
      </c>
      <c r="P557" s="23" t="s">
        <v>2313</v>
      </c>
      <c r="Q557" s="24" t="s">
        <v>28</v>
      </c>
      <c r="R557" s="25"/>
      <c r="S557" s="25"/>
    </row>
    <row r="558" ht="39" customHeight="1" spans="1:19">
      <c r="A558" s="19" t="s">
        <v>2314</v>
      </c>
      <c r="B558" s="20" t="s">
        <v>19</v>
      </c>
      <c r="C558" s="20" t="s">
        <v>20</v>
      </c>
      <c r="D558" s="20" t="s">
        <v>32</v>
      </c>
      <c r="E558" s="21" t="s">
        <v>2310</v>
      </c>
      <c r="F558" s="21" t="s">
        <v>2315</v>
      </c>
      <c r="G558" s="20" t="s">
        <v>35</v>
      </c>
      <c r="H558" s="20" t="s">
        <v>25</v>
      </c>
      <c r="I558" s="21" t="s">
        <v>2316</v>
      </c>
      <c r="J558" s="22">
        <f t="shared" si="40"/>
        <v>0.0104166666715173</v>
      </c>
      <c r="K558" s="22">
        <f t="shared" si="41"/>
        <v>0.250000000116415</v>
      </c>
      <c r="L558" s="22">
        <f t="shared" si="42"/>
        <v>0.250000000116415</v>
      </c>
      <c r="M558" s="22" cm="1">
        <f ca="1" t="array" ref="M558">SUMPRODUCT(--(WEEKDAY(ROW(INDIRECT(INT(F558)&amp;":"&amp;INT(I558))),2)&gt;5))</f>
        <v>0</v>
      </c>
      <c r="N558" s="22">
        <f ca="1" t="shared" si="43"/>
        <v>0.250000000116415</v>
      </c>
      <c r="O558" s="22" t="str">
        <f ca="1" t="shared" si="44"/>
        <v>Within SLA</v>
      </c>
      <c r="P558" s="26" t="s">
        <v>2314</v>
      </c>
      <c r="Q558" s="24" t="s">
        <v>37</v>
      </c>
      <c r="R558" s="25"/>
      <c r="S558" s="25"/>
    </row>
    <row r="559" ht="39" customHeight="1" spans="1:19">
      <c r="A559" s="19" t="s">
        <v>2317</v>
      </c>
      <c r="B559" s="20" t="s">
        <v>19</v>
      </c>
      <c r="C559" s="20" t="s">
        <v>20</v>
      </c>
      <c r="D559" s="20" t="s">
        <v>32</v>
      </c>
      <c r="E559" s="21" t="s">
        <v>2318</v>
      </c>
      <c r="F559" s="21" t="s">
        <v>2319</v>
      </c>
      <c r="G559" s="20" t="s">
        <v>35</v>
      </c>
      <c r="H559" s="20" t="s">
        <v>25</v>
      </c>
      <c r="I559" s="21" t="s">
        <v>2320</v>
      </c>
      <c r="J559" s="22">
        <f t="shared" si="40"/>
        <v>0.994444444440887</v>
      </c>
      <c r="K559" s="22">
        <f t="shared" si="41"/>
        <v>23.8666666665813</v>
      </c>
      <c r="L559" s="22">
        <f t="shared" si="42"/>
        <v>7.8666666665813</v>
      </c>
      <c r="M559" s="22" cm="1">
        <f ca="1" t="array" ref="M559">SUMPRODUCT(--(WEEKDAY(ROW(INDIRECT(INT(F559)&amp;":"&amp;INT(I559))),2)&gt;5))</f>
        <v>0</v>
      </c>
      <c r="N559" s="22">
        <f ca="1" t="shared" si="43"/>
        <v>7.8666666665813</v>
      </c>
      <c r="O559" s="22" t="str">
        <f ca="1" t="shared" si="44"/>
        <v>Within SLA</v>
      </c>
      <c r="P559" s="26" t="s">
        <v>2317</v>
      </c>
      <c r="Q559" s="24" t="s">
        <v>37</v>
      </c>
      <c r="R559" s="25"/>
      <c r="S559" s="25"/>
    </row>
    <row r="560" ht="39" customHeight="1" spans="1:19">
      <c r="A560" s="19" t="s">
        <v>2321</v>
      </c>
      <c r="B560" s="20" t="s">
        <v>19</v>
      </c>
      <c r="C560" s="20" t="s">
        <v>20</v>
      </c>
      <c r="D560" s="20" t="s">
        <v>32</v>
      </c>
      <c r="E560" s="21" t="s">
        <v>2322</v>
      </c>
      <c r="F560" s="21" t="s">
        <v>2323</v>
      </c>
      <c r="G560" s="20" t="s">
        <v>35</v>
      </c>
      <c r="H560" s="20" t="s">
        <v>25</v>
      </c>
      <c r="I560" s="21" t="s">
        <v>2324</v>
      </c>
      <c r="J560" s="22">
        <f t="shared" si="40"/>
        <v>0.0444444444437977</v>
      </c>
      <c r="K560" s="22">
        <f t="shared" si="41"/>
        <v>1.06666666665114</v>
      </c>
      <c r="L560" s="22">
        <f t="shared" si="42"/>
        <v>1.06666666665114</v>
      </c>
      <c r="M560" s="22" cm="1">
        <f ca="1" t="array" ref="M560">SUMPRODUCT(--(WEEKDAY(ROW(INDIRECT(INT(F560)&amp;":"&amp;INT(I560))),2)&gt;5))</f>
        <v>0</v>
      </c>
      <c r="N560" s="22">
        <f ca="1" t="shared" si="43"/>
        <v>1.06666666665114</v>
      </c>
      <c r="O560" s="22" t="str">
        <f ca="1" t="shared" si="44"/>
        <v>Within SLA</v>
      </c>
      <c r="P560" s="26" t="s">
        <v>2321</v>
      </c>
      <c r="Q560" s="24" t="s">
        <v>37</v>
      </c>
      <c r="R560" s="25"/>
      <c r="S560" s="25"/>
    </row>
    <row r="561" ht="27" customHeight="1" spans="1:19">
      <c r="A561" s="19" t="s">
        <v>2325</v>
      </c>
      <c r="B561" s="20" t="s">
        <v>30</v>
      </c>
      <c r="C561" s="20" t="s">
        <v>31</v>
      </c>
      <c r="D561" s="20" t="s">
        <v>32</v>
      </c>
      <c r="E561" s="21" t="s">
        <v>2326</v>
      </c>
      <c r="F561" s="21" t="s">
        <v>2327</v>
      </c>
      <c r="G561" s="20" t="s">
        <v>35</v>
      </c>
      <c r="H561" s="20" t="s">
        <v>25</v>
      </c>
      <c r="I561" s="21" t="s">
        <v>2328</v>
      </c>
      <c r="J561" s="22">
        <f t="shared" si="40"/>
        <v>0.765277777776646</v>
      </c>
      <c r="K561" s="22">
        <f t="shared" si="41"/>
        <v>18.3666666666395</v>
      </c>
      <c r="L561" s="22">
        <f t="shared" si="42"/>
        <v>2.3666666666395</v>
      </c>
      <c r="M561" s="22" cm="1">
        <f ca="1" t="array" ref="M561">SUMPRODUCT(--(WEEKDAY(ROW(INDIRECT(INT(F561)&amp;":"&amp;INT(I561))),2)&gt;5))</f>
        <v>0</v>
      </c>
      <c r="N561" s="22">
        <f ca="1" t="shared" si="43"/>
        <v>2.3666666666395</v>
      </c>
      <c r="O561" s="22" t="str">
        <f ca="1" t="shared" si="44"/>
        <v>Within SLA</v>
      </c>
      <c r="P561" s="26" t="s">
        <v>2325</v>
      </c>
      <c r="Q561" s="24" t="s">
        <v>37</v>
      </c>
      <c r="R561" s="25"/>
      <c r="S561" s="25"/>
    </row>
    <row r="562" ht="27" customHeight="1" spans="1:19">
      <c r="A562" s="19" t="s">
        <v>2329</v>
      </c>
      <c r="B562" s="20" t="s">
        <v>30</v>
      </c>
      <c r="C562" s="20" t="s">
        <v>849</v>
      </c>
      <c r="D562" s="20" t="s">
        <v>32</v>
      </c>
      <c r="E562" s="21" t="s">
        <v>2330</v>
      </c>
      <c r="F562" s="21" t="s">
        <v>2331</v>
      </c>
      <c r="G562" s="20" t="s">
        <v>35</v>
      </c>
      <c r="H562" s="20" t="s">
        <v>25</v>
      </c>
      <c r="I562" s="21" t="s">
        <v>2332</v>
      </c>
      <c r="J562" s="22">
        <f t="shared" si="40"/>
        <v>-0.0208333333357587</v>
      </c>
      <c r="K562" s="22">
        <f t="shared" si="41"/>
        <v>-0.500000000058208</v>
      </c>
      <c r="L562" s="22">
        <f t="shared" si="42"/>
        <v>-0.500000000058208</v>
      </c>
      <c r="M562" s="22" cm="1">
        <f ca="1" t="array" ref="M562">SUMPRODUCT(--(WEEKDAY(ROW(INDIRECT(INT(F562)&amp;":"&amp;INT(I562))),2)&gt;5))</f>
        <v>0</v>
      </c>
      <c r="N562" s="22">
        <f ca="1" t="shared" si="43"/>
        <v>0</v>
      </c>
      <c r="O562" s="22" t="str">
        <f ca="1" t="shared" si="44"/>
        <v>Within SLA</v>
      </c>
      <c r="P562" s="26" t="s">
        <v>2329</v>
      </c>
      <c r="Q562" s="24" t="s">
        <v>37</v>
      </c>
      <c r="R562" s="25"/>
      <c r="S562" s="25"/>
    </row>
    <row r="563" ht="27" customHeight="1" spans="1:19">
      <c r="A563" s="19" t="s">
        <v>2333</v>
      </c>
      <c r="B563" s="20" t="s">
        <v>30</v>
      </c>
      <c r="C563" s="20" t="s">
        <v>31</v>
      </c>
      <c r="D563" s="20" t="s">
        <v>105</v>
      </c>
      <c r="E563" s="21" t="s">
        <v>2334</v>
      </c>
      <c r="F563" s="21" t="s">
        <v>2335</v>
      </c>
      <c r="G563" s="20" t="s">
        <v>35</v>
      </c>
      <c r="H563" s="20" t="s">
        <v>25</v>
      </c>
      <c r="I563" s="21" t="s">
        <v>2336</v>
      </c>
      <c r="J563" s="22">
        <f t="shared" si="40"/>
        <v>19.9743055555518</v>
      </c>
      <c r="K563" s="22">
        <f t="shared" si="41"/>
        <v>479.383333333244</v>
      </c>
      <c r="L563" s="22">
        <f t="shared" si="42"/>
        <v>159.383333333244</v>
      </c>
      <c r="M563" s="22" cm="1">
        <f ca="1" t="array" ref="M563">SUMPRODUCT(--(WEEKDAY(ROW(INDIRECT(INT(F563)&amp;":"&amp;INT(I563))),2)&gt;5))</f>
        <v>6</v>
      </c>
      <c r="N563" s="22">
        <f ca="1" t="shared" si="43"/>
        <v>111.383333333244</v>
      </c>
      <c r="O563" s="22" t="str">
        <f ca="1" t="shared" si="44"/>
        <v>SLA Violated</v>
      </c>
      <c r="P563" s="26" t="s">
        <v>2333</v>
      </c>
      <c r="Q563" s="24" t="s">
        <v>37</v>
      </c>
      <c r="R563" s="6" t="s">
        <v>2337</v>
      </c>
      <c r="S563" s="25" t="s">
        <v>39</v>
      </c>
    </row>
    <row r="564" ht="39" customHeight="1" spans="1:19">
      <c r="A564" s="19" t="s">
        <v>2338</v>
      </c>
      <c r="B564" s="20" t="s">
        <v>19</v>
      </c>
      <c r="C564" s="20" t="s">
        <v>20</v>
      </c>
      <c r="D564" s="20" t="s">
        <v>32</v>
      </c>
      <c r="E564" s="21" t="s">
        <v>2339</v>
      </c>
      <c r="F564" s="21" t="s">
        <v>1023</v>
      </c>
      <c r="G564" s="20" t="s">
        <v>35</v>
      </c>
      <c r="H564" s="20" t="s">
        <v>25</v>
      </c>
      <c r="I564" s="21" t="s">
        <v>2340</v>
      </c>
      <c r="J564" s="22">
        <f t="shared" si="40"/>
        <v>0.771527777775191</v>
      </c>
      <c r="K564" s="22">
        <f t="shared" si="41"/>
        <v>18.5166666666046</v>
      </c>
      <c r="L564" s="22">
        <f t="shared" si="42"/>
        <v>2.51666666660458</v>
      </c>
      <c r="M564" s="22" cm="1">
        <f ca="1" t="array" ref="M564">SUMPRODUCT(--(WEEKDAY(ROW(INDIRECT(INT(F564)&amp;":"&amp;INT(I564))),2)&gt;5))</f>
        <v>0</v>
      </c>
      <c r="N564" s="22">
        <f ca="1" t="shared" si="43"/>
        <v>2.51666666660458</v>
      </c>
      <c r="O564" s="22" t="str">
        <f ca="1" t="shared" si="44"/>
        <v>Within SLA</v>
      </c>
      <c r="P564" s="26" t="s">
        <v>2338</v>
      </c>
      <c r="Q564" s="24" t="s">
        <v>37</v>
      </c>
      <c r="R564" s="25"/>
      <c r="S564" s="25"/>
    </row>
    <row r="565" ht="39" customHeight="1" spans="1:19">
      <c r="A565" s="19" t="s">
        <v>2341</v>
      </c>
      <c r="B565" s="20" t="s">
        <v>19</v>
      </c>
      <c r="C565" s="20" t="s">
        <v>20</v>
      </c>
      <c r="D565" s="20" t="s">
        <v>32</v>
      </c>
      <c r="E565" s="21" t="s">
        <v>2342</v>
      </c>
      <c r="F565" s="21" t="s">
        <v>2343</v>
      </c>
      <c r="G565" s="20" t="s">
        <v>35</v>
      </c>
      <c r="H565" s="20" t="s">
        <v>25</v>
      </c>
      <c r="I565" s="21" t="s">
        <v>2344</v>
      </c>
      <c r="J565" s="22">
        <f t="shared" si="40"/>
        <v>0.0208333333284827</v>
      </c>
      <c r="K565" s="22">
        <f t="shared" si="41"/>
        <v>0.499999999883585</v>
      </c>
      <c r="L565" s="22">
        <f t="shared" si="42"/>
        <v>0.499999999883585</v>
      </c>
      <c r="M565" s="22" cm="1">
        <f ca="1" t="array" ref="M565">SUMPRODUCT(--(WEEKDAY(ROW(INDIRECT(INT(F565)&amp;":"&amp;INT(I565))),2)&gt;5))</f>
        <v>0</v>
      </c>
      <c r="N565" s="22">
        <f ca="1" t="shared" si="43"/>
        <v>0.499999999883585</v>
      </c>
      <c r="O565" s="22" t="str">
        <f ca="1" t="shared" si="44"/>
        <v>Within SLA</v>
      </c>
      <c r="P565" s="26" t="s">
        <v>2341</v>
      </c>
      <c r="Q565" s="24" t="s">
        <v>37</v>
      </c>
      <c r="R565" s="25"/>
      <c r="S565" s="25"/>
    </row>
    <row r="566" ht="27" customHeight="1" spans="1:19">
      <c r="A566" s="19" t="s">
        <v>2345</v>
      </c>
      <c r="B566" s="20" t="s">
        <v>30</v>
      </c>
      <c r="C566" s="20" t="s">
        <v>31</v>
      </c>
      <c r="D566" s="20" t="s">
        <v>32</v>
      </c>
      <c r="E566" s="21" t="s">
        <v>595</v>
      </c>
      <c r="F566" s="21" t="s">
        <v>2346</v>
      </c>
      <c r="G566" s="20" t="s">
        <v>35</v>
      </c>
      <c r="H566" s="20" t="s">
        <v>25</v>
      </c>
      <c r="I566" s="21" t="s">
        <v>2347</v>
      </c>
      <c r="J566" s="22">
        <f t="shared" si="40"/>
        <v>0.77986111111386</v>
      </c>
      <c r="K566" s="22">
        <f t="shared" si="41"/>
        <v>18.7166666667326</v>
      </c>
      <c r="L566" s="22">
        <f t="shared" si="42"/>
        <v>2.71666666673264</v>
      </c>
      <c r="M566" s="22" cm="1">
        <f ca="1" t="array" ref="M566">SUMPRODUCT(--(WEEKDAY(ROW(INDIRECT(INT(F566)&amp;":"&amp;INT(I566))),2)&gt;5))</f>
        <v>0</v>
      </c>
      <c r="N566" s="22">
        <f ca="1" t="shared" si="43"/>
        <v>2.71666666673264</v>
      </c>
      <c r="O566" s="22" t="str">
        <f ca="1" t="shared" si="44"/>
        <v>Within SLA</v>
      </c>
      <c r="P566" s="26" t="s">
        <v>2345</v>
      </c>
      <c r="Q566" s="24" t="s">
        <v>37</v>
      </c>
      <c r="R566" s="25"/>
      <c r="S566" s="25"/>
    </row>
    <row r="567" ht="39" customHeight="1" spans="1:19">
      <c r="A567" s="19" t="s">
        <v>2348</v>
      </c>
      <c r="B567" s="20" t="s">
        <v>19</v>
      </c>
      <c r="C567" s="20" t="s">
        <v>20</v>
      </c>
      <c r="D567" s="20" t="s">
        <v>32</v>
      </c>
      <c r="E567" s="21" t="s">
        <v>2349</v>
      </c>
      <c r="F567" s="21" t="s">
        <v>2350</v>
      </c>
      <c r="G567" s="20" t="s">
        <v>35</v>
      </c>
      <c r="H567" s="20" t="s">
        <v>25</v>
      </c>
      <c r="I567" s="21" t="s">
        <v>2351</v>
      </c>
      <c r="J567" s="22">
        <f t="shared" si="40"/>
        <v>0.0284722222204437</v>
      </c>
      <c r="K567" s="22">
        <f t="shared" si="41"/>
        <v>0.683333333290648</v>
      </c>
      <c r="L567" s="22">
        <f t="shared" si="42"/>
        <v>0.683333333290648</v>
      </c>
      <c r="M567" s="22" cm="1">
        <f ca="1" t="array" ref="M567">SUMPRODUCT(--(WEEKDAY(ROW(INDIRECT(INT(F567)&amp;":"&amp;INT(I567))),2)&gt;5))</f>
        <v>0</v>
      </c>
      <c r="N567" s="22">
        <f ca="1" t="shared" si="43"/>
        <v>0.683333333290648</v>
      </c>
      <c r="O567" s="22" t="str">
        <f ca="1" t="shared" si="44"/>
        <v>Within SLA</v>
      </c>
      <c r="P567" s="26" t="s">
        <v>2348</v>
      </c>
      <c r="Q567" s="24" t="s">
        <v>37</v>
      </c>
      <c r="R567" s="25"/>
      <c r="S567" s="25"/>
    </row>
    <row r="568" ht="27" customHeight="1" spans="1:19">
      <c r="A568" s="19" t="s">
        <v>2352</v>
      </c>
      <c r="B568" s="20" t="s">
        <v>30</v>
      </c>
      <c r="C568" s="20" t="s">
        <v>31</v>
      </c>
      <c r="D568" s="20" t="s">
        <v>32</v>
      </c>
      <c r="E568" s="21" t="s">
        <v>2353</v>
      </c>
      <c r="F568" s="21" t="s">
        <v>2354</v>
      </c>
      <c r="G568" s="20" t="s">
        <v>35</v>
      </c>
      <c r="H568" s="20" t="s">
        <v>25</v>
      </c>
      <c r="I568" s="21" t="s">
        <v>2351</v>
      </c>
      <c r="J568" s="22">
        <f t="shared" si="40"/>
        <v>0.709722222221899</v>
      </c>
      <c r="K568" s="22">
        <f t="shared" si="41"/>
        <v>17.0333333333256</v>
      </c>
      <c r="L568" s="22">
        <f t="shared" si="42"/>
        <v>1.03333333332557</v>
      </c>
      <c r="M568" s="22" cm="1">
        <f ca="1" t="array" ref="M568">SUMPRODUCT(--(WEEKDAY(ROW(INDIRECT(INT(F568)&amp;":"&amp;INT(I568))),2)&gt;5))</f>
        <v>0</v>
      </c>
      <c r="N568" s="22">
        <f ca="1" t="shared" si="43"/>
        <v>1.03333333332557</v>
      </c>
      <c r="O568" s="22" t="str">
        <f ca="1" t="shared" si="44"/>
        <v>Within SLA</v>
      </c>
      <c r="P568" s="26" t="s">
        <v>2352</v>
      </c>
      <c r="Q568" s="24" t="s">
        <v>37</v>
      </c>
      <c r="R568" s="25"/>
      <c r="S568" s="25"/>
    </row>
    <row r="569" ht="39" customHeight="1" spans="1:19">
      <c r="A569" s="19" t="s">
        <v>2355</v>
      </c>
      <c r="B569" s="20" t="s">
        <v>19</v>
      </c>
      <c r="C569" s="20" t="s">
        <v>20</v>
      </c>
      <c r="D569" s="20" t="s">
        <v>21</v>
      </c>
      <c r="E569" s="21" t="s">
        <v>2296</v>
      </c>
      <c r="F569" s="21" t="s">
        <v>2356</v>
      </c>
      <c r="G569" s="20" t="s">
        <v>35</v>
      </c>
      <c r="H569" s="20" t="s">
        <v>25</v>
      </c>
      <c r="I569" s="21" t="s">
        <v>2357</v>
      </c>
      <c r="J569" s="22">
        <f t="shared" si="40"/>
        <v>0.740972222221899</v>
      </c>
      <c r="K569" s="22">
        <f t="shared" si="41"/>
        <v>17.7833333333256</v>
      </c>
      <c r="L569" s="22">
        <f t="shared" si="42"/>
        <v>1.78333333332557</v>
      </c>
      <c r="M569" s="22" cm="1">
        <f ca="1" t="array" ref="M569">SUMPRODUCT(--(WEEKDAY(ROW(INDIRECT(INT(F569)&amp;":"&amp;INT(I569))),2)&gt;5))</f>
        <v>0</v>
      </c>
      <c r="N569" s="22">
        <f ca="1" t="shared" si="43"/>
        <v>1.78333333332557</v>
      </c>
      <c r="O569" s="22" t="str">
        <f ca="1" t="shared" si="44"/>
        <v>Within SLA</v>
      </c>
      <c r="P569" s="26" t="s">
        <v>2355</v>
      </c>
      <c r="Q569" s="24" t="s">
        <v>37</v>
      </c>
      <c r="R569" s="25"/>
      <c r="S569" s="25"/>
    </row>
    <row r="570" ht="39" customHeight="1" spans="1:19">
      <c r="A570" s="19" t="s">
        <v>2358</v>
      </c>
      <c r="B570" s="20" t="s">
        <v>19</v>
      </c>
      <c r="C570" s="20" t="s">
        <v>20</v>
      </c>
      <c r="D570" s="20" t="s">
        <v>32</v>
      </c>
      <c r="E570" s="21" t="s">
        <v>2359</v>
      </c>
      <c r="F570" s="21" t="s">
        <v>2360</v>
      </c>
      <c r="G570" s="20" t="s">
        <v>35</v>
      </c>
      <c r="H570" s="20" t="s">
        <v>25</v>
      </c>
      <c r="I570" s="21" t="s">
        <v>2357</v>
      </c>
      <c r="J570" s="22">
        <f t="shared" si="40"/>
        <v>0.656944444446708</v>
      </c>
      <c r="K570" s="22">
        <f t="shared" si="41"/>
        <v>15.766666666721</v>
      </c>
      <c r="L570" s="22">
        <f t="shared" si="42"/>
        <v>-0.233333333279006</v>
      </c>
      <c r="M570" s="22" cm="1">
        <f ca="1" t="array" ref="M570">SUMPRODUCT(--(WEEKDAY(ROW(INDIRECT(INT(F570)&amp;":"&amp;INT(I570))),2)&gt;5))</f>
        <v>0</v>
      </c>
      <c r="N570" s="22">
        <f ca="1" t="shared" si="43"/>
        <v>0</v>
      </c>
      <c r="O570" s="22" t="str">
        <f ca="1" t="shared" si="44"/>
        <v>Within SLA</v>
      </c>
      <c r="P570" s="26" t="s">
        <v>2358</v>
      </c>
      <c r="Q570" s="24" t="s">
        <v>37</v>
      </c>
      <c r="R570" s="25"/>
      <c r="S570" s="25"/>
    </row>
    <row r="571" ht="39" customHeight="1" spans="1:19">
      <c r="A571" s="19" t="s">
        <v>2361</v>
      </c>
      <c r="B571" s="20" t="s">
        <v>19</v>
      </c>
      <c r="C571" s="20" t="s">
        <v>20</v>
      </c>
      <c r="D571" s="20" t="s">
        <v>32</v>
      </c>
      <c r="E571" s="21" t="s">
        <v>2359</v>
      </c>
      <c r="F571" s="21" t="s">
        <v>2362</v>
      </c>
      <c r="G571" s="20" t="s">
        <v>35</v>
      </c>
      <c r="H571" s="20" t="s">
        <v>25</v>
      </c>
      <c r="I571" s="21" t="s">
        <v>2363</v>
      </c>
      <c r="J571" s="22">
        <f t="shared" si="40"/>
        <v>14.2402777777825</v>
      </c>
      <c r="K571" s="22">
        <f t="shared" si="41"/>
        <v>341.766666666779</v>
      </c>
      <c r="L571" s="22">
        <f t="shared" si="42"/>
        <v>117.766666666779</v>
      </c>
      <c r="M571" s="22" cm="1">
        <f ca="1" t="array" ref="M571">SUMPRODUCT(--(WEEKDAY(ROW(INDIRECT(INT(F571)&amp;":"&amp;INT(I571))),2)&gt;5))</f>
        <v>4</v>
      </c>
      <c r="N571" s="22">
        <f ca="1" t="shared" si="43"/>
        <v>85.766666666779</v>
      </c>
      <c r="O571" s="22" t="str">
        <f ca="1" t="shared" si="44"/>
        <v>SLA Violated</v>
      </c>
      <c r="P571" s="23" t="s">
        <v>2364</v>
      </c>
      <c r="Q571" s="24" t="s">
        <v>28</v>
      </c>
      <c r="R571" s="25"/>
      <c r="S571" s="25"/>
    </row>
    <row r="572" ht="27" customHeight="1" spans="1:19">
      <c r="A572" s="19" t="s">
        <v>2365</v>
      </c>
      <c r="B572" s="20" t="s">
        <v>30</v>
      </c>
      <c r="C572" s="20" t="s">
        <v>31</v>
      </c>
      <c r="D572" s="20" t="s">
        <v>32</v>
      </c>
      <c r="E572" s="21" t="s">
        <v>2366</v>
      </c>
      <c r="F572" s="21" t="s">
        <v>2367</v>
      </c>
      <c r="G572" s="20" t="s">
        <v>35</v>
      </c>
      <c r="H572" s="20" t="s">
        <v>25</v>
      </c>
      <c r="I572" s="21" t="s">
        <v>2368</v>
      </c>
      <c r="J572" s="22">
        <f t="shared" si="40"/>
        <v>6.04374999999709</v>
      </c>
      <c r="K572" s="22">
        <f t="shared" si="41"/>
        <v>145.04999999993</v>
      </c>
      <c r="L572" s="22">
        <f t="shared" si="42"/>
        <v>49.0499999999302</v>
      </c>
      <c r="M572" s="22" cm="1">
        <f ca="1" t="array" ref="M572">SUMPRODUCT(--(WEEKDAY(ROW(INDIRECT(INT(F572)&amp;":"&amp;INT(I572))),2)&gt;5))</f>
        <v>2</v>
      </c>
      <c r="N572" s="22">
        <f ca="1" t="shared" si="43"/>
        <v>33.0499999999302</v>
      </c>
      <c r="O572" s="22" t="str">
        <f ca="1" t="shared" si="44"/>
        <v>SLA Violated</v>
      </c>
      <c r="P572" s="26" t="s">
        <v>2365</v>
      </c>
      <c r="Q572" s="24" t="s">
        <v>37</v>
      </c>
      <c r="R572" s="6" t="s">
        <v>2369</v>
      </c>
      <c r="S572" s="25" t="s">
        <v>39</v>
      </c>
    </row>
    <row r="573" ht="39" customHeight="1" spans="1:19">
      <c r="A573" s="19" t="s">
        <v>2370</v>
      </c>
      <c r="B573" s="20" t="s">
        <v>19</v>
      </c>
      <c r="C573" s="20" t="s">
        <v>20</v>
      </c>
      <c r="D573" s="20" t="s">
        <v>32</v>
      </c>
      <c r="E573" s="21" t="s">
        <v>2371</v>
      </c>
      <c r="F573" s="21" t="s">
        <v>2372</v>
      </c>
      <c r="G573" s="20" t="s">
        <v>24</v>
      </c>
      <c r="H573" s="20" t="s">
        <v>25</v>
      </c>
      <c r="I573" s="21" t="s">
        <v>2373</v>
      </c>
      <c r="J573" s="22">
        <f t="shared" si="40"/>
        <v>35.0583333333343</v>
      </c>
      <c r="K573" s="22">
        <f t="shared" si="41"/>
        <v>841.400000000023</v>
      </c>
      <c r="L573" s="22">
        <f t="shared" si="42"/>
        <v>281.400000000023</v>
      </c>
      <c r="M573" s="22" cm="1">
        <f ca="1" t="array" ref="M573">SUMPRODUCT(--(WEEKDAY(ROW(INDIRECT(INT(F573)&amp;":"&amp;INT(I573))),2)&gt;5))</f>
        <v>10</v>
      </c>
      <c r="N573" s="22">
        <f ca="1" t="shared" si="43"/>
        <v>201.400000000023</v>
      </c>
      <c r="O573" s="22" t="str">
        <f ca="1" t="shared" si="44"/>
        <v>SLA Violated</v>
      </c>
      <c r="P573" s="23" t="s">
        <v>2374</v>
      </c>
      <c r="Q573" s="24" t="s">
        <v>28</v>
      </c>
      <c r="R573" s="25"/>
      <c r="S573" s="25"/>
    </row>
    <row r="574" ht="27" customHeight="1" spans="1:19">
      <c r="A574" s="19" t="s">
        <v>2375</v>
      </c>
      <c r="B574" s="20" t="s">
        <v>30</v>
      </c>
      <c r="C574" s="20" t="s">
        <v>31</v>
      </c>
      <c r="D574" s="20" t="s">
        <v>32</v>
      </c>
      <c r="E574" s="21" t="s">
        <v>2376</v>
      </c>
      <c r="F574" s="21" t="s">
        <v>2377</v>
      </c>
      <c r="G574" s="20" t="s">
        <v>35</v>
      </c>
      <c r="H574" s="20" t="s">
        <v>25</v>
      </c>
      <c r="I574" s="21" t="s">
        <v>2378</v>
      </c>
      <c r="J574" s="22">
        <f t="shared" si="40"/>
        <v>1.06527777777228</v>
      </c>
      <c r="K574" s="22">
        <f t="shared" si="41"/>
        <v>25.5666666665347</v>
      </c>
      <c r="L574" s="22">
        <f t="shared" si="42"/>
        <v>9.56666666653473</v>
      </c>
      <c r="M574" s="22" cm="1">
        <f ca="1" t="array" ref="M574">SUMPRODUCT(--(WEEKDAY(ROW(INDIRECT(INT(F574)&amp;":"&amp;INT(I574))),2)&gt;5))</f>
        <v>0</v>
      </c>
      <c r="N574" s="22">
        <f ca="1" t="shared" si="43"/>
        <v>9.56666666653473</v>
      </c>
      <c r="O574" s="22" t="str">
        <f ca="1" t="shared" si="44"/>
        <v>Within SLA</v>
      </c>
      <c r="P574" s="26" t="s">
        <v>2375</v>
      </c>
      <c r="Q574" s="24" t="s">
        <v>37</v>
      </c>
      <c r="R574" s="25"/>
      <c r="S574" s="25"/>
    </row>
    <row r="575" ht="39" customHeight="1" spans="1:19">
      <c r="A575" s="19" t="s">
        <v>2379</v>
      </c>
      <c r="B575" s="20" t="s">
        <v>19</v>
      </c>
      <c r="C575" s="20" t="s">
        <v>20</v>
      </c>
      <c r="D575" s="20" t="s">
        <v>32</v>
      </c>
      <c r="E575" s="21" t="s">
        <v>2380</v>
      </c>
      <c r="F575" s="21" t="s">
        <v>2381</v>
      </c>
      <c r="G575" s="20" t="s">
        <v>35</v>
      </c>
      <c r="H575" s="20" t="s">
        <v>25</v>
      </c>
      <c r="I575" s="21" t="s">
        <v>2382</v>
      </c>
      <c r="J575" s="22">
        <f t="shared" si="40"/>
        <v>14.2340277777766</v>
      </c>
      <c r="K575" s="22">
        <f t="shared" si="41"/>
        <v>341.61666666664</v>
      </c>
      <c r="L575" s="22">
        <f t="shared" si="42"/>
        <v>117.61666666664</v>
      </c>
      <c r="M575" s="22" cm="1">
        <f ca="1" t="array" ref="M575">SUMPRODUCT(--(WEEKDAY(ROW(INDIRECT(INT(F575)&amp;":"&amp;INT(I575))),2)&gt;5))</f>
        <v>4</v>
      </c>
      <c r="N575" s="22">
        <f ca="1" t="shared" si="43"/>
        <v>85.61666666664</v>
      </c>
      <c r="O575" s="22" t="str">
        <f ca="1" t="shared" si="44"/>
        <v>SLA Violated</v>
      </c>
      <c r="P575" s="23" t="s">
        <v>2383</v>
      </c>
      <c r="Q575" s="24" t="s">
        <v>28</v>
      </c>
      <c r="R575" s="25"/>
      <c r="S575" s="25"/>
    </row>
    <row r="576" ht="39" customHeight="1" spans="1:19">
      <c r="A576" s="19" t="s">
        <v>2384</v>
      </c>
      <c r="B576" s="20" t="s">
        <v>19</v>
      </c>
      <c r="C576" s="20" t="s">
        <v>20</v>
      </c>
      <c r="D576" s="20" t="s">
        <v>32</v>
      </c>
      <c r="E576" s="21" t="s">
        <v>2385</v>
      </c>
      <c r="F576" s="21" t="s">
        <v>2386</v>
      </c>
      <c r="G576" s="20" t="s">
        <v>35</v>
      </c>
      <c r="H576" s="20" t="s">
        <v>25</v>
      </c>
      <c r="I576" s="21" t="s">
        <v>2387</v>
      </c>
      <c r="J576" s="22">
        <f t="shared" si="40"/>
        <v>22.3013888888891</v>
      </c>
      <c r="K576" s="22">
        <f t="shared" si="41"/>
        <v>535.233333333337</v>
      </c>
      <c r="L576" s="22">
        <f t="shared" si="42"/>
        <v>183.233333333337</v>
      </c>
      <c r="M576" s="22" cm="1">
        <f ca="1" t="array" ref="M576">SUMPRODUCT(--(WEEKDAY(ROW(INDIRECT(INT(F576)&amp;":"&amp;INT(I576))),2)&gt;5))</f>
        <v>6</v>
      </c>
      <c r="N576" s="22">
        <f ca="1" t="shared" si="43"/>
        <v>135.233333333337</v>
      </c>
      <c r="O576" s="22" t="str">
        <f ca="1" t="shared" si="44"/>
        <v>SLA Violated</v>
      </c>
      <c r="P576" s="23" t="s">
        <v>2388</v>
      </c>
      <c r="Q576" s="24" t="s">
        <v>28</v>
      </c>
      <c r="R576" s="25"/>
      <c r="S576" s="25"/>
    </row>
    <row r="577" ht="27" customHeight="1" spans="1:19">
      <c r="A577" s="19" t="s">
        <v>2389</v>
      </c>
      <c r="B577" s="20" t="s">
        <v>30</v>
      </c>
      <c r="C577" s="20" t="s">
        <v>849</v>
      </c>
      <c r="D577" s="20" t="s">
        <v>32</v>
      </c>
      <c r="E577" s="21" t="s">
        <v>2385</v>
      </c>
      <c r="F577" s="21" t="s">
        <v>2390</v>
      </c>
      <c r="G577" s="20" t="s">
        <v>24</v>
      </c>
      <c r="H577" s="20" t="s">
        <v>25</v>
      </c>
      <c r="I577" s="21" t="s">
        <v>2391</v>
      </c>
      <c r="J577" s="22">
        <f t="shared" si="40"/>
        <v>2.08125000000291</v>
      </c>
      <c r="K577" s="22">
        <f t="shared" si="41"/>
        <v>49.9500000000698</v>
      </c>
      <c r="L577" s="22">
        <f t="shared" si="42"/>
        <v>17.9500000000698</v>
      </c>
      <c r="M577" s="22" cm="1">
        <f ca="1" t="array" ref="M577">SUMPRODUCT(--(WEEKDAY(ROW(INDIRECT(INT(F577)&amp;":"&amp;INT(I577))),2)&gt;5))</f>
        <v>0</v>
      </c>
      <c r="N577" s="22">
        <f ca="1" t="shared" si="43"/>
        <v>17.9500000000698</v>
      </c>
      <c r="O577" s="22" t="str">
        <f ca="1" t="shared" si="44"/>
        <v>SLA Violated</v>
      </c>
      <c r="P577" s="26" t="s">
        <v>2389</v>
      </c>
      <c r="Q577" s="24" t="s">
        <v>37</v>
      </c>
      <c r="R577" s="25" t="s">
        <v>38</v>
      </c>
      <c r="S577" s="25" t="s">
        <v>39</v>
      </c>
    </row>
    <row r="578" ht="39" customHeight="1" spans="1:19">
      <c r="A578" s="19" t="s">
        <v>2392</v>
      </c>
      <c r="B578" s="20" t="s">
        <v>725</v>
      </c>
      <c r="C578" s="20" t="s">
        <v>101</v>
      </c>
      <c r="D578" s="20" t="s">
        <v>21</v>
      </c>
      <c r="E578" s="21" t="s">
        <v>1461</v>
      </c>
      <c r="F578" s="21" t="s">
        <v>2393</v>
      </c>
      <c r="G578" s="20" t="s">
        <v>35</v>
      </c>
      <c r="H578" s="20" t="s">
        <v>25</v>
      </c>
      <c r="I578" s="21" t="s">
        <v>2394</v>
      </c>
      <c r="J578" s="22">
        <f t="shared" si="40"/>
        <v>0.170138888890506</v>
      </c>
      <c r="K578" s="22">
        <f t="shared" si="41"/>
        <v>4.08333333337214</v>
      </c>
      <c r="L578" s="22">
        <f t="shared" si="42"/>
        <v>4.08333333337214</v>
      </c>
      <c r="M578" s="22" cm="1">
        <f ca="1" t="array" ref="M578">SUMPRODUCT(--(WEEKDAY(ROW(INDIRECT(INT(F578)&amp;":"&amp;INT(I578))),2)&gt;5))</f>
        <v>0</v>
      </c>
      <c r="N578" s="22">
        <f ca="1" t="shared" si="43"/>
        <v>4.08333333337214</v>
      </c>
      <c r="O578" s="22" t="str">
        <f ca="1" t="shared" si="44"/>
        <v>SLA Violated</v>
      </c>
      <c r="P578" s="26" t="s">
        <v>2392</v>
      </c>
      <c r="Q578" s="24" t="s">
        <v>37</v>
      </c>
      <c r="R578" s="25"/>
      <c r="S578" s="25" t="s">
        <v>236</v>
      </c>
    </row>
    <row r="579" ht="27" customHeight="1" spans="1:19">
      <c r="A579" s="19" t="s">
        <v>2395</v>
      </c>
      <c r="B579" s="20" t="s">
        <v>139</v>
      </c>
      <c r="C579" s="20" t="s">
        <v>2057</v>
      </c>
      <c r="D579" s="20" t="s">
        <v>32</v>
      </c>
      <c r="E579" s="21" t="s">
        <v>2396</v>
      </c>
      <c r="F579" s="21" t="s">
        <v>2397</v>
      </c>
      <c r="G579" s="20" t="s">
        <v>35</v>
      </c>
      <c r="H579" s="20" t="s">
        <v>25</v>
      </c>
      <c r="I579" s="21" t="s">
        <v>2398</v>
      </c>
      <c r="J579" s="22">
        <f t="shared" ref="J579:J642" si="45">F579-I579</f>
        <v>7.26666666666279</v>
      </c>
      <c r="K579" s="22">
        <f t="shared" ref="K579:K642" si="46">J579*24</f>
        <v>174.399999999907</v>
      </c>
      <c r="L579" s="22">
        <f t="shared" ref="L579:L642" si="47">IF(_xlfn.DAYS(F579,I579)&gt;0,K579-IF(FLOOR(J579,1)=0,1,_xlfn.DAYS(F579,I579))*16,K579)</f>
        <v>62.3999999999069</v>
      </c>
      <c r="M579" s="22" cm="1">
        <f ca="1" t="array" ref="M579">SUMPRODUCT(--(WEEKDAY(ROW(INDIRECT(INT(F579)&amp;":"&amp;INT(I579))),2)&gt;5))</f>
        <v>2</v>
      </c>
      <c r="N579" s="22">
        <f ca="1" t="shared" ref="N579:N642" si="48">IF(IF(M579&gt;0,L579-M579*8,L579)&lt;0,0,IF(M579&gt;0,L579-M579*8,L579))</f>
        <v>46.3999999999069</v>
      </c>
      <c r="O579" s="22" t="str">
        <f ca="1" t="shared" ref="O579:O642" si="49">IF(OR(AND(D579="P1",N579&lt;=3),AND(D579="P2",N579&lt;=6),AND(D579="P3",N579&lt;=9),AND(D579="P4",N579&lt;=12)),"Within SLA","SLA Violated")</f>
        <v>SLA Violated</v>
      </c>
      <c r="P579" s="23" t="s">
        <v>2399</v>
      </c>
      <c r="Q579" s="24" t="s">
        <v>28</v>
      </c>
      <c r="R579" s="25"/>
      <c r="S579" s="25"/>
    </row>
    <row r="580" ht="27" customHeight="1" spans="1:19">
      <c r="A580" s="19" t="s">
        <v>2400</v>
      </c>
      <c r="B580" s="20" t="s">
        <v>121</v>
      </c>
      <c r="C580" s="20" t="s">
        <v>46</v>
      </c>
      <c r="D580" s="20" t="s">
        <v>32</v>
      </c>
      <c r="E580" s="21" t="s">
        <v>2401</v>
      </c>
      <c r="F580" s="21" t="s">
        <v>2402</v>
      </c>
      <c r="G580" s="20" t="s">
        <v>35</v>
      </c>
      <c r="H580" s="20" t="s">
        <v>25</v>
      </c>
      <c r="I580" s="21" t="s">
        <v>2403</v>
      </c>
      <c r="J580" s="22">
        <f t="shared" si="45"/>
        <v>0.270138888889051</v>
      </c>
      <c r="K580" s="22">
        <f t="shared" si="46"/>
        <v>6.48333333333721</v>
      </c>
      <c r="L580" s="22">
        <f t="shared" si="47"/>
        <v>6.48333333333721</v>
      </c>
      <c r="M580" s="22" cm="1">
        <f ca="1" t="array" ref="M580">SUMPRODUCT(--(WEEKDAY(ROW(INDIRECT(INT(F580)&amp;":"&amp;INT(I580))),2)&gt;5))</f>
        <v>0</v>
      </c>
      <c r="N580" s="22">
        <f ca="1" t="shared" si="48"/>
        <v>6.48333333333721</v>
      </c>
      <c r="O580" s="22" t="str">
        <f ca="1" t="shared" si="49"/>
        <v>Within SLA</v>
      </c>
      <c r="P580" s="26" t="s">
        <v>2400</v>
      </c>
      <c r="Q580" s="24" t="s">
        <v>37</v>
      </c>
      <c r="R580" s="25"/>
      <c r="S580" s="25"/>
    </row>
    <row r="581" ht="39" customHeight="1" spans="1:19">
      <c r="A581" s="19" t="s">
        <v>2404</v>
      </c>
      <c r="B581" s="20" t="s">
        <v>19</v>
      </c>
      <c r="C581" s="20" t="s">
        <v>20</v>
      </c>
      <c r="D581" s="20" t="s">
        <v>32</v>
      </c>
      <c r="E581" s="21" t="s">
        <v>2398</v>
      </c>
      <c r="F581" s="21" t="s">
        <v>2390</v>
      </c>
      <c r="G581" s="20" t="s">
        <v>35</v>
      </c>
      <c r="H581" s="20" t="s">
        <v>25</v>
      </c>
      <c r="I581" s="21" t="s">
        <v>2405</v>
      </c>
      <c r="J581" s="22">
        <f t="shared" si="45"/>
        <v>2.06597222221899</v>
      </c>
      <c r="K581" s="22">
        <f t="shared" si="46"/>
        <v>49.5833333332557</v>
      </c>
      <c r="L581" s="22">
        <f t="shared" si="47"/>
        <v>17.5833333332557</v>
      </c>
      <c r="M581" s="22" cm="1">
        <f ca="1" t="array" ref="M581">SUMPRODUCT(--(WEEKDAY(ROW(INDIRECT(INT(F581)&amp;":"&amp;INT(I581))),2)&gt;5))</f>
        <v>0</v>
      </c>
      <c r="N581" s="22">
        <f ca="1" t="shared" si="48"/>
        <v>17.5833333332557</v>
      </c>
      <c r="O581" s="22" t="str">
        <f ca="1" t="shared" si="49"/>
        <v>SLA Violated</v>
      </c>
      <c r="P581" s="23" t="s">
        <v>2406</v>
      </c>
      <c r="Q581" s="24" t="s">
        <v>28</v>
      </c>
      <c r="R581" s="25"/>
      <c r="S581" s="25"/>
    </row>
    <row r="582" ht="39" customHeight="1" spans="1:19">
      <c r="A582" s="19" t="s">
        <v>2407</v>
      </c>
      <c r="B582" s="20" t="s">
        <v>19</v>
      </c>
      <c r="C582" s="20" t="s">
        <v>20</v>
      </c>
      <c r="D582" s="20" t="s">
        <v>32</v>
      </c>
      <c r="E582" s="21" t="s">
        <v>2398</v>
      </c>
      <c r="F582" s="21" t="s">
        <v>2408</v>
      </c>
      <c r="G582" s="20" t="s">
        <v>35</v>
      </c>
      <c r="H582" s="20" t="s">
        <v>25</v>
      </c>
      <c r="I582" s="21" t="s">
        <v>2408</v>
      </c>
      <c r="J582" s="22">
        <f t="shared" si="45"/>
        <v>0</v>
      </c>
      <c r="K582" s="22">
        <f t="shared" si="46"/>
        <v>0</v>
      </c>
      <c r="L582" s="22">
        <f t="shared" si="47"/>
        <v>0</v>
      </c>
      <c r="M582" s="22" cm="1">
        <f ca="1" t="array" ref="M582">SUMPRODUCT(--(WEEKDAY(ROW(INDIRECT(INT(F582)&amp;":"&amp;INT(I582))),2)&gt;5))</f>
        <v>0</v>
      </c>
      <c r="N582" s="22">
        <f ca="1" t="shared" si="48"/>
        <v>0</v>
      </c>
      <c r="O582" s="22" t="str">
        <f ca="1" t="shared" si="49"/>
        <v>Within SLA</v>
      </c>
      <c r="P582" s="26" t="s">
        <v>2407</v>
      </c>
      <c r="Q582" s="24" t="s">
        <v>37</v>
      </c>
      <c r="R582" s="25"/>
      <c r="S582" s="25"/>
    </row>
    <row r="583" ht="50" customHeight="1" spans="1:19">
      <c r="A583" s="19" t="s">
        <v>2409</v>
      </c>
      <c r="B583" s="20" t="s">
        <v>369</v>
      </c>
      <c r="C583" s="20" t="s">
        <v>46</v>
      </c>
      <c r="D583" s="20" t="s">
        <v>32</v>
      </c>
      <c r="E583" s="21" t="s">
        <v>2403</v>
      </c>
      <c r="F583" s="21" t="s">
        <v>2410</v>
      </c>
      <c r="G583" s="20" t="s">
        <v>35</v>
      </c>
      <c r="H583" s="20" t="s">
        <v>25</v>
      </c>
      <c r="I583" s="21" t="s">
        <v>2411</v>
      </c>
      <c r="J583" s="22">
        <f t="shared" si="45"/>
        <v>1.13958333332994</v>
      </c>
      <c r="K583" s="22">
        <f t="shared" si="46"/>
        <v>27.3499999999185</v>
      </c>
      <c r="L583" s="22">
        <f t="shared" si="47"/>
        <v>11.3499999999185</v>
      </c>
      <c r="M583" s="22" cm="1">
        <f ca="1" t="array" ref="M583">SUMPRODUCT(--(WEEKDAY(ROW(INDIRECT(INT(F583)&amp;":"&amp;INT(I583))),2)&gt;5))</f>
        <v>0</v>
      </c>
      <c r="N583" s="22">
        <f ca="1" t="shared" si="48"/>
        <v>11.3499999999185</v>
      </c>
      <c r="O583" s="22" t="str">
        <f ca="1" t="shared" si="49"/>
        <v>Within SLA</v>
      </c>
      <c r="P583" s="26" t="s">
        <v>2409</v>
      </c>
      <c r="Q583" s="24" t="s">
        <v>37</v>
      </c>
      <c r="R583" s="25"/>
      <c r="S583" s="25"/>
    </row>
    <row r="584" ht="39" customHeight="1" spans="1:19">
      <c r="A584" s="19" t="s">
        <v>2412</v>
      </c>
      <c r="B584" s="20" t="s">
        <v>19</v>
      </c>
      <c r="C584" s="20" t="s">
        <v>20</v>
      </c>
      <c r="D584" s="20" t="s">
        <v>32</v>
      </c>
      <c r="E584" s="21" t="s">
        <v>2413</v>
      </c>
      <c r="F584" s="21" t="s">
        <v>2414</v>
      </c>
      <c r="G584" s="20" t="s">
        <v>35</v>
      </c>
      <c r="H584" s="20" t="s">
        <v>25</v>
      </c>
      <c r="I584" s="21" t="s">
        <v>1023</v>
      </c>
      <c r="J584" s="22">
        <f t="shared" si="45"/>
        <v>0.000694444446708076</v>
      </c>
      <c r="K584" s="22">
        <f t="shared" si="46"/>
        <v>0.0166666667209938</v>
      </c>
      <c r="L584" s="22">
        <f t="shared" si="47"/>
        <v>0.0166666667209938</v>
      </c>
      <c r="M584" s="22" cm="1">
        <f ca="1" t="array" ref="M584">SUMPRODUCT(--(WEEKDAY(ROW(INDIRECT(INT(F584)&amp;":"&amp;INT(I584))),2)&gt;5))</f>
        <v>0</v>
      </c>
      <c r="N584" s="22">
        <f ca="1" t="shared" si="48"/>
        <v>0.0166666667209938</v>
      </c>
      <c r="O584" s="22" t="str">
        <f ca="1" t="shared" si="49"/>
        <v>Within SLA</v>
      </c>
      <c r="P584" s="26" t="s">
        <v>2412</v>
      </c>
      <c r="Q584" s="24" t="s">
        <v>37</v>
      </c>
      <c r="R584" s="25"/>
      <c r="S584" s="25"/>
    </row>
    <row r="585" ht="39" customHeight="1" spans="1:19">
      <c r="A585" s="19" t="s">
        <v>2415</v>
      </c>
      <c r="B585" s="20" t="s">
        <v>19</v>
      </c>
      <c r="C585" s="20" t="s">
        <v>20</v>
      </c>
      <c r="D585" s="20" t="s">
        <v>32</v>
      </c>
      <c r="E585" s="21" t="s">
        <v>2416</v>
      </c>
      <c r="F585" s="21" t="s">
        <v>2417</v>
      </c>
      <c r="G585" s="20" t="s">
        <v>35</v>
      </c>
      <c r="H585" s="20" t="s">
        <v>25</v>
      </c>
      <c r="I585" s="21" t="s">
        <v>2418</v>
      </c>
      <c r="J585" s="22">
        <f t="shared" si="45"/>
        <v>5.26944444444962</v>
      </c>
      <c r="K585" s="22">
        <f t="shared" si="46"/>
        <v>126.466666666791</v>
      </c>
      <c r="L585" s="22">
        <f t="shared" si="47"/>
        <v>46.4666666667908</v>
      </c>
      <c r="M585" s="22" cm="1">
        <f ca="1" t="array" ref="M585">SUMPRODUCT(--(WEEKDAY(ROW(INDIRECT(INT(F585)&amp;":"&amp;INT(I585))),2)&gt;5))</f>
        <v>2</v>
      </c>
      <c r="N585" s="22">
        <f ca="1" t="shared" si="48"/>
        <v>30.4666666667908</v>
      </c>
      <c r="O585" s="22" t="str">
        <f ca="1" t="shared" si="49"/>
        <v>SLA Violated</v>
      </c>
      <c r="P585" s="23" t="s">
        <v>2419</v>
      </c>
      <c r="Q585" s="24" t="s">
        <v>28</v>
      </c>
      <c r="R585" s="25"/>
      <c r="S585" s="25"/>
    </row>
    <row r="586" ht="39" customHeight="1" spans="1:19">
      <c r="A586" s="19" t="s">
        <v>2420</v>
      </c>
      <c r="B586" s="20" t="s">
        <v>19</v>
      </c>
      <c r="C586" s="20" t="s">
        <v>20</v>
      </c>
      <c r="D586" s="20" t="s">
        <v>32</v>
      </c>
      <c r="E586" s="21" t="s">
        <v>2421</v>
      </c>
      <c r="F586" s="21" t="s">
        <v>755</v>
      </c>
      <c r="G586" s="20" t="s">
        <v>35</v>
      </c>
      <c r="H586" s="20" t="s">
        <v>25</v>
      </c>
      <c r="I586" s="21" t="s">
        <v>2422</v>
      </c>
      <c r="J586" s="22">
        <f t="shared" si="45"/>
        <v>22.2479166666672</v>
      </c>
      <c r="K586" s="22">
        <f t="shared" si="46"/>
        <v>533.950000000012</v>
      </c>
      <c r="L586" s="22">
        <f t="shared" si="47"/>
        <v>181.950000000012</v>
      </c>
      <c r="M586" s="22" cm="1">
        <f ca="1" t="array" ref="M586">SUMPRODUCT(--(WEEKDAY(ROW(INDIRECT(INT(F586)&amp;":"&amp;INT(I586))),2)&gt;5))</f>
        <v>6</v>
      </c>
      <c r="N586" s="22">
        <f ca="1" t="shared" si="48"/>
        <v>133.950000000012</v>
      </c>
      <c r="O586" s="22" t="str">
        <f ca="1" t="shared" si="49"/>
        <v>SLA Violated</v>
      </c>
      <c r="P586" s="23" t="s">
        <v>2423</v>
      </c>
      <c r="Q586" s="24" t="s">
        <v>37</v>
      </c>
      <c r="R586" s="25" t="s">
        <v>2424</v>
      </c>
      <c r="S586" s="25" t="s">
        <v>39</v>
      </c>
    </row>
    <row r="587" ht="39" customHeight="1" spans="1:19">
      <c r="A587" s="19" t="s">
        <v>2425</v>
      </c>
      <c r="B587" s="20" t="s">
        <v>19</v>
      </c>
      <c r="C587" s="20" t="s">
        <v>20</v>
      </c>
      <c r="D587" s="20" t="s">
        <v>105</v>
      </c>
      <c r="E587" s="21" t="s">
        <v>2421</v>
      </c>
      <c r="F587" s="21" t="s">
        <v>2426</v>
      </c>
      <c r="G587" s="20" t="s">
        <v>35</v>
      </c>
      <c r="H587" s="20" t="s">
        <v>25</v>
      </c>
      <c r="I587" s="21" t="s">
        <v>2422</v>
      </c>
      <c r="J587" s="22">
        <f t="shared" si="45"/>
        <v>22.2548611111124</v>
      </c>
      <c r="K587" s="22">
        <f t="shared" si="46"/>
        <v>534.116666666698</v>
      </c>
      <c r="L587" s="22">
        <f t="shared" si="47"/>
        <v>182.116666666698</v>
      </c>
      <c r="M587" s="22" cm="1">
        <f ca="1" t="array" ref="M587">SUMPRODUCT(--(WEEKDAY(ROW(INDIRECT(INT(F587)&amp;":"&amp;INT(I587))),2)&gt;5))</f>
        <v>6</v>
      </c>
      <c r="N587" s="22">
        <f ca="1" t="shared" si="48"/>
        <v>134.116666666698</v>
      </c>
      <c r="O587" s="22" t="str">
        <f ca="1" t="shared" si="49"/>
        <v>SLA Violated</v>
      </c>
      <c r="P587" s="23" t="s">
        <v>2427</v>
      </c>
      <c r="Q587" s="24" t="s">
        <v>37</v>
      </c>
      <c r="R587" s="25" t="s">
        <v>38</v>
      </c>
      <c r="S587" s="25" t="s">
        <v>39</v>
      </c>
    </row>
    <row r="588" ht="39" customHeight="1" spans="1:19">
      <c r="A588" s="19" t="s">
        <v>2428</v>
      </c>
      <c r="B588" s="20" t="s">
        <v>19</v>
      </c>
      <c r="C588" s="20" t="s">
        <v>20</v>
      </c>
      <c r="D588" s="20" t="s">
        <v>105</v>
      </c>
      <c r="E588" s="21" t="s">
        <v>2429</v>
      </c>
      <c r="F588" s="21" t="s">
        <v>2430</v>
      </c>
      <c r="G588" s="20" t="s">
        <v>35</v>
      </c>
      <c r="H588" s="20" t="s">
        <v>25</v>
      </c>
      <c r="I588" s="21" t="s">
        <v>2431</v>
      </c>
      <c r="J588" s="22">
        <f t="shared" si="45"/>
        <v>20.1013888888847</v>
      </c>
      <c r="K588" s="22">
        <f t="shared" si="46"/>
        <v>482.433333333232</v>
      </c>
      <c r="L588" s="22">
        <f t="shared" si="47"/>
        <v>162.433333333232</v>
      </c>
      <c r="M588" s="22" cm="1">
        <f ca="1" t="array" ref="M588">SUMPRODUCT(--(WEEKDAY(ROW(INDIRECT(INT(F588)&amp;":"&amp;INT(I588))),2)&gt;5))</f>
        <v>6</v>
      </c>
      <c r="N588" s="22">
        <f ca="1" t="shared" si="48"/>
        <v>114.433333333232</v>
      </c>
      <c r="O588" s="22" t="str">
        <f ca="1" t="shared" si="49"/>
        <v>SLA Violated</v>
      </c>
      <c r="P588" s="23" t="s">
        <v>2432</v>
      </c>
      <c r="Q588" s="24" t="s">
        <v>28</v>
      </c>
      <c r="R588" s="25"/>
      <c r="S588" s="25"/>
    </row>
    <row r="589" ht="39" customHeight="1" spans="1:19">
      <c r="A589" s="19" t="s">
        <v>2433</v>
      </c>
      <c r="B589" s="20" t="s">
        <v>19</v>
      </c>
      <c r="C589" s="20" t="s">
        <v>20</v>
      </c>
      <c r="D589" s="20" t="s">
        <v>32</v>
      </c>
      <c r="E589" s="21" t="s">
        <v>2434</v>
      </c>
      <c r="F589" s="21" t="s">
        <v>2435</v>
      </c>
      <c r="G589" s="20" t="s">
        <v>35</v>
      </c>
      <c r="H589" s="20" t="s">
        <v>25</v>
      </c>
      <c r="I589" s="21" t="s">
        <v>2436</v>
      </c>
      <c r="J589" s="22">
        <f t="shared" si="45"/>
        <v>22.2493055555606</v>
      </c>
      <c r="K589" s="22">
        <f t="shared" si="46"/>
        <v>533.983333333454</v>
      </c>
      <c r="L589" s="22">
        <f t="shared" si="47"/>
        <v>181.983333333454</v>
      </c>
      <c r="M589" s="22" cm="1">
        <f ca="1" t="array" ref="M589">SUMPRODUCT(--(WEEKDAY(ROW(INDIRECT(INT(F589)&amp;":"&amp;INT(I589))),2)&gt;5))</f>
        <v>6</v>
      </c>
      <c r="N589" s="22">
        <f ca="1" t="shared" si="48"/>
        <v>133.983333333454</v>
      </c>
      <c r="O589" s="22" t="str">
        <f ca="1" t="shared" si="49"/>
        <v>SLA Violated</v>
      </c>
      <c r="P589" s="23" t="s">
        <v>2437</v>
      </c>
      <c r="Q589" s="24" t="s">
        <v>28</v>
      </c>
      <c r="R589" s="25"/>
      <c r="S589" s="25"/>
    </row>
    <row r="590" ht="39" customHeight="1" spans="1:19">
      <c r="A590" s="19" t="s">
        <v>2438</v>
      </c>
      <c r="B590" s="20" t="s">
        <v>19</v>
      </c>
      <c r="C590" s="20" t="s">
        <v>20</v>
      </c>
      <c r="D590" s="20" t="s">
        <v>32</v>
      </c>
      <c r="E590" s="21" t="s">
        <v>2439</v>
      </c>
      <c r="F590" s="21" t="s">
        <v>2440</v>
      </c>
      <c r="G590" s="20" t="s">
        <v>35</v>
      </c>
      <c r="H590" s="20" t="s">
        <v>25</v>
      </c>
      <c r="I590" s="21" t="s">
        <v>2441</v>
      </c>
      <c r="J590" s="22">
        <f t="shared" si="45"/>
        <v>0.34375</v>
      </c>
      <c r="K590" s="22">
        <f t="shared" si="46"/>
        <v>8.25</v>
      </c>
      <c r="L590" s="22">
        <f t="shared" si="47"/>
        <v>8.25</v>
      </c>
      <c r="M590" s="22" cm="1">
        <f ca="1" t="array" ref="M590">SUMPRODUCT(--(WEEKDAY(ROW(INDIRECT(INT(F590)&amp;":"&amp;INT(I590))),2)&gt;5))</f>
        <v>0</v>
      </c>
      <c r="N590" s="22">
        <f ca="1" t="shared" si="48"/>
        <v>8.25</v>
      </c>
      <c r="O590" s="22" t="str">
        <f ca="1" t="shared" si="49"/>
        <v>Within SLA</v>
      </c>
      <c r="P590" s="26" t="s">
        <v>2438</v>
      </c>
      <c r="Q590" s="24" t="s">
        <v>37</v>
      </c>
      <c r="R590" s="25"/>
      <c r="S590" s="25"/>
    </row>
    <row r="591" ht="39" customHeight="1" spans="1:19">
      <c r="A591" s="19" t="s">
        <v>2442</v>
      </c>
      <c r="B591" s="20" t="s">
        <v>19</v>
      </c>
      <c r="C591" s="20" t="s">
        <v>20</v>
      </c>
      <c r="D591" s="20" t="s">
        <v>32</v>
      </c>
      <c r="E591" s="21" t="s">
        <v>2443</v>
      </c>
      <c r="F591" s="21" t="s">
        <v>2444</v>
      </c>
      <c r="G591" s="20" t="s">
        <v>35</v>
      </c>
      <c r="H591" s="20" t="s">
        <v>25</v>
      </c>
      <c r="I591" s="21" t="s">
        <v>2445</v>
      </c>
      <c r="J591" s="22">
        <f t="shared" si="45"/>
        <v>0.466666666667152</v>
      </c>
      <c r="K591" s="22">
        <f t="shared" si="46"/>
        <v>11.2000000000116</v>
      </c>
      <c r="L591" s="22">
        <f t="shared" si="47"/>
        <v>11.2000000000116</v>
      </c>
      <c r="M591" s="22" cm="1">
        <f ca="1" t="array" ref="M591">SUMPRODUCT(--(WEEKDAY(ROW(INDIRECT(INT(F591)&amp;":"&amp;INT(I591))),2)&gt;5))</f>
        <v>0</v>
      </c>
      <c r="N591" s="22">
        <f ca="1" t="shared" si="48"/>
        <v>11.2000000000116</v>
      </c>
      <c r="O591" s="22" t="str">
        <f ca="1" t="shared" si="49"/>
        <v>Within SLA</v>
      </c>
      <c r="P591" s="26" t="s">
        <v>2442</v>
      </c>
      <c r="Q591" s="24" t="s">
        <v>37</v>
      </c>
      <c r="R591" s="25"/>
      <c r="S591" s="25"/>
    </row>
    <row r="592" ht="39" customHeight="1" spans="1:19">
      <c r="A592" s="19" t="s">
        <v>2446</v>
      </c>
      <c r="B592" s="20" t="s">
        <v>19</v>
      </c>
      <c r="C592" s="20" t="s">
        <v>20</v>
      </c>
      <c r="D592" s="20" t="s">
        <v>32</v>
      </c>
      <c r="E592" s="21" t="s">
        <v>2443</v>
      </c>
      <c r="F592" s="21" t="s">
        <v>2447</v>
      </c>
      <c r="G592" s="20" t="s">
        <v>35</v>
      </c>
      <c r="H592" s="20" t="s">
        <v>25</v>
      </c>
      <c r="I592" s="21" t="s">
        <v>2448</v>
      </c>
      <c r="J592" s="22">
        <f t="shared" si="45"/>
        <v>0.468055555553292</v>
      </c>
      <c r="K592" s="22">
        <f t="shared" si="46"/>
        <v>11.233333333279</v>
      </c>
      <c r="L592" s="22">
        <f t="shared" si="47"/>
        <v>11.233333333279</v>
      </c>
      <c r="M592" s="22" cm="1">
        <f ca="1" t="array" ref="M592">SUMPRODUCT(--(WEEKDAY(ROW(INDIRECT(INT(F592)&amp;":"&amp;INT(I592))),2)&gt;5))</f>
        <v>0</v>
      </c>
      <c r="N592" s="22">
        <f ca="1" t="shared" si="48"/>
        <v>11.233333333279</v>
      </c>
      <c r="O592" s="22" t="str">
        <f ca="1" t="shared" si="49"/>
        <v>Within SLA</v>
      </c>
      <c r="P592" s="26" t="s">
        <v>2446</v>
      </c>
      <c r="Q592" s="24" t="s">
        <v>37</v>
      </c>
      <c r="R592" s="25"/>
      <c r="S592" s="25"/>
    </row>
    <row r="593" ht="39" customHeight="1" spans="1:19">
      <c r="A593" s="19" t="s">
        <v>2449</v>
      </c>
      <c r="B593" s="20" t="s">
        <v>19</v>
      </c>
      <c r="C593" s="20" t="s">
        <v>20</v>
      </c>
      <c r="D593" s="20" t="s">
        <v>105</v>
      </c>
      <c r="E593" s="21" t="s">
        <v>2356</v>
      </c>
      <c r="F593" s="21" t="s">
        <v>2450</v>
      </c>
      <c r="G593" s="20" t="s">
        <v>35</v>
      </c>
      <c r="H593" s="20" t="s">
        <v>25</v>
      </c>
      <c r="I593" s="21" t="s">
        <v>2451</v>
      </c>
      <c r="J593" s="22">
        <f t="shared" si="45"/>
        <v>21.9840277777766</v>
      </c>
      <c r="K593" s="22">
        <f t="shared" si="46"/>
        <v>527.61666666664</v>
      </c>
      <c r="L593" s="22">
        <f t="shared" si="47"/>
        <v>175.61666666664</v>
      </c>
      <c r="M593" s="22" cm="1">
        <f ca="1" t="array" ref="M593">SUMPRODUCT(--(WEEKDAY(ROW(INDIRECT(INT(F593)&amp;":"&amp;INT(I593))),2)&gt;5))</f>
        <v>6</v>
      </c>
      <c r="N593" s="22">
        <f ca="1" t="shared" si="48"/>
        <v>127.61666666664</v>
      </c>
      <c r="O593" s="22" t="str">
        <f ca="1" t="shared" si="49"/>
        <v>SLA Violated</v>
      </c>
      <c r="P593" s="23" t="s">
        <v>2452</v>
      </c>
      <c r="Q593" s="24" t="s">
        <v>37</v>
      </c>
      <c r="R593" s="25" t="s">
        <v>38</v>
      </c>
      <c r="S593" s="25" t="s">
        <v>39</v>
      </c>
    </row>
    <row r="594" ht="39" customHeight="1" spans="1:19">
      <c r="A594" s="19" t="s">
        <v>2453</v>
      </c>
      <c r="B594" s="20" t="s">
        <v>19</v>
      </c>
      <c r="C594" s="20" t="s">
        <v>20</v>
      </c>
      <c r="D594" s="20" t="s">
        <v>32</v>
      </c>
      <c r="E594" s="21" t="s">
        <v>2451</v>
      </c>
      <c r="F594" s="21" t="s">
        <v>2454</v>
      </c>
      <c r="G594" s="20" t="s">
        <v>35</v>
      </c>
      <c r="H594" s="20" t="s">
        <v>25</v>
      </c>
      <c r="I594" s="21" t="s">
        <v>2445</v>
      </c>
      <c r="J594" s="22">
        <f t="shared" si="45"/>
        <v>0.465972222220444</v>
      </c>
      <c r="K594" s="22">
        <f t="shared" si="46"/>
        <v>11.1833333332906</v>
      </c>
      <c r="L594" s="22">
        <f t="shared" si="47"/>
        <v>11.1833333332906</v>
      </c>
      <c r="M594" s="22" cm="1">
        <f ca="1" t="array" ref="M594">SUMPRODUCT(--(WEEKDAY(ROW(INDIRECT(INT(F594)&amp;":"&amp;INT(I594))),2)&gt;5))</f>
        <v>0</v>
      </c>
      <c r="N594" s="22">
        <f ca="1" t="shared" si="48"/>
        <v>11.1833333332906</v>
      </c>
      <c r="O594" s="22" t="str">
        <f ca="1" t="shared" si="49"/>
        <v>Within SLA</v>
      </c>
      <c r="P594" s="26" t="s">
        <v>2453</v>
      </c>
      <c r="Q594" s="24" t="s">
        <v>37</v>
      </c>
      <c r="R594" s="25"/>
      <c r="S594" s="25"/>
    </row>
    <row r="595" ht="39" customHeight="1" spans="1:19">
      <c r="A595" s="19" t="s">
        <v>2455</v>
      </c>
      <c r="B595" s="20" t="s">
        <v>19</v>
      </c>
      <c r="C595" s="20" t="s">
        <v>20</v>
      </c>
      <c r="D595" s="20" t="s">
        <v>21</v>
      </c>
      <c r="E595" s="21" t="s">
        <v>2456</v>
      </c>
      <c r="F595" s="21" t="s">
        <v>2457</v>
      </c>
      <c r="G595" s="20" t="s">
        <v>35</v>
      </c>
      <c r="H595" s="20" t="s">
        <v>25</v>
      </c>
      <c r="I595" s="21" t="s">
        <v>2458</v>
      </c>
      <c r="J595" s="22">
        <f t="shared" si="45"/>
        <v>22.2159722222204</v>
      </c>
      <c r="K595" s="22">
        <f t="shared" si="46"/>
        <v>533.183333333291</v>
      </c>
      <c r="L595" s="22">
        <f t="shared" si="47"/>
        <v>181.183333333291</v>
      </c>
      <c r="M595" s="22" cm="1">
        <f ca="1" t="array" ref="M595">SUMPRODUCT(--(WEEKDAY(ROW(INDIRECT(INT(F595)&amp;":"&amp;INT(I595))),2)&gt;5))</f>
        <v>6</v>
      </c>
      <c r="N595" s="22">
        <f ca="1" t="shared" si="48"/>
        <v>133.183333333291</v>
      </c>
      <c r="O595" s="22" t="str">
        <f ca="1" t="shared" si="49"/>
        <v>SLA Violated</v>
      </c>
      <c r="P595" s="23" t="s">
        <v>2459</v>
      </c>
      <c r="Q595" s="24" t="s">
        <v>37</v>
      </c>
      <c r="R595" s="25" t="s">
        <v>2460</v>
      </c>
      <c r="S595" s="25" t="s">
        <v>39</v>
      </c>
    </row>
    <row r="596" ht="39" customHeight="1" spans="1:19">
      <c r="A596" s="19" t="s">
        <v>2461</v>
      </c>
      <c r="B596" s="20" t="s">
        <v>19</v>
      </c>
      <c r="C596" s="20" t="s">
        <v>20</v>
      </c>
      <c r="D596" s="20" t="s">
        <v>32</v>
      </c>
      <c r="E596" s="21" t="s">
        <v>2456</v>
      </c>
      <c r="F596" s="21" t="s">
        <v>2454</v>
      </c>
      <c r="G596" s="20" t="s">
        <v>35</v>
      </c>
      <c r="H596" s="20" t="s">
        <v>25</v>
      </c>
      <c r="I596" s="21" t="s">
        <v>2462</v>
      </c>
      <c r="J596" s="22">
        <f t="shared" si="45"/>
        <v>0.452777777776646</v>
      </c>
      <c r="K596" s="22">
        <f t="shared" si="46"/>
        <v>10.8666666666395</v>
      </c>
      <c r="L596" s="22">
        <f t="shared" si="47"/>
        <v>10.8666666666395</v>
      </c>
      <c r="M596" s="22" cm="1">
        <f ca="1" t="array" ref="M596">SUMPRODUCT(--(WEEKDAY(ROW(INDIRECT(INT(F596)&amp;":"&amp;INT(I596))),2)&gt;5))</f>
        <v>0</v>
      </c>
      <c r="N596" s="22">
        <f ca="1" t="shared" si="48"/>
        <v>10.8666666666395</v>
      </c>
      <c r="O596" s="22" t="str">
        <f ca="1" t="shared" si="49"/>
        <v>Within SLA</v>
      </c>
      <c r="P596" s="26" t="s">
        <v>2461</v>
      </c>
      <c r="Q596" s="24" t="s">
        <v>37</v>
      </c>
      <c r="R596" s="25"/>
      <c r="S596" s="25"/>
    </row>
    <row r="597" ht="39" customHeight="1" spans="1:19">
      <c r="A597" s="19" t="s">
        <v>2463</v>
      </c>
      <c r="B597" s="20" t="s">
        <v>19</v>
      </c>
      <c r="C597" s="20" t="s">
        <v>20</v>
      </c>
      <c r="D597" s="20" t="s">
        <v>32</v>
      </c>
      <c r="E597" s="21" t="s">
        <v>2456</v>
      </c>
      <c r="F597" s="21" t="s">
        <v>2464</v>
      </c>
      <c r="G597" s="20" t="s">
        <v>35</v>
      </c>
      <c r="H597" s="20" t="s">
        <v>25</v>
      </c>
      <c r="I597" s="21" t="s">
        <v>2465</v>
      </c>
      <c r="J597" s="22">
        <f t="shared" si="45"/>
        <v>14.1229166666672</v>
      </c>
      <c r="K597" s="22">
        <f t="shared" si="46"/>
        <v>338.950000000012</v>
      </c>
      <c r="L597" s="22">
        <f t="shared" si="47"/>
        <v>114.950000000012</v>
      </c>
      <c r="M597" s="22" cm="1">
        <f ca="1" t="array" ref="M597">SUMPRODUCT(--(WEEKDAY(ROW(INDIRECT(INT(F597)&amp;":"&amp;INT(I597))),2)&gt;5))</f>
        <v>4</v>
      </c>
      <c r="N597" s="22">
        <f ca="1" t="shared" si="48"/>
        <v>82.950000000012</v>
      </c>
      <c r="O597" s="22" t="str">
        <f ca="1" t="shared" si="49"/>
        <v>SLA Violated</v>
      </c>
      <c r="P597" s="23" t="s">
        <v>2466</v>
      </c>
      <c r="Q597" s="24" t="s">
        <v>37</v>
      </c>
      <c r="R597" s="25" t="s">
        <v>439</v>
      </c>
      <c r="S597" s="25" t="s">
        <v>39</v>
      </c>
    </row>
    <row r="598" ht="39" customHeight="1" spans="1:19">
      <c r="A598" s="19" t="s">
        <v>2467</v>
      </c>
      <c r="B598" s="20" t="s">
        <v>19</v>
      </c>
      <c r="C598" s="20" t="s">
        <v>20</v>
      </c>
      <c r="D598" s="20" t="s">
        <v>32</v>
      </c>
      <c r="E598" s="21" t="s">
        <v>2456</v>
      </c>
      <c r="F598" s="21" t="s">
        <v>2468</v>
      </c>
      <c r="G598" s="20" t="s">
        <v>35</v>
      </c>
      <c r="H598" s="20" t="s">
        <v>25</v>
      </c>
      <c r="I598" s="21" t="s">
        <v>2469</v>
      </c>
      <c r="J598" s="22">
        <f t="shared" si="45"/>
        <v>0.459722222221899</v>
      </c>
      <c r="K598" s="22">
        <f t="shared" si="46"/>
        <v>11.0333333333256</v>
      </c>
      <c r="L598" s="22">
        <f t="shared" si="47"/>
        <v>11.0333333333256</v>
      </c>
      <c r="M598" s="22" cm="1">
        <f ca="1" t="array" ref="M598">SUMPRODUCT(--(WEEKDAY(ROW(INDIRECT(INT(F598)&amp;":"&amp;INT(I598))),2)&gt;5))</f>
        <v>0</v>
      </c>
      <c r="N598" s="22">
        <f ca="1" t="shared" si="48"/>
        <v>11.0333333333256</v>
      </c>
      <c r="O598" s="22" t="str">
        <f ca="1" t="shared" si="49"/>
        <v>Within SLA</v>
      </c>
      <c r="P598" s="26" t="s">
        <v>2467</v>
      </c>
      <c r="Q598" s="24" t="s">
        <v>37</v>
      </c>
      <c r="R598" s="25"/>
      <c r="S598" s="25"/>
    </row>
    <row r="599" ht="39" customHeight="1" spans="1:19">
      <c r="A599" s="19" t="s">
        <v>2470</v>
      </c>
      <c r="B599" s="20" t="s">
        <v>19</v>
      </c>
      <c r="C599" s="20" t="s">
        <v>20</v>
      </c>
      <c r="D599" s="20" t="s">
        <v>32</v>
      </c>
      <c r="E599" s="21" t="s">
        <v>2471</v>
      </c>
      <c r="F599" s="21" t="s">
        <v>2472</v>
      </c>
      <c r="G599" s="20" t="s">
        <v>35</v>
      </c>
      <c r="H599" s="20" t="s">
        <v>25</v>
      </c>
      <c r="I599" s="21" t="s">
        <v>2473</v>
      </c>
      <c r="J599" s="22">
        <f t="shared" si="45"/>
        <v>22.2166666666672</v>
      </c>
      <c r="K599" s="22">
        <f t="shared" si="46"/>
        <v>533.200000000012</v>
      </c>
      <c r="L599" s="22">
        <f t="shared" si="47"/>
        <v>181.200000000012</v>
      </c>
      <c r="M599" s="22" cm="1">
        <f ca="1" t="array" ref="M599">SUMPRODUCT(--(WEEKDAY(ROW(INDIRECT(INT(F599)&amp;":"&amp;INT(I599))),2)&gt;5))</f>
        <v>6</v>
      </c>
      <c r="N599" s="22">
        <f ca="1" t="shared" si="48"/>
        <v>133.200000000012</v>
      </c>
      <c r="O599" s="22" t="str">
        <f ca="1" t="shared" si="49"/>
        <v>SLA Violated</v>
      </c>
      <c r="P599" s="23" t="s">
        <v>2474</v>
      </c>
      <c r="Q599" s="24" t="s">
        <v>28</v>
      </c>
      <c r="R599" s="25"/>
      <c r="S599" s="25"/>
    </row>
    <row r="600" ht="39" customHeight="1" spans="1:19">
      <c r="A600" s="19" t="s">
        <v>2475</v>
      </c>
      <c r="B600" s="20" t="s">
        <v>19</v>
      </c>
      <c r="C600" s="20" t="s">
        <v>20</v>
      </c>
      <c r="D600" s="20" t="s">
        <v>32</v>
      </c>
      <c r="E600" s="21" t="s">
        <v>2471</v>
      </c>
      <c r="F600" s="21" t="s">
        <v>2476</v>
      </c>
      <c r="G600" s="20" t="s">
        <v>35</v>
      </c>
      <c r="H600" s="20" t="s">
        <v>25</v>
      </c>
      <c r="I600" s="21" t="s">
        <v>2477</v>
      </c>
      <c r="J600" s="22">
        <f t="shared" si="45"/>
        <v>0.397222222221899</v>
      </c>
      <c r="K600" s="22">
        <f t="shared" si="46"/>
        <v>9.53333333332557</v>
      </c>
      <c r="L600" s="22">
        <f t="shared" si="47"/>
        <v>9.53333333332557</v>
      </c>
      <c r="M600" s="22" cm="1">
        <f ca="1" t="array" ref="M600">SUMPRODUCT(--(WEEKDAY(ROW(INDIRECT(INT(F600)&amp;":"&amp;INT(I600))),2)&gt;5))</f>
        <v>0</v>
      </c>
      <c r="N600" s="22">
        <f ca="1" t="shared" si="48"/>
        <v>9.53333333332557</v>
      </c>
      <c r="O600" s="22" t="str">
        <f ca="1" t="shared" si="49"/>
        <v>Within SLA</v>
      </c>
      <c r="P600" s="26" t="s">
        <v>2475</v>
      </c>
      <c r="Q600" s="24" t="s">
        <v>37</v>
      </c>
      <c r="R600" s="25"/>
      <c r="S600" s="25"/>
    </row>
    <row r="601" ht="39" customHeight="1" spans="1:19">
      <c r="A601" s="19" t="s">
        <v>2478</v>
      </c>
      <c r="B601" s="20" t="s">
        <v>19</v>
      </c>
      <c r="C601" s="20" t="s">
        <v>20</v>
      </c>
      <c r="D601" s="20" t="s">
        <v>32</v>
      </c>
      <c r="E601" s="21" t="s">
        <v>2479</v>
      </c>
      <c r="F601" s="21" t="s">
        <v>2480</v>
      </c>
      <c r="G601" s="20" t="s">
        <v>35</v>
      </c>
      <c r="H601" s="20" t="s">
        <v>25</v>
      </c>
      <c r="I601" s="21" t="s">
        <v>2477</v>
      </c>
      <c r="J601" s="22">
        <f t="shared" si="45"/>
        <v>0.400694444440887</v>
      </c>
      <c r="K601" s="22">
        <f t="shared" si="46"/>
        <v>9.6166666665813</v>
      </c>
      <c r="L601" s="22">
        <f t="shared" si="47"/>
        <v>9.6166666665813</v>
      </c>
      <c r="M601" s="22" cm="1">
        <f ca="1" t="array" ref="M601">SUMPRODUCT(--(WEEKDAY(ROW(INDIRECT(INT(F601)&amp;":"&amp;INT(I601))),2)&gt;5))</f>
        <v>0</v>
      </c>
      <c r="N601" s="22">
        <f ca="1" t="shared" si="48"/>
        <v>9.6166666665813</v>
      </c>
      <c r="O601" s="22" t="str">
        <f ca="1" t="shared" si="49"/>
        <v>Within SLA</v>
      </c>
      <c r="P601" s="26" t="s">
        <v>2478</v>
      </c>
      <c r="Q601" s="24" t="s">
        <v>37</v>
      </c>
      <c r="R601" s="25"/>
      <c r="S601" s="25"/>
    </row>
    <row r="602" ht="39" customHeight="1" spans="1:19">
      <c r="A602" s="19" t="s">
        <v>2481</v>
      </c>
      <c r="B602" s="20" t="s">
        <v>19</v>
      </c>
      <c r="C602" s="20" t="s">
        <v>20</v>
      </c>
      <c r="D602" s="20" t="s">
        <v>32</v>
      </c>
      <c r="E602" s="21" t="s">
        <v>2482</v>
      </c>
      <c r="F602" s="21" t="s">
        <v>2483</v>
      </c>
      <c r="G602" s="20" t="s">
        <v>35</v>
      </c>
      <c r="H602" s="20" t="s">
        <v>25</v>
      </c>
      <c r="I602" s="21" t="s">
        <v>2484</v>
      </c>
      <c r="J602" s="22">
        <f t="shared" si="45"/>
        <v>0.395833333335759</v>
      </c>
      <c r="K602" s="22">
        <f t="shared" si="46"/>
        <v>9.50000000005821</v>
      </c>
      <c r="L602" s="22">
        <f t="shared" si="47"/>
        <v>9.50000000005821</v>
      </c>
      <c r="M602" s="22" cm="1">
        <f ca="1" t="array" ref="M602">SUMPRODUCT(--(WEEKDAY(ROW(INDIRECT(INT(F602)&amp;":"&amp;INT(I602))),2)&gt;5))</f>
        <v>0</v>
      </c>
      <c r="N602" s="22">
        <f ca="1" t="shared" si="48"/>
        <v>9.50000000005821</v>
      </c>
      <c r="O602" s="22" t="str">
        <f ca="1" t="shared" si="49"/>
        <v>Within SLA</v>
      </c>
      <c r="P602" s="26" t="s">
        <v>2481</v>
      </c>
      <c r="Q602" s="24" t="s">
        <v>37</v>
      </c>
      <c r="R602" s="25"/>
      <c r="S602" s="25"/>
    </row>
    <row r="603" ht="39" customHeight="1" spans="1:19">
      <c r="A603" s="19" t="s">
        <v>2485</v>
      </c>
      <c r="B603" s="20" t="s">
        <v>19</v>
      </c>
      <c r="C603" s="20" t="s">
        <v>20</v>
      </c>
      <c r="D603" s="20" t="s">
        <v>32</v>
      </c>
      <c r="E603" s="21" t="s">
        <v>2482</v>
      </c>
      <c r="F603" s="21" t="s">
        <v>2486</v>
      </c>
      <c r="G603" s="20" t="s">
        <v>35</v>
      </c>
      <c r="H603" s="20" t="s">
        <v>25</v>
      </c>
      <c r="I603" s="21" t="s">
        <v>2484</v>
      </c>
      <c r="J603" s="22">
        <f t="shared" si="45"/>
        <v>0.395138888889051</v>
      </c>
      <c r="K603" s="22">
        <f t="shared" si="46"/>
        <v>9.48333333333721</v>
      </c>
      <c r="L603" s="22">
        <f t="shared" si="47"/>
        <v>9.48333333333721</v>
      </c>
      <c r="M603" s="22" cm="1">
        <f ca="1" t="array" ref="M603">SUMPRODUCT(--(WEEKDAY(ROW(INDIRECT(INT(F603)&amp;":"&amp;INT(I603))),2)&gt;5))</f>
        <v>0</v>
      </c>
      <c r="N603" s="22">
        <f ca="1" t="shared" si="48"/>
        <v>9.48333333333721</v>
      </c>
      <c r="O603" s="22" t="str">
        <f ca="1" t="shared" si="49"/>
        <v>Within SLA</v>
      </c>
      <c r="P603" s="26" t="s">
        <v>2485</v>
      </c>
      <c r="Q603" s="24" t="s">
        <v>37</v>
      </c>
      <c r="R603" s="25"/>
      <c r="S603" s="25"/>
    </row>
    <row r="604" ht="39" customHeight="1" spans="1:19">
      <c r="A604" s="19" t="s">
        <v>2487</v>
      </c>
      <c r="B604" s="20" t="s">
        <v>19</v>
      </c>
      <c r="C604" s="20" t="s">
        <v>20</v>
      </c>
      <c r="D604" s="20" t="s">
        <v>32</v>
      </c>
      <c r="E604" s="21" t="s">
        <v>2488</v>
      </c>
      <c r="F604" s="21" t="s">
        <v>2489</v>
      </c>
      <c r="G604" s="20" t="s">
        <v>35</v>
      </c>
      <c r="H604" s="20" t="s">
        <v>25</v>
      </c>
      <c r="I604" s="21" t="s">
        <v>2490</v>
      </c>
      <c r="J604" s="22">
        <f t="shared" si="45"/>
        <v>0.398611111108039</v>
      </c>
      <c r="K604" s="22">
        <f t="shared" si="46"/>
        <v>9.56666666659294</v>
      </c>
      <c r="L604" s="22">
        <f t="shared" si="47"/>
        <v>9.56666666659294</v>
      </c>
      <c r="M604" s="22" cm="1">
        <f ca="1" t="array" ref="M604">SUMPRODUCT(--(WEEKDAY(ROW(INDIRECT(INT(F604)&amp;":"&amp;INT(I604))),2)&gt;5))</f>
        <v>0</v>
      </c>
      <c r="N604" s="22">
        <f ca="1" t="shared" si="48"/>
        <v>9.56666666659294</v>
      </c>
      <c r="O604" s="22" t="str">
        <f ca="1" t="shared" si="49"/>
        <v>Within SLA</v>
      </c>
      <c r="P604" s="26" t="s">
        <v>2487</v>
      </c>
      <c r="Q604" s="24" t="s">
        <v>37</v>
      </c>
      <c r="R604" s="25"/>
      <c r="S604" s="25"/>
    </row>
    <row r="605" ht="39" customHeight="1" spans="1:19">
      <c r="A605" s="19" t="s">
        <v>2491</v>
      </c>
      <c r="B605" s="20" t="s">
        <v>19</v>
      </c>
      <c r="C605" s="20" t="s">
        <v>20</v>
      </c>
      <c r="D605" s="20" t="s">
        <v>32</v>
      </c>
      <c r="E605" s="21" t="s">
        <v>2492</v>
      </c>
      <c r="F605" s="21" t="s">
        <v>2493</v>
      </c>
      <c r="G605" s="20" t="s">
        <v>35</v>
      </c>
      <c r="H605" s="20" t="s">
        <v>25</v>
      </c>
      <c r="I605" s="21" t="s">
        <v>2490</v>
      </c>
      <c r="J605" s="22">
        <f t="shared" si="45"/>
        <v>0.00555555555183673</v>
      </c>
      <c r="K605" s="22">
        <f t="shared" si="46"/>
        <v>0.133333333244082</v>
      </c>
      <c r="L605" s="22">
        <f t="shared" si="47"/>
        <v>0.133333333244082</v>
      </c>
      <c r="M605" s="22" cm="1">
        <f ca="1" t="array" ref="M605">SUMPRODUCT(--(WEEKDAY(ROW(INDIRECT(INT(F605)&amp;":"&amp;INT(I605))),2)&gt;5))</f>
        <v>0</v>
      </c>
      <c r="N605" s="22">
        <f ca="1" t="shared" si="48"/>
        <v>0.133333333244082</v>
      </c>
      <c r="O605" s="22" t="str">
        <f ca="1" t="shared" si="49"/>
        <v>Within SLA</v>
      </c>
      <c r="P605" s="26" t="s">
        <v>2491</v>
      </c>
      <c r="Q605" s="24" t="s">
        <v>37</v>
      </c>
      <c r="R605" s="25"/>
      <c r="S605" s="25"/>
    </row>
    <row r="606" ht="39" customHeight="1" spans="1:19">
      <c r="A606" s="19" t="s">
        <v>2494</v>
      </c>
      <c r="B606" s="20" t="s">
        <v>19</v>
      </c>
      <c r="C606" s="20" t="s">
        <v>20</v>
      </c>
      <c r="D606" s="20" t="s">
        <v>32</v>
      </c>
      <c r="E606" s="21" t="s">
        <v>2495</v>
      </c>
      <c r="F606" s="21" t="s">
        <v>2496</v>
      </c>
      <c r="G606" s="20" t="s">
        <v>35</v>
      </c>
      <c r="H606" s="20" t="s">
        <v>25</v>
      </c>
      <c r="I606" s="21" t="s">
        <v>2497</v>
      </c>
      <c r="J606" s="22">
        <f t="shared" si="45"/>
        <v>0.393055555556202</v>
      </c>
      <c r="K606" s="22">
        <f t="shared" si="46"/>
        <v>9.43333333334886</v>
      </c>
      <c r="L606" s="22">
        <f t="shared" si="47"/>
        <v>9.43333333334886</v>
      </c>
      <c r="M606" s="22" cm="1">
        <f ca="1" t="array" ref="M606">SUMPRODUCT(--(WEEKDAY(ROW(INDIRECT(INT(F606)&amp;":"&amp;INT(I606))),2)&gt;5))</f>
        <v>0</v>
      </c>
      <c r="N606" s="22">
        <f ca="1" t="shared" si="48"/>
        <v>9.43333333334886</v>
      </c>
      <c r="O606" s="22" t="str">
        <f ca="1" t="shared" si="49"/>
        <v>Within SLA</v>
      </c>
      <c r="P606" s="26" t="s">
        <v>2494</v>
      </c>
      <c r="Q606" s="24" t="s">
        <v>37</v>
      </c>
      <c r="R606" s="25"/>
      <c r="S606" s="25"/>
    </row>
    <row r="607" ht="39" customHeight="1" spans="1:19">
      <c r="A607" s="19" t="s">
        <v>2498</v>
      </c>
      <c r="B607" s="20" t="s">
        <v>19</v>
      </c>
      <c r="C607" s="20" t="s">
        <v>20</v>
      </c>
      <c r="D607" s="20" t="s">
        <v>32</v>
      </c>
      <c r="E607" s="21" t="s">
        <v>2499</v>
      </c>
      <c r="F607" s="21" t="s">
        <v>911</v>
      </c>
      <c r="G607" s="20" t="s">
        <v>24</v>
      </c>
      <c r="H607" s="20" t="s">
        <v>25</v>
      </c>
      <c r="I607" s="21" t="s">
        <v>2497</v>
      </c>
      <c r="J607" s="22">
        <f t="shared" si="45"/>
        <v>76.839583333327</v>
      </c>
      <c r="K607" s="22">
        <f t="shared" si="46"/>
        <v>1844.14999999985</v>
      </c>
      <c r="L607" s="22">
        <f t="shared" si="47"/>
        <v>612.149999999849</v>
      </c>
      <c r="M607" s="22" cm="1">
        <f ca="1" t="array" ref="M607">SUMPRODUCT(--(WEEKDAY(ROW(INDIRECT(INT(F607)&amp;":"&amp;INT(I607))),2)&gt;5))</f>
        <v>22</v>
      </c>
      <c r="N607" s="22">
        <f ca="1" t="shared" si="48"/>
        <v>436.149999999849</v>
      </c>
      <c r="O607" s="22" t="str">
        <f ca="1" t="shared" si="49"/>
        <v>SLA Violated</v>
      </c>
      <c r="P607" s="23" t="s">
        <v>2500</v>
      </c>
      <c r="Q607" s="24" t="s">
        <v>28</v>
      </c>
      <c r="R607" s="25"/>
      <c r="S607" s="25"/>
    </row>
    <row r="608" ht="39" customHeight="1" spans="1:19">
      <c r="A608" s="19" t="s">
        <v>2501</v>
      </c>
      <c r="B608" s="20" t="s">
        <v>19</v>
      </c>
      <c r="C608" s="20" t="s">
        <v>20</v>
      </c>
      <c r="D608" s="20" t="s">
        <v>32</v>
      </c>
      <c r="E608" s="21" t="s">
        <v>2502</v>
      </c>
      <c r="F608" s="21" t="s">
        <v>2503</v>
      </c>
      <c r="G608" s="20" t="s">
        <v>35</v>
      </c>
      <c r="H608" s="20" t="s">
        <v>25</v>
      </c>
      <c r="I608" s="21" t="s">
        <v>2504</v>
      </c>
      <c r="J608" s="22">
        <f t="shared" si="45"/>
        <v>0.396527777782467</v>
      </c>
      <c r="K608" s="22">
        <f t="shared" si="46"/>
        <v>9.5166666667792</v>
      </c>
      <c r="L608" s="22">
        <f t="shared" si="47"/>
        <v>9.5166666667792</v>
      </c>
      <c r="M608" s="22" cm="1">
        <f ca="1" t="array" ref="M608">SUMPRODUCT(--(WEEKDAY(ROW(INDIRECT(INT(F608)&amp;":"&amp;INT(I608))),2)&gt;5))</f>
        <v>0</v>
      </c>
      <c r="N608" s="22">
        <f ca="1" t="shared" si="48"/>
        <v>9.5166666667792</v>
      </c>
      <c r="O608" s="22" t="str">
        <f ca="1" t="shared" si="49"/>
        <v>Within SLA</v>
      </c>
      <c r="P608" s="26" t="s">
        <v>2501</v>
      </c>
      <c r="Q608" s="24" t="s">
        <v>37</v>
      </c>
      <c r="R608" s="25"/>
      <c r="S608" s="25"/>
    </row>
    <row r="609" ht="39" customHeight="1" spans="1:19">
      <c r="A609" s="19" t="s">
        <v>2505</v>
      </c>
      <c r="B609" s="20" t="s">
        <v>19</v>
      </c>
      <c r="C609" s="20" t="s">
        <v>20</v>
      </c>
      <c r="D609" s="20" t="s">
        <v>32</v>
      </c>
      <c r="E609" s="21" t="s">
        <v>2506</v>
      </c>
      <c r="F609" s="21" t="s">
        <v>2496</v>
      </c>
      <c r="G609" s="20" t="s">
        <v>35</v>
      </c>
      <c r="H609" s="20" t="s">
        <v>25</v>
      </c>
      <c r="I609" s="21" t="s">
        <v>2504</v>
      </c>
      <c r="J609" s="22">
        <f t="shared" si="45"/>
        <v>0.39236111111677</v>
      </c>
      <c r="K609" s="22">
        <f t="shared" si="46"/>
        <v>9.41666666680248</v>
      </c>
      <c r="L609" s="22">
        <f t="shared" si="47"/>
        <v>9.41666666680248</v>
      </c>
      <c r="M609" s="22" cm="1">
        <f ca="1" t="array" ref="M609">SUMPRODUCT(--(WEEKDAY(ROW(INDIRECT(INT(F609)&amp;":"&amp;INT(I609))),2)&gt;5))</f>
        <v>0</v>
      </c>
      <c r="N609" s="22">
        <f ca="1" t="shared" si="48"/>
        <v>9.41666666680248</v>
      </c>
      <c r="O609" s="22" t="str">
        <f ca="1" t="shared" si="49"/>
        <v>Within SLA</v>
      </c>
      <c r="P609" s="26" t="s">
        <v>2505</v>
      </c>
      <c r="Q609" s="24" t="s">
        <v>37</v>
      </c>
      <c r="R609" s="25"/>
      <c r="S609" s="25"/>
    </row>
    <row r="610" ht="27" customHeight="1" spans="1:19">
      <c r="A610" s="19" t="s">
        <v>2507</v>
      </c>
      <c r="B610" s="20" t="s">
        <v>30</v>
      </c>
      <c r="C610" s="20" t="s">
        <v>31</v>
      </c>
      <c r="D610" s="20" t="s">
        <v>32</v>
      </c>
      <c r="E610" s="21" t="s">
        <v>2508</v>
      </c>
      <c r="F610" s="21" t="s">
        <v>2509</v>
      </c>
      <c r="G610" s="20" t="s">
        <v>35</v>
      </c>
      <c r="H610" s="20" t="s">
        <v>25</v>
      </c>
      <c r="I610" s="21" t="s">
        <v>2510</v>
      </c>
      <c r="J610" s="22">
        <f t="shared" si="45"/>
        <v>0.149999999994179</v>
      </c>
      <c r="K610" s="22">
        <f t="shared" si="46"/>
        <v>3.5999999998603</v>
      </c>
      <c r="L610" s="22">
        <f t="shared" si="47"/>
        <v>3.5999999998603</v>
      </c>
      <c r="M610" s="22" cm="1">
        <f ca="1" t="array" ref="M610">SUMPRODUCT(--(WEEKDAY(ROW(INDIRECT(INT(F610)&amp;":"&amp;INT(I610))),2)&gt;5))</f>
        <v>0</v>
      </c>
      <c r="N610" s="22">
        <f ca="1" t="shared" si="48"/>
        <v>3.5999999998603</v>
      </c>
      <c r="O610" s="22" t="str">
        <f ca="1" t="shared" si="49"/>
        <v>Within SLA</v>
      </c>
      <c r="P610" s="26" t="s">
        <v>2507</v>
      </c>
      <c r="Q610" s="24" t="s">
        <v>37</v>
      </c>
      <c r="R610" s="25"/>
      <c r="S610" s="25"/>
    </row>
    <row r="611" ht="27" customHeight="1" spans="1:19">
      <c r="A611" s="19" t="s">
        <v>2511</v>
      </c>
      <c r="B611" s="20" t="s">
        <v>30</v>
      </c>
      <c r="C611" s="20" t="s">
        <v>849</v>
      </c>
      <c r="D611" s="20" t="s">
        <v>32</v>
      </c>
      <c r="E611" s="21" t="s">
        <v>2508</v>
      </c>
      <c r="F611" s="21" t="s">
        <v>2390</v>
      </c>
      <c r="G611" s="20" t="s">
        <v>24</v>
      </c>
      <c r="H611" s="20" t="s">
        <v>25</v>
      </c>
      <c r="I611" s="21" t="s">
        <v>2512</v>
      </c>
      <c r="J611" s="22">
        <f t="shared" si="45"/>
        <v>1.91805555555766</v>
      </c>
      <c r="K611" s="22">
        <f t="shared" si="46"/>
        <v>46.0333333333838</v>
      </c>
      <c r="L611" s="22">
        <f t="shared" si="47"/>
        <v>14.0333333333838</v>
      </c>
      <c r="M611" s="22" cm="1">
        <f ca="1" t="array" ref="M611">SUMPRODUCT(--(WEEKDAY(ROW(INDIRECT(INT(F611)&amp;":"&amp;INT(I611))),2)&gt;5))</f>
        <v>0</v>
      </c>
      <c r="N611" s="22">
        <f ca="1" t="shared" si="48"/>
        <v>14.0333333333838</v>
      </c>
      <c r="O611" s="22" t="str">
        <f ca="1" t="shared" si="49"/>
        <v>SLA Violated</v>
      </c>
      <c r="P611" s="23" t="s">
        <v>2513</v>
      </c>
      <c r="Q611" s="24" t="s">
        <v>28</v>
      </c>
      <c r="R611" s="25"/>
      <c r="S611" s="25"/>
    </row>
    <row r="612" ht="39" customHeight="1" spans="1:19">
      <c r="A612" s="19" t="s">
        <v>2514</v>
      </c>
      <c r="B612" s="20" t="s">
        <v>19</v>
      </c>
      <c r="C612" s="20" t="s">
        <v>20</v>
      </c>
      <c r="D612" s="20" t="s">
        <v>32</v>
      </c>
      <c r="E612" s="21" t="s">
        <v>2493</v>
      </c>
      <c r="F612" s="21" t="s">
        <v>2515</v>
      </c>
      <c r="G612" s="20" t="s">
        <v>35</v>
      </c>
      <c r="H612" s="20" t="s">
        <v>25</v>
      </c>
      <c r="I612" s="21" t="s">
        <v>2512</v>
      </c>
      <c r="J612" s="22">
        <f t="shared" si="45"/>
        <v>22.3541666666715</v>
      </c>
      <c r="K612" s="22">
        <f t="shared" si="46"/>
        <v>536.500000000116</v>
      </c>
      <c r="L612" s="22">
        <f t="shared" si="47"/>
        <v>184.500000000116</v>
      </c>
      <c r="M612" s="22" cm="1">
        <f ca="1" t="array" ref="M612">SUMPRODUCT(--(WEEKDAY(ROW(INDIRECT(INT(F612)&amp;":"&amp;INT(I612))),2)&gt;5))</f>
        <v>6</v>
      </c>
      <c r="N612" s="22">
        <f ca="1" t="shared" si="48"/>
        <v>136.500000000116</v>
      </c>
      <c r="O612" s="22" t="str">
        <f ca="1" t="shared" si="49"/>
        <v>SLA Violated</v>
      </c>
      <c r="P612" s="23" t="s">
        <v>2516</v>
      </c>
      <c r="Q612" s="24" t="s">
        <v>28</v>
      </c>
      <c r="R612" s="25"/>
      <c r="S612" s="25"/>
    </row>
    <row r="613" ht="27" customHeight="1" spans="1:19">
      <c r="A613" s="19" t="s">
        <v>2517</v>
      </c>
      <c r="B613" s="20" t="s">
        <v>30</v>
      </c>
      <c r="C613" s="20" t="s">
        <v>849</v>
      </c>
      <c r="D613" s="20" t="s">
        <v>32</v>
      </c>
      <c r="E613" s="21" t="s">
        <v>2510</v>
      </c>
      <c r="F613" s="21" t="s">
        <v>2518</v>
      </c>
      <c r="G613" s="20" t="s">
        <v>35</v>
      </c>
      <c r="H613" s="20" t="s">
        <v>25</v>
      </c>
      <c r="I613" s="21" t="s">
        <v>2519</v>
      </c>
      <c r="J613" s="22">
        <f t="shared" si="45"/>
        <v>0.393055555556202</v>
      </c>
      <c r="K613" s="22">
        <f t="shared" si="46"/>
        <v>9.43333333334886</v>
      </c>
      <c r="L613" s="22">
        <f t="shared" si="47"/>
        <v>9.43333333334886</v>
      </c>
      <c r="M613" s="22" cm="1">
        <f ca="1" t="array" ref="M613">SUMPRODUCT(--(WEEKDAY(ROW(INDIRECT(INT(F613)&amp;":"&amp;INT(I613))),2)&gt;5))</f>
        <v>0</v>
      </c>
      <c r="N613" s="22">
        <f ca="1" t="shared" si="48"/>
        <v>9.43333333334886</v>
      </c>
      <c r="O613" s="22" t="str">
        <f ca="1" t="shared" si="49"/>
        <v>Within SLA</v>
      </c>
      <c r="P613" s="26" t="s">
        <v>2517</v>
      </c>
      <c r="Q613" s="24" t="s">
        <v>37</v>
      </c>
      <c r="R613" s="25"/>
      <c r="S613" s="25"/>
    </row>
    <row r="614" ht="27" customHeight="1" spans="1:19">
      <c r="A614" s="19" t="s">
        <v>2520</v>
      </c>
      <c r="B614" s="20" t="s">
        <v>30</v>
      </c>
      <c r="C614" s="20" t="s">
        <v>31</v>
      </c>
      <c r="D614" s="20" t="s">
        <v>32</v>
      </c>
      <c r="E614" s="21" t="s">
        <v>2521</v>
      </c>
      <c r="F614" s="21" t="s">
        <v>2522</v>
      </c>
      <c r="G614" s="20" t="s">
        <v>35</v>
      </c>
      <c r="H614" s="20" t="s">
        <v>25</v>
      </c>
      <c r="I614" s="21" t="s">
        <v>2523</v>
      </c>
      <c r="J614" s="22">
        <f t="shared" si="45"/>
        <v>0.0895833333343035</v>
      </c>
      <c r="K614" s="22">
        <f t="shared" si="46"/>
        <v>2.15000000002328</v>
      </c>
      <c r="L614" s="22">
        <f t="shared" si="47"/>
        <v>2.15000000002328</v>
      </c>
      <c r="M614" s="22" cm="1">
        <f ca="1" t="array" ref="M614">SUMPRODUCT(--(WEEKDAY(ROW(INDIRECT(INT(F614)&amp;":"&amp;INT(I614))),2)&gt;5))</f>
        <v>0</v>
      </c>
      <c r="N614" s="22">
        <f ca="1" t="shared" si="48"/>
        <v>2.15000000002328</v>
      </c>
      <c r="O614" s="22" t="str">
        <f ca="1" t="shared" si="49"/>
        <v>Within SLA</v>
      </c>
      <c r="P614" s="26" t="s">
        <v>2520</v>
      </c>
      <c r="Q614" s="24" t="s">
        <v>37</v>
      </c>
      <c r="R614" s="25"/>
      <c r="S614" s="25"/>
    </row>
    <row r="615" ht="39" customHeight="1" spans="1:19">
      <c r="A615" s="19" t="s">
        <v>2524</v>
      </c>
      <c r="B615" s="20" t="s">
        <v>19</v>
      </c>
      <c r="C615" s="20" t="s">
        <v>20</v>
      </c>
      <c r="D615" s="20" t="s">
        <v>32</v>
      </c>
      <c r="E615" s="21" t="s">
        <v>2525</v>
      </c>
      <c r="F615" s="21" t="s">
        <v>2526</v>
      </c>
      <c r="G615" s="20" t="s">
        <v>35</v>
      </c>
      <c r="H615" s="20" t="s">
        <v>25</v>
      </c>
      <c r="I615" s="21" t="s">
        <v>2527</v>
      </c>
      <c r="J615" s="22">
        <f t="shared" si="45"/>
        <v>22.1381944444438</v>
      </c>
      <c r="K615" s="22">
        <f t="shared" si="46"/>
        <v>531.316666666651</v>
      </c>
      <c r="L615" s="22">
        <f t="shared" si="47"/>
        <v>179.316666666651</v>
      </c>
      <c r="M615" s="22" cm="1">
        <f ca="1" t="array" ref="M615">SUMPRODUCT(--(WEEKDAY(ROW(INDIRECT(INT(F615)&amp;":"&amp;INT(I615))),2)&gt;5))</f>
        <v>6</v>
      </c>
      <c r="N615" s="22">
        <f ca="1" t="shared" si="48"/>
        <v>131.316666666651</v>
      </c>
      <c r="O615" s="22" t="str">
        <f ca="1" t="shared" si="49"/>
        <v>SLA Violated</v>
      </c>
      <c r="P615" s="23" t="s">
        <v>2528</v>
      </c>
      <c r="Q615" s="24" t="s">
        <v>37</v>
      </c>
      <c r="R615" s="25" t="s">
        <v>2529</v>
      </c>
      <c r="S615" s="25" t="s">
        <v>39</v>
      </c>
    </row>
    <row r="616" ht="39" customHeight="1" spans="1:19">
      <c r="A616" s="19" t="s">
        <v>2530</v>
      </c>
      <c r="B616" s="20" t="s">
        <v>19</v>
      </c>
      <c r="C616" s="20" t="s">
        <v>20</v>
      </c>
      <c r="D616" s="20" t="s">
        <v>32</v>
      </c>
      <c r="E616" s="21" t="s">
        <v>2531</v>
      </c>
      <c r="F616" s="21" t="s">
        <v>2532</v>
      </c>
      <c r="G616" s="20" t="s">
        <v>35</v>
      </c>
      <c r="H616" s="20" t="s">
        <v>25</v>
      </c>
      <c r="I616" s="21" t="s">
        <v>2533</v>
      </c>
      <c r="J616" s="22">
        <f t="shared" si="45"/>
        <v>22.1374999999971</v>
      </c>
      <c r="K616" s="22">
        <f t="shared" si="46"/>
        <v>531.29999999993</v>
      </c>
      <c r="L616" s="22">
        <f t="shared" si="47"/>
        <v>179.29999999993</v>
      </c>
      <c r="M616" s="22" cm="1">
        <f ca="1" t="array" ref="M616">SUMPRODUCT(--(WEEKDAY(ROW(INDIRECT(INT(F616)&amp;":"&amp;INT(I616))),2)&gt;5))</f>
        <v>6</v>
      </c>
      <c r="N616" s="22">
        <f ca="1" t="shared" si="48"/>
        <v>131.29999999993</v>
      </c>
      <c r="O616" s="22" t="str">
        <f ca="1" t="shared" si="49"/>
        <v>SLA Violated</v>
      </c>
      <c r="P616" s="23" t="s">
        <v>2534</v>
      </c>
      <c r="Q616" s="24" t="s">
        <v>28</v>
      </c>
      <c r="R616" s="25"/>
      <c r="S616" s="25"/>
    </row>
    <row r="617" ht="39" customHeight="1" spans="1:19">
      <c r="A617" s="19" t="s">
        <v>2535</v>
      </c>
      <c r="B617" s="20" t="s">
        <v>19</v>
      </c>
      <c r="C617" s="20" t="s">
        <v>20</v>
      </c>
      <c r="D617" s="20" t="s">
        <v>32</v>
      </c>
      <c r="E617" s="21" t="s">
        <v>2531</v>
      </c>
      <c r="F617" s="21" t="s">
        <v>2536</v>
      </c>
      <c r="G617" s="20" t="s">
        <v>24</v>
      </c>
      <c r="H617" s="20" t="s">
        <v>25</v>
      </c>
      <c r="I617" s="21" t="s">
        <v>2537</v>
      </c>
      <c r="J617" s="22">
        <f t="shared" si="45"/>
        <v>76.8062500000015</v>
      </c>
      <c r="K617" s="22">
        <f t="shared" si="46"/>
        <v>1843.35000000003</v>
      </c>
      <c r="L617" s="22">
        <f t="shared" si="47"/>
        <v>611.350000000035</v>
      </c>
      <c r="M617" s="22" cm="1">
        <f ca="1" t="array" ref="M617">SUMPRODUCT(--(WEEKDAY(ROW(INDIRECT(INT(F617)&amp;":"&amp;INT(I617))),2)&gt;5))</f>
        <v>22</v>
      </c>
      <c r="N617" s="22">
        <f ca="1" t="shared" si="48"/>
        <v>435.350000000035</v>
      </c>
      <c r="O617" s="22" t="str">
        <f ca="1" t="shared" si="49"/>
        <v>SLA Violated</v>
      </c>
      <c r="P617" s="23" t="s">
        <v>2538</v>
      </c>
      <c r="Q617" s="24" t="s">
        <v>37</v>
      </c>
      <c r="R617" s="25" t="s">
        <v>220</v>
      </c>
      <c r="S617" s="25" t="s">
        <v>39</v>
      </c>
    </row>
    <row r="618" ht="16" customHeight="1" spans="1:19">
      <c r="A618" s="19" t="s">
        <v>2539</v>
      </c>
      <c r="B618" s="20" t="s">
        <v>45</v>
      </c>
      <c r="C618" s="20" t="s">
        <v>849</v>
      </c>
      <c r="D618" s="20" t="s">
        <v>32</v>
      </c>
      <c r="E618" s="21" t="s">
        <v>2540</v>
      </c>
      <c r="F618" s="21" t="s">
        <v>2541</v>
      </c>
      <c r="G618" s="20" t="s">
        <v>35</v>
      </c>
      <c r="H618" s="20" t="s">
        <v>25</v>
      </c>
      <c r="I618" s="21" t="s">
        <v>2542</v>
      </c>
      <c r="J618" s="22">
        <f t="shared" si="45"/>
        <v>0.374305555560568</v>
      </c>
      <c r="K618" s="22">
        <f t="shared" si="46"/>
        <v>8.98333333345363</v>
      </c>
      <c r="L618" s="22">
        <f t="shared" si="47"/>
        <v>8.98333333345363</v>
      </c>
      <c r="M618" s="22" cm="1">
        <f ca="1" t="array" ref="M618">SUMPRODUCT(--(WEEKDAY(ROW(INDIRECT(INT(F618)&amp;":"&amp;INT(I618))),2)&gt;5))</f>
        <v>0</v>
      </c>
      <c r="N618" s="22">
        <f ca="1" t="shared" si="48"/>
        <v>8.98333333345363</v>
      </c>
      <c r="O618" s="22" t="str">
        <f ca="1" t="shared" si="49"/>
        <v>Within SLA</v>
      </c>
      <c r="P618" s="26" t="s">
        <v>2539</v>
      </c>
      <c r="Q618" s="24" t="s">
        <v>37</v>
      </c>
      <c r="R618" s="25"/>
      <c r="S618" s="25"/>
    </row>
    <row r="619" ht="39" customHeight="1" spans="1:19">
      <c r="A619" s="19" t="s">
        <v>2543</v>
      </c>
      <c r="B619" s="20" t="s">
        <v>19</v>
      </c>
      <c r="C619" s="20" t="s">
        <v>20</v>
      </c>
      <c r="D619" s="20" t="s">
        <v>32</v>
      </c>
      <c r="E619" s="21" t="s">
        <v>2540</v>
      </c>
      <c r="F619" s="21" t="s">
        <v>2544</v>
      </c>
      <c r="G619" s="20" t="s">
        <v>35</v>
      </c>
      <c r="H619" s="20" t="s">
        <v>25</v>
      </c>
      <c r="I619" s="21" t="s">
        <v>2545</v>
      </c>
      <c r="J619" s="22">
        <f t="shared" si="45"/>
        <v>19.0166666666701</v>
      </c>
      <c r="K619" s="22">
        <f t="shared" si="46"/>
        <v>456.400000000081</v>
      </c>
      <c r="L619" s="22">
        <f t="shared" si="47"/>
        <v>152.400000000081</v>
      </c>
      <c r="M619" s="22" cm="1">
        <f ca="1" t="array" ref="M619">SUMPRODUCT(--(WEEKDAY(ROW(INDIRECT(INT(F619)&amp;":"&amp;INT(I619))),2)&gt;5))</f>
        <v>6</v>
      </c>
      <c r="N619" s="22">
        <f ca="1" t="shared" si="48"/>
        <v>104.400000000081</v>
      </c>
      <c r="O619" s="22" t="str">
        <f ca="1" t="shared" si="49"/>
        <v>SLA Violated</v>
      </c>
      <c r="P619" s="23" t="s">
        <v>2546</v>
      </c>
      <c r="Q619" s="24" t="s">
        <v>28</v>
      </c>
      <c r="R619" s="25"/>
      <c r="S619" s="25"/>
    </row>
    <row r="620" ht="39" customHeight="1" spans="1:19">
      <c r="A620" s="19" t="s">
        <v>2547</v>
      </c>
      <c r="B620" s="20" t="s">
        <v>19</v>
      </c>
      <c r="C620" s="20" t="s">
        <v>20</v>
      </c>
      <c r="D620" s="20" t="s">
        <v>32</v>
      </c>
      <c r="E620" s="21" t="s">
        <v>2393</v>
      </c>
      <c r="F620" s="21" t="s">
        <v>2548</v>
      </c>
      <c r="G620" s="20" t="s">
        <v>35</v>
      </c>
      <c r="H620" s="20" t="s">
        <v>25</v>
      </c>
      <c r="I620" s="21" t="s">
        <v>2549</v>
      </c>
      <c r="J620" s="22">
        <f t="shared" si="45"/>
        <v>1.02361111111531</v>
      </c>
      <c r="K620" s="22">
        <f t="shared" si="46"/>
        <v>24.5666666667676</v>
      </c>
      <c r="L620" s="22">
        <f t="shared" si="47"/>
        <v>8.56666666676756</v>
      </c>
      <c r="M620" s="22" cm="1">
        <f ca="1" t="array" ref="M620">SUMPRODUCT(--(WEEKDAY(ROW(INDIRECT(INT(F620)&amp;":"&amp;INT(I620))),2)&gt;5))</f>
        <v>0</v>
      </c>
      <c r="N620" s="22">
        <f ca="1" t="shared" si="48"/>
        <v>8.56666666676756</v>
      </c>
      <c r="O620" s="22" t="str">
        <f ca="1" t="shared" si="49"/>
        <v>Within SLA</v>
      </c>
      <c r="P620" s="26" t="s">
        <v>2547</v>
      </c>
      <c r="Q620" s="24" t="s">
        <v>37</v>
      </c>
      <c r="R620" s="25"/>
      <c r="S620" s="25"/>
    </row>
    <row r="621" ht="39" customHeight="1" spans="1:19">
      <c r="A621" s="19" t="s">
        <v>2550</v>
      </c>
      <c r="B621" s="20" t="s">
        <v>19</v>
      </c>
      <c r="C621" s="20" t="s">
        <v>20</v>
      </c>
      <c r="D621" s="20" t="s">
        <v>32</v>
      </c>
      <c r="E621" s="21" t="s">
        <v>2393</v>
      </c>
      <c r="F621" s="21" t="s">
        <v>2551</v>
      </c>
      <c r="G621" s="20" t="s">
        <v>35</v>
      </c>
      <c r="H621" s="20" t="s">
        <v>25</v>
      </c>
      <c r="I621" s="21" t="s">
        <v>2552</v>
      </c>
      <c r="J621" s="22">
        <f t="shared" si="45"/>
        <v>0.361805555556202</v>
      </c>
      <c r="K621" s="22">
        <f t="shared" si="46"/>
        <v>8.68333333334886</v>
      </c>
      <c r="L621" s="22">
        <f t="shared" si="47"/>
        <v>8.68333333334886</v>
      </c>
      <c r="M621" s="22" cm="1">
        <f ca="1" t="array" ref="M621">SUMPRODUCT(--(WEEKDAY(ROW(INDIRECT(INT(F621)&amp;":"&amp;INT(I621))),2)&gt;5))</f>
        <v>0</v>
      </c>
      <c r="N621" s="22">
        <f ca="1" t="shared" si="48"/>
        <v>8.68333333334886</v>
      </c>
      <c r="O621" s="22" t="str">
        <f ca="1" t="shared" si="49"/>
        <v>Within SLA</v>
      </c>
      <c r="P621" s="26" t="s">
        <v>2550</v>
      </c>
      <c r="Q621" s="24" t="s">
        <v>37</v>
      </c>
      <c r="R621" s="25"/>
      <c r="S621" s="25"/>
    </row>
    <row r="622" ht="39" customHeight="1" spans="1:19">
      <c r="A622" s="19" t="s">
        <v>2553</v>
      </c>
      <c r="B622" s="20" t="s">
        <v>19</v>
      </c>
      <c r="C622" s="20" t="s">
        <v>20</v>
      </c>
      <c r="D622" s="20" t="s">
        <v>32</v>
      </c>
      <c r="E622" s="21" t="s">
        <v>2552</v>
      </c>
      <c r="F622" s="21" t="s">
        <v>2554</v>
      </c>
      <c r="G622" s="20" t="s">
        <v>35</v>
      </c>
      <c r="H622" s="20" t="s">
        <v>25</v>
      </c>
      <c r="I622" s="21" t="s">
        <v>2555</v>
      </c>
      <c r="J622" s="22">
        <f t="shared" si="45"/>
        <v>12.382638888892</v>
      </c>
      <c r="K622" s="22">
        <f t="shared" si="46"/>
        <v>297.183333333407</v>
      </c>
      <c r="L622" s="22">
        <f t="shared" si="47"/>
        <v>89.1833333334071</v>
      </c>
      <c r="M622" s="22" cm="1">
        <f ca="1" t="array" ref="M622">SUMPRODUCT(--(WEEKDAY(ROW(INDIRECT(INT(F622)&amp;":"&amp;INT(I622))),2)&gt;5))</f>
        <v>4</v>
      </c>
      <c r="N622" s="22">
        <f ca="1" t="shared" si="48"/>
        <v>57.1833333334071</v>
      </c>
      <c r="O622" s="22" t="str">
        <f ca="1" t="shared" si="49"/>
        <v>SLA Violated</v>
      </c>
      <c r="P622" s="23" t="s">
        <v>2556</v>
      </c>
      <c r="Q622" s="24" t="s">
        <v>28</v>
      </c>
      <c r="R622" s="25"/>
      <c r="S622" s="25"/>
    </row>
    <row r="623" ht="50" customHeight="1" spans="1:19">
      <c r="A623" s="19" t="s">
        <v>2557</v>
      </c>
      <c r="B623" s="20" t="s">
        <v>369</v>
      </c>
      <c r="C623" s="20" t="s">
        <v>2057</v>
      </c>
      <c r="D623" s="20" t="s">
        <v>32</v>
      </c>
      <c r="E623" s="21" t="s">
        <v>2558</v>
      </c>
      <c r="F623" s="21" t="s">
        <v>2559</v>
      </c>
      <c r="G623" s="20" t="s">
        <v>35</v>
      </c>
      <c r="H623" s="20" t="s">
        <v>25</v>
      </c>
      <c r="I623" s="21" t="s">
        <v>2560</v>
      </c>
      <c r="J623" s="22">
        <f t="shared" si="45"/>
        <v>2.02847222222044</v>
      </c>
      <c r="K623" s="22">
        <f t="shared" si="46"/>
        <v>48.6833333332906</v>
      </c>
      <c r="L623" s="22">
        <f t="shared" si="47"/>
        <v>16.6833333332906</v>
      </c>
      <c r="M623" s="22" cm="1">
        <f ca="1" t="array" ref="M623">SUMPRODUCT(--(WEEKDAY(ROW(INDIRECT(INT(F623)&amp;":"&amp;INT(I623))),2)&gt;5))</f>
        <v>0</v>
      </c>
      <c r="N623" s="22">
        <f ca="1" t="shared" si="48"/>
        <v>16.6833333332906</v>
      </c>
      <c r="O623" s="22" t="str">
        <f ca="1" t="shared" si="49"/>
        <v>SLA Violated</v>
      </c>
      <c r="P623" s="23" t="s">
        <v>2561</v>
      </c>
      <c r="Q623" s="24" t="s">
        <v>28</v>
      </c>
      <c r="R623" s="25"/>
      <c r="S623" s="25"/>
    </row>
    <row r="624" ht="39" customHeight="1" spans="1:19">
      <c r="A624" s="19" t="s">
        <v>2562</v>
      </c>
      <c r="B624" s="20" t="s">
        <v>19</v>
      </c>
      <c r="C624" s="20" t="s">
        <v>20</v>
      </c>
      <c r="D624" s="20" t="s">
        <v>32</v>
      </c>
      <c r="E624" s="21" t="s">
        <v>2563</v>
      </c>
      <c r="F624" s="21" t="s">
        <v>2564</v>
      </c>
      <c r="G624" s="20" t="s">
        <v>35</v>
      </c>
      <c r="H624" s="20" t="s">
        <v>25</v>
      </c>
      <c r="I624" s="21" t="s">
        <v>2565</v>
      </c>
      <c r="J624" s="22">
        <f t="shared" si="45"/>
        <v>0.325000000004366</v>
      </c>
      <c r="K624" s="22">
        <f t="shared" si="46"/>
        <v>7.80000000010477</v>
      </c>
      <c r="L624" s="22">
        <f t="shared" si="47"/>
        <v>7.80000000010477</v>
      </c>
      <c r="M624" s="22" cm="1">
        <f ca="1" t="array" ref="M624">SUMPRODUCT(--(WEEKDAY(ROW(INDIRECT(INT(F624)&amp;":"&amp;INT(I624))),2)&gt;5))</f>
        <v>0</v>
      </c>
      <c r="N624" s="22">
        <f ca="1" t="shared" si="48"/>
        <v>7.80000000010477</v>
      </c>
      <c r="O624" s="22" t="str">
        <f ca="1" t="shared" si="49"/>
        <v>Within SLA</v>
      </c>
      <c r="P624" s="26" t="s">
        <v>2562</v>
      </c>
      <c r="Q624" s="24" t="s">
        <v>37</v>
      </c>
      <c r="R624" s="25"/>
      <c r="S624" s="25"/>
    </row>
    <row r="625" ht="39" customHeight="1" spans="1:19">
      <c r="A625" s="19" t="s">
        <v>2566</v>
      </c>
      <c r="B625" s="20" t="s">
        <v>19</v>
      </c>
      <c r="C625" s="20" t="s">
        <v>20</v>
      </c>
      <c r="D625" s="20" t="s">
        <v>32</v>
      </c>
      <c r="E625" s="21" t="s">
        <v>2567</v>
      </c>
      <c r="F625" s="21" t="s">
        <v>2568</v>
      </c>
      <c r="G625" s="20" t="s">
        <v>35</v>
      </c>
      <c r="H625" s="20" t="s">
        <v>25</v>
      </c>
      <c r="I625" s="21" t="s">
        <v>2569</v>
      </c>
      <c r="J625" s="22">
        <f t="shared" si="45"/>
        <v>0.322222222217533</v>
      </c>
      <c r="K625" s="22">
        <f t="shared" si="46"/>
        <v>7.7333333332208</v>
      </c>
      <c r="L625" s="22">
        <f t="shared" si="47"/>
        <v>7.7333333332208</v>
      </c>
      <c r="M625" s="22" cm="1">
        <f ca="1" t="array" ref="M625">SUMPRODUCT(--(WEEKDAY(ROW(INDIRECT(INT(F625)&amp;":"&amp;INT(I625))),2)&gt;5))</f>
        <v>0</v>
      </c>
      <c r="N625" s="22">
        <f ca="1" t="shared" si="48"/>
        <v>7.7333333332208</v>
      </c>
      <c r="O625" s="22" t="str">
        <f ca="1" t="shared" si="49"/>
        <v>Within SLA</v>
      </c>
      <c r="P625" s="26" t="s">
        <v>2566</v>
      </c>
      <c r="Q625" s="24" t="s">
        <v>37</v>
      </c>
      <c r="R625" s="25"/>
      <c r="S625" s="25"/>
    </row>
    <row r="626" ht="39" customHeight="1" spans="1:19">
      <c r="A626" s="19" t="s">
        <v>2570</v>
      </c>
      <c r="B626" s="20" t="s">
        <v>19</v>
      </c>
      <c r="C626" s="20" t="s">
        <v>20</v>
      </c>
      <c r="D626" s="20" t="s">
        <v>32</v>
      </c>
      <c r="E626" s="21" t="s">
        <v>2571</v>
      </c>
      <c r="F626" s="21" t="s">
        <v>2572</v>
      </c>
      <c r="G626" s="20" t="s">
        <v>35</v>
      </c>
      <c r="H626" s="20" t="s">
        <v>25</v>
      </c>
      <c r="I626" s="21" t="s">
        <v>2573</v>
      </c>
      <c r="J626" s="22">
        <f t="shared" si="45"/>
        <v>0.320833333331393</v>
      </c>
      <c r="K626" s="22">
        <f t="shared" si="46"/>
        <v>7.69999999995343</v>
      </c>
      <c r="L626" s="22">
        <f t="shared" si="47"/>
        <v>7.69999999995343</v>
      </c>
      <c r="M626" s="22" cm="1">
        <f ca="1" t="array" ref="M626">SUMPRODUCT(--(WEEKDAY(ROW(INDIRECT(INT(F626)&amp;":"&amp;INT(I626))),2)&gt;5))</f>
        <v>0</v>
      </c>
      <c r="N626" s="22">
        <f ca="1" t="shared" si="48"/>
        <v>7.69999999995343</v>
      </c>
      <c r="O626" s="22" t="str">
        <f ca="1" t="shared" si="49"/>
        <v>Within SLA</v>
      </c>
      <c r="P626" s="26" t="s">
        <v>2570</v>
      </c>
      <c r="Q626" s="24" t="s">
        <v>37</v>
      </c>
      <c r="R626" s="25"/>
      <c r="S626" s="25"/>
    </row>
    <row r="627" ht="39" customHeight="1" spans="1:19">
      <c r="A627" s="19" t="s">
        <v>2574</v>
      </c>
      <c r="B627" s="20" t="s">
        <v>19</v>
      </c>
      <c r="C627" s="20" t="s">
        <v>20</v>
      </c>
      <c r="D627" s="20" t="s">
        <v>32</v>
      </c>
      <c r="E627" s="21" t="s">
        <v>2571</v>
      </c>
      <c r="F627" s="21" t="s">
        <v>2575</v>
      </c>
      <c r="G627" s="20" t="s">
        <v>35</v>
      </c>
      <c r="H627" s="20" t="s">
        <v>25</v>
      </c>
      <c r="I627" s="21" t="s">
        <v>2576</v>
      </c>
      <c r="J627" s="22">
        <f t="shared" si="45"/>
        <v>0.261111111110949</v>
      </c>
      <c r="K627" s="22">
        <f t="shared" si="46"/>
        <v>6.26666666666279</v>
      </c>
      <c r="L627" s="22">
        <f t="shared" si="47"/>
        <v>6.26666666666279</v>
      </c>
      <c r="M627" s="22" cm="1">
        <f ca="1" t="array" ref="M627">SUMPRODUCT(--(WEEKDAY(ROW(INDIRECT(INT(F627)&amp;":"&amp;INT(I627))),2)&gt;5))</f>
        <v>0</v>
      </c>
      <c r="N627" s="22">
        <f ca="1" t="shared" si="48"/>
        <v>6.26666666666279</v>
      </c>
      <c r="O627" s="22" t="str">
        <f ca="1" t="shared" si="49"/>
        <v>Within SLA</v>
      </c>
      <c r="P627" s="26" t="s">
        <v>2574</v>
      </c>
      <c r="Q627" s="24" t="s">
        <v>37</v>
      </c>
      <c r="R627" s="25"/>
      <c r="S627" s="25"/>
    </row>
    <row r="628" ht="39" customHeight="1" spans="1:19">
      <c r="A628" s="19" t="s">
        <v>2577</v>
      </c>
      <c r="B628" s="20" t="s">
        <v>19</v>
      </c>
      <c r="C628" s="20" t="s">
        <v>20</v>
      </c>
      <c r="D628" s="20" t="s">
        <v>32</v>
      </c>
      <c r="E628" s="21" t="s">
        <v>2578</v>
      </c>
      <c r="F628" s="21" t="s">
        <v>2575</v>
      </c>
      <c r="G628" s="20" t="s">
        <v>35</v>
      </c>
      <c r="H628" s="20" t="s">
        <v>25</v>
      </c>
      <c r="I628" s="21" t="s">
        <v>2579</v>
      </c>
      <c r="J628" s="22">
        <f t="shared" si="45"/>
        <v>0.316666666665697</v>
      </c>
      <c r="K628" s="22">
        <f t="shared" si="46"/>
        <v>7.59999999997672</v>
      </c>
      <c r="L628" s="22">
        <f t="shared" si="47"/>
        <v>7.59999999997672</v>
      </c>
      <c r="M628" s="22" cm="1">
        <f ca="1" t="array" ref="M628">SUMPRODUCT(--(WEEKDAY(ROW(INDIRECT(INT(F628)&amp;":"&amp;INT(I628))),2)&gt;5))</f>
        <v>0</v>
      </c>
      <c r="N628" s="22">
        <f ca="1" t="shared" si="48"/>
        <v>7.59999999997672</v>
      </c>
      <c r="O628" s="22" t="str">
        <f ca="1" t="shared" si="49"/>
        <v>Within SLA</v>
      </c>
      <c r="P628" s="26" t="s">
        <v>2577</v>
      </c>
      <c r="Q628" s="24" t="s">
        <v>37</v>
      </c>
      <c r="R628" s="25"/>
      <c r="S628" s="25"/>
    </row>
    <row r="629" ht="39" customHeight="1" spans="1:19">
      <c r="A629" s="19" t="s">
        <v>2580</v>
      </c>
      <c r="B629" s="20" t="s">
        <v>19</v>
      </c>
      <c r="C629" s="20" t="s">
        <v>20</v>
      </c>
      <c r="D629" s="20" t="s">
        <v>32</v>
      </c>
      <c r="E629" s="21" t="s">
        <v>2578</v>
      </c>
      <c r="F629" s="21" t="s">
        <v>2581</v>
      </c>
      <c r="G629" s="20" t="s">
        <v>35</v>
      </c>
      <c r="H629" s="20" t="s">
        <v>25</v>
      </c>
      <c r="I629" s="21" t="s">
        <v>2582</v>
      </c>
      <c r="J629" s="22">
        <f t="shared" si="45"/>
        <v>0.314583333332848</v>
      </c>
      <c r="K629" s="22">
        <f t="shared" si="46"/>
        <v>7.54999999998836</v>
      </c>
      <c r="L629" s="22">
        <f t="shared" si="47"/>
        <v>7.54999999998836</v>
      </c>
      <c r="M629" s="22" cm="1">
        <f ca="1" t="array" ref="M629">SUMPRODUCT(--(WEEKDAY(ROW(INDIRECT(INT(F629)&amp;":"&amp;INT(I629))),2)&gt;5))</f>
        <v>0</v>
      </c>
      <c r="N629" s="22">
        <f ca="1" t="shared" si="48"/>
        <v>7.54999999998836</v>
      </c>
      <c r="O629" s="22" t="str">
        <f ca="1" t="shared" si="49"/>
        <v>Within SLA</v>
      </c>
      <c r="P629" s="26" t="s">
        <v>2580</v>
      </c>
      <c r="Q629" s="24" t="s">
        <v>37</v>
      </c>
      <c r="R629" s="25"/>
      <c r="S629" s="25"/>
    </row>
    <row r="630" ht="27" customHeight="1" spans="1:19">
      <c r="A630" s="19" t="s">
        <v>2583</v>
      </c>
      <c r="B630" s="20" t="s">
        <v>30</v>
      </c>
      <c r="C630" s="20" t="s">
        <v>849</v>
      </c>
      <c r="D630" s="20" t="s">
        <v>32</v>
      </c>
      <c r="E630" s="21" t="s">
        <v>2584</v>
      </c>
      <c r="F630" s="21" t="s">
        <v>2585</v>
      </c>
      <c r="G630" s="20" t="s">
        <v>24</v>
      </c>
      <c r="H630" s="20" t="s">
        <v>25</v>
      </c>
      <c r="I630" s="21" t="s">
        <v>2586</v>
      </c>
      <c r="J630" s="22">
        <f t="shared" si="45"/>
        <v>1.94999999999709</v>
      </c>
      <c r="K630" s="22">
        <f t="shared" si="46"/>
        <v>46.7999999999302</v>
      </c>
      <c r="L630" s="22">
        <f t="shared" si="47"/>
        <v>14.7999999999302</v>
      </c>
      <c r="M630" s="22" cm="1">
        <f ca="1" t="array" ref="M630">SUMPRODUCT(--(WEEKDAY(ROW(INDIRECT(INT(F630)&amp;":"&amp;INT(I630))),2)&gt;5))</f>
        <v>0</v>
      </c>
      <c r="N630" s="22">
        <f ca="1" t="shared" si="48"/>
        <v>14.7999999999302</v>
      </c>
      <c r="O630" s="22" t="str">
        <f ca="1" t="shared" si="49"/>
        <v>SLA Violated</v>
      </c>
      <c r="P630" s="23" t="s">
        <v>2587</v>
      </c>
      <c r="Q630" s="24" t="s">
        <v>28</v>
      </c>
      <c r="R630" s="25"/>
      <c r="S630" s="25"/>
    </row>
    <row r="631" ht="39" customHeight="1" spans="1:19">
      <c r="A631" s="19" t="s">
        <v>2588</v>
      </c>
      <c r="B631" s="20" t="s">
        <v>19</v>
      </c>
      <c r="C631" s="20" t="s">
        <v>20</v>
      </c>
      <c r="D631" s="20" t="s">
        <v>32</v>
      </c>
      <c r="E631" s="21" t="s">
        <v>906</v>
      </c>
      <c r="F631" s="21" t="s">
        <v>2589</v>
      </c>
      <c r="G631" s="20" t="s">
        <v>35</v>
      </c>
      <c r="H631" s="20" t="s">
        <v>25</v>
      </c>
      <c r="I631" s="21" t="s">
        <v>2590</v>
      </c>
      <c r="J631" s="22">
        <f t="shared" si="45"/>
        <v>0.0638888888934162</v>
      </c>
      <c r="K631" s="22">
        <f t="shared" si="46"/>
        <v>1.53333333344199</v>
      </c>
      <c r="L631" s="22">
        <f t="shared" si="47"/>
        <v>1.53333333344199</v>
      </c>
      <c r="M631" s="22" cm="1">
        <f ca="1" t="array" ref="M631">SUMPRODUCT(--(WEEKDAY(ROW(INDIRECT(INT(F631)&amp;":"&amp;INT(I631))),2)&gt;5))</f>
        <v>0</v>
      </c>
      <c r="N631" s="22">
        <f ca="1" t="shared" si="48"/>
        <v>1.53333333344199</v>
      </c>
      <c r="O631" s="22" t="str">
        <f ca="1" t="shared" si="49"/>
        <v>Within SLA</v>
      </c>
      <c r="P631" s="26" t="s">
        <v>2588</v>
      </c>
      <c r="Q631" s="24" t="s">
        <v>37</v>
      </c>
      <c r="R631" s="25"/>
      <c r="S631" s="25"/>
    </row>
    <row r="632" ht="39" customHeight="1" spans="1:19">
      <c r="A632" s="19" t="s">
        <v>2591</v>
      </c>
      <c r="B632" s="20" t="s">
        <v>196</v>
      </c>
      <c r="C632" s="20" t="s">
        <v>46</v>
      </c>
      <c r="D632" s="20" t="s">
        <v>21</v>
      </c>
      <c r="E632" s="21" t="s">
        <v>2592</v>
      </c>
      <c r="F632" s="21" t="s">
        <v>2593</v>
      </c>
      <c r="G632" s="20" t="s">
        <v>35</v>
      </c>
      <c r="H632" s="20" t="s">
        <v>25</v>
      </c>
      <c r="I632" s="21" t="s">
        <v>2594</v>
      </c>
      <c r="J632" s="22">
        <f t="shared" si="45"/>
        <v>0.0555555555547471</v>
      </c>
      <c r="K632" s="22">
        <f t="shared" si="46"/>
        <v>1.33333333331393</v>
      </c>
      <c r="L632" s="22">
        <f t="shared" si="47"/>
        <v>1.33333333331393</v>
      </c>
      <c r="M632" s="22" cm="1">
        <f ca="1" t="array" ref="M632">SUMPRODUCT(--(WEEKDAY(ROW(INDIRECT(INT(F632)&amp;":"&amp;INT(I632))),2)&gt;5))</f>
        <v>0</v>
      </c>
      <c r="N632" s="22">
        <f ca="1" t="shared" si="48"/>
        <v>1.33333333331393</v>
      </c>
      <c r="O632" s="22" t="str">
        <f ca="1" t="shared" si="49"/>
        <v>Within SLA</v>
      </c>
      <c r="P632" s="26" t="s">
        <v>2591</v>
      </c>
      <c r="Q632" s="24" t="s">
        <v>37</v>
      </c>
      <c r="R632" s="25"/>
      <c r="S632" s="25"/>
    </row>
    <row r="633" ht="27" customHeight="1" spans="1:19">
      <c r="A633" s="19" t="s">
        <v>2595</v>
      </c>
      <c r="B633" s="20" t="s">
        <v>30</v>
      </c>
      <c r="C633" s="20" t="s">
        <v>849</v>
      </c>
      <c r="D633" s="20" t="s">
        <v>32</v>
      </c>
      <c r="E633" s="21" t="s">
        <v>2596</v>
      </c>
      <c r="F633" s="21" t="s">
        <v>2597</v>
      </c>
      <c r="G633" s="20" t="s">
        <v>24</v>
      </c>
      <c r="H633" s="20" t="s">
        <v>25</v>
      </c>
      <c r="I633" s="21" t="s">
        <v>2598</v>
      </c>
      <c r="J633" s="22">
        <f t="shared" si="45"/>
        <v>1.91666666666424</v>
      </c>
      <c r="K633" s="22">
        <f t="shared" si="46"/>
        <v>45.9999999999418</v>
      </c>
      <c r="L633" s="22">
        <f t="shared" si="47"/>
        <v>13.9999999999418</v>
      </c>
      <c r="M633" s="22" cm="1">
        <f ca="1" t="array" ref="M633">SUMPRODUCT(--(WEEKDAY(ROW(INDIRECT(INT(F633)&amp;":"&amp;INT(I633))),2)&gt;5))</f>
        <v>0</v>
      </c>
      <c r="N633" s="22">
        <f ca="1" t="shared" si="48"/>
        <v>13.9999999999418</v>
      </c>
      <c r="O633" s="22" t="str">
        <f ca="1" t="shared" si="49"/>
        <v>SLA Violated</v>
      </c>
      <c r="P633" s="23" t="s">
        <v>2599</v>
      </c>
      <c r="Q633" s="24" t="s">
        <v>28</v>
      </c>
      <c r="R633" s="25"/>
      <c r="S633" s="25"/>
    </row>
    <row r="634" ht="27" customHeight="1" spans="1:19">
      <c r="A634" s="19" t="s">
        <v>2600</v>
      </c>
      <c r="B634" s="20" t="s">
        <v>30</v>
      </c>
      <c r="C634" s="20" t="s">
        <v>31</v>
      </c>
      <c r="D634" s="20" t="s">
        <v>32</v>
      </c>
      <c r="E634" s="21" t="s">
        <v>2601</v>
      </c>
      <c r="F634" s="21" t="s">
        <v>2602</v>
      </c>
      <c r="G634" s="20" t="s">
        <v>35</v>
      </c>
      <c r="H634" s="20" t="s">
        <v>25</v>
      </c>
      <c r="I634" s="21" t="s">
        <v>2603</v>
      </c>
      <c r="J634" s="22">
        <f t="shared" si="45"/>
        <v>0.716666666667152</v>
      </c>
      <c r="K634" s="22">
        <f t="shared" si="46"/>
        <v>17.2000000000116</v>
      </c>
      <c r="L634" s="22">
        <f t="shared" si="47"/>
        <v>1.20000000001164</v>
      </c>
      <c r="M634" s="22" cm="1">
        <f ca="1" t="array" ref="M634">SUMPRODUCT(--(WEEKDAY(ROW(INDIRECT(INT(F634)&amp;":"&amp;INT(I634))),2)&gt;5))</f>
        <v>0</v>
      </c>
      <c r="N634" s="22">
        <f ca="1" t="shared" si="48"/>
        <v>1.20000000001164</v>
      </c>
      <c r="O634" s="22" t="str">
        <f ca="1" t="shared" si="49"/>
        <v>Within SLA</v>
      </c>
      <c r="P634" s="26" t="s">
        <v>2600</v>
      </c>
      <c r="Q634" s="24" t="s">
        <v>37</v>
      </c>
      <c r="R634" s="25"/>
      <c r="S634" s="25"/>
    </row>
    <row r="635" ht="39" customHeight="1" spans="1:19">
      <c r="A635" s="19" t="s">
        <v>2604</v>
      </c>
      <c r="B635" s="20" t="s">
        <v>19</v>
      </c>
      <c r="C635" s="20" t="s">
        <v>20</v>
      </c>
      <c r="D635" s="20" t="s">
        <v>32</v>
      </c>
      <c r="E635" s="21" t="s">
        <v>2605</v>
      </c>
      <c r="F635" s="21" t="s">
        <v>2606</v>
      </c>
      <c r="G635" s="20" t="s">
        <v>35</v>
      </c>
      <c r="H635" s="20" t="s">
        <v>25</v>
      </c>
      <c r="I635" s="21" t="s">
        <v>2607</v>
      </c>
      <c r="J635" s="22">
        <f t="shared" si="45"/>
        <v>0.0187499999956344</v>
      </c>
      <c r="K635" s="22">
        <f t="shared" si="46"/>
        <v>0.449999999895226</v>
      </c>
      <c r="L635" s="22">
        <f t="shared" si="47"/>
        <v>0.449999999895226</v>
      </c>
      <c r="M635" s="22" cm="1">
        <f ca="1" t="array" ref="M635">SUMPRODUCT(--(WEEKDAY(ROW(INDIRECT(INT(F635)&amp;":"&amp;INT(I635))),2)&gt;5))</f>
        <v>0</v>
      </c>
      <c r="N635" s="22">
        <f ca="1" t="shared" si="48"/>
        <v>0.449999999895226</v>
      </c>
      <c r="O635" s="22" t="str">
        <f ca="1" t="shared" si="49"/>
        <v>Within SLA</v>
      </c>
      <c r="P635" s="26" t="s">
        <v>2604</v>
      </c>
      <c r="Q635" s="24" t="s">
        <v>37</v>
      </c>
      <c r="R635" s="25"/>
      <c r="S635" s="25"/>
    </row>
    <row r="636" ht="39" customHeight="1" spans="1:19">
      <c r="A636" s="19" t="s">
        <v>2608</v>
      </c>
      <c r="B636" s="20" t="s">
        <v>19</v>
      </c>
      <c r="C636" s="20" t="s">
        <v>20</v>
      </c>
      <c r="D636" s="20" t="s">
        <v>32</v>
      </c>
      <c r="E636" s="21" t="s">
        <v>2609</v>
      </c>
      <c r="F636" s="21" t="s">
        <v>2610</v>
      </c>
      <c r="G636" s="20" t="s">
        <v>35</v>
      </c>
      <c r="H636" s="20" t="s">
        <v>25</v>
      </c>
      <c r="I636" s="21" t="s">
        <v>2611</v>
      </c>
      <c r="J636" s="22">
        <f t="shared" si="45"/>
        <v>4.92222222222335</v>
      </c>
      <c r="K636" s="22">
        <f t="shared" si="46"/>
        <v>118.13333333336</v>
      </c>
      <c r="L636" s="22">
        <f t="shared" si="47"/>
        <v>38.1333333333605</v>
      </c>
      <c r="M636" s="22" cm="1">
        <f ca="1" t="array" ref="M636">SUMPRODUCT(--(WEEKDAY(ROW(INDIRECT(INT(F636)&amp;":"&amp;INT(I636))),2)&gt;5))</f>
        <v>2</v>
      </c>
      <c r="N636" s="22">
        <f ca="1" t="shared" si="48"/>
        <v>22.1333333333605</v>
      </c>
      <c r="O636" s="22" t="str">
        <f ca="1" t="shared" si="49"/>
        <v>SLA Violated</v>
      </c>
      <c r="P636" s="23" t="s">
        <v>2612</v>
      </c>
      <c r="Q636" s="24" t="s">
        <v>28</v>
      </c>
      <c r="R636" s="25"/>
      <c r="S636" s="25"/>
    </row>
    <row r="637" ht="39" customHeight="1" spans="1:19">
      <c r="A637" s="19" t="s">
        <v>2613</v>
      </c>
      <c r="B637" s="20" t="s">
        <v>19</v>
      </c>
      <c r="C637" s="20" t="s">
        <v>20</v>
      </c>
      <c r="D637" s="20" t="s">
        <v>21</v>
      </c>
      <c r="E637" s="21" t="s">
        <v>2614</v>
      </c>
      <c r="F637" s="21" t="s">
        <v>2615</v>
      </c>
      <c r="G637" s="20" t="s">
        <v>35</v>
      </c>
      <c r="H637" s="20" t="s">
        <v>25</v>
      </c>
      <c r="I637" s="21" t="s">
        <v>2616</v>
      </c>
      <c r="J637" s="22">
        <f t="shared" si="45"/>
        <v>22.0229166666686</v>
      </c>
      <c r="K637" s="22">
        <f t="shared" si="46"/>
        <v>528.550000000047</v>
      </c>
      <c r="L637" s="22">
        <f t="shared" si="47"/>
        <v>176.550000000047</v>
      </c>
      <c r="M637" s="22" cm="1">
        <f ca="1" t="array" ref="M637">SUMPRODUCT(--(WEEKDAY(ROW(INDIRECT(INT(F637)&amp;":"&amp;INT(I637))),2)&gt;5))</f>
        <v>6</v>
      </c>
      <c r="N637" s="22">
        <f ca="1" t="shared" si="48"/>
        <v>128.550000000047</v>
      </c>
      <c r="O637" s="22" t="str">
        <f ca="1" t="shared" si="49"/>
        <v>SLA Violated</v>
      </c>
      <c r="P637" s="23" t="s">
        <v>2617</v>
      </c>
      <c r="Q637" s="24" t="s">
        <v>28</v>
      </c>
      <c r="R637" s="25"/>
      <c r="S637" s="25"/>
    </row>
    <row r="638" ht="39" customHeight="1" spans="1:19">
      <c r="A638" s="19" t="s">
        <v>2618</v>
      </c>
      <c r="B638" s="20" t="s">
        <v>196</v>
      </c>
      <c r="C638" s="20" t="s">
        <v>46</v>
      </c>
      <c r="D638" s="20" t="s">
        <v>21</v>
      </c>
      <c r="E638" s="21" t="s">
        <v>2619</v>
      </c>
      <c r="F638" s="21" t="s">
        <v>2620</v>
      </c>
      <c r="G638" s="20" t="s">
        <v>35</v>
      </c>
      <c r="H638" s="20" t="s">
        <v>25</v>
      </c>
      <c r="I638" s="21" t="s">
        <v>2621</v>
      </c>
      <c r="J638" s="22">
        <f t="shared" si="45"/>
        <v>0.695138888891961</v>
      </c>
      <c r="K638" s="22">
        <f t="shared" si="46"/>
        <v>16.6833333334071</v>
      </c>
      <c r="L638" s="22">
        <f t="shared" si="47"/>
        <v>0.683333333407063</v>
      </c>
      <c r="M638" s="22" cm="1">
        <f ca="1" t="array" ref="M638">SUMPRODUCT(--(WEEKDAY(ROW(INDIRECT(INT(F638)&amp;":"&amp;INT(I638))),2)&gt;5))</f>
        <v>0</v>
      </c>
      <c r="N638" s="22">
        <f ca="1" t="shared" si="48"/>
        <v>0.683333333407063</v>
      </c>
      <c r="O638" s="22" t="str">
        <f ca="1" t="shared" si="49"/>
        <v>Within SLA</v>
      </c>
      <c r="P638" s="26" t="s">
        <v>2618</v>
      </c>
      <c r="Q638" s="24" t="s">
        <v>37</v>
      </c>
      <c r="R638" s="25"/>
      <c r="S638" s="25"/>
    </row>
    <row r="639" ht="39" customHeight="1" spans="1:19">
      <c r="A639" s="19" t="s">
        <v>2622</v>
      </c>
      <c r="B639" s="20" t="s">
        <v>19</v>
      </c>
      <c r="C639" s="20" t="s">
        <v>20</v>
      </c>
      <c r="D639" s="20" t="s">
        <v>32</v>
      </c>
      <c r="E639" s="21" t="s">
        <v>2623</v>
      </c>
      <c r="F639" s="21" t="s">
        <v>2624</v>
      </c>
      <c r="G639" s="20" t="s">
        <v>35</v>
      </c>
      <c r="H639" s="20" t="s">
        <v>25</v>
      </c>
      <c r="I639" s="21" t="s">
        <v>2625</v>
      </c>
      <c r="J639" s="22">
        <f t="shared" si="45"/>
        <v>22.1847222222204</v>
      </c>
      <c r="K639" s="22">
        <f t="shared" si="46"/>
        <v>532.433333333291</v>
      </c>
      <c r="L639" s="22">
        <f t="shared" si="47"/>
        <v>180.433333333291</v>
      </c>
      <c r="M639" s="22" cm="1">
        <f ca="1" t="array" ref="M639">SUMPRODUCT(--(WEEKDAY(ROW(INDIRECT(INT(F639)&amp;":"&amp;INT(I639))),2)&gt;5))</f>
        <v>6</v>
      </c>
      <c r="N639" s="22">
        <f ca="1" t="shared" si="48"/>
        <v>132.433333333291</v>
      </c>
      <c r="O639" s="22" t="str">
        <f ca="1" t="shared" si="49"/>
        <v>SLA Violated</v>
      </c>
      <c r="P639" s="23" t="s">
        <v>2626</v>
      </c>
      <c r="Q639" s="24" t="s">
        <v>28</v>
      </c>
      <c r="R639" s="25"/>
      <c r="S639" s="25"/>
    </row>
    <row r="640" ht="39" customHeight="1" spans="1:19">
      <c r="A640" s="19" t="s">
        <v>2627</v>
      </c>
      <c r="B640" s="20" t="s">
        <v>19</v>
      </c>
      <c r="C640" s="20" t="s">
        <v>20</v>
      </c>
      <c r="D640" s="20" t="s">
        <v>32</v>
      </c>
      <c r="E640" s="21" t="s">
        <v>2628</v>
      </c>
      <c r="F640" s="21" t="s">
        <v>2629</v>
      </c>
      <c r="G640" s="20" t="s">
        <v>35</v>
      </c>
      <c r="H640" s="20" t="s">
        <v>25</v>
      </c>
      <c r="I640" s="21" t="s">
        <v>2630</v>
      </c>
      <c r="J640" s="22">
        <f t="shared" si="45"/>
        <v>20.3034722222219</v>
      </c>
      <c r="K640" s="22">
        <f t="shared" si="46"/>
        <v>487.283333333326</v>
      </c>
      <c r="L640" s="22">
        <f t="shared" si="47"/>
        <v>167.283333333326</v>
      </c>
      <c r="M640" s="22" cm="1">
        <f ca="1" t="array" ref="M640">SUMPRODUCT(--(WEEKDAY(ROW(INDIRECT(INT(F640)&amp;":"&amp;INT(I640))),2)&gt;5))</f>
        <v>6</v>
      </c>
      <c r="N640" s="22">
        <f ca="1" t="shared" si="48"/>
        <v>119.283333333326</v>
      </c>
      <c r="O640" s="22" t="str">
        <f ca="1" t="shared" si="49"/>
        <v>SLA Violated</v>
      </c>
      <c r="P640" s="23" t="s">
        <v>2631</v>
      </c>
      <c r="Q640" s="24" t="s">
        <v>28</v>
      </c>
      <c r="R640" s="25"/>
      <c r="S640" s="25"/>
    </row>
    <row r="641" ht="27" customHeight="1" spans="1:19">
      <c r="A641" s="19" t="s">
        <v>2632</v>
      </c>
      <c r="B641" s="20" t="s">
        <v>30</v>
      </c>
      <c r="C641" s="20" t="s">
        <v>31</v>
      </c>
      <c r="D641" s="20" t="s">
        <v>32</v>
      </c>
      <c r="E641" s="21" t="s">
        <v>2633</v>
      </c>
      <c r="F641" s="21" t="s">
        <v>2634</v>
      </c>
      <c r="G641" s="20" t="s">
        <v>35</v>
      </c>
      <c r="H641" s="20" t="s">
        <v>25</v>
      </c>
      <c r="I641" s="21" t="s">
        <v>2635</v>
      </c>
      <c r="J641" s="22">
        <f t="shared" si="45"/>
        <v>0.222916666665697</v>
      </c>
      <c r="K641" s="22">
        <f t="shared" si="46"/>
        <v>5.34999999997672</v>
      </c>
      <c r="L641" s="22">
        <f t="shared" si="47"/>
        <v>5.34999999997672</v>
      </c>
      <c r="M641" s="22" cm="1">
        <f ca="1" t="array" ref="M641">SUMPRODUCT(--(WEEKDAY(ROW(INDIRECT(INT(F641)&amp;":"&amp;INT(I641))),2)&gt;5))</f>
        <v>0</v>
      </c>
      <c r="N641" s="22">
        <f ca="1" t="shared" si="48"/>
        <v>5.34999999997672</v>
      </c>
      <c r="O641" s="22" t="str">
        <f ca="1" t="shared" si="49"/>
        <v>Within SLA</v>
      </c>
      <c r="P641" s="26" t="s">
        <v>2632</v>
      </c>
      <c r="Q641" s="24" t="s">
        <v>37</v>
      </c>
      <c r="R641" s="25"/>
      <c r="S641" s="25"/>
    </row>
    <row r="642" ht="39" customHeight="1" spans="1:19">
      <c r="A642" s="19" t="s">
        <v>2636</v>
      </c>
      <c r="B642" s="20" t="s">
        <v>19</v>
      </c>
      <c r="C642" s="20" t="s">
        <v>20</v>
      </c>
      <c r="D642" s="20" t="s">
        <v>32</v>
      </c>
      <c r="E642" s="21" t="s">
        <v>2637</v>
      </c>
      <c r="F642" s="21" t="s">
        <v>2638</v>
      </c>
      <c r="G642" s="20" t="s">
        <v>35</v>
      </c>
      <c r="H642" s="20" t="s">
        <v>25</v>
      </c>
      <c r="I642" s="21" t="s">
        <v>2639</v>
      </c>
      <c r="J642" s="22">
        <f t="shared" si="45"/>
        <v>22.2319444444438</v>
      </c>
      <c r="K642" s="22">
        <f t="shared" si="46"/>
        <v>533.566666666651</v>
      </c>
      <c r="L642" s="22">
        <f t="shared" si="47"/>
        <v>181.566666666651</v>
      </c>
      <c r="M642" s="22" cm="1">
        <f ca="1" t="array" ref="M642">SUMPRODUCT(--(WEEKDAY(ROW(INDIRECT(INT(F642)&amp;":"&amp;INT(I642))),2)&gt;5))</f>
        <v>6</v>
      </c>
      <c r="N642" s="22">
        <f ca="1" t="shared" si="48"/>
        <v>133.566666666651</v>
      </c>
      <c r="O642" s="22" t="str">
        <f ca="1" t="shared" si="49"/>
        <v>SLA Violated</v>
      </c>
      <c r="P642" s="23" t="s">
        <v>2640</v>
      </c>
      <c r="Q642" s="24" t="s">
        <v>28</v>
      </c>
      <c r="R642" s="25"/>
      <c r="S642" s="25"/>
    </row>
    <row r="643" ht="27" customHeight="1" spans="1:19">
      <c r="A643" s="19" t="s">
        <v>2641</v>
      </c>
      <c r="B643" s="20" t="s">
        <v>30</v>
      </c>
      <c r="C643" s="20" t="s">
        <v>31</v>
      </c>
      <c r="D643" s="20" t="s">
        <v>32</v>
      </c>
      <c r="E643" s="21" t="s">
        <v>2639</v>
      </c>
      <c r="F643" s="21" t="s">
        <v>2642</v>
      </c>
      <c r="G643" s="20" t="s">
        <v>24</v>
      </c>
      <c r="H643" s="20" t="s">
        <v>25</v>
      </c>
      <c r="I643" s="21" t="s">
        <v>2643</v>
      </c>
      <c r="J643" s="22">
        <f t="shared" ref="J643:J706" si="50">F643-I643</f>
        <v>4.0847222222219</v>
      </c>
      <c r="K643" s="22">
        <f t="shared" ref="K643:K706" si="51">J643*24</f>
        <v>98.0333333333256</v>
      </c>
      <c r="L643" s="22">
        <f t="shared" ref="L643:L706" si="52">IF(_xlfn.DAYS(F643,I643)&gt;0,K643-IF(FLOOR(J643,1)=0,1,_xlfn.DAYS(F643,I643))*16,K643)</f>
        <v>34.0333333333256</v>
      </c>
      <c r="M643" s="22" cm="1">
        <f ca="1" t="array" ref="M643">SUMPRODUCT(--(WEEKDAY(ROW(INDIRECT(INT(F643)&amp;":"&amp;INT(I643))),2)&gt;5))</f>
        <v>2</v>
      </c>
      <c r="N643" s="22">
        <f ca="1" t="shared" ref="N643:N706" si="53">IF(IF(M643&gt;0,L643-M643*8,L643)&lt;0,0,IF(M643&gt;0,L643-M643*8,L643))</f>
        <v>18.0333333333256</v>
      </c>
      <c r="O643" s="22" t="str">
        <f ca="1" t="shared" ref="O643:O706" si="54">IF(OR(AND(D643="P1",N643&lt;=3),AND(D643="P2",N643&lt;=6),AND(D643="P3",N643&lt;=9),AND(D643="P4",N643&lt;=12)),"Within SLA","SLA Violated")</f>
        <v>SLA Violated</v>
      </c>
      <c r="P643" s="23" t="s">
        <v>2644</v>
      </c>
      <c r="Q643" s="24" t="s">
        <v>28</v>
      </c>
      <c r="R643" s="25"/>
      <c r="S643" s="25"/>
    </row>
    <row r="644" ht="27" customHeight="1" spans="1:19">
      <c r="A644" s="19" t="s">
        <v>2645</v>
      </c>
      <c r="B644" s="20" t="s">
        <v>30</v>
      </c>
      <c r="C644" s="20" t="s">
        <v>31</v>
      </c>
      <c r="D644" s="20" t="s">
        <v>32</v>
      </c>
      <c r="E644" s="21" t="s">
        <v>2639</v>
      </c>
      <c r="F644" s="21" t="s">
        <v>2646</v>
      </c>
      <c r="G644" s="20" t="s">
        <v>35</v>
      </c>
      <c r="H644" s="20" t="s">
        <v>25</v>
      </c>
      <c r="I644" s="21" t="s">
        <v>2647</v>
      </c>
      <c r="J644" s="22">
        <f t="shared" si="50"/>
        <v>0.0520833333357587</v>
      </c>
      <c r="K644" s="22">
        <f t="shared" si="51"/>
        <v>1.25000000005821</v>
      </c>
      <c r="L644" s="22">
        <f t="shared" si="52"/>
        <v>1.25000000005821</v>
      </c>
      <c r="M644" s="22" cm="1">
        <f ca="1" t="array" ref="M644">SUMPRODUCT(--(WEEKDAY(ROW(INDIRECT(INT(F644)&amp;":"&amp;INT(I644))),2)&gt;5))</f>
        <v>0</v>
      </c>
      <c r="N644" s="22">
        <f ca="1" t="shared" si="53"/>
        <v>1.25000000005821</v>
      </c>
      <c r="O644" s="22" t="str">
        <f ca="1" t="shared" si="54"/>
        <v>Within SLA</v>
      </c>
      <c r="P644" s="26" t="s">
        <v>2645</v>
      </c>
      <c r="Q644" s="24" t="s">
        <v>37</v>
      </c>
      <c r="R644" s="25"/>
      <c r="S644" s="25"/>
    </row>
    <row r="645" ht="27" customHeight="1" spans="1:19">
      <c r="A645" s="19" t="s">
        <v>2648</v>
      </c>
      <c r="B645" s="20" t="s">
        <v>30</v>
      </c>
      <c r="C645" s="20" t="s">
        <v>849</v>
      </c>
      <c r="D645" s="20" t="s">
        <v>32</v>
      </c>
      <c r="E645" s="21" t="s">
        <v>2647</v>
      </c>
      <c r="F645" s="21" t="s">
        <v>2649</v>
      </c>
      <c r="G645" s="20" t="s">
        <v>35</v>
      </c>
      <c r="H645" s="20" t="s">
        <v>25</v>
      </c>
      <c r="I645" s="21" t="s">
        <v>2650</v>
      </c>
      <c r="J645" s="22">
        <f t="shared" si="50"/>
        <v>1.0444444444438</v>
      </c>
      <c r="K645" s="22">
        <f t="shared" si="51"/>
        <v>25.0666666666511</v>
      </c>
      <c r="L645" s="22">
        <f t="shared" si="52"/>
        <v>9.06666666665114</v>
      </c>
      <c r="M645" s="22" cm="1">
        <f ca="1" t="array" ref="M645">SUMPRODUCT(--(WEEKDAY(ROW(INDIRECT(INT(F645)&amp;":"&amp;INT(I645))),2)&gt;5))</f>
        <v>0</v>
      </c>
      <c r="N645" s="22">
        <f ca="1" t="shared" si="53"/>
        <v>9.06666666665114</v>
      </c>
      <c r="O645" s="22" t="str">
        <f ca="1" t="shared" si="54"/>
        <v>Within SLA</v>
      </c>
      <c r="P645" s="26" t="s">
        <v>2648</v>
      </c>
      <c r="Q645" s="24" t="s">
        <v>37</v>
      </c>
      <c r="R645" s="25"/>
      <c r="S645" s="25"/>
    </row>
    <row r="646" ht="27" customHeight="1" spans="1:19">
      <c r="A646" s="19" t="s">
        <v>2651</v>
      </c>
      <c r="B646" s="20" t="s">
        <v>30</v>
      </c>
      <c r="C646" s="20" t="s">
        <v>31</v>
      </c>
      <c r="D646" s="20" t="s">
        <v>32</v>
      </c>
      <c r="E646" s="21" t="s">
        <v>2652</v>
      </c>
      <c r="F646" s="21" t="s">
        <v>2653</v>
      </c>
      <c r="G646" s="20" t="s">
        <v>35</v>
      </c>
      <c r="H646" s="20" t="s">
        <v>25</v>
      </c>
      <c r="I646" s="21" t="s">
        <v>2654</v>
      </c>
      <c r="J646" s="22">
        <f t="shared" si="50"/>
        <v>0.25277777777228</v>
      </c>
      <c r="K646" s="22">
        <f t="shared" si="51"/>
        <v>6.06666666653473</v>
      </c>
      <c r="L646" s="22">
        <f t="shared" si="52"/>
        <v>6.06666666653473</v>
      </c>
      <c r="M646" s="22" cm="1">
        <f ca="1" t="array" ref="M646">SUMPRODUCT(--(WEEKDAY(ROW(INDIRECT(INT(F646)&amp;":"&amp;INT(I646))),2)&gt;5))</f>
        <v>0</v>
      </c>
      <c r="N646" s="22">
        <f ca="1" t="shared" si="53"/>
        <v>6.06666666653473</v>
      </c>
      <c r="O646" s="22" t="str">
        <f ca="1" t="shared" si="54"/>
        <v>Within SLA</v>
      </c>
      <c r="P646" s="26" t="s">
        <v>2651</v>
      </c>
      <c r="Q646" s="24" t="s">
        <v>37</v>
      </c>
      <c r="R646" s="25"/>
      <c r="S646" s="25"/>
    </row>
    <row r="647" ht="39" customHeight="1" spans="1:19">
      <c r="A647" s="19" t="s">
        <v>2655</v>
      </c>
      <c r="B647" s="20" t="s">
        <v>19</v>
      </c>
      <c r="C647" s="20" t="s">
        <v>20</v>
      </c>
      <c r="D647" s="20" t="s">
        <v>32</v>
      </c>
      <c r="E647" s="21" t="s">
        <v>2656</v>
      </c>
      <c r="F647" s="21" t="s">
        <v>2657</v>
      </c>
      <c r="G647" s="20" t="s">
        <v>35</v>
      </c>
      <c r="H647" s="20" t="s">
        <v>25</v>
      </c>
      <c r="I647" s="21" t="s">
        <v>2658</v>
      </c>
      <c r="J647" s="22">
        <f t="shared" si="50"/>
        <v>21.3027777777752</v>
      </c>
      <c r="K647" s="22">
        <f t="shared" si="51"/>
        <v>511.266666666605</v>
      </c>
      <c r="L647" s="22">
        <f t="shared" si="52"/>
        <v>175.266666666605</v>
      </c>
      <c r="M647" s="22" cm="1">
        <f ca="1" t="array" ref="M647">SUMPRODUCT(--(WEEKDAY(ROW(INDIRECT(INT(F647)&amp;":"&amp;INT(I647))),2)&gt;5))</f>
        <v>6</v>
      </c>
      <c r="N647" s="22">
        <f ca="1" t="shared" si="53"/>
        <v>127.266666666605</v>
      </c>
      <c r="O647" s="22" t="str">
        <f ca="1" t="shared" si="54"/>
        <v>SLA Violated</v>
      </c>
      <c r="P647" s="23" t="s">
        <v>2659</v>
      </c>
      <c r="Q647" s="24" t="s">
        <v>37</v>
      </c>
      <c r="R647" s="25"/>
      <c r="S647" s="25" t="s">
        <v>97</v>
      </c>
    </row>
    <row r="648" ht="27" customHeight="1" spans="1:19">
      <c r="A648" s="19" t="s">
        <v>2660</v>
      </c>
      <c r="B648" s="20" t="s">
        <v>30</v>
      </c>
      <c r="C648" s="20" t="s">
        <v>31</v>
      </c>
      <c r="D648" s="20" t="s">
        <v>32</v>
      </c>
      <c r="E648" s="21" t="s">
        <v>2661</v>
      </c>
      <c r="F648" s="21" t="s">
        <v>2536</v>
      </c>
      <c r="G648" s="20" t="s">
        <v>24</v>
      </c>
      <c r="H648" s="20" t="s">
        <v>25</v>
      </c>
      <c r="I648" s="21" t="s">
        <v>2662</v>
      </c>
      <c r="J648" s="22">
        <f t="shared" si="50"/>
        <v>75.9506944444438</v>
      </c>
      <c r="K648" s="22">
        <f t="shared" si="51"/>
        <v>1822.81666666665</v>
      </c>
      <c r="L648" s="22">
        <f t="shared" si="52"/>
        <v>606.816666666651</v>
      </c>
      <c r="M648" s="22" cm="1">
        <f ca="1" t="array" ref="M648">SUMPRODUCT(--(WEEKDAY(ROW(INDIRECT(INT(F648)&amp;":"&amp;INT(I648))),2)&gt;5))</f>
        <v>22</v>
      </c>
      <c r="N648" s="22">
        <f ca="1" t="shared" si="53"/>
        <v>430.816666666651</v>
      </c>
      <c r="O648" s="22" t="str">
        <f ca="1" t="shared" si="54"/>
        <v>SLA Violated</v>
      </c>
      <c r="P648" s="23" t="s">
        <v>2663</v>
      </c>
      <c r="Q648" s="24" t="s">
        <v>28</v>
      </c>
      <c r="R648" s="25"/>
      <c r="S648" s="25"/>
    </row>
    <row r="649" ht="39" customHeight="1" spans="1:19">
      <c r="A649" s="19" t="s">
        <v>2664</v>
      </c>
      <c r="B649" s="20" t="s">
        <v>196</v>
      </c>
      <c r="C649" s="20" t="s">
        <v>849</v>
      </c>
      <c r="D649" s="20" t="s">
        <v>32</v>
      </c>
      <c r="E649" s="21" t="s">
        <v>2665</v>
      </c>
      <c r="F649" s="21" t="s">
        <v>2666</v>
      </c>
      <c r="G649" s="20" t="s">
        <v>35</v>
      </c>
      <c r="H649" s="20" t="s">
        <v>25</v>
      </c>
      <c r="I649" s="21" t="s">
        <v>2667</v>
      </c>
      <c r="J649" s="22">
        <f t="shared" si="50"/>
        <v>1.00555555555184</v>
      </c>
      <c r="K649" s="22">
        <f t="shared" si="51"/>
        <v>24.1333333332441</v>
      </c>
      <c r="L649" s="22">
        <f t="shared" si="52"/>
        <v>8.13333333324408</v>
      </c>
      <c r="M649" s="22" cm="1">
        <f ca="1" t="array" ref="M649">SUMPRODUCT(--(WEEKDAY(ROW(INDIRECT(INT(F649)&amp;":"&amp;INT(I649))),2)&gt;5))</f>
        <v>0</v>
      </c>
      <c r="N649" s="22">
        <f ca="1" t="shared" si="53"/>
        <v>8.13333333324408</v>
      </c>
      <c r="O649" s="22" t="str">
        <f ca="1" t="shared" si="54"/>
        <v>Within SLA</v>
      </c>
      <c r="P649" s="26" t="s">
        <v>2664</v>
      </c>
      <c r="Q649" s="24" t="s">
        <v>37</v>
      </c>
      <c r="R649" s="25"/>
      <c r="S649" s="25"/>
    </row>
    <row r="650" ht="39" customHeight="1" spans="1:19">
      <c r="A650" s="19" t="s">
        <v>2668</v>
      </c>
      <c r="B650" s="20" t="s">
        <v>19</v>
      </c>
      <c r="C650" s="20" t="s">
        <v>20</v>
      </c>
      <c r="D650" s="20" t="s">
        <v>115</v>
      </c>
      <c r="E650" s="21" t="s">
        <v>2669</v>
      </c>
      <c r="F650" s="21" t="s">
        <v>2670</v>
      </c>
      <c r="G650" s="20" t="s">
        <v>35</v>
      </c>
      <c r="H650" s="20" t="s">
        <v>25</v>
      </c>
      <c r="I650" s="21" t="s">
        <v>2671</v>
      </c>
      <c r="J650" s="22">
        <f t="shared" si="50"/>
        <v>1.1118055555562</v>
      </c>
      <c r="K650" s="22">
        <f t="shared" si="51"/>
        <v>26.6833333333489</v>
      </c>
      <c r="L650" s="22">
        <f t="shared" si="52"/>
        <v>10.6833333333489</v>
      </c>
      <c r="M650" s="22" cm="1">
        <f ca="1" t="array" ref="M650">SUMPRODUCT(--(WEEKDAY(ROW(INDIRECT(INT(F650)&amp;":"&amp;INT(I650))),2)&gt;5))</f>
        <v>0</v>
      </c>
      <c r="N650" s="22">
        <f ca="1" t="shared" si="53"/>
        <v>10.6833333333489</v>
      </c>
      <c r="O650" s="22" t="str">
        <f ca="1" t="shared" si="54"/>
        <v>SLA Violated</v>
      </c>
      <c r="P650" s="26" t="s">
        <v>2668</v>
      </c>
      <c r="Q650" s="24" t="s">
        <v>37</v>
      </c>
      <c r="R650" s="6" t="s">
        <v>2672</v>
      </c>
      <c r="S650" s="25" t="s">
        <v>39</v>
      </c>
    </row>
    <row r="651" ht="39" customHeight="1" spans="1:19">
      <c r="A651" s="19" t="s">
        <v>2673</v>
      </c>
      <c r="B651" s="20" t="s">
        <v>19</v>
      </c>
      <c r="C651" s="20" t="s">
        <v>20</v>
      </c>
      <c r="D651" s="20" t="s">
        <v>32</v>
      </c>
      <c r="E651" s="21" t="s">
        <v>2674</v>
      </c>
      <c r="F651" s="21" t="s">
        <v>2675</v>
      </c>
      <c r="G651" s="20" t="s">
        <v>35</v>
      </c>
      <c r="H651" s="20" t="s">
        <v>25</v>
      </c>
      <c r="I651" s="21" t="s">
        <v>2676</v>
      </c>
      <c r="J651" s="22">
        <f t="shared" si="50"/>
        <v>13.1652777777781</v>
      </c>
      <c r="K651" s="22">
        <f t="shared" si="51"/>
        <v>315.966666666674</v>
      </c>
      <c r="L651" s="22">
        <f t="shared" si="52"/>
        <v>107.966666666674</v>
      </c>
      <c r="M651" s="22" cm="1">
        <f ca="1" t="array" ref="M651">SUMPRODUCT(--(WEEKDAY(ROW(INDIRECT(INT(F651)&amp;":"&amp;INT(I651))),2)&gt;5))</f>
        <v>4</v>
      </c>
      <c r="N651" s="22">
        <f ca="1" t="shared" si="53"/>
        <v>75.966666666674</v>
      </c>
      <c r="O651" s="22" t="str">
        <f ca="1" t="shared" si="54"/>
        <v>SLA Violated</v>
      </c>
      <c r="P651" s="23" t="s">
        <v>2677</v>
      </c>
      <c r="Q651" s="24" t="s">
        <v>28</v>
      </c>
      <c r="R651" s="25"/>
      <c r="S651" s="25"/>
    </row>
    <row r="652" ht="39" customHeight="1" spans="1:19">
      <c r="A652" s="19" t="s">
        <v>2678</v>
      </c>
      <c r="B652" s="20" t="s">
        <v>19</v>
      </c>
      <c r="C652" s="20" t="s">
        <v>20</v>
      </c>
      <c r="D652" s="20" t="s">
        <v>32</v>
      </c>
      <c r="E652" s="21" t="s">
        <v>2679</v>
      </c>
      <c r="F652" s="21" t="s">
        <v>2680</v>
      </c>
      <c r="G652" s="20" t="s">
        <v>35</v>
      </c>
      <c r="H652" s="20" t="s">
        <v>25</v>
      </c>
      <c r="I652" s="21" t="s">
        <v>2681</v>
      </c>
      <c r="J652" s="22">
        <f t="shared" si="50"/>
        <v>4.03680555555184</v>
      </c>
      <c r="K652" s="22">
        <f t="shared" si="51"/>
        <v>96.8833333332441</v>
      </c>
      <c r="L652" s="22">
        <f t="shared" si="52"/>
        <v>32.8833333332441</v>
      </c>
      <c r="M652" s="22" cm="1">
        <f ca="1" t="array" ref="M652">SUMPRODUCT(--(WEEKDAY(ROW(INDIRECT(INT(F652)&amp;":"&amp;INT(I652))),2)&gt;5))</f>
        <v>2</v>
      </c>
      <c r="N652" s="22">
        <f ca="1" t="shared" si="53"/>
        <v>16.8833333332441</v>
      </c>
      <c r="O652" s="22" t="str">
        <f ca="1" t="shared" si="54"/>
        <v>SLA Violated</v>
      </c>
      <c r="P652" s="23" t="s">
        <v>2682</v>
      </c>
      <c r="Q652" s="24" t="s">
        <v>28</v>
      </c>
      <c r="R652" s="25"/>
      <c r="S652" s="25"/>
    </row>
    <row r="653" ht="27" customHeight="1" spans="1:19">
      <c r="A653" s="19" t="s">
        <v>2683</v>
      </c>
      <c r="B653" s="20" t="s">
        <v>30</v>
      </c>
      <c r="C653" s="20" t="s">
        <v>31</v>
      </c>
      <c r="D653" s="20" t="s">
        <v>32</v>
      </c>
      <c r="E653" s="21" t="s">
        <v>2679</v>
      </c>
      <c r="F653" s="21" t="s">
        <v>2684</v>
      </c>
      <c r="G653" s="20" t="s">
        <v>35</v>
      </c>
      <c r="H653" s="20" t="s">
        <v>25</v>
      </c>
      <c r="I653" s="21" t="s">
        <v>2685</v>
      </c>
      <c r="J653" s="22">
        <f t="shared" si="50"/>
        <v>0.131249999998545</v>
      </c>
      <c r="K653" s="22">
        <f t="shared" si="51"/>
        <v>3.14999999996508</v>
      </c>
      <c r="L653" s="22">
        <f t="shared" si="52"/>
        <v>3.14999999996508</v>
      </c>
      <c r="M653" s="22" cm="1">
        <f ca="1" t="array" ref="M653">SUMPRODUCT(--(WEEKDAY(ROW(INDIRECT(INT(F653)&amp;":"&amp;INT(I653))),2)&gt;5))</f>
        <v>0</v>
      </c>
      <c r="N653" s="22">
        <f ca="1" t="shared" si="53"/>
        <v>3.14999999996508</v>
      </c>
      <c r="O653" s="22" t="str">
        <f ca="1" t="shared" si="54"/>
        <v>Within SLA</v>
      </c>
      <c r="P653" s="26" t="s">
        <v>2683</v>
      </c>
      <c r="Q653" s="24" t="s">
        <v>37</v>
      </c>
      <c r="R653" s="25"/>
      <c r="S653" s="25"/>
    </row>
    <row r="654" ht="39" customHeight="1" spans="1:19">
      <c r="A654" s="19" t="s">
        <v>2686</v>
      </c>
      <c r="B654" s="20" t="s">
        <v>196</v>
      </c>
      <c r="C654" s="20" t="s">
        <v>849</v>
      </c>
      <c r="D654" s="20" t="s">
        <v>32</v>
      </c>
      <c r="E654" s="21" t="s">
        <v>2687</v>
      </c>
      <c r="F654" s="21" t="s">
        <v>2688</v>
      </c>
      <c r="G654" s="20" t="s">
        <v>35</v>
      </c>
      <c r="H654" s="20" t="s">
        <v>25</v>
      </c>
      <c r="I654" s="21" t="s">
        <v>2689</v>
      </c>
      <c r="J654" s="22">
        <f t="shared" si="50"/>
        <v>0.192361111112405</v>
      </c>
      <c r="K654" s="22">
        <f t="shared" si="51"/>
        <v>4.61666666669771</v>
      </c>
      <c r="L654" s="22">
        <f t="shared" si="52"/>
        <v>4.61666666669771</v>
      </c>
      <c r="M654" s="22" cm="1">
        <f ca="1" t="array" ref="M654">SUMPRODUCT(--(WEEKDAY(ROW(INDIRECT(INT(F654)&amp;":"&amp;INT(I654))),2)&gt;5))</f>
        <v>0</v>
      </c>
      <c r="N654" s="22">
        <f ca="1" t="shared" si="53"/>
        <v>4.61666666669771</v>
      </c>
      <c r="O654" s="22" t="str">
        <f ca="1" t="shared" si="54"/>
        <v>Within SLA</v>
      </c>
      <c r="P654" s="26" t="s">
        <v>2686</v>
      </c>
      <c r="Q654" s="24" t="s">
        <v>37</v>
      </c>
      <c r="R654" s="25"/>
      <c r="S654" s="25"/>
    </row>
    <row r="655" ht="27" customHeight="1" spans="1:19">
      <c r="A655" s="19" t="s">
        <v>2690</v>
      </c>
      <c r="B655" s="20" t="s">
        <v>30</v>
      </c>
      <c r="C655" s="20" t="s">
        <v>31</v>
      </c>
      <c r="D655" s="20" t="s">
        <v>105</v>
      </c>
      <c r="E655" s="21" t="s">
        <v>2681</v>
      </c>
      <c r="F655" s="21" t="s">
        <v>2691</v>
      </c>
      <c r="G655" s="20" t="s">
        <v>35</v>
      </c>
      <c r="H655" s="20" t="s">
        <v>25</v>
      </c>
      <c r="I655" s="21" t="s">
        <v>2692</v>
      </c>
      <c r="J655" s="22">
        <f t="shared" si="50"/>
        <v>6.12847222221899</v>
      </c>
      <c r="K655" s="22">
        <f t="shared" si="51"/>
        <v>147.083333333256</v>
      </c>
      <c r="L655" s="22">
        <f t="shared" si="52"/>
        <v>51.0833333332557</v>
      </c>
      <c r="M655" s="22" cm="1">
        <f ca="1" t="array" ref="M655">SUMPRODUCT(--(WEEKDAY(ROW(INDIRECT(INT(F655)&amp;":"&amp;INT(I655))),2)&gt;5))</f>
        <v>2</v>
      </c>
      <c r="N655" s="22">
        <f ca="1" t="shared" si="53"/>
        <v>35.0833333332557</v>
      </c>
      <c r="O655" s="22" t="str">
        <f ca="1" t="shared" si="54"/>
        <v>SLA Violated</v>
      </c>
      <c r="P655" s="26" t="s">
        <v>2690</v>
      </c>
      <c r="Q655" s="24" t="s">
        <v>37</v>
      </c>
      <c r="R655" s="6" t="s">
        <v>2693</v>
      </c>
      <c r="S655" s="25" t="s">
        <v>39</v>
      </c>
    </row>
    <row r="656" ht="39" customHeight="1" spans="1:19">
      <c r="A656" s="19" t="s">
        <v>2694</v>
      </c>
      <c r="B656" s="20" t="s">
        <v>19</v>
      </c>
      <c r="C656" s="20" t="s">
        <v>20</v>
      </c>
      <c r="D656" s="20" t="s">
        <v>32</v>
      </c>
      <c r="E656" s="21" t="s">
        <v>2695</v>
      </c>
      <c r="F656" s="21" t="s">
        <v>2696</v>
      </c>
      <c r="G656" s="20" t="s">
        <v>35</v>
      </c>
      <c r="H656" s="20" t="s">
        <v>25</v>
      </c>
      <c r="I656" s="21" t="s">
        <v>2697</v>
      </c>
      <c r="J656" s="22">
        <f t="shared" si="50"/>
        <v>0.100694444445253</v>
      </c>
      <c r="K656" s="22">
        <f t="shared" si="51"/>
        <v>2.41666666668607</v>
      </c>
      <c r="L656" s="22">
        <f t="shared" si="52"/>
        <v>2.41666666668607</v>
      </c>
      <c r="M656" s="22" cm="1">
        <f ca="1" t="array" ref="M656">SUMPRODUCT(--(WEEKDAY(ROW(INDIRECT(INT(F656)&amp;":"&amp;INT(I656))),2)&gt;5))</f>
        <v>0</v>
      </c>
      <c r="N656" s="22">
        <f ca="1" t="shared" si="53"/>
        <v>2.41666666668607</v>
      </c>
      <c r="O656" s="22" t="str">
        <f ca="1" t="shared" si="54"/>
        <v>Within SLA</v>
      </c>
      <c r="P656" s="26" t="s">
        <v>2694</v>
      </c>
      <c r="Q656" s="24" t="s">
        <v>37</v>
      </c>
      <c r="R656" s="25"/>
      <c r="S656" s="25"/>
    </row>
    <row r="657" ht="27" customHeight="1" spans="1:19">
      <c r="A657" s="19" t="s">
        <v>2698</v>
      </c>
      <c r="B657" s="20" t="s">
        <v>30</v>
      </c>
      <c r="C657" s="20" t="s">
        <v>31</v>
      </c>
      <c r="D657" s="20" t="s">
        <v>32</v>
      </c>
      <c r="E657" s="21" t="s">
        <v>2699</v>
      </c>
      <c r="F657" s="21" t="s">
        <v>2700</v>
      </c>
      <c r="G657" s="20" t="s">
        <v>35</v>
      </c>
      <c r="H657" s="20" t="s">
        <v>25</v>
      </c>
      <c r="I657" s="21" t="s">
        <v>2701</v>
      </c>
      <c r="J657" s="22">
        <f t="shared" si="50"/>
        <v>0.0881944444408873</v>
      </c>
      <c r="K657" s="22">
        <f t="shared" si="51"/>
        <v>2.1166666665813</v>
      </c>
      <c r="L657" s="22">
        <f t="shared" si="52"/>
        <v>2.1166666665813</v>
      </c>
      <c r="M657" s="22" cm="1">
        <f ca="1" t="array" ref="M657">SUMPRODUCT(--(WEEKDAY(ROW(INDIRECT(INT(F657)&amp;":"&amp;INT(I657))),2)&gt;5))</f>
        <v>0</v>
      </c>
      <c r="N657" s="22">
        <f ca="1" t="shared" si="53"/>
        <v>2.1166666665813</v>
      </c>
      <c r="O657" s="22" t="str">
        <f ca="1" t="shared" si="54"/>
        <v>Within SLA</v>
      </c>
      <c r="P657" s="26" t="s">
        <v>2698</v>
      </c>
      <c r="Q657" s="24" t="s">
        <v>37</v>
      </c>
      <c r="R657" s="25"/>
      <c r="S657" s="25"/>
    </row>
    <row r="658" ht="27" customHeight="1" spans="1:19">
      <c r="A658" s="19" t="s">
        <v>2702</v>
      </c>
      <c r="B658" s="20" t="s">
        <v>30</v>
      </c>
      <c r="C658" s="20" t="s">
        <v>31</v>
      </c>
      <c r="D658" s="20" t="s">
        <v>32</v>
      </c>
      <c r="E658" s="21" t="s">
        <v>2703</v>
      </c>
      <c r="F658" s="21" t="s">
        <v>2704</v>
      </c>
      <c r="G658" s="20" t="s">
        <v>35</v>
      </c>
      <c r="H658" s="20" t="s">
        <v>25</v>
      </c>
      <c r="I658" s="21" t="s">
        <v>2705</v>
      </c>
      <c r="J658" s="22">
        <f t="shared" si="50"/>
        <v>3.6965277777781</v>
      </c>
      <c r="K658" s="22">
        <f t="shared" si="51"/>
        <v>88.7166666666744</v>
      </c>
      <c r="L658" s="22">
        <f t="shared" si="52"/>
        <v>24.7166666666744</v>
      </c>
      <c r="M658" s="22" cm="1">
        <f ca="1" t="array" ref="M658">SUMPRODUCT(--(WEEKDAY(ROW(INDIRECT(INT(F658)&amp;":"&amp;INT(I658))),2)&gt;5))</f>
        <v>2</v>
      </c>
      <c r="N658" s="22">
        <f ca="1" t="shared" si="53"/>
        <v>8.7166666666744</v>
      </c>
      <c r="O658" s="22" t="str">
        <f ca="1" t="shared" si="54"/>
        <v>Within SLA</v>
      </c>
      <c r="P658" s="26" t="s">
        <v>2702</v>
      </c>
      <c r="Q658" s="24" t="s">
        <v>37</v>
      </c>
      <c r="R658" s="25"/>
      <c r="S658" s="25"/>
    </row>
    <row r="659" ht="27" customHeight="1" spans="1:19">
      <c r="A659" s="19" t="s">
        <v>2706</v>
      </c>
      <c r="B659" s="20" t="s">
        <v>30</v>
      </c>
      <c r="C659" s="20" t="s">
        <v>31</v>
      </c>
      <c r="D659" s="20" t="s">
        <v>32</v>
      </c>
      <c r="E659" s="21" t="s">
        <v>2707</v>
      </c>
      <c r="F659" s="21" t="s">
        <v>2708</v>
      </c>
      <c r="G659" s="20" t="s">
        <v>35</v>
      </c>
      <c r="H659" s="20" t="s">
        <v>25</v>
      </c>
      <c r="I659" s="21" t="s">
        <v>2709</v>
      </c>
      <c r="J659" s="22">
        <f t="shared" si="50"/>
        <v>0.0173611111167702</v>
      </c>
      <c r="K659" s="22">
        <f t="shared" si="51"/>
        <v>0.416666666802485</v>
      </c>
      <c r="L659" s="22">
        <f t="shared" si="52"/>
        <v>0.416666666802485</v>
      </c>
      <c r="M659" s="22" cm="1">
        <f ca="1" t="array" ref="M659">SUMPRODUCT(--(WEEKDAY(ROW(INDIRECT(INT(F659)&amp;":"&amp;INT(I659))),2)&gt;5))</f>
        <v>0</v>
      </c>
      <c r="N659" s="22">
        <f ca="1" t="shared" si="53"/>
        <v>0.416666666802485</v>
      </c>
      <c r="O659" s="22" t="str">
        <f ca="1" t="shared" si="54"/>
        <v>Within SLA</v>
      </c>
      <c r="P659" s="26" t="s">
        <v>2706</v>
      </c>
      <c r="Q659" s="24" t="s">
        <v>37</v>
      </c>
      <c r="R659" s="25"/>
      <c r="S659" s="25"/>
    </row>
    <row r="660" ht="39" customHeight="1" spans="1:19">
      <c r="A660" s="19" t="s">
        <v>2710</v>
      </c>
      <c r="B660" s="20" t="s">
        <v>19</v>
      </c>
      <c r="C660" s="20" t="s">
        <v>20</v>
      </c>
      <c r="D660" s="20" t="s">
        <v>32</v>
      </c>
      <c r="E660" s="21" t="s">
        <v>2711</v>
      </c>
      <c r="F660" s="21" t="s">
        <v>2712</v>
      </c>
      <c r="G660" s="20" t="s">
        <v>35</v>
      </c>
      <c r="H660" s="20" t="s">
        <v>25</v>
      </c>
      <c r="I660" s="21" t="s">
        <v>2713</v>
      </c>
      <c r="J660" s="22">
        <f t="shared" si="50"/>
        <v>13.0562499999942</v>
      </c>
      <c r="K660" s="22">
        <f t="shared" si="51"/>
        <v>313.34999999986</v>
      </c>
      <c r="L660" s="22">
        <f t="shared" si="52"/>
        <v>105.34999999986</v>
      </c>
      <c r="M660" s="22" cm="1">
        <f ca="1" t="array" ref="M660">SUMPRODUCT(--(WEEKDAY(ROW(INDIRECT(INT(F660)&amp;":"&amp;INT(I660))),2)&gt;5))</f>
        <v>4</v>
      </c>
      <c r="N660" s="22">
        <f ca="1" t="shared" si="53"/>
        <v>73.34999999986</v>
      </c>
      <c r="O660" s="22" t="str">
        <f ca="1" t="shared" si="54"/>
        <v>SLA Violated</v>
      </c>
      <c r="P660" s="23" t="s">
        <v>2714</v>
      </c>
      <c r="Q660" s="24" t="s">
        <v>28</v>
      </c>
      <c r="R660" s="25"/>
      <c r="S660" s="25"/>
    </row>
    <row r="661" ht="27" customHeight="1" spans="1:19">
      <c r="A661" s="19" t="s">
        <v>2715</v>
      </c>
      <c r="B661" s="20" t="s">
        <v>30</v>
      </c>
      <c r="C661" s="20" t="s">
        <v>849</v>
      </c>
      <c r="D661" s="20" t="s">
        <v>32</v>
      </c>
      <c r="E661" s="21" t="s">
        <v>2716</v>
      </c>
      <c r="F661" s="21" t="s">
        <v>2717</v>
      </c>
      <c r="G661" s="20" t="s">
        <v>35</v>
      </c>
      <c r="H661" s="20" t="s">
        <v>25</v>
      </c>
      <c r="I661" s="21" t="s">
        <v>2718</v>
      </c>
      <c r="J661" s="22">
        <f t="shared" si="50"/>
        <v>0.891666666670062</v>
      </c>
      <c r="K661" s="22">
        <f t="shared" si="51"/>
        <v>21.4000000000815</v>
      </c>
      <c r="L661" s="22">
        <f t="shared" si="52"/>
        <v>5.40000000008149</v>
      </c>
      <c r="M661" s="22" cm="1">
        <f ca="1" t="array" ref="M661">SUMPRODUCT(--(WEEKDAY(ROW(INDIRECT(INT(F661)&amp;":"&amp;INT(I661))),2)&gt;5))</f>
        <v>0</v>
      </c>
      <c r="N661" s="22">
        <f ca="1" t="shared" si="53"/>
        <v>5.40000000008149</v>
      </c>
      <c r="O661" s="22" t="str">
        <f ca="1" t="shared" si="54"/>
        <v>Within SLA</v>
      </c>
      <c r="P661" s="26" t="s">
        <v>2715</v>
      </c>
      <c r="Q661" s="24" t="s">
        <v>37</v>
      </c>
      <c r="R661" s="25"/>
      <c r="S661" s="25"/>
    </row>
    <row r="662" ht="39" customHeight="1" spans="1:19">
      <c r="A662" s="19" t="s">
        <v>2719</v>
      </c>
      <c r="B662" s="20" t="s">
        <v>19</v>
      </c>
      <c r="C662" s="20" t="s">
        <v>20</v>
      </c>
      <c r="D662" s="20" t="s">
        <v>32</v>
      </c>
      <c r="E662" s="21" t="s">
        <v>2720</v>
      </c>
      <c r="F662" s="21" t="s">
        <v>2721</v>
      </c>
      <c r="G662" s="20" t="s">
        <v>35</v>
      </c>
      <c r="H662" s="20" t="s">
        <v>25</v>
      </c>
      <c r="I662" s="21" t="s">
        <v>2722</v>
      </c>
      <c r="J662" s="22">
        <f t="shared" si="50"/>
        <v>1.10972222222335</v>
      </c>
      <c r="K662" s="22">
        <f t="shared" si="51"/>
        <v>26.6333333333605</v>
      </c>
      <c r="L662" s="22">
        <f t="shared" si="52"/>
        <v>10.6333333333605</v>
      </c>
      <c r="M662" s="22" cm="1">
        <f ca="1" t="array" ref="M662">SUMPRODUCT(--(WEEKDAY(ROW(INDIRECT(INT(F662)&amp;":"&amp;INT(I662))),2)&gt;5))</f>
        <v>0</v>
      </c>
      <c r="N662" s="22">
        <f ca="1" t="shared" si="53"/>
        <v>10.6333333333605</v>
      </c>
      <c r="O662" s="22" t="str">
        <f ca="1" t="shared" si="54"/>
        <v>Within SLA</v>
      </c>
      <c r="P662" s="26" t="s">
        <v>2719</v>
      </c>
      <c r="Q662" s="24" t="s">
        <v>37</v>
      </c>
      <c r="R662" s="25"/>
      <c r="S662" s="25"/>
    </row>
    <row r="663" ht="39" customHeight="1" spans="1:19">
      <c r="A663" s="19" t="s">
        <v>2723</v>
      </c>
      <c r="B663" s="20" t="s">
        <v>19</v>
      </c>
      <c r="C663" s="20" t="s">
        <v>20</v>
      </c>
      <c r="D663" s="20" t="s">
        <v>21</v>
      </c>
      <c r="E663" s="21" t="s">
        <v>2713</v>
      </c>
      <c r="F663" s="21" t="s">
        <v>2724</v>
      </c>
      <c r="G663" s="20" t="s">
        <v>35</v>
      </c>
      <c r="H663" s="20" t="s">
        <v>25</v>
      </c>
      <c r="I663" s="21" t="s">
        <v>2725</v>
      </c>
      <c r="J663" s="22">
        <f t="shared" si="50"/>
        <v>21.1687499999971</v>
      </c>
      <c r="K663" s="22">
        <f t="shared" si="51"/>
        <v>508.04999999993</v>
      </c>
      <c r="L663" s="22">
        <f t="shared" si="52"/>
        <v>172.04999999993</v>
      </c>
      <c r="M663" s="22" cm="1">
        <f ca="1" t="array" ref="M663">SUMPRODUCT(--(WEEKDAY(ROW(INDIRECT(INT(F663)&amp;":"&amp;INT(I663))),2)&gt;5))</f>
        <v>6</v>
      </c>
      <c r="N663" s="22">
        <f ca="1" t="shared" si="53"/>
        <v>124.04999999993</v>
      </c>
      <c r="O663" s="22" t="str">
        <f ca="1" t="shared" si="54"/>
        <v>SLA Violated</v>
      </c>
      <c r="P663" s="23" t="s">
        <v>2726</v>
      </c>
      <c r="Q663" s="24" t="s">
        <v>28</v>
      </c>
      <c r="R663" s="25"/>
      <c r="S663" s="25"/>
    </row>
    <row r="664" ht="39" customHeight="1" spans="1:19">
      <c r="A664" s="19" t="s">
        <v>2727</v>
      </c>
      <c r="B664" s="20" t="s">
        <v>19</v>
      </c>
      <c r="C664" s="20" t="s">
        <v>20</v>
      </c>
      <c r="D664" s="20" t="s">
        <v>32</v>
      </c>
      <c r="E664" s="21" t="s">
        <v>2725</v>
      </c>
      <c r="F664" s="21" t="s">
        <v>2728</v>
      </c>
      <c r="G664" s="20" t="s">
        <v>35</v>
      </c>
      <c r="H664" s="20" t="s">
        <v>25</v>
      </c>
      <c r="I664" s="21" t="s">
        <v>2729</v>
      </c>
      <c r="J664" s="22">
        <f t="shared" si="50"/>
        <v>21.1569444444467</v>
      </c>
      <c r="K664" s="22">
        <f t="shared" si="51"/>
        <v>507.766666666721</v>
      </c>
      <c r="L664" s="22">
        <f t="shared" si="52"/>
        <v>171.766666666721</v>
      </c>
      <c r="M664" s="22" cm="1">
        <f ca="1" t="array" ref="M664">SUMPRODUCT(--(WEEKDAY(ROW(INDIRECT(INT(F664)&amp;":"&amp;INT(I664))),2)&gt;5))</f>
        <v>6</v>
      </c>
      <c r="N664" s="22">
        <f ca="1" t="shared" si="53"/>
        <v>123.766666666721</v>
      </c>
      <c r="O664" s="22" t="str">
        <f ca="1" t="shared" si="54"/>
        <v>SLA Violated</v>
      </c>
      <c r="P664" s="23" t="s">
        <v>2730</v>
      </c>
      <c r="Q664" s="24" t="s">
        <v>28</v>
      </c>
      <c r="R664" s="25"/>
      <c r="S664" s="25"/>
    </row>
    <row r="665" ht="27" customHeight="1" spans="1:19">
      <c r="A665" s="19" t="s">
        <v>2731</v>
      </c>
      <c r="B665" s="20" t="s">
        <v>30</v>
      </c>
      <c r="C665" s="20" t="s">
        <v>31</v>
      </c>
      <c r="D665" s="20" t="s">
        <v>32</v>
      </c>
      <c r="E665" s="21" t="s">
        <v>2732</v>
      </c>
      <c r="F665" s="21" t="s">
        <v>2733</v>
      </c>
      <c r="G665" s="20" t="s">
        <v>35</v>
      </c>
      <c r="H665" s="20" t="s">
        <v>25</v>
      </c>
      <c r="I665" s="21" t="s">
        <v>2734</v>
      </c>
      <c r="J665" s="22">
        <f t="shared" si="50"/>
        <v>0.0159722222160781</v>
      </c>
      <c r="K665" s="22">
        <f t="shared" si="51"/>
        <v>0.383333333185874</v>
      </c>
      <c r="L665" s="22">
        <f t="shared" si="52"/>
        <v>0.383333333185874</v>
      </c>
      <c r="M665" s="22" cm="1">
        <f ca="1" t="array" ref="M665">SUMPRODUCT(--(WEEKDAY(ROW(INDIRECT(INT(F665)&amp;":"&amp;INT(I665))),2)&gt;5))</f>
        <v>0</v>
      </c>
      <c r="N665" s="22">
        <f ca="1" t="shared" si="53"/>
        <v>0.383333333185874</v>
      </c>
      <c r="O665" s="22" t="str">
        <f ca="1" t="shared" si="54"/>
        <v>Within SLA</v>
      </c>
      <c r="P665" s="26" t="s">
        <v>2731</v>
      </c>
      <c r="Q665" s="24" t="s">
        <v>37</v>
      </c>
      <c r="R665" s="25"/>
      <c r="S665" s="25"/>
    </row>
    <row r="666" ht="39" customHeight="1" spans="1:19">
      <c r="A666" s="19" t="s">
        <v>2735</v>
      </c>
      <c r="B666" s="20" t="s">
        <v>19</v>
      </c>
      <c r="C666" s="20" t="s">
        <v>20</v>
      </c>
      <c r="D666" s="20" t="s">
        <v>32</v>
      </c>
      <c r="E666" s="21" t="s">
        <v>2736</v>
      </c>
      <c r="F666" s="21" t="s">
        <v>2737</v>
      </c>
      <c r="G666" s="20" t="s">
        <v>35</v>
      </c>
      <c r="H666" s="20" t="s">
        <v>25</v>
      </c>
      <c r="I666" s="21" t="s">
        <v>2738</v>
      </c>
      <c r="J666" s="22">
        <f t="shared" si="50"/>
        <v>21.1541666666672</v>
      </c>
      <c r="K666" s="22">
        <f t="shared" si="51"/>
        <v>507.700000000012</v>
      </c>
      <c r="L666" s="22">
        <f t="shared" si="52"/>
        <v>171.700000000012</v>
      </c>
      <c r="M666" s="22" cm="1">
        <f ca="1" t="array" ref="M666">SUMPRODUCT(--(WEEKDAY(ROW(INDIRECT(INT(F666)&amp;":"&amp;INT(I666))),2)&gt;5))</f>
        <v>6</v>
      </c>
      <c r="N666" s="22">
        <f ca="1" t="shared" si="53"/>
        <v>123.700000000012</v>
      </c>
      <c r="O666" s="22" t="str">
        <f ca="1" t="shared" si="54"/>
        <v>SLA Violated</v>
      </c>
      <c r="P666" s="23" t="s">
        <v>2739</v>
      </c>
      <c r="Q666" s="24" t="s">
        <v>28</v>
      </c>
      <c r="R666" s="25"/>
      <c r="S666" s="25"/>
    </row>
    <row r="667" ht="27" customHeight="1" spans="1:19">
      <c r="A667" s="19" t="s">
        <v>2740</v>
      </c>
      <c r="B667" s="20" t="s">
        <v>30</v>
      </c>
      <c r="C667" s="20" t="s">
        <v>849</v>
      </c>
      <c r="D667" s="20" t="s">
        <v>32</v>
      </c>
      <c r="E667" s="21" t="s">
        <v>2741</v>
      </c>
      <c r="F667" s="21" t="s">
        <v>2742</v>
      </c>
      <c r="G667" s="20" t="s">
        <v>35</v>
      </c>
      <c r="H667" s="20" t="s">
        <v>25</v>
      </c>
      <c r="I667" s="21" t="s">
        <v>2743</v>
      </c>
      <c r="J667" s="22">
        <f t="shared" si="50"/>
        <v>0.868055555554747</v>
      </c>
      <c r="K667" s="22">
        <f t="shared" si="51"/>
        <v>20.8333333333139</v>
      </c>
      <c r="L667" s="22">
        <f t="shared" si="52"/>
        <v>4.83333333331393</v>
      </c>
      <c r="M667" s="22" cm="1">
        <f ca="1" t="array" ref="M667">SUMPRODUCT(--(WEEKDAY(ROW(INDIRECT(INT(F667)&amp;":"&amp;INT(I667))),2)&gt;5))</f>
        <v>0</v>
      </c>
      <c r="N667" s="22">
        <f ca="1" t="shared" si="53"/>
        <v>4.83333333331393</v>
      </c>
      <c r="O667" s="22" t="str">
        <f ca="1" t="shared" si="54"/>
        <v>Within SLA</v>
      </c>
      <c r="P667" s="26" t="s">
        <v>2740</v>
      </c>
      <c r="Q667" s="24" t="s">
        <v>37</v>
      </c>
      <c r="R667" s="25"/>
      <c r="S667" s="25"/>
    </row>
    <row r="668" ht="27" customHeight="1" spans="1:19">
      <c r="A668" s="19" t="s">
        <v>2744</v>
      </c>
      <c r="B668" s="20" t="s">
        <v>30</v>
      </c>
      <c r="C668" s="20" t="s">
        <v>31</v>
      </c>
      <c r="D668" s="20" t="s">
        <v>32</v>
      </c>
      <c r="E668" s="21" t="s">
        <v>2741</v>
      </c>
      <c r="F668" s="21" t="s">
        <v>2745</v>
      </c>
      <c r="G668" s="20" t="s">
        <v>35</v>
      </c>
      <c r="H668" s="20" t="s">
        <v>25</v>
      </c>
      <c r="I668" s="21" t="s">
        <v>2746</v>
      </c>
      <c r="J668" s="22">
        <f t="shared" si="50"/>
        <v>0.0124999999970896</v>
      </c>
      <c r="K668" s="22">
        <f t="shared" si="51"/>
        <v>0.299999999930151</v>
      </c>
      <c r="L668" s="22">
        <f t="shared" si="52"/>
        <v>0.299999999930151</v>
      </c>
      <c r="M668" s="22" cm="1">
        <f ca="1" t="array" ref="M668">SUMPRODUCT(--(WEEKDAY(ROW(INDIRECT(INT(F668)&amp;":"&amp;INT(I668))),2)&gt;5))</f>
        <v>0</v>
      </c>
      <c r="N668" s="22">
        <f ca="1" t="shared" si="53"/>
        <v>0.299999999930151</v>
      </c>
      <c r="O668" s="22" t="str">
        <f ca="1" t="shared" si="54"/>
        <v>Within SLA</v>
      </c>
      <c r="P668" s="26" t="s">
        <v>2744</v>
      </c>
      <c r="Q668" s="24" t="s">
        <v>37</v>
      </c>
      <c r="R668" s="25"/>
      <c r="S668" s="25"/>
    </row>
    <row r="669" ht="27" customHeight="1" spans="1:19">
      <c r="A669" s="19" t="s">
        <v>2747</v>
      </c>
      <c r="B669" s="20" t="s">
        <v>30</v>
      </c>
      <c r="C669" s="20" t="s">
        <v>849</v>
      </c>
      <c r="D669" s="20" t="s">
        <v>32</v>
      </c>
      <c r="E669" s="21" t="s">
        <v>2320</v>
      </c>
      <c r="F669" s="21" t="s">
        <v>2748</v>
      </c>
      <c r="G669" s="20" t="s">
        <v>35</v>
      </c>
      <c r="H669" s="20" t="s">
        <v>25</v>
      </c>
      <c r="I669" s="21" t="s">
        <v>2749</v>
      </c>
      <c r="J669" s="22">
        <f t="shared" si="50"/>
        <v>0.796527777776646</v>
      </c>
      <c r="K669" s="22">
        <f t="shared" si="51"/>
        <v>19.1166666666395</v>
      </c>
      <c r="L669" s="22">
        <f t="shared" si="52"/>
        <v>3.1166666666395</v>
      </c>
      <c r="M669" s="22" cm="1">
        <f ca="1" t="array" ref="M669">SUMPRODUCT(--(WEEKDAY(ROW(INDIRECT(INT(F669)&amp;":"&amp;INT(I669))),2)&gt;5))</f>
        <v>0</v>
      </c>
      <c r="N669" s="22">
        <f ca="1" t="shared" si="53"/>
        <v>3.1166666666395</v>
      </c>
      <c r="O669" s="22" t="str">
        <f ca="1" t="shared" si="54"/>
        <v>Within SLA</v>
      </c>
      <c r="P669" s="26" t="s">
        <v>2747</v>
      </c>
      <c r="Q669" s="24" t="s">
        <v>37</v>
      </c>
      <c r="R669" s="25"/>
      <c r="S669" s="25"/>
    </row>
    <row r="670" ht="39" customHeight="1" spans="1:19">
      <c r="A670" s="19" t="s">
        <v>2750</v>
      </c>
      <c r="B670" s="20" t="s">
        <v>19</v>
      </c>
      <c r="C670" s="20" t="s">
        <v>20</v>
      </c>
      <c r="D670" s="20" t="s">
        <v>32</v>
      </c>
      <c r="E670" s="21" t="s">
        <v>2751</v>
      </c>
      <c r="F670" s="21" t="s">
        <v>2752</v>
      </c>
      <c r="G670" s="20" t="s">
        <v>24</v>
      </c>
      <c r="H670" s="20" t="s">
        <v>25</v>
      </c>
      <c r="I670" s="21" t="s">
        <v>2753</v>
      </c>
      <c r="J670" s="22">
        <f t="shared" si="50"/>
        <v>35.9006944444409</v>
      </c>
      <c r="K670" s="22">
        <f t="shared" si="51"/>
        <v>861.616666666581</v>
      </c>
      <c r="L670" s="22">
        <f t="shared" si="52"/>
        <v>285.616666666581</v>
      </c>
      <c r="M670" s="22" cm="1">
        <f ca="1" t="array" ref="M670">SUMPRODUCT(--(WEEKDAY(ROW(INDIRECT(INT(F670)&amp;":"&amp;INT(I670))),2)&gt;5))</f>
        <v>10</v>
      </c>
      <c r="N670" s="22">
        <f ca="1" t="shared" si="53"/>
        <v>205.616666666581</v>
      </c>
      <c r="O670" s="22" t="str">
        <f ca="1" t="shared" si="54"/>
        <v>SLA Violated</v>
      </c>
      <c r="P670" s="23" t="s">
        <v>2754</v>
      </c>
      <c r="Q670" s="24" t="s">
        <v>37</v>
      </c>
      <c r="R670" s="25" t="s">
        <v>1020</v>
      </c>
      <c r="S670" s="25" t="s">
        <v>39</v>
      </c>
    </row>
    <row r="671" ht="27" customHeight="1" spans="1:19">
      <c r="A671" s="19" t="s">
        <v>2755</v>
      </c>
      <c r="B671" s="20" t="s">
        <v>30</v>
      </c>
      <c r="C671" s="20" t="s">
        <v>849</v>
      </c>
      <c r="D671" s="20" t="s">
        <v>32</v>
      </c>
      <c r="E671" s="21" t="s">
        <v>2756</v>
      </c>
      <c r="F671" s="21" t="s">
        <v>2757</v>
      </c>
      <c r="G671" s="20" t="s">
        <v>24</v>
      </c>
      <c r="H671" s="20" t="s">
        <v>25</v>
      </c>
      <c r="I671" s="21" t="s">
        <v>2758</v>
      </c>
      <c r="J671" s="22">
        <f t="shared" si="50"/>
        <v>3.90000000000145</v>
      </c>
      <c r="K671" s="22">
        <f t="shared" si="51"/>
        <v>93.6000000000349</v>
      </c>
      <c r="L671" s="22">
        <f t="shared" si="52"/>
        <v>29.6000000000349</v>
      </c>
      <c r="M671" s="22" cm="1">
        <f ca="1" t="array" ref="M671">SUMPRODUCT(--(WEEKDAY(ROW(INDIRECT(INT(F671)&amp;":"&amp;INT(I671))),2)&gt;5))</f>
        <v>2</v>
      </c>
      <c r="N671" s="22">
        <f ca="1" t="shared" si="53"/>
        <v>13.6000000000349</v>
      </c>
      <c r="O671" s="22" t="str">
        <f ca="1" t="shared" si="54"/>
        <v>SLA Violated</v>
      </c>
      <c r="P671" s="23" t="s">
        <v>2759</v>
      </c>
      <c r="Q671" s="24" t="s">
        <v>28</v>
      </c>
      <c r="R671" s="25"/>
      <c r="S671" s="25"/>
    </row>
    <row r="672" ht="39" customHeight="1" spans="1:19">
      <c r="A672" s="19" t="s">
        <v>2760</v>
      </c>
      <c r="B672" s="20" t="s">
        <v>19</v>
      </c>
      <c r="C672" s="20" t="s">
        <v>20</v>
      </c>
      <c r="D672" s="20" t="s">
        <v>32</v>
      </c>
      <c r="E672" s="21" t="s">
        <v>2761</v>
      </c>
      <c r="F672" s="21" t="s">
        <v>2762</v>
      </c>
      <c r="G672" s="20" t="s">
        <v>24</v>
      </c>
      <c r="H672" s="20" t="s">
        <v>25</v>
      </c>
      <c r="I672" s="21" t="s">
        <v>2763</v>
      </c>
      <c r="J672" s="22">
        <f t="shared" si="50"/>
        <v>33.0430555555577</v>
      </c>
      <c r="K672" s="22">
        <f t="shared" si="51"/>
        <v>793.033333333384</v>
      </c>
      <c r="L672" s="22">
        <f t="shared" si="52"/>
        <v>265.033333333384</v>
      </c>
      <c r="M672" s="22" cm="1">
        <f ca="1" t="array" ref="M672">SUMPRODUCT(--(WEEKDAY(ROW(INDIRECT(INT(F672)&amp;":"&amp;INT(I672))),2)&gt;5))</f>
        <v>10</v>
      </c>
      <c r="N672" s="22">
        <f ca="1" t="shared" si="53"/>
        <v>185.033333333384</v>
      </c>
      <c r="O672" s="22" t="str">
        <f ca="1" t="shared" si="54"/>
        <v>SLA Violated</v>
      </c>
      <c r="P672" s="23" t="s">
        <v>2764</v>
      </c>
      <c r="Q672" s="24" t="s">
        <v>28</v>
      </c>
      <c r="R672" s="25"/>
      <c r="S672" s="25"/>
    </row>
    <row r="673" ht="39" customHeight="1" spans="1:19">
      <c r="A673" s="19" t="s">
        <v>2765</v>
      </c>
      <c r="B673" s="20" t="s">
        <v>19</v>
      </c>
      <c r="C673" s="20" t="s">
        <v>20</v>
      </c>
      <c r="D673" s="20" t="s">
        <v>32</v>
      </c>
      <c r="E673" s="21" t="s">
        <v>2766</v>
      </c>
      <c r="F673" s="21" t="s">
        <v>2767</v>
      </c>
      <c r="G673" s="20" t="s">
        <v>35</v>
      </c>
      <c r="H673" s="20" t="s">
        <v>25</v>
      </c>
      <c r="I673" s="21" t="s">
        <v>2768</v>
      </c>
      <c r="J673" s="22">
        <f t="shared" si="50"/>
        <v>12.9375</v>
      </c>
      <c r="K673" s="22">
        <f t="shared" si="51"/>
        <v>310.5</v>
      </c>
      <c r="L673" s="22">
        <f t="shared" si="52"/>
        <v>102.5</v>
      </c>
      <c r="M673" s="22" cm="1">
        <f ca="1" t="array" ref="M673">SUMPRODUCT(--(WEEKDAY(ROW(INDIRECT(INT(F673)&amp;":"&amp;INT(I673))),2)&gt;5))</f>
        <v>4</v>
      </c>
      <c r="N673" s="22">
        <f ca="1" t="shared" si="53"/>
        <v>70.5</v>
      </c>
      <c r="O673" s="22" t="str">
        <f ca="1" t="shared" si="54"/>
        <v>SLA Violated</v>
      </c>
      <c r="P673" s="23" t="s">
        <v>2769</v>
      </c>
      <c r="Q673" s="24" t="s">
        <v>28</v>
      </c>
      <c r="R673" s="25"/>
      <c r="S673" s="25"/>
    </row>
    <row r="674" ht="50" customHeight="1" spans="1:19">
      <c r="A674" s="19" t="s">
        <v>2770</v>
      </c>
      <c r="B674" s="20" t="s">
        <v>369</v>
      </c>
      <c r="C674" s="20" t="s">
        <v>849</v>
      </c>
      <c r="D674" s="20" t="s">
        <v>32</v>
      </c>
      <c r="E674" s="21" t="s">
        <v>1305</v>
      </c>
      <c r="F674" s="21" t="s">
        <v>2771</v>
      </c>
      <c r="G674" s="20" t="s">
        <v>35</v>
      </c>
      <c r="H674" s="20" t="s">
        <v>25</v>
      </c>
      <c r="I674" s="21" t="s">
        <v>2772</v>
      </c>
      <c r="J674" s="22">
        <f t="shared" si="50"/>
        <v>0.0645833333328483</v>
      </c>
      <c r="K674" s="22">
        <f t="shared" si="51"/>
        <v>1.54999999998836</v>
      </c>
      <c r="L674" s="22">
        <f t="shared" si="52"/>
        <v>1.54999999998836</v>
      </c>
      <c r="M674" s="22" cm="1">
        <f ca="1" t="array" ref="M674">SUMPRODUCT(--(WEEKDAY(ROW(INDIRECT(INT(F674)&amp;":"&amp;INT(I674))),2)&gt;5))</f>
        <v>0</v>
      </c>
      <c r="N674" s="22">
        <f ca="1" t="shared" si="53"/>
        <v>1.54999999998836</v>
      </c>
      <c r="O674" s="22" t="str">
        <f ca="1" t="shared" si="54"/>
        <v>Within SLA</v>
      </c>
      <c r="P674" s="26" t="s">
        <v>2770</v>
      </c>
      <c r="Q674" s="24" t="s">
        <v>37</v>
      </c>
      <c r="R674" s="25"/>
      <c r="S674" s="25"/>
    </row>
    <row r="675" ht="39" customHeight="1" spans="1:19">
      <c r="A675" s="19" t="s">
        <v>2773</v>
      </c>
      <c r="B675" s="20" t="s">
        <v>19</v>
      </c>
      <c r="C675" s="20" t="s">
        <v>20</v>
      </c>
      <c r="D675" s="20" t="s">
        <v>32</v>
      </c>
      <c r="E675" s="21" t="s">
        <v>1305</v>
      </c>
      <c r="F675" s="21" t="s">
        <v>2774</v>
      </c>
      <c r="G675" s="20" t="s">
        <v>35</v>
      </c>
      <c r="H675" s="20" t="s">
        <v>25</v>
      </c>
      <c r="I675" s="21" t="s">
        <v>2775</v>
      </c>
      <c r="J675" s="22">
        <f t="shared" si="50"/>
        <v>12.8708333333343</v>
      </c>
      <c r="K675" s="22">
        <f t="shared" si="51"/>
        <v>308.900000000023</v>
      </c>
      <c r="L675" s="22">
        <f t="shared" si="52"/>
        <v>100.900000000023</v>
      </c>
      <c r="M675" s="22" cm="1">
        <f ca="1" t="array" ref="M675">SUMPRODUCT(--(WEEKDAY(ROW(INDIRECT(INT(F675)&amp;":"&amp;INT(I675))),2)&gt;5))</f>
        <v>4</v>
      </c>
      <c r="N675" s="22">
        <f ca="1" t="shared" si="53"/>
        <v>68.900000000023</v>
      </c>
      <c r="O675" s="22" t="str">
        <f ca="1" t="shared" si="54"/>
        <v>SLA Violated</v>
      </c>
      <c r="P675" s="23" t="s">
        <v>2776</v>
      </c>
      <c r="Q675" s="24" t="s">
        <v>28</v>
      </c>
      <c r="R675" s="25"/>
      <c r="S675" s="25"/>
    </row>
    <row r="676" ht="27" customHeight="1" spans="1:19">
      <c r="A676" s="19" t="s">
        <v>2777</v>
      </c>
      <c r="B676" s="20" t="s">
        <v>30</v>
      </c>
      <c r="C676" s="20" t="s">
        <v>31</v>
      </c>
      <c r="D676" s="20" t="s">
        <v>32</v>
      </c>
      <c r="E676" s="21" t="s">
        <v>2778</v>
      </c>
      <c r="F676" s="21" t="s">
        <v>2779</v>
      </c>
      <c r="G676" s="20" t="s">
        <v>35</v>
      </c>
      <c r="H676" s="20" t="s">
        <v>25</v>
      </c>
      <c r="I676" s="21" t="s">
        <v>2780</v>
      </c>
      <c r="J676" s="22">
        <f t="shared" si="50"/>
        <v>0.90763888888614</v>
      </c>
      <c r="K676" s="22">
        <f t="shared" si="51"/>
        <v>21.7833333332674</v>
      </c>
      <c r="L676" s="22">
        <f t="shared" si="52"/>
        <v>5.78333333326736</v>
      </c>
      <c r="M676" s="22" cm="1">
        <f ca="1" t="array" ref="M676">SUMPRODUCT(--(WEEKDAY(ROW(INDIRECT(INT(F676)&amp;":"&amp;INT(I676))),2)&gt;5))</f>
        <v>0</v>
      </c>
      <c r="N676" s="22">
        <f ca="1" t="shared" si="53"/>
        <v>5.78333333326736</v>
      </c>
      <c r="O676" s="22" t="str">
        <f ca="1" t="shared" si="54"/>
        <v>Within SLA</v>
      </c>
      <c r="P676" s="26" t="s">
        <v>2777</v>
      </c>
      <c r="Q676" s="24" t="s">
        <v>37</v>
      </c>
      <c r="R676" s="25"/>
      <c r="S676" s="25"/>
    </row>
    <row r="677" ht="39" customHeight="1" spans="1:19">
      <c r="A677" s="19" t="s">
        <v>2781</v>
      </c>
      <c r="B677" s="20" t="s">
        <v>19</v>
      </c>
      <c r="C677" s="20" t="s">
        <v>20</v>
      </c>
      <c r="D677" s="20" t="s">
        <v>32</v>
      </c>
      <c r="E677" s="21" t="s">
        <v>2778</v>
      </c>
      <c r="F677" s="21" t="s">
        <v>2782</v>
      </c>
      <c r="G677" s="20" t="s">
        <v>35</v>
      </c>
      <c r="H677" s="20" t="s">
        <v>25</v>
      </c>
      <c r="I677" s="21" t="s">
        <v>2783</v>
      </c>
      <c r="J677" s="22">
        <f t="shared" si="50"/>
        <v>46.8076388888876</v>
      </c>
      <c r="K677" s="22">
        <f t="shared" si="51"/>
        <v>1123.3833333333</v>
      </c>
      <c r="L677" s="22">
        <f t="shared" si="52"/>
        <v>371.383333333302</v>
      </c>
      <c r="M677" s="22" cm="1">
        <f ca="1" t="array" ref="M677">SUMPRODUCT(--(WEEKDAY(ROW(INDIRECT(INT(F677)&amp;":"&amp;INT(I677))),2)&gt;5))</f>
        <v>14</v>
      </c>
      <c r="N677" s="22">
        <f ca="1" t="shared" si="53"/>
        <v>259.383333333302</v>
      </c>
      <c r="O677" s="22" t="str">
        <f ca="1" t="shared" si="54"/>
        <v>SLA Violated</v>
      </c>
      <c r="P677" s="23" t="s">
        <v>2784</v>
      </c>
      <c r="Q677" s="24" t="s">
        <v>28</v>
      </c>
      <c r="R677" s="25"/>
      <c r="S677" s="25"/>
    </row>
    <row r="678" ht="27" customHeight="1" spans="1:19">
      <c r="A678" s="19" t="s">
        <v>2785</v>
      </c>
      <c r="B678" s="20" t="s">
        <v>30</v>
      </c>
      <c r="C678" s="20" t="s">
        <v>31</v>
      </c>
      <c r="D678" s="20" t="s">
        <v>32</v>
      </c>
      <c r="E678" s="21" t="s">
        <v>2786</v>
      </c>
      <c r="F678" s="21" t="s">
        <v>2787</v>
      </c>
      <c r="G678" s="20" t="s">
        <v>35</v>
      </c>
      <c r="H678" s="20" t="s">
        <v>25</v>
      </c>
      <c r="I678" s="21" t="s">
        <v>2788</v>
      </c>
      <c r="J678" s="22">
        <f t="shared" si="50"/>
        <v>0.015277777776646</v>
      </c>
      <c r="K678" s="22">
        <f t="shared" si="51"/>
        <v>0.366666666639503</v>
      </c>
      <c r="L678" s="22">
        <f t="shared" si="52"/>
        <v>0.366666666639503</v>
      </c>
      <c r="M678" s="22" cm="1">
        <f ca="1" t="array" ref="M678">SUMPRODUCT(--(WEEKDAY(ROW(INDIRECT(INT(F678)&amp;":"&amp;INT(I678))),2)&gt;5))</f>
        <v>0</v>
      </c>
      <c r="N678" s="22">
        <f ca="1" t="shared" si="53"/>
        <v>0.366666666639503</v>
      </c>
      <c r="O678" s="22" t="str">
        <f ca="1" t="shared" si="54"/>
        <v>Within SLA</v>
      </c>
      <c r="P678" s="26" t="s">
        <v>2785</v>
      </c>
      <c r="Q678" s="24" t="s">
        <v>37</v>
      </c>
      <c r="R678" s="25"/>
      <c r="S678" s="25"/>
    </row>
    <row r="679" ht="27" customHeight="1" spans="1:19">
      <c r="A679" s="19" t="s">
        <v>2789</v>
      </c>
      <c r="B679" s="20" t="s">
        <v>139</v>
      </c>
      <c r="C679" s="20" t="s">
        <v>849</v>
      </c>
      <c r="D679" s="20" t="s">
        <v>32</v>
      </c>
      <c r="E679" s="21" t="s">
        <v>2763</v>
      </c>
      <c r="F679" s="21" t="s">
        <v>2790</v>
      </c>
      <c r="G679" s="20" t="s">
        <v>35</v>
      </c>
      <c r="H679" s="20" t="s">
        <v>25</v>
      </c>
      <c r="I679" s="21" t="s">
        <v>2791</v>
      </c>
      <c r="J679" s="22">
        <f t="shared" si="50"/>
        <v>21.0513888888891</v>
      </c>
      <c r="K679" s="22">
        <f t="shared" si="51"/>
        <v>505.233333333337</v>
      </c>
      <c r="L679" s="22">
        <f t="shared" si="52"/>
        <v>169.233333333337</v>
      </c>
      <c r="M679" s="22" cm="1">
        <f ca="1" t="array" ref="M679">SUMPRODUCT(--(WEEKDAY(ROW(INDIRECT(INT(F679)&amp;":"&amp;INT(I679))),2)&gt;5))</f>
        <v>6</v>
      </c>
      <c r="N679" s="22">
        <f ca="1" t="shared" si="53"/>
        <v>121.233333333337</v>
      </c>
      <c r="O679" s="22" t="str">
        <f ca="1" t="shared" si="54"/>
        <v>SLA Violated</v>
      </c>
      <c r="P679" s="23" t="s">
        <v>2792</v>
      </c>
      <c r="Q679" s="24" t="s">
        <v>28</v>
      </c>
      <c r="R679" s="25"/>
      <c r="S679" s="25"/>
    </row>
    <row r="680" ht="27" customHeight="1" spans="1:19">
      <c r="A680" s="19" t="s">
        <v>2793</v>
      </c>
      <c r="B680" s="20" t="s">
        <v>139</v>
      </c>
      <c r="C680" s="20" t="s">
        <v>849</v>
      </c>
      <c r="D680" s="20" t="s">
        <v>32</v>
      </c>
      <c r="E680" s="21" t="s">
        <v>2763</v>
      </c>
      <c r="F680" s="21" t="s">
        <v>2794</v>
      </c>
      <c r="G680" s="20" t="s">
        <v>35</v>
      </c>
      <c r="H680" s="20" t="s">
        <v>25</v>
      </c>
      <c r="I680" s="21" t="s">
        <v>2795</v>
      </c>
      <c r="J680" s="22">
        <f t="shared" si="50"/>
        <v>20.0576388888876</v>
      </c>
      <c r="K680" s="22">
        <f t="shared" si="51"/>
        <v>481.383333333302</v>
      </c>
      <c r="L680" s="22">
        <f t="shared" si="52"/>
        <v>161.383333333302</v>
      </c>
      <c r="M680" s="22" cm="1">
        <f ca="1" t="array" ref="M680">SUMPRODUCT(--(WEEKDAY(ROW(INDIRECT(INT(F680)&amp;":"&amp;INT(I680))),2)&gt;5))</f>
        <v>6</v>
      </c>
      <c r="N680" s="22">
        <f ca="1" t="shared" si="53"/>
        <v>113.383333333302</v>
      </c>
      <c r="O680" s="22" t="str">
        <f ca="1" t="shared" si="54"/>
        <v>SLA Violated</v>
      </c>
      <c r="P680" s="23" t="s">
        <v>2796</v>
      </c>
      <c r="Q680" s="24" t="s">
        <v>28</v>
      </c>
      <c r="R680" s="25"/>
      <c r="S680" s="25"/>
    </row>
    <row r="681" ht="39" customHeight="1" spans="1:19">
      <c r="A681" s="19" t="s">
        <v>2797</v>
      </c>
      <c r="B681" s="20" t="s">
        <v>196</v>
      </c>
      <c r="C681" s="20" t="s">
        <v>46</v>
      </c>
      <c r="D681" s="20" t="s">
        <v>21</v>
      </c>
      <c r="E681" s="21" t="s">
        <v>2798</v>
      </c>
      <c r="F681" s="21" t="s">
        <v>2799</v>
      </c>
      <c r="G681" s="20" t="s">
        <v>35</v>
      </c>
      <c r="H681" s="20" t="s">
        <v>25</v>
      </c>
      <c r="I681" s="21" t="s">
        <v>2800</v>
      </c>
      <c r="J681" s="22">
        <f t="shared" si="50"/>
        <v>4.89097222221608</v>
      </c>
      <c r="K681" s="22">
        <f t="shared" si="51"/>
        <v>117.383333333186</v>
      </c>
      <c r="L681" s="22">
        <f t="shared" si="52"/>
        <v>37.3833333331859</v>
      </c>
      <c r="M681" s="22" cm="1">
        <f ca="1" t="array" ref="M681">SUMPRODUCT(--(WEEKDAY(ROW(INDIRECT(INT(F681)&amp;":"&amp;INT(I681))),2)&gt;5))</f>
        <v>2</v>
      </c>
      <c r="N681" s="22">
        <f ca="1" t="shared" si="53"/>
        <v>21.3833333331859</v>
      </c>
      <c r="O681" s="22" t="str">
        <f ca="1" t="shared" si="54"/>
        <v>SLA Violated</v>
      </c>
      <c r="P681" s="26" t="s">
        <v>2797</v>
      </c>
      <c r="Q681" s="24" t="s">
        <v>37</v>
      </c>
      <c r="R681" s="6" t="s">
        <v>719</v>
      </c>
      <c r="S681" s="25" t="s">
        <v>39</v>
      </c>
    </row>
    <row r="682" ht="39" customHeight="1" spans="1:19">
      <c r="A682" s="19" t="s">
        <v>2801</v>
      </c>
      <c r="B682" s="20" t="s">
        <v>19</v>
      </c>
      <c r="C682" s="20" t="s">
        <v>20</v>
      </c>
      <c r="D682" s="20" t="s">
        <v>32</v>
      </c>
      <c r="E682" s="21" t="s">
        <v>2802</v>
      </c>
      <c r="F682" s="21" t="s">
        <v>2803</v>
      </c>
      <c r="G682" s="20" t="s">
        <v>35</v>
      </c>
      <c r="H682" s="20" t="s">
        <v>25</v>
      </c>
      <c r="I682" s="21" t="s">
        <v>2804</v>
      </c>
      <c r="J682" s="22">
        <f t="shared" si="50"/>
        <v>34.7708333333285</v>
      </c>
      <c r="K682" s="22">
        <f t="shared" si="51"/>
        <v>834.499999999884</v>
      </c>
      <c r="L682" s="22">
        <f t="shared" si="52"/>
        <v>274.499999999884</v>
      </c>
      <c r="M682" s="22" cm="1">
        <f ca="1" t="array" ref="M682">SUMPRODUCT(--(WEEKDAY(ROW(INDIRECT(INT(F682)&amp;":"&amp;INT(I682))),2)&gt;5))</f>
        <v>10</v>
      </c>
      <c r="N682" s="22">
        <f ca="1" t="shared" si="53"/>
        <v>194.499999999884</v>
      </c>
      <c r="O682" s="22" t="str">
        <f ca="1" t="shared" si="54"/>
        <v>SLA Violated</v>
      </c>
      <c r="P682" s="23" t="s">
        <v>2805</v>
      </c>
      <c r="Q682" s="24" t="s">
        <v>28</v>
      </c>
      <c r="R682" s="25"/>
      <c r="S682" s="25"/>
    </row>
    <row r="683" ht="39" customHeight="1" spans="1:19">
      <c r="A683" s="19" t="s">
        <v>2806</v>
      </c>
      <c r="B683" s="20" t="s">
        <v>19</v>
      </c>
      <c r="C683" s="20" t="s">
        <v>20</v>
      </c>
      <c r="D683" s="20" t="s">
        <v>32</v>
      </c>
      <c r="E683" s="21" t="s">
        <v>2802</v>
      </c>
      <c r="F683" s="21" t="s">
        <v>2807</v>
      </c>
      <c r="G683" s="20" t="s">
        <v>35</v>
      </c>
      <c r="H683" s="20" t="s">
        <v>25</v>
      </c>
      <c r="I683" s="21" t="s">
        <v>2808</v>
      </c>
      <c r="J683" s="22">
        <f t="shared" si="50"/>
        <v>33.9472222222248</v>
      </c>
      <c r="K683" s="22">
        <f t="shared" si="51"/>
        <v>814.733333333395</v>
      </c>
      <c r="L683" s="22">
        <f t="shared" si="52"/>
        <v>270.733333333395</v>
      </c>
      <c r="M683" s="22" cm="1">
        <f ca="1" t="array" ref="M683">SUMPRODUCT(--(WEEKDAY(ROW(INDIRECT(INT(F683)&amp;":"&amp;INT(I683))),2)&gt;5))</f>
        <v>10</v>
      </c>
      <c r="N683" s="22">
        <f ca="1" t="shared" si="53"/>
        <v>190.733333333395</v>
      </c>
      <c r="O683" s="22" t="str">
        <f ca="1" t="shared" si="54"/>
        <v>SLA Violated</v>
      </c>
      <c r="P683" s="23" t="s">
        <v>2809</v>
      </c>
      <c r="Q683" s="24" t="s">
        <v>28</v>
      </c>
      <c r="R683" s="25"/>
      <c r="S683" s="25"/>
    </row>
    <row r="684" ht="39" customHeight="1" spans="1:19">
      <c r="A684" s="19" t="s">
        <v>2810</v>
      </c>
      <c r="B684" s="20" t="s">
        <v>19</v>
      </c>
      <c r="C684" s="20" t="s">
        <v>20</v>
      </c>
      <c r="D684" s="20" t="s">
        <v>32</v>
      </c>
      <c r="E684" s="21" t="s">
        <v>2811</v>
      </c>
      <c r="F684" s="21" t="s">
        <v>2812</v>
      </c>
      <c r="G684" s="20" t="s">
        <v>35</v>
      </c>
      <c r="H684" s="20" t="s">
        <v>25</v>
      </c>
      <c r="I684" s="21" t="s">
        <v>2813</v>
      </c>
      <c r="J684" s="22">
        <f t="shared" si="50"/>
        <v>13.90625</v>
      </c>
      <c r="K684" s="22">
        <f t="shared" si="51"/>
        <v>333.75</v>
      </c>
      <c r="L684" s="22">
        <f t="shared" si="52"/>
        <v>109.75</v>
      </c>
      <c r="M684" s="22" cm="1">
        <f ca="1" t="array" ref="M684">SUMPRODUCT(--(WEEKDAY(ROW(INDIRECT(INT(F684)&amp;":"&amp;INT(I684))),2)&gt;5))</f>
        <v>4</v>
      </c>
      <c r="N684" s="22">
        <f ca="1" t="shared" si="53"/>
        <v>77.75</v>
      </c>
      <c r="O684" s="22" t="str">
        <f ca="1" t="shared" si="54"/>
        <v>SLA Violated</v>
      </c>
      <c r="P684" s="23" t="s">
        <v>2814</v>
      </c>
      <c r="Q684" s="24" t="s">
        <v>28</v>
      </c>
      <c r="R684" s="25"/>
      <c r="S684" s="25"/>
    </row>
    <row r="685" ht="27" customHeight="1" spans="1:19">
      <c r="A685" s="19" t="s">
        <v>2815</v>
      </c>
      <c r="B685" s="20" t="s">
        <v>30</v>
      </c>
      <c r="C685" s="20" t="s">
        <v>849</v>
      </c>
      <c r="D685" s="20" t="s">
        <v>32</v>
      </c>
      <c r="E685" s="21" t="s">
        <v>2816</v>
      </c>
      <c r="F685" s="21" t="s">
        <v>2817</v>
      </c>
      <c r="G685" s="20" t="s">
        <v>35</v>
      </c>
      <c r="H685" s="20" t="s">
        <v>25</v>
      </c>
      <c r="I685" s="21" t="s">
        <v>2818</v>
      </c>
      <c r="J685" s="22">
        <f t="shared" si="50"/>
        <v>0.756249999998545</v>
      </c>
      <c r="K685" s="22">
        <f t="shared" si="51"/>
        <v>18.1499999999651</v>
      </c>
      <c r="L685" s="22">
        <f t="shared" si="52"/>
        <v>2.14999999996508</v>
      </c>
      <c r="M685" s="22" cm="1">
        <f ca="1" t="array" ref="M685">SUMPRODUCT(--(WEEKDAY(ROW(INDIRECT(INT(F685)&amp;":"&amp;INT(I685))),2)&gt;5))</f>
        <v>0</v>
      </c>
      <c r="N685" s="22">
        <f ca="1" t="shared" si="53"/>
        <v>2.14999999996508</v>
      </c>
      <c r="O685" s="22" t="str">
        <f ca="1" t="shared" si="54"/>
        <v>Within SLA</v>
      </c>
      <c r="P685" s="26" t="s">
        <v>2815</v>
      </c>
      <c r="Q685" s="24" t="s">
        <v>37</v>
      </c>
      <c r="R685" s="25"/>
      <c r="S685" s="25"/>
    </row>
    <row r="686" ht="39" customHeight="1" spans="1:19">
      <c r="A686" s="19" t="s">
        <v>2819</v>
      </c>
      <c r="B686" s="20" t="s">
        <v>19</v>
      </c>
      <c r="C686" s="20" t="s">
        <v>20</v>
      </c>
      <c r="D686" s="20" t="s">
        <v>32</v>
      </c>
      <c r="E686" s="21" t="s">
        <v>2816</v>
      </c>
      <c r="F686" s="21" t="s">
        <v>2820</v>
      </c>
      <c r="G686" s="20" t="s">
        <v>35</v>
      </c>
      <c r="H686" s="20" t="s">
        <v>25</v>
      </c>
      <c r="I686" s="21" t="s">
        <v>2808</v>
      </c>
      <c r="J686" s="22">
        <f t="shared" si="50"/>
        <v>13.0500000000029</v>
      </c>
      <c r="K686" s="22">
        <f t="shared" si="51"/>
        <v>313.20000000007</v>
      </c>
      <c r="L686" s="22">
        <f t="shared" si="52"/>
        <v>105.20000000007</v>
      </c>
      <c r="M686" s="22" cm="1">
        <f ca="1" t="array" ref="M686">SUMPRODUCT(--(WEEKDAY(ROW(INDIRECT(INT(F686)&amp;":"&amp;INT(I686))),2)&gt;5))</f>
        <v>4</v>
      </c>
      <c r="N686" s="22">
        <f ca="1" t="shared" si="53"/>
        <v>73.20000000007</v>
      </c>
      <c r="O686" s="22" t="str">
        <f ca="1" t="shared" si="54"/>
        <v>SLA Violated</v>
      </c>
      <c r="P686" s="23" t="s">
        <v>2821</v>
      </c>
      <c r="Q686" s="24" t="s">
        <v>28</v>
      </c>
      <c r="R686" s="25"/>
      <c r="S686" s="25"/>
    </row>
    <row r="687" ht="27" customHeight="1" spans="1:19">
      <c r="A687" s="19" t="s">
        <v>2822</v>
      </c>
      <c r="B687" s="20" t="s">
        <v>121</v>
      </c>
      <c r="C687" s="20" t="s">
        <v>849</v>
      </c>
      <c r="D687" s="20" t="s">
        <v>32</v>
      </c>
      <c r="E687" s="21" t="s">
        <v>2823</v>
      </c>
      <c r="F687" s="21" t="s">
        <v>2824</v>
      </c>
      <c r="G687" s="20" t="s">
        <v>35</v>
      </c>
      <c r="H687" s="20" t="s">
        <v>25</v>
      </c>
      <c r="I687" s="21" t="s">
        <v>2825</v>
      </c>
      <c r="J687" s="22">
        <f t="shared" si="50"/>
        <v>0.0263888888875954</v>
      </c>
      <c r="K687" s="22">
        <f t="shared" si="51"/>
        <v>0.633333333302289</v>
      </c>
      <c r="L687" s="22">
        <f t="shared" si="52"/>
        <v>0.633333333302289</v>
      </c>
      <c r="M687" s="22" cm="1">
        <f ca="1" t="array" ref="M687">SUMPRODUCT(--(WEEKDAY(ROW(INDIRECT(INT(F687)&amp;":"&amp;INT(I687))),2)&gt;5))</f>
        <v>0</v>
      </c>
      <c r="N687" s="22">
        <f ca="1" t="shared" si="53"/>
        <v>0.633333333302289</v>
      </c>
      <c r="O687" s="22" t="str">
        <f ca="1" t="shared" si="54"/>
        <v>Within SLA</v>
      </c>
      <c r="P687" s="26" t="s">
        <v>2822</v>
      </c>
      <c r="Q687" s="24" t="s">
        <v>37</v>
      </c>
      <c r="R687" s="25"/>
      <c r="S687" s="25"/>
    </row>
    <row r="688" ht="39" customHeight="1" spans="1:19">
      <c r="A688" s="19" t="s">
        <v>2826</v>
      </c>
      <c r="B688" s="20" t="s">
        <v>196</v>
      </c>
      <c r="C688" s="20" t="s">
        <v>46</v>
      </c>
      <c r="D688" s="20" t="s">
        <v>105</v>
      </c>
      <c r="E688" s="21" t="s">
        <v>2804</v>
      </c>
      <c r="F688" s="21" t="s">
        <v>2827</v>
      </c>
      <c r="G688" s="20" t="s">
        <v>35</v>
      </c>
      <c r="H688" s="20" t="s">
        <v>25</v>
      </c>
      <c r="I688" s="21" t="s">
        <v>2828</v>
      </c>
      <c r="J688" s="22">
        <f t="shared" si="50"/>
        <v>0.702083333329938</v>
      </c>
      <c r="K688" s="22">
        <f t="shared" si="51"/>
        <v>16.8499999999185</v>
      </c>
      <c r="L688" s="22">
        <f t="shared" si="52"/>
        <v>0.849999999918509</v>
      </c>
      <c r="M688" s="22" cm="1">
        <f ca="1" t="array" ref="M688">SUMPRODUCT(--(WEEKDAY(ROW(INDIRECT(INT(F688)&amp;":"&amp;INT(I688))),2)&gt;5))</f>
        <v>0</v>
      </c>
      <c r="N688" s="22">
        <f ca="1" t="shared" si="53"/>
        <v>0.849999999918509</v>
      </c>
      <c r="O688" s="22" t="str">
        <f ca="1" t="shared" si="54"/>
        <v>Within SLA</v>
      </c>
      <c r="P688" s="26" t="s">
        <v>2826</v>
      </c>
      <c r="Q688" s="24" t="s">
        <v>37</v>
      </c>
      <c r="R688" s="25"/>
      <c r="S688" s="25"/>
    </row>
    <row r="689" ht="27" customHeight="1" spans="1:19">
      <c r="A689" s="19" t="s">
        <v>2829</v>
      </c>
      <c r="B689" s="20" t="s">
        <v>139</v>
      </c>
      <c r="C689" s="20" t="s">
        <v>849</v>
      </c>
      <c r="D689" s="20" t="s">
        <v>32</v>
      </c>
      <c r="E689" s="21" t="s">
        <v>2830</v>
      </c>
      <c r="F689" s="21" t="s">
        <v>2831</v>
      </c>
      <c r="G689" s="20" t="s">
        <v>35</v>
      </c>
      <c r="H689" s="20" t="s">
        <v>25</v>
      </c>
      <c r="I689" s="21" t="s">
        <v>2832</v>
      </c>
      <c r="J689" s="22">
        <f t="shared" si="50"/>
        <v>0.115277777782467</v>
      </c>
      <c r="K689" s="22">
        <f t="shared" si="51"/>
        <v>2.7666666667792</v>
      </c>
      <c r="L689" s="22">
        <f t="shared" si="52"/>
        <v>2.7666666667792</v>
      </c>
      <c r="M689" s="22" cm="1">
        <f ca="1" t="array" ref="M689">SUMPRODUCT(--(WEEKDAY(ROW(INDIRECT(INT(F689)&amp;":"&amp;INT(I689))),2)&gt;5))</f>
        <v>0</v>
      </c>
      <c r="N689" s="22">
        <f ca="1" t="shared" si="53"/>
        <v>2.7666666667792</v>
      </c>
      <c r="O689" s="22" t="str">
        <f ca="1" t="shared" si="54"/>
        <v>Within SLA</v>
      </c>
      <c r="P689" s="26" t="s">
        <v>2829</v>
      </c>
      <c r="Q689" s="24" t="s">
        <v>37</v>
      </c>
      <c r="R689" s="25"/>
      <c r="S689" s="25"/>
    </row>
    <row r="690" ht="39" customHeight="1" spans="1:19">
      <c r="A690" s="19" t="s">
        <v>2833</v>
      </c>
      <c r="B690" s="20" t="s">
        <v>19</v>
      </c>
      <c r="C690" s="20" t="s">
        <v>20</v>
      </c>
      <c r="D690" s="20" t="s">
        <v>32</v>
      </c>
      <c r="E690" s="21" t="s">
        <v>2834</v>
      </c>
      <c r="F690" s="21" t="s">
        <v>2835</v>
      </c>
      <c r="G690" s="20" t="s">
        <v>35</v>
      </c>
      <c r="H690" s="20" t="s">
        <v>25</v>
      </c>
      <c r="I690" s="21" t="s">
        <v>2836</v>
      </c>
      <c r="J690" s="22">
        <f t="shared" si="50"/>
        <v>0.800694444442343</v>
      </c>
      <c r="K690" s="22">
        <f t="shared" si="51"/>
        <v>19.2166666666162</v>
      </c>
      <c r="L690" s="22">
        <f t="shared" si="52"/>
        <v>3.21666666661622</v>
      </c>
      <c r="M690" s="22" cm="1">
        <f ca="1" t="array" ref="M690">SUMPRODUCT(--(WEEKDAY(ROW(INDIRECT(INT(F690)&amp;":"&amp;INT(I690))),2)&gt;5))</f>
        <v>0</v>
      </c>
      <c r="N690" s="22">
        <f ca="1" t="shared" si="53"/>
        <v>3.21666666661622</v>
      </c>
      <c r="O690" s="22" t="str">
        <f ca="1" t="shared" si="54"/>
        <v>Within SLA</v>
      </c>
      <c r="P690" s="26" t="s">
        <v>2833</v>
      </c>
      <c r="Q690" s="24" t="s">
        <v>37</v>
      </c>
      <c r="R690" s="25"/>
      <c r="S690" s="25"/>
    </row>
    <row r="691" ht="27" customHeight="1" spans="1:19">
      <c r="A691" s="19" t="s">
        <v>2837</v>
      </c>
      <c r="B691" s="20" t="s">
        <v>30</v>
      </c>
      <c r="C691" s="20" t="s">
        <v>2057</v>
      </c>
      <c r="D691" s="20" t="s">
        <v>32</v>
      </c>
      <c r="E691" s="21" t="s">
        <v>2838</v>
      </c>
      <c r="F691" s="21" t="s">
        <v>2839</v>
      </c>
      <c r="G691" s="20" t="s">
        <v>35</v>
      </c>
      <c r="H691" s="20" t="s">
        <v>25</v>
      </c>
      <c r="I691" s="21" t="s">
        <v>2840</v>
      </c>
      <c r="J691" s="22">
        <f t="shared" si="50"/>
        <v>0.661111111112405</v>
      </c>
      <c r="K691" s="22">
        <f t="shared" si="51"/>
        <v>15.8666666666977</v>
      </c>
      <c r="L691" s="22">
        <f t="shared" si="52"/>
        <v>-0.133333333302289</v>
      </c>
      <c r="M691" s="22" cm="1">
        <f ca="1" t="array" ref="M691">SUMPRODUCT(--(WEEKDAY(ROW(INDIRECT(INT(F691)&amp;":"&amp;INT(I691))),2)&gt;5))</f>
        <v>0</v>
      </c>
      <c r="N691" s="22">
        <f ca="1" t="shared" si="53"/>
        <v>0</v>
      </c>
      <c r="O691" s="22" t="str">
        <f ca="1" t="shared" si="54"/>
        <v>Within SLA</v>
      </c>
      <c r="P691" s="26" t="s">
        <v>2837</v>
      </c>
      <c r="Q691" s="24" t="s">
        <v>37</v>
      </c>
      <c r="R691" s="25"/>
      <c r="S691" s="25"/>
    </row>
    <row r="692" ht="27" customHeight="1" spans="1:19">
      <c r="A692" s="19" t="s">
        <v>2841</v>
      </c>
      <c r="B692" s="20" t="s">
        <v>30</v>
      </c>
      <c r="C692" s="20" t="s">
        <v>31</v>
      </c>
      <c r="D692" s="20" t="s">
        <v>32</v>
      </c>
      <c r="E692" s="21" t="s">
        <v>2842</v>
      </c>
      <c r="F692" s="21" t="s">
        <v>2843</v>
      </c>
      <c r="G692" s="20" t="s">
        <v>35</v>
      </c>
      <c r="H692" s="20" t="s">
        <v>25</v>
      </c>
      <c r="I692" s="21" t="s">
        <v>2844</v>
      </c>
      <c r="J692" s="22">
        <f t="shared" si="50"/>
        <v>0.710416666661331</v>
      </c>
      <c r="K692" s="22">
        <f t="shared" si="51"/>
        <v>17.0499999998719</v>
      </c>
      <c r="L692" s="22">
        <f t="shared" si="52"/>
        <v>1.04999999987194</v>
      </c>
      <c r="M692" s="22" cm="1">
        <f ca="1" t="array" ref="M692">SUMPRODUCT(--(WEEKDAY(ROW(INDIRECT(INT(F692)&amp;":"&amp;INT(I692))),2)&gt;5))</f>
        <v>0</v>
      </c>
      <c r="N692" s="22">
        <f ca="1" t="shared" si="53"/>
        <v>1.04999999987194</v>
      </c>
      <c r="O692" s="22" t="str">
        <f ca="1" t="shared" si="54"/>
        <v>Within SLA</v>
      </c>
      <c r="P692" s="26" t="s">
        <v>2841</v>
      </c>
      <c r="Q692" s="24" t="s">
        <v>37</v>
      </c>
      <c r="R692" s="25"/>
      <c r="S692" s="25"/>
    </row>
    <row r="693" ht="27" customHeight="1" spans="1:19">
      <c r="A693" s="19" t="s">
        <v>2845</v>
      </c>
      <c r="B693" s="20" t="s">
        <v>30</v>
      </c>
      <c r="C693" s="20" t="s">
        <v>31</v>
      </c>
      <c r="D693" s="20" t="s">
        <v>105</v>
      </c>
      <c r="E693" s="21" t="s">
        <v>2846</v>
      </c>
      <c r="F693" s="21" t="s">
        <v>2847</v>
      </c>
      <c r="G693" s="20" t="s">
        <v>35</v>
      </c>
      <c r="H693" s="20" t="s">
        <v>25</v>
      </c>
      <c r="I693" s="21" t="s">
        <v>2848</v>
      </c>
      <c r="J693" s="22">
        <f t="shared" si="50"/>
        <v>0.03125</v>
      </c>
      <c r="K693" s="22">
        <f t="shared" si="51"/>
        <v>0.75</v>
      </c>
      <c r="L693" s="22">
        <f t="shared" si="52"/>
        <v>0.75</v>
      </c>
      <c r="M693" s="22" cm="1">
        <f ca="1" t="array" ref="M693">SUMPRODUCT(--(WEEKDAY(ROW(INDIRECT(INT(F693)&amp;":"&amp;INT(I693))),2)&gt;5))</f>
        <v>0</v>
      </c>
      <c r="N693" s="22">
        <f ca="1" t="shared" si="53"/>
        <v>0.75</v>
      </c>
      <c r="O693" s="22" t="str">
        <f ca="1" t="shared" si="54"/>
        <v>Within SLA</v>
      </c>
      <c r="P693" s="26" t="s">
        <v>2845</v>
      </c>
      <c r="Q693" s="24" t="s">
        <v>37</v>
      </c>
      <c r="R693" s="25"/>
      <c r="S693" s="25"/>
    </row>
    <row r="694" ht="27" customHeight="1" spans="1:19">
      <c r="A694" s="19" t="s">
        <v>2849</v>
      </c>
      <c r="B694" s="20" t="s">
        <v>30</v>
      </c>
      <c r="C694" s="20" t="s">
        <v>849</v>
      </c>
      <c r="D694" s="20" t="s">
        <v>32</v>
      </c>
      <c r="E694" s="21" t="s">
        <v>2850</v>
      </c>
      <c r="F694" s="21" t="s">
        <v>2851</v>
      </c>
      <c r="G694" s="20" t="s">
        <v>24</v>
      </c>
      <c r="H694" s="20" t="s">
        <v>25</v>
      </c>
      <c r="I694" s="21" t="s">
        <v>2852</v>
      </c>
      <c r="J694" s="22">
        <f t="shared" si="50"/>
        <v>0.00208333333284827</v>
      </c>
      <c r="K694" s="22">
        <f t="shared" si="51"/>
        <v>0.0499999999883585</v>
      </c>
      <c r="L694" s="22">
        <f t="shared" si="52"/>
        <v>0.0499999999883585</v>
      </c>
      <c r="M694" s="22" cm="1">
        <f ca="1" t="array" ref="M694">SUMPRODUCT(--(WEEKDAY(ROW(INDIRECT(INT(F694)&amp;":"&amp;INT(I694))),2)&gt;5))</f>
        <v>0</v>
      </c>
      <c r="N694" s="22">
        <f ca="1" t="shared" si="53"/>
        <v>0.0499999999883585</v>
      </c>
      <c r="O694" s="22" t="str">
        <f ca="1" t="shared" si="54"/>
        <v>Within SLA</v>
      </c>
      <c r="P694" s="26" t="s">
        <v>2849</v>
      </c>
      <c r="Q694" s="24" t="s">
        <v>37</v>
      </c>
      <c r="R694" s="25"/>
      <c r="S694" s="25"/>
    </row>
    <row r="695" ht="39" customHeight="1" spans="1:19">
      <c r="A695" s="19" t="s">
        <v>2853</v>
      </c>
      <c r="B695" s="20" t="s">
        <v>19</v>
      </c>
      <c r="C695" s="20" t="s">
        <v>20</v>
      </c>
      <c r="D695" s="20" t="s">
        <v>32</v>
      </c>
      <c r="E695" s="21" t="s">
        <v>2854</v>
      </c>
      <c r="F695" s="21" t="s">
        <v>2855</v>
      </c>
      <c r="G695" s="20" t="s">
        <v>35</v>
      </c>
      <c r="H695" s="20" t="s">
        <v>25</v>
      </c>
      <c r="I695" s="21" t="s">
        <v>2856</v>
      </c>
      <c r="J695" s="22">
        <f t="shared" si="50"/>
        <v>13.1930555555518</v>
      </c>
      <c r="K695" s="22">
        <f t="shared" si="51"/>
        <v>316.633333333244</v>
      </c>
      <c r="L695" s="22">
        <f t="shared" si="52"/>
        <v>108.633333333244</v>
      </c>
      <c r="M695" s="22" cm="1">
        <f ca="1" t="array" ref="M695">SUMPRODUCT(--(WEEKDAY(ROW(INDIRECT(INT(F695)&amp;":"&amp;INT(I695))),2)&gt;5))</f>
        <v>4</v>
      </c>
      <c r="N695" s="22">
        <f ca="1" t="shared" si="53"/>
        <v>76.633333333244</v>
      </c>
      <c r="O695" s="22" t="str">
        <f ca="1" t="shared" si="54"/>
        <v>SLA Violated</v>
      </c>
      <c r="P695" s="23" t="s">
        <v>2857</v>
      </c>
      <c r="Q695" s="24" t="s">
        <v>28</v>
      </c>
      <c r="R695" s="25"/>
      <c r="S695" s="25"/>
    </row>
    <row r="696" ht="27" customHeight="1" spans="1:19">
      <c r="A696" s="19" t="s">
        <v>2858</v>
      </c>
      <c r="B696" s="20" t="s">
        <v>30</v>
      </c>
      <c r="C696" s="20" t="s">
        <v>849</v>
      </c>
      <c r="D696" s="20" t="s">
        <v>32</v>
      </c>
      <c r="E696" s="21" t="s">
        <v>2859</v>
      </c>
      <c r="F696" s="21" t="s">
        <v>2860</v>
      </c>
      <c r="G696" s="20" t="s">
        <v>24</v>
      </c>
      <c r="H696" s="20" t="s">
        <v>25</v>
      </c>
      <c r="I696" s="21" t="s">
        <v>2861</v>
      </c>
      <c r="J696" s="22">
        <f t="shared" si="50"/>
        <v>0.000694444439432118</v>
      </c>
      <c r="K696" s="22">
        <f t="shared" si="51"/>
        <v>0.0166666665463708</v>
      </c>
      <c r="L696" s="22">
        <f t="shared" si="52"/>
        <v>0.0166666665463708</v>
      </c>
      <c r="M696" s="22" cm="1">
        <f ca="1" t="array" ref="M696">SUMPRODUCT(--(WEEKDAY(ROW(INDIRECT(INT(F696)&amp;":"&amp;INT(I696))),2)&gt;5))</f>
        <v>0</v>
      </c>
      <c r="N696" s="22">
        <f ca="1" t="shared" si="53"/>
        <v>0.0166666665463708</v>
      </c>
      <c r="O696" s="22" t="str">
        <f ca="1" t="shared" si="54"/>
        <v>Within SLA</v>
      </c>
      <c r="P696" s="26" t="s">
        <v>2858</v>
      </c>
      <c r="Q696" s="24" t="s">
        <v>37</v>
      </c>
      <c r="R696" s="25"/>
      <c r="S696" s="25"/>
    </row>
    <row r="697" ht="27" customHeight="1" spans="1:19">
      <c r="A697" s="19" t="s">
        <v>2862</v>
      </c>
      <c r="B697" s="20" t="s">
        <v>30</v>
      </c>
      <c r="C697" s="20" t="s">
        <v>849</v>
      </c>
      <c r="D697" s="20" t="s">
        <v>32</v>
      </c>
      <c r="E697" s="21" t="s">
        <v>2863</v>
      </c>
      <c r="F697" s="21" t="s">
        <v>2864</v>
      </c>
      <c r="G697" s="20" t="s">
        <v>24</v>
      </c>
      <c r="H697" s="20" t="s">
        <v>25</v>
      </c>
      <c r="I697" s="21" t="s">
        <v>2864</v>
      </c>
      <c r="J697" s="22">
        <f t="shared" si="50"/>
        <v>0</v>
      </c>
      <c r="K697" s="22">
        <f t="shared" si="51"/>
        <v>0</v>
      </c>
      <c r="L697" s="22">
        <f t="shared" si="52"/>
        <v>0</v>
      </c>
      <c r="M697" s="22" cm="1">
        <f ca="1" t="array" ref="M697">SUMPRODUCT(--(WEEKDAY(ROW(INDIRECT(INT(F697)&amp;":"&amp;INT(I697))),2)&gt;5))</f>
        <v>0</v>
      </c>
      <c r="N697" s="22">
        <f ca="1" t="shared" si="53"/>
        <v>0</v>
      </c>
      <c r="O697" s="22" t="str">
        <f ca="1" t="shared" si="54"/>
        <v>Within SLA</v>
      </c>
      <c r="P697" s="26" t="s">
        <v>2862</v>
      </c>
      <c r="Q697" s="24" t="s">
        <v>37</v>
      </c>
      <c r="R697" s="25"/>
      <c r="S697" s="25"/>
    </row>
    <row r="698" ht="39" customHeight="1" spans="1:19">
      <c r="A698" s="19" t="s">
        <v>2865</v>
      </c>
      <c r="B698" s="20" t="s">
        <v>19</v>
      </c>
      <c r="C698" s="20" t="s">
        <v>20</v>
      </c>
      <c r="D698" s="20" t="s">
        <v>32</v>
      </c>
      <c r="E698" s="21" t="s">
        <v>2866</v>
      </c>
      <c r="F698" s="21" t="s">
        <v>2867</v>
      </c>
      <c r="G698" s="20" t="s">
        <v>35</v>
      </c>
      <c r="H698" s="20" t="s">
        <v>25</v>
      </c>
      <c r="I698" s="21" t="s">
        <v>2868</v>
      </c>
      <c r="J698" s="22">
        <f t="shared" si="50"/>
        <v>34.8395833333343</v>
      </c>
      <c r="K698" s="22">
        <f t="shared" si="51"/>
        <v>836.150000000023</v>
      </c>
      <c r="L698" s="22">
        <f t="shared" si="52"/>
        <v>276.150000000023</v>
      </c>
      <c r="M698" s="22" cm="1">
        <f ca="1" t="array" ref="M698">SUMPRODUCT(--(WEEKDAY(ROW(INDIRECT(INT(F698)&amp;":"&amp;INT(I698))),2)&gt;5))</f>
        <v>10</v>
      </c>
      <c r="N698" s="22">
        <f ca="1" t="shared" si="53"/>
        <v>196.150000000023</v>
      </c>
      <c r="O698" s="22" t="str">
        <f ca="1" t="shared" si="54"/>
        <v>SLA Violated</v>
      </c>
      <c r="P698" s="23" t="s">
        <v>2869</v>
      </c>
      <c r="Q698" s="24" t="s">
        <v>28</v>
      </c>
      <c r="R698" s="25"/>
      <c r="S698" s="25"/>
    </row>
    <row r="699" ht="27" customHeight="1" spans="1:19">
      <c r="A699" s="19" t="s">
        <v>2870</v>
      </c>
      <c r="B699" s="20" t="s">
        <v>30</v>
      </c>
      <c r="C699" s="20" t="s">
        <v>31</v>
      </c>
      <c r="D699" s="20" t="s">
        <v>32</v>
      </c>
      <c r="E699" s="21" t="s">
        <v>2871</v>
      </c>
      <c r="F699" s="21" t="s">
        <v>2872</v>
      </c>
      <c r="G699" s="20" t="s">
        <v>35</v>
      </c>
      <c r="H699" s="20" t="s">
        <v>25</v>
      </c>
      <c r="I699" s="21" t="s">
        <v>2873</v>
      </c>
      <c r="J699" s="22">
        <f t="shared" si="50"/>
        <v>0.177777777775191</v>
      </c>
      <c r="K699" s="22">
        <f t="shared" si="51"/>
        <v>4.26666666660458</v>
      </c>
      <c r="L699" s="22">
        <f t="shared" si="52"/>
        <v>4.26666666660458</v>
      </c>
      <c r="M699" s="22" cm="1">
        <f ca="1" t="array" ref="M699">SUMPRODUCT(--(WEEKDAY(ROW(INDIRECT(INT(F699)&amp;":"&amp;INT(I699))),2)&gt;5))</f>
        <v>0</v>
      </c>
      <c r="N699" s="22">
        <f ca="1" t="shared" si="53"/>
        <v>4.26666666660458</v>
      </c>
      <c r="O699" s="22" t="str">
        <f ca="1" t="shared" si="54"/>
        <v>Within SLA</v>
      </c>
      <c r="P699" s="26" t="s">
        <v>2870</v>
      </c>
      <c r="Q699" s="24" t="s">
        <v>37</v>
      </c>
      <c r="R699" s="25"/>
      <c r="S699" s="25"/>
    </row>
    <row r="700" ht="39" customHeight="1" spans="1:19">
      <c r="A700" s="19" t="s">
        <v>2874</v>
      </c>
      <c r="B700" s="20" t="s">
        <v>19</v>
      </c>
      <c r="C700" s="20" t="s">
        <v>20</v>
      </c>
      <c r="D700" s="20" t="s">
        <v>32</v>
      </c>
      <c r="E700" s="21" t="s">
        <v>2875</v>
      </c>
      <c r="F700" s="21" t="s">
        <v>2876</v>
      </c>
      <c r="G700" s="20" t="s">
        <v>24</v>
      </c>
      <c r="H700" s="20" t="s">
        <v>25</v>
      </c>
      <c r="I700" s="21" t="s">
        <v>2877</v>
      </c>
      <c r="J700" s="22">
        <f t="shared" si="50"/>
        <v>34.0138888888905</v>
      </c>
      <c r="K700" s="22">
        <f t="shared" si="51"/>
        <v>816.333333333372</v>
      </c>
      <c r="L700" s="22">
        <f t="shared" si="52"/>
        <v>272.333333333372</v>
      </c>
      <c r="M700" s="22" cm="1">
        <f ca="1" t="array" ref="M700">SUMPRODUCT(--(WEEKDAY(ROW(INDIRECT(INT(F700)&amp;":"&amp;INT(I700))),2)&gt;5))</f>
        <v>10</v>
      </c>
      <c r="N700" s="22">
        <f ca="1" t="shared" si="53"/>
        <v>192.333333333372</v>
      </c>
      <c r="O700" s="22" t="str">
        <f ca="1" t="shared" si="54"/>
        <v>SLA Violated</v>
      </c>
      <c r="P700" s="23" t="s">
        <v>2878</v>
      </c>
      <c r="Q700" s="24" t="s">
        <v>28</v>
      </c>
      <c r="R700" s="25"/>
      <c r="S700" s="25"/>
    </row>
    <row r="701" ht="39" customHeight="1" spans="1:19">
      <c r="A701" s="19" t="s">
        <v>2879</v>
      </c>
      <c r="B701" s="20" t="s">
        <v>19</v>
      </c>
      <c r="C701" s="20" t="s">
        <v>20</v>
      </c>
      <c r="D701" s="20" t="s">
        <v>32</v>
      </c>
      <c r="E701" s="21" t="s">
        <v>2861</v>
      </c>
      <c r="F701" s="21" t="s">
        <v>2880</v>
      </c>
      <c r="G701" s="20" t="s">
        <v>35</v>
      </c>
      <c r="H701" s="20" t="s">
        <v>25</v>
      </c>
      <c r="I701" s="21" t="s">
        <v>2881</v>
      </c>
      <c r="J701" s="22">
        <f t="shared" si="50"/>
        <v>13.0458333333372</v>
      </c>
      <c r="K701" s="22">
        <f t="shared" si="51"/>
        <v>313.100000000093</v>
      </c>
      <c r="L701" s="22">
        <f t="shared" si="52"/>
        <v>105.100000000093</v>
      </c>
      <c r="M701" s="22" cm="1">
        <f ca="1" t="array" ref="M701">SUMPRODUCT(--(WEEKDAY(ROW(INDIRECT(INT(F701)&amp;":"&amp;INT(I701))),2)&gt;5))</f>
        <v>4</v>
      </c>
      <c r="N701" s="22">
        <f ca="1" t="shared" si="53"/>
        <v>73.100000000093</v>
      </c>
      <c r="O701" s="22" t="str">
        <f ca="1" t="shared" si="54"/>
        <v>SLA Violated</v>
      </c>
      <c r="P701" s="23" t="s">
        <v>2882</v>
      </c>
      <c r="Q701" s="24" t="s">
        <v>28</v>
      </c>
      <c r="R701" s="25"/>
      <c r="S701" s="25"/>
    </row>
    <row r="702" ht="27" customHeight="1" spans="1:19">
      <c r="A702" s="19" t="s">
        <v>2883</v>
      </c>
      <c r="B702" s="20" t="s">
        <v>139</v>
      </c>
      <c r="C702" s="20" t="s">
        <v>2057</v>
      </c>
      <c r="D702" s="20" t="s">
        <v>32</v>
      </c>
      <c r="E702" s="21" t="s">
        <v>2884</v>
      </c>
      <c r="F702" s="21" t="s">
        <v>2885</v>
      </c>
      <c r="G702" s="20" t="s">
        <v>35</v>
      </c>
      <c r="H702" s="20" t="s">
        <v>25</v>
      </c>
      <c r="I702" s="21" t="s">
        <v>2886</v>
      </c>
      <c r="J702" s="22">
        <f t="shared" si="50"/>
        <v>2.21805555555329</v>
      </c>
      <c r="K702" s="22">
        <f t="shared" si="51"/>
        <v>53.233333333279</v>
      </c>
      <c r="L702" s="22">
        <f t="shared" si="52"/>
        <v>21.233333333279</v>
      </c>
      <c r="M702" s="22" cm="1">
        <f ca="1" t="array" ref="M702">SUMPRODUCT(--(WEEKDAY(ROW(INDIRECT(INT(F702)&amp;":"&amp;INT(I702))),2)&gt;5))</f>
        <v>0</v>
      </c>
      <c r="N702" s="22">
        <f ca="1" t="shared" si="53"/>
        <v>21.233333333279</v>
      </c>
      <c r="O702" s="22" t="str">
        <f ca="1" t="shared" si="54"/>
        <v>SLA Violated</v>
      </c>
      <c r="P702" s="23" t="s">
        <v>2887</v>
      </c>
      <c r="Q702" s="24" t="s">
        <v>28</v>
      </c>
      <c r="R702" s="25"/>
      <c r="S702" s="25"/>
    </row>
    <row r="703" ht="16" customHeight="1" spans="1:19">
      <c r="A703" s="19" t="s">
        <v>2888</v>
      </c>
      <c r="B703" s="20" t="s">
        <v>100</v>
      </c>
      <c r="C703" s="20" t="s">
        <v>101</v>
      </c>
      <c r="D703" s="20" t="s">
        <v>32</v>
      </c>
      <c r="E703" s="21" t="s">
        <v>2889</v>
      </c>
      <c r="F703" s="21" t="s">
        <v>2890</v>
      </c>
      <c r="G703" s="20" t="s">
        <v>35</v>
      </c>
      <c r="H703" s="20" t="s">
        <v>25</v>
      </c>
      <c r="I703" s="21" t="s">
        <v>2891</v>
      </c>
      <c r="J703" s="22">
        <f t="shared" si="50"/>
        <v>0.0444444444437977</v>
      </c>
      <c r="K703" s="22">
        <f t="shared" si="51"/>
        <v>1.06666666665114</v>
      </c>
      <c r="L703" s="22">
        <f t="shared" si="52"/>
        <v>1.06666666665114</v>
      </c>
      <c r="M703" s="22" cm="1">
        <f ca="1" t="array" ref="M703">SUMPRODUCT(--(WEEKDAY(ROW(INDIRECT(INT(F703)&amp;":"&amp;INT(I703))),2)&gt;5))</f>
        <v>0</v>
      </c>
      <c r="N703" s="22">
        <f ca="1" t="shared" si="53"/>
        <v>1.06666666665114</v>
      </c>
      <c r="O703" s="22" t="str">
        <f ca="1" t="shared" si="54"/>
        <v>Within SLA</v>
      </c>
      <c r="P703" s="26" t="s">
        <v>2888</v>
      </c>
      <c r="Q703" s="24" t="s">
        <v>37</v>
      </c>
      <c r="R703" s="25"/>
      <c r="S703" s="25"/>
    </row>
    <row r="704" ht="39" customHeight="1" spans="1:19">
      <c r="A704" s="19" t="s">
        <v>2892</v>
      </c>
      <c r="B704" s="20" t="s">
        <v>19</v>
      </c>
      <c r="C704" s="20" t="s">
        <v>20</v>
      </c>
      <c r="D704" s="20" t="s">
        <v>32</v>
      </c>
      <c r="E704" s="21" t="s">
        <v>2893</v>
      </c>
      <c r="F704" s="21" t="s">
        <v>2894</v>
      </c>
      <c r="G704" s="20" t="s">
        <v>35</v>
      </c>
      <c r="H704" s="20" t="s">
        <v>25</v>
      </c>
      <c r="I704" s="21" t="s">
        <v>2895</v>
      </c>
      <c r="J704" s="22">
        <f t="shared" si="50"/>
        <v>0.261111111110949</v>
      </c>
      <c r="K704" s="22">
        <f t="shared" si="51"/>
        <v>6.26666666666279</v>
      </c>
      <c r="L704" s="22">
        <f t="shared" si="52"/>
        <v>6.26666666666279</v>
      </c>
      <c r="M704" s="22" cm="1">
        <f ca="1" t="array" ref="M704">SUMPRODUCT(--(WEEKDAY(ROW(INDIRECT(INT(F704)&amp;":"&amp;INT(I704))),2)&gt;5))</f>
        <v>0</v>
      </c>
      <c r="N704" s="22">
        <f ca="1" t="shared" si="53"/>
        <v>6.26666666666279</v>
      </c>
      <c r="O704" s="22" t="str">
        <f ca="1" t="shared" si="54"/>
        <v>Within SLA</v>
      </c>
      <c r="P704" s="26" t="s">
        <v>2892</v>
      </c>
      <c r="Q704" s="24" t="s">
        <v>37</v>
      </c>
      <c r="R704" s="25"/>
      <c r="S704" s="25"/>
    </row>
    <row r="705" ht="39" customHeight="1" spans="1:19">
      <c r="A705" s="19" t="s">
        <v>2896</v>
      </c>
      <c r="B705" s="20" t="s">
        <v>19</v>
      </c>
      <c r="C705" s="20" t="s">
        <v>20</v>
      </c>
      <c r="D705" s="20" t="s">
        <v>32</v>
      </c>
      <c r="E705" s="21" t="s">
        <v>2897</v>
      </c>
      <c r="F705" s="21" t="s">
        <v>2898</v>
      </c>
      <c r="G705" s="20" t="s">
        <v>35</v>
      </c>
      <c r="H705" s="20" t="s">
        <v>25</v>
      </c>
      <c r="I705" s="21" t="s">
        <v>2899</v>
      </c>
      <c r="J705" s="22">
        <f t="shared" si="50"/>
        <v>0.0729166666642413</v>
      </c>
      <c r="K705" s="22">
        <f t="shared" si="51"/>
        <v>1.74999999994179</v>
      </c>
      <c r="L705" s="22">
        <f t="shared" si="52"/>
        <v>1.74999999994179</v>
      </c>
      <c r="M705" s="22" cm="1">
        <f ca="1" t="array" ref="M705">SUMPRODUCT(--(WEEKDAY(ROW(INDIRECT(INT(F705)&amp;":"&amp;INT(I705))),2)&gt;5))</f>
        <v>0</v>
      </c>
      <c r="N705" s="22">
        <f ca="1" t="shared" si="53"/>
        <v>1.74999999994179</v>
      </c>
      <c r="O705" s="22" t="str">
        <f ca="1" t="shared" si="54"/>
        <v>Within SLA</v>
      </c>
      <c r="P705" s="26" t="s">
        <v>2896</v>
      </c>
      <c r="Q705" s="24" t="s">
        <v>37</v>
      </c>
      <c r="R705" s="25"/>
      <c r="S705" s="25"/>
    </row>
    <row r="706" ht="27" customHeight="1" spans="1:19">
      <c r="A706" s="19" t="s">
        <v>2900</v>
      </c>
      <c r="B706" s="20" t="s">
        <v>121</v>
      </c>
      <c r="C706" s="20" t="s">
        <v>46</v>
      </c>
      <c r="D706" s="20" t="s">
        <v>105</v>
      </c>
      <c r="E706" s="21" t="s">
        <v>2895</v>
      </c>
      <c r="F706" s="21" t="s">
        <v>2901</v>
      </c>
      <c r="G706" s="20" t="s">
        <v>35</v>
      </c>
      <c r="H706" s="20" t="s">
        <v>25</v>
      </c>
      <c r="I706" s="21" t="s">
        <v>2902</v>
      </c>
      <c r="J706" s="22">
        <f t="shared" si="50"/>
        <v>0.0277777777810115</v>
      </c>
      <c r="K706" s="22">
        <f t="shared" si="51"/>
        <v>0.666666666744277</v>
      </c>
      <c r="L706" s="22">
        <f t="shared" si="52"/>
        <v>0.666666666744277</v>
      </c>
      <c r="M706" s="22" cm="1">
        <f ca="1" t="array" ref="M706">SUMPRODUCT(--(WEEKDAY(ROW(INDIRECT(INT(F706)&amp;":"&amp;INT(I706))),2)&gt;5))</f>
        <v>0</v>
      </c>
      <c r="N706" s="22">
        <f ca="1" t="shared" si="53"/>
        <v>0.666666666744277</v>
      </c>
      <c r="O706" s="22" t="str">
        <f ca="1" t="shared" si="54"/>
        <v>Within SLA</v>
      </c>
      <c r="P706" s="26" t="s">
        <v>2900</v>
      </c>
      <c r="Q706" s="24" t="s">
        <v>37</v>
      </c>
      <c r="R706" s="25"/>
      <c r="S706" s="25"/>
    </row>
    <row r="707" ht="39" customHeight="1" spans="1:19">
      <c r="A707" s="19" t="s">
        <v>2903</v>
      </c>
      <c r="B707" s="20" t="s">
        <v>196</v>
      </c>
      <c r="C707" s="20" t="s">
        <v>2057</v>
      </c>
      <c r="D707" s="20" t="s">
        <v>32</v>
      </c>
      <c r="E707" s="21" t="s">
        <v>2895</v>
      </c>
      <c r="F707" s="21" t="s">
        <v>2904</v>
      </c>
      <c r="G707" s="20" t="s">
        <v>35</v>
      </c>
      <c r="H707" s="20" t="s">
        <v>25</v>
      </c>
      <c r="I707" s="21" t="s">
        <v>2905</v>
      </c>
      <c r="J707" s="22">
        <f t="shared" ref="J707:J770" si="55">F707-I707</f>
        <v>5.23125000000437</v>
      </c>
      <c r="K707" s="22">
        <f t="shared" ref="K707:K770" si="56">J707*24</f>
        <v>125.550000000105</v>
      </c>
      <c r="L707" s="22">
        <f t="shared" ref="L707:L770" si="57">IF(_xlfn.DAYS(F707,I707)&gt;0,K707-IF(FLOOR(J707,1)=0,1,_xlfn.DAYS(F707,I707))*16,K707)</f>
        <v>45.5500000001048</v>
      </c>
      <c r="M707" s="22" cm="1">
        <f ca="1" t="array" ref="M707">SUMPRODUCT(--(WEEKDAY(ROW(INDIRECT(INT(F707)&amp;":"&amp;INT(I707))),2)&gt;5))</f>
        <v>2</v>
      </c>
      <c r="N707" s="22">
        <f ca="1" t="shared" ref="N707:N770" si="58">IF(IF(M707&gt;0,L707-M707*8,L707)&lt;0,0,IF(M707&gt;0,L707-M707*8,L707))</f>
        <v>29.5500000001048</v>
      </c>
      <c r="O707" s="22" t="str">
        <f ca="1" t="shared" ref="O707:O770" si="59">IF(OR(AND(D707="P1",N707&lt;=3),AND(D707="P2",N707&lt;=6),AND(D707="P3",N707&lt;=9),AND(D707="P4",N707&lt;=12)),"Within SLA","SLA Violated")</f>
        <v>SLA Violated</v>
      </c>
      <c r="P707" s="23" t="s">
        <v>2906</v>
      </c>
      <c r="Q707" s="24" t="s">
        <v>28</v>
      </c>
      <c r="R707" s="25"/>
      <c r="S707" s="25"/>
    </row>
    <row r="708" ht="27" customHeight="1" spans="1:19">
      <c r="A708" s="19" t="s">
        <v>2907</v>
      </c>
      <c r="B708" s="20" t="s">
        <v>30</v>
      </c>
      <c r="C708" s="20" t="s">
        <v>31</v>
      </c>
      <c r="D708" s="20" t="s">
        <v>32</v>
      </c>
      <c r="E708" s="21" t="s">
        <v>2905</v>
      </c>
      <c r="F708" s="21" t="s">
        <v>1778</v>
      </c>
      <c r="G708" s="20" t="s">
        <v>35</v>
      </c>
      <c r="H708" s="20" t="s">
        <v>25</v>
      </c>
      <c r="I708" s="21" t="s">
        <v>2908</v>
      </c>
      <c r="J708" s="22">
        <f t="shared" si="55"/>
        <v>0.00277777777228039</v>
      </c>
      <c r="K708" s="22">
        <f t="shared" si="56"/>
        <v>0.0666666665347293</v>
      </c>
      <c r="L708" s="22">
        <f t="shared" si="57"/>
        <v>0.0666666665347293</v>
      </c>
      <c r="M708" s="22" cm="1">
        <f ca="1" t="array" ref="M708">SUMPRODUCT(--(WEEKDAY(ROW(INDIRECT(INT(F708)&amp;":"&amp;INT(I708))),2)&gt;5))</f>
        <v>0</v>
      </c>
      <c r="N708" s="22">
        <f ca="1" t="shared" si="58"/>
        <v>0.0666666665347293</v>
      </c>
      <c r="O708" s="22" t="str">
        <f ca="1" t="shared" si="59"/>
        <v>Within SLA</v>
      </c>
      <c r="P708" s="26" t="s">
        <v>2907</v>
      </c>
      <c r="Q708" s="24" t="s">
        <v>37</v>
      </c>
      <c r="R708" s="25"/>
      <c r="S708" s="25"/>
    </row>
    <row r="709" ht="39" customHeight="1" spans="1:19">
      <c r="A709" s="19" t="s">
        <v>2909</v>
      </c>
      <c r="B709" s="20" t="s">
        <v>19</v>
      </c>
      <c r="C709" s="20" t="s">
        <v>20</v>
      </c>
      <c r="D709" s="20" t="s">
        <v>32</v>
      </c>
      <c r="E709" s="21" t="s">
        <v>2843</v>
      </c>
      <c r="F709" s="21" t="s">
        <v>2910</v>
      </c>
      <c r="G709" s="20" t="s">
        <v>35</v>
      </c>
      <c r="H709" s="20" t="s">
        <v>25</v>
      </c>
      <c r="I709" s="21" t="s">
        <v>2911</v>
      </c>
      <c r="J709" s="22">
        <f t="shared" si="55"/>
        <v>0.109722222223354</v>
      </c>
      <c r="K709" s="22">
        <f t="shared" si="56"/>
        <v>2.6333333333605</v>
      </c>
      <c r="L709" s="22">
        <f t="shared" si="57"/>
        <v>2.6333333333605</v>
      </c>
      <c r="M709" s="22" cm="1">
        <f ca="1" t="array" ref="M709">SUMPRODUCT(--(WEEKDAY(ROW(INDIRECT(INT(F709)&amp;":"&amp;INT(I709))),2)&gt;5))</f>
        <v>0</v>
      </c>
      <c r="N709" s="22">
        <f ca="1" t="shared" si="58"/>
        <v>2.6333333333605</v>
      </c>
      <c r="O709" s="22" t="str">
        <f ca="1" t="shared" si="59"/>
        <v>Within SLA</v>
      </c>
      <c r="P709" s="26" t="s">
        <v>2909</v>
      </c>
      <c r="Q709" s="24" t="s">
        <v>37</v>
      </c>
      <c r="R709" s="25"/>
      <c r="S709" s="25"/>
    </row>
    <row r="710" ht="27" customHeight="1" spans="1:19">
      <c r="A710" s="19" t="s">
        <v>2912</v>
      </c>
      <c r="B710" s="20" t="s">
        <v>30</v>
      </c>
      <c r="C710" s="20" t="s">
        <v>849</v>
      </c>
      <c r="D710" s="20" t="s">
        <v>32</v>
      </c>
      <c r="E710" s="21" t="s">
        <v>2843</v>
      </c>
      <c r="F710" s="21" t="s">
        <v>2913</v>
      </c>
      <c r="G710" s="20" t="s">
        <v>24</v>
      </c>
      <c r="H710" s="20" t="s">
        <v>25</v>
      </c>
      <c r="I710" s="21" t="s">
        <v>2914</v>
      </c>
      <c r="J710" s="22">
        <f t="shared" si="55"/>
        <v>3.09166666666715</v>
      </c>
      <c r="K710" s="22">
        <f t="shared" si="56"/>
        <v>74.2000000000116</v>
      </c>
      <c r="L710" s="22">
        <f t="shared" si="57"/>
        <v>26.2000000000116</v>
      </c>
      <c r="M710" s="22" cm="1">
        <f ca="1" t="array" ref="M710">SUMPRODUCT(--(WEEKDAY(ROW(INDIRECT(INT(F710)&amp;":"&amp;INT(I710))),2)&gt;5))</f>
        <v>2</v>
      </c>
      <c r="N710" s="22">
        <f ca="1" t="shared" si="58"/>
        <v>10.2000000000116</v>
      </c>
      <c r="O710" s="22" t="str">
        <f ca="1" t="shared" si="59"/>
        <v>Within SLA</v>
      </c>
      <c r="P710" s="26" t="s">
        <v>2912</v>
      </c>
      <c r="Q710" s="24" t="s">
        <v>37</v>
      </c>
      <c r="R710" s="25"/>
      <c r="S710" s="25"/>
    </row>
    <row r="711" ht="39" customHeight="1" spans="1:19">
      <c r="A711" s="19" t="s">
        <v>2915</v>
      </c>
      <c r="B711" s="20" t="s">
        <v>19</v>
      </c>
      <c r="C711" s="20" t="s">
        <v>20</v>
      </c>
      <c r="D711" s="20" t="s">
        <v>32</v>
      </c>
      <c r="E711" s="21" t="s">
        <v>2666</v>
      </c>
      <c r="F711" s="21" t="s">
        <v>2916</v>
      </c>
      <c r="G711" s="20" t="s">
        <v>35</v>
      </c>
      <c r="H711" s="20" t="s">
        <v>25</v>
      </c>
      <c r="I711" s="21" t="s">
        <v>2917</v>
      </c>
      <c r="J711" s="22">
        <f t="shared" si="55"/>
        <v>-0.000694444446708076</v>
      </c>
      <c r="K711" s="22">
        <f t="shared" si="56"/>
        <v>-0.0166666667209938</v>
      </c>
      <c r="L711" s="22">
        <f t="shared" si="57"/>
        <v>-0.0166666667209938</v>
      </c>
      <c r="M711" s="22" cm="1">
        <f ca="1" t="array" ref="M711">SUMPRODUCT(--(WEEKDAY(ROW(INDIRECT(INT(F711)&amp;":"&amp;INT(I711))),2)&gt;5))</f>
        <v>0</v>
      </c>
      <c r="N711" s="22">
        <f ca="1" t="shared" si="58"/>
        <v>0</v>
      </c>
      <c r="O711" s="22" t="str">
        <f ca="1" t="shared" si="59"/>
        <v>Within SLA</v>
      </c>
      <c r="P711" s="26" t="s">
        <v>2915</v>
      </c>
      <c r="Q711" s="24" t="s">
        <v>37</v>
      </c>
      <c r="R711" s="25"/>
      <c r="S711" s="25"/>
    </row>
    <row r="712" ht="27" customHeight="1" spans="1:19">
      <c r="A712" s="19" t="s">
        <v>2918</v>
      </c>
      <c r="B712" s="20" t="s">
        <v>30</v>
      </c>
      <c r="C712" s="20" t="s">
        <v>849</v>
      </c>
      <c r="D712" s="20" t="s">
        <v>32</v>
      </c>
      <c r="E712" s="21" t="s">
        <v>2908</v>
      </c>
      <c r="F712" s="21" t="s">
        <v>2919</v>
      </c>
      <c r="G712" s="20" t="s">
        <v>24</v>
      </c>
      <c r="H712" s="20" t="s">
        <v>25</v>
      </c>
      <c r="I712" s="21" t="s">
        <v>2920</v>
      </c>
      <c r="J712" s="22">
        <f t="shared" si="55"/>
        <v>3.09166666666715</v>
      </c>
      <c r="K712" s="22">
        <f t="shared" si="56"/>
        <v>74.2000000000116</v>
      </c>
      <c r="L712" s="22">
        <f t="shared" si="57"/>
        <v>26.2000000000116</v>
      </c>
      <c r="M712" s="22" cm="1">
        <f ca="1" t="array" ref="M712">SUMPRODUCT(--(WEEKDAY(ROW(INDIRECT(INT(F712)&amp;":"&amp;INT(I712))),2)&gt;5))</f>
        <v>2</v>
      </c>
      <c r="N712" s="22">
        <f ca="1" t="shared" si="58"/>
        <v>10.2000000000116</v>
      </c>
      <c r="O712" s="22" t="str">
        <f ca="1" t="shared" si="59"/>
        <v>Within SLA</v>
      </c>
      <c r="P712" s="26" t="s">
        <v>2918</v>
      </c>
      <c r="Q712" s="24" t="s">
        <v>37</v>
      </c>
      <c r="R712" s="25"/>
      <c r="S712" s="25"/>
    </row>
    <row r="713" ht="39" customHeight="1" spans="1:19">
      <c r="A713" s="19" t="s">
        <v>2921</v>
      </c>
      <c r="B713" s="20" t="s">
        <v>19</v>
      </c>
      <c r="C713" s="20" t="s">
        <v>20</v>
      </c>
      <c r="D713" s="20" t="s">
        <v>32</v>
      </c>
      <c r="E713" s="21" t="s">
        <v>2922</v>
      </c>
      <c r="F713" s="21" t="s">
        <v>2923</v>
      </c>
      <c r="G713" s="20" t="s">
        <v>35</v>
      </c>
      <c r="H713" s="20" t="s">
        <v>25</v>
      </c>
      <c r="I713" s="21" t="s">
        <v>2924</v>
      </c>
      <c r="J713" s="22">
        <f t="shared" si="55"/>
        <v>0.0486111111094942</v>
      </c>
      <c r="K713" s="22">
        <f t="shared" si="56"/>
        <v>1.16666666662786</v>
      </c>
      <c r="L713" s="22">
        <f t="shared" si="57"/>
        <v>1.16666666662786</v>
      </c>
      <c r="M713" s="22" cm="1">
        <f ca="1" t="array" ref="M713">SUMPRODUCT(--(WEEKDAY(ROW(INDIRECT(INT(F713)&amp;":"&amp;INT(I713))),2)&gt;5))</f>
        <v>0</v>
      </c>
      <c r="N713" s="22">
        <f ca="1" t="shared" si="58"/>
        <v>1.16666666662786</v>
      </c>
      <c r="O713" s="22" t="str">
        <f ca="1" t="shared" si="59"/>
        <v>Within SLA</v>
      </c>
      <c r="P713" s="26" t="s">
        <v>2921</v>
      </c>
      <c r="Q713" s="24" t="s">
        <v>37</v>
      </c>
      <c r="R713" s="25"/>
      <c r="S713" s="25"/>
    </row>
    <row r="714" ht="39" customHeight="1" spans="1:19">
      <c r="A714" s="19" t="s">
        <v>2925</v>
      </c>
      <c r="B714" s="20" t="s">
        <v>196</v>
      </c>
      <c r="C714" s="20" t="s">
        <v>46</v>
      </c>
      <c r="D714" s="20" t="s">
        <v>21</v>
      </c>
      <c r="E714" s="21" t="s">
        <v>2926</v>
      </c>
      <c r="F714" s="21" t="s">
        <v>2927</v>
      </c>
      <c r="G714" s="20" t="s">
        <v>35</v>
      </c>
      <c r="H714" s="20" t="s">
        <v>25</v>
      </c>
      <c r="I714" s="21" t="s">
        <v>2928</v>
      </c>
      <c r="J714" s="22">
        <f t="shared" si="55"/>
        <v>0.0770833333299379</v>
      </c>
      <c r="K714" s="22">
        <f t="shared" si="56"/>
        <v>1.84999999991851</v>
      </c>
      <c r="L714" s="22">
        <f t="shared" si="57"/>
        <v>1.84999999991851</v>
      </c>
      <c r="M714" s="22" cm="1">
        <f ca="1" t="array" ref="M714">SUMPRODUCT(--(WEEKDAY(ROW(INDIRECT(INT(F714)&amp;":"&amp;INT(I714))),2)&gt;5))</f>
        <v>0</v>
      </c>
      <c r="N714" s="22">
        <f ca="1" t="shared" si="58"/>
        <v>1.84999999991851</v>
      </c>
      <c r="O714" s="22" t="str">
        <f ca="1" t="shared" si="59"/>
        <v>Within SLA</v>
      </c>
      <c r="P714" s="26" t="s">
        <v>2925</v>
      </c>
      <c r="Q714" s="24" t="s">
        <v>37</v>
      </c>
      <c r="R714" s="25"/>
      <c r="S714" s="25"/>
    </row>
    <row r="715" ht="27" customHeight="1" spans="1:19">
      <c r="A715" s="19" t="s">
        <v>2929</v>
      </c>
      <c r="B715" s="20" t="s">
        <v>30</v>
      </c>
      <c r="C715" s="20" t="s">
        <v>31</v>
      </c>
      <c r="D715" s="20" t="s">
        <v>21</v>
      </c>
      <c r="E715" s="21" t="s">
        <v>2926</v>
      </c>
      <c r="F715" s="21" t="s">
        <v>2930</v>
      </c>
      <c r="G715" s="20" t="s">
        <v>35</v>
      </c>
      <c r="H715" s="20" t="s">
        <v>25</v>
      </c>
      <c r="I715" s="21" t="s">
        <v>2931</v>
      </c>
      <c r="J715" s="22">
        <f t="shared" si="55"/>
        <v>0.0743055555576575</v>
      </c>
      <c r="K715" s="22">
        <f t="shared" si="56"/>
        <v>1.78333333338378</v>
      </c>
      <c r="L715" s="22">
        <f t="shared" si="57"/>
        <v>1.78333333338378</v>
      </c>
      <c r="M715" s="22" cm="1">
        <f ca="1" t="array" ref="M715">SUMPRODUCT(--(WEEKDAY(ROW(INDIRECT(INT(F715)&amp;":"&amp;INT(I715))),2)&gt;5))</f>
        <v>0</v>
      </c>
      <c r="N715" s="22">
        <f ca="1" t="shared" si="58"/>
        <v>1.78333333338378</v>
      </c>
      <c r="O715" s="22" t="str">
        <f ca="1" t="shared" si="59"/>
        <v>Within SLA</v>
      </c>
      <c r="P715" s="26" t="s">
        <v>2929</v>
      </c>
      <c r="Q715" s="24" t="s">
        <v>37</v>
      </c>
      <c r="R715" s="25"/>
      <c r="S715" s="25"/>
    </row>
    <row r="716" ht="39" customHeight="1" spans="1:19">
      <c r="A716" s="19" t="s">
        <v>2932</v>
      </c>
      <c r="B716" s="20" t="s">
        <v>19</v>
      </c>
      <c r="C716" s="20" t="s">
        <v>20</v>
      </c>
      <c r="D716" s="20" t="s">
        <v>32</v>
      </c>
      <c r="E716" s="21" t="s">
        <v>2933</v>
      </c>
      <c r="F716" s="21" t="s">
        <v>2934</v>
      </c>
      <c r="G716" s="20" t="s">
        <v>35</v>
      </c>
      <c r="H716" s="20" t="s">
        <v>25</v>
      </c>
      <c r="I716" s="21" t="s">
        <v>2935</v>
      </c>
      <c r="J716" s="22">
        <f t="shared" si="55"/>
        <v>0.00625000000582077</v>
      </c>
      <c r="K716" s="22">
        <f t="shared" si="56"/>
        <v>0.150000000139698</v>
      </c>
      <c r="L716" s="22">
        <f t="shared" si="57"/>
        <v>0.150000000139698</v>
      </c>
      <c r="M716" s="22" cm="1">
        <f ca="1" t="array" ref="M716">SUMPRODUCT(--(WEEKDAY(ROW(INDIRECT(INT(F716)&amp;":"&amp;INT(I716))),2)&gt;5))</f>
        <v>0</v>
      </c>
      <c r="N716" s="22">
        <f ca="1" t="shared" si="58"/>
        <v>0.150000000139698</v>
      </c>
      <c r="O716" s="22" t="str">
        <f ca="1" t="shared" si="59"/>
        <v>Within SLA</v>
      </c>
      <c r="P716" s="26" t="s">
        <v>2932</v>
      </c>
      <c r="Q716" s="24" t="s">
        <v>37</v>
      </c>
      <c r="R716" s="25"/>
      <c r="S716" s="25"/>
    </row>
    <row r="717" ht="27" customHeight="1" spans="1:19">
      <c r="A717" s="19" t="s">
        <v>2936</v>
      </c>
      <c r="B717" s="20" t="s">
        <v>30</v>
      </c>
      <c r="C717" s="20" t="s">
        <v>2057</v>
      </c>
      <c r="D717" s="20" t="s">
        <v>32</v>
      </c>
      <c r="E717" s="21" t="s">
        <v>2933</v>
      </c>
      <c r="F717" s="21" t="s">
        <v>2937</v>
      </c>
      <c r="G717" s="20" t="s">
        <v>24</v>
      </c>
      <c r="H717" s="20" t="s">
        <v>25</v>
      </c>
      <c r="I717" s="21" t="s">
        <v>2938</v>
      </c>
      <c r="J717" s="22">
        <f t="shared" si="55"/>
        <v>3.05277777777519</v>
      </c>
      <c r="K717" s="22">
        <f t="shared" si="56"/>
        <v>73.2666666666046</v>
      </c>
      <c r="L717" s="22">
        <f t="shared" si="57"/>
        <v>25.2666666666046</v>
      </c>
      <c r="M717" s="22" cm="1">
        <f ca="1" t="array" ref="M717">SUMPRODUCT(--(WEEKDAY(ROW(INDIRECT(INT(F717)&amp;":"&amp;INT(I717))),2)&gt;5))</f>
        <v>2</v>
      </c>
      <c r="N717" s="22">
        <f ca="1" t="shared" si="58"/>
        <v>9.2666666666046</v>
      </c>
      <c r="O717" s="22" t="str">
        <f ca="1" t="shared" si="59"/>
        <v>Within SLA</v>
      </c>
      <c r="P717" s="26" t="s">
        <v>2936</v>
      </c>
      <c r="Q717" s="24" t="s">
        <v>37</v>
      </c>
      <c r="R717" s="25"/>
      <c r="S717" s="25"/>
    </row>
    <row r="718" ht="27" customHeight="1" spans="1:19">
      <c r="A718" s="19" t="s">
        <v>2939</v>
      </c>
      <c r="B718" s="20" t="s">
        <v>30</v>
      </c>
      <c r="C718" s="20" t="s">
        <v>2057</v>
      </c>
      <c r="D718" s="20" t="s">
        <v>32</v>
      </c>
      <c r="E718" s="21" t="s">
        <v>2940</v>
      </c>
      <c r="F718" s="21" t="s">
        <v>2941</v>
      </c>
      <c r="G718" s="20" t="s">
        <v>24</v>
      </c>
      <c r="H718" s="20" t="s">
        <v>25</v>
      </c>
      <c r="I718" s="21" t="s">
        <v>2942</v>
      </c>
      <c r="J718" s="22">
        <f t="shared" si="55"/>
        <v>2.99444444444089</v>
      </c>
      <c r="K718" s="22">
        <f t="shared" si="56"/>
        <v>71.8666666665813</v>
      </c>
      <c r="L718" s="22">
        <f t="shared" si="57"/>
        <v>23.8666666665813</v>
      </c>
      <c r="M718" s="22" cm="1">
        <f ca="1" t="array" ref="M718">SUMPRODUCT(--(WEEKDAY(ROW(INDIRECT(INT(F718)&amp;":"&amp;INT(I718))),2)&gt;5))</f>
        <v>2</v>
      </c>
      <c r="N718" s="22">
        <f ca="1" t="shared" si="58"/>
        <v>7.8666666665813</v>
      </c>
      <c r="O718" s="22" t="str">
        <f ca="1" t="shared" si="59"/>
        <v>Within SLA</v>
      </c>
      <c r="P718" s="26" t="s">
        <v>2939</v>
      </c>
      <c r="Q718" s="24" t="s">
        <v>37</v>
      </c>
      <c r="R718" s="25"/>
      <c r="S718" s="25"/>
    </row>
    <row r="719" ht="39" customHeight="1" spans="1:19">
      <c r="A719" s="19" t="s">
        <v>2943</v>
      </c>
      <c r="B719" s="20" t="s">
        <v>19</v>
      </c>
      <c r="C719" s="20" t="s">
        <v>20</v>
      </c>
      <c r="D719" s="20" t="s">
        <v>21</v>
      </c>
      <c r="E719" s="21" t="s">
        <v>2944</v>
      </c>
      <c r="F719" s="21" t="s">
        <v>2945</v>
      </c>
      <c r="G719" s="20" t="s">
        <v>35</v>
      </c>
      <c r="H719" s="20" t="s">
        <v>25</v>
      </c>
      <c r="I719" s="21" t="s">
        <v>2946</v>
      </c>
      <c r="J719" s="22">
        <f t="shared" si="55"/>
        <v>32.0472222222234</v>
      </c>
      <c r="K719" s="22">
        <f t="shared" si="56"/>
        <v>769.13333333336</v>
      </c>
      <c r="L719" s="22">
        <f t="shared" si="57"/>
        <v>257.13333333336</v>
      </c>
      <c r="M719" s="22" cm="1">
        <f ca="1" t="array" ref="M719">SUMPRODUCT(--(WEEKDAY(ROW(INDIRECT(INT(F719)&amp;":"&amp;INT(I719))),2)&gt;5))</f>
        <v>10</v>
      </c>
      <c r="N719" s="22">
        <f ca="1" t="shared" si="58"/>
        <v>177.13333333336</v>
      </c>
      <c r="O719" s="22" t="str">
        <f ca="1" t="shared" si="59"/>
        <v>SLA Violated</v>
      </c>
      <c r="P719" s="23" t="s">
        <v>2947</v>
      </c>
      <c r="Q719" s="24" t="s">
        <v>28</v>
      </c>
      <c r="R719" s="25"/>
      <c r="S719" s="25"/>
    </row>
    <row r="720" ht="39" customHeight="1" spans="1:19">
      <c r="A720" s="19" t="s">
        <v>2948</v>
      </c>
      <c r="B720" s="20" t="s">
        <v>19</v>
      </c>
      <c r="C720" s="20" t="s">
        <v>20</v>
      </c>
      <c r="D720" s="20" t="s">
        <v>32</v>
      </c>
      <c r="E720" s="21" t="s">
        <v>2944</v>
      </c>
      <c r="F720" s="21" t="s">
        <v>2949</v>
      </c>
      <c r="G720" s="20" t="s">
        <v>35</v>
      </c>
      <c r="H720" s="20" t="s">
        <v>25</v>
      </c>
      <c r="I720" s="21" t="s">
        <v>2950</v>
      </c>
      <c r="J720" s="22">
        <f t="shared" si="55"/>
        <v>24.9493055555577</v>
      </c>
      <c r="K720" s="22">
        <f t="shared" si="56"/>
        <v>598.783333333384</v>
      </c>
      <c r="L720" s="22">
        <f t="shared" si="57"/>
        <v>198.783333333384</v>
      </c>
      <c r="M720" s="22" cm="1">
        <f ca="1" t="array" ref="M720">SUMPRODUCT(--(WEEKDAY(ROW(INDIRECT(INT(F720)&amp;":"&amp;INT(I720))),2)&gt;5))</f>
        <v>8</v>
      </c>
      <c r="N720" s="22">
        <f ca="1" t="shared" si="58"/>
        <v>134.783333333384</v>
      </c>
      <c r="O720" s="22" t="str">
        <f ca="1" t="shared" si="59"/>
        <v>SLA Violated</v>
      </c>
      <c r="P720" s="23" t="s">
        <v>2951</v>
      </c>
      <c r="Q720" s="24" t="s">
        <v>28</v>
      </c>
      <c r="R720" s="25"/>
      <c r="S720" s="25"/>
    </row>
    <row r="721" ht="39" customHeight="1" spans="1:19">
      <c r="A721" s="19" t="s">
        <v>2952</v>
      </c>
      <c r="B721" s="20" t="s">
        <v>19</v>
      </c>
      <c r="C721" s="20" t="s">
        <v>20</v>
      </c>
      <c r="D721" s="20" t="s">
        <v>32</v>
      </c>
      <c r="E721" s="21" t="s">
        <v>2953</v>
      </c>
      <c r="F721" s="21" t="s">
        <v>2954</v>
      </c>
      <c r="G721" s="20" t="s">
        <v>35</v>
      </c>
      <c r="H721" s="20" t="s">
        <v>25</v>
      </c>
      <c r="I721" s="21" t="s">
        <v>2955</v>
      </c>
      <c r="J721" s="22">
        <f t="shared" si="55"/>
        <v>0.115277777775191</v>
      </c>
      <c r="K721" s="22">
        <f t="shared" si="56"/>
        <v>2.76666666660458</v>
      </c>
      <c r="L721" s="22">
        <f t="shared" si="57"/>
        <v>2.76666666660458</v>
      </c>
      <c r="M721" s="22" cm="1">
        <f ca="1" t="array" ref="M721">SUMPRODUCT(--(WEEKDAY(ROW(INDIRECT(INT(F721)&amp;":"&amp;INT(I721))),2)&gt;5))</f>
        <v>0</v>
      </c>
      <c r="N721" s="22">
        <f ca="1" t="shared" si="58"/>
        <v>2.76666666660458</v>
      </c>
      <c r="O721" s="22" t="str">
        <f ca="1" t="shared" si="59"/>
        <v>Within SLA</v>
      </c>
      <c r="P721" s="26" t="s">
        <v>2952</v>
      </c>
      <c r="Q721" s="24" t="s">
        <v>37</v>
      </c>
      <c r="R721" s="25"/>
      <c r="S721" s="25"/>
    </row>
    <row r="722" ht="39" customHeight="1" spans="1:19">
      <c r="A722" s="19" t="s">
        <v>2956</v>
      </c>
      <c r="B722" s="20" t="s">
        <v>19</v>
      </c>
      <c r="C722" s="20" t="s">
        <v>20</v>
      </c>
      <c r="D722" s="20" t="s">
        <v>32</v>
      </c>
      <c r="E722" s="21" t="s">
        <v>2957</v>
      </c>
      <c r="F722" s="21" t="s">
        <v>2958</v>
      </c>
      <c r="G722" s="20" t="s">
        <v>35</v>
      </c>
      <c r="H722" s="20" t="s">
        <v>25</v>
      </c>
      <c r="I722" s="21" t="s">
        <v>2955</v>
      </c>
      <c r="J722" s="22">
        <f t="shared" si="55"/>
        <v>0.0951388888861402</v>
      </c>
      <c r="K722" s="22">
        <f t="shared" si="56"/>
        <v>2.28333333326736</v>
      </c>
      <c r="L722" s="22">
        <f t="shared" si="57"/>
        <v>2.28333333326736</v>
      </c>
      <c r="M722" s="22" cm="1">
        <f ca="1" t="array" ref="M722">SUMPRODUCT(--(WEEKDAY(ROW(INDIRECT(INT(F722)&amp;":"&amp;INT(I722))),2)&gt;5))</f>
        <v>0</v>
      </c>
      <c r="N722" s="22">
        <f ca="1" t="shared" si="58"/>
        <v>2.28333333326736</v>
      </c>
      <c r="O722" s="22" t="str">
        <f ca="1" t="shared" si="59"/>
        <v>Within SLA</v>
      </c>
      <c r="P722" s="26" t="s">
        <v>2956</v>
      </c>
      <c r="Q722" s="24" t="s">
        <v>37</v>
      </c>
      <c r="R722" s="25"/>
      <c r="S722" s="25"/>
    </row>
    <row r="723" ht="27" customHeight="1" spans="1:19">
      <c r="A723" s="19" t="s">
        <v>2959</v>
      </c>
      <c r="B723" s="20" t="s">
        <v>30</v>
      </c>
      <c r="C723" s="20" t="s">
        <v>2057</v>
      </c>
      <c r="D723" s="20" t="s">
        <v>32</v>
      </c>
      <c r="E723" s="21" t="s">
        <v>2960</v>
      </c>
      <c r="F723" s="21" t="s">
        <v>2961</v>
      </c>
      <c r="G723" s="20" t="s">
        <v>35</v>
      </c>
      <c r="H723" s="20" t="s">
        <v>25</v>
      </c>
      <c r="I723" s="21" t="s">
        <v>2962</v>
      </c>
      <c r="J723" s="22">
        <f t="shared" si="55"/>
        <v>0.0291666666671517</v>
      </c>
      <c r="K723" s="22">
        <f t="shared" si="56"/>
        <v>0.700000000011642</v>
      </c>
      <c r="L723" s="22">
        <f t="shared" si="57"/>
        <v>0.700000000011642</v>
      </c>
      <c r="M723" s="22" cm="1">
        <f ca="1" t="array" ref="M723">SUMPRODUCT(--(WEEKDAY(ROW(INDIRECT(INT(F723)&amp;":"&amp;INT(I723))),2)&gt;5))</f>
        <v>0</v>
      </c>
      <c r="N723" s="22">
        <f ca="1" t="shared" si="58"/>
        <v>0.700000000011642</v>
      </c>
      <c r="O723" s="22" t="str">
        <f ca="1" t="shared" si="59"/>
        <v>Within SLA</v>
      </c>
      <c r="P723" s="26" t="s">
        <v>2959</v>
      </c>
      <c r="Q723" s="24" t="s">
        <v>37</v>
      </c>
      <c r="R723" s="25"/>
      <c r="S723" s="25"/>
    </row>
    <row r="724" ht="39" customHeight="1" spans="1:19">
      <c r="A724" s="19" t="s">
        <v>2963</v>
      </c>
      <c r="B724" s="20" t="s">
        <v>19</v>
      </c>
      <c r="C724" s="20" t="s">
        <v>20</v>
      </c>
      <c r="D724" s="20" t="s">
        <v>21</v>
      </c>
      <c r="E724" s="21" t="s">
        <v>2964</v>
      </c>
      <c r="F724" s="21" t="s">
        <v>2965</v>
      </c>
      <c r="G724" s="20" t="s">
        <v>35</v>
      </c>
      <c r="H724" s="20" t="s">
        <v>25</v>
      </c>
      <c r="I724" s="21" t="s">
        <v>2966</v>
      </c>
      <c r="J724" s="22">
        <f t="shared" si="55"/>
        <v>0.0777777777839219</v>
      </c>
      <c r="K724" s="22">
        <f t="shared" si="56"/>
        <v>1.86666666681413</v>
      </c>
      <c r="L724" s="22">
        <f t="shared" si="57"/>
        <v>1.86666666681413</v>
      </c>
      <c r="M724" s="22" cm="1">
        <f ca="1" t="array" ref="M724">SUMPRODUCT(--(WEEKDAY(ROW(INDIRECT(INT(F724)&amp;":"&amp;INT(I724))),2)&gt;5))</f>
        <v>0</v>
      </c>
      <c r="N724" s="22">
        <f ca="1" t="shared" si="58"/>
        <v>1.86666666681413</v>
      </c>
      <c r="O724" s="22" t="str">
        <f ca="1" t="shared" si="59"/>
        <v>Within SLA</v>
      </c>
      <c r="P724" s="26" t="s">
        <v>2963</v>
      </c>
      <c r="Q724" s="24" t="s">
        <v>37</v>
      </c>
      <c r="R724" s="25"/>
      <c r="S724" s="25"/>
    </row>
    <row r="725" ht="27" customHeight="1" spans="1:19">
      <c r="A725" s="19" t="s">
        <v>2967</v>
      </c>
      <c r="B725" s="20" t="s">
        <v>139</v>
      </c>
      <c r="C725" s="20" t="s">
        <v>849</v>
      </c>
      <c r="D725" s="20" t="s">
        <v>32</v>
      </c>
      <c r="E725" s="21" t="s">
        <v>2872</v>
      </c>
      <c r="F725" s="21" t="s">
        <v>2968</v>
      </c>
      <c r="G725" s="20" t="s">
        <v>35</v>
      </c>
      <c r="H725" s="20" t="s">
        <v>25</v>
      </c>
      <c r="I725" s="21" t="s">
        <v>2969</v>
      </c>
      <c r="J725" s="22">
        <f t="shared" si="55"/>
        <v>17.9972222222204</v>
      </c>
      <c r="K725" s="22">
        <f t="shared" si="56"/>
        <v>431.933333333291</v>
      </c>
      <c r="L725" s="22">
        <f t="shared" si="57"/>
        <v>143.933333333291</v>
      </c>
      <c r="M725" s="22" cm="1">
        <f ca="1" t="array" ref="M725">SUMPRODUCT(--(WEEKDAY(ROW(INDIRECT(INT(F725)&amp;":"&amp;INT(I725))),2)&gt;5))</f>
        <v>6</v>
      </c>
      <c r="N725" s="22">
        <f ca="1" t="shared" si="58"/>
        <v>95.933333333291</v>
      </c>
      <c r="O725" s="22" t="str">
        <f ca="1" t="shared" si="59"/>
        <v>SLA Violated</v>
      </c>
      <c r="P725" s="23" t="s">
        <v>2970</v>
      </c>
      <c r="Q725" s="24" t="s">
        <v>28</v>
      </c>
      <c r="R725" s="25"/>
      <c r="S725" s="25"/>
    </row>
    <row r="726" ht="39" customHeight="1" spans="1:19">
      <c r="A726" s="19" t="s">
        <v>2971</v>
      </c>
      <c r="B726" s="20" t="s">
        <v>19</v>
      </c>
      <c r="C726" s="20" t="s">
        <v>20</v>
      </c>
      <c r="D726" s="20" t="s">
        <v>32</v>
      </c>
      <c r="E726" s="21" t="s">
        <v>2972</v>
      </c>
      <c r="F726" s="21" t="s">
        <v>2973</v>
      </c>
      <c r="G726" s="20" t="s">
        <v>35</v>
      </c>
      <c r="H726" s="20" t="s">
        <v>25</v>
      </c>
      <c r="I726" s="21" t="s">
        <v>2974</v>
      </c>
      <c r="J726" s="22">
        <f t="shared" si="55"/>
        <v>0.0791666666700621</v>
      </c>
      <c r="K726" s="22">
        <f t="shared" si="56"/>
        <v>1.90000000008149</v>
      </c>
      <c r="L726" s="22">
        <f t="shared" si="57"/>
        <v>1.90000000008149</v>
      </c>
      <c r="M726" s="22" cm="1">
        <f ca="1" t="array" ref="M726">SUMPRODUCT(--(WEEKDAY(ROW(INDIRECT(INT(F726)&amp;":"&amp;INT(I726))),2)&gt;5))</f>
        <v>0</v>
      </c>
      <c r="N726" s="22">
        <f ca="1" t="shared" si="58"/>
        <v>1.90000000008149</v>
      </c>
      <c r="O726" s="22" t="str">
        <f ca="1" t="shared" si="59"/>
        <v>Within SLA</v>
      </c>
      <c r="P726" s="26" t="s">
        <v>2971</v>
      </c>
      <c r="Q726" s="24" t="s">
        <v>37</v>
      </c>
      <c r="R726" s="25"/>
      <c r="S726" s="25"/>
    </row>
    <row r="727" ht="39" customHeight="1" spans="1:19">
      <c r="A727" s="19" t="s">
        <v>2975</v>
      </c>
      <c r="B727" s="20" t="s">
        <v>196</v>
      </c>
      <c r="C727" s="20" t="s">
        <v>2057</v>
      </c>
      <c r="D727" s="20" t="s">
        <v>32</v>
      </c>
      <c r="E727" s="21" t="s">
        <v>2976</v>
      </c>
      <c r="F727" s="21" t="s">
        <v>2977</v>
      </c>
      <c r="G727" s="20" t="s">
        <v>35</v>
      </c>
      <c r="H727" s="20" t="s">
        <v>25</v>
      </c>
      <c r="I727" s="21" t="s">
        <v>2978</v>
      </c>
      <c r="J727" s="22">
        <f t="shared" si="55"/>
        <v>0.0152777777839219</v>
      </c>
      <c r="K727" s="22">
        <f t="shared" si="56"/>
        <v>0.366666666814126</v>
      </c>
      <c r="L727" s="22">
        <f t="shared" si="57"/>
        <v>0.366666666814126</v>
      </c>
      <c r="M727" s="22" cm="1">
        <f ca="1" t="array" ref="M727">SUMPRODUCT(--(WEEKDAY(ROW(INDIRECT(INT(F727)&amp;":"&amp;INT(I727))),2)&gt;5))</f>
        <v>0</v>
      </c>
      <c r="N727" s="22">
        <f ca="1" t="shared" si="58"/>
        <v>0.366666666814126</v>
      </c>
      <c r="O727" s="22" t="str">
        <f ca="1" t="shared" si="59"/>
        <v>Within SLA</v>
      </c>
      <c r="P727" s="26" t="s">
        <v>2975</v>
      </c>
      <c r="Q727" s="24" t="s">
        <v>37</v>
      </c>
      <c r="R727" s="25"/>
      <c r="S727" s="25"/>
    </row>
    <row r="728" ht="39" customHeight="1" spans="1:19">
      <c r="A728" s="19" t="s">
        <v>2979</v>
      </c>
      <c r="B728" s="20" t="s">
        <v>19</v>
      </c>
      <c r="C728" s="20" t="s">
        <v>20</v>
      </c>
      <c r="D728" s="20" t="s">
        <v>32</v>
      </c>
      <c r="E728" s="21" t="s">
        <v>2980</v>
      </c>
      <c r="F728" s="21" t="s">
        <v>2981</v>
      </c>
      <c r="G728" s="20" t="s">
        <v>35</v>
      </c>
      <c r="H728" s="20" t="s">
        <v>25</v>
      </c>
      <c r="I728" s="21" t="s">
        <v>2982</v>
      </c>
      <c r="J728" s="22">
        <f t="shared" si="55"/>
        <v>12.8430555555533</v>
      </c>
      <c r="K728" s="22">
        <f t="shared" si="56"/>
        <v>308.233333333279</v>
      </c>
      <c r="L728" s="22">
        <f t="shared" si="57"/>
        <v>100.233333333279</v>
      </c>
      <c r="M728" s="22" cm="1">
        <f ca="1" t="array" ref="M728">SUMPRODUCT(--(WEEKDAY(ROW(INDIRECT(INT(F728)&amp;":"&amp;INT(I728))),2)&gt;5))</f>
        <v>4</v>
      </c>
      <c r="N728" s="22">
        <f ca="1" t="shared" si="58"/>
        <v>68.233333333279</v>
      </c>
      <c r="O728" s="22" t="str">
        <f ca="1" t="shared" si="59"/>
        <v>SLA Violated</v>
      </c>
      <c r="P728" s="23" t="s">
        <v>2983</v>
      </c>
      <c r="Q728" s="24" t="s">
        <v>28</v>
      </c>
      <c r="R728" s="25"/>
      <c r="S728" s="25"/>
    </row>
    <row r="729" ht="27" customHeight="1" spans="1:19">
      <c r="A729" s="19" t="s">
        <v>2984</v>
      </c>
      <c r="B729" s="20" t="s">
        <v>30</v>
      </c>
      <c r="C729" s="20" t="s">
        <v>2057</v>
      </c>
      <c r="D729" s="20" t="s">
        <v>32</v>
      </c>
      <c r="E729" s="21" t="s">
        <v>2985</v>
      </c>
      <c r="F729" s="21" t="s">
        <v>2986</v>
      </c>
      <c r="G729" s="20" t="s">
        <v>35</v>
      </c>
      <c r="H729" s="20" t="s">
        <v>25</v>
      </c>
      <c r="I729" s="21" t="s">
        <v>2987</v>
      </c>
      <c r="J729" s="22">
        <f t="shared" si="55"/>
        <v>16.7993055555562</v>
      </c>
      <c r="K729" s="22">
        <f t="shared" si="56"/>
        <v>403.183333333349</v>
      </c>
      <c r="L729" s="22">
        <f t="shared" si="57"/>
        <v>131.183333333349</v>
      </c>
      <c r="M729" s="22" cm="1">
        <f ca="1" t="array" ref="M729">SUMPRODUCT(--(WEEKDAY(ROW(INDIRECT(INT(F729)&amp;":"&amp;INT(I729))),2)&gt;5))</f>
        <v>6</v>
      </c>
      <c r="N729" s="22">
        <f ca="1" t="shared" si="58"/>
        <v>83.183333333349</v>
      </c>
      <c r="O729" s="22" t="str">
        <f ca="1" t="shared" si="59"/>
        <v>SLA Violated</v>
      </c>
      <c r="P729" s="26" t="s">
        <v>2984</v>
      </c>
      <c r="Q729" s="24" t="s">
        <v>37</v>
      </c>
      <c r="R729" s="25" t="s">
        <v>38</v>
      </c>
      <c r="S729" s="25" t="s">
        <v>39</v>
      </c>
    </row>
    <row r="730" ht="27" customHeight="1" spans="1:19">
      <c r="A730" s="19" t="s">
        <v>2988</v>
      </c>
      <c r="B730" s="20" t="s">
        <v>121</v>
      </c>
      <c r="C730" s="20" t="s">
        <v>849</v>
      </c>
      <c r="D730" s="20" t="s">
        <v>32</v>
      </c>
      <c r="E730" s="21" t="s">
        <v>2989</v>
      </c>
      <c r="F730" s="21" t="s">
        <v>2990</v>
      </c>
      <c r="G730" s="20" t="s">
        <v>35</v>
      </c>
      <c r="H730" s="20" t="s">
        <v>25</v>
      </c>
      <c r="I730" s="21" t="s">
        <v>2991</v>
      </c>
      <c r="J730" s="22">
        <f t="shared" si="55"/>
        <v>31.8298611111095</v>
      </c>
      <c r="K730" s="22">
        <f t="shared" si="56"/>
        <v>763.916666666628</v>
      </c>
      <c r="L730" s="22">
        <f t="shared" si="57"/>
        <v>251.916666666628</v>
      </c>
      <c r="M730" s="22" cm="1">
        <f ca="1" t="array" ref="M730">SUMPRODUCT(--(WEEKDAY(ROW(INDIRECT(INT(F730)&amp;":"&amp;INT(I730))),2)&gt;5))</f>
        <v>10</v>
      </c>
      <c r="N730" s="22">
        <f ca="1" t="shared" si="58"/>
        <v>171.916666666628</v>
      </c>
      <c r="O730" s="22" t="str">
        <f ca="1" t="shared" si="59"/>
        <v>SLA Violated</v>
      </c>
      <c r="P730" s="23" t="s">
        <v>2992</v>
      </c>
      <c r="Q730" s="24" t="s">
        <v>28</v>
      </c>
      <c r="R730" s="25"/>
      <c r="S730" s="25"/>
    </row>
    <row r="731" ht="39" customHeight="1" spans="1:19">
      <c r="A731" s="19" t="s">
        <v>2993</v>
      </c>
      <c r="B731" s="20" t="s">
        <v>196</v>
      </c>
      <c r="C731" s="20" t="s">
        <v>46</v>
      </c>
      <c r="D731" s="20" t="s">
        <v>21</v>
      </c>
      <c r="E731" s="21" t="s">
        <v>2977</v>
      </c>
      <c r="F731" s="21" t="s">
        <v>2994</v>
      </c>
      <c r="G731" s="20" t="s">
        <v>35</v>
      </c>
      <c r="H731" s="20" t="s">
        <v>25</v>
      </c>
      <c r="I731" s="21" t="s">
        <v>2995</v>
      </c>
      <c r="J731" s="22">
        <f t="shared" si="55"/>
        <v>0.0166666666627862</v>
      </c>
      <c r="K731" s="22">
        <f t="shared" si="56"/>
        <v>0.399999999906868</v>
      </c>
      <c r="L731" s="22">
        <f t="shared" si="57"/>
        <v>0.399999999906868</v>
      </c>
      <c r="M731" s="22" cm="1">
        <f ca="1" t="array" ref="M731">SUMPRODUCT(--(WEEKDAY(ROW(INDIRECT(INT(F731)&amp;":"&amp;INT(I731))),2)&gt;5))</f>
        <v>0</v>
      </c>
      <c r="N731" s="22">
        <f ca="1" t="shared" si="58"/>
        <v>0.399999999906868</v>
      </c>
      <c r="O731" s="22" t="str">
        <f ca="1" t="shared" si="59"/>
        <v>Within SLA</v>
      </c>
      <c r="P731" s="26" t="s">
        <v>2993</v>
      </c>
      <c r="Q731" s="24" t="s">
        <v>37</v>
      </c>
      <c r="R731" s="25"/>
      <c r="S731" s="25"/>
    </row>
    <row r="732" ht="27" customHeight="1" spans="1:19">
      <c r="A732" s="19" t="s">
        <v>2996</v>
      </c>
      <c r="B732" s="20" t="s">
        <v>30</v>
      </c>
      <c r="C732" s="20" t="s">
        <v>31</v>
      </c>
      <c r="D732" s="20" t="s">
        <v>32</v>
      </c>
      <c r="E732" s="21" t="s">
        <v>2977</v>
      </c>
      <c r="F732" s="21" t="s">
        <v>2997</v>
      </c>
      <c r="G732" s="20" t="s">
        <v>35</v>
      </c>
      <c r="H732" s="20" t="s">
        <v>25</v>
      </c>
      <c r="I732" s="21" t="s">
        <v>2998</v>
      </c>
      <c r="J732" s="22">
        <f t="shared" si="55"/>
        <v>2.16458333333867</v>
      </c>
      <c r="K732" s="22">
        <f t="shared" si="56"/>
        <v>51.9500000001281</v>
      </c>
      <c r="L732" s="22">
        <f t="shared" si="57"/>
        <v>19.9500000001281</v>
      </c>
      <c r="M732" s="22" cm="1">
        <f ca="1" t="array" ref="M732">SUMPRODUCT(--(WEEKDAY(ROW(INDIRECT(INT(F732)&amp;":"&amp;INT(I732))),2)&gt;5))</f>
        <v>0</v>
      </c>
      <c r="N732" s="22">
        <f ca="1" t="shared" si="58"/>
        <v>19.9500000001281</v>
      </c>
      <c r="O732" s="22" t="str">
        <f ca="1" t="shared" si="59"/>
        <v>SLA Violated</v>
      </c>
      <c r="P732" s="23" t="s">
        <v>2999</v>
      </c>
      <c r="Q732" s="24" t="s">
        <v>28</v>
      </c>
      <c r="R732" s="25"/>
      <c r="S732" s="25"/>
    </row>
    <row r="733" ht="27" customHeight="1" spans="1:19">
      <c r="A733" s="19" t="s">
        <v>3000</v>
      </c>
      <c r="B733" s="20" t="s">
        <v>30</v>
      </c>
      <c r="C733" s="20" t="s">
        <v>2057</v>
      </c>
      <c r="D733" s="20" t="s">
        <v>32</v>
      </c>
      <c r="E733" s="21" t="s">
        <v>3001</v>
      </c>
      <c r="F733" s="21" t="s">
        <v>2937</v>
      </c>
      <c r="G733" s="20" t="s">
        <v>24</v>
      </c>
      <c r="H733" s="20" t="s">
        <v>25</v>
      </c>
      <c r="I733" s="21" t="s">
        <v>3002</v>
      </c>
      <c r="J733" s="22">
        <f t="shared" si="55"/>
        <v>2.89236111110949</v>
      </c>
      <c r="K733" s="22">
        <f t="shared" si="56"/>
        <v>69.4166666666279</v>
      </c>
      <c r="L733" s="22">
        <f t="shared" si="57"/>
        <v>21.4166666666279</v>
      </c>
      <c r="M733" s="22" cm="1">
        <f ca="1" t="array" ref="M733">SUMPRODUCT(--(WEEKDAY(ROW(INDIRECT(INT(F733)&amp;":"&amp;INT(I733))),2)&gt;5))</f>
        <v>2</v>
      </c>
      <c r="N733" s="22">
        <f ca="1" t="shared" si="58"/>
        <v>5.4166666666279</v>
      </c>
      <c r="O733" s="22" t="str">
        <f ca="1" t="shared" si="59"/>
        <v>Within SLA</v>
      </c>
      <c r="P733" s="26" t="s">
        <v>3000</v>
      </c>
      <c r="Q733" s="24" t="s">
        <v>37</v>
      </c>
      <c r="R733" s="25"/>
      <c r="S733" s="25"/>
    </row>
    <row r="734" ht="27" customHeight="1" spans="1:19">
      <c r="A734" s="19" t="s">
        <v>3003</v>
      </c>
      <c r="B734" s="20" t="s">
        <v>30</v>
      </c>
      <c r="C734" s="20" t="s">
        <v>2057</v>
      </c>
      <c r="D734" s="20" t="s">
        <v>32</v>
      </c>
      <c r="E734" s="21" t="s">
        <v>2868</v>
      </c>
      <c r="F734" s="21" t="s">
        <v>3004</v>
      </c>
      <c r="G734" s="20" t="s">
        <v>24</v>
      </c>
      <c r="H734" s="20" t="s">
        <v>25</v>
      </c>
      <c r="I734" s="21" t="s">
        <v>3005</v>
      </c>
      <c r="J734" s="22">
        <f t="shared" si="55"/>
        <v>2.88749999999709</v>
      </c>
      <c r="K734" s="22">
        <f t="shared" si="56"/>
        <v>69.2999999999302</v>
      </c>
      <c r="L734" s="22">
        <f t="shared" si="57"/>
        <v>21.2999999999302</v>
      </c>
      <c r="M734" s="22" cm="1">
        <f ca="1" t="array" ref="M734">SUMPRODUCT(--(WEEKDAY(ROW(INDIRECT(INT(F734)&amp;":"&amp;INT(I734))),2)&gt;5))</f>
        <v>2</v>
      </c>
      <c r="N734" s="22">
        <f ca="1" t="shared" si="58"/>
        <v>5.2999999999302</v>
      </c>
      <c r="O734" s="22" t="str">
        <f ca="1" t="shared" si="59"/>
        <v>Within SLA</v>
      </c>
      <c r="P734" s="26" t="s">
        <v>3003</v>
      </c>
      <c r="Q734" s="24" t="s">
        <v>37</v>
      </c>
      <c r="R734" s="25"/>
      <c r="S734" s="25"/>
    </row>
    <row r="735" ht="39" customHeight="1" spans="1:19">
      <c r="A735" s="19" t="s">
        <v>3006</v>
      </c>
      <c r="B735" s="20" t="s">
        <v>19</v>
      </c>
      <c r="C735" s="20" t="s">
        <v>20</v>
      </c>
      <c r="D735" s="20" t="s">
        <v>32</v>
      </c>
      <c r="E735" s="21" t="s">
        <v>2973</v>
      </c>
      <c r="F735" s="21" t="s">
        <v>2981</v>
      </c>
      <c r="G735" s="20" t="s">
        <v>35</v>
      </c>
      <c r="H735" s="20" t="s">
        <v>25</v>
      </c>
      <c r="I735" s="21" t="s">
        <v>3007</v>
      </c>
      <c r="J735" s="22">
        <f t="shared" si="55"/>
        <v>12.7784722222204</v>
      </c>
      <c r="K735" s="22">
        <f t="shared" si="56"/>
        <v>306.683333333291</v>
      </c>
      <c r="L735" s="22">
        <f t="shared" si="57"/>
        <v>98.6833333332906</v>
      </c>
      <c r="M735" s="22" cm="1">
        <f ca="1" t="array" ref="M735">SUMPRODUCT(--(WEEKDAY(ROW(INDIRECT(INT(F735)&amp;":"&amp;INT(I735))),2)&gt;5))</f>
        <v>4</v>
      </c>
      <c r="N735" s="22">
        <f ca="1" t="shared" si="58"/>
        <v>66.6833333332906</v>
      </c>
      <c r="O735" s="22" t="str">
        <f ca="1" t="shared" si="59"/>
        <v>SLA Violated</v>
      </c>
      <c r="P735" s="23" t="s">
        <v>3008</v>
      </c>
      <c r="Q735" s="24" t="s">
        <v>28</v>
      </c>
      <c r="R735" s="25"/>
      <c r="S735" s="25"/>
    </row>
    <row r="736" ht="27" customHeight="1" spans="1:19">
      <c r="A736" s="19" t="s">
        <v>3009</v>
      </c>
      <c r="B736" s="20" t="s">
        <v>30</v>
      </c>
      <c r="C736" s="20" t="s">
        <v>31</v>
      </c>
      <c r="D736" s="20" t="s">
        <v>32</v>
      </c>
      <c r="E736" s="21" t="s">
        <v>3010</v>
      </c>
      <c r="F736" s="21" t="s">
        <v>3011</v>
      </c>
      <c r="G736" s="20" t="s">
        <v>35</v>
      </c>
      <c r="H736" s="20" t="s">
        <v>25</v>
      </c>
      <c r="I736" s="21" t="s">
        <v>3012</v>
      </c>
      <c r="J736" s="22">
        <f t="shared" si="55"/>
        <v>3.0361111111124</v>
      </c>
      <c r="K736" s="22">
        <f t="shared" si="56"/>
        <v>72.8666666666977</v>
      </c>
      <c r="L736" s="22">
        <f t="shared" si="57"/>
        <v>24.8666666666977</v>
      </c>
      <c r="M736" s="22" cm="1">
        <f ca="1" t="array" ref="M736">SUMPRODUCT(--(WEEKDAY(ROW(INDIRECT(INT(F736)&amp;":"&amp;INT(I736))),2)&gt;5))</f>
        <v>2</v>
      </c>
      <c r="N736" s="22">
        <f ca="1" t="shared" si="58"/>
        <v>8.8666666666977</v>
      </c>
      <c r="O736" s="22" t="str">
        <f ca="1" t="shared" si="59"/>
        <v>Within SLA</v>
      </c>
      <c r="P736" s="26" t="s">
        <v>3009</v>
      </c>
      <c r="Q736" s="24" t="s">
        <v>37</v>
      </c>
      <c r="R736" s="25"/>
      <c r="S736" s="25"/>
    </row>
    <row r="737" ht="27" customHeight="1" spans="1:19">
      <c r="A737" s="19" t="s">
        <v>3013</v>
      </c>
      <c r="B737" s="20" t="s">
        <v>30</v>
      </c>
      <c r="C737" s="20" t="s">
        <v>2057</v>
      </c>
      <c r="D737" s="20" t="s">
        <v>32</v>
      </c>
      <c r="E737" s="21" t="s">
        <v>3014</v>
      </c>
      <c r="F737" s="21" t="s">
        <v>3015</v>
      </c>
      <c r="G737" s="20" t="s">
        <v>24</v>
      </c>
      <c r="H737" s="20" t="s">
        <v>25</v>
      </c>
      <c r="I737" s="21" t="s">
        <v>3016</v>
      </c>
      <c r="J737" s="22">
        <f t="shared" si="55"/>
        <v>2.83611111111531</v>
      </c>
      <c r="K737" s="22">
        <f t="shared" si="56"/>
        <v>68.0666666667676</v>
      </c>
      <c r="L737" s="22">
        <f t="shared" si="57"/>
        <v>20.0666666667676</v>
      </c>
      <c r="M737" s="22" cm="1">
        <f ca="1" t="array" ref="M737">SUMPRODUCT(--(WEEKDAY(ROW(INDIRECT(INT(F737)&amp;":"&amp;INT(I737))),2)&gt;5))</f>
        <v>2</v>
      </c>
      <c r="N737" s="22">
        <f ca="1" t="shared" si="58"/>
        <v>4.0666666667676</v>
      </c>
      <c r="O737" s="22" t="str">
        <f ca="1" t="shared" si="59"/>
        <v>Within SLA</v>
      </c>
      <c r="P737" s="26" t="s">
        <v>3013</v>
      </c>
      <c r="Q737" s="24" t="s">
        <v>37</v>
      </c>
      <c r="R737" s="25"/>
      <c r="S737" s="25"/>
    </row>
    <row r="738" ht="27" customHeight="1" spans="1:19">
      <c r="A738" s="19" t="s">
        <v>3017</v>
      </c>
      <c r="B738" s="20" t="s">
        <v>30</v>
      </c>
      <c r="C738" s="20" t="s">
        <v>2057</v>
      </c>
      <c r="D738" s="20" t="s">
        <v>32</v>
      </c>
      <c r="E738" s="21" t="s">
        <v>3018</v>
      </c>
      <c r="F738" s="21" t="s">
        <v>3015</v>
      </c>
      <c r="G738" s="20" t="s">
        <v>24</v>
      </c>
      <c r="H738" s="20" t="s">
        <v>25</v>
      </c>
      <c r="I738" s="21" t="s">
        <v>3019</v>
      </c>
      <c r="J738" s="22">
        <f t="shared" si="55"/>
        <v>2.83750000000146</v>
      </c>
      <c r="K738" s="22">
        <f t="shared" si="56"/>
        <v>68.1000000000349</v>
      </c>
      <c r="L738" s="22">
        <f t="shared" si="57"/>
        <v>20.1000000000349</v>
      </c>
      <c r="M738" s="22" cm="1">
        <f ca="1" t="array" ref="M738">SUMPRODUCT(--(WEEKDAY(ROW(INDIRECT(INT(F738)&amp;":"&amp;INT(I738))),2)&gt;5))</f>
        <v>2</v>
      </c>
      <c r="N738" s="22">
        <f ca="1" t="shared" si="58"/>
        <v>4.1000000000349</v>
      </c>
      <c r="O738" s="22" t="str">
        <f ca="1" t="shared" si="59"/>
        <v>Within SLA</v>
      </c>
      <c r="P738" s="26" t="s">
        <v>3017</v>
      </c>
      <c r="Q738" s="24" t="s">
        <v>37</v>
      </c>
      <c r="R738" s="25"/>
      <c r="S738" s="25"/>
    </row>
    <row r="739" ht="27" customHeight="1" spans="1:19">
      <c r="A739" s="19" t="s">
        <v>3020</v>
      </c>
      <c r="B739" s="20" t="s">
        <v>30</v>
      </c>
      <c r="C739" s="20" t="s">
        <v>2057</v>
      </c>
      <c r="D739" s="20" t="s">
        <v>32</v>
      </c>
      <c r="E739" s="21" t="s">
        <v>3021</v>
      </c>
      <c r="F739" s="21" t="s">
        <v>3022</v>
      </c>
      <c r="G739" s="20" t="s">
        <v>24</v>
      </c>
      <c r="H739" s="20" t="s">
        <v>25</v>
      </c>
      <c r="I739" s="21" t="s">
        <v>3023</v>
      </c>
      <c r="J739" s="22">
        <f t="shared" si="55"/>
        <v>2.77430555555475</v>
      </c>
      <c r="K739" s="22">
        <f t="shared" si="56"/>
        <v>66.5833333333139</v>
      </c>
      <c r="L739" s="22">
        <f t="shared" si="57"/>
        <v>18.5833333333139</v>
      </c>
      <c r="M739" s="22" cm="1">
        <f ca="1" t="array" ref="M739">SUMPRODUCT(--(WEEKDAY(ROW(INDIRECT(INT(F739)&amp;":"&amp;INT(I739))),2)&gt;5))</f>
        <v>2</v>
      </c>
      <c r="N739" s="22">
        <f ca="1" t="shared" si="58"/>
        <v>2.5833333333139</v>
      </c>
      <c r="O739" s="22" t="str">
        <f ca="1" t="shared" si="59"/>
        <v>Within SLA</v>
      </c>
      <c r="P739" s="26" t="s">
        <v>3020</v>
      </c>
      <c r="Q739" s="24" t="s">
        <v>37</v>
      </c>
      <c r="R739" s="25"/>
      <c r="S739" s="25"/>
    </row>
    <row r="740" ht="27" customHeight="1" spans="1:19">
      <c r="A740" s="19" t="s">
        <v>3024</v>
      </c>
      <c r="B740" s="20" t="s">
        <v>30</v>
      </c>
      <c r="C740" s="20" t="s">
        <v>2057</v>
      </c>
      <c r="D740" s="20" t="s">
        <v>32</v>
      </c>
      <c r="E740" s="21" t="s">
        <v>3025</v>
      </c>
      <c r="F740" s="21" t="s">
        <v>3026</v>
      </c>
      <c r="G740" s="20" t="s">
        <v>35</v>
      </c>
      <c r="H740" s="20" t="s">
        <v>25</v>
      </c>
      <c r="I740" s="21" t="s">
        <v>3027</v>
      </c>
      <c r="J740" s="22">
        <f t="shared" si="55"/>
        <v>0.00763888889196096</v>
      </c>
      <c r="K740" s="22">
        <f t="shared" si="56"/>
        <v>0.183333333407063</v>
      </c>
      <c r="L740" s="22">
        <f t="shared" si="57"/>
        <v>0.183333333407063</v>
      </c>
      <c r="M740" s="22" cm="1">
        <f ca="1" t="array" ref="M740">SUMPRODUCT(--(WEEKDAY(ROW(INDIRECT(INT(F740)&amp;":"&amp;INT(I740))),2)&gt;5))</f>
        <v>0</v>
      </c>
      <c r="N740" s="22">
        <f ca="1" t="shared" si="58"/>
        <v>0.183333333407063</v>
      </c>
      <c r="O740" s="22" t="str">
        <f ca="1" t="shared" si="59"/>
        <v>Within SLA</v>
      </c>
      <c r="P740" s="26" t="s">
        <v>3024</v>
      </c>
      <c r="Q740" s="24" t="s">
        <v>37</v>
      </c>
      <c r="R740" s="25"/>
      <c r="S740" s="25"/>
    </row>
    <row r="741" ht="27" customHeight="1" spans="1:19">
      <c r="A741" s="19" t="s">
        <v>3028</v>
      </c>
      <c r="B741" s="20" t="s">
        <v>139</v>
      </c>
      <c r="C741" s="20" t="s">
        <v>2057</v>
      </c>
      <c r="D741" s="20" t="s">
        <v>32</v>
      </c>
      <c r="E741" s="21" t="s">
        <v>3029</v>
      </c>
      <c r="F741" s="21" t="s">
        <v>3030</v>
      </c>
      <c r="G741" s="20" t="s">
        <v>35</v>
      </c>
      <c r="H741" s="20" t="s">
        <v>25</v>
      </c>
      <c r="I741" s="21" t="s">
        <v>3031</v>
      </c>
      <c r="J741" s="22">
        <f t="shared" si="55"/>
        <v>15.1888888888934</v>
      </c>
      <c r="K741" s="22">
        <f t="shared" si="56"/>
        <v>364.533333333442</v>
      </c>
      <c r="L741" s="22">
        <f t="shared" si="57"/>
        <v>124.533333333442</v>
      </c>
      <c r="M741" s="22" cm="1">
        <f ca="1" t="array" ref="M741">SUMPRODUCT(--(WEEKDAY(ROW(INDIRECT(INT(F741)&amp;":"&amp;INT(I741))),2)&gt;5))</f>
        <v>4</v>
      </c>
      <c r="N741" s="22">
        <f ca="1" t="shared" si="58"/>
        <v>92.533333333442</v>
      </c>
      <c r="O741" s="22" t="str">
        <f ca="1" t="shared" si="59"/>
        <v>SLA Violated</v>
      </c>
      <c r="P741" s="23" t="s">
        <v>3032</v>
      </c>
      <c r="Q741" s="24" t="s">
        <v>28</v>
      </c>
      <c r="R741" s="25"/>
      <c r="S741" s="25"/>
    </row>
    <row r="742" ht="27" customHeight="1" spans="1:19">
      <c r="A742" s="19" t="s">
        <v>3033</v>
      </c>
      <c r="B742" s="20" t="s">
        <v>139</v>
      </c>
      <c r="C742" s="20" t="s">
        <v>2057</v>
      </c>
      <c r="D742" s="20" t="s">
        <v>32</v>
      </c>
      <c r="E742" s="21" t="s">
        <v>3034</v>
      </c>
      <c r="F742" s="21" t="s">
        <v>3035</v>
      </c>
      <c r="G742" s="20" t="s">
        <v>35</v>
      </c>
      <c r="H742" s="20" t="s">
        <v>25</v>
      </c>
      <c r="I742" s="21" t="s">
        <v>3036</v>
      </c>
      <c r="J742" s="22">
        <f t="shared" si="55"/>
        <v>15.1888888888861</v>
      </c>
      <c r="K742" s="22">
        <f t="shared" si="56"/>
        <v>364.533333333267</v>
      </c>
      <c r="L742" s="22">
        <f t="shared" si="57"/>
        <v>124.533333333267</v>
      </c>
      <c r="M742" s="22" cm="1">
        <f ca="1" t="array" ref="M742">SUMPRODUCT(--(WEEKDAY(ROW(INDIRECT(INT(F742)&amp;":"&amp;INT(I742))),2)&gt;5))</f>
        <v>4</v>
      </c>
      <c r="N742" s="22">
        <f ca="1" t="shared" si="58"/>
        <v>92.533333333267</v>
      </c>
      <c r="O742" s="22" t="str">
        <f ca="1" t="shared" si="59"/>
        <v>SLA Violated</v>
      </c>
      <c r="P742" s="23" t="s">
        <v>3037</v>
      </c>
      <c r="Q742" s="24" t="s">
        <v>28</v>
      </c>
      <c r="R742" s="25"/>
      <c r="S742" s="25"/>
    </row>
    <row r="743" ht="27" customHeight="1" spans="1:19">
      <c r="A743" s="19" t="s">
        <v>3038</v>
      </c>
      <c r="B743" s="20" t="s">
        <v>30</v>
      </c>
      <c r="C743" s="20" t="s">
        <v>2057</v>
      </c>
      <c r="D743" s="20" t="s">
        <v>32</v>
      </c>
      <c r="E743" s="21" t="s">
        <v>3039</v>
      </c>
      <c r="F743" s="21" t="s">
        <v>3040</v>
      </c>
      <c r="G743" s="20" t="s">
        <v>35</v>
      </c>
      <c r="H743" s="20" t="s">
        <v>25</v>
      </c>
      <c r="I743" s="21" t="s">
        <v>3041</v>
      </c>
      <c r="J743" s="22">
        <f t="shared" si="55"/>
        <v>0.00486111111240461</v>
      </c>
      <c r="K743" s="22">
        <f t="shared" si="56"/>
        <v>0.116666666697711</v>
      </c>
      <c r="L743" s="22">
        <f t="shared" si="57"/>
        <v>0.116666666697711</v>
      </c>
      <c r="M743" s="22" cm="1">
        <f ca="1" t="array" ref="M743">SUMPRODUCT(--(WEEKDAY(ROW(INDIRECT(INT(F743)&amp;":"&amp;INT(I743))),2)&gt;5))</f>
        <v>0</v>
      </c>
      <c r="N743" s="22">
        <f ca="1" t="shared" si="58"/>
        <v>0.116666666697711</v>
      </c>
      <c r="O743" s="22" t="str">
        <f ca="1" t="shared" si="59"/>
        <v>Within SLA</v>
      </c>
      <c r="P743" s="26" t="s">
        <v>3038</v>
      </c>
      <c r="Q743" s="24" t="s">
        <v>37</v>
      </c>
      <c r="R743" s="25"/>
      <c r="S743" s="25"/>
    </row>
    <row r="744" ht="27" customHeight="1" spans="1:19">
      <c r="A744" s="19" t="s">
        <v>3042</v>
      </c>
      <c r="B744" s="20" t="s">
        <v>30</v>
      </c>
      <c r="C744" s="20" t="s">
        <v>31</v>
      </c>
      <c r="D744" s="20" t="s">
        <v>32</v>
      </c>
      <c r="E744" s="21" t="s">
        <v>3043</v>
      </c>
      <c r="F744" s="21" t="s">
        <v>3044</v>
      </c>
      <c r="G744" s="20" t="s">
        <v>35</v>
      </c>
      <c r="H744" s="20" t="s">
        <v>25</v>
      </c>
      <c r="I744" s="21" t="s">
        <v>3045</v>
      </c>
      <c r="J744" s="22">
        <f t="shared" si="55"/>
        <v>0.179166666668607</v>
      </c>
      <c r="K744" s="22">
        <f t="shared" si="56"/>
        <v>4.30000000004657</v>
      </c>
      <c r="L744" s="22">
        <f t="shared" si="57"/>
        <v>4.30000000004657</v>
      </c>
      <c r="M744" s="22" cm="1">
        <f ca="1" t="array" ref="M744">SUMPRODUCT(--(WEEKDAY(ROW(INDIRECT(INT(F744)&amp;":"&amp;INT(I744))),2)&gt;5))</f>
        <v>0</v>
      </c>
      <c r="N744" s="22">
        <f ca="1" t="shared" si="58"/>
        <v>4.30000000004657</v>
      </c>
      <c r="O744" s="22" t="str">
        <f ca="1" t="shared" si="59"/>
        <v>Within SLA</v>
      </c>
      <c r="P744" s="26" t="s">
        <v>3042</v>
      </c>
      <c r="Q744" s="24" t="s">
        <v>37</v>
      </c>
      <c r="R744" s="25"/>
      <c r="S744" s="25"/>
    </row>
    <row r="745" ht="39" customHeight="1" spans="1:19">
      <c r="A745" s="19" t="s">
        <v>3046</v>
      </c>
      <c r="B745" s="20" t="s">
        <v>19</v>
      </c>
      <c r="C745" s="20" t="s">
        <v>20</v>
      </c>
      <c r="D745" s="20" t="s">
        <v>32</v>
      </c>
      <c r="E745" s="21" t="s">
        <v>3047</v>
      </c>
      <c r="F745" s="21" t="s">
        <v>3048</v>
      </c>
      <c r="G745" s="20" t="s">
        <v>35</v>
      </c>
      <c r="H745" s="20" t="s">
        <v>25</v>
      </c>
      <c r="I745" s="21" t="s">
        <v>3048</v>
      </c>
      <c r="J745" s="22">
        <f t="shared" si="55"/>
        <v>0</v>
      </c>
      <c r="K745" s="22">
        <f t="shared" si="56"/>
        <v>0</v>
      </c>
      <c r="L745" s="22">
        <f t="shared" si="57"/>
        <v>0</v>
      </c>
      <c r="M745" s="22" cm="1">
        <f ca="1" t="array" ref="M745">SUMPRODUCT(--(WEEKDAY(ROW(INDIRECT(INT(F745)&amp;":"&amp;INT(I745))),2)&gt;5))</f>
        <v>0</v>
      </c>
      <c r="N745" s="22">
        <f ca="1" t="shared" si="58"/>
        <v>0</v>
      </c>
      <c r="O745" s="22" t="str">
        <f ca="1" t="shared" si="59"/>
        <v>Within SLA</v>
      </c>
      <c r="P745" s="26" t="s">
        <v>3046</v>
      </c>
      <c r="Q745" s="24" t="s">
        <v>37</v>
      </c>
      <c r="R745" s="25"/>
      <c r="S745" s="25"/>
    </row>
    <row r="746" ht="39" customHeight="1" spans="1:19">
      <c r="A746" s="19" t="s">
        <v>3049</v>
      </c>
      <c r="B746" s="20" t="s">
        <v>19</v>
      </c>
      <c r="C746" s="20" t="s">
        <v>20</v>
      </c>
      <c r="D746" s="20" t="s">
        <v>32</v>
      </c>
      <c r="E746" s="21" t="s">
        <v>3050</v>
      </c>
      <c r="F746" s="21" t="s">
        <v>3051</v>
      </c>
      <c r="G746" s="20" t="s">
        <v>35</v>
      </c>
      <c r="H746" s="20" t="s">
        <v>25</v>
      </c>
      <c r="I746" s="21" t="s">
        <v>3052</v>
      </c>
      <c r="J746" s="22">
        <f t="shared" si="55"/>
        <v>17.1729166666701</v>
      </c>
      <c r="K746" s="22">
        <f t="shared" si="56"/>
        <v>412.150000000081</v>
      </c>
      <c r="L746" s="22">
        <f t="shared" si="57"/>
        <v>140.150000000081</v>
      </c>
      <c r="M746" s="22" cm="1">
        <f ca="1" t="array" ref="M746">SUMPRODUCT(--(WEEKDAY(ROW(INDIRECT(INT(F746)&amp;":"&amp;INT(I746))),2)&gt;5))</f>
        <v>4</v>
      </c>
      <c r="N746" s="22">
        <f ca="1" t="shared" si="58"/>
        <v>108.150000000081</v>
      </c>
      <c r="O746" s="22" t="str">
        <f ca="1" t="shared" si="59"/>
        <v>SLA Violated</v>
      </c>
      <c r="P746" s="23" t="s">
        <v>3053</v>
      </c>
      <c r="Q746" s="24" t="s">
        <v>28</v>
      </c>
      <c r="R746" s="25"/>
      <c r="S746" s="25"/>
    </row>
    <row r="747" ht="39" customHeight="1" spans="1:19">
      <c r="A747" s="19" t="s">
        <v>3054</v>
      </c>
      <c r="B747" s="20" t="s">
        <v>19</v>
      </c>
      <c r="C747" s="20" t="s">
        <v>20</v>
      </c>
      <c r="D747" s="20" t="s">
        <v>32</v>
      </c>
      <c r="E747" s="21" t="s">
        <v>3055</v>
      </c>
      <c r="F747" s="21" t="s">
        <v>3056</v>
      </c>
      <c r="G747" s="20" t="s">
        <v>35</v>
      </c>
      <c r="H747" s="20" t="s">
        <v>25</v>
      </c>
      <c r="I747" s="21" t="s">
        <v>3057</v>
      </c>
      <c r="J747" s="22">
        <f t="shared" si="55"/>
        <v>2.08263888888905</v>
      </c>
      <c r="K747" s="22">
        <f t="shared" si="56"/>
        <v>49.9833333333372</v>
      </c>
      <c r="L747" s="22">
        <f t="shared" si="57"/>
        <v>17.9833333333372</v>
      </c>
      <c r="M747" s="22" cm="1">
        <f ca="1" t="array" ref="M747">SUMPRODUCT(--(WEEKDAY(ROW(INDIRECT(INT(F747)&amp;":"&amp;INT(I747))),2)&gt;5))</f>
        <v>0</v>
      </c>
      <c r="N747" s="22">
        <f ca="1" t="shared" si="58"/>
        <v>17.9833333333372</v>
      </c>
      <c r="O747" s="22" t="str">
        <f ca="1" t="shared" si="59"/>
        <v>SLA Violated</v>
      </c>
      <c r="P747" s="23" t="s">
        <v>3058</v>
      </c>
      <c r="Q747" s="24" t="s">
        <v>28</v>
      </c>
      <c r="R747" s="25"/>
      <c r="S747" s="25"/>
    </row>
    <row r="748" ht="39" customHeight="1" spans="1:19">
      <c r="A748" s="19" t="s">
        <v>3059</v>
      </c>
      <c r="B748" s="20" t="s">
        <v>19</v>
      </c>
      <c r="C748" s="20" t="s">
        <v>20</v>
      </c>
      <c r="D748" s="20" t="s">
        <v>32</v>
      </c>
      <c r="E748" s="21" t="s">
        <v>3060</v>
      </c>
      <c r="F748" s="21" t="s">
        <v>3061</v>
      </c>
      <c r="G748" s="20" t="s">
        <v>35</v>
      </c>
      <c r="H748" s="20" t="s">
        <v>25</v>
      </c>
      <c r="I748" s="21" t="s">
        <v>3062</v>
      </c>
      <c r="J748" s="22">
        <f t="shared" si="55"/>
        <v>10.0499999999956</v>
      </c>
      <c r="K748" s="22">
        <f t="shared" si="56"/>
        <v>241.199999999895</v>
      </c>
      <c r="L748" s="22">
        <f t="shared" si="57"/>
        <v>81.1999999998952</v>
      </c>
      <c r="M748" s="22" cm="1">
        <f ca="1" t="array" ref="M748">SUMPRODUCT(--(WEEKDAY(ROW(INDIRECT(INT(F748)&amp;":"&amp;INT(I748))),2)&gt;5))</f>
        <v>2</v>
      </c>
      <c r="N748" s="22">
        <f ca="1" t="shared" si="58"/>
        <v>65.1999999998952</v>
      </c>
      <c r="O748" s="22" t="str">
        <f ca="1" t="shared" si="59"/>
        <v>SLA Violated</v>
      </c>
      <c r="P748" s="23" t="s">
        <v>3063</v>
      </c>
      <c r="Q748" s="24" t="s">
        <v>28</v>
      </c>
      <c r="R748" s="25"/>
      <c r="S748" s="25"/>
    </row>
    <row r="749" ht="27" customHeight="1" spans="1:19">
      <c r="A749" s="19" t="s">
        <v>3064</v>
      </c>
      <c r="B749" s="20" t="s">
        <v>30</v>
      </c>
      <c r="C749" s="20" t="s">
        <v>2057</v>
      </c>
      <c r="D749" s="20" t="s">
        <v>32</v>
      </c>
      <c r="E749" s="21" t="s">
        <v>3060</v>
      </c>
      <c r="F749" s="21" t="s">
        <v>3065</v>
      </c>
      <c r="G749" s="20" t="s">
        <v>24</v>
      </c>
      <c r="H749" s="20" t="s">
        <v>25</v>
      </c>
      <c r="I749" s="21" t="s">
        <v>3066</v>
      </c>
      <c r="J749" s="22">
        <f t="shared" si="55"/>
        <v>2.03750000000582</v>
      </c>
      <c r="K749" s="22">
        <f t="shared" si="56"/>
        <v>48.9000000001397</v>
      </c>
      <c r="L749" s="22">
        <f t="shared" si="57"/>
        <v>16.9000000001397</v>
      </c>
      <c r="M749" s="22" cm="1">
        <f ca="1" t="array" ref="M749">SUMPRODUCT(--(WEEKDAY(ROW(INDIRECT(INT(F749)&amp;":"&amp;INT(I749))),2)&gt;5))</f>
        <v>0</v>
      </c>
      <c r="N749" s="22">
        <f ca="1" t="shared" si="58"/>
        <v>16.9000000001397</v>
      </c>
      <c r="O749" s="22" t="str">
        <f ca="1" t="shared" si="59"/>
        <v>SLA Violated</v>
      </c>
      <c r="P749" s="23" t="s">
        <v>3067</v>
      </c>
      <c r="Q749" s="24" t="s">
        <v>28</v>
      </c>
      <c r="R749" s="25"/>
      <c r="S749" s="25"/>
    </row>
    <row r="750" ht="39" customHeight="1" spans="1:19">
      <c r="A750" s="19" t="s">
        <v>3068</v>
      </c>
      <c r="B750" s="20" t="s">
        <v>19</v>
      </c>
      <c r="C750" s="20" t="s">
        <v>20</v>
      </c>
      <c r="D750" s="20" t="s">
        <v>32</v>
      </c>
      <c r="E750" s="21" t="s">
        <v>3069</v>
      </c>
      <c r="F750" s="21" t="s">
        <v>3070</v>
      </c>
      <c r="G750" s="20" t="s">
        <v>35</v>
      </c>
      <c r="H750" s="20" t="s">
        <v>25</v>
      </c>
      <c r="I750" s="21" t="s">
        <v>3071</v>
      </c>
      <c r="J750" s="22">
        <f t="shared" si="55"/>
        <v>31.3270833333299</v>
      </c>
      <c r="K750" s="22">
        <f t="shared" si="56"/>
        <v>751.849999999919</v>
      </c>
      <c r="L750" s="22">
        <f t="shared" si="57"/>
        <v>255.849999999919</v>
      </c>
      <c r="M750" s="22" cm="1">
        <f ca="1" t="array" ref="M750">SUMPRODUCT(--(WEEKDAY(ROW(INDIRECT(INT(F750)&amp;":"&amp;INT(I750))),2)&gt;5))</f>
        <v>8</v>
      </c>
      <c r="N750" s="22">
        <f ca="1" t="shared" si="58"/>
        <v>191.849999999919</v>
      </c>
      <c r="O750" s="22" t="str">
        <f ca="1" t="shared" si="59"/>
        <v>SLA Violated</v>
      </c>
      <c r="P750" s="23" t="s">
        <v>3072</v>
      </c>
      <c r="Q750" s="24" t="s">
        <v>37</v>
      </c>
      <c r="R750" s="25" t="s">
        <v>129</v>
      </c>
      <c r="S750" s="25" t="s">
        <v>39</v>
      </c>
    </row>
    <row r="751" ht="39" customHeight="1" spans="1:19">
      <c r="A751" s="19" t="s">
        <v>3073</v>
      </c>
      <c r="B751" s="20" t="s">
        <v>19</v>
      </c>
      <c r="C751" s="20" t="s">
        <v>20</v>
      </c>
      <c r="D751" s="20" t="s">
        <v>32</v>
      </c>
      <c r="E751" s="21" t="s">
        <v>3074</v>
      </c>
      <c r="F751" s="21" t="s">
        <v>3075</v>
      </c>
      <c r="G751" s="20" t="s">
        <v>24</v>
      </c>
      <c r="H751" s="20" t="s">
        <v>25</v>
      </c>
      <c r="I751" s="21" t="s">
        <v>3071</v>
      </c>
      <c r="J751" s="22">
        <f t="shared" si="55"/>
        <v>32.1465277777752</v>
      </c>
      <c r="K751" s="22">
        <f t="shared" si="56"/>
        <v>771.516666666605</v>
      </c>
      <c r="L751" s="22">
        <f t="shared" si="57"/>
        <v>259.516666666605</v>
      </c>
      <c r="M751" s="22" cm="1">
        <f ca="1" t="array" ref="M751">SUMPRODUCT(--(WEEKDAY(ROW(INDIRECT(INT(F751)&amp;":"&amp;INT(I751))),2)&gt;5))</f>
        <v>8</v>
      </c>
      <c r="N751" s="22">
        <f ca="1" t="shared" si="58"/>
        <v>195.516666666605</v>
      </c>
      <c r="O751" s="22" t="str">
        <f ca="1" t="shared" si="59"/>
        <v>SLA Violated</v>
      </c>
      <c r="P751" s="23" t="s">
        <v>3076</v>
      </c>
      <c r="Q751" s="24" t="s">
        <v>37</v>
      </c>
      <c r="R751" s="25" t="s">
        <v>1020</v>
      </c>
      <c r="S751" s="25" t="s">
        <v>39</v>
      </c>
    </row>
    <row r="752" ht="39" customHeight="1" spans="1:19">
      <c r="A752" s="19" t="s">
        <v>3077</v>
      </c>
      <c r="B752" s="20" t="s">
        <v>19</v>
      </c>
      <c r="C752" s="20" t="s">
        <v>20</v>
      </c>
      <c r="D752" s="20" t="s">
        <v>32</v>
      </c>
      <c r="E752" s="21" t="s">
        <v>3074</v>
      </c>
      <c r="F752" s="21" t="s">
        <v>3078</v>
      </c>
      <c r="G752" s="20" t="s">
        <v>35</v>
      </c>
      <c r="H752" s="20" t="s">
        <v>25</v>
      </c>
      <c r="I752" s="21" t="s">
        <v>3079</v>
      </c>
      <c r="J752" s="22">
        <f t="shared" si="55"/>
        <v>17.2666666666628</v>
      </c>
      <c r="K752" s="22">
        <f t="shared" si="56"/>
        <v>414.399999999907</v>
      </c>
      <c r="L752" s="22">
        <f t="shared" si="57"/>
        <v>142.399999999907</v>
      </c>
      <c r="M752" s="22" cm="1">
        <f ca="1" t="array" ref="M752">SUMPRODUCT(--(WEEKDAY(ROW(INDIRECT(INT(F752)&amp;":"&amp;INT(I752))),2)&gt;5))</f>
        <v>4</v>
      </c>
      <c r="N752" s="22">
        <f ca="1" t="shared" si="58"/>
        <v>110.399999999907</v>
      </c>
      <c r="O752" s="22" t="str">
        <f ca="1" t="shared" si="59"/>
        <v>SLA Violated</v>
      </c>
      <c r="P752" s="23" t="s">
        <v>3080</v>
      </c>
      <c r="Q752" s="24" t="s">
        <v>28</v>
      </c>
      <c r="R752" s="25"/>
      <c r="S752" s="25"/>
    </row>
    <row r="753" ht="27" customHeight="1" spans="1:19">
      <c r="A753" s="19" t="s">
        <v>3081</v>
      </c>
      <c r="B753" s="20" t="s">
        <v>30</v>
      </c>
      <c r="C753" s="20" t="s">
        <v>31</v>
      </c>
      <c r="D753" s="20" t="s">
        <v>32</v>
      </c>
      <c r="E753" s="21" t="s">
        <v>3082</v>
      </c>
      <c r="F753" s="21" t="s">
        <v>3083</v>
      </c>
      <c r="G753" s="20" t="s">
        <v>35</v>
      </c>
      <c r="H753" s="20" t="s">
        <v>25</v>
      </c>
      <c r="I753" s="21" t="s">
        <v>3084</v>
      </c>
      <c r="J753" s="22">
        <f t="shared" si="55"/>
        <v>0.0430555555576575</v>
      </c>
      <c r="K753" s="22">
        <f t="shared" si="56"/>
        <v>1.03333333338378</v>
      </c>
      <c r="L753" s="22">
        <f t="shared" si="57"/>
        <v>1.03333333338378</v>
      </c>
      <c r="M753" s="22" cm="1">
        <f ca="1" t="array" ref="M753">SUMPRODUCT(--(WEEKDAY(ROW(INDIRECT(INT(F753)&amp;":"&amp;INT(I753))),2)&gt;5))</f>
        <v>0</v>
      </c>
      <c r="N753" s="22">
        <f ca="1" t="shared" si="58"/>
        <v>1.03333333338378</v>
      </c>
      <c r="O753" s="22" t="str">
        <f ca="1" t="shared" si="59"/>
        <v>Within SLA</v>
      </c>
      <c r="P753" s="26" t="s">
        <v>3081</v>
      </c>
      <c r="Q753" s="24" t="s">
        <v>37</v>
      </c>
      <c r="R753" s="25"/>
      <c r="S753" s="25"/>
    </row>
    <row r="754" ht="27" customHeight="1" spans="1:19">
      <c r="A754" s="19" t="s">
        <v>3085</v>
      </c>
      <c r="B754" s="20" t="s">
        <v>30</v>
      </c>
      <c r="C754" s="20" t="s">
        <v>2057</v>
      </c>
      <c r="D754" s="20" t="s">
        <v>32</v>
      </c>
      <c r="E754" s="21" t="s">
        <v>3086</v>
      </c>
      <c r="F754" s="21" t="s">
        <v>3087</v>
      </c>
      <c r="G754" s="20" t="s">
        <v>24</v>
      </c>
      <c r="H754" s="20" t="s">
        <v>25</v>
      </c>
      <c r="I754" s="21" t="s">
        <v>3088</v>
      </c>
      <c r="J754" s="22">
        <f t="shared" si="55"/>
        <v>2.05416666666133</v>
      </c>
      <c r="K754" s="22">
        <f t="shared" si="56"/>
        <v>49.2999999998719</v>
      </c>
      <c r="L754" s="22">
        <f t="shared" si="57"/>
        <v>17.2999999998719</v>
      </c>
      <c r="M754" s="22" cm="1">
        <f ca="1" t="array" ref="M754">SUMPRODUCT(--(WEEKDAY(ROW(INDIRECT(INT(F754)&amp;":"&amp;INT(I754))),2)&gt;5))</f>
        <v>0</v>
      </c>
      <c r="N754" s="22">
        <f ca="1" t="shared" si="58"/>
        <v>17.2999999998719</v>
      </c>
      <c r="O754" s="22" t="str">
        <f ca="1" t="shared" si="59"/>
        <v>SLA Violated</v>
      </c>
      <c r="P754" s="23" t="s">
        <v>3089</v>
      </c>
      <c r="Q754" s="24" t="s">
        <v>28</v>
      </c>
      <c r="R754" s="25"/>
      <c r="S754" s="25"/>
    </row>
    <row r="755" ht="39" customHeight="1" spans="1:19">
      <c r="A755" s="19" t="s">
        <v>3090</v>
      </c>
      <c r="B755" s="20" t="s">
        <v>1076</v>
      </c>
      <c r="C755" s="20" t="s">
        <v>31</v>
      </c>
      <c r="D755" s="20" t="s">
        <v>32</v>
      </c>
      <c r="E755" s="21" t="s">
        <v>3091</v>
      </c>
      <c r="F755" s="21" t="s">
        <v>3092</v>
      </c>
      <c r="G755" s="20" t="s">
        <v>35</v>
      </c>
      <c r="H755" s="20" t="s">
        <v>25</v>
      </c>
      <c r="I755" s="21" t="s">
        <v>3093</v>
      </c>
      <c r="J755" s="22">
        <f t="shared" si="55"/>
        <v>0.0368055555518367</v>
      </c>
      <c r="K755" s="22">
        <f t="shared" si="56"/>
        <v>0.883333333244082</v>
      </c>
      <c r="L755" s="22">
        <f t="shared" si="57"/>
        <v>0.883333333244082</v>
      </c>
      <c r="M755" s="22" cm="1">
        <f ca="1" t="array" ref="M755">SUMPRODUCT(--(WEEKDAY(ROW(INDIRECT(INT(F755)&amp;":"&amp;INT(I755))),2)&gt;5))</f>
        <v>0</v>
      </c>
      <c r="N755" s="22">
        <f ca="1" t="shared" si="58"/>
        <v>0.883333333244082</v>
      </c>
      <c r="O755" s="22" t="str">
        <f ca="1" t="shared" si="59"/>
        <v>Within SLA</v>
      </c>
      <c r="P755" s="26" t="s">
        <v>3090</v>
      </c>
      <c r="Q755" s="24" t="s">
        <v>37</v>
      </c>
      <c r="R755" s="25"/>
      <c r="S755" s="25"/>
    </row>
    <row r="756" ht="27" customHeight="1" spans="1:19">
      <c r="A756" s="19" t="s">
        <v>3094</v>
      </c>
      <c r="B756" s="20" t="s">
        <v>30</v>
      </c>
      <c r="C756" s="20" t="s">
        <v>2057</v>
      </c>
      <c r="D756" s="20" t="s">
        <v>32</v>
      </c>
      <c r="E756" s="21" t="s">
        <v>3095</v>
      </c>
      <c r="F756" s="21" t="s">
        <v>3096</v>
      </c>
      <c r="G756" s="20" t="s">
        <v>24</v>
      </c>
      <c r="H756" s="20" t="s">
        <v>25</v>
      </c>
      <c r="I756" s="21" t="s">
        <v>3097</v>
      </c>
      <c r="J756" s="22">
        <f t="shared" si="55"/>
        <v>0.136111111110949</v>
      </c>
      <c r="K756" s="22">
        <f t="shared" si="56"/>
        <v>3.26666666666279</v>
      </c>
      <c r="L756" s="22">
        <f t="shared" si="57"/>
        <v>3.26666666666279</v>
      </c>
      <c r="M756" s="22" cm="1">
        <f ca="1" t="array" ref="M756">SUMPRODUCT(--(WEEKDAY(ROW(INDIRECT(INT(F756)&amp;":"&amp;INT(I756))),2)&gt;5))</f>
        <v>0</v>
      </c>
      <c r="N756" s="22">
        <f ca="1" t="shared" si="58"/>
        <v>3.26666666666279</v>
      </c>
      <c r="O756" s="22" t="str">
        <f ca="1" t="shared" si="59"/>
        <v>Within SLA</v>
      </c>
      <c r="P756" s="26" t="s">
        <v>3094</v>
      </c>
      <c r="Q756" s="24" t="s">
        <v>37</v>
      </c>
      <c r="R756" s="25"/>
      <c r="S756" s="25"/>
    </row>
    <row r="757" ht="27" customHeight="1" spans="1:19">
      <c r="A757" s="19" t="s">
        <v>3098</v>
      </c>
      <c r="B757" s="20" t="s">
        <v>30</v>
      </c>
      <c r="C757" s="20" t="s">
        <v>31</v>
      </c>
      <c r="D757" s="20" t="s">
        <v>32</v>
      </c>
      <c r="E757" s="21" t="s">
        <v>3099</v>
      </c>
      <c r="F757" s="21" t="s">
        <v>3100</v>
      </c>
      <c r="G757" s="20" t="s">
        <v>35</v>
      </c>
      <c r="H757" s="20" t="s">
        <v>25</v>
      </c>
      <c r="I757" s="21" t="s">
        <v>3101</v>
      </c>
      <c r="J757" s="22">
        <f t="shared" si="55"/>
        <v>0.180555555562023</v>
      </c>
      <c r="K757" s="22">
        <f t="shared" si="56"/>
        <v>4.33333333348855</v>
      </c>
      <c r="L757" s="22">
        <f t="shared" si="57"/>
        <v>4.33333333348855</v>
      </c>
      <c r="M757" s="22" cm="1">
        <f ca="1" t="array" ref="M757">SUMPRODUCT(--(WEEKDAY(ROW(INDIRECT(INT(F757)&amp;":"&amp;INT(I757))),2)&gt;5))</f>
        <v>0</v>
      </c>
      <c r="N757" s="22">
        <f ca="1" t="shared" si="58"/>
        <v>4.33333333348855</v>
      </c>
      <c r="O757" s="22" t="str">
        <f ca="1" t="shared" si="59"/>
        <v>Within SLA</v>
      </c>
      <c r="P757" s="26" t="s">
        <v>3098</v>
      </c>
      <c r="Q757" s="24" t="s">
        <v>37</v>
      </c>
      <c r="R757" s="25"/>
      <c r="S757" s="25"/>
    </row>
    <row r="758" ht="27" customHeight="1" spans="1:19">
      <c r="A758" s="19" t="s">
        <v>3102</v>
      </c>
      <c r="B758" s="20" t="s">
        <v>139</v>
      </c>
      <c r="C758" s="20" t="s">
        <v>2057</v>
      </c>
      <c r="D758" s="20" t="s">
        <v>32</v>
      </c>
      <c r="E758" s="21" t="s">
        <v>3103</v>
      </c>
      <c r="F758" s="21" t="s">
        <v>3104</v>
      </c>
      <c r="G758" s="20" t="s">
        <v>35</v>
      </c>
      <c r="H758" s="20" t="s">
        <v>25</v>
      </c>
      <c r="I758" s="21" t="s">
        <v>3105</v>
      </c>
      <c r="J758" s="22">
        <f t="shared" si="55"/>
        <v>15.1666666666642</v>
      </c>
      <c r="K758" s="22">
        <f t="shared" si="56"/>
        <v>363.999999999942</v>
      </c>
      <c r="L758" s="22">
        <f t="shared" si="57"/>
        <v>123.999999999942</v>
      </c>
      <c r="M758" s="22" cm="1">
        <f ca="1" t="array" ref="M758">SUMPRODUCT(--(WEEKDAY(ROW(INDIRECT(INT(F758)&amp;":"&amp;INT(I758))),2)&gt;5))</f>
        <v>4</v>
      </c>
      <c r="N758" s="22">
        <f ca="1" t="shared" si="58"/>
        <v>91.999999999942</v>
      </c>
      <c r="O758" s="22" t="str">
        <f ca="1" t="shared" si="59"/>
        <v>SLA Violated</v>
      </c>
      <c r="P758" s="23" t="s">
        <v>3106</v>
      </c>
      <c r="Q758" s="24" t="s">
        <v>28</v>
      </c>
      <c r="R758" s="25"/>
      <c r="S758" s="25"/>
    </row>
    <row r="759" ht="39" customHeight="1" spans="1:19">
      <c r="A759" s="19" t="s">
        <v>3107</v>
      </c>
      <c r="B759" s="20" t="s">
        <v>19</v>
      </c>
      <c r="C759" s="20" t="s">
        <v>20</v>
      </c>
      <c r="D759" s="20" t="s">
        <v>32</v>
      </c>
      <c r="E759" s="21" t="s">
        <v>3108</v>
      </c>
      <c r="F759" s="21" t="s">
        <v>3109</v>
      </c>
      <c r="G759" s="20" t="s">
        <v>35</v>
      </c>
      <c r="H759" s="20" t="s">
        <v>25</v>
      </c>
      <c r="I759" s="21" t="s">
        <v>3110</v>
      </c>
      <c r="J759" s="22">
        <f t="shared" si="55"/>
        <v>2.08125000000291</v>
      </c>
      <c r="K759" s="22">
        <f t="shared" si="56"/>
        <v>49.9500000000698</v>
      </c>
      <c r="L759" s="22">
        <f t="shared" si="57"/>
        <v>17.9500000000698</v>
      </c>
      <c r="M759" s="22" cm="1">
        <f ca="1" t="array" ref="M759">SUMPRODUCT(--(WEEKDAY(ROW(INDIRECT(INT(F759)&amp;":"&amp;INT(I759))),2)&gt;5))</f>
        <v>0</v>
      </c>
      <c r="N759" s="22">
        <f ca="1" t="shared" si="58"/>
        <v>17.9500000000698</v>
      </c>
      <c r="O759" s="22" t="str">
        <f ca="1" t="shared" si="59"/>
        <v>SLA Violated</v>
      </c>
      <c r="P759" s="23" t="s">
        <v>3111</v>
      </c>
      <c r="Q759" s="24" t="s">
        <v>28</v>
      </c>
      <c r="R759" s="25"/>
      <c r="S759" s="25"/>
    </row>
    <row r="760" ht="39" customHeight="1" spans="1:19">
      <c r="A760" s="19" t="s">
        <v>3112</v>
      </c>
      <c r="B760" s="20" t="s">
        <v>19</v>
      </c>
      <c r="C760" s="20" t="s">
        <v>20</v>
      </c>
      <c r="D760" s="20" t="s">
        <v>32</v>
      </c>
      <c r="E760" s="21" t="s">
        <v>3113</v>
      </c>
      <c r="F760" s="21" t="s">
        <v>3114</v>
      </c>
      <c r="G760" s="20" t="s">
        <v>35</v>
      </c>
      <c r="H760" s="20" t="s">
        <v>25</v>
      </c>
      <c r="I760" s="21" t="s">
        <v>3115</v>
      </c>
      <c r="J760" s="22">
        <f t="shared" si="55"/>
        <v>21.2340277777766</v>
      </c>
      <c r="K760" s="22">
        <f t="shared" si="56"/>
        <v>509.61666666664</v>
      </c>
      <c r="L760" s="22">
        <f t="shared" si="57"/>
        <v>173.61666666664</v>
      </c>
      <c r="M760" s="22" cm="1">
        <f ca="1" t="array" ref="M760">SUMPRODUCT(--(WEEKDAY(ROW(INDIRECT(INT(F760)&amp;":"&amp;INT(I760))),2)&gt;5))</f>
        <v>6</v>
      </c>
      <c r="N760" s="22">
        <f ca="1" t="shared" si="58"/>
        <v>125.61666666664</v>
      </c>
      <c r="O760" s="22" t="str">
        <f ca="1" t="shared" si="59"/>
        <v>SLA Violated</v>
      </c>
      <c r="P760" s="23" t="s">
        <v>3116</v>
      </c>
      <c r="Q760" s="24" t="s">
        <v>28</v>
      </c>
      <c r="R760" s="25"/>
      <c r="S760" s="25"/>
    </row>
    <row r="761" ht="27" customHeight="1" spans="1:19">
      <c r="A761" s="19" t="s">
        <v>3117</v>
      </c>
      <c r="B761" s="20" t="s">
        <v>30</v>
      </c>
      <c r="C761" s="20" t="s">
        <v>2057</v>
      </c>
      <c r="D761" s="20" t="s">
        <v>32</v>
      </c>
      <c r="E761" s="21" t="s">
        <v>3118</v>
      </c>
      <c r="F761" s="21" t="s">
        <v>3119</v>
      </c>
      <c r="G761" s="20" t="s">
        <v>24</v>
      </c>
      <c r="H761" s="20" t="s">
        <v>25</v>
      </c>
      <c r="I761" s="21" t="s">
        <v>3120</v>
      </c>
      <c r="J761" s="22">
        <f t="shared" si="55"/>
        <v>0.131249999998545</v>
      </c>
      <c r="K761" s="22">
        <f t="shared" si="56"/>
        <v>3.14999999996508</v>
      </c>
      <c r="L761" s="22">
        <f t="shared" si="57"/>
        <v>3.14999999996508</v>
      </c>
      <c r="M761" s="22" cm="1">
        <f ca="1" t="array" ref="M761">SUMPRODUCT(--(WEEKDAY(ROW(INDIRECT(INT(F761)&amp;":"&amp;INT(I761))),2)&gt;5))</f>
        <v>0</v>
      </c>
      <c r="N761" s="22">
        <f ca="1" t="shared" si="58"/>
        <v>3.14999999996508</v>
      </c>
      <c r="O761" s="22" t="str">
        <f ca="1" t="shared" si="59"/>
        <v>Within SLA</v>
      </c>
      <c r="P761" s="26" t="s">
        <v>3117</v>
      </c>
      <c r="Q761" s="24" t="s">
        <v>37</v>
      </c>
      <c r="R761" s="25"/>
      <c r="S761" s="25"/>
    </row>
    <row r="762" ht="39" customHeight="1" spans="1:19">
      <c r="A762" s="19" t="s">
        <v>3121</v>
      </c>
      <c r="B762" s="20" t="s">
        <v>19</v>
      </c>
      <c r="C762" s="20" t="s">
        <v>20</v>
      </c>
      <c r="D762" s="20" t="s">
        <v>32</v>
      </c>
      <c r="E762" s="21" t="s">
        <v>3122</v>
      </c>
      <c r="F762" s="21" t="s">
        <v>3123</v>
      </c>
      <c r="G762" s="20" t="s">
        <v>35</v>
      </c>
      <c r="H762" s="20" t="s">
        <v>25</v>
      </c>
      <c r="I762" s="21" t="s">
        <v>3124</v>
      </c>
      <c r="J762" s="22">
        <f t="shared" si="55"/>
        <v>22.1708333333299</v>
      </c>
      <c r="K762" s="22">
        <f t="shared" si="56"/>
        <v>532.099999999919</v>
      </c>
      <c r="L762" s="22">
        <f t="shared" si="57"/>
        <v>180.099999999919</v>
      </c>
      <c r="M762" s="22" cm="1">
        <f ca="1" t="array" ref="M762">SUMPRODUCT(--(WEEKDAY(ROW(INDIRECT(INT(F762)&amp;":"&amp;INT(I762))),2)&gt;5))</f>
        <v>6</v>
      </c>
      <c r="N762" s="22">
        <f ca="1" t="shared" si="58"/>
        <v>132.099999999919</v>
      </c>
      <c r="O762" s="22" t="str">
        <f ca="1" t="shared" si="59"/>
        <v>SLA Violated</v>
      </c>
      <c r="P762" s="23" t="s">
        <v>3125</v>
      </c>
      <c r="Q762" s="24" t="s">
        <v>28</v>
      </c>
      <c r="R762" s="25"/>
      <c r="S762" s="25"/>
    </row>
    <row r="763" ht="39" customHeight="1" spans="1:19">
      <c r="A763" s="19" t="s">
        <v>3126</v>
      </c>
      <c r="B763" s="20" t="s">
        <v>19</v>
      </c>
      <c r="C763" s="20" t="s">
        <v>20</v>
      </c>
      <c r="D763" s="20" t="s">
        <v>32</v>
      </c>
      <c r="E763" s="21" t="s">
        <v>3127</v>
      </c>
      <c r="F763" s="21" t="s">
        <v>3128</v>
      </c>
      <c r="G763" s="20" t="s">
        <v>35</v>
      </c>
      <c r="H763" s="20" t="s">
        <v>25</v>
      </c>
      <c r="I763" s="21" t="s">
        <v>3129</v>
      </c>
      <c r="J763" s="22">
        <f t="shared" si="55"/>
        <v>10.0305555555606</v>
      </c>
      <c r="K763" s="22">
        <f t="shared" si="56"/>
        <v>240.733333333454</v>
      </c>
      <c r="L763" s="22">
        <f t="shared" si="57"/>
        <v>80.7333333334536</v>
      </c>
      <c r="M763" s="22" cm="1">
        <f ca="1" t="array" ref="M763">SUMPRODUCT(--(WEEKDAY(ROW(INDIRECT(INT(F763)&amp;":"&amp;INT(I763))),2)&gt;5))</f>
        <v>2</v>
      </c>
      <c r="N763" s="22">
        <f ca="1" t="shared" si="58"/>
        <v>64.7333333334536</v>
      </c>
      <c r="O763" s="22" t="str">
        <f ca="1" t="shared" si="59"/>
        <v>SLA Violated</v>
      </c>
      <c r="P763" s="23" t="s">
        <v>3130</v>
      </c>
      <c r="Q763" s="24" t="s">
        <v>28</v>
      </c>
      <c r="R763" s="25"/>
      <c r="S763" s="25"/>
    </row>
    <row r="764" ht="27" customHeight="1" spans="1:19">
      <c r="A764" s="19" t="s">
        <v>3131</v>
      </c>
      <c r="B764" s="20" t="s">
        <v>30</v>
      </c>
      <c r="C764" s="20" t="s">
        <v>2057</v>
      </c>
      <c r="D764" s="20" t="s">
        <v>32</v>
      </c>
      <c r="E764" s="21" t="s">
        <v>3132</v>
      </c>
      <c r="F764" s="21" t="s">
        <v>3133</v>
      </c>
      <c r="G764" s="20" t="s">
        <v>24</v>
      </c>
      <c r="H764" s="20" t="s">
        <v>25</v>
      </c>
      <c r="I764" s="21" t="s">
        <v>3134</v>
      </c>
      <c r="J764" s="22">
        <f t="shared" si="55"/>
        <v>0.0361111111124046</v>
      </c>
      <c r="K764" s="22">
        <f t="shared" si="56"/>
        <v>0.866666666697711</v>
      </c>
      <c r="L764" s="22">
        <f t="shared" si="57"/>
        <v>0.866666666697711</v>
      </c>
      <c r="M764" s="22" cm="1">
        <f ca="1" t="array" ref="M764">SUMPRODUCT(--(WEEKDAY(ROW(INDIRECT(INT(F764)&amp;":"&amp;INT(I764))),2)&gt;5))</f>
        <v>0</v>
      </c>
      <c r="N764" s="22">
        <f ca="1" t="shared" si="58"/>
        <v>0.866666666697711</v>
      </c>
      <c r="O764" s="22" t="str">
        <f ca="1" t="shared" si="59"/>
        <v>Within SLA</v>
      </c>
      <c r="P764" s="26" t="s">
        <v>3131</v>
      </c>
      <c r="Q764" s="24" t="s">
        <v>37</v>
      </c>
      <c r="R764" s="25"/>
      <c r="S764" s="25"/>
    </row>
    <row r="765" ht="39" customHeight="1" spans="1:19">
      <c r="A765" s="19" t="s">
        <v>3135</v>
      </c>
      <c r="B765" s="20" t="s">
        <v>19</v>
      </c>
      <c r="C765" s="20" t="s">
        <v>20</v>
      </c>
      <c r="D765" s="20" t="s">
        <v>32</v>
      </c>
      <c r="E765" s="21" t="s">
        <v>3136</v>
      </c>
      <c r="F765" s="21" t="s">
        <v>3137</v>
      </c>
      <c r="G765" s="20" t="s">
        <v>35</v>
      </c>
      <c r="H765" s="20" t="s">
        <v>25</v>
      </c>
      <c r="I765" s="21" t="s">
        <v>3138</v>
      </c>
      <c r="J765" s="22">
        <f t="shared" si="55"/>
        <v>17.1388888888905</v>
      </c>
      <c r="K765" s="22">
        <f t="shared" si="56"/>
        <v>411.333333333372</v>
      </c>
      <c r="L765" s="22">
        <f t="shared" si="57"/>
        <v>139.333333333372</v>
      </c>
      <c r="M765" s="22" cm="1">
        <f ca="1" t="array" ref="M765">SUMPRODUCT(--(WEEKDAY(ROW(INDIRECT(INT(F765)&amp;":"&amp;INT(I765))),2)&gt;5))</f>
        <v>4</v>
      </c>
      <c r="N765" s="22">
        <f ca="1" t="shared" si="58"/>
        <v>107.333333333372</v>
      </c>
      <c r="O765" s="22" t="str">
        <f ca="1" t="shared" si="59"/>
        <v>SLA Violated</v>
      </c>
      <c r="P765" s="23" t="s">
        <v>3139</v>
      </c>
      <c r="Q765" s="24" t="s">
        <v>28</v>
      </c>
      <c r="R765" s="25"/>
      <c r="S765" s="25"/>
    </row>
    <row r="766" ht="39" customHeight="1" spans="1:19">
      <c r="A766" s="19" t="s">
        <v>3140</v>
      </c>
      <c r="B766" s="20" t="s">
        <v>19</v>
      </c>
      <c r="C766" s="20" t="s">
        <v>20</v>
      </c>
      <c r="D766" s="20" t="s">
        <v>32</v>
      </c>
      <c r="E766" s="21" t="s">
        <v>3141</v>
      </c>
      <c r="F766" s="21" t="s">
        <v>3142</v>
      </c>
      <c r="G766" s="20" t="s">
        <v>35</v>
      </c>
      <c r="H766" s="20" t="s">
        <v>25</v>
      </c>
      <c r="I766" s="21" t="s">
        <v>3138</v>
      </c>
      <c r="J766" s="22">
        <f t="shared" si="55"/>
        <v>10.0256944444482</v>
      </c>
      <c r="K766" s="22">
        <f t="shared" si="56"/>
        <v>240.616666666756</v>
      </c>
      <c r="L766" s="22">
        <f t="shared" si="57"/>
        <v>80.6166666667559</v>
      </c>
      <c r="M766" s="22" cm="1">
        <f ca="1" t="array" ref="M766">SUMPRODUCT(--(WEEKDAY(ROW(INDIRECT(INT(F766)&amp;":"&amp;INT(I766))),2)&gt;5))</f>
        <v>2</v>
      </c>
      <c r="N766" s="22">
        <f ca="1" t="shared" si="58"/>
        <v>64.6166666667559</v>
      </c>
      <c r="O766" s="22" t="str">
        <f ca="1" t="shared" si="59"/>
        <v>SLA Violated</v>
      </c>
      <c r="P766" s="23" t="s">
        <v>3143</v>
      </c>
      <c r="Q766" s="24" t="s">
        <v>28</v>
      </c>
      <c r="R766" s="25"/>
      <c r="S766" s="25"/>
    </row>
    <row r="767" ht="39" customHeight="1" spans="1:19">
      <c r="A767" s="19" t="s">
        <v>3144</v>
      </c>
      <c r="B767" s="20" t="s">
        <v>19</v>
      </c>
      <c r="C767" s="20" t="s">
        <v>20</v>
      </c>
      <c r="D767" s="20" t="s">
        <v>32</v>
      </c>
      <c r="E767" s="21" t="s">
        <v>3145</v>
      </c>
      <c r="F767" s="21" t="s">
        <v>3123</v>
      </c>
      <c r="G767" s="20" t="s">
        <v>35</v>
      </c>
      <c r="H767" s="20" t="s">
        <v>25</v>
      </c>
      <c r="I767" s="21" t="s">
        <v>3146</v>
      </c>
      <c r="J767" s="22">
        <f t="shared" si="55"/>
        <v>22.2138888888876</v>
      </c>
      <c r="K767" s="22">
        <f t="shared" si="56"/>
        <v>533.133333333302</v>
      </c>
      <c r="L767" s="22">
        <f t="shared" si="57"/>
        <v>181.133333333302</v>
      </c>
      <c r="M767" s="22" cm="1">
        <f ca="1" t="array" ref="M767">SUMPRODUCT(--(WEEKDAY(ROW(INDIRECT(INT(F767)&amp;":"&amp;INT(I767))),2)&gt;5))</f>
        <v>6</v>
      </c>
      <c r="N767" s="22">
        <f ca="1" t="shared" si="58"/>
        <v>133.133333333302</v>
      </c>
      <c r="O767" s="22" t="str">
        <f ca="1" t="shared" si="59"/>
        <v>SLA Violated</v>
      </c>
      <c r="P767" s="23" t="s">
        <v>3147</v>
      </c>
      <c r="Q767" s="24" t="s">
        <v>28</v>
      </c>
      <c r="R767" s="25"/>
      <c r="S767" s="25"/>
    </row>
    <row r="768" ht="39" customHeight="1" spans="1:19">
      <c r="A768" s="19" t="s">
        <v>3148</v>
      </c>
      <c r="B768" s="20" t="s">
        <v>19</v>
      </c>
      <c r="C768" s="20" t="s">
        <v>20</v>
      </c>
      <c r="D768" s="20" t="s">
        <v>105</v>
      </c>
      <c r="E768" s="21" t="s">
        <v>3149</v>
      </c>
      <c r="F768" s="21" t="s">
        <v>3150</v>
      </c>
      <c r="G768" s="20" t="s">
        <v>35</v>
      </c>
      <c r="H768" s="20" t="s">
        <v>25</v>
      </c>
      <c r="I768" s="21" t="s">
        <v>3151</v>
      </c>
      <c r="J768" s="22">
        <f t="shared" si="55"/>
        <v>17.0437499999971</v>
      </c>
      <c r="K768" s="22">
        <f t="shared" si="56"/>
        <v>409.04999999993</v>
      </c>
      <c r="L768" s="22">
        <f t="shared" si="57"/>
        <v>137.04999999993</v>
      </c>
      <c r="M768" s="22" cm="1">
        <f ca="1" t="array" ref="M768">SUMPRODUCT(--(WEEKDAY(ROW(INDIRECT(INT(F768)&amp;":"&amp;INT(I768))),2)&gt;5))</f>
        <v>4</v>
      </c>
      <c r="N768" s="22">
        <f ca="1" t="shared" si="58"/>
        <v>105.04999999993</v>
      </c>
      <c r="O768" s="22" t="str">
        <f ca="1" t="shared" si="59"/>
        <v>SLA Violated</v>
      </c>
      <c r="P768" s="23" t="s">
        <v>3152</v>
      </c>
      <c r="Q768" s="24" t="s">
        <v>28</v>
      </c>
      <c r="R768" s="25"/>
      <c r="S768" s="25"/>
    </row>
    <row r="769" ht="39" customHeight="1" spans="1:19">
      <c r="A769" s="19" t="s">
        <v>3153</v>
      </c>
      <c r="B769" s="20" t="s">
        <v>19</v>
      </c>
      <c r="C769" s="20" t="s">
        <v>20</v>
      </c>
      <c r="D769" s="20" t="s">
        <v>105</v>
      </c>
      <c r="E769" s="21" t="s">
        <v>3154</v>
      </c>
      <c r="F769" s="21" t="s">
        <v>3155</v>
      </c>
      <c r="G769" s="20" t="s">
        <v>35</v>
      </c>
      <c r="H769" s="20" t="s">
        <v>25</v>
      </c>
      <c r="I769" s="21" t="s">
        <v>3151</v>
      </c>
      <c r="J769" s="22">
        <f t="shared" si="55"/>
        <v>21.2083333333285</v>
      </c>
      <c r="K769" s="22">
        <f t="shared" si="56"/>
        <v>508.999999999884</v>
      </c>
      <c r="L769" s="22">
        <f t="shared" si="57"/>
        <v>172.999999999884</v>
      </c>
      <c r="M769" s="22" cm="1">
        <f ca="1" t="array" ref="M769">SUMPRODUCT(--(WEEKDAY(ROW(INDIRECT(INT(F769)&amp;":"&amp;INT(I769))),2)&gt;5))</f>
        <v>6</v>
      </c>
      <c r="N769" s="22">
        <f ca="1" t="shared" si="58"/>
        <v>124.999999999884</v>
      </c>
      <c r="O769" s="22" t="str">
        <f ca="1" t="shared" si="59"/>
        <v>SLA Violated</v>
      </c>
      <c r="P769" s="23" t="s">
        <v>3156</v>
      </c>
      <c r="Q769" s="24" t="s">
        <v>28</v>
      </c>
      <c r="R769" s="25"/>
      <c r="S769" s="25"/>
    </row>
    <row r="770" ht="39" customHeight="1" spans="1:19">
      <c r="A770" s="19" t="s">
        <v>3157</v>
      </c>
      <c r="B770" s="20" t="s">
        <v>19</v>
      </c>
      <c r="C770" s="20" t="s">
        <v>20</v>
      </c>
      <c r="D770" s="20" t="s">
        <v>32</v>
      </c>
      <c r="E770" s="21" t="s">
        <v>3158</v>
      </c>
      <c r="F770" s="21" t="s">
        <v>3159</v>
      </c>
      <c r="G770" s="20" t="s">
        <v>35</v>
      </c>
      <c r="H770" s="20" t="s">
        <v>25</v>
      </c>
      <c r="I770" s="21" t="s">
        <v>3160</v>
      </c>
      <c r="J770" s="22">
        <f t="shared" si="55"/>
        <v>29.246527777781</v>
      </c>
      <c r="K770" s="22">
        <f t="shared" si="56"/>
        <v>701.916666666744</v>
      </c>
      <c r="L770" s="22">
        <f t="shared" si="57"/>
        <v>237.916666666744</v>
      </c>
      <c r="M770" s="22" cm="1">
        <f ca="1" t="array" ref="M770">SUMPRODUCT(--(WEEKDAY(ROW(INDIRECT(INT(F770)&amp;":"&amp;INT(I770))),2)&gt;5))</f>
        <v>8</v>
      </c>
      <c r="N770" s="22">
        <f ca="1" t="shared" si="58"/>
        <v>173.916666666744</v>
      </c>
      <c r="O770" s="22" t="str">
        <f ca="1" t="shared" si="59"/>
        <v>SLA Violated</v>
      </c>
      <c r="P770" s="23" t="s">
        <v>3161</v>
      </c>
      <c r="Q770" s="24" t="s">
        <v>28</v>
      </c>
      <c r="R770" s="25"/>
      <c r="S770" s="25"/>
    </row>
    <row r="771" ht="39" customHeight="1" spans="1:19">
      <c r="A771" s="19" t="s">
        <v>3162</v>
      </c>
      <c r="B771" s="20" t="s">
        <v>3163</v>
      </c>
      <c r="C771" s="20" t="s">
        <v>2057</v>
      </c>
      <c r="D771" s="20" t="s">
        <v>32</v>
      </c>
      <c r="E771" s="21" t="s">
        <v>3164</v>
      </c>
      <c r="F771" s="21" t="s">
        <v>3165</v>
      </c>
      <c r="G771" s="20" t="s">
        <v>35</v>
      </c>
      <c r="H771" s="20" t="s">
        <v>25</v>
      </c>
      <c r="I771" s="21" t="s">
        <v>3166</v>
      </c>
      <c r="J771" s="22">
        <f t="shared" ref="J771:J834" si="60">F771-I771</f>
        <v>10.2111111111153</v>
      </c>
      <c r="K771" s="22">
        <f t="shared" ref="K771:K834" si="61">J771*24</f>
        <v>245.066666666768</v>
      </c>
      <c r="L771" s="22">
        <f t="shared" ref="L771:L834" si="62">IF(_xlfn.DAYS(F771,I771)&gt;0,K771-IF(FLOOR(J771,1)=0,1,_xlfn.DAYS(F771,I771))*16,K771)</f>
        <v>85.0666666667676</v>
      </c>
      <c r="M771" s="22" cm="1">
        <f ca="1" t="array" ref="M771">SUMPRODUCT(--(WEEKDAY(ROW(INDIRECT(INT(F771)&amp;":"&amp;INT(I771))),2)&gt;5))</f>
        <v>2</v>
      </c>
      <c r="N771" s="22">
        <f ca="1" t="shared" ref="N771:N834" si="63">IF(IF(M771&gt;0,L771-M771*8,L771)&lt;0,0,IF(M771&gt;0,L771-M771*8,L771))</f>
        <v>69.0666666667676</v>
      </c>
      <c r="O771" s="22" t="str">
        <f ca="1" t="shared" ref="O771:O834" si="64">IF(OR(AND(D771="P1",N771&lt;=3),AND(D771="P2",N771&lt;=6),AND(D771="P3",N771&lt;=9),AND(D771="P4",N771&lt;=12)),"Within SLA","SLA Violated")</f>
        <v>SLA Violated</v>
      </c>
      <c r="P771" s="23" t="s">
        <v>3167</v>
      </c>
      <c r="Q771" s="24" t="s">
        <v>28</v>
      </c>
      <c r="R771" s="25"/>
      <c r="S771" s="25"/>
    </row>
    <row r="772" ht="39" customHeight="1" spans="1:19">
      <c r="A772" s="19" t="s">
        <v>3168</v>
      </c>
      <c r="B772" s="20" t="s">
        <v>19</v>
      </c>
      <c r="C772" s="20" t="s">
        <v>20</v>
      </c>
      <c r="D772" s="20" t="s">
        <v>105</v>
      </c>
      <c r="E772" s="21" t="s">
        <v>3169</v>
      </c>
      <c r="F772" s="21" t="s">
        <v>3170</v>
      </c>
      <c r="G772" s="20" t="s">
        <v>35</v>
      </c>
      <c r="H772" s="20" t="s">
        <v>25</v>
      </c>
      <c r="I772" s="21" t="s">
        <v>3171</v>
      </c>
      <c r="J772" s="22">
        <f t="shared" si="60"/>
        <v>4.13124999999854</v>
      </c>
      <c r="K772" s="22">
        <f t="shared" si="61"/>
        <v>99.1499999999651</v>
      </c>
      <c r="L772" s="22">
        <f t="shared" si="62"/>
        <v>35.1499999999651</v>
      </c>
      <c r="M772" s="22" cm="1">
        <f ca="1" t="array" ref="M772">SUMPRODUCT(--(WEEKDAY(ROW(INDIRECT(INT(F772)&amp;":"&amp;INT(I772))),2)&gt;5))</f>
        <v>0</v>
      </c>
      <c r="N772" s="22">
        <f ca="1" t="shared" si="63"/>
        <v>35.1499999999651</v>
      </c>
      <c r="O772" s="22" t="str">
        <f ca="1" t="shared" si="64"/>
        <v>SLA Violated</v>
      </c>
      <c r="P772" s="23" t="s">
        <v>3172</v>
      </c>
      <c r="Q772" s="24" t="s">
        <v>28</v>
      </c>
      <c r="R772" s="25"/>
      <c r="S772" s="25"/>
    </row>
    <row r="773" ht="27" customHeight="1" spans="1:19">
      <c r="A773" s="19" t="s">
        <v>3173</v>
      </c>
      <c r="B773" s="20" t="s">
        <v>30</v>
      </c>
      <c r="C773" s="20" t="s">
        <v>2057</v>
      </c>
      <c r="D773" s="20" t="s">
        <v>32</v>
      </c>
      <c r="E773" s="21" t="s">
        <v>3174</v>
      </c>
      <c r="F773" s="21" t="s">
        <v>3175</v>
      </c>
      <c r="G773" s="20" t="s">
        <v>35</v>
      </c>
      <c r="H773" s="20" t="s">
        <v>25</v>
      </c>
      <c r="I773" s="21" t="s">
        <v>3176</v>
      </c>
      <c r="J773" s="22">
        <f t="shared" si="60"/>
        <v>0.0687499999985448</v>
      </c>
      <c r="K773" s="22">
        <f t="shared" si="61"/>
        <v>1.64999999996508</v>
      </c>
      <c r="L773" s="22">
        <f t="shared" si="62"/>
        <v>1.64999999996508</v>
      </c>
      <c r="M773" s="22" cm="1">
        <f ca="1" t="array" ref="M773">SUMPRODUCT(--(WEEKDAY(ROW(INDIRECT(INT(F773)&amp;":"&amp;INT(I773))),2)&gt;5))</f>
        <v>0</v>
      </c>
      <c r="N773" s="22">
        <f ca="1" t="shared" si="63"/>
        <v>1.64999999996508</v>
      </c>
      <c r="O773" s="22" t="str">
        <f ca="1" t="shared" si="64"/>
        <v>Within SLA</v>
      </c>
      <c r="P773" s="26" t="s">
        <v>3173</v>
      </c>
      <c r="Q773" s="24" t="s">
        <v>37</v>
      </c>
      <c r="R773" s="25"/>
      <c r="S773" s="25"/>
    </row>
    <row r="774" ht="27" customHeight="1" spans="1:19">
      <c r="A774" s="19" t="s">
        <v>3177</v>
      </c>
      <c r="B774" s="20" t="s">
        <v>139</v>
      </c>
      <c r="C774" s="20" t="s">
        <v>2057</v>
      </c>
      <c r="D774" s="20" t="s">
        <v>32</v>
      </c>
      <c r="E774" s="21" t="s">
        <v>3178</v>
      </c>
      <c r="F774" s="21" t="s">
        <v>3179</v>
      </c>
      <c r="G774" s="20" t="s">
        <v>35</v>
      </c>
      <c r="H774" s="20" t="s">
        <v>25</v>
      </c>
      <c r="I774" s="21" t="s">
        <v>3180</v>
      </c>
      <c r="J774" s="22">
        <f t="shared" si="60"/>
        <v>23.1319444444453</v>
      </c>
      <c r="K774" s="22">
        <f t="shared" si="61"/>
        <v>555.166666666686</v>
      </c>
      <c r="L774" s="22">
        <f t="shared" si="62"/>
        <v>187.166666666686</v>
      </c>
      <c r="M774" s="22" cm="1">
        <f ca="1" t="array" ref="M774">SUMPRODUCT(--(WEEKDAY(ROW(INDIRECT(INT(F774)&amp;":"&amp;INT(I774))),2)&gt;5))</f>
        <v>6</v>
      </c>
      <c r="N774" s="22">
        <f ca="1" t="shared" si="63"/>
        <v>139.166666666686</v>
      </c>
      <c r="O774" s="22" t="str">
        <f ca="1" t="shared" si="64"/>
        <v>SLA Violated</v>
      </c>
      <c r="P774" s="23" t="s">
        <v>3181</v>
      </c>
      <c r="Q774" s="24" t="s">
        <v>28</v>
      </c>
      <c r="R774" s="25"/>
      <c r="S774" s="25"/>
    </row>
    <row r="775" ht="39" customHeight="1" spans="1:19">
      <c r="A775" s="19" t="s">
        <v>3182</v>
      </c>
      <c r="B775" s="20" t="s">
        <v>19</v>
      </c>
      <c r="C775" s="20" t="s">
        <v>20</v>
      </c>
      <c r="D775" s="20" t="s">
        <v>105</v>
      </c>
      <c r="E775" s="21" t="s">
        <v>3183</v>
      </c>
      <c r="F775" s="21" t="s">
        <v>3184</v>
      </c>
      <c r="G775" s="20" t="s">
        <v>35</v>
      </c>
      <c r="H775" s="20" t="s">
        <v>25</v>
      </c>
      <c r="I775" s="21" t="s">
        <v>3185</v>
      </c>
      <c r="J775" s="22">
        <f t="shared" si="60"/>
        <v>0.145833333335759</v>
      </c>
      <c r="K775" s="22">
        <f t="shared" si="61"/>
        <v>3.50000000005821</v>
      </c>
      <c r="L775" s="22">
        <f t="shared" si="62"/>
        <v>3.50000000005821</v>
      </c>
      <c r="M775" s="22" cm="1">
        <f ca="1" t="array" ref="M775">SUMPRODUCT(--(WEEKDAY(ROW(INDIRECT(INT(F775)&amp;":"&amp;INT(I775))),2)&gt;5))</f>
        <v>0</v>
      </c>
      <c r="N775" s="22">
        <f ca="1" t="shared" si="63"/>
        <v>3.50000000005821</v>
      </c>
      <c r="O775" s="22" t="str">
        <f ca="1" t="shared" si="64"/>
        <v>Within SLA</v>
      </c>
      <c r="P775" s="26" t="s">
        <v>3182</v>
      </c>
      <c r="Q775" s="24" t="s">
        <v>37</v>
      </c>
      <c r="R775" s="25"/>
      <c r="S775" s="25"/>
    </row>
    <row r="776" ht="39" customHeight="1" spans="1:19">
      <c r="A776" s="19" t="s">
        <v>3186</v>
      </c>
      <c r="B776" s="20" t="s">
        <v>19</v>
      </c>
      <c r="C776" s="20" t="s">
        <v>20</v>
      </c>
      <c r="D776" s="20" t="s">
        <v>32</v>
      </c>
      <c r="E776" s="21" t="s">
        <v>3187</v>
      </c>
      <c r="F776" s="21" t="s">
        <v>3188</v>
      </c>
      <c r="G776" s="20" t="s">
        <v>35</v>
      </c>
      <c r="H776" s="20" t="s">
        <v>25</v>
      </c>
      <c r="I776" s="21" t="s">
        <v>3189</v>
      </c>
      <c r="J776" s="22">
        <f t="shared" si="60"/>
        <v>17.0298611111066</v>
      </c>
      <c r="K776" s="22">
        <f t="shared" si="61"/>
        <v>408.716666666558</v>
      </c>
      <c r="L776" s="22">
        <f t="shared" si="62"/>
        <v>136.716666666558</v>
      </c>
      <c r="M776" s="22" cm="1">
        <f ca="1" t="array" ref="M776">SUMPRODUCT(--(WEEKDAY(ROW(INDIRECT(INT(F776)&amp;":"&amp;INT(I776))),2)&gt;5))</f>
        <v>4</v>
      </c>
      <c r="N776" s="22">
        <f ca="1" t="shared" si="63"/>
        <v>104.716666666558</v>
      </c>
      <c r="O776" s="22" t="str">
        <f ca="1" t="shared" si="64"/>
        <v>SLA Violated</v>
      </c>
      <c r="P776" s="23" t="s">
        <v>3190</v>
      </c>
      <c r="Q776" s="24" t="s">
        <v>28</v>
      </c>
      <c r="R776" s="25"/>
      <c r="S776" s="25"/>
    </row>
    <row r="777" ht="39" customHeight="1" spans="1:19">
      <c r="A777" s="19" t="s">
        <v>3191</v>
      </c>
      <c r="B777" s="20" t="s">
        <v>19</v>
      </c>
      <c r="C777" s="20" t="s">
        <v>20</v>
      </c>
      <c r="D777" s="20" t="s">
        <v>32</v>
      </c>
      <c r="E777" s="21" t="s">
        <v>3192</v>
      </c>
      <c r="F777" s="21" t="s">
        <v>3193</v>
      </c>
      <c r="G777" s="20" t="s">
        <v>24</v>
      </c>
      <c r="H777" s="20" t="s">
        <v>25</v>
      </c>
      <c r="I777" s="21" t="s">
        <v>3194</v>
      </c>
      <c r="J777" s="22">
        <f t="shared" si="60"/>
        <v>29.2388888888891</v>
      </c>
      <c r="K777" s="22">
        <f t="shared" si="61"/>
        <v>701.733333333337</v>
      </c>
      <c r="L777" s="22">
        <f t="shared" si="62"/>
        <v>237.733333333337</v>
      </c>
      <c r="M777" s="22" cm="1">
        <f ca="1" t="array" ref="M777">SUMPRODUCT(--(WEEKDAY(ROW(INDIRECT(INT(F777)&amp;":"&amp;INT(I777))),2)&gt;5))</f>
        <v>8</v>
      </c>
      <c r="N777" s="22">
        <f ca="1" t="shared" si="63"/>
        <v>173.733333333337</v>
      </c>
      <c r="O777" s="22" t="str">
        <f ca="1" t="shared" si="64"/>
        <v>SLA Violated</v>
      </c>
      <c r="P777" s="23" t="s">
        <v>3195</v>
      </c>
      <c r="Q777" s="24" t="s">
        <v>28</v>
      </c>
      <c r="R777" s="25"/>
      <c r="S777" s="25"/>
    </row>
    <row r="778" ht="39" customHeight="1" spans="1:19">
      <c r="A778" s="19" t="s">
        <v>3196</v>
      </c>
      <c r="B778" s="20" t="s">
        <v>19</v>
      </c>
      <c r="C778" s="20" t="s">
        <v>20</v>
      </c>
      <c r="D778" s="20" t="s">
        <v>32</v>
      </c>
      <c r="E778" s="21" t="s">
        <v>3197</v>
      </c>
      <c r="F778" s="21" t="s">
        <v>3198</v>
      </c>
      <c r="G778" s="20" t="s">
        <v>35</v>
      </c>
      <c r="H778" s="20" t="s">
        <v>25</v>
      </c>
      <c r="I778" s="21" t="s">
        <v>3199</v>
      </c>
      <c r="J778" s="22">
        <f t="shared" si="60"/>
        <v>30.9576388888891</v>
      </c>
      <c r="K778" s="22">
        <f t="shared" si="61"/>
        <v>742.983333333337</v>
      </c>
      <c r="L778" s="22">
        <f t="shared" si="62"/>
        <v>246.983333333337</v>
      </c>
      <c r="M778" s="22" cm="1">
        <f ca="1" t="array" ref="M778">SUMPRODUCT(--(WEEKDAY(ROW(INDIRECT(INT(F778)&amp;":"&amp;INT(I778))),2)&gt;5))</f>
        <v>8</v>
      </c>
      <c r="N778" s="22">
        <f ca="1" t="shared" si="63"/>
        <v>182.983333333337</v>
      </c>
      <c r="O778" s="22" t="str">
        <f ca="1" t="shared" si="64"/>
        <v>SLA Violated</v>
      </c>
      <c r="P778" s="23" t="s">
        <v>3200</v>
      </c>
      <c r="Q778" s="24" t="s">
        <v>37</v>
      </c>
      <c r="R778" s="25" t="s">
        <v>129</v>
      </c>
      <c r="S778" s="25" t="s">
        <v>39</v>
      </c>
    </row>
    <row r="779" ht="27" customHeight="1" spans="1:19">
      <c r="A779" s="19" t="s">
        <v>3201</v>
      </c>
      <c r="B779" s="20" t="s">
        <v>30</v>
      </c>
      <c r="C779" s="20" t="s">
        <v>2057</v>
      </c>
      <c r="D779" s="20" t="s">
        <v>105</v>
      </c>
      <c r="E779" s="21" t="s">
        <v>3202</v>
      </c>
      <c r="F779" s="21" t="s">
        <v>3203</v>
      </c>
      <c r="G779" s="20" t="s">
        <v>35</v>
      </c>
      <c r="H779" s="20" t="s">
        <v>25</v>
      </c>
      <c r="I779" s="21" t="s">
        <v>3204</v>
      </c>
      <c r="J779" s="22">
        <f t="shared" si="60"/>
        <v>6.94236111110513</v>
      </c>
      <c r="K779" s="22">
        <f t="shared" si="61"/>
        <v>166.616666666523</v>
      </c>
      <c r="L779" s="22">
        <f t="shared" si="62"/>
        <v>54.6166666665231</v>
      </c>
      <c r="M779" s="22" cm="1">
        <f ca="1" t="array" ref="M779">SUMPRODUCT(--(WEEKDAY(ROW(INDIRECT(INT(F779)&amp;":"&amp;INT(I779))),2)&gt;5))</f>
        <v>2</v>
      </c>
      <c r="N779" s="22">
        <f ca="1" t="shared" si="63"/>
        <v>38.6166666665231</v>
      </c>
      <c r="O779" s="22" t="str">
        <f ca="1" t="shared" si="64"/>
        <v>SLA Violated</v>
      </c>
      <c r="P779" s="23" t="s">
        <v>3205</v>
      </c>
      <c r="Q779" s="24" t="s">
        <v>28</v>
      </c>
      <c r="R779" s="25"/>
      <c r="S779" s="25"/>
    </row>
    <row r="780" ht="39" customHeight="1" spans="1:19">
      <c r="A780" s="19" t="s">
        <v>3206</v>
      </c>
      <c r="B780" s="20" t="s">
        <v>19</v>
      </c>
      <c r="C780" s="20" t="s">
        <v>20</v>
      </c>
      <c r="D780" s="20" t="s">
        <v>32</v>
      </c>
      <c r="E780" s="21" t="s">
        <v>3026</v>
      </c>
      <c r="F780" s="21" t="s">
        <v>3207</v>
      </c>
      <c r="G780" s="20" t="s">
        <v>35</v>
      </c>
      <c r="H780" s="20" t="s">
        <v>25</v>
      </c>
      <c r="I780" s="21" t="s">
        <v>3208</v>
      </c>
      <c r="J780" s="22">
        <f t="shared" si="60"/>
        <v>0.120138888894871</v>
      </c>
      <c r="K780" s="22">
        <f t="shared" si="61"/>
        <v>2.88333333347691</v>
      </c>
      <c r="L780" s="22">
        <f t="shared" si="62"/>
        <v>2.88333333347691</v>
      </c>
      <c r="M780" s="22" cm="1">
        <f ca="1" t="array" ref="M780">SUMPRODUCT(--(WEEKDAY(ROW(INDIRECT(INT(F780)&amp;":"&amp;INT(I780))),2)&gt;5))</f>
        <v>0</v>
      </c>
      <c r="N780" s="22">
        <f ca="1" t="shared" si="63"/>
        <v>2.88333333347691</v>
      </c>
      <c r="O780" s="22" t="str">
        <f ca="1" t="shared" si="64"/>
        <v>Within SLA</v>
      </c>
      <c r="P780" s="26" t="s">
        <v>3206</v>
      </c>
      <c r="Q780" s="24" t="s">
        <v>37</v>
      </c>
      <c r="R780" s="25"/>
      <c r="S780" s="25"/>
    </row>
    <row r="781" ht="39" customHeight="1" spans="1:19">
      <c r="A781" s="19" t="s">
        <v>3209</v>
      </c>
      <c r="B781" s="20" t="s">
        <v>19</v>
      </c>
      <c r="C781" s="20" t="s">
        <v>20</v>
      </c>
      <c r="D781" s="20" t="s">
        <v>21</v>
      </c>
      <c r="E781" s="21" t="s">
        <v>3026</v>
      </c>
      <c r="F781" s="21" t="s">
        <v>3070</v>
      </c>
      <c r="G781" s="20" t="s">
        <v>24</v>
      </c>
      <c r="H781" s="20" t="s">
        <v>25</v>
      </c>
      <c r="I781" s="21" t="s">
        <v>3208</v>
      </c>
      <c r="J781" s="22">
        <f t="shared" si="60"/>
        <v>31.2881944444453</v>
      </c>
      <c r="K781" s="22">
        <f t="shared" si="61"/>
        <v>750.916666666686</v>
      </c>
      <c r="L781" s="22">
        <f t="shared" si="62"/>
        <v>254.916666666686</v>
      </c>
      <c r="M781" s="22" cm="1">
        <f ca="1" t="array" ref="M781">SUMPRODUCT(--(WEEKDAY(ROW(INDIRECT(INT(F781)&amp;":"&amp;INT(I781))),2)&gt;5))</f>
        <v>8</v>
      </c>
      <c r="N781" s="22">
        <f ca="1" t="shared" si="63"/>
        <v>190.916666666686</v>
      </c>
      <c r="O781" s="22" t="str">
        <f ca="1" t="shared" si="64"/>
        <v>SLA Violated</v>
      </c>
      <c r="P781" s="23" t="s">
        <v>3210</v>
      </c>
      <c r="Q781" s="24" t="s">
        <v>28</v>
      </c>
      <c r="R781" s="25"/>
      <c r="S781" s="25"/>
    </row>
    <row r="782" ht="39" customHeight="1" spans="1:19">
      <c r="A782" s="19" t="s">
        <v>3211</v>
      </c>
      <c r="B782" s="20" t="s">
        <v>19</v>
      </c>
      <c r="C782" s="20" t="s">
        <v>20</v>
      </c>
      <c r="D782" s="20" t="s">
        <v>32</v>
      </c>
      <c r="E782" s="21" t="s">
        <v>3212</v>
      </c>
      <c r="F782" s="21" t="s">
        <v>3213</v>
      </c>
      <c r="G782" s="20" t="s">
        <v>35</v>
      </c>
      <c r="H782" s="20" t="s">
        <v>25</v>
      </c>
      <c r="I782" s="21" t="s">
        <v>3214</v>
      </c>
      <c r="J782" s="22">
        <f t="shared" si="60"/>
        <v>29.3000000000029</v>
      </c>
      <c r="K782" s="22">
        <f t="shared" si="61"/>
        <v>703.20000000007</v>
      </c>
      <c r="L782" s="22">
        <f t="shared" si="62"/>
        <v>239.20000000007</v>
      </c>
      <c r="M782" s="22" cm="1">
        <f ca="1" t="array" ref="M782">SUMPRODUCT(--(WEEKDAY(ROW(INDIRECT(INT(F782)&amp;":"&amp;INT(I782))),2)&gt;5))</f>
        <v>8</v>
      </c>
      <c r="N782" s="22">
        <f ca="1" t="shared" si="63"/>
        <v>175.20000000007</v>
      </c>
      <c r="O782" s="22" t="str">
        <f ca="1" t="shared" si="64"/>
        <v>SLA Violated</v>
      </c>
      <c r="P782" s="23" t="s">
        <v>3215</v>
      </c>
      <c r="Q782" s="24" t="s">
        <v>28</v>
      </c>
      <c r="R782" s="25"/>
      <c r="S782" s="25"/>
    </row>
    <row r="783" ht="27" customHeight="1" spans="1:19">
      <c r="A783" s="19" t="s">
        <v>3216</v>
      </c>
      <c r="B783" s="20" t="s">
        <v>30</v>
      </c>
      <c r="C783" s="20" t="s">
        <v>31</v>
      </c>
      <c r="D783" s="20" t="s">
        <v>105</v>
      </c>
      <c r="E783" s="21" t="s">
        <v>3093</v>
      </c>
      <c r="F783" s="21" t="s">
        <v>3217</v>
      </c>
      <c r="G783" s="20" t="s">
        <v>35</v>
      </c>
      <c r="H783" s="20" t="s">
        <v>25</v>
      </c>
      <c r="I783" s="21" t="s">
        <v>3218</v>
      </c>
      <c r="J783" s="22">
        <f t="shared" si="60"/>
        <v>2.04583333332994</v>
      </c>
      <c r="K783" s="22">
        <f t="shared" si="61"/>
        <v>49.0999999999185</v>
      </c>
      <c r="L783" s="22">
        <f t="shared" si="62"/>
        <v>17.0999999999185</v>
      </c>
      <c r="M783" s="22" cm="1">
        <f ca="1" t="array" ref="M783">SUMPRODUCT(--(WEEKDAY(ROW(INDIRECT(INT(F783)&amp;":"&amp;INT(I783))),2)&gt;5))</f>
        <v>0</v>
      </c>
      <c r="N783" s="22">
        <f ca="1" t="shared" si="63"/>
        <v>17.0999999999185</v>
      </c>
      <c r="O783" s="22" t="str">
        <f ca="1" t="shared" si="64"/>
        <v>SLA Violated</v>
      </c>
      <c r="P783" s="23" t="s">
        <v>3219</v>
      </c>
      <c r="Q783" s="24" t="s">
        <v>37</v>
      </c>
      <c r="R783" s="25" t="s">
        <v>3220</v>
      </c>
      <c r="S783" s="25" t="s">
        <v>39</v>
      </c>
    </row>
    <row r="784" ht="27" customHeight="1" spans="1:19">
      <c r="A784" s="19" t="s">
        <v>3221</v>
      </c>
      <c r="B784" s="20" t="s">
        <v>30</v>
      </c>
      <c r="C784" s="20" t="s">
        <v>31</v>
      </c>
      <c r="D784" s="20" t="s">
        <v>115</v>
      </c>
      <c r="E784" s="21" t="s">
        <v>3110</v>
      </c>
      <c r="F784" s="21" t="s">
        <v>3222</v>
      </c>
      <c r="G784" s="20" t="s">
        <v>35</v>
      </c>
      <c r="H784" s="20" t="s">
        <v>25</v>
      </c>
      <c r="I784" s="21" t="s">
        <v>3223</v>
      </c>
      <c r="J784" s="22">
        <f t="shared" si="60"/>
        <v>3.19444444444525</v>
      </c>
      <c r="K784" s="22">
        <f t="shared" si="61"/>
        <v>76.6666666666861</v>
      </c>
      <c r="L784" s="22">
        <f t="shared" si="62"/>
        <v>28.6666666666861</v>
      </c>
      <c r="M784" s="22" cm="1">
        <f ca="1" t="array" ref="M784">SUMPRODUCT(--(WEEKDAY(ROW(INDIRECT(INT(F784)&amp;":"&amp;INT(I784))),2)&gt;5))</f>
        <v>0</v>
      </c>
      <c r="N784" s="22">
        <f ca="1" t="shared" si="63"/>
        <v>28.6666666666861</v>
      </c>
      <c r="O784" s="22" t="str">
        <f ca="1" t="shared" si="64"/>
        <v>SLA Violated</v>
      </c>
      <c r="P784" s="23" t="s">
        <v>3224</v>
      </c>
      <c r="Q784" s="24" t="s">
        <v>28</v>
      </c>
      <c r="R784" s="25"/>
      <c r="S784" s="25"/>
    </row>
    <row r="785" ht="27" customHeight="1" spans="1:19">
      <c r="A785" s="19" t="s">
        <v>3225</v>
      </c>
      <c r="B785" s="20" t="s">
        <v>30</v>
      </c>
      <c r="C785" s="20" t="s">
        <v>31</v>
      </c>
      <c r="D785" s="20" t="s">
        <v>32</v>
      </c>
      <c r="E785" s="21" t="s">
        <v>3110</v>
      </c>
      <c r="F785" s="21" t="s">
        <v>3226</v>
      </c>
      <c r="G785" s="20" t="s">
        <v>24</v>
      </c>
      <c r="H785" s="20" t="s">
        <v>25</v>
      </c>
      <c r="I785" s="21" t="s">
        <v>3227</v>
      </c>
      <c r="J785" s="22">
        <f t="shared" si="60"/>
        <v>1.0402777777781</v>
      </c>
      <c r="K785" s="22">
        <f t="shared" si="61"/>
        <v>24.9666666666744</v>
      </c>
      <c r="L785" s="22">
        <f t="shared" si="62"/>
        <v>8.96666666667443</v>
      </c>
      <c r="M785" s="22" cm="1">
        <f ca="1" t="array" ref="M785">SUMPRODUCT(--(WEEKDAY(ROW(INDIRECT(INT(F785)&amp;":"&amp;INT(I785))),2)&gt;5))</f>
        <v>0</v>
      </c>
      <c r="N785" s="22">
        <f ca="1" t="shared" si="63"/>
        <v>8.96666666667443</v>
      </c>
      <c r="O785" s="22" t="str">
        <f ca="1" t="shared" si="64"/>
        <v>Within SLA</v>
      </c>
      <c r="P785" s="26" t="s">
        <v>3225</v>
      </c>
      <c r="Q785" s="24" t="s">
        <v>37</v>
      </c>
      <c r="R785" s="25"/>
      <c r="S785" s="25"/>
    </row>
    <row r="786" ht="27" customHeight="1" spans="1:19">
      <c r="A786" s="19" t="s">
        <v>3228</v>
      </c>
      <c r="B786" s="20" t="s">
        <v>30</v>
      </c>
      <c r="C786" s="20" t="s">
        <v>31</v>
      </c>
      <c r="D786" s="20" t="s">
        <v>21</v>
      </c>
      <c r="E786" s="21" t="s">
        <v>3229</v>
      </c>
      <c r="F786" s="21" t="s">
        <v>3230</v>
      </c>
      <c r="G786" s="20" t="s">
        <v>35</v>
      </c>
      <c r="H786" s="20" t="s">
        <v>25</v>
      </c>
      <c r="I786" s="21" t="s">
        <v>3231</v>
      </c>
      <c r="J786" s="22">
        <f t="shared" si="60"/>
        <v>2.15277777778101</v>
      </c>
      <c r="K786" s="22">
        <f t="shared" si="61"/>
        <v>51.6666666667443</v>
      </c>
      <c r="L786" s="22">
        <f t="shared" si="62"/>
        <v>19.6666666667443</v>
      </c>
      <c r="M786" s="22" cm="1">
        <f ca="1" t="array" ref="M786">SUMPRODUCT(--(WEEKDAY(ROW(INDIRECT(INT(F786)&amp;":"&amp;INT(I786))),2)&gt;5))</f>
        <v>0</v>
      </c>
      <c r="N786" s="22">
        <f ca="1" t="shared" si="63"/>
        <v>19.6666666667443</v>
      </c>
      <c r="O786" s="22" t="str">
        <f ca="1" t="shared" si="64"/>
        <v>SLA Violated</v>
      </c>
      <c r="P786" s="23" t="s">
        <v>3232</v>
      </c>
      <c r="Q786" s="24" t="s">
        <v>28</v>
      </c>
      <c r="R786" s="25"/>
      <c r="S786" s="25"/>
    </row>
    <row r="787" ht="39" customHeight="1" spans="1:19">
      <c r="A787" s="19" t="s">
        <v>3233</v>
      </c>
      <c r="B787" s="20" t="s">
        <v>19</v>
      </c>
      <c r="C787" s="20" t="s">
        <v>20</v>
      </c>
      <c r="D787" s="20" t="s">
        <v>21</v>
      </c>
      <c r="E787" s="21" t="s">
        <v>3129</v>
      </c>
      <c r="F787" s="21" t="s">
        <v>3234</v>
      </c>
      <c r="G787" s="20" t="s">
        <v>35</v>
      </c>
      <c r="H787" s="20" t="s">
        <v>25</v>
      </c>
      <c r="I787" s="21" t="s">
        <v>2250</v>
      </c>
      <c r="J787" s="22">
        <f t="shared" si="60"/>
        <v>18.1458333333358</v>
      </c>
      <c r="K787" s="22">
        <f t="shared" si="61"/>
        <v>435.500000000058</v>
      </c>
      <c r="L787" s="22">
        <f t="shared" si="62"/>
        <v>147.500000000058</v>
      </c>
      <c r="M787" s="22" cm="1">
        <f ca="1" t="array" ref="M787">SUMPRODUCT(--(WEEKDAY(ROW(INDIRECT(INT(F787)&amp;":"&amp;INT(I787))),2)&gt;5))</f>
        <v>4</v>
      </c>
      <c r="N787" s="22">
        <f ca="1" t="shared" si="63"/>
        <v>115.500000000058</v>
      </c>
      <c r="O787" s="22" t="str">
        <f ca="1" t="shared" si="64"/>
        <v>SLA Violated</v>
      </c>
      <c r="P787" s="23" t="s">
        <v>3235</v>
      </c>
      <c r="Q787" s="24" t="s">
        <v>28</v>
      </c>
      <c r="R787" s="25"/>
      <c r="S787" s="25"/>
    </row>
    <row r="788" ht="27" customHeight="1" spans="1:19">
      <c r="A788" s="19" t="s">
        <v>3236</v>
      </c>
      <c r="B788" s="20" t="s">
        <v>30</v>
      </c>
      <c r="C788" s="20" t="s">
        <v>31</v>
      </c>
      <c r="D788" s="20" t="s">
        <v>32</v>
      </c>
      <c r="E788" s="21" t="s">
        <v>3166</v>
      </c>
      <c r="F788" s="21" t="s">
        <v>3237</v>
      </c>
      <c r="G788" s="20" t="s">
        <v>35</v>
      </c>
      <c r="H788" s="20" t="s">
        <v>25</v>
      </c>
      <c r="I788" s="21" t="s">
        <v>3238</v>
      </c>
      <c r="J788" s="22">
        <f t="shared" si="60"/>
        <v>0.167361111110949</v>
      </c>
      <c r="K788" s="22">
        <f t="shared" si="61"/>
        <v>4.01666666666279</v>
      </c>
      <c r="L788" s="22">
        <f t="shared" si="62"/>
        <v>4.01666666666279</v>
      </c>
      <c r="M788" s="22" cm="1">
        <f ca="1" t="array" ref="M788">SUMPRODUCT(--(WEEKDAY(ROW(INDIRECT(INT(F788)&amp;":"&amp;INT(I788))),2)&gt;5))</f>
        <v>0</v>
      </c>
      <c r="N788" s="22">
        <f ca="1" t="shared" si="63"/>
        <v>4.01666666666279</v>
      </c>
      <c r="O788" s="22" t="str">
        <f ca="1" t="shared" si="64"/>
        <v>Within SLA</v>
      </c>
      <c r="P788" s="26" t="s">
        <v>3236</v>
      </c>
      <c r="Q788" s="24" t="s">
        <v>37</v>
      </c>
      <c r="R788" s="25"/>
      <c r="S788" s="25"/>
    </row>
    <row r="789" ht="27" customHeight="1" spans="1:19">
      <c r="A789" s="19" t="s">
        <v>3239</v>
      </c>
      <c r="B789" s="20" t="s">
        <v>30</v>
      </c>
      <c r="C789" s="20" t="s">
        <v>31</v>
      </c>
      <c r="D789" s="20" t="s">
        <v>32</v>
      </c>
      <c r="E789" s="21" t="s">
        <v>3240</v>
      </c>
      <c r="F789" s="21" t="s">
        <v>3241</v>
      </c>
      <c r="G789" s="20" t="s">
        <v>35</v>
      </c>
      <c r="H789" s="20" t="s">
        <v>25</v>
      </c>
      <c r="I789" s="21" t="s">
        <v>3242</v>
      </c>
      <c r="J789" s="22">
        <f t="shared" si="60"/>
        <v>0.138194444443798</v>
      </c>
      <c r="K789" s="22">
        <f t="shared" si="61"/>
        <v>3.31666666665114</v>
      </c>
      <c r="L789" s="22">
        <f t="shared" si="62"/>
        <v>3.31666666665114</v>
      </c>
      <c r="M789" s="22" cm="1">
        <f ca="1" t="array" ref="M789">SUMPRODUCT(--(WEEKDAY(ROW(INDIRECT(INT(F789)&amp;":"&amp;INT(I789))),2)&gt;5))</f>
        <v>0</v>
      </c>
      <c r="N789" s="22">
        <f ca="1" t="shared" si="63"/>
        <v>3.31666666665114</v>
      </c>
      <c r="O789" s="22" t="str">
        <f ca="1" t="shared" si="64"/>
        <v>Within SLA</v>
      </c>
      <c r="P789" s="26" t="s">
        <v>3239</v>
      </c>
      <c r="Q789" s="24" t="s">
        <v>37</v>
      </c>
      <c r="R789" s="25"/>
      <c r="S789" s="25"/>
    </row>
    <row r="790" ht="27" customHeight="1" spans="1:19">
      <c r="A790" s="19" t="s">
        <v>3243</v>
      </c>
      <c r="B790" s="20" t="s">
        <v>30</v>
      </c>
      <c r="C790" s="20" t="s">
        <v>2057</v>
      </c>
      <c r="D790" s="20" t="s">
        <v>32</v>
      </c>
      <c r="E790" s="21" t="s">
        <v>3244</v>
      </c>
      <c r="F790" s="21" t="s">
        <v>3245</v>
      </c>
      <c r="G790" s="20" t="s">
        <v>24</v>
      </c>
      <c r="H790" s="20" t="s">
        <v>25</v>
      </c>
      <c r="I790" s="21" t="s">
        <v>3246</v>
      </c>
      <c r="J790" s="22">
        <f t="shared" si="60"/>
        <v>1.99930555556057</v>
      </c>
      <c r="K790" s="22">
        <f t="shared" si="61"/>
        <v>47.9833333334536</v>
      </c>
      <c r="L790" s="22">
        <f t="shared" si="62"/>
        <v>15.9833333334536</v>
      </c>
      <c r="M790" s="22" cm="1">
        <f ca="1" t="array" ref="M790">SUMPRODUCT(--(WEEKDAY(ROW(INDIRECT(INT(F790)&amp;":"&amp;INT(I790))),2)&gt;5))</f>
        <v>0</v>
      </c>
      <c r="N790" s="22">
        <f ca="1" t="shared" si="63"/>
        <v>15.9833333334536</v>
      </c>
      <c r="O790" s="22" t="str">
        <f ca="1" t="shared" si="64"/>
        <v>SLA Violated</v>
      </c>
      <c r="P790" s="23" t="s">
        <v>3247</v>
      </c>
      <c r="Q790" s="24" t="s">
        <v>28</v>
      </c>
      <c r="R790" s="25"/>
      <c r="S790" s="25"/>
    </row>
    <row r="791" ht="39" customHeight="1" spans="1:19">
      <c r="A791" s="19" t="s">
        <v>3248</v>
      </c>
      <c r="B791" s="20" t="s">
        <v>19</v>
      </c>
      <c r="C791" s="20" t="s">
        <v>20</v>
      </c>
      <c r="D791" s="20" t="s">
        <v>32</v>
      </c>
      <c r="E791" s="21" t="s">
        <v>3244</v>
      </c>
      <c r="F791" s="21" t="s">
        <v>3249</v>
      </c>
      <c r="G791" s="20" t="s">
        <v>24</v>
      </c>
      <c r="H791" s="20" t="s">
        <v>25</v>
      </c>
      <c r="I791" s="21" t="s">
        <v>3250</v>
      </c>
      <c r="J791" s="22">
        <f t="shared" si="60"/>
        <v>31.2687500000029</v>
      </c>
      <c r="K791" s="22">
        <f t="shared" si="61"/>
        <v>750.45000000007</v>
      </c>
      <c r="L791" s="22">
        <f t="shared" si="62"/>
        <v>254.45000000007</v>
      </c>
      <c r="M791" s="22" cm="1">
        <f ca="1" t="array" ref="M791">SUMPRODUCT(--(WEEKDAY(ROW(INDIRECT(INT(F791)&amp;":"&amp;INT(I791))),2)&gt;5))</f>
        <v>8</v>
      </c>
      <c r="N791" s="22">
        <f ca="1" t="shared" si="63"/>
        <v>190.45000000007</v>
      </c>
      <c r="O791" s="22" t="str">
        <f ca="1" t="shared" si="64"/>
        <v>SLA Violated</v>
      </c>
      <c r="P791" s="23" t="s">
        <v>3251</v>
      </c>
      <c r="Q791" s="24" t="s">
        <v>28</v>
      </c>
      <c r="R791" s="25"/>
      <c r="S791" s="25"/>
    </row>
    <row r="792" ht="39" customHeight="1" spans="1:19">
      <c r="A792" s="19" t="s">
        <v>3252</v>
      </c>
      <c r="B792" s="20" t="s">
        <v>1076</v>
      </c>
      <c r="C792" s="20" t="s">
        <v>46</v>
      </c>
      <c r="D792" s="20" t="s">
        <v>32</v>
      </c>
      <c r="E792" s="21" t="s">
        <v>3253</v>
      </c>
      <c r="F792" s="21" t="s">
        <v>3254</v>
      </c>
      <c r="G792" s="20" t="s">
        <v>35</v>
      </c>
      <c r="H792" s="20" t="s">
        <v>25</v>
      </c>
      <c r="I792" s="21" t="s">
        <v>3255</v>
      </c>
      <c r="J792" s="22">
        <f t="shared" si="60"/>
        <v>0.145138888889051</v>
      </c>
      <c r="K792" s="22">
        <f t="shared" si="61"/>
        <v>3.48333333333721</v>
      </c>
      <c r="L792" s="22">
        <f t="shared" si="62"/>
        <v>3.48333333333721</v>
      </c>
      <c r="M792" s="22" cm="1">
        <f ca="1" t="array" ref="M792">SUMPRODUCT(--(WEEKDAY(ROW(INDIRECT(INT(F792)&amp;":"&amp;INT(I792))),2)&gt;5))</f>
        <v>0</v>
      </c>
      <c r="N792" s="22">
        <f ca="1" t="shared" si="63"/>
        <v>3.48333333333721</v>
      </c>
      <c r="O792" s="22" t="str">
        <f ca="1" t="shared" si="64"/>
        <v>Within SLA</v>
      </c>
      <c r="P792" s="26" t="s">
        <v>3252</v>
      </c>
      <c r="Q792" s="24" t="s">
        <v>37</v>
      </c>
      <c r="R792" s="25"/>
      <c r="S792" s="25"/>
    </row>
    <row r="793" ht="27" customHeight="1" spans="1:19">
      <c r="A793" s="19" t="s">
        <v>3256</v>
      </c>
      <c r="B793" s="20" t="s">
        <v>30</v>
      </c>
      <c r="C793" s="20" t="s">
        <v>31</v>
      </c>
      <c r="D793" s="20" t="s">
        <v>32</v>
      </c>
      <c r="E793" s="21" t="s">
        <v>3253</v>
      </c>
      <c r="F793" s="21" t="s">
        <v>3257</v>
      </c>
      <c r="G793" s="20" t="s">
        <v>35</v>
      </c>
      <c r="H793" s="20" t="s">
        <v>25</v>
      </c>
      <c r="I793" s="21" t="s">
        <v>3258</v>
      </c>
      <c r="J793" s="22">
        <f t="shared" si="60"/>
        <v>32.0201388888891</v>
      </c>
      <c r="K793" s="22">
        <f t="shared" si="61"/>
        <v>768.483333333337</v>
      </c>
      <c r="L793" s="22">
        <f t="shared" si="62"/>
        <v>256.483333333337</v>
      </c>
      <c r="M793" s="22" cm="1">
        <f ca="1" t="array" ref="M793">SUMPRODUCT(--(WEEKDAY(ROW(INDIRECT(INT(F793)&amp;":"&amp;INT(I793))),2)&gt;5))</f>
        <v>8</v>
      </c>
      <c r="N793" s="22">
        <f ca="1" t="shared" si="63"/>
        <v>192.483333333337</v>
      </c>
      <c r="O793" s="22" t="str">
        <f ca="1" t="shared" si="64"/>
        <v>SLA Violated</v>
      </c>
      <c r="P793" s="23" t="s">
        <v>3259</v>
      </c>
      <c r="Q793" s="24" t="s">
        <v>37</v>
      </c>
      <c r="R793" s="25" t="s">
        <v>733</v>
      </c>
      <c r="S793" s="25" t="s">
        <v>39</v>
      </c>
    </row>
    <row r="794" ht="27" customHeight="1" spans="1:19">
      <c r="A794" s="19" t="s">
        <v>3260</v>
      </c>
      <c r="B794" s="20" t="s">
        <v>30</v>
      </c>
      <c r="C794" s="20" t="s">
        <v>2057</v>
      </c>
      <c r="D794" s="20" t="s">
        <v>32</v>
      </c>
      <c r="E794" s="21" t="s">
        <v>3133</v>
      </c>
      <c r="F794" s="21" t="s">
        <v>3261</v>
      </c>
      <c r="G794" s="20" t="s">
        <v>24</v>
      </c>
      <c r="H794" s="20" t="s">
        <v>25</v>
      </c>
      <c r="I794" s="21" t="s">
        <v>3262</v>
      </c>
      <c r="J794" s="22">
        <f t="shared" si="60"/>
        <v>1.97499999999854</v>
      </c>
      <c r="K794" s="22">
        <f t="shared" si="61"/>
        <v>47.3999999999651</v>
      </c>
      <c r="L794" s="22">
        <f t="shared" si="62"/>
        <v>15.3999999999651</v>
      </c>
      <c r="M794" s="22" cm="1">
        <f ca="1" t="array" ref="M794">SUMPRODUCT(--(WEEKDAY(ROW(INDIRECT(INT(F794)&amp;":"&amp;INT(I794))),2)&gt;5))</f>
        <v>0</v>
      </c>
      <c r="N794" s="22">
        <f ca="1" t="shared" si="63"/>
        <v>15.3999999999651</v>
      </c>
      <c r="O794" s="22" t="str">
        <f ca="1" t="shared" si="64"/>
        <v>SLA Violated</v>
      </c>
      <c r="P794" s="23" t="s">
        <v>3263</v>
      </c>
      <c r="Q794" s="24" t="s">
        <v>28</v>
      </c>
      <c r="R794" s="25"/>
      <c r="S794" s="25"/>
    </row>
    <row r="795" ht="39" customHeight="1" spans="1:19">
      <c r="A795" s="19" t="s">
        <v>3264</v>
      </c>
      <c r="B795" s="20" t="s">
        <v>19</v>
      </c>
      <c r="C795" s="20" t="s">
        <v>20</v>
      </c>
      <c r="D795" s="20" t="s">
        <v>32</v>
      </c>
      <c r="E795" s="21" t="s">
        <v>3133</v>
      </c>
      <c r="F795" s="21" t="s">
        <v>3265</v>
      </c>
      <c r="G795" s="20" t="s">
        <v>35</v>
      </c>
      <c r="H795" s="20" t="s">
        <v>25</v>
      </c>
      <c r="I795" s="21" t="s">
        <v>3266</v>
      </c>
      <c r="J795" s="22">
        <f t="shared" si="60"/>
        <v>31.2576388888847</v>
      </c>
      <c r="K795" s="22">
        <f t="shared" si="61"/>
        <v>750.183333333232</v>
      </c>
      <c r="L795" s="22">
        <f t="shared" si="62"/>
        <v>254.183333333232</v>
      </c>
      <c r="M795" s="22" cm="1">
        <f ca="1" t="array" ref="M795">SUMPRODUCT(--(WEEKDAY(ROW(INDIRECT(INT(F795)&amp;":"&amp;INT(I795))),2)&gt;5))</f>
        <v>8</v>
      </c>
      <c r="N795" s="22">
        <f ca="1" t="shared" si="63"/>
        <v>190.183333333232</v>
      </c>
      <c r="O795" s="22" t="str">
        <f ca="1" t="shared" si="64"/>
        <v>SLA Violated</v>
      </c>
      <c r="P795" s="23" t="s">
        <v>3267</v>
      </c>
      <c r="Q795" s="24" t="s">
        <v>28</v>
      </c>
      <c r="R795" s="25"/>
      <c r="S795" s="25"/>
    </row>
    <row r="796" ht="39" customHeight="1" spans="1:19">
      <c r="A796" s="19" t="s">
        <v>3268</v>
      </c>
      <c r="B796" s="20" t="s">
        <v>196</v>
      </c>
      <c r="C796" s="20" t="s">
        <v>31</v>
      </c>
      <c r="D796" s="20" t="s">
        <v>32</v>
      </c>
      <c r="E796" s="21" t="s">
        <v>3269</v>
      </c>
      <c r="F796" s="21" t="s">
        <v>3270</v>
      </c>
      <c r="G796" s="20" t="s">
        <v>35</v>
      </c>
      <c r="H796" s="20" t="s">
        <v>25</v>
      </c>
      <c r="I796" s="21" t="s">
        <v>3271</v>
      </c>
      <c r="J796" s="22">
        <f t="shared" si="60"/>
        <v>1.12847222221899</v>
      </c>
      <c r="K796" s="22">
        <f t="shared" si="61"/>
        <v>27.0833333332557</v>
      </c>
      <c r="L796" s="22">
        <f t="shared" si="62"/>
        <v>11.0833333332557</v>
      </c>
      <c r="M796" s="22" cm="1">
        <f ca="1" t="array" ref="M796">SUMPRODUCT(--(WEEKDAY(ROW(INDIRECT(INT(F796)&amp;":"&amp;INT(I796))),2)&gt;5))</f>
        <v>0</v>
      </c>
      <c r="N796" s="22">
        <f ca="1" t="shared" si="63"/>
        <v>11.0833333332557</v>
      </c>
      <c r="O796" s="22" t="str">
        <f ca="1" t="shared" si="64"/>
        <v>Within SLA</v>
      </c>
      <c r="P796" s="26" t="s">
        <v>3268</v>
      </c>
      <c r="Q796" s="24" t="s">
        <v>37</v>
      </c>
      <c r="R796" s="25"/>
      <c r="S796" s="25"/>
    </row>
    <row r="797" ht="39" customHeight="1" spans="1:19">
      <c r="A797" s="19" t="s">
        <v>3272</v>
      </c>
      <c r="B797" s="20" t="s">
        <v>19</v>
      </c>
      <c r="C797" s="20" t="s">
        <v>20</v>
      </c>
      <c r="D797" s="20" t="s">
        <v>32</v>
      </c>
      <c r="E797" s="21" t="s">
        <v>2642</v>
      </c>
      <c r="F797" s="21" t="s">
        <v>3273</v>
      </c>
      <c r="G797" s="20" t="s">
        <v>35</v>
      </c>
      <c r="H797" s="20" t="s">
        <v>25</v>
      </c>
      <c r="I797" s="21" t="s">
        <v>3274</v>
      </c>
      <c r="J797" s="22">
        <f t="shared" si="60"/>
        <v>31.9236111111095</v>
      </c>
      <c r="K797" s="22">
        <f t="shared" si="61"/>
        <v>766.166666666628</v>
      </c>
      <c r="L797" s="22">
        <f t="shared" si="62"/>
        <v>254.166666666628</v>
      </c>
      <c r="M797" s="22" cm="1">
        <f ca="1" t="array" ref="M797">SUMPRODUCT(--(WEEKDAY(ROW(INDIRECT(INT(F797)&amp;":"&amp;INT(I797))),2)&gt;5))</f>
        <v>8</v>
      </c>
      <c r="N797" s="22">
        <f ca="1" t="shared" si="63"/>
        <v>190.166666666628</v>
      </c>
      <c r="O797" s="22" t="str">
        <f ca="1" t="shared" si="64"/>
        <v>SLA Violated</v>
      </c>
      <c r="P797" s="23" t="s">
        <v>3275</v>
      </c>
      <c r="Q797" s="24" t="s">
        <v>28</v>
      </c>
      <c r="R797" s="25"/>
      <c r="S797" s="25"/>
    </row>
    <row r="798" ht="27" customHeight="1" spans="1:19">
      <c r="A798" s="19" t="s">
        <v>3276</v>
      </c>
      <c r="B798" s="20" t="s">
        <v>30</v>
      </c>
      <c r="C798" s="20" t="s">
        <v>31</v>
      </c>
      <c r="D798" s="20" t="s">
        <v>32</v>
      </c>
      <c r="E798" s="21" t="s">
        <v>3277</v>
      </c>
      <c r="F798" s="21" t="s">
        <v>3278</v>
      </c>
      <c r="G798" s="20" t="s">
        <v>35</v>
      </c>
      <c r="H798" s="20" t="s">
        <v>25</v>
      </c>
      <c r="I798" s="21" t="s">
        <v>3279</v>
      </c>
      <c r="J798" s="22">
        <f t="shared" si="60"/>
        <v>0.0118055555503815</v>
      </c>
      <c r="K798" s="22">
        <f t="shared" si="61"/>
        <v>0.283333333209157</v>
      </c>
      <c r="L798" s="22">
        <f t="shared" si="62"/>
        <v>0.283333333209157</v>
      </c>
      <c r="M798" s="22" cm="1">
        <f ca="1" t="array" ref="M798">SUMPRODUCT(--(WEEKDAY(ROW(INDIRECT(INT(F798)&amp;":"&amp;INT(I798))),2)&gt;5))</f>
        <v>0</v>
      </c>
      <c r="N798" s="22">
        <f ca="1" t="shared" si="63"/>
        <v>0.283333333209157</v>
      </c>
      <c r="O798" s="22" t="str">
        <f ca="1" t="shared" si="64"/>
        <v>Within SLA</v>
      </c>
      <c r="P798" s="26" t="s">
        <v>3276</v>
      </c>
      <c r="Q798" s="24" t="s">
        <v>37</v>
      </c>
      <c r="R798" s="25"/>
      <c r="S798" s="25"/>
    </row>
    <row r="799" ht="27" customHeight="1" spans="1:19">
      <c r="A799" s="19" t="s">
        <v>3280</v>
      </c>
      <c r="B799" s="20" t="s">
        <v>30</v>
      </c>
      <c r="C799" s="20" t="s">
        <v>2057</v>
      </c>
      <c r="D799" s="20" t="s">
        <v>32</v>
      </c>
      <c r="E799" s="21" t="s">
        <v>3281</v>
      </c>
      <c r="F799" s="21" t="s">
        <v>3282</v>
      </c>
      <c r="G799" s="20" t="s">
        <v>24</v>
      </c>
      <c r="H799" s="20" t="s">
        <v>25</v>
      </c>
      <c r="I799" s="21" t="s">
        <v>3283</v>
      </c>
      <c r="J799" s="22">
        <f t="shared" si="60"/>
        <v>1.94999999999709</v>
      </c>
      <c r="K799" s="22">
        <f t="shared" si="61"/>
        <v>46.7999999999302</v>
      </c>
      <c r="L799" s="22">
        <f t="shared" si="62"/>
        <v>14.7999999999302</v>
      </c>
      <c r="M799" s="22" cm="1">
        <f ca="1" t="array" ref="M799">SUMPRODUCT(--(WEEKDAY(ROW(INDIRECT(INT(F799)&amp;":"&amp;INT(I799))),2)&gt;5))</f>
        <v>0</v>
      </c>
      <c r="N799" s="22">
        <f ca="1" t="shared" si="63"/>
        <v>14.7999999999302</v>
      </c>
      <c r="O799" s="22" t="str">
        <f ca="1" t="shared" si="64"/>
        <v>SLA Violated</v>
      </c>
      <c r="P799" s="23" t="s">
        <v>3284</v>
      </c>
      <c r="Q799" s="24" t="s">
        <v>28</v>
      </c>
      <c r="R799" s="25"/>
      <c r="S799" s="25"/>
    </row>
    <row r="800" ht="27" customHeight="1" spans="1:19">
      <c r="A800" s="19" t="s">
        <v>3285</v>
      </c>
      <c r="B800" s="20" t="s">
        <v>30</v>
      </c>
      <c r="C800" s="20" t="s">
        <v>2057</v>
      </c>
      <c r="D800" s="20" t="s">
        <v>21</v>
      </c>
      <c r="E800" s="21" t="s">
        <v>3279</v>
      </c>
      <c r="F800" s="21" t="s">
        <v>3286</v>
      </c>
      <c r="G800" s="20" t="s">
        <v>35</v>
      </c>
      <c r="H800" s="20" t="s">
        <v>25</v>
      </c>
      <c r="I800" s="21" t="s">
        <v>3287</v>
      </c>
      <c r="J800" s="22">
        <f t="shared" si="60"/>
        <v>0.986805555556202</v>
      </c>
      <c r="K800" s="22">
        <f t="shared" si="61"/>
        <v>23.6833333333489</v>
      </c>
      <c r="L800" s="22">
        <f t="shared" si="62"/>
        <v>7.68333333334886</v>
      </c>
      <c r="M800" s="22" cm="1">
        <f ca="1" t="array" ref="M800">SUMPRODUCT(--(WEEKDAY(ROW(INDIRECT(INT(F800)&amp;":"&amp;INT(I800))),2)&gt;5))</f>
        <v>0</v>
      </c>
      <c r="N800" s="22">
        <f ca="1" t="shared" si="63"/>
        <v>7.68333333334886</v>
      </c>
      <c r="O800" s="22" t="str">
        <f ca="1" t="shared" si="64"/>
        <v>SLA Violated</v>
      </c>
      <c r="P800" s="26" t="s">
        <v>3285</v>
      </c>
      <c r="Q800" s="24" t="s">
        <v>37</v>
      </c>
      <c r="R800" s="6" t="s">
        <v>3288</v>
      </c>
      <c r="S800" s="25" t="s">
        <v>39</v>
      </c>
    </row>
    <row r="801" ht="39" customHeight="1" spans="1:19">
      <c r="A801" s="19" t="s">
        <v>3289</v>
      </c>
      <c r="B801" s="20" t="s">
        <v>19</v>
      </c>
      <c r="C801" s="20" t="s">
        <v>20</v>
      </c>
      <c r="D801" s="20" t="s">
        <v>32</v>
      </c>
      <c r="E801" s="21" t="s">
        <v>3279</v>
      </c>
      <c r="F801" s="21" t="s">
        <v>3290</v>
      </c>
      <c r="G801" s="20" t="s">
        <v>35</v>
      </c>
      <c r="H801" s="20" t="s">
        <v>25</v>
      </c>
      <c r="I801" s="21" t="s">
        <v>3291</v>
      </c>
      <c r="J801" s="22">
        <f t="shared" si="60"/>
        <v>15.1076388888832</v>
      </c>
      <c r="K801" s="22">
        <f t="shared" si="61"/>
        <v>362.583333333198</v>
      </c>
      <c r="L801" s="22">
        <f t="shared" si="62"/>
        <v>122.583333333198</v>
      </c>
      <c r="M801" s="22" cm="1">
        <f ca="1" t="array" ref="M801">SUMPRODUCT(--(WEEKDAY(ROW(INDIRECT(INT(F801)&amp;":"&amp;INT(I801))),2)&gt;5))</f>
        <v>4</v>
      </c>
      <c r="N801" s="22">
        <f ca="1" t="shared" si="63"/>
        <v>90.583333333198</v>
      </c>
      <c r="O801" s="22" t="str">
        <f ca="1" t="shared" si="64"/>
        <v>SLA Violated</v>
      </c>
      <c r="P801" s="23" t="s">
        <v>3292</v>
      </c>
      <c r="Q801" s="24" t="s">
        <v>28</v>
      </c>
      <c r="R801" s="25"/>
      <c r="S801" s="25"/>
    </row>
    <row r="802" ht="27" customHeight="1" spans="1:19">
      <c r="A802" s="19" t="s">
        <v>3293</v>
      </c>
      <c r="B802" s="20" t="s">
        <v>121</v>
      </c>
      <c r="C802" s="20" t="s">
        <v>849</v>
      </c>
      <c r="D802" s="20" t="s">
        <v>21</v>
      </c>
      <c r="E802" s="21" t="s">
        <v>3294</v>
      </c>
      <c r="F802" s="21" t="s">
        <v>3295</v>
      </c>
      <c r="G802" s="20" t="s">
        <v>35</v>
      </c>
      <c r="H802" s="20" t="s">
        <v>25</v>
      </c>
      <c r="I802" s="21" t="s">
        <v>3296</v>
      </c>
      <c r="J802" s="22">
        <f t="shared" si="60"/>
        <v>11.0465277777766</v>
      </c>
      <c r="K802" s="22">
        <f t="shared" si="61"/>
        <v>265.11666666664</v>
      </c>
      <c r="L802" s="22">
        <f t="shared" si="62"/>
        <v>89.1166666666395</v>
      </c>
      <c r="M802" s="22" cm="1">
        <f ca="1" t="array" ref="M802">SUMPRODUCT(--(WEEKDAY(ROW(INDIRECT(INT(F802)&amp;":"&amp;INT(I802))),2)&gt;5))</f>
        <v>2</v>
      </c>
      <c r="N802" s="22">
        <f ca="1" t="shared" si="63"/>
        <v>73.1166666666395</v>
      </c>
      <c r="O802" s="22" t="str">
        <f ca="1" t="shared" si="64"/>
        <v>SLA Violated</v>
      </c>
      <c r="P802" s="23" t="s">
        <v>3297</v>
      </c>
      <c r="Q802" s="24" t="s">
        <v>28</v>
      </c>
      <c r="R802" s="25"/>
      <c r="S802" s="25"/>
    </row>
    <row r="803" ht="39" customHeight="1" spans="1:19">
      <c r="A803" s="19" t="s">
        <v>3298</v>
      </c>
      <c r="B803" s="20" t="s">
        <v>19</v>
      </c>
      <c r="C803" s="20" t="s">
        <v>20</v>
      </c>
      <c r="D803" s="20" t="s">
        <v>32</v>
      </c>
      <c r="E803" s="21" t="s">
        <v>3294</v>
      </c>
      <c r="F803" s="21" t="s">
        <v>3299</v>
      </c>
      <c r="G803" s="20" t="s">
        <v>35</v>
      </c>
      <c r="H803" s="20" t="s">
        <v>25</v>
      </c>
      <c r="I803" s="21" t="s">
        <v>3299</v>
      </c>
      <c r="J803" s="22">
        <f t="shared" si="60"/>
        <v>0</v>
      </c>
      <c r="K803" s="22">
        <f t="shared" si="61"/>
        <v>0</v>
      </c>
      <c r="L803" s="22">
        <f t="shared" si="62"/>
        <v>0</v>
      </c>
      <c r="M803" s="22" cm="1">
        <f ca="1" t="array" ref="M803">SUMPRODUCT(--(WEEKDAY(ROW(INDIRECT(INT(F803)&amp;":"&amp;INT(I803))),2)&gt;5))</f>
        <v>0</v>
      </c>
      <c r="N803" s="22">
        <f ca="1" t="shared" si="63"/>
        <v>0</v>
      </c>
      <c r="O803" s="22" t="str">
        <f ca="1" t="shared" si="64"/>
        <v>Within SLA</v>
      </c>
      <c r="P803" s="26" t="s">
        <v>3298</v>
      </c>
      <c r="Q803" s="24" t="s">
        <v>37</v>
      </c>
      <c r="R803" s="25"/>
      <c r="S803" s="25"/>
    </row>
    <row r="804" ht="27" customHeight="1" spans="1:19">
      <c r="A804" s="19" t="s">
        <v>3300</v>
      </c>
      <c r="B804" s="20" t="s">
        <v>30</v>
      </c>
      <c r="C804" s="20" t="s">
        <v>2057</v>
      </c>
      <c r="D804" s="20" t="s">
        <v>32</v>
      </c>
      <c r="E804" s="21" t="s">
        <v>2680</v>
      </c>
      <c r="F804" s="21" t="s">
        <v>3301</v>
      </c>
      <c r="G804" s="20" t="s">
        <v>24</v>
      </c>
      <c r="H804" s="20" t="s">
        <v>25</v>
      </c>
      <c r="I804" s="21" t="s">
        <v>2831</v>
      </c>
      <c r="J804" s="22">
        <f t="shared" si="60"/>
        <v>1.89027777777665</v>
      </c>
      <c r="K804" s="22">
        <f t="shared" si="61"/>
        <v>45.3666666666395</v>
      </c>
      <c r="L804" s="22">
        <f t="shared" si="62"/>
        <v>13.3666666666395</v>
      </c>
      <c r="M804" s="22" cm="1">
        <f ca="1" t="array" ref="M804">SUMPRODUCT(--(WEEKDAY(ROW(INDIRECT(INT(F804)&amp;":"&amp;INT(I804))),2)&gt;5))</f>
        <v>0</v>
      </c>
      <c r="N804" s="22">
        <f ca="1" t="shared" si="63"/>
        <v>13.3666666666395</v>
      </c>
      <c r="O804" s="22" t="str">
        <f ca="1" t="shared" si="64"/>
        <v>SLA Violated</v>
      </c>
      <c r="P804" s="23" t="s">
        <v>3302</v>
      </c>
      <c r="Q804" s="24" t="s">
        <v>28</v>
      </c>
      <c r="R804" s="25"/>
      <c r="S804" s="25"/>
    </row>
    <row r="805" ht="27" customHeight="1" spans="1:19">
      <c r="A805" s="19" t="s">
        <v>3303</v>
      </c>
      <c r="B805" s="20" t="s">
        <v>30</v>
      </c>
      <c r="C805" s="20" t="s">
        <v>2057</v>
      </c>
      <c r="D805" s="20" t="s">
        <v>32</v>
      </c>
      <c r="E805" s="21" t="s">
        <v>3304</v>
      </c>
      <c r="F805" s="21" t="s">
        <v>3305</v>
      </c>
      <c r="G805" s="20" t="s">
        <v>35</v>
      </c>
      <c r="H805" s="20" t="s">
        <v>25</v>
      </c>
      <c r="I805" s="21" t="s">
        <v>3306</v>
      </c>
      <c r="J805" s="22">
        <f t="shared" si="60"/>
        <v>4.17777777778247</v>
      </c>
      <c r="K805" s="22">
        <f t="shared" si="61"/>
        <v>100.266666666779</v>
      </c>
      <c r="L805" s="22">
        <f t="shared" si="62"/>
        <v>36.2666666667792</v>
      </c>
      <c r="M805" s="22" cm="1">
        <f ca="1" t="array" ref="M805">SUMPRODUCT(--(WEEKDAY(ROW(INDIRECT(INT(F805)&amp;":"&amp;INT(I805))),2)&gt;5))</f>
        <v>0</v>
      </c>
      <c r="N805" s="22">
        <f ca="1" t="shared" si="63"/>
        <v>36.2666666667792</v>
      </c>
      <c r="O805" s="22" t="str">
        <f ca="1" t="shared" si="64"/>
        <v>SLA Violated</v>
      </c>
      <c r="P805" s="23" t="s">
        <v>3307</v>
      </c>
      <c r="Q805" s="24" t="s">
        <v>28</v>
      </c>
      <c r="R805" s="25"/>
      <c r="S805" s="25"/>
    </row>
    <row r="806" ht="27" customHeight="1" spans="1:19">
      <c r="A806" s="19" t="s">
        <v>3308</v>
      </c>
      <c r="B806" s="20" t="s">
        <v>30</v>
      </c>
      <c r="C806" s="20" t="s">
        <v>31</v>
      </c>
      <c r="D806" s="20" t="s">
        <v>32</v>
      </c>
      <c r="E806" s="21" t="s">
        <v>3309</v>
      </c>
      <c r="F806" s="21" t="s">
        <v>3310</v>
      </c>
      <c r="G806" s="20" t="s">
        <v>35</v>
      </c>
      <c r="H806" s="20" t="s">
        <v>25</v>
      </c>
      <c r="I806" s="21" t="s">
        <v>3311</v>
      </c>
      <c r="J806" s="22">
        <f t="shared" si="60"/>
        <v>0.0354166666656965</v>
      </c>
      <c r="K806" s="22">
        <f t="shared" si="61"/>
        <v>0.849999999976717</v>
      </c>
      <c r="L806" s="22">
        <f t="shared" si="62"/>
        <v>0.849999999976717</v>
      </c>
      <c r="M806" s="22" cm="1">
        <f ca="1" t="array" ref="M806">SUMPRODUCT(--(WEEKDAY(ROW(INDIRECT(INT(F806)&amp;":"&amp;INT(I806))),2)&gt;5))</f>
        <v>0</v>
      </c>
      <c r="N806" s="22">
        <f ca="1" t="shared" si="63"/>
        <v>0.849999999976717</v>
      </c>
      <c r="O806" s="22" t="str">
        <f ca="1" t="shared" si="64"/>
        <v>Within SLA</v>
      </c>
      <c r="P806" s="26" t="s">
        <v>3308</v>
      </c>
      <c r="Q806" s="24" t="s">
        <v>37</v>
      </c>
      <c r="R806" s="25"/>
      <c r="S806" s="25"/>
    </row>
    <row r="807" ht="27" customHeight="1" spans="1:19">
      <c r="A807" s="19" t="s">
        <v>3312</v>
      </c>
      <c r="B807" s="20" t="s">
        <v>30</v>
      </c>
      <c r="C807" s="20" t="s">
        <v>2057</v>
      </c>
      <c r="D807" s="20" t="s">
        <v>32</v>
      </c>
      <c r="E807" s="21" t="s">
        <v>3313</v>
      </c>
      <c r="F807" s="21" t="s">
        <v>3314</v>
      </c>
      <c r="G807" s="20" t="s">
        <v>35</v>
      </c>
      <c r="H807" s="20" t="s">
        <v>25</v>
      </c>
      <c r="I807" s="21" t="s">
        <v>3315</v>
      </c>
      <c r="J807" s="22">
        <f t="shared" si="60"/>
        <v>0.0326388888934162</v>
      </c>
      <c r="K807" s="22">
        <f t="shared" si="61"/>
        <v>0.783333333441988</v>
      </c>
      <c r="L807" s="22">
        <f t="shared" si="62"/>
        <v>0.783333333441988</v>
      </c>
      <c r="M807" s="22" cm="1">
        <f ca="1" t="array" ref="M807">SUMPRODUCT(--(WEEKDAY(ROW(INDIRECT(INT(F807)&amp;":"&amp;INT(I807))),2)&gt;5))</f>
        <v>0</v>
      </c>
      <c r="N807" s="22">
        <f ca="1" t="shared" si="63"/>
        <v>0.783333333441988</v>
      </c>
      <c r="O807" s="22" t="str">
        <f ca="1" t="shared" si="64"/>
        <v>Within SLA</v>
      </c>
      <c r="P807" s="26" t="s">
        <v>3312</v>
      </c>
      <c r="Q807" s="24" t="s">
        <v>37</v>
      </c>
      <c r="R807" s="25"/>
      <c r="S807" s="25"/>
    </row>
    <row r="808" ht="39" customHeight="1" spans="1:19">
      <c r="A808" s="19" t="s">
        <v>3316</v>
      </c>
      <c r="B808" s="20" t="s">
        <v>19</v>
      </c>
      <c r="C808" s="20" t="s">
        <v>20</v>
      </c>
      <c r="D808" s="20" t="s">
        <v>32</v>
      </c>
      <c r="E808" s="21" t="s">
        <v>3317</v>
      </c>
      <c r="F808" s="21" t="s">
        <v>3318</v>
      </c>
      <c r="G808" s="20" t="s">
        <v>35</v>
      </c>
      <c r="H808" s="20" t="s">
        <v>25</v>
      </c>
      <c r="I808" s="21" t="s">
        <v>3319</v>
      </c>
      <c r="J808" s="22">
        <f t="shared" si="60"/>
        <v>21.1444444444423</v>
      </c>
      <c r="K808" s="22">
        <f t="shared" si="61"/>
        <v>507.466666666616</v>
      </c>
      <c r="L808" s="22">
        <f t="shared" si="62"/>
        <v>171.466666666616</v>
      </c>
      <c r="M808" s="22" cm="1">
        <f ca="1" t="array" ref="M808">SUMPRODUCT(--(WEEKDAY(ROW(INDIRECT(INT(F808)&amp;":"&amp;INT(I808))),2)&gt;5))</f>
        <v>6</v>
      </c>
      <c r="N808" s="22">
        <f ca="1" t="shared" si="63"/>
        <v>123.466666666616</v>
      </c>
      <c r="O808" s="22" t="str">
        <f ca="1" t="shared" si="64"/>
        <v>SLA Violated</v>
      </c>
      <c r="P808" s="23" t="s">
        <v>3320</v>
      </c>
      <c r="Q808" s="24" t="s">
        <v>28</v>
      </c>
      <c r="R808" s="25"/>
      <c r="S808" s="25"/>
    </row>
    <row r="809" ht="39" customHeight="1" spans="1:19">
      <c r="A809" s="19" t="s">
        <v>3321</v>
      </c>
      <c r="B809" s="20" t="s">
        <v>19</v>
      </c>
      <c r="C809" s="20" t="s">
        <v>20</v>
      </c>
      <c r="D809" s="20" t="s">
        <v>32</v>
      </c>
      <c r="E809" s="21" t="s">
        <v>3322</v>
      </c>
      <c r="F809" s="21" t="s">
        <v>3323</v>
      </c>
      <c r="G809" s="20" t="s">
        <v>24</v>
      </c>
      <c r="H809" s="20" t="s">
        <v>25</v>
      </c>
      <c r="I809" s="21" t="s">
        <v>3319</v>
      </c>
      <c r="J809" s="22">
        <f t="shared" si="60"/>
        <v>1.02847222222044</v>
      </c>
      <c r="K809" s="22">
        <f t="shared" si="61"/>
        <v>24.6833333332906</v>
      </c>
      <c r="L809" s="22">
        <f t="shared" si="62"/>
        <v>8.68333333329065</v>
      </c>
      <c r="M809" s="22" cm="1">
        <f ca="1" t="array" ref="M809">SUMPRODUCT(--(WEEKDAY(ROW(INDIRECT(INT(F809)&amp;":"&amp;INT(I809))),2)&gt;5))</f>
        <v>0</v>
      </c>
      <c r="N809" s="22">
        <f ca="1" t="shared" si="63"/>
        <v>8.68333333329065</v>
      </c>
      <c r="O809" s="22" t="str">
        <f ca="1" t="shared" si="64"/>
        <v>Within SLA</v>
      </c>
      <c r="P809" s="26" t="s">
        <v>3321</v>
      </c>
      <c r="Q809" s="24" t="s">
        <v>37</v>
      </c>
      <c r="R809" s="25"/>
      <c r="S809" s="25"/>
    </row>
    <row r="810" ht="27" customHeight="1" spans="1:19">
      <c r="A810" s="19" t="s">
        <v>3324</v>
      </c>
      <c r="B810" s="20" t="s">
        <v>121</v>
      </c>
      <c r="C810" s="20" t="s">
        <v>849</v>
      </c>
      <c r="D810" s="20" t="s">
        <v>32</v>
      </c>
      <c r="E810" s="21" t="s">
        <v>3325</v>
      </c>
      <c r="F810" s="21" t="s">
        <v>3306</v>
      </c>
      <c r="G810" s="20" t="s">
        <v>35</v>
      </c>
      <c r="H810" s="20" t="s">
        <v>25</v>
      </c>
      <c r="I810" s="21" t="s">
        <v>3326</v>
      </c>
      <c r="J810" s="22">
        <f t="shared" si="60"/>
        <v>-0.00763888889196096</v>
      </c>
      <c r="K810" s="22">
        <f t="shared" si="61"/>
        <v>-0.183333333407063</v>
      </c>
      <c r="L810" s="22">
        <f t="shared" si="62"/>
        <v>-0.183333333407063</v>
      </c>
      <c r="M810" s="22" cm="1">
        <f ca="1" t="array" ref="M810">SUMPRODUCT(--(WEEKDAY(ROW(INDIRECT(INT(F810)&amp;":"&amp;INT(I810))),2)&gt;5))</f>
        <v>0</v>
      </c>
      <c r="N810" s="22">
        <f ca="1" t="shared" si="63"/>
        <v>0</v>
      </c>
      <c r="O810" s="22" t="str">
        <f ca="1" t="shared" si="64"/>
        <v>Within SLA</v>
      </c>
      <c r="P810" s="26" t="s">
        <v>3324</v>
      </c>
      <c r="Q810" s="24" t="s">
        <v>37</v>
      </c>
      <c r="R810" s="25"/>
      <c r="S810" s="25"/>
    </row>
    <row r="811" ht="27" customHeight="1" spans="1:19">
      <c r="A811" s="19" t="s">
        <v>3327</v>
      </c>
      <c r="B811" s="20" t="s">
        <v>30</v>
      </c>
      <c r="C811" s="20" t="s">
        <v>2057</v>
      </c>
      <c r="D811" s="20" t="s">
        <v>32</v>
      </c>
      <c r="E811" s="21" t="s">
        <v>3328</v>
      </c>
      <c r="F811" s="21" t="s">
        <v>3329</v>
      </c>
      <c r="G811" s="20" t="s">
        <v>35</v>
      </c>
      <c r="H811" s="20" t="s">
        <v>25</v>
      </c>
      <c r="I811" s="21" t="s">
        <v>3330</v>
      </c>
      <c r="J811" s="22">
        <f t="shared" si="60"/>
        <v>6.81458333333285</v>
      </c>
      <c r="K811" s="22">
        <f t="shared" si="61"/>
        <v>163.549999999988</v>
      </c>
      <c r="L811" s="22">
        <f t="shared" si="62"/>
        <v>51.5499999999884</v>
      </c>
      <c r="M811" s="22" cm="1">
        <f ca="1" t="array" ref="M811">SUMPRODUCT(--(WEEKDAY(ROW(INDIRECT(INT(F811)&amp;":"&amp;INT(I811))),2)&gt;5))</f>
        <v>2</v>
      </c>
      <c r="N811" s="22">
        <f ca="1" t="shared" si="63"/>
        <v>35.5499999999884</v>
      </c>
      <c r="O811" s="22" t="str">
        <f ca="1" t="shared" si="64"/>
        <v>SLA Violated</v>
      </c>
      <c r="P811" s="23" t="s">
        <v>3331</v>
      </c>
      <c r="Q811" s="24" t="s">
        <v>28</v>
      </c>
      <c r="R811" s="25"/>
      <c r="S811" s="25"/>
    </row>
    <row r="812" ht="39" customHeight="1" spans="1:19">
      <c r="A812" s="19" t="s">
        <v>3332</v>
      </c>
      <c r="B812" s="20" t="s">
        <v>19</v>
      </c>
      <c r="C812" s="20" t="s">
        <v>20</v>
      </c>
      <c r="D812" s="20" t="s">
        <v>32</v>
      </c>
      <c r="E812" s="21" t="s">
        <v>3328</v>
      </c>
      <c r="F812" s="21" t="s">
        <v>3333</v>
      </c>
      <c r="G812" s="20" t="s">
        <v>35</v>
      </c>
      <c r="H812" s="20" t="s">
        <v>25</v>
      </c>
      <c r="I812" s="21" t="s">
        <v>3334</v>
      </c>
      <c r="J812" s="22">
        <f t="shared" si="60"/>
        <v>1.8881944444438</v>
      </c>
      <c r="K812" s="22">
        <f t="shared" si="61"/>
        <v>45.3166666666511</v>
      </c>
      <c r="L812" s="22">
        <f t="shared" si="62"/>
        <v>13.3166666666511</v>
      </c>
      <c r="M812" s="22" cm="1">
        <f ca="1" t="array" ref="M812">SUMPRODUCT(--(WEEKDAY(ROW(INDIRECT(INT(F812)&amp;":"&amp;INT(I812))),2)&gt;5))</f>
        <v>0</v>
      </c>
      <c r="N812" s="22">
        <f ca="1" t="shared" si="63"/>
        <v>13.3166666666511</v>
      </c>
      <c r="O812" s="22" t="str">
        <f ca="1" t="shared" si="64"/>
        <v>SLA Violated</v>
      </c>
      <c r="P812" s="23" t="s">
        <v>3335</v>
      </c>
      <c r="Q812" s="24" t="s">
        <v>28</v>
      </c>
      <c r="R812" s="25"/>
      <c r="S812" s="25"/>
    </row>
    <row r="813" ht="39" customHeight="1" spans="1:19">
      <c r="A813" s="19" t="s">
        <v>3336</v>
      </c>
      <c r="B813" s="20" t="s">
        <v>19</v>
      </c>
      <c r="C813" s="20" t="s">
        <v>20</v>
      </c>
      <c r="D813" s="20" t="s">
        <v>32</v>
      </c>
      <c r="E813" s="21" t="s">
        <v>3337</v>
      </c>
      <c r="F813" s="21" t="s">
        <v>3338</v>
      </c>
      <c r="G813" s="20" t="s">
        <v>35</v>
      </c>
      <c r="H813" s="20" t="s">
        <v>25</v>
      </c>
      <c r="I813" s="21" t="s">
        <v>3339</v>
      </c>
      <c r="J813" s="22">
        <f t="shared" si="60"/>
        <v>30.8916666666628</v>
      </c>
      <c r="K813" s="22">
        <f t="shared" si="61"/>
        <v>741.399999999907</v>
      </c>
      <c r="L813" s="22">
        <f t="shared" si="62"/>
        <v>245.399999999907</v>
      </c>
      <c r="M813" s="22" cm="1">
        <f ca="1" t="array" ref="M813">SUMPRODUCT(--(WEEKDAY(ROW(INDIRECT(INT(F813)&amp;":"&amp;INT(I813))),2)&gt;5))</f>
        <v>8</v>
      </c>
      <c r="N813" s="22">
        <f ca="1" t="shared" si="63"/>
        <v>181.399999999907</v>
      </c>
      <c r="O813" s="22" t="str">
        <f ca="1" t="shared" si="64"/>
        <v>SLA Violated</v>
      </c>
      <c r="P813" s="23" t="s">
        <v>3340</v>
      </c>
      <c r="Q813" s="24" t="s">
        <v>28</v>
      </c>
      <c r="R813" s="25"/>
      <c r="S813" s="25"/>
    </row>
    <row r="814" ht="27" customHeight="1" spans="1:19">
      <c r="A814" s="19" t="s">
        <v>3341</v>
      </c>
      <c r="B814" s="20" t="s">
        <v>30</v>
      </c>
      <c r="C814" s="20" t="s">
        <v>31</v>
      </c>
      <c r="D814" s="20" t="s">
        <v>32</v>
      </c>
      <c r="E814" s="21" t="s">
        <v>3337</v>
      </c>
      <c r="F814" s="21" t="s">
        <v>3342</v>
      </c>
      <c r="G814" s="20" t="s">
        <v>35</v>
      </c>
      <c r="H814" s="20" t="s">
        <v>25</v>
      </c>
      <c r="I814" s="21" t="s">
        <v>3339</v>
      </c>
      <c r="J814" s="22">
        <f t="shared" si="60"/>
        <v>0.0430555555576575</v>
      </c>
      <c r="K814" s="22">
        <f t="shared" si="61"/>
        <v>1.03333333338378</v>
      </c>
      <c r="L814" s="22">
        <f t="shared" si="62"/>
        <v>1.03333333338378</v>
      </c>
      <c r="M814" s="22" cm="1">
        <f ca="1" t="array" ref="M814">SUMPRODUCT(--(WEEKDAY(ROW(INDIRECT(INT(F814)&amp;":"&amp;INT(I814))),2)&gt;5))</f>
        <v>0</v>
      </c>
      <c r="N814" s="22">
        <f ca="1" t="shared" si="63"/>
        <v>1.03333333338378</v>
      </c>
      <c r="O814" s="22" t="str">
        <f ca="1" t="shared" si="64"/>
        <v>Within SLA</v>
      </c>
      <c r="P814" s="26" t="s">
        <v>3341</v>
      </c>
      <c r="Q814" s="24" t="s">
        <v>37</v>
      </c>
      <c r="R814" s="25"/>
      <c r="S814" s="25"/>
    </row>
    <row r="815" ht="27" customHeight="1" spans="1:19">
      <c r="A815" s="19" t="s">
        <v>3343</v>
      </c>
      <c r="B815" s="20" t="s">
        <v>30</v>
      </c>
      <c r="C815" s="20" t="s">
        <v>31</v>
      </c>
      <c r="D815" s="20" t="s">
        <v>32</v>
      </c>
      <c r="E815" s="21" t="s">
        <v>3344</v>
      </c>
      <c r="F815" s="21" t="s">
        <v>3345</v>
      </c>
      <c r="G815" s="20" t="s">
        <v>35</v>
      </c>
      <c r="H815" s="20" t="s">
        <v>25</v>
      </c>
      <c r="I815" s="21" t="s">
        <v>3346</v>
      </c>
      <c r="J815" s="22">
        <f t="shared" si="60"/>
        <v>0.102083333331393</v>
      </c>
      <c r="K815" s="22">
        <f t="shared" si="61"/>
        <v>2.44999999995343</v>
      </c>
      <c r="L815" s="22">
        <f t="shared" si="62"/>
        <v>2.44999999995343</v>
      </c>
      <c r="M815" s="22" cm="1">
        <f ca="1" t="array" ref="M815">SUMPRODUCT(--(WEEKDAY(ROW(INDIRECT(INT(F815)&amp;":"&amp;INT(I815))),2)&gt;5))</f>
        <v>0</v>
      </c>
      <c r="N815" s="22">
        <f ca="1" t="shared" si="63"/>
        <v>2.44999999995343</v>
      </c>
      <c r="O815" s="22" t="str">
        <f ca="1" t="shared" si="64"/>
        <v>Within SLA</v>
      </c>
      <c r="P815" s="26" t="s">
        <v>3343</v>
      </c>
      <c r="Q815" s="24" t="s">
        <v>37</v>
      </c>
      <c r="R815" s="25"/>
      <c r="S815" s="25"/>
    </row>
    <row r="816" ht="39" customHeight="1" spans="1:19">
      <c r="A816" s="19" t="s">
        <v>3347</v>
      </c>
      <c r="B816" s="20" t="s">
        <v>19</v>
      </c>
      <c r="C816" s="20" t="s">
        <v>20</v>
      </c>
      <c r="D816" s="20" t="s">
        <v>32</v>
      </c>
      <c r="E816" s="21" t="s">
        <v>3348</v>
      </c>
      <c r="F816" s="21" t="s">
        <v>3349</v>
      </c>
      <c r="G816" s="20" t="s">
        <v>35</v>
      </c>
      <c r="H816" s="20" t="s">
        <v>25</v>
      </c>
      <c r="I816" s="21" t="s">
        <v>3350</v>
      </c>
      <c r="J816" s="22">
        <f t="shared" si="60"/>
        <v>30.7951388888832</v>
      </c>
      <c r="K816" s="22">
        <f t="shared" si="61"/>
        <v>739.083333333198</v>
      </c>
      <c r="L816" s="22">
        <f t="shared" si="62"/>
        <v>243.083333333198</v>
      </c>
      <c r="M816" s="22" cm="1">
        <f ca="1" t="array" ref="M816">SUMPRODUCT(--(WEEKDAY(ROW(INDIRECT(INT(F816)&amp;":"&amp;INT(I816))),2)&gt;5))</f>
        <v>8</v>
      </c>
      <c r="N816" s="22">
        <f ca="1" t="shared" si="63"/>
        <v>179.083333333198</v>
      </c>
      <c r="O816" s="22" t="str">
        <f ca="1" t="shared" si="64"/>
        <v>SLA Violated</v>
      </c>
      <c r="P816" s="23" t="s">
        <v>3351</v>
      </c>
      <c r="Q816" s="24" t="s">
        <v>28</v>
      </c>
      <c r="R816" s="25"/>
      <c r="S816" s="25"/>
    </row>
    <row r="817" ht="39" customHeight="1" spans="1:19">
      <c r="A817" s="19" t="s">
        <v>3352</v>
      </c>
      <c r="B817" s="20" t="s">
        <v>196</v>
      </c>
      <c r="C817" s="20" t="s">
        <v>2057</v>
      </c>
      <c r="D817" s="20" t="s">
        <v>32</v>
      </c>
      <c r="E817" s="21" t="s">
        <v>3353</v>
      </c>
      <c r="F817" s="21" t="s">
        <v>3354</v>
      </c>
      <c r="G817" s="20" t="s">
        <v>35</v>
      </c>
      <c r="H817" s="20" t="s">
        <v>25</v>
      </c>
      <c r="I817" s="21" t="s">
        <v>3355</v>
      </c>
      <c r="J817" s="22">
        <f t="shared" si="60"/>
        <v>2.04305555555766</v>
      </c>
      <c r="K817" s="22">
        <f t="shared" si="61"/>
        <v>49.0333333333838</v>
      </c>
      <c r="L817" s="22">
        <f t="shared" si="62"/>
        <v>17.0333333333838</v>
      </c>
      <c r="M817" s="22" cm="1">
        <f ca="1" t="array" ref="M817">SUMPRODUCT(--(WEEKDAY(ROW(INDIRECT(INT(F817)&amp;":"&amp;INT(I817))),2)&gt;5))</f>
        <v>0</v>
      </c>
      <c r="N817" s="22">
        <f ca="1" t="shared" si="63"/>
        <v>17.0333333333838</v>
      </c>
      <c r="O817" s="22" t="str">
        <f ca="1" t="shared" si="64"/>
        <v>SLA Violated</v>
      </c>
      <c r="P817" s="23" t="s">
        <v>3356</v>
      </c>
      <c r="Q817" s="24" t="s">
        <v>28</v>
      </c>
      <c r="R817" s="25"/>
      <c r="S817" s="25"/>
    </row>
    <row r="818" ht="27" customHeight="1" spans="1:19">
      <c r="A818" s="19" t="s">
        <v>3357</v>
      </c>
      <c r="B818" s="20" t="s">
        <v>30</v>
      </c>
      <c r="C818" s="20" t="s">
        <v>46</v>
      </c>
      <c r="D818" s="20" t="s">
        <v>32</v>
      </c>
      <c r="E818" s="21" t="s">
        <v>3358</v>
      </c>
      <c r="F818" s="21" t="s">
        <v>3359</v>
      </c>
      <c r="G818" s="20" t="s">
        <v>35</v>
      </c>
      <c r="H818" s="20" t="s">
        <v>25</v>
      </c>
      <c r="I818" s="21" t="s">
        <v>3360</v>
      </c>
      <c r="J818" s="22">
        <f t="shared" si="60"/>
        <v>0.0770833333372138</v>
      </c>
      <c r="K818" s="22">
        <f t="shared" si="61"/>
        <v>1.85000000009313</v>
      </c>
      <c r="L818" s="22">
        <f t="shared" si="62"/>
        <v>1.85000000009313</v>
      </c>
      <c r="M818" s="22" cm="1">
        <f ca="1" t="array" ref="M818">SUMPRODUCT(--(WEEKDAY(ROW(INDIRECT(INT(F818)&amp;":"&amp;INT(I818))),2)&gt;5))</f>
        <v>0</v>
      </c>
      <c r="N818" s="22">
        <f ca="1" t="shared" si="63"/>
        <v>1.85000000009313</v>
      </c>
      <c r="O818" s="22" t="str">
        <f ca="1" t="shared" si="64"/>
        <v>Within SLA</v>
      </c>
      <c r="P818" s="26" t="s">
        <v>3357</v>
      </c>
      <c r="Q818" s="24" t="s">
        <v>37</v>
      </c>
      <c r="R818" s="25"/>
      <c r="S818" s="25"/>
    </row>
    <row r="819" ht="27" customHeight="1" spans="1:19">
      <c r="A819" s="19" t="s">
        <v>3361</v>
      </c>
      <c r="B819" s="20" t="s">
        <v>30</v>
      </c>
      <c r="C819" s="20" t="s">
        <v>31</v>
      </c>
      <c r="D819" s="20" t="s">
        <v>21</v>
      </c>
      <c r="E819" s="21" t="s">
        <v>3241</v>
      </c>
      <c r="F819" s="21" t="s">
        <v>3362</v>
      </c>
      <c r="G819" s="20" t="s">
        <v>35</v>
      </c>
      <c r="H819" s="20" t="s">
        <v>25</v>
      </c>
      <c r="I819" s="21" t="s">
        <v>3363</v>
      </c>
      <c r="J819" s="22">
        <f t="shared" si="60"/>
        <v>1.03749999999854</v>
      </c>
      <c r="K819" s="22">
        <f t="shared" si="61"/>
        <v>24.8999999999651</v>
      </c>
      <c r="L819" s="22">
        <f t="shared" si="62"/>
        <v>8.89999999996508</v>
      </c>
      <c r="M819" s="22" cm="1">
        <f ca="1" t="array" ref="M819">SUMPRODUCT(--(WEEKDAY(ROW(INDIRECT(INT(F819)&amp;":"&amp;INT(I819))),2)&gt;5))</f>
        <v>0</v>
      </c>
      <c r="N819" s="22">
        <f ca="1" t="shared" si="63"/>
        <v>8.89999999996508</v>
      </c>
      <c r="O819" s="22" t="str">
        <f ca="1" t="shared" si="64"/>
        <v>SLA Violated</v>
      </c>
      <c r="P819" s="26" t="s">
        <v>3361</v>
      </c>
      <c r="Q819" s="24" t="s">
        <v>37</v>
      </c>
      <c r="R819" s="6" t="s">
        <v>3288</v>
      </c>
      <c r="S819" s="25" t="s">
        <v>39</v>
      </c>
    </row>
    <row r="820" ht="27" customHeight="1" spans="1:19">
      <c r="A820" s="19" t="s">
        <v>3364</v>
      </c>
      <c r="B820" s="20" t="s">
        <v>30</v>
      </c>
      <c r="C820" s="20" t="s">
        <v>31</v>
      </c>
      <c r="D820" s="20" t="s">
        <v>32</v>
      </c>
      <c r="E820" s="21" t="s">
        <v>3365</v>
      </c>
      <c r="F820" s="21" t="s">
        <v>3245</v>
      </c>
      <c r="G820" s="20" t="s">
        <v>35</v>
      </c>
      <c r="H820" s="20" t="s">
        <v>25</v>
      </c>
      <c r="I820" s="21" t="s">
        <v>3366</v>
      </c>
      <c r="J820" s="22">
        <f t="shared" si="60"/>
        <v>1.09583333333285</v>
      </c>
      <c r="K820" s="22">
        <f t="shared" si="61"/>
        <v>26.2999999999884</v>
      </c>
      <c r="L820" s="22">
        <f t="shared" si="62"/>
        <v>10.2999999999884</v>
      </c>
      <c r="M820" s="22" cm="1">
        <f ca="1" t="array" ref="M820">SUMPRODUCT(--(WEEKDAY(ROW(INDIRECT(INT(F820)&amp;":"&amp;INT(I820))),2)&gt;5))</f>
        <v>0</v>
      </c>
      <c r="N820" s="22">
        <f ca="1" t="shared" si="63"/>
        <v>10.2999999999884</v>
      </c>
      <c r="O820" s="22" t="str">
        <f ca="1" t="shared" si="64"/>
        <v>Within SLA</v>
      </c>
      <c r="P820" s="26" t="s">
        <v>3364</v>
      </c>
      <c r="Q820" s="24" t="s">
        <v>37</v>
      </c>
      <c r="R820" s="25"/>
      <c r="S820" s="25"/>
    </row>
    <row r="821" ht="39" customHeight="1" spans="1:19">
      <c r="A821" s="19" t="s">
        <v>3367</v>
      </c>
      <c r="B821" s="20" t="s">
        <v>19</v>
      </c>
      <c r="C821" s="20" t="s">
        <v>20</v>
      </c>
      <c r="D821" s="20" t="s">
        <v>32</v>
      </c>
      <c r="E821" s="21" t="s">
        <v>3368</v>
      </c>
      <c r="F821" s="21" t="s">
        <v>3369</v>
      </c>
      <c r="G821" s="20" t="s">
        <v>35</v>
      </c>
      <c r="H821" s="20" t="s">
        <v>25</v>
      </c>
      <c r="I821" s="21" t="s">
        <v>3370</v>
      </c>
      <c r="J821" s="22">
        <f t="shared" si="60"/>
        <v>29.9576388888891</v>
      </c>
      <c r="K821" s="22">
        <f t="shared" si="61"/>
        <v>718.983333333337</v>
      </c>
      <c r="L821" s="22">
        <f t="shared" si="62"/>
        <v>238.983333333337</v>
      </c>
      <c r="M821" s="22" cm="1">
        <f ca="1" t="array" ref="M821">SUMPRODUCT(--(WEEKDAY(ROW(INDIRECT(INT(F821)&amp;":"&amp;INT(I821))),2)&gt;5))</f>
        <v>8</v>
      </c>
      <c r="N821" s="22">
        <f ca="1" t="shared" si="63"/>
        <v>174.983333333337</v>
      </c>
      <c r="O821" s="22" t="str">
        <f ca="1" t="shared" si="64"/>
        <v>SLA Violated</v>
      </c>
      <c r="P821" s="23" t="s">
        <v>3371</v>
      </c>
      <c r="Q821" s="24" t="s">
        <v>28</v>
      </c>
      <c r="R821" s="25"/>
      <c r="S821" s="25"/>
    </row>
    <row r="822" ht="27" customHeight="1" spans="1:19">
      <c r="A822" s="19" t="s">
        <v>3372</v>
      </c>
      <c r="B822" s="20" t="s">
        <v>30</v>
      </c>
      <c r="C822" s="20" t="s">
        <v>31</v>
      </c>
      <c r="D822" s="20" t="s">
        <v>32</v>
      </c>
      <c r="E822" s="21" t="s">
        <v>3368</v>
      </c>
      <c r="F822" s="21" t="s">
        <v>3373</v>
      </c>
      <c r="G822" s="20" t="s">
        <v>35</v>
      </c>
      <c r="H822" s="20" t="s">
        <v>25</v>
      </c>
      <c r="I822" s="21" t="s">
        <v>3374</v>
      </c>
      <c r="J822" s="22">
        <f t="shared" si="60"/>
        <v>0.0576388888875954</v>
      </c>
      <c r="K822" s="22">
        <f t="shared" si="61"/>
        <v>1.38333333330229</v>
      </c>
      <c r="L822" s="22">
        <f t="shared" si="62"/>
        <v>1.38333333330229</v>
      </c>
      <c r="M822" s="22" cm="1">
        <f ca="1" t="array" ref="M822">SUMPRODUCT(--(WEEKDAY(ROW(INDIRECT(INT(F822)&amp;":"&amp;INT(I822))),2)&gt;5))</f>
        <v>0</v>
      </c>
      <c r="N822" s="22">
        <f ca="1" t="shared" si="63"/>
        <v>1.38333333330229</v>
      </c>
      <c r="O822" s="22" t="str">
        <f ca="1" t="shared" si="64"/>
        <v>Within SLA</v>
      </c>
      <c r="P822" s="26" t="s">
        <v>3372</v>
      </c>
      <c r="Q822" s="24" t="s">
        <v>37</v>
      </c>
      <c r="R822" s="25"/>
      <c r="S822" s="25"/>
    </row>
    <row r="823" ht="27" customHeight="1" spans="1:19">
      <c r="A823" s="19" t="s">
        <v>3375</v>
      </c>
      <c r="B823" s="20" t="s">
        <v>30</v>
      </c>
      <c r="C823" s="20" t="s">
        <v>31</v>
      </c>
      <c r="D823" s="20" t="s">
        <v>21</v>
      </c>
      <c r="E823" s="21" t="s">
        <v>3368</v>
      </c>
      <c r="F823" s="21" t="s">
        <v>2986</v>
      </c>
      <c r="G823" s="20" t="s">
        <v>35</v>
      </c>
      <c r="H823" s="20" t="s">
        <v>25</v>
      </c>
      <c r="I823" s="21" t="s">
        <v>3376</v>
      </c>
      <c r="J823" s="22">
        <f t="shared" si="60"/>
        <v>8.73888888888905</v>
      </c>
      <c r="K823" s="22">
        <f t="shared" si="61"/>
        <v>209.733333333337</v>
      </c>
      <c r="L823" s="22">
        <f t="shared" si="62"/>
        <v>65.7333333333372</v>
      </c>
      <c r="M823" s="22" cm="1">
        <f ca="1" t="array" ref="M823">SUMPRODUCT(--(WEEKDAY(ROW(INDIRECT(INT(F823)&amp;":"&amp;INT(I823))),2)&gt;5))</f>
        <v>4</v>
      </c>
      <c r="N823" s="22">
        <f ca="1" t="shared" si="63"/>
        <v>33.7333333333372</v>
      </c>
      <c r="O823" s="22" t="str">
        <f ca="1" t="shared" si="64"/>
        <v>SLA Violated</v>
      </c>
      <c r="P823" s="26" t="s">
        <v>3375</v>
      </c>
      <c r="Q823" s="24" t="s">
        <v>37</v>
      </c>
      <c r="R823" s="6" t="s">
        <v>2248</v>
      </c>
      <c r="S823" s="25" t="s">
        <v>39</v>
      </c>
    </row>
    <row r="824" ht="27" customHeight="1" spans="1:19">
      <c r="A824" s="19" t="s">
        <v>3377</v>
      </c>
      <c r="B824" s="20" t="s">
        <v>139</v>
      </c>
      <c r="C824" s="20" t="s">
        <v>2057</v>
      </c>
      <c r="D824" s="20" t="s">
        <v>32</v>
      </c>
      <c r="E824" s="21" t="s">
        <v>3374</v>
      </c>
      <c r="F824" s="21" t="s">
        <v>3378</v>
      </c>
      <c r="G824" s="20" t="s">
        <v>35</v>
      </c>
      <c r="H824" s="20" t="s">
        <v>25</v>
      </c>
      <c r="I824" s="21" t="s">
        <v>3379</v>
      </c>
      <c r="J824" s="22">
        <f t="shared" si="60"/>
        <v>44.9798611111109</v>
      </c>
      <c r="K824" s="22">
        <f t="shared" si="61"/>
        <v>1079.51666666666</v>
      </c>
      <c r="L824" s="22">
        <f t="shared" si="62"/>
        <v>359.516666666663</v>
      </c>
      <c r="M824" s="22" cm="1">
        <f ca="1" t="array" ref="M824">SUMPRODUCT(--(WEEKDAY(ROW(INDIRECT(INT(F824)&amp;":"&amp;INT(I824))),2)&gt;5))</f>
        <v>12</v>
      </c>
      <c r="N824" s="22">
        <f ca="1" t="shared" si="63"/>
        <v>263.516666666663</v>
      </c>
      <c r="O824" s="22" t="str">
        <f ca="1" t="shared" si="64"/>
        <v>SLA Violated</v>
      </c>
      <c r="P824" s="23" t="s">
        <v>3380</v>
      </c>
      <c r="Q824" s="24" t="s">
        <v>28</v>
      </c>
      <c r="R824" s="25"/>
      <c r="S824" s="25"/>
    </row>
    <row r="825" ht="39" customHeight="1" spans="1:19">
      <c r="A825" s="19" t="s">
        <v>3381</v>
      </c>
      <c r="B825" s="20" t="s">
        <v>196</v>
      </c>
      <c r="C825" s="20" t="s">
        <v>46</v>
      </c>
      <c r="D825" s="20" t="s">
        <v>32</v>
      </c>
      <c r="E825" s="21" t="s">
        <v>3374</v>
      </c>
      <c r="F825" s="21" t="s">
        <v>3382</v>
      </c>
      <c r="G825" s="20" t="s">
        <v>35</v>
      </c>
      <c r="H825" s="20" t="s">
        <v>25</v>
      </c>
      <c r="I825" s="21" t="s">
        <v>3383</v>
      </c>
      <c r="J825" s="22">
        <f t="shared" si="60"/>
        <v>0.0104166666715173</v>
      </c>
      <c r="K825" s="22">
        <f t="shared" si="61"/>
        <v>0.250000000116415</v>
      </c>
      <c r="L825" s="22">
        <f t="shared" si="62"/>
        <v>0.250000000116415</v>
      </c>
      <c r="M825" s="22" cm="1">
        <f ca="1" t="array" ref="M825">SUMPRODUCT(--(WEEKDAY(ROW(INDIRECT(INT(F825)&amp;":"&amp;INT(I825))),2)&gt;5))</f>
        <v>0</v>
      </c>
      <c r="N825" s="22">
        <f ca="1" t="shared" si="63"/>
        <v>0.250000000116415</v>
      </c>
      <c r="O825" s="22" t="str">
        <f ca="1" t="shared" si="64"/>
        <v>Within SLA</v>
      </c>
      <c r="P825" s="26" t="s">
        <v>3381</v>
      </c>
      <c r="Q825" s="24" t="s">
        <v>37</v>
      </c>
      <c r="R825" s="25"/>
      <c r="S825" s="25"/>
    </row>
    <row r="826" ht="50" customHeight="1" spans="1:19">
      <c r="A826" s="19" t="s">
        <v>3384</v>
      </c>
      <c r="B826" s="20" t="s">
        <v>369</v>
      </c>
      <c r="C826" s="20" t="s">
        <v>2057</v>
      </c>
      <c r="D826" s="20" t="s">
        <v>105</v>
      </c>
      <c r="E826" s="21" t="s">
        <v>3385</v>
      </c>
      <c r="F826" s="21" t="s">
        <v>3386</v>
      </c>
      <c r="G826" s="20" t="s">
        <v>35</v>
      </c>
      <c r="H826" s="20" t="s">
        <v>25</v>
      </c>
      <c r="I826" s="21" t="s">
        <v>3387</v>
      </c>
      <c r="J826" s="22">
        <f t="shared" si="60"/>
        <v>9.16874999999709</v>
      </c>
      <c r="K826" s="22">
        <f t="shared" si="61"/>
        <v>220.04999999993</v>
      </c>
      <c r="L826" s="22">
        <f t="shared" si="62"/>
        <v>76.0499999999302</v>
      </c>
      <c r="M826" s="22" cm="1">
        <f ca="1" t="array" ref="M826">SUMPRODUCT(--(WEEKDAY(ROW(INDIRECT(INT(F826)&amp;":"&amp;INT(I826))),2)&gt;5))</f>
        <v>2</v>
      </c>
      <c r="N826" s="22">
        <f ca="1" t="shared" si="63"/>
        <v>60.0499999999302</v>
      </c>
      <c r="O826" s="22" t="str">
        <f ca="1" t="shared" si="64"/>
        <v>SLA Violated</v>
      </c>
      <c r="P826" s="23" t="s">
        <v>3388</v>
      </c>
      <c r="Q826" s="24" t="s">
        <v>28</v>
      </c>
      <c r="R826" s="25"/>
      <c r="S826" s="25"/>
    </row>
    <row r="827" ht="27" customHeight="1" spans="1:19">
      <c r="A827" s="19" t="s">
        <v>3389</v>
      </c>
      <c r="B827" s="20" t="s">
        <v>30</v>
      </c>
      <c r="C827" s="20" t="s">
        <v>2057</v>
      </c>
      <c r="D827" s="20" t="s">
        <v>32</v>
      </c>
      <c r="E827" s="21" t="s">
        <v>3390</v>
      </c>
      <c r="F827" s="21" t="s">
        <v>3391</v>
      </c>
      <c r="G827" s="20" t="s">
        <v>24</v>
      </c>
      <c r="H827" s="20" t="s">
        <v>25</v>
      </c>
      <c r="I827" s="21" t="s">
        <v>3392</v>
      </c>
      <c r="J827" s="22">
        <f t="shared" si="60"/>
        <v>1.81736111110513</v>
      </c>
      <c r="K827" s="22">
        <f t="shared" si="61"/>
        <v>43.6166666665231</v>
      </c>
      <c r="L827" s="22">
        <f t="shared" si="62"/>
        <v>11.6166666665231</v>
      </c>
      <c r="M827" s="22" cm="1">
        <f ca="1" t="array" ref="M827">SUMPRODUCT(--(WEEKDAY(ROW(INDIRECT(INT(F827)&amp;":"&amp;INT(I827))),2)&gt;5))</f>
        <v>0</v>
      </c>
      <c r="N827" s="22">
        <f ca="1" t="shared" si="63"/>
        <v>11.6166666665231</v>
      </c>
      <c r="O827" s="22" t="str">
        <f ca="1" t="shared" si="64"/>
        <v>Within SLA</v>
      </c>
      <c r="P827" s="26" t="s">
        <v>3389</v>
      </c>
      <c r="Q827" s="24" t="s">
        <v>37</v>
      </c>
      <c r="R827" s="25"/>
      <c r="S827" s="25"/>
    </row>
    <row r="828" ht="27" customHeight="1" spans="1:19">
      <c r="A828" s="19" t="s">
        <v>3393</v>
      </c>
      <c r="B828" s="20" t="s">
        <v>30</v>
      </c>
      <c r="C828" s="20" t="s">
        <v>2057</v>
      </c>
      <c r="D828" s="20" t="s">
        <v>32</v>
      </c>
      <c r="E828" s="21" t="s">
        <v>3394</v>
      </c>
      <c r="F828" s="21" t="s">
        <v>3395</v>
      </c>
      <c r="G828" s="20" t="s">
        <v>24</v>
      </c>
      <c r="H828" s="20" t="s">
        <v>25</v>
      </c>
      <c r="I828" s="21" t="s">
        <v>3396</v>
      </c>
      <c r="J828" s="22">
        <f t="shared" si="60"/>
        <v>1.81111111111386</v>
      </c>
      <c r="K828" s="22">
        <f t="shared" si="61"/>
        <v>43.4666666667326</v>
      </c>
      <c r="L828" s="22">
        <f t="shared" si="62"/>
        <v>11.4666666667326</v>
      </c>
      <c r="M828" s="22" cm="1">
        <f ca="1" t="array" ref="M828">SUMPRODUCT(--(WEEKDAY(ROW(INDIRECT(INT(F828)&amp;":"&amp;INT(I828))),2)&gt;5))</f>
        <v>0</v>
      </c>
      <c r="N828" s="22">
        <f ca="1" t="shared" si="63"/>
        <v>11.4666666667326</v>
      </c>
      <c r="O828" s="22" t="str">
        <f ca="1" t="shared" si="64"/>
        <v>Within SLA</v>
      </c>
      <c r="P828" s="26" t="s">
        <v>3393</v>
      </c>
      <c r="Q828" s="24" t="s">
        <v>37</v>
      </c>
      <c r="R828" s="25"/>
      <c r="S828" s="25"/>
    </row>
    <row r="829" ht="39" customHeight="1" spans="1:19">
      <c r="A829" s="19" t="s">
        <v>3397</v>
      </c>
      <c r="B829" s="20" t="s">
        <v>19</v>
      </c>
      <c r="C829" s="20" t="s">
        <v>20</v>
      </c>
      <c r="D829" s="20" t="s">
        <v>32</v>
      </c>
      <c r="E829" s="21" t="s">
        <v>3398</v>
      </c>
      <c r="F829" s="21" t="s">
        <v>3399</v>
      </c>
      <c r="G829" s="20" t="s">
        <v>35</v>
      </c>
      <c r="H829" s="20" t="s">
        <v>25</v>
      </c>
      <c r="I829" s="21" t="s">
        <v>3400</v>
      </c>
      <c r="J829" s="22">
        <f t="shared" si="60"/>
        <v>22.9673611111066</v>
      </c>
      <c r="K829" s="22">
        <f t="shared" si="61"/>
        <v>551.216666666558</v>
      </c>
      <c r="L829" s="22">
        <f t="shared" si="62"/>
        <v>183.216666666558</v>
      </c>
      <c r="M829" s="22" cm="1">
        <f ca="1" t="array" ref="M829">SUMPRODUCT(--(WEEKDAY(ROW(INDIRECT(INT(F829)&amp;":"&amp;INT(I829))),2)&gt;5))</f>
        <v>6</v>
      </c>
      <c r="N829" s="22">
        <f ca="1" t="shared" si="63"/>
        <v>135.216666666558</v>
      </c>
      <c r="O829" s="22" t="str">
        <f ca="1" t="shared" si="64"/>
        <v>SLA Violated</v>
      </c>
      <c r="P829" s="23" t="s">
        <v>3401</v>
      </c>
      <c r="Q829" s="24" t="s">
        <v>28</v>
      </c>
      <c r="R829" s="25"/>
      <c r="S829" s="25"/>
    </row>
    <row r="830" ht="39" customHeight="1" spans="1:19">
      <c r="A830" s="19" t="s">
        <v>3402</v>
      </c>
      <c r="B830" s="20" t="s">
        <v>19</v>
      </c>
      <c r="C830" s="20" t="s">
        <v>20</v>
      </c>
      <c r="D830" s="20" t="s">
        <v>32</v>
      </c>
      <c r="E830" s="21" t="s">
        <v>3398</v>
      </c>
      <c r="F830" s="21" t="s">
        <v>3403</v>
      </c>
      <c r="G830" s="20" t="s">
        <v>35</v>
      </c>
      <c r="H830" s="20" t="s">
        <v>25</v>
      </c>
      <c r="I830" s="21" t="s">
        <v>3404</v>
      </c>
      <c r="J830" s="22">
        <f t="shared" si="60"/>
        <v>0.822916666664241</v>
      </c>
      <c r="K830" s="22">
        <f t="shared" si="61"/>
        <v>19.7499999999418</v>
      </c>
      <c r="L830" s="22">
        <f t="shared" si="62"/>
        <v>3.74999999994179</v>
      </c>
      <c r="M830" s="22" cm="1">
        <f ca="1" t="array" ref="M830">SUMPRODUCT(--(WEEKDAY(ROW(INDIRECT(INT(F830)&amp;":"&amp;INT(I830))),2)&gt;5))</f>
        <v>0</v>
      </c>
      <c r="N830" s="22">
        <f ca="1" t="shared" si="63"/>
        <v>3.74999999994179</v>
      </c>
      <c r="O830" s="22" t="str">
        <f ca="1" t="shared" si="64"/>
        <v>Within SLA</v>
      </c>
      <c r="P830" s="26" t="s">
        <v>3402</v>
      </c>
      <c r="Q830" s="24" t="s">
        <v>37</v>
      </c>
      <c r="R830" s="25"/>
      <c r="S830" s="25"/>
    </row>
    <row r="831" ht="27" customHeight="1" spans="1:19">
      <c r="A831" s="19" t="s">
        <v>3405</v>
      </c>
      <c r="B831" s="20" t="s">
        <v>30</v>
      </c>
      <c r="C831" s="20" t="s">
        <v>2057</v>
      </c>
      <c r="D831" s="20" t="s">
        <v>32</v>
      </c>
      <c r="E831" s="21" t="s">
        <v>3404</v>
      </c>
      <c r="F831" s="21" t="s">
        <v>3406</v>
      </c>
      <c r="G831" s="20" t="s">
        <v>35</v>
      </c>
      <c r="H831" s="20" t="s">
        <v>25</v>
      </c>
      <c r="I831" s="21" t="s">
        <v>3407</v>
      </c>
      <c r="J831" s="22">
        <f t="shared" si="60"/>
        <v>0.831944444442343</v>
      </c>
      <c r="K831" s="22">
        <f t="shared" si="61"/>
        <v>19.9666666666162</v>
      </c>
      <c r="L831" s="22">
        <f t="shared" si="62"/>
        <v>3.96666666661622</v>
      </c>
      <c r="M831" s="22" cm="1">
        <f ca="1" t="array" ref="M831">SUMPRODUCT(--(WEEKDAY(ROW(INDIRECT(INT(F831)&amp;":"&amp;INT(I831))),2)&gt;5))</f>
        <v>0</v>
      </c>
      <c r="N831" s="22">
        <f ca="1" t="shared" si="63"/>
        <v>3.96666666661622</v>
      </c>
      <c r="O831" s="22" t="str">
        <f ca="1" t="shared" si="64"/>
        <v>Within SLA</v>
      </c>
      <c r="P831" s="26" t="s">
        <v>3405</v>
      </c>
      <c r="Q831" s="24" t="s">
        <v>37</v>
      </c>
      <c r="R831" s="25"/>
      <c r="S831" s="25"/>
    </row>
    <row r="832" ht="27" customHeight="1" spans="1:19">
      <c r="A832" s="19" t="s">
        <v>3408</v>
      </c>
      <c r="B832" s="20" t="s">
        <v>30</v>
      </c>
      <c r="C832" s="20" t="s">
        <v>2057</v>
      </c>
      <c r="D832" s="20" t="s">
        <v>32</v>
      </c>
      <c r="E832" s="21" t="s">
        <v>3409</v>
      </c>
      <c r="F832" s="21" t="s">
        <v>3410</v>
      </c>
      <c r="G832" s="20" t="s">
        <v>24</v>
      </c>
      <c r="H832" s="20" t="s">
        <v>25</v>
      </c>
      <c r="I832" s="21" t="s">
        <v>3411</v>
      </c>
      <c r="J832" s="22">
        <f t="shared" si="60"/>
        <v>1.78194444443943</v>
      </c>
      <c r="K832" s="22">
        <f t="shared" si="61"/>
        <v>42.7666666665464</v>
      </c>
      <c r="L832" s="22">
        <f t="shared" si="62"/>
        <v>10.7666666665464</v>
      </c>
      <c r="M832" s="22" cm="1">
        <f ca="1" t="array" ref="M832">SUMPRODUCT(--(WEEKDAY(ROW(INDIRECT(INT(F832)&amp;":"&amp;INT(I832))),2)&gt;5))</f>
        <v>0</v>
      </c>
      <c r="N832" s="22">
        <f ca="1" t="shared" si="63"/>
        <v>10.7666666665464</v>
      </c>
      <c r="O832" s="22" t="str">
        <f ca="1" t="shared" si="64"/>
        <v>Within SLA</v>
      </c>
      <c r="P832" s="26" t="s">
        <v>3408</v>
      </c>
      <c r="Q832" s="24" t="s">
        <v>37</v>
      </c>
      <c r="R832" s="25"/>
      <c r="S832" s="25"/>
    </row>
    <row r="833" ht="39" customHeight="1" spans="1:19">
      <c r="A833" s="19" t="s">
        <v>3412</v>
      </c>
      <c r="B833" s="20" t="s">
        <v>19</v>
      </c>
      <c r="C833" s="20" t="s">
        <v>20</v>
      </c>
      <c r="D833" s="20" t="s">
        <v>32</v>
      </c>
      <c r="E833" s="21" t="s">
        <v>3409</v>
      </c>
      <c r="F833" s="21" t="s">
        <v>3413</v>
      </c>
      <c r="G833" s="20" t="s">
        <v>35</v>
      </c>
      <c r="H833" s="20" t="s">
        <v>25</v>
      </c>
      <c r="I833" s="21" t="s">
        <v>3414</v>
      </c>
      <c r="J833" s="22">
        <f t="shared" si="60"/>
        <v>0.844444444446708</v>
      </c>
      <c r="K833" s="22">
        <f t="shared" si="61"/>
        <v>20.266666666721</v>
      </c>
      <c r="L833" s="22">
        <f t="shared" si="62"/>
        <v>4.26666666672099</v>
      </c>
      <c r="M833" s="22" cm="1">
        <f ca="1" t="array" ref="M833">SUMPRODUCT(--(WEEKDAY(ROW(INDIRECT(INT(F833)&amp;":"&amp;INT(I833))),2)&gt;5))</f>
        <v>0</v>
      </c>
      <c r="N833" s="22">
        <f ca="1" t="shared" si="63"/>
        <v>4.26666666672099</v>
      </c>
      <c r="O833" s="22" t="str">
        <f ca="1" t="shared" si="64"/>
        <v>Within SLA</v>
      </c>
      <c r="P833" s="26" t="s">
        <v>3412</v>
      </c>
      <c r="Q833" s="24" t="s">
        <v>37</v>
      </c>
      <c r="R833" s="25"/>
      <c r="S833" s="25"/>
    </row>
    <row r="834" ht="39" customHeight="1" spans="1:19">
      <c r="A834" s="19" t="s">
        <v>3415</v>
      </c>
      <c r="B834" s="20" t="s">
        <v>196</v>
      </c>
      <c r="C834" s="20" t="s">
        <v>849</v>
      </c>
      <c r="D834" s="20" t="s">
        <v>32</v>
      </c>
      <c r="E834" s="21" t="s">
        <v>3416</v>
      </c>
      <c r="F834" s="21" t="s">
        <v>3417</v>
      </c>
      <c r="G834" s="20" t="s">
        <v>35</v>
      </c>
      <c r="H834" s="20" t="s">
        <v>25</v>
      </c>
      <c r="I834" s="21" t="s">
        <v>3418</v>
      </c>
      <c r="J834" s="22">
        <f t="shared" si="60"/>
        <v>11.0368055555518</v>
      </c>
      <c r="K834" s="22">
        <f t="shared" si="61"/>
        <v>264.883333333244</v>
      </c>
      <c r="L834" s="22">
        <f t="shared" si="62"/>
        <v>88.8833333332441</v>
      </c>
      <c r="M834" s="22" cm="1">
        <f ca="1" t="array" ref="M834">SUMPRODUCT(--(WEEKDAY(ROW(INDIRECT(INT(F834)&amp;":"&amp;INT(I834))),2)&gt;5))</f>
        <v>2</v>
      </c>
      <c r="N834" s="22">
        <f ca="1" t="shared" si="63"/>
        <v>72.8833333332441</v>
      </c>
      <c r="O834" s="22" t="str">
        <f ca="1" t="shared" si="64"/>
        <v>SLA Violated</v>
      </c>
      <c r="P834" s="23" t="s">
        <v>3419</v>
      </c>
      <c r="Q834" s="24" t="s">
        <v>37</v>
      </c>
      <c r="R834" s="25" t="s">
        <v>749</v>
      </c>
      <c r="S834" s="25" t="s">
        <v>1298</v>
      </c>
    </row>
    <row r="835" ht="27" customHeight="1" spans="1:19">
      <c r="A835" s="19" t="s">
        <v>3420</v>
      </c>
      <c r="B835" s="20" t="s">
        <v>30</v>
      </c>
      <c r="C835" s="20" t="s">
        <v>2057</v>
      </c>
      <c r="D835" s="20" t="s">
        <v>105</v>
      </c>
      <c r="E835" s="21" t="s">
        <v>3421</v>
      </c>
      <c r="F835" s="21" t="s">
        <v>3422</v>
      </c>
      <c r="G835" s="20" t="s">
        <v>35</v>
      </c>
      <c r="H835" s="20" t="s">
        <v>25</v>
      </c>
      <c r="I835" s="21" t="s">
        <v>3423</v>
      </c>
      <c r="J835" s="22">
        <f t="shared" ref="J835:J898" si="65">F835-I835</f>
        <v>1.7138888888876</v>
      </c>
      <c r="K835" s="22">
        <f t="shared" ref="K835:K898" si="66">J835*24</f>
        <v>41.1333333333023</v>
      </c>
      <c r="L835" s="22">
        <f t="shared" ref="L835:L898" si="67">IF(_xlfn.DAYS(F835,I835)&gt;0,K835-IF(FLOOR(J835,1)=0,1,_xlfn.DAYS(F835,I835))*16,K835)</f>
        <v>9.13333333330229</v>
      </c>
      <c r="M835" s="22" cm="1">
        <f ca="1" t="array" ref="M835">SUMPRODUCT(--(WEEKDAY(ROW(INDIRECT(INT(F835)&amp;":"&amp;INT(I835))),2)&gt;5))</f>
        <v>0</v>
      </c>
      <c r="N835" s="22">
        <f ca="1" t="shared" ref="N835:N898" si="68">IF(IF(M835&gt;0,L835-M835*8,L835)&lt;0,0,IF(M835&gt;0,L835-M835*8,L835))</f>
        <v>9.13333333330229</v>
      </c>
      <c r="O835" s="22" t="str">
        <f ca="1" t="shared" ref="O835:O898" si="69">IF(OR(AND(D835="P1",N835&lt;=3),AND(D835="P2",N835&lt;=6),AND(D835="P3",N835&lt;=9),AND(D835="P4",N835&lt;=12)),"Within SLA","SLA Violated")</f>
        <v>SLA Violated</v>
      </c>
      <c r="P835" s="23" t="s">
        <v>3424</v>
      </c>
      <c r="Q835" s="24" t="s">
        <v>28</v>
      </c>
      <c r="R835" s="25"/>
      <c r="S835" s="25"/>
    </row>
    <row r="836" ht="27" customHeight="1" spans="1:19">
      <c r="A836" s="19" t="s">
        <v>3425</v>
      </c>
      <c r="B836" s="20" t="s">
        <v>30</v>
      </c>
      <c r="C836" s="20" t="s">
        <v>2057</v>
      </c>
      <c r="D836" s="20" t="s">
        <v>32</v>
      </c>
      <c r="E836" s="21" t="s">
        <v>3421</v>
      </c>
      <c r="F836" s="21" t="s">
        <v>3065</v>
      </c>
      <c r="G836" s="20" t="s">
        <v>24</v>
      </c>
      <c r="H836" s="20" t="s">
        <v>25</v>
      </c>
      <c r="I836" s="21" t="s">
        <v>3426</v>
      </c>
      <c r="J836" s="22">
        <f t="shared" si="65"/>
        <v>1.76180555555766</v>
      </c>
      <c r="K836" s="22">
        <f t="shared" si="66"/>
        <v>42.2833333333838</v>
      </c>
      <c r="L836" s="22">
        <f t="shared" si="67"/>
        <v>10.2833333333838</v>
      </c>
      <c r="M836" s="22" cm="1">
        <f ca="1" t="array" ref="M836">SUMPRODUCT(--(WEEKDAY(ROW(INDIRECT(INT(F836)&amp;":"&amp;INT(I836))),2)&gt;5))</f>
        <v>0</v>
      </c>
      <c r="N836" s="22">
        <f ca="1" t="shared" si="68"/>
        <v>10.2833333333838</v>
      </c>
      <c r="O836" s="22" t="str">
        <f ca="1" t="shared" si="69"/>
        <v>Within SLA</v>
      </c>
      <c r="P836" s="26" t="s">
        <v>3425</v>
      </c>
      <c r="Q836" s="24" t="s">
        <v>37</v>
      </c>
      <c r="R836" s="25"/>
      <c r="S836" s="25"/>
    </row>
    <row r="837" ht="39" customHeight="1" spans="1:19">
      <c r="A837" s="19" t="s">
        <v>3427</v>
      </c>
      <c r="B837" s="20" t="s">
        <v>196</v>
      </c>
      <c r="C837" s="20" t="s">
        <v>46</v>
      </c>
      <c r="D837" s="20" t="s">
        <v>21</v>
      </c>
      <c r="E837" s="21" t="s">
        <v>3428</v>
      </c>
      <c r="F837" s="21" t="s">
        <v>3429</v>
      </c>
      <c r="G837" s="20" t="s">
        <v>35</v>
      </c>
      <c r="H837" s="20" t="s">
        <v>25</v>
      </c>
      <c r="I837" s="21" t="s">
        <v>3430</v>
      </c>
      <c r="J837" s="22">
        <f t="shared" si="65"/>
        <v>0.0145833333372138</v>
      </c>
      <c r="K837" s="22">
        <f t="shared" si="66"/>
        <v>0.350000000093132</v>
      </c>
      <c r="L837" s="22">
        <f t="shared" si="67"/>
        <v>0.350000000093132</v>
      </c>
      <c r="M837" s="22" cm="1">
        <f ca="1" t="array" ref="M837">SUMPRODUCT(--(WEEKDAY(ROW(INDIRECT(INT(F837)&amp;":"&amp;INT(I837))),2)&gt;5))</f>
        <v>0</v>
      </c>
      <c r="N837" s="22">
        <f ca="1" t="shared" si="68"/>
        <v>0.350000000093132</v>
      </c>
      <c r="O837" s="22" t="str">
        <f ca="1" t="shared" si="69"/>
        <v>Within SLA</v>
      </c>
      <c r="P837" s="26" t="s">
        <v>3427</v>
      </c>
      <c r="Q837" s="24" t="s">
        <v>37</v>
      </c>
      <c r="R837" s="25"/>
      <c r="S837" s="25"/>
    </row>
    <row r="838" ht="39" customHeight="1" spans="1:19">
      <c r="A838" s="19" t="s">
        <v>3431</v>
      </c>
      <c r="B838" s="20" t="s">
        <v>19</v>
      </c>
      <c r="C838" s="20" t="s">
        <v>20</v>
      </c>
      <c r="D838" s="20" t="s">
        <v>32</v>
      </c>
      <c r="E838" s="21" t="s">
        <v>3432</v>
      </c>
      <c r="F838" s="21" t="s">
        <v>3433</v>
      </c>
      <c r="G838" s="20" t="s">
        <v>35</v>
      </c>
      <c r="H838" s="20" t="s">
        <v>25</v>
      </c>
      <c r="I838" s="21" t="s">
        <v>3434</v>
      </c>
      <c r="J838" s="22">
        <f t="shared" si="65"/>
        <v>29.0569444444409</v>
      </c>
      <c r="K838" s="22">
        <f t="shared" si="66"/>
        <v>697.366666666581</v>
      </c>
      <c r="L838" s="22">
        <f t="shared" si="67"/>
        <v>233.366666666581</v>
      </c>
      <c r="M838" s="22" cm="1">
        <f ca="1" t="array" ref="M838">SUMPRODUCT(--(WEEKDAY(ROW(INDIRECT(INT(F838)&amp;":"&amp;INT(I838))),2)&gt;5))</f>
        <v>8</v>
      </c>
      <c r="N838" s="22">
        <f ca="1" t="shared" si="68"/>
        <v>169.366666666581</v>
      </c>
      <c r="O838" s="22" t="str">
        <f ca="1" t="shared" si="69"/>
        <v>SLA Violated</v>
      </c>
      <c r="P838" s="23" t="s">
        <v>3435</v>
      </c>
      <c r="Q838" s="24" t="s">
        <v>28</v>
      </c>
      <c r="R838" s="25"/>
      <c r="S838" s="25"/>
    </row>
    <row r="839" ht="16" customHeight="1" spans="1:19">
      <c r="A839" s="28" t="s">
        <v>3436</v>
      </c>
      <c r="B839" s="20" t="s">
        <v>100</v>
      </c>
      <c r="C839" s="20" t="s">
        <v>101</v>
      </c>
      <c r="D839" s="20" t="s">
        <v>32</v>
      </c>
      <c r="E839" s="21" t="s">
        <v>3437</v>
      </c>
      <c r="F839" s="21" t="s">
        <v>3438</v>
      </c>
      <c r="G839" s="20" t="s">
        <v>35</v>
      </c>
      <c r="H839" s="20" t="s">
        <v>25</v>
      </c>
      <c r="I839" s="21" t="s">
        <v>3439</v>
      </c>
      <c r="J839" s="22">
        <f t="shared" si="65"/>
        <v>22.7104166666686</v>
      </c>
      <c r="K839" s="22">
        <f t="shared" si="66"/>
        <v>545.050000000047</v>
      </c>
      <c r="L839" s="22">
        <f t="shared" si="67"/>
        <v>177.050000000047</v>
      </c>
      <c r="M839" s="22" cm="1">
        <f ca="1" t="array" ref="M839">SUMPRODUCT(--(WEEKDAY(ROW(INDIRECT(INT(F839)&amp;":"&amp;INT(I839))),2)&gt;5))</f>
        <v>6</v>
      </c>
      <c r="N839" s="22">
        <f ca="1" t="shared" si="68"/>
        <v>129.050000000047</v>
      </c>
      <c r="O839" s="22" t="str">
        <f ca="1" t="shared" si="69"/>
        <v>SLA Violated</v>
      </c>
      <c r="P839" s="23" t="s">
        <v>3436</v>
      </c>
      <c r="Q839" s="24" t="s">
        <v>37</v>
      </c>
      <c r="R839" s="25" t="s">
        <v>749</v>
      </c>
      <c r="S839" s="25" t="s">
        <v>3440</v>
      </c>
    </row>
    <row r="840" ht="27" customHeight="1" spans="1:19">
      <c r="A840" s="19" t="s">
        <v>3441</v>
      </c>
      <c r="B840" s="20" t="s">
        <v>30</v>
      </c>
      <c r="C840" s="20" t="s">
        <v>31</v>
      </c>
      <c r="D840" s="20" t="s">
        <v>32</v>
      </c>
      <c r="E840" s="21" t="s">
        <v>3437</v>
      </c>
      <c r="F840" s="21" t="s">
        <v>3442</v>
      </c>
      <c r="G840" s="20" t="s">
        <v>35</v>
      </c>
      <c r="H840" s="20" t="s">
        <v>25</v>
      </c>
      <c r="I840" s="21" t="s">
        <v>3443</v>
      </c>
      <c r="J840" s="22">
        <f t="shared" si="65"/>
        <v>3.96597222222044</v>
      </c>
      <c r="K840" s="22">
        <f t="shared" si="66"/>
        <v>95.1833333332906</v>
      </c>
      <c r="L840" s="22">
        <f t="shared" si="67"/>
        <v>31.1833333332906</v>
      </c>
      <c r="M840" s="22" cm="1">
        <f ca="1" t="array" ref="M840">SUMPRODUCT(--(WEEKDAY(ROW(INDIRECT(INT(F840)&amp;":"&amp;INT(I840))),2)&gt;5))</f>
        <v>0</v>
      </c>
      <c r="N840" s="22">
        <f ca="1" t="shared" si="68"/>
        <v>31.1833333332906</v>
      </c>
      <c r="O840" s="22" t="str">
        <f ca="1" t="shared" si="69"/>
        <v>SLA Violated</v>
      </c>
      <c r="P840" s="26" t="s">
        <v>3441</v>
      </c>
      <c r="Q840" s="24" t="s">
        <v>37</v>
      </c>
      <c r="R840" s="6" t="s">
        <v>2337</v>
      </c>
      <c r="S840" s="25" t="s">
        <v>39</v>
      </c>
    </row>
    <row r="841" ht="27" customHeight="1" spans="1:19">
      <c r="A841" s="19" t="s">
        <v>3444</v>
      </c>
      <c r="B841" s="20" t="s">
        <v>30</v>
      </c>
      <c r="C841" s="20" t="s">
        <v>2057</v>
      </c>
      <c r="D841" s="20" t="s">
        <v>32</v>
      </c>
      <c r="E841" s="21" t="s">
        <v>3445</v>
      </c>
      <c r="F841" s="21" t="s">
        <v>3333</v>
      </c>
      <c r="G841" s="20" t="s">
        <v>24</v>
      </c>
      <c r="H841" s="20" t="s">
        <v>25</v>
      </c>
      <c r="I841" s="21" t="s">
        <v>3446</v>
      </c>
      <c r="J841" s="22">
        <f t="shared" si="65"/>
        <v>1.74861111111386</v>
      </c>
      <c r="K841" s="22">
        <f t="shared" si="66"/>
        <v>41.9666666667326</v>
      </c>
      <c r="L841" s="22">
        <f t="shared" si="67"/>
        <v>9.96666666673264</v>
      </c>
      <c r="M841" s="22" cm="1">
        <f ca="1" t="array" ref="M841">SUMPRODUCT(--(WEEKDAY(ROW(INDIRECT(INT(F841)&amp;":"&amp;INT(I841))),2)&gt;5))</f>
        <v>0</v>
      </c>
      <c r="N841" s="22">
        <f ca="1" t="shared" si="68"/>
        <v>9.96666666673264</v>
      </c>
      <c r="O841" s="22" t="str">
        <f ca="1" t="shared" si="69"/>
        <v>Within SLA</v>
      </c>
      <c r="P841" s="26" t="s">
        <v>3444</v>
      </c>
      <c r="Q841" s="24" t="s">
        <v>37</v>
      </c>
      <c r="R841" s="25"/>
      <c r="S841" s="25"/>
    </row>
    <row r="842" ht="27" customHeight="1" spans="1:19">
      <c r="A842" s="19" t="s">
        <v>3447</v>
      </c>
      <c r="B842" s="20" t="s">
        <v>30</v>
      </c>
      <c r="C842" s="20" t="s">
        <v>31</v>
      </c>
      <c r="D842" s="20" t="s">
        <v>32</v>
      </c>
      <c r="E842" s="21" t="s">
        <v>3445</v>
      </c>
      <c r="F842" s="21" t="s">
        <v>3448</v>
      </c>
      <c r="G842" s="20" t="s">
        <v>35</v>
      </c>
      <c r="H842" s="20" t="s">
        <v>25</v>
      </c>
      <c r="I842" s="21" t="s">
        <v>3449</v>
      </c>
      <c r="J842" s="22">
        <f t="shared" si="65"/>
        <v>1.0895833333343</v>
      </c>
      <c r="K842" s="22">
        <f t="shared" si="66"/>
        <v>26.1500000000233</v>
      </c>
      <c r="L842" s="22">
        <f t="shared" si="67"/>
        <v>10.1500000000233</v>
      </c>
      <c r="M842" s="22" cm="1">
        <f ca="1" t="array" ref="M842">SUMPRODUCT(--(WEEKDAY(ROW(INDIRECT(INT(F842)&amp;":"&amp;INT(I842))),2)&gt;5))</f>
        <v>0</v>
      </c>
      <c r="N842" s="22">
        <f ca="1" t="shared" si="68"/>
        <v>10.1500000000233</v>
      </c>
      <c r="O842" s="22" t="str">
        <f ca="1" t="shared" si="69"/>
        <v>Within SLA</v>
      </c>
      <c r="P842" s="26" t="s">
        <v>3447</v>
      </c>
      <c r="Q842" s="24" t="s">
        <v>37</v>
      </c>
      <c r="R842" s="25"/>
      <c r="S842" s="25"/>
    </row>
    <row r="843" ht="39" customHeight="1" spans="1:19">
      <c r="A843" s="19" t="s">
        <v>3450</v>
      </c>
      <c r="B843" s="20" t="s">
        <v>19</v>
      </c>
      <c r="C843" s="20" t="s">
        <v>20</v>
      </c>
      <c r="D843" s="20" t="s">
        <v>32</v>
      </c>
      <c r="E843" s="21" t="s">
        <v>3451</v>
      </c>
      <c r="F843" s="21" t="s">
        <v>3452</v>
      </c>
      <c r="G843" s="20" t="s">
        <v>35</v>
      </c>
      <c r="H843" s="20" t="s">
        <v>25</v>
      </c>
      <c r="I843" s="21" t="s">
        <v>3453</v>
      </c>
      <c r="J843" s="22">
        <f t="shared" si="65"/>
        <v>29.0270833333343</v>
      </c>
      <c r="K843" s="22">
        <f t="shared" si="66"/>
        <v>696.650000000023</v>
      </c>
      <c r="L843" s="22">
        <f t="shared" si="67"/>
        <v>232.650000000023</v>
      </c>
      <c r="M843" s="22" cm="1">
        <f ca="1" t="array" ref="M843">SUMPRODUCT(--(WEEKDAY(ROW(INDIRECT(INT(F843)&amp;":"&amp;INT(I843))),2)&gt;5))</f>
        <v>8</v>
      </c>
      <c r="N843" s="22">
        <f ca="1" t="shared" si="68"/>
        <v>168.650000000023</v>
      </c>
      <c r="O843" s="22" t="str">
        <f ca="1" t="shared" si="69"/>
        <v>SLA Violated</v>
      </c>
      <c r="P843" s="23" t="s">
        <v>3454</v>
      </c>
      <c r="Q843" s="24" t="s">
        <v>28</v>
      </c>
      <c r="R843" s="25"/>
      <c r="S843" s="25"/>
    </row>
    <row r="844" ht="39" customHeight="1" spans="1:19">
      <c r="A844" s="19" t="s">
        <v>3455</v>
      </c>
      <c r="B844" s="20" t="s">
        <v>19</v>
      </c>
      <c r="C844" s="20" t="s">
        <v>20</v>
      </c>
      <c r="D844" s="20" t="s">
        <v>32</v>
      </c>
      <c r="E844" s="21" t="s">
        <v>3451</v>
      </c>
      <c r="F844" s="21" t="s">
        <v>3456</v>
      </c>
      <c r="G844" s="20" t="s">
        <v>35</v>
      </c>
      <c r="H844" s="20" t="s">
        <v>25</v>
      </c>
      <c r="I844" s="21" t="s">
        <v>3457</v>
      </c>
      <c r="J844" s="22">
        <f t="shared" si="65"/>
        <v>7.25069444444671</v>
      </c>
      <c r="K844" s="22">
        <f t="shared" si="66"/>
        <v>174.016666666721</v>
      </c>
      <c r="L844" s="22">
        <f t="shared" si="67"/>
        <v>46.016666666721</v>
      </c>
      <c r="M844" s="22" cm="1">
        <f ca="1" t="array" ref="M844">SUMPRODUCT(--(WEEKDAY(ROW(INDIRECT(INT(F844)&amp;":"&amp;INT(I844))),2)&gt;5))</f>
        <v>2</v>
      </c>
      <c r="N844" s="22">
        <f ca="1" t="shared" si="68"/>
        <v>30.016666666721</v>
      </c>
      <c r="O844" s="22" t="str">
        <f ca="1" t="shared" si="69"/>
        <v>SLA Violated</v>
      </c>
      <c r="P844" s="23" t="s">
        <v>3458</v>
      </c>
      <c r="Q844" s="24" t="s">
        <v>28</v>
      </c>
      <c r="R844" s="25"/>
      <c r="S844" s="25"/>
    </row>
    <row r="845" ht="27" customHeight="1" spans="1:19">
      <c r="A845" s="19" t="s">
        <v>3459</v>
      </c>
      <c r="B845" s="20" t="s">
        <v>30</v>
      </c>
      <c r="C845" s="20" t="s">
        <v>31</v>
      </c>
      <c r="D845" s="20" t="s">
        <v>32</v>
      </c>
      <c r="E845" s="21" t="s">
        <v>726</v>
      </c>
      <c r="F845" s="21" t="s">
        <v>3460</v>
      </c>
      <c r="G845" s="20" t="s">
        <v>35</v>
      </c>
      <c r="H845" s="20" t="s">
        <v>25</v>
      </c>
      <c r="I845" s="21" t="s">
        <v>3461</v>
      </c>
      <c r="J845" s="22">
        <f t="shared" si="65"/>
        <v>0.113194444442343</v>
      </c>
      <c r="K845" s="22">
        <f t="shared" si="66"/>
        <v>2.71666666661622</v>
      </c>
      <c r="L845" s="22">
        <f t="shared" si="67"/>
        <v>2.71666666661622</v>
      </c>
      <c r="M845" s="22" cm="1">
        <f ca="1" t="array" ref="M845">SUMPRODUCT(--(WEEKDAY(ROW(INDIRECT(INT(F845)&amp;":"&amp;INT(I845))),2)&gt;5))</f>
        <v>0</v>
      </c>
      <c r="N845" s="22">
        <f ca="1" t="shared" si="68"/>
        <v>2.71666666661622</v>
      </c>
      <c r="O845" s="22" t="str">
        <f ca="1" t="shared" si="69"/>
        <v>Within SLA</v>
      </c>
      <c r="P845" s="26" t="s">
        <v>3459</v>
      </c>
      <c r="Q845" s="24" t="s">
        <v>37</v>
      </c>
      <c r="R845" s="25"/>
      <c r="S845" s="25"/>
    </row>
    <row r="846" ht="27" customHeight="1" spans="1:19">
      <c r="A846" s="19" t="s">
        <v>3462</v>
      </c>
      <c r="B846" s="20" t="s">
        <v>30</v>
      </c>
      <c r="C846" s="20" t="s">
        <v>31</v>
      </c>
      <c r="D846" s="20" t="s">
        <v>32</v>
      </c>
      <c r="E846" s="21" t="s">
        <v>3463</v>
      </c>
      <c r="F846" s="21" t="s">
        <v>3464</v>
      </c>
      <c r="G846" s="20" t="s">
        <v>35</v>
      </c>
      <c r="H846" s="20" t="s">
        <v>25</v>
      </c>
      <c r="I846" s="21" t="s">
        <v>3465</v>
      </c>
      <c r="J846" s="22">
        <f t="shared" si="65"/>
        <v>0.111805555556202</v>
      </c>
      <c r="K846" s="22">
        <f t="shared" si="66"/>
        <v>2.68333333334886</v>
      </c>
      <c r="L846" s="22">
        <f t="shared" si="67"/>
        <v>2.68333333334886</v>
      </c>
      <c r="M846" s="22" cm="1">
        <f ca="1" t="array" ref="M846">SUMPRODUCT(--(WEEKDAY(ROW(INDIRECT(INT(F846)&amp;":"&amp;INT(I846))),2)&gt;5))</f>
        <v>0</v>
      </c>
      <c r="N846" s="22">
        <f ca="1" t="shared" si="68"/>
        <v>2.68333333334886</v>
      </c>
      <c r="O846" s="22" t="str">
        <f ca="1" t="shared" si="69"/>
        <v>Within SLA</v>
      </c>
      <c r="P846" s="26" t="s">
        <v>3462</v>
      </c>
      <c r="Q846" s="24" t="s">
        <v>37</v>
      </c>
      <c r="R846" s="25"/>
      <c r="S846" s="25"/>
    </row>
    <row r="847" ht="27" customHeight="1" spans="1:19">
      <c r="A847" s="19" t="s">
        <v>3466</v>
      </c>
      <c r="B847" s="20" t="s">
        <v>30</v>
      </c>
      <c r="C847" s="20" t="s">
        <v>2057</v>
      </c>
      <c r="D847" s="20" t="s">
        <v>32</v>
      </c>
      <c r="E847" s="21" t="s">
        <v>3467</v>
      </c>
      <c r="F847" s="21" t="s">
        <v>3226</v>
      </c>
      <c r="G847" s="20" t="s">
        <v>35</v>
      </c>
      <c r="H847" s="20" t="s">
        <v>25</v>
      </c>
      <c r="I847" s="21" t="s">
        <v>3468</v>
      </c>
      <c r="J847" s="22">
        <f t="shared" si="65"/>
        <v>1.0625</v>
      </c>
      <c r="K847" s="22">
        <f t="shared" si="66"/>
        <v>25.5</v>
      </c>
      <c r="L847" s="22">
        <f t="shared" si="67"/>
        <v>9.5</v>
      </c>
      <c r="M847" s="22" cm="1">
        <f ca="1" t="array" ref="M847">SUMPRODUCT(--(WEEKDAY(ROW(INDIRECT(INT(F847)&amp;":"&amp;INT(I847))),2)&gt;5))</f>
        <v>0</v>
      </c>
      <c r="N847" s="22">
        <f ca="1" t="shared" si="68"/>
        <v>9.5</v>
      </c>
      <c r="O847" s="22" t="str">
        <f ca="1" t="shared" si="69"/>
        <v>Within SLA</v>
      </c>
      <c r="P847" s="26" t="s">
        <v>3466</v>
      </c>
      <c r="Q847" s="24" t="s">
        <v>37</v>
      </c>
      <c r="R847" s="25"/>
      <c r="S847" s="25"/>
    </row>
    <row r="848" ht="27" customHeight="1" spans="1:19">
      <c r="A848" s="19" t="s">
        <v>3469</v>
      </c>
      <c r="B848" s="20" t="s">
        <v>139</v>
      </c>
      <c r="C848" s="20" t="s">
        <v>2057</v>
      </c>
      <c r="D848" s="20" t="s">
        <v>32</v>
      </c>
      <c r="E848" s="21" t="s">
        <v>3470</v>
      </c>
      <c r="F848" s="21" t="s">
        <v>3471</v>
      </c>
      <c r="G848" s="20" t="s">
        <v>35</v>
      </c>
      <c r="H848" s="20" t="s">
        <v>25</v>
      </c>
      <c r="I848" s="21" t="s">
        <v>3472</v>
      </c>
      <c r="J848" s="22">
        <f t="shared" si="65"/>
        <v>1.25277777777956</v>
      </c>
      <c r="K848" s="22">
        <f t="shared" si="66"/>
        <v>30.0666666667094</v>
      </c>
      <c r="L848" s="22">
        <f t="shared" si="67"/>
        <v>14.0666666667094</v>
      </c>
      <c r="M848" s="22" cm="1">
        <f ca="1" t="array" ref="M848">SUMPRODUCT(--(WEEKDAY(ROW(INDIRECT(INT(F848)&amp;":"&amp;INT(I848))),2)&gt;5))</f>
        <v>0</v>
      </c>
      <c r="N848" s="22">
        <f ca="1" t="shared" si="68"/>
        <v>14.0666666667094</v>
      </c>
      <c r="O848" s="22" t="str">
        <f ca="1" t="shared" si="69"/>
        <v>SLA Violated</v>
      </c>
      <c r="P848" s="23" t="s">
        <v>3473</v>
      </c>
      <c r="Q848" s="24" t="s">
        <v>28</v>
      </c>
      <c r="R848" s="25"/>
      <c r="S848" s="25"/>
    </row>
    <row r="849" ht="39" customHeight="1" spans="1:19">
      <c r="A849" s="19" t="s">
        <v>3474</v>
      </c>
      <c r="B849" s="20" t="s">
        <v>725</v>
      </c>
      <c r="C849" s="20" t="s">
        <v>46</v>
      </c>
      <c r="D849" s="20" t="s">
        <v>105</v>
      </c>
      <c r="E849" s="21" t="s">
        <v>3475</v>
      </c>
      <c r="F849" s="21" t="s">
        <v>3476</v>
      </c>
      <c r="G849" s="20" t="s">
        <v>35</v>
      </c>
      <c r="H849" s="20" t="s">
        <v>25</v>
      </c>
      <c r="I849" s="21" t="s">
        <v>3477</v>
      </c>
      <c r="J849" s="22">
        <f t="shared" si="65"/>
        <v>0.0611111111065838</v>
      </c>
      <c r="K849" s="22">
        <f t="shared" si="66"/>
        <v>1.46666666655801</v>
      </c>
      <c r="L849" s="22">
        <f t="shared" si="67"/>
        <v>1.46666666655801</v>
      </c>
      <c r="M849" s="22" cm="1">
        <f ca="1" t="array" ref="M849">SUMPRODUCT(--(WEEKDAY(ROW(INDIRECT(INT(F849)&amp;":"&amp;INT(I849))),2)&gt;5))</f>
        <v>0</v>
      </c>
      <c r="N849" s="22">
        <f ca="1" t="shared" si="68"/>
        <v>1.46666666655801</v>
      </c>
      <c r="O849" s="22" t="str">
        <f ca="1" t="shared" si="69"/>
        <v>Within SLA</v>
      </c>
      <c r="P849" s="26" t="s">
        <v>3474</v>
      </c>
      <c r="Q849" s="24" t="s">
        <v>37</v>
      </c>
      <c r="R849" s="25"/>
      <c r="S849" s="25"/>
    </row>
    <row r="850" ht="27" customHeight="1" spans="1:19">
      <c r="A850" s="19" t="s">
        <v>3478</v>
      </c>
      <c r="B850" s="20" t="s">
        <v>30</v>
      </c>
      <c r="C850" s="20" t="s">
        <v>31</v>
      </c>
      <c r="D850" s="20" t="s">
        <v>32</v>
      </c>
      <c r="E850" s="21" t="s">
        <v>3479</v>
      </c>
      <c r="F850" s="21" t="s">
        <v>3480</v>
      </c>
      <c r="G850" s="20" t="s">
        <v>35</v>
      </c>
      <c r="H850" s="20" t="s">
        <v>25</v>
      </c>
      <c r="I850" s="21" t="s">
        <v>3481</v>
      </c>
      <c r="J850" s="22">
        <f t="shared" si="65"/>
        <v>0.152083333334303</v>
      </c>
      <c r="K850" s="22">
        <f t="shared" si="66"/>
        <v>3.65000000002328</v>
      </c>
      <c r="L850" s="22">
        <f t="shared" si="67"/>
        <v>3.65000000002328</v>
      </c>
      <c r="M850" s="22" cm="1">
        <f ca="1" t="array" ref="M850">SUMPRODUCT(--(WEEKDAY(ROW(INDIRECT(INT(F850)&amp;":"&amp;INT(I850))),2)&gt;5))</f>
        <v>0</v>
      </c>
      <c r="N850" s="22">
        <f ca="1" t="shared" si="68"/>
        <v>3.65000000002328</v>
      </c>
      <c r="O850" s="22" t="str">
        <f ca="1" t="shared" si="69"/>
        <v>Within SLA</v>
      </c>
      <c r="P850" s="26" t="s">
        <v>3478</v>
      </c>
      <c r="Q850" s="24" t="s">
        <v>37</v>
      </c>
      <c r="R850" s="25"/>
      <c r="S850" s="25"/>
    </row>
    <row r="851" ht="27" customHeight="1" spans="1:19">
      <c r="A851" s="19" t="s">
        <v>3482</v>
      </c>
      <c r="B851" s="20" t="s">
        <v>30</v>
      </c>
      <c r="C851" s="20" t="s">
        <v>2057</v>
      </c>
      <c r="D851" s="20" t="s">
        <v>32</v>
      </c>
      <c r="E851" s="21" t="s">
        <v>3483</v>
      </c>
      <c r="F851" s="21" t="s">
        <v>3484</v>
      </c>
      <c r="G851" s="20" t="s">
        <v>35</v>
      </c>
      <c r="H851" s="20" t="s">
        <v>25</v>
      </c>
      <c r="I851" s="21" t="s">
        <v>3485</v>
      </c>
      <c r="J851" s="22">
        <f t="shared" si="65"/>
        <v>1.07847222222335</v>
      </c>
      <c r="K851" s="22">
        <f t="shared" si="66"/>
        <v>25.8833333333605</v>
      </c>
      <c r="L851" s="22">
        <f t="shared" si="67"/>
        <v>9.8833333333605</v>
      </c>
      <c r="M851" s="22" cm="1">
        <f ca="1" t="array" ref="M851">SUMPRODUCT(--(WEEKDAY(ROW(INDIRECT(INT(F851)&amp;":"&amp;INT(I851))),2)&gt;5))</f>
        <v>0</v>
      </c>
      <c r="N851" s="22">
        <f ca="1" t="shared" si="68"/>
        <v>9.8833333333605</v>
      </c>
      <c r="O851" s="22" t="str">
        <f ca="1" t="shared" si="69"/>
        <v>Within SLA</v>
      </c>
      <c r="P851" s="26" t="s">
        <v>3482</v>
      </c>
      <c r="Q851" s="24" t="s">
        <v>37</v>
      </c>
      <c r="R851" s="25"/>
      <c r="S851" s="25"/>
    </row>
    <row r="852" ht="27" customHeight="1" spans="1:19">
      <c r="A852" s="19" t="s">
        <v>3486</v>
      </c>
      <c r="B852" s="20" t="s">
        <v>30</v>
      </c>
      <c r="C852" s="20" t="s">
        <v>31</v>
      </c>
      <c r="D852" s="20" t="s">
        <v>32</v>
      </c>
      <c r="E852" s="21" t="s">
        <v>3487</v>
      </c>
      <c r="F852" s="21" t="s">
        <v>3488</v>
      </c>
      <c r="G852" s="20" t="s">
        <v>35</v>
      </c>
      <c r="H852" s="20" t="s">
        <v>25</v>
      </c>
      <c r="I852" s="21" t="s">
        <v>3489</v>
      </c>
      <c r="J852" s="22">
        <f t="shared" si="65"/>
        <v>0.0201388888890506</v>
      </c>
      <c r="K852" s="22">
        <f t="shared" si="66"/>
        <v>0.483333333337214</v>
      </c>
      <c r="L852" s="22">
        <f t="shared" si="67"/>
        <v>0.483333333337214</v>
      </c>
      <c r="M852" s="22" cm="1">
        <f ca="1" t="array" ref="M852">SUMPRODUCT(--(WEEKDAY(ROW(INDIRECT(INT(F852)&amp;":"&amp;INT(I852))),2)&gt;5))</f>
        <v>0</v>
      </c>
      <c r="N852" s="22">
        <f ca="1" t="shared" si="68"/>
        <v>0.483333333337214</v>
      </c>
      <c r="O852" s="22" t="str">
        <f ca="1" t="shared" si="69"/>
        <v>Within SLA</v>
      </c>
      <c r="P852" s="26" t="s">
        <v>3486</v>
      </c>
      <c r="Q852" s="24" t="s">
        <v>37</v>
      </c>
      <c r="R852" s="25"/>
      <c r="S852" s="25"/>
    </row>
    <row r="853" ht="27" customHeight="1" spans="1:19">
      <c r="A853" s="19" t="s">
        <v>3490</v>
      </c>
      <c r="B853" s="20" t="s">
        <v>30</v>
      </c>
      <c r="C853" s="20" t="s">
        <v>2057</v>
      </c>
      <c r="D853" s="20" t="s">
        <v>32</v>
      </c>
      <c r="E853" s="21" t="s">
        <v>3491</v>
      </c>
      <c r="F853" s="21" t="s">
        <v>3492</v>
      </c>
      <c r="G853" s="20" t="s">
        <v>24</v>
      </c>
      <c r="H853" s="20" t="s">
        <v>25</v>
      </c>
      <c r="I853" s="21" t="s">
        <v>3493</v>
      </c>
      <c r="J853" s="22">
        <f t="shared" si="65"/>
        <v>1.0534722222219</v>
      </c>
      <c r="K853" s="22">
        <f t="shared" si="66"/>
        <v>25.2833333333256</v>
      </c>
      <c r="L853" s="22">
        <f t="shared" si="67"/>
        <v>9.28333333332557</v>
      </c>
      <c r="M853" s="22" cm="1">
        <f ca="1" t="array" ref="M853">SUMPRODUCT(--(WEEKDAY(ROW(INDIRECT(INT(F853)&amp;":"&amp;INT(I853))),2)&gt;5))</f>
        <v>0</v>
      </c>
      <c r="N853" s="22">
        <f ca="1" t="shared" si="68"/>
        <v>9.28333333332557</v>
      </c>
      <c r="O853" s="22" t="str">
        <f ca="1" t="shared" si="69"/>
        <v>Within SLA</v>
      </c>
      <c r="P853" s="26" t="s">
        <v>3490</v>
      </c>
      <c r="Q853" s="24" t="s">
        <v>37</v>
      </c>
      <c r="R853" s="25"/>
      <c r="S853" s="25"/>
    </row>
    <row r="854" ht="39" customHeight="1" spans="1:19">
      <c r="A854" s="19" t="s">
        <v>3494</v>
      </c>
      <c r="B854" s="20" t="s">
        <v>19</v>
      </c>
      <c r="C854" s="20" t="s">
        <v>20</v>
      </c>
      <c r="D854" s="20" t="s">
        <v>21</v>
      </c>
      <c r="E854" s="21" t="s">
        <v>3495</v>
      </c>
      <c r="F854" s="21" t="s">
        <v>3496</v>
      </c>
      <c r="G854" s="20" t="s">
        <v>35</v>
      </c>
      <c r="H854" s="20" t="s">
        <v>25</v>
      </c>
      <c r="I854" s="21" t="s">
        <v>3497</v>
      </c>
      <c r="J854" s="22">
        <f t="shared" si="65"/>
        <v>2.11111111110949</v>
      </c>
      <c r="K854" s="22">
        <f t="shared" si="66"/>
        <v>50.6666666666279</v>
      </c>
      <c r="L854" s="22">
        <f t="shared" si="67"/>
        <v>18.6666666666279</v>
      </c>
      <c r="M854" s="22" cm="1">
        <f ca="1" t="array" ref="M854">SUMPRODUCT(--(WEEKDAY(ROW(INDIRECT(INT(F854)&amp;":"&amp;INT(I854))),2)&gt;5))</f>
        <v>0</v>
      </c>
      <c r="N854" s="22">
        <f ca="1" t="shared" si="68"/>
        <v>18.6666666666279</v>
      </c>
      <c r="O854" s="22" t="str">
        <f ca="1" t="shared" si="69"/>
        <v>SLA Violated</v>
      </c>
      <c r="P854" s="23" t="s">
        <v>3498</v>
      </c>
      <c r="Q854" s="24" t="s">
        <v>28</v>
      </c>
      <c r="R854" s="25"/>
      <c r="S854" s="25"/>
    </row>
    <row r="855" ht="39" customHeight="1" spans="1:19">
      <c r="A855" s="19" t="s">
        <v>3499</v>
      </c>
      <c r="B855" s="20" t="s">
        <v>196</v>
      </c>
      <c r="C855" s="20" t="s">
        <v>31</v>
      </c>
      <c r="D855" s="20" t="s">
        <v>32</v>
      </c>
      <c r="E855" s="21" t="s">
        <v>3477</v>
      </c>
      <c r="F855" s="21" t="s">
        <v>3500</v>
      </c>
      <c r="G855" s="20" t="s">
        <v>35</v>
      </c>
      <c r="H855" s="20" t="s">
        <v>25</v>
      </c>
      <c r="I855" s="21" t="s">
        <v>3501</v>
      </c>
      <c r="J855" s="22">
        <f t="shared" si="65"/>
        <v>7.16597222222481</v>
      </c>
      <c r="K855" s="22">
        <f t="shared" si="66"/>
        <v>171.983333333395</v>
      </c>
      <c r="L855" s="22">
        <f t="shared" si="67"/>
        <v>59.9833333333954</v>
      </c>
      <c r="M855" s="22" cm="1">
        <f ca="1" t="array" ref="M855">SUMPRODUCT(--(WEEKDAY(ROW(INDIRECT(INT(F855)&amp;":"&amp;INT(I855))),2)&gt;5))</f>
        <v>2</v>
      </c>
      <c r="N855" s="22">
        <f ca="1" t="shared" si="68"/>
        <v>43.9833333333954</v>
      </c>
      <c r="O855" s="22" t="str">
        <f ca="1" t="shared" si="69"/>
        <v>SLA Violated</v>
      </c>
      <c r="P855" s="23" t="s">
        <v>3502</v>
      </c>
      <c r="Q855" s="24" t="s">
        <v>37</v>
      </c>
      <c r="R855" s="25" t="s">
        <v>38</v>
      </c>
      <c r="S855" s="25" t="s">
        <v>39</v>
      </c>
    </row>
    <row r="856" ht="27" customHeight="1" spans="1:19">
      <c r="A856" s="19" t="s">
        <v>3503</v>
      </c>
      <c r="B856" s="20" t="s">
        <v>30</v>
      </c>
      <c r="C856" s="20" t="s">
        <v>31</v>
      </c>
      <c r="D856" s="20" t="s">
        <v>32</v>
      </c>
      <c r="E856" s="21" t="s">
        <v>3504</v>
      </c>
      <c r="F856" s="21" t="s">
        <v>3505</v>
      </c>
      <c r="G856" s="20" t="s">
        <v>35</v>
      </c>
      <c r="H856" s="20" t="s">
        <v>25</v>
      </c>
      <c r="I856" s="21" t="s">
        <v>3506</v>
      </c>
      <c r="J856" s="22">
        <f t="shared" si="65"/>
        <v>0.131944444445253</v>
      </c>
      <c r="K856" s="22">
        <f t="shared" si="66"/>
        <v>3.16666666668607</v>
      </c>
      <c r="L856" s="22">
        <f t="shared" si="67"/>
        <v>3.16666666668607</v>
      </c>
      <c r="M856" s="22" cm="1">
        <f ca="1" t="array" ref="M856">SUMPRODUCT(--(WEEKDAY(ROW(INDIRECT(INT(F856)&amp;":"&amp;INT(I856))),2)&gt;5))</f>
        <v>0</v>
      </c>
      <c r="N856" s="22">
        <f ca="1" t="shared" si="68"/>
        <v>3.16666666668607</v>
      </c>
      <c r="O856" s="22" t="str">
        <f ca="1" t="shared" si="69"/>
        <v>Within SLA</v>
      </c>
      <c r="P856" s="26" t="s">
        <v>3503</v>
      </c>
      <c r="Q856" s="24" t="s">
        <v>37</v>
      </c>
      <c r="R856" s="25"/>
      <c r="S856" s="25"/>
    </row>
    <row r="857" ht="27" customHeight="1" spans="1:19">
      <c r="A857" s="19" t="s">
        <v>3507</v>
      </c>
      <c r="B857" s="20" t="s">
        <v>30</v>
      </c>
      <c r="C857" s="20" t="s">
        <v>31</v>
      </c>
      <c r="D857" s="20" t="s">
        <v>32</v>
      </c>
      <c r="E857" s="21" t="s">
        <v>3508</v>
      </c>
      <c r="F857" s="21" t="s">
        <v>3509</v>
      </c>
      <c r="G857" s="20" t="s">
        <v>35</v>
      </c>
      <c r="H857" s="20" t="s">
        <v>25</v>
      </c>
      <c r="I857" s="21" t="s">
        <v>3510</v>
      </c>
      <c r="J857" s="22">
        <f t="shared" si="65"/>
        <v>0.0138888888905058</v>
      </c>
      <c r="K857" s="22">
        <f t="shared" si="66"/>
        <v>0.333333333372138</v>
      </c>
      <c r="L857" s="22">
        <f t="shared" si="67"/>
        <v>0.333333333372138</v>
      </c>
      <c r="M857" s="22" cm="1">
        <f ca="1" t="array" ref="M857">SUMPRODUCT(--(WEEKDAY(ROW(INDIRECT(INT(F857)&amp;":"&amp;INT(I857))),2)&gt;5))</f>
        <v>0</v>
      </c>
      <c r="N857" s="22">
        <f ca="1" t="shared" si="68"/>
        <v>0.333333333372138</v>
      </c>
      <c r="O857" s="22" t="str">
        <f ca="1" t="shared" si="69"/>
        <v>Within SLA</v>
      </c>
      <c r="P857" s="26" t="s">
        <v>3507</v>
      </c>
      <c r="Q857" s="24" t="s">
        <v>37</v>
      </c>
      <c r="R857" s="25"/>
      <c r="S857" s="25"/>
    </row>
    <row r="858" ht="39" customHeight="1" spans="1:19">
      <c r="A858" s="19" t="s">
        <v>3511</v>
      </c>
      <c r="B858" s="20" t="s">
        <v>19</v>
      </c>
      <c r="C858" s="20" t="s">
        <v>20</v>
      </c>
      <c r="D858" s="20" t="s">
        <v>32</v>
      </c>
      <c r="E858" s="21" t="s">
        <v>3512</v>
      </c>
      <c r="F858" s="21" t="s">
        <v>3513</v>
      </c>
      <c r="G858" s="20" t="s">
        <v>35</v>
      </c>
      <c r="H858" s="20" t="s">
        <v>25</v>
      </c>
      <c r="I858" s="21" t="s">
        <v>3514</v>
      </c>
      <c r="J858" s="22">
        <f t="shared" si="65"/>
        <v>0.186111111106584</v>
      </c>
      <c r="K858" s="22">
        <f t="shared" si="66"/>
        <v>4.46666666655801</v>
      </c>
      <c r="L858" s="22">
        <f t="shared" si="67"/>
        <v>4.46666666655801</v>
      </c>
      <c r="M858" s="22" cm="1">
        <f ca="1" t="array" ref="M858">SUMPRODUCT(--(WEEKDAY(ROW(INDIRECT(INT(F858)&amp;":"&amp;INT(I858))),2)&gt;5))</f>
        <v>0</v>
      </c>
      <c r="N858" s="22">
        <f ca="1" t="shared" si="68"/>
        <v>4.46666666655801</v>
      </c>
      <c r="O858" s="22" t="str">
        <f ca="1" t="shared" si="69"/>
        <v>Within SLA</v>
      </c>
      <c r="P858" s="26" t="s">
        <v>3511</v>
      </c>
      <c r="Q858" s="24" t="s">
        <v>37</v>
      </c>
      <c r="R858" s="25"/>
      <c r="S858" s="25"/>
    </row>
    <row r="859" ht="27" customHeight="1" spans="1:19">
      <c r="A859" s="19" t="s">
        <v>3515</v>
      </c>
      <c r="B859" s="20" t="s">
        <v>30</v>
      </c>
      <c r="C859" s="20" t="s">
        <v>2057</v>
      </c>
      <c r="D859" s="20" t="s">
        <v>32</v>
      </c>
      <c r="E859" s="21" t="s">
        <v>3509</v>
      </c>
      <c r="F859" s="21" t="s">
        <v>3516</v>
      </c>
      <c r="G859" s="20" t="s">
        <v>24</v>
      </c>
      <c r="H859" s="20" t="s">
        <v>25</v>
      </c>
      <c r="I859" s="21" t="s">
        <v>3517</v>
      </c>
      <c r="J859" s="22">
        <f t="shared" si="65"/>
        <v>1.02361111111531</v>
      </c>
      <c r="K859" s="22">
        <f t="shared" si="66"/>
        <v>24.5666666667676</v>
      </c>
      <c r="L859" s="22">
        <f t="shared" si="67"/>
        <v>8.56666666676756</v>
      </c>
      <c r="M859" s="22" cm="1">
        <f ca="1" t="array" ref="M859">SUMPRODUCT(--(WEEKDAY(ROW(INDIRECT(INT(F859)&amp;":"&amp;INT(I859))),2)&gt;5))</f>
        <v>0</v>
      </c>
      <c r="N859" s="22">
        <f ca="1" t="shared" si="68"/>
        <v>8.56666666676756</v>
      </c>
      <c r="O859" s="22" t="str">
        <f ca="1" t="shared" si="69"/>
        <v>Within SLA</v>
      </c>
      <c r="P859" s="26" t="s">
        <v>3515</v>
      </c>
      <c r="Q859" s="24" t="s">
        <v>37</v>
      </c>
      <c r="R859" s="25"/>
      <c r="S859" s="25"/>
    </row>
    <row r="860" ht="27" customHeight="1" spans="1:19">
      <c r="A860" s="19" t="s">
        <v>3518</v>
      </c>
      <c r="B860" s="20" t="s">
        <v>30</v>
      </c>
      <c r="C860" s="20" t="s">
        <v>2057</v>
      </c>
      <c r="D860" s="20" t="s">
        <v>21</v>
      </c>
      <c r="E860" s="21" t="s">
        <v>3517</v>
      </c>
      <c r="F860" s="21" t="s">
        <v>3519</v>
      </c>
      <c r="G860" s="20" t="s">
        <v>35</v>
      </c>
      <c r="H860" s="20" t="s">
        <v>25</v>
      </c>
      <c r="I860" s="21" t="s">
        <v>3520</v>
      </c>
      <c r="J860" s="22">
        <f t="shared" si="65"/>
        <v>5.93541666665988</v>
      </c>
      <c r="K860" s="22">
        <f t="shared" si="66"/>
        <v>142.449999999837</v>
      </c>
      <c r="L860" s="22">
        <f t="shared" si="67"/>
        <v>46.449999999837</v>
      </c>
      <c r="M860" s="22" cm="1">
        <f ca="1" t="array" ref="M860">SUMPRODUCT(--(WEEKDAY(ROW(INDIRECT(INT(F860)&amp;":"&amp;INT(I860))),2)&gt;5))</f>
        <v>2</v>
      </c>
      <c r="N860" s="22">
        <f ca="1" t="shared" si="68"/>
        <v>30.449999999837</v>
      </c>
      <c r="O860" s="22" t="str">
        <f ca="1" t="shared" si="69"/>
        <v>SLA Violated</v>
      </c>
      <c r="P860" s="23" t="s">
        <v>3521</v>
      </c>
      <c r="Q860" s="24" t="s">
        <v>28</v>
      </c>
      <c r="R860" s="25"/>
      <c r="S860" s="25"/>
    </row>
    <row r="861" ht="39" customHeight="1" spans="1:19">
      <c r="A861" s="19" t="s">
        <v>3522</v>
      </c>
      <c r="B861" s="20" t="s">
        <v>19</v>
      </c>
      <c r="C861" s="20" t="s">
        <v>20</v>
      </c>
      <c r="D861" s="20" t="s">
        <v>32</v>
      </c>
      <c r="E861" s="21" t="s">
        <v>3517</v>
      </c>
      <c r="F861" s="21" t="s">
        <v>3523</v>
      </c>
      <c r="G861" s="20" t="s">
        <v>35</v>
      </c>
      <c r="H861" s="20" t="s">
        <v>25</v>
      </c>
      <c r="I861" s="21" t="s">
        <v>3524</v>
      </c>
      <c r="J861" s="22">
        <f t="shared" si="65"/>
        <v>9.00347222221899</v>
      </c>
      <c r="K861" s="22">
        <f t="shared" si="66"/>
        <v>216.083333333256</v>
      </c>
      <c r="L861" s="22">
        <f t="shared" si="67"/>
        <v>72.0833333332557</v>
      </c>
      <c r="M861" s="22" cm="1">
        <f ca="1" t="array" ref="M861">SUMPRODUCT(--(WEEKDAY(ROW(INDIRECT(INT(F861)&amp;":"&amp;INT(I861))),2)&gt;5))</f>
        <v>2</v>
      </c>
      <c r="N861" s="22">
        <f ca="1" t="shared" si="68"/>
        <v>56.0833333332557</v>
      </c>
      <c r="O861" s="22" t="str">
        <f ca="1" t="shared" si="69"/>
        <v>SLA Violated</v>
      </c>
      <c r="P861" s="23" t="s">
        <v>3525</v>
      </c>
      <c r="Q861" s="24" t="s">
        <v>28</v>
      </c>
      <c r="R861" s="25"/>
      <c r="S861" s="25"/>
    </row>
    <row r="862" ht="27" customHeight="1" spans="1:19">
      <c r="A862" s="19" t="s">
        <v>3526</v>
      </c>
      <c r="B862" s="20" t="s">
        <v>30</v>
      </c>
      <c r="C862" s="20" t="s">
        <v>2057</v>
      </c>
      <c r="D862" s="20" t="s">
        <v>32</v>
      </c>
      <c r="E862" s="21" t="s">
        <v>3527</v>
      </c>
      <c r="F862" s="21" t="s">
        <v>3528</v>
      </c>
      <c r="G862" s="20" t="s">
        <v>35</v>
      </c>
      <c r="H862" s="20" t="s">
        <v>25</v>
      </c>
      <c r="I862" s="21" t="s">
        <v>3529</v>
      </c>
      <c r="J862" s="22">
        <f t="shared" si="65"/>
        <v>1.23888888888905</v>
      </c>
      <c r="K862" s="22">
        <f t="shared" si="66"/>
        <v>29.7333333333372</v>
      </c>
      <c r="L862" s="22">
        <f t="shared" si="67"/>
        <v>13.7333333333372</v>
      </c>
      <c r="M862" s="22" cm="1">
        <f ca="1" t="array" ref="M862">SUMPRODUCT(--(WEEKDAY(ROW(INDIRECT(INT(F862)&amp;":"&amp;INT(I862))),2)&gt;5))</f>
        <v>0</v>
      </c>
      <c r="N862" s="22">
        <f ca="1" t="shared" si="68"/>
        <v>13.7333333333372</v>
      </c>
      <c r="O862" s="22" t="str">
        <f ca="1" t="shared" si="69"/>
        <v>SLA Violated</v>
      </c>
      <c r="P862" s="23" t="s">
        <v>3530</v>
      </c>
      <c r="Q862" s="24" t="s">
        <v>28</v>
      </c>
      <c r="R862" s="25"/>
      <c r="S862" s="25"/>
    </row>
    <row r="863" ht="39" customHeight="1" spans="1:19">
      <c r="A863" s="19" t="s">
        <v>3531</v>
      </c>
      <c r="B863" s="20" t="s">
        <v>19</v>
      </c>
      <c r="C863" s="20" t="s">
        <v>20</v>
      </c>
      <c r="D863" s="20" t="s">
        <v>32</v>
      </c>
      <c r="E863" s="21" t="s">
        <v>3532</v>
      </c>
      <c r="F863" s="21" t="s">
        <v>3533</v>
      </c>
      <c r="G863" s="20" t="s">
        <v>35</v>
      </c>
      <c r="H863" s="20" t="s">
        <v>25</v>
      </c>
      <c r="I863" s="21" t="s">
        <v>3534</v>
      </c>
      <c r="J863" s="22">
        <f t="shared" si="65"/>
        <v>13.1729166666701</v>
      </c>
      <c r="K863" s="22">
        <f t="shared" si="66"/>
        <v>316.150000000081</v>
      </c>
      <c r="L863" s="22">
        <f t="shared" si="67"/>
        <v>108.150000000081</v>
      </c>
      <c r="M863" s="22" cm="1">
        <f ca="1" t="array" ref="M863">SUMPRODUCT(--(WEEKDAY(ROW(INDIRECT(INT(F863)&amp;":"&amp;INT(I863))),2)&gt;5))</f>
        <v>4</v>
      </c>
      <c r="N863" s="22">
        <f ca="1" t="shared" si="68"/>
        <v>76.150000000081</v>
      </c>
      <c r="O863" s="22" t="str">
        <f ca="1" t="shared" si="69"/>
        <v>SLA Violated</v>
      </c>
      <c r="P863" s="23" t="s">
        <v>3535</v>
      </c>
      <c r="Q863" s="24" t="s">
        <v>28</v>
      </c>
      <c r="R863" s="25"/>
      <c r="S863" s="25"/>
    </row>
    <row r="864" ht="27" customHeight="1" spans="1:19">
      <c r="A864" s="19" t="s">
        <v>3536</v>
      </c>
      <c r="B864" s="20" t="s">
        <v>30</v>
      </c>
      <c r="C864" s="20" t="s">
        <v>2057</v>
      </c>
      <c r="D864" s="20" t="s">
        <v>32</v>
      </c>
      <c r="E864" s="21" t="s">
        <v>3537</v>
      </c>
      <c r="F864" s="21" t="s">
        <v>3449</v>
      </c>
      <c r="G864" s="20" t="s">
        <v>24</v>
      </c>
      <c r="H864" s="20" t="s">
        <v>25</v>
      </c>
      <c r="I864" s="21" t="s">
        <v>3538</v>
      </c>
      <c r="J864" s="22">
        <f t="shared" si="65"/>
        <v>1.00208333333285</v>
      </c>
      <c r="K864" s="22">
        <f t="shared" si="66"/>
        <v>24.0499999999884</v>
      </c>
      <c r="L864" s="22">
        <f t="shared" si="67"/>
        <v>8.04999999998836</v>
      </c>
      <c r="M864" s="22" cm="1">
        <f ca="1" t="array" ref="M864">SUMPRODUCT(--(WEEKDAY(ROW(INDIRECT(INT(F864)&amp;":"&amp;INT(I864))),2)&gt;5))</f>
        <v>0</v>
      </c>
      <c r="N864" s="22">
        <f ca="1" t="shared" si="68"/>
        <v>8.04999999998836</v>
      </c>
      <c r="O864" s="22" t="str">
        <f ca="1" t="shared" si="69"/>
        <v>Within SLA</v>
      </c>
      <c r="P864" s="26" t="s">
        <v>3536</v>
      </c>
      <c r="Q864" s="24" t="s">
        <v>37</v>
      </c>
      <c r="R864" s="25"/>
      <c r="S864" s="25"/>
    </row>
    <row r="865" ht="27" customHeight="1" spans="1:19">
      <c r="A865" s="19" t="s">
        <v>3539</v>
      </c>
      <c r="B865" s="20" t="s">
        <v>30</v>
      </c>
      <c r="C865" s="20" t="s">
        <v>2057</v>
      </c>
      <c r="D865" s="20" t="s">
        <v>32</v>
      </c>
      <c r="E865" s="21" t="s">
        <v>3537</v>
      </c>
      <c r="F865" s="21" t="s">
        <v>3540</v>
      </c>
      <c r="G865" s="20" t="s">
        <v>24</v>
      </c>
      <c r="H865" s="20" t="s">
        <v>25</v>
      </c>
      <c r="I865" s="21" t="s">
        <v>3541</v>
      </c>
      <c r="J865" s="22">
        <f t="shared" si="65"/>
        <v>0.990972222221899</v>
      </c>
      <c r="K865" s="22">
        <f t="shared" si="66"/>
        <v>23.7833333333256</v>
      </c>
      <c r="L865" s="22">
        <f t="shared" si="67"/>
        <v>7.78333333332557</v>
      </c>
      <c r="M865" s="22" cm="1">
        <f ca="1" t="array" ref="M865">SUMPRODUCT(--(WEEKDAY(ROW(INDIRECT(INT(F865)&amp;":"&amp;INT(I865))),2)&gt;5))</f>
        <v>0</v>
      </c>
      <c r="N865" s="22">
        <f ca="1" t="shared" si="68"/>
        <v>7.78333333332557</v>
      </c>
      <c r="O865" s="22" t="str">
        <f ca="1" t="shared" si="69"/>
        <v>Within SLA</v>
      </c>
      <c r="P865" s="26" t="s">
        <v>3539</v>
      </c>
      <c r="Q865" s="24" t="s">
        <v>37</v>
      </c>
      <c r="R865" s="25"/>
      <c r="S865" s="25"/>
    </row>
    <row r="866" ht="27" customHeight="1" spans="1:19">
      <c r="A866" s="19" t="s">
        <v>3542</v>
      </c>
      <c r="B866" s="20" t="s">
        <v>30</v>
      </c>
      <c r="C866" s="20" t="s">
        <v>2057</v>
      </c>
      <c r="D866" s="20" t="s">
        <v>32</v>
      </c>
      <c r="E866" s="21" t="s">
        <v>3543</v>
      </c>
      <c r="F866" s="21" t="s">
        <v>3544</v>
      </c>
      <c r="G866" s="20" t="s">
        <v>35</v>
      </c>
      <c r="H866" s="20" t="s">
        <v>25</v>
      </c>
      <c r="I866" s="21" t="s">
        <v>3545</v>
      </c>
      <c r="J866" s="22">
        <f t="shared" si="65"/>
        <v>5.90347222222044</v>
      </c>
      <c r="K866" s="22">
        <f t="shared" si="66"/>
        <v>141.683333333291</v>
      </c>
      <c r="L866" s="22">
        <f t="shared" si="67"/>
        <v>45.6833333332906</v>
      </c>
      <c r="M866" s="22" cm="1">
        <f ca="1" t="array" ref="M866">SUMPRODUCT(--(WEEKDAY(ROW(INDIRECT(INT(F866)&amp;":"&amp;INT(I866))),2)&gt;5))</f>
        <v>2</v>
      </c>
      <c r="N866" s="22">
        <f ca="1" t="shared" si="68"/>
        <v>29.6833333332906</v>
      </c>
      <c r="O866" s="22" t="str">
        <f ca="1" t="shared" si="69"/>
        <v>SLA Violated</v>
      </c>
      <c r="P866" s="23" t="s">
        <v>3546</v>
      </c>
      <c r="Q866" s="24" t="s">
        <v>28</v>
      </c>
      <c r="R866" s="25"/>
      <c r="S866" s="25"/>
    </row>
    <row r="867" ht="39" customHeight="1" spans="1:19">
      <c r="A867" s="19" t="s">
        <v>3547</v>
      </c>
      <c r="B867" s="20" t="s">
        <v>19</v>
      </c>
      <c r="C867" s="20" t="s">
        <v>20</v>
      </c>
      <c r="D867" s="20" t="s">
        <v>105</v>
      </c>
      <c r="E867" s="21" t="s">
        <v>3545</v>
      </c>
      <c r="F867" s="21" t="s">
        <v>3548</v>
      </c>
      <c r="G867" s="20" t="s">
        <v>35</v>
      </c>
      <c r="H867" s="20" t="s">
        <v>25</v>
      </c>
      <c r="I867" s="21" t="s">
        <v>3549</v>
      </c>
      <c r="J867" s="22">
        <f t="shared" si="65"/>
        <v>0.0777777777839219</v>
      </c>
      <c r="K867" s="22">
        <f t="shared" si="66"/>
        <v>1.86666666681413</v>
      </c>
      <c r="L867" s="22">
        <f t="shared" si="67"/>
        <v>1.86666666681413</v>
      </c>
      <c r="M867" s="22" cm="1">
        <f ca="1" t="array" ref="M867">SUMPRODUCT(--(WEEKDAY(ROW(INDIRECT(INT(F867)&amp;":"&amp;INT(I867))),2)&gt;5))</f>
        <v>0</v>
      </c>
      <c r="N867" s="22">
        <f ca="1" t="shared" si="68"/>
        <v>1.86666666681413</v>
      </c>
      <c r="O867" s="22" t="str">
        <f ca="1" t="shared" si="69"/>
        <v>Within SLA</v>
      </c>
      <c r="P867" s="26" t="s">
        <v>3547</v>
      </c>
      <c r="Q867" s="24" t="s">
        <v>37</v>
      </c>
      <c r="R867" s="25"/>
      <c r="S867" s="25"/>
    </row>
    <row r="868" ht="16" customHeight="1" spans="1:19">
      <c r="A868" s="19" t="s">
        <v>3550</v>
      </c>
      <c r="B868" s="20" t="s">
        <v>100</v>
      </c>
      <c r="C868" s="20" t="s">
        <v>101</v>
      </c>
      <c r="D868" s="20" t="s">
        <v>32</v>
      </c>
      <c r="E868" s="21" t="s">
        <v>3551</v>
      </c>
      <c r="F868" s="21" t="s">
        <v>3552</v>
      </c>
      <c r="G868" s="20" t="s">
        <v>35</v>
      </c>
      <c r="H868" s="20" t="s">
        <v>25</v>
      </c>
      <c r="I868" s="21" t="s">
        <v>3553</v>
      </c>
      <c r="J868" s="22">
        <f t="shared" si="65"/>
        <v>0.203472222223354</v>
      </c>
      <c r="K868" s="22">
        <f t="shared" si="66"/>
        <v>4.8833333333605</v>
      </c>
      <c r="L868" s="22">
        <f t="shared" si="67"/>
        <v>4.8833333333605</v>
      </c>
      <c r="M868" s="22" cm="1">
        <f ca="1" t="array" ref="M868">SUMPRODUCT(--(WEEKDAY(ROW(INDIRECT(INT(F868)&amp;":"&amp;INT(I868))),2)&gt;5))</f>
        <v>0</v>
      </c>
      <c r="N868" s="22">
        <f ca="1" t="shared" si="68"/>
        <v>4.8833333333605</v>
      </c>
      <c r="O868" s="22" t="str">
        <f ca="1" t="shared" si="69"/>
        <v>Within SLA</v>
      </c>
      <c r="P868" s="26" t="s">
        <v>3550</v>
      </c>
      <c r="Q868" s="24" t="s">
        <v>37</v>
      </c>
      <c r="R868" s="25"/>
      <c r="S868" s="25"/>
    </row>
    <row r="869" ht="39" customHeight="1" spans="1:19">
      <c r="A869" s="19" t="s">
        <v>3554</v>
      </c>
      <c r="B869" s="20" t="s">
        <v>196</v>
      </c>
      <c r="C869" s="20" t="s">
        <v>31</v>
      </c>
      <c r="D869" s="20" t="s">
        <v>32</v>
      </c>
      <c r="E869" s="21" t="s">
        <v>3555</v>
      </c>
      <c r="F869" s="21" t="s">
        <v>3556</v>
      </c>
      <c r="G869" s="20" t="s">
        <v>35</v>
      </c>
      <c r="H869" s="20" t="s">
        <v>25</v>
      </c>
      <c r="I869" s="21" t="s">
        <v>3557</v>
      </c>
      <c r="J869" s="22">
        <f t="shared" si="65"/>
        <v>1.1611111111124</v>
      </c>
      <c r="K869" s="22">
        <f t="shared" si="66"/>
        <v>27.8666666666977</v>
      </c>
      <c r="L869" s="22">
        <f t="shared" si="67"/>
        <v>11.8666666666977</v>
      </c>
      <c r="M869" s="22" cm="1">
        <f ca="1" t="array" ref="M869">SUMPRODUCT(--(WEEKDAY(ROW(INDIRECT(INT(F869)&amp;":"&amp;INT(I869))),2)&gt;5))</f>
        <v>0</v>
      </c>
      <c r="N869" s="22">
        <f ca="1" t="shared" si="68"/>
        <v>11.8666666666977</v>
      </c>
      <c r="O869" s="22" t="str">
        <f ca="1" t="shared" si="69"/>
        <v>Within SLA</v>
      </c>
      <c r="P869" s="26" t="s">
        <v>3554</v>
      </c>
      <c r="Q869" s="24" t="s">
        <v>37</v>
      </c>
      <c r="R869" s="25"/>
      <c r="S869" s="25"/>
    </row>
    <row r="870" ht="39" customHeight="1" spans="1:19">
      <c r="A870" s="19" t="s">
        <v>3558</v>
      </c>
      <c r="B870" s="20" t="s">
        <v>19</v>
      </c>
      <c r="C870" s="20" t="s">
        <v>20</v>
      </c>
      <c r="D870" s="20" t="s">
        <v>32</v>
      </c>
      <c r="E870" s="21" t="s">
        <v>3559</v>
      </c>
      <c r="F870" s="21" t="s">
        <v>3560</v>
      </c>
      <c r="G870" s="20" t="s">
        <v>35</v>
      </c>
      <c r="H870" s="20" t="s">
        <v>25</v>
      </c>
      <c r="I870" s="21" t="s">
        <v>3560</v>
      </c>
      <c r="J870" s="22">
        <f t="shared" si="65"/>
        <v>0</v>
      </c>
      <c r="K870" s="22">
        <f t="shared" si="66"/>
        <v>0</v>
      </c>
      <c r="L870" s="22">
        <f t="shared" si="67"/>
        <v>0</v>
      </c>
      <c r="M870" s="22" cm="1">
        <f ca="1" t="array" ref="M870">SUMPRODUCT(--(WEEKDAY(ROW(INDIRECT(INT(F870)&amp;":"&amp;INT(I870))),2)&gt;5))</f>
        <v>0</v>
      </c>
      <c r="N870" s="22">
        <f ca="1" t="shared" si="68"/>
        <v>0</v>
      </c>
      <c r="O870" s="22" t="str">
        <f ca="1" t="shared" si="69"/>
        <v>Within SLA</v>
      </c>
      <c r="P870" s="26" t="s">
        <v>3558</v>
      </c>
      <c r="Q870" s="24" t="s">
        <v>37</v>
      </c>
      <c r="R870" s="25"/>
      <c r="S870" s="25"/>
    </row>
    <row r="871" ht="39" customHeight="1" spans="1:19">
      <c r="A871" s="19" t="s">
        <v>3561</v>
      </c>
      <c r="B871" s="20" t="s">
        <v>19</v>
      </c>
      <c r="C871" s="20" t="s">
        <v>20</v>
      </c>
      <c r="D871" s="20" t="s">
        <v>32</v>
      </c>
      <c r="E871" s="21" t="s">
        <v>3559</v>
      </c>
      <c r="F871" s="21" t="s">
        <v>3562</v>
      </c>
      <c r="G871" s="20" t="s">
        <v>35</v>
      </c>
      <c r="H871" s="20" t="s">
        <v>25</v>
      </c>
      <c r="I871" s="21" t="s">
        <v>3563</v>
      </c>
      <c r="J871" s="22">
        <f t="shared" si="65"/>
        <v>8.88055555555184</v>
      </c>
      <c r="K871" s="22">
        <f t="shared" si="66"/>
        <v>213.133333333244</v>
      </c>
      <c r="L871" s="22">
        <f t="shared" si="67"/>
        <v>69.1333333332441</v>
      </c>
      <c r="M871" s="22" cm="1">
        <f ca="1" t="array" ref="M871">SUMPRODUCT(--(WEEKDAY(ROW(INDIRECT(INT(F871)&amp;":"&amp;INT(I871))),2)&gt;5))</f>
        <v>2</v>
      </c>
      <c r="N871" s="22">
        <f ca="1" t="shared" si="68"/>
        <v>53.1333333332441</v>
      </c>
      <c r="O871" s="22" t="str">
        <f ca="1" t="shared" si="69"/>
        <v>SLA Violated</v>
      </c>
      <c r="P871" s="23" t="s">
        <v>3564</v>
      </c>
      <c r="Q871" s="24" t="s">
        <v>28</v>
      </c>
      <c r="R871" s="25"/>
      <c r="S871" s="25"/>
    </row>
    <row r="872" ht="27" customHeight="1" spans="1:19">
      <c r="A872" s="19" t="s">
        <v>3565</v>
      </c>
      <c r="B872" s="20" t="s">
        <v>1047</v>
      </c>
      <c r="C872" s="20" t="s">
        <v>849</v>
      </c>
      <c r="D872" s="20" t="s">
        <v>32</v>
      </c>
      <c r="E872" s="21" t="s">
        <v>3566</v>
      </c>
      <c r="F872" s="21" t="s">
        <v>3567</v>
      </c>
      <c r="G872" s="20" t="s">
        <v>35</v>
      </c>
      <c r="H872" s="20" t="s">
        <v>25</v>
      </c>
      <c r="I872" s="21" t="s">
        <v>3568</v>
      </c>
      <c r="J872" s="22">
        <f t="shared" si="65"/>
        <v>3.01527777777665</v>
      </c>
      <c r="K872" s="22">
        <f t="shared" si="66"/>
        <v>72.3666666666395</v>
      </c>
      <c r="L872" s="22">
        <f t="shared" si="67"/>
        <v>24.3666666666395</v>
      </c>
      <c r="M872" s="22" cm="1">
        <f ca="1" t="array" ref="M872">SUMPRODUCT(--(WEEKDAY(ROW(INDIRECT(INT(F872)&amp;":"&amp;INT(I872))),2)&gt;5))</f>
        <v>0</v>
      </c>
      <c r="N872" s="22">
        <f ca="1" t="shared" si="68"/>
        <v>24.3666666666395</v>
      </c>
      <c r="O872" s="22" t="str">
        <f ca="1" t="shared" si="69"/>
        <v>SLA Violated</v>
      </c>
      <c r="P872" s="23" t="s">
        <v>3569</v>
      </c>
      <c r="Q872" s="24" t="s">
        <v>37</v>
      </c>
      <c r="R872" s="25" t="s">
        <v>3570</v>
      </c>
      <c r="S872" s="25" t="s">
        <v>39</v>
      </c>
    </row>
    <row r="873" ht="39" customHeight="1" spans="1:19">
      <c r="A873" s="19" t="s">
        <v>3571</v>
      </c>
      <c r="B873" s="20" t="s">
        <v>19</v>
      </c>
      <c r="C873" s="20" t="s">
        <v>20</v>
      </c>
      <c r="D873" s="20" t="s">
        <v>32</v>
      </c>
      <c r="E873" s="21" t="s">
        <v>3572</v>
      </c>
      <c r="F873" s="21" t="s">
        <v>3573</v>
      </c>
      <c r="G873" s="20" t="s">
        <v>35</v>
      </c>
      <c r="H873" s="20" t="s">
        <v>25</v>
      </c>
      <c r="I873" s="21" t="s">
        <v>3574</v>
      </c>
      <c r="J873" s="22">
        <f t="shared" si="65"/>
        <v>0.0576388888875954</v>
      </c>
      <c r="K873" s="22">
        <f t="shared" si="66"/>
        <v>1.38333333330229</v>
      </c>
      <c r="L873" s="22">
        <f t="shared" si="67"/>
        <v>1.38333333330229</v>
      </c>
      <c r="M873" s="22" cm="1">
        <f ca="1" t="array" ref="M873">SUMPRODUCT(--(WEEKDAY(ROW(INDIRECT(INT(F873)&amp;":"&amp;INT(I873))),2)&gt;5))</f>
        <v>0</v>
      </c>
      <c r="N873" s="22">
        <f ca="1" t="shared" si="68"/>
        <v>1.38333333330229</v>
      </c>
      <c r="O873" s="22" t="str">
        <f ca="1" t="shared" si="69"/>
        <v>Within SLA</v>
      </c>
      <c r="P873" s="26" t="s">
        <v>3571</v>
      </c>
      <c r="Q873" s="24" t="s">
        <v>37</v>
      </c>
      <c r="R873" s="25"/>
      <c r="S873" s="25"/>
    </row>
    <row r="874" ht="27" customHeight="1" spans="1:19">
      <c r="A874" s="19" t="s">
        <v>3575</v>
      </c>
      <c r="B874" s="20" t="s">
        <v>30</v>
      </c>
      <c r="C874" s="20" t="s">
        <v>31</v>
      </c>
      <c r="D874" s="20" t="s">
        <v>32</v>
      </c>
      <c r="E874" s="21" t="s">
        <v>3576</v>
      </c>
      <c r="F874" s="21" t="s">
        <v>3577</v>
      </c>
      <c r="G874" s="20" t="s">
        <v>35</v>
      </c>
      <c r="H874" s="20" t="s">
        <v>25</v>
      </c>
      <c r="I874" s="21" t="s">
        <v>3323</v>
      </c>
      <c r="J874" s="22">
        <f t="shared" si="65"/>
        <v>1.0270833333343</v>
      </c>
      <c r="K874" s="22">
        <f t="shared" si="66"/>
        <v>24.6500000000233</v>
      </c>
      <c r="L874" s="22">
        <f t="shared" si="67"/>
        <v>8.65000000002328</v>
      </c>
      <c r="M874" s="22" cm="1">
        <f ca="1" t="array" ref="M874">SUMPRODUCT(--(WEEKDAY(ROW(INDIRECT(INT(F874)&amp;":"&amp;INT(I874))),2)&gt;5))</f>
        <v>0</v>
      </c>
      <c r="N874" s="22">
        <f ca="1" t="shared" si="68"/>
        <v>8.65000000002328</v>
      </c>
      <c r="O874" s="22" t="str">
        <f ca="1" t="shared" si="69"/>
        <v>Within SLA</v>
      </c>
      <c r="P874" s="26" t="s">
        <v>3575</v>
      </c>
      <c r="Q874" s="24" t="s">
        <v>37</v>
      </c>
      <c r="R874" s="25"/>
      <c r="S874" s="25"/>
    </row>
    <row r="875" ht="39" customHeight="1" spans="1:19">
      <c r="A875" s="19" t="s">
        <v>3578</v>
      </c>
      <c r="B875" s="20" t="s">
        <v>19</v>
      </c>
      <c r="C875" s="20" t="s">
        <v>20</v>
      </c>
      <c r="D875" s="20" t="s">
        <v>32</v>
      </c>
      <c r="E875" s="21" t="s">
        <v>3579</v>
      </c>
      <c r="F875" s="21" t="s">
        <v>3580</v>
      </c>
      <c r="G875" s="20" t="s">
        <v>35</v>
      </c>
      <c r="H875" s="20" t="s">
        <v>25</v>
      </c>
      <c r="I875" s="21" t="s">
        <v>3581</v>
      </c>
      <c r="J875" s="22">
        <f t="shared" si="65"/>
        <v>13.8340277777752</v>
      </c>
      <c r="K875" s="22">
        <f t="shared" si="66"/>
        <v>332.016666666605</v>
      </c>
      <c r="L875" s="22">
        <f t="shared" si="67"/>
        <v>108.016666666605</v>
      </c>
      <c r="M875" s="22" cm="1">
        <f ca="1" t="array" ref="M875">SUMPRODUCT(--(WEEKDAY(ROW(INDIRECT(INT(F875)&amp;":"&amp;INT(I875))),2)&gt;5))</f>
        <v>4</v>
      </c>
      <c r="N875" s="22">
        <f ca="1" t="shared" si="68"/>
        <v>76.016666666605</v>
      </c>
      <c r="O875" s="22" t="str">
        <f ca="1" t="shared" si="69"/>
        <v>SLA Violated</v>
      </c>
      <c r="P875" s="23" t="s">
        <v>3582</v>
      </c>
      <c r="Q875" s="24" t="s">
        <v>28</v>
      </c>
      <c r="R875" s="25"/>
      <c r="S875" s="25"/>
    </row>
    <row r="876" ht="27" customHeight="1" spans="1:19">
      <c r="A876" s="28" t="s">
        <v>3583</v>
      </c>
      <c r="B876" s="20" t="s">
        <v>1047</v>
      </c>
      <c r="C876" s="20" t="s">
        <v>46</v>
      </c>
      <c r="D876" s="20" t="s">
        <v>21</v>
      </c>
      <c r="E876" s="21" t="s">
        <v>3584</v>
      </c>
      <c r="F876" s="21" t="s">
        <v>3585</v>
      </c>
      <c r="G876" s="20" t="s">
        <v>35</v>
      </c>
      <c r="H876" s="20" t="s">
        <v>25</v>
      </c>
      <c r="I876" s="21" t="s">
        <v>3586</v>
      </c>
      <c r="J876" s="22">
        <f t="shared" si="65"/>
        <v>-0.000694444446708076</v>
      </c>
      <c r="K876" s="22">
        <f t="shared" si="66"/>
        <v>-0.0166666667209938</v>
      </c>
      <c r="L876" s="22">
        <f t="shared" si="67"/>
        <v>-0.0166666667209938</v>
      </c>
      <c r="M876" s="22" cm="1">
        <f ca="1" t="array" ref="M876">SUMPRODUCT(--(WEEKDAY(ROW(INDIRECT(INT(F876)&amp;":"&amp;INT(I876))),2)&gt;5))</f>
        <v>0</v>
      </c>
      <c r="N876" s="22">
        <f ca="1" t="shared" si="68"/>
        <v>0</v>
      </c>
      <c r="O876" s="22" t="str">
        <f ca="1" t="shared" si="69"/>
        <v>Within SLA</v>
      </c>
      <c r="P876" s="26" t="s">
        <v>3587</v>
      </c>
      <c r="Q876" s="24" t="s">
        <v>37</v>
      </c>
      <c r="R876" s="25"/>
      <c r="S876" s="25"/>
    </row>
    <row r="877" ht="39" customHeight="1" spans="1:19">
      <c r="A877" s="19" t="s">
        <v>3588</v>
      </c>
      <c r="B877" s="20" t="s">
        <v>196</v>
      </c>
      <c r="C877" s="20" t="s">
        <v>46</v>
      </c>
      <c r="D877" s="20" t="s">
        <v>21</v>
      </c>
      <c r="E877" s="21" t="s">
        <v>3589</v>
      </c>
      <c r="F877" s="21" t="s">
        <v>3590</v>
      </c>
      <c r="G877" s="20" t="s">
        <v>35</v>
      </c>
      <c r="H877" s="20" t="s">
        <v>25</v>
      </c>
      <c r="I877" s="21" t="s">
        <v>3591</v>
      </c>
      <c r="J877" s="22">
        <f t="shared" si="65"/>
        <v>0.0208333333357587</v>
      </c>
      <c r="K877" s="22">
        <f t="shared" si="66"/>
        <v>0.500000000058208</v>
      </c>
      <c r="L877" s="22">
        <f t="shared" si="67"/>
        <v>0.500000000058208</v>
      </c>
      <c r="M877" s="22" cm="1">
        <f ca="1" t="array" ref="M877">SUMPRODUCT(--(WEEKDAY(ROW(INDIRECT(INT(F877)&amp;":"&amp;INT(I877))),2)&gt;5))</f>
        <v>0</v>
      </c>
      <c r="N877" s="22">
        <f ca="1" t="shared" si="68"/>
        <v>0.500000000058208</v>
      </c>
      <c r="O877" s="22" t="str">
        <f ca="1" t="shared" si="69"/>
        <v>Within SLA</v>
      </c>
      <c r="P877" s="26" t="s">
        <v>3588</v>
      </c>
      <c r="Q877" s="24" t="s">
        <v>37</v>
      </c>
      <c r="R877" s="25"/>
      <c r="S877" s="25"/>
    </row>
    <row r="878" ht="39" customHeight="1" spans="1:19">
      <c r="A878" s="19" t="s">
        <v>3592</v>
      </c>
      <c r="B878" s="20" t="s">
        <v>196</v>
      </c>
      <c r="C878" s="20" t="s">
        <v>2057</v>
      </c>
      <c r="D878" s="20" t="s">
        <v>32</v>
      </c>
      <c r="E878" s="21" t="s">
        <v>3593</v>
      </c>
      <c r="F878" s="21" t="s">
        <v>3594</v>
      </c>
      <c r="G878" s="20" t="s">
        <v>35</v>
      </c>
      <c r="H878" s="20" t="s">
        <v>25</v>
      </c>
      <c r="I878" s="21" t="s">
        <v>3595</v>
      </c>
      <c r="J878" s="22">
        <f t="shared" si="65"/>
        <v>7.11944444444089</v>
      </c>
      <c r="K878" s="22">
        <f t="shared" si="66"/>
        <v>170.866666666581</v>
      </c>
      <c r="L878" s="22">
        <f t="shared" si="67"/>
        <v>58.8666666665813</v>
      </c>
      <c r="M878" s="22" cm="1">
        <f ca="1" t="array" ref="M878">SUMPRODUCT(--(WEEKDAY(ROW(INDIRECT(INT(F878)&amp;":"&amp;INT(I878))),2)&gt;5))</f>
        <v>2</v>
      </c>
      <c r="N878" s="22">
        <f ca="1" t="shared" si="68"/>
        <v>42.8666666665813</v>
      </c>
      <c r="O878" s="22" t="str">
        <f ca="1" t="shared" si="69"/>
        <v>SLA Violated</v>
      </c>
      <c r="P878" s="23" t="s">
        <v>3596</v>
      </c>
      <c r="Q878" s="24" t="s">
        <v>28</v>
      </c>
      <c r="R878" s="25"/>
      <c r="S878" s="25"/>
    </row>
    <row r="879" ht="39" customHeight="1" spans="1:19">
      <c r="A879" s="19" t="s">
        <v>3597</v>
      </c>
      <c r="B879" s="20" t="s">
        <v>19</v>
      </c>
      <c r="C879" s="20" t="s">
        <v>20</v>
      </c>
      <c r="D879" s="20" t="s">
        <v>32</v>
      </c>
      <c r="E879" s="21" t="s">
        <v>3598</v>
      </c>
      <c r="F879" s="21" t="s">
        <v>3599</v>
      </c>
      <c r="G879" s="20" t="s">
        <v>35</v>
      </c>
      <c r="H879" s="20" t="s">
        <v>25</v>
      </c>
      <c r="I879" s="21" t="s">
        <v>3600</v>
      </c>
      <c r="J879" s="22">
        <f t="shared" si="65"/>
        <v>6.31458333333285</v>
      </c>
      <c r="K879" s="22">
        <f t="shared" si="66"/>
        <v>151.549999999988</v>
      </c>
      <c r="L879" s="22">
        <f t="shared" si="67"/>
        <v>55.5499999999884</v>
      </c>
      <c r="M879" s="22" cm="1">
        <f ca="1" t="array" ref="M879">SUMPRODUCT(--(WEEKDAY(ROW(INDIRECT(INT(F879)&amp;":"&amp;INT(I879))),2)&gt;5))</f>
        <v>2</v>
      </c>
      <c r="N879" s="22">
        <f ca="1" t="shared" si="68"/>
        <v>39.5499999999884</v>
      </c>
      <c r="O879" s="22" t="str">
        <f ca="1" t="shared" si="69"/>
        <v>SLA Violated</v>
      </c>
      <c r="P879" s="23" t="s">
        <v>3601</v>
      </c>
      <c r="Q879" s="24" t="s">
        <v>28</v>
      </c>
      <c r="R879" s="25"/>
      <c r="S879" s="25"/>
    </row>
    <row r="880" ht="39" customHeight="1" spans="1:19">
      <c r="A880" s="19" t="s">
        <v>3602</v>
      </c>
      <c r="B880" s="20" t="s">
        <v>19</v>
      </c>
      <c r="C880" s="20" t="s">
        <v>20</v>
      </c>
      <c r="D880" s="20" t="s">
        <v>32</v>
      </c>
      <c r="E880" s="21" t="s">
        <v>3603</v>
      </c>
      <c r="F880" s="21" t="s">
        <v>3604</v>
      </c>
      <c r="G880" s="20" t="s">
        <v>35</v>
      </c>
      <c r="H880" s="20" t="s">
        <v>25</v>
      </c>
      <c r="I880" s="21" t="s">
        <v>3605</v>
      </c>
      <c r="J880" s="22">
        <f t="shared" si="65"/>
        <v>2.79374999999709</v>
      </c>
      <c r="K880" s="22">
        <f t="shared" si="66"/>
        <v>67.0499999999302</v>
      </c>
      <c r="L880" s="22">
        <f t="shared" si="67"/>
        <v>19.0499999999302</v>
      </c>
      <c r="M880" s="22" cm="1">
        <f ca="1" t="array" ref="M880">SUMPRODUCT(--(WEEKDAY(ROW(INDIRECT(INT(F880)&amp;":"&amp;INT(I880))),2)&gt;5))</f>
        <v>0</v>
      </c>
      <c r="N880" s="22">
        <f ca="1" t="shared" si="68"/>
        <v>19.0499999999302</v>
      </c>
      <c r="O880" s="22" t="str">
        <f ca="1" t="shared" si="69"/>
        <v>SLA Violated</v>
      </c>
      <c r="P880" s="23" t="s">
        <v>3606</v>
      </c>
      <c r="Q880" s="24" t="s">
        <v>28</v>
      </c>
      <c r="R880" s="25"/>
      <c r="S880" s="25"/>
    </row>
    <row r="881" ht="39" customHeight="1" spans="1:19">
      <c r="A881" s="19" t="s">
        <v>3607</v>
      </c>
      <c r="B881" s="20" t="s">
        <v>19</v>
      </c>
      <c r="C881" s="20" t="s">
        <v>20</v>
      </c>
      <c r="D881" s="20" t="s">
        <v>21</v>
      </c>
      <c r="E881" s="21" t="s">
        <v>3608</v>
      </c>
      <c r="F881" s="21" t="s">
        <v>3609</v>
      </c>
      <c r="G881" s="20" t="s">
        <v>35</v>
      </c>
      <c r="H881" s="20" t="s">
        <v>25</v>
      </c>
      <c r="I881" s="21" t="s">
        <v>3605</v>
      </c>
      <c r="J881" s="22">
        <f t="shared" si="65"/>
        <v>0.0173611111094942</v>
      </c>
      <c r="K881" s="22">
        <f t="shared" si="66"/>
        <v>0.416666666627862</v>
      </c>
      <c r="L881" s="22">
        <f t="shared" si="67"/>
        <v>0.416666666627862</v>
      </c>
      <c r="M881" s="22" cm="1">
        <f ca="1" t="array" ref="M881">SUMPRODUCT(--(WEEKDAY(ROW(INDIRECT(INT(F881)&amp;":"&amp;INT(I881))),2)&gt;5))</f>
        <v>0</v>
      </c>
      <c r="N881" s="22">
        <f ca="1" t="shared" si="68"/>
        <v>0.416666666627862</v>
      </c>
      <c r="O881" s="22" t="str">
        <f ca="1" t="shared" si="69"/>
        <v>Within SLA</v>
      </c>
      <c r="P881" s="26" t="s">
        <v>3607</v>
      </c>
      <c r="Q881" s="24" t="s">
        <v>37</v>
      </c>
      <c r="R881" s="25"/>
      <c r="S881" s="25"/>
    </row>
    <row r="882" ht="39" customHeight="1" spans="1:19">
      <c r="A882" s="19" t="s">
        <v>3610</v>
      </c>
      <c r="B882" s="20" t="s">
        <v>19</v>
      </c>
      <c r="C882" s="20" t="s">
        <v>20</v>
      </c>
      <c r="D882" s="20" t="s">
        <v>21</v>
      </c>
      <c r="E882" s="21" t="s">
        <v>3611</v>
      </c>
      <c r="F882" s="21" t="s">
        <v>3612</v>
      </c>
      <c r="G882" s="20" t="s">
        <v>35</v>
      </c>
      <c r="H882" s="20" t="s">
        <v>25</v>
      </c>
      <c r="I882" s="21" t="s">
        <v>3613</v>
      </c>
      <c r="J882" s="22">
        <f t="shared" si="65"/>
        <v>0.00138888888614019</v>
      </c>
      <c r="K882" s="22">
        <f t="shared" si="66"/>
        <v>0.0333333332673647</v>
      </c>
      <c r="L882" s="22">
        <f t="shared" si="67"/>
        <v>0.0333333332673647</v>
      </c>
      <c r="M882" s="22" cm="1">
        <f ca="1" t="array" ref="M882">SUMPRODUCT(--(WEEKDAY(ROW(INDIRECT(INT(F882)&amp;":"&amp;INT(I882))),2)&gt;5))</f>
        <v>0</v>
      </c>
      <c r="N882" s="22">
        <f ca="1" t="shared" si="68"/>
        <v>0.0333333332673647</v>
      </c>
      <c r="O882" s="22" t="str">
        <f ca="1" t="shared" si="69"/>
        <v>Within SLA</v>
      </c>
      <c r="P882" s="26" t="s">
        <v>3610</v>
      </c>
      <c r="Q882" s="24" t="s">
        <v>37</v>
      </c>
      <c r="R882" s="25"/>
      <c r="S882" s="25"/>
    </row>
    <row r="883" ht="27" customHeight="1" spans="1:19">
      <c r="A883" s="19" t="s">
        <v>3614</v>
      </c>
      <c r="B883" s="20" t="s">
        <v>30</v>
      </c>
      <c r="C883" s="20" t="s">
        <v>31</v>
      </c>
      <c r="D883" s="20" t="s">
        <v>32</v>
      </c>
      <c r="E883" s="21" t="s">
        <v>3615</v>
      </c>
      <c r="F883" s="21" t="s">
        <v>3616</v>
      </c>
      <c r="G883" s="20" t="s">
        <v>35</v>
      </c>
      <c r="H883" s="20" t="s">
        <v>25</v>
      </c>
      <c r="I883" s="21" t="s">
        <v>3617</v>
      </c>
      <c r="J883" s="22">
        <f t="shared" si="65"/>
        <v>30.9569444444496</v>
      </c>
      <c r="K883" s="22">
        <f t="shared" si="66"/>
        <v>742.966666666791</v>
      </c>
      <c r="L883" s="22">
        <f t="shared" si="67"/>
        <v>246.966666666791</v>
      </c>
      <c r="M883" s="22" cm="1">
        <f ca="1" t="array" ref="M883">SUMPRODUCT(--(WEEKDAY(ROW(INDIRECT(INT(F883)&amp;":"&amp;INT(I883))),2)&gt;5))</f>
        <v>8</v>
      </c>
      <c r="N883" s="22">
        <f ca="1" t="shared" si="68"/>
        <v>182.966666666791</v>
      </c>
      <c r="O883" s="22" t="str">
        <f ca="1" t="shared" si="69"/>
        <v>SLA Violated</v>
      </c>
      <c r="P883" s="23" t="s">
        <v>3618</v>
      </c>
      <c r="Q883" s="24" t="s">
        <v>28</v>
      </c>
      <c r="R883" s="25"/>
      <c r="S883" s="25"/>
    </row>
    <row r="884" ht="39" customHeight="1" spans="1:19">
      <c r="A884" s="19" t="s">
        <v>3619</v>
      </c>
      <c r="B884" s="20" t="s">
        <v>196</v>
      </c>
      <c r="C884" s="20" t="s">
        <v>31</v>
      </c>
      <c r="D884" s="20" t="s">
        <v>32</v>
      </c>
      <c r="E884" s="21" t="s">
        <v>3620</v>
      </c>
      <c r="F884" s="21" t="s">
        <v>3621</v>
      </c>
      <c r="G884" s="20" t="s">
        <v>35</v>
      </c>
      <c r="H884" s="20" t="s">
        <v>25</v>
      </c>
      <c r="I884" s="21" t="s">
        <v>3622</v>
      </c>
      <c r="J884" s="22">
        <f t="shared" si="65"/>
        <v>0.0854166666686069</v>
      </c>
      <c r="K884" s="22">
        <f t="shared" si="66"/>
        <v>2.05000000004657</v>
      </c>
      <c r="L884" s="22">
        <f t="shared" si="67"/>
        <v>2.05000000004657</v>
      </c>
      <c r="M884" s="22" cm="1">
        <f ca="1" t="array" ref="M884">SUMPRODUCT(--(WEEKDAY(ROW(INDIRECT(INT(F884)&amp;":"&amp;INT(I884))),2)&gt;5))</f>
        <v>0</v>
      </c>
      <c r="N884" s="22">
        <f ca="1" t="shared" si="68"/>
        <v>2.05000000004657</v>
      </c>
      <c r="O884" s="22" t="str">
        <f ca="1" t="shared" si="69"/>
        <v>Within SLA</v>
      </c>
      <c r="P884" s="26" t="s">
        <v>3619</v>
      </c>
      <c r="Q884" s="24" t="s">
        <v>37</v>
      </c>
      <c r="R884" s="25"/>
      <c r="S884" s="25"/>
    </row>
    <row r="885" ht="39" customHeight="1" spans="1:19">
      <c r="A885" s="19" t="s">
        <v>3623</v>
      </c>
      <c r="B885" s="20" t="s">
        <v>19</v>
      </c>
      <c r="C885" s="20" t="s">
        <v>20</v>
      </c>
      <c r="D885" s="20" t="s">
        <v>21</v>
      </c>
      <c r="E885" s="21" t="s">
        <v>3624</v>
      </c>
      <c r="F885" s="21" t="s">
        <v>3625</v>
      </c>
      <c r="G885" s="20" t="s">
        <v>35</v>
      </c>
      <c r="H885" s="20" t="s">
        <v>25</v>
      </c>
      <c r="I885" s="21" t="s">
        <v>3270</v>
      </c>
      <c r="J885" s="22">
        <f t="shared" si="65"/>
        <v>0.0402777777781012</v>
      </c>
      <c r="K885" s="22">
        <f t="shared" si="66"/>
        <v>0.966666666674428</v>
      </c>
      <c r="L885" s="22">
        <f t="shared" si="67"/>
        <v>0.966666666674428</v>
      </c>
      <c r="M885" s="22" cm="1">
        <f ca="1" t="array" ref="M885">SUMPRODUCT(--(WEEKDAY(ROW(INDIRECT(INT(F885)&amp;":"&amp;INT(I885))),2)&gt;5))</f>
        <v>0</v>
      </c>
      <c r="N885" s="22">
        <f ca="1" t="shared" si="68"/>
        <v>0.966666666674428</v>
      </c>
      <c r="O885" s="22" t="str">
        <f ca="1" t="shared" si="69"/>
        <v>Within SLA</v>
      </c>
      <c r="P885" s="26" t="s">
        <v>3623</v>
      </c>
      <c r="Q885" s="24" t="s">
        <v>37</v>
      </c>
      <c r="R885" s="25"/>
      <c r="S885" s="25"/>
    </row>
    <row r="886" ht="27" customHeight="1" spans="1:19">
      <c r="A886" s="19" t="s">
        <v>3626</v>
      </c>
      <c r="B886" s="20" t="s">
        <v>30</v>
      </c>
      <c r="C886" s="20" t="s">
        <v>2057</v>
      </c>
      <c r="D886" s="20" t="s">
        <v>32</v>
      </c>
      <c r="E886" s="21" t="s">
        <v>3612</v>
      </c>
      <c r="F886" s="21" t="s">
        <v>3627</v>
      </c>
      <c r="G886" s="20" t="s">
        <v>35</v>
      </c>
      <c r="H886" s="20" t="s">
        <v>25</v>
      </c>
      <c r="I886" s="21" t="s">
        <v>3628</v>
      </c>
      <c r="J886" s="22">
        <f t="shared" si="65"/>
        <v>0.967361111106584</v>
      </c>
      <c r="K886" s="22">
        <f t="shared" si="66"/>
        <v>23.216666666558</v>
      </c>
      <c r="L886" s="22">
        <f t="shared" si="67"/>
        <v>7.21666666655801</v>
      </c>
      <c r="M886" s="22" cm="1">
        <f ca="1" t="array" ref="M886">SUMPRODUCT(--(WEEKDAY(ROW(INDIRECT(INT(F886)&amp;":"&amp;INT(I886))),2)&gt;5))</f>
        <v>0</v>
      </c>
      <c r="N886" s="22">
        <f ca="1" t="shared" si="68"/>
        <v>7.21666666655801</v>
      </c>
      <c r="O886" s="22" t="str">
        <f ca="1" t="shared" si="69"/>
        <v>Within SLA</v>
      </c>
      <c r="P886" s="26" t="s">
        <v>3626</v>
      </c>
      <c r="Q886" s="24" t="s">
        <v>37</v>
      </c>
      <c r="R886" s="25"/>
      <c r="S886" s="25"/>
    </row>
    <row r="887" ht="27" customHeight="1" spans="1:19">
      <c r="A887" s="19" t="s">
        <v>3629</v>
      </c>
      <c r="B887" s="20" t="s">
        <v>30</v>
      </c>
      <c r="C887" s="20" t="s">
        <v>2057</v>
      </c>
      <c r="D887" s="20" t="s">
        <v>32</v>
      </c>
      <c r="E887" s="21" t="s">
        <v>3630</v>
      </c>
      <c r="F887" s="21" t="s">
        <v>3631</v>
      </c>
      <c r="G887" s="20" t="s">
        <v>24</v>
      </c>
      <c r="H887" s="20" t="s">
        <v>25</v>
      </c>
      <c r="I887" s="21" t="s">
        <v>3632</v>
      </c>
      <c r="J887" s="22">
        <f t="shared" si="65"/>
        <v>0.852777777778101</v>
      </c>
      <c r="K887" s="22">
        <f t="shared" si="66"/>
        <v>20.4666666666744</v>
      </c>
      <c r="L887" s="22">
        <f t="shared" si="67"/>
        <v>4.46666666667443</v>
      </c>
      <c r="M887" s="22" cm="1">
        <f ca="1" t="array" ref="M887">SUMPRODUCT(--(WEEKDAY(ROW(INDIRECT(INT(F887)&amp;":"&amp;INT(I887))),2)&gt;5))</f>
        <v>0</v>
      </c>
      <c r="N887" s="22">
        <f ca="1" t="shared" si="68"/>
        <v>4.46666666667443</v>
      </c>
      <c r="O887" s="22" t="str">
        <f ca="1" t="shared" si="69"/>
        <v>Within SLA</v>
      </c>
      <c r="P887" s="26" t="s">
        <v>3629</v>
      </c>
      <c r="Q887" s="24" t="s">
        <v>37</v>
      </c>
      <c r="R887" s="25"/>
      <c r="S887" s="25"/>
    </row>
    <row r="888" ht="39" customHeight="1" spans="1:19">
      <c r="A888" s="19" t="s">
        <v>3633</v>
      </c>
      <c r="B888" s="20" t="s">
        <v>19</v>
      </c>
      <c r="C888" s="20" t="s">
        <v>20</v>
      </c>
      <c r="D888" s="20" t="s">
        <v>32</v>
      </c>
      <c r="E888" s="21" t="s">
        <v>3461</v>
      </c>
      <c r="F888" s="21" t="s">
        <v>3634</v>
      </c>
      <c r="G888" s="20" t="s">
        <v>35</v>
      </c>
      <c r="H888" s="20" t="s">
        <v>25</v>
      </c>
      <c r="I888" s="21" t="s">
        <v>3635</v>
      </c>
      <c r="J888" s="22">
        <f t="shared" si="65"/>
        <v>0.0187499999956344</v>
      </c>
      <c r="K888" s="22">
        <f t="shared" si="66"/>
        <v>0.449999999895226</v>
      </c>
      <c r="L888" s="22">
        <f t="shared" si="67"/>
        <v>0.449999999895226</v>
      </c>
      <c r="M888" s="22" cm="1">
        <f ca="1" t="array" ref="M888">SUMPRODUCT(--(WEEKDAY(ROW(INDIRECT(INT(F888)&amp;":"&amp;INT(I888))),2)&gt;5))</f>
        <v>0</v>
      </c>
      <c r="N888" s="22">
        <f ca="1" t="shared" si="68"/>
        <v>0.449999999895226</v>
      </c>
      <c r="O888" s="22" t="str">
        <f ca="1" t="shared" si="69"/>
        <v>Within SLA</v>
      </c>
      <c r="P888" s="26" t="s">
        <v>3633</v>
      </c>
      <c r="Q888" s="24" t="s">
        <v>37</v>
      </c>
      <c r="R888" s="25"/>
      <c r="S888" s="25"/>
    </row>
    <row r="889" ht="27" customHeight="1" spans="1:19">
      <c r="A889" s="19" t="s">
        <v>3636</v>
      </c>
      <c r="B889" s="20" t="s">
        <v>30</v>
      </c>
      <c r="C889" s="20" t="s">
        <v>31</v>
      </c>
      <c r="D889" s="20" t="s">
        <v>32</v>
      </c>
      <c r="E889" s="21" t="s">
        <v>3637</v>
      </c>
      <c r="F889" s="21" t="s">
        <v>3638</v>
      </c>
      <c r="G889" s="20" t="s">
        <v>35</v>
      </c>
      <c r="H889" s="20" t="s">
        <v>25</v>
      </c>
      <c r="I889" s="21" t="s">
        <v>3639</v>
      </c>
      <c r="J889" s="22">
        <f t="shared" si="65"/>
        <v>0.0479166666627862</v>
      </c>
      <c r="K889" s="22">
        <f t="shared" si="66"/>
        <v>1.14999999990687</v>
      </c>
      <c r="L889" s="22">
        <f t="shared" si="67"/>
        <v>1.14999999990687</v>
      </c>
      <c r="M889" s="22" cm="1">
        <f ca="1" t="array" ref="M889">SUMPRODUCT(--(WEEKDAY(ROW(INDIRECT(INT(F889)&amp;":"&amp;INT(I889))),2)&gt;5))</f>
        <v>0</v>
      </c>
      <c r="N889" s="22">
        <f ca="1" t="shared" si="68"/>
        <v>1.14999999990687</v>
      </c>
      <c r="O889" s="22" t="str">
        <f ca="1" t="shared" si="69"/>
        <v>Within SLA</v>
      </c>
      <c r="P889" s="26" t="s">
        <v>3636</v>
      </c>
      <c r="Q889" s="24" t="s">
        <v>37</v>
      </c>
      <c r="R889" s="25"/>
      <c r="S889" s="25"/>
    </row>
    <row r="890" ht="27" customHeight="1" spans="1:19">
      <c r="A890" s="19" t="s">
        <v>3640</v>
      </c>
      <c r="B890" s="20" t="s">
        <v>30</v>
      </c>
      <c r="C890" s="20" t="s">
        <v>31</v>
      </c>
      <c r="D890" s="20" t="s">
        <v>32</v>
      </c>
      <c r="E890" s="21" t="s">
        <v>3641</v>
      </c>
      <c r="F890" s="21" t="s">
        <v>3642</v>
      </c>
      <c r="G890" s="20" t="s">
        <v>35</v>
      </c>
      <c r="H890" s="20" t="s">
        <v>25</v>
      </c>
      <c r="I890" s="21" t="s">
        <v>3643</v>
      </c>
      <c r="J890" s="22">
        <f t="shared" si="65"/>
        <v>0.0347222222189885</v>
      </c>
      <c r="K890" s="22">
        <f t="shared" si="66"/>
        <v>0.833333333255723</v>
      </c>
      <c r="L890" s="22">
        <f t="shared" si="67"/>
        <v>0.833333333255723</v>
      </c>
      <c r="M890" s="22" cm="1">
        <f ca="1" t="array" ref="M890">SUMPRODUCT(--(WEEKDAY(ROW(INDIRECT(INT(F890)&amp;":"&amp;INT(I890))),2)&gt;5))</f>
        <v>0</v>
      </c>
      <c r="N890" s="22">
        <f ca="1" t="shared" si="68"/>
        <v>0.833333333255723</v>
      </c>
      <c r="O890" s="22" t="str">
        <f ca="1" t="shared" si="69"/>
        <v>Within SLA</v>
      </c>
      <c r="P890" s="26" t="s">
        <v>3640</v>
      </c>
      <c r="Q890" s="24" t="s">
        <v>37</v>
      </c>
      <c r="R890" s="25"/>
      <c r="S890" s="25"/>
    </row>
    <row r="891" ht="39" customHeight="1" spans="1:19">
      <c r="A891" s="19" t="s">
        <v>3644</v>
      </c>
      <c r="B891" s="20" t="s">
        <v>19</v>
      </c>
      <c r="C891" s="20" t="s">
        <v>20</v>
      </c>
      <c r="D891" s="20" t="s">
        <v>21</v>
      </c>
      <c r="E891" s="21" t="s">
        <v>3645</v>
      </c>
      <c r="F891" s="21" t="s">
        <v>836</v>
      </c>
      <c r="G891" s="20" t="s">
        <v>24</v>
      </c>
      <c r="H891" s="20" t="s">
        <v>25</v>
      </c>
      <c r="I891" s="21" t="s">
        <v>3646</v>
      </c>
      <c r="J891" s="22">
        <f t="shared" si="65"/>
        <v>30.0805555555489</v>
      </c>
      <c r="K891" s="22">
        <f t="shared" si="66"/>
        <v>721.933333333174</v>
      </c>
      <c r="L891" s="22">
        <f t="shared" si="67"/>
        <v>241.933333333174</v>
      </c>
      <c r="M891" s="22" cm="1">
        <f ca="1" t="array" ref="M891">SUMPRODUCT(--(WEEKDAY(ROW(INDIRECT(INT(F891)&amp;":"&amp;INT(I891))),2)&gt;5))</f>
        <v>8</v>
      </c>
      <c r="N891" s="22">
        <f ca="1" t="shared" si="68"/>
        <v>177.933333333174</v>
      </c>
      <c r="O891" s="22" t="str">
        <f ca="1" t="shared" si="69"/>
        <v>SLA Violated</v>
      </c>
      <c r="P891" s="23" t="s">
        <v>3647</v>
      </c>
      <c r="Q891" s="24" t="s">
        <v>28</v>
      </c>
      <c r="R891" s="25"/>
      <c r="S891" s="25"/>
    </row>
    <row r="892" ht="16" customHeight="1" spans="1:19">
      <c r="A892" s="28" t="s">
        <v>3648</v>
      </c>
      <c r="B892" s="20" t="s">
        <v>100</v>
      </c>
      <c r="C892" s="20" t="s">
        <v>101</v>
      </c>
      <c r="D892" s="20" t="s">
        <v>32</v>
      </c>
      <c r="E892" s="21" t="s">
        <v>3645</v>
      </c>
      <c r="F892" s="21" t="s">
        <v>3649</v>
      </c>
      <c r="G892" s="20" t="s">
        <v>35</v>
      </c>
      <c r="H892" s="20" t="s">
        <v>25</v>
      </c>
      <c r="I892" s="21" t="s">
        <v>3650</v>
      </c>
      <c r="J892" s="22">
        <f t="shared" si="65"/>
        <v>5.8305555555562</v>
      </c>
      <c r="K892" s="22">
        <f t="shared" si="66"/>
        <v>139.933333333349</v>
      </c>
      <c r="L892" s="22">
        <f t="shared" si="67"/>
        <v>43.9333333333489</v>
      </c>
      <c r="M892" s="22" cm="1">
        <f ca="1" t="array" ref="M892">SUMPRODUCT(--(WEEKDAY(ROW(INDIRECT(INT(F892)&amp;":"&amp;INT(I892))),2)&gt;5))</f>
        <v>2</v>
      </c>
      <c r="N892" s="22">
        <f ca="1" t="shared" si="68"/>
        <v>27.9333333333489</v>
      </c>
      <c r="O892" s="22" t="str">
        <f ca="1" t="shared" si="69"/>
        <v>SLA Violated</v>
      </c>
      <c r="P892" s="23" t="s">
        <v>3648</v>
      </c>
      <c r="Q892" s="24" t="s">
        <v>37</v>
      </c>
      <c r="R892" s="25" t="s">
        <v>1297</v>
      </c>
      <c r="S892" s="25" t="s">
        <v>3440</v>
      </c>
    </row>
    <row r="893" ht="27" customHeight="1" spans="1:19">
      <c r="A893" s="19" t="s">
        <v>3651</v>
      </c>
      <c r="B893" s="20" t="s">
        <v>30</v>
      </c>
      <c r="C893" s="20" t="s">
        <v>31</v>
      </c>
      <c r="D893" s="20" t="s">
        <v>32</v>
      </c>
      <c r="E893" s="21" t="s">
        <v>3652</v>
      </c>
      <c r="F893" s="21" t="s">
        <v>3653</v>
      </c>
      <c r="G893" s="20" t="s">
        <v>35</v>
      </c>
      <c r="H893" s="20" t="s">
        <v>25</v>
      </c>
      <c r="I893" s="21" t="s">
        <v>3654</v>
      </c>
      <c r="J893" s="22">
        <f t="shared" si="65"/>
        <v>1.95277777777665</v>
      </c>
      <c r="K893" s="22">
        <f t="shared" si="66"/>
        <v>46.8666666666395</v>
      </c>
      <c r="L893" s="22">
        <f t="shared" si="67"/>
        <v>14.8666666666395</v>
      </c>
      <c r="M893" s="22" cm="1">
        <f ca="1" t="array" ref="M893">SUMPRODUCT(--(WEEKDAY(ROW(INDIRECT(INT(F893)&amp;":"&amp;INT(I893))),2)&gt;5))</f>
        <v>0</v>
      </c>
      <c r="N893" s="22">
        <f ca="1" t="shared" si="68"/>
        <v>14.8666666666395</v>
      </c>
      <c r="O893" s="22" t="str">
        <f ca="1" t="shared" si="69"/>
        <v>SLA Violated</v>
      </c>
      <c r="P893" s="23" t="s">
        <v>3655</v>
      </c>
      <c r="Q893" s="24" t="s">
        <v>28</v>
      </c>
      <c r="R893" s="25"/>
      <c r="S893" s="25"/>
    </row>
    <row r="894" ht="39" customHeight="1" spans="1:19">
      <c r="A894" s="19" t="s">
        <v>3656</v>
      </c>
      <c r="B894" s="20" t="s">
        <v>19</v>
      </c>
      <c r="C894" s="20" t="s">
        <v>20</v>
      </c>
      <c r="D894" s="20" t="s">
        <v>32</v>
      </c>
      <c r="E894" s="21" t="s">
        <v>3652</v>
      </c>
      <c r="F894" s="21" t="s">
        <v>3657</v>
      </c>
      <c r="G894" s="20" t="s">
        <v>35</v>
      </c>
      <c r="H894" s="20" t="s">
        <v>25</v>
      </c>
      <c r="I894" s="21" t="s">
        <v>3658</v>
      </c>
      <c r="J894" s="22">
        <f t="shared" si="65"/>
        <v>6.94722222222481</v>
      </c>
      <c r="K894" s="22">
        <f t="shared" si="66"/>
        <v>166.733333333395</v>
      </c>
      <c r="L894" s="22">
        <f t="shared" si="67"/>
        <v>54.7333333333954</v>
      </c>
      <c r="M894" s="22" cm="1">
        <f ca="1" t="array" ref="M894">SUMPRODUCT(--(WEEKDAY(ROW(INDIRECT(INT(F894)&amp;":"&amp;INT(I894))),2)&gt;5))</f>
        <v>2</v>
      </c>
      <c r="N894" s="22">
        <f ca="1" t="shared" si="68"/>
        <v>38.7333333333954</v>
      </c>
      <c r="O894" s="22" t="str">
        <f ca="1" t="shared" si="69"/>
        <v>SLA Violated</v>
      </c>
      <c r="P894" s="23" t="s">
        <v>3659</v>
      </c>
      <c r="Q894" s="24" t="s">
        <v>37</v>
      </c>
      <c r="R894" s="25" t="s">
        <v>1020</v>
      </c>
      <c r="S894" s="25" t="s">
        <v>39</v>
      </c>
    </row>
    <row r="895" ht="27" customHeight="1" spans="1:19">
      <c r="A895" s="19" t="s">
        <v>3660</v>
      </c>
      <c r="B895" s="20" t="s">
        <v>30</v>
      </c>
      <c r="C895" s="20" t="s">
        <v>2057</v>
      </c>
      <c r="D895" s="20" t="s">
        <v>32</v>
      </c>
      <c r="E895" s="21" t="s">
        <v>3661</v>
      </c>
      <c r="F895" s="21" t="s">
        <v>3449</v>
      </c>
      <c r="G895" s="20" t="s">
        <v>24</v>
      </c>
      <c r="H895" s="20" t="s">
        <v>25</v>
      </c>
      <c r="I895" s="21" t="s">
        <v>3662</v>
      </c>
      <c r="J895" s="22">
        <f t="shared" si="65"/>
        <v>0.808333333334303</v>
      </c>
      <c r="K895" s="22">
        <f t="shared" si="66"/>
        <v>19.4000000000233</v>
      </c>
      <c r="L895" s="22">
        <f t="shared" si="67"/>
        <v>3.40000000002328</v>
      </c>
      <c r="M895" s="22" cm="1">
        <f ca="1" t="array" ref="M895">SUMPRODUCT(--(WEEKDAY(ROW(INDIRECT(INT(F895)&amp;":"&amp;INT(I895))),2)&gt;5))</f>
        <v>0</v>
      </c>
      <c r="N895" s="22">
        <f ca="1" t="shared" si="68"/>
        <v>3.40000000002328</v>
      </c>
      <c r="O895" s="22" t="str">
        <f ca="1" t="shared" si="69"/>
        <v>Within SLA</v>
      </c>
      <c r="P895" s="26" t="s">
        <v>3660</v>
      </c>
      <c r="Q895" s="24" t="s">
        <v>37</v>
      </c>
      <c r="R895" s="25"/>
      <c r="S895" s="25"/>
    </row>
    <row r="896" ht="27" customHeight="1" spans="1:19">
      <c r="A896" s="19" t="s">
        <v>3663</v>
      </c>
      <c r="B896" s="20" t="s">
        <v>30</v>
      </c>
      <c r="C896" s="20" t="s">
        <v>31</v>
      </c>
      <c r="D896" s="20" t="s">
        <v>32</v>
      </c>
      <c r="E896" s="21" t="s">
        <v>3664</v>
      </c>
      <c r="F896" s="21" t="s">
        <v>3665</v>
      </c>
      <c r="G896" s="20" t="s">
        <v>35</v>
      </c>
      <c r="H896" s="20" t="s">
        <v>25</v>
      </c>
      <c r="I896" s="21" t="s">
        <v>3666</v>
      </c>
      <c r="J896" s="22">
        <f t="shared" si="65"/>
        <v>0.00624999999854481</v>
      </c>
      <c r="K896" s="22">
        <f t="shared" si="66"/>
        <v>0.149999999965075</v>
      </c>
      <c r="L896" s="22">
        <f t="shared" si="67"/>
        <v>0.149999999965075</v>
      </c>
      <c r="M896" s="22" cm="1">
        <f ca="1" t="array" ref="M896">SUMPRODUCT(--(WEEKDAY(ROW(INDIRECT(INT(F896)&amp;":"&amp;INT(I896))),2)&gt;5))</f>
        <v>0</v>
      </c>
      <c r="N896" s="22">
        <f ca="1" t="shared" si="68"/>
        <v>0.149999999965075</v>
      </c>
      <c r="O896" s="22" t="str">
        <f ca="1" t="shared" si="69"/>
        <v>Within SLA</v>
      </c>
      <c r="P896" s="26" t="s">
        <v>3663</v>
      </c>
      <c r="Q896" s="24" t="s">
        <v>37</v>
      </c>
      <c r="R896" s="25"/>
      <c r="S896" s="25"/>
    </row>
    <row r="897" ht="39" customHeight="1" spans="1:19">
      <c r="A897" s="19" t="s">
        <v>3667</v>
      </c>
      <c r="B897" s="20" t="s">
        <v>19</v>
      </c>
      <c r="C897" s="20" t="s">
        <v>20</v>
      </c>
      <c r="D897" s="20" t="s">
        <v>32</v>
      </c>
      <c r="E897" s="21" t="s">
        <v>3668</v>
      </c>
      <c r="F897" s="21" t="s">
        <v>3669</v>
      </c>
      <c r="G897" s="20" t="s">
        <v>35</v>
      </c>
      <c r="H897" s="20" t="s">
        <v>25</v>
      </c>
      <c r="I897" s="21" t="s">
        <v>3670</v>
      </c>
      <c r="J897" s="22">
        <f t="shared" si="65"/>
        <v>0.768055555556202</v>
      </c>
      <c r="K897" s="22">
        <f t="shared" si="66"/>
        <v>18.4333333333489</v>
      </c>
      <c r="L897" s="22">
        <f t="shared" si="67"/>
        <v>2.43333333334886</v>
      </c>
      <c r="M897" s="22" cm="1">
        <f ca="1" t="array" ref="M897">SUMPRODUCT(--(WEEKDAY(ROW(INDIRECT(INT(F897)&amp;":"&amp;INT(I897))),2)&gt;5))</f>
        <v>0</v>
      </c>
      <c r="N897" s="22">
        <f ca="1" t="shared" si="68"/>
        <v>2.43333333334886</v>
      </c>
      <c r="O897" s="22" t="str">
        <f ca="1" t="shared" si="69"/>
        <v>Within SLA</v>
      </c>
      <c r="P897" s="26" t="s">
        <v>3667</v>
      </c>
      <c r="Q897" s="24" t="s">
        <v>37</v>
      </c>
      <c r="R897" s="25"/>
      <c r="S897" s="25"/>
    </row>
    <row r="898" ht="39" customHeight="1" spans="1:19">
      <c r="A898" s="19" t="s">
        <v>3671</v>
      </c>
      <c r="B898" s="20" t="s">
        <v>19</v>
      </c>
      <c r="C898" s="20" t="s">
        <v>20</v>
      </c>
      <c r="D898" s="20" t="s">
        <v>32</v>
      </c>
      <c r="E898" s="21" t="s">
        <v>3672</v>
      </c>
      <c r="F898" s="21" t="s">
        <v>3673</v>
      </c>
      <c r="G898" s="20" t="s">
        <v>35</v>
      </c>
      <c r="H898" s="20" t="s">
        <v>25</v>
      </c>
      <c r="I898" s="21" t="s">
        <v>3674</v>
      </c>
      <c r="J898" s="22">
        <f t="shared" si="65"/>
        <v>0.0708333333313931</v>
      </c>
      <c r="K898" s="22">
        <f t="shared" si="66"/>
        <v>1.69999999995343</v>
      </c>
      <c r="L898" s="22">
        <f t="shared" si="67"/>
        <v>1.69999999995343</v>
      </c>
      <c r="M898" s="22" cm="1">
        <f ca="1" t="array" ref="M898">SUMPRODUCT(--(WEEKDAY(ROW(INDIRECT(INT(F898)&amp;":"&amp;INT(I898))),2)&gt;5))</f>
        <v>0</v>
      </c>
      <c r="N898" s="22">
        <f ca="1" t="shared" si="68"/>
        <v>1.69999999995343</v>
      </c>
      <c r="O898" s="22" t="str">
        <f ca="1" t="shared" si="69"/>
        <v>Within SLA</v>
      </c>
      <c r="P898" s="26" t="s">
        <v>3671</v>
      </c>
      <c r="Q898" s="24" t="s">
        <v>37</v>
      </c>
      <c r="R898" s="25"/>
      <c r="S898" s="25"/>
    </row>
    <row r="899" ht="27" customHeight="1" spans="1:19">
      <c r="A899" s="19" t="s">
        <v>3675</v>
      </c>
      <c r="B899" s="20" t="s">
        <v>30</v>
      </c>
      <c r="C899" s="20" t="s">
        <v>31</v>
      </c>
      <c r="D899" s="20" t="s">
        <v>32</v>
      </c>
      <c r="E899" s="21" t="s">
        <v>3676</v>
      </c>
      <c r="F899" s="21" t="s">
        <v>3677</v>
      </c>
      <c r="G899" s="20" t="s">
        <v>35</v>
      </c>
      <c r="H899" s="20" t="s">
        <v>25</v>
      </c>
      <c r="I899" s="21" t="s">
        <v>3678</v>
      </c>
      <c r="J899" s="22">
        <f t="shared" ref="J899:J962" si="70">F899-I899</f>
        <v>2.70763888888905</v>
      </c>
      <c r="K899" s="22">
        <f t="shared" ref="K899:K962" si="71">J899*24</f>
        <v>64.9833333333372</v>
      </c>
      <c r="L899" s="22">
        <f t="shared" ref="L899:L962" si="72">IF(_xlfn.DAYS(F899,I899)&gt;0,K899-IF(FLOOR(J899,1)=0,1,_xlfn.DAYS(F899,I899))*16,K899)</f>
        <v>16.9833333333372</v>
      </c>
      <c r="M899" s="22" cm="1">
        <f ca="1" t="array" ref="M899">SUMPRODUCT(--(WEEKDAY(ROW(INDIRECT(INT(F899)&amp;":"&amp;INT(I899))),2)&gt;5))</f>
        <v>0</v>
      </c>
      <c r="N899" s="22">
        <f ca="1" t="shared" ref="N899:N962" si="73">IF(IF(M899&gt;0,L899-M899*8,L899)&lt;0,0,IF(M899&gt;0,L899-M899*8,L899))</f>
        <v>16.9833333333372</v>
      </c>
      <c r="O899" s="22" t="str">
        <f ca="1" t="shared" ref="O899:O962" si="74">IF(OR(AND(D899="P1",N899&lt;=3),AND(D899="P2",N899&lt;=6),AND(D899="P3",N899&lt;=9),AND(D899="P4",N899&lt;=12)),"Within SLA","SLA Violated")</f>
        <v>SLA Violated</v>
      </c>
      <c r="P899" s="23" t="s">
        <v>3679</v>
      </c>
      <c r="Q899" s="24" t="s">
        <v>28</v>
      </c>
      <c r="R899" s="25"/>
      <c r="S899" s="25"/>
    </row>
    <row r="900" ht="39" customHeight="1" spans="1:19">
      <c r="A900" s="19" t="s">
        <v>3680</v>
      </c>
      <c r="B900" s="20" t="s">
        <v>196</v>
      </c>
      <c r="C900" s="20" t="s">
        <v>849</v>
      </c>
      <c r="D900" s="20" t="s">
        <v>32</v>
      </c>
      <c r="E900" s="21" t="s">
        <v>3676</v>
      </c>
      <c r="F900" s="21" t="s">
        <v>3681</v>
      </c>
      <c r="G900" s="20" t="s">
        <v>35</v>
      </c>
      <c r="H900" s="20" t="s">
        <v>25</v>
      </c>
      <c r="I900" s="21" t="s">
        <v>3682</v>
      </c>
      <c r="J900" s="22">
        <f t="shared" si="70"/>
        <v>2.81180555556057</v>
      </c>
      <c r="K900" s="22">
        <f t="shared" si="71"/>
        <v>67.4833333334536</v>
      </c>
      <c r="L900" s="22">
        <f t="shared" si="72"/>
        <v>19.4833333334536</v>
      </c>
      <c r="M900" s="22" cm="1">
        <f ca="1" t="array" ref="M900">SUMPRODUCT(--(WEEKDAY(ROW(INDIRECT(INT(F900)&amp;":"&amp;INT(I900))),2)&gt;5))</f>
        <v>0</v>
      </c>
      <c r="N900" s="22">
        <f ca="1" t="shared" si="73"/>
        <v>19.4833333334536</v>
      </c>
      <c r="O900" s="22" t="str">
        <f ca="1" t="shared" si="74"/>
        <v>SLA Violated</v>
      </c>
      <c r="P900" s="23" t="s">
        <v>3683</v>
      </c>
      <c r="Q900" s="24" t="s">
        <v>28</v>
      </c>
      <c r="R900" s="25"/>
      <c r="S900" s="25"/>
    </row>
    <row r="901" ht="39" customHeight="1" spans="1:19">
      <c r="A901" s="19" t="s">
        <v>3684</v>
      </c>
      <c r="B901" s="20" t="s">
        <v>19</v>
      </c>
      <c r="C901" s="20" t="s">
        <v>20</v>
      </c>
      <c r="D901" s="20" t="s">
        <v>32</v>
      </c>
      <c r="E901" s="21" t="s">
        <v>3621</v>
      </c>
      <c r="F901" s="21" t="s">
        <v>3685</v>
      </c>
      <c r="G901" s="20" t="s">
        <v>35</v>
      </c>
      <c r="H901" s="20" t="s">
        <v>25</v>
      </c>
      <c r="I901" s="21" t="s">
        <v>3686</v>
      </c>
      <c r="J901" s="22">
        <f t="shared" si="70"/>
        <v>0.046527777776646</v>
      </c>
      <c r="K901" s="22">
        <f t="shared" si="71"/>
        <v>1.1166666666395</v>
      </c>
      <c r="L901" s="22">
        <f t="shared" si="72"/>
        <v>1.1166666666395</v>
      </c>
      <c r="M901" s="22" cm="1">
        <f ca="1" t="array" ref="M901">SUMPRODUCT(--(WEEKDAY(ROW(INDIRECT(INT(F901)&amp;":"&amp;INT(I901))),2)&gt;5))</f>
        <v>0</v>
      </c>
      <c r="N901" s="22">
        <f ca="1" t="shared" si="73"/>
        <v>1.1166666666395</v>
      </c>
      <c r="O901" s="22" t="str">
        <f ca="1" t="shared" si="74"/>
        <v>Within SLA</v>
      </c>
      <c r="P901" s="26" t="s">
        <v>3684</v>
      </c>
      <c r="Q901" s="24" t="s">
        <v>37</v>
      </c>
      <c r="R901" s="25"/>
      <c r="S901" s="25"/>
    </row>
    <row r="902" ht="39" customHeight="1" spans="1:19">
      <c r="A902" s="19" t="s">
        <v>3687</v>
      </c>
      <c r="B902" s="20" t="s">
        <v>19</v>
      </c>
      <c r="C902" s="20" t="s">
        <v>20</v>
      </c>
      <c r="D902" s="20" t="s">
        <v>32</v>
      </c>
      <c r="E902" s="21" t="s">
        <v>3621</v>
      </c>
      <c r="F902" s="21" t="s">
        <v>3688</v>
      </c>
      <c r="G902" s="20" t="s">
        <v>35</v>
      </c>
      <c r="H902" s="20" t="s">
        <v>25</v>
      </c>
      <c r="I902" s="21" t="s">
        <v>3689</v>
      </c>
      <c r="J902" s="22">
        <f t="shared" si="70"/>
        <v>0.046527777776646</v>
      </c>
      <c r="K902" s="22">
        <f t="shared" si="71"/>
        <v>1.1166666666395</v>
      </c>
      <c r="L902" s="22">
        <f t="shared" si="72"/>
        <v>1.1166666666395</v>
      </c>
      <c r="M902" s="22" cm="1">
        <f ca="1" t="array" ref="M902">SUMPRODUCT(--(WEEKDAY(ROW(INDIRECT(INT(F902)&amp;":"&amp;INT(I902))),2)&gt;5))</f>
        <v>0</v>
      </c>
      <c r="N902" s="22">
        <f ca="1" t="shared" si="73"/>
        <v>1.1166666666395</v>
      </c>
      <c r="O902" s="22" t="str">
        <f ca="1" t="shared" si="74"/>
        <v>Within SLA</v>
      </c>
      <c r="P902" s="26" t="s">
        <v>3687</v>
      </c>
      <c r="Q902" s="24" t="s">
        <v>37</v>
      </c>
      <c r="R902" s="25"/>
      <c r="S902" s="25"/>
    </row>
    <row r="903" ht="39" customHeight="1" spans="1:19">
      <c r="A903" s="19" t="s">
        <v>3690</v>
      </c>
      <c r="B903" s="20" t="s">
        <v>19</v>
      </c>
      <c r="C903" s="20" t="s">
        <v>20</v>
      </c>
      <c r="D903" s="20" t="s">
        <v>32</v>
      </c>
      <c r="E903" s="21" t="s">
        <v>3686</v>
      </c>
      <c r="F903" s="21" t="s">
        <v>3691</v>
      </c>
      <c r="G903" s="20" t="s">
        <v>35</v>
      </c>
      <c r="H903" s="20" t="s">
        <v>25</v>
      </c>
      <c r="I903" s="21" t="s">
        <v>3692</v>
      </c>
      <c r="J903" s="22">
        <f t="shared" si="70"/>
        <v>0.750694444439432</v>
      </c>
      <c r="K903" s="22">
        <f t="shared" si="71"/>
        <v>18.0166666665464</v>
      </c>
      <c r="L903" s="22">
        <f t="shared" si="72"/>
        <v>2.01666666654637</v>
      </c>
      <c r="M903" s="22" cm="1">
        <f ca="1" t="array" ref="M903">SUMPRODUCT(--(WEEKDAY(ROW(INDIRECT(INT(F903)&amp;":"&amp;INT(I903))),2)&gt;5))</f>
        <v>0</v>
      </c>
      <c r="N903" s="22">
        <f ca="1" t="shared" si="73"/>
        <v>2.01666666654637</v>
      </c>
      <c r="O903" s="22" t="str">
        <f ca="1" t="shared" si="74"/>
        <v>Within SLA</v>
      </c>
      <c r="P903" s="26" t="s">
        <v>3690</v>
      </c>
      <c r="Q903" s="24" t="s">
        <v>37</v>
      </c>
      <c r="R903" s="25"/>
      <c r="S903" s="25"/>
    </row>
    <row r="904" ht="16" customHeight="1" spans="1:19">
      <c r="A904" s="19" t="s">
        <v>3693</v>
      </c>
      <c r="B904" s="20" t="s">
        <v>100</v>
      </c>
      <c r="C904" s="20" t="s">
        <v>101</v>
      </c>
      <c r="D904" s="20" t="s">
        <v>32</v>
      </c>
      <c r="E904" s="21" t="s">
        <v>3694</v>
      </c>
      <c r="F904" s="21" t="s">
        <v>3695</v>
      </c>
      <c r="G904" s="20" t="s">
        <v>35</v>
      </c>
      <c r="H904" s="20" t="s">
        <v>25</v>
      </c>
      <c r="I904" s="21" t="s">
        <v>3696</v>
      </c>
      <c r="J904" s="22">
        <f t="shared" si="70"/>
        <v>0.756249999998545</v>
      </c>
      <c r="K904" s="22">
        <f t="shared" si="71"/>
        <v>18.1499999999651</v>
      </c>
      <c r="L904" s="22">
        <f t="shared" si="72"/>
        <v>2.14999999996508</v>
      </c>
      <c r="M904" s="22" cm="1">
        <f ca="1" t="array" ref="M904">SUMPRODUCT(--(WEEKDAY(ROW(INDIRECT(INT(F904)&amp;":"&amp;INT(I904))),2)&gt;5))</f>
        <v>0</v>
      </c>
      <c r="N904" s="22">
        <f ca="1" t="shared" si="73"/>
        <v>2.14999999996508</v>
      </c>
      <c r="O904" s="22" t="str">
        <f ca="1" t="shared" si="74"/>
        <v>Within SLA</v>
      </c>
      <c r="P904" s="26" t="s">
        <v>3693</v>
      </c>
      <c r="Q904" s="24" t="s">
        <v>37</v>
      </c>
      <c r="R904" s="25"/>
      <c r="S904" s="25"/>
    </row>
    <row r="905" ht="39" customHeight="1" spans="1:19">
      <c r="A905" s="19" t="s">
        <v>3697</v>
      </c>
      <c r="B905" s="20" t="s">
        <v>196</v>
      </c>
      <c r="C905" s="20" t="s">
        <v>46</v>
      </c>
      <c r="D905" s="20" t="s">
        <v>32</v>
      </c>
      <c r="E905" s="21" t="s">
        <v>3698</v>
      </c>
      <c r="F905" s="21" t="s">
        <v>3699</v>
      </c>
      <c r="G905" s="20" t="s">
        <v>35</v>
      </c>
      <c r="H905" s="20" t="s">
        <v>25</v>
      </c>
      <c r="I905" s="21" t="s">
        <v>3700</v>
      </c>
      <c r="J905" s="22">
        <f t="shared" si="70"/>
        <v>0.686805555553292</v>
      </c>
      <c r="K905" s="22">
        <f t="shared" si="71"/>
        <v>16.483333333279</v>
      </c>
      <c r="L905" s="22">
        <f t="shared" si="72"/>
        <v>0.483333333279006</v>
      </c>
      <c r="M905" s="22" cm="1">
        <f ca="1" t="array" ref="M905">SUMPRODUCT(--(WEEKDAY(ROW(INDIRECT(INT(F905)&amp;":"&amp;INT(I905))),2)&gt;5))</f>
        <v>0</v>
      </c>
      <c r="N905" s="22">
        <f ca="1" t="shared" si="73"/>
        <v>0.483333333279006</v>
      </c>
      <c r="O905" s="22" t="str">
        <f ca="1" t="shared" si="74"/>
        <v>Within SLA</v>
      </c>
      <c r="P905" s="26" t="s">
        <v>3697</v>
      </c>
      <c r="Q905" s="24" t="s">
        <v>37</v>
      </c>
      <c r="R905" s="25"/>
      <c r="S905" s="25"/>
    </row>
    <row r="906" ht="39" customHeight="1" spans="1:19">
      <c r="A906" s="19" t="s">
        <v>3701</v>
      </c>
      <c r="B906" s="20" t="s">
        <v>19</v>
      </c>
      <c r="C906" s="20" t="s">
        <v>20</v>
      </c>
      <c r="D906" s="20" t="s">
        <v>32</v>
      </c>
      <c r="E906" s="21" t="s">
        <v>3702</v>
      </c>
      <c r="F906" s="21" t="s">
        <v>3703</v>
      </c>
      <c r="G906" s="20" t="s">
        <v>35</v>
      </c>
      <c r="H906" s="20" t="s">
        <v>25</v>
      </c>
      <c r="I906" s="21" t="s">
        <v>3704</v>
      </c>
      <c r="J906" s="22">
        <f t="shared" si="70"/>
        <v>11.2340277777766</v>
      </c>
      <c r="K906" s="22">
        <f t="shared" si="71"/>
        <v>269.61666666664</v>
      </c>
      <c r="L906" s="22">
        <f t="shared" si="72"/>
        <v>93.6166666666395</v>
      </c>
      <c r="M906" s="22" cm="1">
        <f ca="1" t="array" ref="M906">SUMPRODUCT(--(WEEKDAY(ROW(INDIRECT(INT(F906)&amp;":"&amp;INT(I906))),2)&gt;5))</f>
        <v>4</v>
      </c>
      <c r="N906" s="22">
        <f ca="1" t="shared" si="73"/>
        <v>61.6166666666395</v>
      </c>
      <c r="O906" s="22" t="str">
        <f ca="1" t="shared" si="74"/>
        <v>SLA Violated</v>
      </c>
      <c r="P906" s="23" t="s">
        <v>3705</v>
      </c>
      <c r="Q906" s="24" t="s">
        <v>28</v>
      </c>
      <c r="R906" s="25"/>
      <c r="S906" s="25"/>
    </row>
    <row r="907" ht="39" customHeight="1" spans="1:19">
      <c r="A907" s="19" t="s">
        <v>3706</v>
      </c>
      <c r="B907" s="20" t="s">
        <v>196</v>
      </c>
      <c r="C907" s="20" t="s">
        <v>46</v>
      </c>
      <c r="D907" s="20" t="s">
        <v>21</v>
      </c>
      <c r="E907" s="21" t="s">
        <v>3707</v>
      </c>
      <c r="F907" s="21" t="s">
        <v>3708</v>
      </c>
      <c r="G907" s="20" t="s">
        <v>35</v>
      </c>
      <c r="H907" s="20" t="s">
        <v>25</v>
      </c>
      <c r="I907" s="21" t="s">
        <v>3709</v>
      </c>
      <c r="J907" s="22">
        <f t="shared" si="70"/>
        <v>0.0270833333343035</v>
      </c>
      <c r="K907" s="22">
        <f t="shared" si="71"/>
        <v>0.650000000023283</v>
      </c>
      <c r="L907" s="22">
        <f t="shared" si="72"/>
        <v>0.650000000023283</v>
      </c>
      <c r="M907" s="22" cm="1">
        <f ca="1" t="array" ref="M907">SUMPRODUCT(--(WEEKDAY(ROW(INDIRECT(INT(F907)&amp;":"&amp;INT(I907))),2)&gt;5))</f>
        <v>0</v>
      </c>
      <c r="N907" s="22">
        <f ca="1" t="shared" si="73"/>
        <v>0.650000000023283</v>
      </c>
      <c r="O907" s="22" t="str">
        <f ca="1" t="shared" si="74"/>
        <v>Within SLA</v>
      </c>
      <c r="P907" s="26" t="s">
        <v>3706</v>
      </c>
      <c r="Q907" s="24" t="s">
        <v>37</v>
      </c>
      <c r="R907" s="25"/>
      <c r="S907" s="25"/>
    </row>
    <row r="908" ht="27" customHeight="1" spans="1:19">
      <c r="A908" s="19" t="s">
        <v>3710</v>
      </c>
      <c r="B908" s="20" t="s">
        <v>30</v>
      </c>
      <c r="C908" s="20" t="s">
        <v>31</v>
      </c>
      <c r="D908" s="20" t="s">
        <v>32</v>
      </c>
      <c r="E908" s="21" t="s">
        <v>3711</v>
      </c>
      <c r="F908" s="21" t="s">
        <v>3712</v>
      </c>
      <c r="G908" s="20" t="s">
        <v>35</v>
      </c>
      <c r="H908" s="20" t="s">
        <v>25</v>
      </c>
      <c r="I908" s="21" t="s">
        <v>3713</v>
      </c>
      <c r="J908" s="22">
        <f t="shared" si="70"/>
        <v>0.654861111106584</v>
      </c>
      <c r="K908" s="22">
        <f t="shared" si="71"/>
        <v>15.716666666558</v>
      </c>
      <c r="L908" s="22">
        <f t="shared" si="72"/>
        <v>-0.283333333441988</v>
      </c>
      <c r="M908" s="22" cm="1">
        <f ca="1" t="array" ref="M908">SUMPRODUCT(--(WEEKDAY(ROW(INDIRECT(INT(F908)&amp;":"&amp;INT(I908))),2)&gt;5))</f>
        <v>0</v>
      </c>
      <c r="N908" s="22">
        <f ca="1" t="shared" si="73"/>
        <v>0</v>
      </c>
      <c r="O908" s="22" t="str">
        <f ca="1" t="shared" si="74"/>
        <v>Within SLA</v>
      </c>
      <c r="P908" s="26" t="s">
        <v>3710</v>
      </c>
      <c r="Q908" s="24" t="s">
        <v>37</v>
      </c>
      <c r="R908" s="25"/>
      <c r="S908" s="25"/>
    </row>
    <row r="909" ht="39" customHeight="1" spans="1:19">
      <c r="A909" s="19" t="s">
        <v>3714</v>
      </c>
      <c r="B909" s="20" t="s">
        <v>19</v>
      </c>
      <c r="C909" s="20" t="s">
        <v>20</v>
      </c>
      <c r="D909" s="20" t="s">
        <v>32</v>
      </c>
      <c r="E909" s="21" t="s">
        <v>3715</v>
      </c>
      <c r="F909" s="21" t="s">
        <v>3716</v>
      </c>
      <c r="G909" s="20" t="s">
        <v>35</v>
      </c>
      <c r="H909" s="20" t="s">
        <v>25</v>
      </c>
      <c r="I909" s="21" t="s">
        <v>3717</v>
      </c>
      <c r="J909" s="22">
        <f t="shared" si="70"/>
        <v>6.20138888889051</v>
      </c>
      <c r="K909" s="22">
        <f t="shared" si="71"/>
        <v>148.833333333372</v>
      </c>
      <c r="L909" s="22">
        <f t="shared" si="72"/>
        <v>52.8333333333721</v>
      </c>
      <c r="M909" s="22" cm="1">
        <f ca="1" t="array" ref="M909">SUMPRODUCT(--(WEEKDAY(ROW(INDIRECT(INT(F909)&amp;":"&amp;INT(I909))),2)&gt;5))</f>
        <v>2</v>
      </c>
      <c r="N909" s="22">
        <f ca="1" t="shared" si="73"/>
        <v>36.8333333333721</v>
      </c>
      <c r="O909" s="22" t="str">
        <f ca="1" t="shared" si="74"/>
        <v>SLA Violated</v>
      </c>
      <c r="P909" s="23" t="s">
        <v>3718</v>
      </c>
      <c r="Q909" s="24" t="s">
        <v>28</v>
      </c>
      <c r="R909" s="25"/>
      <c r="S909" s="25"/>
    </row>
    <row r="910" ht="27" customHeight="1" spans="1:19">
      <c r="A910" s="19" t="s">
        <v>3719</v>
      </c>
      <c r="B910" s="20" t="s">
        <v>30</v>
      </c>
      <c r="C910" s="20" t="s">
        <v>31</v>
      </c>
      <c r="D910" s="20" t="s">
        <v>32</v>
      </c>
      <c r="E910" s="21" t="s">
        <v>3720</v>
      </c>
      <c r="F910" s="21" t="s">
        <v>3721</v>
      </c>
      <c r="G910" s="20" t="s">
        <v>35</v>
      </c>
      <c r="H910" s="20" t="s">
        <v>25</v>
      </c>
      <c r="I910" s="21" t="s">
        <v>3722</v>
      </c>
      <c r="J910" s="22">
        <f t="shared" si="70"/>
        <v>0.0284722222204437</v>
      </c>
      <c r="K910" s="22">
        <f t="shared" si="71"/>
        <v>0.683333333290648</v>
      </c>
      <c r="L910" s="22">
        <f t="shared" si="72"/>
        <v>0.683333333290648</v>
      </c>
      <c r="M910" s="22" cm="1">
        <f ca="1" t="array" ref="M910">SUMPRODUCT(--(WEEKDAY(ROW(INDIRECT(INT(F910)&amp;":"&amp;INT(I910))),2)&gt;5))</f>
        <v>0</v>
      </c>
      <c r="N910" s="22">
        <f ca="1" t="shared" si="73"/>
        <v>0.683333333290648</v>
      </c>
      <c r="O910" s="22" t="str">
        <f ca="1" t="shared" si="74"/>
        <v>Within SLA</v>
      </c>
      <c r="P910" s="26" t="s">
        <v>3719</v>
      </c>
      <c r="Q910" s="24" t="s">
        <v>37</v>
      </c>
      <c r="R910" s="25"/>
      <c r="S910" s="25"/>
    </row>
    <row r="911" ht="39" customHeight="1" spans="1:19">
      <c r="A911" s="19" t="s">
        <v>3723</v>
      </c>
      <c r="B911" s="20" t="s">
        <v>19</v>
      </c>
      <c r="C911" s="20" t="s">
        <v>20</v>
      </c>
      <c r="D911" s="20" t="s">
        <v>32</v>
      </c>
      <c r="E911" s="21" t="s">
        <v>3724</v>
      </c>
      <c r="F911" s="21" t="s">
        <v>3725</v>
      </c>
      <c r="G911" s="20" t="s">
        <v>35</v>
      </c>
      <c r="H911" s="20" t="s">
        <v>25</v>
      </c>
      <c r="I911" s="21" t="s">
        <v>3726</v>
      </c>
      <c r="J911" s="22">
        <f t="shared" si="70"/>
        <v>0.0951388888934162</v>
      </c>
      <c r="K911" s="22">
        <f t="shared" si="71"/>
        <v>2.28333333344199</v>
      </c>
      <c r="L911" s="22">
        <f t="shared" si="72"/>
        <v>2.28333333344199</v>
      </c>
      <c r="M911" s="22" cm="1">
        <f ca="1" t="array" ref="M911">SUMPRODUCT(--(WEEKDAY(ROW(INDIRECT(INT(F911)&amp;":"&amp;INT(I911))),2)&gt;5))</f>
        <v>0</v>
      </c>
      <c r="N911" s="22">
        <f ca="1" t="shared" si="73"/>
        <v>2.28333333344199</v>
      </c>
      <c r="O911" s="22" t="str">
        <f ca="1" t="shared" si="74"/>
        <v>Within SLA</v>
      </c>
      <c r="P911" s="26" t="s">
        <v>3723</v>
      </c>
      <c r="Q911" s="24" t="s">
        <v>37</v>
      </c>
      <c r="R911" s="25"/>
      <c r="S911" s="25"/>
    </row>
    <row r="912" ht="39" customHeight="1" spans="1:19">
      <c r="A912" s="19" t="s">
        <v>3727</v>
      </c>
      <c r="B912" s="20" t="s">
        <v>19</v>
      </c>
      <c r="C912" s="20" t="s">
        <v>20</v>
      </c>
      <c r="D912" s="20" t="s">
        <v>32</v>
      </c>
      <c r="E912" s="21" t="s">
        <v>3728</v>
      </c>
      <c r="F912" s="21" t="s">
        <v>3729</v>
      </c>
      <c r="G912" s="20" t="s">
        <v>35</v>
      </c>
      <c r="H912" s="20" t="s">
        <v>25</v>
      </c>
      <c r="I912" s="21" t="s">
        <v>3726</v>
      </c>
      <c r="J912" s="22">
        <f t="shared" si="70"/>
        <v>0.0944444444467081</v>
      </c>
      <c r="K912" s="22">
        <f t="shared" si="71"/>
        <v>2.26666666672099</v>
      </c>
      <c r="L912" s="22">
        <f t="shared" si="72"/>
        <v>2.26666666672099</v>
      </c>
      <c r="M912" s="22" cm="1">
        <f ca="1" t="array" ref="M912">SUMPRODUCT(--(WEEKDAY(ROW(INDIRECT(INT(F912)&amp;":"&amp;INT(I912))),2)&gt;5))</f>
        <v>0</v>
      </c>
      <c r="N912" s="22">
        <f ca="1" t="shared" si="73"/>
        <v>2.26666666672099</v>
      </c>
      <c r="O912" s="22" t="str">
        <f ca="1" t="shared" si="74"/>
        <v>Within SLA</v>
      </c>
      <c r="P912" s="26" t="s">
        <v>3727</v>
      </c>
      <c r="Q912" s="24" t="s">
        <v>37</v>
      </c>
      <c r="R912" s="25"/>
      <c r="S912" s="25"/>
    </row>
    <row r="913" ht="27" customHeight="1" spans="1:19">
      <c r="A913" s="19" t="s">
        <v>3730</v>
      </c>
      <c r="B913" s="20" t="s">
        <v>30</v>
      </c>
      <c r="C913" s="20" t="s">
        <v>31</v>
      </c>
      <c r="D913" s="20" t="s">
        <v>32</v>
      </c>
      <c r="E913" s="21" t="s">
        <v>3731</v>
      </c>
      <c r="F913" s="21" t="s">
        <v>3732</v>
      </c>
      <c r="G913" s="20" t="s">
        <v>35</v>
      </c>
      <c r="H913" s="20" t="s">
        <v>25</v>
      </c>
      <c r="I913" s="21" t="s">
        <v>3733</v>
      </c>
      <c r="J913" s="22">
        <f t="shared" si="70"/>
        <v>0.0208333333284827</v>
      </c>
      <c r="K913" s="22">
        <f t="shared" si="71"/>
        <v>0.499999999883585</v>
      </c>
      <c r="L913" s="22">
        <f t="shared" si="72"/>
        <v>0.499999999883585</v>
      </c>
      <c r="M913" s="22" cm="1">
        <f ca="1" t="array" ref="M913">SUMPRODUCT(--(WEEKDAY(ROW(INDIRECT(INT(F913)&amp;":"&amp;INT(I913))),2)&gt;5))</f>
        <v>0</v>
      </c>
      <c r="N913" s="22">
        <f ca="1" t="shared" si="73"/>
        <v>0.499999999883585</v>
      </c>
      <c r="O913" s="22" t="str">
        <f ca="1" t="shared" si="74"/>
        <v>Within SLA</v>
      </c>
      <c r="P913" s="26" t="s">
        <v>3730</v>
      </c>
      <c r="Q913" s="24" t="s">
        <v>37</v>
      </c>
      <c r="R913" s="25"/>
      <c r="S913" s="25"/>
    </row>
    <row r="914" ht="27" customHeight="1" spans="1:19">
      <c r="A914" s="19" t="s">
        <v>3734</v>
      </c>
      <c r="B914" s="20" t="s">
        <v>30</v>
      </c>
      <c r="C914" s="20" t="s">
        <v>31</v>
      </c>
      <c r="D914" s="20" t="s">
        <v>32</v>
      </c>
      <c r="E914" s="21" t="s">
        <v>3735</v>
      </c>
      <c r="F914" s="21" t="s">
        <v>3736</v>
      </c>
      <c r="G914" s="20" t="s">
        <v>35</v>
      </c>
      <c r="H914" s="20" t="s">
        <v>25</v>
      </c>
      <c r="I914" s="21" t="s">
        <v>3737</v>
      </c>
      <c r="J914" s="22">
        <f t="shared" si="70"/>
        <v>0.00208333333284827</v>
      </c>
      <c r="K914" s="22">
        <f t="shared" si="71"/>
        <v>0.0499999999883585</v>
      </c>
      <c r="L914" s="22">
        <f t="shared" si="72"/>
        <v>0.0499999999883585</v>
      </c>
      <c r="M914" s="22" cm="1">
        <f ca="1" t="array" ref="M914">SUMPRODUCT(--(WEEKDAY(ROW(INDIRECT(INT(F914)&amp;":"&amp;INT(I914))),2)&gt;5))</f>
        <v>0</v>
      </c>
      <c r="N914" s="22">
        <f ca="1" t="shared" si="73"/>
        <v>0.0499999999883585</v>
      </c>
      <c r="O914" s="22" t="str">
        <f ca="1" t="shared" si="74"/>
        <v>Within SLA</v>
      </c>
      <c r="P914" s="26" t="s">
        <v>3734</v>
      </c>
      <c r="Q914" s="24" t="s">
        <v>37</v>
      </c>
      <c r="R914" s="25"/>
      <c r="S914" s="25"/>
    </row>
    <row r="915" ht="27" customHeight="1" spans="1:19">
      <c r="A915" s="19" t="s">
        <v>3738</v>
      </c>
      <c r="B915" s="20" t="s">
        <v>30</v>
      </c>
      <c r="C915" s="20" t="s">
        <v>31</v>
      </c>
      <c r="D915" s="20" t="s">
        <v>32</v>
      </c>
      <c r="E915" s="21" t="s">
        <v>3735</v>
      </c>
      <c r="F915" s="21" t="s">
        <v>3739</v>
      </c>
      <c r="G915" s="20" t="s">
        <v>35</v>
      </c>
      <c r="H915" s="20" t="s">
        <v>25</v>
      </c>
      <c r="I915" s="21" t="s">
        <v>3740</v>
      </c>
      <c r="J915" s="22">
        <f t="shared" si="70"/>
        <v>0.140972222223354</v>
      </c>
      <c r="K915" s="22">
        <f t="shared" si="71"/>
        <v>3.3833333333605</v>
      </c>
      <c r="L915" s="22">
        <f t="shared" si="72"/>
        <v>3.3833333333605</v>
      </c>
      <c r="M915" s="22" cm="1">
        <f ca="1" t="array" ref="M915">SUMPRODUCT(--(WEEKDAY(ROW(INDIRECT(INT(F915)&amp;":"&amp;INT(I915))),2)&gt;5))</f>
        <v>0</v>
      </c>
      <c r="N915" s="22">
        <f ca="1" t="shared" si="73"/>
        <v>3.3833333333605</v>
      </c>
      <c r="O915" s="22" t="str">
        <f ca="1" t="shared" si="74"/>
        <v>Within SLA</v>
      </c>
      <c r="P915" s="26" t="s">
        <v>3738</v>
      </c>
      <c r="Q915" s="24" t="s">
        <v>37</v>
      </c>
      <c r="R915" s="25"/>
      <c r="S915" s="25"/>
    </row>
    <row r="916" ht="27" customHeight="1" spans="1:19">
      <c r="A916" s="19" t="s">
        <v>3741</v>
      </c>
      <c r="B916" s="20" t="s">
        <v>30</v>
      </c>
      <c r="C916" s="20" t="s">
        <v>31</v>
      </c>
      <c r="D916" s="20" t="s">
        <v>32</v>
      </c>
      <c r="E916" s="21" t="s">
        <v>3735</v>
      </c>
      <c r="F916" s="21" t="s">
        <v>3742</v>
      </c>
      <c r="G916" s="20" t="s">
        <v>35</v>
      </c>
      <c r="H916" s="20" t="s">
        <v>25</v>
      </c>
      <c r="I916" s="21" t="s">
        <v>3743</v>
      </c>
      <c r="J916" s="22">
        <f t="shared" si="70"/>
        <v>1.97361111110513</v>
      </c>
      <c r="K916" s="22">
        <f t="shared" si="71"/>
        <v>47.3666666665231</v>
      </c>
      <c r="L916" s="22">
        <f t="shared" si="72"/>
        <v>15.3666666665231</v>
      </c>
      <c r="M916" s="22" cm="1">
        <f ca="1" t="array" ref="M916">SUMPRODUCT(--(WEEKDAY(ROW(INDIRECT(INT(F916)&amp;":"&amp;INT(I916))),2)&gt;5))</f>
        <v>0</v>
      </c>
      <c r="N916" s="22">
        <f ca="1" t="shared" si="73"/>
        <v>15.3666666665231</v>
      </c>
      <c r="O916" s="22" t="str">
        <f ca="1" t="shared" si="74"/>
        <v>SLA Violated</v>
      </c>
      <c r="P916" s="23">
        <v>20903</v>
      </c>
      <c r="Q916" s="24" t="s">
        <v>28</v>
      </c>
      <c r="R916" s="25"/>
      <c r="S916" s="25"/>
    </row>
    <row r="917" ht="27" customHeight="1" spans="1:19">
      <c r="A917" s="19" t="s">
        <v>3744</v>
      </c>
      <c r="B917" s="20" t="s">
        <v>30</v>
      </c>
      <c r="C917" s="20" t="s">
        <v>2057</v>
      </c>
      <c r="D917" s="20" t="s">
        <v>32</v>
      </c>
      <c r="E917" s="21" t="s">
        <v>3745</v>
      </c>
      <c r="F917" s="21" t="s">
        <v>3746</v>
      </c>
      <c r="G917" s="20" t="s">
        <v>35</v>
      </c>
      <c r="H917" s="20" t="s">
        <v>25</v>
      </c>
      <c r="I917" s="21" t="s">
        <v>3747</v>
      </c>
      <c r="J917" s="22">
        <f t="shared" si="70"/>
        <v>4.96736111111386</v>
      </c>
      <c r="K917" s="22">
        <f t="shared" si="71"/>
        <v>119.216666666733</v>
      </c>
      <c r="L917" s="22">
        <f t="shared" si="72"/>
        <v>39.2166666667326</v>
      </c>
      <c r="M917" s="22" cm="1">
        <f ca="1" t="array" ref="M917">SUMPRODUCT(--(WEEKDAY(ROW(INDIRECT(INT(F917)&amp;":"&amp;INT(I917))),2)&gt;5))</f>
        <v>2</v>
      </c>
      <c r="N917" s="22">
        <f ca="1" t="shared" si="73"/>
        <v>23.2166666667326</v>
      </c>
      <c r="O917" s="22" t="str">
        <f ca="1" t="shared" si="74"/>
        <v>SLA Violated</v>
      </c>
      <c r="P917" s="23" t="s">
        <v>3748</v>
      </c>
      <c r="Q917" s="24" t="s">
        <v>28</v>
      </c>
      <c r="R917" s="25"/>
      <c r="S917" s="25"/>
    </row>
    <row r="918" ht="16" customHeight="1" spans="1:19">
      <c r="A918" s="28" t="s">
        <v>3749</v>
      </c>
      <c r="B918" s="20" t="s">
        <v>100</v>
      </c>
      <c r="C918" s="20" t="s">
        <v>101</v>
      </c>
      <c r="D918" s="20" t="s">
        <v>32</v>
      </c>
      <c r="E918" s="21" t="s">
        <v>3747</v>
      </c>
      <c r="F918" s="21" t="s">
        <v>3750</v>
      </c>
      <c r="G918" s="20" t="s">
        <v>35</v>
      </c>
      <c r="H918" s="20" t="s">
        <v>25</v>
      </c>
      <c r="I918" s="21" t="s">
        <v>3751</v>
      </c>
      <c r="J918" s="22">
        <f t="shared" si="70"/>
        <v>10.8763888888861</v>
      </c>
      <c r="K918" s="22">
        <f t="shared" si="71"/>
        <v>261.033333333267</v>
      </c>
      <c r="L918" s="22">
        <f t="shared" si="72"/>
        <v>85.0333333332674</v>
      </c>
      <c r="M918" s="22" cm="1">
        <f ca="1" t="array" ref="M918">SUMPRODUCT(--(WEEKDAY(ROW(INDIRECT(INT(F918)&amp;":"&amp;INT(I918))),2)&gt;5))</f>
        <v>4</v>
      </c>
      <c r="N918" s="22">
        <f ca="1" t="shared" si="73"/>
        <v>53.0333333332674</v>
      </c>
      <c r="O918" s="22" t="str">
        <f ca="1" t="shared" si="74"/>
        <v>SLA Violated</v>
      </c>
      <c r="P918" s="26" t="s">
        <v>3752</v>
      </c>
      <c r="Q918" s="24" t="s">
        <v>28</v>
      </c>
      <c r="R918" s="25"/>
      <c r="S918" s="25"/>
    </row>
    <row r="919" ht="27" customHeight="1" spans="1:19">
      <c r="A919" s="19" t="s">
        <v>3753</v>
      </c>
      <c r="B919" s="20" t="s">
        <v>30</v>
      </c>
      <c r="C919" s="20" t="s">
        <v>31</v>
      </c>
      <c r="D919" s="20" t="s">
        <v>32</v>
      </c>
      <c r="E919" s="21" t="s">
        <v>3754</v>
      </c>
      <c r="F919" s="21" t="s">
        <v>3755</v>
      </c>
      <c r="G919" s="20" t="s">
        <v>35</v>
      </c>
      <c r="H919" s="20" t="s">
        <v>25</v>
      </c>
      <c r="I919" s="21" t="s">
        <v>3756</v>
      </c>
      <c r="J919" s="22">
        <f t="shared" si="70"/>
        <v>0.0409722222248092</v>
      </c>
      <c r="K919" s="22">
        <f t="shared" si="71"/>
        <v>0.983333333395422</v>
      </c>
      <c r="L919" s="22">
        <f t="shared" si="72"/>
        <v>0.983333333395422</v>
      </c>
      <c r="M919" s="22" cm="1">
        <f ca="1" t="array" ref="M919">SUMPRODUCT(--(WEEKDAY(ROW(INDIRECT(INT(F919)&amp;":"&amp;INT(I919))),2)&gt;5))</f>
        <v>0</v>
      </c>
      <c r="N919" s="22">
        <f ca="1" t="shared" si="73"/>
        <v>0.983333333395422</v>
      </c>
      <c r="O919" s="22" t="str">
        <f ca="1" t="shared" si="74"/>
        <v>Within SLA</v>
      </c>
      <c r="P919" s="26" t="s">
        <v>3753</v>
      </c>
      <c r="Q919" s="24" t="s">
        <v>37</v>
      </c>
      <c r="R919" s="25"/>
      <c r="S919" s="25"/>
    </row>
    <row r="920" ht="27" customHeight="1" spans="1:19">
      <c r="A920" s="19" t="s">
        <v>3757</v>
      </c>
      <c r="B920" s="20" t="s">
        <v>30</v>
      </c>
      <c r="C920" s="20" t="s">
        <v>849</v>
      </c>
      <c r="D920" s="20" t="s">
        <v>21</v>
      </c>
      <c r="E920" s="21" t="s">
        <v>3754</v>
      </c>
      <c r="F920" s="21" t="s">
        <v>3758</v>
      </c>
      <c r="G920" s="20" t="s">
        <v>35</v>
      </c>
      <c r="H920" s="20" t="s">
        <v>25</v>
      </c>
      <c r="I920" s="21" t="s">
        <v>3759</v>
      </c>
      <c r="J920" s="22">
        <f t="shared" si="70"/>
        <v>8.06527777777956</v>
      </c>
      <c r="K920" s="22">
        <f t="shared" si="71"/>
        <v>193.566666666709</v>
      </c>
      <c r="L920" s="22">
        <f t="shared" si="72"/>
        <v>65.5666666667094</v>
      </c>
      <c r="M920" s="22" cm="1">
        <f ca="1" t="array" ref="M920">SUMPRODUCT(--(WEEKDAY(ROW(INDIRECT(INT(F920)&amp;":"&amp;INT(I920))),2)&gt;5))</f>
        <v>2</v>
      </c>
      <c r="N920" s="22">
        <f ca="1" t="shared" si="73"/>
        <v>49.5666666667094</v>
      </c>
      <c r="O920" s="22" t="str">
        <f ca="1" t="shared" si="74"/>
        <v>SLA Violated</v>
      </c>
      <c r="P920" s="23" t="s">
        <v>3760</v>
      </c>
      <c r="Q920" s="24" t="s">
        <v>37</v>
      </c>
      <c r="R920" s="25" t="s">
        <v>3761</v>
      </c>
      <c r="S920" s="25" t="s">
        <v>39</v>
      </c>
    </row>
    <row r="921" ht="39" customHeight="1" spans="1:19">
      <c r="A921" s="19" t="s">
        <v>3762</v>
      </c>
      <c r="B921" s="20" t="s">
        <v>19</v>
      </c>
      <c r="C921" s="20" t="s">
        <v>20</v>
      </c>
      <c r="D921" s="20" t="s">
        <v>32</v>
      </c>
      <c r="E921" s="21" t="s">
        <v>3065</v>
      </c>
      <c r="F921" s="21" t="s">
        <v>3087</v>
      </c>
      <c r="G921" s="20" t="s">
        <v>35</v>
      </c>
      <c r="H921" s="20" t="s">
        <v>25</v>
      </c>
      <c r="I921" s="21" t="s">
        <v>3763</v>
      </c>
      <c r="J921" s="22">
        <f t="shared" si="70"/>
        <v>0.0173611111094942</v>
      </c>
      <c r="K921" s="22">
        <f t="shared" si="71"/>
        <v>0.416666666627862</v>
      </c>
      <c r="L921" s="22">
        <f t="shared" si="72"/>
        <v>0.416666666627862</v>
      </c>
      <c r="M921" s="22" cm="1">
        <f ca="1" t="array" ref="M921">SUMPRODUCT(--(WEEKDAY(ROW(INDIRECT(INT(F921)&amp;":"&amp;INT(I921))),2)&gt;5))</f>
        <v>0</v>
      </c>
      <c r="N921" s="22">
        <f ca="1" t="shared" si="73"/>
        <v>0.416666666627862</v>
      </c>
      <c r="O921" s="22" t="str">
        <f ca="1" t="shared" si="74"/>
        <v>Within SLA</v>
      </c>
      <c r="P921" s="26" t="s">
        <v>3762</v>
      </c>
      <c r="Q921" s="24" t="s">
        <v>37</v>
      </c>
      <c r="R921" s="25"/>
      <c r="S921" s="25"/>
    </row>
    <row r="922" ht="27" customHeight="1" spans="1:19">
      <c r="A922" s="19" t="s">
        <v>3764</v>
      </c>
      <c r="B922" s="20" t="s">
        <v>30</v>
      </c>
      <c r="C922" s="20" t="s">
        <v>2057</v>
      </c>
      <c r="D922" s="20" t="s">
        <v>32</v>
      </c>
      <c r="E922" s="21" t="s">
        <v>3261</v>
      </c>
      <c r="F922" s="21" t="s">
        <v>3765</v>
      </c>
      <c r="G922" s="20" t="s">
        <v>24</v>
      </c>
      <c r="H922" s="20" t="s">
        <v>25</v>
      </c>
      <c r="I922" s="21" t="s">
        <v>3301</v>
      </c>
      <c r="J922" s="22">
        <f t="shared" si="70"/>
        <v>1.0090277777781</v>
      </c>
      <c r="K922" s="22">
        <f t="shared" si="71"/>
        <v>24.2166666666744</v>
      </c>
      <c r="L922" s="22">
        <f t="shared" si="72"/>
        <v>8.21666666667443</v>
      </c>
      <c r="M922" s="22" cm="1">
        <f ca="1" t="array" ref="M922">SUMPRODUCT(--(WEEKDAY(ROW(INDIRECT(INT(F922)&amp;":"&amp;INT(I922))),2)&gt;5))</f>
        <v>0</v>
      </c>
      <c r="N922" s="22">
        <f ca="1" t="shared" si="73"/>
        <v>8.21666666667443</v>
      </c>
      <c r="O922" s="22" t="str">
        <f ca="1" t="shared" si="74"/>
        <v>Within SLA</v>
      </c>
      <c r="P922" s="26" t="s">
        <v>3764</v>
      </c>
      <c r="Q922" s="24" t="s">
        <v>37</v>
      </c>
      <c r="R922" s="25"/>
      <c r="S922" s="25"/>
    </row>
    <row r="923" ht="27" customHeight="1" spans="1:19">
      <c r="A923" s="19" t="s">
        <v>3766</v>
      </c>
      <c r="B923" s="20" t="s">
        <v>30</v>
      </c>
      <c r="C923" s="20" t="s">
        <v>46</v>
      </c>
      <c r="D923" s="20" t="s">
        <v>21</v>
      </c>
      <c r="E923" s="21" t="s">
        <v>3261</v>
      </c>
      <c r="F923" s="21" t="s">
        <v>3767</v>
      </c>
      <c r="G923" s="20" t="s">
        <v>35</v>
      </c>
      <c r="H923" s="20" t="s">
        <v>25</v>
      </c>
      <c r="I923" s="21" t="s">
        <v>3282</v>
      </c>
      <c r="J923" s="22">
        <f t="shared" si="70"/>
        <v>0.157638888893416</v>
      </c>
      <c r="K923" s="22">
        <f t="shared" si="71"/>
        <v>3.78333333344199</v>
      </c>
      <c r="L923" s="22">
        <f t="shared" si="72"/>
        <v>3.78333333344199</v>
      </c>
      <c r="M923" s="22" cm="1">
        <f ca="1" t="array" ref="M923">SUMPRODUCT(--(WEEKDAY(ROW(INDIRECT(INT(F923)&amp;":"&amp;INT(I923))),2)&gt;5))</f>
        <v>0</v>
      </c>
      <c r="N923" s="22">
        <f ca="1" t="shared" si="73"/>
        <v>3.78333333344199</v>
      </c>
      <c r="O923" s="22" t="str">
        <f ca="1" t="shared" si="74"/>
        <v>SLA Violated</v>
      </c>
      <c r="P923" s="23" t="s">
        <v>3768</v>
      </c>
      <c r="Q923" s="24" t="s">
        <v>37</v>
      </c>
      <c r="R923" s="25" t="s">
        <v>3769</v>
      </c>
      <c r="S923" s="25" t="s">
        <v>3770</v>
      </c>
    </row>
    <row r="924" ht="39" customHeight="1" spans="1:19">
      <c r="A924" s="19" t="s">
        <v>3771</v>
      </c>
      <c r="B924" s="20" t="s">
        <v>19</v>
      </c>
      <c r="C924" s="20" t="s">
        <v>20</v>
      </c>
      <c r="D924" s="20" t="s">
        <v>32</v>
      </c>
      <c r="E924" s="21" t="s">
        <v>3333</v>
      </c>
      <c r="F924" s="21" t="s">
        <v>3772</v>
      </c>
      <c r="G924" s="20" t="s">
        <v>35</v>
      </c>
      <c r="H924" s="20" t="s">
        <v>25</v>
      </c>
      <c r="I924" s="21" t="s">
        <v>3773</v>
      </c>
      <c r="J924" s="22">
        <f t="shared" si="70"/>
        <v>0.0222222222218988</v>
      </c>
      <c r="K924" s="22">
        <f t="shared" si="71"/>
        <v>0.533333333325572</v>
      </c>
      <c r="L924" s="22">
        <f t="shared" si="72"/>
        <v>0.533333333325572</v>
      </c>
      <c r="M924" s="22" cm="1">
        <f ca="1" t="array" ref="M924">SUMPRODUCT(--(WEEKDAY(ROW(INDIRECT(INT(F924)&amp;":"&amp;INT(I924))),2)&gt;5))</f>
        <v>0</v>
      </c>
      <c r="N924" s="22">
        <f ca="1" t="shared" si="73"/>
        <v>0.533333333325572</v>
      </c>
      <c r="O924" s="22" t="str">
        <f ca="1" t="shared" si="74"/>
        <v>Within SLA</v>
      </c>
      <c r="P924" s="26" t="s">
        <v>3771</v>
      </c>
      <c r="Q924" s="24" t="s">
        <v>37</v>
      </c>
      <c r="R924" s="25"/>
      <c r="S924" s="25"/>
    </row>
    <row r="925" ht="27" customHeight="1" spans="1:19">
      <c r="A925" s="19" t="s">
        <v>3774</v>
      </c>
      <c r="B925" s="20" t="s">
        <v>30</v>
      </c>
      <c r="C925" s="20" t="s">
        <v>2057</v>
      </c>
      <c r="D925" s="20" t="s">
        <v>32</v>
      </c>
      <c r="E925" s="21" t="s">
        <v>3333</v>
      </c>
      <c r="F925" s="21" t="s">
        <v>3775</v>
      </c>
      <c r="G925" s="20" t="s">
        <v>35</v>
      </c>
      <c r="H925" s="20" t="s">
        <v>25</v>
      </c>
      <c r="I925" s="21" t="s">
        <v>3776</v>
      </c>
      <c r="J925" s="22">
        <f t="shared" si="70"/>
        <v>0.233333333337214</v>
      </c>
      <c r="K925" s="22">
        <f t="shared" si="71"/>
        <v>5.60000000009313</v>
      </c>
      <c r="L925" s="22">
        <f t="shared" si="72"/>
        <v>5.60000000009313</v>
      </c>
      <c r="M925" s="22" cm="1">
        <f ca="1" t="array" ref="M925">SUMPRODUCT(--(WEEKDAY(ROW(INDIRECT(INT(F925)&amp;":"&amp;INT(I925))),2)&gt;5))</f>
        <v>0</v>
      </c>
      <c r="N925" s="22">
        <f ca="1" t="shared" si="73"/>
        <v>5.60000000009313</v>
      </c>
      <c r="O925" s="22" t="str">
        <f ca="1" t="shared" si="74"/>
        <v>Within SLA</v>
      </c>
      <c r="P925" s="26" t="s">
        <v>3774</v>
      </c>
      <c r="Q925" s="24" t="s">
        <v>37</v>
      </c>
      <c r="R925" s="25"/>
      <c r="S925" s="25"/>
    </row>
    <row r="926" ht="39" customHeight="1" spans="1:19">
      <c r="A926" s="19" t="s">
        <v>3777</v>
      </c>
      <c r="B926" s="20" t="s">
        <v>196</v>
      </c>
      <c r="C926" s="20" t="s">
        <v>46</v>
      </c>
      <c r="D926" s="20" t="s">
        <v>21</v>
      </c>
      <c r="E926" s="21" t="s">
        <v>3778</v>
      </c>
      <c r="F926" s="21" t="s">
        <v>3779</v>
      </c>
      <c r="G926" s="20" t="s">
        <v>35</v>
      </c>
      <c r="H926" s="20" t="s">
        <v>25</v>
      </c>
      <c r="I926" s="21" t="s">
        <v>3780</v>
      </c>
      <c r="J926" s="22">
        <f t="shared" si="70"/>
        <v>0.0284722222204437</v>
      </c>
      <c r="K926" s="22">
        <f t="shared" si="71"/>
        <v>0.683333333290648</v>
      </c>
      <c r="L926" s="22">
        <f t="shared" si="72"/>
        <v>0.683333333290648</v>
      </c>
      <c r="M926" s="22" cm="1">
        <f ca="1" t="array" ref="M926">SUMPRODUCT(--(WEEKDAY(ROW(INDIRECT(INT(F926)&amp;":"&amp;INT(I926))),2)&gt;5))</f>
        <v>0</v>
      </c>
      <c r="N926" s="22">
        <f ca="1" t="shared" si="73"/>
        <v>0.683333333290648</v>
      </c>
      <c r="O926" s="22" t="str">
        <f ca="1" t="shared" si="74"/>
        <v>Within SLA</v>
      </c>
      <c r="P926" s="26" t="s">
        <v>3777</v>
      </c>
      <c r="Q926" s="24" t="s">
        <v>37</v>
      </c>
      <c r="R926" s="25"/>
      <c r="S926" s="25"/>
    </row>
    <row r="927" ht="27" customHeight="1" spans="1:19">
      <c r="A927" s="19" t="s">
        <v>3781</v>
      </c>
      <c r="B927" s="20" t="s">
        <v>30</v>
      </c>
      <c r="C927" s="20" t="s">
        <v>2057</v>
      </c>
      <c r="D927" s="20" t="s">
        <v>32</v>
      </c>
      <c r="E927" s="21" t="s">
        <v>3540</v>
      </c>
      <c r="F927" s="21" t="s">
        <v>3782</v>
      </c>
      <c r="G927" s="20" t="s">
        <v>35</v>
      </c>
      <c r="H927" s="20" t="s">
        <v>25</v>
      </c>
      <c r="I927" s="21" t="s">
        <v>3516</v>
      </c>
      <c r="J927" s="22">
        <f t="shared" si="70"/>
        <v>7.13680555555038</v>
      </c>
      <c r="K927" s="22">
        <f t="shared" si="71"/>
        <v>171.283333333209</v>
      </c>
      <c r="L927" s="22">
        <f t="shared" si="72"/>
        <v>59.2833333332092</v>
      </c>
      <c r="M927" s="22" cm="1">
        <f ca="1" t="array" ref="M927">SUMPRODUCT(--(WEEKDAY(ROW(INDIRECT(INT(F927)&amp;":"&amp;INT(I927))),2)&gt;5))</f>
        <v>2</v>
      </c>
      <c r="N927" s="22">
        <f ca="1" t="shared" si="73"/>
        <v>43.2833333332092</v>
      </c>
      <c r="O927" s="22" t="str">
        <f ca="1" t="shared" si="74"/>
        <v>SLA Violated</v>
      </c>
      <c r="P927" s="23" t="s">
        <v>3783</v>
      </c>
      <c r="Q927" s="24" t="s">
        <v>28</v>
      </c>
      <c r="R927" s="25"/>
      <c r="S927" s="25"/>
    </row>
    <row r="928" ht="27" customHeight="1" spans="1:19">
      <c r="A928" s="19" t="s">
        <v>3784</v>
      </c>
      <c r="B928" s="20" t="s">
        <v>30</v>
      </c>
      <c r="C928" s="20" t="s">
        <v>31</v>
      </c>
      <c r="D928" s="20" t="s">
        <v>32</v>
      </c>
      <c r="E928" s="21" t="s">
        <v>3631</v>
      </c>
      <c r="F928" s="21" t="s">
        <v>3785</v>
      </c>
      <c r="G928" s="20" t="s">
        <v>35</v>
      </c>
      <c r="H928" s="20" t="s">
        <v>25</v>
      </c>
      <c r="I928" s="21" t="s">
        <v>3786</v>
      </c>
      <c r="J928" s="22">
        <f t="shared" si="70"/>
        <v>0.0493055555562023</v>
      </c>
      <c r="K928" s="22">
        <f t="shared" si="71"/>
        <v>1.18333333334886</v>
      </c>
      <c r="L928" s="22">
        <f t="shared" si="72"/>
        <v>1.18333333334886</v>
      </c>
      <c r="M928" s="22" cm="1">
        <f ca="1" t="array" ref="M928">SUMPRODUCT(--(WEEKDAY(ROW(INDIRECT(INT(F928)&amp;":"&amp;INT(I928))),2)&gt;5))</f>
        <v>0</v>
      </c>
      <c r="N928" s="22">
        <f ca="1" t="shared" si="73"/>
        <v>1.18333333334886</v>
      </c>
      <c r="O928" s="22" t="str">
        <f ca="1" t="shared" si="74"/>
        <v>Within SLA</v>
      </c>
      <c r="P928" s="26" t="s">
        <v>3784</v>
      </c>
      <c r="Q928" s="24" t="s">
        <v>37</v>
      </c>
      <c r="R928" s="25"/>
      <c r="S928" s="25"/>
    </row>
    <row r="929" ht="27" customHeight="1" spans="1:19">
      <c r="A929" s="19" t="s">
        <v>3787</v>
      </c>
      <c r="B929" s="20" t="s">
        <v>30</v>
      </c>
      <c r="C929" s="20" t="s">
        <v>31</v>
      </c>
      <c r="D929" s="20" t="s">
        <v>32</v>
      </c>
      <c r="E929" s="21" t="s">
        <v>3788</v>
      </c>
      <c r="F929" s="21" t="s">
        <v>3789</v>
      </c>
      <c r="G929" s="20" t="s">
        <v>35</v>
      </c>
      <c r="H929" s="20" t="s">
        <v>25</v>
      </c>
      <c r="I929" s="21" t="s">
        <v>3790</v>
      </c>
      <c r="J929" s="22">
        <f t="shared" si="70"/>
        <v>3.01666666666279</v>
      </c>
      <c r="K929" s="22">
        <f t="shared" si="71"/>
        <v>72.3999999999069</v>
      </c>
      <c r="L929" s="22">
        <f t="shared" si="72"/>
        <v>24.3999999999069</v>
      </c>
      <c r="M929" s="22" cm="1">
        <f ca="1" t="array" ref="M929">SUMPRODUCT(--(WEEKDAY(ROW(INDIRECT(INT(F929)&amp;":"&amp;INT(I929))),2)&gt;5))</f>
        <v>2</v>
      </c>
      <c r="N929" s="22">
        <f ca="1" t="shared" si="73"/>
        <v>8.3999999999069</v>
      </c>
      <c r="O929" s="22" t="str">
        <f ca="1" t="shared" si="74"/>
        <v>Within SLA</v>
      </c>
      <c r="P929" s="26" t="s">
        <v>3787</v>
      </c>
      <c r="Q929" s="24" t="s">
        <v>37</v>
      </c>
      <c r="R929" s="25"/>
      <c r="S929" s="25"/>
    </row>
    <row r="930" ht="39" customHeight="1" spans="1:19">
      <c r="A930" s="19" t="s">
        <v>3791</v>
      </c>
      <c r="B930" s="20" t="s">
        <v>19</v>
      </c>
      <c r="C930" s="20" t="s">
        <v>20</v>
      </c>
      <c r="D930" s="20" t="s">
        <v>32</v>
      </c>
      <c r="E930" s="21" t="s">
        <v>3725</v>
      </c>
      <c r="F930" s="21" t="s">
        <v>3792</v>
      </c>
      <c r="G930" s="20" t="s">
        <v>24</v>
      </c>
      <c r="H930" s="20" t="s">
        <v>25</v>
      </c>
      <c r="I930" s="21" t="s">
        <v>3793</v>
      </c>
      <c r="J930" s="22">
        <f t="shared" si="70"/>
        <v>69.9000000000015</v>
      </c>
      <c r="K930" s="22">
        <f t="shared" si="71"/>
        <v>1677.60000000003</v>
      </c>
      <c r="L930" s="22">
        <f t="shared" si="72"/>
        <v>557.600000000035</v>
      </c>
      <c r="M930" s="22" cm="1">
        <f ca="1" t="array" ref="M930">SUMPRODUCT(--(WEEKDAY(ROW(INDIRECT(INT(F930)&amp;":"&amp;INT(I930))),2)&gt;5))</f>
        <v>20</v>
      </c>
      <c r="N930" s="22">
        <f ca="1" t="shared" si="73"/>
        <v>397.600000000035</v>
      </c>
      <c r="O930" s="22" t="str">
        <f ca="1" t="shared" si="74"/>
        <v>SLA Violated</v>
      </c>
      <c r="P930" s="23" t="s">
        <v>3794</v>
      </c>
      <c r="Q930" s="24" t="s">
        <v>28</v>
      </c>
      <c r="R930" s="25"/>
      <c r="S930" s="25"/>
    </row>
    <row r="931" ht="27" customHeight="1" spans="1:19">
      <c r="A931" s="19" t="s">
        <v>3795</v>
      </c>
      <c r="B931" s="20" t="s">
        <v>30</v>
      </c>
      <c r="C931" s="20" t="s">
        <v>31</v>
      </c>
      <c r="D931" s="20" t="s">
        <v>32</v>
      </c>
      <c r="E931" s="21" t="s">
        <v>3796</v>
      </c>
      <c r="F931" s="21" t="s">
        <v>3797</v>
      </c>
      <c r="G931" s="20" t="s">
        <v>35</v>
      </c>
      <c r="H931" s="20" t="s">
        <v>25</v>
      </c>
      <c r="I931" s="21" t="s">
        <v>3109</v>
      </c>
      <c r="J931" s="22">
        <f t="shared" si="70"/>
        <v>0.896527777775191</v>
      </c>
      <c r="K931" s="22">
        <f t="shared" si="71"/>
        <v>21.5166666666046</v>
      </c>
      <c r="L931" s="22">
        <f t="shared" si="72"/>
        <v>5.51666666660458</v>
      </c>
      <c r="M931" s="22" cm="1">
        <f ca="1" t="array" ref="M931">SUMPRODUCT(--(WEEKDAY(ROW(INDIRECT(INT(F931)&amp;":"&amp;INT(I931))),2)&gt;5))</f>
        <v>0</v>
      </c>
      <c r="N931" s="22">
        <f ca="1" t="shared" si="73"/>
        <v>5.51666666660458</v>
      </c>
      <c r="O931" s="22" t="str">
        <f ca="1" t="shared" si="74"/>
        <v>Within SLA</v>
      </c>
      <c r="P931" s="26" t="s">
        <v>3795</v>
      </c>
      <c r="Q931" s="24" t="s">
        <v>37</v>
      </c>
      <c r="R931" s="25"/>
      <c r="S931" s="25"/>
    </row>
    <row r="932" ht="27" customHeight="1" spans="1:19">
      <c r="A932" s="19" t="s">
        <v>3798</v>
      </c>
      <c r="B932" s="20" t="s">
        <v>30</v>
      </c>
      <c r="C932" s="20" t="s">
        <v>31</v>
      </c>
      <c r="D932" s="20" t="s">
        <v>32</v>
      </c>
      <c r="E932" s="21" t="s">
        <v>3799</v>
      </c>
      <c r="F932" s="21" t="s">
        <v>3800</v>
      </c>
      <c r="G932" s="20" t="s">
        <v>35</v>
      </c>
      <c r="H932" s="20" t="s">
        <v>25</v>
      </c>
      <c r="I932" s="21" t="s">
        <v>3801</v>
      </c>
      <c r="J932" s="22">
        <f t="shared" si="70"/>
        <v>0.137500000004366</v>
      </c>
      <c r="K932" s="22">
        <f t="shared" si="71"/>
        <v>3.30000000010477</v>
      </c>
      <c r="L932" s="22">
        <f t="shared" si="72"/>
        <v>3.30000000010477</v>
      </c>
      <c r="M932" s="22" cm="1">
        <f ca="1" t="array" ref="M932">SUMPRODUCT(--(WEEKDAY(ROW(INDIRECT(INT(F932)&amp;":"&amp;INT(I932))),2)&gt;5))</f>
        <v>0</v>
      </c>
      <c r="N932" s="22">
        <f ca="1" t="shared" si="73"/>
        <v>3.30000000010477</v>
      </c>
      <c r="O932" s="22" t="str">
        <f ca="1" t="shared" si="74"/>
        <v>Within SLA</v>
      </c>
      <c r="P932" s="26" t="s">
        <v>3798</v>
      </c>
      <c r="Q932" s="24" t="s">
        <v>37</v>
      </c>
      <c r="R932" s="25"/>
      <c r="S932" s="25"/>
    </row>
    <row r="933" ht="27" customHeight="1" spans="1:19">
      <c r="A933" s="19" t="s">
        <v>3802</v>
      </c>
      <c r="B933" s="20" t="s">
        <v>30</v>
      </c>
      <c r="C933" s="20" t="s">
        <v>2057</v>
      </c>
      <c r="D933" s="20" t="s">
        <v>32</v>
      </c>
      <c r="E933" s="21" t="s">
        <v>3793</v>
      </c>
      <c r="F933" s="21" t="s">
        <v>3803</v>
      </c>
      <c r="G933" s="20" t="s">
        <v>35</v>
      </c>
      <c r="H933" s="20" t="s">
        <v>25</v>
      </c>
      <c r="I933" s="21" t="s">
        <v>3804</v>
      </c>
      <c r="J933" s="22">
        <f t="shared" si="70"/>
        <v>20.9763888888847</v>
      </c>
      <c r="K933" s="22">
        <f t="shared" si="71"/>
        <v>503.433333333232</v>
      </c>
      <c r="L933" s="22">
        <f t="shared" si="72"/>
        <v>167.433333333232</v>
      </c>
      <c r="M933" s="22" cm="1">
        <f ca="1" t="array" ref="M933">SUMPRODUCT(--(WEEKDAY(ROW(INDIRECT(INT(F933)&amp;":"&amp;INT(I933))),2)&gt;5))</f>
        <v>6</v>
      </c>
      <c r="N933" s="22">
        <f ca="1" t="shared" si="73"/>
        <v>119.433333333232</v>
      </c>
      <c r="O933" s="22" t="str">
        <f ca="1" t="shared" si="74"/>
        <v>SLA Violated</v>
      </c>
      <c r="P933" s="23" t="s">
        <v>3805</v>
      </c>
      <c r="Q933" s="24" t="s">
        <v>28</v>
      </c>
      <c r="R933" s="25"/>
      <c r="S933" s="25"/>
    </row>
    <row r="934" ht="27" customHeight="1" spans="1:19">
      <c r="A934" s="19" t="s">
        <v>3806</v>
      </c>
      <c r="B934" s="20" t="s">
        <v>30</v>
      </c>
      <c r="C934" s="20" t="s">
        <v>2057</v>
      </c>
      <c r="D934" s="20" t="s">
        <v>32</v>
      </c>
      <c r="E934" s="21" t="s">
        <v>3793</v>
      </c>
      <c r="F934" s="21" t="s">
        <v>3807</v>
      </c>
      <c r="G934" s="20" t="s">
        <v>35</v>
      </c>
      <c r="H934" s="20" t="s">
        <v>25</v>
      </c>
      <c r="I934" s="21" t="s">
        <v>3808</v>
      </c>
      <c r="J934" s="22">
        <f t="shared" si="70"/>
        <v>4.88333333333139</v>
      </c>
      <c r="K934" s="22">
        <f t="shared" si="71"/>
        <v>117.199999999953</v>
      </c>
      <c r="L934" s="22">
        <f t="shared" si="72"/>
        <v>37.1999999999534</v>
      </c>
      <c r="M934" s="22" cm="1">
        <f ca="1" t="array" ref="M934">SUMPRODUCT(--(WEEKDAY(ROW(INDIRECT(INT(F934)&amp;":"&amp;INT(I934))),2)&gt;5))</f>
        <v>2</v>
      </c>
      <c r="N934" s="22">
        <f ca="1" t="shared" si="73"/>
        <v>21.1999999999534</v>
      </c>
      <c r="O934" s="22" t="str">
        <f ca="1" t="shared" si="74"/>
        <v>SLA Violated</v>
      </c>
      <c r="P934" s="23" t="s">
        <v>3809</v>
      </c>
      <c r="Q934" s="24" t="s">
        <v>28</v>
      </c>
      <c r="R934" s="25"/>
      <c r="S934" s="25"/>
    </row>
    <row r="935" ht="39" customHeight="1" spans="1:19">
      <c r="A935" s="19" t="s">
        <v>3810</v>
      </c>
      <c r="B935" s="20" t="s">
        <v>19</v>
      </c>
      <c r="C935" s="20" t="s">
        <v>20</v>
      </c>
      <c r="D935" s="20" t="s">
        <v>21</v>
      </c>
      <c r="E935" s="21" t="s">
        <v>3811</v>
      </c>
      <c r="F935" s="21" t="s">
        <v>3812</v>
      </c>
      <c r="G935" s="20" t="s">
        <v>35</v>
      </c>
      <c r="H935" s="20" t="s">
        <v>25</v>
      </c>
      <c r="I935" s="21" t="s">
        <v>3813</v>
      </c>
      <c r="J935" s="22">
        <f t="shared" si="70"/>
        <v>0.0666666666656965</v>
      </c>
      <c r="K935" s="22">
        <f t="shared" si="71"/>
        <v>1.59999999997672</v>
      </c>
      <c r="L935" s="22">
        <f t="shared" si="72"/>
        <v>1.59999999997672</v>
      </c>
      <c r="M935" s="22" cm="1">
        <f ca="1" t="array" ref="M935">SUMPRODUCT(--(WEEKDAY(ROW(INDIRECT(INT(F935)&amp;":"&amp;INT(I935))),2)&gt;5))</f>
        <v>0</v>
      </c>
      <c r="N935" s="22">
        <f ca="1" t="shared" si="73"/>
        <v>1.59999999997672</v>
      </c>
      <c r="O935" s="22" t="str">
        <f ca="1" t="shared" si="74"/>
        <v>Within SLA</v>
      </c>
      <c r="P935" s="26" t="s">
        <v>3810</v>
      </c>
      <c r="Q935" s="24" t="s">
        <v>37</v>
      </c>
      <c r="R935" s="25"/>
      <c r="S935" s="25"/>
    </row>
    <row r="936" ht="39" customHeight="1" spans="1:19">
      <c r="A936" s="19" t="s">
        <v>3814</v>
      </c>
      <c r="B936" s="20" t="s">
        <v>19</v>
      </c>
      <c r="C936" s="20" t="s">
        <v>20</v>
      </c>
      <c r="D936" s="20" t="s">
        <v>32</v>
      </c>
      <c r="E936" s="21" t="s">
        <v>3815</v>
      </c>
      <c r="F936" s="21" t="s">
        <v>3816</v>
      </c>
      <c r="G936" s="20" t="s">
        <v>35</v>
      </c>
      <c r="H936" s="20" t="s">
        <v>25</v>
      </c>
      <c r="I936" s="21" t="s">
        <v>3817</v>
      </c>
      <c r="J936" s="22">
        <f t="shared" si="70"/>
        <v>15.1270833333328</v>
      </c>
      <c r="K936" s="22">
        <f t="shared" si="71"/>
        <v>363.049999999988</v>
      </c>
      <c r="L936" s="22">
        <f t="shared" si="72"/>
        <v>123.049999999988</v>
      </c>
      <c r="M936" s="22" cm="1">
        <f ca="1" t="array" ref="M936">SUMPRODUCT(--(WEEKDAY(ROW(INDIRECT(INT(F936)&amp;":"&amp;INT(I936))),2)&gt;5))</f>
        <v>4</v>
      </c>
      <c r="N936" s="22">
        <f ca="1" t="shared" si="73"/>
        <v>91.049999999988</v>
      </c>
      <c r="O936" s="22" t="str">
        <f ca="1" t="shared" si="74"/>
        <v>SLA Violated</v>
      </c>
      <c r="P936" s="23" t="s">
        <v>3818</v>
      </c>
      <c r="Q936" s="24" t="s">
        <v>28</v>
      </c>
      <c r="R936" s="25"/>
      <c r="S936" s="25"/>
    </row>
    <row r="937" ht="27" customHeight="1" spans="1:19">
      <c r="A937" s="19" t="s">
        <v>3819</v>
      </c>
      <c r="B937" s="20" t="s">
        <v>30</v>
      </c>
      <c r="C937" s="20" t="s">
        <v>2057</v>
      </c>
      <c r="D937" s="20" t="s">
        <v>32</v>
      </c>
      <c r="E937" s="21" t="s">
        <v>3815</v>
      </c>
      <c r="F937" s="21" t="s">
        <v>3820</v>
      </c>
      <c r="G937" s="20" t="s">
        <v>24</v>
      </c>
      <c r="H937" s="20" t="s">
        <v>25</v>
      </c>
      <c r="I937" s="21" t="s">
        <v>3739</v>
      </c>
      <c r="J937" s="22">
        <f t="shared" si="70"/>
        <v>0.906944444446708</v>
      </c>
      <c r="K937" s="22">
        <f t="shared" si="71"/>
        <v>21.766666666721</v>
      </c>
      <c r="L937" s="22">
        <f t="shared" si="72"/>
        <v>5.76666666672099</v>
      </c>
      <c r="M937" s="22" cm="1">
        <f ca="1" t="array" ref="M937">SUMPRODUCT(--(WEEKDAY(ROW(INDIRECT(INT(F937)&amp;":"&amp;INT(I937))),2)&gt;5))</f>
        <v>0</v>
      </c>
      <c r="N937" s="22">
        <f ca="1" t="shared" si="73"/>
        <v>5.76666666672099</v>
      </c>
      <c r="O937" s="22" t="str">
        <f ca="1" t="shared" si="74"/>
        <v>Within SLA</v>
      </c>
      <c r="P937" s="26" t="s">
        <v>3819</v>
      </c>
      <c r="Q937" s="24" t="s">
        <v>37</v>
      </c>
      <c r="R937" s="25"/>
      <c r="S937" s="25"/>
    </row>
    <row r="938" ht="50" customHeight="1" spans="1:19">
      <c r="A938" s="19" t="s">
        <v>3821</v>
      </c>
      <c r="B938" s="20" t="s">
        <v>369</v>
      </c>
      <c r="C938" s="20" t="s">
        <v>2057</v>
      </c>
      <c r="D938" s="20" t="s">
        <v>32</v>
      </c>
      <c r="E938" s="21" t="s">
        <v>3822</v>
      </c>
      <c r="F938" s="21" t="s">
        <v>3823</v>
      </c>
      <c r="G938" s="20" t="s">
        <v>35</v>
      </c>
      <c r="H938" s="20" t="s">
        <v>25</v>
      </c>
      <c r="I938" s="21" t="s">
        <v>3824</v>
      </c>
      <c r="J938" s="22">
        <f t="shared" si="70"/>
        <v>5.07708333332994</v>
      </c>
      <c r="K938" s="22">
        <f t="shared" si="71"/>
        <v>121.849999999919</v>
      </c>
      <c r="L938" s="22">
        <f t="shared" si="72"/>
        <v>41.8499999999185</v>
      </c>
      <c r="M938" s="22" cm="1">
        <f ca="1" t="array" ref="M938">SUMPRODUCT(--(WEEKDAY(ROW(INDIRECT(INT(F938)&amp;":"&amp;INT(I938))),2)&gt;5))</f>
        <v>2</v>
      </c>
      <c r="N938" s="22">
        <f ca="1" t="shared" si="73"/>
        <v>25.8499999999185</v>
      </c>
      <c r="O938" s="22" t="str">
        <f ca="1" t="shared" si="74"/>
        <v>SLA Violated</v>
      </c>
      <c r="P938" s="23" t="s">
        <v>3825</v>
      </c>
      <c r="Q938" s="24" t="s">
        <v>28</v>
      </c>
      <c r="R938" s="25"/>
      <c r="S938" s="25"/>
    </row>
    <row r="939" ht="27" customHeight="1" spans="1:19">
      <c r="A939" s="19" t="s">
        <v>3826</v>
      </c>
      <c r="B939" s="20" t="s">
        <v>30</v>
      </c>
      <c r="C939" s="20" t="s">
        <v>31</v>
      </c>
      <c r="D939" s="20" t="s">
        <v>32</v>
      </c>
      <c r="E939" s="21" t="s">
        <v>3827</v>
      </c>
      <c r="F939" s="21" t="s">
        <v>3828</v>
      </c>
      <c r="G939" s="20" t="s">
        <v>35</v>
      </c>
      <c r="H939" s="20" t="s">
        <v>25</v>
      </c>
      <c r="I939" s="21" t="s">
        <v>3829</v>
      </c>
      <c r="J939" s="22">
        <f t="shared" si="70"/>
        <v>0.838194444440887</v>
      </c>
      <c r="K939" s="22">
        <f t="shared" si="71"/>
        <v>20.1166666665813</v>
      </c>
      <c r="L939" s="22">
        <f t="shared" si="72"/>
        <v>4.1166666665813</v>
      </c>
      <c r="M939" s="22" cm="1">
        <f ca="1" t="array" ref="M939">SUMPRODUCT(--(WEEKDAY(ROW(INDIRECT(INT(F939)&amp;":"&amp;INT(I939))),2)&gt;5))</f>
        <v>0</v>
      </c>
      <c r="N939" s="22">
        <f ca="1" t="shared" si="73"/>
        <v>4.1166666665813</v>
      </c>
      <c r="O939" s="22" t="str">
        <f ca="1" t="shared" si="74"/>
        <v>Within SLA</v>
      </c>
      <c r="P939" s="26" t="s">
        <v>3826</v>
      </c>
      <c r="Q939" s="24" t="s">
        <v>37</v>
      </c>
      <c r="R939" s="25"/>
      <c r="S939" s="25"/>
    </row>
    <row r="940" ht="27" customHeight="1" spans="1:19">
      <c r="A940" s="19" t="s">
        <v>3830</v>
      </c>
      <c r="B940" s="20" t="s">
        <v>30</v>
      </c>
      <c r="C940" s="20" t="s">
        <v>2057</v>
      </c>
      <c r="D940" s="20" t="s">
        <v>32</v>
      </c>
      <c r="E940" s="21" t="s">
        <v>3827</v>
      </c>
      <c r="F940" s="21" t="s">
        <v>3831</v>
      </c>
      <c r="G940" s="20" t="s">
        <v>35</v>
      </c>
      <c r="H940" s="20" t="s">
        <v>25</v>
      </c>
      <c r="I940" s="21" t="s">
        <v>3832</v>
      </c>
      <c r="J940" s="22">
        <f t="shared" si="70"/>
        <v>4.83125000000291</v>
      </c>
      <c r="K940" s="22">
        <f t="shared" si="71"/>
        <v>115.95000000007</v>
      </c>
      <c r="L940" s="22">
        <f t="shared" si="72"/>
        <v>35.9500000000698</v>
      </c>
      <c r="M940" s="22" cm="1">
        <f ca="1" t="array" ref="M940">SUMPRODUCT(--(WEEKDAY(ROW(INDIRECT(INT(F940)&amp;":"&amp;INT(I940))),2)&gt;5))</f>
        <v>2</v>
      </c>
      <c r="N940" s="22">
        <f ca="1" t="shared" si="73"/>
        <v>19.9500000000698</v>
      </c>
      <c r="O940" s="22" t="str">
        <f ca="1" t="shared" si="74"/>
        <v>SLA Violated</v>
      </c>
      <c r="P940" s="23" t="s">
        <v>3833</v>
      </c>
      <c r="Q940" s="24" t="s">
        <v>28</v>
      </c>
      <c r="R940" s="25"/>
      <c r="S940" s="25"/>
    </row>
    <row r="941" ht="27" customHeight="1" spans="1:19">
      <c r="A941" s="19" t="s">
        <v>3834</v>
      </c>
      <c r="B941" s="20" t="s">
        <v>30</v>
      </c>
      <c r="C941" s="20" t="s">
        <v>2057</v>
      </c>
      <c r="D941" s="20" t="s">
        <v>32</v>
      </c>
      <c r="E941" s="21" t="s">
        <v>3835</v>
      </c>
      <c r="F941" s="21" t="s">
        <v>3836</v>
      </c>
      <c r="G941" s="20" t="s">
        <v>24</v>
      </c>
      <c r="H941" s="20" t="s">
        <v>25</v>
      </c>
      <c r="I941" s="21" t="s">
        <v>3837</v>
      </c>
      <c r="J941" s="22">
        <f t="shared" si="70"/>
        <v>0.904861111106584</v>
      </c>
      <c r="K941" s="22">
        <f t="shared" si="71"/>
        <v>21.716666666558</v>
      </c>
      <c r="L941" s="22">
        <f t="shared" si="72"/>
        <v>5.71666666655801</v>
      </c>
      <c r="M941" s="22" cm="1">
        <f ca="1" t="array" ref="M941">SUMPRODUCT(--(WEEKDAY(ROW(INDIRECT(INT(F941)&amp;":"&amp;INT(I941))),2)&gt;5))</f>
        <v>0</v>
      </c>
      <c r="N941" s="22">
        <f ca="1" t="shared" si="73"/>
        <v>5.71666666655801</v>
      </c>
      <c r="O941" s="22" t="str">
        <f ca="1" t="shared" si="74"/>
        <v>Within SLA</v>
      </c>
      <c r="P941" s="26" t="s">
        <v>3834</v>
      </c>
      <c r="Q941" s="24" t="s">
        <v>37</v>
      </c>
      <c r="R941" s="25"/>
      <c r="S941" s="25"/>
    </row>
    <row r="942" ht="27" customHeight="1" spans="1:19">
      <c r="A942" s="19" t="s">
        <v>3838</v>
      </c>
      <c r="B942" s="20" t="s">
        <v>30</v>
      </c>
      <c r="C942" s="20" t="s">
        <v>2057</v>
      </c>
      <c r="D942" s="20" t="s">
        <v>32</v>
      </c>
      <c r="E942" s="21" t="s">
        <v>3839</v>
      </c>
      <c r="F942" s="21" t="s">
        <v>3840</v>
      </c>
      <c r="G942" s="20" t="s">
        <v>35</v>
      </c>
      <c r="H942" s="20" t="s">
        <v>25</v>
      </c>
      <c r="I942" s="21" t="s">
        <v>3841</v>
      </c>
      <c r="J942" s="22">
        <f t="shared" si="70"/>
        <v>5.07430555555766</v>
      </c>
      <c r="K942" s="22">
        <f t="shared" si="71"/>
        <v>121.783333333384</v>
      </c>
      <c r="L942" s="22">
        <f t="shared" si="72"/>
        <v>41.7833333333838</v>
      </c>
      <c r="M942" s="22" cm="1">
        <f ca="1" t="array" ref="M942">SUMPRODUCT(--(WEEKDAY(ROW(INDIRECT(INT(F942)&amp;":"&amp;INT(I942))),2)&gt;5))</f>
        <v>2</v>
      </c>
      <c r="N942" s="22">
        <f ca="1" t="shared" si="73"/>
        <v>25.7833333333838</v>
      </c>
      <c r="O942" s="22" t="str">
        <f ca="1" t="shared" si="74"/>
        <v>SLA Violated</v>
      </c>
      <c r="P942" s="23" t="s">
        <v>3842</v>
      </c>
      <c r="Q942" s="24" t="s">
        <v>28</v>
      </c>
      <c r="R942" s="25"/>
      <c r="S942" s="25"/>
    </row>
    <row r="943" ht="39" customHeight="1" spans="1:19">
      <c r="A943" s="19" t="s">
        <v>3843</v>
      </c>
      <c r="B943" s="20" t="s">
        <v>19</v>
      </c>
      <c r="C943" s="20" t="s">
        <v>20</v>
      </c>
      <c r="D943" s="20" t="s">
        <v>32</v>
      </c>
      <c r="E943" s="21" t="s">
        <v>3844</v>
      </c>
      <c r="F943" s="21" t="s">
        <v>3845</v>
      </c>
      <c r="G943" s="20" t="s">
        <v>35</v>
      </c>
      <c r="H943" s="20" t="s">
        <v>25</v>
      </c>
      <c r="I943" s="21" t="s">
        <v>3846</v>
      </c>
      <c r="J943" s="22">
        <f t="shared" si="70"/>
        <v>0.885416666664241</v>
      </c>
      <c r="K943" s="22">
        <f t="shared" si="71"/>
        <v>21.2499999999418</v>
      </c>
      <c r="L943" s="22">
        <f t="shared" si="72"/>
        <v>5.24999999994179</v>
      </c>
      <c r="M943" s="22" cm="1">
        <f ca="1" t="array" ref="M943">SUMPRODUCT(--(WEEKDAY(ROW(INDIRECT(INT(F943)&amp;":"&amp;INT(I943))),2)&gt;5))</f>
        <v>0</v>
      </c>
      <c r="N943" s="22">
        <f ca="1" t="shared" si="73"/>
        <v>5.24999999994179</v>
      </c>
      <c r="O943" s="22" t="str">
        <f ca="1" t="shared" si="74"/>
        <v>Within SLA</v>
      </c>
      <c r="P943" s="26" t="s">
        <v>3843</v>
      </c>
      <c r="Q943" s="24" t="s">
        <v>37</v>
      </c>
      <c r="R943" s="25"/>
      <c r="S943" s="25"/>
    </row>
    <row r="944" ht="16" customHeight="1" spans="1:19">
      <c r="A944" s="19" t="s">
        <v>3847</v>
      </c>
      <c r="B944" s="20" t="s">
        <v>100</v>
      </c>
      <c r="C944" s="20" t="s">
        <v>46</v>
      </c>
      <c r="D944" s="20" t="s">
        <v>32</v>
      </c>
      <c r="E944" s="21" t="s">
        <v>3844</v>
      </c>
      <c r="F944" s="21" t="s">
        <v>3848</v>
      </c>
      <c r="G944" s="20" t="s">
        <v>35</v>
      </c>
      <c r="H944" s="20" t="s">
        <v>25</v>
      </c>
      <c r="I944" s="21" t="s">
        <v>3846</v>
      </c>
      <c r="J944" s="22">
        <f t="shared" si="70"/>
        <v>0.0729166666642413</v>
      </c>
      <c r="K944" s="22">
        <f t="shared" si="71"/>
        <v>1.74999999994179</v>
      </c>
      <c r="L944" s="22">
        <f t="shared" si="72"/>
        <v>1.74999999994179</v>
      </c>
      <c r="M944" s="22" cm="1">
        <f ca="1" t="array" ref="M944">SUMPRODUCT(--(WEEKDAY(ROW(INDIRECT(INT(F944)&amp;":"&amp;INT(I944))),2)&gt;5))</f>
        <v>0</v>
      </c>
      <c r="N944" s="22">
        <f ca="1" t="shared" si="73"/>
        <v>1.74999999994179</v>
      </c>
      <c r="O944" s="22" t="str">
        <f ca="1" t="shared" si="74"/>
        <v>Within SLA</v>
      </c>
      <c r="P944" s="26" t="s">
        <v>3847</v>
      </c>
      <c r="Q944" s="24" t="s">
        <v>37</v>
      </c>
      <c r="R944" s="25"/>
      <c r="S944" s="25"/>
    </row>
    <row r="945" ht="27" customHeight="1" spans="1:19">
      <c r="A945" s="19" t="s">
        <v>3849</v>
      </c>
      <c r="B945" s="20" t="s">
        <v>30</v>
      </c>
      <c r="C945" s="20" t="s">
        <v>31</v>
      </c>
      <c r="D945" s="20" t="s">
        <v>32</v>
      </c>
      <c r="E945" s="21" t="s">
        <v>3850</v>
      </c>
      <c r="F945" s="21" t="s">
        <v>3851</v>
      </c>
      <c r="G945" s="20" t="s">
        <v>35</v>
      </c>
      <c r="H945" s="20" t="s">
        <v>25</v>
      </c>
      <c r="I945" s="21" t="s">
        <v>3852</v>
      </c>
      <c r="J945" s="22">
        <f t="shared" si="70"/>
        <v>1.82430555555766</v>
      </c>
      <c r="K945" s="22">
        <f t="shared" si="71"/>
        <v>43.7833333333838</v>
      </c>
      <c r="L945" s="22">
        <f t="shared" si="72"/>
        <v>11.7833333333838</v>
      </c>
      <c r="M945" s="22" cm="1">
        <f ca="1" t="array" ref="M945">SUMPRODUCT(--(WEEKDAY(ROW(INDIRECT(INT(F945)&amp;":"&amp;INT(I945))),2)&gt;5))</f>
        <v>0</v>
      </c>
      <c r="N945" s="22">
        <f ca="1" t="shared" si="73"/>
        <v>11.7833333333838</v>
      </c>
      <c r="O945" s="22" t="str">
        <f ca="1" t="shared" si="74"/>
        <v>Within SLA</v>
      </c>
      <c r="P945" s="26" t="s">
        <v>3849</v>
      </c>
      <c r="Q945" s="24" t="s">
        <v>37</v>
      </c>
      <c r="R945" s="25"/>
      <c r="S945" s="25"/>
    </row>
    <row r="946" ht="39" customHeight="1" spans="1:19">
      <c r="A946" s="19" t="s">
        <v>3853</v>
      </c>
      <c r="B946" s="20" t="s">
        <v>19</v>
      </c>
      <c r="C946" s="20" t="s">
        <v>20</v>
      </c>
      <c r="D946" s="20" t="s">
        <v>32</v>
      </c>
      <c r="E946" s="21" t="s">
        <v>3854</v>
      </c>
      <c r="F946" s="21" t="s">
        <v>3855</v>
      </c>
      <c r="G946" s="20" t="s">
        <v>35</v>
      </c>
      <c r="H946" s="20" t="s">
        <v>25</v>
      </c>
      <c r="I946" s="21" t="s">
        <v>3856</v>
      </c>
      <c r="J946" s="22">
        <f t="shared" si="70"/>
        <v>20.1541666666672</v>
      </c>
      <c r="K946" s="22">
        <f t="shared" si="71"/>
        <v>483.700000000012</v>
      </c>
      <c r="L946" s="22">
        <f t="shared" si="72"/>
        <v>163.700000000012</v>
      </c>
      <c r="M946" s="22" cm="1">
        <f ca="1" t="array" ref="M946">SUMPRODUCT(--(WEEKDAY(ROW(INDIRECT(INT(F946)&amp;":"&amp;INT(I946))),2)&gt;5))</f>
        <v>6</v>
      </c>
      <c r="N946" s="22">
        <f ca="1" t="shared" si="73"/>
        <v>115.700000000012</v>
      </c>
      <c r="O946" s="22" t="str">
        <f ca="1" t="shared" si="74"/>
        <v>SLA Violated</v>
      </c>
      <c r="P946" s="23" t="s">
        <v>3857</v>
      </c>
      <c r="Q946" s="24" t="s">
        <v>28</v>
      </c>
      <c r="R946" s="25"/>
      <c r="S946" s="25"/>
    </row>
    <row r="947" ht="27" customHeight="1" spans="1:19">
      <c r="A947" s="19" t="s">
        <v>3858</v>
      </c>
      <c r="B947" s="20" t="s">
        <v>30</v>
      </c>
      <c r="C947" s="20" t="s">
        <v>31</v>
      </c>
      <c r="D947" s="20" t="s">
        <v>32</v>
      </c>
      <c r="E947" s="21" t="s">
        <v>3854</v>
      </c>
      <c r="F947" s="21" t="s">
        <v>3859</v>
      </c>
      <c r="G947" s="20" t="s">
        <v>24</v>
      </c>
      <c r="H947" s="20" t="s">
        <v>25</v>
      </c>
      <c r="I947" s="21" t="s">
        <v>3860</v>
      </c>
      <c r="J947" s="22">
        <f t="shared" si="70"/>
        <v>0.827777777776646</v>
      </c>
      <c r="K947" s="22">
        <f t="shared" si="71"/>
        <v>19.8666666666395</v>
      </c>
      <c r="L947" s="22">
        <f t="shared" si="72"/>
        <v>3.8666666666395</v>
      </c>
      <c r="M947" s="22" cm="1">
        <f ca="1" t="array" ref="M947">SUMPRODUCT(--(WEEKDAY(ROW(INDIRECT(INT(F947)&amp;":"&amp;INT(I947))),2)&gt;5))</f>
        <v>0</v>
      </c>
      <c r="N947" s="22">
        <f ca="1" t="shared" si="73"/>
        <v>3.8666666666395</v>
      </c>
      <c r="O947" s="22" t="str">
        <f ca="1" t="shared" si="74"/>
        <v>Within SLA</v>
      </c>
      <c r="P947" s="26" t="s">
        <v>3858</v>
      </c>
      <c r="Q947" s="24" t="s">
        <v>37</v>
      </c>
      <c r="R947" s="25"/>
      <c r="S947" s="25"/>
    </row>
    <row r="948" ht="27" customHeight="1" spans="1:19">
      <c r="A948" s="19" t="s">
        <v>3861</v>
      </c>
      <c r="B948" s="20" t="s">
        <v>30</v>
      </c>
      <c r="C948" s="20" t="s">
        <v>31</v>
      </c>
      <c r="D948" s="20" t="s">
        <v>32</v>
      </c>
      <c r="E948" s="21" t="s">
        <v>3862</v>
      </c>
      <c r="F948" s="21" t="s">
        <v>3863</v>
      </c>
      <c r="G948" s="20" t="s">
        <v>24</v>
      </c>
      <c r="H948" s="20" t="s">
        <v>25</v>
      </c>
      <c r="I948" s="21" t="s">
        <v>3864</v>
      </c>
      <c r="J948" s="22">
        <f t="shared" si="70"/>
        <v>3.01041666667152</v>
      </c>
      <c r="K948" s="22">
        <f t="shared" si="71"/>
        <v>72.2500000001164</v>
      </c>
      <c r="L948" s="22">
        <f t="shared" si="72"/>
        <v>24.2500000001164</v>
      </c>
      <c r="M948" s="22" cm="1">
        <f ca="1" t="array" ref="M948">SUMPRODUCT(--(WEEKDAY(ROW(INDIRECT(INT(F948)&amp;":"&amp;INT(I948))),2)&gt;5))</f>
        <v>2</v>
      </c>
      <c r="N948" s="22">
        <f ca="1" t="shared" si="73"/>
        <v>8.2500000001164</v>
      </c>
      <c r="O948" s="22" t="str">
        <f ca="1" t="shared" si="74"/>
        <v>Within SLA</v>
      </c>
      <c r="P948" s="26" t="s">
        <v>3861</v>
      </c>
      <c r="Q948" s="24" t="s">
        <v>37</v>
      </c>
      <c r="R948" s="25"/>
      <c r="S948" s="25"/>
    </row>
    <row r="949" ht="27" customHeight="1" spans="1:19">
      <c r="A949" s="19" t="s">
        <v>3865</v>
      </c>
      <c r="B949" s="20" t="s">
        <v>30</v>
      </c>
      <c r="C949" s="20" t="s">
        <v>31</v>
      </c>
      <c r="D949" s="20" t="s">
        <v>32</v>
      </c>
      <c r="E949" s="21" t="s">
        <v>3856</v>
      </c>
      <c r="F949" s="21" t="s">
        <v>3866</v>
      </c>
      <c r="G949" s="20" t="s">
        <v>35</v>
      </c>
      <c r="H949" s="20" t="s">
        <v>25</v>
      </c>
      <c r="I949" s="21" t="s">
        <v>3867</v>
      </c>
      <c r="J949" s="22">
        <f t="shared" si="70"/>
        <v>0.0611111111138598</v>
      </c>
      <c r="K949" s="22">
        <f t="shared" si="71"/>
        <v>1.46666666673264</v>
      </c>
      <c r="L949" s="22">
        <f t="shared" si="72"/>
        <v>1.46666666673264</v>
      </c>
      <c r="M949" s="22" cm="1">
        <f ca="1" t="array" ref="M949">SUMPRODUCT(--(WEEKDAY(ROW(INDIRECT(INT(F949)&amp;":"&amp;INT(I949))),2)&gt;5))</f>
        <v>0</v>
      </c>
      <c r="N949" s="22">
        <f ca="1" t="shared" si="73"/>
        <v>1.46666666673264</v>
      </c>
      <c r="O949" s="22" t="str">
        <f ca="1" t="shared" si="74"/>
        <v>Within SLA</v>
      </c>
      <c r="P949" s="26" t="s">
        <v>3865</v>
      </c>
      <c r="Q949" s="24" t="s">
        <v>37</v>
      </c>
      <c r="R949" s="25"/>
      <c r="S949" s="25"/>
    </row>
    <row r="950" ht="27" customHeight="1" spans="1:19">
      <c r="A950" s="19" t="s">
        <v>3868</v>
      </c>
      <c r="B950" s="20" t="s">
        <v>30</v>
      </c>
      <c r="C950" s="20" t="s">
        <v>31</v>
      </c>
      <c r="D950" s="20" t="s">
        <v>32</v>
      </c>
      <c r="E950" s="21" t="s">
        <v>3869</v>
      </c>
      <c r="F950" s="21" t="s">
        <v>3870</v>
      </c>
      <c r="G950" s="20" t="s">
        <v>35</v>
      </c>
      <c r="H950" s="20" t="s">
        <v>25</v>
      </c>
      <c r="I950" s="21" t="s">
        <v>3871</v>
      </c>
      <c r="J950" s="22">
        <f t="shared" si="70"/>
        <v>1.74930555555329</v>
      </c>
      <c r="K950" s="22">
        <f t="shared" si="71"/>
        <v>41.983333333279</v>
      </c>
      <c r="L950" s="22">
        <f t="shared" si="72"/>
        <v>9.98333333327901</v>
      </c>
      <c r="M950" s="22" cm="1">
        <f ca="1" t="array" ref="M950">SUMPRODUCT(--(WEEKDAY(ROW(INDIRECT(INT(F950)&amp;":"&amp;INT(I950))),2)&gt;5))</f>
        <v>0</v>
      </c>
      <c r="N950" s="22">
        <f ca="1" t="shared" si="73"/>
        <v>9.98333333327901</v>
      </c>
      <c r="O950" s="22" t="str">
        <f ca="1" t="shared" si="74"/>
        <v>Within SLA</v>
      </c>
      <c r="P950" s="26" t="s">
        <v>3868</v>
      </c>
      <c r="Q950" s="24" t="s">
        <v>37</v>
      </c>
      <c r="R950" s="25"/>
      <c r="S950" s="25"/>
    </row>
    <row r="951" ht="39" customHeight="1" spans="1:19">
      <c r="A951" s="19" t="s">
        <v>3872</v>
      </c>
      <c r="B951" s="20" t="s">
        <v>19</v>
      </c>
      <c r="C951" s="20" t="s">
        <v>20</v>
      </c>
      <c r="D951" s="20" t="s">
        <v>32</v>
      </c>
      <c r="E951" s="21" t="s">
        <v>3873</v>
      </c>
      <c r="F951" s="21" t="s">
        <v>3874</v>
      </c>
      <c r="G951" s="20" t="s">
        <v>35</v>
      </c>
      <c r="H951" s="20" t="s">
        <v>25</v>
      </c>
      <c r="I951" s="21" t="s">
        <v>3874</v>
      </c>
      <c r="J951" s="22">
        <f t="shared" si="70"/>
        <v>0</v>
      </c>
      <c r="K951" s="22">
        <f t="shared" si="71"/>
        <v>0</v>
      </c>
      <c r="L951" s="22">
        <f t="shared" si="72"/>
        <v>0</v>
      </c>
      <c r="M951" s="22" cm="1">
        <f ca="1" t="array" ref="M951">SUMPRODUCT(--(WEEKDAY(ROW(INDIRECT(INT(F951)&amp;":"&amp;INT(I951))),2)&gt;5))</f>
        <v>0</v>
      </c>
      <c r="N951" s="22">
        <f ca="1" t="shared" si="73"/>
        <v>0</v>
      </c>
      <c r="O951" s="22" t="str">
        <f ca="1" t="shared" si="74"/>
        <v>Within SLA</v>
      </c>
      <c r="P951" s="26" t="s">
        <v>3872</v>
      </c>
      <c r="Q951" s="24" t="s">
        <v>37</v>
      </c>
      <c r="R951" s="25"/>
      <c r="S951" s="25"/>
    </row>
    <row r="952" ht="39" customHeight="1" spans="1:19">
      <c r="A952" s="19" t="s">
        <v>3875</v>
      </c>
      <c r="B952" s="20" t="s">
        <v>19</v>
      </c>
      <c r="C952" s="20" t="s">
        <v>20</v>
      </c>
      <c r="D952" s="20" t="s">
        <v>32</v>
      </c>
      <c r="E952" s="21" t="s">
        <v>3876</v>
      </c>
      <c r="F952" s="21" t="s">
        <v>3877</v>
      </c>
      <c r="G952" s="20" t="s">
        <v>35</v>
      </c>
      <c r="H952" s="20" t="s">
        <v>25</v>
      </c>
      <c r="I952" s="21" t="s">
        <v>3878</v>
      </c>
      <c r="J952" s="22">
        <f t="shared" si="70"/>
        <v>0.0590277777737356</v>
      </c>
      <c r="K952" s="22">
        <f t="shared" si="71"/>
        <v>1.41666666656965</v>
      </c>
      <c r="L952" s="22">
        <f t="shared" si="72"/>
        <v>1.41666666656965</v>
      </c>
      <c r="M952" s="22" cm="1">
        <f ca="1" t="array" ref="M952">SUMPRODUCT(--(WEEKDAY(ROW(INDIRECT(INT(F952)&amp;":"&amp;INT(I952))),2)&gt;5))</f>
        <v>0</v>
      </c>
      <c r="N952" s="22">
        <f ca="1" t="shared" si="73"/>
        <v>1.41666666656965</v>
      </c>
      <c r="O952" s="22" t="str">
        <f ca="1" t="shared" si="74"/>
        <v>Within SLA</v>
      </c>
      <c r="P952" s="26" t="s">
        <v>3875</v>
      </c>
      <c r="Q952" s="24" t="s">
        <v>37</v>
      </c>
      <c r="R952" s="25"/>
      <c r="S952" s="25"/>
    </row>
    <row r="953" ht="39" customHeight="1" spans="1:19">
      <c r="A953" s="19" t="s">
        <v>3879</v>
      </c>
      <c r="B953" s="20" t="s">
        <v>19</v>
      </c>
      <c r="C953" s="20" t="s">
        <v>20</v>
      </c>
      <c r="D953" s="20" t="s">
        <v>32</v>
      </c>
      <c r="E953" s="21" t="s">
        <v>3876</v>
      </c>
      <c r="F953" s="21" t="s">
        <v>3880</v>
      </c>
      <c r="G953" s="20" t="s">
        <v>35</v>
      </c>
      <c r="H953" s="20" t="s">
        <v>25</v>
      </c>
      <c r="I953" s="21" t="s">
        <v>3881</v>
      </c>
      <c r="J953" s="22">
        <f t="shared" si="70"/>
        <v>0.0743055555576575</v>
      </c>
      <c r="K953" s="22">
        <f t="shared" si="71"/>
        <v>1.78333333338378</v>
      </c>
      <c r="L953" s="22">
        <f t="shared" si="72"/>
        <v>1.78333333338378</v>
      </c>
      <c r="M953" s="22" cm="1">
        <f ca="1" t="array" ref="M953">SUMPRODUCT(--(WEEKDAY(ROW(INDIRECT(INT(F953)&amp;":"&amp;INT(I953))),2)&gt;5))</f>
        <v>0</v>
      </c>
      <c r="N953" s="22">
        <f ca="1" t="shared" si="73"/>
        <v>1.78333333338378</v>
      </c>
      <c r="O953" s="22" t="str">
        <f ca="1" t="shared" si="74"/>
        <v>Within SLA</v>
      </c>
      <c r="P953" s="26" t="s">
        <v>3879</v>
      </c>
      <c r="Q953" s="24" t="s">
        <v>37</v>
      </c>
      <c r="R953" s="25"/>
      <c r="S953" s="25"/>
    </row>
    <row r="954" ht="27" customHeight="1" spans="1:19">
      <c r="A954" s="19" t="s">
        <v>3882</v>
      </c>
      <c r="B954" s="20" t="s">
        <v>30</v>
      </c>
      <c r="C954" s="20" t="s">
        <v>31</v>
      </c>
      <c r="D954" s="20" t="s">
        <v>32</v>
      </c>
      <c r="E954" s="21" t="s">
        <v>3883</v>
      </c>
      <c r="F954" s="21" t="s">
        <v>3884</v>
      </c>
      <c r="G954" s="20" t="s">
        <v>35</v>
      </c>
      <c r="H954" s="20" t="s">
        <v>25</v>
      </c>
      <c r="I954" s="21" t="s">
        <v>3885</v>
      </c>
      <c r="J954" s="22">
        <f t="shared" si="70"/>
        <v>0.679166666661331</v>
      </c>
      <c r="K954" s="22">
        <f t="shared" si="71"/>
        <v>16.2999999998719</v>
      </c>
      <c r="L954" s="22">
        <f t="shared" si="72"/>
        <v>0.299999999871943</v>
      </c>
      <c r="M954" s="22" cm="1">
        <f ca="1" t="array" ref="M954">SUMPRODUCT(--(WEEKDAY(ROW(INDIRECT(INT(F954)&amp;":"&amp;INT(I954))),2)&gt;5))</f>
        <v>0</v>
      </c>
      <c r="N954" s="22">
        <f ca="1" t="shared" si="73"/>
        <v>0.299999999871943</v>
      </c>
      <c r="O954" s="22" t="str">
        <f ca="1" t="shared" si="74"/>
        <v>Within SLA</v>
      </c>
      <c r="P954" s="26" t="s">
        <v>3882</v>
      </c>
      <c r="Q954" s="24" t="s">
        <v>37</v>
      </c>
      <c r="R954" s="25"/>
      <c r="S954" s="25"/>
    </row>
    <row r="955" ht="39" customHeight="1" spans="1:19">
      <c r="A955" s="19" t="s">
        <v>3886</v>
      </c>
      <c r="B955" s="20" t="s">
        <v>19</v>
      </c>
      <c r="C955" s="20" t="s">
        <v>20</v>
      </c>
      <c r="D955" s="20" t="s">
        <v>32</v>
      </c>
      <c r="E955" s="21" t="s">
        <v>3883</v>
      </c>
      <c r="F955" s="21" t="s">
        <v>3887</v>
      </c>
      <c r="G955" s="20" t="s">
        <v>24</v>
      </c>
      <c r="H955" s="20" t="s">
        <v>25</v>
      </c>
      <c r="I955" s="21" t="s">
        <v>3888</v>
      </c>
      <c r="J955" s="22">
        <f t="shared" si="70"/>
        <v>40.7472222222204</v>
      </c>
      <c r="K955" s="22">
        <f t="shared" si="71"/>
        <v>977.933333333291</v>
      </c>
      <c r="L955" s="22">
        <f t="shared" si="72"/>
        <v>321.933333333291</v>
      </c>
      <c r="M955" s="22" cm="1">
        <f ca="1" t="array" ref="M955">SUMPRODUCT(--(WEEKDAY(ROW(INDIRECT(INT(F955)&amp;":"&amp;INT(I955))),2)&gt;5))</f>
        <v>12</v>
      </c>
      <c r="N955" s="22">
        <f ca="1" t="shared" si="73"/>
        <v>225.933333333291</v>
      </c>
      <c r="O955" s="22" t="str">
        <f ca="1" t="shared" si="74"/>
        <v>SLA Violated</v>
      </c>
      <c r="P955" s="23" t="s">
        <v>3889</v>
      </c>
      <c r="Q955" s="24" t="s">
        <v>28</v>
      </c>
      <c r="R955" s="25"/>
      <c r="S955" s="25"/>
    </row>
    <row r="956" ht="39" customHeight="1" spans="1:19">
      <c r="A956" s="19" t="s">
        <v>3890</v>
      </c>
      <c r="B956" s="20" t="s">
        <v>196</v>
      </c>
      <c r="C956" s="20" t="s">
        <v>101</v>
      </c>
      <c r="D956" s="20" t="s">
        <v>32</v>
      </c>
      <c r="E956" s="21" t="s">
        <v>3891</v>
      </c>
      <c r="F956" s="21" t="s">
        <v>3892</v>
      </c>
      <c r="G956" s="20" t="s">
        <v>35</v>
      </c>
      <c r="H956" s="20" t="s">
        <v>25</v>
      </c>
      <c r="I956" s="21" t="s">
        <v>3893</v>
      </c>
      <c r="J956" s="22">
        <f t="shared" si="70"/>
        <v>0.00902777777810115</v>
      </c>
      <c r="K956" s="22">
        <f t="shared" si="71"/>
        <v>0.216666666674428</v>
      </c>
      <c r="L956" s="22">
        <f t="shared" si="72"/>
        <v>0.216666666674428</v>
      </c>
      <c r="M956" s="22" cm="1">
        <f ca="1" t="array" ref="M956">SUMPRODUCT(--(WEEKDAY(ROW(INDIRECT(INT(F956)&amp;":"&amp;INT(I956))),2)&gt;5))</f>
        <v>0</v>
      </c>
      <c r="N956" s="22">
        <f ca="1" t="shared" si="73"/>
        <v>0.216666666674428</v>
      </c>
      <c r="O956" s="22" t="str">
        <f ca="1" t="shared" si="74"/>
        <v>Within SLA</v>
      </c>
      <c r="P956" s="26" t="s">
        <v>3890</v>
      </c>
      <c r="Q956" s="24" t="s">
        <v>37</v>
      </c>
      <c r="R956" s="25"/>
      <c r="S956" s="25"/>
    </row>
    <row r="957" ht="27" customHeight="1" spans="1:19">
      <c r="A957" s="19" t="s">
        <v>3894</v>
      </c>
      <c r="B957" s="20" t="s">
        <v>30</v>
      </c>
      <c r="C957" s="20" t="s">
        <v>2057</v>
      </c>
      <c r="D957" s="20" t="s">
        <v>32</v>
      </c>
      <c r="E957" s="21" t="s">
        <v>3891</v>
      </c>
      <c r="F957" s="21" t="s">
        <v>3895</v>
      </c>
      <c r="G957" s="20" t="s">
        <v>24</v>
      </c>
      <c r="H957" s="20" t="s">
        <v>25</v>
      </c>
      <c r="I957" s="21" t="s">
        <v>3896</v>
      </c>
      <c r="J957" s="22">
        <f t="shared" si="70"/>
        <v>0.815277777779556</v>
      </c>
      <c r="K957" s="22">
        <f t="shared" si="71"/>
        <v>19.5666666667094</v>
      </c>
      <c r="L957" s="22">
        <f t="shared" si="72"/>
        <v>3.56666666670935</v>
      </c>
      <c r="M957" s="22" cm="1">
        <f ca="1" t="array" ref="M957">SUMPRODUCT(--(WEEKDAY(ROW(INDIRECT(INT(F957)&amp;":"&amp;INT(I957))),2)&gt;5))</f>
        <v>0</v>
      </c>
      <c r="N957" s="22">
        <f ca="1" t="shared" si="73"/>
        <v>3.56666666670935</v>
      </c>
      <c r="O957" s="22" t="str">
        <f ca="1" t="shared" si="74"/>
        <v>Within SLA</v>
      </c>
      <c r="P957" s="26" t="s">
        <v>3894</v>
      </c>
      <c r="Q957" s="24" t="s">
        <v>37</v>
      </c>
      <c r="R957" s="25"/>
      <c r="S957" s="25"/>
    </row>
    <row r="958" ht="39" customHeight="1" spans="1:19">
      <c r="A958" s="19" t="s">
        <v>3897</v>
      </c>
      <c r="B958" s="20" t="s">
        <v>196</v>
      </c>
      <c r="C958" s="20" t="s">
        <v>46</v>
      </c>
      <c r="D958" s="20" t="s">
        <v>32</v>
      </c>
      <c r="E958" s="21" t="s">
        <v>3898</v>
      </c>
      <c r="F958" s="21" t="s">
        <v>3899</v>
      </c>
      <c r="G958" s="20" t="s">
        <v>35</v>
      </c>
      <c r="H958" s="20" t="s">
        <v>25</v>
      </c>
      <c r="I958" s="21" t="s">
        <v>3900</v>
      </c>
      <c r="J958" s="22">
        <f t="shared" si="70"/>
        <v>0.790277777778101</v>
      </c>
      <c r="K958" s="22">
        <f t="shared" si="71"/>
        <v>18.9666666666744</v>
      </c>
      <c r="L958" s="22">
        <f t="shared" si="72"/>
        <v>2.96666666667443</v>
      </c>
      <c r="M958" s="22" cm="1">
        <f ca="1" t="array" ref="M958">SUMPRODUCT(--(WEEKDAY(ROW(INDIRECT(INT(F958)&amp;":"&amp;INT(I958))),2)&gt;5))</f>
        <v>0</v>
      </c>
      <c r="N958" s="22">
        <f ca="1" t="shared" si="73"/>
        <v>2.96666666667443</v>
      </c>
      <c r="O958" s="22" t="str">
        <f ca="1" t="shared" si="74"/>
        <v>Within SLA</v>
      </c>
      <c r="P958" s="26" t="s">
        <v>3897</v>
      </c>
      <c r="Q958" s="24" t="s">
        <v>37</v>
      </c>
      <c r="R958" s="25"/>
      <c r="S958" s="25"/>
    </row>
    <row r="959" ht="27" customHeight="1" spans="1:19">
      <c r="A959" s="19" t="s">
        <v>3901</v>
      </c>
      <c r="B959" s="20" t="s">
        <v>30</v>
      </c>
      <c r="C959" s="20" t="s">
        <v>31</v>
      </c>
      <c r="D959" s="20" t="s">
        <v>32</v>
      </c>
      <c r="E959" s="21" t="s">
        <v>3898</v>
      </c>
      <c r="F959" s="21" t="s">
        <v>3902</v>
      </c>
      <c r="G959" s="20" t="s">
        <v>35</v>
      </c>
      <c r="H959" s="20" t="s">
        <v>25</v>
      </c>
      <c r="I959" s="21" t="s">
        <v>3903</v>
      </c>
      <c r="J959" s="22">
        <f t="shared" si="70"/>
        <v>0.762500000004366</v>
      </c>
      <c r="K959" s="22">
        <f t="shared" si="71"/>
        <v>18.3000000001048</v>
      </c>
      <c r="L959" s="22">
        <f t="shared" si="72"/>
        <v>2.30000000010477</v>
      </c>
      <c r="M959" s="22" cm="1">
        <f ca="1" t="array" ref="M959">SUMPRODUCT(--(WEEKDAY(ROW(INDIRECT(INT(F959)&amp;":"&amp;INT(I959))),2)&gt;5))</f>
        <v>0</v>
      </c>
      <c r="N959" s="22">
        <f ca="1" t="shared" si="73"/>
        <v>2.30000000010477</v>
      </c>
      <c r="O959" s="22" t="str">
        <f ca="1" t="shared" si="74"/>
        <v>Within SLA</v>
      </c>
      <c r="P959" s="26" t="s">
        <v>3901</v>
      </c>
      <c r="Q959" s="24" t="s">
        <v>37</v>
      </c>
      <c r="R959" s="25"/>
      <c r="S959" s="25"/>
    </row>
    <row r="960" ht="39" customHeight="1" spans="1:19">
      <c r="A960" s="19" t="s">
        <v>3904</v>
      </c>
      <c r="B960" s="20" t="s">
        <v>19</v>
      </c>
      <c r="C960" s="20" t="s">
        <v>20</v>
      </c>
      <c r="D960" s="20" t="s">
        <v>32</v>
      </c>
      <c r="E960" s="21" t="s">
        <v>3866</v>
      </c>
      <c r="F960" s="21" t="s">
        <v>3905</v>
      </c>
      <c r="G960" s="20" t="s">
        <v>35</v>
      </c>
      <c r="H960" s="20" t="s">
        <v>25</v>
      </c>
      <c r="I960" s="21" t="s">
        <v>3906</v>
      </c>
      <c r="J960" s="22">
        <f t="shared" si="70"/>
        <v>20.0729166666715</v>
      </c>
      <c r="K960" s="22">
        <f t="shared" si="71"/>
        <v>481.750000000116</v>
      </c>
      <c r="L960" s="22">
        <f t="shared" si="72"/>
        <v>161.750000000116</v>
      </c>
      <c r="M960" s="22" cm="1">
        <f ca="1" t="array" ref="M960">SUMPRODUCT(--(WEEKDAY(ROW(INDIRECT(INT(F960)&amp;":"&amp;INT(I960))),2)&gt;5))</f>
        <v>6</v>
      </c>
      <c r="N960" s="22">
        <f ca="1" t="shared" si="73"/>
        <v>113.750000000116</v>
      </c>
      <c r="O960" s="22" t="str">
        <f ca="1" t="shared" si="74"/>
        <v>SLA Violated</v>
      </c>
      <c r="P960" s="23" t="s">
        <v>3907</v>
      </c>
      <c r="Q960" s="24" t="s">
        <v>28</v>
      </c>
      <c r="R960" s="25"/>
      <c r="S960" s="25"/>
    </row>
    <row r="961" ht="39" customHeight="1" spans="1:19">
      <c r="A961" s="19" t="s">
        <v>3908</v>
      </c>
      <c r="B961" s="20" t="s">
        <v>702</v>
      </c>
      <c r="C961" s="20" t="s">
        <v>101</v>
      </c>
      <c r="D961" s="20" t="s">
        <v>32</v>
      </c>
      <c r="E961" s="21" t="s">
        <v>3909</v>
      </c>
      <c r="F961" s="21" t="s">
        <v>3910</v>
      </c>
      <c r="G961" s="20" t="s">
        <v>35</v>
      </c>
      <c r="H961" s="20" t="s">
        <v>25</v>
      </c>
      <c r="I961" s="21" t="s">
        <v>3911</v>
      </c>
      <c r="J961" s="22">
        <f t="shared" si="70"/>
        <v>0.126388888893416</v>
      </c>
      <c r="K961" s="22">
        <f t="shared" si="71"/>
        <v>3.03333333344199</v>
      </c>
      <c r="L961" s="22">
        <f t="shared" si="72"/>
        <v>3.03333333344199</v>
      </c>
      <c r="M961" s="22" cm="1">
        <f ca="1" t="array" ref="M961">SUMPRODUCT(--(WEEKDAY(ROW(INDIRECT(INT(F961)&amp;":"&amp;INT(I961))),2)&gt;5))</f>
        <v>0</v>
      </c>
      <c r="N961" s="22">
        <f ca="1" t="shared" si="73"/>
        <v>3.03333333344199</v>
      </c>
      <c r="O961" s="22" t="str">
        <f ca="1" t="shared" si="74"/>
        <v>Within SLA</v>
      </c>
      <c r="P961" s="26" t="s">
        <v>3908</v>
      </c>
      <c r="Q961" s="24" t="s">
        <v>37</v>
      </c>
      <c r="R961" s="25"/>
      <c r="S961" s="25"/>
    </row>
    <row r="962" ht="27" customHeight="1" spans="1:19">
      <c r="A962" s="19" t="s">
        <v>3912</v>
      </c>
      <c r="B962" s="20" t="s">
        <v>30</v>
      </c>
      <c r="C962" s="20" t="s">
        <v>31</v>
      </c>
      <c r="D962" s="20" t="s">
        <v>32</v>
      </c>
      <c r="E962" s="21" t="s">
        <v>3354</v>
      </c>
      <c r="F962" s="21" t="s">
        <v>3913</v>
      </c>
      <c r="G962" s="20" t="s">
        <v>35</v>
      </c>
      <c r="H962" s="20" t="s">
        <v>25</v>
      </c>
      <c r="I962" s="21" t="s">
        <v>3914</v>
      </c>
      <c r="J962" s="22">
        <f t="shared" si="70"/>
        <v>2.8347222222219</v>
      </c>
      <c r="K962" s="22">
        <f t="shared" si="71"/>
        <v>68.0333333333256</v>
      </c>
      <c r="L962" s="22">
        <f t="shared" si="72"/>
        <v>20.0333333333256</v>
      </c>
      <c r="M962" s="22" cm="1">
        <f ca="1" t="array" ref="M962">SUMPRODUCT(--(WEEKDAY(ROW(INDIRECT(INT(F962)&amp;":"&amp;INT(I962))),2)&gt;5))</f>
        <v>1</v>
      </c>
      <c r="N962" s="22">
        <f ca="1" t="shared" si="73"/>
        <v>12.0333333333256</v>
      </c>
      <c r="O962" s="22" t="str">
        <f ca="1" t="shared" si="74"/>
        <v>SLA Violated</v>
      </c>
      <c r="P962" s="26" t="s">
        <v>3912</v>
      </c>
      <c r="Q962" s="24" t="s">
        <v>37</v>
      </c>
      <c r="R962" s="6" t="s">
        <v>1084</v>
      </c>
      <c r="S962" s="25" t="s">
        <v>39</v>
      </c>
    </row>
    <row r="963" ht="27" customHeight="1" spans="1:19">
      <c r="A963" s="19" t="s">
        <v>3915</v>
      </c>
      <c r="B963" s="20" t="s">
        <v>30</v>
      </c>
      <c r="C963" s="20" t="s">
        <v>101</v>
      </c>
      <c r="D963" s="20" t="s">
        <v>32</v>
      </c>
      <c r="E963" s="21" t="s">
        <v>3916</v>
      </c>
      <c r="F963" s="21" t="s">
        <v>3917</v>
      </c>
      <c r="G963" s="20" t="s">
        <v>35</v>
      </c>
      <c r="H963" s="20" t="s">
        <v>25</v>
      </c>
      <c r="I963" s="21" t="s">
        <v>3918</v>
      </c>
      <c r="J963" s="22">
        <f t="shared" ref="J963:J1026" si="75">F963-I963</f>
        <v>0.724305555551837</v>
      </c>
      <c r="K963" s="22">
        <f t="shared" ref="K963:K1026" si="76">J963*24</f>
        <v>17.3833333332441</v>
      </c>
      <c r="L963" s="22">
        <f t="shared" ref="L963:L1026" si="77">IF(_xlfn.DAYS(F963,I963)&gt;0,K963-IF(FLOOR(J963,1)=0,1,_xlfn.DAYS(F963,I963))*16,K963)</f>
        <v>1.38333333324408</v>
      </c>
      <c r="M963" s="22" cm="1">
        <f ca="1" t="array" ref="M963">SUMPRODUCT(--(WEEKDAY(ROW(INDIRECT(INT(F963)&amp;":"&amp;INT(I963))),2)&gt;5))</f>
        <v>0</v>
      </c>
      <c r="N963" s="22">
        <f ca="1" t="shared" ref="N963:N1026" si="78">IF(IF(M963&gt;0,L963-M963*8,L963)&lt;0,0,IF(M963&gt;0,L963-M963*8,L963))</f>
        <v>1.38333333324408</v>
      </c>
      <c r="O963" s="22" t="str">
        <f ca="1" t="shared" ref="O963:O1026" si="79">IF(OR(AND(D963="P1",N963&lt;=3),AND(D963="P2",N963&lt;=6),AND(D963="P3",N963&lt;=9),AND(D963="P4",N963&lt;=12)),"Within SLA","SLA Violated")</f>
        <v>Within SLA</v>
      </c>
      <c r="P963" s="26" t="s">
        <v>3915</v>
      </c>
      <c r="Q963" s="24" t="s">
        <v>37</v>
      </c>
      <c r="R963" s="25"/>
      <c r="S963" s="25"/>
    </row>
    <row r="964" ht="39" customHeight="1" spans="1:19">
      <c r="A964" s="19" t="s">
        <v>3919</v>
      </c>
      <c r="B964" s="20" t="s">
        <v>19</v>
      </c>
      <c r="C964" s="20" t="s">
        <v>20</v>
      </c>
      <c r="D964" s="20" t="s">
        <v>32</v>
      </c>
      <c r="E964" s="21" t="s">
        <v>3916</v>
      </c>
      <c r="F964" s="21" t="s">
        <v>3920</v>
      </c>
      <c r="G964" s="20" t="s">
        <v>35</v>
      </c>
      <c r="H964" s="20" t="s">
        <v>25</v>
      </c>
      <c r="I964" s="21" t="s">
        <v>3921</v>
      </c>
      <c r="J964" s="22">
        <f t="shared" si="75"/>
        <v>0.0569444444481633</v>
      </c>
      <c r="K964" s="22">
        <f t="shared" si="76"/>
        <v>1.36666666675592</v>
      </c>
      <c r="L964" s="22">
        <f t="shared" si="77"/>
        <v>1.36666666675592</v>
      </c>
      <c r="M964" s="22" cm="1">
        <f ca="1" t="array" ref="M964">SUMPRODUCT(--(WEEKDAY(ROW(INDIRECT(INT(F964)&amp;":"&amp;INT(I964))),2)&gt;5))</f>
        <v>0</v>
      </c>
      <c r="N964" s="22">
        <f ca="1" t="shared" si="78"/>
        <v>1.36666666675592</v>
      </c>
      <c r="O964" s="22" t="str">
        <f ca="1" t="shared" si="79"/>
        <v>Within SLA</v>
      </c>
      <c r="P964" s="26" t="s">
        <v>3919</v>
      </c>
      <c r="Q964" s="24" t="s">
        <v>37</v>
      </c>
      <c r="R964" s="25"/>
      <c r="S964" s="25"/>
    </row>
    <row r="965" ht="39" customHeight="1" spans="1:19">
      <c r="A965" s="19" t="s">
        <v>3922</v>
      </c>
      <c r="B965" s="20" t="s">
        <v>196</v>
      </c>
      <c r="C965" s="20" t="s">
        <v>46</v>
      </c>
      <c r="D965" s="20" t="s">
        <v>21</v>
      </c>
      <c r="E965" s="21" t="s">
        <v>3923</v>
      </c>
      <c r="F965" s="21" t="s">
        <v>3924</v>
      </c>
      <c r="G965" s="20" t="s">
        <v>35</v>
      </c>
      <c r="H965" s="20" t="s">
        <v>25</v>
      </c>
      <c r="I965" s="21" t="s">
        <v>3925</v>
      </c>
      <c r="J965" s="22">
        <f t="shared" si="75"/>
        <v>0.741666666661331</v>
      </c>
      <c r="K965" s="22">
        <f t="shared" si="76"/>
        <v>17.7999999998719</v>
      </c>
      <c r="L965" s="22">
        <f t="shared" si="77"/>
        <v>1.79999999987194</v>
      </c>
      <c r="M965" s="22" cm="1">
        <f ca="1" t="array" ref="M965">SUMPRODUCT(--(WEEKDAY(ROW(INDIRECT(INT(F965)&amp;":"&amp;INT(I965))),2)&gt;5))</f>
        <v>0</v>
      </c>
      <c r="N965" s="22">
        <f ca="1" t="shared" si="78"/>
        <v>1.79999999987194</v>
      </c>
      <c r="O965" s="22" t="str">
        <f ca="1" t="shared" si="79"/>
        <v>Within SLA</v>
      </c>
      <c r="P965" s="26" t="s">
        <v>3922</v>
      </c>
      <c r="Q965" s="24" t="s">
        <v>37</v>
      </c>
      <c r="R965" s="25"/>
      <c r="S965" s="25"/>
    </row>
    <row r="966" ht="27" customHeight="1" spans="1:19">
      <c r="A966" s="19" t="s">
        <v>3926</v>
      </c>
      <c r="B966" s="20" t="s">
        <v>30</v>
      </c>
      <c r="C966" s="20" t="s">
        <v>31</v>
      </c>
      <c r="D966" s="20" t="s">
        <v>32</v>
      </c>
      <c r="E966" s="21" t="s">
        <v>3923</v>
      </c>
      <c r="F966" s="21" t="s">
        <v>3927</v>
      </c>
      <c r="G966" s="20" t="s">
        <v>35</v>
      </c>
      <c r="H966" s="20" t="s">
        <v>25</v>
      </c>
      <c r="I966" s="21" t="s">
        <v>3928</v>
      </c>
      <c r="J966" s="22">
        <f t="shared" si="75"/>
        <v>4.80555555555475</v>
      </c>
      <c r="K966" s="22">
        <f t="shared" si="76"/>
        <v>115.333333333314</v>
      </c>
      <c r="L966" s="22">
        <f t="shared" si="77"/>
        <v>35.3333333333139</v>
      </c>
      <c r="M966" s="22" cm="1">
        <f ca="1" t="array" ref="M966">SUMPRODUCT(--(WEEKDAY(ROW(INDIRECT(INT(F966)&amp;":"&amp;INT(I966))),2)&gt;5))</f>
        <v>2</v>
      </c>
      <c r="N966" s="22">
        <f ca="1" t="shared" si="78"/>
        <v>19.3333333333139</v>
      </c>
      <c r="O966" s="22" t="str">
        <f ca="1" t="shared" si="79"/>
        <v>SLA Violated</v>
      </c>
      <c r="P966" s="26" t="s">
        <v>3926</v>
      </c>
      <c r="Q966" s="24" t="s">
        <v>37</v>
      </c>
      <c r="R966" s="6" t="s">
        <v>1084</v>
      </c>
      <c r="S966" s="25" t="s">
        <v>39</v>
      </c>
    </row>
    <row r="967" ht="27" customHeight="1" spans="1:19">
      <c r="A967" s="19" t="s">
        <v>3929</v>
      </c>
      <c r="B967" s="20" t="s">
        <v>30</v>
      </c>
      <c r="C967" s="20" t="s">
        <v>2057</v>
      </c>
      <c r="D967" s="20" t="s">
        <v>32</v>
      </c>
      <c r="E967" s="21" t="s">
        <v>2397</v>
      </c>
      <c r="F967" s="21" t="s">
        <v>3930</v>
      </c>
      <c r="G967" s="20" t="s">
        <v>35</v>
      </c>
      <c r="H967" s="20" t="s">
        <v>25</v>
      </c>
      <c r="I967" s="21" t="s">
        <v>3931</v>
      </c>
      <c r="J967" s="22">
        <f t="shared" si="75"/>
        <v>4.7145833333343</v>
      </c>
      <c r="K967" s="22">
        <f t="shared" si="76"/>
        <v>113.150000000023</v>
      </c>
      <c r="L967" s="22">
        <f t="shared" si="77"/>
        <v>33.1500000000233</v>
      </c>
      <c r="M967" s="22" cm="1">
        <f ca="1" t="array" ref="M967">SUMPRODUCT(--(WEEKDAY(ROW(INDIRECT(INT(F967)&amp;":"&amp;INT(I967))),2)&gt;5))</f>
        <v>2</v>
      </c>
      <c r="N967" s="22">
        <f ca="1" t="shared" si="78"/>
        <v>17.1500000000233</v>
      </c>
      <c r="O967" s="22" t="str">
        <f ca="1" t="shared" si="79"/>
        <v>SLA Violated</v>
      </c>
      <c r="P967" s="23" t="s">
        <v>3932</v>
      </c>
      <c r="Q967" s="24" t="s">
        <v>28</v>
      </c>
      <c r="R967" s="25"/>
      <c r="S967" s="25"/>
    </row>
    <row r="968" ht="39" customHeight="1" spans="1:19">
      <c r="A968" s="19" t="s">
        <v>3933</v>
      </c>
      <c r="B968" s="20" t="s">
        <v>19</v>
      </c>
      <c r="C968" s="20" t="s">
        <v>20</v>
      </c>
      <c r="D968" s="20" t="s">
        <v>32</v>
      </c>
      <c r="E968" s="21" t="s">
        <v>3934</v>
      </c>
      <c r="F968" s="21" t="s">
        <v>3935</v>
      </c>
      <c r="G968" s="20" t="s">
        <v>24</v>
      </c>
      <c r="H968" s="20" t="s">
        <v>25</v>
      </c>
      <c r="I968" s="21" t="s">
        <v>3936</v>
      </c>
      <c r="J968" s="22">
        <f t="shared" si="75"/>
        <v>-0.0416666666715173</v>
      </c>
      <c r="K968" s="22">
        <f t="shared" si="76"/>
        <v>-1.00000000011642</v>
      </c>
      <c r="L968" s="22">
        <f t="shared" si="77"/>
        <v>-1.00000000011642</v>
      </c>
      <c r="M968" s="22" cm="1">
        <f ca="1" t="array" ref="M968">SUMPRODUCT(--(WEEKDAY(ROW(INDIRECT(INT(F968)&amp;":"&amp;INT(I968))),2)&gt;5))</f>
        <v>0</v>
      </c>
      <c r="N968" s="22">
        <f ca="1" t="shared" si="78"/>
        <v>0</v>
      </c>
      <c r="O968" s="22" t="str">
        <f ca="1" t="shared" si="79"/>
        <v>Within SLA</v>
      </c>
      <c r="P968" s="26" t="s">
        <v>3933</v>
      </c>
      <c r="Q968" s="24" t="s">
        <v>37</v>
      </c>
      <c r="R968" s="25"/>
      <c r="S968" s="25"/>
    </row>
    <row r="969" ht="27" customHeight="1" spans="1:19">
      <c r="A969" s="19" t="s">
        <v>3937</v>
      </c>
      <c r="B969" s="20" t="s">
        <v>30</v>
      </c>
      <c r="C969" s="20" t="s">
        <v>31</v>
      </c>
      <c r="D969" s="20" t="s">
        <v>32</v>
      </c>
      <c r="E969" s="21" t="s">
        <v>3938</v>
      </c>
      <c r="F969" s="21" t="s">
        <v>3939</v>
      </c>
      <c r="G969" s="20" t="s">
        <v>35</v>
      </c>
      <c r="H969" s="20" t="s">
        <v>25</v>
      </c>
      <c r="I969" s="21" t="s">
        <v>3940</v>
      </c>
      <c r="J969" s="22">
        <f t="shared" si="75"/>
        <v>0.0104166666642413</v>
      </c>
      <c r="K969" s="22">
        <f t="shared" si="76"/>
        <v>0.249999999941792</v>
      </c>
      <c r="L969" s="22">
        <f t="shared" si="77"/>
        <v>0.249999999941792</v>
      </c>
      <c r="M969" s="22" cm="1">
        <f ca="1" t="array" ref="M969">SUMPRODUCT(--(WEEKDAY(ROW(INDIRECT(INT(F969)&amp;":"&amp;INT(I969))),2)&gt;5))</f>
        <v>0</v>
      </c>
      <c r="N969" s="22">
        <f ca="1" t="shared" si="78"/>
        <v>0.249999999941792</v>
      </c>
      <c r="O969" s="22" t="str">
        <f ca="1" t="shared" si="79"/>
        <v>Within SLA</v>
      </c>
      <c r="P969" s="26" t="s">
        <v>3937</v>
      </c>
      <c r="Q969" s="24" t="s">
        <v>37</v>
      </c>
      <c r="R969" s="25"/>
      <c r="S969" s="25"/>
    </row>
    <row r="970" ht="39" customHeight="1" spans="1:19">
      <c r="A970" s="19" t="s">
        <v>3941</v>
      </c>
      <c r="B970" s="20" t="s">
        <v>196</v>
      </c>
      <c r="C970" s="20" t="s">
        <v>46</v>
      </c>
      <c r="D970" s="20" t="s">
        <v>32</v>
      </c>
      <c r="E970" s="21" t="s">
        <v>3938</v>
      </c>
      <c r="F970" s="21" t="s">
        <v>3942</v>
      </c>
      <c r="G970" s="20" t="s">
        <v>35</v>
      </c>
      <c r="H970" s="20" t="s">
        <v>25</v>
      </c>
      <c r="I970" s="21" t="s">
        <v>3943</v>
      </c>
      <c r="J970" s="22">
        <f t="shared" si="75"/>
        <v>0.00555555555911269</v>
      </c>
      <c r="K970" s="22">
        <f t="shared" si="76"/>
        <v>0.133333333418705</v>
      </c>
      <c r="L970" s="22">
        <f t="shared" si="77"/>
        <v>0.133333333418705</v>
      </c>
      <c r="M970" s="22" cm="1">
        <f ca="1" t="array" ref="M970">SUMPRODUCT(--(WEEKDAY(ROW(INDIRECT(INT(F970)&amp;":"&amp;INT(I970))),2)&gt;5))</f>
        <v>0</v>
      </c>
      <c r="N970" s="22">
        <f ca="1" t="shared" si="78"/>
        <v>0.133333333418705</v>
      </c>
      <c r="O970" s="22" t="str">
        <f ca="1" t="shared" si="79"/>
        <v>Within SLA</v>
      </c>
      <c r="P970" s="26" t="s">
        <v>3941</v>
      </c>
      <c r="Q970" s="24" t="s">
        <v>37</v>
      </c>
      <c r="R970" s="25"/>
      <c r="S970" s="25"/>
    </row>
    <row r="971" ht="39" customHeight="1" spans="1:19">
      <c r="A971" s="19" t="s">
        <v>3944</v>
      </c>
      <c r="B971" s="20" t="s">
        <v>196</v>
      </c>
      <c r="C971" s="20" t="s">
        <v>46</v>
      </c>
      <c r="D971" s="20" t="s">
        <v>32</v>
      </c>
      <c r="E971" s="21" t="s">
        <v>3945</v>
      </c>
      <c r="F971" s="21" t="s">
        <v>3946</v>
      </c>
      <c r="G971" s="20" t="s">
        <v>35</v>
      </c>
      <c r="H971" s="20" t="s">
        <v>25</v>
      </c>
      <c r="I971" s="21" t="s">
        <v>3947</v>
      </c>
      <c r="J971" s="22">
        <f t="shared" si="75"/>
        <v>0.0145833333372138</v>
      </c>
      <c r="K971" s="22">
        <f t="shared" si="76"/>
        <v>0.350000000093132</v>
      </c>
      <c r="L971" s="22">
        <f t="shared" si="77"/>
        <v>0.350000000093132</v>
      </c>
      <c r="M971" s="22" cm="1">
        <f ca="1" t="array" ref="M971">SUMPRODUCT(--(WEEKDAY(ROW(INDIRECT(INT(F971)&amp;":"&amp;INT(I971))),2)&gt;5))</f>
        <v>0</v>
      </c>
      <c r="N971" s="22">
        <f ca="1" t="shared" si="78"/>
        <v>0.350000000093132</v>
      </c>
      <c r="O971" s="22" t="str">
        <f ca="1" t="shared" si="79"/>
        <v>Within SLA</v>
      </c>
      <c r="P971" s="26" t="s">
        <v>3944</v>
      </c>
      <c r="Q971" s="24" t="s">
        <v>37</v>
      </c>
      <c r="R971" s="25"/>
      <c r="S971" s="25"/>
    </row>
    <row r="972" ht="27" customHeight="1" spans="1:19">
      <c r="A972" s="19" t="s">
        <v>3948</v>
      </c>
      <c r="B972" s="20" t="s">
        <v>30</v>
      </c>
      <c r="C972" s="20" t="s">
        <v>31</v>
      </c>
      <c r="D972" s="20" t="s">
        <v>32</v>
      </c>
      <c r="E972" s="21" t="s">
        <v>3949</v>
      </c>
      <c r="F972" s="21" t="s">
        <v>3950</v>
      </c>
      <c r="G972" s="20" t="s">
        <v>35</v>
      </c>
      <c r="H972" s="20" t="s">
        <v>25</v>
      </c>
      <c r="I972" s="21" t="s">
        <v>3951</v>
      </c>
      <c r="J972" s="22">
        <f t="shared" si="75"/>
        <v>1.7548611111124</v>
      </c>
      <c r="K972" s="22">
        <f t="shared" si="76"/>
        <v>42.1166666666977</v>
      </c>
      <c r="L972" s="22">
        <f t="shared" si="77"/>
        <v>10.1166666666977</v>
      </c>
      <c r="M972" s="22" cm="1">
        <f ca="1" t="array" ref="M972">SUMPRODUCT(--(WEEKDAY(ROW(INDIRECT(INT(F972)&amp;":"&amp;INT(I972))),2)&gt;5))</f>
        <v>0</v>
      </c>
      <c r="N972" s="22">
        <f ca="1" t="shared" si="78"/>
        <v>10.1166666666977</v>
      </c>
      <c r="O972" s="22" t="str">
        <f ca="1" t="shared" si="79"/>
        <v>Within SLA</v>
      </c>
      <c r="P972" s="26" t="s">
        <v>3948</v>
      </c>
      <c r="Q972" s="24" t="s">
        <v>37</v>
      </c>
      <c r="R972" s="25"/>
      <c r="S972" s="25"/>
    </row>
    <row r="973" ht="27" customHeight="1" spans="1:19">
      <c r="A973" s="19" t="s">
        <v>3952</v>
      </c>
      <c r="B973" s="20" t="s">
        <v>30</v>
      </c>
      <c r="C973" s="20" t="s">
        <v>31</v>
      </c>
      <c r="D973" s="20" t="s">
        <v>32</v>
      </c>
      <c r="E973" s="21" t="s">
        <v>3953</v>
      </c>
      <c r="F973" s="21" t="s">
        <v>3954</v>
      </c>
      <c r="G973" s="20" t="s">
        <v>35</v>
      </c>
      <c r="H973" s="20" t="s">
        <v>25</v>
      </c>
      <c r="I973" s="21" t="s">
        <v>3955</v>
      </c>
      <c r="J973" s="22">
        <f t="shared" si="75"/>
        <v>0.684027777781012</v>
      </c>
      <c r="K973" s="22">
        <f t="shared" si="76"/>
        <v>16.4166666667443</v>
      </c>
      <c r="L973" s="22">
        <f t="shared" si="77"/>
        <v>0.416666666744277</v>
      </c>
      <c r="M973" s="22" cm="1">
        <f ca="1" t="array" ref="M973">SUMPRODUCT(--(WEEKDAY(ROW(INDIRECT(INT(F973)&amp;":"&amp;INT(I973))),2)&gt;5))</f>
        <v>0</v>
      </c>
      <c r="N973" s="22">
        <f ca="1" t="shared" si="78"/>
        <v>0.416666666744277</v>
      </c>
      <c r="O973" s="22" t="str">
        <f ca="1" t="shared" si="79"/>
        <v>Within SLA</v>
      </c>
      <c r="P973" s="26" t="s">
        <v>3952</v>
      </c>
      <c r="Q973" s="24" t="s">
        <v>37</v>
      </c>
      <c r="R973" s="25"/>
      <c r="S973" s="25"/>
    </row>
    <row r="974" ht="39" customHeight="1" spans="1:19">
      <c r="A974" s="19" t="s">
        <v>3956</v>
      </c>
      <c r="B974" s="20" t="s">
        <v>19</v>
      </c>
      <c r="C974" s="20" t="s">
        <v>20</v>
      </c>
      <c r="D974" s="20" t="s">
        <v>32</v>
      </c>
      <c r="E974" s="21" t="s">
        <v>3953</v>
      </c>
      <c r="F974" s="21" t="s">
        <v>3957</v>
      </c>
      <c r="G974" s="20" t="s">
        <v>35</v>
      </c>
      <c r="H974" s="20" t="s">
        <v>25</v>
      </c>
      <c r="I974" s="21" t="s">
        <v>3958</v>
      </c>
      <c r="J974" s="22">
        <f t="shared" si="75"/>
        <v>14.9770833333387</v>
      </c>
      <c r="K974" s="22">
        <f t="shared" si="76"/>
        <v>359.450000000128</v>
      </c>
      <c r="L974" s="22">
        <f t="shared" si="77"/>
        <v>119.450000000128</v>
      </c>
      <c r="M974" s="22" cm="1">
        <f ca="1" t="array" ref="M974">SUMPRODUCT(--(WEEKDAY(ROW(INDIRECT(INT(F974)&amp;":"&amp;INT(I974))),2)&gt;5))</f>
        <v>4</v>
      </c>
      <c r="N974" s="22">
        <f ca="1" t="shared" si="78"/>
        <v>87.450000000128</v>
      </c>
      <c r="O974" s="22" t="str">
        <f ca="1" t="shared" si="79"/>
        <v>SLA Violated</v>
      </c>
      <c r="P974" s="23" t="s">
        <v>3959</v>
      </c>
      <c r="Q974" s="24" t="s">
        <v>28</v>
      </c>
      <c r="R974" s="25"/>
      <c r="S974" s="25"/>
    </row>
    <row r="975" ht="39" customHeight="1" spans="1:19">
      <c r="A975" s="19" t="s">
        <v>3960</v>
      </c>
      <c r="B975" s="20" t="s">
        <v>196</v>
      </c>
      <c r="C975" s="20" t="s">
        <v>46</v>
      </c>
      <c r="D975" s="20" t="s">
        <v>32</v>
      </c>
      <c r="E975" s="21" t="s">
        <v>3939</v>
      </c>
      <c r="F975" s="21" t="s">
        <v>3961</v>
      </c>
      <c r="G975" s="20" t="s">
        <v>35</v>
      </c>
      <c r="H975" s="20" t="s">
        <v>25</v>
      </c>
      <c r="I975" s="21" t="s">
        <v>3962</v>
      </c>
      <c r="J975" s="22">
        <f t="shared" si="75"/>
        <v>1.84999999999854</v>
      </c>
      <c r="K975" s="22">
        <f t="shared" si="76"/>
        <v>44.3999999999651</v>
      </c>
      <c r="L975" s="22">
        <f t="shared" si="77"/>
        <v>12.3999999999651</v>
      </c>
      <c r="M975" s="22" cm="1">
        <f ca="1" t="array" ref="M975">SUMPRODUCT(--(WEEKDAY(ROW(INDIRECT(INT(F975)&amp;":"&amp;INT(I975))),2)&gt;5))</f>
        <v>0</v>
      </c>
      <c r="N975" s="22">
        <f ca="1" t="shared" si="78"/>
        <v>12.3999999999651</v>
      </c>
      <c r="O975" s="22" t="str">
        <f ca="1" t="shared" si="79"/>
        <v>SLA Violated</v>
      </c>
      <c r="P975" s="23" t="s">
        <v>3963</v>
      </c>
      <c r="Q975" s="24" t="s">
        <v>37</v>
      </c>
      <c r="R975" s="25" t="s">
        <v>729</v>
      </c>
      <c r="S975" s="25" t="s">
        <v>39</v>
      </c>
    </row>
    <row r="976" ht="39" customHeight="1" spans="1:19">
      <c r="A976" s="19" t="s">
        <v>3964</v>
      </c>
      <c r="B976" s="20" t="s">
        <v>19</v>
      </c>
      <c r="C976" s="20" t="s">
        <v>20</v>
      </c>
      <c r="D976" s="20" t="s">
        <v>32</v>
      </c>
      <c r="E976" s="21" t="s">
        <v>3939</v>
      </c>
      <c r="F976" s="21" t="s">
        <v>3965</v>
      </c>
      <c r="G976" s="20" t="s">
        <v>24</v>
      </c>
      <c r="H976" s="20" t="s">
        <v>25</v>
      </c>
      <c r="I976" s="21" t="s">
        <v>3966</v>
      </c>
      <c r="J976" s="22">
        <f t="shared" si="75"/>
        <v>69.6736111111168</v>
      </c>
      <c r="K976" s="22">
        <f t="shared" si="76"/>
        <v>1672.1666666668</v>
      </c>
      <c r="L976" s="22">
        <f t="shared" si="77"/>
        <v>552.166666666802</v>
      </c>
      <c r="M976" s="22" cm="1">
        <f ca="1" t="array" ref="M976">SUMPRODUCT(--(WEEKDAY(ROW(INDIRECT(INT(F976)&amp;":"&amp;INT(I976))),2)&gt;5))</f>
        <v>20</v>
      </c>
      <c r="N976" s="22">
        <f ca="1" t="shared" si="78"/>
        <v>392.166666666802</v>
      </c>
      <c r="O976" s="22" t="str">
        <f ca="1" t="shared" si="79"/>
        <v>SLA Violated</v>
      </c>
      <c r="P976" s="23" t="s">
        <v>3967</v>
      </c>
      <c r="Q976" s="24" t="s">
        <v>37</v>
      </c>
      <c r="R976" s="25" t="s">
        <v>220</v>
      </c>
      <c r="S976" s="25" t="s">
        <v>39</v>
      </c>
    </row>
    <row r="977" ht="27" customHeight="1" spans="1:19">
      <c r="A977" s="19" t="s">
        <v>3968</v>
      </c>
      <c r="B977" s="20" t="s">
        <v>30</v>
      </c>
      <c r="C977" s="20" t="s">
        <v>2057</v>
      </c>
      <c r="D977" s="20" t="s">
        <v>32</v>
      </c>
      <c r="E977" s="21" t="s">
        <v>3877</v>
      </c>
      <c r="F977" s="21" t="s">
        <v>3969</v>
      </c>
      <c r="G977" s="20" t="s">
        <v>35</v>
      </c>
      <c r="H977" s="20" t="s">
        <v>25</v>
      </c>
      <c r="I977" s="21" t="s">
        <v>3966</v>
      </c>
      <c r="J977" s="22">
        <f t="shared" si="75"/>
        <v>4.66736111111095</v>
      </c>
      <c r="K977" s="22">
        <f t="shared" si="76"/>
        <v>112.016666666663</v>
      </c>
      <c r="L977" s="22">
        <f t="shared" si="77"/>
        <v>32.0166666666628</v>
      </c>
      <c r="M977" s="22" cm="1">
        <f ca="1" t="array" ref="M977">SUMPRODUCT(--(WEEKDAY(ROW(INDIRECT(INT(F977)&amp;":"&amp;INT(I977))),2)&gt;5))</f>
        <v>2</v>
      </c>
      <c r="N977" s="22">
        <f ca="1" t="shared" si="78"/>
        <v>16.0166666666628</v>
      </c>
      <c r="O977" s="22" t="str">
        <f ca="1" t="shared" si="79"/>
        <v>SLA Violated</v>
      </c>
      <c r="P977" s="23" t="s">
        <v>3970</v>
      </c>
      <c r="Q977" s="24" t="s">
        <v>28</v>
      </c>
      <c r="R977" s="25"/>
      <c r="S977" s="25"/>
    </row>
    <row r="978" ht="27" customHeight="1" spans="1:19">
      <c r="A978" s="19" t="s">
        <v>3971</v>
      </c>
      <c r="B978" s="20" t="s">
        <v>30</v>
      </c>
      <c r="C978" s="20" t="s">
        <v>31</v>
      </c>
      <c r="D978" s="20" t="s">
        <v>32</v>
      </c>
      <c r="E978" s="21" t="s">
        <v>3972</v>
      </c>
      <c r="F978" s="21" t="s">
        <v>3973</v>
      </c>
      <c r="G978" s="20" t="s">
        <v>35</v>
      </c>
      <c r="H978" s="20" t="s">
        <v>25</v>
      </c>
      <c r="I978" s="21" t="s">
        <v>3974</v>
      </c>
      <c r="J978" s="22">
        <f t="shared" si="75"/>
        <v>0.661111111112405</v>
      </c>
      <c r="K978" s="22">
        <f t="shared" si="76"/>
        <v>15.8666666666977</v>
      </c>
      <c r="L978" s="22">
        <f t="shared" si="77"/>
        <v>-0.133333333302289</v>
      </c>
      <c r="M978" s="22" cm="1">
        <f ca="1" t="array" ref="M978">SUMPRODUCT(--(WEEKDAY(ROW(INDIRECT(INT(F978)&amp;":"&amp;INT(I978))),2)&gt;5))</f>
        <v>0</v>
      </c>
      <c r="N978" s="22">
        <f ca="1" t="shared" si="78"/>
        <v>0</v>
      </c>
      <c r="O978" s="22" t="str">
        <f ca="1" t="shared" si="79"/>
        <v>Within SLA</v>
      </c>
      <c r="P978" s="26" t="s">
        <v>3971</v>
      </c>
      <c r="Q978" s="24" t="s">
        <v>37</v>
      </c>
      <c r="R978" s="25"/>
      <c r="S978" s="25"/>
    </row>
    <row r="979" ht="27" customHeight="1" spans="1:19">
      <c r="A979" s="19" t="s">
        <v>3975</v>
      </c>
      <c r="B979" s="20" t="s">
        <v>30</v>
      </c>
      <c r="C979" s="20" t="s">
        <v>2057</v>
      </c>
      <c r="D979" s="20" t="s">
        <v>32</v>
      </c>
      <c r="E979" s="21" t="s">
        <v>3976</v>
      </c>
      <c r="F979" s="21" t="s">
        <v>3977</v>
      </c>
      <c r="G979" s="20" t="s">
        <v>35</v>
      </c>
      <c r="H979" s="20" t="s">
        <v>25</v>
      </c>
      <c r="I979" s="21" t="s">
        <v>3978</v>
      </c>
      <c r="J979" s="22">
        <f t="shared" si="75"/>
        <v>2.76597222222335</v>
      </c>
      <c r="K979" s="22">
        <f t="shared" si="76"/>
        <v>66.3833333333605</v>
      </c>
      <c r="L979" s="22">
        <f t="shared" si="77"/>
        <v>18.3833333333605</v>
      </c>
      <c r="M979" s="22" cm="1">
        <f ca="1" t="array" ref="M979">SUMPRODUCT(--(WEEKDAY(ROW(INDIRECT(INT(F979)&amp;":"&amp;INT(I979))),2)&gt;5))</f>
        <v>1</v>
      </c>
      <c r="N979" s="22">
        <f ca="1" t="shared" si="78"/>
        <v>10.3833333333605</v>
      </c>
      <c r="O979" s="22" t="str">
        <f ca="1" t="shared" si="79"/>
        <v>Within SLA</v>
      </c>
      <c r="P979" s="26" t="s">
        <v>3975</v>
      </c>
      <c r="Q979" s="24" t="s">
        <v>37</v>
      </c>
      <c r="R979" s="25"/>
      <c r="S979" s="25"/>
    </row>
    <row r="980" ht="27" customHeight="1" spans="1:19">
      <c r="A980" s="19" t="s">
        <v>3979</v>
      </c>
      <c r="B980" s="20" t="s">
        <v>30</v>
      </c>
      <c r="C980" s="20" t="s">
        <v>2057</v>
      </c>
      <c r="D980" s="20" t="s">
        <v>32</v>
      </c>
      <c r="E980" s="21" t="s">
        <v>3980</v>
      </c>
      <c r="F980" s="21" t="s">
        <v>3981</v>
      </c>
      <c r="G980" s="20" t="s">
        <v>35</v>
      </c>
      <c r="H980" s="20" t="s">
        <v>25</v>
      </c>
      <c r="I980" s="21" t="s">
        <v>3982</v>
      </c>
      <c r="J980" s="22">
        <f t="shared" si="75"/>
        <v>3.96111111110804</v>
      </c>
      <c r="K980" s="22">
        <f t="shared" si="76"/>
        <v>95.0666666665929</v>
      </c>
      <c r="L980" s="22">
        <f t="shared" si="77"/>
        <v>31.0666666665929</v>
      </c>
      <c r="M980" s="22" cm="1">
        <f ca="1" t="array" ref="M980">SUMPRODUCT(--(WEEKDAY(ROW(INDIRECT(INT(F980)&amp;":"&amp;INT(I980))),2)&gt;5))</f>
        <v>2</v>
      </c>
      <c r="N980" s="22">
        <f ca="1" t="shared" si="78"/>
        <v>15.0666666665929</v>
      </c>
      <c r="O980" s="22" t="str">
        <f ca="1" t="shared" si="79"/>
        <v>SLA Violated</v>
      </c>
      <c r="P980" s="26" t="s">
        <v>3979</v>
      </c>
      <c r="Q980" s="24" t="s">
        <v>28</v>
      </c>
      <c r="R980" s="25"/>
      <c r="S980" s="25"/>
    </row>
    <row r="981" ht="27" customHeight="1" spans="1:19">
      <c r="A981" s="19" t="s">
        <v>3983</v>
      </c>
      <c r="B981" s="20" t="s">
        <v>30</v>
      </c>
      <c r="C981" s="20" t="s">
        <v>31</v>
      </c>
      <c r="D981" s="20" t="s">
        <v>32</v>
      </c>
      <c r="E981" s="21" t="s">
        <v>3984</v>
      </c>
      <c r="F981" s="21" t="s">
        <v>3985</v>
      </c>
      <c r="G981" s="20" t="s">
        <v>35</v>
      </c>
      <c r="H981" s="20" t="s">
        <v>25</v>
      </c>
      <c r="I981" s="21" t="s">
        <v>3986</v>
      </c>
      <c r="J981" s="22">
        <f t="shared" si="75"/>
        <v>1.01111111111095</v>
      </c>
      <c r="K981" s="22">
        <f t="shared" si="76"/>
        <v>24.2666666666628</v>
      </c>
      <c r="L981" s="22">
        <f t="shared" si="77"/>
        <v>8.26666666666279</v>
      </c>
      <c r="M981" s="22" cm="1">
        <f ca="1" t="array" ref="M981">SUMPRODUCT(--(WEEKDAY(ROW(INDIRECT(INT(F981)&amp;":"&amp;INT(I981))),2)&gt;5))</f>
        <v>0</v>
      </c>
      <c r="N981" s="22">
        <f ca="1" t="shared" si="78"/>
        <v>8.26666666666279</v>
      </c>
      <c r="O981" s="22" t="str">
        <f ca="1" t="shared" si="79"/>
        <v>Within SLA</v>
      </c>
      <c r="P981" s="26" t="s">
        <v>3983</v>
      </c>
      <c r="Q981" s="24" t="s">
        <v>37</v>
      </c>
      <c r="R981" s="25"/>
      <c r="S981" s="25"/>
    </row>
    <row r="982" ht="39" customHeight="1" spans="1:19">
      <c r="A982" s="19" t="s">
        <v>3987</v>
      </c>
      <c r="B982" s="20" t="s">
        <v>19</v>
      </c>
      <c r="C982" s="20" t="s">
        <v>20</v>
      </c>
      <c r="D982" s="20" t="s">
        <v>32</v>
      </c>
      <c r="E982" s="21" t="s">
        <v>3988</v>
      </c>
      <c r="F982" s="21" t="s">
        <v>3989</v>
      </c>
      <c r="G982" s="20" t="s">
        <v>35</v>
      </c>
      <c r="H982" s="20" t="s">
        <v>25</v>
      </c>
      <c r="I982" s="21" t="s">
        <v>3990</v>
      </c>
      <c r="J982" s="22">
        <f t="shared" si="75"/>
        <v>13.0277777777737</v>
      </c>
      <c r="K982" s="22">
        <f t="shared" si="76"/>
        <v>312.66666666657</v>
      </c>
      <c r="L982" s="22">
        <f t="shared" si="77"/>
        <v>104.66666666657</v>
      </c>
      <c r="M982" s="22" cm="1">
        <f ca="1" t="array" ref="M982">SUMPRODUCT(--(WEEKDAY(ROW(INDIRECT(INT(F982)&amp;":"&amp;INT(I982))),2)&gt;5))</f>
        <v>4</v>
      </c>
      <c r="N982" s="22">
        <f ca="1" t="shared" si="78"/>
        <v>72.66666666657</v>
      </c>
      <c r="O982" s="22" t="str">
        <f ca="1" t="shared" si="79"/>
        <v>SLA Violated</v>
      </c>
      <c r="P982" s="23" t="s">
        <v>3991</v>
      </c>
      <c r="Q982" s="24" t="s">
        <v>28</v>
      </c>
      <c r="R982" s="25"/>
      <c r="S982" s="25"/>
    </row>
    <row r="983" ht="39" customHeight="1" spans="1:19">
      <c r="A983" s="19" t="s">
        <v>3992</v>
      </c>
      <c r="B983" s="20" t="s">
        <v>19</v>
      </c>
      <c r="C983" s="20" t="s">
        <v>20</v>
      </c>
      <c r="D983" s="20" t="s">
        <v>32</v>
      </c>
      <c r="E983" s="21" t="s">
        <v>3993</v>
      </c>
      <c r="F983" s="21" t="s">
        <v>3994</v>
      </c>
      <c r="G983" s="20" t="s">
        <v>35</v>
      </c>
      <c r="H983" s="20" t="s">
        <v>25</v>
      </c>
      <c r="I983" s="21" t="s">
        <v>3995</v>
      </c>
      <c r="J983" s="22">
        <f t="shared" si="75"/>
        <v>26.1055555555577</v>
      </c>
      <c r="K983" s="22">
        <f t="shared" si="76"/>
        <v>626.533333333384</v>
      </c>
      <c r="L983" s="22">
        <f t="shared" si="77"/>
        <v>210.533333333384</v>
      </c>
      <c r="M983" s="22" cm="1">
        <f ca="1" t="array" ref="M983">SUMPRODUCT(--(WEEKDAY(ROW(INDIRECT(INT(F983)&amp;":"&amp;INT(I983))),2)&gt;5))</f>
        <v>8</v>
      </c>
      <c r="N983" s="22">
        <f ca="1" t="shared" si="78"/>
        <v>146.533333333384</v>
      </c>
      <c r="O983" s="22" t="str">
        <f ca="1" t="shared" si="79"/>
        <v>SLA Violated</v>
      </c>
      <c r="P983" s="23" t="s">
        <v>3996</v>
      </c>
      <c r="Q983" s="24" t="s">
        <v>28</v>
      </c>
      <c r="R983" s="25"/>
      <c r="S983" s="25"/>
    </row>
    <row r="984" ht="27" customHeight="1" spans="1:19">
      <c r="A984" s="19" t="s">
        <v>3997</v>
      </c>
      <c r="B984" s="20" t="s">
        <v>30</v>
      </c>
      <c r="C984" s="20" t="s">
        <v>46</v>
      </c>
      <c r="D984" s="20" t="s">
        <v>32</v>
      </c>
      <c r="E984" s="21" t="s">
        <v>3998</v>
      </c>
      <c r="F984" s="21" t="s">
        <v>3999</v>
      </c>
      <c r="G984" s="20" t="s">
        <v>35</v>
      </c>
      <c r="H984" s="20" t="s">
        <v>25</v>
      </c>
      <c r="I984" s="21" t="s">
        <v>4000</v>
      </c>
      <c r="J984" s="22">
        <f t="shared" si="75"/>
        <v>0.141666666662786</v>
      </c>
      <c r="K984" s="22">
        <f t="shared" si="76"/>
        <v>3.39999999990687</v>
      </c>
      <c r="L984" s="22">
        <f t="shared" si="77"/>
        <v>3.39999999990687</v>
      </c>
      <c r="M984" s="22" cm="1">
        <f ca="1" t="array" ref="M984">SUMPRODUCT(--(WEEKDAY(ROW(INDIRECT(INT(F984)&amp;":"&amp;INT(I984))),2)&gt;5))</f>
        <v>0</v>
      </c>
      <c r="N984" s="22">
        <f ca="1" t="shared" si="78"/>
        <v>3.39999999990687</v>
      </c>
      <c r="O984" s="22" t="str">
        <f ca="1" t="shared" si="79"/>
        <v>Within SLA</v>
      </c>
      <c r="P984" s="26" t="s">
        <v>3997</v>
      </c>
      <c r="Q984" s="24" t="s">
        <v>37</v>
      </c>
      <c r="R984" s="25"/>
      <c r="S984" s="25"/>
    </row>
    <row r="985" ht="27" customHeight="1" spans="1:19">
      <c r="A985" s="19" t="s">
        <v>4001</v>
      </c>
      <c r="B985" s="20" t="s">
        <v>30</v>
      </c>
      <c r="C985" s="20" t="s">
        <v>31</v>
      </c>
      <c r="D985" s="20" t="s">
        <v>32</v>
      </c>
      <c r="E985" s="21" t="s">
        <v>4002</v>
      </c>
      <c r="F985" s="21" t="s">
        <v>4003</v>
      </c>
      <c r="G985" s="20" t="s">
        <v>35</v>
      </c>
      <c r="H985" s="20" t="s">
        <v>25</v>
      </c>
      <c r="I985" s="21" t="s">
        <v>4004</v>
      </c>
      <c r="J985" s="22">
        <f t="shared" si="75"/>
        <v>0.0305555555605679</v>
      </c>
      <c r="K985" s="22">
        <f t="shared" si="76"/>
        <v>0.733333333453629</v>
      </c>
      <c r="L985" s="22">
        <f t="shared" si="77"/>
        <v>0.733333333453629</v>
      </c>
      <c r="M985" s="22" cm="1">
        <f ca="1" t="array" ref="M985">SUMPRODUCT(--(WEEKDAY(ROW(INDIRECT(INT(F985)&amp;":"&amp;INT(I985))),2)&gt;5))</f>
        <v>0</v>
      </c>
      <c r="N985" s="22">
        <f ca="1" t="shared" si="78"/>
        <v>0.733333333453629</v>
      </c>
      <c r="O985" s="22" t="str">
        <f ca="1" t="shared" si="79"/>
        <v>Within SLA</v>
      </c>
      <c r="P985" s="26" t="s">
        <v>4001</v>
      </c>
      <c r="Q985" s="24" t="s">
        <v>37</v>
      </c>
      <c r="R985" s="25"/>
      <c r="S985" s="25"/>
    </row>
    <row r="986" ht="27" customHeight="1" spans="1:19">
      <c r="A986" s="19" t="s">
        <v>4005</v>
      </c>
      <c r="B986" s="20" t="s">
        <v>30</v>
      </c>
      <c r="C986" s="20" t="s">
        <v>2057</v>
      </c>
      <c r="D986" s="20" t="s">
        <v>32</v>
      </c>
      <c r="E986" s="21" t="s">
        <v>4006</v>
      </c>
      <c r="F986" s="21" t="s">
        <v>4007</v>
      </c>
      <c r="G986" s="20" t="s">
        <v>35</v>
      </c>
      <c r="H986" s="20" t="s">
        <v>25</v>
      </c>
      <c r="I986" s="21" t="s">
        <v>4008</v>
      </c>
      <c r="J986" s="22">
        <f t="shared" si="75"/>
        <v>3.98472222222335</v>
      </c>
      <c r="K986" s="22">
        <f t="shared" si="76"/>
        <v>95.6333333333605</v>
      </c>
      <c r="L986" s="22">
        <f t="shared" si="77"/>
        <v>31.6333333333605</v>
      </c>
      <c r="M986" s="22" cm="1">
        <f ca="1" t="array" ref="M986">SUMPRODUCT(--(WEEKDAY(ROW(INDIRECT(INT(F986)&amp;":"&amp;INT(I986))),2)&gt;5))</f>
        <v>2</v>
      </c>
      <c r="N986" s="22">
        <f ca="1" t="shared" si="78"/>
        <v>15.6333333333605</v>
      </c>
      <c r="O986" s="22" t="str">
        <f ca="1" t="shared" si="79"/>
        <v>SLA Violated</v>
      </c>
      <c r="P986" s="26" t="s">
        <v>4005</v>
      </c>
      <c r="Q986" s="24" t="s">
        <v>28</v>
      </c>
      <c r="R986" s="25"/>
      <c r="S986" s="25"/>
    </row>
    <row r="987" ht="27" customHeight="1" spans="1:19">
      <c r="A987" s="19" t="s">
        <v>4009</v>
      </c>
      <c r="B987" s="20" t="s">
        <v>30</v>
      </c>
      <c r="C987" s="20" t="s">
        <v>2057</v>
      </c>
      <c r="D987" s="20" t="s">
        <v>32</v>
      </c>
      <c r="E987" s="21" t="s">
        <v>4010</v>
      </c>
      <c r="F987" s="21" t="s">
        <v>4011</v>
      </c>
      <c r="G987" s="20" t="s">
        <v>35</v>
      </c>
      <c r="H987" s="20" t="s">
        <v>25</v>
      </c>
      <c r="I987" s="21" t="s">
        <v>4012</v>
      </c>
      <c r="J987" s="22">
        <f t="shared" si="75"/>
        <v>3.98472222222335</v>
      </c>
      <c r="K987" s="22">
        <f t="shared" si="76"/>
        <v>95.6333333333605</v>
      </c>
      <c r="L987" s="22">
        <f t="shared" si="77"/>
        <v>31.6333333333605</v>
      </c>
      <c r="M987" s="22" cm="1">
        <f ca="1" t="array" ref="M987">SUMPRODUCT(--(WEEKDAY(ROW(INDIRECT(INT(F987)&amp;":"&amp;INT(I987))),2)&gt;5))</f>
        <v>2</v>
      </c>
      <c r="N987" s="22">
        <f ca="1" t="shared" si="78"/>
        <v>15.6333333333605</v>
      </c>
      <c r="O987" s="22" t="str">
        <f ca="1" t="shared" si="79"/>
        <v>SLA Violated</v>
      </c>
      <c r="P987" s="26" t="s">
        <v>4009</v>
      </c>
      <c r="Q987" s="24" t="s">
        <v>28</v>
      </c>
      <c r="R987" s="25"/>
      <c r="S987" s="25"/>
    </row>
    <row r="988" ht="27" customHeight="1" spans="1:19">
      <c r="A988" s="19" t="s">
        <v>4013</v>
      </c>
      <c r="B988" s="20" t="s">
        <v>30</v>
      </c>
      <c r="C988" s="20" t="s">
        <v>31</v>
      </c>
      <c r="D988" s="20" t="s">
        <v>32</v>
      </c>
      <c r="E988" s="21" t="s">
        <v>4014</v>
      </c>
      <c r="F988" s="21" t="s">
        <v>4015</v>
      </c>
      <c r="G988" s="20" t="s">
        <v>35</v>
      </c>
      <c r="H988" s="20" t="s">
        <v>25</v>
      </c>
      <c r="I988" s="21" t="s">
        <v>4016</v>
      </c>
      <c r="J988" s="22">
        <f t="shared" si="75"/>
        <v>0.0534722222218988</v>
      </c>
      <c r="K988" s="22">
        <f t="shared" si="76"/>
        <v>1.28333333332557</v>
      </c>
      <c r="L988" s="22">
        <f t="shared" si="77"/>
        <v>1.28333333332557</v>
      </c>
      <c r="M988" s="22" cm="1">
        <f ca="1" t="array" ref="M988">SUMPRODUCT(--(WEEKDAY(ROW(INDIRECT(INT(F988)&amp;":"&amp;INT(I988))),2)&gt;5))</f>
        <v>0</v>
      </c>
      <c r="N988" s="22">
        <f ca="1" t="shared" si="78"/>
        <v>1.28333333332557</v>
      </c>
      <c r="O988" s="22" t="str">
        <f ca="1" t="shared" si="79"/>
        <v>Within SLA</v>
      </c>
      <c r="P988" s="26" t="s">
        <v>4013</v>
      </c>
      <c r="Q988" s="24" t="s">
        <v>37</v>
      </c>
      <c r="R988" s="25"/>
      <c r="S988" s="25"/>
    </row>
    <row r="989" ht="39" customHeight="1" spans="1:19">
      <c r="A989" s="19" t="s">
        <v>4017</v>
      </c>
      <c r="B989" s="20" t="s">
        <v>19</v>
      </c>
      <c r="C989" s="20" t="s">
        <v>20</v>
      </c>
      <c r="D989" s="20" t="s">
        <v>32</v>
      </c>
      <c r="E989" s="21" t="s">
        <v>4018</v>
      </c>
      <c r="F989" s="21" t="s">
        <v>4019</v>
      </c>
      <c r="G989" s="20" t="s">
        <v>35</v>
      </c>
      <c r="H989" s="20" t="s">
        <v>25</v>
      </c>
      <c r="I989" s="21" t="s">
        <v>4020</v>
      </c>
      <c r="J989" s="22">
        <f t="shared" si="75"/>
        <v>4.0673611111124</v>
      </c>
      <c r="K989" s="22">
        <f t="shared" si="76"/>
        <v>97.6166666666977</v>
      </c>
      <c r="L989" s="22">
        <f t="shared" si="77"/>
        <v>33.6166666666977</v>
      </c>
      <c r="M989" s="22" cm="1">
        <f ca="1" t="array" ref="M989">SUMPRODUCT(--(WEEKDAY(ROW(INDIRECT(INT(F989)&amp;":"&amp;INT(I989))),2)&gt;5))</f>
        <v>2</v>
      </c>
      <c r="N989" s="22">
        <f ca="1" t="shared" si="78"/>
        <v>17.6166666666977</v>
      </c>
      <c r="O989" s="22" t="str">
        <f ca="1" t="shared" si="79"/>
        <v>SLA Violated</v>
      </c>
      <c r="P989" s="23" t="s">
        <v>4021</v>
      </c>
      <c r="Q989" s="24" t="s">
        <v>28</v>
      </c>
      <c r="R989" s="25"/>
      <c r="S989" s="25"/>
    </row>
    <row r="990" ht="27" customHeight="1" spans="1:19">
      <c r="A990" s="19" t="s">
        <v>4022</v>
      </c>
      <c r="B990" s="20" t="s">
        <v>30</v>
      </c>
      <c r="C990" s="20" t="s">
        <v>101</v>
      </c>
      <c r="D990" s="20" t="s">
        <v>32</v>
      </c>
      <c r="E990" s="21" t="s">
        <v>4023</v>
      </c>
      <c r="F990" s="21" t="s">
        <v>4024</v>
      </c>
      <c r="G990" s="20" t="s">
        <v>35</v>
      </c>
      <c r="H990" s="20" t="s">
        <v>25</v>
      </c>
      <c r="I990" s="21" t="s">
        <v>4020</v>
      </c>
      <c r="J990" s="22">
        <f t="shared" si="75"/>
        <v>0.00277777777955635</v>
      </c>
      <c r="K990" s="22">
        <f t="shared" si="76"/>
        <v>0.0666666667093523</v>
      </c>
      <c r="L990" s="22">
        <f t="shared" si="77"/>
        <v>0.0666666667093523</v>
      </c>
      <c r="M990" s="22" cm="1">
        <f ca="1" t="array" ref="M990">SUMPRODUCT(--(WEEKDAY(ROW(INDIRECT(INT(F990)&amp;":"&amp;INT(I990))),2)&gt;5))</f>
        <v>0</v>
      </c>
      <c r="N990" s="22">
        <f ca="1" t="shared" si="78"/>
        <v>0.0666666667093523</v>
      </c>
      <c r="O990" s="22" t="str">
        <f ca="1" t="shared" si="79"/>
        <v>Within SLA</v>
      </c>
      <c r="P990" s="26" t="s">
        <v>4022</v>
      </c>
      <c r="Q990" s="24" t="s">
        <v>37</v>
      </c>
      <c r="R990" s="25"/>
      <c r="S990" s="25"/>
    </row>
    <row r="991" ht="27" customHeight="1" spans="1:19">
      <c r="A991" s="19" t="s">
        <v>4025</v>
      </c>
      <c r="B991" s="20" t="s">
        <v>30</v>
      </c>
      <c r="C991" s="20" t="s">
        <v>2057</v>
      </c>
      <c r="D991" s="20" t="s">
        <v>32</v>
      </c>
      <c r="E991" s="21" t="s">
        <v>4023</v>
      </c>
      <c r="F991" s="21" t="s">
        <v>4026</v>
      </c>
      <c r="G991" s="20" t="s">
        <v>35</v>
      </c>
      <c r="H991" s="20" t="s">
        <v>25</v>
      </c>
      <c r="I991" s="21" t="s">
        <v>4027</v>
      </c>
      <c r="J991" s="22">
        <f t="shared" si="75"/>
        <v>3.97916666667152</v>
      </c>
      <c r="K991" s="22">
        <f t="shared" si="76"/>
        <v>95.5000000001164</v>
      </c>
      <c r="L991" s="22">
        <f t="shared" si="77"/>
        <v>31.5000000001164</v>
      </c>
      <c r="M991" s="22" cm="1">
        <f ca="1" t="array" ref="M991">SUMPRODUCT(--(WEEKDAY(ROW(INDIRECT(INT(F991)&amp;":"&amp;INT(I991))),2)&gt;5))</f>
        <v>2</v>
      </c>
      <c r="N991" s="22">
        <f ca="1" t="shared" si="78"/>
        <v>15.5000000001164</v>
      </c>
      <c r="O991" s="22" t="str">
        <f ca="1" t="shared" si="79"/>
        <v>SLA Violated</v>
      </c>
      <c r="P991" s="26" t="s">
        <v>4025</v>
      </c>
      <c r="Q991" s="24" t="s">
        <v>28</v>
      </c>
      <c r="R991" s="25"/>
      <c r="S991" s="25"/>
    </row>
    <row r="992" ht="27" customHeight="1" spans="1:19">
      <c r="A992" s="19" t="s">
        <v>4028</v>
      </c>
      <c r="B992" s="20" t="s">
        <v>30</v>
      </c>
      <c r="C992" s="20" t="s">
        <v>46</v>
      </c>
      <c r="D992" s="20" t="s">
        <v>32</v>
      </c>
      <c r="E992" s="21" t="s">
        <v>4023</v>
      </c>
      <c r="F992" s="21" t="s">
        <v>4029</v>
      </c>
      <c r="G992" s="20" t="s">
        <v>35</v>
      </c>
      <c r="H992" s="20" t="s">
        <v>25</v>
      </c>
      <c r="I992" s="21" t="s">
        <v>4030</v>
      </c>
      <c r="J992" s="22">
        <f t="shared" si="75"/>
        <v>0.202083333337214</v>
      </c>
      <c r="K992" s="22">
        <f t="shared" si="76"/>
        <v>4.85000000009313</v>
      </c>
      <c r="L992" s="22">
        <f t="shared" si="77"/>
        <v>4.85000000009313</v>
      </c>
      <c r="M992" s="22" cm="1">
        <f ca="1" t="array" ref="M992">SUMPRODUCT(--(WEEKDAY(ROW(INDIRECT(INT(F992)&amp;":"&amp;INT(I992))),2)&gt;5))</f>
        <v>0</v>
      </c>
      <c r="N992" s="22">
        <f ca="1" t="shared" si="78"/>
        <v>4.85000000009313</v>
      </c>
      <c r="O992" s="22" t="str">
        <f ca="1" t="shared" si="79"/>
        <v>Within SLA</v>
      </c>
      <c r="P992" s="26" t="s">
        <v>4028</v>
      </c>
      <c r="Q992" s="24" t="s">
        <v>37</v>
      </c>
      <c r="R992" s="25"/>
      <c r="S992" s="25"/>
    </row>
    <row r="993" ht="39" customHeight="1" spans="1:19">
      <c r="A993" s="19" t="s">
        <v>4031</v>
      </c>
      <c r="B993" s="20" t="s">
        <v>19</v>
      </c>
      <c r="C993" s="20" t="s">
        <v>20</v>
      </c>
      <c r="D993" s="20" t="s">
        <v>32</v>
      </c>
      <c r="E993" s="21" t="s">
        <v>4030</v>
      </c>
      <c r="F993" s="21" t="s">
        <v>4032</v>
      </c>
      <c r="G993" s="20" t="s">
        <v>35</v>
      </c>
      <c r="H993" s="20" t="s">
        <v>25</v>
      </c>
      <c r="I993" s="21" t="s">
        <v>4033</v>
      </c>
      <c r="J993" s="22">
        <f t="shared" si="75"/>
        <v>6.07361111111095</v>
      </c>
      <c r="K993" s="22">
        <f t="shared" si="76"/>
        <v>145.766666666663</v>
      </c>
      <c r="L993" s="22">
        <f t="shared" si="77"/>
        <v>49.7666666666628</v>
      </c>
      <c r="M993" s="22" cm="1">
        <f ca="1" t="array" ref="M993">SUMPRODUCT(--(WEEKDAY(ROW(INDIRECT(INT(F993)&amp;":"&amp;INT(I993))),2)&gt;5))</f>
        <v>2</v>
      </c>
      <c r="N993" s="22">
        <f ca="1" t="shared" si="78"/>
        <v>33.7666666666628</v>
      </c>
      <c r="O993" s="22" t="str">
        <f ca="1" t="shared" si="79"/>
        <v>SLA Violated</v>
      </c>
      <c r="P993" s="23" t="s">
        <v>4034</v>
      </c>
      <c r="Q993" s="24" t="s">
        <v>28</v>
      </c>
      <c r="R993" s="25"/>
      <c r="S993" s="25"/>
    </row>
    <row r="994" ht="39" customHeight="1" spans="1:19">
      <c r="A994" s="19" t="s">
        <v>4035</v>
      </c>
      <c r="B994" s="20" t="s">
        <v>19</v>
      </c>
      <c r="C994" s="20" t="s">
        <v>20</v>
      </c>
      <c r="D994" s="20" t="s">
        <v>32</v>
      </c>
      <c r="E994" s="21" t="s">
        <v>4030</v>
      </c>
      <c r="F994" s="21" t="s">
        <v>4036</v>
      </c>
      <c r="G994" s="20" t="s">
        <v>35</v>
      </c>
      <c r="H994" s="20" t="s">
        <v>25</v>
      </c>
      <c r="I994" s="21" t="s">
        <v>4037</v>
      </c>
      <c r="J994" s="22">
        <f t="shared" si="75"/>
        <v>1.26041666667152</v>
      </c>
      <c r="K994" s="22">
        <f t="shared" si="76"/>
        <v>30.2500000001164</v>
      </c>
      <c r="L994" s="22">
        <f t="shared" si="77"/>
        <v>14.2500000001164</v>
      </c>
      <c r="M994" s="22" cm="1">
        <f ca="1" t="array" ref="M994">SUMPRODUCT(--(WEEKDAY(ROW(INDIRECT(INT(F994)&amp;":"&amp;INT(I994))),2)&gt;5))</f>
        <v>0</v>
      </c>
      <c r="N994" s="22">
        <f ca="1" t="shared" si="78"/>
        <v>14.2500000001164</v>
      </c>
      <c r="O994" s="22" t="str">
        <f ca="1" t="shared" si="79"/>
        <v>SLA Violated</v>
      </c>
      <c r="P994" s="23" t="s">
        <v>4038</v>
      </c>
      <c r="Q994" s="24" t="s">
        <v>37</v>
      </c>
      <c r="R994" s="25" t="s">
        <v>4039</v>
      </c>
      <c r="S994" s="25" t="s">
        <v>39</v>
      </c>
    </row>
    <row r="995" ht="27" customHeight="1" spans="1:19">
      <c r="A995" s="19" t="s">
        <v>4040</v>
      </c>
      <c r="B995" s="20" t="s">
        <v>30</v>
      </c>
      <c r="C995" s="20" t="s">
        <v>31</v>
      </c>
      <c r="D995" s="20" t="s">
        <v>32</v>
      </c>
      <c r="E995" s="21" t="s">
        <v>3797</v>
      </c>
      <c r="F995" s="21" t="s">
        <v>3820</v>
      </c>
      <c r="G995" s="20" t="s">
        <v>35</v>
      </c>
      <c r="H995" s="20" t="s">
        <v>25</v>
      </c>
      <c r="I995" s="21" t="s">
        <v>4037</v>
      </c>
      <c r="J995" s="22">
        <f t="shared" si="75"/>
        <v>0.038888888891961</v>
      </c>
      <c r="K995" s="22">
        <f t="shared" si="76"/>
        <v>0.933333333407063</v>
      </c>
      <c r="L995" s="22">
        <f t="shared" si="77"/>
        <v>0.933333333407063</v>
      </c>
      <c r="M995" s="22" cm="1">
        <f ca="1" t="array" ref="M995">SUMPRODUCT(--(WEEKDAY(ROW(INDIRECT(INT(F995)&amp;":"&amp;INT(I995))),2)&gt;5))</f>
        <v>0</v>
      </c>
      <c r="N995" s="22">
        <f ca="1" t="shared" si="78"/>
        <v>0.933333333407063</v>
      </c>
      <c r="O995" s="22" t="str">
        <f ca="1" t="shared" si="79"/>
        <v>Within SLA</v>
      </c>
      <c r="P995" s="26" t="s">
        <v>4040</v>
      </c>
      <c r="Q995" s="24" t="s">
        <v>37</v>
      </c>
      <c r="R995" s="25"/>
      <c r="S995" s="25"/>
    </row>
    <row r="996" ht="27" customHeight="1" spans="1:19">
      <c r="A996" s="19" t="s">
        <v>4041</v>
      </c>
      <c r="B996" s="20" t="s">
        <v>30</v>
      </c>
      <c r="C996" s="20" t="s">
        <v>2057</v>
      </c>
      <c r="D996" s="20" t="s">
        <v>32</v>
      </c>
      <c r="E996" s="21" t="s">
        <v>3973</v>
      </c>
      <c r="F996" s="21" t="s">
        <v>4042</v>
      </c>
      <c r="G996" s="20" t="s">
        <v>35</v>
      </c>
      <c r="H996" s="20" t="s">
        <v>25</v>
      </c>
      <c r="I996" s="21" t="s">
        <v>4043</v>
      </c>
      <c r="J996" s="22">
        <f t="shared" si="75"/>
        <v>3.97569444444525</v>
      </c>
      <c r="K996" s="22">
        <f t="shared" si="76"/>
        <v>95.4166666666861</v>
      </c>
      <c r="L996" s="22">
        <f t="shared" si="77"/>
        <v>31.4166666666861</v>
      </c>
      <c r="M996" s="22" cm="1">
        <f ca="1" t="array" ref="M996">SUMPRODUCT(--(WEEKDAY(ROW(INDIRECT(INT(F996)&amp;":"&amp;INT(I996))),2)&gt;5))</f>
        <v>2</v>
      </c>
      <c r="N996" s="22">
        <f ca="1" t="shared" si="78"/>
        <v>15.4166666666861</v>
      </c>
      <c r="O996" s="22" t="str">
        <f ca="1" t="shared" si="79"/>
        <v>SLA Violated</v>
      </c>
      <c r="P996" s="26" t="s">
        <v>4041</v>
      </c>
      <c r="Q996" s="24" t="s">
        <v>28</v>
      </c>
      <c r="R996" s="25"/>
      <c r="S996" s="25"/>
    </row>
    <row r="997" ht="27" customHeight="1" spans="1:19">
      <c r="A997" s="19" t="s">
        <v>4044</v>
      </c>
      <c r="B997" s="20" t="s">
        <v>30</v>
      </c>
      <c r="C997" s="20" t="s">
        <v>2057</v>
      </c>
      <c r="D997" s="20" t="s">
        <v>32</v>
      </c>
      <c r="E997" s="21" t="s">
        <v>4045</v>
      </c>
      <c r="F997" s="21" t="s">
        <v>4046</v>
      </c>
      <c r="G997" s="20" t="s">
        <v>35</v>
      </c>
      <c r="H997" s="20" t="s">
        <v>25</v>
      </c>
      <c r="I997" s="21" t="s">
        <v>4047</v>
      </c>
      <c r="J997" s="22">
        <f t="shared" si="75"/>
        <v>4.21736111111386</v>
      </c>
      <c r="K997" s="22">
        <f t="shared" si="76"/>
        <v>101.216666666733</v>
      </c>
      <c r="L997" s="22">
        <f t="shared" si="77"/>
        <v>37.2166666667326</v>
      </c>
      <c r="M997" s="22" cm="1">
        <f ca="1" t="array" ref="M997">SUMPRODUCT(--(WEEKDAY(ROW(INDIRECT(INT(F997)&amp;":"&amp;INT(I997))),2)&gt;5))</f>
        <v>2</v>
      </c>
      <c r="N997" s="22">
        <f ca="1" t="shared" si="78"/>
        <v>21.2166666667326</v>
      </c>
      <c r="O997" s="22" t="str">
        <f ca="1" t="shared" si="79"/>
        <v>SLA Violated</v>
      </c>
      <c r="P997" s="26" t="s">
        <v>4044</v>
      </c>
      <c r="Q997" s="24" t="s">
        <v>28</v>
      </c>
      <c r="R997" s="25"/>
      <c r="S997" s="25"/>
    </row>
    <row r="998" ht="39" customHeight="1" spans="1:19">
      <c r="A998" s="19" t="s">
        <v>4048</v>
      </c>
      <c r="B998" s="20" t="s">
        <v>19</v>
      </c>
      <c r="C998" s="20" t="s">
        <v>20</v>
      </c>
      <c r="D998" s="20" t="s">
        <v>21</v>
      </c>
      <c r="E998" s="21" t="s">
        <v>3902</v>
      </c>
      <c r="F998" s="21" t="s">
        <v>4049</v>
      </c>
      <c r="G998" s="20" t="s">
        <v>35</v>
      </c>
      <c r="H998" s="20" t="s">
        <v>25</v>
      </c>
      <c r="I998" s="21" t="s">
        <v>4050</v>
      </c>
      <c r="J998" s="22">
        <f t="shared" si="75"/>
        <v>0.127777777779556</v>
      </c>
      <c r="K998" s="22">
        <f t="shared" si="76"/>
        <v>3.06666666670935</v>
      </c>
      <c r="L998" s="22">
        <f t="shared" si="77"/>
        <v>3.06666666670935</v>
      </c>
      <c r="M998" s="22" cm="1">
        <f ca="1" t="array" ref="M998">SUMPRODUCT(--(WEEKDAY(ROW(INDIRECT(INT(F998)&amp;":"&amp;INT(I998))),2)&gt;5))</f>
        <v>0</v>
      </c>
      <c r="N998" s="22">
        <f ca="1" t="shared" si="78"/>
        <v>3.06666666670935</v>
      </c>
      <c r="O998" s="22" t="str">
        <f ca="1" t="shared" si="79"/>
        <v>SLA Violated</v>
      </c>
      <c r="P998" s="23" t="s">
        <v>4051</v>
      </c>
      <c r="Q998" s="24" t="s">
        <v>37</v>
      </c>
      <c r="R998" s="25" t="s">
        <v>719</v>
      </c>
      <c r="S998" s="25" t="s">
        <v>3770</v>
      </c>
    </row>
    <row r="999" ht="27" customHeight="1" spans="1:19">
      <c r="A999" s="19" t="s">
        <v>4052</v>
      </c>
      <c r="B999" s="20" t="s">
        <v>30</v>
      </c>
      <c r="C999" s="20" t="s">
        <v>31</v>
      </c>
      <c r="D999" s="20" t="s">
        <v>32</v>
      </c>
      <c r="E999" s="21" t="s">
        <v>4020</v>
      </c>
      <c r="F999" s="21" t="s">
        <v>4053</v>
      </c>
      <c r="G999" s="20" t="s">
        <v>35</v>
      </c>
      <c r="H999" s="20" t="s">
        <v>25</v>
      </c>
      <c r="I999" s="21" t="s">
        <v>4050</v>
      </c>
      <c r="J999" s="22">
        <f t="shared" si="75"/>
        <v>0.0270833333343035</v>
      </c>
      <c r="K999" s="22">
        <f t="shared" si="76"/>
        <v>0.650000000023283</v>
      </c>
      <c r="L999" s="22">
        <f t="shared" si="77"/>
        <v>0.650000000023283</v>
      </c>
      <c r="M999" s="22" cm="1">
        <f ca="1" t="array" ref="M999">SUMPRODUCT(--(WEEKDAY(ROW(INDIRECT(INT(F999)&amp;":"&amp;INT(I999))),2)&gt;5))</f>
        <v>0</v>
      </c>
      <c r="N999" s="22">
        <f ca="1" t="shared" si="78"/>
        <v>0.650000000023283</v>
      </c>
      <c r="O999" s="22" t="str">
        <f ca="1" t="shared" si="79"/>
        <v>Within SLA</v>
      </c>
      <c r="P999" s="26" t="s">
        <v>4052</v>
      </c>
      <c r="Q999" s="24" t="s">
        <v>37</v>
      </c>
      <c r="R999" s="25"/>
      <c r="S999" s="25"/>
    </row>
    <row r="1000" ht="39" customHeight="1" spans="1:19">
      <c r="A1000" s="19" t="s">
        <v>4054</v>
      </c>
      <c r="B1000" s="20" t="s">
        <v>19</v>
      </c>
      <c r="C1000" s="20" t="s">
        <v>20</v>
      </c>
      <c r="D1000" s="20" t="s">
        <v>32</v>
      </c>
      <c r="E1000" s="21" t="s">
        <v>4033</v>
      </c>
      <c r="F1000" s="21" t="s">
        <v>4055</v>
      </c>
      <c r="G1000" s="20" t="s">
        <v>35</v>
      </c>
      <c r="H1000" s="20" t="s">
        <v>25</v>
      </c>
      <c r="I1000" s="21" t="s">
        <v>4056</v>
      </c>
      <c r="J1000" s="22">
        <f t="shared" si="75"/>
        <v>12.0361111111124</v>
      </c>
      <c r="K1000" s="22">
        <f t="shared" si="76"/>
        <v>288.866666666698</v>
      </c>
      <c r="L1000" s="22">
        <f t="shared" si="77"/>
        <v>96.8666666666977</v>
      </c>
      <c r="M1000" s="22" cm="1">
        <f ca="1" t="array" ref="M1000">SUMPRODUCT(--(WEEKDAY(ROW(INDIRECT(INT(F1000)&amp;":"&amp;INT(I1000))),2)&gt;5))</f>
        <v>4</v>
      </c>
      <c r="N1000" s="22">
        <f ca="1" t="shared" si="78"/>
        <v>64.8666666666977</v>
      </c>
      <c r="O1000" s="22" t="str">
        <f ca="1" t="shared" si="79"/>
        <v>SLA Violated</v>
      </c>
      <c r="P1000" s="23" t="s">
        <v>4057</v>
      </c>
      <c r="Q1000" s="24" t="s">
        <v>28</v>
      </c>
      <c r="R1000" s="25"/>
      <c r="S1000" s="25"/>
    </row>
    <row r="1001" ht="16" customHeight="1" spans="1:19">
      <c r="A1001" s="19" t="s">
        <v>4058</v>
      </c>
      <c r="B1001" s="20" t="s">
        <v>45</v>
      </c>
      <c r="C1001" s="20" t="s">
        <v>849</v>
      </c>
      <c r="D1001" s="20" t="s">
        <v>32</v>
      </c>
      <c r="E1001" s="21" t="s">
        <v>3986</v>
      </c>
      <c r="F1001" s="21" t="s">
        <v>4059</v>
      </c>
      <c r="G1001" s="20" t="s">
        <v>35</v>
      </c>
      <c r="H1001" s="20" t="s">
        <v>25</v>
      </c>
      <c r="I1001" s="21" t="s">
        <v>4060</v>
      </c>
      <c r="J1001" s="22">
        <f t="shared" si="75"/>
        <v>0.179861111108039</v>
      </c>
      <c r="K1001" s="22">
        <f t="shared" si="76"/>
        <v>4.31666666659294</v>
      </c>
      <c r="L1001" s="22">
        <f t="shared" si="77"/>
        <v>4.31666666659294</v>
      </c>
      <c r="M1001" s="22" cm="1">
        <f ca="1" t="array" ref="M1001">SUMPRODUCT(--(WEEKDAY(ROW(INDIRECT(INT(F1001)&amp;":"&amp;INT(I1001))),2)&gt;5))</f>
        <v>0</v>
      </c>
      <c r="N1001" s="22">
        <f ca="1" t="shared" si="78"/>
        <v>4.31666666659294</v>
      </c>
      <c r="O1001" s="22" t="str">
        <f ca="1" t="shared" si="79"/>
        <v>Within SLA</v>
      </c>
      <c r="P1001" s="26" t="s">
        <v>4058</v>
      </c>
      <c r="Q1001" s="24" t="s">
        <v>37</v>
      </c>
      <c r="R1001" s="25"/>
      <c r="S1001" s="25"/>
    </row>
    <row r="1002" ht="27" customHeight="1" spans="1:19">
      <c r="A1002" s="19" t="s">
        <v>4061</v>
      </c>
      <c r="B1002" s="20" t="s">
        <v>30</v>
      </c>
      <c r="C1002" s="20" t="s">
        <v>2057</v>
      </c>
      <c r="D1002" s="20" t="s">
        <v>21</v>
      </c>
      <c r="E1002" s="21" t="s">
        <v>3995</v>
      </c>
      <c r="F1002" s="21" t="s">
        <v>4062</v>
      </c>
      <c r="G1002" s="20" t="s">
        <v>35</v>
      </c>
      <c r="H1002" s="20" t="s">
        <v>25</v>
      </c>
      <c r="I1002" s="21" t="s">
        <v>4063</v>
      </c>
      <c r="J1002" s="22">
        <f t="shared" si="75"/>
        <v>4.20833333332848</v>
      </c>
      <c r="K1002" s="22">
        <f t="shared" si="76"/>
        <v>100.999999999884</v>
      </c>
      <c r="L1002" s="22">
        <f t="shared" si="77"/>
        <v>36.9999999998836</v>
      </c>
      <c r="M1002" s="22" cm="1">
        <f ca="1" t="array" ref="M1002">SUMPRODUCT(--(WEEKDAY(ROW(INDIRECT(INT(F1002)&amp;":"&amp;INT(I1002))),2)&gt;5))</f>
        <v>2</v>
      </c>
      <c r="N1002" s="22">
        <f ca="1" t="shared" si="78"/>
        <v>20.9999999998836</v>
      </c>
      <c r="O1002" s="22" t="str">
        <f ca="1" t="shared" si="79"/>
        <v>SLA Violated</v>
      </c>
      <c r="P1002" s="23" t="s">
        <v>4064</v>
      </c>
      <c r="Q1002" s="24" t="s">
        <v>28</v>
      </c>
      <c r="R1002" s="25"/>
      <c r="S1002" s="25"/>
    </row>
    <row r="1003" ht="39" customHeight="1" spans="1:19">
      <c r="A1003" s="19" t="s">
        <v>4065</v>
      </c>
      <c r="B1003" s="20" t="s">
        <v>19</v>
      </c>
      <c r="C1003" s="20" t="s">
        <v>20</v>
      </c>
      <c r="D1003" s="20" t="s">
        <v>21</v>
      </c>
      <c r="E1003" s="21" t="s">
        <v>4060</v>
      </c>
      <c r="F1003" s="21" t="s">
        <v>4066</v>
      </c>
      <c r="G1003" s="20" t="s">
        <v>35</v>
      </c>
      <c r="H1003" s="20" t="s">
        <v>25</v>
      </c>
      <c r="I1003" s="21" t="s">
        <v>4067</v>
      </c>
      <c r="J1003" s="22">
        <f t="shared" si="75"/>
        <v>0.960416666661331</v>
      </c>
      <c r="K1003" s="22">
        <f t="shared" si="76"/>
        <v>23.0499999998719</v>
      </c>
      <c r="L1003" s="22">
        <f t="shared" si="77"/>
        <v>7.04999999987194</v>
      </c>
      <c r="M1003" s="22" cm="1">
        <f ca="1" t="array" ref="M1003">SUMPRODUCT(--(WEEKDAY(ROW(INDIRECT(INT(F1003)&amp;":"&amp;INT(I1003))),2)&gt;5))</f>
        <v>0</v>
      </c>
      <c r="N1003" s="22">
        <f ca="1" t="shared" si="78"/>
        <v>7.04999999987194</v>
      </c>
      <c r="O1003" s="22" t="str">
        <f ca="1" t="shared" si="79"/>
        <v>SLA Violated</v>
      </c>
      <c r="P1003" s="23" t="s">
        <v>4068</v>
      </c>
      <c r="Q1003" s="24" t="s">
        <v>28</v>
      </c>
      <c r="R1003" s="25"/>
      <c r="S1003" s="25"/>
    </row>
    <row r="1004" ht="27" customHeight="1" spans="1:19">
      <c r="A1004" s="19" t="s">
        <v>4069</v>
      </c>
      <c r="B1004" s="20" t="s">
        <v>30</v>
      </c>
      <c r="C1004" s="20" t="s">
        <v>2057</v>
      </c>
      <c r="D1004" s="20" t="s">
        <v>32</v>
      </c>
      <c r="E1004" s="21" t="s">
        <v>4070</v>
      </c>
      <c r="F1004" s="21" t="s">
        <v>4071</v>
      </c>
      <c r="G1004" s="20" t="s">
        <v>35</v>
      </c>
      <c r="H1004" s="20" t="s">
        <v>25</v>
      </c>
      <c r="I1004" s="21" t="s">
        <v>4072</v>
      </c>
      <c r="J1004" s="22">
        <f t="shared" si="75"/>
        <v>6.21875</v>
      </c>
      <c r="K1004" s="22">
        <f t="shared" si="76"/>
        <v>149.25</v>
      </c>
      <c r="L1004" s="22">
        <f t="shared" si="77"/>
        <v>53.25</v>
      </c>
      <c r="M1004" s="22" cm="1">
        <f ca="1" t="array" ref="M1004">SUMPRODUCT(--(WEEKDAY(ROW(INDIRECT(INT(F1004)&amp;":"&amp;INT(I1004))),2)&gt;5))</f>
        <v>2</v>
      </c>
      <c r="N1004" s="22">
        <f ca="1" t="shared" si="78"/>
        <v>37.25</v>
      </c>
      <c r="O1004" s="22" t="str">
        <f ca="1" t="shared" si="79"/>
        <v>SLA Violated</v>
      </c>
      <c r="P1004" s="26" t="s">
        <v>4069</v>
      </c>
      <c r="Q1004" s="24" t="s">
        <v>28</v>
      </c>
      <c r="R1004" s="25"/>
      <c r="S1004" s="25"/>
    </row>
    <row r="1005" ht="39" customHeight="1" spans="1:19">
      <c r="A1005" s="19" t="s">
        <v>4073</v>
      </c>
      <c r="B1005" s="20" t="s">
        <v>19</v>
      </c>
      <c r="C1005" s="20" t="s">
        <v>20</v>
      </c>
      <c r="D1005" s="20" t="s">
        <v>32</v>
      </c>
      <c r="E1005" s="21" t="s">
        <v>4070</v>
      </c>
      <c r="F1005" s="21" t="s">
        <v>4074</v>
      </c>
      <c r="G1005" s="20" t="s">
        <v>35</v>
      </c>
      <c r="H1005" s="20" t="s">
        <v>25</v>
      </c>
      <c r="I1005" s="21" t="s">
        <v>4075</v>
      </c>
      <c r="J1005" s="22">
        <f t="shared" si="75"/>
        <v>14.0909722222204</v>
      </c>
      <c r="K1005" s="22">
        <f t="shared" si="76"/>
        <v>338.183333333291</v>
      </c>
      <c r="L1005" s="22">
        <f t="shared" si="77"/>
        <v>114.183333333291</v>
      </c>
      <c r="M1005" s="22" cm="1">
        <f ca="1" t="array" ref="M1005">SUMPRODUCT(--(WEEKDAY(ROW(INDIRECT(INT(F1005)&amp;":"&amp;INT(I1005))),2)&gt;5))</f>
        <v>4</v>
      </c>
      <c r="N1005" s="22">
        <f ca="1" t="shared" si="78"/>
        <v>82.183333333291</v>
      </c>
      <c r="O1005" s="22" t="str">
        <f ca="1" t="shared" si="79"/>
        <v>SLA Violated</v>
      </c>
      <c r="P1005" s="23" t="s">
        <v>4076</v>
      </c>
      <c r="Q1005" s="24" t="s">
        <v>28</v>
      </c>
      <c r="R1005" s="25"/>
      <c r="S1005" s="25"/>
    </row>
    <row r="1006" ht="27" customHeight="1" spans="1:19">
      <c r="A1006" s="19" t="s">
        <v>4077</v>
      </c>
      <c r="B1006" s="20" t="s">
        <v>30</v>
      </c>
      <c r="C1006" s="20" t="s">
        <v>2057</v>
      </c>
      <c r="D1006" s="20" t="s">
        <v>32</v>
      </c>
      <c r="E1006" s="21" t="s">
        <v>4078</v>
      </c>
      <c r="F1006" s="21" t="s">
        <v>4079</v>
      </c>
      <c r="G1006" s="20" t="s">
        <v>35</v>
      </c>
      <c r="H1006" s="20" t="s">
        <v>25</v>
      </c>
      <c r="I1006" s="21" t="s">
        <v>4075</v>
      </c>
      <c r="J1006" s="22">
        <f t="shared" si="75"/>
        <v>15.2319444444438</v>
      </c>
      <c r="K1006" s="22">
        <f t="shared" si="76"/>
        <v>365.566666666651</v>
      </c>
      <c r="L1006" s="22">
        <f t="shared" si="77"/>
        <v>125.566666666651</v>
      </c>
      <c r="M1006" s="22" cm="1">
        <f ca="1" t="array" ref="M1006">SUMPRODUCT(--(WEEKDAY(ROW(INDIRECT(INT(F1006)&amp;":"&amp;INT(I1006))),2)&gt;5))</f>
        <v>4</v>
      </c>
      <c r="N1006" s="22">
        <f ca="1" t="shared" si="78"/>
        <v>93.566666666651</v>
      </c>
      <c r="O1006" s="22" t="str">
        <f ca="1" t="shared" si="79"/>
        <v>SLA Violated</v>
      </c>
      <c r="P1006" s="26" t="s">
        <v>4077</v>
      </c>
      <c r="Q1006" s="24" t="s">
        <v>28</v>
      </c>
      <c r="R1006" s="25"/>
      <c r="S1006" s="25"/>
    </row>
    <row r="1007" ht="39" customHeight="1" spans="1:19">
      <c r="A1007" s="19" t="s">
        <v>4080</v>
      </c>
      <c r="B1007" s="20" t="s">
        <v>19</v>
      </c>
      <c r="C1007" s="20" t="s">
        <v>20</v>
      </c>
      <c r="D1007" s="20" t="s">
        <v>21</v>
      </c>
      <c r="E1007" s="21" t="s">
        <v>4078</v>
      </c>
      <c r="F1007" s="21" t="s">
        <v>4081</v>
      </c>
      <c r="G1007" s="20" t="s">
        <v>35</v>
      </c>
      <c r="H1007" s="20" t="s">
        <v>25</v>
      </c>
      <c r="I1007" s="21" t="s">
        <v>4082</v>
      </c>
      <c r="J1007" s="22">
        <f t="shared" si="75"/>
        <v>0.243055555554747</v>
      </c>
      <c r="K1007" s="22">
        <f t="shared" si="76"/>
        <v>5.83333333331393</v>
      </c>
      <c r="L1007" s="22">
        <f t="shared" si="77"/>
        <v>5.83333333331393</v>
      </c>
      <c r="M1007" s="22" cm="1">
        <f ca="1" t="array" ref="M1007">SUMPRODUCT(--(WEEKDAY(ROW(INDIRECT(INT(F1007)&amp;":"&amp;INT(I1007))),2)&gt;5))</f>
        <v>0</v>
      </c>
      <c r="N1007" s="22">
        <f ca="1" t="shared" si="78"/>
        <v>5.83333333331393</v>
      </c>
      <c r="O1007" s="22" t="str">
        <f ca="1" t="shared" si="79"/>
        <v>SLA Violated</v>
      </c>
      <c r="P1007" s="23" t="s">
        <v>4083</v>
      </c>
      <c r="Q1007" s="24" t="s">
        <v>28</v>
      </c>
      <c r="R1007" s="25"/>
      <c r="S1007" s="25"/>
    </row>
    <row r="1008" ht="39" customHeight="1" spans="1:19">
      <c r="A1008" s="19" t="s">
        <v>4084</v>
      </c>
      <c r="B1008" s="20" t="s">
        <v>19</v>
      </c>
      <c r="C1008" s="20" t="s">
        <v>20</v>
      </c>
      <c r="D1008" s="20" t="s">
        <v>32</v>
      </c>
      <c r="E1008" s="21" t="s">
        <v>4085</v>
      </c>
      <c r="F1008" s="21" t="s">
        <v>4086</v>
      </c>
      <c r="G1008" s="20" t="s">
        <v>35</v>
      </c>
      <c r="H1008" s="20" t="s">
        <v>25</v>
      </c>
      <c r="I1008" s="21" t="s">
        <v>4087</v>
      </c>
      <c r="J1008" s="22">
        <f t="shared" si="75"/>
        <v>5.99027777777519</v>
      </c>
      <c r="K1008" s="22">
        <f t="shared" si="76"/>
        <v>143.766666666605</v>
      </c>
      <c r="L1008" s="22">
        <f t="shared" si="77"/>
        <v>47.7666666666046</v>
      </c>
      <c r="M1008" s="22" cm="1">
        <f ca="1" t="array" ref="M1008">SUMPRODUCT(--(WEEKDAY(ROW(INDIRECT(INT(F1008)&amp;":"&amp;INT(I1008))),2)&gt;5))</f>
        <v>2</v>
      </c>
      <c r="N1008" s="22">
        <f ca="1" t="shared" si="78"/>
        <v>31.7666666666046</v>
      </c>
      <c r="O1008" s="22" t="str">
        <f ca="1" t="shared" si="79"/>
        <v>SLA Violated</v>
      </c>
      <c r="P1008" s="23" t="s">
        <v>4088</v>
      </c>
      <c r="Q1008" s="24" t="s">
        <v>37</v>
      </c>
      <c r="R1008" s="25" t="s">
        <v>439</v>
      </c>
      <c r="S1008" s="25" t="s">
        <v>39</v>
      </c>
    </row>
    <row r="1009" ht="27" customHeight="1" spans="1:19">
      <c r="A1009" s="19" t="s">
        <v>4089</v>
      </c>
      <c r="B1009" s="20" t="s">
        <v>30</v>
      </c>
      <c r="C1009" s="20" t="s">
        <v>31</v>
      </c>
      <c r="D1009" s="20" t="s">
        <v>32</v>
      </c>
      <c r="E1009" s="21" t="s">
        <v>4090</v>
      </c>
      <c r="F1009" s="21" t="s">
        <v>4091</v>
      </c>
      <c r="G1009" s="20" t="s">
        <v>35</v>
      </c>
      <c r="H1009" s="20" t="s">
        <v>25</v>
      </c>
      <c r="I1009" s="21" t="s">
        <v>3765</v>
      </c>
      <c r="J1009" s="22">
        <f t="shared" si="75"/>
        <v>0.978472222217533</v>
      </c>
      <c r="K1009" s="22">
        <f t="shared" si="76"/>
        <v>23.4833333332208</v>
      </c>
      <c r="L1009" s="22">
        <f t="shared" si="77"/>
        <v>7.4833333332208</v>
      </c>
      <c r="M1009" s="22" cm="1">
        <f ca="1" t="array" ref="M1009">SUMPRODUCT(--(WEEKDAY(ROW(INDIRECT(INT(F1009)&amp;":"&amp;INT(I1009))),2)&gt;5))</f>
        <v>0</v>
      </c>
      <c r="N1009" s="22">
        <f ca="1" t="shared" si="78"/>
        <v>7.4833333332208</v>
      </c>
      <c r="O1009" s="22" t="str">
        <f ca="1" t="shared" si="79"/>
        <v>Within SLA</v>
      </c>
      <c r="P1009" s="26" t="s">
        <v>4089</v>
      </c>
      <c r="Q1009" s="24" t="s">
        <v>37</v>
      </c>
      <c r="R1009" s="25"/>
      <c r="S1009" s="25"/>
    </row>
    <row r="1010" ht="27" customHeight="1" spans="1:19">
      <c r="A1010" s="19" t="s">
        <v>4092</v>
      </c>
      <c r="B1010" s="20" t="s">
        <v>1047</v>
      </c>
      <c r="C1010" s="20" t="s">
        <v>849</v>
      </c>
      <c r="D1010" s="20" t="s">
        <v>32</v>
      </c>
      <c r="E1010" s="21" t="s">
        <v>3895</v>
      </c>
      <c r="F1010" s="21" t="s">
        <v>4093</v>
      </c>
      <c r="G1010" s="20" t="s">
        <v>35</v>
      </c>
      <c r="H1010" s="20" t="s">
        <v>25</v>
      </c>
      <c r="I1010" s="21" t="s">
        <v>4094</v>
      </c>
      <c r="J1010" s="22">
        <f t="shared" si="75"/>
        <v>1.11041666666279</v>
      </c>
      <c r="K1010" s="22">
        <f t="shared" si="76"/>
        <v>26.6499999999069</v>
      </c>
      <c r="L1010" s="22">
        <f t="shared" si="77"/>
        <v>10.6499999999069</v>
      </c>
      <c r="M1010" s="22" cm="1">
        <f ca="1" t="array" ref="M1010">SUMPRODUCT(--(WEEKDAY(ROW(INDIRECT(INT(F1010)&amp;":"&amp;INT(I1010))),2)&gt;5))</f>
        <v>0</v>
      </c>
      <c r="N1010" s="22">
        <f ca="1" t="shared" si="78"/>
        <v>10.6499999999069</v>
      </c>
      <c r="O1010" s="22" t="str">
        <f ca="1" t="shared" si="79"/>
        <v>Within SLA</v>
      </c>
      <c r="P1010" s="26" t="s">
        <v>4092</v>
      </c>
      <c r="Q1010" s="24" t="s">
        <v>37</v>
      </c>
      <c r="R1010" s="25"/>
      <c r="S1010" s="25"/>
    </row>
    <row r="1011" ht="27" customHeight="1" spans="1:19">
      <c r="A1011" s="19" t="s">
        <v>4095</v>
      </c>
      <c r="B1011" s="20" t="s">
        <v>30</v>
      </c>
      <c r="C1011" s="20" t="s">
        <v>2057</v>
      </c>
      <c r="D1011" s="20" t="s">
        <v>32</v>
      </c>
      <c r="E1011" s="21" t="s">
        <v>3895</v>
      </c>
      <c r="F1011" s="21" t="s">
        <v>4096</v>
      </c>
      <c r="G1011" s="20" t="s">
        <v>35</v>
      </c>
      <c r="H1011" s="20" t="s">
        <v>25</v>
      </c>
      <c r="I1011" s="21" t="s">
        <v>4097</v>
      </c>
      <c r="J1011" s="22">
        <f t="shared" si="75"/>
        <v>6.20138888889051</v>
      </c>
      <c r="K1011" s="22">
        <f t="shared" si="76"/>
        <v>148.833333333372</v>
      </c>
      <c r="L1011" s="22">
        <f t="shared" si="77"/>
        <v>52.8333333333721</v>
      </c>
      <c r="M1011" s="22" cm="1">
        <f ca="1" t="array" ref="M1011">SUMPRODUCT(--(WEEKDAY(ROW(INDIRECT(INT(F1011)&amp;":"&amp;INT(I1011))),2)&gt;5))</f>
        <v>2</v>
      </c>
      <c r="N1011" s="22">
        <f ca="1" t="shared" si="78"/>
        <v>36.8333333333721</v>
      </c>
      <c r="O1011" s="22" t="str">
        <f ca="1" t="shared" si="79"/>
        <v>SLA Violated</v>
      </c>
      <c r="P1011" s="26" t="s">
        <v>4095</v>
      </c>
      <c r="Q1011" s="24" t="s">
        <v>28</v>
      </c>
      <c r="R1011" s="25"/>
      <c r="S1011" s="25"/>
    </row>
    <row r="1012" ht="27" customHeight="1" spans="1:19">
      <c r="A1012" s="19" t="s">
        <v>4098</v>
      </c>
      <c r="B1012" s="20" t="s">
        <v>30</v>
      </c>
      <c r="C1012" s="20" t="s">
        <v>31</v>
      </c>
      <c r="D1012" s="20" t="s">
        <v>32</v>
      </c>
      <c r="E1012" s="21" t="s">
        <v>4099</v>
      </c>
      <c r="F1012" s="21" t="s">
        <v>4100</v>
      </c>
      <c r="G1012" s="20" t="s">
        <v>35</v>
      </c>
      <c r="H1012" s="20" t="s">
        <v>25</v>
      </c>
      <c r="I1012" s="21" t="s">
        <v>4101</v>
      </c>
      <c r="J1012" s="22">
        <f t="shared" si="75"/>
        <v>0.00347222221898846</v>
      </c>
      <c r="K1012" s="22">
        <f t="shared" si="76"/>
        <v>0.0833333332557231</v>
      </c>
      <c r="L1012" s="22">
        <f t="shared" si="77"/>
        <v>0.0833333332557231</v>
      </c>
      <c r="M1012" s="22" cm="1">
        <f ca="1" t="array" ref="M1012">SUMPRODUCT(--(WEEKDAY(ROW(INDIRECT(INT(F1012)&amp;":"&amp;INT(I1012))),2)&gt;5))</f>
        <v>0</v>
      </c>
      <c r="N1012" s="22">
        <f ca="1" t="shared" si="78"/>
        <v>0.0833333332557231</v>
      </c>
      <c r="O1012" s="22" t="str">
        <f ca="1" t="shared" si="79"/>
        <v>Within SLA</v>
      </c>
      <c r="P1012" s="26" t="s">
        <v>4098</v>
      </c>
      <c r="Q1012" s="24" t="s">
        <v>37</v>
      </c>
      <c r="R1012" s="25"/>
      <c r="S1012" s="25"/>
    </row>
    <row r="1013" ht="27" customHeight="1" spans="1:19">
      <c r="A1013" s="19" t="s">
        <v>4102</v>
      </c>
      <c r="B1013" s="20" t="s">
        <v>121</v>
      </c>
      <c r="C1013" s="20" t="s">
        <v>849</v>
      </c>
      <c r="D1013" s="20" t="s">
        <v>32</v>
      </c>
      <c r="E1013" s="21" t="s">
        <v>4100</v>
      </c>
      <c r="F1013" s="21" t="s">
        <v>4103</v>
      </c>
      <c r="G1013" s="20" t="s">
        <v>35</v>
      </c>
      <c r="H1013" s="20" t="s">
        <v>25</v>
      </c>
      <c r="I1013" s="21" t="s">
        <v>4104</v>
      </c>
      <c r="J1013" s="22">
        <f t="shared" si="75"/>
        <v>18.0666666666657</v>
      </c>
      <c r="K1013" s="22">
        <f t="shared" si="76"/>
        <v>433.599999999977</v>
      </c>
      <c r="L1013" s="22">
        <f t="shared" si="77"/>
        <v>145.599999999977</v>
      </c>
      <c r="M1013" s="22" cm="1">
        <f ca="1" t="array" ref="M1013">SUMPRODUCT(--(WEEKDAY(ROW(INDIRECT(INT(F1013)&amp;":"&amp;INT(I1013))),2)&gt;5))</f>
        <v>6</v>
      </c>
      <c r="N1013" s="22">
        <f ca="1" t="shared" si="78"/>
        <v>97.599999999977</v>
      </c>
      <c r="O1013" s="22" t="str">
        <f ca="1" t="shared" si="79"/>
        <v>SLA Violated</v>
      </c>
      <c r="P1013" s="23" t="s">
        <v>4105</v>
      </c>
      <c r="Q1013" s="24" t="s">
        <v>28</v>
      </c>
      <c r="R1013" s="25"/>
      <c r="S1013" s="25"/>
    </row>
    <row r="1014" ht="27" customHeight="1" spans="1:19">
      <c r="A1014" s="19" t="s">
        <v>4106</v>
      </c>
      <c r="B1014" s="20" t="s">
        <v>30</v>
      </c>
      <c r="C1014" s="20" t="s">
        <v>2057</v>
      </c>
      <c r="D1014" s="20" t="s">
        <v>32</v>
      </c>
      <c r="E1014" s="21" t="s">
        <v>4107</v>
      </c>
      <c r="F1014" s="21" t="s">
        <v>4108</v>
      </c>
      <c r="G1014" s="20" t="s">
        <v>35</v>
      </c>
      <c r="H1014" s="20" t="s">
        <v>25</v>
      </c>
      <c r="I1014" s="21" t="s">
        <v>4109</v>
      </c>
      <c r="J1014" s="22">
        <f t="shared" si="75"/>
        <v>6.18194444444816</v>
      </c>
      <c r="K1014" s="22">
        <f t="shared" si="76"/>
        <v>148.366666666756</v>
      </c>
      <c r="L1014" s="22">
        <f t="shared" si="77"/>
        <v>52.3666666667559</v>
      </c>
      <c r="M1014" s="22" cm="1">
        <f ca="1" t="array" ref="M1014">SUMPRODUCT(--(WEEKDAY(ROW(INDIRECT(INT(F1014)&amp;":"&amp;INT(I1014))),2)&gt;5))</f>
        <v>2</v>
      </c>
      <c r="N1014" s="22">
        <f ca="1" t="shared" si="78"/>
        <v>36.3666666667559</v>
      </c>
      <c r="O1014" s="22" t="str">
        <f ca="1" t="shared" si="79"/>
        <v>SLA Violated</v>
      </c>
      <c r="P1014" s="26" t="s">
        <v>4106</v>
      </c>
      <c r="Q1014" s="24" t="s">
        <v>28</v>
      </c>
      <c r="R1014" s="25"/>
      <c r="S1014" s="25"/>
    </row>
    <row r="1015" ht="39" customHeight="1" spans="1:19">
      <c r="A1015" s="19" t="s">
        <v>4110</v>
      </c>
      <c r="B1015" s="20" t="s">
        <v>19</v>
      </c>
      <c r="C1015" s="20" t="s">
        <v>20</v>
      </c>
      <c r="D1015" s="20" t="s">
        <v>105</v>
      </c>
      <c r="E1015" s="21" t="s">
        <v>4111</v>
      </c>
      <c r="F1015" s="21" t="s">
        <v>4112</v>
      </c>
      <c r="G1015" s="20" t="s">
        <v>35</v>
      </c>
      <c r="H1015" s="20" t="s">
        <v>25</v>
      </c>
      <c r="I1015" s="21" t="s">
        <v>4113</v>
      </c>
      <c r="J1015" s="22">
        <f t="shared" si="75"/>
        <v>1.1611111111124</v>
      </c>
      <c r="K1015" s="22">
        <f t="shared" si="76"/>
        <v>27.8666666666977</v>
      </c>
      <c r="L1015" s="22">
        <f t="shared" si="77"/>
        <v>11.8666666666977</v>
      </c>
      <c r="M1015" s="22" cm="1">
        <f ca="1" t="array" ref="M1015">SUMPRODUCT(--(WEEKDAY(ROW(INDIRECT(INT(F1015)&amp;":"&amp;INT(I1015))),2)&gt;5))</f>
        <v>0</v>
      </c>
      <c r="N1015" s="22">
        <f ca="1" t="shared" si="78"/>
        <v>11.8666666666977</v>
      </c>
      <c r="O1015" s="22" t="str">
        <f ca="1" t="shared" si="79"/>
        <v>SLA Violated</v>
      </c>
      <c r="P1015" s="26" t="s">
        <v>4110</v>
      </c>
      <c r="Q1015" s="24" t="s">
        <v>37</v>
      </c>
      <c r="R1015" s="6" t="s">
        <v>109</v>
      </c>
      <c r="S1015" s="25" t="s">
        <v>39</v>
      </c>
    </row>
    <row r="1016" ht="27" customHeight="1" spans="1:19">
      <c r="A1016" s="19" t="s">
        <v>4114</v>
      </c>
      <c r="B1016" s="20" t="s">
        <v>30</v>
      </c>
      <c r="C1016" s="20" t="s">
        <v>31</v>
      </c>
      <c r="D1016" s="20" t="s">
        <v>32</v>
      </c>
      <c r="E1016" s="21" t="s">
        <v>4111</v>
      </c>
      <c r="F1016" s="21" t="s">
        <v>4115</v>
      </c>
      <c r="G1016" s="20" t="s">
        <v>35</v>
      </c>
      <c r="H1016" s="20" t="s">
        <v>25</v>
      </c>
      <c r="I1016" s="21" t="s">
        <v>4116</v>
      </c>
      <c r="J1016" s="22">
        <f t="shared" si="75"/>
        <v>0.948611111110949</v>
      </c>
      <c r="K1016" s="22">
        <f t="shared" si="76"/>
        <v>22.7666666666628</v>
      </c>
      <c r="L1016" s="22">
        <f t="shared" si="77"/>
        <v>6.76666666666279</v>
      </c>
      <c r="M1016" s="22" cm="1">
        <f ca="1" t="array" ref="M1016">SUMPRODUCT(--(WEEKDAY(ROW(INDIRECT(INT(F1016)&amp;":"&amp;INT(I1016))),2)&gt;5))</f>
        <v>0</v>
      </c>
      <c r="N1016" s="22">
        <f ca="1" t="shared" si="78"/>
        <v>6.76666666666279</v>
      </c>
      <c r="O1016" s="22" t="str">
        <f ca="1" t="shared" si="79"/>
        <v>Within SLA</v>
      </c>
      <c r="P1016" s="26" t="s">
        <v>4114</v>
      </c>
      <c r="Q1016" s="24" t="s">
        <v>37</v>
      </c>
      <c r="R1016" s="25"/>
      <c r="S1016" s="25"/>
    </row>
    <row r="1017" ht="27" customHeight="1" spans="1:19">
      <c r="A1017" s="19" t="s">
        <v>4117</v>
      </c>
      <c r="B1017" s="20" t="s">
        <v>30</v>
      </c>
      <c r="C1017" s="20" t="s">
        <v>2057</v>
      </c>
      <c r="D1017" s="20" t="s">
        <v>32</v>
      </c>
      <c r="E1017" s="21" t="s">
        <v>4118</v>
      </c>
      <c r="F1017" s="21" t="s">
        <v>4119</v>
      </c>
      <c r="G1017" s="20" t="s">
        <v>35</v>
      </c>
      <c r="H1017" s="20" t="s">
        <v>25</v>
      </c>
      <c r="I1017" s="21" t="s">
        <v>4120</v>
      </c>
      <c r="J1017" s="22">
        <f t="shared" si="75"/>
        <v>23.9333333333343</v>
      </c>
      <c r="K1017" s="22">
        <f t="shared" si="76"/>
        <v>574.400000000023</v>
      </c>
      <c r="L1017" s="22">
        <f t="shared" si="77"/>
        <v>190.400000000023</v>
      </c>
      <c r="M1017" s="22" cm="1">
        <f ca="1" t="array" ref="M1017">SUMPRODUCT(--(WEEKDAY(ROW(INDIRECT(INT(F1017)&amp;":"&amp;INT(I1017))),2)&gt;5))</f>
        <v>8</v>
      </c>
      <c r="N1017" s="22">
        <f ca="1" t="shared" si="78"/>
        <v>126.400000000023</v>
      </c>
      <c r="O1017" s="22" t="str">
        <f ca="1" t="shared" si="79"/>
        <v>SLA Violated</v>
      </c>
      <c r="P1017" s="26" t="s">
        <v>4117</v>
      </c>
      <c r="Q1017" s="24" t="s">
        <v>28</v>
      </c>
      <c r="R1017" s="25"/>
      <c r="S1017" s="25"/>
    </row>
    <row r="1018" ht="27" customHeight="1" spans="1:19">
      <c r="A1018" s="19" t="s">
        <v>4121</v>
      </c>
      <c r="B1018" s="20" t="s">
        <v>30</v>
      </c>
      <c r="C1018" s="20" t="s">
        <v>2057</v>
      </c>
      <c r="D1018" s="20" t="s">
        <v>32</v>
      </c>
      <c r="E1018" s="21" t="s">
        <v>4118</v>
      </c>
      <c r="F1018" s="21" t="s">
        <v>4122</v>
      </c>
      <c r="G1018" s="20" t="s">
        <v>35</v>
      </c>
      <c r="H1018" s="20" t="s">
        <v>25</v>
      </c>
      <c r="I1018" s="21" t="s">
        <v>4123</v>
      </c>
      <c r="J1018" s="22">
        <f t="shared" si="75"/>
        <v>7.15694444444671</v>
      </c>
      <c r="K1018" s="22">
        <f t="shared" si="76"/>
        <v>171.766666666721</v>
      </c>
      <c r="L1018" s="22">
        <f t="shared" si="77"/>
        <v>59.766666666721</v>
      </c>
      <c r="M1018" s="22" cm="1">
        <f ca="1" t="array" ref="M1018">SUMPRODUCT(--(WEEKDAY(ROW(INDIRECT(INT(F1018)&amp;":"&amp;INT(I1018))),2)&gt;5))</f>
        <v>2</v>
      </c>
      <c r="N1018" s="22">
        <f ca="1" t="shared" si="78"/>
        <v>43.766666666721</v>
      </c>
      <c r="O1018" s="22" t="str">
        <f ca="1" t="shared" si="79"/>
        <v>SLA Violated</v>
      </c>
      <c r="P1018" s="26" t="s">
        <v>4121</v>
      </c>
      <c r="Q1018" s="24" t="s">
        <v>28</v>
      </c>
      <c r="R1018" s="25"/>
      <c r="S1018" s="25"/>
    </row>
    <row r="1019" ht="27" customHeight="1" spans="1:19">
      <c r="A1019" s="19" t="s">
        <v>4124</v>
      </c>
      <c r="B1019" s="20" t="s">
        <v>30</v>
      </c>
      <c r="C1019" s="20" t="s">
        <v>46</v>
      </c>
      <c r="D1019" s="20" t="s">
        <v>32</v>
      </c>
      <c r="E1019" s="21" t="s">
        <v>4125</v>
      </c>
      <c r="F1019" s="21" t="s">
        <v>4126</v>
      </c>
      <c r="G1019" s="20" t="s">
        <v>35</v>
      </c>
      <c r="H1019" s="20" t="s">
        <v>25</v>
      </c>
      <c r="I1019" s="21" t="s">
        <v>4127</v>
      </c>
      <c r="J1019" s="22">
        <f t="shared" si="75"/>
        <v>0.0638888888861402</v>
      </c>
      <c r="K1019" s="22">
        <f t="shared" si="76"/>
        <v>1.53333333326736</v>
      </c>
      <c r="L1019" s="22">
        <f t="shared" si="77"/>
        <v>1.53333333326736</v>
      </c>
      <c r="M1019" s="22" cm="1">
        <f ca="1" t="array" ref="M1019">SUMPRODUCT(--(WEEKDAY(ROW(INDIRECT(INT(F1019)&amp;":"&amp;INT(I1019))),2)&gt;5))</f>
        <v>0</v>
      </c>
      <c r="N1019" s="22">
        <f ca="1" t="shared" si="78"/>
        <v>1.53333333326736</v>
      </c>
      <c r="O1019" s="22" t="str">
        <f ca="1" t="shared" si="79"/>
        <v>Within SLA</v>
      </c>
      <c r="P1019" s="26" t="s">
        <v>4124</v>
      </c>
      <c r="Q1019" s="24" t="s">
        <v>37</v>
      </c>
      <c r="R1019" s="25"/>
      <c r="S1019" s="25"/>
    </row>
    <row r="1020" ht="27" customHeight="1" spans="1:19">
      <c r="A1020" s="19" t="s">
        <v>4128</v>
      </c>
      <c r="B1020" s="20" t="s">
        <v>30</v>
      </c>
      <c r="C1020" s="20" t="s">
        <v>31</v>
      </c>
      <c r="D1020" s="20" t="s">
        <v>32</v>
      </c>
      <c r="E1020" s="21" t="s">
        <v>4125</v>
      </c>
      <c r="F1020" s="21" t="s">
        <v>4129</v>
      </c>
      <c r="G1020" s="20" t="s">
        <v>35</v>
      </c>
      <c r="H1020" s="20" t="s">
        <v>25</v>
      </c>
      <c r="I1020" s="21" t="s">
        <v>4130</v>
      </c>
      <c r="J1020" s="22">
        <f t="shared" si="75"/>
        <v>0.954166666670062</v>
      </c>
      <c r="K1020" s="22">
        <f t="shared" si="76"/>
        <v>22.9000000000815</v>
      </c>
      <c r="L1020" s="22">
        <f t="shared" si="77"/>
        <v>6.90000000008149</v>
      </c>
      <c r="M1020" s="22" cm="1">
        <f ca="1" t="array" ref="M1020">SUMPRODUCT(--(WEEKDAY(ROW(INDIRECT(INT(F1020)&amp;":"&amp;INT(I1020))),2)&gt;5))</f>
        <v>0</v>
      </c>
      <c r="N1020" s="22">
        <f ca="1" t="shared" si="78"/>
        <v>6.90000000008149</v>
      </c>
      <c r="O1020" s="22" t="str">
        <f ca="1" t="shared" si="79"/>
        <v>Within SLA</v>
      </c>
      <c r="P1020" s="26" t="s">
        <v>4128</v>
      </c>
      <c r="Q1020" s="24" t="s">
        <v>37</v>
      </c>
      <c r="R1020" s="25"/>
      <c r="S1020" s="25"/>
    </row>
    <row r="1021" ht="27" customHeight="1" spans="1:19">
      <c r="A1021" s="19" t="s">
        <v>4131</v>
      </c>
      <c r="B1021" s="20" t="s">
        <v>30</v>
      </c>
      <c r="C1021" s="20" t="s">
        <v>2057</v>
      </c>
      <c r="D1021" s="20" t="s">
        <v>32</v>
      </c>
      <c r="E1021" s="21" t="s">
        <v>4132</v>
      </c>
      <c r="F1021" s="21" t="s">
        <v>4133</v>
      </c>
      <c r="G1021" s="20" t="s">
        <v>35</v>
      </c>
      <c r="H1021" s="20" t="s">
        <v>25</v>
      </c>
      <c r="I1021" s="21" t="s">
        <v>4134</v>
      </c>
      <c r="J1021" s="22">
        <f t="shared" si="75"/>
        <v>6.97986111111095</v>
      </c>
      <c r="K1021" s="22">
        <f t="shared" si="76"/>
        <v>167.516666666663</v>
      </c>
      <c r="L1021" s="22">
        <f t="shared" si="77"/>
        <v>55.5166666666628</v>
      </c>
      <c r="M1021" s="22" cm="1">
        <f ca="1" t="array" ref="M1021">SUMPRODUCT(--(WEEKDAY(ROW(INDIRECT(INT(F1021)&amp;":"&amp;INT(I1021))),2)&gt;5))</f>
        <v>2</v>
      </c>
      <c r="N1021" s="22">
        <f ca="1" t="shared" si="78"/>
        <v>39.5166666666628</v>
      </c>
      <c r="O1021" s="22" t="str">
        <f ca="1" t="shared" si="79"/>
        <v>SLA Violated</v>
      </c>
      <c r="P1021" s="26" t="s">
        <v>4131</v>
      </c>
      <c r="Q1021" s="24" t="s">
        <v>28</v>
      </c>
      <c r="R1021" s="25"/>
      <c r="S1021" s="25"/>
    </row>
    <row r="1022" ht="39" customHeight="1" spans="1:19">
      <c r="A1022" s="19" t="s">
        <v>4135</v>
      </c>
      <c r="B1022" s="20" t="s">
        <v>19</v>
      </c>
      <c r="C1022" s="20" t="s">
        <v>20</v>
      </c>
      <c r="D1022" s="20" t="s">
        <v>32</v>
      </c>
      <c r="E1022" s="21" t="s">
        <v>4136</v>
      </c>
      <c r="F1022" s="21" t="s">
        <v>4137</v>
      </c>
      <c r="G1022" s="20" t="s">
        <v>35</v>
      </c>
      <c r="H1022" s="20" t="s">
        <v>25</v>
      </c>
      <c r="I1022" s="21" t="s">
        <v>4138</v>
      </c>
      <c r="J1022" s="22">
        <f t="shared" si="75"/>
        <v>1.11249999999563</v>
      </c>
      <c r="K1022" s="22">
        <f t="shared" si="76"/>
        <v>26.6999999998952</v>
      </c>
      <c r="L1022" s="22">
        <f t="shared" si="77"/>
        <v>10.6999999998952</v>
      </c>
      <c r="M1022" s="22" cm="1">
        <f ca="1" t="array" ref="M1022">SUMPRODUCT(--(WEEKDAY(ROW(INDIRECT(INT(F1022)&amp;":"&amp;INT(I1022))),2)&gt;5))</f>
        <v>0</v>
      </c>
      <c r="N1022" s="22">
        <f ca="1" t="shared" si="78"/>
        <v>10.6999999998952</v>
      </c>
      <c r="O1022" s="22" t="str">
        <f ca="1" t="shared" si="79"/>
        <v>Within SLA</v>
      </c>
      <c r="P1022" s="26" t="s">
        <v>4135</v>
      </c>
      <c r="Q1022" s="24" t="s">
        <v>37</v>
      </c>
      <c r="R1022" s="25"/>
      <c r="S1022" s="25"/>
    </row>
    <row r="1023" ht="39" customHeight="1" spans="1:19">
      <c r="A1023" s="19" t="s">
        <v>4139</v>
      </c>
      <c r="B1023" s="20" t="s">
        <v>19</v>
      </c>
      <c r="C1023" s="20" t="s">
        <v>20</v>
      </c>
      <c r="D1023" s="20" t="s">
        <v>32</v>
      </c>
      <c r="E1023" s="21" t="s">
        <v>4134</v>
      </c>
      <c r="F1023" s="21" t="s">
        <v>4140</v>
      </c>
      <c r="G1023" s="20" t="s">
        <v>35</v>
      </c>
      <c r="H1023" s="20" t="s">
        <v>25</v>
      </c>
      <c r="I1023" s="21" t="s">
        <v>4141</v>
      </c>
      <c r="J1023" s="22">
        <f t="shared" si="75"/>
        <v>0.144444444449618</v>
      </c>
      <c r="K1023" s="22">
        <f t="shared" si="76"/>
        <v>3.46666666679084</v>
      </c>
      <c r="L1023" s="22">
        <f t="shared" si="77"/>
        <v>3.46666666679084</v>
      </c>
      <c r="M1023" s="22" cm="1">
        <f ca="1" t="array" ref="M1023">SUMPRODUCT(--(WEEKDAY(ROW(INDIRECT(INT(F1023)&amp;":"&amp;INT(I1023))),2)&gt;5))</f>
        <v>0</v>
      </c>
      <c r="N1023" s="22">
        <f ca="1" t="shared" si="78"/>
        <v>3.46666666679084</v>
      </c>
      <c r="O1023" s="22" t="str">
        <f ca="1" t="shared" si="79"/>
        <v>Within SLA</v>
      </c>
      <c r="P1023" s="26" t="s">
        <v>4139</v>
      </c>
      <c r="Q1023" s="24" t="s">
        <v>37</v>
      </c>
      <c r="R1023" s="25"/>
      <c r="S1023" s="25"/>
    </row>
    <row r="1024" ht="27" customHeight="1" spans="1:19">
      <c r="A1024" s="19" t="s">
        <v>4142</v>
      </c>
      <c r="B1024" s="20" t="s">
        <v>30</v>
      </c>
      <c r="C1024" s="20" t="s">
        <v>2057</v>
      </c>
      <c r="D1024" s="20" t="s">
        <v>32</v>
      </c>
      <c r="E1024" s="21" t="s">
        <v>4143</v>
      </c>
      <c r="F1024" s="21" t="s">
        <v>4144</v>
      </c>
      <c r="G1024" s="20" t="s">
        <v>35</v>
      </c>
      <c r="H1024" s="20" t="s">
        <v>25</v>
      </c>
      <c r="I1024" s="21" t="s">
        <v>4145</v>
      </c>
      <c r="J1024" s="22">
        <f t="shared" si="75"/>
        <v>6.15069444444089</v>
      </c>
      <c r="K1024" s="22">
        <f t="shared" si="76"/>
        <v>147.616666666581</v>
      </c>
      <c r="L1024" s="22">
        <f t="shared" si="77"/>
        <v>51.6166666665813</v>
      </c>
      <c r="M1024" s="22" cm="1">
        <f ca="1" t="array" ref="M1024">SUMPRODUCT(--(WEEKDAY(ROW(INDIRECT(INT(F1024)&amp;":"&amp;INT(I1024))),2)&gt;5))</f>
        <v>2</v>
      </c>
      <c r="N1024" s="22">
        <f ca="1" t="shared" si="78"/>
        <v>35.6166666665813</v>
      </c>
      <c r="O1024" s="22" t="str">
        <f ca="1" t="shared" si="79"/>
        <v>SLA Violated</v>
      </c>
      <c r="P1024" s="26" t="s">
        <v>4142</v>
      </c>
      <c r="Q1024" s="24" t="s">
        <v>28</v>
      </c>
      <c r="R1024" s="25"/>
      <c r="S1024" s="25"/>
    </row>
    <row r="1025" ht="27" customHeight="1" spans="1:19">
      <c r="A1025" s="19" t="s">
        <v>4146</v>
      </c>
      <c r="B1025" s="20" t="s">
        <v>30</v>
      </c>
      <c r="C1025" s="20" t="s">
        <v>46</v>
      </c>
      <c r="D1025" s="20" t="s">
        <v>32</v>
      </c>
      <c r="E1025" s="21" t="s">
        <v>4147</v>
      </c>
      <c r="F1025" s="21" t="s">
        <v>4148</v>
      </c>
      <c r="G1025" s="20" t="s">
        <v>35</v>
      </c>
      <c r="H1025" s="20" t="s">
        <v>25</v>
      </c>
      <c r="I1025" s="21" t="s">
        <v>4149</v>
      </c>
      <c r="J1025" s="22">
        <f t="shared" si="75"/>
        <v>0.868055555554747</v>
      </c>
      <c r="K1025" s="22">
        <f t="shared" si="76"/>
        <v>20.8333333333139</v>
      </c>
      <c r="L1025" s="22">
        <f t="shared" si="77"/>
        <v>4.83333333331393</v>
      </c>
      <c r="M1025" s="22" cm="1">
        <f ca="1" t="array" ref="M1025">SUMPRODUCT(--(WEEKDAY(ROW(INDIRECT(INT(F1025)&amp;":"&amp;INT(I1025))),2)&gt;5))</f>
        <v>0</v>
      </c>
      <c r="N1025" s="22">
        <f ca="1" t="shared" si="78"/>
        <v>4.83333333331393</v>
      </c>
      <c r="O1025" s="22" t="str">
        <f ca="1" t="shared" si="79"/>
        <v>Within SLA</v>
      </c>
      <c r="P1025" s="26" t="s">
        <v>4146</v>
      </c>
      <c r="Q1025" s="24" t="s">
        <v>37</v>
      </c>
      <c r="R1025" s="25"/>
      <c r="S1025" s="25"/>
    </row>
    <row r="1026" ht="27" customHeight="1" spans="1:19">
      <c r="A1026" s="19" t="s">
        <v>4150</v>
      </c>
      <c r="B1026" s="20" t="s">
        <v>30</v>
      </c>
      <c r="C1026" s="20" t="s">
        <v>2057</v>
      </c>
      <c r="D1026" s="20" t="s">
        <v>32</v>
      </c>
      <c r="E1026" s="21" t="s">
        <v>4151</v>
      </c>
      <c r="F1026" s="21" t="s">
        <v>4152</v>
      </c>
      <c r="G1026" s="20" t="s">
        <v>35</v>
      </c>
      <c r="H1026" s="20" t="s">
        <v>25</v>
      </c>
      <c r="I1026" s="21" t="s">
        <v>4153</v>
      </c>
      <c r="J1026" s="22">
        <f t="shared" si="75"/>
        <v>6.92013888889051</v>
      </c>
      <c r="K1026" s="22">
        <f t="shared" si="76"/>
        <v>166.083333333372</v>
      </c>
      <c r="L1026" s="22">
        <f t="shared" si="77"/>
        <v>54.0833333333721</v>
      </c>
      <c r="M1026" s="22" cm="1">
        <f ca="1" t="array" ref="M1026">SUMPRODUCT(--(WEEKDAY(ROW(INDIRECT(INT(F1026)&amp;":"&amp;INT(I1026))),2)&gt;5))</f>
        <v>2</v>
      </c>
      <c r="N1026" s="22">
        <f ca="1" t="shared" si="78"/>
        <v>38.0833333333721</v>
      </c>
      <c r="O1026" s="22" t="str">
        <f ca="1" t="shared" si="79"/>
        <v>SLA Violated</v>
      </c>
      <c r="P1026" s="26" t="s">
        <v>4150</v>
      </c>
      <c r="Q1026" s="24" t="s">
        <v>28</v>
      </c>
      <c r="R1026" s="25"/>
      <c r="S1026" s="25"/>
    </row>
    <row r="1027" ht="27" customHeight="1" spans="1:19">
      <c r="A1027" s="19" t="s">
        <v>4154</v>
      </c>
      <c r="B1027" s="20" t="s">
        <v>30</v>
      </c>
      <c r="C1027" s="20" t="s">
        <v>2057</v>
      </c>
      <c r="D1027" s="20" t="s">
        <v>32</v>
      </c>
      <c r="E1027" s="21" t="s">
        <v>4155</v>
      </c>
      <c r="F1027" s="21" t="s">
        <v>4156</v>
      </c>
      <c r="G1027" s="20" t="s">
        <v>35</v>
      </c>
      <c r="H1027" s="20" t="s">
        <v>25</v>
      </c>
      <c r="I1027" s="21" t="s">
        <v>4157</v>
      </c>
      <c r="J1027" s="22">
        <f t="shared" ref="J1027:J1090" si="80">F1027-I1027</f>
        <v>0.00486111110512866</v>
      </c>
      <c r="K1027" s="22">
        <f t="shared" ref="K1027:K1090" si="81">J1027*24</f>
        <v>0.116666666523088</v>
      </c>
      <c r="L1027" s="22">
        <f t="shared" ref="L1027:L1090" si="82">IF(_xlfn.DAYS(F1027,I1027)&gt;0,K1027-IF(FLOOR(J1027,1)=0,1,_xlfn.DAYS(F1027,I1027))*16,K1027)</f>
        <v>0.116666666523088</v>
      </c>
      <c r="M1027" s="22" cm="1">
        <f ca="1" t="array" ref="M1027">SUMPRODUCT(--(WEEKDAY(ROW(INDIRECT(INT(F1027)&amp;":"&amp;INT(I1027))),2)&gt;5))</f>
        <v>0</v>
      </c>
      <c r="N1027" s="22">
        <f ca="1" t="shared" ref="N1027:N1090" si="83">IF(IF(M1027&gt;0,L1027-M1027*8,L1027)&lt;0,0,IF(M1027&gt;0,L1027-M1027*8,L1027))</f>
        <v>0.116666666523088</v>
      </c>
      <c r="O1027" s="22" t="str">
        <f ca="1" t="shared" ref="O1027:O1090" si="84">IF(OR(AND(D1027="P1",N1027&lt;=3),AND(D1027="P2",N1027&lt;=6),AND(D1027="P3",N1027&lt;=9),AND(D1027="P4",N1027&lt;=12)),"Within SLA","SLA Violated")</f>
        <v>Within SLA</v>
      </c>
      <c r="P1027" s="26" t="s">
        <v>4154</v>
      </c>
      <c r="Q1027" s="24" t="s">
        <v>37</v>
      </c>
      <c r="R1027" s="25"/>
      <c r="S1027" s="25"/>
    </row>
    <row r="1028" ht="39" customHeight="1" spans="1:19">
      <c r="A1028" s="19" t="s">
        <v>4158</v>
      </c>
      <c r="B1028" s="20" t="s">
        <v>19</v>
      </c>
      <c r="C1028" s="20" t="s">
        <v>20</v>
      </c>
      <c r="D1028" s="20" t="s">
        <v>32</v>
      </c>
      <c r="E1028" s="21" t="s">
        <v>4155</v>
      </c>
      <c r="F1028" s="21" t="s">
        <v>4159</v>
      </c>
      <c r="G1028" s="20" t="s">
        <v>35</v>
      </c>
      <c r="H1028" s="20" t="s">
        <v>25</v>
      </c>
      <c r="I1028" s="21" t="s">
        <v>4160</v>
      </c>
      <c r="J1028" s="22">
        <f t="shared" si="80"/>
        <v>10.1506944444409</v>
      </c>
      <c r="K1028" s="22">
        <f t="shared" si="81"/>
        <v>243.616666666581</v>
      </c>
      <c r="L1028" s="22">
        <f t="shared" si="82"/>
        <v>83.6166666665813</v>
      </c>
      <c r="M1028" s="22" cm="1">
        <f ca="1" t="array" ref="M1028">SUMPRODUCT(--(WEEKDAY(ROW(INDIRECT(INT(F1028)&amp;":"&amp;INT(I1028))),2)&gt;5))</f>
        <v>2</v>
      </c>
      <c r="N1028" s="22">
        <f ca="1" t="shared" si="83"/>
        <v>67.6166666665813</v>
      </c>
      <c r="O1028" s="22" t="str">
        <f ca="1" t="shared" si="84"/>
        <v>SLA Violated</v>
      </c>
      <c r="P1028" s="23" t="s">
        <v>4161</v>
      </c>
      <c r="Q1028" s="24" t="s">
        <v>28</v>
      </c>
      <c r="R1028" s="25"/>
      <c r="S1028" s="25"/>
    </row>
    <row r="1029" ht="27" customHeight="1" spans="1:19">
      <c r="A1029" s="19" t="s">
        <v>4162</v>
      </c>
      <c r="B1029" s="20" t="s">
        <v>30</v>
      </c>
      <c r="C1029" s="20" t="s">
        <v>31</v>
      </c>
      <c r="D1029" s="20" t="s">
        <v>32</v>
      </c>
      <c r="E1029" s="21" t="s">
        <v>4163</v>
      </c>
      <c r="F1029" s="21" t="s">
        <v>4164</v>
      </c>
      <c r="G1029" s="20" t="s">
        <v>35</v>
      </c>
      <c r="H1029" s="20" t="s">
        <v>25</v>
      </c>
      <c r="I1029" s="21" t="s">
        <v>4165</v>
      </c>
      <c r="J1029" s="22">
        <f t="shared" si="80"/>
        <v>0.893055555556202</v>
      </c>
      <c r="K1029" s="22">
        <f t="shared" si="81"/>
        <v>21.4333333333489</v>
      </c>
      <c r="L1029" s="22">
        <f t="shared" si="82"/>
        <v>5.43333333334886</v>
      </c>
      <c r="M1029" s="22" cm="1">
        <f ca="1" t="array" ref="M1029">SUMPRODUCT(--(WEEKDAY(ROW(INDIRECT(INT(F1029)&amp;":"&amp;INT(I1029))),2)&gt;5))</f>
        <v>0</v>
      </c>
      <c r="N1029" s="22">
        <f ca="1" t="shared" si="83"/>
        <v>5.43333333334886</v>
      </c>
      <c r="O1029" s="22" t="str">
        <f ca="1" t="shared" si="84"/>
        <v>Within SLA</v>
      </c>
      <c r="P1029" s="26" t="s">
        <v>4162</v>
      </c>
      <c r="Q1029" s="24" t="s">
        <v>37</v>
      </c>
      <c r="R1029" s="25"/>
      <c r="S1029" s="25"/>
    </row>
    <row r="1030" ht="39" customHeight="1" spans="1:19">
      <c r="A1030" s="19" t="s">
        <v>4166</v>
      </c>
      <c r="B1030" s="20" t="s">
        <v>4167</v>
      </c>
      <c r="C1030" s="20" t="s">
        <v>101</v>
      </c>
      <c r="D1030" s="20" t="s">
        <v>32</v>
      </c>
      <c r="E1030" s="21" t="s">
        <v>4168</v>
      </c>
      <c r="F1030" s="21" t="s">
        <v>4169</v>
      </c>
      <c r="G1030" s="20" t="s">
        <v>35</v>
      </c>
      <c r="H1030" s="20" t="s">
        <v>25</v>
      </c>
      <c r="I1030" s="21" t="s">
        <v>4170</v>
      </c>
      <c r="J1030" s="22">
        <f t="shared" si="80"/>
        <v>0.179861111115315</v>
      </c>
      <c r="K1030" s="22">
        <f t="shared" si="81"/>
        <v>4.31666666676756</v>
      </c>
      <c r="L1030" s="22">
        <f t="shared" si="82"/>
        <v>4.31666666676756</v>
      </c>
      <c r="M1030" s="22" cm="1">
        <f ca="1" t="array" ref="M1030">SUMPRODUCT(--(WEEKDAY(ROW(INDIRECT(INT(F1030)&amp;":"&amp;INT(I1030))),2)&gt;5))</f>
        <v>0</v>
      </c>
      <c r="N1030" s="22">
        <f ca="1" t="shared" si="83"/>
        <v>4.31666666676756</v>
      </c>
      <c r="O1030" s="22" t="str">
        <f ca="1" t="shared" si="84"/>
        <v>Within SLA</v>
      </c>
      <c r="P1030" s="26" t="s">
        <v>4166</v>
      </c>
      <c r="Q1030" s="24" t="s">
        <v>37</v>
      </c>
      <c r="R1030" s="25"/>
      <c r="S1030" s="25"/>
    </row>
    <row r="1031" ht="39" customHeight="1" spans="1:19">
      <c r="A1031" s="19" t="s">
        <v>4171</v>
      </c>
      <c r="B1031" s="20" t="s">
        <v>19</v>
      </c>
      <c r="C1031" s="20" t="s">
        <v>20</v>
      </c>
      <c r="D1031" s="20" t="s">
        <v>32</v>
      </c>
      <c r="E1031" s="21" t="s">
        <v>4153</v>
      </c>
      <c r="F1031" s="21" t="s">
        <v>4172</v>
      </c>
      <c r="G1031" s="20" t="s">
        <v>35</v>
      </c>
      <c r="H1031" s="20" t="s">
        <v>25</v>
      </c>
      <c r="I1031" s="21" t="s">
        <v>4173</v>
      </c>
      <c r="J1031" s="22">
        <f t="shared" si="80"/>
        <v>14.1131944444423</v>
      </c>
      <c r="K1031" s="22">
        <f t="shared" si="81"/>
        <v>338.716666666616</v>
      </c>
      <c r="L1031" s="22">
        <f t="shared" si="82"/>
        <v>114.716666666616</v>
      </c>
      <c r="M1031" s="22" cm="1">
        <f ca="1" t="array" ref="M1031">SUMPRODUCT(--(WEEKDAY(ROW(INDIRECT(INT(F1031)&amp;":"&amp;INT(I1031))),2)&gt;5))</f>
        <v>4</v>
      </c>
      <c r="N1031" s="22">
        <f ca="1" t="shared" si="83"/>
        <v>82.716666666616</v>
      </c>
      <c r="O1031" s="22" t="str">
        <f ca="1" t="shared" si="84"/>
        <v>SLA Violated</v>
      </c>
      <c r="P1031" s="23" t="s">
        <v>4174</v>
      </c>
      <c r="Q1031" s="24" t="s">
        <v>28</v>
      </c>
      <c r="R1031" s="25"/>
      <c r="S1031" s="25"/>
    </row>
    <row r="1032" ht="27" customHeight="1" spans="1:19">
      <c r="A1032" s="19" t="s">
        <v>4175</v>
      </c>
      <c r="B1032" s="20" t="s">
        <v>30</v>
      </c>
      <c r="C1032" s="20" t="s">
        <v>46</v>
      </c>
      <c r="D1032" s="20" t="s">
        <v>32</v>
      </c>
      <c r="E1032" s="21" t="s">
        <v>4156</v>
      </c>
      <c r="F1032" s="21" t="s">
        <v>4176</v>
      </c>
      <c r="G1032" s="20" t="s">
        <v>35</v>
      </c>
      <c r="H1032" s="20" t="s">
        <v>25</v>
      </c>
      <c r="I1032" s="21" t="s">
        <v>4177</v>
      </c>
      <c r="J1032" s="22">
        <f t="shared" si="80"/>
        <v>0.0631944444394321</v>
      </c>
      <c r="K1032" s="22">
        <f t="shared" si="81"/>
        <v>1.51666666654637</v>
      </c>
      <c r="L1032" s="22">
        <f t="shared" si="82"/>
        <v>1.51666666654637</v>
      </c>
      <c r="M1032" s="22" cm="1">
        <f ca="1" t="array" ref="M1032">SUMPRODUCT(--(WEEKDAY(ROW(INDIRECT(INT(F1032)&amp;":"&amp;INT(I1032))),2)&gt;5))</f>
        <v>0</v>
      </c>
      <c r="N1032" s="22">
        <f ca="1" t="shared" si="83"/>
        <v>1.51666666654637</v>
      </c>
      <c r="O1032" s="22" t="str">
        <f ca="1" t="shared" si="84"/>
        <v>Within SLA</v>
      </c>
      <c r="P1032" s="26" t="s">
        <v>4175</v>
      </c>
      <c r="Q1032" s="24" t="s">
        <v>37</v>
      </c>
      <c r="R1032" s="25"/>
      <c r="S1032" s="25"/>
    </row>
    <row r="1033" ht="27" customHeight="1" spans="1:19">
      <c r="A1033" s="19" t="s">
        <v>4178</v>
      </c>
      <c r="B1033" s="20" t="s">
        <v>30</v>
      </c>
      <c r="C1033" s="20" t="s">
        <v>2057</v>
      </c>
      <c r="D1033" s="20" t="s">
        <v>32</v>
      </c>
      <c r="E1033" s="21" t="s">
        <v>4179</v>
      </c>
      <c r="F1033" s="21" t="s">
        <v>4180</v>
      </c>
      <c r="G1033" s="20" t="s">
        <v>35</v>
      </c>
      <c r="H1033" s="20" t="s">
        <v>25</v>
      </c>
      <c r="I1033" s="21" t="s">
        <v>4181</v>
      </c>
      <c r="J1033" s="22">
        <f t="shared" si="80"/>
        <v>6.12986111110513</v>
      </c>
      <c r="K1033" s="22">
        <f t="shared" si="81"/>
        <v>147.116666666523</v>
      </c>
      <c r="L1033" s="22">
        <f t="shared" si="82"/>
        <v>51.1166666665231</v>
      </c>
      <c r="M1033" s="22" cm="1">
        <f ca="1" t="array" ref="M1033">SUMPRODUCT(--(WEEKDAY(ROW(INDIRECT(INT(F1033)&amp;":"&amp;INT(I1033))),2)&gt;5))</f>
        <v>2</v>
      </c>
      <c r="N1033" s="22">
        <f ca="1" t="shared" si="83"/>
        <v>35.1166666665231</v>
      </c>
      <c r="O1033" s="22" t="str">
        <f ca="1" t="shared" si="84"/>
        <v>SLA Violated</v>
      </c>
      <c r="P1033" s="26" t="s">
        <v>4178</v>
      </c>
      <c r="Q1033" s="24" t="s">
        <v>28</v>
      </c>
      <c r="R1033" s="25"/>
      <c r="S1033" s="25"/>
    </row>
    <row r="1034" ht="27" customHeight="1" spans="1:19">
      <c r="A1034" s="19" t="s">
        <v>4182</v>
      </c>
      <c r="B1034" s="20" t="s">
        <v>30</v>
      </c>
      <c r="C1034" s="20" t="s">
        <v>2057</v>
      </c>
      <c r="D1034" s="20" t="s">
        <v>32</v>
      </c>
      <c r="E1034" s="21" t="s">
        <v>4181</v>
      </c>
      <c r="F1034" s="21" t="s">
        <v>4183</v>
      </c>
      <c r="G1034" s="20" t="s">
        <v>35</v>
      </c>
      <c r="H1034" s="20" t="s">
        <v>25</v>
      </c>
      <c r="I1034" s="21" t="s">
        <v>4184</v>
      </c>
      <c r="J1034" s="22">
        <f t="shared" si="80"/>
        <v>0.00277777777955635</v>
      </c>
      <c r="K1034" s="22">
        <f t="shared" si="81"/>
        <v>0.0666666667093523</v>
      </c>
      <c r="L1034" s="22">
        <f t="shared" si="82"/>
        <v>0.0666666667093523</v>
      </c>
      <c r="M1034" s="22" cm="1">
        <f ca="1" t="array" ref="M1034">SUMPRODUCT(--(WEEKDAY(ROW(INDIRECT(INT(F1034)&amp;":"&amp;INT(I1034))),2)&gt;5))</f>
        <v>0</v>
      </c>
      <c r="N1034" s="22">
        <f ca="1" t="shared" si="83"/>
        <v>0.0666666667093523</v>
      </c>
      <c r="O1034" s="22" t="str">
        <f ca="1" t="shared" si="84"/>
        <v>Within SLA</v>
      </c>
      <c r="P1034" s="26" t="s">
        <v>4182</v>
      </c>
      <c r="Q1034" s="24" t="s">
        <v>37</v>
      </c>
      <c r="R1034" s="25"/>
      <c r="S1034" s="25"/>
    </row>
    <row r="1035" ht="27" customHeight="1" spans="1:19">
      <c r="A1035" s="19" t="s">
        <v>4185</v>
      </c>
      <c r="B1035" s="20" t="s">
        <v>30</v>
      </c>
      <c r="C1035" s="20" t="s">
        <v>2057</v>
      </c>
      <c r="D1035" s="20" t="s">
        <v>32</v>
      </c>
      <c r="E1035" s="21" t="s">
        <v>4181</v>
      </c>
      <c r="F1035" s="21" t="s">
        <v>4186</v>
      </c>
      <c r="G1035" s="20" t="s">
        <v>24</v>
      </c>
      <c r="H1035" s="20" t="s">
        <v>25</v>
      </c>
      <c r="I1035" s="21" t="s">
        <v>4187</v>
      </c>
      <c r="J1035" s="22">
        <f t="shared" si="80"/>
        <v>3.9243055555562</v>
      </c>
      <c r="K1035" s="22">
        <f t="shared" si="81"/>
        <v>94.1833333333489</v>
      </c>
      <c r="L1035" s="22">
        <f t="shared" si="82"/>
        <v>30.1833333333489</v>
      </c>
      <c r="M1035" s="22" cm="1">
        <f ca="1" t="array" ref="M1035">SUMPRODUCT(--(WEEKDAY(ROW(INDIRECT(INT(F1035)&amp;":"&amp;INT(I1035))),2)&gt;5))</f>
        <v>2</v>
      </c>
      <c r="N1035" s="22">
        <f ca="1" t="shared" si="83"/>
        <v>14.1833333333489</v>
      </c>
      <c r="O1035" s="22" t="str">
        <f ca="1" t="shared" si="84"/>
        <v>SLA Violated</v>
      </c>
      <c r="P1035" s="26" t="s">
        <v>4185</v>
      </c>
      <c r="Q1035" s="24" t="s">
        <v>28</v>
      </c>
      <c r="R1035" s="25"/>
      <c r="S1035" s="25"/>
    </row>
    <row r="1036" ht="39" customHeight="1" spans="1:19">
      <c r="A1036" s="19" t="s">
        <v>4188</v>
      </c>
      <c r="B1036" s="20" t="s">
        <v>19</v>
      </c>
      <c r="C1036" s="20" t="s">
        <v>20</v>
      </c>
      <c r="D1036" s="20" t="s">
        <v>21</v>
      </c>
      <c r="E1036" s="21" t="s">
        <v>4181</v>
      </c>
      <c r="F1036" s="21" t="s">
        <v>4189</v>
      </c>
      <c r="G1036" s="20" t="s">
        <v>35</v>
      </c>
      <c r="H1036" s="20" t="s">
        <v>25</v>
      </c>
      <c r="I1036" s="21" t="s">
        <v>4190</v>
      </c>
      <c r="J1036" s="22">
        <f t="shared" si="80"/>
        <v>3.99444444444089</v>
      </c>
      <c r="K1036" s="22">
        <f t="shared" si="81"/>
        <v>95.8666666665813</v>
      </c>
      <c r="L1036" s="22">
        <f t="shared" si="82"/>
        <v>31.8666666665813</v>
      </c>
      <c r="M1036" s="22" cm="1">
        <f ca="1" t="array" ref="M1036">SUMPRODUCT(--(WEEKDAY(ROW(INDIRECT(INT(F1036)&amp;":"&amp;INT(I1036))),2)&gt;5))</f>
        <v>2</v>
      </c>
      <c r="N1036" s="22">
        <f ca="1" t="shared" si="83"/>
        <v>15.8666666665813</v>
      </c>
      <c r="O1036" s="22" t="str">
        <f ca="1" t="shared" si="84"/>
        <v>SLA Violated</v>
      </c>
      <c r="P1036" s="23" t="s">
        <v>4191</v>
      </c>
      <c r="Q1036" s="24" t="s">
        <v>28</v>
      </c>
      <c r="R1036" s="25"/>
      <c r="S1036" s="25"/>
    </row>
    <row r="1037" ht="27" customHeight="1" spans="1:19">
      <c r="A1037" s="19" t="s">
        <v>4192</v>
      </c>
      <c r="B1037" s="20" t="s">
        <v>30</v>
      </c>
      <c r="C1037" s="20" t="s">
        <v>2057</v>
      </c>
      <c r="D1037" s="20" t="s">
        <v>32</v>
      </c>
      <c r="E1037" s="21" t="s">
        <v>4193</v>
      </c>
      <c r="F1037" s="21" t="s">
        <v>4194</v>
      </c>
      <c r="G1037" s="20" t="s">
        <v>35</v>
      </c>
      <c r="H1037" s="20" t="s">
        <v>25</v>
      </c>
      <c r="I1037" s="21" t="s">
        <v>4195</v>
      </c>
      <c r="J1037" s="22">
        <f t="shared" si="80"/>
        <v>6.82152777777083</v>
      </c>
      <c r="K1037" s="22">
        <f t="shared" si="81"/>
        <v>163.7166666665</v>
      </c>
      <c r="L1037" s="22">
        <f t="shared" si="82"/>
        <v>51.7166666664998</v>
      </c>
      <c r="M1037" s="22" cm="1">
        <f ca="1" t="array" ref="M1037">SUMPRODUCT(--(WEEKDAY(ROW(INDIRECT(INT(F1037)&amp;":"&amp;INT(I1037))),2)&gt;5))</f>
        <v>2</v>
      </c>
      <c r="N1037" s="22">
        <f ca="1" t="shared" si="83"/>
        <v>35.7166666664998</v>
      </c>
      <c r="O1037" s="22" t="str">
        <f ca="1" t="shared" si="84"/>
        <v>SLA Violated</v>
      </c>
      <c r="P1037" s="26" t="s">
        <v>4192</v>
      </c>
      <c r="Q1037" s="24" t="s">
        <v>28</v>
      </c>
      <c r="R1037" s="25"/>
      <c r="S1037" s="25"/>
    </row>
    <row r="1038" ht="39" customHeight="1" spans="1:19">
      <c r="A1038" s="19" t="s">
        <v>4196</v>
      </c>
      <c r="B1038" s="20" t="s">
        <v>19</v>
      </c>
      <c r="C1038" s="20" t="s">
        <v>20</v>
      </c>
      <c r="D1038" s="20" t="s">
        <v>32</v>
      </c>
      <c r="E1038" s="21" t="s">
        <v>4197</v>
      </c>
      <c r="F1038" s="21" t="s">
        <v>4198</v>
      </c>
      <c r="G1038" s="20" t="s">
        <v>35</v>
      </c>
      <c r="H1038" s="20" t="s">
        <v>25</v>
      </c>
      <c r="I1038" s="21" t="s">
        <v>4199</v>
      </c>
      <c r="J1038" s="22">
        <f t="shared" si="80"/>
        <v>0.746527777773736</v>
      </c>
      <c r="K1038" s="22">
        <f t="shared" si="81"/>
        <v>17.9166666665697</v>
      </c>
      <c r="L1038" s="22">
        <f t="shared" si="82"/>
        <v>1.91666666656965</v>
      </c>
      <c r="M1038" s="22" cm="1">
        <f ca="1" t="array" ref="M1038">SUMPRODUCT(--(WEEKDAY(ROW(INDIRECT(INT(F1038)&amp;":"&amp;INT(I1038))),2)&gt;5))</f>
        <v>0</v>
      </c>
      <c r="N1038" s="22">
        <f ca="1" t="shared" si="83"/>
        <v>1.91666666656965</v>
      </c>
      <c r="O1038" s="22" t="str">
        <f ca="1" t="shared" si="84"/>
        <v>Within SLA</v>
      </c>
      <c r="P1038" s="26" t="s">
        <v>4196</v>
      </c>
      <c r="Q1038" s="24" t="s">
        <v>37</v>
      </c>
      <c r="R1038" s="25"/>
      <c r="S1038" s="25"/>
    </row>
    <row r="1039" ht="27" customHeight="1" spans="1:19">
      <c r="A1039" s="19" t="s">
        <v>4200</v>
      </c>
      <c r="B1039" s="20" t="s">
        <v>30</v>
      </c>
      <c r="C1039" s="20" t="s">
        <v>2057</v>
      </c>
      <c r="D1039" s="20" t="s">
        <v>32</v>
      </c>
      <c r="E1039" s="21" t="s">
        <v>4201</v>
      </c>
      <c r="F1039" s="21" t="s">
        <v>4202</v>
      </c>
      <c r="G1039" s="20" t="s">
        <v>35</v>
      </c>
      <c r="H1039" s="20" t="s">
        <v>25</v>
      </c>
      <c r="I1039" s="21" t="s">
        <v>4203</v>
      </c>
      <c r="J1039" s="22">
        <f t="shared" si="80"/>
        <v>6.0361111111124</v>
      </c>
      <c r="K1039" s="22">
        <f t="shared" si="81"/>
        <v>144.866666666698</v>
      </c>
      <c r="L1039" s="22">
        <f t="shared" si="82"/>
        <v>48.8666666666977</v>
      </c>
      <c r="M1039" s="22" cm="1">
        <f ca="1" t="array" ref="M1039">SUMPRODUCT(--(WEEKDAY(ROW(INDIRECT(INT(F1039)&amp;":"&amp;INT(I1039))),2)&gt;5))</f>
        <v>2</v>
      </c>
      <c r="N1039" s="22">
        <f ca="1" t="shared" si="83"/>
        <v>32.8666666666977</v>
      </c>
      <c r="O1039" s="22" t="str">
        <f ca="1" t="shared" si="84"/>
        <v>SLA Violated</v>
      </c>
      <c r="P1039" s="26" t="s">
        <v>4200</v>
      </c>
      <c r="Q1039" s="24" t="s">
        <v>28</v>
      </c>
      <c r="R1039" s="25"/>
      <c r="S1039" s="25"/>
    </row>
    <row r="1040" ht="39" customHeight="1" spans="1:19">
      <c r="A1040" s="19" t="s">
        <v>4204</v>
      </c>
      <c r="B1040" s="20" t="s">
        <v>19</v>
      </c>
      <c r="C1040" s="20" t="s">
        <v>20</v>
      </c>
      <c r="D1040" s="20" t="s">
        <v>32</v>
      </c>
      <c r="E1040" s="21" t="s">
        <v>4205</v>
      </c>
      <c r="F1040" s="21" t="s">
        <v>4206</v>
      </c>
      <c r="G1040" s="20" t="s">
        <v>35</v>
      </c>
      <c r="H1040" s="20" t="s">
        <v>25</v>
      </c>
      <c r="I1040" s="21" t="s">
        <v>4207</v>
      </c>
      <c r="J1040" s="22">
        <f t="shared" si="80"/>
        <v>13.0319444444467</v>
      </c>
      <c r="K1040" s="22">
        <f t="shared" si="81"/>
        <v>312.766666666721</v>
      </c>
      <c r="L1040" s="22">
        <f t="shared" si="82"/>
        <v>104.766666666721</v>
      </c>
      <c r="M1040" s="22" cm="1">
        <f ca="1" t="array" ref="M1040">SUMPRODUCT(--(WEEKDAY(ROW(INDIRECT(INT(F1040)&amp;":"&amp;INT(I1040))),2)&gt;5))</f>
        <v>4</v>
      </c>
      <c r="N1040" s="22">
        <f ca="1" t="shared" si="83"/>
        <v>72.766666666721</v>
      </c>
      <c r="O1040" s="22" t="str">
        <f ca="1" t="shared" si="84"/>
        <v>SLA Violated</v>
      </c>
      <c r="P1040" s="23" t="s">
        <v>4208</v>
      </c>
      <c r="Q1040" s="24" t="s">
        <v>28</v>
      </c>
      <c r="R1040" s="25"/>
      <c r="S1040" s="25"/>
    </row>
    <row r="1041" ht="27" customHeight="1" spans="1:19">
      <c r="A1041" s="19" t="s">
        <v>4209</v>
      </c>
      <c r="B1041" s="20" t="s">
        <v>30</v>
      </c>
      <c r="C1041" s="20" t="s">
        <v>2057</v>
      </c>
      <c r="D1041" s="20" t="s">
        <v>32</v>
      </c>
      <c r="E1041" s="21" t="s">
        <v>4205</v>
      </c>
      <c r="F1041" s="21" t="s">
        <v>4210</v>
      </c>
      <c r="G1041" s="20" t="s">
        <v>35</v>
      </c>
      <c r="H1041" s="20" t="s">
        <v>25</v>
      </c>
      <c r="I1041" s="21" t="s">
        <v>4211</v>
      </c>
      <c r="J1041" s="22">
        <f t="shared" si="80"/>
        <v>6.04375000000437</v>
      </c>
      <c r="K1041" s="22">
        <f t="shared" si="81"/>
        <v>145.050000000105</v>
      </c>
      <c r="L1041" s="22">
        <f t="shared" si="82"/>
        <v>49.0500000001048</v>
      </c>
      <c r="M1041" s="22" cm="1">
        <f ca="1" t="array" ref="M1041">SUMPRODUCT(--(WEEKDAY(ROW(INDIRECT(INT(F1041)&amp;":"&amp;INT(I1041))),2)&gt;5))</f>
        <v>2</v>
      </c>
      <c r="N1041" s="22">
        <f ca="1" t="shared" si="83"/>
        <v>33.0500000001048</v>
      </c>
      <c r="O1041" s="22" t="str">
        <f ca="1" t="shared" si="84"/>
        <v>SLA Violated</v>
      </c>
      <c r="P1041" s="26" t="s">
        <v>4209</v>
      </c>
      <c r="Q1041" s="24" t="s">
        <v>28</v>
      </c>
      <c r="R1041" s="25"/>
      <c r="S1041" s="25"/>
    </row>
    <row r="1042" ht="27" customHeight="1" spans="1:19">
      <c r="A1042" s="19" t="s">
        <v>4212</v>
      </c>
      <c r="B1042" s="20" t="s">
        <v>30</v>
      </c>
      <c r="C1042" s="20" t="s">
        <v>2057</v>
      </c>
      <c r="D1042" s="20" t="s">
        <v>32</v>
      </c>
      <c r="E1042" s="21" t="s">
        <v>4213</v>
      </c>
      <c r="F1042" s="21" t="s">
        <v>4214</v>
      </c>
      <c r="G1042" s="20" t="s">
        <v>35</v>
      </c>
      <c r="H1042" s="20" t="s">
        <v>25</v>
      </c>
      <c r="I1042" s="21" t="s">
        <v>4215</v>
      </c>
      <c r="J1042" s="22">
        <f t="shared" si="80"/>
        <v>6.03263888888614</v>
      </c>
      <c r="K1042" s="22">
        <f t="shared" si="81"/>
        <v>144.783333333267</v>
      </c>
      <c r="L1042" s="22">
        <f t="shared" si="82"/>
        <v>48.7833333332674</v>
      </c>
      <c r="M1042" s="22" cm="1">
        <f ca="1" t="array" ref="M1042">SUMPRODUCT(--(WEEKDAY(ROW(INDIRECT(INT(F1042)&amp;":"&amp;INT(I1042))),2)&gt;5))</f>
        <v>2</v>
      </c>
      <c r="N1042" s="22">
        <f ca="1" t="shared" si="83"/>
        <v>32.7833333332674</v>
      </c>
      <c r="O1042" s="22" t="str">
        <f ca="1" t="shared" si="84"/>
        <v>SLA Violated</v>
      </c>
      <c r="P1042" s="26" t="s">
        <v>4212</v>
      </c>
      <c r="Q1042" s="24" t="s">
        <v>28</v>
      </c>
      <c r="R1042" s="25"/>
      <c r="S1042" s="25"/>
    </row>
    <row r="1043" ht="39" customHeight="1" spans="1:19">
      <c r="A1043" s="19" t="s">
        <v>4216</v>
      </c>
      <c r="B1043" s="20" t="s">
        <v>3163</v>
      </c>
      <c r="C1043" s="20" t="s">
        <v>2057</v>
      </c>
      <c r="D1043" s="20" t="s">
        <v>32</v>
      </c>
      <c r="E1043" s="21" t="s">
        <v>4217</v>
      </c>
      <c r="F1043" s="21" t="s">
        <v>4218</v>
      </c>
      <c r="G1043" s="20" t="s">
        <v>35</v>
      </c>
      <c r="H1043" s="20" t="s">
        <v>25</v>
      </c>
      <c r="I1043" s="21" t="s">
        <v>4219</v>
      </c>
      <c r="J1043" s="22">
        <f t="shared" si="80"/>
        <v>6.04166666667152</v>
      </c>
      <c r="K1043" s="22">
        <f t="shared" si="81"/>
        <v>145.000000000116</v>
      </c>
      <c r="L1043" s="22">
        <f t="shared" si="82"/>
        <v>49.0000000001164</v>
      </c>
      <c r="M1043" s="22" cm="1">
        <f ca="1" t="array" ref="M1043">SUMPRODUCT(--(WEEKDAY(ROW(INDIRECT(INT(F1043)&amp;":"&amp;INT(I1043))),2)&gt;5))</f>
        <v>2</v>
      </c>
      <c r="N1043" s="22">
        <f ca="1" t="shared" si="83"/>
        <v>33.0000000001164</v>
      </c>
      <c r="O1043" s="22" t="str">
        <f ca="1" t="shared" si="84"/>
        <v>SLA Violated</v>
      </c>
      <c r="P1043" s="23" t="s">
        <v>4220</v>
      </c>
      <c r="Q1043" s="24" t="s">
        <v>28</v>
      </c>
      <c r="R1043" s="25"/>
      <c r="S1043" s="25"/>
    </row>
    <row r="1044" ht="27" customHeight="1" spans="1:19">
      <c r="A1044" s="19" t="s">
        <v>4221</v>
      </c>
      <c r="B1044" s="20" t="s">
        <v>30</v>
      </c>
      <c r="C1044" s="20" t="s">
        <v>2057</v>
      </c>
      <c r="D1044" s="20" t="s">
        <v>21</v>
      </c>
      <c r="E1044" s="21" t="s">
        <v>4222</v>
      </c>
      <c r="F1044" s="21" t="s">
        <v>4223</v>
      </c>
      <c r="G1044" s="20" t="s">
        <v>24</v>
      </c>
      <c r="H1044" s="20" t="s">
        <v>25</v>
      </c>
      <c r="I1044" s="21" t="s">
        <v>4224</v>
      </c>
      <c r="J1044" s="22">
        <f t="shared" si="80"/>
        <v>4.22638888888469</v>
      </c>
      <c r="K1044" s="22">
        <f t="shared" si="81"/>
        <v>101.433333333232</v>
      </c>
      <c r="L1044" s="22">
        <f t="shared" si="82"/>
        <v>37.4333333332324</v>
      </c>
      <c r="M1044" s="22" cm="1">
        <f ca="1" t="array" ref="M1044">SUMPRODUCT(--(WEEKDAY(ROW(INDIRECT(INT(F1044)&amp;":"&amp;INT(I1044))),2)&gt;5))</f>
        <v>2</v>
      </c>
      <c r="N1044" s="22">
        <f ca="1" t="shared" si="83"/>
        <v>21.4333333332324</v>
      </c>
      <c r="O1044" s="22" t="str">
        <f ca="1" t="shared" si="84"/>
        <v>SLA Violated</v>
      </c>
      <c r="P1044" s="23" t="s">
        <v>4225</v>
      </c>
      <c r="Q1044" s="24" t="s">
        <v>28</v>
      </c>
      <c r="R1044" s="25"/>
      <c r="S1044" s="25"/>
    </row>
    <row r="1045" ht="27" customHeight="1" spans="1:19">
      <c r="A1045" s="19" t="s">
        <v>4226</v>
      </c>
      <c r="B1045" s="20" t="s">
        <v>30</v>
      </c>
      <c r="C1045" s="20" t="s">
        <v>31</v>
      </c>
      <c r="D1045" s="20" t="s">
        <v>32</v>
      </c>
      <c r="E1045" s="21" t="s">
        <v>3222</v>
      </c>
      <c r="F1045" s="21" t="s">
        <v>4227</v>
      </c>
      <c r="G1045" s="20" t="s">
        <v>35</v>
      </c>
      <c r="H1045" s="20" t="s">
        <v>25</v>
      </c>
      <c r="I1045" s="21" t="s">
        <v>4228</v>
      </c>
      <c r="J1045" s="22">
        <f t="shared" si="80"/>
        <v>33.8624999999956</v>
      </c>
      <c r="K1045" s="22">
        <f t="shared" si="81"/>
        <v>812.699999999895</v>
      </c>
      <c r="L1045" s="22">
        <f t="shared" si="82"/>
        <v>268.699999999895</v>
      </c>
      <c r="M1045" s="22" cm="1">
        <f ca="1" t="array" ref="M1045">SUMPRODUCT(--(WEEKDAY(ROW(INDIRECT(INT(F1045)&amp;":"&amp;INT(I1045))),2)&gt;5))</f>
        <v>10</v>
      </c>
      <c r="N1045" s="22">
        <f ca="1" t="shared" si="83"/>
        <v>188.699999999895</v>
      </c>
      <c r="O1045" s="22" t="str">
        <f ca="1" t="shared" si="84"/>
        <v>SLA Violated</v>
      </c>
      <c r="P1045" s="23" t="s">
        <v>4229</v>
      </c>
      <c r="Q1045" s="24" t="s">
        <v>28</v>
      </c>
      <c r="R1045" s="25"/>
      <c r="S1045" s="25"/>
    </row>
    <row r="1046" ht="39" customHeight="1" spans="1:19">
      <c r="A1046" s="19" t="s">
        <v>4230</v>
      </c>
      <c r="B1046" s="20" t="s">
        <v>19</v>
      </c>
      <c r="C1046" s="20" t="s">
        <v>167</v>
      </c>
      <c r="D1046" s="20" t="s">
        <v>32</v>
      </c>
      <c r="E1046" s="21" t="s">
        <v>4231</v>
      </c>
      <c r="F1046" s="21" t="s">
        <v>4232</v>
      </c>
      <c r="G1046" s="20" t="s">
        <v>35</v>
      </c>
      <c r="H1046" s="20" t="s">
        <v>25</v>
      </c>
      <c r="I1046" s="21" t="s">
        <v>4233</v>
      </c>
      <c r="J1046" s="22">
        <f t="shared" si="80"/>
        <v>18.8020833333285</v>
      </c>
      <c r="K1046" s="22">
        <f t="shared" si="81"/>
        <v>451.249999999884</v>
      </c>
      <c r="L1046" s="22">
        <f t="shared" si="82"/>
        <v>147.249999999884</v>
      </c>
      <c r="M1046" s="22" cm="1">
        <f ca="1" t="array" ref="M1046">SUMPRODUCT(--(WEEKDAY(ROW(INDIRECT(INT(F1046)&amp;":"&amp;INT(I1046))),2)&gt;5))</f>
        <v>6</v>
      </c>
      <c r="N1046" s="22">
        <f ca="1" t="shared" si="83"/>
        <v>99.249999999884</v>
      </c>
      <c r="O1046" s="22" t="str">
        <f ca="1" t="shared" si="84"/>
        <v>SLA Violated</v>
      </c>
      <c r="P1046" s="23" t="s">
        <v>4234</v>
      </c>
      <c r="Q1046" s="24" t="s">
        <v>37</v>
      </c>
      <c r="R1046" s="25" t="s">
        <v>129</v>
      </c>
      <c r="S1046" s="25" t="s">
        <v>39</v>
      </c>
    </row>
    <row r="1047" ht="39" customHeight="1" spans="1:19">
      <c r="A1047" s="19" t="s">
        <v>4235</v>
      </c>
      <c r="B1047" s="20" t="s">
        <v>19</v>
      </c>
      <c r="C1047" s="20" t="s">
        <v>20</v>
      </c>
      <c r="D1047" s="20" t="s">
        <v>21</v>
      </c>
      <c r="E1047" s="21" t="s">
        <v>4236</v>
      </c>
      <c r="F1047" s="21" t="s">
        <v>4237</v>
      </c>
      <c r="G1047" s="20" t="s">
        <v>35</v>
      </c>
      <c r="H1047" s="20" t="s">
        <v>25</v>
      </c>
      <c r="I1047" s="21" t="s">
        <v>4238</v>
      </c>
      <c r="J1047" s="22">
        <f t="shared" si="80"/>
        <v>0.957638888889051</v>
      </c>
      <c r="K1047" s="22">
        <f t="shared" si="81"/>
        <v>22.9833333333372</v>
      </c>
      <c r="L1047" s="22">
        <f t="shared" si="82"/>
        <v>6.98333333333721</v>
      </c>
      <c r="M1047" s="22" cm="1">
        <f ca="1" t="array" ref="M1047">SUMPRODUCT(--(WEEKDAY(ROW(INDIRECT(INT(F1047)&amp;":"&amp;INT(I1047))),2)&gt;5))</f>
        <v>0</v>
      </c>
      <c r="N1047" s="22">
        <f ca="1" t="shared" si="83"/>
        <v>6.98333333333721</v>
      </c>
      <c r="O1047" s="22" t="str">
        <f ca="1" t="shared" si="84"/>
        <v>SLA Violated</v>
      </c>
      <c r="P1047" s="23" t="s">
        <v>4239</v>
      </c>
      <c r="Q1047" s="24" t="s">
        <v>28</v>
      </c>
      <c r="R1047" s="25"/>
      <c r="S1047" s="25"/>
    </row>
    <row r="1048" ht="27" customHeight="1" spans="1:19">
      <c r="A1048" s="19" t="s">
        <v>4240</v>
      </c>
      <c r="B1048" s="20" t="s">
        <v>30</v>
      </c>
      <c r="C1048" s="20" t="s">
        <v>31</v>
      </c>
      <c r="D1048" s="20" t="s">
        <v>32</v>
      </c>
      <c r="E1048" s="21" t="s">
        <v>4241</v>
      </c>
      <c r="F1048" s="21" t="s">
        <v>4242</v>
      </c>
      <c r="G1048" s="20" t="s">
        <v>35</v>
      </c>
      <c r="H1048" s="20" t="s">
        <v>25</v>
      </c>
      <c r="I1048" s="21" t="s">
        <v>4243</v>
      </c>
      <c r="J1048" s="22">
        <f t="shared" si="80"/>
        <v>0.805555555554747</v>
      </c>
      <c r="K1048" s="22">
        <f t="shared" si="81"/>
        <v>19.3333333333139</v>
      </c>
      <c r="L1048" s="22">
        <f t="shared" si="82"/>
        <v>3.33333333331393</v>
      </c>
      <c r="M1048" s="22" cm="1">
        <f ca="1" t="array" ref="M1048">SUMPRODUCT(--(WEEKDAY(ROW(INDIRECT(INT(F1048)&amp;":"&amp;INT(I1048))),2)&gt;5))</f>
        <v>0</v>
      </c>
      <c r="N1048" s="22">
        <f ca="1" t="shared" si="83"/>
        <v>3.33333333331393</v>
      </c>
      <c r="O1048" s="22" t="str">
        <f ca="1" t="shared" si="84"/>
        <v>Within SLA</v>
      </c>
      <c r="P1048" s="26" t="s">
        <v>4240</v>
      </c>
      <c r="Q1048" s="24" t="s">
        <v>37</v>
      </c>
      <c r="R1048" s="25"/>
      <c r="S1048" s="25"/>
    </row>
    <row r="1049" ht="39" customHeight="1" spans="1:19">
      <c r="A1049" s="19" t="s">
        <v>4244</v>
      </c>
      <c r="B1049" s="20" t="s">
        <v>19</v>
      </c>
      <c r="C1049" s="20" t="s">
        <v>20</v>
      </c>
      <c r="D1049" s="20" t="s">
        <v>32</v>
      </c>
      <c r="E1049" s="21" t="s">
        <v>4241</v>
      </c>
      <c r="F1049" s="21" t="s">
        <v>4245</v>
      </c>
      <c r="G1049" s="20" t="s">
        <v>35</v>
      </c>
      <c r="H1049" s="20" t="s">
        <v>25</v>
      </c>
      <c r="I1049" s="21" t="s">
        <v>4246</v>
      </c>
      <c r="J1049" s="22">
        <f t="shared" si="80"/>
        <v>0.710416666668607</v>
      </c>
      <c r="K1049" s="22">
        <f t="shared" si="81"/>
        <v>17.0500000000466</v>
      </c>
      <c r="L1049" s="22">
        <f t="shared" si="82"/>
        <v>1.05000000004657</v>
      </c>
      <c r="M1049" s="22" cm="1">
        <f ca="1" t="array" ref="M1049">SUMPRODUCT(--(WEEKDAY(ROW(INDIRECT(INT(F1049)&amp;":"&amp;INT(I1049))),2)&gt;5))</f>
        <v>0</v>
      </c>
      <c r="N1049" s="22">
        <f ca="1" t="shared" si="83"/>
        <v>1.05000000004657</v>
      </c>
      <c r="O1049" s="22" t="str">
        <f ca="1" t="shared" si="84"/>
        <v>Within SLA</v>
      </c>
      <c r="P1049" s="26" t="s">
        <v>4244</v>
      </c>
      <c r="Q1049" s="24" t="s">
        <v>37</v>
      </c>
      <c r="R1049" s="25"/>
      <c r="S1049" s="25"/>
    </row>
    <row r="1050" ht="27" customHeight="1" spans="1:19">
      <c r="A1050" s="19" t="s">
        <v>4247</v>
      </c>
      <c r="B1050" s="20" t="s">
        <v>30</v>
      </c>
      <c r="C1050" s="20" t="s">
        <v>2057</v>
      </c>
      <c r="D1050" s="20" t="s">
        <v>32</v>
      </c>
      <c r="E1050" s="21" t="s">
        <v>4248</v>
      </c>
      <c r="F1050" s="21" t="s">
        <v>4249</v>
      </c>
      <c r="G1050" s="20" t="s">
        <v>35</v>
      </c>
      <c r="H1050" s="20" t="s">
        <v>25</v>
      </c>
      <c r="I1050" s="21" t="s">
        <v>4250</v>
      </c>
      <c r="J1050" s="22">
        <f t="shared" si="80"/>
        <v>10.7402777777825</v>
      </c>
      <c r="K1050" s="22">
        <f t="shared" si="81"/>
        <v>257.766666666779</v>
      </c>
      <c r="L1050" s="22">
        <f t="shared" si="82"/>
        <v>81.7666666667792</v>
      </c>
      <c r="M1050" s="22" cm="1">
        <f ca="1" t="array" ref="M1050">SUMPRODUCT(--(WEEKDAY(ROW(INDIRECT(INT(F1050)&amp;":"&amp;INT(I1050))),2)&gt;5))</f>
        <v>4</v>
      </c>
      <c r="N1050" s="22">
        <f ca="1" t="shared" si="83"/>
        <v>49.7666666667792</v>
      </c>
      <c r="O1050" s="22" t="str">
        <f ca="1" t="shared" si="84"/>
        <v>SLA Violated</v>
      </c>
      <c r="P1050" s="26" t="s">
        <v>4247</v>
      </c>
      <c r="Q1050" s="24" t="s">
        <v>28</v>
      </c>
      <c r="R1050" s="25"/>
      <c r="S1050" s="25"/>
    </row>
    <row r="1051" ht="39" customHeight="1" spans="1:19">
      <c r="A1051" s="19" t="s">
        <v>4251</v>
      </c>
      <c r="B1051" s="20" t="s">
        <v>19</v>
      </c>
      <c r="C1051" s="20" t="s">
        <v>20</v>
      </c>
      <c r="D1051" s="20" t="s">
        <v>32</v>
      </c>
      <c r="E1051" s="21" t="s">
        <v>4252</v>
      </c>
      <c r="F1051" s="21" t="s">
        <v>4253</v>
      </c>
      <c r="G1051" s="20" t="s">
        <v>35</v>
      </c>
      <c r="H1051" s="20" t="s">
        <v>25</v>
      </c>
      <c r="I1051" s="21" t="s">
        <v>4254</v>
      </c>
      <c r="J1051" s="22">
        <f t="shared" si="80"/>
        <v>3.99305555555475</v>
      </c>
      <c r="K1051" s="22">
        <f t="shared" si="81"/>
        <v>95.8333333333139</v>
      </c>
      <c r="L1051" s="22">
        <f t="shared" si="82"/>
        <v>31.8333333333139</v>
      </c>
      <c r="M1051" s="22" cm="1">
        <f ca="1" t="array" ref="M1051">SUMPRODUCT(--(WEEKDAY(ROW(INDIRECT(INT(F1051)&amp;":"&amp;INT(I1051))),2)&gt;5))</f>
        <v>2</v>
      </c>
      <c r="N1051" s="22">
        <f ca="1" t="shared" si="83"/>
        <v>15.8333333333139</v>
      </c>
      <c r="O1051" s="22" t="str">
        <f ca="1" t="shared" si="84"/>
        <v>SLA Violated</v>
      </c>
      <c r="P1051" s="23" t="s">
        <v>4255</v>
      </c>
      <c r="Q1051" s="24" t="s">
        <v>28</v>
      </c>
      <c r="R1051" s="25"/>
      <c r="S1051" s="25"/>
    </row>
    <row r="1052" ht="16" customHeight="1" spans="1:19">
      <c r="A1052" s="19" t="s">
        <v>4256</v>
      </c>
      <c r="B1052" s="20" t="s">
        <v>100</v>
      </c>
      <c r="C1052" s="20" t="s">
        <v>101</v>
      </c>
      <c r="D1052" s="20" t="s">
        <v>32</v>
      </c>
      <c r="E1052" s="21" t="s">
        <v>4203</v>
      </c>
      <c r="F1052" s="21" t="s">
        <v>4257</v>
      </c>
      <c r="G1052" s="20" t="s">
        <v>35</v>
      </c>
      <c r="H1052" s="20" t="s">
        <v>25</v>
      </c>
      <c r="I1052" s="21" t="s">
        <v>4258</v>
      </c>
      <c r="J1052" s="22">
        <f t="shared" si="80"/>
        <v>3.79791666667006</v>
      </c>
      <c r="K1052" s="22">
        <f t="shared" si="81"/>
        <v>91.1500000000815</v>
      </c>
      <c r="L1052" s="22">
        <f t="shared" si="82"/>
        <v>27.1500000000815</v>
      </c>
      <c r="M1052" s="22" cm="1">
        <f ca="1" t="array" ref="M1052">SUMPRODUCT(--(WEEKDAY(ROW(INDIRECT(INT(F1052)&amp;":"&amp;INT(I1052))),2)&gt;5))</f>
        <v>2</v>
      </c>
      <c r="N1052" s="22">
        <f ca="1" t="shared" si="83"/>
        <v>11.1500000000815</v>
      </c>
      <c r="O1052" s="22" t="str">
        <f ca="1" t="shared" si="84"/>
        <v>Within SLA</v>
      </c>
      <c r="P1052" s="26" t="s">
        <v>4256</v>
      </c>
      <c r="Q1052" s="24" t="s">
        <v>37</v>
      </c>
      <c r="R1052" s="25"/>
      <c r="S1052" s="25"/>
    </row>
    <row r="1053" ht="27" customHeight="1" spans="1:19">
      <c r="A1053" s="19" t="s">
        <v>4259</v>
      </c>
      <c r="B1053" s="20" t="s">
        <v>30</v>
      </c>
      <c r="C1053" s="20" t="s">
        <v>31</v>
      </c>
      <c r="D1053" s="20" t="s">
        <v>32</v>
      </c>
      <c r="E1053" s="21" t="s">
        <v>4260</v>
      </c>
      <c r="F1053" s="21" t="s">
        <v>4261</v>
      </c>
      <c r="G1053" s="20" t="s">
        <v>35</v>
      </c>
      <c r="H1053" s="20" t="s">
        <v>25</v>
      </c>
      <c r="I1053" s="21" t="s">
        <v>4262</v>
      </c>
      <c r="J1053" s="22">
        <f t="shared" si="80"/>
        <v>0.877777777779556</v>
      </c>
      <c r="K1053" s="22">
        <f t="shared" si="81"/>
        <v>21.0666666667094</v>
      </c>
      <c r="L1053" s="22">
        <f t="shared" si="82"/>
        <v>5.06666666670935</v>
      </c>
      <c r="M1053" s="22" cm="1">
        <f ca="1" t="array" ref="M1053">SUMPRODUCT(--(WEEKDAY(ROW(INDIRECT(INT(F1053)&amp;":"&amp;INT(I1053))),2)&gt;5))</f>
        <v>0</v>
      </c>
      <c r="N1053" s="22">
        <f ca="1" t="shared" si="83"/>
        <v>5.06666666670935</v>
      </c>
      <c r="O1053" s="22" t="str">
        <f ca="1" t="shared" si="84"/>
        <v>Within SLA</v>
      </c>
      <c r="P1053" s="26" t="s">
        <v>4259</v>
      </c>
      <c r="Q1053" s="24" t="s">
        <v>37</v>
      </c>
      <c r="R1053" s="25"/>
      <c r="S1053" s="25"/>
    </row>
    <row r="1054" ht="39" customHeight="1" spans="1:19">
      <c r="A1054" s="19" t="s">
        <v>4263</v>
      </c>
      <c r="B1054" s="20" t="s">
        <v>4167</v>
      </c>
      <c r="C1054" s="20" t="s">
        <v>101</v>
      </c>
      <c r="D1054" s="20" t="s">
        <v>32</v>
      </c>
      <c r="E1054" s="21" t="s">
        <v>4246</v>
      </c>
      <c r="F1054" s="21" t="s">
        <v>4264</v>
      </c>
      <c r="G1054" s="20" t="s">
        <v>35</v>
      </c>
      <c r="H1054" s="20" t="s">
        <v>25</v>
      </c>
      <c r="I1054" s="21" t="s">
        <v>4265</v>
      </c>
      <c r="J1054" s="22">
        <f t="shared" si="80"/>
        <v>24.6888888888934</v>
      </c>
      <c r="K1054" s="22">
        <f t="shared" si="81"/>
        <v>592.533333333442</v>
      </c>
      <c r="L1054" s="22">
        <f t="shared" si="82"/>
        <v>192.533333333442</v>
      </c>
      <c r="M1054" s="22" cm="1">
        <f ca="1" t="array" ref="M1054">SUMPRODUCT(--(WEEKDAY(ROW(INDIRECT(INT(F1054)&amp;":"&amp;INT(I1054))),2)&gt;5))</f>
        <v>8</v>
      </c>
      <c r="N1054" s="22">
        <f ca="1" t="shared" si="83"/>
        <v>128.533333333442</v>
      </c>
      <c r="O1054" s="22" t="str">
        <f ca="1" t="shared" si="84"/>
        <v>SLA Violated</v>
      </c>
      <c r="P1054" s="23" t="s">
        <v>4266</v>
      </c>
      <c r="Q1054" s="24" t="s">
        <v>28</v>
      </c>
      <c r="R1054" s="25"/>
      <c r="S1054" s="25"/>
    </row>
    <row r="1055" ht="27" customHeight="1" spans="1:19">
      <c r="A1055" s="19" t="s">
        <v>4267</v>
      </c>
      <c r="B1055" s="20" t="s">
        <v>30</v>
      </c>
      <c r="C1055" s="20" t="s">
        <v>31</v>
      </c>
      <c r="D1055" s="20" t="s">
        <v>32</v>
      </c>
      <c r="E1055" s="21" t="s">
        <v>4254</v>
      </c>
      <c r="F1055" s="21" t="s">
        <v>4268</v>
      </c>
      <c r="G1055" s="20" t="s">
        <v>35</v>
      </c>
      <c r="H1055" s="20" t="s">
        <v>25</v>
      </c>
      <c r="I1055" s="21" t="s">
        <v>4269</v>
      </c>
      <c r="J1055" s="22">
        <f t="shared" si="80"/>
        <v>1.81388888889342</v>
      </c>
      <c r="K1055" s="22">
        <f t="shared" si="81"/>
        <v>43.533333333442</v>
      </c>
      <c r="L1055" s="22">
        <f t="shared" si="82"/>
        <v>11.533333333442</v>
      </c>
      <c r="M1055" s="22" cm="1">
        <f ca="1" t="array" ref="M1055">SUMPRODUCT(--(WEEKDAY(ROW(INDIRECT(INT(F1055)&amp;":"&amp;INT(I1055))),2)&gt;5))</f>
        <v>1</v>
      </c>
      <c r="N1055" s="22">
        <f ca="1" t="shared" si="83"/>
        <v>3.533333333442</v>
      </c>
      <c r="O1055" s="22" t="str">
        <f ca="1" t="shared" si="84"/>
        <v>Within SLA</v>
      </c>
      <c r="P1055" s="26" t="s">
        <v>4267</v>
      </c>
      <c r="Q1055" s="24" t="s">
        <v>37</v>
      </c>
      <c r="R1055" s="25"/>
      <c r="S1055" s="25"/>
    </row>
    <row r="1056" ht="27" customHeight="1" spans="1:19">
      <c r="A1056" s="19" t="s">
        <v>4270</v>
      </c>
      <c r="B1056" s="20" t="s">
        <v>30</v>
      </c>
      <c r="C1056" s="20" t="s">
        <v>31</v>
      </c>
      <c r="D1056" s="20" t="s">
        <v>32</v>
      </c>
      <c r="E1056" s="21" t="s">
        <v>4271</v>
      </c>
      <c r="F1056" s="21" t="s">
        <v>4272</v>
      </c>
      <c r="G1056" s="20" t="s">
        <v>35</v>
      </c>
      <c r="H1056" s="20" t="s">
        <v>25</v>
      </c>
      <c r="I1056" s="21" t="s">
        <v>4273</v>
      </c>
      <c r="J1056" s="22">
        <f t="shared" si="80"/>
        <v>4.77986111111386</v>
      </c>
      <c r="K1056" s="22">
        <f t="shared" si="81"/>
        <v>114.716666666733</v>
      </c>
      <c r="L1056" s="22">
        <f t="shared" si="82"/>
        <v>34.7166666667326</v>
      </c>
      <c r="M1056" s="22" cm="1">
        <f ca="1" t="array" ref="M1056">SUMPRODUCT(--(WEEKDAY(ROW(INDIRECT(INT(F1056)&amp;":"&amp;INT(I1056))),2)&gt;5))</f>
        <v>2</v>
      </c>
      <c r="N1056" s="22">
        <f ca="1" t="shared" si="83"/>
        <v>18.7166666667326</v>
      </c>
      <c r="O1056" s="22" t="str">
        <f ca="1" t="shared" si="84"/>
        <v>SLA Violated</v>
      </c>
      <c r="P1056" s="23" t="s">
        <v>4274</v>
      </c>
      <c r="Q1056" s="24" t="s">
        <v>28</v>
      </c>
      <c r="R1056" s="25"/>
      <c r="S1056" s="25"/>
    </row>
    <row r="1057" ht="39" customHeight="1" spans="1:19">
      <c r="A1057" s="19" t="s">
        <v>4275</v>
      </c>
      <c r="B1057" s="20" t="s">
        <v>196</v>
      </c>
      <c r="C1057" s="20" t="s">
        <v>46</v>
      </c>
      <c r="D1057" s="20" t="s">
        <v>21</v>
      </c>
      <c r="E1057" s="21" t="s">
        <v>4276</v>
      </c>
      <c r="F1057" s="21" t="s">
        <v>4277</v>
      </c>
      <c r="G1057" s="20" t="s">
        <v>35</v>
      </c>
      <c r="H1057" s="20" t="s">
        <v>25</v>
      </c>
      <c r="I1057" s="21" t="s">
        <v>4278</v>
      </c>
      <c r="J1057" s="22">
        <f t="shared" si="80"/>
        <v>0.735416666670062</v>
      </c>
      <c r="K1057" s="22">
        <f t="shared" si="81"/>
        <v>17.6500000000815</v>
      </c>
      <c r="L1057" s="22">
        <f t="shared" si="82"/>
        <v>1.65000000008149</v>
      </c>
      <c r="M1057" s="22" cm="1">
        <f ca="1" t="array" ref="M1057">SUMPRODUCT(--(WEEKDAY(ROW(INDIRECT(INT(F1057)&amp;":"&amp;INT(I1057))),2)&gt;5))</f>
        <v>0</v>
      </c>
      <c r="N1057" s="22">
        <f ca="1" t="shared" si="83"/>
        <v>1.65000000008149</v>
      </c>
      <c r="O1057" s="22" t="str">
        <f ca="1" t="shared" si="84"/>
        <v>Within SLA</v>
      </c>
      <c r="P1057" s="26" t="s">
        <v>4275</v>
      </c>
      <c r="Q1057" s="24" t="s">
        <v>37</v>
      </c>
      <c r="R1057" s="25"/>
      <c r="S1057" s="25"/>
    </row>
    <row r="1058" ht="27" customHeight="1" spans="1:19">
      <c r="A1058" s="19" t="s">
        <v>4279</v>
      </c>
      <c r="B1058" s="20" t="s">
        <v>30</v>
      </c>
      <c r="C1058" s="20" t="s">
        <v>31</v>
      </c>
      <c r="D1058" s="20" t="s">
        <v>32</v>
      </c>
      <c r="E1058" s="21" t="s">
        <v>4280</v>
      </c>
      <c r="F1058" s="21" t="s">
        <v>4281</v>
      </c>
      <c r="G1058" s="20" t="s">
        <v>35</v>
      </c>
      <c r="H1058" s="20" t="s">
        <v>25</v>
      </c>
      <c r="I1058" s="21" t="s">
        <v>4282</v>
      </c>
      <c r="J1058" s="22">
        <f t="shared" si="80"/>
        <v>28.8555555555577</v>
      </c>
      <c r="K1058" s="22">
        <f t="shared" si="81"/>
        <v>692.533333333384</v>
      </c>
      <c r="L1058" s="22">
        <f t="shared" si="82"/>
        <v>228.533333333384</v>
      </c>
      <c r="M1058" s="22" cm="1">
        <f ca="1" t="array" ref="M1058">SUMPRODUCT(--(WEEKDAY(ROW(INDIRECT(INT(F1058)&amp;":"&amp;INT(I1058))),2)&gt;5))</f>
        <v>8</v>
      </c>
      <c r="N1058" s="22">
        <f ca="1" t="shared" si="83"/>
        <v>164.533333333384</v>
      </c>
      <c r="O1058" s="22" t="str">
        <f ca="1" t="shared" si="84"/>
        <v>SLA Violated</v>
      </c>
      <c r="P1058" s="23" t="s">
        <v>4283</v>
      </c>
      <c r="Q1058" s="24" t="s">
        <v>37</v>
      </c>
      <c r="R1058" s="25" t="s">
        <v>2693</v>
      </c>
      <c r="S1058" s="25" t="s">
        <v>39</v>
      </c>
    </row>
    <row r="1059" ht="27" customHeight="1" spans="1:19">
      <c r="A1059" s="19" t="s">
        <v>4284</v>
      </c>
      <c r="B1059" s="20" t="s">
        <v>30</v>
      </c>
      <c r="C1059" s="20" t="s">
        <v>46</v>
      </c>
      <c r="D1059" s="20" t="s">
        <v>32</v>
      </c>
      <c r="E1059" s="21" t="s">
        <v>4140</v>
      </c>
      <c r="F1059" s="21" t="s">
        <v>4285</v>
      </c>
      <c r="G1059" s="20" t="s">
        <v>35</v>
      </c>
      <c r="H1059" s="20" t="s">
        <v>25</v>
      </c>
      <c r="I1059" s="21" t="s">
        <v>4286</v>
      </c>
      <c r="J1059" s="22">
        <f t="shared" si="80"/>
        <v>0.756944444445253</v>
      </c>
      <c r="K1059" s="22">
        <f t="shared" si="81"/>
        <v>18.1666666666861</v>
      </c>
      <c r="L1059" s="22">
        <f t="shared" si="82"/>
        <v>2.16666666668607</v>
      </c>
      <c r="M1059" s="22" cm="1">
        <f ca="1" t="array" ref="M1059">SUMPRODUCT(--(WEEKDAY(ROW(INDIRECT(INT(F1059)&amp;":"&amp;INT(I1059))),2)&gt;5))</f>
        <v>0</v>
      </c>
      <c r="N1059" s="22">
        <f ca="1" t="shared" si="83"/>
        <v>2.16666666668607</v>
      </c>
      <c r="O1059" s="22" t="str">
        <f ca="1" t="shared" si="84"/>
        <v>Within SLA</v>
      </c>
      <c r="P1059" s="26" t="s">
        <v>4284</v>
      </c>
      <c r="Q1059" s="24" t="s">
        <v>37</v>
      </c>
      <c r="R1059" s="25"/>
      <c r="S1059" s="25"/>
    </row>
    <row r="1060" ht="27" customHeight="1" spans="1:19">
      <c r="A1060" s="19" t="s">
        <v>4287</v>
      </c>
      <c r="B1060" s="20" t="s">
        <v>121</v>
      </c>
      <c r="C1060" s="20" t="s">
        <v>849</v>
      </c>
      <c r="D1060" s="20" t="s">
        <v>32</v>
      </c>
      <c r="E1060" s="21" t="s">
        <v>4288</v>
      </c>
      <c r="F1060" s="21" t="s">
        <v>4289</v>
      </c>
      <c r="G1060" s="20" t="s">
        <v>35</v>
      </c>
      <c r="H1060" s="20" t="s">
        <v>25</v>
      </c>
      <c r="I1060" s="21" t="s">
        <v>4290</v>
      </c>
      <c r="J1060" s="22">
        <f t="shared" si="80"/>
        <v>0.135416666664241</v>
      </c>
      <c r="K1060" s="22">
        <f t="shared" si="81"/>
        <v>3.24999999994179</v>
      </c>
      <c r="L1060" s="22">
        <f t="shared" si="82"/>
        <v>3.24999999994179</v>
      </c>
      <c r="M1060" s="22" cm="1">
        <f ca="1" t="array" ref="M1060">SUMPRODUCT(--(WEEKDAY(ROW(INDIRECT(INT(F1060)&amp;":"&amp;INT(I1060))),2)&gt;5))</f>
        <v>0</v>
      </c>
      <c r="N1060" s="22">
        <f ca="1" t="shared" si="83"/>
        <v>3.24999999994179</v>
      </c>
      <c r="O1060" s="22" t="str">
        <f ca="1" t="shared" si="84"/>
        <v>Within SLA</v>
      </c>
      <c r="P1060" s="26" t="s">
        <v>4287</v>
      </c>
      <c r="Q1060" s="24" t="s">
        <v>37</v>
      </c>
      <c r="R1060" s="25"/>
      <c r="S1060" s="25"/>
    </row>
    <row r="1061" ht="27" customHeight="1" spans="1:19">
      <c r="A1061" s="19" t="s">
        <v>4291</v>
      </c>
      <c r="B1061" s="20" t="s">
        <v>30</v>
      </c>
      <c r="C1061" s="20" t="s">
        <v>31</v>
      </c>
      <c r="D1061" s="20" t="s">
        <v>32</v>
      </c>
      <c r="E1061" s="21" t="s">
        <v>4292</v>
      </c>
      <c r="F1061" s="21" t="s">
        <v>4293</v>
      </c>
      <c r="G1061" s="20" t="s">
        <v>35</v>
      </c>
      <c r="H1061" s="20" t="s">
        <v>25</v>
      </c>
      <c r="I1061" s="21" t="s">
        <v>4294</v>
      </c>
      <c r="J1061" s="22">
        <f t="shared" si="80"/>
        <v>1.09236111111386</v>
      </c>
      <c r="K1061" s="22">
        <f t="shared" si="81"/>
        <v>26.2166666667326</v>
      </c>
      <c r="L1061" s="22">
        <f t="shared" si="82"/>
        <v>10.2166666667326</v>
      </c>
      <c r="M1061" s="22" cm="1">
        <f ca="1" t="array" ref="M1061">SUMPRODUCT(--(WEEKDAY(ROW(INDIRECT(INT(F1061)&amp;":"&amp;INT(I1061))),2)&gt;5))</f>
        <v>1</v>
      </c>
      <c r="N1061" s="22">
        <f ca="1" t="shared" si="83"/>
        <v>2.2166666667326</v>
      </c>
      <c r="O1061" s="22" t="str">
        <f ca="1" t="shared" si="84"/>
        <v>Within SLA</v>
      </c>
      <c r="P1061" s="26" t="s">
        <v>4291</v>
      </c>
      <c r="Q1061" s="24" t="s">
        <v>37</v>
      </c>
      <c r="R1061" s="25"/>
      <c r="S1061" s="25"/>
    </row>
    <row r="1062" ht="27" customHeight="1" spans="1:19">
      <c r="A1062" s="19" t="s">
        <v>4295</v>
      </c>
      <c r="B1062" s="20" t="s">
        <v>30</v>
      </c>
      <c r="C1062" s="20" t="s">
        <v>31</v>
      </c>
      <c r="D1062" s="20" t="s">
        <v>32</v>
      </c>
      <c r="E1062" s="21" t="s">
        <v>4296</v>
      </c>
      <c r="F1062" s="21" t="s">
        <v>4297</v>
      </c>
      <c r="G1062" s="20" t="s">
        <v>35</v>
      </c>
      <c r="H1062" s="20" t="s">
        <v>25</v>
      </c>
      <c r="I1062" s="21" t="s">
        <v>4298</v>
      </c>
      <c r="J1062" s="22">
        <f t="shared" si="80"/>
        <v>0.172222222223354</v>
      </c>
      <c r="K1062" s="22">
        <f t="shared" si="81"/>
        <v>4.1333333333605</v>
      </c>
      <c r="L1062" s="22">
        <f t="shared" si="82"/>
        <v>4.1333333333605</v>
      </c>
      <c r="M1062" s="22" cm="1">
        <f ca="1" t="array" ref="M1062">SUMPRODUCT(--(WEEKDAY(ROW(INDIRECT(INT(F1062)&amp;":"&amp;INT(I1062))),2)&gt;5))</f>
        <v>0</v>
      </c>
      <c r="N1062" s="22">
        <f ca="1" t="shared" si="83"/>
        <v>4.1333333333605</v>
      </c>
      <c r="O1062" s="22" t="str">
        <f ca="1" t="shared" si="84"/>
        <v>Within SLA</v>
      </c>
      <c r="P1062" s="26" t="s">
        <v>4295</v>
      </c>
      <c r="Q1062" s="24" t="s">
        <v>37</v>
      </c>
      <c r="R1062" s="25"/>
      <c r="S1062" s="25"/>
    </row>
    <row r="1063" ht="27" customHeight="1" spans="1:19">
      <c r="A1063" s="19" t="s">
        <v>4299</v>
      </c>
      <c r="B1063" s="20" t="s">
        <v>30</v>
      </c>
      <c r="C1063" s="20" t="s">
        <v>2057</v>
      </c>
      <c r="D1063" s="20" t="s">
        <v>32</v>
      </c>
      <c r="E1063" s="21" t="s">
        <v>4300</v>
      </c>
      <c r="F1063" s="21" t="s">
        <v>4301</v>
      </c>
      <c r="G1063" s="20" t="s">
        <v>35</v>
      </c>
      <c r="H1063" s="20" t="s">
        <v>25</v>
      </c>
      <c r="I1063" s="21" t="s">
        <v>4302</v>
      </c>
      <c r="J1063" s="22">
        <f t="shared" si="80"/>
        <v>7.25972222221753</v>
      </c>
      <c r="K1063" s="22">
        <f t="shared" si="81"/>
        <v>174.233333333221</v>
      </c>
      <c r="L1063" s="22">
        <f t="shared" si="82"/>
        <v>62.2333333332208</v>
      </c>
      <c r="M1063" s="22" cm="1">
        <f ca="1" t="array" ref="M1063">SUMPRODUCT(--(WEEKDAY(ROW(INDIRECT(INT(F1063)&amp;":"&amp;INT(I1063))),2)&gt;5))</f>
        <v>2</v>
      </c>
      <c r="N1063" s="22">
        <f ca="1" t="shared" si="83"/>
        <v>46.2333333332208</v>
      </c>
      <c r="O1063" s="22" t="str">
        <f ca="1" t="shared" si="84"/>
        <v>SLA Violated</v>
      </c>
      <c r="P1063" s="26" t="s">
        <v>4299</v>
      </c>
      <c r="Q1063" s="24" t="s">
        <v>28</v>
      </c>
      <c r="R1063" s="25"/>
      <c r="S1063" s="25"/>
    </row>
    <row r="1064" ht="39" customHeight="1" spans="1:19">
      <c r="A1064" s="19" t="s">
        <v>4303</v>
      </c>
      <c r="B1064" s="20" t="s">
        <v>19</v>
      </c>
      <c r="C1064" s="20" t="s">
        <v>20</v>
      </c>
      <c r="D1064" s="20" t="s">
        <v>32</v>
      </c>
      <c r="E1064" s="21" t="s">
        <v>4304</v>
      </c>
      <c r="F1064" s="21" t="s">
        <v>4305</v>
      </c>
      <c r="G1064" s="20" t="s">
        <v>35</v>
      </c>
      <c r="H1064" s="20" t="s">
        <v>25</v>
      </c>
      <c r="I1064" s="21" t="s">
        <v>4306</v>
      </c>
      <c r="J1064" s="22">
        <f t="shared" si="80"/>
        <v>0.00763888889196096</v>
      </c>
      <c r="K1064" s="22">
        <f t="shared" si="81"/>
        <v>0.183333333407063</v>
      </c>
      <c r="L1064" s="22">
        <f t="shared" si="82"/>
        <v>0.183333333407063</v>
      </c>
      <c r="M1064" s="22" cm="1">
        <f ca="1" t="array" ref="M1064">SUMPRODUCT(--(WEEKDAY(ROW(INDIRECT(INT(F1064)&amp;":"&amp;INT(I1064))),2)&gt;5))</f>
        <v>0</v>
      </c>
      <c r="N1064" s="22">
        <f ca="1" t="shared" si="83"/>
        <v>0.183333333407063</v>
      </c>
      <c r="O1064" s="22" t="str">
        <f ca="1" t="shared" si="84"/>
        <v>Within SLA</v>
      </c>
      <c r="P1064" s="26" t="s">
        <v>4303</v>
      </c>
      <c r="Q1064" s="24" t="s">
        <v>37</v>
      </c>
      <c r="R1064" s="25"/>
      <c r="S1064" s="25"/>
    </row>
    <row r="1065" ht="39" customHeight="1" spans="1:19">
      <c r="A1065" s="19" t="s">
        <v>4307</v>
      </c>
      <c r="B1065" s="20" t="s">
        <v>19</v>
      </c>
      <c r="C1065" s="20" t="s">
        <v>20</v>
      </c>
      <c r="D1065" s="20" t="s">
        <v>115</v>
      </c>
      <c r="E1065" s="21" t="s">
        <v>4308</v>
      </c>
      <c r="F1065" s="21" t="s">
        <v>4309</v>
      </c>
      <c r="G1065" s="20" t="s">
        <v>35</v>
      </c>
      <c r="H1065" s="20" t="s">
        <v>25</v>
      </c>
      <c r="I1065" s="21" t="s">
        <v>4310</v>
      </c>
      <c r="J1065" s="22">
        <f t="shared" si="80"/>
        <v>0.194444444445253</v>
      </c>
      <c r="K1065" s="22">
        <f t="shared" si="81"/>
        <v>4.66666666668607</v>
      </c>
      <c r="L1065" s="22">
        <f t="shared" si="82"/>
        <v>4.66666666668607</v>
      </c>
      <c r="M1065" s="22" cm="1">
        <f ca="1" t="array" ref="M1065">SUMPRODUCT(--(WEEKDAY(ROW(INDIRECT(INT(F1065)&amp;":"&amp;INT(I1065))),2)&gt;5))</f>
        <v>0</v>
      </c>
      <c r="N1065" s="22">
        <f ca="1" t="shared" si="83"/>
        <v>4.66666666668607</v>
      </c>
      <c r="O1065" s="22" t="str">
        <f ca="1" t="shared" si="84"/>
        <v>Within SLA</v>
      </c>
      <c r="P1065" s="26" t="s">
        <v>4307</v>
      </c>
      <c r="Q1065" s="24" t="s">
        <v>37</v>
      </c>
      <c r="R1065" s="25"/>
      <c r="S1065" s="25"/>
    </row>
    <row r="1066" ht="27" customHeight="1" spans="1:19">
      <c r="A1066" s="19" t="s">
        <v>4311</v>
      </c>
      <c r="B1066" s="20" t="s">
        <v>30</v>
      </c>
      <c r="C1066" s="20" t="s">
        <v>2057</v>
      </c>
      <c r="D1066" s="20" t="s">
        <v>32</v>
      </c>
      <c r="E1066" s="21" t="s">
        <v>4312</v>
      </c>
      <c r="F1066" s="21" t="s">
        <v>4249</v>
      </c>
      <c r="G1066" s="20" t="s">
        <v>35</v>
      </c>
      <c r="H1066" s="20" t="s">
        <v>25</v>
      </c>
      <c r="I1066" s="21" t="s">
        <v>4313</v>
      </c>
      <c r="J1066" s="22">
        <f t="shared" si="80"/>
        <v>10.0055555555591</v>
      </c>
      <c r="K1066" s="22">
        <f t="shared" si="81"/>
        <v>240.133333333419</v>
      </c>
      <c r="L1066" s="22">
        <f t="shared" si="82"/>
        <v>80.1333333334187</v>
      </c>
      <c r="M1066" s="22" cm="1">
        <f ca="1" t="array" ref="M1066">SUMPRODUCT(--(WEEKDAY(ROW(INDIRECT(INT(F1066)&amp;":"&amp;INT(I1066))),2)&gt;5))</f>
        <v>4</v>
      </c>
      <c r="N1066" s="22">
        <f ca="1" t="shared" si="83"/>
        <v>48.1333333334187</v>
      </c>
      <c r="O1066" s="22" t="str">
        <f ca="1" t="shared" si="84"/>
        <v>SLA Violated</v>
      </c>
      <c r="P1066" s="26" t="s">
        <v>4311</v>
      </c>
      <c r="Q1066" s="24" t="s">
        <v>28</v>
      </c>
      <c r="R1066" s="25"/>
      <c r="S1066" s="25"/>
    </row>
    <row r="1067" ht="27" customHeight="1" spans="1:19">
      <c r="A1067" s="19" t="s">
        <v>4314</v>
      </c>
      <c r="B1067" s="20" t="s">
        <v>30</v>
      </c>
      <c r="C1067" s="20" t="s">
        <v>31</v>
      </c>
      <c r="D1067" s="20" t="s">
        <v>32</v>
      </c>
      <c r="E1067" s="21" t="s">
        <v>4315</v>
      </c>
      <c r="F1067" s="21" t="s">
        <v>4316</v>
      </c>
      <c r="G1067" s="20" t="s">
        <v>35</v>
      </c>
      <c r="H1067" s="20" t="s">
        <v>25</v>
      </c>
      <c r="I1067" s="21" t="s">
        <v>4317</v>
      </c>
      <c r="J1067" s="22">
        <f t="shared" si="80"/>
        <v>14.0638888888861</v>
      </c>
      <c r="K1067" s="22">
        <f t="shared" si="81"/>
        <v>337.533333333267</v>
      </c>
      <c r="L1067" s="22">
        <f t="shared" si="82"/>
        <v>113.533333333267</v>
      </c>
      <c r="M1067" s="22" cm="1">
        <f ca="1" t="array" ref="M1067">SUMPRODUCT(--(WEEKDAY(ROW(INDIRECT(INT(F1067)&amp;":"&amp;INT(I1067))),2)&gt;5))</f>
        <v>4</v>
      </c>
      <c r="N1067" s="22">
        <f ca="1" t="shared" si="83"/>
        <v>81.533333333267</v>
      </c>
      <c r="O1067" s="22" t="str">
        <f ca="1" t="shared" si="84"/>
        <v>SLA Violated</v>
      </c>
      <c r="P1067" s="26" t="s">
        <v>4314</v>
      </c>
      <c r="Q1067" s="24" t="s">
        <v>37</v>
      </c>
      <c r="R1067" s="6" t="s">
        <v>4318</v>
      </c>
      <c r="S1067" s="25" t="s">
        <v>39</v>
      </c>
    </row>
    <row r="1068" ht="27" customHeight="1" spans="1:19">
      <c r="A1068" s="19" t="s">
        <v>4319</v>
      </c>
      <c r="B1068" s="20" t="s">
        <v>30</v>
      </c>
      <c r="C1068" s="20" t="s">
        <v>31</v>
      </c>
      <c r="D1068" s="20" t="s">
        <v>32</v>
      </c>
      <c r="E1068" s="21" t="s">
        <v>4320</v>
      </c>
      <c r="F1068" s="21" t="s">
        <v>3965</v>
      </c>
      <c r="G1068" s="20" t="s">
        <v>24</v>
      </c>
      <c r="H1068" s="20" t="s">
        <v>25</v>
      </c>
      <c r="I1068" s="21" t="s">
        <v>4321</v>
      </c>
      <c r="J1068" s="22">
        <f t="shared" si="80"/>
        <v>67.9944444444482</v>
      </c>
      <c r="K1068" s="22">
        <f t="shared" si="81"/>
        <v>1631.86666666676</v>
      </c>
      <c r="L1068" s="22">
        <f t="shared" si="82"/>
        <v>543.866666666756</v>
      </c>
      <c r="M1068" s="22" cm="1">
        <f ca="1" t="array" ref="M1068">SUMPRODUCT(--(WEEKDAY(ROW(INDIRECT(INT(F1068)&amp;":"&amp;INT(I1068))),2)&gt;5))</f>
        <v>20</v>
      </c>
      <c r="N1068" s="22">
        <f ca="1" t="shared" si="83"/>
        <v>383.866666666756</v>
      </c>
      <c r="O1068" s="22" t="str">
        <f ca="1" t="shared" si="84"/>
        <v>SLA Violated</v>
      </c>
      <c r="P1068" s="23" t="s">
        <v>4322</v>
      </c>
      <c r="Q1068" s="24" t="s">
        <v>37</v>
      </c>
      <c r="R1068" s="25" t="s">
        <v>220</v>
      </c>
      <c r="S1068" s="25"/>
    </row>
    <row r="1069" ht="27" customHeight="1" spans="1:19">
      <c r="A1069" s="19" t="s">
        <v>4323</v>
      </c>
      <c r="B1069" s="20" t="s">
        <v>30</v>
      </c>
      <c r="C1069" s="20" t="s">
        <v>2057</v>
      </c>
      <c r="D1069" s="20" t="s">
        <v>32</v>
      </c>
      <c r="E1069" s="21" t="s">
        <v>4324</v>
      </c>
      <c r="F1069" s="21" t="s">
        <v>4325</v>
      </c>
      <c r="G1069" s="20" t="s">
        <v>35</v>
      </c>
      <c r="H1069" s="20" t="s">
        <v>25</v>
      </c>
      <c r="I1069" s="21" t="s">
        <v>4326</v>
      </c>
      <c r="J1069" s="22">
        <f t="shared" si="80"/>
        <v>7.3083333333343</v>
      </c>
      <c r="K1069" s="22">
        <f t="shared" si="81"/>
        <v>175.400000000023</v>
      </c>
      <c r="L1069" s="22">
        <f t="shared" si="82"/>
        <v>63.4000000000233</v>
      </c>
      <c r="M1069" s="22" cm="1">
        <f ca="1" t="array" ref="M1069">SUMPRODUCT(--(WEEKDAY(ROW(INDIRECT(INT(F1069)&amp;":"&amp;INT(I1069))),2)&gt;5))</f>
        <v>2</v>
      </c>
      <c r="N1069" s="22">
        <f ca="1" t="shared" si="83"/>
        <v>47.4000000000233</v>
      </c>
      <c r="O1069" s="22" t="str">
        <f ca="1" t="shared" si="84"/>
        <v>SLA Violated</v>
      </c>
      <c r="P1069" s="26" t="s">
        <v>4323</v>
      </c>
      <c r="Q1069" s="24" t="s">
        <v>28</v>
      </c>
      <c r="R1069" s="25"/>
      <c r="S1069" s="25"/>
    </row>
    <row r="1070" ht="39" customHeight="1" spans="1:19">
      <c r="A1070" s="19" t="s">
        <v>4327</v>
      </c>
      <c r="B1070" s="20" t="s">
        <v>19</v>
      </c>
      <c r="C1070" s="20" t="s">
        <v>20</v>
      </c>
      <c r="D1070" s="20" t="s">
        <v>32</v>
      </c>
      <c r="E1070" s="21" t="s">
        <v>4328</v>
      </c>
      <c r="F1070" s="21" t="s">
        <v>4329</v>
      </c>
      <c r="G1070" s="20" t="s">
        <v>35</v>
      </c>
      <c r="H1070" s="20" t="s">
        <v>25</v>
      </c>
      <c r="I1070" s="21" t="s">
        <v>4330</v>
      </c>
      <c r="J1070" s="22">
        <f t="shared" si="80"/>
        <v>0.0152777777839219</v>
      </c>
      <c r="K1070" s="22">
        <f t="shared" si="81"/>
        <v>0.366666666814126</v>
      </c>
      <c r="L1070" s="22">
        <f t="shared" si="82"/>
        <v>0.366666666814126</v>
      </c>
      <c r="M1070" s="22" cm="1">
        <f ca="1" t="array" ref="M1070">SUMPRODUCT(--(WEEKDAY(ROW(INDIRECT(INT(F1070)&amp;":"&amp;INT(I1070))),2)&gt;5))</f>
        <v>0</v>
      </c>
      <c r="N1070" s="22">
        <f ca="1" t="shared" si="83"/>
        <v>0.366666666814126</v>
      </c>
      <c r="O1070" s="22" t="str">
        <f ca="1" t="shared" si="84"/>
        <v>Within SLA</v>
      </c>
      <c r="P1070" s="26" t="s">
        <v>4327</v>
      </c>
      <c r="Q1070" s="24" t="s">
        <v>37</v>
      </c>
      <c r="R1070" s="25"/>
      <c r="S1070" s="25"/>
    </row>
    <row r="1071" ht="27" customHeight="1" spans="1:19">
      <c r="A1071" s="19" t="s">
        <v>4331</v>
      </c>
      <c r="B1071" s="20" t="s">
        <v>30</v>
      </c>
      <c r="C1071" s="20" t="s">
        <v>31</v>
      </c>
      <c r="D1071" s="20" t="s">
        <v>32</v>
      </c>
      <c r="E1071" s="21" t="s">
        <v>4332</v>
      </c>
      <c r="F1071" s="21" t="s">
        <v>4333</v>
      </c>
      <c r="G1071" s="20" t="s">
        <v>35</v>
      </c>
      <c r="H1071" s="20" t="s">
        <v>25</v>
      </c>
      <c r="I1071" s="21" t="s">
        <v>4334</v>
      </c>
      <c r="J1071" s="22">
        <f t="shared" si="80"/>
        <v>3.03125</v>
      </c>
      <c r="K1071" s="22">
        <f t="shared" si="81"/>
        <v>72.75</v>
      </c>
      <c r="L1071" s="22">
        <f t="shared" si="82"/>
        <v>24.75</v>
      </c>
      <c r="M1071" s="22" cm="1">
        <f ca="1" t="array" ref="M1071">SUMPRODUCT(--(WEEKDAY(ROW(INDIRECT(INT(F1071)&amp;":"&amp;INT(I1071))),2)&gt;5))</f>
        <v>2</v>
      </c>
      <c r="N1071" s="22">
        <f ca="1" t="shared" si="83"/>
        <v>8.75</v>
      </c>
      <c r="O1071" s="22" t="str">
        <f ca="1" t="shared" si="84"/>
        <v>Within SLA</v>
      </c>
      <c r="P1071" s="26" t="s">
        <v>4331</v>
      </c>
      <c r="Q1071" s="24" t="s">
        <v>37</v>
      </c>
      <c r="R1071" s="25"/>
      <c r="S1071" s="25"/>
    </row>
    <row r="1072" ht="27" customHeight="1" spans="1:19">
      <c r="A1072" s="19" t="s">
        <v>4335</v>
      </c>
      <c r="B1072" s="20" t="s">
        <v>30</v>
      </c>
      <c r="C1072" s="20" t="s">
        <v>2057</v>
      </c>
      <c r="D1072" s="20" t="s">
        <v>32</v>
      </c>
      <c r="E1072" s="21" t="s">
        <v>4332</v>
      </c>
      <c r="F1072" s="21" t="s">
        <v>4336</v>
      </c>
      <c r="G1072" s="20" t="s">
        <v>35</v>
      </c>
      <c r="H1072" s="20" t="s">
        <v>25</v>
      </c>
      <c r="I1072" s="21" t="s">
        <v>4337</v>
      </c>
      <c r="J1072" s="22">
        <f t="shared" si="80"/>
        <v>7.29999999999563</v>
      </c>
      <c r="K1072" s="22">
        <f t="shared" si="81"/>
        <v>175.199999999895</v>
      </c>
      <c r="L1072" s="22">
        <f t="shared" si="82"/>
        <v>63.1999999998952</v>
      </c>
      <c r="M1072" s="22" cm="1">
        <f ca="1" t="array" ref="M1072">SUMPRODUCT(--(WEEKDAY(ROW(INDIRECT(INT(F1072)&amp;":"&amp;INT(I1072))),2)&gt;5))</f>
        <v>2</v>
      </c>
      <c r="N1072" s="22">
        <f ca="1" t="shared" si="83"/>
        <v>47.1999999998952</v>
      </c>
      <c r="O1072" s="22" t="str">
        <f ca="1" t="shared" si="84"/>
        <v>SLA Violated</v>
      </c>
      <c r="P1072" s="26" t="s">
        <v>4335</v>
      </c>
      <c r="Q1072" s="24" t="s">
        <v>28</v>
      </c>
      <c r="R1072" s="25"/>
      <c r="S1072" s="25"/>
    </row>
    <row r="1073" ht="27" customHeight="1" spans="1:19">
      <c r="A1073" s="19" t="s">
        <v>4338</v>
      </c>
      <c r="B1073" s="20" t="s">
        <v>30</v>
      </c>
      <c r="C1073" s="20" t="s">
        <v>31</v>
      </c>
      <c r="D1073" s="20" t="s">
        <v>32</v>
      </c>
      <c r="E1073" s="21" t="s">
        <v>4306</v>
      </c>
      <c r="F1073" s="21" t="s">
        <v>4339</v>
      </c>
      <c r="G1073" s="20" t="s">
        <v>35</v>
      </c>
      <c r="H1073" s="20" t="s">
        <v>25</v>
      </c>
      <c r="I1073" s="21" t="s">
        <v>4340</v>
      </c>
      <c r="J1073" s="22">
        <f t="shared" si="80"/>
        <v>1.03958333333867</v>
      </c>
      <c r="K1073" s="22">
        <f t="shared" si="81"/>
        <v>24.9500000001281</v>
      </c>
      <c r="L1073" s="22">
        <f t="shared" si="82"/>
        <v>8.95000000012806</v>
      </c>
      <c r="M1073" s="22" cm="1">
        <f ca="1" t="array" ref="M1073">SUMPRODUCT(--(WEEKDAY(ROW(INDIRECT(INT(F1073)&amp;":"&amp;INT(I1073))),2)&gt;5))</f>
        <v>1</v>
      </c>
      <c r="N1073" s="22">
        <f ca="1" t="shared" si="83"/>
        <v>0.95000000012806</v>
      </c>
      <c r="O1073" s="22" t="str">
        <f ca="1" t="shared" si="84"/>
        <v>Within SLA</v>
      </c>
      <c r="P1073" s="26" t="s">
        <v>4338</v>
      </c>
      <c r="Q1073" s="24" t="s">
        <v>37</v>
      </c>
      <c r="R1073" s="25"/>
      <c r="S1073" s="25"/>
    </row>
    <row r="1074" ht="27" customHeight="1" spans="1:19">
      <c r="A1074" s="19" t="s">
        <v>4341</v>
      </c>
      <c r="B1074" s="20" t="s">
        <v>30</v>
      </c>
      <c r="C1074" s="20" t="s">
        <v>2057</v>
      </c>
      <c r="D1074" s="20" t="s">
        <v>32</v>
      </c>
      <c r="E1074" s="21" t="s">
        <v>4342</v>
      </c>
      <c r="F1074" s="21" t="s">
        <v>4343</v>
      </c>
      <c r="G1074" s="20" t="s">
        <v>35</v>
      </c>
      <c r="H1074" s="20" t="s">
        <v>25</v>
      </c>
      <c r="I1074" s="21" t="s">
        <v>4344</v>
      </c>
      <c r="J1074" s="22">
        <f t="shared" si="80"/>
        <v>9.98541666667006</v>
      </c>
      <c r="K1074" s="22">
        <f t="shared" si="81"/>
        <v>239.650000000081</v>
      </c>
      <c r="L1074" s="22">
        <f t="shared" si="82"/>
        <v>79.6500000000815</v>
      </c>
      <c r="M1074" s="22" cm="1">
        <f ca="1" t="array" ref="M1074">SUMPRODUCT(--(WEEKDAY(ROW(INDIRECT(INT(F1074)&amp;":"&amp;INT(I1074))),2)&gt;5))</f>
        <v>4</v>
      </c>
      <c r="N1074" s="22">
        <f ca="1" t="shared" si="83"/>
        <v>47.6500000000815</v>
      </c>
      <c r="O1074" s="22" t="str">
        <f ca="1" t="shared" si="84"/>
        <v>SLA Violated</v>
      </c>
      <c r="P1074" s="26" t="s">
        <v>4341</v>
      </c>
      <c r="Q1074" s="24" t="s">
        <v>28</v>
      </c>
      <c r="R1074" s="25"/>
      <c r="S1074" s="25"/>
    </row>
    <row r="1075" ht="27" customHeight="1" spans="1:19">
      <c r="A1075" s="19" t="s">
        <v>4345</v>
      </c>
      <c r="B1075" s="20" t="s">
        <v>30</v>
      </c>
      <c r="C1075" s="20" t="s">
        <v>31</v>
      </c>
      <c r="D1075" s="20" t="s">
        <v>32</v>
      </c>
      <c r="E1075" s="21" t="s">
        <v>4346</v>
      </c>
      <c r="F1075" s="21" t="s">
        <v>4347</v>
      </c>
      <c r="G1075" s="20" t="s">
        <v>35</v>
      </c>
      <c r="H1075" s="20" t="s">
        <v>25</v>
      </c>
      <c r="I1075" s="21" t="s">
        <v>4348</v>
      </c>
      <c r="J1075" s="22">
        <f t="shared" si="80"/>
        <v>1.01666666666279</v>
      </c>
      <c r="K1075" s="22">
        <f t="shared" si="81"/>
        <v>24.3999999999069</v>
      </c>
      <c r="L1075" s="22">
        <f t="shared" si="82"/>
        <v>8.39999999990687</v>
      </c>
      <c r="M1075" s="22" cm="1">
        <f ca="1" t="array" ref="M1075">SUMPRODUCT(--(WEEKDAY(ROW(INDIRECT(INT(F1075)&amp;":"&amp;INT(I1075))),2)&gt;5))</f>
        <v>1</v>
      </c>
      <c r="N1075" s="22">
        <f ca="1" t="shared" si="83"/>
        <v>0.39999999990687</v>
      </c>
      <c r="O1075" s="22" t="str">
        <f ca="1" t="shared" si="84"/>
        <v>Within SLA</v>
      </c>
      <c r="P1075" s="26" t="s">
        <v>4345</v>
      </c>
      <c r="Q1075" s="24" t="s">
        <v>37</v>
      </c>
      <c r="R1075" s="25"/>
      <c r="S1075" s="25"/>
    </row>
    <row r="1076" ht="27" customHeight="1" spans="1:19">
      <c r="A1076" s="19" t="s">
        <v>4349</v>
      </c>
      <c r="B1076" s="20" t="s">
        <v>30</v>
      </c>
      <c r="C1076" s="20" t="s">
        <v>31</v>
      </c>
      <c r="D1076" s="20" t="s">
        <v>32</v>
      </c>
      <c r="E1076" s="21" t="s">
        <v>4350</v>
      </c>
      <c r="F1076" s="21" t="s">
        <v>4351</v>
      </c>
      <c r="G1076" s="20" t="s">
        <v>35</v>
      </c>
      <c r="H1076" s="20" t="s">
        <v>25</v>
      </c>
      <c r="I1076" s="21" t="s">
        <v>4352</v>
      </c>
      <c r="J1076" s="22">
        <f t="shared" si="80"/>
        <v>1.0131944444438</v>
      </c>
      <c r="K1076" s="22">
        <f t="shared" si="81"/>
        <v>24.3166666666511</v>
      </c>
      <c r="L1076" s="22">
        <f t="shared" si="82"/>
        <v>8.31666666665114</v>
      </c>
      <c r="M1076" s="22" cm="1">
        <f ca="1" t="array" ref="M1076">SUMPRODUCT(--(WEEKDAY(ROW(INDIRECT(INT(F1076)&amp;":"&amp;INT(I1076))),2)&gt;5))</f>
        <v>1</v>
      </c>
      <c r="N1076" s="22">
        <f ca="1" t="shared" si="83"/>
        <v>0.316666666651139</v>
      </c>
      <c r="O1076" s="22" t="str">
        <f ca="1" t="shared" si="84"/>
        <v>Within SLA</v>
      </c>
      <c r="P1076" s="26" t="s">
        <v>4349</v>
      </c>
      <c r="Q1076" s="24" t="s">
        <v>37</v>
      </c>
      <c r="R1076" s="25"/>
      <c r="S1076" s="25"/>
    </row>
    <row r="1077" ht="27" customHeight="1" spans="1:19">
      <c r="A1077" s="19" t="s">
        <v>4353</v>
      </c>
      <c r="B1077" s="20" t="s">
        <v>30</v>
      </c>
      <c r="C1077" s="20" t="s">
        <v>2057</v>
      </c>
      <c r="D1077" s="20" t="s">
        <v>32</v>
      </c>
      <c r="E1077" s="21" t="s">
        <v>4354</v>
      </c>
      <c r="F1077" s="21" t="s">
        <v>4343</v>
      </c>
      <c r="G1077" s="20" t="s">
        <v>35</v>
      </c>
      <c r="H1077" s="20" t="s">
        <v>25</v>
      </c>
      <c r="I1077" s="21" t="s">
        <v>4355</v>
      </c>
      <c r="J1077" s="22">
        <f t="shared" si="80"/>
        <v>9.96250000000146</v>
      </c>
      <c r="K1077" s="22">
        <f t="shared" si="81"/>
        <v>239.100000000035</v>
      </c>
      <c r="L1077" s="22">
        <f t="shared" si="82"/>
        <v>79.1000000000349</v>
      </c>
      <c r="M1077" s="22" cm="1">
        <f ca="1" t="array" ref="M1077">SUMPRODUCT(--(WEEKDAY(ROW(INDIRECT(INT(F1077)&amp;":"&amp;INT(I1077))),2)&gt;5))</f>
        <v>4</v>
      </c>
      <c r="N1077" s="22">
        <f ca="1" t="shared" si="83"/>
        <v>47.1000000000349</v>
      </c>
      <c r="O1077" s="22" t="str">
        <f ca="1" t="shared" si="84"/>
        <v>SLA Violated</v>
      </c>
      <c r="P1077" s="26" t="s">
        <v>4353</v>
      </c>
      <c r="Q1077" s="24" t="s">
        <v>28</v>
      </c>
      <c r="R1077" s="25"/>
      <c r="S1077" s="25"/>
    </row>
    <row r="1078" ht="27" customHeight="1" spans="1:19">
      <c r="A1078" s="19" t="s">
        <v>4356</v>
      </c>
      <c r="B1078" s="20" t="s">
        <v>30</v>
      </c>
      <c r="C1078" s="20" t="s">
        <v>31</v>
      </c>
      <c r="D1078" s="20" t="s">
        <v>32</v>
      </c>
      <c r="E1078" s="21" t="s">
        <v>4357</v>
      </c>
      <c r="F1078" s="21" t="s">
        <v>4358</v>
      </c>
      <c r="G1078" s="20" t="s">
        <v>35</v>
      </c>
      <c r="H1078" s="20" t="s">
        <v>25</v>
      </c>
      <c r="I1078" s="21" t="s">
        <v>4359</v>
      </c>
      <c r="J1078" s="22">
        <f t="shared" si="80"/>
        <v>0.200694444443798</v>
      </c>
      <c r="K1078" s="22">
        <f t="shared" si="81"/>
        <v>4.81666666665114</v>
      </c>
      <c r="L1078" s="22">
        <f t="shared" si="82"/>
        <v>4.81666666665114</v>
      </c>
      <c r="M1078" s="22" cm="1">
        <f ca="1" t="array" ref="M1078">SUMPRODUCT(--(WEEKDAY(ROW(INDIRECT(INT(F1078)&amp;":"&amp;INT(I1078))),2)&gt;5))</f>
        <v>0</v>
      </c>
      <c r="N1078" s="22">
        <f ca="1" t="shared" si="83"/>
        <v>4.81666666665114</v>
      </c>
      <c r="O1078" s="22" t="str">
        <f ca="1" t="shared" si="84"/>
        <v>Within SLA</v>
      </c>
      <c r="P1078" s="26" t="s">
        <v>4356</v>
      </c>
      <c r="Q1078" s="24" t="s">
        <v>37</v>
      </c>
      <c r="R1078" s="25"/>
      <c r="S1078" s="25"/>
    </row>
    <row r="1079" ht="27" customHeight="1" spans="1:19">
      <c r="A1079" s="19" t="s">
        <v>4360</v>
      </c>
      <c r="B1079" s="20" t="s">
        <v>30</v>
      </c>
      <c r="C1079" s="20" t="s">
        <v>2057</v>
      </c>
      <c r="D1079" s="20" t="s">
        <v>32</v>
      </c>
      <c r="E1079" s="21" t="s">
        <v>4361</v>
      </c>
      <c r="F1079" s="21" t="s">
        <v>4362</v>
      </c>
      <c r="G1079" s="20" t="s">
        <v>35</v>
      </c>
      <c r="H1079" s="20" t="s">
        <v>25</v>
      </c>
      <c r="I1079" s="21" t="s">
        <v>4363</v>
      </c>
      <c r="J1079" s="22">
        <f t="shared" si="80"/>
        <v>11.0354166666657</v>
      </c>
      <c r="K1079" s="22">
        <f t="shared" si="81"/>
        <v>264.849999999977</v>
      </c>
      <c r="L1079" s="22">
        <f t="shared" si="82"/>
        <v>88.8499999999767</v>
      </c>
      <c r="M1079" s="22" cm="1">
        <f ca="1" t="array" ref="M1079">SUMPRODUCT(--(WEEKDAY(ROW(INDIRECT(INT(F1079)&amp;":"&amp;INT(I1079))),2)&gt;5))</f>
        <v>4</v>
      </c>
      <c r="N1079" s="22">
        <f ca="1" t="shared" si="83"/>
        <v>56.8499999999767</v>
      </c>
      <c r="O1079" s="22" t="str">
        <f ca="1" t="shared" si="84"/>
        <v>SLA Violated</v>
      </c>
      <c r="P1079" s="26" t="s">
        <v>4360</v>
      </c>
      <c r="Q1079" s="24" t="s">
        <v>28</v>
      </c>
      <c r="R1079" s="25"/>
      <c r="S1079" s="25"/>
    </row>
    <row r="1080" ht="39" customHeight="1" spans="1:19">
      <c r="A1080" s="19" t="s">
        <v>4364</v>
      </c>
      <c r="B1080" s="20" t="s">
        <v>19</v>
      </c>
      <c r="C1080" s="20" t="s">
        <v>20</v>
      </c>
      <c r="D1080" s="20" t="s">
        <v>32</v>
      </c>
      <c r="E1080" s="21" t="s">
        <v>4361</v>
      </c>
      <c r="F1080" s="21" t="s">
        <v>4365</v>
      </c>
      <c r="G1080" s="20" t="s">
        <v>35</v>
      </c>
      <c r="H1080" s="20" t="s">
        <v>25</v>
      </c>
      <c r="I1080" s="21" t="s">
        <v>4366</v>
      </c>
      <c r="J1080" s="22">
        <f t="shared" si="80"/>
        <v>0.188888888893416</v>
      </c>
      <c r="K1080" s="22">
        <f t="shared" si="81"/>
        <v>4.53333333344199</v>
      </c>
      <c r="L1080" s="22">
        <f t="shared" si="82"/>
        <v>4.53333333344199</v>
      </c>
      <c r="M1080" s="22" cm="1">
        <f ca="1" t="array" ref="M1080">SUMPRODUCT(--(WEEKDAY(ROW(INDIRECT(INT(F1080)&amp;":"&amp;INT(I1080))),2)&gt;5))</f>
        <v>0</v>
      </c>
      <c r="N1080" s="22">
        <f ca="1" t="shared" si="83"/>
        <v>4.53333333344199</v>
      </c>
      <c r="O1080" s="22" t="str">
        <f ca="1" t="shared" si="84"/>
        <v>Within SLA</v>
      </c>
      <c r="P1080" s="26" t="s">
        <v>4364</v>
      </c>
      <c r="Q1080" s="24" t="s">
        <v>37</v>
      </c>
      <c r="R1080" s="25"/>
      <c r="S1080" s="25"/>
    </row>
    <row r="1081" ht="27" customHeight="1" spans="1:19">
      <c r="A1081" s="19" t="s">
        <v>4367</v>
      </c>
      <c r="B1081" s="20" t="s">
        <v>30</v>
      </c>
      <c r="C1081" s="20" t="s">
        <v>31</v>
      </c>
      <c r="D1081" s="20" t="s">
        <v>32</v>
      </c>
      <c r="E1081" s="21" t="s">
        <v>4361</v>
      </c>
      <c r="F1081" s="21" t="s">
        <v>4368</v>
      </c>
      <c r="G1081" s="20" t="s">
        <v>35</v>
      </c>
      <c r="H1081" s="20" t="s">
        <v>25</v>
      </c>
      <c r="I1081" s="21" t="s">
        <v>4369</v>
      </c>
      <c r="J1081" s="22">
        <f t="shared" si="80"/>
        <v>0.200694444443798</v>
      </c>
      <c r="K1081" s="22">
        <f t="shared" si="81"/>
        <v>4.81666666665114</v>
      </c>
      <c r="L1081" s="22">
        <f t="shared" si="82"/>
        <v>4.81666666665114</v>
      </c>
      <c r="M1081" s="22" cm="1">
        <f ca="1" t="array" ref="M1081">SUMPRODUCT(--(WEEKDAY(ROW(INDIRECT(INT(F1081)&amp;":"&amp;INT(I1081))),2)&gt;5))</f>
        <v>0</v>
      </c>
      <c r="N1081" s="22">
        <f ca="1" t="shared" si="83"/>
        <v>4.81666666665114</v>
      </c>
      <c r="O1081" s="22" t="str">
        <f ca="1" t="shared" si="84"/>
        <v>Within SLA</v>
      </c>
      <c r="P1081" s="26" t="s">
        <v>4367</v>
      </c>
      <c r="Q1081" s="24" t="s">
        <v>37</v>
      </c>
      <c r="R1081" s="25"/>
      <c r="S1081" s="25"/>
    </row>
    <row r="1082" ht="27" customHeight="1" spans="1:19">
      <c r="A1082" s="19" t="s">
        <v>4370</v>
      </c>
      <c r="B1082" s="20" t="s">
        <v>1047</v>
      </c>
      <c r="C1082" s="20" t="s">
        <v>849</v>
      </c>
      <c r="D1082" s="20" t="s">
        <v>105</v>
      </c>
      <c r="E1082" s="21" t="s">
        <v>4371</v>
      </c>
      <c r="F1082" s="21" t="s">
        <v>4372</v>
      </c>
      <c r="G1082" s="20" t="s">
        <v>35</v>
      </c>
      <c r="H1082" s="20" t="s">
        <v>25</v>
      </c>
      <c r="I1082" s="21" t="s">
        <v>4120</v>
      </c>
      <c r="J1082" s="22">
        <f t="shared" si="80"/>
        <v>12.9381944444467</v>
      </c>
      <c r="K1082" s="22">
        <f t="shared" si="81"/>
        <v>310.516666666721</v>
      </c>
      <c r="L1082" s="22">
        <f t="shared" si="82"/>
        <v>102.516666666721</v>
      </c>
      <c r="M1082" s="22" cm="1">
        <f ca="1" t="array" ref="M1082">SUMPRODUCT(--(WEEKDAY(ROW(INDIRECT(INT(F1082)&amp;":"&amp;INT(I1082))),2)&gt;5))</f>
        <v>4</v>
      </c>
      <c r="N1082" s="22">
        <f ca="1" t="shared" si="83"/>
        <v>70.516666666721</v>
      </c>
      <c r="O1082" s="22" t="str">
        <f ca="1" t="shared" si="84"/>
        <v>SLA Violated</v>
      </c>
      <c r="P1082" s="23" t="s">
        <v>4373</v>
      </c>
      <c r="Q1082" s="24" t="s">
        <v>28</v>
      </c>
      <c r="R1082" s="25"/>
      <c r="S1082" s="25"/>
    </row>
    <row r="1083" ht="27" customHeight="1" spans="1:19">
      <c r="A1083" s="19" t="s">
        <v>4374</v>
      </c>
      <c r="B1083" s="20" t="s">
        <v>30</v>
      </c>
      <c r="C1083" s="20" t="s">
        <v>31</v>
      </c>
      <c r="D1083" s="20" t="s">
        <v>32</v>
      </c>
      <c r="E1083" s="21" t="s">
        <v>4371</v>
      </c>
      <c r="F1083" s="21" t="s">
        <v>4375</v>
      </c>
      <c r="G1083" s="20" t="s">
        <v>35</v>
      </c>
      <c r="H1083" s="20" t="s">
        <v>25</v>
      </c>
      <c r="I1083" s="21" t="s">
        <v>4376</v>
      </c>
      <c r="J1083" s="22">
        <f t="shared" si="80"/>
        <v>0.175694444442343</v>
      </c>
      <c r="K1083" s="22">
        <f t="shared" si="81"/>
        <v>4.21666666661622</v>
      </c>
      <c r="L1083" s="22">
        <f t="shared" si="82"/>
        <v>4.21666666661622</v>
      </c>
      <c r="M1083" s="22" cm="1">
        <f ca="1" t="array" ref="M1083">SUMPRODUCT(--(WEEKDAY(ROW(INDIRECT(INT(F1083)&amp;":"&amp;INT(I1083))),2)&gt;5))</f>
        <v>0</v>
      </c>
      <c r="N1083" s="22">
        <f ca="1" t="shared" si="83"/>
        <v>4.21666666661622</v>
      </c>
      <c r="O1083" s="22" t="str">
        <f ca="1" t="shared" si="84"/>
        <v>Within SLA</v>
      </c>
      <c r="P1083" s="26" t="s">
        <v>4374</v>
      </c>
      <c r="Q1083" s="24" t="s">
        <v>37</v>
      </c>
      <c r="R1083" s="25"/>
      <c r="S1083" s="25"/>
    </row>
    <row r="1084" ht="27" customHeight="1" spans="1:19">
      <c r="A1084" s="19" t="s">
        <v>4377</v>
      </c>
      <c r="B1084" s="20" t="s">
        <v>30</v>
      </c>
      <c r="C1084" s="20" t="s">
        <v>31</v>
      </c>
      <c r="D1084" s="20" t="s">
        <v>32</v>
      </c>
      <c r="E1084" s="21" t="s">
        <v>4378</v>
      </c>
      <c r="F1084" s="21" t="s">
        <v>4379</v>
      </c>
      <c r="G1084" s="20" t="s">
        <v>35</v>
      </c>
      <c r="H1084" s="20" t="s">
        <v>25</v>
      </c>
      <c r="I1084" s="21" t="s">
        <v>4380</v>
      </c>
      <c r="J1084" s="22">
        <f t="shared" si="80"/>
        <v>0.171527777776646</v>
      </c>
      <c r="K1084" s="22">
        <f t="shared" si="81"/>
        <v>4.1166666666395</v>
      </c>
      <c r="L1084" s="22">
        <f t="shared" si="82"/>
        <v>4.1166666666395</v>
      </c>
      <c r="M1084" s="22" cm="1">
        <f ca="1" t="array" ref="M1084">SUMPRODUCT(--(WEEKDAY(ROW(INDIRECT(INT(F1084)&amp;":"&amp;INT(I1084))),2)&gt;5))</f>
        <v>0</v>
      </c>
      <c r="N1084" s="22">
        <f ca="1" t="shared" si="83"/>
        <v>4.1166666666395</v>
      </c>
      <c r="O1084" s="22" t="str">
        <f ca="1" t="shared" si="84"/>
        <v>Within SLA</v>
      </c>
      <c r="P1084" s="26" t="s">
        <v>4377</v>
      </c>
      <c r="Q1084" s="24" t="s">
        <v>37</v>
      </c>
      <c r="R1084" s="25"/>
      <c r="S1084" s="25"/>
    </row>
    <row r="1085" ht="27" customHeight="1" spans="1:19">
      <c r="A1085" s="19" t="s">
        <v>4381</v>
      </c>
      <c r="B1085" s="20" t="s">
        <v>30</v>
      </c>
      <c r="C1085" s="20" t="s">
        <v>2057</v>
      </c>
      <c r="D1085" s="20" t="s">
        <v>32</v>
      </c>
      <c r="E1085" s="21" t="s">
        <v>4382</v>
      </c>
      <c r="F1085" s="21" t="s">
        <v>4383</v>
      </c>
      <c r="G1085" s="20" t="s">
        <v>35</v>
      </c>
      <c r="H1085" s="20" t="s">
        <v>25</v>
      </c>
      <c r="I1085" s="21" t="s">
        <v>4384</v>
      </c>
      <c r="J1085" s="22">
        <f t="shared" si="80"/>
        <v>1.0090277777781</v>
      </c>
      <c r="K1085" s="22">
        <f t="shared" si="81"/>
        <v>24.2166666666744</v>
      </c>
      <c r="L1085" s="22">
        <f t="shared" si="82"/>
        <v>8.21666666667443</v>
      </c>
      <c r="M1085" s="22" cm="1">
        <f ca="1" t="array" ref="M1085">SUMPRODUCT(--(WEEKDAY(ROW(INDIRECT(INT(F1085)&amp;":"&amp;INT(I1085))),2)&gt;5))</f>
        <v>1</v>
      </c>
      <c r="N1085" s="22">
        <f ca="1" t="shared" si="83"/>
        <v>0.216666666674429</v>
      </c>
      <c r="O1085" s="22" t="str">
        <f ca="1" t="shared" si="84"/>
        <v>Within SLA</v>
      </c>
      <c r="P1085" s="26" t="s">
        <v>4381</v>
      </c>
      <c r="Q1085" s="24" t="s">
        <v>37</v>
      </c>
      <c r="R1085" s="25"/>
      <c r="S1085" s="25"/>
    </row>
    <row r="1086" ht="27" customHeight="1" spans="1:19">
      <c r="A1086" s="19" t="s">
        <v>4385</v>
      </c>
      <c r="B1086" s="20" t="s">
        <v>30</v>
      </c>
      <c r="C1086" s="20" t="s">
        <v>31</v>
      </c>
      <c r="D1086" s="20" t="s">
        <v>32</v>
      </c>
      <c r="E1086" s="21" t="s">
        <v>4386</v>
      </c>
      <c r="F1086" s="21" t="s">
        <v>4387</v>
      </c>
      <c r="G1086" s="20" t="s">
        <v>35</v>
      </c>
      <c r="H1086" s="20" t="s">
        <v>25</v>
      </c>
      <c r="I1086" s="21" t="s">
        <v>4388</v>
      </c>
      <c r="J1086" s="22">
        <f t="shared" si="80"/>
        <v>0.154166666667152</v>
      </c>
      <c r="K1086" s="22">
        <f t="shared" si="81"/>
        <v>3.70000000001164</v>
      </c>
      <c r="L1086" s="22">
        <f t="shared" si="82"/>
        <v>3.70000000001164</v>
      </c>
      <c r="M1086" s="22" cm="1">
        <f ca="1" t="array" ref="M1086">SUMPRODUCT(--(WEEKDAY(ROW(INDIRECT(INT(F1086)&amp;":"&amp;INT(I1086))),2)&gt;5))</f>
        <v>0</v>
      </c>
      <c r="N1086" s="22">
        <f ca="1" t="shared" si="83"/>
        <v>3.70000000001164</v>
      </c>
      <c r="O1086" s="22" t="str">
        <f ca="1" t="shared" si="84"/>
        <v>Within SLA</v>
      </c>
      <c r="P1086" s="26" t="s">
        <v>4385</v>
      </c>
      <c r="Q1086" s="24" t="s">
        <v>37</v>
      </c>
      <c r="R1086" s="25"/>
      <c r="S1086" s="25"/>
    </row>
    <row r="1087" ht="27" customHeight="1" spans="1:19">
      <c r="A1087" s="19" t="s">
        <v>4389</v>
      </c>
      <c r="B1087" s="20" t="s">
        <v>30</v>
      </c>
      <c r="C1087" s="20" t="s">
        <v>2057</v>
      </c>
      <c r="D1087" s="20" t="s">
        <v>32</v>
      </c>
      <c r="E1087" s="21" t="s">
        <v>4390</v>
      </c>
      <c r="F1087" s="21" t="s">
        <v>4391</v>
      </c>
      <c r="G1087" s="20" t="s">
        <v>35</v>
      </c>
      <c r="H1087" s="20" t="s">
        <v>25</v>
      </c>
      <c r="I1087" s="21" t="s">
        <v>4392</v>
      </c>
      <c r="J1087" s="22">
        <f t="shared" si="80"/>
        <v>19.0062499999985</v>
      </c>
      <c r="K1087" s="22">
        <f t="shared" si="81"/>
        <v>456.149999999965</v>
      </c>
      <c r="L1087" s="22">
        <f t="shared" si="82"/>
        <v>152.149999999965</v>
      </c>
      <c r="M1087" s="22" cm="1">
        <f ca="1" t="array" ref="M1087">SUMPRODUCT(--(WEEKDAY(ROW(INDIRECT(INT(F1087)&amp;":"&amp;INT(I1087))),2)&gt;5))</f>
        <v>6</v>
      </c>
      <c r="N1087" s="22">
        <f ca="1" t="shared" si="83"/>
        <v>104.149999999965</v>
      </c>
      <c r="O1087" s="22" t="str">
        <f ca="1" t="shared" si="84"/>
        <v>SLA Violated</v>
      </c>
      <c r="P1087" s="26" t="s">
        <v>4389</v>
      </c>
      <c r="Q1087" s="24" t="s">
        <v>28</v>
      </c>
      <c r="R1087" s="25"/>
      <c r="S1087" s="25"/>
    </row>
    <row r="1088" ht="27" customHeight="1" spans="1:19">
      <c r="A1088" s="19" t="s">
        <v>4393</v>
      </c>
      <c r="B1088" s="20" t="s">
        <v>30</v>
      </c>
      <c r="C1088" s="20" t="s">
        <v>2057</v>
      </c>
      <c r="D1088" s="20" t="s">
        <v>32</v>
      </c>
      <c r="E1088" s="21" t="s">
        <v>4198</v>
      </c>
      <c r="F1088" s="21" t="s">
        <v>4394</v>
      </c>
      <c r="G1088" s="20" t="s">
        <v>35</v>
      </c>
      <c r="H1088" s="20" t="s">
        <v>25</v>
      </c>
      <c r="I1088" s="21" t="s">
        <v>4395</v>
      </c>
      <c r="J1088" s="22">
        <f t="shared" si="80"/>
        <v>14.1736111111095</v>
      </c>
      <c r="K1088" s="22">
        <f t="shared" si="81"/>
        <v>340.166666666628</v>
      </c>
      <c r="L1088" s="22">
        <f t="shared" si="82"/>
        <v>116.166666666628</v>
      </c>
      <c r="M1088" s="22" cm="1">
        <f ca="1" t="array" ref="M1088">SUMPRODUCT(--(WEEKDAY(ROW(INDIRECT(INT(F1088)&amp;":"&amp;INT(I1088))),2)&gt;5))</f>
        <v>4</v>
      </c>
      <c r="N1088" s="22">
        <f ca="1" t="shared" si="83"/>
        <v>84.166666666628</v>
      </c>
      <c r="O1088" s="22" t="str">
        <f ca="1" t="shared" si="84"/>
        <v>SLA Violated</v>
      </c>
      <c r="P1088" s="26" t="s">
        <v>4393</v>
      </c>
      <c r="Q1088" s="24" t="s">
        <v>28</v>
      </c>
      <c r="R1088" s="25"/>
      <c r="S1088" s="25"/>
    </row>
    <row r="1089" ht="39" customHeight="1" spans="1:19">
      <c r="A1089" s="19" t="s">
        <v>4396</v>
      </c>
      <c r="B1089" s="20" t="s">
        <v>196</v>
      </c>
      <c r="C1089" s="20" t="s">
        <v>2057</v>
      </c>
      <c r="D1089" s="20" t="s">
        <v>21</v>
      </c>
      <c r="E1089" s="21" t="s">
        <v>4395</v>
      </c>
      <c r="F1089" s="21" t="s">
        <v>4397</v>
      </c>
      <c r="G1089" s="20" t="s">
        <v>35</v>
      </c>
      <c r="H1089" s="20" t="s">
        <v>25</v>
      </c>
      <c r="I1089" s="21" t="s">
        <v>4398</v>
      </c>
      <c r="J1089" s="22">
        <f t="shared" si="80"/>
        <v>7.02083333333576</v>
      </c>
      <c r="K1089" s="22">
        <f t="shared" si="81"/>
        <v>168.500000000058</v>
      </c>
      <c r="L1089" s="22">
        <f t="shared" si="82"/>
        <v>56.5000000000582</v>
      </c>
      <c r="M1089" s="22" cm="1">
        <f ca="1" t="array" ref="M1089">SUMPRODUCT(--(WEEKDAY(ROW(INDIRECT(INT(F1089)&amp;":"&amp;INT(I1089))),2)&gt;5))</f>
        <v>2</v>
      </c>
      <c r="N1089" s="22">
        <f ca="1" t="shared" si="83"/>
        <v>40.5000000000582</v>
      </c>
      <c r="O1089" s="22" t="str">
        <f ca="1" t="shared" si="84"/>
        <v>SLA Violated</v>
      </c>
      <c r="P1089" s="23" t="s">
        <v>4399</v>
      </c>
      <c r="Q1089" s="24" t="s">
        <v>28</v>
      </c>
      <c r="R1089" s="25"/>
      <c r="S1089" s="25"/>
    </row>
    <row r="1090" ht="27" customHeight="1" spans="1:19">
      <c r="A1090" s="19" t="s">
        <v>4400</v>
      </c>
      <c r="B1090" s="20" t="s">
        <v>30</v>
      </c>
      <c r="C1090" s="20" t="s">
        <v>2057</v>
      </c>
      <c r="D1090" s="20" t="s">
        <v>32</v>
      </c>
      <c r="E1090" s="21" t="s">
        <v>4395</v>
      </c>
      <c r="F1090" s="21" t="s">
        <v>4401</v>
      </c>
      <c r="G1090" s="20" t="s">
        <v>35</v>
      </c>
      <c r="H1090" s="20" t="s">
        <v>25</v>
      </c>
      <c r="I1090" s="21" t="s">
        <v>4402</v>
      </c>
      <c r="J1090" s="22">
        <f t="shared" si="80"/>
        <v>18.9986111111139</v>
      </c>
      <c r="K1090" s="22">
        <f t="shared" si="81"/>
        <v>455.966666666733</v>
      </c>
      <c r="L1090" s="22">
        <f t="shared" si="82"/>
        <v>151.966666666733</v>
      </c>
      <c r="M1090" s="22" cm="1">
        <f ca="1" t="array" ref="M1090">SUMPRODUCT(--(WEEKDAY(ROW(INDIRECT(INT(F1090)&amp;":"&amp;INT(I1090))),2)&gt;5))</f>
        <v>6</v>
      </c>
      <c r="N1090" s="22">
        <f ca="1" t="shared" si="83"/>
        <v>103.966666666733</v>
      </c>
      <c r="O1090" s="22" t="str">
        <f ca="1" t="shared" si="84"/>
        <v>SLA Violated</v>
      </c>
      <c r="P1090" s="26" t="s">
        <v>4400</v>
      </c>
      <c r="Q1090" s="24" t="s">
        <v>28</v>
      </c>
      <c r="R1090" s="25"/>
      <c r="S1090" s="25"/>
    </row>
    <row r="1091" ht="39" customHeight="1" spans="1:19">
      <c r="A1091" s="19" t="s">
        <v>4403</v>
      </c>
      <c r="B1091" s="20" t="s">
        <v>19</v>
      </c>
      <c r="C1091" s="20" t="s">
        <v>20</v>
      </c>
      <c r="D1091" s="20" t="s">
        <v>32</v>
      </c>
      <c r="E1091" s="21" t="s">
        <v>4395</v>
      </c>
      <c r="F1091" s="21" t="s">
        <v>4404</v>
      </c>
      <c r="G1091" s="20" t="s">
        <v>35</v>
      </c>
      <c r="H1091" s="20" t="s">
        <v>25</v>
      </c>
      <c r="I1091" s="21" t="s">
        <v>4405</v>
      </c>
      <c r="J1091" s="22">
        <f t="shared" ref="J1091:J1154" si="85">F1091-I1091</f>
        <v>13.1965277777781</v>
      </c>
      <c r="K1091" s="22">
        <f t="shared" ref="K1091:K1154" si="86">J1091*24</f>
        <v>316.716666666674</v>
      </c>
      <c r="L1091" s="22">
        <f t="shared" ref="L1091:L1154" si="87">IF(_xlfn.DAYS(F1091,I1091)&gt;0,K1091-IF(FLOOR(J1091,1)=0,1,_xlfn.DAYS(F1091,I1091))*16,K1091)</f>
        <v>108.716666666674</v>
      </c>
      <c r="M1091" s="22" cm="1">
        <f ca="1" t="array" ref="M1091">SUMPRODUCT(--(WEEKDAY(ROW(INDIRECT(INT(F1091)&amp;":"&amp;INT(I1091))),2)&gt;5))</f>
        <v>4</v>
      </c>
      <c r="N1091" s="22">
        <f ca="1" t="shared" ref="N1091:N1154" si="88">IF(IF(M1091&gt;0,L1091-M1091*8,L1091)&lt;0,0,IF(M1091&gt;0,L1091-M1091*8,L1091))</f>
        <v>76.716666666674</v>
      </c>
      <c r="O1091" s="22" t="str">
        <f ca="1" t="shared" ref="O1091:O1154" si="89">IF(OR(AND(D1091="P1",N1091&lt;=3),AND(D1091="P2",N1091&lt;=6),AND(D1091="P3",N1091&lt;=9),AND(D1091="P4",N1091&lt;=12)),"Within SLA","SLA Violated")</f>
        <v>SLA Violated</v>
      </c>
      <c r="P1091" s="23" t="s">
        <v>4406</v>
      </c>
      <c r="Q1091" s="24" t="s">
        <v>37</v>
      </c>
      <c r="R1091" s="25" t="s">
        <v>4407</v>
      </c>
      <c r="S1091" s="25" t="s">
        <v>39</v>
      </c>
    </row>
    <row r="1092" ht="27" customHeight="1" spans="1:19">
      <c r="A1092" s="19" t="s">
        <v>4408</v>
      </c>
      <c r="B1092" s="20" t="s">
        <v>30</v>
      </c>
      <c r="C1092" s="20" t="s">
        <v>2057</v>
      </c>
      <c r="D1092" s="20" t="s">
        <v>32</v>
      </c>
      <c r="E1092" s="21" t="s">
        <v>4402</v>
      </c>
      <c r="F1092" s="21" t="s">
        <v>4409</v>
      </c>
      <c r="G1092" s="20" t="s">
        <v>35</v>
      </c>
      <c r="H1092" s="20" t="s">
        <v>25</v>
      </c>
      <c r="I1092" s="21" t="s">
        <v>4410</v>
      </c>
      <c r="J1092" s="22">
        <f t="shared" si="85"/>
        <v>9.92916666666861</v>
      </c>
      <c r="K1092" s="22">
        <f t="shared" si="86"/>
        <v>238.300000000047</v>
      </c>
      <c r="L1092" s="22">
        <f t="shared" si="87"/>
        <v>78.3000000000466</v>
      </c>
      <c r="M1092" s="22" cm="1">
        <f ca="1" t="array" ref="M1092">SUMPRODUCT(--(WEEKDAY(ROW(INDIRECT(INT(F1092)&amp;":"&amp;INT(I1092))),2)&gt;5))</f>
        <v>4</v>
      </c>
      <c r="N1092" s="22">
        <f ca="1" t="shared" si="88"/>
        <v>46.3000000000466</v>
      </c>
      <c r="O1092" s="22" t="str">
        <f ca="1" t="shared" si="89"/>
        <v>SLA Violated</v>
      </c>
      <c r="P1092" s="26" t="s">
        <v>4408</v>
      </c>
      <c r="Q1092" s="24" t="s">
        <v>28</v>
      </c>
      <c r="R1092" s="25"/>
      <c r="S1092" s="25"/>
    </row>
    <row r="1093" ht="27" customHeight="1" spans="1:19">
      <c r="A1093" s="19" t="s">
        <v>4411</v>
      </c>
      <c r="B1093" s="20" t="s">
        <v>30</v>
      </c>
      <c r="C1093" s="20" t="s">
        <v>2057</v>
      </c>
      <c r="D1093" s="20" t="s">
        <v>32</v>
      </c>
      <c r="E1093" s="21" t="s">
        <v>4412</v>
      </c>
      <c r="F1093" s="21" t="s">
        <v>4413</v>
      </c>
      <c r="G1093" s="20" t="s">
        <v>35</v>
      </c>
      <c r="H1093" s="20" t="s">
        <v>25</v>
      </c>
      <c r="I1093" s="21" t="s">
        <v>4414</v>
      </c>
      <c r="J1093" s="22">
        <f t="shared" si="85"/>
        <v>9.92708333332848</v>
      </c>
      <c r="K1093" s="22">
        <f t="shared" si="86"/>
        <v>238.249999999884</v>
      </c>
      <c r="L1093" s="22">
        <f t="shared" si="87"/>
        <v>78.2499999998836</v>
      </c>
      <c r="M1093" s="22" cm="1">
        <f ca="1" t="array" ref="M1093">SUMPRODUCT(--(WEEKDAY(ROW(INDIRECT(INT(F1093)&amp;":"&amp;INT(I1093))),2)&gt;5))</f>
        <v>4</v>
      </c>
      <c r="N1093" s="22">
        <f ca="1" t="shared" si="88"/>
        <v>46.2499999998836</v>
      </c>
      <c r="O1093" s="22" t="str">
        <f ca="1" t="shared" si="89"/>
        <v>SLA Violated</v>
      </c>
      <c r="P1093" s="26" t="s">
        <v>4411</v>
      </c>
      <c r="Q1093" s="24" t="s">
        <v>28</v>
      </c>
      <c r="R1093" s="25"/>
      <c r="S1093" s="25"/>
    </row>
    <row r="1094" ht="27" customHeight="1" spans="1:19">
      <c r="A1094" s="19" t="s">
        <v>4415</v>
      </c>
      <c r="B1094" s="20" t="s">
        <v>30</v>
      </c>
      <c r="C1094" s="20" t="s">
        <v>31</v>
      </c>
      <c r="D1094" s="20" t="s">
        <v>32</v>
      </c>
      <c r="E1094" s="21" t="s">
        <v>4416</v>
      </c>
      <c r="F1094" s="21" t="s">
        <v>4417</v>
      </c>
      <c r="G1094" s="20" t="s">
        <v>35</v>
      </c>
      <c r="H1094" s="20" t="s">
        <v>25</v>
      </c>
      <c r="I1094" s="21" t="s">
        <v>4418</v>
      </c>
      <c r="J1094" s="22">
        <f t="shared" si="85"/>
        <v>0.956944444442343</v>
      </c>
      <c r="K1094" s="22">
        <f t="shared" si="86"/>
        <v>22.9666666666162</v>
      </c>
      <c r="L1094" s="22">
        <f t="shared" si="87"/>
        <v>6.96666666661622</v>
      </c>
      <c r="M1094" s="22" cm="1">
        <f ca="1" t="array" ref="M1094">SUMPRODUCT(--(WEEKDAY(ROW(INDIRECT(INT(F1094)&amp;":"&amp;INT(I1094))),2)&gt;5))</f>
        <v>1</v>
      </c>
      <c r="N1094" s="22">
        <f ca="1" t="shared" si="88"/>
        <v>0</v>
      </c>
      <c r="O1094" s="22" t="str">
        <f ca="1" t="shared" si="89"/>
        <v>Within SLA</v>
      </c>
      <c r="P1094" s="26" t="s">
        <v>4415</v>
      </c>
      <c r="Q1094" s="24" t="s">
        <v>37</v>
      </c>
      <c r="R1094" s="25"/>
      <c r="S1094" s="25"/>
    </row>
    <row r="1095" ht="27" customHeight="1" spans="1:19">
      <c r="A1095" s="19" t="s">
        <v>4419</v>
      </c>
      <c r="B1095" s="20" t="s">
        <v>30</v>
      </c>
      <c r="C1095" s="20" t="s">
        <v>31</v>
      </c>
      <c r="D1095" s="20" t="s">
        <v>32</v>
      </c>
      <c r="E1095" s="21" t="s">
        <v>4418</v>
      </c>
      <c r="F1095" s="21" t="s">
        <v>4420</v>
      </c>
      <c r="G1095" s="20" t="s">
        <v>35</v>
      </c>
      <c r="H1095" s="20" t="s">
        <v>25</v>
      </c>
      <c r="I1095" s="21" t="s">
        <v>4421</v>
      </c>
      <c r="J1095" s="22">
        <f t="shared" si="85"/>
        <v>0.0479166666627862</v>
      </c>
      <c r="K1095" s="22">
        <f t="shared" si="86"/>
        <v>1.14999999990687</v>
      </c>
      <c r="L1095" s="22">
        <f t="shared" si="87"/>
        <v>1.14999999990687</v>
      </c>
      <c r="M1095" s="22" cm="1">
        <f ca="1" t="array" ref="M1095">SUMPRODUCT(--(WEEKDAY(ROW(INDIRECT(INT(F1095)&amp;":"&amp;INT(I1095))),2)&gt;5))</f>
        <v>0</v>
      </c>
      <c r="N1095" s="22">
        <f ca="1" t="shared" si="88"/>
        <v>1.14999999990687</v>
      </c>
      <c r="O1095" s="22" t="str">
        <f ca="1" t="shared" si="89"/>
        <v>Within SLA</v>
      </c>
      <c r="P1095" s="26" t="s">
        <v>4419</v>
      </c>
      <c r="Q1095" s="24" t="s">
        <v>37</v>
      </c>
      <c r="R1095" s="25"/>
      <c r="S1095" s="25"/>
    </row>
    <row r="1096" ht="27" customHeight="1" spans="1:19">
      <c r="A1096" s="19" t="s">
        <v>4422</v>
      </c>
      <c r="B1096" s="20" t="s">
        <v>30</v>
      </c>
      <c r="C1096" s="20" t="s">
        <v>31</v>
      </c>
      <c r="D1096" s="20" t="s">
        <v>32</v>
      </c>
      <c r="E1096" s="21" t="s">
        <v>4423</v>
      </c>
      <c r="F1096" s="21" t="s">
        <v>4424</v>
      </c>
      <c r="G1096" s="20" t="s">
        <v>35</v>
      </c>
      <c r="H1096" s="20" t="s">
        <v>25</v>
      </c>
      <c r="I1096" s="21" t="s">
        <v>4425</v>
      </c>
      <c r="J1096" s="22">
        <f t="shared" si="85"/>
        <v>1.0756944444438</v>
      </c>
      <c r="K1096" s="22">
        <f t="shared" si="86"/>
        <v>25.8166666666511</v>
      </c>
      <c r="L1096" s="22">
        <f t="shared" si="87"/>
        <v>9.81666666665114</v>
      </c>
      <c r="M1096" s="22" cm="1">
        <f ca="1" t="array" ref="M1096">SUMPRODUCT(--(WEEKDAY(ROW(INDIRECT(INT(F1096)&amp;":"&amp;INT(I1096))),2)&gt;5))</f>
        <v>1</v>
      </c>
      <c r="N1096" s="22">
        <f ca="1" t="shared" si="88"/>
        <v>1.81666666665114</v>
      </c>
      <c r="O1096" s="22" t="str">
        <f ca="1" t="shared" si="89"/>
        <v>Within SLA</v>
      </c>
      <c r="P1096" s="26" t="s">
        <v>4422</v>
      </c>
      <c r="Q1096" s="24" t="s">
        <v>37</v>
      </c>
      <c r="R1096" s="25"/>
      <c r="S1096" s="25"/>
    </row>
    <row r="1097" ht="27" customHeight="1" spans="1:19">
      <c r="A1097" s="19" t="s">
        <v>4426</v>
      </c>
      <c r="B1097" s="20" t="s">
        <v>30</v>
      </c>
      <c r="C1097" s="20" t="s">
        <v>31</v>
      </c>
      <c r="D1097" s="20" t="s">
        <v>32</v>
      </c>
      <c r="E1097" s="21" t="s">
        <v>4427</v>
      </c>
      <c r="F1097" s="21" t="s">
        <v>4428</v>
      </c>
      <c r="G1097" s="20" t="s">
        <v>35</v>
      </c>
      <c r="H1097" s="20" t="s">
        <v>25</v>
      </c>
      <c r="I1097" s="21" t="s">
        <v>4429</v>
      </c>
      <c r="J1097" s="22">
        <f t="shared" si="85"/>
        <v>0.0298611111138598</v>
      </c>
      <c r="K1097" s="22">
        <f t="shared" si="86"/>
        <v>0.716666666732635</v>
      </c>
      <c r="L1097" s="22">
        <f t="shared" si="87"/>
        <v>0.716666666732635</v>
      </c>
      <c r="M1097" s="22" cm="1">
        <f ca="1" t="array" ref="M1097">SUMPRODUCT(--(WEEKDAY(ROW(INDIRECT(INT(F1097)&amp;":"&amp;INT(I1097))),2)&gt;5))</f>
        <v>0</v>
      </c>
      <c r="N1097" s="22">
        <f ca="1" t="shared" si="88"/>
        <v>0.716666666732635</v>
      </c>
      <c r="O1097" s="22" t="str">
        <f ca="1" t="shared" si="89"/>
        <v>Within SLA</v>
      </c>
      <c r="P1097" s="26" t="s">
        <v>4426</v>
      </c>
      <c r="Q1097" s="24" t="s">
        <v>37</v>
      </c>
      <c r="R1097" s="25"/>
      <c r="S1097" s="25"/>
    </row>
    <row r="1098" ht="27" customHeight="1" spans="1:19">
      <c r="A1098" s="19" t="s">
        <v>4430</v>
      </c>
      <c r="B1098" s="20" t="s">
        <v>30</v>
      </c>
      <c r="C1098" s="20" t="s">
        <v>2057</v>
      </c>
      <c r="D1098" s="20" t="s">
        <v>32</v>
      </c>
      <c r="E1098" s="21" t="s">
        <v>4431</v>
      </c>
      <c r="F1098" s="21" t="s">
        <v>4413</v>
      </c>
      <c r="G1098" s="20" t="s">
        <v>35</v>
      </c>
      <c r="H1098" s="20" t="s">
        <v>25</v>
      </c>
      <c r="I1098" s="21" t="s">
        <v>4432</v>
      </c>
      <c r="J1098" s="22">
        <f t="shared" si="85"/>
        <v>9.86319444444234</v>
      </c>
      <c r="K1098" s="22">
        <f t="shared" si="86"/>
        <v>236.716666666616</v>
      </c>
      <c r="L1098" s="22">
        <f t="shared" si="87"/>
        <v>76.7166666666162</v>
      </c>
      <c r="M1098" s="22" cm="1">
        <f ca="1" t="array" ref="M1098">SUMPRODUCT(--(WEEKDAY(ROW(INDIRECT(INT(F1098)&amp;":"&amp;INT(I1098))),2)&gt;5))</f>
        <v>4</v>
      </c>
      <c r="N1098" s="22">
        <f ca="1" t="shared" si="88"/>
        <v>44.7166666666162</v>
      </c>
      <c r="O1098" s="22" t="str">
        <f ca="1" t="shared" si="89"/>
        <v>SLA Violated</v>
      </c>
      <c r="P1098" s="26" t="s">
        <v>4430</v>
      </c>
      <c r="Q1098" s="24" t="s">
        <v>28</v>
      </c>
      <c r="R1098" s="25"/>
      <c r="S1098" s="25"/>
    </row>
    <row r="1099" ht="16" customHeight="1" spans="1:19">
      <c r="A1099" s="19" t="s">
        <v>4433</v>
      </c>
      <c r="B1099" s="20" t="s">
        <v>45</v>
      </c>
      <c r="C1099" s="20" t="s">
        <v>2235</v>
      </c>
      <c r="D1099" s="20" t="s">
        <v>32</v>
      </c>
      <c r="E1099" s="21" t="s">
        <v>3961</v>
      </c>
      <c r="F1099" s="21" t="s">
        <v>4434</v>
      </c>
      <c r="G1099" s="20" t="s">
        <v>35</v>
      </c>
      <c r="H1099" s="20" t="s">
        <v>25</v>
      </c>
      <c r="I1099" s="21" t="s">
        <v>4435</v>
      </c>
      <c r="J1099" s="22">
        <f t="shared" si="85"/>
        <v>0.813888888893416</v>
      </c>
      <c r="K1099" s="22">
        <f t="shared" si="86"/>
        <v>19.533333333442</v>
      </c>
      <c r="L1099" s="22">
        <f t="shared" si="87"/>
        <v>3.53333333344199</v>
      </c>
      <c r="M1099" s="22" cm="1">
        <f ca="1" t="array" ref="M1099">SUMPRODUCT(--(WEEKDAY(ROW(INDIRECT(INT(F1099)&amp;":"&amp;INT(I1099))),2)&gt;5))</f>
        <v>0</v>
      </c>
      <c r="N1099" s="22">
        <f ca="1" t="shared" si="88"/>
        <v>3.53333333344199</v>
      </c>
      <c r="O1099" s="22" t="str">
        <f ca="1" t="shared" si="89"/>
        <v>Within SLA</v>
      </c>
      <c r="P1099" s="26" t="s">
        <v>4433</v>
      </c>
      <c r="Q1099" s="24" t="s">
        <v>37</v>
      </c>
      <c r="R1099" s="25"/>
      <c r="S1099" s="25"/>
    </row>
    <row r="1100" ht="27" customHeight="1" spans="1:19">
      <c r="A1100" s="19" t="s">
        <v>4436</v>
      </c>
      <c r="B1100" s="20" t="s">
        <v>30</v>
      </c>
      <c r="C1100" s="20" t="s">
        <v>2057</v>
      </c>
      <c r="D1100" s="20" t="s">
        <v>32</v>
      </c>
      <c r="E1100" s="21" t="s">
        <v>4437</v>
      </c>
      <c r="F1100" s="21" t="s">
        <v>4413</v>
      </c>
      <c r="G1100" s="20" t="s">
        <v>35</v>
      </c>
      <c r="H1100" s="20" t="s">
        <v>25</v>
      </c>
      <c r="I1100" s="21" t="s">
        <v>4438</v>
      </c>
      <c r="J1100" s="22">
        <f t="shared" si="85"/>
        <v>9.84513888888614</v>
      </c>
      <c r="K1100" s="22">
        <f t="shared" si="86"/>
        <v>236.283333333267</v>
      </c>
      <c r="L1100" s="22">
        <f t="shared" si="87"/>
        <v>76.2833333332674</v>
      </c>
      <c r="M1100" s="22" cm="1">
        <f ca="1" t="array" ref="M1100">SUMPRODUCT(--(WEEKDAY(ROW(INDIRECT(INT(F1100)&amp;":"&amp;INT(I1100))),2)&gt;5))</f>
        <v>4</v>
      </c>
      <c r="N1100" s="22">
        <f ca="1" t="shared" si="88"/>
        <v>44.2833333332674</v>
      </c>
      <c r="O1100" s="22" t="str">
        <f ca="1" t="shared" si="89"/>
        <v>SLA Violated</v>
      </c>
      <c r="P1100" s="26" t="s">
        <v>4436</v>
      </c>
      <c r="Q1100" s="24" t="s">
        <v>28</v>
      </c>
      <c r="R1100" s="25"/>
      <c r="S1100" s="25"/>
    </row>
    <row r="1101" ht="16" customHeight="1" spans="1:19">
      <c r="A1101" s="19" t="s">
        <v>4439</v>
      </c>
      <c r="B1101" s="20" t="s">
        <v>45</v>
      </c>
      <c r="C1101" s="20" t="s">
        <v>2235</v>
      </c>
      <c r="D1101" s="20" t="s">
        <v>32</v>
      </c>
      <c r="E1101" s="21" t="s">
        <v>4294</v>
      </c>
      <c r="F1101" s="21" t="s">
        <v>4440</v>
      </c>
      <c r="G1101" s="20" t="s">
        <v>35</v>
      </c>
      <c r="H1101" s="20" t="s">
        <v>25</v>
      </c>
      <c r="I1101" s="21" t="s">
        <v>4441</v>
      </c>
      <c r="J1101" s="22">
        <f t="shared" si="85"/>
        <v>0.0499999999956344</v>
      </c>
      <c r="K1101" s="22">
        <f t="shared" si="86"/>
        <v>1.19999999989523</v>
      </c>
      <c r="L1101" s="22">
        <f t="shared" si="87"/>
        <v>1.19999999989523</v>
      </c>
      <c r="M1101" s="22" cm="1">
        <f ca="1" t="array" ref="M1101">SUMPRODUCT(--(WEEKDAY(ROW(INDIRECT(INT(F1101)&amp;":"&amp;INT(I1101))),2)&gt;5))</f>
        <v>0</v>
      </c>
      <c r="N1101" s="22">
        <f ca="1" t="shared" si="88"/>
        <v>1.19999999989523</v>
      </c>
      <c r="O1101" s="22" t="str">
        <f ca="1" t="shared" si="89"/>
        <v>Within SLA</v>
      </c>
      <c r="P1101" s="26" t="s">
        <v>4439</v>
      </c>
      <c r="Q1101" s="24" t="s">
        <v>37</v>
      </c>
      <c r="R1101" s="25"/>
      <c r="S1101" s="25"/>
    </row>
    <row r="1102" ht="27" customHeight="1" spans="1:19">
      <c r="A1102" s="19" t="s">
        <v>4442</v>
      </c>
      <c r="B1102" s="20" t="s">
        <v>30</v>
      </c>
      <c r="C1102" s="20" t="s">
        <v>2057</v>
      </c>
      <c r="D1102" s="20" t="s">
        <v>32</v>
      </c>
      <c r="E1102" s="21" t="s">
        <v>4443</v>
      </c>
      <c r="F1102" s="21" t="s">
        <v>4444</v>
      </c>
      <c r="G1102" s="20" t="s">
        <v>35</v>
      </c>
      <c r="H1102" s="20" t="s">
        <v>25</v>
      </c>
      <c r="I1102" s="21" t="s">
        <v>4445</v>
      </c>
      <c r="J1102" s="22">
        <f t="shared" si="85"/>
        <v>0.827083333329938</v>
      </c>
      <c r="K1102" s="22">
        <f t="shared" si="86"/>
        <v>19.8499999999185</v>
      </c>
      <c r="L1102" s="22">
        <f t="shared" si="87"/>
        <v>3.84999999991851</v>
      </c>
      <c r="M1102" s="22" cm="1">
        <f ca="1" t="array" ref="M1102">SUMPRODUCT(--(WEEKDAY(ROW(INDIRECT(INT(F1102)&amp;":"&amp;INT(I1102))),2)&gt;5))</f>
        <v>1</v>
      </c>
      <c r="N1102" s="22">
        <f ca="1" t="shared" si="88"/>
        <v>0</v>
      </c>
      <c r="O1102" s="22" t="str">
        <f ca="1" t="shared" si="89"/>
        <v>Within SLA</v>
      </c>
      <c r="P1102" s="26" t="s">
        <v>4442</v>
      </c>
      <c r="Q1102" s="24" t="s">
        <v>37</v>
      </c>
      <c r="R1102" s="25"/>
      <c r="S1102" s="25"/>
    </row>
    <row r="1103" ht="27" customHeight="1" spans="1:19">
      <c r="A1103" s="19" t="s">
        <v>4446</v>
      </c>
      <c r="B1103" s="20" t="s">
        <v>30</v>
      </c>
      <c r="C1103" s="20" t="s">
        <v>31</v>
      </c>
      <c r="D1103" s="20" t="s">
        <v>32</v>
      </c>
      <c r="E1103" s="21" t="s">
        <v>4447</v>
      </c>
      <c r="F1103" s="21" t="s">
        <v>4448</v>
      </c>
      <c r="G1103" s="20" t="s">
        <v>35</v>
      </c>
      <c r="H1103" s="20" t="s">
        <v>25</v>
      </c>
      <c r="I1103" s="21" t="s">
        <v>4449</v>
      </c>
      <c r="J1103" s="22">
        <f t="shared" si="85"/>
        <v>0.0402777777781012</v>
      </c>
      <c r="K1103" s="22">
        <f t="shared" si="86"/>
        <v>0.966666666674428</v>
      </c>
      <c r="L1103" s="22">
        <f t="shared" si="87"/>
        <v>0.966666666674428</v>
      </c>
      <c r="M1103" s="22" cm="1">
        <f ca="1" t="array" ref="M1103">SUMPRODUCT(--(WEEKDAY(ROW(INDIRECT(INT(F1103)&amp;":"&amp;INT(I1103))),2)&gt;5))</f>
        <v>0</v>
      </c>
      <c r="N1103" s="22">
        <f ca="1" t="shared" si="88"/>
        <v>0.966666666674428</v>
      </c>
      <c r="O1103" s="22" t="str">
        <f ca="1" t="shared" si="89"/>
        <v>Within SLA</v>
      </c>
      <c r="P1103" s="26" t="s">
        <v>4446</v>
      </c>
      <c r="Q1103" s="24" t="s">
        <v>37</v>
      </c>
      <c r="R1103" s="25"/>
      <c r="S1103" s="25"/>
    </row>
    <row r="1104" ht="27" customHeight="1" spans="1:19">
      <c r="A1104" s="19" t="s">
        <v>4450</v>
      </c>
      <c r="B1104" s="20" t="s">
        <v>30</v>
      </c>
      <c r="C1104" s="20" t="s">
        <v>31</v>
      </c>
      <c r="D1104" s="20" t="s">
        <v>32</v>
      </c>
      <c r="E1104" s="21" t="s">
        <v>4451</v>
      </c>
      <c r="F1104" s="21" t="s">
        <v>4452</v>
      </c>
      <c r="G1104" s="20" t="s">
        <v>35</v>
      </c>
      <c r="H1104" s="20" t="s">
        <v>25</v>
      </c>
      <c r="I1104" s="21" t="s">
        <v>4453</v>
      </c>
      <c r="J1104" s="22">
        <f t="shared" si="85"/>
        <v>0.00763888889196096</v>
      </c>
      <c r="K1104" s="22">
        <f t="shared" si="86"/>
        <v>0.183333333407063</v>
      </c>
      <c r="L1104" s="22">
        <f t="shared" si="87"/>
        <v>0.183333333407063</v>
      </c>
      <c r="M1104" s="22" cm="1">
        <f ca="1" t="array" ref="M1104">SUMPRODUCT(--(WEEKDAY(ROW(INDIRECT(INT(F1104)&amp;":"&amp;INT(I1104))),2)&gt;5))</f>
        <v>0</v>
      </c>
      <c r="N1104" s="22">
        <f ca="1" t="shared" si="88"/>
        <v>0.183333333407063</v>
      </c>
      <c r="O1104" s="22" t="str">
        <f ca="1" t="shared" si="89"/>
        <v>Within SLA</v>
      </c>
      <c r="P1104" s="26" t="s">
        <v>4450</v>
      </c>
      <c r="Q1104" s="24" t="s">
        <v>37</v>
      </c>
      <c r="R1104" s="25"/>
      <c r="S1104" s="25"/>
    </row>
    <row r="1105" ht="39" customHeight="1" spans="1:19">
      <c r="A1105" s="19" t="s">
        <v>4454</v>
      </c>
      <c r="B1105" s="20" t="s">
        <v>19</v>
      </c>
      <c r="C1105" s="20" t="s">
        <v>20</v>
      </c>
      <c r="D1105" s="20" t="s">
        <v>21</v>
      </c>
      <c r="E1105" s="21" t="s">
        <v>4451</v>
      </c>
      <c r="F1105" s="21" t="s">
        <v>4455</v>
      </c>
      <c r="G1105" s="20" t="s">
        <v>35</v>
      </c>
      <c r="H1105" s="20" t="s">
        <v>25</v>
      </c>
      <c r="I1105" s="21" t="s">
        <v>4456</v>
      </c>
      <c r="J1105" s="22">
        <f t="shared" si="85"/>
        <v>12.7923611111109</v>
      </c>
      <c r="K1105" s="22">
        <f t="shared" si="86"/>
        <v>307.016666666663</v>
      </c>
      <c r="L1105" s="22">
        <f t="shared" si="87"/>
        <v>99.0166666666628</v>
      </c>
      <c r="M1105" s="22" cm="1">
        <f ca="1" t="array" ref="M1105">SUMPRODUCT(--(WEEKDAY(ROW(INDIRECT(INT(F1105)&amp;":"&amp;INT(I1105))),2)&gt;5))</f>
        <v>4</v>
      </c>
      <c r="N1105" s="22">
        <f ca="1" t="shared" si="88"/>
        <v>67.0166666666628</v>
      </c>
      <c r="O1105" s="22" t="str">
        <f ca="1" t="shared" si="89"/>
        <v>SLA Violated</v>
      </c>
      <c r="P1105" s="23" t="s">
        <v>4457</v>
      </c>
      <c r="Q1105" s="24" t="s">
        <v>28</v>
      </c>
      <c r="R1105" s="25"/>
      <c r="S1105" s="25"/>
    </row>
    <row r="1106" ht="39" customHeight="1" spans="1:19">
      <c r="A1106" s="19" t="s">
        <v>4458</v>
      </c>
      <c r="B1106" s="20" t="s">
        <v>19</v>
      </c>
      <c r="C1106" s="20" t="s">
        <v>20</v>
      </c>
      <c r="D1106" s="20" t="s">
        <v>32</v>
      </c>
      <c r="E1106" s="21" t="s">
        <v>4449</v>
      </c>
      <c r="F1106" s="21" t="s">
        <v>4459</v>
      </c>
      <c r="G1106" s="20" t="s">
        <v>35</v>
      </c>
      <c r="H1106" s="20" t="s">
        <v>25</v>
      </c>
      <c r="I1106" s="21" t="s">
        <v>4460</v>
      </c>
      <c r="J1106" s="22">
        <f t="shared" si="85"/>
        <v>12.7902777777781</v>
      </c>
      <c r="K1106" s="22">
        <f t="shared" si="86"/>
        <v>306.966666666674</v>
      </c>
      <c r="L1106" s="22">
        <f t="shared" si="87"/>
        <v>98.9666666666744</v>
      </c>
      <c r="M1106" s="22" cm="1">
        <f ca="1" t="array" ref="M1106">SUMPRODUCT(--(WEEKDAY(ROW(INDIRECT(INT(F1106)&amp;":"&amp;INT(I1106))),2)&gt;5))</f>
        <v>4</v>
      </c>
      <c r="N1106" s="22">
        <f ca="1" t="shared" si="88"/>
        <v>66.9666666666744</v>
      </c>
      <c r="O1106" s="22" t="str">
        <f ca="1" t="shared" si="89"/>
        <v>SLA Violated</v>
      </c>
      <c r="P1106" s="23" t="s">
        <v>4461</v>
      </c>
      <c r="Q1106" s="24" t="s">
        <v>28</v>
      </c>
      <c r="R1106" s="25"/>
      <c r="S1106" s="25"/>
    </row>
    <row r="1107" ht="39" customHeight="1" spans="1:19">
      <c r="A1107" s="19" t="s">
        <v>4462</v>
      </c>
      <c r="B1107" s="20" t="s">
        <v>196</v>
      </c>
      <c r="C1107" s="20" t="s">
        <v>2057</v>
      </c>
      <c r="D1107" s="20" t="s">
        <v>32</v>
      </c>
      <c r="E1107" s="21" t="s">
        <v>4449</v>
      </c>
      <c r="F1107" s="21" t="s">
        <v>4463</v>
      </c>
      <c r="G1107" s="20" t="s">
        <v>35</v>
      </c>
      <c r="H1107" s="20" t="s">
        <v>25</v>
      </c>
      <c r="I1107" s="21" t="s">
        <v>4464</v>
      </c>
      <c r="J1107" s="22">
        <f t="shared" si="85"/>
        <v>19.8159722222263</v>
      </c>
      <c r="K1107" s="22">
        <f t="shared" si="86"/>
        <v>475.58333333343</v>
      </c>
      <c r="L1107" s="22">
        <f t="shared" si="87"/>
        <v>155.58333333343</v>
      </c>
      <c r="M1107" s="22" cm="1">
        <f ca="1" t="array" ref="M1107">SUMPRODUCT(--(WEEKDAY(ROW(INDIRECT(INT(F1107)&amp;":"&amp;INT(I1107))),2)&gt;5))</f>
        <v>6</v>
      </c>
      <c r="N1107" s="22">
        <f ca="1" t="shared" si="88"/>
        <v>107.58333333343</v>
      </c>
      <c r="O1107" s="22" t="str">
        <f ca="1" t="shared" si="89"/>
        <v>SLA Violated</v>
      </c>
      <c r="P1107" s="23" t="s">
        <v>4465</v>
      </c>
      <c r="Q1107" s="24" t="s">
        <v>37</v>
      </c>
      <c r="R1107" s="25" t="s">
        <v>1297</v>
      </c>
      <c r="S1107" s="25" t="s">
        <v>39</v>
      </c>
    </row>
    <row r="1108" ht="27" customHeight="1" spans="1:19">
      <c r="A1108" s="19" t="s">
        <v>4466</v>
      </c>
      <c r="B1108" s="20" t="s">
        <v>30</v>
      </c>
      <c r="C1108" s="20" t="s">
        <v>31</v>
      </c>
      <c r="D1108" s="20" t="s">
        <v>32</v>
      </c>
      <c r="E1108" s="21" t="s">
        <v>4467</v>
      </c>
      <c r="F1108" s="21" t="s">
        <v>4468</v>
      </c>
      <c r="G1108" s="20" t="s">
        <v>35</v>
      </c>
      <c r="H1108" s="20" t="s">
        <v>25</v>
      </c>
      <c r="I1108" s="21" t="s">
        <v>4469</v>
      </c>
      <c r="J1108" s="22">
        <f t="shared" si="85"/>
        <v>0.03125</v>
      </c>
      <c r="K1108" s="22">
        <f t="shared" si="86"/>
        <v>0.75</v>
      </c>
      <c r="L1108" s="22">
        <f t="shared" si="87"/>
        <v>0.75</v>
      </c>
      <c r="M1108" s="22" cm="1">
        <f ca="1" t="array" ref="M1108">SUMPRODUCT(--(WEEKDAY(ROW(INDIRECT(INT(F1108)&amp;":"&amp;INT(I1108))),2)&gt;5))</f>
        <v>0</v>
      </c>
      <c r="N1108" s="22">
        <f ca="1" t="shared" si="88"/>
        <v>0.75</v>
      </c>
      <c r="O1108" s="22" t="str">
        <f ca="1" t="shared" si="89"/>
        <v>Within SLA</v>
      </c>
      <c r="P1108" s="26" t="s">
        <v>4466</v>
      </c>
      <c r="Q1108" s="24" t="s">
        <v>37</v>
      </c>
      <c r="R1108" s="25"/>
      <c r="S1108" s="25"/>
    </row>
    <row r="1109" ht="16" customHeight="1" spans="1:19">
      <c r="A1109" s="19" t="s">
        <v>4470</v>
      </c>
      <c r="B1109" s="20" t="s">
        <v>45</v>
      </c>
      <c r="C1109" s="20" t="s">
        <v>2235</v>
      </c>
      <c r="D1109" s="20" t="s">
        <v>32</v>
      </c>
      <c r="E1109" s="21" t="s">
        <v>4471</v>
      </c>
      <c r="F1109" s="21" t="s">
        <v>4472</v>
      </c>
      <c r="G1109" s="20" t="s">
        <v>35</v>
      </c>
      <c r="H1109" s="20" t="s">
        <v>25</v>
      </c>
      <c r="I1109" s="21" t="s">
        <v>4473</v>
      </c>
      <c r="J1109" s="22">
        <f t="shared" si="85"/>
        <v>0.0187500000029104</v>
      </c>
      <c r="K1109" s="22">
        <f t="shared" si="86"/>
        <v>0.450000000069849</v>
      </c>
      <c r="L1109" s="22">
        <f t="shared" si="87"/>
        <v>0.450000000069849</v>
      </c>
      <c r="M1109" s="22" cm="1">
        <f ca="1" t="array" ref="M1109">SUMPRODUCT(--(WEEKDAY(ROW(INDIRECT(INT(F1109)&amp;":"&amp;INT(I1109))),2)&gt;5))</f>
        <v>0</v>
      </c>
      <c r="N1109" s="22">
        <f ca="1" t="shared" si="88"/>
        <v>0.450000000069849</v>
      </c>
      <c r="O1109" s="22" t="str">
        <f ca="1" t="shared" si="89"/>
        <v>Within SLA</v>
      </c>
      <c r="P1109" s="26" t="s">
        <v>4470</v>
      </c>
      <c r="Q1109" s="24" t="s">
        <v>37</v>
      </c>
      <c r="R1109" s="25"/>
      <c r="S1109" s="25"/>
    </row>
    <row r="1110" ht="27" customHeight="1" spans="1:19">
      <c r="A1110" s="19" t="s">
        <v>4474</v>
      </c>
      <c r="B1110" s="20" t="s">
        <v>30</v>
      </c>
      <c r="C1110" s="20" t="s">
        <v>2057</v>
      </c>
      <c r="D1110" s="20" t="s">
        <v>32</v>
      </c>
      <c r="E1110" s="21" t="s">
        <v>4309</v>
      </c>
      <c r="F1110" s="21" t="s">
        <v>4475</v>
      </c>
      <c r="G1110" s="20" t="s">
        <v>35</v>
      </c>
      <c r="H1110" s="20" t="s">
        <v>25</v>
      </c>
      <c r="I1110" s="21" t="s">
        <v>4476</v>
      </c>
      <c r="J1110" s="22">
        <f t="shared" si="85"/>
        <v>1.87291666666715</v>
      </c>
      <c r="K1110" s="22">
        <f t="shared" si="86"/>
        <v>44.9500000000116</v>
      </c>
      <c r="L1110" s="22">
        <f t="shared" si="87"/>
        <v>12.9500000000116</v>
      </c>
      <c r="M1110" s="22" cm="1">
        <f ca="1" t="array" ref="M1110">SUMPRODUCT(--(WEEKDAY(ROW(INDIRECT(INT(F1110)&amp;":"&amp;INT(I1110))),2)&gt;5))</f>
        <v>2</v>
      </c>
      <c r="N1110" s="22">
        <f ca="1" t="shared" si="88"/>
        <v>0</v>
      </c>
      <c r="O1110" s="22" t="str">
        <f ca="1" t="shared" si="89"/>
        <v>Within SLA</v>
      </c>
      <c r="P1110" s="26" t="s">
        <v>4474</v>
      </c>
      <c r="Q1110" s="24" t="s">
        <v>37</v>
      </c>
      <c r="R1110" s="25"/>
      <c r="S1110" s="25"/>
    </row>
    <row r="1111" ht="16" customHeight="1" spans="1:19">
      <c r="A1111" s="19" t="s">
        <v>4477</v>
      </c>
      <c r="B1111" s="20" t="s">
        <v>45</v>
      </c>
      <c r="C1111" s="20" t="s">
        <v>2235</v>
      </c>
      <c r="D1111" s="20" t="s">
        <v>32</v>
      </c>
      <c r="E1111" s="21" t="s">
        <v>4478</v>
      </c>
      <c r="F1111" s="21" t="s">
        <v>4479</v>
      </c>
      <c r="G1111" s="20" t="s">
        <v>35</v>
      </c>
      <c r="H1111" s="20" t="s">
        <v>25</v>
      </c>
      <c r="I1111" s="21" t="s">
        <v>4480</v>
      </c>
      <c r="J1111" s="22">
        <f t="shared" si="85"/>
        <v>0.811805555553292</v>
      </c>
      <c r="K1111" s="22">
        <f t="shared" si="86"/>
        <v>19.483333333279</v>
      </c>
      <c r="L1111" s="22">
        <f t="shared" si="87"/>
        <v>3.48333333327901</v>
      </c>
      <c r="M1111" s="22" cm="1">
        <f ca="1" t="array" ref="M1111">SUMPRODUCT(--(WEEKDAY(ROW(INDIRECT(INT(F1111)&amp;":"&amp;INT(I1111))),2)&gt;5))</f>
        <v>0</v>
      </c>
      <c r="N1111" s="22">
        <f ca="1" t="shared" si="88"/>
        <v>3.48333333327901</v>
      </c>
      <c r="O1111" s="22" t="str">
        <f ca="1" t="shared" si="89"/>
        <v>Within SLA</v>
      </c>
      <c r="P1111" s="26" t="s">
        <v>4477</v>
      </c>
      <c r="Q1111" s="24" t="s">
        <v>37</v>
      </c>
      <c r="R1111" s="25"/>
      <c r="S1111" s="25"/>
    </row>
    <row r="1112" ht="27" customHeight="1" spans="1:19">
      <c r="A1112" s="19" t="s">
        <v>4481</v>
      </c>
      <c r="B1112" s="20" t="s">
        <v>30</v>
      </c>
      <c r="C1112" s="20" t="s">
        <v>2057</v>
      </c>
      <c r="D1112" s="20" t="s">
        <v>32</v>
      </c>
      <c r="E1112" s="21" t="s">
        <v>4482</v>
      </c>
      <c r="F1112" s="21" t="s">
        <v>4413</v>
      </c>
      <c r="G1112" s="20" t="s">
        <v>35</v>
      </c>
      <c r="H1112" s="20" t="s">
        <v>25</v>
      </c>
      <c r="I1112" s="21" t="s">
        <v>4483</v>
      </c>
      <c r="J1112" s="22">
        <f t="shared" si="85"/>
        <v>9.80625000000146</v>
      </c>
      <c r="K1112" s="22">
        <f t="shared" si="86"/>
        <v>235.350000000035</v>
      </c>
      <c r="L1112" s="22">
        <f t="shared" si="87"/>
        <v>75.3500000000349</v>
      </c>
      <c r="M1112" s="22" cm="1">
        <f ca="1" t="array" ref="M1112">SUMPRODUCT(--(WEEKDAY(ROW(INDIRECT(INT(F1112)&amp;":"&amp;INT(I1112))),2)&gt;5))</f>
        <v>4</v>
      </c>
      <c r="N1112" s="22">
        <f ca="1" t="shared" si="88"/>
        <v>43.3500000000349</v>
      </c>
      <c r="O1112" s="22" t="str">
        <f ca="1" t="shared" si="89"/>
        <v>SLA Violated</v>
      </c>
      <c r="P1112" s="26" t="s">
        <v>4481</v>
      </c>
      <c r="Q1112" s="24" t="s">
        <v>28</v>
      </c>
      <c r="R1112" s="25"/>
      <c r="S1112" s="25"/>
    </row>
    <row r="1113" ht="27" customHeight="1" spans="1:19">
      <c r="A1113" s="19" t="s">
        <v>4484</v>
      </c>
      <c r="B1113" s="20" t="s">
        <v>30</v>
      </c>
      <c r="C1113" s="20" t="s">
        <v>2057</v>
      </c>
      <c r="D1113" s="20" t="s">
        <v>32</v>
      </c>
      <c r="E1113" s="21" t="s">
        <v>4485</v>
      </c>
      <c r="F1113" s="21" t="s">
        <v>4486</v>
      </c>
      <c r="G1113" s="20" t="s">
        <v>35</v>
      </c>
      <c r="H1113" s="20" t="s">
        <v>25</v>
      </c>
      <c r="I1113" s="21" t="s">
        <v>4487</v>
      </c>
      <c r="J1113" s="22">
        <f t="shared" si="85"/>
        <v>9.8618055555562</v>
      </c>
      <c r="K1113" s="22">
        <f t="shared" si="86"/>
        <v>236.683333333349</v>
      </c>
      <c r="L1113" s="22">
        <f t="shared" si="87"/>
        <v>76.6833333333489</v>
      </c>
      <c r="M1113" s="22" cm="1">
        <f ca="1" t="array" ref="M1113">SUMPRODUCT(--(WEEKDAY(ROW(INDIRECT(INT(F1113)&amp;":"&amp;INT(I1113))),2)&gt;5))</f>
        <v>4</v>
      </c>
      <c r="N1113" s="22">
        <f ca="1" t="shared" si="88"/>
        <v>44.6833333333489</v>
      </c>
      <c r="O1113" s="22" t="str">
        <f ca="1" t="shared" si="89"/>
        <v>SLA Violated</v>
      </c>
      <c r="P1113" s="26" t="s">
        <v>4484</v>
      </c>
      <c r="Q1113" s="24" t="s">
        <v>28</v>
      </c>
      <c r="R1113" s="25"/>
      <c r="S1113" s="25"/>
    </row>
    <row r="1114" ht="39" customHeight="1" spans="1:19">
      <c r="A1114" s="19" t="s">
        <v>4488</v>
      </c>
      <c r="B1114" s="20" t="s">
        <v>19</v>
      </c>
      <c r="C1114" s="20" t="s">
        <v>20</v>
      </c>
      <c r="D1114" s="20" t="s">
        <v>32</v>
      </c>
      <c r="E1114" s="21" t="s">
        <v>4489</v>
      </c>
      <c r="F1114" s="21" t="s">
        <v>4490</v>
      </c>
      <c r="G1114" s="20" t="s">
        <v>35</v>
      </c>
      <c r="H1114" s="20" t="s">
        <v>25</v>
      </c>
      <c r="I1114" s="21" t="s">
        <v>4491</v>
      </c>
      <c r="J1114" s="22">
        <f t="shared" si="85"/>
        <v>0.0368055555518367</v>
      </c>
      <c r="K1114" s="22">
        <f t="shared" si="86"/>
        <v>0.883333333244082</v>
      </c>
      <c r="L1114" s="22">
        <f t="shared" si="87"/>
        <v>0.883333333244082</v>
      </c>
      <c r="M1114" s="22" cm="1">
        <f ca="1" t="array" ref="M1114">SUMPRODUCT(--(WEEKDAY(ROW(INDIRECT(INT(F1114)&amp;":"&amp;INT(I1114))),2)&gt;5))</f>
        <v>0</v>
      </c>
      <c r="N1114" s="22">
        <f ca="1" t="shared" si="88"/>
        <v>0.883333333244082</v>
      </c>
      <c r="O1114" s="22" t="str">
        <f ca="1" t="shared" si="89"/>
        <v>Within SLA</v>
      </c>
      <c r="P1114" s="26" t="s">
        <v>4488</v>
      </c>
      <c r="Q1114" s="24" t="s">
        <v>37</v>
      </c>
      <c r="R1114" s="25"/>
      <c r="S1114" s="25"/>
    </row>
    <row r="1115" ht="39" customHeight="1" spans="1:19">
      <c r="A1115" s="19" t="s">
        <v>4492</v>
      </c>
      <c r="B1115" s="20" t="s">
        <v>196</v>
      </c>
      <c r="C1115" s="20" t="s">
        <v>46</v>
      </c>
      <c r="D1115" s="20" t="s">
        <v>32</v>
      </c>
      <c r="E1115" s="21" t="s">
        <v>4489</v>
      </c>
      <c r="F1115" s="21" t="s">
        <v>4493</v>
      </c>
      <c r="G1115" s="20" t="s">
        <v>35</v>
      </c>
      <c r="H1115" s="20" t="s">
        <v>25</v>
      </c>
      <c r="I1115" s="21" t="s">
        <v>4494</v>
      </c>
      <c r="J1115" s="22">
        <f t="shared" si="85"/>
        <v>0.0729166666642413</v>
      </c>
      <c r="K1115" s="22">
        <f t="shared" si="86"/>
        <v>1.74999999994179</v>
      </c>
      <c r="L1115" s="22">
        <f t="shared" si="87"/>
        <v>1.74999999994179</v>
      </c>
      <c r="M1115" s="22" cm="1">
        <f ca="1" t="array" ref="M1115">SUMPRODUCT(--(WEEKDAY(ROW(INDIRECT(INT(F1115)&amp;":"&amp;INT(I1115))),2)&gt;5))</f>
        <v>0</v>
      </c>
      <c r="N1115" s="22">
        <f ca="1" t="shared" si="88"/>
        <v>1.74999999994179</v>
      </c>
      <c r="O1115" s="22" t="str">
        <f ca="1" t="shared" si="89"/>
        <v>Within SLA</v>
      </c>
      <c r="P1115" s="26" t="s">
        <v>4492</v>
      </c>
      <c r="Q1115" s="24" t="s">
        <v>37</v>
      </c>
      <c r="R1115" s="25"/>
      <c r="S1115" s="25"/>
    </row>
    <row r="1116" ht="39" customHeight="1" spans="1:19">
      <c r="A1116" s="19" t="s">
        <v>4495</v>
      </c>
      <c r="B1116" s="20" t="s">
        <v>19</v>
      </c>
      <c r="C1116" s="20" t="s">
        <v>20</v>
      </c>
      <c r="D1116" s="20" t="s">
        <v>32</v>
      </c>
      <c r="E1116" s="21" t="s">
        <v>4487</v>
      </c>
      <c r="F1116" s="21" t="s">
        <v>4496</v>
      </c>
      <c r="G1116" s="20" t="s">
        <v>35</v>
      </c>
      <c r="H1116" s="20" t="s">
        <v>25</v>
      </c>
      <c r="I1116" s="21" t="s">
        <v>4497</v>
      </c>
      <c r="J1116" s="22">
        <f t="shared" si="85"/>
        <v>0.0277777777737356</v>
      </c>
      <c r="K1116" s="22">
        <f t="shared" si="86"/>
        <v>0.666666666569654</v>
      </c>
      <c r="L1116" s="22">
        <f t="shared" si="87"/>
        <v>0.666666666569654</v>
      </c>
      <c r="M1116" s="22" cm="1">
        <f ca="1" t="array" ref="M1116">SUMPRODUCT(--(WEEKDAY(ROW(INDIRECT(INT(F1116)&amp;":"&amp;INT(I1116))),2)&gt;5))</f>
        <v>0</v>
      </c>
      <c r="N1116" s="22">
        <f ca="1" t="shared" si="88"/>
        <v>0.666666666569654</v>
      </c>
      <c r="O1116" s="22" t="str">
        <f ca="1" t="shared" si="89"/>
        <v>Within SLA</v>
      </c>
      <c r="P1116" s="26" t="s">
        <v>4495</v>
      </c>
      <c r="Q1116" s="24" t="s">
        <v>37</v>
      </c>
      <c r="R1116" s="25"/>
      <c r="S1116" s="25"/>
    </row>
    <row r="1117" ht="27" customHeight="1" spans="1:19">
      <c r="A1117" s="19" t="s">
        <v>4498</v>
      </c>
      <c r="B1117" s="20" t="s">
        <v>30</v>
      </c>
      <c r="C1117" s="20" t="s">
        <v>2057</v>
      </c>
      <c r="D1117" s="20" t="s">
        <v>32</v>
      </c>
      <c r="E1117" s="21" t="s">
        <v>4487</v>
      </c>
      <c r="F1117" s="21" t="s">
        <v>4499</v>
      </c>
      <c r="G1117" s="20" t="s">
        <v>35</v>
      </c>
      <c r="H1117" s="20" t="s">
        <v>25</v>
      </c>
      <c r="I1117" s="21" t="s">
        <v>4500</v>
      </c>
      <c r="J1117" s="22">
        <f t="shared" si="85"/>
        <v>9.86111111110949</v>
      </c>
      <c r="K1117" s="22">
        <f t="shared" si="86"/>
        <v>236.666666666628</v>
      </c>
      <c r="L1117" s="22">
        <f t="shared" si="87"/>
        <v>76.6666666666279</v>
      </c>
      <c r="M1117" s="22" cm="1">
        <f ca="1" t="array" ref="M1117">SUMPRODUCT(--(WEEKDAY(ROW(INDIRECT(INT(F1117)&amp;":"&amp;INT(I1117))),2)&gt;5))</f>
        <v>4</v>
      </c>
      <c r="N1117" s="22">
        <f ca="1" t="shared" si="88"/>
        <v>44.6666666666279</v>
      </c>
      <c r="O1117" s="22" t="str">
        <f ca="1" t="shared" si="89"/>
        <v>SLA Violated</v>
      </c>
      <c r="P1117" s="26" t="s">
        <v>4498</v>
      </c>
      <c r="Q1117" s="24" t="s">
        <v>28</v>
      </c>
      <c r="R1117" s="25"/>
      <c r="S1117" s="25"/>
    </row>
    <row r="1118" ht="27" customHeight="1" spans="1:19">
      <c r="A1118" s="19" t="s">
        <v>4501</v>
      </c>
      <c r="B1118" s="20" t="s">
        <v>30</v>
      </c>
      <c r="C1118" s="20" t="s">
        <v>2057</v>
      </c>
      <c r="D1118" s="20" t="s">
        <v>32</v>
      </c>
      <c r="E1118" s="21" t="s">
        <v>4487</v>
      </c>
      <c r="F1118" s="21" t="s">
        <v>4502</v>
      </c>
      <c r="G1118" s="20" t="s">
        <v>35</v>
      </c>
      <c r="H1118" s="20" t="s">
        <v>25</v>
      </c>
      <c r="I1118" s="21" t="s">
        <v>4503</v>
      </c>
      <c r="J1118" s="22">
        <f t="shared" si="85"/>
        <v>9.86666666666861</v>
      </c>
      <c r="K1118" s="22">
        <f t="shared" si="86"/>
        <v>236.800000000047</v>
      </c>
      <c r="L1118" s="22">
        <f t="shared" si="87"/>
        <v>76.8000000000466</v>
      </c>
      <c r="M1118" s="22" cm="1">
        <f ca="1" t="array" ref="M1118">SUMPRODUCT(--(WEEKDAY(ROW(INDIRECT(INT(F1118)&amp;":"&amp;INT(I1118))),2)&gt;5))</f>
        <v>4</v>
      </c>
      <c r="N1118" s="22">
        <f ca="1" t="shared" si="88"/>
        <v>44.8000000000466</v>
      </c>
      <c r="O1118" s="22" t="str">
        <f ca="1" t="shared" si="89"/>
        <v>SLA Violated</v>
      </c>
      <c r="P1118" s="26" t="s">
        <v>4501</v>
      </c>
      <c r="Q1118" s="24" t="s">
        <v>28</v>
      </c>
      <c r="R1118" s="25"/>
      <c r="S1118" s="25"/>
    </row>
    <row r="1119" ht="27" customHeight="1" spans="1:19">
      <c r="A1119" s="19" t="s">
        <v>4504</v>
      </c>
      <c r="B1119" s="20" t="s">
        <v>30</v>
      </c>
      <c r="C1119" s="20" t="s">
        <v>2057</v>
      </c>
      <c r="D1119" s="20" t="s">
        <v>32</v>
      </c>
      <c r="E1119" s="21" t="s">
        <v>4487</v>
      </c>
      <c r="F1119" s="21" t="s">
        <v>4505</v>
      </c>
      <c r="G1119" s="20" t="s">
        <v>35</v>
      </c>
      <c r="H1119" s="20" t="s">
        <v>25</v>
      </c>
      <c r="I1119" s="21" t="s">
        <v>4506</v>
      </c>
      <c r="J1119" s="22">
        <f t="shared" si="85"/>
        <v>14.0638888888934</v>
      </c>
      <c r="K1119" s="22">
        <f t="shared" si="86"/>
        <v>337.533333333442</v>
      </c>
      <c r="L1119" s="22">
        <f t="shared" si="87"/>
        <v>113.533333333442</v>
      </c>
      <c r="M1119" s="22" cm="1">
        <f ca="1" t="array" ref="M1119">SUMPRODUCT(--(WEEKDAY(ROW(INDIRECT(INT(F1119)&amp;":"&amp;INT(I1119))),2)&gt;5))</f>
        <v>4</v>
      </c>
      <c r="N1119" s="22">
        <f ca="1" t="shared" si="88"/>
        <v>81.533333333442</v>
      </c>
      <c r="O1119" s="22" t="str">
        <f ca="1" t="shared" si="89"/>
        <v>SLA Violated</v>
      </c>
      <c r="P1119" s="26" t="s">
        <v>4504</v>
      </c>
      <c r="Q1119" s="24" t="s">
        <v>28</v>
      </c>
      <c r="R1119" s="25"/>
      <c r="S1119" s="25"/>
    </row>
    <row r="1120" ht="39" customHeight="1" spans="1:19">
      <c r="A1120" s="19" t="s">
        <v>4507</v>
      </c>
      <c r="B1120" s="20" t="s">
        <v>19</v>
      </c>
      <c r="C1120" s="20" t="s">
        <v>20</v>
      </c>
      <c r="D1120" s="20" t="s">
        <v>32</v>
      </c>
      <c r="E1120" s="21" t="s">
        <v>4503</v>
      </c>
      <c r="F1120" s="21" t="s">
        <v>4508</v>
      </c>
      <c r="G1120" s="20" t="s">
        <v>35</v>
      </c>
      <c r="H1120" s="20" t="s">
        <v>25</v>
      </c>
      <c r="I1120" s="21" t="s">
        <v>4509</v>
      </c>
      <c r="J1120" s="22">
        <f t="shared" si="85"/>
        <v>12.7618055555577</v>
      </c>
      <c r="K1120" s="22">
        <f t="shared" si="86"/>
        <v>306.283333333384</v>
      </c>
      <c r="L1120" s="22">
        <f t="shared" si="87"/>
        <v>98.2833333333838</v>
      </c>
      <c r="M1120" s="22" cm="1">
        <f ca="1" t="array" ref="M1120">SUMPRODUCT(--(WEEKDAY(ROW(INDIRECT(INT(F1120)&amp;":"&amp;INT(I1120))),2)&gt;5))</f>
        <v>4</v>
      </c>
      <c r="N1120" s="22">
        <f ca="1" t="shared" si="88"/>
        <v>66.2833333333838</v>
      </c>
      <c r="O1120" s="22" t="str">
        <f ca="1" t="shared" si="89"/>
        <v>SLA Violated</v>
      </c>
      <c r="P1120" s="23" t="s">
        <v>4510</v>
      </c>
      <c r="Q1120" s="24" t="s">
        <v>28</v>
      </c>
      <c r="R1120" s="25"/>
      <c r="S1120" s="25"/>
    </row>
    <row r="1121" ht="27" customHeight="1" spans="1:19">
      <c r="A1121" s="19" t="s">
        <v>4511</v>
      </c>
      <c r="B1121" s="20" t="s">
        <v>30</v>
      </c>
      <c r="C1121" s="20" t="s">
        <v>2057</v>
      </c>
      <c r="D1121" s="20" t="s">
        <v>32</v>
      </c>
      <c r="E1121" s="21" t="s">
        <v>4509</v>
      </c>
      <c r="F1121" s="21" t="s">
        <v>4512</v>
      </c>
      <c r="G1121" s="20" t="s">
        <v>35</v>
      </c>
      <c r="H1121" s="20" t="s">
        <v>25</v>
      </c>
      <c r="I1121" s="21" t="s">
        <v>4513</v>
      </c>
      <c r="J1121" s="22">
        <f t="shared" si="85"/>
        <v>9.86874999999418</v>
      </c>
      <c r="K1121" s="22">
        <f t="shared" si="86"/>
        <v>236.84999999986</v>
      </c>
      <c r="L1121" s="22">
        <f t="shared" si="87"/>
        <v>76.8499999998603</v>
      </c>
      <c r="M1121" s="22" cm="1">
        <f ca="1" t="array" ref="M1121">SUMPRODUCT(--(WEEKDAY(ROW(INDIRECT(INT(F1121)&amp;":"&amp;INT(I1121))),2)&gt;5))</f>
        <v>4</v>
      </c>
      <c r="N1121" s="22">
        <f ca="1" t="shared" si="88"/>
        <v>44.8499999998603</v>
      </c>
      <c r="O1121" s="22" t="str">
        <f ca="1" t="shared" si="89"/>
        <v>SLA Violated</v>
      </c>
      <c r="P1121" s="26" t="s">
        <v>4511</v>
      </c>
      <c r="Q1121" s="24" t="s">
        <v>28</v>
      </c>
      <c r="R1121" s="25"/>
      <c r="S1121" s="25"/>
    </row>
    <row r="1122" ht="39" customHeight="1" spans="1:19">
      <c r="A1122" s="19" t="s">
        <v>4514</v>
      </c>
      <c r="B1122" s="20" t="s">
        <v>19</v>
      </c>
      <c r="C1122" s="20" t="s">
        <v>20</v>
      </c>
      <c r="D1122" s="20" t="s">
        <v>32</v>
      </c>
      <c r="E1122" s="21" t="s">
        <v>4515</v>
      </c>
      <c r="F1122" s="21" t="s">
        <v>4516</v>
      </c>
      <c r="G1122" s="20" t="s">
        <v>35</v>
      </c>
      <c r="H1122" s="20" t="s">
        <v>25</v>
      </c>
      <c r="I1122" s="21" t="s">
        <v>4517</v>
      </c>
      <c r="J1122" s="22">
        <f t="shared" si="85"/>
        <v>0.00972222221753327</v>
      </c>
      <c r="K1122" s="22">
        <f t="shared" si="86"/>
        <v>0.233333333220799</v>
      </c>
      <c r="L1122" s="22">
        <f t="shared" si="87"/>
        <v>0.233333333220799</v>
      </c>
      <c r="M1122" s="22" cm="1">
        <f ca="1" t="array" ref="M1122">SUMPRODUCT(--(WEEKDAY(ROW(INDIRECT(INT(F1122)&amp;":"&amp;INT(I1122))),2)&gt;5))</f>
        <v>0</v>
      </c>
      <c r="N1122" s="22">
        <f ca="1" t="shared" si="88"/>
        <v>0.233333333220799</v>
      </c>
      <c r="O1122" s="22" t="str">
        <f ca="1" t="shared" si="89"/>
        <v>Within SLA</v>
      </c>
      <c r="P1122" s="26" t="s">
        <v>4514</v>
      </c>
      <c r="Q1122" s="24" t="s">
        <v>37</v>
      </c>
      <c r="R1122" s="25"/>
      <c r="S1122" s="25"/>
    </row>
    <row r="1123" ht="27" customHeight="1" spans="1:19">
      <c r="A1123" s="19" t="s">
        <v>4518</v>
      </c>
      <c r="B1123" s="20" t="s">
        <v>30</v>
      </c>
      <c r="C1123" s="20" t="s">
        <v>2057</v>
      </c>
      <c r="D1123" s="20" t="s">
        <v>32</v>
      </c>
      <c r="E1123" s="21" t="s">
        <v>4519</v>
      </c>
      <c r="F1123" s="21" t="s">
        <v>4520</v>
      </c>
      <c r="G1123" s="20" t="s">
        <v>35</v>
      </c>
      <c r="H1123" s="20" t="s">
        <v>25</v>
      </c>
      <c r="I1123" s="21" t="s">
        <v>4521</v>
      </c>
      <c r="J1123" s="22">
        <f t="shared" si="85"/>
        <v>9.85138888889196</v>
      </c>
      <c r="K1123" s="22">
        <f t="shared" si="86"/>
        <v>236.433333333407</v>
      </c>
      <c r="L1123" s="22">
        <f t="shared" si="87"/>
        <v>76.4333333334071</v>
      </c>
      <c r="M1123" s="22" cm="1">
        <f ca="1" t="array" ref="M1123">SUMPRODUCT(--(WEEKDAY(ROW(INDIRECT(INT(F1123)&amp;":"&amp;INT(I1123))),2)&gt;5))</f>
        <v>4</v>
      </c>
      <c r="N1123" s="22">
        <f ca="1" t="shared" si="88"/>
        <v>44.4333333334071</v>
      </c>
      <c r="O1123" s="22" t="str">
        <f ca="1" t="shared" si="89"/>
        <v>SLA Violated</v>
      </c>
      <c r="P1123" s="26" t="s">
        <v>4518</v>
      </c>
      <c r="Q1123" s="24" t="s">
        <v>28</v>
      </c>
      <c r="R1123" s="25"/>
      <c r="S1123" s="25"/>
    </row>
    <row r="1124" ht="27" customHeight="1" spans="1:19">
      <c r="A1124" s="19" t="s">
        <v>4522</v>
      </c>
      <c r="B1124" s="20" t="s">
        <v>30</v>
      </c>
      <c r="C1124" s="20" t="s">
        <v>31</v>
      </c>
      <c r="D1124" s="20" t="s">
        <v>21</v>
      </c>
      <c r="E1124" s="21" t="s">
        <v>4523</v>
      </c>
      <c r="F1124" s="21" t="s">
        <v>4524</v>
      </c>
      <c r="G1124" s="20" t="s">
        <v>35</v>
      </c>
      <c r="H1124" s="20" t="s">
        <v>25</v>
      </c>
      <c r="I1124" s="21" t="s">
        <v>4525</v>
      </c>
      <c r="J1124" s="22">
        <f t="shared" si="85"/>
        <v>2.7236111111124</v>
      </c>
      <c r="K1124" s="22">
        <f t="shared" si="86"/>
        <v>65.3666666666977</v>
      </c>
      <c r="L1124" s="22">
        <f t="shared" si="87"/>
        <v>17.3666666666977</v>
      </c>
      <c r="M1124" s="22" cm="1">
        <f ca="1" t="array" ref="M1124">SUMPRODUCT(--(WEEKDAY(ROW(INDIRECT(INT(F1124)&amp;":"&amp;INT(I1124))),2)&gt;5))</f>
        <v>2</v>
      </c>
      <c r="N1124" s="22">
        <f ca="1" t="shared" si="88"/>
        <v>1.3666666666977</v>
      </c>
      <c r="O1124" s="22" t="str">
        <f ca="1" t="shared" si="89"/>
        <v>Within SLA</v>
      </c>
      <c r="P1124" s="26" t="s">
        <v>4522</v>
      </c>
      <c r="Q1124" s="24" t="s">
        <v>37</v>
      </c>
      <c r="R1124" s="25"/>
      <c r="S1124" s="25"/>
    </row>
    <row r="1125" ht="27" customHeight="1" spans="1:19">
      <c r="A1125" s="19" t="s">
        <v>4526</v>
      </c>
      <c r="B1125" s="20" t="s">
        <v>30</v>
      </c>
      <c r="C1125" s="20" t="s">
        <v>31</v>
      </c>
      <c r="D1125" s="20" t="s">
        <v>32</v>
      </c>
      <c r="E1125" s="21" t="s">
        <v>4523</v>
      </c>
      <c r="F1125" s="21" t="s">
        <v>4527</v>
      </c>
      <c r="G1125" s="20" t="s">
        <v>35</v>
      </c>
      <c r="H1125" s="20" t="s">
        <v>25</v>
      </c>
      <c r="I1125" s="21" t="s">
        <v>4528</v>
      </c>
      <c r="J1125" s="22">
        <f t="shared" si="85"/>
        <v>0.738888888889051</v>
      </c>
      <c r="K1125" s="22">
        <f t="shared" si="86"/>
        <v>17.7333333333372</v>
      </c>
      <c r="L1125" s="22">
        <f t="shared" si="87"/>
        <v>1.73333333333721</v>
      </c>
      <c r="M1125" s="22" cm="1">
        <f ca="1" t="array" ref="M1125">SUMPRODUCT(--(WEEKDAY(ROW(INDIRECT(INT(F1125)&amp;":"&amp;INT(I1125))),2)&gt;5))</f>
        <v>1</v>
      </c>
      <c r="N1125" s="22">
        <f ca="1" t="shared" si="88"/>
        <v>0</v>
      </c>
      <c r="O1125" s="22" t="str">
        <f ca="1" t="shared" si="89"/>
        <v>Within SLA</v>
      </c>
      <c r="P1125" s="26" t="s">
        <v>4526</v>
      </c>
      <c r="Q1125" s="24" t="s">
        <v>37</v>
      </c>
      <c r="R1125" s="25"/>
      <c r="S1125" s="25"/>
    </row>
    <row r="1126" ht="27" customHeight="1" spans="1:19">
      <c r="A1126" s="19" t="s">
        <v>4529</v>
      </c>
      <c r="B1126" s="20" t="s">
        <v>30</v>
      </c>
      <c r="C1126" s="20" t="s">
        <v>2057</v>
      </c>
      <c r="D1126" s="20" t="s">
        <v>32</v>
      </c>
      <c r="E1126" s="21" t="s">
        <v>4490</v>
      </c>
      <c r="F1126" s="21" t="s">
        <v>4530</v>
      </c>
      <c r="G1126" s="20" t="s">
        <v>35</v>
      </c>
      <c r="H1126" s="20" t="s">
        <v>25</v>
      </c>
      <c r="I1126" s="21" t="s">
        <v>4531</v>
      </c>
      <c r="J1126" s="22">
        <f t="shared" si="85"/>
        <v>9.9284722222219</v>
      </c>
      <c r="K1126" s="22">
        <f t="shared" si="86"/>
        <v>238.283333333326</v>
      </c>
      <c r="L1126" s="22">
        <f t="shared" si="87"/>
        <v>78.2833333333256</v>
      </c>
      <c r="M1126" s="22" cm="1">
        <f ca="1" t="array" ref="M1126">SUMPRODUCT(--(WEEKDAY(ROW(INDIRECT(INT(F1126)&amp;":"&amp;INT(I1126))),2)&gt;5))</f>
        <v>4</v>
      </c>
      <c r="N1126" s="22">
        <f ca="1" t="shared" si="88"/>
        <v>46.2833333333256</v>
      </c>
      <c r="O1126" s="22" t="str">
        <f ca="1" t="shared" si="89"/>
        <v>SLA Violated</v>
      </c>
      <c r="P1126" s="26" t="s">
        <v>4529</v>
      </c>
      <c r="Q1126" s="24" t="s">
        <v>28</v>
      </c>
      <c r="R1126" s="25"/>
      <c r="S1126" s="25"/>
    </row>
    <row r="1127" ht="27" customHeight="1" spans="1:19">
      <c r="A1127" s="19" t="s">
        <v>4532</v>
      </c>
      <c r="B1127" s="20" t="s">
        <v>30</v>
      </c>
      <c r="C1127" s="20" t="s">
        <v>2057</v>
      </c>
      <c r="D1127" s="20" t="s">
        <v>21</v>
      </c>
      <c r="E1127" s="21" t="s">
        <v>3442</v>
      </c>
      <c r="F1127" s="21" t="s">
        <v>4533</v>
      </c>
      <c r="G1127" s="20" t="s">
        <v>35</v>
      </c>
      <c r="H1127" s="20" t="s">
        <v>25</v>
      </c>
      <c r="I1127" s="21" t="s">
        <v>4534</v>
      </c>
      <c r="J1127" s="22">
        <f t="shared" si="85"/>
        <v>9.92291666667006</v>
      </c>
      <c r="K1127" s="22">
        <f t="shared" si="86"/>
        <v>238.150000000081</v>
      </c>
      <c r="L1127" s="22">
        <f t="shared" si="87"/>
        <v>78.1500000000815</v>
      </c>
      <c r="M1127" s="22" cm="1">
        <f ca="1" t="array" ref="M1127">SUMPRODUCT(--(WEEKDAY(ROW(INDIRECT(INT(F1127)&amp;":"&amp;INT(I1127))),2)&gt;5))</f>
        <v>4</v>
      </c>
      <c r="N1127" s="22">
        <f ca="1" t="shared" si="88"/>
        <v>46.1500000000815</v>
      </c>
      <c r="O1127" s="22" t="str">
        <f ca="1" t="shared" si="89"/>
        <v>SLA Violated</v>
      </c>
      <c r="P1127" s="23" t="s">
        <v>4535</v>
      </c>
      <c r="Q1127" s="24" t="s">
        <v>28</v>
      </c>
      <c r="R1127" s="25"/>
      <c r="S1127" s="25"/>
    </row>
    <row r="1128" ht="27" customHeight="1" spans="1:19">
      <c r="A1128" s="19" t="s">
        <v>4536</v>
      </c>
      <c r="B1128" s="20" t="s">
        <v>30</v>
      </c>
      <c r="C1128" s="20" t="s">
        <v>2057</v>
      </c>
      <c r="D1128" s="20" t="s">
        <v>32</v>
      </c>
      <c r="E1128" s="21" t="s">
        <v>4537</v>
      </c>
      <c r="F1128" s="21" t="s">
        <v>4538</v>
      </c>
      <c r="G1128" s="20" t="s">
        <v>35</v>
      </c>
      <c r="H1128" s="20" t="s">
        <v>25</v>
      </c>
      <c r="I1128" s="21" t="s">
        <v>4539</v>
      </c>
      <c r="J1128" s="22">
        <f t="shared" si="85"/>
        <v>9.92569444444234</v>
      </c>
      <c r="K1128" s="22">
        <f t="shared" si="86"/>
        <v>238.216666666616</v>
      </c>
      <c r="L1128" s="22">
        <f t="shared" si="87"/>
        <v>78.2166666666162</v>
      </c>
      <c r="M1128" s="22" cm="1">
        <f ca="1" t="array" ref="M1128">SUMPRODUCT(--(WEEKDAY(ROW(INDIRECT(INT(F1128)&amp;":"&amp;INT(I1128))),2)&gt;5))</f>
        <v>4</v>
      </c>
      <c r="N1128" s="22">
        <f ca="1" t="shared" si="88"/>
        <v>46.2166666666162</v>
      </c>
      <c r="O1128" s="22" t="str">
        <f ca="1" t="shared" si="89"/>
        <v>SLA Violated</v>
      </c>
      <c r="P1128" s="26" t="s">
        <v>4536</v>
      </c>
      <c r="Q1128" s="24" t="s">
        <v>28</v>
      </c>
      <c r="R1128" s="25"/>
      <c r="S1128" s="25"/>
    </row>
    <row r="1129" ht="39" customHeight="1" spans="1:19">
      <c r="A1129" s="19" t="s">
        <v>4540</v>
      </c>
      <c r="B1129" s="20" t="s">
        <v>19</v>
      </c>
      <c r="C1129" s="20" t="s">
        <v>20</v>
      </c>
      <c r="D1129" s="20" t="s">
        <v>32</v>
      </c>
      <c r="E1129" s="21" t="s">
        <v>4541</v>
      </c>
      <c r="F1129" s="21" t="s">
        <v>4542</v>
      </c>
      <c r="G1129" s="20" t="s">
        <v>35</v>
      </c>
      <c r="H1129" s="20" t="s">
        <v>25</v>
      </c>
      <c r="I1129" s="21" t="s">
        <v>4543</v>
      </c>
      <c r="J1129" s="22">
        <f t="shared" si="85"/>
        <v>2.77847222222772</v>
      </c>
      <c r="K1129" s="22">
        <f t="shared" si="86"/>
        <v>66.6833333334653</v>
      </c>
      <c r="L1129" s="22">
        <f t="shared" si="87"/>
        <v>18.6833333334653</v>
      </c>
      <c r="M1129" s="22" cm="1">
        <f ca="1" t="array" ref="M1129">SUMPRODUCT(--(WEEKDAY(ROW(INDIRECT(INT(F1129)&amp;":"&amp;INT(I1129))),2)&gt;5))</f>
        <v>2</v>
      </c>
      <c r="N1129" s="22">
        <f ca="1" t="shared" si="88"/>
        <v>2.6833333334653</v>
      </c>
      <c r="O1129" s="22" t="str">
        <f ca="1" t="shared" si="89"/>
        <v>Within SLA</v>
      </c>
      <c r="P1129" s="26" t="s">
        <v>4540</v>
      </c>
      <c r="Q1129" s="24" t="s">
        <v>37</v>
      </c>
      <c r="R1129" s="25"/>
      <c r="S1129" s="25"/>
    </row>
    <row r="1130" ht="27" customHeight="1" spans="1:19">
      <c r="A1130" s="19" t="s">
        <v>4544</v>
      </c>
      <c r="B1130" s="20" t="s">
        <v>30</v>
      </c>
      <c r="C1130" s="20" t="s">
        <v>2057</v>
      </c>
      <c r="D1130" s="20" t="s">
        <v>32</v>
      </c>
      <c r="E1130" s="21" t="s">
        <v>4541</v>
      </c>
      <c r="F1130" s="21" t="s">
        <v>4545</v>
      </c>
      <c r="G1130" s="20" t="s">
        <v>35</v>
      </c>
      <c r="H1130" s="20" t="s">
        <v>25</v>
      </c>
      <c r="I1130" s="21" t="s">
        <v>4546</v>
      </c>
      <c r="J1130" s="22">
        <f t="shared" si="85"/>
        <v>14.0020833333328</v>
      </c>
      <c r="K1130" s="22">
        <f t="shared" si="86"/>
        <v>336.049999999988</v>
      </c>
      <c r="L1130" s="22">
        <f t="shared" si="87"/>
        <v>112.049999999988</v>
      </c>
      <c r="M1130" s="22" cm="1">
        <f ca="1" t="array" ref="M1130">SUMPRODUCT(--(WEEKDAY(ROW(INDIRECT(INT(F1130)&amp;":"&amp;INT(I1130))),2)&gt;5))</f>
        <v>4</v>
      </c>
      <c r="N1130" s="22">
        <f ca="1" t="shared" si="88"/>
        <v>80.049999999988</v>
      </c>
      <c r="O1130" s="22" t="str">
        <f ca="1" t="shared" si="89"/>
        <v>SLA Violated</v>
      </c>
      <c r="P1130" s="26" t="s">
        <v>4544</v>
      </c>
      <c r="Q1130" s="24" t="s">
        <v>28</v>
      </c>
      <c r="R1130" s="25"/>
      <c r="S1130" s="25"/>
    </row>
    <row r="1131" ht="27" customHeight="1" spans="1:19">
      <c r="A1131" s="19" t="s">
        <v>4547</v>
      </c>
      <c r="B1131" s="20" t="s">
        <v>30</v>
      </c>
      <c r="C1131" s="20" t="s">
        <v>31</v>
      </c>
      <c r="D1131" s="20" t="s">
        <v>32</v>
      </c>
      <c r="E1131" s="21" t="s">
        <v>4548</v>
      </c>
      <c r="F1131" s="21" t="s">
        <v>4549</v>
      </c>
      <c r="G1131" s="20" t="s">
        <v>35</v>
      </c>
      <c r="H1131" s="20" t="s">
        <v>25</v>
      </c>
      <c r="I1131" s="21" t="s">
        <v>4550</v>
      </c>
      <c r="J1131" s="22">
        <f t="shared" si="85"/>
        <v>4.70902777777519</v>
      </c>
      <c r="K1131" s="22">
        <f t="shared" si="86"/>
        <v>113.016666666605</v>
      </c>
      <c r="L1131" s="22">
        <f t="shared" si="87"/>
        <v>33.0166666666046</v>
      </c>
      <c r="M1131" s="22" cm="1">
        <f ca="1" t="array" ref="M1131">SUMPRODUCT(--(WEEKDAY(ROW(INDIRECT(INT(F1131)&amp;":"&amp;INT(I1131))),2)&gt;5))</f>
        <v>2</v>
      </c>
      <c r="N1131" s="22">
        <f ca="1" t="shared" si="88"/>
        <v>17.0166666666046</v>
      </c>
      <c r="O1131" s="22" t="str">
        <f ca="1" t="shared" si="89"/>
        <v>SLA Violated</v>
      </c>
      <c r="P1131" s="26" t="s">
        <v>4547</v>
      </c>
      <c r="Q1131" s="24" t="s">
        <v>37</v>
      </c>
      <c r="R1131" s="6" t="s">
        <v>3761</v>
      </c>
      <c r="S1131" s="25" t="s">
        <v>39</v>
      </c>
    </row>
    <row r="1132" ht="27" customHeight="1" spans="1:19">
      <c r="A1132" s="19" t="s">
        <v>4551</v>
      </c>
      <c r="B1132" s="20" t="s">
        <v>30</v>
      </c>
      <c r="C1132" s="20" t="s">
        <v>2057</v>
      </c>
      <c r="D1132" s="20" t="s">
        <v>32</v>
      </c>
      <c r="E1132" s="21" t="s">
        <v>4552</v>
      </c>
      <c r="F1132" s="21" t="s">
        <v>4553</v>
      </c>
      <c r="G1132" s="20" t="s">
        <v>35</v>
      </c>
      <c r="H1132" s="20" t="s">
        <v>25</v>
      </c>
      <c r="I1132" s="21" t="s">
        <v>4554</v>
      </c>
      <c r="J1132" s="22">
        <f t="shared" si="85"/>
        <v>0.729861111110949</v>
      </c>
      <c r="K1132" s="22">
        <f t="shared" si="86"/>
        <v>17.5166666666628</v>
      </c>
      <c r="L1132" s="22">
        <f t="shared" si="87"/>
        <v>1.51666666666279</v>
      </c>
      <c r="M1132" s="22" cm="1">
        <f ca="1" t="array" ref="M1132">SUMPRODUCT(--(WEEKDAY(ROW(INDIRECT(INT(F1132)&amp;":"&amp;INT(I1132))),2)&gt;5))</f>
        <v>1</v>
      </c>
      <c r="N1132" s="22">
        <f ca="1" t="shared" si="88"/>
        <v>0</v>
      </c>
      <c r="O1132" s="22" t="str">
        <f ca="1" t="shared" si="89"/>
        <v>Within SLA</v>
      </c>
      <c r="P1132" s="26" t="s">
        <v>4551</v>
      </c>
      <c r="Q1132" s="24" t="s">
        <v>37</v>
      </c>
      <c r="R1132" s="25"/>
      <c r="S1132" s="25"/>
    </row>
    <row r="1133" ht="27" customHeight="1" spans="1:19">
      <c r="A1133" s="19" t="s">
        <v>4555</v>
      </c>
      <c r="B1133" s="20" t="s">
        <v>30</v>
      </c>
      <c r="C1133" s="20" t="s">
        <v>31</v>
      </c>
      <c r="D1133" s="20" t="s">
        <v>32</v>
      </c>
      <c r="E1133" s="21" t="s">
        <v>4552</v>
      </c>
      <c r="F1133" s="21" t="s">
        <v>4556</v>
      </c>
      <c r="G1133" s="20" t="s">
        <v>35</v>
      </c>
      <c r="H1133" s="20" t="s">
        <v>25</v>
      </c>
      <c r="I1133" s="21" t="s">
        <v>4557</v>
      </c>
      <c r="J1133" s="22">
        <f t="shared" si="85"/>
        <v>0.705555555548926</v>
      </c>
      <c r="K1133" s="22">
        <f t="shared" si="86"/>
        <v>16.9333333331742</v>
      </c>
      <c r="L1133" s="22">
        <f t="shared" si="87"/>
        <v>0.933333333174232</v>
      </c>
      <c r="M1133" s="22" cm="1">
        <f ca="1" t="array" ref="M1133">SUMPRODUCT(--(WEEKDAY(ROW(INDIRECT(INT(F1133)&amp;":"&amp;INT(I1133))),2)&gt;5))</f>
        <v>1</v>
      </c>
      <c r="N1133" s="22">
        <f ca="1" t="shared" si="88"/>
        <v>0</v>
      </c>
      <c r="O1133" s="22" t="str">
        <f ca="1" t="shared" si="89"/>
        <v>Within SLA</v>
      </c>
      <c r="P1133" s="26" t="s">
        <v>4555</v>
      </c>
      <c r="Q1133" s="24" t="s">
        <v>37</v>
      </c>
      <c r="R1133" s="25"/>
      <c r="S1133" s="25"/>
    </row>
    <row r="1134" ht="27" customHeight="1" spans="1:19">
      <c r="A1134" s="19" t="s">
        <v>4558</v>
      </c>
      <c r="B1134" s="20" t="s">
        <v>30</v>
      </c>
      <c r="C1134" s="20" t="s">
        <v>2057</v>
      </c>
      <c r="D1134" s="20" t="s">
        <v>32</v>
      </c>
      <c r="E1134" s="21" t="s">
        <v>4552</v>
      </c>
      <c r="F1134" s="21" t="s">
        <v>4559</v>
      </c>
      <c r="G1134" s="20" t="s">
        <v>35</v>
      </c>
      <c r="H1134" s="20" t="s">
        <v>25</v>
      </c>
      <c r="I1134" s="21" t="s">
        <v>4560</v>
      </c>
      <c r="J1134" s="22">
        <f t="shared" si="85"/>
        <v>9.91180555555911</v>
      </c>
      <c r="K1134" s="22">
        <f t="shared" si="86"/>
        <v>237.883333333419</v>
      </c>
      <c r="L1134" s="22">
        <f t="shared" si="87"/>
        <v>77.8833333334187</v>
      </c>
      <c r="M1134" s="22" cm="1">
        <f ca="1" t="array" ref="M1134">SUMPRODUCT(--(WEEKDAY(ROW(INDIRECT(INT(F1134)&amp;":"&amp;INT(I1134))),2)&gt;5))</f>
        <v>4</v>
      </c>
      <c r="N1134" s="22">
        <f ca="1" t="shared" si="88"/>
        <v>45.8833333334187</v>
      </c>
      <c r="O1134" s="22" t="str">
        <f ca="1" t="shared" si="89"/>
        <v>SLA Violated</v>
      </c>
      <c r="P1134" s="26" t="s">
        <v>4558</v>
      </c>
      <c r="Q1134" s="24" t="s">
        <v>28</v>
      </c>
      <c r="R1134" s="25"/>
      <c r="S1134" s="25"/>
    </row>
    <row r="1135" ht="27" customHeight="1" spans="1:19">
      <c r="A1135" s="19" t="s">
        <v>4561</v>
      </c>
      <c r="B1135" s="20" t="s">
        <v>30</v>
      </c>
      <c r="C1135" s="20" t="s">
        <v>2057</v>
      </c>
      <c r="D1135" s="20" t="s">
        <v>32</v>
      </c>
      <c r="E1135" s="21" t="s">
        <v>4562</v>
      </c>
      <c r="F1135" s="21" t="s">
        <v>4563</v>
      </c>
      <c r="G1135" s="20" t="s">
        <v>35</v>
      </c>
      <c r="H1135" s="20" t="s">
        <v>25</v>
      </c>
      <c r="I1135" s="21" t="s">
        <v>4564</v>
      </c>
      <c r="J1135" s="22">
        <f t="shared" si="85"/>
        <v>0.734722222223354</v>
      </c>
      <c r="K1135" s="22">
        <f t="shared" si="86"/>
        <v>17.6333333333605</v>
      </c>
      <c r="L1135" s="22">
        <f t="shared" si="87"/>
        <v>1.6333333333605</v>
      </c>
      <c r="M1135" s="22" cm="1">
        <f ca="1" t="array" ref="M1135">SUMPRODUCT(--(WEEKDAY(ROW(INDIRECT(INT(F1135)&amp;":"&amp;INT(I1135))),2)&gt;5))</f>
        <v>1</v>
      </c>
      <c r="N1135" s="22">
        <f ca="1" t="shared" si="88"/>
        <v>0</v>
      </c>
      <c r="O1135" s="22" t="str">
        <f ca="1" t="shared" si="89"/>
        <v>Within SLA</v>
      </c>
      <c r="P1135" s="26" t="s">
        <v>4561</v>
      </c>
      <c r="Q1135" s="24" t="s">
        <v>37</v>
      </c>
      <c r="R1135" s="25"/>
      <c r="S1135" s="25"/>
    </row>
    <row r="1136" ht="27" customHeight="1" spans="1:19">
      <c r="A1136" s="19" t="s">
        <v>4565</v>
      </c>
      <c r="B1136" s="20" t="s">
        <v>30</v>
      </c>
      <c r="C1136" s="20" t="s">
        <v>2057</v>
      </c>
      <c r="D1136" s="20" t="s">
        <v>32</v>
      </c>
      <c r="E1136" s="21" t="s">
        <v>4562</v>
      </c>
      <c r="F1136" s="21" t="s">
        <v>4566</v>
      </c>
      <c r="G1136" s="20" t="s">
        <v>35</v>
      </c>
      <c r="H1136" s="20" t="s">
        <v>25</v>
      </c>
      <c r="I1136" s="21" t="s">
        <v>4567</v>
      </c>
      <c r="J1136" s="22">
        <f t="shared" si="85"/>
        <v>0.714583333327028</v>
      </c>
      <c r="K1136" s="22">
        <f t="shared" si="86"/>
        <v>17.1499999998487</v>
      </c>
      <c r="L1136" s="22">
        <f t="shared" si="87"/>
        <v>1.14999999984866</v>
      </c>
      <c r="M1136" s="22" cm="1">
        <f ca="1" t="array" ref="M1136">SUMPRODUCT(--(WEEKDAY(ROW(INDIRECT(INT(F1136)&amp;":"&amp;INT(I1136))),2)&gt;5))</f>
        <v>1</v>
      </c>
      <c r="N1136" s="22">
        <f ca="1" t="shared" si="88"/>
        <v>0</v>
      </c>
      <c r="O1136" s="22" t="str">
        <f ca="1" t="shared" si="89"/>
        <v>Within SLA</v>
      </c>
      <c r="P1136" s="26" t="s">
        <v>4565</v>
      </c>
      <c r="Q1136" s="24" t="s">
        <v>37</v>
      </c>
      <c r="R1136" s="25"/>
      <c r="S1136" s="25"/>
    </row>
    <row r="1137" ht="39" customHeight="1" spans="1:19">
      <c r="A1137" s="19" t="s">
        <v>4568</v>
      </c>
      <c r="B1137" s="20" t="s">
        <v>196</v>
      </c>
      <c r="C1137" s="20" t="s">
        <v>2057</v>
      </c>
      <c r="D1137" s="20" t="s">
        <v>32</v>
      </c>
      <c r="E1137" s="21" t="s">
        <v>4564</v>
      </c>
      <c r="F1137" s="21" t="s">
        <v>4569</v>
      </c>
      <c r="G1137" s="20" t="s">
        <v>35</v>
      </c>
      <c r="H1137" s="20" t="s">
        <v>25</v>
      </c>
      <c r="I1137" s="21" t="s">
        <v>4570</v>
      </c>
      <c r="J1137" s="22">
        <f t="shared" si="85"/>
        <v>11.2729166666686</v>
      </c>
      <c r="K1137" s="22">
        <f t="shared" si="86"/>
        <v>270.550000000047</v>
      </c>
      <c r="L1137" s="22">
        <f t="shared" si="87"/>
        <v>78.5500000000466</v>
      </c>
      <c r="M1137" s="22" cm="1">
        <f ca="1" t="array" ref="M1137">SUMPRODUCT(--(WEEKDAY(ROW(INDIRECT(INT(F1137)&amp;":"&amp;INT(I1137))),2)&gt;5))</f>
        <v>4</v>
      </c>
      <c r="N1137" s="22">
        <f ca="1" t="shared" si="88"/>
        <v>46.5500000000466</v>
      </c>
      <c r="O1137" s="22" t="str">
        <f ca="1" t="shared" si="89"/>
        <v>SLA Violated</v>
      </c>
      <c r="P1137" s="23" t="s">
        <v>4571</v>
      </c>
      <c r="Q1137" s="24" t="s">
        <v>28</v>
      </c>
      <c r="R1137" s="25"/>
      <c r="S1137" s="25"/>
    </row>
    <row r="1138" ht="39" customHeight="1" spans="1:19">
      <c r="A1138" s="19" t="s">
        <v>4572</v>
      </c>
      <c r="B1138" s="20" t="s">
        <v>19</v>
      </c>
      <c r="C1138" s="20" t="s">
        <v>20</v>
      </c>
      <c r="D1138" s="20" t="s">
        <v>32</v>
      </c>
      <c r="E1138" s="21" t="s">
        <v>4564</v>
      </c>
      <c r="F1138" s="21" t="s">
        <v>4573</v>
      </c>
      <c r="G1138" s="20" t="s">
        <v>35</v>
      </c>
      <c r="H1138" s="20" t="s">
        <v>25</v>
      </c>
      <c r="I1138" s="21" t="s">
        <v>4574</v>
      </c>
      <c r="J1138" s="22">
        <f t="shared" si="85"/>
        <v>12.6902777777723</v>
      </c>
      <c r="K1138" s="22">
        <f t="shared" si="86"/>
        <v>304.566666666535</v>
      </c>
      <c r="L1138" s="22">
        <f t="shared" si="87"/>
        <v>96.5666666665347</v>
      </c>
      <c r="M1138" s="22" cm="1">
        <f ca="1" t="array" ref="M1138">SUMPRODUCT(--(WEEKDAY(ROW(INDIRECT(INT(F1138)&amp;":"&amp;INT(I1138))),2)&gt;5))</f>
        <v>4</v>
      </c>
      <c r="N1138" s="22">
        <f ca="1" t="shared" si="88"/>
        <v>64.5666666665347</v>
      </c>
      <c r="O1138" s="22" t="str">
        <f ca="1" t="shared" si="89"/>
        <v>SLA Violated</v>
      </c>
      <c r="P1138" s="23" t="s">
        <v>4575</v>
      </c>
      <c r="Q1138" s="24" t="s">
        <v>37</v>
      </c>
      <c r="R1138" s="25" t="s">
        <v>2424</v>
      </c>
      <c r="S1138" s="25" t="s">
        <v>39</v>
      </c>
    </row>
    <row r="1139" ht="39" customHeight="1" spans="1:19">
      <c r="A1139" s="19" t="s">
        <v>4576</v>
      </c>
      <c r="B1139" s="20" t="s">
        <v>19</v>
      </c>
      <c r="C1139" s="20" t="s">
        <v>20</v>
      </c>
      <c r="D1139" s="20" t="s">
        <v>21</v>
      </c>
      <c r="E1139" s="21" t="s">
        <v>4557</v>
      </c>
      <c r="F1139" s="21" t="s">
        <v>4577</v>
      </c>
      <c r="G1139" s="20" t="s">
        <v>35</v>
      </c>
      <c r="H1139" s="20" t="s">
        <v>25</v>
      </c>
      <c r="I1139" s="21" t="s">
        <v>4578</v>
      </c>
      <c r="J1139" s="22">
        <f t="shared" si="85"/>
        <v>-0.00902777777810115</v>
      </c>
      <c r="K1139" s="22">
        <f t="shared" si="86"/>
        <v>-0.216666666674428</v>
      </c>
      <c r="L1139" s="22">
        <f t="shared" si="87"/>
        <v>-0.216666666674428</v>
      </c>
      <c r="M1139" s="22" cm="1">
        <f ca="1" t="array" ref="M1139">SUMPRODUCT(--(WEEKDAY(ROW(INDIRECT(INT(F1139)&amp;":"&amp;INT(I1139))),2)&gt;5))</f>
        <v>0</v>
      </c>
      <c r="N1139" s="22">
        <f ca="1" t="shared" si="88"/>
        <v>0</v>
      </c>
      <c r="O1139" s="22" t="str">
        <f ca="1" t="shared" si="89"/>
        <v>Within SLA</v>
      </c>
      <c r="P1139" s="26" t="s">
        <v>4576</v>
      </c>
      <c r="Q1139" s="24" t="s">
        <v>37</v>
      </c>
      <c r="R1139" s="25"/>
      <c r="S1139" s="25"/>
    </row>
    <row r="1140" ht="27" customHeight="1" spans="1:19">
      <c r="A1140" s="19" t="s">
        <v>4579</v>
      </c>
      <c r="B1140" s="20" t="s">
        <v>30</v>
      </c>
      <c r="C1140" s="20" t="s">
        <v>2057</v>
      </c>
      <c r="D1140" s="20" t="s">
        <v>32</v>
      </c>
      <c r="E1140" s="21" t="s">
        <v>4580</v>
      </c>
      <c r="F1140" s="21" t="s">
        <v>4394</v>
      </c>
      <c r="G1140" s="20" t="s">
        <v>24</v>
      </c>
      <c r="H1140" s="20" t="s">
        <v>25</v>
      </c>
      <c r="I1140" s="21" t="s">
        <v>4581</v>
      </c>
      <c r="J1140" s="22">
        <f t="shared" si="85"/>
        <v>13.9569444444423</v>
      </c>
      <c r="K1140" s="22">
        <f t="shared" si="86"/>
        <v>334.966666666616</v>
      </c>
      <c r="L1140" s="22">
        <f t="shared" si="87"/>
        <v>110.966666666616</v>
      </c>
      <c r="M1140" s="22" cm="1">
        <f ca="1" t="array" ref="M1140">SUMPRODUCT(--(WEEKDAY(ROW(INDIRECT(INT(F1140)&amp;":"&amp;INT(I1140))),2)&gt;5))</f>
        <v>4</v>
      </c>
      <c r="N1140" s="22">
        <f ca="1" t="shared" si="88"/>
        <v>78.966666666616</v>
      </c>
      <c r="O1140" s="22" t="str">
        <f ca="1" t="shared" si="89"/>
        <v>SLA Violated</v>
      </c>
      <c r="P1140" s="26" t="s">
        <v>4579</v>
      </c>
      <c r="Q1140" s="24" t="s">
        <v>28</v>
      </c>
      <c r="R1140" s="25"/>
      <c r="S1140" s="25"/>
    </row>
    <row r="1141" ht="27" customHeight="1" spans="1:19">
      <c r="A1141" s="19" t="s">
        <v>4582</v>
      </c>
      <c r="B1141" s="20" t="s">
        <v>30</v>
      </c>
      <c r="C1141" s="20" t="s">
        <v>2057</v>
      </c>
      <c r="D1141" s="20" t="s">
        <v>32</v>
      </c>
      <c r="E1141" s="21" t="s">
        <v>4580</v>
      </c>
      <c r="F1141" s="21" t="s">
        <v>4583</v>
      </c>
      <c r="G1141" s="20" t="s">
        <v>35</v>
      </c>
      <c r="H1141" s="20" t="s">
        <v>25</v>
      </c>
      <c r="I1141" s="21" t="s">
        <v>4584</v>
      </c>
      <c r="J1141" s="22">
        <f t="shared" si="85"/>
        <v>0.719444444446708</v>
      </c>
      <c r="K1141" s="22">
        <f t="shared" si="86"/>
        <v>17.266666666721</v>
      </c>
      <c r="L1141" s="22">
        <f t="shared" si="87"/>
        <v>1.26666666672099</v>
      </c>
      <c r="M1141" s="22" cm="1">
        <f ca="1" t="array" ref="M1141">SUMPRODUCT(--(WEEKDAY(ROW(INDIRECT(INT(F1141)&amp;":"&amp;INT(I1141))),2)&gt;5))</f>
        <v>1</v>
      </c>
      <c r="N1141" s="22">
        <f ca="1" t="shared" si="88"/>
        <v>0</v>
      </c>
      <c r="O1141" s="22" t="str">
        <f ca="1" t="shared" si="89"/>
        <v>Within SLA</v>
      </c>
      <c r="P1141" s="26" t="s">
        <v>4582</v>
      </c>
      <c r="Q1141" s="24" t="s">
        <v>37</v>
      </c>
      <c r="R1141" s="25"/>
      <c r="S1141" s="25"/>
    </row>
    <row r="1142" ht="27" customHeight="1" spans="1:19">
      <c r="A1142" s="19" t="s">
        <v>4585</v>
      </c>
      <c r="B1142" s="20" t="s">
        <v>30</v>
      </c>
      <c r="C1142" s="20" t="s">
        <v>2057</v>
      </c>
      <c r="D1142" s="20" t="s">
        <v>32</v>
      </c>
      <c r="E1142" s="21" t="s">
        <v>4586</v>
      </c>
      <c r="F1142" s="21" t="s">
        <v>4587</v>
      </c>
      <c r="G1142" s="20" t="s">
        <v>35</v>
      </c>
      <c r="H1142" s="20" t="s">
        <v>25</v>
      </c>
      <c r="I1142" s="21" t="s">
        <v>4588</v>
      </c>
      <c r="J1142" s="22">
        <f t="shared" si="85"/>
        <v>0.702083333329938</v>
      </c>
      <c r="K1142" s="22">
        <f t="shared" si="86"/>
        <v>16.8499999999185</v>
      </c>
      <c r="L1142" s="22">
        <f t="shared" si="87"/>
        <v>0.849999999918509</v>
      </c>
      <c r="M1142" s="22" cm="1">
        <f ca="1" t="array" ref="M1142">SUMPRODUCT(--(WEEKDAY(ROW(INDIRECT(INT(F1142)&amp;":"&amp;INT(I1142))),2)&gt;5))</f>
        <v>1</v>
      </c>
      <c r="N1142" s="22">
        <f ca="1" t="shared" si="88"/>
        <v>0</v>
      </c>
      <c r="O1142" s="22" t="str">
        <f ca="1" t="shared" si="89"/>
        <v>Within SLA</v>
      </c>
      <c r="P1142" s="26" t="s">
        <v>4585</v>
      </c>
      <c r="Q1142" s="24" t="s">
        <v>37</v>
      </c>
      <c r="R1142" s="25"/>
      <c r="S1142" s="25"/>
    </row>
    <row r="1143" ht="39" customHeight="1" spans="1:19">
      <c r="A1143" s="19" t="s">
        <v>4589</v>
      </c>
      <c r="B1143" s="20" t="s">
        <v>19</v>
      </c>
      <c r="C1143" s="20" t="s">
        <v>20</v>
      </c>
      <c r="D1143" s="20" t="s">
        <v>115</v>
      </c>
      <c r="E1143" s="21" t="s">
        <v>4586</v>
      </c>
      <c r="F1143" s="21" t="s">
        <v>4590</v>
      </c>
      <c r="G1143" s="20" t="s">
        <v>35</v>
      </c>
      <c r="H1143" s="20" t="s">
        <v>25</v>
      </c>
      <c r="I1143" s="21" t="s">
        <v>4591</v>
      </c>
      <c r="J1143" s="22">
        <f t="shared" si="85"/>
        <v>4.0576388888876</v>
      </c>
      <c r="K1143" s="22">
        <f t="shared" si="86"/>
        <v>97.3833333333023</v>
      </c>
      <c r="L1143" s="22">
        <f t="shared" si="87"/>
        <v>33.3833333333023</v>
      </c>
      <c r="M1143" s="22" cm="1">
        <f ca="1" t="array" ref="M1143">SUMPRODUCT(--(WEEKDAY(ROW(INDIRECT(INT(F1143)&amp;":"&amp;INT(I1143))),2)&gt;5))</f>
        <v>2</v>
      </c>
      <c r="N1143" s="22">
        <f ca="1" t="shared" si="88"/>
        <v>17.3833333333023</v>
      </c>
      <c r="O1143" s="22" t="str">
        <f ca="1" t="shared" si="89"/>
        <v>SLA Violated</v>
      </c>
      <c r="P1143" s="26" t="s">
        <v>4589</v>
      </c>
      <c r="Q1143" s="24" t="s">
        <v>37</v>
      </c>
      <c r="R1143" s="6" t="s">
        <v>1084</v>
      </c>
      <c r="S1143" s="25" t="s">
        <v>39</v>
      </c>
    </row>
    <row r="1144" ht="27" customHeight="1" spans="1:19">
      <c r="A1144" s="19" t="s">
        <v>4592</v>
      </c>
      <c r="B1144" s="20" t="s">
        <v>121</v>
      </c>
      <c r="C1144" s="20" t="s">
        <v>46</v>
      </c>
      <c r="D1144" s="20" t="s">
        <v>32</v>
      </c>
      <c r="E1144" s="21" t="s">
        <v>4570</v>
      </c>
      <c r="F1144" s="21" t="s">
        <v>4593</v>
      </c>
      <c r="G1144" s="20" t="s">
        <v>35</v>
      </c>
      <c r="H1144" s="20" t="s">
        <v>25</v>
      </c>
      <c r="I1144" s="21" t="s">
        <v>4594</v>
      </c>
      <c r="J1144" s="22">
        <f t="shared" si="85"/>
        <v>0.00694444443797693</v>
      </c>
      <c r="K1144" s="22">
        <f t="shared" si="86"/>
        <v>0.166666666511446</v>
      </c>
      <c r="L1144" s="22">
        <f t="shared" si="87"/>
        <v>0.166666666511446</v>
      </c>
      <c r="M1144" s="22" cm="1">
        <f ca="1" t="array" ref="M1144">SUMPRODUCT(--(WEEKDAY(ROW(INDIRECT(INT(F1144)&amp;":"&amp;INT(I1144))),2)&gt;5))</f>
        <v>0</v>
      </c>
      <c r="N1144" s="22">
        <f ca="1" t="shared" si="88"/>
        <v>0.166666666511446</v>
      </c>
      <c r="O1144" s="22" t="str">
        <f ca="1" t="shared" si="89"/>
        <v>Within SLA</v>
      </c>
      <c r="P1144" s="26" t="s">
        <v>4592</v>
      </c>
      <c r="Q1144" s="24" t="s">
        <v>37</v>
      </c>
      <c r="R1144" s="25"/>
      <c r="S1144" s="25"/>
    </row>
    <row r="1145" ht="39" customHeight="1" spans="1:19">
      <c r="A1145" s="19" t="s">
        <v>4595</v>
      </c>
      <c r="B1145" s="20" t="s">
        <v>19</v>
      </c>
      <c r="C1145" s="20" t="s">
        <v>20</v>
      </c>
      <c r="D1145" s="20" t="s">
        <v>32</v>
      </c>
      <c r="E1145" s="21" t="s">
        <v>4570</v>
      </c>
      <c r="F1145" s="21" t="s">
        <v>4596</v>
      </c>
      <c r="G1145" s="20" t="s">
        <v>35</v>
      </c>
      <c r="H1145" s="20" t="s">
        <v>25</v>
      </c>
      <c r="I1145" s="21" t="s">
        <v>4597</v>
      </c>
      <c r="J1145" s="22">
        <f t="shared" si="85"/>
        <v>2.74930555555329</v>
      </c>
      <c r="K1145" s="22">
        <f t="shared" si="86"/>
        <v>65.983333333279</v>
      </c>
      <c r="L1145" s="22">
        <f t="shared" si="87"/>
        <v>17.983333333279</v>
      </c>
      <c r="M1145" s="22" cm="1">
        <f ca="1" t="array" ref="M1145">SUMPRODUCT(--(WEEKDAY(ROW(INDIRECT(INT(F1145)&amp;":"&amp;INT(I1145))),2)&gt;5))</f>
        <v>2</v>
      </c>
      <c r="N1145" s="22">
        <f ca="1" t="shared" si="88"/>
        <v>1.983333333279</v>
      </c>
      <c r="O1145" s="22" t="str">
        <f ca="1" t="shared" si="89"/>
        <v>Within SLA</v>
      </c>
      <c r="P1145" s="26" t="s">
        <v>4595</v>
      </c>
      <c r="Q1145" s="24" t="s">
        <v>37</v>
      </c>
      <c r="R1145" s="25"/>
      <c r="S1145" s="25"/>
    </row>
    <row r="1146" ht="27" customHeight="1" spans="1:19">
      <c r="A1146" s="19" t="s">
        <v>4598</v>
      </c>
      <c r="B1146" s="20" t="s">
        <v>30</v>
      </c>
      <c r="C1146" s="20" t="s">
        <v>2057</v>
      </c>
      <c r="D1146" s="20" t="s">
        <v>32</v>
      </c>
      <c r="E1146" s="21" t="s">
        <v>4581</v>
      </c>
      <c r="F1146" s="21" t="s">
        <v>4599</v>
      </c>
      <c r="G1146" s="20" t="s">
        <v>35</v>
      </c>
      <c r="H1146" s="20" t="s">
        <v>25</v>
      </c>
      <c r="I1146" s="21" t="s">
        <v>4600</v>
      </c>
      <c r="J1146" s="22">
        <f t="shared" si="85"/>
        <v>18.7833333333328</v>
      </c>
      <c r="K1146" s="22">
        <f t="shared" si="86"/>
        <v>450.799999999988</v>
      </c>
      <c r="L1146" s="22">
        <f t="shared" si="87"/>
        <v>146.799999999988</v>
      </c>
      <c r="M1146" s="22" cm="1">
        <f ca="1" t="array" ref="M1146">SUMPRODUCT(--(WEEKDAY(ROW(INDIRECT(INT(F1146)&amp;":"&amp;INT(I1146))),2)&gt;5))</f>
        <v>6</v>
      </c>
      <c r="N1146" s="22">
        <f ca="1" t="shared" si="88"/>
        <v>98.799999999988</v>
      </c>
      <c r="O1146" s="22" t="str">
        <f ca="1" t="shared" si="89"/>
        <v>SLA Violated</v>
      </c>
      <c r="P1146" s="26" t="s">
        <v>4598</v>
      </c>
      <c r="Q1146" s="24" t="s">
        <v>28</v>
      </c>
      <c r="R1146" s="25"/>
      <c r="S1146" s="25"/>
    </row>
    <row r="1147" ht="27" customHeight="1" spans="1:19">
      <c r="A1147" s="19" t="s">
        <v>4601</v>
      </c>
      <c r="B1147" s="20" t="s">
        <v>30</v>
      </c>
      <c r="C1147" s="20" t="s">
        <v>31</v>
      </c>
      <c r="D1147" s="20" t="s">
        <v>32</v>
      </c>
      <c r="E1147" s="21" t="s">
        <v>4584</v>
      </c>
      <c r="F1147" s="21" t="s">
        <v>4602</v>
      </c>
      <c r="G1147" s="20" t="s">
        <v>35</v>
      </c>
      <c r="H1147" s="20" t="s">
        <v>25</v>
      </c>
      <c r="I1147" s="21" t="s">
        <v>4603</v>
      </c>
      <c r="J1147" s="22">
        <f t="shared" si="85"/>
        <v>6.77430555555475</v>
      </c>
      <c r="K1147" s="22">
        <f t="shared" si="86"/>
        <v>162.583333333314</v>
      </c>
      <c r="L1147" s="22">
        <f t="shared" si="87"/>
        <v>50.5833333333139</v>
      </c>
      <c r="M1147" s="22" cm="1">
        <f ca="1" t="array" ref="M1147">SUMPRODUCT(--(WEEKDAY(ROW(INDIRECT(INT(F1147)&amp;":"&amp;INT(I1147))),2)&gt;5))</f>
        <v>2</v>
      </c>
      <c r="N1147" s="22">
        <f ca="1" t="shared" si="88"/>
        <v>34.5833333333139</v>
      </c>
      <c r="O1147" s="22" t="str">
        <f ca="1" t="shared" si="89"/>
        <v>SLA Violated</v>
      </c>
      <c r="P1147" s="23" t="s">
        <v>4604</v>
      </c>
      <c r="Q1147" s="24" t="s">
        <v>28</v>
      </c>
      <c r="R1147" s="25"/>
      <c r="S1147" s="25"/>
    </row>
    <row r="1148" ht="39" customHeight="1" spans="1:19">
      <c r="A1148" s="19" t="s">
        <v>4605</v>
      </c>
      <c r="B1148" s="20" t="s">
        <v>19</v>
      </c>
      <c r="C1148" s="20" t="s">
        <v>20</v>
      </c>
      <c r="D1148" s="20" t="s">
        <v>21</v>
      </c>
      <c r="E1148" s="21" t="s">
        <v>4606</v>
      </c>
      <c r="F1148" s="21" t="s">
        <v>4607</v>
      </c>
      <c r="G1148" s="20" t="s">
        <v>35</v>
      </c>
      <c r="H1148" s="20" t="s">
        <v>25</v>
      </c>
      <c r="I1148" s="21" t="s">
        <v>4607</v>
      </c>
      <c r="J1148" s="22">
        <f t="shared" si="85"/>
        <v>0</v>
      </c>
      <c r="K1148" s="22">
        <f t="shared" si="86"/>
        <v>0</v>
      </c>
      <c r="L1148" s="22">
        <f t="shared" si="87"/>
        <v>0</v>
      </c>
      <c r="M1148" s="22" cm="1">
        <f ca="1" t="array" ref="M1148">SUMPRODUCT(--(WEEKDAY(ROW(INDIRECT(INT(F1148)&amp;":"&amp;INT(I1148))),2)&gt;5))</f>
        <v>0</v>
      </c>
      <c r="N1148" s="22">
        <f ca="1" t="shared" si="88"/>
        <v>0</v>
      </c>
      <c r="O1148" s="22" t="str">
        <f ca="1" t="shared" si="89"/>
        <v>Within SLA</v>
      </c>
      <c r="P1148" s="26" t="s">
        <v>4605</v>
      </c>
      <c r="Q1148" s="24" t="s">
        <v>37</v>
      </c>
      <c r="R1148" s="25"/>
      <c r="S1148" s="25"/>
    </row>
    <row r="1149" ht="27" customHeight="1" spans="1:19">
      <c r="A1149" s="19" t="s">
        <v>4608</v>
      </c>
      <c r="B1149" s="20" t="s">
        <v>30</v>
      </c>
      <c r="C1149" s="20" t="s">
        <v>2057</v>
      </c>
      <c r="D1149" s="20" t="s">
        <v>32</v>
      </c>
      <c r="E1149" s="21" t="s">
        <v>4609</v>
      </c>
      <c r="F1149" s="21" t="s">
        <v>4394</v>
      </c>
      <c r="G1149" s="20" t="s">
        <v>35</v>
      </c>
      <c r="H1149" s="20" t="s">
        <v>25</v>
      </c>
      <c r="I1149" s="21" t="s">
        <v>4610</v>
      </c>
      <c r="J1149" s="22">
        <f t="shared" si="85"/>
        <v>13.9347222222204</v>
      </c>
      <c r="K1149" s="22">
        <f t="shared" si="86"/>
        <v>334.433333333291</v>
      </c>
      <c r="L1149" s="22">
        <f t="shared" si="87"/>
        <v>110.433333333291</v>
      </c>
      <c r="M1149" s="22" cm="1">
        <f ca="1" t="array" ref="M1149">SUMPRODUCT(--(WEEKDAY(ROW(INDIRECT(INT(F1149)&amp;":"&amp;INT(I1149))),2)&gt;5))</f>
        <v>4</v>
      </c>
      <c r="N1149" s="22">
        <f ca="1" t="shared" si="88"/>
        <v>78.433333333291</v>
      </c>
      <c r="O1149" s="22" t="str">
        <f ca="1" t="shared" si="89"/>
        <v>SLA Violated</v>
      </c>
      <c r="P1149" s="26" t="s">
        <v>4608</v>
      </c>
      <c r="Q1149" s="24" t="s">
        <v>28</v>
      </c>
      <c r="R1149" s="25"/>
      <c r="S1149" s="25"/>
    </row>
    <row r="1150" ht="27" customHeight="1" spans="1:19">
      <c r="A1150" s="19" t="s">
        <v>4611</v>
      </c>
      <c r="B1150" s="20" t="s">
        <v>30</v>
      </c>
      <c r="C1150" s="20" t="s">
        <v>2057</v>
      </c>
      <c r="D1150" s="20" t="s">
        <v>32</v>
      </c>
      <c r="E1150" s="21" t="s">
        <v>4612</v>
      </c>
      <c r="F1150" s="21" t="s">
        <v>4613</v>
      </c>
      <c r="G1150" s="20" t="s">
        <v>35</v>
      </c>
      <c r="H1150" s="20" t="s">
        <v>25</v>
      </c>
      <c r="I1150" s="21" t="s">
        <v>4614</v>
      </c>
      <c r="J1150" s="22">
        <f t="shared" si="85"/>
        <v>0.677083333335759</v>
      </c>
      <c r="K1150" s="22">
        <f t="shared" si="86"/>
        <v>16.2500000000582</v>
      </c>
      <c r="L1150" s="22">
        <f t="shared" si="87"/>
        <v>0.250000000058208</v>
      </c>
      <c r="M1150" s="22" cm="1">
        <f ca="1" t="array" ref="M1150">SUMPRODUCT(--(WEEKDAY(ROW(INDIRECT(INT(F1150)&amp;":"&amp;INT(I1150))),2)&gt;5))</f>
        <v>1</v>
      </c>
      <c r="N1150" s="22">
        <f ca="1" t="shared" si="88"/>
        <v>0</v>
      </c>
      <c r="O1150" s="22" t="str">
        <f ca="1" t="shared" si="89"/>
        <v>Within SLA</v>
      </c>
      <c r="P1150" s="26" t="s">
        <v>4611</v>
      </c>
      <c r="Q1150" s="24" t="s">
        <v>37</v>
      </c>
      <c r="R1150" s="25"/>
      <c r="S1150" s="25"/>
    </row>
    <row r="1151" ht="27" customHeight="1" spans="1:19">
      <c r="A1151" s="19" t="s">
        <v>4615</v>
      </c>
      <c r="B1151" s="20" t="s">
        <v>30</v>
      </c>
      <c r="C1151" s="20" t="s">
        <v>2057</v>
      </c>
      <c r="D1151" s="20" t="s">
        <v>32</v>
      </c>
      <c r="E1151" s="21" t="s">
        <v>4612</v>
      </c>
      <c r="F1151" s="21" t="s">
        <v>4616</v>
      </c>
      <c r="G1151" s="20" t="s">
        <v>35</v>
      </c>
      <c r="H1151" s="20" t="s">
        <v>25</v>
      </c>
      <c r="I1151" s="21" t="s">
        <v>4617</v>
      </c>
      <c r="J1151" s="22">
        <f t="shared" si="85"/>
        <v>0.674305555556202</v>
      </c>
      <c r="K1151" s="22">
        <f t="shared" si="86"/>
        <v>16.1833333333489</v>
      </c>
      <c r="L1151" s="22">
        <f t="shared" si="87"/>
        <v>0.183333333348855</v>
      </c>
      <c r="M1151" s="22" cm="1">
        <f ca="1" t="array" ref="M1151">SUMPRODUCT(--(WEEKDAY(ROW(INDIRECT(INT(F1151)&amp;":"&amp;INT(I1151))),2)&gt;5))</f>
        <v>1</v>
      </c>
      <c r="N1151" s="22">
        <f ca="1" t="shared" si="88"/>
        <v>0</v>
      </c>
      <c r="O1151" s="22" t="str">
        <f ca="1" t="shared" si="89"/>
        <v>Within SLA</v>
      </c>
      <c r="P1151" s="26" t="s">
        <v>4615</v>
      </c>
      <c r="Q1151" s="24" t="s">
        <v>37</v>
      </c>
      <c r="R1151" s="25"/>
      <c r="S1151" s="25"/>
    </row>
    <row r="1152" ht="27" customHeight="1" spans="1:19">
      <c r="A1152" s="19" t="s">
        <v>4618</v>
      </c>
      <c r="B1152" s="20" t="s">
        <v>30</v>
      </c>
      <c r="C1152" s="20" t="s">
        <v>31</v>
      </c>
      <c r="D1152" s="20" t="s">
        <v>21</v>
      </c>
      <c r="E1152" s="21" t="s">
        <v>4619</v>
      </c>
      <c r="F1152" s="21" t="s">
        <v>4620</v>
      </c>
      <c r="G1152" s="20" t="s">
        <v>35</v>
      </c>
      <c r="H1152" s="20" t="s">
        <v>25</v>
      </c>
      <c r="I1152" s="21" t="s">
        <v>4621</v>
      </c>
      <c r="J1152" s="22">
        <f t="shared" si="85"/>
        <v>8.82708333333721</v>
      </c>
      <c r="K1152" s="22">
        <f t="shared" si="86"/>
        <v>211.850000000093</v>
      </c>
      <c r="L1152" s="22">
        <f t="shared" si="87"/>
        <v>67.8500000000931</v>
      </c>
      <c r="M1152" s="22" cm="1">
        <f ca="1" t="array" ref="M1152">SUMPRODUCT(--(WEEKDAY(ROW(INDIRECT(INT(F1152)&amp;":"&amp;INT(I1152))),2)&gt;5))</f>
        <v>2</v>
      </c>
      <c r="N1152" s="22">
        <f ca="1" t="shared" si="88"/>
        <v>51.8500000000931</v>
      </c>
      <c r="O1152" s="22" t="str">
        <f ca="1" t="shared" si="89"/>
        <v>SLA Violated</v>
      </c>
      <c r="P1152" s="23" t="s">
        <v>4622</v>
      </c>
      <c r="Q1152" s="24" t="s">
        <v>28</v>
      </c>
      <c r="R1152" s="25"/>
      <c r="S1152" s="25"/>
    </row>
    <row r="1153" ht="27" customHeight="1" spans="1:19">
      <c r="A1153" s="19" t="s">
        <v>4623</v>
      </c>
      <c r="B1153" s="20" t="s">
        <v>30</v>
      </c>
      <c r="C1153" s="20" t="s">
        <v>31</v>
      </c>
      <c r="D1153" s="20" t="s">
        <v>32</v>
      </c>
      <c r="E1153" s="21" t="s">
        <v>4624</v>
      </c>
      <c r="F1153" s="21" t="s">
        <v>4625</v>
      </c>
      <c r="G1153" s="20" t="s">
        <v>35</v>
      </c>
      <c r="H1153" s="20" t="s">
        <v>25</v>
      </c>
      <c r="I1153" s="21" t="s">
        <v>4626</v>
      </c>
      <c r="J1153" s="22">
        <f t="shared" si="85"/>
        <v>0.850694444437977</v>
      </c>
      <c r="K1153" s="22">
        <f t="shared" si="86"/>
        <v>20.4166666665114</v>
      </c>
      <c r="L1153" s="22">
        <f t="shared" si="87"/>
        <v>4.41666666651145</v>
      </c>
      <c r="M1153" s="22" cm="1">
        <f ca="1" t="array" ref="M1153">SUMPRODUCT(--(WEEKDAY(ROW(INDIRECT(INT(F1153)&amp;":"&amp;INT(I1153))),2)&gt;5))</f>
        <v>0</v>
      </c>
      <c r="N1153" s="22">
        <f ca="1" t="shared" si="88"/>
        <v>4.41666666651145</v>
      </c>
      <c r="O1153" s="22" t="str">
        <f ca="1" t="shared" si="89"/>
        <v>Within SLA</v>
      </c>
      <c r="P1153" s="26" t="s">
        <v>4623</v>
      </c>
      <c r="Q1153" s="24" t="s">
        <v>37</v>
      </c>
      <c r="R1153" s="25"/>
      <c r="S1153" s="25"/>
    </row>
    <row r="1154" ht="27" customHeight="1" spans="1:19">
      <c r="A1154" s="19" t="s">
        <v>4627</v>
      </c>
      <c r="B1154" s="20" t="s">
        <v>30</v>
      </c>
      <c r="C1154" s="20" t="s">
        <v>863</v>
      </c>
      <c r="D1154" s="20" t="s">
        <v>32</v>
      </c>
      <c r="E1154" s="21" t="s">
        <v>4628</v>
      </c>
      <c r="F1154" s="21" t="s">
        <v>4629</v>
      </c>
      <c r="G1154" s="20" t="s">
        <v>35</v>
      </c>
      <c r="H1154" s="20" t="s">
        <v>25</v>
      </c>
      <c r="I1154" s="21" t="s">
        <v>4630</v>
      </c>
      <c r="J1154" s="22">
        <f t="shared" si="85"/>
        <v>0.643055555556202</v>
      </c>
      <c r="K1154" s="22">
        <f t="shared" si="86"/>
        <v>15.4333333333489</v>
      </c>
      <c r="L1154" s="22">
        <f t="shared" si="87"/>
        <v>-0.566666666651145</v>
      </c>
      <c r="M1154" s="22" cm="1">
        <f ca="1" t="array" ref="M1154">SUMPRODUCT(--(WEEKDAY(ROW(INDIRECT(INT(F1154)&amp;":"&amp;INT(I1154))),2)&gt;5))</f>
        <v>1</v>
      </c>
      <c r="N1154" s="22">
        <f ca="1" t="shared" si="88"/>
        <v>0</v>
      </c>
      <c r="O1154" s="22" t="str">
        <f ca="1" t="shared" si="89"/>
        <v>Within SLA</v>
      </c>
      <c r="P1154" s="26" t="s">
        <v>4627</v>
      </c>
      <c r="Q1154" s="24" t="s">
        <v>37</v>
      </c>
      <c r="R1154" s="25"/>
      <c r="S1154" s="25"/>
    </row>
    <row r="1155" ht="39" customHeight="1" spans="1:19">
      <c r="A1155" s="19" t="s">
        <v>4631</v>
      </c>
      <c r="B1155" s="20" t="s">
        <v>196</v>
      </c>
      <c r="C1155" s="20" t="s">
        <v>2057</v>
      </c>
      <c r="D1155" s="20" t="s">
        <v>32</v>
      </c>
      <c r="E1155" s="21" t="s">
        <v>4632</v>
      </c>
      <c r="F1155" s="21" t="s">
        <v>4633</v>
      </c>
      <c r="G1155" s="20" t="s">
        <v>35</v>
      </c>
      <c r="H1155" s="20" t="s">
        <v>25</v>
      </c>
      <c r="I1155" s="21" t="s">
        <v>4007</v>
      </c>
      <c r="J1155" s="22">
        <f t="shared" ref="J1155:J1218" si="90">F1155-I1155</f>
        <v>3.2993055555562</v>
      </c>
      <c r="K1155" s="22">
        <f t="shared" ref="K1155:K1218" si="91">J1155*24</f>
        <v>79.1833333333489</v>
      </c>
      <c r="L1155" s="22">
        <f t="shared" ref="L1155:L1218" si="92">IF(_xlfn.DAYS(F1155,I1155)&gt;0,K1155-IF(FLOOR(J1155,1)=0,1,_xlfn.DAYS(F1155,I1155))*16,K1155)</f>
        <v>31.1833333333489</v>
      </c>
      <c r="M1155" s="22" cm="1">
        <f ca="1" t="array" ref="M1155">SUMPRODUCT(--(WEEKDAY(ROW(INDIRECT(INT(F1155)&amp;":"&amp;INT(I1155))),2)&gt;5))</f>
        <v>0</v>
      </c>
      <c r="N1155" s="22">
        <f ca="1" t="shared" ref="N1155:N1218" si="93">IF(IF(M1155&gt;0,L1155-M1155*8,L1155)&lt;0,0,IF(M1155&gt;0,L1155-M1155*8,L1155))</f>
        <v>31.1833333333489</v>
      </c>
      <c r="O1155" s="22" t="str">
        <f ca="1" t="shared" ref="O1155:O1218" si="94">IF(OR(AND(D1155="P1",N1155&lt;=3),AND(D1155="P2",N1155&lt;=6),AND(D1155="P3",N1155&lt;=9),AND(D1155="P4",N1155&lt;=12)),"Within SLA","SLA Violated")</f>
        <v>SLA Violated</v>
      </c>
      <c r="P1155" s="23" t="s">
        <v>4634</v>
      </c>
      <c r="Q1155" s="24" t="s">
        <v>28</v>
      </c>
      <c r="R1155" s="25"/>
      <c r="S1155" s="25"/>
    </row>
    <row r="1156" ht="39" customHeight="1" spans="1:19">
      <c r="A1156" s="19" t="s">
        <v>4635</v>
      </c>
      <c r="B1156" s="20" t="s">
        <v>19</v>
      </c>
      <c r="C1156" s="20" t="s">
        <v>20</v>
      </c>
      <c r="D1156" s="20" t="s">
        <v>32</v>
      </c>
      <c r="E1156" s="21" t="s">
        <v>4632</v>
      </c>
      <c r="F1156" s="21" t="s">
        <v>4636</v>
      </c>
      <c r="G1156" s="20" t="s">
        <v>24</v>
      </c>
      <c r="H1156" s="20" t="s">
        <v>25</v>
      </c>
      <c r="I1156" s="21" t="s">
        <v>4011</v>
      </c>
      <c r="J1156" s="22">
        <f t="shared" si="90"/>
        <v>2.21944444444671</v>
      </c>
      <c r="K1156" s="22">
        <f t="shared" si="91"/>
        <v>53.266666666721</v>
      </c>
      <c r="L1156" s="22">
        <f t="shared" si="92"/>
        <v>21.266666666721</v>
      </c>
      <c r="M1156" s="22" cm="1">
        <f ca="1" t="array" ref="M1156">SUMPRODUCT(--(WEEKDAY(ROW(INDIRECT(INT(F1156)&amp;":"&amp;INT(I1156))),2)&gt;5))</f>
        <v>0</v>
      </c>
      <c r="N1156" s="22">
        <f ca="1" t="shared" si="93"/>
        <v>21.266666666721</v>
      </c>
      <c r="O1156" s="22" t="str">
        <f ca="1" t="shared" si="94"/>
        <v>SLA Violated</v>
      </c>
      <c r="P1156" s="23" t="s">
        <v>4637</v>
      </c>
      <c r="Q1156" s="24" t="s">
        <v>37</v>
      </c>
      <c r="R1156" s="25" t="s">
        <v>4638</v>
      </c>
      <c r="S1156" s="25" t="s">
        <v>39</v>
      </c>
    </row>
    <row r="1157" ht="27" customHeight="1" spans="1:19">
      <c r="A1157" s="19" t="s">
        <v>4639</v>
      </c>
      <c r="B1157" s="20" t="s">
        <v>30</v>
      </c>
      <c r="C1157" s="20" t="s">
        <v>31</v>
      </c>
      <c r="D1157" s="20" t="s">
        <v>32</v>
      </c>
      <c r="E1157" s="21" t="s">
        <v>4640</v>
      </c>
      <c r="F1157" s="21" t="s">
        <v>4641</v>
      </c>
      <c r="G1157" s="20" t="s">
        <v>35</v>
      </c>
      <c r="H1157" s="20" t="s">
        <v>25</v>
      </c>
      <c r="I1157" s="21" t="s">
        <v>4026</v>
      </c>
      <c r="J1157" s="22">
        <f t="shared" si="90"/>
        <v>0.159722222218988</v>
      </c>
      <c r="K1157" s="22">
        <f t="shared" si="91"/>
        <v>3.83333333325572</v>
      </c>
      <c r="L1157" s="22">
        <f t="shared" si="92"/>
        <v>3.83333333325572</v>
      </c>
      <c r="M1157" s="22" cm="1">
        <f ca="1" t="array" ref="M1157">SUMPRODUCT(--(WEEKDAY(ROW(INDIRECT(INT(F1157)&amp;":"&amp;INT(I1157))),2)&gt;5))</f>
        <v>0</v>
      </c>
      <c r="N1157" s="22">
        <f ca="1" t="shared" si="93"/>
        <v>3.83333333325572</v>
      </c>
      <c r="O1157" s="22" t="str">
        <f ca="1" t="shared" si="94"/>
        <v>Within SLA</v>
      </c>
      <c r="P1157" s="26" t="s">
        <v>4639</v>
      </c>
      <c r="Q1157" s="24" t="s">
        <v>37</v>
      </c>
      <c r="R1157" s="25"/>
      <c r="S1157" s="25"/>
    </row>
    <row r="1158" ht="27" customHeight="1" spans="1:19">
      <c r="A1158" s="19" t="s">
        <v>4642</v>
      </c>
      <c r="B1158" s="20" t="s">
        <v>30</v>
      </c>
      <c r="C1158" s="20" t="s">
        <v>863</v>
      </c>
      <c r="D1158" s="20" t="s">
        <v>32</v>
      </c>
      <c r="E1158" s="21" t="s">
        <v>4640</v>
      </c>
      <c r="F1158" s="21" t="s">
        <v>4643</v>
      </c>
      <c r="G1158" s="20" t="s">
        <v>35</v>
      </c>
      <c r="H1158" s="20" t="s">
        <v>25</v>
      </c>
      <c r="I1158" s="21" t="s">
        <v>4644</v>
      </c>
      <c r="J1158" s="22">
        <f t="shared" si="90"/>
        <v>0.636111111110949</v>
      </c>
      <c r="K1158" s="22">
        <f t="shared" si="91"/>
        <v>15.2666666666628</v>
      </c>
      <c r="L1158" s="22">
        <f t="shared" si="92"/>
        <v>-0.733333333337214</v>
      </c>
      <c r="M1158" s="22" cm="1">
        <f ca="1" t="array" ref="M1158">SUMPRODUCT(--(WEEKDAY(ROW(INDIRECT(INT(F1158)&amp;":"&amp;INT(I1158))),2)&gt;5))</f>
        <v>1</v>
      </c>
      <c r="N1158" s="22">
        <f ca="1" t="shared" si="93"/>
        <v>0</v>
      </c>
      <c r="O1158" s="22" t="str">
        <f ca="1" t="shared" si="94"/>
        <v>Within SLA</v>
      </c>
      <c r="P1158" s="26" t="s">
        <v>4642</v>
      </c>
      <c r="Q1158" s="24" t="s">
        <v>37</v>
      </c>
      <c r="R1158" s="25"/>
      <c r="S1158" s="25"/>
    </row>
    <row r="1159" ht="27" customHeight="1" spans="1:19">
      <c r="A1159" s="19" t="s">
        <v>4645</v>
      </c>
      <c r="B1159" s="20" t="s">
        <v>30</v>
      </c>
      <c r="C1159" s="20" t="s">
        <v>863</v>
      </c>
      <c r="D1159" s="20" t="s">
        <v>32</v>
      </c>
      <c r="E1159" s="21" t="s">
        <v>4646</v>
      </c>
      <c r="F1159" s="21" t="s">
        <v>4647</v>
      </c>
      <c r="G1159" s="20" t="s">
        <v>35</v>
      </c>
      <c r="H1159" s="20" t="s">
        <v>25</v>
      </c>
      <c r="I1159" s="21" t="s">
        <v>4648</v>
      </c>
      <c r="J1159" s="22">
        <f t="shared" si="90"/>
        <v>0.0458333333299379</v>
      </c>
      <c r="K1159" s="22">
        <f t="shared" si="91"/>
        <v>1.09999999991851</v>
      </c>
      <c r="L1159" s="22">
        <f t="shared" si="92"/>
        <v>1.09999999991851</v>
      </c>
      <c r="M1159" s="22" cm="1">
        <f ca="1" t="array" ref="M1159">SUMPRODUCT(--(WEEKDAY(ROW(INDIRECT(INT(F1159)&amp;":"&amp;INT(I1159))),2)&gt;5))</f>
        <v>1</v>
      </c>
      <c r="N1159" s="22">
        <f ca="1" t="shared" si="93"/>
        <v>0</v>
      </c>
      <c r="O1159" s="22" t="str">
        <f ca="1" t="shared" si="94"/>
        <v>Within SLA</v>
      </c>
      <c r="P1159" s="26" t="s">
        <v>4645</v>
      </c>
      <c r="Q1159" s="24" t="s">
        <v>37</v>
      </c>
      <c r="R1159" s="25"/>
      <c r="S1159" s="25"/>
    </row>
    <row r="1160" ht="39" customHeight="1" spans="1:19">
      <c r="A1160" s="19" t="s">
        <v>4649</v>
      </c>
      <c r="B1160" s="20" t="s">
        <v>196</v>
      </c>
      <c r="C1160" s="20" t="s">
        <v>2057</v>
      </c>
      <c r="D1160" s="20" t="s">
        <v>115</v>
      </c>
      <c r="E1160" s="21" t="s">
        <v>4417</v>
      </c>
      <c r="F1160" s="21" t="s">
        <v>4650</v>
      </c>
      <c r="G1160" s="20" t="s">
        <v>35</v>
      </c>
      <c r="H1160" s="20" t="s">
        <v>25</v>
      </c>
      <c r="I1160" s="21" t="s">
        <v>4651</v>
      </c>
      <c r="J1160" s="22">
        <f t="shared" si="90"/>
        <v>3.14930555555475</v>
      </c>
      <c r="K1160" s="22">
        <f t="shared" si="91"/>
        <v>75.5833333333139</v>
      </c>
      <c r="L1160" s="22">
        <f t="shared" si="92"/>
        <v>27.5833333333139</v>
      </c>
      <c r="M1160" s="22" cm="1">
        <f ca="1" t="array" ref="M1160">SUMPRODUCT(--(WEEKDAY(ROW(INDIRECT(INT(F1160)&amp;":"&amp;INT(I1160))),2)&gt;5))</f>
        <v>2</v>
      </c>
      <c r="N1160" s="22">
        <f ca="1" t="shared" si="93"/>
        <v>11.5833333333139</v>
      </c>
      <c r="O1160" s="22" t="str">
        <f ca="1" t="shared" si="94"/>
        <v>SLA Violated</v>
      </c>
      <c r="P1160" s="23" t="s">
        <v>4652</v>
      </c>
      <c r="Q1160" s="24" t="s">
        <v>28</v>
      </c>
      <c r="R1160" s="25"/>
      <c r="S1160" s="25"/>
    </row>
    <row r="1161" ht="27" customHeight="1" spans="1:19">
      <c r="A1161" s="19" t="s">
        <v>4653</v>
      </c>
      <c r="B1161" s="20" t="s">
        <v>30</v>
      </c>
      <c r="C1161" s="20" t="s">
        <v>31</v>
      </c>
      <c r="D1161" s="20" t="s">
        <v>32</v>
      </c>
      <c r="E1161" s="21" t="s">
        <v>4654</v>
      </c>
      <c r="F1161" s="21" t="s">
        <v>4655</v>
      </c>
      <c r="G1161" s="20" t="s">
        <v>35</v>
      </c>
      <c r="H1161" s="20" t="s">
        <v>25</v>
      </c>
      <c r="I1161" s="21" t="s">
        <v>4656</v>
      </c>
      <c r="J1161" s="22">
        <f t="shared" si="90"/>
        <v>4.9555555555562</v>
      </c>
      <c r="K1161" s="22">
        <f t="shared" si="91"/>
        <v>118.933333333349</v>
      </c>
      <c r="L1161" s="22">
        <f t="shared" si="92"/>
        <v>38.9333333333489</v>
      </c>
      <c r="M1161" s="22" cm="1">
        <f ca="1" t="array" ref="M1161">SUMPRODUCT(--(WEEKDAY(ROW(INDIRECT(INT(F1161)&amp;":"&amp;INT(I1161))),2)&gt;5))</f>
        <v>2</v>
      </c>
      <c r="N1161" s="22">
        <f ca="1" t="shared" si="93"/>
        <v>22.9333333333489</v>
      </c>
      <c r="O1161" s="22" t="str">
        <f ca="1" t="shared" si="94"/>
        <v>SLA Violated</v>
      </c>
      <c r="P1161" s="26" t="s">
        <v>4653</v>
      </c>
      <c r="Q1161" s="24" t="s">
        <v>37</v>
      </c>
      <c r="R1161" s="6" t="s">
        <v>4657</v>
      </c>
      <c r="S1161" s="25" t="s">
        <v>39</v>
      </c>
    </row>
    <row r="1162" ht="27" customHeight="1" spans="1:19">
      <c r="A1162" s="19" t="s">
        <v>4658</v>
      </c>
      <c r="B1162" s="20" t="s">
        <v>30</v>
      </c>
      <c r="C1162" s="20" t="s">
        <v>2057</v>
      </c>
      <c r="D1162" s="20" t="s">
        <v>32</v>
      </c>
      <c r="E1162" s="21" t="s">
        <v>4659</v>
      </c>
      <c r="F1162" s="21" t="s">
        <v>4660</v>
      </c>
      <c r="G1162" s="20" t="s">
        <v>35</v>
      </c>
      <c r="H1162" s="20" t="s">
        <v>25</v>
      </c>
      <c r="I1162" s="21" t="s">
        <v>4651</v>
      </c>
      <c r="J1162" s="22">
        <f t="shared" si="90"/>
        <v>0.959722222221899</v>
      </c>
      <c r="K1162" s="22">
        <f t="shared" si="91"/>
        <v>23.0333333333256</v>
      </c>
      <c r="L1162" s="22">
        <f t="shared" si="92"/>
        <v>7.03333333332557</v>
      </c>
      <c r="M1162" s="22" cm="1">
        <f ca="1" t="array" ref="M1162">SUMPRODUCT(--(WEEKDAY(ROW(INDIRECT(INT(F1162)&amp;":"&amp;INT(I1162))),2)&gt;5))</f>
        <v>2</v>
      </c>
      <c r="N1162" s="22">
        <f ca="1" t="shared" si="93"/>
        <v>0</v>
      </c>
      <c r="O1162" s="22" t="str">
        <f ca="1" t="shared" si="94"/>
        <v>Within SLA</v>
      </c>
      <c r="P1162" s="26" t="s">
        <v>4658</v>
      </c>
      <c r="Q1162" s="24" t="s">
        <v>37</v>
      </c>
      <c r="R1162" s="25"/>
      <c r="S1162" s="25"/>
    </row>
    <row r="1163" ht="27" customHeight="1" spans="1:19">
      <c r="A1163" s="19" t="s">
        <v>4661</v>
      </c>
      <c r="B1163" s="20" t="s">
        <v>30</v>
      </c>
      <c r="C1163" s="20" t="s">
        <v>2057</v>
      </c>
      <c r="D1163" s="20" t="s">
        <v>32</v>
      </c>
      <c r="E1163" s="21" t="s">
        <v>4662</v>
      </c>
      <c r="F1163" s="21" t="s">
        <v>4042</v>
      </c>
      <c r="G1163" s="20" t="s">
        <v>35</v>
      </c>
      <c r="H1163" s="20" t="s">
        <v>25</v>
      </c>
      <c r="I1163" s="21" t="s">
        <v>4663</v>
      </c>
      <c r="J1163" s="22">
        <f t="shared" si="90"/>
        <v>0.00138888889341615</v>
      </c>
      <c r="K1163" s="22">
        <f t="shared" si="91"/>
        <v>0.0333333334419876</v>
      </c>
      <c r="L1163" s="22">
        <f t="shared" si="92"/>
        <v>0.0333333334419876</v>
      </c>
      <c r="M1163" s="22" cm="1">
        <f ca="1" t="array" ref="M1163">SUMPRODUCT(--(WEEKDAY(ROW(INDIRECT(INT(F1163)&amp;":"&amp;INT(I1163))),2)&gt;5))</f>
        <v>0</v>
      </c>
      <c r="N1163" s="22">
        <f ca="1" t="shared" si="93"/>
        <v>0.0333333334419876</v>
      </c>
      <c r="O1163" s="22" t="str">
        <f ca="1" t="shared" si="94"/>
        <v>Within SLA</v>
      </c>
      <c r="P1163" s="26" t="s">
        <v>4661</v>
      </c>
      <c r="Q1163" s="24" t="s">
        <v>37</v>
      </c>
      <c r="R1163" s="25"/>
      <c r="S1163" s="25"/>
    </row>
    <row r="1164" ht="27" customHeight="1" spans="1:19">
      <c r="A1164" s="19" t="s">
        <v>4664</v>
      </c>
      <c r="B1164" s="20" t="s">
        <v>30</v>
      </c>
      <c r="C1164" s="20" t="s">
        <v>863</v>
      </c>
      <c r="D1164" s="20" t="s">
        <v>32</v>
      </c>
      <c r="E1164" s="21" t="s">
        <v>4662</v>
      </c>
      <c r="F1164" s="21" t="s">
        <v>4665</v>
      </c>
      <c r="G1164" s="20" t="s">
        <v>35</v>
      </c>
      <c r="H1164" s="20" t="s">
        <v>25</v>
      </c>
      <c r="I1164" s="21" t="s">
        <v>4666</v>
      </c>
      <c r="J1164" s="22">
        <f t="shared" si="90"/>
        <v>1.19930555555766</v>
      </c>
      <c r="K1164" s="22">
        <f t="shared" si="91"/>
        <v>28.7833333333838</v>
      </c>
      <c r="L1164" s="22">
        <f t="shared" si="92"/>
        <v>12.7833333333838</v>
      </c>
      <c r="M1164" s="22" cm="1">
        <f ca="1" t="array" ref="M1164">SUMPRODUCT(--(WEEKDAY(ROW(INDIRECT(INT(F1164)&amp;":"&amp;INT(I1164))),2)&gt;5))</f>
        <v>2</v>
      </c>
      <c r="N1164" s="22">
        <f ca="1" t="shared" si="93"/>
        <v>0</v>
      </c>
      <c r="O1164" s="22" t="str">
        <f ca="1" t="shared" si="94"/>
        <v>Within SLA</v>
      </c>
      <c r="P1164" s="26" t="s">
        <v>4664</v>
      </c>
      <c r="Q1164" s="24" t="s">
        <v>37</v>
      </c>
      <c r="R1164" s="25"/>
      <c r="S1164" s="25"/>
    </row>
    <row r="1165" ht="27" customHeight="1" spans="1:19">
      <c r="A1165" s="19" t="s">
        <v>4667</v>
      </c>
      <c r="B1165" s="20" t="s">
        <v>30</v>
      </c>
      <c r="C1165" s="20" t="s">
        <v>31</v>
      </c>
      <c r="D1165" s="20" t="s">
        <v>32</v>
      </c>
      <c r="E1165" s="21" t="s">
        <v>4668</v>
      </c>
      <c r="F1165" s="21" t="s">
        <v>4669</v>
      </c>
      <c r="G1165" s="20" t="s">
        <v>35</v>
      </c>
      <c r="H1165" s="20" t="s">
        <v>25</v>
      </c>
      <c r="I1165" s="21" t="s">
        <v>4670</v>
      </c>
      <c r="J1165" s="22">
        <f t="shared" si="90"/>
        <v>0.0798611111167702</v>
      </c>
      <c r="K1165" s="22">
        <f t="shared" si="91"/>
        <v>1.91666666680248</v>
      </c>
      <c r="L1165" s="22">
        <f t="shared" si="92"/>
        <v>1.91666666680248</v>
      </c>
      <c r="M1165" s="22" cm="1">
        <f ca="1" t="array" ref="M1165">SUMPRODUCT(--(WEEKDAY(ROW(INDIRECT(INT(F1165)&amp;":"&amp;INT(I1165))),2)&gt;5))</f>
        <v>0</v>
      </c>
      <c r="N1165" s="22">
        <f ca="1" t="shared" si="93"/>
        <v>1.91666666680248</v>
      </c>
      <c r="O1165" s="22" t="str">
        <f ca="1" t="shared" si="94"/>
        <v>Within SLA</v>
      </c>
      <c r="P1165" s="26" t="s">
        <v>4667</v>
      </c>
      <c r="Q1165" s="24" t="s">
        <v>37</v>
      </c>
      <c r="R1165" s="25"/>
      <c r="S1165" s="25"/>
    </row>
    <row r="1166" ht="27" customHeight="1" spans="1:19">
      <c r="A1166" s="19" t="s">
        <v>4671</v>
      </c>
      <c r="B1166" s="20" t="s">
        <v>30</v>
      </c>
      <c r="C1166" s="20" t="s">
        <v>2057</v>
      </c>
      <c r="D1166" s="20" t="s">
        <v>32</v>
      </c>
      <c r="E1166" s="21" t="s">
        <v>4672</v>
      </c>
      <c r="F1166" s="21" t="s">
        <v>4673</v>
      </c>
      <c r="G1166" s="20" t="s">
        <v>35</v>
      </c>
      <c r="H1166" s="20" t="s">
        <v>25</v>
      </c>
      <c r="I1166" s="21" t="s">
        <v>4674</v>
      </c>
      <c r="J1166" s="22">
        <f t="shared" si="90"/>
        <v>0.000694444439432118</v>
      </c>
      <c r="K1166" s="22">
        <f t="shared" si="91"/>
        <v>0.0166666665463708</v>
      </c>
      <c r="L1166" s="22">
        <f t="shared" si="92"/>
        <v>0.0166666665463708</v>
      </c>
      <c r="M1166" s="22" cm="1">
        <f ca="1" t="array" ref="M1166">SUMPRODUCT(--(WEEKDAY(ROW(INDIRECT(INT(F1166)&amp;":"&amp;INT(I1166))),2)&gt;5))</f>
        <v>0</v>
      </c>
      <c r="N1166" s="22">
        <f ca="1" t="shared" si="93"/>
        <v>0.0166666665463708</v>
      </c>
      <c r="O1166" s="22" t="str">
        <f ca="1" t="shared" si="94"/>
        <v>Within SLA</v>
      </c>
      <c r="P1166" s="26" t="s">
        <v>4671</v>
      </c>
      <c r="Q1166" s="24" t="s">
        <v>37</v>
      </c>
      <c r="R1166" s="25"/>
      <c r="S1166" s="25"/>
    </row>
    <row r="1167" ht="27" customHeight="1" spans="1:19">
      <c r="A1167" s="19" t="s">
        <v>4675</v>
      </c>
      <c r="B1167" s="20" t="s">
        <v>30</v>
      </c>
      <c r="C1167" s="20" t="s">
        <v>2057</v>
      </c>
      <c r="D1167" s="20" t="s">
        <v>32</v>
      </c>
      <c r="E1167" s="21" t="s">
        <v>4672</v>
      </c>
      <c r="F1167" s="21" t="s">
        <v>4676</v>
      </c>
      <c r="G1167" s="20" t="s">
        <v>35</v>
      </c>
      <c r="H1167" s="20" t="s">
        <v>25</v>
      </c>
      <c r="I1167" s="21" t="s">
        <v>4677</v>
      </c>
      <c r="J1167" s="22">
        <f t="shared" si="90"/>
        <v>0.000694444446708076</v>
      </c>
      <c r="K1167" s="22">
        <f t="shared" si="91"/>
        <v>0.0166666667209938</v>
      </c>
      <c r="L1167" s="22">
        <f t="shared" si="92"/>
        <v>0.0166666667209938</v>
      </c>
      <c r="M1167" s="22" cm="1">
        <f ca="1" t="array" ref="M1167">SUMPRODUCT(--(WEEKDAY(ROW(INDIRECT(INT(F1167)&amp;":"&amp;INT(I1167))),2)&gt;5))</f>
        <v>0</v>
      </c>
      <c r="N1167" s="22">
        <f ca="1" t="shared" si="93"/>
        <v>0.0166666667209938</v>
      </c>
      <c r="O1167" s="22" t="str">
        <f ca="1" t="shared" si="94"/>
        <v>Within SLA</v>
      </c>
      <c r="P1167" s="26" t="s">
        <v>4675</v>
      </c>
      <c r="Q1167" s="24" t="s">
        <v>37</v>
      </c>
      <c r="R1167" s="25"/>
      <c r="S1167" s="25"/>
    </row>
    <row r="1168" ht="27" customHeight="1" spans="1:19">
      <c r="A1168" s="19" t="s">
        <v>4678</v>
      </c>
      <c r="B1168" s="20" t="s">
        <v>30</v>
      </c>
      <c r="C1168" s="20" t="s">
        <v>2057</v>
      </c>
      <c r="D1168" s="20" t="s">
        <v>32</v>
      </c>
      <c r="E1168" s="21" t="s">
        <v>4679</v>
      </c>
      <c r="F1168" s="21" t="s">
        <v>4680</v>
      </c>
      <c r="G1168" s="20" t="s">
        <v>35</v>
      </c>
      <c r="H1168" s="20" t="s">
        <v>25</v>
      </c>
      <c r="I1168" s="21" t="s">
        <v>4681</v>
      </c>
      <c r="J1168" s="22">
        <f t="shared" si="90"/>
        <v>0.000694444446708076</v>
      </c>
      <c r="K1168" s="22">
        <f t="shared" si="91"/>
        <v>0.0166666667209938</v>
      </c>
      <c r="L1168" s="22">
        <f t="shared" si="92"/>
        <v>0.0166666667209938</v>
      </c>
      <c r="M1168" s="22" cm="1">
        <f ca="1" t="array" ref="M1168">SUMPRODUCT(--(WEEKDAY(ROW(INDIRECT(INT(F1168)&amp;":"&amp;INT(I1168))),2)&gt;5))</f>
        <v>0</v>
      </c>
      <c r="N1168" s="22">
        <f ca="1" t="shared" si="93"/>
        <v>0.0166666667209938</v>
      </c>
      <c r="O1168" s="22" t="str">
        <f ca="1" t="shared" si="94"/>
        <v>Within SLA</v>
      </c>
      <c r="P1168" s="26" t="s">
        <v>4678</v>
      </c>
      <c r="Q1168" s="24" t="s">
        <v>37</v>
      </c>
      <c r="R1168" s="25"/>
      <c r="S1168" s="25"/>
    </row>
    <row r="1169" ht="27" customHeight="1" spans="1:19">
      <c r="A1169" s="19" t="s">
        <v>4682</v>
      </c>
      <c r="B1169" s="20" t="s">
        <v>30</v>
      </c>
      <c r="C1169" s="20" t="s">
        <v>2057</v>
      </c>
      <c r="D1169" s="20" t="s">
        <v>32</v>
      </c>
      <c r="E1169" s="21" t="s">
        <v>4683</v>
      </c>
      <c r="F1169" s="21" t="s">
        <v>4684</v>
      </c>
      <c r="G1169" s="20" t="s">
        <v>35</v>
      </c>
      <c r="H1169" s="20" t="s">
        <v>25</v>
      </c>
      <c r="I1169" s="21" t="s">
        <v>4685</v>
      </c>
      <c r="J1169" s="22">
        <f t="shared" si="90"/>
        <v>0.000694444439432118</v>
      </c>
      <c r="K1169" s="22">
        <f t="shared" si="91"/>
        <v>0.0166666665463708</v>
      </c>
      <c r="L1169" s="22">
        <f t="shared" si="92"/>
        <v>0.0166666665463708</v>
      </c>
      <c r="M1169" s="22" cm="1">
        <f ca="1" t="array" ref="M1169">SUMPRODUCT(--(WEEKDAY(ROW(INDIRECT(INT(F1169)&amp;":"&amp;INT(I1169))),2)&gt;5))</f>
        <v>0</v>
      </c>
      <c r="N1169" s="22">
        <f ca="1" t="shared" si="93"/>
        <v>0.0166666665463708</v>
      </c>
      <c r="O1169" s="22" t="str">
        <f ca="1" t="shared" si="94"/>
        <v>Within SLA</v>
      </c>
      <c r="P1169" s="26" t="s">
        <v>4682</v>
      </c>
      <c r="Q1169" s="24" t="s">
        <v>37</v>
      </c>
      <c r="R1169" s="25"/>
      <c r="S1169" s="25"/>
    </row>
    <row r="1170" ht="39" customHeight="1" spans="1:19">
      <c r="A1170" s="19" t="s">
        <v>4686</v>
      </c>
      <c r="B1170" s="20" t="s">
        <v>19</v>
      </c>
      <c r="C1170" s="20" t="s">
        <v>20</v>
      </c>
      <c r="D1170" s="20" t="s">
        <v>32</v>
      </c>
      <c r="E1170" s="21" t="s">
        <v>4687</v>
      </c>
      <c r="F1170" s="21" t="s">
        <v>4688</v>
      </c>
      <c r="G1170" s="20" t="s">
        <v>35</v>
      </c>
      <c r="H1170" s="20" t="s">
        <v>25</v>
      </c>
      <c r="I1170" s="21" t="s">
        <v>4689</v>
      </c>
      <c r="J1170" s="22">
        <f t="shared" si="90"/>
        <v>0.177083333335759</v>
      </c>
      <c r="K1170" s="22">
        <f t="shared" si="91"/>
        <v>4.25000000005821</v>
      </c>
      <c r="L1170" s="22">
        <f t="shared" si="92"/>
        <v>4.25000000005821</v>
      </c>
      <c r="M1170" s="22" cm="1">
        <f ca="1" t="array" ref="M1170">SUMPRODUCT(--(WEEKDAY(ROW(INDIRECT(INT(F1170)&amp;":"&amp;INT(I1170))),2)&gt;5))</f>
        <v>0</v>
      </c>
      <c r="N1170" s="22">
        <f ca="1" t="shared" si="93"/>
        <v>4.25000000005821</v>
      </c>
      <c r="O1170" s="22" t="str">
        <f ca="1" t="shared" si="94"/>
        <v>Within SLA</v>
      </c>
      <c r="P1170" s="26" t="s">
        <v>4686</v>
      </c>
      <c r="Q1170" s="24" t="s">
        <v>37</v>
      </c>
      <c r="R1170" s="25"/>
      <c r="S1170" s="25"/>
    </row>
    <row r="1171" ht="27" customHeight="1" spans="1:19">
      <c r="A1171" s="19" t="s">
        <v>4690</v>
      </c>
      <c r="B1171" s="20" t="s">
        <v>30</v>
      </c>
      <c r="C1171" s="20" t="s">
        <v>2057</v>
      </c>
      <c r="D1171" s="20" t="s">
        <v>32</v>
      </c>
      <c r="E1171" s="21" t="s">
        <v>4691</v>
      </c>
      <c r="F1171" s="21" t="s">
        <v>4692</v>
      </c>
      <c r="G1171" s="20" t="s">
        <v>35</v>
      </c>
      <c r="H1171" s="20" t="s">
        <v>25</v>
      </c>
      <c r="I1171" s="21" t="s">
        <v>4693</v>
      </c>
      <c r="J1171" s="22">
        <f t="shared" si="90"/>
        <v>0.000694444439432118</v>
      </c>
      <c r="K1171" s="22">
        <f t="shared" si="91"/>
        <v>0.0166666665463708</v>
      </c>
      <c r="L1171" s="22">
        <f t="shared" si="92"/>
        <v>0.0166666665463708</v>
      </c>
      <c r="M1171" s="22" cm="1">
        <f ca="1" t="array" ref="M1171">SUMPRODUCT(--(WEEKDAY(ROW(INDIRECT(INT(F1171)&amp;":"&amp;INT(I1171))),2)&gt;5))</f>
        <v>0</v>
      </c>
      <c r="N1171" s="22">
        <f ca="1" t="shared" si="93"/>
        <v>0.0166666665463708</v>
      </c>
      <c r="O1171" s="22" t="str">
        <f ca="1" t="shared" si="94"/>
        <v>Within SLA</v>
      </c>
      <c r="P1171" s="26" t="s">
        <v>4690</v>
      </c>
      <c r="Q1171" s="24" t="s">
        <v>37</v>
      </c>
      <c r="R1171" s="25"/>
      <c r="S1171" s="25"/>
    </row>
    <row r="1172" ht="27" customHeight="1" spans="1:19">
      <c r="A1172" s="19" t="s">
        <v>4694</v>
      </c>
      <c r="B1172" s="20" t="s">
        <v>30</v>
      </c>
      <c r="C1172" s="20" t="s">
        <v>2057</v>
      </c>
      <c r="D1172" s="20" t="s">
        <v>32</v>
      </c>
      <c r="E1172" s="21" t="s">
        <v>4695</v>
      </c>
      <c r="F1172" s="21" t="s">
        <v>4696</v>
      </c>
      <c r="G1172" s="20" t="s">
        <v>35</v>
      </c>
      <c r="H1172" s="20" t="s">
        <v>25</v>
      </c>
      <c r="I1172" s="21" t="s">
        <v>4697</v>
      </c>
      <c r="J1172" s="22">
        <f t="shared" si="90"/>
        <v>0.000694444446708076</v>
      </c>
      <c r="K1172" s="22">
        <f t="shared" si="91"/>
        <v>0.0166666667209938</v>
      </c>
      <c r="L1172" s="22">
        <f t="shared" si="92"/>
        <v>0.0166666667209938</v>
      </c>
      <c r="M1172" s="22" cm="1">
        <f ca="1" t="array" ref="M1172">SUMPRODUCT(--(WEEKDAY(ROW(INDIRECT(INT(F1172)&amp;":"&amp;INT(I1172))),2)&gt;5))</f>
        <v>0</v>
      </c>
      <c r="N1172" s="22">
        <f ca="1" t="shared" si="93"/>
        <v>0.0166666667209938</v>
      </c>
      <c r="O1172" s="22" t="str">
        <f ca="1" t="shared" si="94"/>
        <v>Within SLA</v>
      </c>
      <c r="P1172" s="26" t="s">
        <v>4694</v>
      </c>
      <c r="Q1172" s="24" t="s">
        <v>37</v>
      </c>
      <c r="R1172" s="25"/>
      <c r="S1172" s="25"/>
    </row>
    <row r="1173" ht="27" customHeight="1" spans="1:19">
      <c r="A1173" s="19" t="s">
        <v>4698</v>
      </c>
      <c r="B1173" s="20" t="s">
        <v>30</v>
      </c>
      <c r="C1173" s="20" t="s">
        <v>31</v>
      </c>
      <c r="D1173" s="20" t="s">
        <v>32</v>
      </c>
      <c r="E1173" s="21" t="s">
        <v>4699</v>
      </c>
      <c r="F1173" s="21" t="s">
        <v>4700</v>
      </c>
      <c r="G1173" s="20" t="s">
        <v>35</v>
      </c>
      <c r="H1173" s="20" t="s">
        <v>25</v>
      </c>
      <c r="I1173" s="21" t="s">
        <v>4701</v>
      </c>
      <c r="J1173" s="22">
        <f t="shared" si="90"/>
        <v>0.015972222223354</v>
      </c>
      <c r="K1173" s="22">
        <f t="shared" si="91"/>
        <v>0.383333333360497</v>
      </c>
      <c r="L1173" s="22">
        <f t="shared" si="92"/>
        <v>0.383333333360497</v>
      </c>
      <c r="M1173" s="22" cm="1">
        <f ca="1" t="array" ref="M1173">SUMPRODUCT(--(WEEKDAY(ROW(INDIRECT(INT(F1173)&amp;":"&amp;INT(I1173))),2)&gt;5))</f>
        <v>0</v>
      </c>
      <c r="N1173" s="22">
        <f ca="1" t="shared" si="93"/>
        <v>0.383333333360497</v>
      </c>
      <c r="O1173" s="22" t="str">
        <f ca="1" t="shared" si="94"/>
        <v>Within SLA</v>
      </c>
      <c r="P1173" s="26" t="s">
        <v>4698</v>
      </c>
      <c r="Q1173" s="24" t="s">
        <v>37</v>
      </c>
      <c r="R1173" s="25"/>
      <c r="S1173" s="25"/>
    </row>
    <row r="1174" ht="27" customHeight="1" spans="1:19">
      <c r="A1174" s="19" t="s">
        <v>4702</v>
      </c>
      <c r="B1174" s="20" t="s">
        <v>30</v>
      </c>
      <c r="C1174" s="20" t="s">
        <v>2057</v>
      </c>
      <c r="D1174" s="20" t="s">
        <v>32</v>
      </c>
      <c r="E1174" s="21" t="s">
        <v>4699</v>
      </c>
      <c r="F1174" s="21" t="s">
        <v>4703</v>
      </c>
      <c r="G1174" s="20" t="s">
        <v>35</v>
      </c>
      <c r="H1174" s="20" t="s">
        <v>25</v>
      </c>
      <c r="I1174" s="21" t="s">
        <v>4703</v>
      </c>
      <c r="J1174" s="22">
        <f t="shared" si="90"/>
        <v>0</v>
      </c>
      <c r="K1174" s="22">
        <f t="shared" si="91"/>
        <v>0</v>
      </c>
      <c r="L1174" s="22">
        <f t="shared" si="92"/>
        <v>0</v>
      </c>
      <c r="M1174" s="22" cm="1">
        <f ca="1" t="array" ref="M1174">SUMPRODUCT(--(WEEKDAY(ROW(INDIRECT(INT(F1174)&amp;":"&amp;INT(I1174))),2)&gt;5))</f>
        <v>0</v>
      </c>
      <c r="N1174" s="22">
        <f ca="1" t="shared" si="93"/>
        <v>0</v>
      </c>
      <c r="O1174" s="22" t="str">
        <f ca="1" t="shared" si="94"/>
        <v>Within SLA</v>
      </c>
      <c r="P1174" s="26" t="s">
        <v>4702</v>
      </c>
      <c r="Q1174" s="24" t="s">
        <v>37</v>
      </c>
      <c r="R1174" s="25"/>
      <c r="S1174" s="25"/>
    </row>
    <row r="1175" ht="27" customHeight="1" spans="1:19">
      <c r="A1175" s="19" t="s">
        <v>4704</v>
      </c>
      <c r="B1175" s="20" t="s">
        <v>30</v>
      </c>
      <c r="C1175" s="20" t="s">
        <v>2057</v>
      </c>
      <c r="D1175" s="20" t="s">
        <v>32</v>
      </c>
      <c r="E1175" s="21" t="s">
        <v>4699</v>
      </c>
      <c r="F1175" s="21" t="s">
        <v>4705</v>
      </c>
      <c r="G1175" s="20" t="s">
        <v>35</v>
      </c>
      <c r="H1175" s="20" t="s">
        <v>25</v>
      </c>
      <c r="I1175" s="21" t="s">
        <v>4706</v>
      </c>
      <c r="J1175" s="22">
        <f t="shared" si="90"/>
        <v>0.000694444446708076</v>
      </c>
      <c r="K1175" s="22">
        <f t="shared" si="91"/>
        <v>0.0166666667209938</v>
      </c>
      <c r="L1175" s="22">
        <f t="shared" si="92"/>
        <v>0.0166666667209938</v>
      </c>
      <c r="M1175" s="22" cm="1">
        <f ca="1" t="array" ref="M1175">SUMPRODUCT(--(WEEKDAY(ROW(INDIRECT(INT(F1175)&amp;":"&amp;INT(I1175))),2)&gt;5))</f>
        <v>0</v>
      </c>
      <c r="N1175" s="22">
        <f ca="1" t="shared" si="93"/>
        <v>0.0166666667209938</v>
      </c>
      <c r="O1175" s="22" t="str">
        <f ca="1" t="shared" si="94"/>
        <v>Within SLA</v>
      </c>
      <c r="P1175" s="26" t="s">
        <v>4704</v>
      </c>
      <c r="Q1175" s="24" t="s">
        <v>37</v>
      </c>
      <c r="R1175" s="25"/>
      <c r="S1175" s="25"/>
    </row>
    <row r="1176" ht="27" customHeight="1" spans="1:19">
      <c r="A1176" s="19" t="s">
        <v>4707</v>
      </c>
      <c r="B1176" s="20" t="s">
        <v>30</v>
      </c>
      <c r="C1176" s="20" t="s">
        <v>31</v>
      </c>
      <c r="D1176" s="20" t="s">
        <v>32</v>
      </c>
      <c r="E1176" s="21" t="s">
        <v>4708</v>
      </c>
      <c r="F1176" s="21" t="s">
        <v>4709</v>
      </c>
      <c r="G1176" s="20" t="s">
        <v>35</v>
      </c>
      <c r="H1176" s="20" t="s">
        <v>25</v>
      </c>
      <c r="I1176" s="21" t="s">
        <v>4710</v>
      </c>
      <c r="J1176" s="22">
        <f t="shared" si="90"/>
        <v>0.495833333334303</v>
      </c>
      <c r="K1176" s="22">
        <f t="shared" si="91"/>
        <v>11.9000000000233</v>
      </c>
      <c r="L1176" s="22">
        <f t="shared" si="92"/>
        <v>11.9000000000233</v>
      </c>
      <c r="M1176" s="22" cm="1">
        <f ca="1" t="array" ref="M1176">SUMPRODUCT(--(WEEKDAY(ROW(INDIRECT(INT(F1176)&amp;":"&amp;INT(I1176))),2)&gt;5))</f>
        <v>0</v>
      </c>
      <c r="N1176" s="22">
        <f ca="1" t="shared" si="93"/>
        <v>11.9000000000233</v>
      </c>
      <c r="O1176" s="22" t="str">
        <f ca="1" t="shared" si="94"/>
        <v>Within SLA</v>
      </c>
      <c r="P1176" s="26" t="s">
        <v>4707</v>
      </c>
      <c r="Q1176" s="24" t="s">
        <v>37</v>
      </c>
      <c r="R1176" s="25"/>
      <c r="S1176" s="25"/>
    </row>
    <row r="1177" ht="27" customHeight="1" spans="1:19">
      <c r="A1177" s="19" t="s">
        <v>4711</v>
      </c>
      <c r="B1177" s="20" t="s">
        <v>30</v>
      </c>
      <c r="C1177" s="20" t="s">
        <v>2057</v>
      </c>
      <c r="D1177" s="20" t="s">
        <v>32</v>
      </c>
      <c r="E1177" s="21" t="s">
        <v>4708</v>
      </c>
      <c r="F1177" s="21" t="s">
        <v>4712</v>
      </c>
      <c r="G1177" s="20" t="s">
        <v>35</v>
      </c>
      <c r="H1177" s="20" t="s">
        <v>25</v>
      </c>
      <c r="I1177" s="21" t="s">
        <v>4713</v>
      </c>
      <c r="J1177" s="22">
        <f t="shared" si="90"/>
        <v>0.000694444446708076</v>
      </c>
      <c r="K1177" s="22">
        <f t="shared" si="91"/>
        <v>0.0166666667209938</v>
      </c>
      <c r="L1177" s="22">
        <f t="shared" si="92"/>
        <v>0.0166666667209938</v>
      </c>
      <c r="M1177" s="22" cm="1">
        <f ca="1" t="array" ref="M1177">SUMPRODUCT(--(WEEKDAY(ROW(INDIRECT(INT(F1177)&amp;":"&amp;INT(I1177))),2)&gt;5))</f>
        <v>0</v>
      </c>
      <c r="N1177" s="22">
        <f ca="1" t="shared" si="93"/>
        <v>0.0166666667209938</v>
      </c>
      <c r="O1177" s="22" t="str">
        <f ca="1" t="shared" si="94"/>
        <v>Within SLA</v>
      </c>
      <c r="P1177" s="26" t="s">
        <v>4711</v>
      </c>
      <c r="Q1177" s="24" t="s">
        <v>37</v>
      </c>
      <c r="R1177" s="25"/>
      <c r="S1177" s="25"/>
    </row>
    <row r="1178" ht="27" customHeight="1" spans="1:19">
      <c r="A1178" s="19" t="s">
        <v>4714</v>
      </c>
      <c r="B1178" s="20" t="s">
        <v>30</v>
      </c>
      <c r="C1178" s="20" t="s">
        <v>849</v>
      </c>
      <c r="D1178" s="20" t="s">
        <v>32</v>
      </c>
      <c r="E1178" s="21" t="s">
        <v>4715</v>
      </c>
      <c r="F1178" s="21" t="s">
        <v>4716</v>
      </c>
      <c r="G1178" s="20" t="s">
        <v>35</v>
      </c>
      <c r="H1178" s="20" t="s">
        <v>25</v>
      </c>
      <c r="I1178" s="21" t="s">
        <v>4717</v>
      </c>
      <c r="J1178" s="22">
        <f t="shared" si="90"/>
        <v>16.0625</v>
      </c>
      <c r="K1178" s="22">
        <f t="shared" si="91"/>
        <v>385.5</v>
      </c>
      <c r="L1178" s="22">
        <f t="shared" si="92"/>
        <v>129.5</v>
      </c>
      <c r="M1178" s="22" cm="1">
        <f ca="1" t="array" ref="M1178">SUMPRODUCT(--(WEEKDAY(ROW(INDIRECT(INT(F1178)&amp;":"&amp;INT(I1178))),2)&gt;5))</f>
        <v>4</v>
      </c>
      <c r="N1178" s="22">
        <f ca="1" t="shared" si="93"/>
        <v>97.5</v>
      </c>
      <c r="O1178" s="22" t="str">
        <f ca="1" t="shared" si="94"/>
        <v>SLA Violated</v>
      </c>
      <c r="P1178" s="23" t="s">
        <v>4718</v>
      </c>
      <c r="Q1178" s="24" t="s">
        <v>28</v>
      </c>
      <c r="R1178" s="25"/>
      <c r="S1178" s="25"/>
    </row>
    <row r="1179" ht="27" customHeight="1" spans="1:19">
      <c r="A1179" s="19" t="s">
        <v>4719</v>
      </c>
      <c r="B1179" s="20" t="s">
        <v>30</v>
      </c>
      <c r="C1179" s="20" t="s">
        <v>31</v>
      </c>
      <c r="D1179" s="20" t="s">
        <v>32</v>
      </c>
      <c r="E1179" s="21" t="s">
        <v>4720</v>
      </c>
      <c r="F1179" s="21" t="s">
        <v>4721</v>
      </c>
      <c r="G1179" s="20" t="s">
        <v>35</v>
      </c>
      <c r="H1179" s="20" t="s">
        <v>25</v>
      </c>
      <c r="I1179" s="21" t="s">
        <v>4722</v>
      </c>
      <c r="J1179" s="22">
        <f t="shared" si="90"/>
        <v>0.023611111115315</v>
      </c>
      <c r="K1179" s="22">
        <f t="shared" si="91"/>
        <v>0.56666666676756</v>
      </c>
      <c r="L1179" s="22">
        <f t="shared" si="92"/>
        <v>0.56666666676756</v>
      </c>
      <c r="M1179" s="22" cm="1">
        <f ca="1" t="array" ref="M1179">SUMPRODUCT(--(WEEKDAY(ROW(INDIRECT(INT(F1179)&amp;":"&amp;INT(I1179))),2)&gt;5))</f>
        <v>0</v>
      </c>
      <c r="N1179" s="22">
        <f ca="1" t="shared" si="93"/>
        <v>0.56666666676756</v>
      </c>
      <c r="O1179" s="22" t="str">
        <f ca="1" t="shared" si="94"/>
        <v>Within SLA</v>
      </c>
      <c r="P1179" s="26" t="s">
        <v>4719</v>
      </c>
      <c r="Q1179" s="24" t="s">
        <v>37</v>
      </c>
      <c r="R1179" s="25"/>
      <c r="S1179" s="25"/>
    </row>
    <row r="1180" ht="27" customHeight="1" spans="1:19">
      <c r="A1180" s="28" t="s">
        <v>4723</v>
      </c>
      <c r="B1180" s="20" t="s">
        <v>121</v>
      </c>
      <c r="C1180" s="20" t="s">
        <v>46</v>
      </c>
      <c r="D1180" s="20" t="s">
        <v>21</v>
      </c>
      <c r="E1180" s="21" t="s">
        <v>3519</v>
      </c>
      <c r="F1180" s="21" t="s">
        <v>4724</v>
      </c>
      <c r="G1180" s="20" t="s">
        <v>35</v>
      </c>
      <c r="H1180" s="20" t="s">
        <v>25</v>
      </c>
      <c r="I1180" s="21" t="s">
        <v>4725</v>
      </c>
      <c r="J1180" s="22">
        <f t="shared" si="90"/>
        <v>9.30208333333576</v>
      </c>
      <c r="K1180" s="22">
        <f t="shared" si="91"/>
        <v>223.250000000058</v>
      </c>
      <c r="L1180" s="22">
        <f t="shared" si="92"/>
        <v>79.2500000000582</v>
      </c>
      <c r="M1180" s="22" cm="1">
        <f ca="1" t="array" ref="M1180">SUMPRODUCT(--(WEEKDAY(ROW(INDIRECT(INT(F1180)&amp;":"&amp;INT(I1180))),2)&gt;5))</f>
        <v>2</v>
      </c>
      <c r="N1180" s="22">
        <f ca="1" t="shared" si="93"/>
        <v>63.2500000000582</v>
      </c>
      <c r="O1180" s="22" t="str">
        <f ca="1" t="shared" si="94"/>
        <v>SLA Violated</v>
      </c>
      <c r="P1180" s="23" t="s">
        <v>4723</v>
      </c>
      <c r="Q1180" s="24" t="s">
        <v>37</v>
      </c>
      <c r="R1180" s="25" t="s">
        <v>749</v>
      </c>
      <c r="S1180" s="25" t="s">
        <v>4726</v>
      </c>
    </row>
    <row r="1181" ht="39" customHeight="1" spans="1:19">
      <c r="A1181" s="19" t="s">
        <v>4727</v>
      </c>
      <c r="B1181" s="20" t="s">
        <v>19</v>
      </c>
      <c r="C1181" s="20" t="s">
        <v>20</v>
      </c>
      <c r="D1181" s="20" t="s">
        <v>32</v>
      </c>
      <c r="E1181" s="21" t="s">
        <v>4728</v>
      </c>
      <c r="F1181" s="21" t="s">
        <v>4729</v>
      </c>
      <c r="G1181" s="20" t="s">
        <v>35</v>
      </c>
      <c r="H1181" s="20" t="s">
        <v>25</v>
      </c>
      <c r="I1181" s="21" t="s">
        <v>4730</v>
      </c>
      <c r="J1181" s="22">
        <f t="shared" si="90"/>
        <v>2.02708333332703</v>
      </c>
      <c r="K1181" s="22">
        <f t="shared" si="91"/>
        <v>48.6499999998487</v>
      </c>
      <c r="L1181" s="22">
        <f t="shared" si="92"/>
        <v>16.6499999998487</v>
      </c>
      <c r="M1181" s="22" cm="1">
        <f ca="1" t="array" ref="M1181">SUMPRODUCT(--(WEEKDAY(ROW(INDIRECT(INT(F1181)&amp;":"&amp;INT(I1181))),2)&gt;5))</f>
        <v>0</v>
      </c>
      <c r="N1181" s="22">
        <f ca="1" t="shared" si="93"/>
        <v>16.6499999998487</v>
      </c>
      <c r="O1181" s="22" t="str">
        <f ca="1" t="shared" si="94"/>
        <v>SLA Violated</v>
      </c>
      <c r="P1181" s="23" t="s">
        <v>4731</v>
      </c>
      <c r="Q1181" s="24" t="s">
        <v>28</v>
      </c>
      <c r="R1181" s="25"/>
      <c r="S1181" s="25"/>
    </row>
    <row r="1182" ht="27" customHeight="1" spans="1:19">
      <c r="A1182" s="19" t="s">
        <v>4732</v>
      </c>
      <c r="B1182" s="20" t="s">
        <v>30</v>
      </c>
      <c r="C1182" s="20" t="s">
        <v>849</v>
      </c>
      <c r="D1182" s="20" t="s">
        <v>32</v>
      </c>
      <c r="E1182" s="21" t="s">
        <v>4728</v>
      </c>
      <c r="F1182" s="21" t="s">
        <v>4733</v>
      </c>
      <c r="G1182" s="20" t="s">
        <v>35</v>
      </c>
      <c r="H1182" s="20" t="s">
        <v>25</v>
      </c>
      <c r="I1182" s="21" t="s">
        <v>4734</v>
      </c>
      <c r="J1182" s="22">
        <f t="shared" si="90"/>
        <v>0.0722222222248092</v>
      </c>
      <c r="K1182" s="22">
        <f t="shared" si="91"/>
        <v>1.73333333339542</v>
      </c>
      <c r="L1182" s="22">
        <f t="shared" si="92"/>
        <v>1.73333333339542</v>
      </c>
      <c r="M1182" s="22" cm="1">
        <f ca="1" t="array" ref="M1182">SUMPRODUCT(--(WEEKDAY(ROW(INDIRECT(INT(F1182)&amp;":"&amp;INT(I1182))),2)&gt;5))</f>
        <v>0</v>
      </c>
      <c r="N1182" s="22">
        <f ca="1" t="shared" si="93"/>
        <v>1.73333333339542</v>
      </c>
      <c r="O1182" s="22" t="str">
        <f ca="1" t="shared" si="94"/>
        <v>Within SLA</v>
      </c>
      <c r="P1182" s="26" t="s">
        <v>4732</v>
      </c>
      <c r="Q1182" s="24" t="s">
        <v>37</v>
      </c>
      <c r="R1182" s="25"/>
      <c r="S1182" s="25"/>
    </row>
    <row r="1183" ht="27" customHeight="1" spans="1:19">
      <c r="A1183" s="19" t="s">
        <v>4735</v>
      </c>
      <c r="B1183" s="20" t="s">
        <v>30</v>
      </c>
      <c r="C1183" s="20" t="s">
        <v>31</v>
      </c>
      <c r="D1183" s="20" t="s">
        <v>32</v>
      </c>
      <c r="E1183" s="21" t="s">
        <v>4736</v>
      </c>
      <c r="F1183" s="21" t="s">
        <v>4737</v>
      </c>
      <c r="G1183" s="20" t="s">
        <v>35</v>
      </c>
      <c r="H1183" s="20" t="s">
        <v>25</v>
      </c>
      <c r="I1183" s="21" t="s">
        <v>4738</v>
      </c>
      <c r="J1183" s="22">
        <f t="shared" si="90"/>
        <v>0.0194444444423425</v>
      </c>
      <c r="K1183" s="22">
        <f t="shared" si="91"/>
        <v>0.46666666661622</v>
      </c>
      <c r="L1183" s="22">
        <f t="shared" si="92"/>
        <v>0.46666666661622</v>
      </c>
      <c r="M1183" s="22" cm="1">
        <f ca="1" t="array" ref="M1183">SUMPRODUCT(--(WEEKDAY(ROW(INDIRECT(INT(F1183)&amp;":"&amp;INT(I1183))),2)&gt;5))</f>
        <v>0</v>
      </c>
      <c r="N1183" s="22">
        <f ca="1" t="shared" si="93"/>
        <v>0.46666666661622</v>
      </c>
      <c r="O1183" s="22" t="str">
        <f ca="1" t="shared" si="94"/>
        <v>Within SLA</v>
      </c>
      <c r="P1183" s="26" t="s">
        <v>4735</v>
      </c>
      <c r="Q1183" s="24" t="s">
        <v>37</v>
      </c>
      <c r="R1183" s="25"/>
      <c r="S1183" s="25"/>
    </row>
    <row r="1184" ht="27" customHeight="1" spans="1:19">
      <c r="A1184" s="19" t="s">
        <v>4739</v>
      </c>
      <c r="B1184" s="20" t="s">
        <v>30</v>
      </c>
      <c r="C1184" s="20" t="s">
        <v>849</v>
      </c>
      <c r="D1184" s="20" t="s">
        <v>32</v>
      </c>
      <c r="E1184" s="21" t="s">
        <v>4673</v>
      </c>
      <c r="F1184" s="21" t="s">
        <v>4740</v>
      </c>
      <c r="G1184" s="20" t="s">
        <v>35</v>
      </c>
      <c r="H1184" s="20" t="s">
        <v>25</v>
      </c>
      <c r="I1184" s="21" t="s">
        <v>4741</v>
      </c>
      <c r="J1184" s="22">
        <f t="shared" si="90"/>
        <v>0.000694444439432118</v>
      </c>
      <c r="K1184" s="22">
        <f t="shared" si="91"/>
        <v>0.0166666665463708</v>
      </c>
      <c r="L1184" s="22">
        <f t="shared" si="92"/>
        <v>0.0166666665463708</v>
      </c>
      <c r="M1184" s="22" cm="1">
        <f ca="1" t="array" ref="M1184">SUMPRODUCT(--(WEEKDAY(ROW(INDIRECT(INT(F1184)&amp;":"&amp;INT(I1184))),2)&gt;5))</f>
        <v>0</v>
      </c>
      <c r="N1184" s="22">
        <f ca="1" t="shared" si="93"/>
        <v>0.0166666665463708</v>
      </c>
      <c r="O1184" s="22" t="str">
        <f ca="1" t="shared" si="94"/>
        <v>Within SLA</v>
      </c>
      <c r="P1184" s="26" t="s">
        <v>4739</v>
      </c>
      <c r="Q1184" s="24" t="s">
        <v>37</v>
      </c>
      <c r="R1184" s="25"/>
      <c r="S1184" s="25"/>
    </row>
    <row r="1185" ht="27" customHeight="1" spans="1:19">
      <c r="A1185" s="19" t="s">
        <v>4742</v>
      </c>
      <c r="B1185" s="20" t="s">
        <v>30</v>
      </c>
      <c r="C1185" s="20" t="s">
        <v>849</v>
      </c>
      <c r="D1185" s="20" t="s">
        <v>32</v>
      </c>
      <c r="E1185" s="21" t="s">
        <v>4673</v>
      </c>
      <c r="F1185" s="21" t="s">
        <v>4743</v>
      </c>
      <c r="G1185" s="20" t="s">
        <v>35</v>
      </c>
      <c r="H1185" s="20" t="s">
        <v>25</v>
      </c>
      <c r="I1185" s="21" t="s">
        <v>4743</v>
      </c>
      <c r="J1185" s="22">
        <f t="shared" si="90"/>
        <v>0</v>
      </c>
      <c r="K1185" s="22">
        <f t="shared" si="91"/>
        <v>0</v>
      </c>
      <c r="L1185" s="22">
        <f t="shared" si="92"/>
        <v>0</v>
      </c>
      <c r="M1185" s="22" cm="1">
        <f ca="1" t="array" ref="M1185">SUMPRODUCT(--(WEEKDAY(ROW(INDIRECT(INT(F1185)&amp;":"&amp;INT(I1185))),2)&gt;5))</f>
        <v>0</v>
      </c>
      <c r="N1185" s="22">
        <f ca="1" t="shared" si="93"/>
        <v>0</v>
      </c>
      <c r="O1185" s="22" t="str">
        <f ca="1" t="shared" si="94"/>
        <v>Within SLA</v>
      </c>
      <c r="P1185" s="26" t="s">
        <v>4742</v>
      </c>
      <c r="Q1185" s="24" t="s">
        <v>37</v>
      </c>
      <c r="R1185" s="25"/>
      <c r="S1185" s="25"/>
    </row>
    <row r="1186" ht="27" customHeight="1" spans="1:19">
      <c r="A1186" s="19" t="s">
        <v>4744</v>
      </c>
      <c r="B1186" s="20" t="s">
        <v>30</v>
      </c>
      <c r="C1186" s="20" t="s">
        <v>849</v>
      </c>
      <c r="D1186" s="20" t="s">
        <v>32</v>
      </c>
      <c r="E1186" s="21" t="s">
        <v>4673</v>
      </c>
      <c r="F1186" s="21" t="s">
        <v>4745</v>
      </c>
      <c r="G1186" s="20" t="s">
        <v>35</v>
      </c>
      <c r="H1186" s="20" t="s">
        <v>25</v>
      </c>
      <c r="I1186" s="21" t="s">
        <v>4746</v>
      </c>
      <c r="J1186" s="22">
        <f t="shared" si="90"/>
        <v>0.000694444446708076</v>
      </c>
      <c r="K1186" s="22">
        <f t="shared" si="91"/>
        <v>0.0166666667209938</v>
      </c>
      <c r="L1186" s="22">
        <f t="shared" si="92"/>
        <v>0.0166666667209938</v>
      </c>
      <c r="M1186" s="22" cm="1">
        <f ca="1" t="array" ref="M1186">SUMPRODUCT(--(WEEKDAY(ROW(INDIRECT(INT(F1186)&amp;":"&amp;INT(I1186))),2)&gt;5))</f>
        <v>0</v>
      </c>
      <c r="N1186" s="22">
        <f ca="1" t="shared" si="93"/>
        <v>0.0166666667209938</v>
      </c>
      <c r="O1186" s="22" t="str">
        <f ca="1" t="shared" si="94"/>
        <v>Within SLA</v>
      </c>
      <c r="P1186" s="26" t="s">
        <v>4744</v>
      </c>
      <c r="Q1186" s="24" t="s">
        <v>37</v>
      </c>
      <c r="R1186" s="25"/>
      <c r="S1186" s="25"/>
    </row>
    <row r="1187" ht="27" customHeight="1" spans="1:19">
      <c r="A1187" s="19" t="s">
        <v>4747</v>
      </c>
      <c r="B1187" s="20" t="s">
        <v>30</v>
      </c>
      <c r="C1187" s="20" t="s">
        <v>849</v>
      </c>
      <c r="D1187" s="20" t="s">
        <v>32</v>
      </c>
      <c r="E1187" s="21" t="s">
        <v>4681</v>
      </c>
      <c r="F1187" s="21" t="s">
        <v>4748</v>
      </c>
      <c r="G1187" s="20" t="s">
        <v>35</v>
      </c>
      <c r="H1187" s="20" t="s">
        <v>25</v>
      </c>
      <c r="I1187" s="21" t="s">
        <v>4749</v>
      </c>
      <c r="J1187" s="22">
        <f t="shared" si="90"/>
        <v>0.000694444446708076</v>
      </c>
      <c r="K1187" s="22">
        <f t="shared" si="91"/>
        <v>0.0166666667209938</v>
      </c>
      <c r="L1187" s="22">
        <f t="shared" si="92"/>
        <v>0.0166666667209938</v>
      </c>
      <c r="M1187" s="22" cm="1">
        <f ca="1" t="array" ref="M1187">SUMPRODUCT(--(WEEKDAY(ROW(INDIRECT(INT(F1187)&amp;":"&amp;INT(I1187))),2)&gt;5))</f>
        <v>0</v>
      </c>
      <c r="N1187" s="22">
        <f ca="1" t="shared" si="93"/>
        <v>0.0166666667209938</v>
      </c>
      <c r="O1187" s="22" t="str">
        <f ca="1" t="shared" si="94"/>
        <v>Within SLA</v>
      </c>
      <c r="P1187" s="26" t="s">
        <v>4747</v>
      </c>
      <c r="Q1187" s="24" t="s">
        <v>37</v>
      </c>
      <c r="R1187" s="25"/>
      <c r="S1187" s="25"/>
    </row>
    <row r="1188" ht="27" customHeight="1" spans="1:19">
      <c r="A1188" s="19" t="s">
        <v>4750</v>
      </c>
      <c r="B1188" s="20" t="s">
        <v>30</v>
      </c>
      <c r="C1188" s="20" t="s">
        <v>849</v>
      </c>
      <c r="D1188" s="20" t="s">
        <v>32</v>
      </c>
      <c r="E1188" s="21" t="s">
        <v>4685</v>
      </c>
      <c r="F1188" s="21" t="s">
        <v>4751</v>
      </c>
      <c r="G1188" s="20" t="s">
        <v>35</v>
      </c>
      <c r="H1188" s="20" t="s">
        <v>25</v>
      </c>
      <c r="I1188" s="21" t="s">
        <v>4752</v>
      </c>
      <c r="J1188" s="22">
        <f t="shared" si="90"/>
        <v>0.000694444446708076</v>
      </c>
      <c r="K1188" s="22">
        <f t="shared" si="91"/>
        <v>0.0166666667209938</v>
      </c>
      <c r="L1188" s="22">
        <f t="shared" si="92"/>
        <v>0.0166666667209938</v>
      </c>
      <c r="M1188" s="22" cm="1">
        <f ca="1" t="array" ref="M1188">SUMPRODUCT(--(WEEKDAY(ROW(INDIRECT(INT(F1188)&amp;":"&amp;INT(I1188))),2)&gt;5))</f>
        <v>0</v>
      </c>
      <c r="N1188" s="22">
        <f ca="1" t="shared" si="93"/>
        <v>0.0166666667209938</v>
      </c>
      <c r="O1188" s="22" t="str">
        <f ca="1" t="shared" si="94"/>
        <v>Within SLA</v>
      </c>
      <c r="P1188" s="26" t="s">
        <v>4750</v>
      </c>
      <c r="Q1188" s="24" t="s">
        <v>37</v>
      </c>
      <c r="R1188" s="25"/>
      <c r="S1188" s="25"/>
    </row>
    <row r="1189" ht="27" customHeight="1" spans="1:19">
      <c r="A1189" s="19" t="s">
        <v>4753</v>
      </c>
      <c r="B1189" s="20" t="s">
        <v>30</v>
      </c>
      <c r="C1189" s="20" t="s">
        <v>849</v>
      </c>
      <c r="D1189" s="20" t="s">
        <v>32</v>
      </c>
      <c r="E1189" s="21" t="s">
        <v>4685</v>
      </c>
      <c r="F1189" s="21" t="s">
        <v>4754</v>
      </c>
      <c r="G1189" s="20" t="s">
        <v>35</v>
      </c>
      <c r="H1189" s="20" t="s">
        <v>25</v>
      </c>
      <c r="I1189" s="21" t="s">
        <v>4755</v>
      </c>
      <c r="J1189" s="22">
        <f t="shared" si="90"/>
        <v>0.0902777777737356</v>
      </c>
      <c r="K1189" s="22">
        <f t="shared" si="91"/>
        <v>2.16666666656965</v>
      </c>
      <c r="L1189" s="22">
        <f t="shared" si="92"/>
        <v>2.16666666656965</v>
      </c>
      <c r="M1189" s="22" cm="1">
        <f ca="1" t="array" ref="M1189">SUMPRODUCT(--(WEEKDAY(ROW(INDIRECT(INT(F1189)&amp;":"&amp;INT(I1189))),2)&gt;5))</f>
        <v>0</v>
      </c>
      <c r="N1189" s="22">
        <f ca="1" t="shared" si="93"/>
        <v>2.16666666656965</v>
      </c>
      <c r="O1189" s="22" t="str">
        <f ca="1" t="shared" si="94"/>
        <v>Within SLA</v>
      </c>
      <c r="P1189" s="26" t="s">
        <v>4753</v>
      </c>
      <c r="Q1189" s="24" t="s">
        <v>37</v>
      </c>
      <c r="R1189" s="25"/>
      <c r="S1189" s="25"/>
    </row>
    <row r="1190" ht="27" customHeight="1" spans="1:19">
      <c r="A1190" s="19" t="s">
        <v>4756</v>
      </c>
      <c r="B1190" s="20" t="s">
        <v>30</v>
      </c>
      <c r="C1190" s="20" t="s">
        <v>849</v>
      </c>
      <c r="D1190" s="20" t="s">
        <v>32</v>
      </c>
      <c r="E1190" s="21" t="s">
        <v>4701</v>
      </c>
      <c r="F1190" s="21" t="s">
        <v>4757</v>
      </c>
      <c r="G1190" s="20" t="s">
        <v>35</v>
      </c>
      <c r="H1190" s="20" t="s">
        <v>25</v>
      </c>
      <c r="I1190" s="21" t="s">
        <v>4751</v>
      </c>
      <c r="J1190" s="22">
        <f t="shared" si="90"/>
        <v>0.000694444439432118</v>
      </c>
      <c r="K1190" s="22">
        <f t="shared" si="91"/>
        <v>0.0166666665463708</v>
      </c>
      <c r="L1190" s="22">
        <f t="shared" si="92"/>
        <v>0.0166666665463708</v>
      </c>
      <c r="M1190" s="22" cm="1">
        <f ca="1" t="array" ref="M1190">SUMPRODUCT(--(WEEKDAY(ROW(INDIRECT(INT(F1190)&amp;":"&amp;INT(I1190))),2)&gt;5))</f>
        <v>0</v>
      </c>
      <c r="N1190" s="22">
        <f ca="1" t="shared" si="93"/>
        <v>0.0166666665463708</v>
      </c>
      <c r="O1190" s="22" t="str">
        <f ca="1" t="shared" si="94"/>
        <v>Within SLA</v>
      </c>
      <c r="P1190" s="26" t="s">
        <v>4756</v>
      </c>
      <c r="Q1190" s="24" t="s">
        <v>37</v>
      </c>
      <c r="R1190" s="25"/>
      <c r="S1190" s="25"/>
    </row>
    <row r="1191" ht="27" customHeight="1" spans="1:19">
      <c r="A1191" s="19" t="s">
        <v>4758</v>
      </c>
      <c r="B1191" s="20" t="s">
        <v>30</v>
      </c>
      <c r="C1191" s="20" t="s">
        <v>849</v>
      </c>
      <c r="D1191" s="20" t="s">
        <v>32</v>
      </c>
      <c r="E1191" s="21" t="s">
        <v>4701</v>
      </c>
      <c r="F1191" s="21" t="s">
        <v>4759</v>
      </c>
      <c r="G1191" s="20" t="s">
        <v>35</v>
      </c>
      <c r="H1191" s="20" t="s">
        <v>25</v>
      </c>
      <c r="I1191" s="21" t="s">
        <v>4759</v>
      </c>
      <c r="J1191" s="22">
        <f t="shared" si="90"/>
        <v>0</v>
      </c>
      <c r="K1191" s="22">
        <f t="shared" si="91"/>
        <v>0</v>
      </c>
      <c r="L1191" s="22">
        <f t="shared" si="92"/>
        <v>0</v>
      </c>
      <c r="M1191" s="22" cm="1">
        <f ca="1" t="array" ref="M1191">SUMPRODUCT(--(WEEKDAY(ROW(INDIRECT(INT(F1191)&amp;":"&amp;INT(I1191))),2)&gt;5))</f>
        <v>0</v>
      </c>
      <c r="N1191" s="22">
        <f ca="1" t="shared" si="93"/>
        <v>0</v>
      </c>
      <c r="O1191" s="22" t="str">
        <f ca="1" t="shared" si="94"/>
        <v>Within SLA</v>
      </c>
      <c r="P1191" s="26" t="s">
        <v>4758</v>
      </c>
      <c r="Q1191" s="24" t="s">
        <v>37</v>
      </c>
      <c r="R1191" s="25"/>
      <c r="S1191" s="25"/>
    </row>
    <row r="1192" ht="27" customHeight="1" spans="1:19">
      <c r="A1192" s="19" t="s">
        <v>4760</v>
      </c>
      <c r="B1192" s="20" t="s">
        <v>30</v>
      </c>
      <c r="C1192" s="20" t="s">
        <v>849</v>
      </c>
      <c r="D1192" s="20" t="s">
        <v>32</v>
      </c>
      <c r="E1192" s="21" t="s">
        <v>4761</v>
      </c>
      <c r="F1192" s="21" t="s">
        <v>4762</v>
      </c>
      <c r="G1192" s="20" t="s">
        <v>35</v>
      </c>
      <c r="H1192" s="20" t="s">
        <v>25</v>
      </c>
      <c r="I1192" s="21" t="s">
        <v>4762</v>
      </c>
      <c r="J1192" s="22">
        <f t="shared" si="90"/>
        <v>0</v>
      </c>
      <c r="K1192" s="22">
        <f t="shared" si="91"/>
        <v>0</v>
      </c>
      <c r="L1192" s="22">
        <f t="shared" si="92"/>
        <v>0</v>
      </c>
      <c r="M1192" s="22" cm="1">
        <f ca="1" t="array" ref="M1192">SUMPRODUCT(--(WEEKDAY(ROW(INDIRECT(INT(F1192)&amp;":"&amp;INT(I1192))),2)&gt;5))</f>
        <v>0</v>
      </c>
      <c r="N1192" s="22">
        <f ca="1" t="shared" si="93"/>
        <v>0</v>
      </c>
      <c r="O1192" s="22" t="str">
        <f ca="1" t="shared" si="94"/>
        <v>Within SLA</v>
      </c>
      <c r="P1192" s="26" t="s">
        <v>4760</v>
      </c>
      <c r="Q1192" s="24" t="s">
        <v>37</v>
      </c>
      <c r="R1192" s="25"/>
      <c r="S1192" s="25"/>
    </row>
    <row r="1193" ht="39" customHeight="1" spans="1:19">
      <c r="A1193" s="19" t="s">
        <v>4763</v>
      </c>
      <c r="B1193" s="20" t="s">
        <v>19</v>
      </c>
      <c r="C1193" s="20" t="s">
        <v>20</v>
      </c>
      <c r="D1193" s="20" t="s">
        <v>32</v>
      </c>
      <c r="E1193" s="21" t="s">
        <v>4705</v>
      </c>
      <c r="F1193" s="21" t="s">
        <v>4764</v>
      </c>
      <c r="G1193" s="20" t="s">
        <v>35</v>
      </c>
      <c r="H1193" s="20" t="s">
        <v>25</v>
      </c>
      <c r="I1193" s="21" t="s">
        <v>4765</v>
      </c>
      <c r="J1193" s="22">
        <f t="shared" si="90"/>
        <v>2.12569444444671</v>
      </c>
      <c r="K1193" s="22">
        <f t="shared" si="91"/>
        <v>51.016666666721</v>
      </c>
      <c r="L1193" s="22">
        <f t="shared" si="92"/>
        <v>19.016666666721</v>
      </c>
      <c r="M1193" s="22" cm="1">
        <f ca="1" t="array" ref="M1193">SUMPRODUCT(--(WEEKDAY(ROW(INDIRECT(INT(F1193)&amp;":"&amp;INT(I1193))),2)&gt;5))</f>
        <v>0</v>
      </c>
      <c r="N1193" s="22">
        <f ca="1" t="shared" si="93"/>
        <v>19.016666666721</v>
      </c>
      <c r="O1193" s="22" t="str">
        <f ca="1" t="shared" si="94"/>
        <v>SLA Violated</v>
      </c>
      <c r="P1193" s="23" t="s">
        <v>4766</v>
      </c>
      <c r="Q1193" s="24" t="s">
        <v>37</v>
      </c>
      <c r="R1193" s="25" t="s">
        <v>4767</v>
      </c>
      <c r="S1193" s="25" t="s">
        <v>39</v>
      </c>
    </row>
    <row r="1194" ht="39" customHeight="1" spans="1:19">
      <c r="A1194" s="28" t="s">
        <v>4768</v>
      </c>
      <c r="B1194" s="20" t="s">
        <v>1076</v>
      </c>
      <c r="C1194" s="20" t="s">
        <v>2235</v>
      </c>
      <c r="D1194" s="20" t="s">
        <v>32</v>
      </c>
      <c r="E1194" s="21" t="s">
        <v>4740</v>
      </c>
      <c r="F1194" s="21" t="s">
        <v>4769</v>
      </c>
      <c r="G1194" s="20" t="s">
        <v>35</v>
      </c>
      <c r="H1194" s="20" t="s">
        <v>25</v>
      </c>
      <c r="I1194" s="21" t="s">
        <v>4770</v>
      </c>
      <c r="J1194" s="22">
        <f t="shared" si="90"/>
        <v>4.25763888889196</v>
      </c>
      <c r="K1194" s="22">
        <f t="shared" si="91"/>
        <v>102.183333333407</v>
      </c>
      <c r="L1194" s="22">
        <f t="shared" si="92"/>
        <v>38.1833333334071</v>
      </c>
      <c r="M1194" s="22" cm="1">
        <f ca="1" t="array" ref="M1194">SUMPRODUCT(--(WEEKDAY(ROW(INDIRECT(INT(F1194)&amp;":"&amp;INT(I1194))),2)&gt;5))</f>
        <v>0</v>
      </c>
      <c r="N1194" s="22">
        <f ca="1" t="shared" si="93"/>
        <v>38.1833333334071</v>
      </c>
      <c r="O1194" s="22" t="str">
        <f ca="1" t="shared" si="94"/>
        <v>SLA Violated</v>
      </c>
      <c r="P1194" s="23" t="s">
        <v>4768</v>
      </c>
      <c r="Q1194" s="24" t="s">
        <v>28</v>
      </c>
      <c r="R1194" s="25"/>
      <c r="S1194" s="25"/>
    </row>
    <row r="1195" ht="39" customHeight="1" spans="1:19">
      <c r="A1195" s="19" t="s">
        <v>4771</v>
      </c>
      <c r="B1195" s="20" t="s">
        <v>4167</v>
      </c>
      <c r="C1195" s="20" t="s">
        <v>1935</v>
      </c>
      <c r="D1195" s="20" t="s">
        <v>32</v>
      </c>
      <c r="E1195" s="21" t="s">
        <v>4740</v>
      </c>
      <c r="F1195" s="21" t="s">
        <v>4772</v>
      </c>
      <c r="G1195" s="20" t="s">
        <v>35</v>
      </c>
      <c r="H1195" s="20" t="s">
        <v>25</v>
      </c>
      <c r="I1195" s="21" t="s">
        <v>4773</v>
      </c>
      <c r="J1195" s="22">
        <f t="shared" si="90"/>
        <v>0.0458333333299379</v>
      </c>
      <c r="K1195" s="22">
        <f t="shared" si="91"/>
        <v>1.09999999991851</v>
      </c>
      <c r="L1195" s="22">
        <f t="shared" si="92"/>
        <v>1.09999999991851</v>
      </c>
      <c r="M1195" s="22" cm="1">
        <f ca="1" t="array" ref="M1195">SUMPRODUCT(--(WEEKDAY(ROW(INDIRECT(INT(F1195)&amp;":"&amp;INT(I1195))),2)&gt;5))</f>
        <v>0</v>
      </c>
      <c r="N1195" s="22">
        <f ca="1" t="shared" si="93"/>
        <v>1.09999999991851</v>
      </c>
      <c r="O1195" s="22" t="str">
        <f ca="1" t="shared" si="94"/>
        <v>Within SLA</v>
      </c>
      <c r="P1195" s="26" t="s">
        <v>4771</v>
      </c>
      <c r="Q1195" s="24" t="s">
        <v>37</v>
      </c>
      <c r="R1195" s="25"/>
      <c r="S1195" s="25"/>
    </row>
    <row r="1196" ht="39" customHeight="1" spans="1:19">
      <c r="A1196" s="19" t="s">
        <v>4774</v>
      </c>
      <c r="B1196" s="20" t="s">
        <v>19</v>
      </c>
      <c r="C1196" s="20" t="s">
        <v>20</v>
      </c>
      <c r="D1196" s="20" t="s">
        <v>32</v>
      </c>
      <c r="E1196" s="21" t="s">
        <v>4740</v>
      </c>
      <c r="F1196" s="21" t="s">
        <v>4775</v>
      </c>
      <c r="G1196" s="20" t="s">
        <v>35</v>
      </c>
      <c r="H1196" s="20" t="s">
        <v>25</v>
      </c>
      <c r="I1196" s="21" t="s">
        <v>4776</v>
      </c>
      <c r="J1196" s="22">
        <f t="shared" si="90"/>
        <v>0.973611111105129</v>
      </c>
      <c r="K1196" s="22">
        <f t="shared" si="91"/>
        <v>23.3666666665231</v>
      </c>
      <c r="L1196" s="22">
        <f t="shared" si="92"/>
        <v>7.36666666652309</v>
      </c>
      <c r="M1196" s="22" cm="1">
        <f ca="1" t="array" ref="M1196">SUMPRODUCT(--(WEEKDAY(ROW(INDIRECT(INT(F1196)&amp;":"&amp;INT(I1196))),2)&gt;5))</f>
        <v>0</v>
      </c>
      <c r="N1196" s="22">
        <f ca="1" t="shared" si="93"/>
        <v>7.36666666652309</v>
      </c>
      <c r="O1196" s="22" t="str">
        <f ca="1" t="shared" si="94"/>
        <v>Within SLA</v>
      </c>
      <c r="P1196" s="26" t="s">
        <v>4774</v>
      </c>
      <c r="Q1196" s="24" t="s">
        <v>37</v>
      </c>
      <c r="R1196" s="25"/>
      <c r="S1196" s="25"/>
    </row>
    <row r="1197" ht="27" customHeight="1" spans="1:19">
      <c r="A1197" s="19" t="s">
        <v>4777</v>
      </c>
      <c r="B1197" s="20" t="s">
        <v>30</v>
      </c>
      <c r="C1197" s="20" t="s">
        <v>31</v>
      </c>
      <c r="D1197" s="20" t="s">
        <v>32</v>
      </c>
      <c r="E1197" s="21" t="s">
        <v>4743</v>
      </c>
      <c r="F1197" s="21" t="s">
        <v>4778</v>
      </c>
      <c r="G1197" s="20" t="s">
        <v>35</v>
      </c>
      <c r="H1197" s="20" t="s">
        <v>25</v>
      </c>
      <c r="I1197" s="21" t="s">
        <v>4779</v>
      </c>
      <c r="J1197" s="22">
        <f t="shared" si="90"/>
        <v>6.97638888889196</v>
      </c>
      <c r="K1197" s="22">
        <f t="shared" si="91"/>
        <v>167.433333333407</v>
      </c>
      <c r="L1197" s="22">
        <f t="shared" si="92"/>
        <v>55.4333333334071</v>
      </c>
      <c r="M1197" s="22" cm="1">
        <f ca="1" t="array" ref="M1197">SUMPRODUCT(--(WEEKDAY(ROW(INDIRECT(INT(F1197)&amp;":"&amp;INT(I1197))),2)&gt;5))</f>
        <v>2</v>
      </c>
      <c r="N1197" s="22">
        <f ca="1" t="shared" si="93"/>
        <v>39.4333333334071</v>
      </c>
      <c r="O1197" s="22" t="str">
        <f ca="1" t="shared" si="94"/>
        <v>SLA Violated</v>
      </c>
      <c r="P1197" s="26" t="s">
        <v>4777</v>
      </c>
      <c r="Q1197" s="24" t="s">
        <v>37</v>
      </c>
      <c r="R1197" s="6" t="s">
        <v>1084</v>
      </c>
      <c r="S1197" s="25" t="s">
        <v>39</v>
      </c>
    </row>
    <row r="1198" ht="39" customHeight="1" spans="1:19">
      <c r="A1198" s="19" t="s">
        <v>4780</v>
      </c>
      <c r="B1198" s="20" t="s">
        <v>19</v>
      </c>
      <c r="C1198" s="20" t="s">
        <v>20</v>
      </c>
      <c r="D1198" s="20" t="s">
        <v>32</v>
      </c>
      <c r="E1198" s="21" t="s">
        <v>4743</v>
      </c>
      <c r="F1198" s="21" t="s">
        <v>4781</v>
      </c>
      <c r="G1198" s="20" t="s">
        <v>35</v>
      </c>
      <c r="H1198" s="20" t="s">
        <v>25</v>
      </c>
      <c r="I1198" s="21" t="s">
        <v>4782</v>
      </c>
      <c r="J1198" s="22">
        <f t="shared" si="90"/>
        <v>0.21597222222772</v>
      </c>
      <c r="K1198" s="22">
        <f t="shared" si="91"/>
        <v>5.18333333346527</v>
      </c>
      <c r="L1198" s="22">
        <f t="shared" si="92"/>
        <v>5.18333333346527</v>
      </c>
      <c r="M1198" s="22" cm="1">
        <f ca="1" t="array" ref="M1198">SUMPRODUCT(--(WEEKDAY(ROW(INDIRECT(INT(F1198)&amp;":"&amp;INT(I1198))),2)&gt;5))</f>
        <v>0</v>
      </c>
      <c r="N1198" s="22">
        <f ca="1" t="shared" si="93"/>
        <v>5.18333333346527</v>
      </c>
      <c r="O1198" s="22" t="str">
        <f ca="1" t="shared" si="94"/>
        <v>Within SLA</v>
      </c>
      <c r="P1198" s="26" t="s">
        <v>4780</v>
      </c>
      <c r="Q1198" s="24" t="s">
        <v>37</v>
      </c>
      <c r="R1198" s="25"/>
      <c r="S1198" s="25"/>
    </row>
    <row r="1199" ht="39" customHeight="1" spans="1:19">
      <c r="A1199" s="19" t="s">
        <v>4783</v>
      </c>
      <c r="B1199" s="20" t="s">
        <v>19</v>
      </c>
      <c r="C1199" s="20" t="s">
        <v>20</v>
      </c>
      <c r="D1199" s="20" t="s">
        <v>32</v>
      </c>
      <c r="E1199" s="21" t="s">
        <v>4784</v>
      </c>
      <c r="F1199" s="21" t="s">
        <v>4785</v>
      </c>
      <c r="G1199" s="20" t="s">
        <v>35</v>
      </c>
      <c r="H1199" s="20" t="s">
        <v>25</v>
      </c>
      <c r="I1199" s="21" t="s">
        <v>4782</v>
      </c>
      <c r="J1199" s="22">
        <f t="shared" si="90"/>
        <v>0.214583333334303</v>
      </c>
      <c r="K1199" s="22">
        <f t="shared" si="91"/>
        <v>5.15000000002328</v>
      </c>
      <c r="L1199" s="22">
        <f t="shared" si="92"/>
        <v>5.15000000002328</v>
      </c>
      <c r="M1199" s="22" cm="1">
        <f ca="1" t="array" ref="M1199">SUMPRODUCT(--(WEEKDAY(ROW(INDIRECT(INT(F1199)&amp;":"&amp;INT(I1199))),2)&gt;5))</f>
        <v>0</v>
      </c>
      <c r="N1199" s="22">
        <f ca="1" t="shared" si="93"/>
        <v>5.15000000002328</v>
      </c>
      <c r="O1199" s="22" t="str">
        <f ca="1" t="shared" si="94"/>
        <v>Within SLA</v>
      </c>
      <c r="P1199" s="26" t="s">
        <v>4783</v>
      </c>
      <c r="Q1199" s="24" t="s">
        <v>37</v>
      </c>
      <c r="R1199" s="25"/>
      <c r="S1199" s="25"/>
    </row>
    <row r="1200" ht="27" customHeight="1" spans="1:19">
      <c r="A1200" s="19" t="s">
        <v>4786</v>
      </c>
      <c r="B1200" s="20" t="s">
        <v>30</v>
      </c>
      <c r="C1200" s="20" t="s">
        <v>31</v>
      </c>
      <c r="D1200" s="20" t="s">
        <v>32</v>
      </c>
      <c r="E1200" s="21" t="s">
        <v>4784</v>
      </c>
      <c r="F1200" s="21" t="s">
        <v>4787</v>
      </c>
      <c r="G1200" s="20" t="s">
        <v>35</v>
      </c>
      <c r="H1200" s="20" t="s">
        <v>25</v>
      </c>
      <c r="I1200" s="21" t="s">
        <v>4788</v>
      </c>
      <c r="J1200" s="22">
        <f t="shared" si="90"/>
        <v>0.152083333334303</v>
      </c>
      <c r="K1200" s="22">
        <f t="shared" si="91"/>
        <v>3.65000000002328</v>
      </c>
      <c r="L1200" s="22">
        <f t="shared" si="92"/>
        <v>3.65000000002328</v>
      </c>
      <c r="M1200" s="22" cm="1">
        <f ca="1" t="array" ref="M1200">SUMPRODUCT(--(WEEKDAY(ROW(INDIRECT(INT(F1200)&amp;":"&amp;INT(I1200))),2)&gt;5))</f>
        <v>0</v>
      </c>
      <c r="N1200" s="22">
        <f ca="1" t="shared" si="93"/>
        <v>3.65000000002328</v>
      </c>
      <c r="O1200" s="22" t="str">
        <f ca="1" t="shared" si="94"/>
        <v>Within SLA</v>
      </c>
      <c r="P1200" s="26" t="s">
        <v>4786</v>
      </c>
      <c r="Q1200" s="24" t="s">
        <v>37</v>
      </c>
      <c r="R1200" s="25"/>
      <c r="S1200" s="25"/>
    </row>
    <row r="1201" ht="39" customHeight="1" spans="1:19">
      <c r="A1201" s="19" t="s">
        <v>4789</v>
      </c>
      <c r="B1201" s="20" t="s">
        <v>19</v>
      </c>
      <c r="C1201" s="20" t="s">
        <v>20</v>
      </c>
      <c r="D1201" s="20" t="s">
        <v>32</v>
      </c>
      <c r="E1201" s="21" t="s">
        <v>4790</v>
      </c>
      <c r="F1201" s="21" t="s">
        <v>4791</v>
      </c>
      <c r="G1201" s="20" t="s">
        <v>35</v>
      </c>
      <c r="H1201" s="20" t="s">
        <v>25</v>
      </c>
      <c r="I1201" s="21" t="s">
        <v>4792</v>
      </c>
      <c r="J1201" s="22">
        <f t="shared" si="90"/>
        <v>0.219444444446708</v>
      </c>
      <c r="K1201" s="22">
        <f t="shared" si="91"/>
        <v>5.26666666672099</v>
      </c>
      <c r="L1201" s="22">
        <f t="shared" si="92"/>
        <v>5.26666666672099</v>
      </c>
      <c r="M1201" s="22" cm="1">
        <f ca="1" t="array" ref="M1201">SUMPRODUCT(--(WEEKDAY(ROW(INDIRECT(INT(F1201)&amp;":"&amp;INT(I1201))),2)&gt;5))</f>
        <v>0</v>
      </c>
      <c r="N1201" s="22">
        <f ca="1" t="shared" si="93"/>
        <v>5.26666666672099</v>
      </c>
      <c r="O1201" s="22" t="str">
        <f ca="1" t="shared" si="94"/>
        <v>Within SLA</v>
      </c>
      <c r="P1201" s="26" t="s">
        <v>4789</v>
      </c>
      <c r="Q1201" s="24" t="s">
        <v>37</v>
      </c>
      <c r="R1201" s="25"/>
      <c r="S1201" s="25"/>
    </row>
    <row r="1202" ht="27" customHeight="1" spans="1:19">
      <c r="A1202" s="19" t="s">
        <v>4793</v>
      </c>
      <c r="B1202" s="20" t="s">
        <v>30</v>
      </c>
      <c r="C1202" s="20" t="s">
        <v>31</v>
      </c>
      <c r="D1202" s="20" t="s">
        <v>32</v>
      </c>
      <c r="E1202" s="21" t="s">
        <v>4790</v>
      </c>
      <c r="F1202" s="21" t="s">
        <v>4794</v>
      </c>
      <c r="G1202" s="20" t="s">
        <v>35</v>
      </c>
      <c r="H1202" s="20" t="s">
        <v>25</v>
      </c>
      <c r="I1202" s="21" t="s">
        <v>4795</v>
      </c>
      <c r="J1202" s="22">
        <f t="shared" si="90"/>
        <v>1.10069444444525</v>
      </c>
      <c r="K1202" s="22">
        <f t="shared" si="91"/>
        <v>26.4166666666861</v>
      </c>
      <c r="L1202" s="22">
        <f t="shared" si="92"/>
        <v>10.4166666666861</v>
      </c>
      <c r="M1202" s="22" cm="1">
        <f ca="1" t="array" ref="M1202">SUMPRODUCT(--(WEEKDAY(ROW(INDIRECT(INT(F1202)&amp;":"&amp;INT(I1202))),2)&gt;5))</f>
        <v>0</v>
      </c>
      <c r="N1202" s="22">
        <f ca="1" t="shared" si="93"/>
        <v>10.4166666666861</v>
      </c>
      <c r="O1202" s="22" t="str">
        <f ca="1" t="shared" si="94"/>
        <v>Within SLA</v>
      </c>
      <c r="P1202" s="26" t="s">
        <v>4793</v>
      </c>
      <c r="Q1202" s="24" t="s">
        <v>37</v>
      </c>
      <c r="R1202" s="25"/>
      <c r="S1202" s="25"/>
    </row>
    <row r="1203" ht="27" customHeight="1" spans="1:19">
      <c r="A1203" s="19" t="s">
        <v>4796</v>
      </c>
      <c r="B1203" s="20" t="s">
        <v>30</v>
      </c>
      <c r="C1203" s="20" t="s">
        <v>31</v>
      </c>
      <c r="D1203" s="20" t="s">
        <v>115</v>
      </c>
      <c r="E1203" s="21" t="s">
        <v>4542</v>
      </c>
      <c r="F1203" s="21" t="s">
        <v>4797</v>
      </c>
      <c r="G1203" s="20" t="s">
        <v>35</v>
      </c>
      <c r="H1203" s="20" t="s">
        <v>25</v>
      </c>
      <c r="I1203" s="21" t="s">
        <v>4798</v>
      </c>
      <c r="J1203" s="22">
        <f t="shared" si="90"/>
        <v>1.10208333333139</v>
      </c>
      <c r="K1203" s="22">
        <f t="shared" si="91"/>
        <v>26.4499999999534</v>
      </c>
      <c r="L1203" s="22">
        <f t="shared" si="92"/>
        <v>10.4499999999534</v>
      </c>
      <c r="M1203" s="22" cm="1">
        <f ca="1" t="array" ref="M1203">SUMPRODUCT(--(WEEKDAY(ROW(INDIRECT(INT(F1203)&amp;":"&amp;INT(I1203))),2)&gt;5))</f>
        <v>0</v>
      </c>
      <c r="N1203" s="22">
        <f ca="1" t="shared" si="93"/>
        <v>10.4499999999534</v>
      </c>
      <c r="O1203" s="22" t="str">
        <f ca="1" t="shared" si="94"/>
        <v>SLA Violated</v>
      </c>
      <c r="P1203" s="26" t="s">
        <v>4796</v>
      </c>
      <c r="Q1203" s="24" t="s">
        <v>37</v>
      </c>
      <c r="R1203" s="6" t="s">
        <v>4799</v>
      </c>
      <c r="S1203" s="25" t="s">
        <v>39</v>
      </c>
    </row>
    <row r="1204" ht="27" customHeight="1" spans="1:19">
      <c r="A1204" s="19" t="s">
        <v>4800</v>
      </c>
      <c r="B1204" s="20" t="s">
        <v>30</v>
      </c>
      <c r="C1204" s="20" t="s">
        <v>31</v>
      </c>
      <c r="D1204" s="20" t="s">
        <v>105</v>
      </c>
      <c r="E1204" s="21" t="s">
        <v>4801</v>
      </c>
      <c r="F1204" s="21" t="s">
        <v>4802</v>
      </c>
      <c r="G1204" s="20" t="s">
        <v>35</v>
      </c>
      <c r="H1204" s="20" t="s">
        <v>25</v>
      </c>
      <c r="I1204" s="21" t="s">
        <v>4803</v>
      </c>
      <c r="J1204" s="22">
        <f t="shared" si="90"/>
        <v>1.07291666667152</v>
      </c>
      <c r="K1204" s="22">
        <f t="shared" si="91"/>
        <v>25.7500000001164</v>
      </c>
      <c r="L1204" s="22">
        <f t="shared" si="92"/>
        <v>9.75000000011642</v>
      </c>
      <c r="M1204" s="22" cm="1">
        <f ca="1" t="array" ref="M1204">SUMPRODUCT(--(WEEKDAY(ROW(INDIRECT(INT(F1204)&amp;":"&amp;INT(I1204))),2)&gt;5))</f>
        <v>0</v>
      </c>
      <c r="N1204" s="22">
        <f ca="1" t="shared" si="93"/>
        <v>9.75000000011642</v>
      </c>
      <c r="O1204" s="22" t="str">
        <f ca="1" t="shared" si="94"/>
        <v>SLA Violated</v>
      </c>
      <c r="P1204" s="23" t="s">
        <v>4804</v>
      </c>
      <c r="Q1204" s="24" t="s">
        <v>37</v>
      </c>
      <c r="R1204" s="25" t="s">
        <v>4805</v>
      </c>
      <c r="S1204" s="25" t="s">
        <v>39</v>
      </c>
    </row>
    <row r="1205" ht="27" customHeight="1" spans="1:19">
      <c r="A1205" s="19" t="s">
        <v>4806</v>
      </c>
      <c r="B1205" s="20" t="s">
        <v>30</v>
      </c>
      <c r="C1205" s="20" t="s">
        <v>2057</v>
      </c>
      <c r="D1205" s="20" t="s">
        <v>32</v>
      </c>
      <c r="E1205" s="21" t="s">
        <v>4801</v>
      </c>
      <c r="F1205" s="21" t="s">
        <v>4807</v>
      </c>
      <c r="G1205" s="20" t="s">
        <v>35</v>
      </c>
      <c r="H1205" s="20" t="s">
        <v>25</v>
      </c>
      <c r="I1205" s="21" t="s">
        <v>4808</v>
      </c>
      <c r="J1205" s="22">
        <f t="shared" si="90"/>
        <v>7.10416666667152</v>
      </c>
      <c r="K1205" s="22">
        <f t="shared" si="91"/>
        <v>170.500000000116</v>
      </c>
      <c r="L1205" s="22">
        <f t="shared" si="92"/>
        <v>58.5000000001164</v>
      </c>
      <c r="M1205" s="22" cm="1">
        <f ca="1" t="array" ref="M1205">SUMPRODUCT(--(WEEKDAY(ROW(INDIRECT(INT(F1205)&amp;":"&amp;INT(I1205))),2)&gt;5))</f>
        <v>2</v>
      </c>
      <c r="N1205" s="22">
        <f ca="1" t="shared" si="93"/>
        <v>42.5000000001164</v>
      </c>
      <c r="O1205" s="22" t="str">
        <f ca="1" t="shared" si="94"/>
        <v>SLA Violated</v>
      </c>
      <c r="P1205" s="26" t="s">
        <v>4806</v>
      </c>
      <c r="Q1205" s="24" t="s">
        <v>28</v>
      </c>
      <c r="R1205" s="25"/>
      <c r="S1205" s="25"/>
    </row>
    <row r="1206" ht="27" customHeight="1" spans="1:19">
      <c r="A1206" s="19" t="s">
        <v>4809</v>
      </c>
      <c r="B1206" s="20" t="s">
        <v>30</v>
      </c>
      <c r="C1206" s="20" t="s">
        <v>2057</v>
      </c>
      <c r="D1206" s="20" t="s">
        <v>32</v>
      </c>
      <c r="E1206" s="21" t="s">
        <v>4810</v>
      </c>
      <c r="F1206" s="21" t="s">
        <v>4811</v>
      </c>
      <c r="G1206" s="20" t="s">
        <v>35</v>
      </c>
      <c r="H1206" s="20" t="s">
        <v>25</v>
      </c>
      <c r="I1206" s="21" t="s">
        <v>4812</v>
      </c>
      <c r="J1206" s="22">
        <f t="shared" si="90"/>
        <v>7.13124999999854</v>
      </c>
      <c r="K1206" s="22">
        <f t="shared" si="91"/>
        <v>171.149999999965</v>
      </c>
      <c r="L1206" s="22">
        <f t="shared" si="92"/>
        <v>59.1499999999651</v>
      </c>
      <c r="M1206" s="22" cm="1">
        <f ca="1" t="array" ref="M1206">SUMPRODUCT(--(WEEKDAY(ROW(INDIRECT(INT(F1206)&amp;":"&amp;INT(I1206))),2)&gt;5))</f>
        <v>2</v>
      </c>
      <c r="N1206" s="22">
        <f ca="1" t="shared" si="93"/>
        <v>43.1499999999651</v>
      </c>
      <c r="O1206" s="22" t="str">
        <f ca="1" t="shared" si="94"/>
        <v>SLA Violated</v>
      </c>
      <c r="P1206" s="26" t="s">
        <v>4809</v>
      </c>
      <c r="Q1206" s="24" t="s">
        <v>28</v>
      </c>
      <c r="R1206" s="25"/>
      <c r="S1206" s="25"/>
    </row>
    <row r="1207" ht="39" customHeight="1" spans="1:19">
      <c r="A1207" s="19" t="s">
        <v>4813</v>
      </c>
      <c r="B1207" s="20" t="s">
        <v>19</v>
      </c>
      <c r="C1207" s="20" t="s">
        <v>20</v>
      </c>
      <c r="D1207" s="20" t="s">
        <v>32</v>
      </c>
      <c r="E1207" s="21" t="s">
        <v>4810</v>
      </c>
      <c r="F1207" s="21" t="s">
        <v>4729</v>
      </c>
      <c r="G1207" s="20" t="s">
        <v>35</v>
      </c>
      <c r="H1207" s="20" t="s">
        <v>25</v>
      </c>
      <c r="I1207" s="21" t="s">
        <v>4814</v>
      </c>
      <c r="J1207" s="22">
        <f t="shared" si="90"/>
        <v>1.83680555555475</v>
      </c>
      <c r="K1207" s="22">
        <f t="shared" si="91"/>
        <v>44.0833333333139</v>
      </c>
      <c r="L1207" s="22">
        <f t="shared" si="92"/>
        <v>12.0833333333139</v>
      </c>
      <c r="M1207" s="22" cm="1">
        <f ca="1" t="array" ref="M1207">SUMPRODUCT(--(WEEKDAY(ROW(INDIRECT(INT(F1207)&amp;":"&amp;INT(I1207))),2)&gt;5))</f>
        <v>0</v>
      </c>
      <c r="N1207" s="22">
        <f ca="1" t="shared" si="93"/>
        <v>12.0833333333139</v>
      </c>
      <c r="O1207" s="22" t="str">
        <f ca="1" t="shared" si="94"/>
        <v>SLA Violated</v>
      </c>
      <c r="P1207" s="23" t="s">
        <v>4815</v>
      </c>
      <c r="Q1207" s="24" t="s">
        <v>28</v>
      </c>
      <c r="R1207" s="25"/>
      <c r="S1207" s="25"/>
    </row>
    <row r="1208" ht="39" customHeight="1" spans="1:19">
      <c r="A1208" s="19" t="s">
        <v>4816</v>
      </c>
      <c r="B1208" s="20" t="s">
        <v>19</v>
      </c>
      <c r="C1208" s="20" t="s">
        <v>167</v>
      </c>
      <c r="D1208" s="20" t="s">
        <v>32</v>
      </c>
      <c r="E1208" s="21" t="s">
        <v>4817</v>
      </c>
      <c r="F1208" s="21" t="s">
        <v>4818</v>
      </c>
      <c r="G1208" s="20" t="s">
        <v>35</v>
      </c>
      <c r="H1208" s="20" t="s">
        <v>25</v>
      </c>
      <c r="I1208" s="21" t="s">
        <v>4818</v>
      </c>
      <c r="J1208" s="22">
        <f t="shared" si="90"/>
        <v>0</v>
      </c>
      <c r="K1208" s="22">
        <f t="shared" si="91"/>
        <v>0</v>
      </c>
      <c r="L1208" s="22">
        <f t="shared" si="92"/>
        <v>0</v>
      </c>
      <c r="M1208" s="22" cm="1">
        <f ca="1" t="array" ref="M1208">SUMPRODUCT(--(WEEKDAY(ROW(INDIRECT(INT(F1208)&amp;":"&amp;INT(I1208))),2)&gt;5))</f>
        <v>0</v>
      </c>
      <c r="N1208" s="22">
        <f ca="1" t="shared" si="93"/>
        <v>0</v>
      </c>
      <c r="O1208" s="22" t="str">
        <f ca="1" t="shared" si="94"/>
        <v>Within SLA</v>
      </c>
      <c r="P1208" s="26" t="s">
        <v>4816</v>
      </c>
      <c r="Q1208" s="24" t="s">
        <v>37</v>
      </c>
      <c r="R1208" s="25"/>
      <c r="S1208" s="25"/>
    </row>
    <row r="1209" ht="39" customHeight="1" spans="1:19">
      <c r="A1209" s="19" t="s">
        <v>4819</v>
      </c>
      <c r="B1209" s="20" t="s">
        <v>19</v>
      </c>
      <c r="C1209" s="20" t="s">
        <v>20</v>
      </c>
      <c r="D1209" s="20" t="s">
        <v>32</v>
      </c>
      <c r="E1209" s="21" t="s">
        <v>4817</v>
      </c>
      <c r="F1209" s="21" t="s">
        <v>4820</v>
      </c>
      <c r="G1209" s="20" t="s">
        <v>35</v>
      </c>
      <c r="H1209" s="20" t="s">
        <v>25</v>
      </c>
      <c r="I1209" s="21" t="s">
        <v>4821</v>
      </c>
      <c r="J1209" s="22">
        <f t="shared" si="90"/>
        <v>0.00416666666569654</v>
      </c>
      <c r="K1209" s="22">
        <f t="shared" si="91"/>
        <v>0.0999999999767169</v>
      </c>
      <c r="L1209" s="22">
        <f t="shared" si="92"/>
        <v>0.0999999999767169</v>
      </c>
      <c r="M1209" s="22" cm="1">
        <f ca="1" t="array" ref="M1209">SUMPRODUCT(--(WEEKDAY(ROW(INDIRECT(INT(F1209)&amp;":"&amp;INT(I1209))),2)&gt;5))</f>
        <v>0</v>
      </c>
      <c r="N1209" s="22">
        <f ca="1" t="shared" si="93"/>
        <v>0.0999999999767169</v>
      </c>
      <c r="O1209" s="22" t="str">
        <f ca="1" t="shared" si="94"/>
        <v>Within SLA</v>
      </c>
      <c r="P1209" s="26" t="s">
        <v>4819</v>
      </c>
      <c r="Q1209" s="24" t="s">
        <v>37</v>
      </c>
      <c r="R1209" s="25"/>
      <c r="S1209" s="25"/>
    </row>
    <row r="1210" ht="39" customHeight="1" spans="1:19">
      <c r="A1210" s="19" t="s">
        <v>4822</v>
      </c>
      <c r="B1210" s="20" t="s">
        <v>19</v>
      </c>
      <c r="C1210" s="20" t="s">
        <v>20</v>
      </c>
      <c r="D1210" s="20" t="s">
        <v>32</v>
      </c>
      <c r="E1210" s="21" t="s">
        <v>4817</v>
      </c>
      <c r="F1210" s="21" t="s">
        <v>4823</v>
      </c>
      <c r="G1210" s="20" t="s">
        <v>35</v>
      </c>
      <c r="H1210" s="20" t="s">
        <v>25</v>
      </c>
      <c r="I1210" s="21" t="s">
        <v>4821</v>
      </c>
      <c r="J1210" s="22">
        <f t="shared" si="90"/>
        <v>9.15972222221899</v>
      </c>
      <c r="K1210" s="22">
        <f t="shared" si="91"/>
        <v>219.833333333256</v>
      </c>
      <c r="L1210" s="22">
        <f t="shared" si="92"/>
        <v>75.8333333332557</v>
      </c>
      <c r="M1210" s="22" cm="1">
        <f ca="1" t="array" ref="M1210">SUMPRODUCT(--(WEEKDAY(ROW(INDIRECT(INT(F1210)&amp;":"&amp;INT(I1210))),2)&gt;5))</f>
        <v>2</v>
      </c>
      <c r="N1210" s="22">
        <f ca="1" t="shared" si="93"/>
        <v>59.8333333332557</v>
      </c>
      <c r="O1210" s="22" t="str">
        <f ca="1" t="shared" si="94"/>
        <v>SLA Violated</v>
      </c>
      <c r="P1210" s="23" t="s">
        <v>4824</v>
      </c>
      <c r="Q1210" s="24" t="s">
        <v>28</v>
      </c>
      <c r="R1210" s="25"/>
      <c r="S1210" s="25"/>
    </row>
    <row r="1211" ht="27" customHeight="1" spans="1:19">
      <c r="A1211" s="19" t="s">
        <v>4825</v>
      </c>
      <c r="B1211" s="20" t="s">
        <v>30</v>
      </c>
      <c r="C1211" s="20" t="s">
        <v>31</v>
      </c>
      <c r="D1211" s="20" t="s">
        <v>32</v>
      </c>
      <c r="E1211" s="21" t="s">
        <v>4817</v>
      </c>
      <c r="F1211" s="21" t="s">
        <v>4826</v>
      </c>
      <c r="G1211" s="20" t="s">
        <v>35</v>
      </c>
      <c r="H1211" s="20" t="s">
        <v>25</v>
      </c>
      <c r="I1211" s="21" t="s">
        <v>4827</v>
      </c>
      <c r="J1211" s="22">
        <f t="shared" si="90"/>
        <v>1.11319444444962</v>
      </c>
      <c r="K1211" s="22">
        <f t="shared" si="91"/>
        <v>26.7166666667908</v>
      </c>
      <c r="L1211" s="22">
        <f t="shared" si="92"/>
        <v>10.7166666667908</v>
      </c>
      <c r="M1211" s="22" cm="1">
        <f ca="1" t="array" ref="M1211">SUMPRODUCT(--(WEEKDAY(ROW(INDIRECT(INT(F1211)&amp;":"&amp;INT(I1211))),2)&gt;5))</f>
        <v>0</v>
      </c>
      <c r="N1211" s="22">
        <f ca="1" t="shared" si="93"/>
        <v>10.7166666667908</v>
      </c>
      <c r="O1211" s="22" t="str">
        <f ca="1" t="shared" si="94"/>
        <v>Within SLA</v>
      </c>
      <c r="P1211" s="26" t="s">
        <v>4825</v>
      </c>
      <c r="Q1211" s="24" t="s">
        <v>37</v>
      </c>
      <c r="R1211" s="25"/>
      <c r="S1211" s="25"/>
    </row>
    <row r="1212" ht="39" customHeight="1" spans="1:19">
      <c r="A1212" s="19" t="s">
        <v>4828</v>
      </c>
      <c r="B1212" s="20" t="s">
        <v>19</v>
      </c>
      <c r="C1212" s="20" t="s">
        <v>20</v>
      </c>
      <c r="D1212" s="20" t="s">
        <v>32</v>
      </c>
      <c r="E1212" s="21" t="s">
        <v>4817</v>
      </c>
      <c r="F1212" s="21" t="s">
        <v>4829</v>
      </c>
      <c r="G1212" s="20" t="s">
        <v>35</v>
      </c>
      <c r="H1212" s="20" t="s">
        <v>25</v>
      </c>
      <c r="I1212" s="21" t="s">
        <v>4830</v>
      </c>
      <c r="J1212" s="22">
        <f t="shared" si="90"/>
        <v>0.00972222221753327</v>
      </c>
      <c r="K1212" s="22">
        <f t="shared" si="91"/>
        <v>0.233333333220799</v>
      </c>
      <c r="L1212" s="22">
        <f t="shared" si="92"/>
        <v>0.233333333220799</v>
      </c>
      <c r="M1212" s="22" cm="1">
        <f ca="1" t="array" ref="M1212">SUMPRODUCT(--(WEEKDAY(ROW(INDIRECT(INT(F1212)&amp;":"&amp;INT(I1212))),2)&gt;5))</f>
        <v>0</v>
      </c>
      <c r="N1212" s="22">
        <f ca="1" t="shared" si="93"/>
        <v>0.233333333220799</v>
      </c>
      <c r="O1212" s="22" t="str">
        <f ca="1" t="shared" si="94"/>
        <v>Within SLA</v>
      </c>
      <c r="P1212" s="26" t="s">
        <v>4828</v>
      </c>
      <c r="Q1212" s="24" t="s">
        <v>37</v>
      </c>
      <c r="R1212" s="25"/>
      <c r="S1212" s="25"/>
    </row>
    <row r="1213" ht="39" customHeight="1" spans="1:19">
      <c r="A1213" s="19" t="s">
        <v>4831</v>
      </c>
      <c r="B1213" s="20" t="s">
        <v>19</v>
      </c>
      <c r="C1213" s="20" t="s">
        <v>167</v>
      </c>
      <c r="D1213" s="20" t="s">
        <v>32</v>
      </c>
      <c r="E1213" s="21" t="s">
        <v>4788</v>
      </c>
      <c r="F1213" s="21" t="s">
        <v>4832</v>
      </c>
      <c r="G1213" s="20" t="s">
        <v>35</v>
      </c>
      <c r="H1213" s="20" t="s">
        <v>25</v>
      </c>
      <c r="I1213" s="21" t="s">
        <v>4832</v>
      </c>
      <c r="J1213" s="22">
        <f t="shared" si="90"/>
        <v>0</v>
      </c>
      <c r="K1213" s="22">
        <f t="shared" si="91"/>
        <v>0</v>
      </c>
      <c r="L1213" s="22">
        <f t="shared" si="92"/>
        <v>0</v>
      </c>
      <c r="M1213" s="22" cm="1">
        <f ca="1" t="array" ref="M1213">SUMPRODUCT(--(WEEKDAY(ROW(INDIRECT(INT(F1213)&amp;":"&amp;INT(I1213))),2)&gt;5))</f>
        <v>0</v>
      </c>
      <c r="N1213" s="22">
        <f ca="1" t="shared" si="93"/>
        <v>0</v>
      </c>
      <c r="O1213" s="22" t="str">
        <f ca="1" t="shared" si="94"/>
        <v>Within SLA</v>
      </c>
      <c r="P1213" s="26" t="s">
        <v>4831</v>
      </c>
      <c r="Q1213" s="24" t="s">
        <v>37</v>
      </c>
      <c r="R1213" s="25"/>
      <c r="S1213" s="25"/>
    </row>
    <row r="1214" ht="39" customHeight="1" spans="1:19">
      <c r="A1214" s="19" t="s">
        <v>4833</v>
      </c>
      <c r="B1214" s="20" t="s">
        <v>19</v>
      </c>
      <c r="C1214" s="20" t="s">
        <v>20</v>
      </c>
      <c r="D1214" s="20" t="s">
        <v>32</v>
      </c>
      <c r="E1214" s="21" t="s">
        <v>4788</v>
      </c>
      <c r="F1214" s="21" t="s">
        <v>4834</v>
      </c>
      <c r="G1214" s="20" t="s">
        <v>35</v>
      </c>
      <c r="H1214" s="20" t="s">
        <v>25</v>
      </c>
      <c r="I1214" s="21" t="s">
        <v>4835</v>
      </c>
      <c r="J1214" s="22">
        <f t="shared" si="90"/>
        <v>8.20833333332848</v>
      </c>
      <c r="K1214" s="22">
        <f t="shared" si="91"/>
        <v>196.999999999884</v>
      </c>
      <c r="L1214" s="22">
        <f t="shared" si="92"/>
        <v>68.9999999998836</v>
      </c>
      <c r="M1214" s="22" cm="1">
        <f ca="1" t="array" ref="M1214">SUMPRODUCT(--(WEEKDAY(ROW(INDIRECT(INT(F1214)&amp;":"&amp;INT(I1214))),2)&gt;5))</f>
        <v>2</v>
      </c>
      <c r="N1214" s="22">
        <f ca="1" t="shared" si="93"/>
        <v>52.9999999998836</v>
      </c>
      <c r="O1214" s="22" t="str">
        <f ca="1" t="shared" si="94"/>
        <v>SLA Violated</v>
      </c>
      <c r="P1214" s="23" t="s">
        <v>4836</v>
      </c>
      <c r="Q1214" s="24" t="s">
        <v>28</v>
      </c>
      <c r="R1214" s="25"/>
      <c r="S1214" s="25"/>
    </row>
    <row r="1215" ht="39" customHeight="1" spans="1:19">
      <c r="A1215" s="19" t="s">
        <v>4837</v>
      </c>
      <c r="B1215" s="20" t="s">
        <v>19</v>
      </c>
      <c r="C1215" s="20" t="s">
        <v>20</v>
      </c>
      <c r="D1215" s="20" t="s">
        <v>32</v>
      </c>
      <c r="E1215" s="21" t="s">
        <v>4838</v>
      </c>
      <c r="F1215" s="21" t="s">
        <v>4839</v>
      </c>
      <c r="G1215" s="20" t="s">
        <v>35</v>
      </c>
      <c r="H1215" s="20" t="s">
        <v>25</v>
      </c>
      <c r="I1215" s="21" t="s">
        <v>4840</v>
      </c>
      <c r="J1215" s="22">
        <f t="shared" si="90"/>
        <v>2</v>
      </c>
      <c r="K1215" s="22">
        <f t="shared" si="91"/>
        <v>48</v>
      </c>
      <c r="L1215" s="22">
        <f t="shared" si="92"/>
        <v>16</v>
      </c>
      <c r="M1215" s="22" cm="1">
        <f ca="1" t="array" ref="M1215">SUMPRODUCT(--(WEEKDAY(ROW(INDIRECT(INT(F1215)&amp;":"&amp;INT(I1215))),2)&gt;5))</f>
        <v>0</v>
      </c>
      <c r="N1215" s="22">
        <f ca="1" t="shared" si="93"/>
        <v>16</v>
      </c>
      <c r="O1215" s="22" t="str">
        <f ca="1" t="shared" si="94"/>
        <v>SLA Violated</v>
      </c>
      <c r="P1215" s="23" t="s">
        <v>4841</v>
      </c>
      <c r="Q1215" s="24" t="s">
        <v>28</v>
      </c>
      <c r="R1215" s="25"/>
      <c r="S1215" s="25"/>
    </row>
    <row r="1216" ht="27" customHeight="1" spans="1:19">
      <c r="A1216" s="19" t="s">
        <v>4842</v>
      </c>
      <c r="B1216" s="20" t="s">
        <v>30</v>
      </c>
      <c r="C1216" s="20" t="s">
        <v>31</v>
      </c>
      <c r="D1216" s="20" t="s">
        <v>32</v>
      </c>
      <c r="E1216" s="21" t="s">
        <v>4838</v>
      </c>
      <c r="F1216" s="21" t="s">
        <v>4843</v>
      </c>
      <c r="G1216" s="20" t="s">
        <v>35</v>
      </c>
      <c r="H1216" s="20" t="s">
        <v>25</v>
      </c>
      <c r="I1216" s="21" t="s">
        <v>4844</v>
      </c>
      <c r="J1216" s="22">
        <f t="shared" si="90"/>
        <v>0.179166666668607</v>
      </c>
      <c r="K1216" s="22">
        <f t="shared" si="91"/>
        <v>4.30000000004657</v>
      </c>
      <c r="L1216" s="22">
        <f t="shared" si="92"/>
        <v>4.30000000004657</v>
      </c>
      <c r="M1216" s="22" cm="1">
        <f ca="1" t="array" ref="M1216">SUMPRODUCT(--(WEEKDAY(ROW(INDIRECT(INT(F1216)&amp;":"&amp;INT(I1216))),2)&gt;5))</f>
        <v>0</v>
      </c>
      <c r="N1216" s="22">
        <f ca="1" t="shared" si="93"/>
        <v>4.30000000004657</v>
      </c>
      <c r="O1216" s="22" t="str">
        <f ca="1" t="shared" si="94"/>
        <v>Within SLA</v>
      </c>
      <c r="P1216" s="26" t="s">
        <v>4842</v>
      </c>
      <c r="Q1216" s="24" t="s">
        <v>37</v>
      </c>
      <c r="R1216" s="25"/>
      <c r="S1216" s="25"/>
    </row>
    <row r="1217" ht="39" customHeight="1" spans="1:19">
      <c r="A1217" s="19" t="s">
        <v>4845</v>
      </c>
      <c r="B1217" s="20" t="s">
        <v>19</v>
      </c>
      <c r="C1217" s="20" t="s">
        <v>20</v>
      </c>
      <c r="D1217" s="20" t="s">
        <v>32</v>
      </c>
      <c r="E1217" s="21" t="s">
        <v>4846</v>
      </c>
      <c r="F1217" s="21" t="s">
        <v>4847</v>
      </c>
      <c r="G1217" s="20" t="s">
        <v>35</v>
      </c>
      <c r="H1217" s="20" t="s">
        <v>25</v>
      </c>
      <c r="I1217" s="21" t="s">
        <v>4848</v>
      </c>
      <c r="J1217" s="22">
        <f t="shared" si="90"/>
        <v>8.2902777777781</v>
      </c>
      <c r="K1217" s="22">
        <f t="shared" si="91"/>
        <v>198.966666666674</v>
      </c>
      <c r="L1217" s="22">
        <f t="shared" si="92"/>
        <v>70.9666666666744</v>
      </c>
      <c r="M1217" s="22" cm="1">
        <f ca="1" t="array" ref="M1217">SUMPRODUCT(--(WEEKDAY(ROW(INDIRECT(INT(F1217)&amp;":"&amp;INT(I1217))),2)&gt;5))</f>
        <v>2</v>
      </c>
      <c r="N1217" s="22">
        <f ca="1" t="shared" si="93"/>
        <v>54.9666666666744</v>
      </c>
      <c r="O1217" s="22" t="str">
        <f ca="1" t="shared" si="94"/>
        <v>SLA Violated</v>
      </c>
      <c r="P1217" s="23" t="s">
        <v>4849</v>
      </c>
      <c r="Q1217" s="24" t="s">
        <v>28</v>
      </c>
      <c r="R1217" s="25"/>
      <c r="S1217" s="25"/>
    </row>
    <row r="1218" ht="39" customHeight="1" spans="1:19">
      <c r="A1218" s="19" t="s">
        <v>4850</v>
      </c>
      <c r="B1218" s="20" t="s">
        <v>19</v>
      </c>
      <c r="C1218" s="20" t="s">
        <v>20</v>
      </c>
      <c r="D1218" s="20" t="s">
        <v>115</v>
      </c>
      <c r="E1218" s="21" t="s">
        <v>4851</v>
      </c>
      <c r="F1218" s="21" t="s">
        <v>4852</v>
      </c>
      <c r="G1218" s="20" t="s">
        <v>35</v>
      </c>
      <c r="H1218" s="20" t="s">
        <v>25</v>
      </c>
      <c r="I1218" s="21" t="s">
        <v>4853</v>
      </c>
      <c r="J1218" s="22">
        <f t="shared" si="90"/>
        <v>9.02847222222772</v>
      </c>
      <c r="K1218" s="22">
        <f t="shared" si="91"/>
        <v>216.683333333465</v>
      </c>
      <c r="L1218" s="22">
        <f t="shared" si="92"/>
        <v>72.6833333334653</v>
      </c>
      <c r="M1218" s="22" cm="1">
        <f ca="1" t="array" ref="M1218">SUMPRODUCT(--(WEEKDAY(ROW(INDIRECT(INT(F1218)&amp;":"&amp;INT(I1218))),2)&gt;5))</f>
        <v>2</v>
      </c>
      <c r="N1218" s="22">
        <f ca="1" t="shared" si="93"/>
        <v>56.6833333334653</v>
      </c>
      <c r="O1218" s="22" t="str">
        <f ca="1" t="shared" si="94"/>
        <v>SLA Violated</v>
      </c>
      <c r="P1218" s="23" t="s">
        <v>4854</v>
      </c>
      <c r="Q1218" s="24" t="s">
        <v>28</v>
      </c>
      <c r="R1218" s="25"/>
      <c r="S1218" s="25"/>
    </row>
    <row r="1219" ht="39" customHeight="1" spans="1:19">
      <c r="A1219" s="19" t="s">
        <v>4855</v>
      </c>
      <c r="B1219" s="20" t="s">
        <v>19</v>
      </c>
      <c r="C1219" s="20" t="s">
        <v>20</v>
      </c>
      <c r="D1219" s="20" t="s">
        <v>32</v>
      </c>
      <c r="E1219" s="21" t="s">
        <v>4851</v>
      </c>
      <c r="F1219" s="21" t="s">
        <v>4856</v>
      </c>
      <c r="G1219" s="20" t="s">
        <v>35</v>
      </c>
      <c r="H1219" s="20" t="s">
        <v>25</v>
      </c>
      <c r="I1219" s="21" t="s">
        <v>4857</v>
      </c>
      <c r="J1219" s="22">
        <f t="shared" ref="J1219:J1282" si="95">F1219-I1219</f>
        <v>1.1027777777781</v>
      </c>
      <c r="K1219" s="22">
        <f t="shared" ref="K1219:K1282" si="96">J1219*24</f>
        <v>26.4666666666744</v>
      </c>
      <c r="L1219" s="22">
        <f t="shared" ref="L1219:L1282" si="97">IF(_xlfn.DAYS(F1219,I1219)&gt;0,K1219-IF(FLOOR(J1219,1)=0,1,_xlfn.DAYS(F1219,I1219))*16,K1219)</f>
        <v>10.4666666666744</v>
      </c>
      <c r="M1219" s="22" cm="1">
        <f ca="1" t="array" ref="M1219">SUMPRODUCT(--(WEEKDAY(ROW(INDIRECT(INT(F1219)&amp;":"&amp;INT(I1219))),2)&gt;5))</f>
        <v>0</v>
      </c>
      <c r="N1219" s="22">
        <f ca="1" t="shared" ref="N1219:N1282" si="98">IF(IF(M1219&gt;0,L1219-M1219*8,L1219)&lt;0,0,IF(M1219&gt;0,L1219-M1219*8,L1219))</f>
        <v>10.4666666666744</v>
      </c>
      <c r="O1219" s="22" t="str">
        <f ca="1" t="shared" ref="O1219:O1282" si="99">IF(OR(AND(D1219="P1",N1219&lt;=3),AND(D1219="P2",N1219&lt;=6),AND(D1219="P3",N1219&lt;=9),AND(D1219="P4",N1219&lt;=12)),"Within SLA","SLA Violated")</f>
        <v>Within SLA</v>
      </c>
      <c r="P1219" s="26" t="s">
        <v>4855</v>
      </c>
      <c r="Q1219" s="24" t="s">
        <v>37</v>
      </c>
      <c r="R1219" s="25"/>
      <c r="S1219" s="25"/>
    </row>
    <row r="1220" ht="27" customHeight="1" spans="1:19">
      <c r="A1220" s="19" t="s">
        <v>4858</v>
      </c>
      <c r="B1220" s="20" t="s">
        <v>30</v>
      </c>
      <c r="C1220" s="20" t="s">
        <v>31</v>
      </c>
      <c r="D1220" s="20" t="s">
        <v>32</v>
      </c>
      <c r="E1220" s="21" t="s">
        <v>4851</v>
      </c>
      <c r="F1220" s="21" t="s">
        <v>4859</v>
      </c>
      <c r="G1220" s="20" t="s">
        <v>35</v>
      </c>
      <c r="H1220" s="20" t="s">
        <v>25</v>
      </c>
      <c r="I1220" s="21" t="s">
        <v>4857</v>
      </c>
      <c r="J1220" s="22">
        <f t="shared" si="95"/>
        <v>0.177083333335759</v>
      </c>
      <c r="K1220" s="22">
        <f t="shared" si="96"/>
        <v>4.25000000005821</v>
      </c>
      <c r="L1220" s="22">
        <f t="shared" si="97"/>
        <v>4.25000000005821</v>
      </c>
      <c r="M1220" s="22" cm="1">
        <f ca="1" t="array" ref="M1220">SUMPRODUCT(--(WEEKDAY(ROW(INDIRECT(INT(F1220)&amp;":"&amp;INT(I1220))),2)&gt;5))</f>
        <v>0</v>
      </c>
      <c r="N1220" s="22">
        <f ca="1" t="shared" si="98"/>
        <v>4.25000000005821</v>
      </c>
      <c r="O1220" s="22" t="str">
        <f ca="1" t="shared" si="99"/>
        <v>Within SLA</v>
      </c>
      <c r="P1220" s="26" t="s">
        <v>4858</v>
      </c>
      <c r="Q1220" s="24" t="s">
        <v>37</v>
      </c>
      <c r="R1220" s="25"/>
      <c r="S1220" s="25"/>
    </row>
    <row r="1221" ht="27" customHeight="1" spans="1:19">
      <c r="A1221" s="28" t="s">
        <v>4860</v>
      </c>
      <c r="B1221" s="20" t="s">
        <v>30</v>
      </c>
      <c r="C1221" s="20" t="s">
        <v>101</v>
      </c>
      <c r="D1221" s="20" t="s">
        <v>32</v>
      </c>
      <c r="E1221" s="21" t="s">
        <v>4851</v>
      </c>
      <c r="F1221" s="21" t="s">
        <v>4861</v>
      </c>
      <c r="G1221" s="20" t="s">
        <v>35</v>
      </c>
      <c r="H1221" s="20" t="s">
        <v>25</v>
      </c>
      <c r="I1221" s="21" t="s">
        <v>4862</v>
      </c>
      <c r="J1221" s="22">
        <f t="shared" si="95"/>
        <v>3.99444444444089</v>
      </c>
      <c r="K1221" s="22">
        <f t="shared" si="96"/>
        <v>95.8666666665813</v>
      </c>
      <c r="L1221" s="22">
        <f t="shared" si="97"/>
        <v>31.8666666665813</v>
      </c>
      <c r="M1221" s="22" cm="1">
        <f ca="1" t="array" ref="M1221">SUMPRODUCT(--(WEEKDAY(ROW(INDIRECT(INT(F1221)&amp;":"&amp;INT(I1221))),2)&gt;5))</f>
        <v>0</v>
      </c>
      <c r="N1221" s="22">
        <f ca="1" t="shared" si="98"/>
        <v>31.8666666665813</v>
      </c>
      <c r="O1221" s="22" t="str">
        <f ca="1" t="shared" si="99"/>
        <v>SLA Violated</v>
      </c>
      <c r="P1221" s="26" t="s">
        <v>4863</v>
      </c>
      <c r="Q1221" s="24" t="s">
        <v>28</v>
      </c>
      <c r="R1221" s="25"/>
      <c r="S1221" s="25"/>
    </row>
    <row r="1222" ht="27" customHeight="1" spans="1:19">
      <c r="A1222" s="19" t="s">
        <v>4864</v>
      </c>
      <c r="B1222" s="20" t="s">
        <v>30</v>
      </c>
      <c r="C1222" s="20" t="s">
        <v>2057</v>
      </c>
      <c r="D1222" s="20" t="s">
        <v>21</v>
      </c>
      <c r="E1222" s="21" t="s">
        <v>4818</v>
      </c>
      <c r="F1222" s="21" t="s">
        <v>4865</v>
      </c>
      <c r="G1222" s="20" t="s">
        <v>35</v>
      </c>
      <c r="H1222" s="20" t="s">
        <v>25</v>
      </c>
      <c r="I1222" s="21" t="s">
        <v>4866</v>
      </c>
      <c r="J1222" s="22">
        <f t="shared" si="95"/>
        <v>7.57847222222335</v>
      </c>
      <c r="K1222" s="22">
        <f t="shared" si="96"/>
        <v>181.88333333336</v>
      </c>
      <c r="L1222" s="22">
        <f t="shared" si="97"/>
        <v>53.8833333333605</v>
      </c>
      <c r="M1222" s="22" cm="1">
        <f ca="1" t="array" ref="M1222">SUMPRODUCT(--(WEEKDAY(ROW(INDIRECT(INT(F1222)&amp;":"&amp;INT(I1222))),2)&gt;5))</f>
        <v>2</v>
      </c>
      <c r="N1222" s="22">
        <f ca="1" t="shared" si="98"/>
        <v>37.8833333333605</v>
      </c>
      <c r="O1222" s="22" t="str">
        <f ca="1" t="shared" si="99"/>
        <v>SLA Violated</v>
      </c>
      <c r="P1222" s="23" t="s">
        <v>4867</v>
      </c>
      <c r="Q1222" s="24" t="s">
        <v>28</v>
      </c>
      <c r="R1222" s="25"/>
      <c r="S1222" s="25"/>
    </row>
    <row r="1223" ht="27" customHeight="1" spans="1:19">
      <c r="A1223" s="19" t="s">
        <v>4868</v>
      </c>
      <c r="B1223" s="20" t="s">
        <v>30</v>
      </c>
      <c r="C1223" s="20" t="s">
        <v>31</v>
      </c>
      <c r="D1223" s="20" t="s">
        <v>32</v>
      </c>
      <c r="E1223" s="21" t="s">
        <v>4818</v>
      </c>
      <c r="F1223" s="21" t="s">
        <v>4869</v>
      </c>
      <c r="G1223" s="20" t="s">
        <v>35</v>
      </c>
      <c r="H1223" s="20" t="s">
        <v>25</v>
      </c>
      <c r="I1223" s="21" t="s">
        <v>4870</v>
      </c>
      <c r="J1223" s="22">
        <f t="shared" si="95"/>
        <v>0.172916666670062</v>
      </c>
      <c r="K1223" s="22">
        <f t="shared" si="96"/>
        <v>4.15000000008149</v>
      </c>
      <c r="L1223" s="22">
        <f t="shared" si="97"/>
        <v>4.15000000008149</v>
      </c>
      <c r="M1223" s="22" cm="1">
        <f ca="1" t="array" ref="M1223">SUMPRODUCT(--(WEEKDAY(ROW(INDIRECT(INT(F1223)&amp;":"&amp;INT(I1223))),2)&gt;5))</f>
        <v>0</v>
      </c>
      <c r="N1223" s="22">
        <f ca="1" t="shared" si="98"/>
        <v>4.15000000008149</v>
      </c>
      <c r="O1223" s="22" t="str">
        <f ca="1" t="shared" si="99"/>
        <v>Within SLA</v>
      </c>
      <c r="P1223" s="26" t="s">
        <v>4868</v>
      </c>
      <c r="Q1223" s="24" t="s">
        <v>37</v>
      </c>
      <c r="R1223" s="25"/>
      <c r="S1223" s="25"/>
    </row>
    <row r="1224" ht="39" customHeight="1" spans="1:19">
      <c r="A1224" s="19" t="s">
        <v>4871</v>
      </c>
      <c r="B1224" s="20" t="s">
        <v>19</v>
      </c>
      <c r="C1224" s="20" t="s">
        <v>20</v>
      </c>
      <c r="D1224" s="20" t="s">
        <v>32</v>
      </c>
      <c r="E1224" s="21" t="s">
        <v>4872</v>
      </c>
      <c r="F1224" s="21" t="s">
        <v>4873</v>
      </c>
      <c r="G1224" s="20" t="s">
        <v>35</v>
      </c>
      <c r="H1224" s="20" t="s">
        <v>25</v>
      </c>
      <c r="I1224" s="21" t="s">
        <v>4874</v>
      </c>
      <c r="J1224" s="22">
        <f t="shared" si="95"/>
        <v>8.21736111111386</v>
      </c>
      <c r="K1224" s="22">
        <f t="shared" si="96"/>
        <v>197.216666666733</v>
      </c>
      <c r="L1224" s="22">
        <f t="shared" si="97"/>
        <v>69.2166666667326</v>
      </c>
      <c r="M1224" s="22" cm="1">
        <f ca="1" t="array" ref="M1224">SUMPRODUCT(--(WEEKDAY(ROW(INDIRECT(INT(F1224)&amp;":"&amp;INT(I1224))),2)&gt;5))</f>
        <v>2</v>
      </c>
      <c r="N1224" s="22">
        <f ca="1" t="shared" si="98"/>
        <v>53.2166666667326</v>
      </c>
      <c r="O1224" s="22" t="str">
        <f ca="1" t="shared" si="99"/>
        <v>SLA Violated</v>
      </c>
      <c r="P1224" s="23" t="s">
        <v>4875</v>
      </c>
      <c r="Q1224" s="24" t="s">
        <v>28</v>
      </c>
      <c r="R1224" s="25"/>
      <c r="S1224" s="25"/>
    </row>
    <row r="1225" ht="39" customHeight="1" spans="1:19">
      <c r="A1225" s="19" t="s">
        <v>4876</v>
      </c>
      <c r="B1225" s="20" t="s">
        <v>19</v>
      </c>
      <c r="C1225" s="20" t="s">
        <v>20</v>
      </c>
      <c r="D1225" s="20" t="s">
        <v>32</v>
      </c>
      <c r="E1225" s="21" t="s">
        <v>4872</v>
      </c>
      <c r="F1225" s="21" t="s">
        <v>4877</v>
      </c>
      <c r="G1225" s="20" t="s">
        <v>35</v>
      </c>
      <c r="H1225" s="20" t="s">
        <v>25</v>
      </c>
      <c r="I1225" s="21" t="s">
        <v>4878</v>
      </c>
      <c r="J1225" s="22">
        <f t="shared" si="95"/>
        <v>0.18611111111386</v>
      </c>
      <c r="K1225" s="22">
        <f t="shared" si="96"/>
        <v>4.46666666673264</v>
      </c>
      <c r="L1225" s="22">
        <f t="shared" si="97"/>
        <v>4.46666666673264</v>
      </c>
      <c r="M1225" s="22" cm="1">
        <f ca="1" t="array" ref="M1225">SUMPRODUCT(--(WEEKDAY(ROW(INDIRECT(INT(F1225)&amp;":"&amp;INT(I1225))),2)&gt;5))</f>
        <v>0</v>
      </c>
      <c r="N1225" s="22">
        <f ca="1" t="shared" si="98"/>
        <v>4.46666666673264</v>
      </c>
      <c r="O1225" s="22" t="str">
        <f ca="1" t="shared" si="99"/>
        <v>Within SLA</v>
      </c>
      <c r="P1225" s="26" t="s">
        <v>4876</v>
      </c>
      <c r="Q1225" s="24" t="s">
        <v>37</v>
      </c>
      <c r="R1225" s="25"/>
      <c r="S1225" s="25"/>
    </row>
    <row r="1226" ht="27" customHeight="1" spans="1:19">
      <c r="A1226" s="19" t="s">
        <v>4879</v>
      </c>
      <c r="B1226" s="20" t="s">
        <v>30</v>
      </c>
      <c r="C1226" s="20" t="s">
        <v>31</v>
      </c>
      <c r="D1226" s="20" t="s">
        <v>32</v>
      </c>
      <c r="E1226" s="21" t="s">
        <v>3927</v>
      </c>
      <c r="F1226" s="21" t="s">
        <v>4880</v>
      </c>
      <c r="G1226" s="20" t="s">
        <v>35</v>
      </c>
      <c r="H1226" s="20" t="s">
        <v>25</v>
      </c>
      <c r="I1226" s="21" t="s">
        <v>4878</v>
      </c>
      <c r="J1226" s="22">
        <f t="shared" si="95"/>
        <v>0.177777777775191</v>
      </c>
      <c r="K1226" s="22">
        <f t="shared" si="96"/>
        <v>4.26666666660458</v>
      </c>
      <c r="L1226" s="22">
        <f t="shared" si="97"/>
        <v>4.26666666660458</v>
      </c>
      <c r="M1226" s="22" cm="1">
        <f ca="1" t="array" ref="M1226">SUMPRODUCT(--(WEEKDAY(ROW(INDIRECT(INT(F1226)&amp;":"&amp;INT(I1226))),2)&gt;5))</f>
        <v>0</v>
      </c>
      <c r="N1226" s="22">
        <f ca="1" t="shared" si="98"/>
        <v>4.26666666660458</v>
      </c>
      <c r="O1226" s="22" t="str">
        <f ca="1" t="shared" si="99"/>
        <v>Within SLA</v>
      </c>
      <c r="P1226" s="26" t="s">
        <v>4879</v>
      </c>
      <c r="Q1226" s="24" t="s">
        <v>37</v>
      </c>
      <c r="R1226" s="25"/>
      <c r="S1226" s="25"/>
    </row>
    <row r="1227" ht="27" customHeight="1" spans="1:19">
      <c r="A1227" s="19" t="s">
        <v>4881</v>
      </c>
      <c r="B1227" s="20" t="s">
        <v>30</v>
      </c>
      <c r="C1227" s="20" t="s">
        <v>31</v>
      </c>
      <c r="D1227" s="20" t="s">
        <v>21</v>
      </c>
      <c r="E1227" s="21" t="s">
        <v>3927</v>
      </c>
      <c r="F1227" s="21" t="s">
        <v>4882</v>
      </c>
      <c r="G1227" s="20" t="s">
        <v>35</v>
      </c>
      <c r="H1227" s="20" t="s">
        <v>25</v>
      </c>
      <c r="I1227" s="21" t="s">
        <v>4883</v>
      </c>
      <c r="J1227" s="22">
        <f t="shared" si="95"/>
        <v>13.7881944444453</v>
      </c>
      <c r="K1227" s="22">
        <f t="shared" si="96"/>
        <v>330.916666666686</v>
      </c>
      <c r="L1227" s="22">
        <f t="shared" si="97"/>
        <v>106.916666666686</v>
      </c>
      <c r="M1227" s="22" cm="1">
        <f ca="1" t="array" ref="M1227">SUMPRODUCT(--(WEEKDAY(ROW(INDIRECT(INT(F1227)&amp;":"&amp;INT(I1227))),2)&gt;5))</f>
        <v>4</v>
      </c>
      <c r="N1227" s="22">
        <f ca="1" t="shared" si="98"/>
        <v>74.916666666686</v>
      </c>
      <c r="O1227" s="22" t="str">
        <f ca="1" t="shared" si="99"/>
        <v>SLA Violated</v>
      </c>
      <c r="P1227" s="23" t="s">
        <v>4884</v>
      </c>
      <c r="Q1227" s="24" t="s">
        <v>37</v>
      </c>
      <c r="R1227" s="25" t="s">
        <v>749</v>
      </c>
      <c r="S1227" s="25" t="s">
        <v>39</v>
      </c>
    </row>
    <row r="1228" ht="27" customHeight="1" spans="1:19">
      <c r="A1228" s="19" t="s">
        <v>4885</v>
      </c>
      <c r="B1228" s="20" t="s">
        <v>30</v>
      </c>
      <c r="C1228" s="20" t="s">
        <v>2057</v>
      </c>
      <c r="D1228" s="20" t="s">
        <v>32</v>
      </c>
      <c r="E1228" s="21" t="s">
        <v>3927</v>
      </c>
      <c r="F1228" s="21" t="s">
        <v>4886</v>
      </c>
      <c r="G1228" s="20" t="s">
        <v>35</v>
      </c>
      <c r="H1228" s="20" t="s">
        <v>25</v>
      </c>
      <c r="I1228" s="21" t="s">
        <v>4887</v>
      </c>
      <c r="J1228" s="22">
        <f t="shared" si="95"/>
        <v>6.19305555555911</v>
      </c>
      <c r="K1228" s="22">
        <f t="shared" si="96"/>
        <v>148.633333333419</v>
      </c>
      <c r="L1228" s="22">
        <f t="shared" si="97"/>
        <v>52.6333333334187</v>
      </c>
      <c r="M1228" s="22" cm="1">
        <f ca="1" t="array" ref="M1228">SUMPRODUCT(--(WEEKDAY(ROW(INDIRECT(INT(F1228)&amp;":"&amp;INT(I1228))),2)&gt;5))</f>
        <v>2</v>
      </c>
      <c r="N1228" s="22">
        <f ca="1" t="shared" si="98"/>
        <v>36.6333333334187</v>
      </c>
      <c r="O1228" s="22" t="str">
        <f ca="1" t="shared" si="99"/>
        <v>SLA Violated</v>
      </c>
      <c r="P1228" s="26" t="s">
        <v>4885</v>
      </c>
      <c r="Q1228" s="24" t="s">
        <v>28</v>
      </c>
      <c r="R1228" s="25"/>
      <c r="S1228" s="25"/>
    </row>
    <row r="1229" ht="27" customHeight="1" spans="1:19">
      <c r="A1229" s="19" t="s">
        <v>4888</v>
      </c>
      <c r="B1229" s="20" t="s">
        <v>30</v>
      </c>
      <c r="C1229" s="20" t="s">
        <v>4889</v>
      </c>
      <c r="D1229" s="20" t="s">
        <v>32</v>
      </c>
      <c r="E1229" s="21" t="s">
        <v>3927</v>
      </c>
      <c r="F1229" s="21" t="s">
        <v>4890</v>
      </c>
      <c r="G1229" s="20" t="s">
        <v>35</v>
      </c>
      <c r="H1229" s="20" t="s">
        <v>25</v>
      </c>
      <c r="I1229" s="21" t="s">
        <v>4891</v>
      </c>
      <c r="J1229" s="22">
        <f t="shared" si="95"/>
        <v>0.111111111109494</v>
      </c>
      <c r="K1229" s="22">
        <f t="shared" si="96"/>
        <v>2.66666666662786</v>
      </c>
      <c r="L1229" s="22">
        <f t="shared" si="97"/>
        <v>2.66666666662786</v>
      </c>
      <c r="M1229" s="22" cm="1">
        <f ca="1" t="array" ref="M1229">SUMPRODUCT(--(WEEKDAY(ROW(INDIRECT(INT(F1229)&amp;":"&amp;INT(I1229))),2)&gt;5))</f>
        <v>0</v>
      </c>
      <c r="N1229" s="22">
        <f ca="1" t="shared" si="98"/>
        <v>2.66666666662786</v>
      </c>
      <c r="O1229" s="22" t="str">
        <f ca="1" t="shared" si="99"/>
        <v>Within SLA</v>
      </c>
      <c r="P1229" s="26" t="s">
        <v>4888</v>
      </c>
      <c r="Q1229" s="24" t="s">
        <v>37</v>
      </c>
      <c r="R1229" s="25"/>
      <c r="S1229" s="25"/>
    </row>
    <row r="1230" ht="16" customHeight="1" spans="1:19">
      <c r="A1230" s="19" t="s">
        <v>4892</v>
      </c>
      <c r="B1230" s="20" t="s">
        <v>100</v>
      </c>
      <c r="C1230" s="20" t="s">
        <v>101</v>
      </c>
      <c r="D1230" s="20" t="s">
        <v>32</v>
      </c>
      <c r="E1230" s="21" t="s">
        <v>3927</v>
      </c>
      <c r="F1230" s="21" t="s">
        <v>4893</v>
      </c>
      <c r="G1230" s="20" t="s">
        <v>35</v>
      </c>
      <c r="H1230" s="20" t="s">
        <v>25</v>
      </c>
      <c r="I1230" s="21" t="s">
        <v>4894</v>
      </c>
      <c r="J1230" s="22">
        <f t="shared" si="95"/>
        <v>0.0111111111109494</v>
      </c>
      <c r="K1230" s="22">
        <f t="shared" si="96"/>
        <v>0.266666666662786</v>
      </c>
      <c r="L1230" s="22">
        <f t="shared" si="97"/>
        <v>0.266666666662786</v>
      </c>
      <c r="M1230" s="22" cm="1">
        <f ca="1" t="array" ref="M1230">SUMPRODUCT(--(WEEKDAY(ROW(INDIRECT(INT(F1230)&amp;":"&amp;INT(I1230))),2)&gt;5))</f>
        <v>0</v>
      </c>
      <c r="N1230" s="22">
        <f ca="1" t="shared" si="98"/>
        <v>0.266666666662786</v>
      </c>
      <c r="O1230" s="22" t="str">
        <f ca="1" t="shared" si="99"/>
        <v>Within SLA</v>
      </c>
      <c r="P1230" s="26" t="s">
        <v>4892</v>
      </c>
      <c r="Q1230" s="24" t="s">
        <v>37</v>
      </c>
      <c r="R1230" s="25"/>
      <c r="S1230" s="25"/>
    </row>
    <row r="1231" ht="27" customHeight="1" spans="1:19">
      <c r="A1231" s="19" t="s">
        <v>4895</v>
      </c>
      <c r="B1231" s="20" t="s">
        <v>30</v>
      </c>
      <c r="C1231" s="20" t="s">
        <v>31</v>
      </c>
      <c r="D1231" s="20" t="s">
        <v>32</v>
      </c>
      <c r="E1231" s="21" t="s">
        <v>4829</v>
      </c>
      <c r="F1231" s="21" t="s">
        <v>4896</v>
      </c>
      <c r="G1231" s="20" t="s">
        <v>35</v>
      </c>
      <c r="H1231" s="20" t="s">
        <v>25</v>
      </c>
      <c r="I1231" s="21" t="s">
        <v>4897</v>
      </c>
      <c r="J1231" s="22">
        <f t="shared" si="95"/>
        <v>1.89791666666861</v>
      </c>
      <c r="K1231" s="22">
        <f t="shared" si="96"/>
        <v>45.5500000000466</v>
      </c>
      <c r="L1231" s="22">
        <f t="shared" si="97"/>
        <v>13.5500000000466</v>
      </c>
      <c r="M1231" s="22" cm="1">
        <f ca="1" t="array" ref="M1231">SUMPRODUCT(--(WEEKDAY(ROW(INDIRECT(INT(F1231)&amp;":"&amp;INT(I1231))),2)&gt;5))</f>
        <v>0</v>
      </c>
      <c r="N1231" s="22">
        <f ca="1" t="shared" si="98"/>
        <v>13.5500000000466</v>
      </c>
      <c r="O1231" s="22" t="str">
        <f ca="1" t="shared" si="99"/>
        <v>SLA Violated</v>
      </c>
      <c r="P1231" s="23" t="s">
        <v>4898</v>
      </c>
      <c r="Q1231" s="24" t="s">
        <v>37</v>
      </c>
      <c r="R1231" s="25" t="s">
        <v>4805</v>
      </c>
      <c r="S1231" s="25" t="s">
        <v>4726</v>
      </c>
    </row>
    <row r="1232" ht="39" customHeight="1" spans="1:19">
      <c r="A1232" s="19" t="s">
        <v>4899</v>
      </c>
      <c r="B1232" s="20" t="s">
        <v>19</v>
      </c>
      <c r="C1232" s="20" t="s">
        <v>20</v>
      </c>
      <c r="D1232" s="20" t="s">
        <v>32</v>
      </c>
      <c r="E1232" s="21" t="s">
        <v>4900</v>
      </c>
      <c r="F1232" s="21" t="s">
        <v>4901</v>
      </c>
      <c r="G1232" s="20" t="s">
        <v>35</v>
      </c>
      <c r="H1232" s="20" t="s">
        <v>25</v>
      </c>
      <c r="I1232" s="21" t="s">
        <v>4902</v>
      </c>
      <c r="J1232" s="22">
        <f t="shared" si="95"/>
        <v>9.1340277777781</v>
      </c>
      <c r="K1232" s="22">
        <f t="shared" si="96"/>
        <v>219.216666666674</v>
      </c>
      <c r="L1232" s="22">
        <f t="shared" si="97"/>
        <v>75.2166666666744</v>
      </c>
      <c r="M1232" s="22" cm="1">
        <f ca="1" t="array" ref="M1232">SUMPRODUCT(--(WEEKDAY(ROW(INDIRECT(INT(F1232)&amp;":"&amp;INT(I1232))),2)&gt;5))</f>
        <v>2</v>
      </c>
      <c r="N1232" s="22">
        <f ca="1" t="shared" si="98"/>
        <v>59.2166666666744</v>
      </c>
      <c r="O1232" s="22" t="str">
        <f ca="1" t="shared" si="99"/>
        <v>SLA Violated</v>
      </c>
      <c r="P1232" s="23" t="s">
        <v>4903</v>
      </c>
      <c r="Q1232" s="24" t="s">
        <v>28</v>
      </c>
      <c r="R1232" s="25"/>
      <c r="S1232" s="25"/>
    </row>
    <row r="1233" ht="39" customHeight="1" spans="1:19">
      <c r="A1233" s="19" t="s">
        <v>4904</v>
      </c>
      <c r="B1233" s="20" t="s">
        <v>19</v>
      </c>
      <c r="C1233" s="20" t="s">
        <v>20</v>
      </c>
      <c r="D1233" s="20" t="s">
        <v>32</v>
      </c>
      <c r="E1233" s="21" t="s">
        <v>4900</v>
      </c>
      <c r="F1233" s="21" t="s">
        <v>4905</v>
      </c>
      <c r="G1233" s="20" t="s">
        <v>35</v>
      </c>
      <c r="H1233" s="20" t="s">
        <v>25</v>
      </c>
      <c r="I1233" s="21" t="s">
        <v>4906</v>
      </c>
      <c r="J1233" s="22">
        <f t="shared" si="95"/>
        <v>0.186111111106584</v>
      </c>
      <c r="K1233" s="22">
        <f t="shared" si="96"/>
        <v>4.46666666655801</v>
      </c>
      <c r="L1233" s="22">
        <f t="shared" si="97"/>
        <v>4.46666666655801</v>
      </c>
      <c r="M1233" s="22" cm="1">
        <f ca="1" t="array" ref="M1233">SUMPRODUCT(--(WEEKDAY(ROW(INDIRECT(INT(F1233)&amp;":"&amp;INT(I1233))),2)&gt;5))</f>
        <v>0</v>
      </c>
      <c r="N1233" s="22">
        <f ca="1" t="shared" si="98"/>
        <v>4.46666666655801</v>
      </c>
      <c r="O1233" s="22" t="str">
        <f ca="1" t="shared" si="99"/>
        <v>Within SLA</v>
      </c>
      <c r="P1233" s="26" t="s">
        <v>4904</v>
      </c>
      <c r="Q1233" s="24" t="s">
        <v>37</v>
      </c>
      <c r="R1233" s="25"/>
      <c r="S1233" s="25"/>
    </row>
    <row r="1234" ht="39" customHeight="1" spans="1:19">
      <c r="A1234" s="19" t="s">
        <v>4907</v>
      </c>
      <c r="B1234" s="20" t="s">
        <v>19</v>
      </c>
      <c r="C1234" s="20" t="s">
        <v>20</v>
      </c>
      <c r="D1234" s="20" t="s">
        <v>32</v>
      </c>
      <c r="E1234" s="21" t="s">
        <v>4803</v>
      </c>
      <c r="F1234" s="21" t="s">
        <v>4908</v>
      </c>
      <c r="G1234" s="20" t="s">
        <v>35</v>
      </c>
      <c r="H1234" s="20" t="s">
        <v>25</v>
      </c>
      <c r="I1234" s="21" t="s">
        <v>4909</v>
      </c>
      <c r="J1234" s="22">
        <f t="shared" si="95"/>
        <v>0.150000000001455</v>
      </c>
      <c r="K1234" s="22">
        <f t="shared" si="96"/>
        <v>3.60000000003492</v>
      </c>
      <c r="L1234" s="22">
        <f t="shared" si="97"/>
        <v>3.60000000003492</v>
      </c>
      <c r="M1234" s="22" cm="1">
        <f ca="1" t="array" ref="M1234">SUMPRODUCT(--(WEEKDAY(ROW(INDIRECT(INT(F1234)&amp;":"&amp;INT(I1234))),2)&gt;5))</f>
        <v>0</v>
      </c>
      <c r="N1234" s="22">
        <f ca="1" t="shared" si="98"/>
        <v>3.60000000003492</v>
      </c>
      <c r="O1234" s="22" t="str">
        <f ca="1" t="shared" si="99"/>
        <v>Within SLA</v>
      </c>
      <c r="P1234" s="26" t="s">
        <v>4907</v>
      </c>
      <c r="Q1234" s="24" t="s">
        <v>37</v>
      </c>
      <c r="R1234" s="25"/>
      <c r="S1234" s="25"/>
    </row>
    <row r="1235" ht="39" customHeight="1" spans="1:19">
      <c r="A1235" s="19" t="s">
        <v>4910</v>
      </c>
      <c r="B1235" s="20" t="s">
        <v>19</v>
      </c>
      <c r="C1235" s="20" t="s">
        <v>20</v>
      </c>
      <c r="D1235" s="20" t="s">
        <v>32</v>
      </c>
      <c r="E1235" s="21" t="s">
        <v>4911</v>
      </c>
      <c r="F1235" s="21" t="s">
        <v>4912</v>
      </c>
      <c r="G1235" s="20" t="s">
        <v>35</v>
      </c>
      <c r="H1235" s="20" t="s">
        <v>25</v>
      </c>
      <c r="I1235" s="21" t="s">
        <v>4913</v>
      </c>
      <c r="J1235" s="22">
        <f t="shared" si="95"/>
        <v>9.06111111110658</v>
      </c>
      <c r="K1235" s="22">
        <f t="shared" si="96"/>
        <v>217.466666666558</v>
      </c>
      <c r="L1235" s="22">
        <f t="shared" si="97"/>
        <v>73.466666666558</v>
      </c>
      <c r="M1235" s="22" cm="1">
        <f ca="1" t="array" ref="M1235">SUMPRODUCT(--(WEEKDAY(ROW(INDIRECT(INT(F1235)&amp;":"&amp;INT(I1235))),2)&gt;5))</f>
        <v>2</v>
      </c>
      <c r="N1235" s="22">
        <f ca="1" t="shared" si="98"/>
        <v>57.466666666558</v>
      </c>
      <c r="O1235" s="22" t="str">
        <f ca="1" t="shared" si="99"/>
        <v>SLA Violated</v>
      </c>
      <c r="P1235" s="23" t="s">
        <v>4914</v>
      </c>
      <c r="Q1235" s="24" t="s">
        <v>28</v>
      </c>
      <c r="R1235" s="25"/>
      <c r="S1235" s="25"/>
    </row>
    <row r="1236" ht="27" customHeight="1" spans="1:19">
      <c r="A1236" s="19" t="s">
        <v>4915</v>
      </c>
      <c r="B1236" s="20" t="s">
        <v>30</v>
      </c>
      <c r="C1236" s="20" t="s">
        <v>2057</v>
      </c>
      <c r="D1236" s="20" t="s">
        <v>32</v>
      </c>
      <c r="E1236" s="21" t="s">
        <v>4911</v>
      </c>
      <c r="F1236" s="21" t="s">
        <v>4916</v>
      </c>
      <c r="G1236" s="20" t="s">
        <v>35</v>
      </c>
      <c r="H1236" s="20" t="s">
        <v>25</v>
      </c>
      <c r="I1236" s="21" t="s">
        <v>4913</v>
      </c>
      <c r="J1236" s="22">
        <f t="shared" si="95"/>
        <v>15.9284722222219</v>
      </c>
      <c r="K1236" s="22">
        <f t="shared" si="96"/>
        <v>382.283333333326</v>
      </c>
      <c r="L1236" s="22">
        <f t="shared" si="97"/>
        <v>126.283333333326</v>
      </c>
      <c r="M1236" s="22" cm="1">
        <f ca="1" t="array" ref="M1236">SUMPRODUCT(--(WEEKDAY(ROW(INDIRECT(INT(F1236)&amp;":"&amp;INT(I1236))),2)&gt;5))</f>
        <v>4</v>
      </c>
      <c r="N1236" s="22">
        <f ca="1" t="shared" si="98"/>
        <v>94.283333333326</v>
      </c>
      <c r="O1236" s="22" t="str">
        <f ca="1" t="shared" si="99"/>
        <v>SLA Violated</v>
      </c>
      <c r="P1236" s="26" t="s">
        <v>4915</v>
      </c>
      <c r="Q1236" s="24" t="s">
        <v>28</v>
      </c>
      <c r="R1236" s="25"/>
      <c r="S1236" s="25"/>
    </row>
    <row r="1237" ht="27" customHeight="1" spans="1:19">
      <c r="A1237" s="19" t="s">
        <v>4917</v>
      </c>
      <c r="B1237" s="20" t="s">
        <v>30</v>
      </c>
      <c r="C1237" s="20" t="s">
        <v>31</v>
      </c>
      <c r="D1237" s="20" t="s">
        <v>32</v>
      </c>
      <c r="E1237" s="21" t="s">
        <v>4911</v>
      </c>
      <c r="F1237" s="21" t="s">
        <v>4918</v>
      </c>
      <c r="G1237" s="20" t="s">
        <v>35</v>
      </c>
      <c r="H1237" s="20" t="s">
        <v>25</v>
      </c>
      <c r="I1237" s="21" t="s">
        <v>4919</v>
      </c>
      <c r="J1237" s="22">
        <f t="shared" si="95"/>
        <v>1.82847222222335</v>
      </c>
      <c r="K1237" s="22">
        <f t="shared" si="96"/>
        <v>43.8833333333605</v>
      </c>
      <c r="L1237" s="22">
        <f t="shared" si="97"/>
        <v>11.8833333333605</v>
      </c>
      <c r="M1237" s="22" cm="1">
        <f ca="1" t="array" ref="M1237">SUMPRODUCT(--(WEEKDAY(ROW(INDIRECT(INT(F1237)&amp;":"&amp;INT(I1237))),2)&gt;5))</f>
        <v>0</v>
      </c>
      <c r="N1237" s="22">
        <f ca="1" t="shared" si="98"/>
        <v>11.8833333333605</v>
      </c>
      <c r="O1237" s="22" t="str">
        <f ca="1" t="shared" si="99"/>
        <v>Within SLA</v>
      </c>
      <c r="P1237" s="26" t="s">
        <v>4917</v>
      </c>
      <c r="Q1237" s="24" t="s">
        <v>37</v>
      </c>
      <c r="R1237" s="25"/>
      <c r="S1237" s="25"/>
    </row>
    <row r="1238" ht="39" customHeight="1" spans="1:19">
      <c r="A1238" s="19" t="s">
        <v>4920</v>
      </c>
      <c r="B1238" s="20" t="s">
        <v>19</v>
      </c>
      <c r="C1238" s="20" t="s">
        <v>20</v>
      </c>
      <c r="D1238" s="20" t="s">
        <v>32</v>
      </c>
      <c r="E1238" s="21" t="s">
        <v>4894</v>
      </c>
      <c r="F1238" s="21" t="s">
        <v>4921</v>
      </c>
      <c r="G1238" s="20" t="s">
        <v>35</v>
      </c>
      <c r="H1238" s="20" t="s">
        <v>25</v>
      </c>
      <c r="I1238" s="21" t="s">
        <v>4922</v>
      </c>
      <c r="J1238" s="22">
        <f t="shared" si="95"/>
        <v>1.0180555555562</v>
      </c>
      <c r="K1238" s="22">
        <f t="shared" si="96"/>
        <v>24.4333333333489</v>
      </c>
      <c r="L1238" s="22">
        <f t="shared" si="97"/>
        <v>8.43333333334886</v>
      </c>
      <c r="M1238" s="22" cm="1">
        <f ca="1" t="array" ref="M1238">SUMPRODUCT(--(WEEKDAY(ROW(INDIRECT(INT(F1238)&amp;":"&amp;INT(I1238))),2)&gt;5))</f>
        <v>0</v>
      </c>
      <c r="N1238" s="22">
        <f ca="1" t="shared" si="98"/>
        <v>8.43333333334886</v>
      </c>
      <c r="O1238" s="22" t="str">
        <f ca="1" t="shared" si="99"/>
        <v>Within SLA</v>
      </c>
      <c r="P1238" s="26" t="s">
        <v>4920</v>
      </c>
      <c r="Q1238" s="24" t="s">
        <v>37</v>
      </c>
      <c r="R1238" s="25"/>
      <c r="S1238" s="25"/>
    </row>
    <row r="1239" ht="27" customHeight="1" spans="1:19">
      <c r="A1239" s="19" t="s">
        <v>4923</v>
      </c>
      <c r="B1239" s="20" t="s">
        <v>30</v>
      </c>
      <c r="C1239" s="20" t="s">
        <v>31</v>
      </c>
      <c r="D1239" s="20" t="s">
        <v>32</v>
      </c>
      <c r="E1239" s="21" t="s">
        <v>4894</v>
      </c>
      <c r="F1239" s="21" t="s">
        <v>4924</v>
      </c>
      <c r="G1239" s="20" t="s">
        <v>35</v>
      </c>
      <c r="H1239" s="20" t="s">
        <v>25</v>
      </c>
      <c r="I1239" s="21" t="s">
        <v>4922</v>
      </c>
      <c r="J1239" s="22">
        <f t="shared" si="95"/>
        <v>1.82916666666279</v>
      </c>
      <c r="K1239" s="22">
        <f t="shared" si="96"/>
        <v>43.8999999999069</v>
      </c>
      <c r="L1239" s="22">
        <f t="shared" si="97"/>
        <v>11.8999999999069</v>
      </c>
      <c r="M1239" s="22" cm="1">
        <f ca="1" t="array" ref="M1239">SUMPRODUCT(--(WEEKDAY(ROW(INDIRECT(INT(F1239)&amp;":"&amp;INT(I1239))),2)&gt;5))</f>
        <v>0</v>
      </c>
      <c r="N1239" s="22">
        <f ca="1" t="shared" si="98"/>
        <v>11.8999999999069</v>
      </c>
      <c r="O1239" s="22" t="str">
        <f ca="1" t="shared" si="99"/>
        <v>Within SLA</v>
      </c>
      <c r="P1239" s="26" t="s">
        <v>4923</v>
      </c>
      <c r="Q1239" s="24" t="s">
        <v>37</v>
      </c>
      <c r="R1239" s="25"/>
      <c r="S1239" s="25"/>
    </row>
    <row r="1240" ht="27" customHeight="1" spans="1:19">
      <c r="A1240" s="19" t="s">
        <v>4925</v>
      </c>
      <c r="B1240" s="20" t="s">
        <v>30</v>
      </c>
      <c r="C1240" s="20" t="s">
        <v>31</v>
      </c>
      <c r="D1240" s="20" t="s">
        <v>32</v>
      </c>
      <c r="E1240" s="21" t="s">
        <v>4926</v>
      </c>
      <c r="F1240" s="21" t="s">
        <v>4927</v>
      </c>
      <c r="G1240" s="20" t="s">
        <v>35</v>
      </c>
      <c r="H1240" s="20" t="s">
        <v>25</v>
      </c>
      <c r="I1240" s="21" t="s">
        <v>4928</v>
      </c>
      <c r="J1240" s="22">
        <f t="shared" si="95"/>
        <v>6.8659722222219</v>
      </c>
      <c r="K1240" s="22">
        <f t="shared" si="96"/>
        <v>164.783333333326</v>
      </c>
      <c r="L1240" s="22">
        <f t="shared" si="97"/>
        <v>52.7833333333256</v>
      </c>
      <c r="M1240" s="22" cm="1">
        <f ca="1" t="array" ref="M1240">SUMPRODUCT(--(WEEKDAY(ROW(INDIRECT(INT(F1240)&amp;":"&amp;INT(I1240))),2)&gt;5))</f>
        <v>2</v>
      </c>
      <c r="N1240" s="22">
        <f ca="1" t="shared" si="98"/>
        <v>36.7833333333256</v>
      </c>
      <c r="O1240" s="22" t="str">
        <f ca="1" t="shared" si="99"/>
        <v>SLA Violated</v>
      </c>
      <c r="P1240" s="26" t="s">
        <v>4925</v>
      </c>
      <c r="Q1240" s="24" t="s">
        <v>37</v>
      </c>
      <c r="R1240" s="25" t="s">
        <v>4929</v>
      </c>
      <c r="S1240" s="25" t="s">
        <v>39</v>
      </c>
    </row>
    <row r="1241" ht="16" customHeight="1" spans="1:19">
      <c r="A1241" s="28" t="s">
        <v>4930</v>
      </c>
      <c r="B1241" s="20" t="s">
        <v>100</v>
      </c>
      <c r="C1241" s="20" t="s">
        <v>101</v>
      </c>
      <c r="D1241" s="20" t="s">
        <v>32</v>
      </c>
      <c r="E1241" s="21" t="s">
        <v>4931</v>
      </c>
      <c r="F1241" s="21" t="s">
        <v>4932</v>
      </c>
      <c r="G1241" s="20" t="s">
        <v>35</v>
      </c>
      <c r="H1241" s="20" t="s">
        <v>25</v>
      </c>
      <c r="I1241" s="21" t="s">
        <v>4933</v>
      </c>
      <c r="J1241" s="22">
        <f t="shared" si="95"/>
        <v>8.04305555555038</v>
      </c>
      <c r="K1241" s="22">
        <f t="shared" si="96"/>
        <v>193.033333333209</v>
      </c>
      <c r="L1241" s="22">
        <f t="shared" si="97"/>
        <v>65.0333333332092</v>
      </c>
      <c r="M1241" s="22" cm="1">
        <f ca="1" t="array" ref="M1241">SUMPRODUCT(--(WEEKDAY(ROW(INDIRECT(INT(F1241)&amp;":"&amp;INT(I1241))),2)&gt;5))</f>
        <v>2</v>
      </c>
      <c r="N1241" s="22">
        <f ca="1" t="shared" si="98"/>
        <v>49.0333333332092</v>
      </c>
      <c r="O1241" s="22" t="str">
        <f ca="1" t="shared" si="99"/>
        <v>SLA Violated</v>
      </c>
      <c r="P1241" s="26" t="s">
        <v>4934</v>
      </c>
      <c r="Q1241" s="24" t="s">
        <v>28</v>
      </c>
      <c r="R1241" s="25"/>
      <c r="S1241" s="25"/>
    </row>
    <row r="1242" ht="27" customHeight="1" spans="1:19">
      <c r="A1242" s="19" t="s">
        <v>4935</v>
      </c>
      <c r="B1242" s="20" t="s">
        <v>30</v>
      </c>
      <c r="C1242" s="20" t="s">
        <v>31</v>
      </c>
      <c r="D1242" s="20" t="s">
        <v>105</v>
      </c>
      <c r="E1242" s="21" t="s">
        <v>4936</v>
      </c>
      <c r="F1242" s="21" t="s">
        <v>4937</v>
      </c>
      <c r="G1242" s="20" t="s">
        <v>35</v>
      </c>
      <c r="H1242" s="20" t="s">
        <v>25</v>
      </c>
      <c r="I1242" s="21" t="s">
        <v>4938</v>
      </c>
      <c r="J1242" s="22">
        <f t="shared" si="95"/>
        <v>1.89791666666861</v>
      </c>
      <c r="K1242" s="22">
        <f t="shared" si="96"/>
        <v>45.5500000000466</v>
      </c>
      <c r="L1242" s="22">
        <f t="shared" si="97"/>
        <v>13.5500000000466</v>
      </c>
      <c r="M1242" s="22" cm="1">
        <f ca="1" t="array" ref="M1242">SUMPRODUCT(--(WEEKDAY(ROW(INDIRECT(INT(F1242)&amp;":"&amp;INT(I1242))),2)&gt;5))</f>
        <v>0</v>
      </c>
      <c r="N1242" s="22">
        <f ca="1" t="shared" si="98"/>
        <v>13.5500000000466</v>
      </c>
      <c r="O1242" s="22" t="str">
        <f ca="1" t="shared" si="99"/>
        <v>SLA Violated</v>
      </c>
      <c r="P1242" s="23" t="s">
        <v>4939</v>
      </c>
      <c r="Q1242" s="24" t="s">
        <v>28</v>
      </c>
      <c r="R1242" s="25"/>
      <c r="S1242" s="25"/>
    </row>
    <row r="1243" ht="39" customHeight="1" spans="1:19">
      <c r="A1243" s="19" t="s">
        <v>4940</v>
      </c>
      <c r="B1243" s="20" t="s">
        <v>19</v>
      </c>
      <c r="C1243" s="20" t="s">
        <v>20</v>
      </c>
      <c r="D1243" s="20" t="s">
        <v>32</v>
      </c>
      <c r="E1243" s="21" t="s">
        <v>4941</v>
      </c>
      <c r="F1243" s="21" t="s">
        <v>4942</v>
      </c>
      <c r="G1243" s="20" t="s">
        <v>35</v>
      </c>
      <c r="H1243" s="20" t="s">
        <v>25</v>
      </c>
      <c r="I1243" s="21" t="s">
        <v>4943</v>
      </c>
      <c r="J1243" s="22">
        <f t="shared" si="95"/>
        <v>8.25277777777956</v>
      </c>
      <c r="K1243" s="22">
        <f t="shared" si="96"/>
        <v>198.066666666709</v>
      </c>
      <c r="L1243" s="22">
        <f t="shared" si="97"/>
        <v>70.0666666667094</v>
      </c>
      <c r="M1243" s="22" cm="1">
        <f ca="1" t="array" ref="M1243">SUMPRODUCT(--(WEEKDAY(ROW(INDIRECT(INT(F1243)&amp;":"&amp;INT(I1243))),2)&gt;5))</f>
        <v>2</v>
      </c>
      <c r="N1243" s="22">
        <f ca="1" t="shared" si="98"/>
        <v>54.0666666667094</v>
      </c>
      <c r="O1243" s="22" t="str">
        <f ca="1" t="shared" si="99"/>
        <v>SLA Violated</v>
      </c>
      <c r="P1243" s="23" t="s">
        <v>4944</v>
      </c>
      <c r="Q1243" s="24" t="s">
        <v>28</v>
      </c>
      <c r="R1243" s="25"/>
      <c r="S1243" s="25"/>
    </row>
    <row r="1244" ht="27" customHeight="1" spans="1:19">
      <c r="A1244" s="19" t="s">
        <v>4945</v>
      </c>
      <c r="B1244" s="20" t="s">
        <v>30</v>
      </c>
      <c r="C1244" s="20" t="s">
        <v>2057</v>
      </c>
      <c r="D1244" s="20" t="s">
        <v>32</v>
      </c>
      <c r="E1244" s="21" t="s">
        <v>4941</v>
      </c>
      <c r="F1244" s="21" t="s">
        <v>4946</v>
      </c>
      <c r="G1244" s="20" t="s">
        <v>35</v>
      </c>
      <c r="H1244" s="20" t="s">
        <v>25</v>
      </c>
      <c r="I1244" s="21" t="s">
        <v>4947</v>
      </c>
      <c r="J1244" s="22">
        <f t="shared" si="95"/>
        <v>7.04097222222481</v>
      </c>
      <c r="K1244" s="22">
        <f t="shared" si="96"/>
        <v>168.983333333395</v>
      </c>
      <c r="L1244" s="22">
        <f t="shared" si="97"/>
        <v>56.9833333333954</v>
      </c>
      <c r="M1244" s="22" cm="1">
        <f ca="1" t="array" ref="M1244">SUMPRODUCT(--(WEEKDAY(ROW(INDIRECT(INT(F1244)&amp;":"&amp;INT(I1244))),2)&gt;5))</f>
        <v>2</v>
      </c>
      <c r="N1244" s="22">
        <f ca="1" t="shared" si="98"/>
        <v>40.9833333333954</v>
      </c>
      <c r="O1244" s="22" t="str">
        <f ca="1" t="shared" si="99"/>
        <v>SLA Violated</v>
      </c>
      <c r="P1244" s="26" t="s">
        <v>4945</v>
      </c>
      <c r="Q1244" s="24" t="s">
        <v>28</v>
      </c>
      <c r="R1244" s="25"/>
      <c r="S1244" s="25"/>
    </row>
    <row r="1245" ht="39" customHeight="1" spans="1:19">
      <c r="A1245" s="19" t="s">
        <v>4948</v>
      </c>
      <c r="B1245" s="20" t="s">
        <v>19</v>
      </c>
      <c r="C1245" s="20" t="s">
        <v>20</v>
      </c>
      <c r="D1245" s="20" t="s">
        <v>32</v>
      </c>
      <c r="E1245" s="21" t="s">
        <v>4773</v>
      </c>
      <c r="F1245" s="21" t="s">
        <v>4949</v>
      </c>
      <c r="G1245" s="20" t="s">
        <v>35</v>
      </c>
      <c r="H1245" s="20" t="s">
        <v>25</v>
      </c>
      <c r="I1245" s="21" t="s">
        <v>4950</v>
      </c>
      <c r="J1245" s="22">
        <f t="shared" si="95"/>
        <v>1.00833333333139</v>
      </c>
      <c r="K1245" s="22">
        <f t="shared" si="96"/>
        <v>24.1999999999534</v>
      </c>
      <c r="L1245" s="22">
        <f t="shared" si="97"/>
        <v>8.19999999995343</v>
      </c>
      <c r="M1245" s="22" cm="1">
        <f ca="1" t="array" ref="M1245">SUMPRODUCT(--(WEEKDAY(ROW(INDIRECT(INT(F1245)&amp;":"&amp;INT(I1245))),2)&gt;5))</f>
        <v>0</v>
      </c>
      <c r="N1245" s="22">
        <f ca="1" t="shared" si="98"/>
        <v>8.19999999995343</v>
      </c>
      <c r="O1245" s="22" t="str">
        <f ca="1" t="shared" si="99"/>
        <v>Within SLA</v>
      </c>
      <c r="P1245" s="26" t="s">
        <v>4948</v>
      </c>
      <c r="Q1245" s="24" t="s">
        <v>37</v>
      </c>
      <c r="R1245" s="25"/>
      <c r="S1245" s="25"/>
    </row>
    <row r="1246" ht="39" customHeight="1" spans="1:19">
      <c r="A1246" s="19" t="s">
        <v>4951</v>
      </c>
      <c r="B1246" s="20" t="s">
        <v>19</v>
      </c>
      <c r="C1246" s="20" t="s">
        <v>20</v>
      </c>
      <c r="D1246" s="20" t="s">
        <v>32</v>
      </c>
      <c r="E1246" s="21" t="s">
        <v>4773</v>
      </c>
      <c r="F1246" s="21" t="s">
        <v>4952</v>
      </c>
      <c r="G1246" s="20" t="s">
        <v>35</v>
      </c>
      <c r="H1246" s="20" t="s">
        <v>25</v>
      </c>
      <c r="I1246" s="21" t="s">
        <v>4953</v>
      </c>
      <c r="J1246" s="22">
        <f t="shared" si="95"/>
        <v>0.106250000004366</v>
      </c>
      <c r="K1246" s="22">
        <f t="shared" si="96"/>
        <v>2.55000000010477</v>
      </c>
      <c r="L1246" s="22">
        <f t="shared" si="97"/>
        <v>2.55000000010477</v>
      </c>
      <c r="M1246" s="22" cm="1">
        <f ca="1" t="array" ref="M1246">SUMPRODUCT(--(WEEKDAY(ROW(INDIRECT(INT(F1246)&amp;":"&amp;INT(I1246))),2)&gt;5))</f>
        <v>0</v>
      </c>
      <c r="N1246" s="22">
        <f ca="1" t="shared" si="98"/>
        <v>2.55000000010477</v>
      </c>
      <c r="O1246" s="22" t="str">
        <f ca="1" t="shared" si="99"/>
        <v>Within SLA</v>
      </c>
      <c r="P1246" s="26" t="s">
        <v>4951</v>
      </c>
      <c r="Q1246" s="24" t="s">
        <v>37</v>
      </c>
      <c r="R1246" s="25"/>
      <c r="S1246" s="25"/>
    </row>
    <row r="1247" ht="39" customHeight="1" spans="1:19">
      <c r="A1247" s="19" t="s">
        <v>4954</v>
      </c>
      <c r="B1247" s="20" t="s">
        <v>19</v>
      </c>
      <c r="C1247" s="20" t="s">
        <v>20</v>
      </c>
      <c r="D1247" s="20" t="s">
        <v>32</v>
      </c>
      <c r="E1247" s="21" t="s">
        <v>4773</v>
      </c>
      <c r="F1247" s="21" t="s">
        <v>4955</v>
      </c>
      <c r="G1247" s="20" t="s">
        <v>35</v>
      </c>
      <c r="H1247" s="20" t="s">
        <v>25</v>
      </c>
      <c r="I1247" s="21" t="s">
        <v>4956</v>
      </c>
      <c r="J1247" s="22">
        <f t="shared" si="95"/>
        <v>9.05277777777519</v>
      </c>
      <c r="K1247" s="22">
        <f t="shared" si="96"/>
        <v>217.266666666605</v>
      </c>
      <c r="L1247" s="22">
        <f t="shared" si="97"/>
        <v>73.2666666666046</v>
      </c>
      <c r="M1247" s="22" cm="1">
        <f ca="1" t="array" ref="M1247">SUMPRODUCT(--(WEEKDAY(ROW(INDIRECT(INT(F1247)&amp;":"&amp;INT(I1247))),2)&gt;5))</f>
        <v>2</v>
      </c>
      <c r="N1247" s="22">
        <f ca="1" t="shared" si="98"/>
        <v>57.2666666666046</v>
      </c>
      <c r="O1247" s="22" t="str">
        <f ca="1" t="shared" si="99"/>
        <v>SLA Violated</v>
      </c>
      <c r="P1247" s="23" t="s">
        <v>4957</v>
      </c>
      <c r="Q1247" s="24" t="s">
        <v>28</v>
      </c>
      <c r="R1247" s="25"/>
      <c r="S1247" s="25"/>
    </row>
    <row r="1248" ht="39" customHeight="1" spans="1:19">
      <c r="A1248" s="19" t="s">
        <v>4958</v>
      </c>
      <c r="B1248" s="20" t="s">
        <v>19</v>
      </c>
      <c r="C1248" s="20" t="s">
        <v>20</v>
      </c>
      <c r="D1248" s="20" t="s">
        <v>32</v>
      </c>
      <c r="E1248" s="21" t="s">
        <v>4959</v>
      </c>
      <c r="F1248" s="21" t="s">
        <v>4960</v>
      </c>
      <c r="G1248" s="20" t="s">
        <v>35</v>
      </c>
      <c r="H1248" s="20" t="s">
        <v>25</v>
      </c>
      <c r="I1248" s="21" t="s">
        <v>4956</v>
      </c>
      <c r="J1248" s="22">
        <f t="shared" si="95"/>
        <v>9.04374999999709</v>
      </c>
      <c r="K1248" s="22">
        <f t="shared" si="96"/>
        <v>217.04999999993</v>
      </c>
      <c r="L1248" s="22">
        <f t="shared" si="97"/>
        <v>73.0499999999302</v>
      </c>
      <c r="M1248" s="22" cm="1">
        <f ca="1" t="array" ref="M1248">SUMPRODUCT(--(WEEKDAY(ROW(INDIRECT(INT(F1248)&amp;":"&amp;INT(I1248))),2)&gt;5))</f>
        <v>2</v>
      </c>
      <c r="N1248" s="22">
        <f ca="1" t="shared" si="98"/>
        <v>57.0499999999302</v>
      </c>
      <c r="O1248" s="22" t="str">
        <f ca="1" t="shared" si="99"/>
        <v>SLA Violated</v>
      </c>
      <c r="P1248" s="23" t="s">
        <v>4961</v>
      </c>
      <c r="Q1248" s="24" t="s">
        <v>28</v>
      </c>
      <c r="R1248" s="25"/>
      <c r="S1248" s="25"/>
    </row>
    <row r="1249" ht="27" customHeight="1" spans="1:19">
      <c r="A1249" s="19" t="s">
        <v>4962</v>
      </c>
      <c r="B1249" s="20" t="s">
        <v>30</v>
      </c>
      <c r="C1249" s="20" t="s">
        <v>2057</v>
      </c>
      <c r="D1249" s="20" t="s">
        <v>32</v>
      </c>
      <c r="E1249" s="21" t="s">
        <v>4963</v>
      </c>
      <c r="F1249" s="21" t="s">
        <v>4964</v>
      </c>
      <c r="G1249" s="20" t="s">
        <v>35</v>
      </c>
      <c r="H1249" s="20" t="s">
        <v>25</v>
      </c>
      <c r="I1249" s="21" t="s">
        <v>4965</v>
      </c>
      <c r="J1249" s="22">
        <f t="shared" si="95"/>
        <v>11.0715277777781</v>
      </c>
      <c r="K1249" s="22">
        <f t="shared" si="96"/>
        <v>265.716666666674</v>
      </c>
      <c r="L1249" s="22">
        <f t="shared" si="97"/>
        <v>89.7166666666744</v>
      </c>
      <c r="M1249" s="22" cm="1">
        <f ca="1" t="array" ref="M1249">SUMPRODUCT(--(WEEKDAY(ROW(INDIRECT(INT(F1249)&amp;":"&amp;INT(I1249))),2)&gt;5))</f>
        <v>2</v>
      </c>
      <c r="N1249" s="22">
        <f ca="1" t="shared" si="98"/>
        <v>73.7166666666744</v>
      </c>
      <c r="O1249" s="22" t="str">
        <f ca="1" t="shared" si="99"/>
        <v>SLA Violated</v>
      </c>
      <c r="P1249" s="26" t="s">
        <v>4962</v>
      </c>
      <c r="Q1249" s="24" t="s">
        <v>28</v>
      </c>
      <c r="R1249" s="25"/>
      <c r="S1249" s="25"/>
    </row>
    <row r="1250" ht="27" customHeight="1" spans="1:19">
      <c r="A1250" s="19" t="s">
        <v>4966</v>
      </c>
      <c r="B1250" s="20" t="s">
        <v>30</v>
      </c>
      <c r="C1250" s="20" t="s">
        <v>2057</v>
      </c>
      <c r="D1250" s="20" t="s">
        <v>32</v>
      </c>
      <c r="E1250" s="21" t="s">
        <v>4967</v>
      </c>
      <c r="F1250" s="21" t="s">
        <v>4968</v>
      </c>
      <c r="G1250" s="20" t="s">
        <v>35</v>
      </c>
      <c r="H1250" s="20" t="s">
        <v>25</v>
      </c>
      <c r="I1250" s="21" t="s">
        <v>4969</v>
      </c>
      <c r="J1250" s="22">
        <f t="shared" si="95"/>
        <v>7.0625</v>
      </c>
      <c r="K1250" s="22">
        <f t="shared" si="96"/>
        <v>169.5</v>
      </c>
      <c r="L1250" s="22">
        <f t="shared" si="97"/>
        <v>57.5</v>
      </c>
      <c r="M1250" s="22" cm="1">
        <f ca="1" t="array" ref="M1250">SUMPRODUCT(--(WEEKDAY(ROW(INDIRECT(INT(F1250)&amp;":"&amp;INT(I1250))),2)&gt;5))</f>
        <v>2</v>
      </c>
      <c r="N1250" s="22">
        <f ca="1" t="shared" si="98"/>
        <v>41.5</v>
      </c>
      <c r="O1250" s="22" t="str">
        <f ca="1" t="shared" si="99"/>
        <v>SLA Violated</v>
      </c>
      <c r="P1250" s="26" t="s">
        <v>4966</v>
      </c>
      <c r="Q1250" s="24" t="s">
        <v>28</v>
      </c>
      <c r="R1250" s="25"/>
      <c r="S1250" s="25"/>
    </row>
    <row r="1251" ht="27" customHeight="1" spans="1:19">
      <c r="A1251" s="19" t="s">
        <v>4970</v>
      </c>
      <c r="B1251" s="20" t="s">
        <v>30</v>
      </c>
      <c r="C1251" s="20" t="s">
        <v>2057</v>
      </c>
      <c r="D1251" s="20" t="s">
        <v>32</v>
      </c>
      <c r="E1251" s="21" t="s">
        <v>4967</v>
      </c>
      <c r="F1251" s="21" t="s">
        <v>4964</v>
      </c>
      <c r="G1251" s="20" t="s">
        <v>35</v>
      </c>
      <c r="H1251" s="20" t="s">
        <v>25</v>
      </c>
      <c r="I1251" s="21" t="s">
        <v>4971</v>
      </c>
      <c r="J1251" s="22">
        <f t="shared" si="95"/>
        <v>11.0673611111124</v>
      </c>
      <c r="K1251" s="22">
        <f t="shared" si="96"/>
        <v>265.616666666698</v>
      </c>
      <c r="L1251" s="22">
        <f t="shared" si="97"/>
        <v>89.6166666666977</v>
      </c>
      <c r="M1251" s="22" cm="1">
        <f ca="1" t="array" ref="M1251">SUMPRODUCT(--(WEEKDAY(ROW(INDIRECT(INT(F1251)&amp;":"&amp;INT(I1251))),2)&gt;5))</f>
        <v>2</v>
      </c>
      <c r="N1251" s="22">
        <f ca="1" t="shared" si="98"/>
        <v>73.6166666666977</v>
      </c>
      <c r="O1251" s="22" t="str">
        <f ca="1" t="shared" si="99"/>
        <v>SLA Violated</v>
      </c>
      <c r="P1251" s="26" t="s">
        <v>4970</v>
      </c>
      <c r="Q1251" s="24" t="s">
        <v>28</v>
      </c>
      <c r="R1251" s="25"/>
      <c r="S1251" s="25"/>
    </row>
    <row r="1252" ht="39" customHeight="1" spans="1:19">
      <c r="A1252" s="19" t="s">
        <v>4972</v>
      </c>
      <c r="B1252" s="20" t="s">
        <v>19</v>
      </c>
      <c r="C1252" s="20" t="s">
        <v>20</v>
      </c>
      <c r="D1252" s="20" t="s">
        <v>32</v>
      </c>
      <c r="E1252" s="21" t="s">
        <v>4967</v>
      </c>
      <c r="F1252" s="21" t="s">
        <v>4973</v>
      </c>
      <c r="G1252" s="20" t="s">
        <v>35</v>
      </c>
      <c r="H1252" s="20" t="s">
        <v>25</v>
      </c>
      <c r="I1252" s="21" t="s">
        <v>4974</v>
      </c>
      <c r="J1252" s="22">
        <f t="shared" si="95"/>
        <v>0.0958333333328483</v>
      </c>
      <c r="K1252" s="22">
        <f t="shared" si="96"/>
        <v>2.29999999998836</v>
      </c>
      <c r="L1252" s="22">
        <f t="shared" si="97"/>
        <v>2.29999999998836</v>
      </c>
      <c r="M1252" s="22" cm="1">
        <f ca="1" t="array" ref="M1252">SUMPRODUCT(--(WEEKDAY(ROW(INDIRECT(INT(F1252)&amp;":"&amp;INT(I1252))),2)&gt;5))</f>
        <v>0</v>
      </c>
      <c r="N1252" s="22">
        <f ca="1" t="shared" si="98"/>
        <v>2.29999999998836</v>
      </c>
      <c r="O1252" s="22" t="str">
        <f ca="1" t="shared" si="99"/>
        <v>Within SLA</v>
      </c>
      <c r="P1252" s="26" t="s">
        <v>4972</v>
      </c>
      <c r="Q1252" s="24" t="s">
        <v>37</v>
      </c>
      <c r="R1252" s="25"/>
      <c r="S1252" s="25"/>
    </row>
    <row r="1253" ht="27" customHeight="1" spans="1:19">
      <c r="A1253" s="19" t="s">
        <v>4975</v>
      </c>
      <c r="B1253" s="20" t="s">
        <v>30</v>
      </c>
      <c r="C1253" s="20" t="s">
        <v>2057</v>
      </c>
      <c r="D1253" s="20" t="s">
        <v>32</v>
      </c>
      <c r="E1253" s="21" t="s">
        <v>4976</v>
      </c>
      <c r="F1253" s="21" t="s">
        <v>4977</v>
      </c>
      <c r="G1253" s="20" t="s">
        <v>35</v>
      </c>
      <c r="H1253" s="20" t="s">
        <v>25</v>
      </c>
      <c r="I1253" s="21" t="s">
        <v>4978</v>
      </c>
      <c r="J1253" s="22">
        <f t="shared" si="95"/>
        <v>7.05902777777374</v>
      </c>
      <c r="K1253" s="22">
        <f t="shared" si="96"/>
        <v>169.41666666657</v>
      </c>
      <c r="L1253" s="22">
        <f t="shared" si="97"/>
        <v>57.4166666665697</v>
      </c>
      <c r="M1253" s="22" cm="1">
        <f ca="1" t="array" ref="M1253">SUMPRODUCT(--(WEEKDAY(ROW(INDIRECT(INT(F1253)&amp;":"&amp;INT(I1253))),2)&gt;5))</f>
        <v>2</v>
      </c>
      <c r="N1253" s="22">
        <f ca="1" t="shared" si="98"/>
        <v>41.4166666665697</v>
      </c>
      <c r="O1253" s="22" t="str">
        <f ca="1" t="shared" si="99"/>
        <v>SLA Violated</v>
      </c>
      <c r="P1253" s="26" t="s">
        <v>4975</v>
      </c>
      <c r="Q1253" s="24" t="s">
        <v>28</v>
      </c>
      <c r="R1253" s="25"/>
      <c r="S1253" s="25"/>
    </row>
    <row r="1254" ht="39" customHeight="1" spans="1:19">
      <c r="A1254" s="19" t="s">
        <v>4979</v>
      </c>
      <c r="B1254" s="20" t="s">
        <v>19</v>
      </c>
      <c r="C1254" s="20" t="s">
        <v>20</v>
      </c>
      <c r="D1254" s="20" t="s">
        <v>32</v>
      </c>
      <c r="E1254" s="21" t="s">
        <v>4980</v>
      </c>
      <c r="F1254" s="21" t="s">
        <v>4981</v>
      </c>
      <c r="G1254" s="20" t="s">
        <v>35</v>
      </c>
      <c r="H1254" s="20" t="s">
        <v>25</v>
      </c>
      <c r="I1254" s="21" t="s">
        <v>4982</v>
      </c>
      <c r="J1254" s="22">
        <f t="shared" si="95"/>
        <v>2.80624999999418</v>
      </c>
      <c r="K1254" s="22">
        <f t="shared" si="96"/>
        <v>67.3499999998603</v>
      </c>
      <c r="L1254" s="22">
        <f t="shared" si="97"/>
        <v>19.3499999998603</v>
      </c>
      <c r="M1254" s="22" cm="1">
        <f ca="1" t="array" ref="M1254">SUMPRODUCT(--(WEEKDAY(ROW(INDIRECT(INT(F1254)&amp;":"&amp;INT(I1254))),2)&gt;5))</f>
        <v>0</v>
      </c>
      <c r="N1254" s="22">
        <f ca="1" t="shared" si="98"/>
        <v>19.3499999998603</v>
      </c>
      <c r="O1254" s="22" t="str">
        <f ca="1" t="shared" si="99"/>
        <v>SLA Violated</v>
      </c>
      <c r="P1254" s="23" t="s">
        <v>4983</v>
      </c>
      <c r="Q1254" s="24" t="s">
        <v>28</v>
      </c>
      <c r="R1254" s="25"/>
      <c r="S1254" s="25"/>
    </row>
    <row r="1255" ht="39" customHeight="1" spans="1:19">
      <c r="A1255" s="19" t="s">
        <v>4984</v>
      </c>
      <c r="B1255" s="20" t="s">
        <v>19</v>
      </c>
      <c r="C1255" s="20" t="s">
        <v>20</v>
      </c>
      <c r="D1255" s="20" t="s">
        <v>32</v>
      </c>
      <c r="E1255" s="21" t="s">
        <v>4985</v>
      </c>
      <c r="F1255" s="21" t="s">
        <v>4986</v>
      </c>
      <c r="G1255" s="20" t="s">
        <v>35</v>
      </c>
      <c r="H1255" s="20" t="s">
        <v>25</v>
      </c>
      <c r="I1255" s="21" t="s">
        <v>4987</v>
      </c>
      <c r="J1255" s="22">
        <f t="shared" si="95"/>
        <v>0.0944444444467081</v>
      </c>
      <c r="K1255" s="22">
        <f t="shared" si="96"/>
        <v>2.26666666672099</v>
      </c>
      <c r="L1255" s="22">
        <f t="shared" si="97"/>
        <v>2.26666666672099</v>
      </c>
      <c r="M1255" s="22" cm="1">
        <f ca="1" t="array" ref="M1255">SUMPRODUCT(--(WEEKDAY(ROW(INDIRECT(INT(F1255)&amp;":"&amp;INT(I1255))),2)&gt;5))</f>
        <v>0</v>
      </c>
      <c r="N1255" s="22">
        <f ca="1" t="shared" si="98"/>
        <v>2.26666666672099</v>
      </c>
      <c r="O1255" s="22" t="str">
        <f ca="1" t="shared" si="99"/>
        <v>Within SLA</v>
      </c>
      <c r="P1255" s="26" t="s">
        <v>4984</v>
      </c>
      <c r="Q1255" s="24" t="s">
        <v>37</v>
      </c>
      <c r="R1255" s="25"/>
      <c r="S1255" s="25"/>
    </row>
    <row r="1256" ht="39" customHeight="1" spans="1:19">
      <c r="A1256" s="19" t="s">
        <v>4988</v>
      </c>
      <c r="B1256" s="20" t="s">
        <v>19</v>
      </c>
      <c r="C1256" s="20" t="s">
        <v>20</v>
      </c>
      <c r="D1256" s="20" t="s">
        <v>32</v>
      </c>
      <c r="E1256" s="21" t="s">
        <v>4985</v>
      </c>
      <c r="F1256" s="21" t="s">
        <v>4989</v>
      </c>
      <c r="G1256" s="20" t="s">
        <v>35</v>
      </c>
      <c r="H1256" s="20" t="s">
        <v>25</v>
      </c>
      <c r="I1256" s="21" t="s">
        <v>4990</v>
      </c>
      <c r="J1256" s="22">
        <f t="shared" si="95"/>
        <v>9.03055555555329</v>
      </c>
      <c r="K1256" s="22">
        <f t="shared" si="96"/>
        <v>216.733333333279</v>
      </c>
      <c r="L1256" s="22">
        <f t="shared" si="97"/>
        <v>72.733333333279</v>
      </c>
      <c r="M1256" s="22" cm="1">
        <f ca="1" t="array" ref="M1256">SUMPRODUCT(--(WEEKDAY(ROW(INDIRECT(INT(F1256)&amp;":"&amp;INT(I1256))),2)&gt;5))</f>
        <v>2</v>
      </c>
      <c r="N1256" s="22">
        <f ca="1" t="shared" si="98"/>
        <v>56.733333333279</v>
      </c>
      <c r="O1256" s="22" t="str">
        <f ca="1" t="shared" si="99"/>
        <v>SLA Violated</v>
      </c>
      <c r="P1256" s="23" t="s">
        <v>4991</v>
      </c>
      <c r="Q1256" s="24" t="s">
        <v>28</v>
      </c>
      <c r="R1256" s="25"/>
      <c r="S1256" s="25"/>
    </row>
    <row r="1257" ht="27" customHeight="1" spans="1:19">
      <c r="A1257" s="19" t="s">
        <v>4992</v>
      </c>
      <c r="B1257" s="20" t="s">
        <v>30</v>
      </c>
      <c r="C1257" s="20" t="s">
        <v>2057</v>
      </c>
      <c r="D1257" s="20" t="s">
        <v>32</v>
      </c>
      <c r="E1257" s="21" t="s">
        <v>4993</v>
      </c>
      <c r="F1257" s="21" t="s">
        <v>4994</v>
      </c>
      <c r="G1257" s="20" t="s">
        <v>35</v>
      </c>
      <c r="H1257" s="20" t="s">
        <v>25</v>
      </c>
      <c r="I1257" s="21" t="s">
        <v>4995</v>
      </c>
      <c r="J1257" s="22">
        <f t="shared" si="95"/>
        <v>6.2319444444438</v>
      </c>
      <c r="K1257" s="22">
        <f t="shared" si="96"/>
        <v>149.566666666651</v>
      </c>
      <c r="L1257" s="22">
        <f t="shared" si="97"/>
        <v>53.5666666666511</v>
      </c>
      <c r="M1257" s="22" cm="1">
        <f ca="1" t="array" ref="M1257">SUMPRODUCT(--(WEEKDAY(ROW(INDIRECT(INT(F1257)&amp;":"&amp;INT(I1257))),2)&gt;5))</f>
        <v>2</v>
      </c>
      <c r="N1257" s="22">
        <f ca="1" t="shared" si="98"/>
        <v>37.5666666666511</v>
      </c>
      <c r="O1257" s="22" t="str">
        <f ca="1" t="shared" si="99"/>
        <v>SLA Violated</v>
      </c>
      <c r="P1257" s="26" t="s">
        <v>4992</v>
      </c>
      <c r="Q1257" s="24" t="s">
        <v>28</v>
      </c>
      <c r="R1257" s="25"/>
      <c r="S1257" s="25"/>
    </row>
    <row r="1258" ht="39" customHeight="1" spans="1:19">
      <c r="A1258" s="19" t="s">
        <v>4996</v>
      </c>
      <c r="B1258" s="20" t="s">
        <v>19</v>
      </c>
      <c r="C1258" s="20" t="s">
        <v>20</v>
      </c>
      <c r="D1258" s="20" t="s">
        <v>32</v>
      </c>
      <c r="E1258" s="21" t="s">
        <v>4997</v>
      </c>
      <c r="F1258" s="21" t="s">
        <v>4998</v>
      </c>
      <c r="G1258" s="20" t="s">
        <v>35</v>
      </c>
      <c r="H1258" s="20" t="s">
        <v>25</v>
      </c>
      <c r="I1258" s="21" t="s">
        <v>4999</v>
      </c>
      <c r="J1258" s="22">
        <f t="shared" si="95"/>
        <v>0.09375</v>
      </c>
      <c r="K1258" s="22">
        <f t="shared" si="96"/>
        <v>2.25</v>
      </c>
      <c r="L1258" s="22">
        <f t="shared" si="97"/>
        <v>2.25</v>
      </c>
      <c r="M1258" s="22" cm="1">
        <f ca="1" t="array" ref="M1258">SUMPRODUCT(--(WEEKDAY(ROW(INDIRECT(INT(F1258)&amp;":"&amp;INT(I1258))),2)&gt;5))</f>
        <v>0</v>
      </c>
      <c r="N1258" s="22">
        <f ca="1" t="shared" si="98"/>
        <v>2.25</v>
      </c>
      <c r="O1258" s="22" t="str">
        <f ca="1" t="shared" si="99"/>
        <v>Within SLA</v>
      </c>
      <c r="P1258" s="26" t="s">
        <v>4996</v>
      </c>
      <c r="Q1258" s="24" t="s">
        <v>37</v>
      </c>
      <c r="R1258" s="25"/>
      <c r="S1258" s="25"/>
    </row>
    <row r="1259" ht="39" customHeight="1" spans="1:19">
      <c r="A1259" s="19" t="s">
        <v>5000</v>
      </c>
      <c r="B1259" s="20" t="s">
        <v>19</v>
      </c>
      <c r="C1259" s="20" t="s">
        <v>20</v>
      </c>
      <c r="D1259" s="20" t="s">
        <v>32</v>
      </c>
      <c r="E1259" s="21" t="s">
        <v>4997</v>
      </c>
      <c r="F1259" s="21" t="s">
        <v>5001</v>
      </c>
      <c r="G1259" s="20" t="s">
        <v>35</v>
      </c>
      <c r="H1259" s="20" t="s">
        <v>25</v>
      </c>
      <c r="I1259" s="21" t="s">
        <v>4999</v>
      </c>
      <c r="J1259" s="22">
        <f t="shared" si="95"/>
        <v>0.0944444444394321</v>
      </c>
      <c r="K1259" s="22">
        <f t="shared" si="96"/>
        <v>2.26666666654637</v>
      </c>
      <c r="L1259" s="22">
        <f t="shared" si="97"/>
        <v>2.26666666654637</v>
      </c>
      <c r="M1259" s="22" cm="1">
        <f ca="1" t="array" ref="M1259">SUMPRODUCT(--(WEEKDAY(ROW(INDIRECT(INT(F1259)&amp;":"&amp;INT(I1259))),2)&gt;5))</f>
        <v>0</v>
      </c>
      <c r="N1259" s="22">
        <f ca="1" t="shared" si="98"/>
        <v>2.26666666654637</v>
      </c>
      <c r="O1259" s="22" t="str">
        <f ca="1" t="shared" si="99"/>
        <v>Within SLA</v>
      </c>
      <c r="P1259" s="26" t="s">
        <v>5000</v>
      </c>
      <c r="Q1259" s="24" t="s">
        <v>37</v>
      </c>
      <c r="R1259" s="25"/>
      <c r="S1259" s="25"/>
    </row>
    <row r="1260" ht="27" customHeight="1" spans="1:19">
      <c r="A1260" s="19" t="s">
        <v>5002</v>
      </c>
      <c r="B1260" s="20" t="s">
        <v>30</v>
      </c>
      <c r="C1260" s="20" t="s">
        <v>849</v>
      </c>
      <c r="D1260" s="20" t="s">
        <v>32</v>
      </c>
      <c r="E1260" s="21" t="s">
        <v>5003</v>
      </c>
      <c r="F1260" s="21" t="s">
        <v>5004</v>
      </c>
      <c r="G1260" s="20" t="s">
        <v>35</v>
      </c>
      <c r="H1260" s="20" t="s">
        <v>25</v>
      </c>
      <c r="I1260" s="21" t="s">
        <v>5005</v>
      </c>
      <c r="J1260" s="22">
        <f t="shared" si="95"/>
        <v>7.05486111111531</v>
      </c>
      <c r="K1260" s="22">
        <f t="shared" si="96"/>
        <v>169.316666666768</v>
      </c>
      <c r="L1260" s="22">
        <f t="shared" si="97"/>
        <v>57.3166666667676</v>
      </c>
      <c r="M1260" s="22" cm="1">
        <f ca="1" t="array" ref="M1260">SUMPRODUCT(--(WEEKDAY(ROW(INDIRECT(INT(F1260)&amp;":"&amp;INT(I1260))),2)&gt;5))</f>
        <v>2</v>
      </c>
      <c r="N1260" s="22">
        <f ca="1" t="shared" si="98"/>
        <v>41.3166666667676</v>
      </c>
      <c r="O1260" s="22" t="str">
        <f ca="1" t="shared" si="99"/>
        <v>SLA Violated</v>
      </c>
      <c r="P1260" s="23" t="s">
        <v>5006</v>
      </c>
      <c r="Q1260" s="24" t="s">
        <v>28</v>
      </c>
      <c r="R1260" s="25"/>
      <c r="S1260" s="25"/>
    </row>
    <row r="1261" ht="27" customHeight="1" spans="1:19">
      <c r="A1261" s="19" t="s">
        <v>5007</v>
      </c>
      <c r="B1261" s="20" t="s">
        <v>139</v>
      </c>
      <c r="C1261" s="20" t="s">
        <v>849</v>
      </c>
      <c r="D1261" s="20" t="s">
        <v>32</v>
      </c>
      <c r="E1261" s="21" t="s">
        <v>5008</v>
      </c>
      <c r="F1261" s="21" t="s">
        <v>5009</v>
      </c>
      <c r="G1261" s="20" t="s">
        <v>35</v>
      </c>
      <c r="H1261" s="20" t="s">
        <v>25</v>
      </c>
      <c r="I1261" s="21" t="s">
        <v>5010</v>
      </c>
      <c r="J1261" s="22">
        <f t="shared" si="95"/>
        <v>2.98402777777665</v>
      </c>
      <c r="K1261" s="22">
        <f t="shared" si="96"/>
        <v>71.6166666666395</v>
      </c>
      <c r="L1261" s="22">
        <f t="shared" si="97"/>
        <v>23.6166666666395</v>
      </c>
      <c r="M1261" s="22" cm="1">
        <f ca="1" t="array" ref="M1261">SUMPRODUCT(--(WEEKDAY(ROW(INDIRECT(INT(F1261)&amp;":"&amp;INT(I1261))),2)&gt;5))</f>
        <v>0</v>
      </c>
      <c r="N1261" s="22">
        <f ca="1" t="shared" si="98"/>
        <v>23.6166666666395</v>
      </c>
      <c r="O1261" s="22" t="str">
        <f ca="1" t="shared" si="99"/>
        <v>SLA Violated</v>
      </c>
      <c r="P1261" s="23" t="s">
        <v>5011</v>
      </c>
      <c r="Q1261" s="24" t="s">
        <v>28</v>
      </c>
      <c r="R1261" s="25"/>
      <c r="S1261" s="25"/>
    </row>
    <row r="1262" ht="27" customHeight="1" spans="1:19">
      <c r="A1262" s="19" t="s">
        <v>5012</v>
      </c>
      <c r="B1262" s="20" t="s">
        <v>30</v>
      </c>
      <c r="C1262" s="20" t="s">
        <v>2057</v>
      </c>
      <c r="D1262" s="20" t="s">
        <v>32</v>
      </c>
      <c r="E1262" s="21" t="s">
        <v>5013</v>
      </c>
      <c r="F1262" s="21" t="s">
        <v>5014</v>
      </c>
      <c r="G1262" s="20" t="s">
        <v>35</v>
      </c>
      <c r="H1262" s="20" t="s">
        <v>25</v>
      </c>
      <c r="I1262" s="21" t="s">
        <v>5015</v>
      </c>
      <c r="J1262" s="22">
        <f t="shared" si="95"/>
        <v>6.24652777778101</v>
      </c>
      <c r="K1262" s="22">
        <f t="shared" si="96"/>
        <v>149.916666666744</v>
      </c>
      <c r="L1262" s="22">
        <f t="shared" si="97"/>
        <v>53.9166666667443</v>
      </c>
      <c r="M1262" s="22" cm="1">
        <f ca="1" t="array" ref="M1262">SUMPRODUCT(--(WEEKDAY(ROW(INDIRECT(INT(F1262)&amp;":"&amp;INT(I1262))),2)&gt;5))</f>
        <v>2</v>
      </c>
      <c r="N1262" s="22">
        <f ca="1" t="shared" si="98"/>
        <v>37.9166666667443</v>
      </c>
      <c r="O1262" s="22" t="str">
        <f ca="1" t="shared" si="99"/>
        <v>SLA Violated</v>
      </c>
      <c r="P1262" s="26" t="s">
        <v>5012</v>
      </c>
      <c r="Q1262" s="24" t="s">
        <v>28</v>
      </c>
      <c r="R1262" s="25"/>
      <c r="S1262" s="25"/>
    </row>
    <row r="1263" ht="27" customHeight="1" spans="1:19">
      <c r="A1263" s="19" t="s">
        <v>5016</v>
      </c>
      <c r="B1263" s="20" t="s">
        <v>30</v>
      </c>
      <c r="C1263" s="20" t="s">
        <v>2057</v>
      </c>
      <c r="D1263" s="20" t="s">
        <v>32</v>
      </c>
      <c r="E1263" s="21" t="s">
        <v>5017</v>
      </c>
      <c r="F1263" s="21" t="s">
        <v>5018</v>
      </c>
      <c r="G1263" s="20" t="s">
        <v>35</v>
      </c>
      <c r="H1263" s="20" t="s">
        <v>25</v>
      </c>
      <c r="I1263" s="21" t="s">
        <v>5019</v>
      </c>
      <c r="J1263" s="22">
        <f t="shared" si="95"/>
        <v>6.23263888889051</v>
      </c>
      <c r="K1263" s="22">
        <f t="shared" si="96"/>
        <v>149.583333333372</v>
      </c>
      <c r="L1263" s="22">
        <f t="shared" si="97"/>
        <v>53.5833333333721</v>
      </c>
      <c r="M1263" s="22" cm="1">
        <f ca="1" t="array" ref="M1263">SUMPRODUCT(--(WEEKDAY(ROW(INDIRECT(INT(F1263)&amp;":"&amp;INT(I1263))),2)&gt;5))</f>
        <v>2</v>
      </c>
      <c r="N1263" s="22">
        <f ca="1" t="shared" si="98"/>
        <v>37.5833333333721</v>
      </c>
      <c r="O1263" s="22" t="str">
        <f ca="1" t="shared" si="99"/>
        <v>SLA Violated</v>
      </c>
      <c r="P1263" s="26" t="s">
        <v>5016</v>
      </c>
      <c r="Q1263" s="24" t="s">
        <v>28</v>
      </c>
      <c r="R1263" s="25"/>
      <c r="S1263" s="25"/>
    </row>
    <row r="1264" ht="27" customHeight="1" spans="1:19">
      <c r="A1264" s="19" t="s">
        <v>5020</v>
      </c>
      <c r="B1264" s="20" t="s">
        <v>30</v>
      </c>
      <c r="C1264" s="20" t="s">
        <v>31</v>
      </c>
      <c r="D1264" s="20" t="s">
        <v>32</v>
      </c>
      <c r="E1264" s="21" t="s">
        <v>5017</v>
      </c>
      <c r="F1264" s="21" t="s">
        <v>5021</v>
      </c>
      <c r="G1264" s="20" t="s">
        <v>35</v>
      </c>
      <c r="H1264" s="20" t="s">
        <v>25</v>
      </c>
      <c r="I1264" s="21" t="s">
        <v>5022</v>
      </c>
      <c r="J1264" s="22">
        <f t="shared" si="95"/>
        <v>6.00624999999854</v>
      </c>
      <c r="K1264" s="22">
        <f t="shared" si="96"/>
        <v>144.149999999965</v>
      </c>
      <c r="L1264" s="22">
        <f t="shared" si="97"/>
        <v>48.1499999999651</v>
      </c>
      <c r="M1264" s="22" cm="1">
        <f ca="1" t="array" ref="M1264">SUMPRODUCT(--(WEEKDAY(ROW(INDIRECT(INT(F1264)&amp;":"&amp;INT(I1264))),2)&gt;5))</f>
        <v>2</v>
      </c>
      <c r="N1264" s="22">
        <f ca="1" t="shared" si="98"/>
        <v>32.1499999999651</v>
      </c>
      <c r="O1264" s="22" t="str">
        <f ca="1" t="shared" si="99"/>
        <v>SLA Violated</v>
      </c>
      <c r="P1264" s="26" t="s">
        <v>5020</v>
      </c>
      <c r="Q1264" s="24" t="s">
        <v>37</v>
      </c>
      <c r="R1264" s="6" t="s">
        <v>1084</v>
      </c>
      <c r="S1264" s="25" t="s">
        <v>39</v>
      </c>
    </row>
    <row r="1265" ht="27" customHeight="1" spans="1:19">
      <c r="A1265" s="19" t="s">
        <v>5023</v>
      </c>
      <c r="B1265" s="20" t="s">
        <v>30</v>
      </c>
      <c r="C1265" s="20" t="s">
        <v>849</v>
      </c>
      <c r="D1265" s="20" t="s">
        <v>32</v>
      </c>
      <c r="E1265" s="21" t="s">
        <v>5024</v>
      </c>
      <c r="F1265" s="21" t="s">
        <v>5025</v>
      </c>
      <c r="G1265" s="20" t="s">
        <v>35</v>
      </c>
      <c r="H1265" s="20" t="s">
        <v>25</v>
      </c>
      <c r="I1265" s="21" t="s">
        <v>5026</v>
      </c>
      <c r="J1265" s="22">
        <f t="shared" si="95"/>
        <v>7.06874999999854</v>
      </c>
      <c r="K1265" s="22">
        <f t="shared" si="96"/>
        <v>169.649999999965</v>
      </c>
      <c r="L1265" s="22">
        <f t="shared" si="97"/>
        <v>57.6499999999651</v>
      </c>
      <c r="M1265" s="22" cm="1">
        <f ca="1" t="array" ref="M1265">SUMPRODUCT(--(WEEKDAY(ROW(INDIRECT(INT(F1265)&amp;":"&amp;INT(I1265))),2)&gt;5))</f>
        <v>2</v>
      </c>
      <c r="N1265" s="22">
        <f ca="1" t="shared" si="98"/>
        <v>41.6499999999651</v>
      </c>
      <c r="O1265" s="22" t="str">
        <f ca="1" t="shared" si="99"/>
        <v>SLA Violated</v>
      </c>
      <c r="P1265" s="23" t="s">
        <v>5027</v>
      </c>
      <c r="Q1265" s="24" t="s">
        <v>28</v>
      </c>
      <c r="R1265" s="25"/>
      <c r="S1265" s="25"/>
    </row>
    <row r="1266" ht="27" customHeight="1" spans="1:19">
      <c r="A1266" s="19" t="s">
        <v>5028</v>
      </c>
      <c r="B1266" s="20" t="s">
        <v>30</v>
      </c>
      <c r="C1266" s="20" t="s">
        <v>2057</v>
      </c>
      <c r="D1266" s="20" t="s">
        <v>32</v>
      </c>
      <c r="E1266" s="21" t="s">
        <v>5024</v>
      </c>
      <c r="F1266" s="21" t="s">
        <v>5029</v>
      </c>
      <c r="G1266" s="20" t="s">
        <v>35</v>
      </c>
      <c r="H1266" s="20" t="s">
        <v>25</v>
      </c>
      <c r="I1266" s="21" t="s">
        <v>5030</v>
      </c>
      <c r="J1266" s="22">
        <f t="shared" si="95"/>
        <v>7.06874999999854</v>
      </c>
      <c r="K1266" s="22">
        <f t="shared" si="96"/>
        <v>169.649999999965</v>
      </c>
      <c r="L1266" s="22">
        <f t="shared" si="97"/>
        <v>57.6499999999651</v>
      </c>
      <c r="M1266" s="22" cm="1">
        <f ca="1" t="array" ref="M1266">SUMPRODUCT(--(WEEKDAY(ROW(INDIRECT(INT(F1266)&amp;":"&amp;INT(I1266))),2)&gt;5))</f>
        <v>2</v>
      </c>
      <c r="N1266" s="22">
        <f ca="1" t="shared" si="98"/>
        <v>41.6499999999651</v>
      </c>
      <c r="O1266" s="22" t="str">
        <f ca="1" t="shared" si="99"/>
        <v>SLA Violated</v>
      </c>
      <c r="P1266" s="26" t="s">
        <v>5028</v>
      </c>
      <c r="Q1266" s="24" t="s">
        <v>28</v>
      </c>
      <c r="R1266" s="25"/>
      <c r="S1266" s="25"/>
    </row>
    <row r="1267" ht="27" customHeight="1" spans="1:19">
      <c r="A1267" s="19" t="s">
        <v>5031</v>
      </c>
      <c r="B1267" s="20" t="s">
        <v>30</v>
      </c>
      <c r="C1267" s="20" t="s">
        <v>2057</v>
      </c>
      <c r="D1267" s="20" t="s">
        <v>105</v>
      </c>
      <c r="E1267" s="21" t="s">
        <v>5024</v>
      </c>
      <c r="F1267" s="21" t="s">
        <v>5029</v>
      </c>
      <c r="G1267" s="20" t="s">
        <v>35</v>
      </c>
      <c r="H1267" s="20" t="s">
        <v>25</v>
      </c>
      <c r="I1267" s="21" t="s">
        <v>5032</v>
      </c>
      <c r="J1267" s="22">
        <f t="shared" si="95"/>
        <v>7.0666666666657</v>
      </c>
      <c r="K1267" s="22">
        <f t="shared" si="96"/>
        <v>169.599999999977</v>
      </c>
      <c r="L1267" s="22">
        <f t="shared" si="97"/>
        <v>57.5999999999767</v>
      </c>
      <c r="M1267" s="22" cm="1">
        <f ca="1" t="array" ref="M1267">SUMPRODUCT(--(WEEKDAY(ROW(INDIRECT(INT(F1267)&amp;":"&amp;INT(I1267))),2)&gt;5))</f>
        <v>2</v>
      </c>
      <c r="N1267" s="22">
        <f ca="1" t="shared" si="98"/>
        <v>41.5999999999767</v>
      </c>
      <c r="O1267" s="22" t="str">
        <f ca="1" t="shared" si="99"/>
        <v>SLA Violated</v>
      </c>
      <c r="P1267" s="23" t="s">
        <v>5033</v>
      </c>
      <c r="Q1267" s="24" t="s">
        <v>28</v>
      </c>
      <c r="R1267" s="25"/>
      <c r="S1267" s="25"/>
    </row>
    <row r="1268" ht="27" customHeight="1" spans="1:19">
      <c r="A1268" s="19" t="s">
        <v>5034</v>
      </c>
      <c r="B1268" s="20" t="s">
        <v>30</v>
      </c>
      <c r="C1268" s="20" t="s">
        <v>31</v>
      </c>
      <c r="D1268" s="20" t="s">
        <v>21</v>
      </c>
      <c r="E1268" s="21" t="s">
        <v>5035</v>
      </c>
      <c r="F1268" s="21" t="s">
        <v>5036</v>
      </c>
      <c r="G1268" s="20" t="s">
        <v>35</v>
      </c>
      <c r="H1268" s="20" t="s">
        <v>25</v>
      </c>
      <c r="I1268" s="21" t="s">
        <v>5037</v>
      </c>
      <c r="J1268" s="22">
        <f t="shared" si="95"/>
        <v>1.80208333333576</v>
      </c>
      <c r="K1268" s="22">
        <f t="shared" si="96"/>
        <v>43.2500000000582</v>
      </c>
      <c r="L1268" s="22">
        <f t="shared" si="97"/>
        <v>11.2500000000582</v>
      </c>
      <c r="M1268" s="22" cm="1">
        <f ca="1" t="array" ref="M1268">SUMPRODUCT(--(WEEKDAY(ROW(INDIRECT(INT(F1268)&amp;":"&amp;INT(I1268))),2)&gt;5))</f>
        <v>0</v>
      </c>
      <c r="N1268" s="22">
        <f ca="1" t="shared" si="98"/>
        <v>11.2500000000582</v>
      </c>
      <c r="O1268" s="22" t="str">
        <f ca="1" t="shared" si="99"/>
        <v>SLA Violated</v>
      </c>
      <c r="P1268" s="26" t="s">
        <v>5034</v>
      </c>
      <c r="Q1268" s="24" t="s">
        <v>37</v>
      </c>
      <c r="R1268" s="6" t="s">
        <v>3288</v>
      </c>
      <c r="S1268" s="25" t="s">
        <v>39</v>
      </c>
    </row>
    <row r="1269" ht="39" customHeight="1" spans="1:19">
      <c r="A1269" s="19" t="s">
        <v>5038</v>
      </c>
      <c r="B1269" s="20" t="s">
        <v>19</v>
      </c>
      <c r="C1269" s="20" t="s">
        <v>20</v>
      </c>
      <c r="D1269" s="20" t="s">
        <v>32</v>
      </c>
      <c r="E1269" s="21" t="s">
        <v>5035</v>
      </c>
      <c r="F1269" s="21" t="s">
        <v>5039</v>
      </c>
      <c r="G1269" s="20" t="s">
        <v>35</v>
      </c>
      <c r="H1269" s="20" t="s">
        <v>25</v>
      </c>
      <c r="I1269" s="21" t="s">
        <v>5040</v>
      </c>
      <c r="J1269" s="22">
        <f t="shared" si="95"/>
        <v>0.0819444444496185</v>
      </c>
      <c r="K1269" s="22">
        <f t="shared" si="96"/>
        <v>1.96666666679084</v>
      </c>
      <c r="L1269" s="22">
        <f t="shared" si="97"/>
        <v>1.96666666679084</v>
      </c>
      <c r="M1269" s="22" cm="1">
        <f ca="1" t="array" ref="M1269">SUMPRODUCT(--(WEEKDAY(ROW(INDIRECT(INT(F1269)&amp;":"&amp;INT(I1269))),2)&gt;5))</f>
        <v>0</v>
      </c>
      <c r="N1269" s="22">
        <f ca="1" t="shared" si="98"/>
        <v>1.96666666679084</v>
      </c>
      <c r="O1269" s="22" t="str">
        <f ca="1" t="shared" si="99"/>
        <v>Within SLA</v>
      </c>
      <c r="P1269" s="26" t="s">
        <v>5038</v>
      </c>
      <c r="Q1269" s="24" t="s">
        <v>37</v>
      </c>
      <c r="R1269" s="25"/>
      <c r="S1269" s="25"/>
    </row>
    <row r="1270" ht="27" customHeight="1" spans="1:19">
      <c r="A1270" s="19" t="s">
        <v>5041</v>
      </c>
      <c r="B1270" s="20" t="s">
        <v>30</v>
      </c>
      <c r="C1270" s="20" t="s">
        <v>2057</v>
      </c>
      <c r="D1270" s="20" t="s">
        <v>32</v>
      </c>
      <c r="E1270" s="21" t="s">
        <v>4641</v>
      </c>
      <c r="F1270" s="21" t="s">
        <v>5042</v>
      </c>
      <c r="G1270" s="20" t="s">
        <v>35</v>
      </c>
      <c r="H1270" s="20" t="s">
        <v>25</v>
      </c>
      <c r="I1270" s="21" t="s">
        <v>5043</v>
      </c>
      <c r="J1270" s="22">
        <f t="shared" si="95"/>
        <v>6.23263888889051</v>
      </c>
      <c r="K1270" s="22">
        <f t="shared" si="96"/>
        <v>149.583333333372</v>
      </c>
      <c r="L1270" s="22">
        <f t="shared" si="97"/>
        <v>53.5833333333721</v>
      </c>
      <c r="M1270" s="22" cm="1">
        <f ca="1" t="array" ref="M1270">SUMPRODUCT(--(WEEKDAY(ROW(INDIRECT(INT(F1270)&amp;":"&amp;INT(I1270))),2)&gt;5))</f>
        <v>2</v>
      </c>
      <c r="N1270" s="22">
        <f ca="1" t="shared" si="98"/>
        <v>37.5833333333721</v>
      </c>
      <c r="O1270" s="22" t="str">
        <f ca="1" t="shared" si="99"/>
        <v>SLA Violated</v>
      </c>
      <c r="P1270" s="26" t="s">
        <v>5041</v>
      </c>
      <c r="Q1270" s="24" t="s">
        <v>28</v>
      </c>
      <c r="R1270" s="25"/>
      <c r="S1270" s="25"/>
    </row>
    <row r="1271" ht="27" customHeight="1" spans="1:19">
      <c r="A1271" s="19" t="s">
        <v>5044</v>
      </c>
      <c r="B1271" s="20" t="s">
        <v>30</v>
      </c>
      <c r="C1271" s="20" t="s">
        <v>2057</v>
      </c>
      <c r="D1271" s="20" t="s">
        <v>32</v>
      </c>
      <c r="E1271" s="21" t="s">
        <v>5045</v>
      </c>
      <c r="F1271" s="21" t="s">
        <v>5046</v>
      </c>
      <c r="G1271" s="20" t="s">
        <v>35</v>
      </c>
      <c r="H1271" s="20" t="s">
        <v>25</v>
      </c>
      <c r="I1271" s="21" t="s">
        <v>5047</v>
      </c>
      <c r="J1271" s="22">
        <f t="shared" si="95"/>
        <v>6.02291666666133</v>
      </c>
      <c r="K1271" s="22">
        <f t="shared" si="96"/>
        <v>144.549999999872</v>
      </c>
      <c r="L1271" s="22">
        <f t="shared" si="97"/>
        <v>48.5499999998719</v>
      </c>
      <c r="M1271" s="22" cm="1">
        <f ca="1" t="array" ref="M1271">SUMPRODUCT(--(WEEKDAY(ROW(INDIRECT(INT(F1271)&amp;":"&amp;INT(I1271))),2)&gt;5))</f>
        <v>2</v>
      </c>
      <c r="N1271" s="22">
        <f ca="1" t="shared" si="98"/>
        <v>32.5499999998719</v>
      </c>
      <c r="O1271" s="22" t="str">
        <f ca="1" t="shared" si="99"/>
        <v>SLA Violated</v>
      </c>
      <c r="P1271" s="26" t="s">
        <v>5044</v>
      </c>
      <c r="Q1271" s="24" t="s">
        <v>28</v>
      </c>
      <c r="R1271" s="25"/>
      <c r="S1271" s="25"/>
    </row>
    <row r="1272" ht="39" customHeight="1" spans="1:19">
      <c r="A1272" s="19" t="s">
        <v>5048</v>
      </c>
      <c r="B1272" s="20" t="s">
        <v>19</v>
      </c>
      <c r="C1272" s="20" t="s">
        <v>20</v>
      </c>
      <c r="D1272" s="20" t="s">
        <v>32</v>
      </c>
      <c r="E1272" s="21" t="s">
        <v>5049</v>
      </c>
      <c r="F1272" s="21" t="s">
        <v>5050</v>
      </c>
      <c r="G1272" s="20" t="s">
        <v>35</v>
      </c>
      <c r="H1272" s="20" t="s">
        <v>25</v>
      </c>
      <c r="I1272" s="21" t="s">
        <v>5051</v>
      </c>
      <c r="J1272" s="22">
        <f t="shared" si="95"/>
        <v>9.24027777777519</v>
      </c>
      <c r="K1272" s="22">
        <f t="shared" si="96"/>
        <v>221.766666666605</v>
      </c>
      <c r="L1272" s="22">
        <f t="shared" si="97"/>
        <v>77.7666666666046</v>
      </c>
      <c r="M1272" s="22" cm="1">
        <f ca="1" t="array" ref="M1272">SUMPRODUCT(--(WEEKDAY(ROW(INDIRECT(INT(F1272)&amp;":"&amp;INT(I1272))),2)&gt;5))</f>
        <v>2</v>
      </c>
      <c r="N1272" s="22">
        <f ca="1" t="shared" si="98"/>
        <v>61.7666666666046</v>
      </c>
      <c r="O1272" s="22" t="str">
        <f ca="1" t="shared" si="99"/>
        <v>SLA Violated</v>
      </c>
      <c r="P1272" s="23" t="s">
        <v>5052</v>
      </c>
      <c r="Q1272" s="24" t="s">
        <v>28</v>
      </c>
      <c r="R1272" s="25"/>
      <c r="S1272" s="25"/>
    </row>
    <row r="1273" ht="39" customHeight="1" spans="1:19">
      <c r="A1273" s="19" t="s">
        <v>5053</v>
      </c>
      <c r="B1273" s="20" t="s">
        <v>19</v>
      </c>
      <c r="C1273" s="20" t="s">
        <v>20</v>
      </c>
      <c r="D1273" s="20" t="s">
        <v>32</v>
      </c>
      <c r="E1273" s="21" t="s">
        <v>5049</v>
      </c>
      <c r="F1273" s="21" t="s">
        <v>5054</v>
      </c>
      <c r="G1273" s="20" t="s">
        <v>35</v>
      </c>
      <c r="H1273" s="20" t="s">
        <v>25</v>
      </c>
      <c r="I1273" s="21" t="s">
        <v>5055</v>
      </c>
      <c r="J1273" s="22">
        <f t="shared" si="95"/>
        <v>1.03402777777956</v>
      </c>
      <c r="K1273" s="22">
        <f t="shared" si="96"/>
        <v>24.8166666667094</v>
      </c>
      <c r="L1273" s="22">
        <f t="shared" si="97"/>
        <v>8.81666666670935</v>
      </c>
      <c r="M1273" s="22" cm="1">
        <f ca="1" t="array" ref="M1273">SUMPRODUCT(--(WEEKDAY(ROW(INDIRECT(INT(F1273)&amp;":"&amp;INT(I1273))),2)&gt;5))</f>
        <v>0</v>
      </c>
      <c r="N1273" s="22">
        <f ca="1" t="shared" si="98"/>
        <v>8.81666666670935</v>
      </c>
      <c r="O1273" s="22" t="str">
        <f ca="1" t="shared" si="99"/>
        <v>Within SLA</v>
      </c>
      <c r="P1273" s="26" t="s">
        <v>5053</v>
      </c>
      <c r="Q1273" s="24" t="s">
        <v>37</v>
      </c>
      <c r="R1273" s="25"/>
      <c r="S1273" s="25"/>
    </row>
    <row r="1274" ht="16" customHeight="1" spans="1:19">
      <c r="A1274" s="28" t="s">
        <v>5056</v>
      </c>
      <c r="B1274" s="20" t="s">
        <v>100</v>
      </c>
      <c r="C1274" s="20" t="s">
        <v>101</v>
      </c>
      <c r="D1274" s="20" t="s">
        <v>32</v>
      </c>
      <c r="E1274" s="21" t="s">
        <v>5057</v>
      </c>
      <c r="F1274" s="21" t="s">
        <v>5058</v>
      </c>
      <c r="G1274" s="20" t="s">
        <v>35</v>
      </c>
      <c r="H1274" s="20" t="s">
        <v>25</v>
      </c>
      <c r="I1274" s="21" t="s">
        <v>5051</v>
      </c>
      <c r="J1274" s="22">
        <f t="shared" si="95"/>
        <v>17.1888888888861</v>
      </c>
      <c r="K1274" s="22">
        <f t="shared" si="96"/>
        <v>412.533333333267</v>
      </c>
      <c r="L1274" s="22">
        <f t="shared" si="97"/>
        <v>140.533333333267</v>
      </c>
      <c r="M1274" s="22" cm="1">
        <f ca="1" t="array" ref="M1274">SUMPRODUCT(--(WEEKDAY(ROW(INDIRECT(INT(F1274)&amp;":"&amp;INT(I1274))),2)&gt;5))</f>
        <v>4</v>
      </c>
      <c r="N1274" s="22">
        <f ca="1" t="shared" si="98"/>
        <v>108.533333333267</v>
      </c>
      <c r="O1274" s="22" t="str">
        <f ca="1" t="shared" si="99"/>
        <v>SLA Violated</v>
      </c>
      <c r="P1274" s="26" t="s">
        <v>5059</v>
      </c>
      <c r="Q1274" s="24" t="s">
        <v>37</v>
      </c>
      <c r="R1274" s="25" t="s">
        <v>2424</v>
      </c>
      <c r="S1274" s="25" t="s">
        <v>39</v>
      </c>
    </row>
    <row r="1275" ht="27" customHeight="1" spans="1:19">
      <c r="A1275" s="19" t="s">
        <v>5060</v>
      </c>
      <c r="B1275" s="20" t="s">
        <v>30</v>
      </c>
      <c r="C1275" s="20" t="s">
        <v>31</v>
      </c>
      <c r="D1275" s="20" t="s">
        <v>32</v>
      </c>
      <c r="E1275" s="21" t="s">
        <v>5061</v>
      </c>
      <c r="F1275" s="21" t="s">
        <v>5062</v>
      </c>
      <c r="G1275" s="20" t="s">
        <v>35</v>
      </c>
      <c r="H1275" s="20" t="s">
        <v>25</v>
      </c>
      <c r="I1275" s="21" t="s">
        <v>5063</v>
      </c>
      <c r="J1275" s="22">
        <f t="shared" si="95"/>
        <v>0.962500000001455</v>
      </c>
      <c r="K1275" s="22">
        <f t="shared" si="96"/>
        <v>23.1000000000349</v>
      </c>
      <c r="L1275" s="22">
        <f t="shared" si="97"/>
        <v>7.10000000003492</v>
      </c>
      <c r="M1275" s="22" cm="1">
        <f ca="1" t="array" ref="M1275">SUMPRODUCT(--(WEEKDAY(ROW(INDIRECT(INT(F1275)&amp;":"&amp;INT(I1275))),2)&gt;5))</f>
        <v>0</v>
      </c>
      <c r="N1275" s="22">
        <f ca="1" t="shared" si="98"/>
        <v>7.10000000003492</v>
      </c>
      <c r="O1275" s="22" t="str">
        <f ca="1" t="shared" si="99"/>
        <v>Within SLA</v>
      </c>
      <c r="P1275" s="26" t="s">
        <v>5060</v>
      </c>
      <c r="Q1275" s="24" t="s">
        <v>37</v>
      </c>
      <c r="R1275" s="25"/>
      <c r="S1275" s="25"/>
    </row>
    <row r="1276" ht="27" customHeight="1" spans="1:19">
      <c r="A1276" s="19" t="s">
        <v>5064</v>
      </c>
      <c r="B1276" s="20" t="s">
        <v>30</v>
      </c>
      <c r="C1276" s="20" t="s">
        <v>2057</v>
      </c>
      <c r="D1276" s="20" t="s">
        <v>32</v>
      </c>
      <c r="E1276" s="21" t="s">
        <v>5065</v>
      </c>
      <c r="F1276" s="21" t="s">
        <v>5066</v>
      </c>
      <c r="G1276" s="20" t="s">
        <v>35</v>
      </c>
      <c r="H1276" s="20" t="s">
        <v>25</v>
      </c>
      <c r="I1276" s="21" t="s">
        <v>5067</v>
      </c>
      <c r="J1276" s="22">
        <f t="shared" si="95"/>
        <v>7.08263888888905</v>
      </c>
      <c r="K1276" s="22">
        <f t="shared" si="96"/>
        <v>169.983333333337</v>
      </c>
      <c r="L1276" s="22">
        <f t="shared" si="97"/>
        <v>57.9833333333372</v>
      </c>
      <c r="M1276" s="22" cm="1">
        <f ca="1" t="array" ref="M1276">SUMPRODUCT(--(WEEKDAY(ROW(INDIRECT(INT(F1276)&amp;":"&amp;INT(I1276))),2)&gt;5))</f>
        <v>2</v>
      </c>
      <c r="N1276" s="22">
        <f ca="1" t="shared" si="98"/>
        <v>41.9833333333372</v>
      </c>
      <c r="O1276" s="22" t="str">
        <f ca="1" t="shared" si="99"/>
        <v>SLA Violated</v>
      </c>
      <c r="P1276" s="26" t="s">
        <v>5064</v>
      </c>
      <c r="Q1276" s="24" t="s">
        <v>28</v>
      </c>
      <c r="R1276" s="25"/>
      <c r="S1276" s="25"/>
    </row>
    <row r="1277" ht="27" customHeight="1" spans="1:19">
      <c r="A1277" s="19" t="s">
        <v>5068</v>
      </c>
      <c r="B1277" s="20" t="s">
        <v>30</v>
      </c>
      <c r="C1277" s="20" t="s">
        <v>31</v>
      </c>
      <c r="D1277" s="20" t="s">
        <v>32</v>
      </c>
      <c r="E1277" s="21" t="s">
        <v>5065</v>
      </c>
      <c r="F1277" s="21" t="s">
        <v>5069</v>
      </c>
      <c r="G1277" s="20" t="s">
        <v>35</v>
      </c>
      <c r="H1277" s="20" t="s">
        <v>25</v>
      </c>
      <c r="I1277" s="21" t="s">
        <v>5070</v>
      </c>
      <c r="J1277" s="22">
        <f t="shared" si="95"/>
        <v>0.370138888887595</v>
      </c>
      <c r="K1277" s="22">
        <f t="shared" si="96"/>
        <v>8.88333333330229</v>
      </c>
      <c r="L1277" s="22">
        <f t="shared" si="97"/>
        <v>-7.11666666669771</v>
      </c>
      <c r="M1277" s="22" cm="1">
        <f ca="1" t="array" ref="M1277">SUMPRODUCT(--(WEEKDAY(ROW(INDIRECT(INT(F1277)&amp;":"&amp;INT(I1277))),2)&gt;5))</f>
        <v>0</v>
      </c>
      <c r="N1277" s="22">
        <f ca="1" t="shared" si="98"/>
        <v>0</v>
      </c>
      <c r="O1277" s="22" t="str">
        <f ca="1" t="shared" si="99"/>
        <v>Within SLA</v>
      </c>
      <c r="P1277" s="26" t="s">
        <v>5068</v>
      </c>
      <c r="Q1277" s="24" t="s">
        <v>37</v>
      </c>
      <c r="R1277" s="25"/>
      <c r="S1277" s="25"/>
    </row>
    <row r="1278" ht="27" customHeight="1" spans="1:19">
      <c r="A1278" s="19" t="s">
        <v>5071</v>
      </c>
      <c r="B1278" s="20" t="s">
        <v>30</v>
      </c>
      <c r="C1278" s="20" t="s">
        <v>2057</v>
      </c>
      <c r="D1278" s="20" t="s">
        <v>32</v>
      </c>
      <c r="E1278" s="21" t="s">
        <v>4688</v>
      </c>
      <c r="F1278" s="21" t="s">
        <v>5072</v>
      </c>
      <c r="G1278" s="20" t="s">
        <v>35</v>
      </c>
      <c r="H1278" s="20" t="s">
        <v>25</v>
      </c>
      <c r="I1278" s="21" t="s">
        <v>5073</v>
      </c>
      <c r="J1278" s="22">
        <f t="shared" si="95"/>
        <v>7.0805555555562</v>
      </c>
      <c r="K1278" s="22">
        <f t="shared" si="96"/>
        <v>169.933333333349</v>
      </c>
      <c r="L1278" s="22">
        <f t="shared" si="97"/>
        <v>57.9333333333489</v>
      </c>
      <c r="M1278" s="22" cm="1">
        <f ca="1" t="array" ref="M1278">SUMPRODUCT(--(WEEKDAY(ROW(INDIRECT(INT(F1278)&amp;":"&amp;INT(I1278))),2)&gt;5))</f>
        <v>2</v>
      </c>
      <c r="N1278" s="22">
        <f ca="1" t="shared" si="98"/>
        <v>41.9333333333489</v>
      </c>
      <c r="O1278" s="22" t="str">
        <f ca="1" t="shared" si="99"/>
        <v>SLA Violated</v>
      </c>
      <c r="P1278" s="26" t="s">
        <v>5071</v>
      </c>
      <c r="Q1278" s="24" t="s">
        <v>28</v>
      </c>
      <c r="R1278" s="25"/>
      <c r="S1278" s="25"/>
    </row>
    <row r="1279" ht="27" customHeight="1" spans="1:19">
      <c r="A1279" s="19" t="s">
        <v>5074</v>
      </c>
      <c r="B1279" s="20" t="s">
        <v>30</v>
      </c>
      <c r="C1279" s="20" t="s">
        <v>31</v>
      </c>
      <c r="D1279" s="20" t="s">
        <v>32</v>
      </c>
      <c r="E1279" s="21" t="s">
        <v>4982</v>
      </c>
      <c r="F1279" s="21" t="s">
        <v>5075</v>
      </c>
      <c r="G1279" s="20" t="s">
        <v>35</v>
      </c>
      <c r="H1279" s="20" t="s">
        <v>25</v>
      </c>
      <c r="I1279" s="21" t="s">
        <v>5076</v>
      </c>
      <c r="J1279" s="22">
        <f t="shared" si="95"/>
        <v>0.364583333335759</v>
      </c>
      <c r="K1279" s="22">
        <f t="shared" si="96"/>
        <v>8.75000000005821</v>
      </c>
      <c r="L1279" s="22">
        <f t="shared" si="97"/>
        <v>-7.24999999994179</v>
      </c>
      <c r="M1279" s="22" cm="1">
        <f ca="1" t="array" ref="M1279">SUMPRODUCT(--(WEEKDAY(ROW(INDIRECT(INT(F1279)&amp;":"&amp;INT(I1279))),2)&gt;5))</f>
        <v>0</v>
      </c>
      <c r="N1279" s="22">
        <f ca="1" t="shared" si="98"/>
        <v>0</v>
      </c>
      <c r="O1279" s="22" t="str">
        <f ca="1" t="shared" si="99"/>
        <v>Within SLA</v>
      </c>
      <c r="P1279" s="26" t="s">
        <v>5074</v>
      </c>
      <c r="Q1279" s="24" t="s">
        <v>37</v>
      </c>
      <c r="R1279" s="25"/>
      <c r="S1279" s="25"/>
    </row>
    <row r="1280" ht="39" customHeight="1" spans="1:19">
      <c r="A1280" s="19" t="s">
        <v>5077</v>
      </c>
      <c r="B1280" s="20" t="s">
        <v>19</v>
      </c>
      <c r="C1280" s="20" t="s">
        <v>20</v>
      </c>
      <c r="D1280" s="20" t="s">
        <v>32</v>
      </c>
      <c r="E1280" s="21" t="s">
        <v>5055</v>
      </c>
      <c r="F1280" s="21" t="s">
        <v>5078</v>
      </c>
      <c r="G1280" s="20" t="s">
        <v>35</v>
      </c>
      <c r="H1280" s="20" t="s">
        <v>25</v>
      </c>
      <c r="I1280" s="21" t="s">
        <v>5079</v>
      </c>
      <c r="J1280" s="22">
        <f t="shared" si="95"/>
        <v>0.965972222220444</v>
      </c>
      <c r="K1280" s="22">
        <f t="shared" si="96"/>
        <v>23.1833333332906</v>
      </c>
      <c r="L1280" s="22">
        <f t="shared" si="97"/>
        <v>7.18333333329065</v>
      </c>
      <c r="M1280" s="22" cm="1">
        <f ca="1" t="array" ref="M1280">SUMPRODUCT(--(WEEKDAY(ROW(INDIRECT(INT(F1280)&amp;":"&amp;INT(I1280))),2)&gt;5))</f>
        <v>0</v>
      </c>
      <c r="N1280" s="22">
        <f ca="1" t="shared" si="98"/>
        <v>7.18333333329065</v>
      </c>
      <c r="O1280" s="22" t="str">
        <f ca="1" t="shared" si="99"/>
        <v>Within SLA</v>
      </c>
      <c r="P1280" s="26" t="s">
        <v>5077</v>
      </c>
      <c r="Q1280" s="24" t="s">
        <v>37</v>
      </c>
      <c r="R1280" s="25"/>
      <c r="S1280" s="25"/>
    </row>
    <row r="1281" ht="27" customHeight="1" spans="1:19">
      <c r="A1281" s="19" t="s">
        <v>5080</v>
      </c>
      <c r="B1281" s="20" t="s">
        <v>30</v>
      </c>
      <c r="C1281" s="20" t="s">
        <v>2057</v>
      </c>
      <c r="D1281" s="20" t="s">
        <v>32</v>
      </c>
      <c r="E1281" s="21" t="s">
        <v>5081</v>
      </c>
      <c r="F1281" s="21" t="s">
        <v>5082</v>
      </c>
      <c r="G1281" s="20" t="s">
        <v>35</v>
      </c>
      <c r="H1281" s="20" t="s">
        <v>25</v>
      </c>
      <c r="I1281" s="21" t="s">
        <v>5083</v>
      </c>
      <c r="J1281" s="22">
        <f t="shared" si="95"/>
        <v>6.2451388888876</v>
      </c>
      <c r="K1281" s="22">
        <f t="shared" si="96"/>
        <v>149.883333333302</v>
      </c>
      <c r="L1281" s="22">
        <f t="shared" si="97"/>
        <v>53.8833333333023</v>
      </c>
      <c r="M1281" s="22" cm="1">
        <f ca="1" t="array" ref="M1281">SUMPRODUCT(--(WEEKDAY(ROW(INDIRECT(INT(F1281)&amp;":"&amp;INT(I1281))),2)&gt;5))</f>
        <v>2</v>
      </c>
      <c r="N1281" s="22">
        <f ca="1" t="shared" si="98"/>
        <v>37.8833333333023</v>
      </c>
      <c r="O1281" s="22" t="str">
        <f ca="1" t="shared" si="99"/>
        <v>SLA Violated</v>
      </c>
      <c r="P1281" s="26" t="s">
        <v>5080</v>
      </c>
      <c r="Q1281" s="24" t="s">
        <v>28</v>
      </c>
      <c r="R1281" s="25"/>
      <c r="S1281" s="25"/>
    </row>
    <row r="1282" ht="27" customHeight="1" spans="1:19">
      <c r="A1282" s="19" t="s">
        <v>5084</v>
      </c>
      <c r="B1282" s="20" t="s">
        <v>30</v>
      </c>
      <c r="C1282" s="20" t="s">
        <v>2057</v>
      </c>
      <c r="D1282" s="20" t="s">
        <v>21</v>
      </c>
      <c r="E1282" s="21" t="s">
        <v>5081</v>
      </c>
      <c r="F1282" s="21" t="s">
        <v>5085</v>
      </c>
      <c r="G1282" s="20" t="s">
        <v>35</v>
      </c>
      <c r="H1282" s="20" t="s">
        <v>25</v>
      </c>
      <c r="I1282" s="21" t="s">
        <v>5086</v>
      </c>
      <c r="J1282" s="22">
        <f t="shared" si="95"/>
        <v>15.8847222222248</v>
      </c>
      <c r="K1282" s="22">
        <f t="shared" si="96"/>
        <v>381.233333333395</v>
      </c>
      <c r="L1282" s="22">
        <f t="shared" si="97"/>
        <v>125.233333333395</v>
      </c>
      <c r="M1282" s="22" cm="1">
        <f ca="1" t="array" ref="M1282">SUMPRODUCT(--(WEEKDAY(ROW(INDIRECT(INT(F1282)&amp;":"&amp;INT(I1282))),2)&gt;5))</f>
        <v>4</v>
      </c>
      <c r="N1282" s="22">
        <f ca="1" t="shared" si="98"/>
        <v>93.233333333395</v>
      </c>
      <c r="O1282" s="22" t="str">
        <f ca="1" t="shared" si="99"/>
        <v>SLA Violated</v>
      </c>
      <c r="P1282" s="23" t="s">
        <v>5087</v>
      </c>
      <c r="Q1282" s="24" t="s">
        <v>28</v>
      </c>
      <c r="R1282" s="25"/>
      <c r="S1282" s="25"/>
    </row>
    <row r="1283" ht="16" customHeight="1" spans="1:19">
      <c r="A1283" s="28" t="s">
        <v>5088</v>
      </c>
      <c r="B1283" s="20" t="s">
        <v>100</v>
      </c>
      <c r="C1283" s="20" t="s">
        <v>101</v>
      </c>
      <c r="D1283" s="20" t="s">
        <v>32</v>
      </c>
      <c r="E1283" s="21" t="s">
        <v>5076</v>
      </c>
      <c r="F1283" s="21" t="s">
        <v>5089</v>
      </c>
      <c r="G1283" s="20" t="s">
        <v>35</v>
      </c>
      <c r="H1283" s="20" t="s">
        <v>25</v>
      </c>
      <c r="I1283" s="21" t="s">
        <v>5090</v>
      </c>
      <c r="J1283" s="22">
        <f t="shared" ref="J1283:J1346" si="100">F1283-I1283</f>
        <v>6.00833333333867</v>
      </c>
      <c r="K1283" s="22">
        <f t="shared" ref="K1283:K1346" si="101">J1283*24</f>
        <v>144.200000000128</v>
      </c>
      <c r="L1283" s="22">
        <f t="shared" ref="L1283:L1346" si="102">IF(_xlfn.DAYS(F1283,I1283)&gt;0,K1283-IF(FLOOR(J1283,1)=0,1,_xlfn.DAYS(F1283,I1283))*16,K1283)</f>
        <v>48.2000000001281</v>
      </c>
      <c r="M1283" s="22" cm="1">
        <f ca="1" t="array" ref="M1283">SUMPRODUCT(--(WEEKDAY(ROW(INDIRECT(INT(F1283)&amp;":"&amp;INT(I1283))),2)&gt;5))</f>
        <v>2</v>
      </c>
      <c r="N1283" s="22">
        <f ca="1" t="shared" ref="N1283:N1346" si="103">IF(IF(M1283&gt;0,L1283-M1283*8,L1283)&lt;0,0,IF(M1283&gt;0,L1283-M1283*8,L1283))</f>
        <v>32.2000000001281</v>
      </c>
      <c r="O1283" s="22" t="str">
        <f ca="1" t="shared" ref="O1283:O1346" si="104">IF(OR(AND(D1283="P1",N1283&lt;=3),AND(D1283="P2",N1283&lt;=6),AND(D1283="P3",N1283&lt;=9),AND(D1283="P4",N1283&lt;=12)),"Within SLA","SLA Violated")</f>
        <v>SLA Violated</v>
      </c>
      <c r="P1283" s="26" t="s">
        <v>5091</v>
      </c>
      <c r="Q1283" s="24" t="s">
        <v>28</v>
      </c>
      <c r="R1283" s="25"/>
      <c r="S1283" s="25"/>
    </row>
    <row r="1284" ht="39" customHeight="1" spans="1:19">
      <c r="A1284" s="19" t="s">
        <v>5092</v>
      </c>
      <c r="B1284" s="20" t="s">
        <v>19</v>
      </c>
      <c r="C1284" s="20" t="s">
        <v>20</v>
      </c>
      <c r="D1284" s="20" t="s">
        <v>32</v>
      </c>
      <c r="E1284" s="21" t="s">
        <v>5093</v>
      </c>
      <c r="F1284" s="21" t="s">
        <v>5094</v>
      </c>
      <c r="G1284" s="20" t="s">
        <v>35</v>
      </c>
      <c r="H1284" s="20" t="s">
        <v>25</v>
      </c>
      <c r="I1284" s="21" t="s">
        <v>5095</v>
      </c>
      <c r="J1284" s="22">
        <f t="shared" si="100"/>
        <v>2.11736111110804</v>
      </c>
      <c r="K1284" s="22">
        <f t="shared" si="101"/>
        <v>50.8166666665929</v>
      </c>
      <c r="L1284" s="22">
        <f t="shared" si="102"/>
        <v>18.8166666665929</v>
      </c>
      <c r="M1284" s="22" cm="1">
        <f ca="1" t="array" ref="M1284">SUMPRODUCT(--(WEEKDAY(ROW(INDIRECT(INT(F1284)&amp;":"&amp;INT(I1284))),2)&gt;5))</f>
        <v>0</v>
      </c>
      <c r="N1284" s="22">
        <f ca="1" t="shared" si="103"/>
        <v>18.8166666665929</v>
      </c>
      <c r="O1284" s="22" t="str">
        <f ca="1" t="shared" si="104"/>
        <v>SLA Violated</v>
      </c>
      <c r="P1284" s="23" t="s">
        <v>5096</v>
      </c>
      <c r="Q1284" s="24" t="s">
        <v>28</v>
      </c>
      <c r="R1284" s="25"/>
      <c r="S1284" s="25"/>
    </row>
    <row r="1285" ht="27" customHeight="1" spans="1:19">
      <c r="A1285" s="19" t="s">
        <v>5097</v>
      </c>
      <c r="B1285" s="20" t="s">
        <v>30</v>
      </c>
      <c r="C1285" s="20" t="s">
        <v>31</v>
      </c>
      <c r="D1285" s="20" t="s">
        <v>32</v>
      </c>
      <c r="E1285" s="21" t="s">
        <v>5093</v>
      </c>
      <c r="F1285" s="21" t="s">
        <v>5098</v>
      </c>
      <c r="G1285" s="20" t="s">
        <v>35</v>
      </c>
      <c r="H1285" s="20" t="s">
        <v>25</v>
      </c>
      <c r="I1285" s="21" t="s">
        <v>5099</v>
      </c>
      <c r="J1285" s="22">
        <f t="shared" si="100"/>
        <v>0.350694444445253</v>
      </c>
      <c r="K1285" s="22">
        <f t="shared" si="101"/>
        <v>8.41666666668607</v>
      </c>
      <c r="L1285" s="22">
        <f t="shared" si="102"/>
        <v>-7.58333333331393</v>
      </c>
      <c r="M1285" s="22" cm="1">
        <f ca="1" t="array" ref="M1285">SUMPRODUCT(--(WEEKDAY(ROW(INDIRECT(INT(F1285)&amp;":"&amp;INT(I1285))),2)&gt;5))</f>
        <v>0</v>
      </c>
      <c r="N1285" s="22">
        <f ca="1" t="shared" si="103"/>
        <v>0</v>
      </c>
      <c r="O1285" s="22" t="str">
        <f ca="1" t="shared" si="104"/>
        <v>Within SLA</v>
      </c>
      <c r="P1285" s="26" t="s">
        <v>5097</v>
      </c>
      <c r="Q1285" s="24" t="s">
        <v>37</v>
      </c>
      <c r="R1285" s="25"/>
      <c r="S1285" s="25"/>
    </row>
    <row r="1286" ht="27" customHeight="1" spans="1:19">
      <c r="A1286" s="19" t="s">
        <v>5100</v>
      </c>
      <c r="B1286" s="20" t="s">
        <v>30</v>
      </c>
      <c r="C1286" s="20" t="s">
        <v>31</v>
      </c>
      <c r="D1286" s="20" t="s">
        <v>32</v>
      </c>
      <c r="E1286" s="21" t="s">
        <v>4814</v>
      </c>
      <c r="F1286" s="21" t="s">
        <v>5101</v>
      </c>
      <c r="G1286" s="20" t="s">
        <v>35</v>
      </c>
      <c r="H1286" s="20" t="s">
        <v>25</v>
      </c>
      <c r="I1286" s="21" t="s">
        <v>5102</v>
      </c>
      <c r="J1286" s="22">
        <f t="shared" si="100"/>
        <v>0.332638888889051</v>
      </c>
      <c r="K1286" s="22">
        <f t="shared" si="101"/>
        <v>7.98333333333721</v>
      </c>
      <c r="L1286" s="22">
        <f t="shared" si="102"/>
        <v>-8.01666666666279</v>
      </c>
      <c r="M1286" s="22" cm="1">
        <f ca="1" t="array" ref="M1286">SUMPRODUCT(--(WEEKDAY(ROW(INDIRECT(INT(F1286)&amp;":"&amp;INT(I1286))),2)&gt;5))</f>
        <v>0</v>
      </c>
      <c r="N1286" s="22">
        <f ca="1" t="shared" si="103"/>
        <v>0</v>
      </c>
      <c r="O1286" s="22" t="str">
        <f ca="1" t="shared" si="104"/>
        <v>Within SLA</v>
      </c>
      <c r="P1286" s="26" t="s">
        <v>5100</v>
      </c>
      <c r="Q1286" s="24" t="s">
        <v>37</v>
      </c>
      <c r="R1286" s="25"/>
      <c r="S1286" s="25"/>
    </row>
    <row r="1287" ht="39" customHeight="1" spans="1:19">
      <c r="A1287" s="19" t="s">
        <v>5103</v>
      </c>
      <c r="B1287" s="20" t="s">
        <v>19</v>
      </c>
      <c r="C1287" s="20" t="s">
        <v>20</v>
      </c>
      <c r="D1287" s="20" t="s">
        <v>32</v>
      </c>
      <c r="E1287" s="21" t="s">
        <v>4814</v>
      </c>
      <c r="F1287" s="21" t="s">
        <v>5104</v>
      </c>
      <c r="G1287" s="20" t="s">
        <v>35</v>
      </c>
      <c r="H1287" s="20" t="s">
        <v>25</v>
      </c>
      <c r="I1287" s="21" t="s">
        <v>3823</v>
      </c>
      <c r="J1287" s="22">
        <f t="shared" si="100"/>
        <v>0.0527777777751908</v>
      </c>
      <c r="K1287" s="22">
        <f t="shared" si="101"/>
        <v>1.26666666660458</v>
      </c>
      <c r="L1287" s="22">
        <f t="shared" si="102"/>
        <v>1.26666666660458</v>
      </c>
      <c r="M1287" s="22" cm="1">
        <f ca="1" t="array" ref="M1287">SUMPRODUCT(--(WEEKDAY(ROW(INDIRECT(INT(F1287)&amp;":"&amp;INT(I1287))),2)&gt;5))</f>
        <v>0</v>
      </c>
      <c r="N1287" s="22">
        <f ca="1" t="shared" si="103"/>
        <v>1.26666666660458</v>
      </c>
      <c r="O1287" s="22" t="str">
        <f ca="1" t="shared" si="104"/>
        <v>Within SLA</v>
      </c>
      <c r="P1287" s="26" t="s">
        <v>5103</v>
      </c>
      <c r="Q1287" s="24" t="s">
        <v>37</v>
      </c>
      <c r="R1287" s="25"/>
      <c r="S1287" s="25"/>
    </row>
    <row r="1288" ht="27" customHeight="1" spans="1:19">
      <c r="A1288" s="19" t="s">
        <v>5105</v>
      </c>
      <c r="B1288" s="20" t="s">
        <v>30</v>
      </c>
      <c r="C1288" s="20" t="s">
        <v>31</v>
      </c>
      <c r="D1288" s="20" t="s">
        <v>32</v>
      </c>
      <c r="E1288" s="21" t="s">
        <v>5106</v>
      </c>
      <c r="F1288" s="21" t="s">
        <v>5107</v>
      </c>
      <c r="G1288" s="20" t="s">
        <v>35</v>
      </c>
      <c r="H1288" s="20" t="s">
        <v>25</v>
      </c>
      <c r="I1288" s="21" t="s">
        <v>5108</v>
      </c>
      <c r="J1288" s="22">
        <f t="shared" si="100"/>
        <v>0.988888888889051</v>
      </c>
      <c r="K1288" s="22">
        <f t="shared" si="101"/>
        <v>23.7333333333372</v>
      </c>
      <c r="L1288" s="22">
        <f t="shared" si="102"/>
        <v>7.73333333333721</v>
      </c>
      <c r="M1288" s="22" cm="1">
        <f ca="1" t="array" ref="M1288">SUMPRODUCT(--(WEEKDAY(ROW(INDIRECT(INT(F1288)&amp;":"&amp;INT(I1288))),2)&gt;5))</f>
        <v>0</v>
      </c>
      <c r="N1288" s="22">
        <f ca="1" t="shared" si="103"/>
        <v>7.73333333333721</v>
      </c>
      <c r="O1288" s="22" t="str">
        <f ca="1" t="shared" si="104"/>
        <v>Within SLA</v>
      </c>
      <c r="P1288" s="26" t="s">
        <v>5105</v>
      </c>
      <c r="Q1288" s="24" t="s">
        <v>37</v>
      </c>
      <c r="R1288" s="25"/>
      <c r="S1288" s="25"/>
    </row>
    <row r="1289" ht="39" customHeight="1" spans="1:19">
      <c r="A1289" s="19" t="s">
        <v>5109</v>
      </c>
      <c r="B1289" s="20" t="s">
        <v>19</v>
      </c>
      <c r="C1289" s="20" t="s">
        <v>20</v>
      </c>
      <c r="D1289" s="20" t="s">
        <v>32</v>
      </c>
      <c r="E1289" s="21" t="s">
        <v>5110</v>
      </c>
      <c r="F1289" s="21" t="s">
        <v>5111</v>
      </c>
      <c r="G1289" s="20" t="s">
        <v>35</v>
      </c>
      <c r="H1289" s="20" t="s">
        <v>25</v>
      </c>
      <c r="I1289" s="21" t="s">
        <v>5112</v>
      </c>
      <c r="J1289" s="22">
        <f t="shared" si="100"/>
        <v>3.80486111110804</v>
      </c>
      <c r="K1289" s="22">
        <f t="shared" si="101"/>
        <v>91.3166666665929</v>
      </c>
      <c r="L1289" s="22">
        <f t="shared" si="102"/>
        <v>27.3166666665929</v>
      </c>
      <c r="M1289" s="22" cm="1">
        <f ca="1" t="array" ref="M1289">SUMPRODUCT(--(WEEKDAY(ROW(INDIRECT(INT(F1289)&amp;":"&amp;INT(I1289))),2)&gt;5))</f>
        <v>0</v>
      </c>
      <c r="N1289" s="22">
        <f ca="1" t="shared" si="103"/>
        <v>27.3166666665929</v>
      </c>
      <c r="O1289" s="22" t="str">
        <f ca="1" t="shared" si="104"/>
        <v>SLA Violated</v>
      </c>
      <c r="P1289" s="23" t="s">
        <v>5113</v>
      </c>
      <c r="Q1289" s="24" t="s">
        <v>28</v>
      </c>
      <c r="R1289" s="25"/>
      <c r="S1289" s="25"/>
    </row>
    <row r="1290" ht="39" customHeight="1" spans="1:19">
      <c r="A1290" s="19" t="s">
        <v>5114</v>
      </c>
      <c r="B1290" s="20" t="s">
        <v>19</v>
      </c>
      <c r="C1290" s="20" t="s">
        <v>20</v>
      </c>
      <c r="D1290" s="20" t="s">
        <v>32</v>
      </c>
      <c r="E1290" s="21" t="s">
        <v>5110</v>
      </c>
      <c r="F1290" s="21" t="s">
        <v>5115</v>
      </c>
      <c r="G1290" s="20" t="s">
        <v>24</v>
      </c>
      <c r="H1290" s="20" t="s">
        <v>25</v>
      </c>
      <c r="I1290" s="21" t="s">
        <v>5116</v>
      </c>
      <c r="J1290" s="22">
        <f t="shared" si="100"/>
        <v>8.9951388888876</v>
      </c>
      <c r="K1290" s="22">
        <f t="shared" si="101"/>
        <v>215.883333333302</v>
      </c>
      <c r="L1290" s="22">
        <f t="shared" si="102"/>
        <v>71.8833333333023</v>
      </c>
      <c r="M1290" s="22" cm="1">
        <f ca="1" t="array" ref="M1290">SUMPRODUCT(--(WEEKDAY(ROW(INDIRECT(INT(F1290)&amp;":"&amp;INT(I1290))),2)&gt;5))</f>
        <v>2</v>
      </c>
      <c r="N1290" s="22">
        <f ca="1" t="shared" si="103"/>
        <v>55.8833333333023</v>
      </c>
      <c r="O1290" s="22" t="str">
        <f ca="1" t="shared" si="104"/>
        <v>SLA Violated</v>
      </c>
      <c r="P1290" s="23" t="s">
        <v>5117</v>
      </c>
      <c r="Q1290" s="24" t="s">
        <v>37</v>
      </c>
      <c r="R1290" s="25" t="s">
        <v>4767</v>
      </c>
      <c r="S1290" s="25" t="s">
        <v>39</v>
      </c>
    </row>
    <row r="1291" ht="27" customHeight="1" spans="1:19">
      <c r="A1291" s="19" t="s">
        <v>5118</v>
      </c>
      <c r="B1291" s="20" t="s">
        <v>30</v>
      </c>
      <c r="C1291" s="20" t="s">
        <v>31</v>
      </c>
      <c r="D1291" s="20" t="s">
        <v>32</v>
      </c>
      <c r="E1291" s="21" t="s">
        <v>5110</v>
      </c>
      <c r="F1291" s="21" t="s">
        <v>5119</v>
      </c>
      <c r="G1291" s="20" t="s">
        <v>35</v>
      </c>
      <c r="H1291" s="20" t="s">
        <v>25</v>
      </c>
      <c r="I1291" s="21" t="s">
        <v>5120</v>
      </c>
      <c r="J1291" s="22">
        <f t="shared" si="100"/>
        <v>0.330555555556202</v>
      </c>
      <c r="K1291" s="22">
        <f t="shared" si="101"/>
        <v>7.93333333334886</v>
      </c>
      <c r="L1291" s="22">
        <f t="shared" si="102"/>
        <v>-8.06666666665114</v>
      </c>
      <c r="M1291" s="22" cm="1">
        <f ca="1" t="array" ref="M1291">SUMPRODUCT(--(WEEKDAY(ROW(INDIRECT(INT(F1291)&amp;":"&amp;INT(I1291))),2)&gt;5))</f>
        <v>0</v>
      </c>
      <c r="N1291" s="22">
        <f ca="1" t="shared" si="103"/>
        <v>0</v>
      </c>
      <c r="O1291" s="22" t="str">
        <f ca="1" t="shared" si="104"/>
        <v>Within SLA</v>
      </c>
      <c r="P1291" s="26" t="s">
        <v>5118</v>
      </c>
      <c r="Q1291" s="24" t="s">
        <v>37</v>
      </c>
      <c r="R1291" s="25"/>
      <c r="S1291" s="25"/>
    </row>
    <row r="1292" ht="27" customHeight="1" spans="1:19">
      <c r="A1292" s="19" t="s">
        <v>5121</v>
      </c>
      <c r="B1292" s="20" t="s">
        <v>30</v>
      </c>
      <c r="C1292" s="20" t="s">
        <v>31</v>
      </c>
      <c r="D1292" s="20" t="s">
        <v>32</v>
      </c>
      <c r="E1292" s="21" t="s">
        <v>5122</v>
      </c>
      <c r="F1292" s="21" t="s">
        <v>5123</v>
      </c>
      <c r="G1292" s="20" t="s">
        <v>35</v>
      </c>
      <c r="H1292" s="20" t="s">
        <v>25</v>
      </c>
      <c r="I1292" s="21" t="s">
        <v>5124</v>
      </c>
      <c r="J1292" s="22">
        <f t="shared" si="100"/>
        <v>0.324305555557657</v>
      </c>
      <c r="K1292" s="22">
        <f t="shared" si="101"/>
        <v>7.78333333338378</v>
      </c>
      <c r="L1292" s="22">
        <f t="shared" si="102"/>
        <v>-8.21666666661622</v>
      </c>
      <c r="M1292" s="22" cm="1">
        <f ca="1" t="array" ref="M1292">SUMPRODUCT(--(WEEKDAY(ROW(INDIRECT(INT(F1292)&amp;":"&amp;INT(I1292))),2)&gt;5))</f>
        <v>0</v>
      </c>
      <c r="N1292" s="22">
        <f ca="1" t="shared" si="103"/>
        <v>0</v>
      </c>
      <c r="O1292" s="22" t="str">
        <f ca="1" t="shared" si="104"/>
        <v>Within SLA</v>
      </c>
      <c r="P1292" s="26" t="s">
        <v>5121</v>
      </c>
      <c r="Q1292" s="24" t="s">
        <v>37</v>
      </c>
      <c r="R1292" s="25"/>
      <c r="S1292" s="25"/>
    </row>
    <row r="1293" ht="27" customHeight="1" spans="1:19">
      <c r="A1293" s="19" t="s">
        <v>5125</v>
      </c>
      <c r="B1293" s="20" t="s">
        <v>30</v>
      </c>
      <c r="C1293" s="20" t="s">
        <v>31</v>
      </c>
      <c r="D1293" s="20" t="s">
        <v>105</v>
      </c>
      <c r="E1293" s="21" t="s">
        <v>5126</v>
      </c>
      <c r="F1293" s="21" t="s">
        <v>5127</v>
      </c>
      <c r="G1293" s="20" t="s">
        <v>35</v>
      </c>
      <c r="H1293" s="20" t="s">
        <v>25</v>
      </c>
      <c r="I1293" s="21" t="s">
        <v>5128</v>
      </c>
      <c r="J1293" s="22">
        <f t="shared" si="100"/>
        <v>0.961805555554747</v>
      </c>
      <c r="K1293" s="22">
        <f t="shared" si="101"/>
        <v>23.0833333333139</v>
      </c>
      <c r="L1293" s="22">
        <f t="shared" si="102"/>
        <v>7.08333333331393</v>
      </c>
      <c r="M1293" s="22" cm="1">
        <f ca="1" t="array" ref="M1293">SUMPRODUCT(--(WEEKDAY(ROW(INDIRECT(INT(F1293)&amp;":"&amp;INT(I1293))),2)&gt;5))</f>
        <v>0</v>
      </c>
      <c r="N1293" s="22">
        <f ca="1" t="shared" si="103"/>
        <v>7.08333333331393</v>
      </c>
      <c r="O1293" s="22" t="str">
        <f ca="1" t="shared" si="104"/>
        <v>SLA Violated</v>
      </c>
      <c r="P1293" s="26" t="s">
        <v>5125</v>
      </c>
      <c r="Q1293" s="24" t="s">
        <v>37</v>
      </c>
      <c r="R1293" s="6" t="s">
        <v>109</v>
      </c>
      <c r="S1293" s="25" t="s">
        <v>39</v>
      </c>
    </row>
    <row r="1294" ht="27" customHeight="1" spans="1:19">
      <c r="A1294" s="19" t="s">
        <v>5129</v>
      </c>
      <c r="B1294" s="20" t="s">
        <v>30</v>
      </c>
      <c r="C1294" s="20" t="s">
        <v>2057</v>
      </c>
      <c r="D1294" s="20" t="s">
        <v>32</v>
      </c>
      <c r="E1294" s="21" t="s">
        <v>5126</v>
      </c>
      <c r="F1294" s="21" t="s">
        <v>5130</v>
      </c>
      <c r="G1294" s="20" t="s">
        <v>35</v>
      </c>
      <c r="H1294" s="20" t="s">
        <v>25</v>
      </c>
      <c r="I1294" s="21" t="s">
        <v>5131</v>
      </c>
      <c r="J1294" s="22">
        <f t="shared" si="100"/>
        <v>6.25069444444671</v>
      </c>
      <c r="K1294" s="22">
        <f t="shared" si="101"/>
        <v>150.016666666721</v>
      </c>
      <c r="L1294" s="22">
        <f t="shared" si="102"/>
        <v>54.016666666721</v>
      </c>
      <c r="M1294" s="22" cm="1">
        <f ca="1" t="array" ref="M1294">SUMPRODUCT(--(WEEKDAY(ROW(INDIRECT(INT(F1294)&amp;":"&amp;INT(I1294))),2)&gt;5))</f>
        <v>2</v>
      </c>
      <c r="N1294" s="22">
        <f ca="1" t="shared" si="103"/>
        <v>38.016666666721</v>
      </c>
      <c r="O1294" s="22" t="str">
        <f ca="1" t="shared" si="104"/>
        <v>SLA Violated</v>
      </c>
      <c r="P1294" s="26" t="s">
        <v>5129</v>
      </c>
      <c r="Q1294" s="24" t="s">
        <v>28</v>
      </c>
      <c r="R1294" s="25"/>
      <c r="S1294" s="25"/>
    </row>
    <row r="1295" ht="27" customHeight="1" spans="1:19">
      <c r="A1295" s="19" t="s">
        <v>5132</v>
      </c>
      <c r="B1295" s="20" t="s">
        <v>30</v>
      </c>
      <c r="C1295" s="20" t="s">
        <v>31</v>
      </c>
      <c r="D1295" s="20" t="s">
        <v>32</v>
      </c>
      <c r="E1295" s="21" t="s">
        <v>5112</v>
      </c>
      <c r="F1295" s="21" t="s">
        <v>5133</v>
      </c>
      <c r="G1295" s="20" t="s">
        <v>35</v>
      </c>
      <c r="H1295" s="20" t="s">
        <v>25</v>
      </c>
      <c r="I1295" s="21" t="s">
        <v>5134</v>
      </c>
      <c r="J1295" s="22">
        <f t="shared" si="100"/>
        <v>0.958333333335759</v>
      </c>
      <c r="K1295" s="22">
        <f t="shared" si="101"/>
        <v>23.0000000000582</v>
      </c>
      <c r="L1295" s="22">
        <f t="shared" si="102"/>
        <v>7.00000000005821</v>
      </c>
      <c r="M1295" s="22" cm="1">
        <f ca="1" t="array" ref="M1295">SUMPRODUCT(--(WEEKDAY(ROW(INDIRECT(INT(F1295)&amp;":"&amp;INT(I1295))),2)&gt;5))</f>
        <v>0</v>
      </c>
      <c r="N1295" s="22">
        <f ca="1" t="shared" si="103"/>
        <v>7.00000000005821</v>
      </c>
      <c r="O1295" s="22" t="str">
        <f ca="1" t="shared" si="104"/>
        <v>Within SLA</v>
      </c>
      <c r="P1295" s="26" t="s">
        <v>5132</v>
      </c>
      <c r="Q1295" s="24" t="s">
        <v>37</v>
      </c>
      <c r="R1295" s="25"/>
      <c r="S1295" s="25"/>
    </row>
    <row r="1296" ht="27" customHeight="1" spans="1:19">
      <c r="A1296" s="19" t="s">
        <v>5135</v>
      </c>
      <c r="B1296" s="20" t="s">
        <v>30</v>
      </c>
      <c r="C1296" s="20" t="s">
        <v>31</v>
      </c>
      <c r="D1296" s="20" t="s">
        <v>21</v>
      </c>
      <c r="E1296" s="21" t="s">
        <v>5116</v>
      </c>
      <c r="F1296" s="21" t="s">
        <v>5136</v>
      </c>
      <c r="G1296" s="20" t="s">
        <v>35</v>
      </c>
      <c r="H1296" s="20" t="s">
        <v>25</v>
      </c>
      <c r="I1296" s="21" t="s">
        <v>5137</v>
      </c>
      <c r="J1296" s="22">
        <f t="shared" si="100"/>
        <v>2.91249999999854</v>
      </c>
      <c r="K1296" s="22">
        <f t="shared" si="101"/>
        <v>69.8999999999651</v>
      </c>
      <c r="L1296" s="22">
        <f t="shared" si="102"/>
        <v>21.8999999999651</v>
      </c>
      <c r="M1296" s="22" cm="1">
        <f ca="1" t="array" ref="M1296">SUMPRODUCT(--(WEEKDAY(ROW(INDIRECT(INT(F1296)&amp;":"&amp;INT(I1296))),2)&gt;5))</f>
        <v>0</v>
      </c>
      <c r="N1296" s="22">
        <f ca="1" t="shared" si="103"/>
        <v>21.8999999999651</v>
      </c>
      <c r="O1296" s="22" t="str">
        <f ca="1" t="shared" si="104"/>
        <v>SLA Violated</v>
      </c>
      <c r="P1296" s="26" t="s">
        <v>5135</v>
      </c>
      <c r="Q1296" s="24" t="s">
        <v>37</v>
      </c>
      <c r="R1296" s="6" t="s">
        <v>5138</v>
      </c>
      <c r="S1296" s="25" t="s">
        <v>39</v>
      </c>
    </row>
    <row r="1297" ht="39" customHeight="1" spans="1:19">
      <c r="A1297" s="19" t="s">
        <v>5139</v>
      </c>
      <c r="B1297" s="20" t="s">
        <v>19</v>
      </c>
      <c r="C1297" s="20" t="s">
        <v>20</v>
      </c>
      <c r="D1297" s="20" t="s">
        <v>32</v>
      </c>
      <c r="E1297" s="21" t="s">
        <v>5120</v>
      </c>
      <c r="F1297" s="21" t="s">
        <v>5140</v>
      </c>
      <c r="G1297" s="20" t="s">
        <v>35</v>
      </c>
      <c r="H1297" s="20" t="s">
        <v>25</v>
      </c>
      <c r="I1297" s="21" t="s">
        <v>5141</v>
      </c>
      <c r="J1297" s="22">
        <f t="shared" si="100"/>
        <v>0.0965277777722804</v>
      </c>
      <c r="K1297" s="22">
        <f t="shared" si="101"/>
        <v>2.31666666653473</v>
      </c>
      <c r="L1297" s="22">
        <f t="shared" si="102"/>
        <v>2.31666666653473</v>
      </c>
      <c r="M1297" s="22" cm="1">
        <f ca="1" t="array" ref="M1297">SUMPRODUCT(--(WEEKDAY(ROW(INDIRECT(INT(F1297)&amp;":"&amp;INT(I1297))),2)&gt;5))</f>
        <v>0</v>
      </c>
      <c r="N1297" s="22">
        <f ca="1" t="shared" si="103"/>
        <v>2.31666666653473</v>
      </c>
      <c r="O1297" s="22" t="str">
        <f ca="1" t="shared" si="104"/>
        <v>Within SLA</v>
      </c>
      <c r="P1297" s="26" t="s">
        <v>5139</v>
      </c>
      <c r="Q1297" s="24" t="s">
        <v>37</v>
      </c>
      <c r="R1297" s="25"/>
      <c r="S1297" s="25"/>
    </row>
    <row r="1298" ht="27" customHeight="1" spans="1:19">
      <c r="A1298" s="19" t="s">
        <v>5142</v>
      </c>
      <c r="B1298" s="20" t="s">
        <v>30</v>
      </c>
      <c r="C1298" s="20" t="s">
        <v>2057</v>
      </c>
      <c r="D1298" s="20" t="s">
        <v>32</v>
      </c>
      <c r="E1298" s="21" t="s">
        <v>5143</v>
      </c>
      <c r="F1298" s="21" t="s">
        <v>5144</v>
      </c>
      <c r="G1298" s="20" t="s">
        <v>35</v>
      </c>
      <c r="H1298" s="20" t="s">
        <v>25</v>
      </c>
      <c r="I1298" s="21" t="s">
        <v>5145</v>
      </c>
      <c r="J1298" s="22">
        <f t="shared" si="100"/>
        <v>10.9562499999956</v>
      </c>
      <c r="K1298" s="22">
        <f t="shared" si="101"/>
        <v>262.949999999895</v>
      </c>
      <c r="L1298" s="22">
        <f t="shared" si="102"/>
        <v>86.9499999998952</v>
      </c>
      <c r="M1298" s="22" cm="1">
        <f ca="1" t="array" ref="M1298">SUMPRODUCT(--(WEEKDAY(ROW(INDIRECT(INT(F1298)&amp;":"&amp;INT(I1298))),2)&gt;5))</f>
        <v>2</v>
      </c>
      <c r="N1298" s="22">
        <f ca="1" t="shared" si="103"/>
        <v>70.9499999998952</v>
      </c>
      <c r="O1298" s="22" t="str">
        <f ca="1" t="shared" si="104"/>
        <v>SLA Violated</v>
      </c>
      <c r="P1298" s="26" t="s">
        <v>5142</v>
      </c>
      <c r="Q1298" s="24" t="s">
        <v>28</v>
      </c>
      <c r="R1298" s="25"/>
      <c r="S1298" s="25"/>
    </row>
    <row r="1299" ht="39" customHeight="1" spans="1:19">
      <c r="A1299" s="19" t="s">
        <v>5146</v>
      </c>
      <c r="B1299" s="20" t="s">
        <v>19</v>
      </c>
      <c r="C1299" s="20" t="s">
        <v>20</v>
      </c>
      <c r="D1299" s="20" t="s">
        <v>32</v>
      </c>
      <c r="E1299" s="21" t="s">
        <v>5143</v>
      </c>
      <c r="F1299" s="21" t="s">
        <v>5147</v>
      </c>
      <c r="G1299" s="20" t="s">
        <v>35</v>
      </c>
      <c r="H1299" s="20" t="s">
        <v>25</v>
      </c>
      <c r="I1299" s="21" t="s">
        <v>5148</v>
      </c>
      <c r="J1299" s="22">
        <f t="shared" si="100"/>
        <v>8.96944444443943</v>
      </c>
      <c r="K1299" s="22">
        <f t="shared" si="101"/>
        <v>215.266666666546</v>
      </c>
      <c r="L1299" s="22">
        <f t="shared" si="102"/>
        <v>71.2666666665464</v>
      </c>
      <c r="M1299" s="22" cm="1">
        <f ca="1" t="array" ref="M1299">SUMPRODUCT(--(WEEKDAY(ROW(INDIRECT(INT(F1299)&amp;":"&amp;INT(I1299))),2)&gt;5))</f>
        <v>2</v>
      </c>
      <c r="N1299" s="22">
        <f ca="1" t="shared" si="103"/>
        <v>55.2666666665464</v>
      </c>
      <c r="O1299" s="22" t="str">
        <f ca="1" t="shared" si="104"/>
        <v>SLA Violated</v>
      </c>
      <c r="P1299" s="23" t="s">
        <v>5149</v>
      </c>
      <c r="Q1299" s="24" t="s">
        <v>28</v>
      </c>
      <c r="R1299" s="25"/>
      <c r="S1299" s="25"/>
    </row>
    <row r="1300" ht="27" customHeight="1" spans="1:19">
      <c r="A1300" s="19" t="s">
        <v>5150</v>
      </c>
      <c r="B1300" s="20" t="s">
        <v>30</v>
      </c>
      <c r="C1300" s="20" t="s">
        <v>31</v>
      </c>
      <c r="D1300" s="20" t="s">
        <v>32</v>
      </c>
      <c r="E1300" s="21" t="s">
        <v>4046</v>
      </c>
      <c r="F1300" s="21" t="s">
        <v>5151</v>
      </c>
      <c r="G1300" s="20" t="s">
        <v>24</v>
      </c>
      <c r="H1300" s="20" t="s">
        <v>25</v>
      </c>
      <c r="I1300" s="21" t="s">
        <v>5152</v>
      </c>
      <c r="J1300" s="22">
        <f t="shared" si="100"/>
        <v>7.7409722222219</v>
      </c>
      <c r="K1300" s="22">
        <f t="shared" si="101"/>
        <v>185.783333333326</v>
      </c>
      <c r="L1300" s="22">
        <f t="shared" si="102"/>
        <v>57.7833333333256</v>
      </c>
      <c r="M1300" s="22" cm="1">
        <f ca="1" t="array" ref="M1300">SUMPRODUCT(--(WEEKDAY(ROW(INDIRECT(INT(F1300)&amp;":"&amp;INT(I1300))),2)&gt;5))</f>
        <v>2</v>
      </c>
      <c r="N1300" s="22">
        <f ca="1" t="shared" si="103"/>
        <v>41.7833333333256</v>
      </c>
      <c r="O1300" s="22" t="str">
        <f ca="1" t="shared" si="104"/>
        <v>SLA Violated</v>
      </c>
      <c r="P1300" s="26" t="s">
        <v>5150</v>
      </c>
      <c r="Q1300" s="24" t="s">
        <v>37</v>
      </c>
      <c r="R1300" s="6" t="s">
        <v>5153</v>
      </c>
      <c r="S1300" s="25" t="s">
        <v>39</v>
      </c>
    </row>
    <row r="1301" ht="27" customHeight="1" spans="1:19">
      <c r="A1301" s="19" t="s">
        <v>5154</v>
      </c>
      <c r="B1301" s="20" t="s">
        <v>30</v>
      </c>
      <c r="C1301" s="20" t="s">
        <v>31</v>
      </c>
      <c r="D1301" s="20" t="s">
        <v>105</v>
      </c>
      <c r="E1301" s="21" t="s">
        <v>4046</v>
      </c>
      <c r="F1301" s="21" t="s">
        <v>5155</v>
      </c>
      <c r="G1301" s="20" t="s">
        <v>35</v>
      </c>
      <c r="H1301" s="20" t="s">
        <v>25</v>
      </c>
      <c r="I1301" s="21" t="s">
        <v>5156</v>
      </c>
      <c r="J1301" s="22">
        <f t="shared" si="100"/>
        <v>8.98055555555766</v>
      </c>
      <c r="K1301" s="22">
        <f t="shared" si="101"/>
        <v>215.533333333384</v>
      </c>
      <c r="L1301" s="22">
        <f t="shared" si="102"/>
        <v>71.5333333333838</v>
      </c>
      <c r="M1301" s="22" cm="1">
        <f ca="1" t="array" ref="M1301">SUMPRODUCT(--(WEEKDAY(ROW(INDIRECT(INT(F1301)&amp;":"&amp;INT(I1301))),2)&gt;5))</f>
        <v>2</v>
      </c>
      <c r="N1301" s="22">
        <f ca="1" t="shared" si="103"/>
        <v>55.5333333333838</v>
      </c>
      <c r="O1301" s="22" t="str">
        <f ca="1" t="shared" si="104"/>
        <v>SLA Violated</v>
      </c>
      <c r="P1301" s="23" t="s">
        <v>5157</v>
      </c>
      <c r="Q1301" s="24" t="s">
        <v>28</v>
      </c>
      <c r="R1301" s="25"/>
      <c r="S1301" s="25"/>
    </row>
    <row r="1302" ht="27" customHeight="1" spans="1:19">
      <c r="A1302" s="19" t="s">
        <v>5158</v>
      </c>
      <c r="B1302" s="20" t="s">
        <v>30</v>
      </c>
      <c r="C1302" s="20" t="s">
        <v>2057</v>
      </c>
      <c r="D1302" s="20" t="s">
        <v>32</v>
      </c>
      <c r="E1302" s="21" t="s">
        <v>5159</v>
      </c>
      <c r="F1302" s="21" t="s">
        <v>5160</v>
      </c>
      <c r="G1302" s="20" t="s">
        <v>35</v>
      </c>
      <c r="H1302" s="20" t="s">
        <v>25</v>
      </c>
      <c r="I1302" s="21" t="s">
        <v>5148</v>
      </c>
      <c r="J1302" s="22">
        <f t="shared" si="100"/>
        <v>7.04999999999563</v>
      </c>
      <c r="K1302" s="22">
        <f t="shared" si="101"/>
        <v>169.199999999895</v>
      </c>
      <c r="L1302" s="22">
        <f t="shared" si="102"/>
        <v>57.1999999998952</v>
      </c>
      <c r="M1302" s="22" cm="1">
        <f ca="1" t="array" ref="M1302">SUMPRODUCT(--(WEEKDAY(ROW(INDIRECT(INT(F1302)&amp;":"&amp;INT(I1302))),2)&gt;5))</f>
        <v>2</v>
      </c>
      <c r="N1302" s="22">
        <f ca="1" t="shared" si="103"/>
        <v>41.1999999998952</v>
      </c>
      <c r="O1302" s="22" t="str">
        <f ca="1" t="shared" si="104"/>
        <v>SLA Violated</v>
      </c>
      <c r="P1302" s="26" t="s">
        <v>5158</v>
      </c>
      <c r="Q1302" s="24" t="s">
        <v>28</v>
      </c>
      <c r="R1302" s="25"/>
      <c r="S1302" s="25"/>
    </row>
    <row r="1303" ht="27" customHeight="1" spans="1:19">
      <c r="A1303" s="19" t="s">
        <v>5161</v>
      </c>
      <c r="B1303" s="20" t="s">
        <v>30</v>
      </c>
      <c r="C1303" s="20" t="s">
        <v>2057</v>
      </c>
      <c r="D1303" s="20" t="s">
        <v>32</v>
      </c>
      <c r="E1303" s="21" t="s">
        <v>5162</v>
      </c>
      <c r="F1303" s="21" t="s">
        <v>4964</v>
      </c>
      <c r="G1303" s="20" t="s">
        <v>35</v>
      </c>
      <c r="H1303" s="20" t="s">
        <v>25</v>
      </c>
      <c r="I1303" s="21" t="s">
        <v>5163</v>
      </c>
      <c r="J1303" s="22">
        <f t="shared" si="100"/>
        <v>10.9923611111153</v>
      </c>
      <c r="K1303" s="22">
        <f t="shared" si="101"/>
        <v>263.816666666768</v>
      </c>
      <c r="L1303" s="22">
        <f t="shared" si="102"/>
        <v>87.8166666667676</v>
      </c>
      <c r="M1303" s="22" cm="1">
        <f ca="1" t="array" ref="M1303">SUMPRODUCT(--(WEEKDAY(ROW(INDIRECT(INT(F1303)&amp;":"&amp;INT(I1303))),2)&gt;5))</f>
        <v>2</v>
      </c>
      <c r="N1303" s="22">
        <f ca="1" t="shared" si="103"/>
        <v>71.8166666667676</v>
      </c>
      <c r="O1303" s="22" t="str">
        <f ca="1" t="shared" si="104"/>
        <v>SLA Violated</v>
      </c>
      <c r="P1303" s="26" t="s">
        <v>5161</v>
      </c>
      <c r="Q1303" s="24" t="s">
        <v>28</v>
      </c>
      <c r="R1303" s="25"/>
      <c r="S1303" s="25"/>
    </row>
    <row r="1304" ht="39" customHeight="1" spans="1:19">
      <c r="A1304" s="19" t="s">
        <v>5164</v>
      </c>
      <c r="B1304" s="20" t="s">
        <v>19</v>
      </c>
      <c r="C1304" s="20" t="s">
        <v>20</v>
      </c>
      <c r="D1304" s="20" t="s">
        <v>32</v>
      </c>
      <c r="E1304" s="21" t="s">
        <v>5165</v>
      </c>
      <c r="F1304" s="21" t="s">
        <v>5166</v>
      </c>
      <c r="G1304" s="20" t="s">
        <v>35</v>
      </c>
      <c r="H1304" s="20" t="s">
        <v>25</v>
      </c>
      <c r="I1304" s="21" t="s">
        <v>5167</v>
      </c>
      <c r="J1304" s="22">
        <f t="shared" si="100"/>
        <v>0.0270833333343035</v>
      </c>
      <c r="K1304" s="22">
        <f t="shared" si="101"/>
        <v>0.650000000023283</v>
      </c>
      <c r="L1304" s="22">
        <f t="shared" si="102"/>
        <v>0.650000000023283</v>
      </c>
      <c r="M1304" s="22" cm="1">
        <f ca="1" t="array" ref="M1304">SUMPRODUCT(--(WEEKDAY(ROW(INDIRECT(INT(F1304)&amp;":"&amp;INT(I1304))),2)&gt;5))</f>
        <v>0</v>
      </c>
      <c r="N1304" s="22">
        <f ca="1" t="shared" si="103"/>
        <v>0.650000000023283</v>
      </c>
      <c r="O1304" s="22" t="str">
        <f ca="1" t="shared" si="104"/>
        <v>Within SLA</v>
      </c>
      <c r="P1304" s="26" t="s">
        <v>5164</v>
      </c>
      <c r="Q1304" s="24" t="s">
        <v>37</v>
      </c>
      <c r="R1304" s="25"/>
      <c r="S1304" s="25"/>
    </row>
    <row r="1305" ht="39" customHeight="1" spans="1:19">
      <c r="A1305" s="19" t="s">
        <v>5168</v>
      </c>
      <c r="B1305" s="20" t="s">
        <v>19</v>
      </c>
      <c r="C1305" s="20" t="s">
        <v>20</v>
      </c>
      <c r="D1305" s="20" t="s">
        <v>32</v>
      </c>
      <c r="E1305" s="21" t="s">
        <v>5156</v>
      </c>
      <c r="F1305" s="21" t="s">
        <v>5169</v>
      </c>
      <c r="G1305" s="20" t="s">
        <v>35</v>
      </c>
      <c r="H1305" s="20" t="s">
        <v>25</v>
      </c>
      <c r="I1305" s="21" t="s">
        <v>5170</v>
      </c>
      <c r="J1305" s="22">
        <f t="shared" si="100"/>
        <v>0.929861111108039</v>
      </c>
      <c r="K1305" s="22">
        <f t="shared" si="101"/>
        <v>22.3166666665929</v>
      </c>
      <c r="L1305" s="22">
        <f t="shared" si="102"/>
        <v>6.31666666659294</v>
      </c>
      <c r="M1305" s="22" cm="1">
        <f ca="1" t="array" ref="M1305">SUMPRODUCT(--(WEEKDAY(ROW(INDIRECT(INT(F1305)&amp;":"&amp;INT(I1305))),2)&gt;5))</f>
        <v>0</v>
      </c>
      <c r="N1305" s="22">
        <f ca="1" t="shared" si="103"/>
        <v>6.31666666659294</v>
      </c>
      <c r="O1305" s="22" t="str">
        <f ca="1" t="shared" si="104"/>
        <v>Within SLA</v>
      </c>
      <c r="P1305" s="26" t="s">
        <v>5168</v>
      </c>
      <c r="Q1305" s="24" t="s">
        <v>37</v>
      </c>
      <c r="R1305" s="25"/>
      <c r="S1305" s="25"/>
    </row>
    <row r="1306" ht="27" customHeight="1" spans="1:19">
      <c r="A1306" s="19" t="s">
        <v>5171</v>
      </c>
      <c r="B1306" s="20" t="s">
        <v>30</v>
      </c>
      <c r="C1306" s="20" t="s">
        <v>31</v>
      </c>
      <c r="D1306" s="20" t="s">
        <v>32</v>
      </c>
      <c r="E1306" s="21" t="s">
        <v>5172</v>
      </c>
      <c r="F1306" s="21" t="s">
        <v>5173</v>
      </c>
      <c r="G1306" s="20" t="s">
        <v>35</v>
      </c>
      <c r="H1306" s="20" t="s">
        <v>25</v>
      </c>
      <c r="I1306" s="21" t="s">
        <v>5174</v>
      </c>
      <c r="J1306" s="22">
        <f t="shared" si="100"/>
        <v>0.203472222216078</v>
      </c>
      <c r="K1306" s="22">
        <f t="shared" si="101"/>
        <v>4.88333333318587</v>
      </c>
      <c r="L1306" s="22">
        <f t="shared" si="102"/>
        <v>4.88333333318587</v>
      </c>
      <c r="M1306" s="22" cm="1">
        <f ca="1" t="array" ref="M1306">SUMPRODUCT(--(WEEKDAY(ROW(INDIRECT(INT(F1306)&amp;":"&amp;INT(I1306))),2)&gt;5))</f>
        <v>0</v>
      </c>
      <c r="N1306" s="22">
        <f ca="1" t="shared" si="103"/>
        <v>4.88333333318587</v>
      </c>
      <c r="O1306" s="22" t="str">
        <f ca="1" t="shared" si="104"/>
        <v>Within SLA</v>
      </c>
      <c r="P1306" s="26" t="s">
        <v>5171</v>
      </c>
      <c r="Q1306" s="24" t="s">
        <v>37</v>
      </c>
      <c r="R1306" s="25"/>
      <c r="S1306" s="25"/>
    </row>
    <row r="1307" ht="39" customHeight="1" spans="1:19">
      <c r="A1307" s="19" t="s">
        <v>5175</v>
      </c>
      <c r="B1307" s="20" t="s">
        <v>19</v>
      </c>
      <c r="C1307" s="20" t="s">
        <v>20</v>
      </c>
      <c r="D1307" s="20" t="s">
        <v>32</v>
      </c>
      <c r="E1307" s="21" t="s">
        <v>5176</v>
      </c>
      <c r="F1307" s="21" t="s">
        <v>5177</v>
      </c>
      <c r="G1307" s="20" t="s">
        <v>35</v>
      </c>
      <c r="H1307" s="20" t="s">
        <v>25</v>
      </c>
      <c r="I1307" s="21" t="s">
        <v>5178</v>
      </c>
      <c r="J1307" s="22">
        <f t="shared" si="100"/>
        <v>0.793055555557657</v>
      </c>
      <c r="K1307" s="22">
        <f t="shared" si="101"/>
        <v>19.0333333333838</v>
      </c>
      <c r="L1307" s="22">
        <f t="shared" si="102"/>
        <v>3.03333333338378</v>
      </c>
      <c r="M1307" s="22" cm="1">
        <f ca="1" t="array" ref="M1307">SUMPRODUCT(--(WEEKDAY(ROW(INDIRECT(INT(F1307)&amp;":"&amp;INT(I1307))),2)&gt;5))</f>
        <v>0</v>
      </c>
      <c r="N1307" s="22">
        <f ca="1" t="shared" si="103"/>
        <v>3.03333333338378</v>
      </c>
      <c r="O1307" s="22" t="str">
        <f ca="1" t="shared" si="104"/>
        <v>Within SLA</v>
      </c>
      <c r="P1307" s="26" t="s">
        <v>5175</v>
      </c>
      <c r="Q1307" s="24" t="s">
        <v>37</v>
      </c>
      <c r="R1307" s="25"/>
      <c r="S1307" s="25"/>
    </row>
    <row r="1308" ht="27" customHeight="1" spans="1:19">
      <c r="A1308" s="19" t="s">
        <v>5179</v>
      </c>
      <c r="B1308" s="20" t="s">
        <v>30</v>
      </c>
      <c r="C1308" s="20" t="s">
        <v>31</v>
      </c>
      <c r="D1308" s="20" t="s">
        <v>32</v>
      </c>
      <c r="E1308" s="21" t="s">
        <v>5180</v>
      </c>
      <c r="F1308" s="21" t="s">
        <v>3257</v>
      </c>
      <c r="G1308" s="20" t="s">
        <v>35</v>
      </c>
      <c r="H1308" s="20" t="s">
        <v>25</v>
      </c>
      <c r="I1308" s="21" t="s">
        <v>5181</v>
      </c>
      <c r="J1308" s="22">
        <f t="shared" si="100"/>
        <v>24.7631944444438</v>
      </c>
      <c r="K1308" s="22">
        <f t="shared" si="101"/>
        <v>594.316666666651</v>
      </c>
      <c r="L1308" s="22">
        <f t="shared" si="102"/>
        <v>194.316666666651</v>
      </c>
      <c r="M1308" s="22" cm="1">
        <f ca="1" t="array" ref="M1308">SUMPRODUCT(--(WEEKDAY(ROW(INDIRECT(INT(F1308)&amp;":"&amp;INT(I1308))),2)&gt;5))</f>
        <v>6</v>
      </c>
      <c r="N1308" s="22">
        <f ca="1" t="shared" si="103"/>
        <v>146.316666666651</v>
      </c>
      <c r="O1308" s="22" t="str">
        <f ca="1" t="shared" si="104"/>
        <v>SLA Violated</v>
      </c>
      <c r="P1308" s="23" t="s">
        <v>5182</v>
      </c>
      <c r="Q1308" s="24" t="s">
        <v>28</v>
      </c>
      <c r="R1308" s="25"/>
      <c r="S1308" s="25"/>
    </row>
    <row r="1309" ht="39" customHeight="1" spans="1:19">
      <c r="A1309" s="19" t="s">
        <v>5183</v>
      </c>
      <c r="B1309" s="20" t="s">
        <v>19</v>
      </c>
      <c r="C1309" s="20" t="s">
        <v>20</v>
      </c>
      <c r="D1309" s="20" t="s">
        <v>32</v>
      </c>
      <c r="E1309" s="21" t="s">
        <v>4781</v>
      </c>
      <c r="F1309" s="21" t="s">
        <v>5184</v>
      </c>
      <c r="G1309" s="20" t="s">
        <v>35</v>
      </c>
      <c r="H1309" s="20" t="s">
        <v>25</v>
      </c>
      <c r="I1309" s="21" t="s">
        <v>5185</v>
      </c>
      <c r="J1309" s="22">
        <f t="shared" si="100"/>
        <v>1.88194444444525</v>
      </c>
      <c r="K1309" s="22">
        <f t="shared" si="101"/>
        <v>45.1666666666861</v>
      </c>
      <c r="L1309" s="22">
        <f t="shared" si="102"/>
        <v>13.1666666666861</v>
      </c>
      <c r="M1309" s="22" cm="1">
        <f ca="1" t="array" ref="M1309">SUMPRODUCT(--(WEEKDAY(ROW(INDIRECT(INT(F1309)&amp;":"&amp;INT(I1309))),2)&gt;5))</f>
        <v>0</v>
      </c>
      <c r="N1309" s="22">
        <f ca="1" t="shared" si="103"/>
        <v>13.1666666666861</v>
      </c>
      <c r="O1309" s="22" t="str">
        <f ca="1" t="shared" si="104"/>
        <v>SLA Violated</v>
      </c>
      <c r="P1309" s="23" t="s">
        <v>5186</v>
      </c>
      <c r="Q1309" s="24" t="s">
        <v>28</v>
      </c>
      <c r="R1309" s="25"/>
      <c r="S1309" s="25"/>
    </row>
    <row r="1310" ht="27" customHeight="1" spans="1:19">
      <c r="A1310" s="19" t="s">
        <v>5187</v>
      </c>
      <c r="B1310" s="20" t="s">
        <v>30</v>
      </c>
      <c r="C1310" s="20" t="s">
        <v>2057</v>
      </c>
      <c r="D1310" s="20" t="s">
        <v>32</v>
      </c>
      <c r="E1310" s="21" t="s">
        <v>4781</v>
      </c>
      <c r="F1310" s="21" t="s">
        <v>5188</v>
      </c>
      <c r="G1310" s="20" t="s">
        <v>35</v>
      </c>
      <c r="H1310" s="20" t="s">
        <v>25</v>
      </c>
      <c r="I1310" s="21" t="s">
        <v>5189</v>
      </c>
      <c r="J1310" s="22">
        <f t="shared" si="100"/>
        <v>7.0131944444438</v>
      </c>
      <c r="K1310" s="22">
        <f t="shared" si="101"/>
        <v>168.316666666651</v>
      </c>
      <c r="L1310" s="22">
        <f t="shared" si="102"/>
        <v>56.3166666666511</v>
      </c>
      <c r="M1310" s="22" cm="1">
        <f ca="1" t="array" ref="M1310">SUMPRODUCT(--(WEEKDAY(ROW(INDIRECT(INT(F1310)&amp;":"&amp;INT(I1310))),2)&gt;5))</f>
        <v>2</v>
      </c>
      <c r="N1310" s="22">
        <f ca="1" t="shared" si="103"/>
        <v>40.3166666666511</v>
      </c>
      <c r="O1310" s="22" t="str">
        <f ca="1" t="shared" si="104"/>
        <v>SLA Violated</v>
      </c>
      <c r="P1310" s="26" t="s">
        <v>5187</v>
      </c>
      <c r="Q1310" s="24" t="s">
        <v>28</v>
      </c>
      <c r="R1310" s="25"/>
      <c r="S1310" s="25"/>
    </row>
    <row r="1311" ht="39" customHeight="1" spans="1:19">
      <c r="A1311" s="19" t="s">
        <v>5190</v>
      </c>
      <c r="B1311" s="20" t="s">
        <v>19</v>
      </c>
      <c r="C1311" s="20" t="s">
        <v>20</v>
      </c>
      <c r="D1311" s="20" t="s">
        <v>32</v>
      </c>
      <c r="E1311" s="21" t="s">
        <v>4781</v>
      </c>
      <c r="F1311" s="21" t="s">
        <v>5191</v>
      </c>
      <c r="G1311" s="20" t="s">
        <v>35</v>
      </c>
      <c r="H1311" s="20" t="s">
        <v>25</v>
      </c>
      <c r="I1311" s="21" t="s">
        <v>5192</v>
      </c>
      <c r="J1311" s="22">
        <f t="shared" si="100"/>
        <v>0.732638888890506</v>
      </c>
      <c r="K1311" s="22">
        <f t="shared" si="101"/>
        <v>17.5833333333721</v>
      </c>
      <c r="L1311" s="22">
        <f t="shared" si="102"/>
        <v>1.58333333337214</v>
      </c>
      <c r="M1311" s="22" cm="1">
        <f ca="1" t="array" ref="M1311">SUMPRODUCT(--(WEEKDAY(ROW(INDIRECT(INT(F1311)&amp;":"&amp;INT(I1311))),2)&gt;5))</f>
        <v>0</v>
      </c>
      <c r="N1311" s="22">
        <f ca="1" t="shared" si="103"/>
        <v>1.58333333337214</v>
      </c>
      <c r="O1311" s="22" t="str">
        <f ca="1" t="shared" si="104"/>
        <v>Within SLA</v>
      </c>
      <c r="P1311" s="26" t="s">
        <v>5190</v>
      </c>
      <c r="Q1311" s="24" t="s">
        <v>37</v>
      </c>
      <c r="R1311" s="25"/>
      <c r="S1311" s="25"/>
    </row>
    <row r="1312" ht="39" customHeight="1" spans="1:19">
      <c r="A1312" s="19" t="s">
        <v>5193</v>
      </c>
      <c r="B1312" s="20" t="s">
        <v>19</v>
      </c>
      <c r="C1312" s="20" t="s">
        <v>20</v>
      </c>
      <c r="D1312" s="20" t="s">
        <v>32</v>
      </c>
      <c r="E1312" s="21" t="s">
        <v>4952</v>
      </c>
      <c r="F1312" s="21" t="s">
        <v>5194</v>
      </c>
      <c r="G1312" s="20" t="s">
        <v>35</v>
      </c>
      <c r="H1312" s="20" t="s">
        <v>25</v>
      </c>
      <c r="I1312" s="21" t="s">
        <v>5195</v>
      </c>
      <c r="J1312" s="22">
        <f t="shared" si="100"/>
        <v>0.746527777773736</v>
      </c>
      <c r="K1312" s="22">
        <f t="shared" si="101"/>
        <v>17.9166666665697</v>
      </c>
      <c r="L1312" s="22">
        <f t="shared" si="102"/>
        <v>1.91666666656965</v>
      </c>
      <c r="M1312" s="22" cm="1">
        <f ca="1" t="array" ref="M1312">SUMPRODUCT(--(WEEKDAY(ROW(INDIRECT(INT(F1312)&amp;":"&amp;INT(I1312))),2)&gt;5))</f>
        <v>0</v>
      </c>
      <c r="N1312" s="22">
        <f ca="1" t="shared" si="103"/>
        <v>1.91666666656965</v>
      </c>
      <c r="O1312" s="22" t="str">
        <f ca="1" t="shared" si="104"/>
        <v>Within SLA</v>
      </c>
      <c r="P1312" s="26" t="s">
        <v>5193</v>
      </c>
      <c r="Q1312" s="24" t="s">
        <v>37</v>
      </c>
      <c r="R1312" s="25"/>
      <c r="S1312" s="25"/>
    </row>
    <row r="1313" ht="39" customHeight="1" spans="1:19">
      <c r="A1313" s="19" t="s">
        <v>5196</v>
      </c>
      <c r="B1313" s="20" t="s">
        <v>19</v>
      </c>
      <c r="C1313" s="20" t="s">
        <v>20</v>
      </c>
      <c r="D1313" s="20" t="s">
        <v>32</v>
      </c>
      <c r="E1313" s="21" t="s">
        <v>5039</v>
      </c>
      <c r="F1313" s="21" t="s">
        <v>5197</v>
      </c>
      <c r="G1313" s="20" t="s">
        <v>35</v>
      </c>
      <c r="H1313" s="20" t="s">
        <v>25</v>
      </c>
      <c r="I1313" s="21" t="s">
        <v>5185</v>
      </c>
      <c r="J1313" s="22">
        <f t="shared" si="100"/>
        <v>9.00208333333285</v>
      </c>
      <c r="K1313" s="22">
        <f t="shared" si="101"/>
        <v>216.049999999988</v>
      </c>
      <c r="L1313" s="22">
        <f t="shared" si="102"/>
        <v>72.0499999999884</v>
      </c>
      <c r="M1313" s="22" cm="1">
        <f ca="1" t="array" ref="M1313">SUMPRODUCT(--(WEEKDAY(ROW(INDIRECT(INT(F1313)&amp;":"&amp;INT(I1313))),2)&gt;5))</f>
        <v>2</v>
      </c>
      <c r="N1313" s="22">
        <f ca="1" t="shared" si="103"/>
        <v>56.0499999999884</v>
      </c>
      <c r="O1313" s="22" t="str">
        <f ca="1" t="shared" si="104"/>
        <v>SLA Violated</v>
      </c>
      <c r="P1313" s="23" t="s">
        <v>5198</v>
      </c>
      <c r="Q1313" s="24" t="s">
        <v>28</v>
      </c>
      <c r="R1313" s="25"/>
      <c r="S1313" s="25"/>
    </row>
    <row r="1314" ht="27" customHeight="1" spans="1:19">
      <c r="A1314" s="19" t="s">
        <v>5199</v>
      </c>
      <c r="B1314" s="20" t="s">
        <v>30</v>
      </c>
      <c r="C1314" s="20" t="s">
        <v>31</v>
      </c>
      <c r="D1314" s="20" t="s">
        <v>115</v>
      </c>
      <c r="E1314" s="21" t="s">
        <v>5039</v>
      </c>
      <c r="F1314" s="21" t="s">
        <v>5200</v>
      </c>
      <c r="G1314" s="20" t="s">
        <v>35</v>
      </c>
      <c r="H1314" s="20" t="s">
        <v>25</v>
      </c>
      <c r="I1314" s="21" t="s">
        <v>5201</v>
      </c>
      <c r="J1314" s="22">
        <f t="shared" si="100"/>
        <v>1.97083333333285</v>
      </c>
      <c r="K1314" s="22">
        <f t="shared" si="101"/>
        <v>47.2999999999884</v>
      </c>
      <c r="L1314" s="22">
        <f t="shared" si="102"/>
        <v>15.2999999999884</v>
      </c>
      <c r="M1314" s="22" cm="1">
        <f ca="1" t="array" ref="M1314">SUMPRODUCT(--(WEEKDAY(ROW(INDIRECT(INT(F1314)&amp;":"&amp;INT(I1314))),2)&gt;5))</f>
        <v>0</v>
      </c>
      <c r="N1314" s="22">
        <f ca="1" t="shared" si="103"/>
        <v>15.2999999999884</v>
      </c>
      <c r="O1314" s="22" t="str">
        <f ca="1" t="shared" si="104"/>
        <v>SLA Violated</v>
      </c>
      <c r="P1314" s="23" t="s">
        <v>5202</v>
      </c>
      <c r="Q1314" s="24" t="s">
        <v>28</v>
      </c>
      <c r="R1314" s="25"/>
      <c r="S1314" s="25"/>
    </row>
    <row r="1315" ht="39" customHeight="1" spans="1:19">
      <c r="A1315" s="19" t="s">
        <v>5203</v>
      </c>
      <c r="B1315" s="20" t="s">
        <v>19</v>
      </c>
      <c r="C1315" s="20" t="s">
        <v>20</v>
      </c>
      <c r="D1315" s="20" t="s">
        <v>32</v>
      </c>
      <c r="E1315" s="21" t="s">
        <v>5201</v>
      </c>
      <c r="F1315" s="21" t="s">
        <v>5204</v>
      </c>
      <c r="G1315" s="20" t="s">
        <v>35</v>
      </c>
      <c r="H1315" s="20" t="s">
        <v>25</v>
      </c>
      <c r="I1315" s="21" t="s">
        <v>5205</v>
      </c>
      <c r="J1315" s="22">
        <f t="shared" si="100"/>
        <v>0.720833333332848</v>
      </c>
      <c r="K1315" s="22">
        <f t="shared" si="101"/>
        <v>17.2999999999884</v>
      </c>
      <c r="L1315" s="22">
        <f t="shared" si="102"/>
        <v>1.29999999998836</v>
      </c>
      <c r="M1315" s="22" cm="1">
        <f ca="1" t="array" ref="M1315">SUMPRODUCT(--(WEEKDAY(ROW(INDIRECT(INT(F1315)&amp;":"&amp;INT(I1315))),2)&gt;5))</f>
        <v>0</v>
      </c>
      <c r="N1315" s="22">
        <f ca="1" t="shared" si="103"/>
        <v>1.29999999998836</v>
      </c>
      <c r="O1315" s="22" t="str">
        <f ca="1" t="shared" si="104"/>
        <v>Within SLA</v>
      </c>
      <c r="P1315" s="26" t="s">
        <v>5203</v>
      </c>
      <c r="Q1315" s="24" t="s">
        <v>37</v>
      </c>
      <c r="R1315" s="25"/>
      <c r="S1315" s="25"/>
    </row>
    <row r="1316" ht="39" customHeight="1" spans="1:19">
      <c r="A1316" s="19" t="s">
        <v>5206</v>
      </c>
      <c r="B1316" s="20" t="s">
        <v>19</v>
      </c>
      <c r="C1316" s="20" t="s">
        <v>20</v>
      </c>
      <c r="D1316" s="20" t="s">
        <v>32</v>
      </c>
      <c r="E1316" s="21" t="s">
        <v>5207</v>
      </c>
      <c r="F1316" s="21" t="s">
        <v>5208</v>
      </c>
      <c r="G1316" s="20" t="s">
        <v>35</v>
      </c>
      <c r="H1316" s="20" t="s">
        <v>25</v>
      </c>
      <c r="I1316" s="21" t="s">
        <v>5192</v>
      </c>
      <c r="J1316" s="22">
        <f t="shared" si="100"/>
        <v>0.727083333338669</v>
      </c>
      <c r="K1316" s="22">
        <f t="shared" si="101"/>
        <v>17.4500000001281</v>
      </c>
      <c r="L1316" s="22">
        <f t="shared" si="102"/>
        <v>1.45000000012806</v>
      </c>
      <c r="M1316" s="22" cm="1">
        <f ca="1" t="array" ref="M1316">SUMPRODUCT(--(WEEKDAY(ROW(INDIRECT(INT(F1316)&amp;":"&amp;INT(I1316))),2)&gt;5))</f>
        <v>0</v>
      </c>
      <c r="N1316" s="22">
        <f ca="1" t="shared" si="103"/>
        <v>1.45000000012806</v>
      </c>
      <c r="O1316" s="22" t="str">
        <f ca="1" t="shared" si="104"/>
        <v>Within SLA</v>
      </c>
      <c r="P1316" s="26" t="s">
        <v>5206</v>
      </c>
      <c r="Q1316" s="24" t="s">
        <v>37</v>
      </c>
      <c r="R1316" s="25"/>
      <c r="S1316" s="25"/>
    </row>
    <row r="1317" ht="27" customHeight="1" spans="1:19">
      <c r="A1317" s="19" t="s">
        <v>5209</v>
      </c>
      <c r="B1317" s="20" t="s">
        <v>30</v>
      </c>
      <c r="C1317" s="20" t="s">
        <v>2057</v>
      </c>
      <c r="D1317" s="20" t="s">
        <v>32</v>
      </c>
      <c r="E1317" s="21" t="s">
        <v>5210</v>
      </c>
      <c r="F1317" s="21" t="s">
        <v>5211</v>
      </c>
      <c r="G1317" s="20" t="s">
        <v>35</v>
      </c>
      <c r="H1317" s="20" t="s">
        <v>25</v>
      </c>
      <c r="I1317" s="21" t="s">
        <v>5212</v>
      </c>
      <c r="J1317" s="22">
        <f t="shared" si="100"/>
        <v>6.97847222222481</v>
      </c>
      <c r="K1317" s="22">
        <f t="shared" si="101"/>
        <v>167.483333333395</v>
      </c>
      <c r="L1317" s="22">
        <f t="shared" si="102"/>
        <v>55.4833333333954</v>
      </c>
      <c r="M1317" s="22" cm="1">
        <f ca="1" t="array" ref="M1317">SUMPRODUCT(--(WEEKDAY(ROW(INDIRECT(INT(F1317)&amp;":"&amp;INT(I1317))),2)&gt;5))</f>
        <v>2</v>
      </c>
      <c r="N1317" s="22">
        <f ca="1" t="shared" si="103"/>
        <v>39.4833333333954</v>
      </c>
      <c r="O1317" s="22" t="str">
        <f ca="1" t="shared" si="104"/>
        <v>SLA Violated</v>
      </c>
      <c r="P1317" s="26" t="s">
        <v>5209</v>
      </c>
      <c r="Q1317" s="24" t="s">
        <v>28</v>
      </c>
      <c r="R1317" s="25"/>
      <c r="S1317" s="25"/>
    </row>
    <row r="1318" ht="27" customHeight="1" spans="1:19">
      <c r="A1318" s="19" t="s">
        <v>5213</v>
      </c>
      <c r="B1318" s="20" t="s">
        <v>30</v>
      </c>
      <c r="C1318" s="20" t="s">
        <v>2057</v>
      </c>
      <c r="D1318" s="20" t="s">
        <v>21</v>
      </c>
      <c r="E1318" s="21" t="s">
        <v>5210</v>
      </c>
      <c r="F1318" s="21" t="s">
        <v>5214</v>
      </c>
      <c r="G1318" s="20" t="s">
        <v>35</v>
      </c>
      <c r="H1318" s="20" t="s">
        <v>25</v>
      </c>
      <c r="I1318" s="21" t="s">
        <v>5215</v>
      </c>
      <c r="J1318" s="22">
        <f t="shared" si="100"/>
        <v>6.97916666666424</v>
      </c>
      <c r="K1318" s="22">
        <f t="shared" si="101"/>
        <v>167.499999999942</v>
      </c>
      <c r="L1318" s="22">
        <f t="shared" si="102"/>
        <v>55.4999999999418</v>
      </c>
      <c r="M1318" s="22" cm="1">
        <f ca="1" t="array" ref="M1318">SUMPRODUCT(--(WEEKDAY(ROW(INDIRECT(INT(F1318)&amp;":"&amp;INT(I1318))),2)&gt;5))</f>
        <v>2</v>
      </c>
      <c r="N1318" s="22">
        <f ca="1" t="shared" si="103"/>
        <v>39.4999999999418</v>
      </c>
      <c r="O1318" s="22" t="str">
        <f ca="1" t="shared" si="104"/>
        <v>SLA Violated</v>
      </c>
      <c r="P1318" s="23" t="s">
        <v>5216</v>
      </c>
      <c r="Q1318" s="24" t="s">
        <v>28</v>
      </c>
      <c r="R1318" s="25"/>
      <c r="S1318" s="25"/>
    </row>
    <row r="1319" ht="39" customHeight="1" spans="1:19">
      <c r="A1319" s="19" t="s">
        <v>5217</v>
      </c>
      <c r="B1319" s="20" t="s">
        <v>19</v>
      </c>
      <c r="C1319" s="20" t="s">
        <v>20</v>
      </c>
      <c r="D1319" s="20" t="s">
        <v>32</v>
      </c>
      <c r="E1319" s="21" t="s">
        <v>5218</v>
      </c>
      <c r="F1319" s="21" t="s">
        <v>5219</v>
      </c>
      <c r="G1319" s="20" t="s">
        <v>35</v>
      </c>
      <c r="H1319" s="20" t="s">
        <v>25</v>
      </c>
      <c r="I1319" s="21" t="s">
        <v>5220</v>
      </c>
      <c r="J1319" s="22">
        <f t="shared" si="100"/>
        <v>0.719444444446708</v>
      </c>
      <c r="K1319" s="22">
        <f t="shared" si="101"/>
        <v>17.266666666721</v>
      </c>
      <c r="L1319" s="22">
        <f t="shared" si="102"/>
        <v>1.26666666672099</v>
      </c>
      <c r="M1319" s="22" cm="1">
        <f ca="1" t="array" ref="M1319">SUMPRODUCT(--(WEEKDAY(ROW(INDIRECT(INT(F1319)&amp;":"&amp;INT(I1319))),2)&gt;5))</f>
        <v>0</v>
      </c>
      <c r="N1319" s="22">
        <f ca="1" t="shared" si="103"/>
        <v>1.26666666672099</v>
      </c>
      <c r="O1319" s="22" t="str">
        <f ca="1" t="shared" si="104"/>
        <v>Within SLA</v>
      </c>
      <c r="P1319" s="26" t="s">
        <v>5217</v>
      </c>
      <c r="Q1319" s="24" t="s">
        <v>37</v>
      </c>
      <c r="R1319" s="25"/>
      <c r="S1319" s="25"/>
    </row>
    <row r="1320" ht="27" customHeight="1" spans="1:19">
      <c r="A1320" s="19" t="s">
        <v>5221</v>
      </c>
      <c r="B1320" s="20" t="s">
        <v>30</v>
      </c>
      <c r="C1320" s="20" t="s">
        <v>2057</v>
      </c>
      <c r="D1320" s="20" t="s">
        <v>32</v>
      </c>
      <c r="E1320" s="21" t="s">
        <v>5222</v>
      </c>
      <c r="F1320" s="21" t="s">
        <v>5214</v>
      </c>
      <c r="G1320" s="20" t="s">
        <v>35</v>
      </c>
      <c r="H1320" s="20" t="s">
        <v>25</v>
      </c>
      <c r="I1320" s="21" t="s">
        <v>5223</v>
      </c>
      <c r="J1320" s="22">
        <f t="shared" si="100"/>
        <v>6.99930555555329</v>
      </c>
      <c r="K1320" s="22">
        <f t="shared" si="101"/>
        <v>167.983333333279</v>
      </c>
      <c r="L1320" s="22">
        <f t="shared" si="102"/>
        <v>55.983333333279</v>
      </c>
      <c r="M1320" s="22" cm="1">
        <f ca="1" t="array" ref="M1320">SUMPRODUCT(--(WEEKDAY(ROW(INDIRECT(INT(F1320)&amp;":"&amp;INT(I1320))),2)&gt;5))</f>
        <v>2</v>
      </c>
      <c r="N1320" s="22">
        <f ca="1" t="shared" si="103"/>
        <v>39.983333333279</v>
      </c>
      <c r="O1320" s="22" t="str">
        <f ca="1" t="shared" si="104"/>
        <v>SLA Violated</v>
      </c>
      <c r="P1320" s="26" t="s">
        <v>5221</v>
      </c>
      <c r="Q1320" s="24" t="s">
        <v>28</v>
      </c>
      <c r="R1320" s="25"/>
      <c r="S1320" s="25"/>
    </row>
    <row r="1321" ht="27" customHeight="1" spans="1:19">
      <c r="A1321" s="19" t="s">
        <v>5224</v>
      </c>
      <c r="B1321" s="20" t="s">
        <v>30</v>
      </c>
      <c r="C1321" s="20" t="s">
        <v>31</v>
      </c>
      <c r="D1321" s="20" t="s">
        <v>32</v>
      </c>
      <c r="E1321" s="21" t="s">
        <v>5222</v>
      </c>
      <c r="F1321" s="21" t="s">
        <v>5225</v>
      </c>
      <c r="G1321" s="20" t="s">
        <v>35</v>
      </c>
      <c r="H1321" s="20" t="s">
        <v>25</v>
      </c>
      <c r="I1321" s="21" t="s">
        <v>5226</v>
      </c>
      <c r="J1321" s="22">
        <f t="shared" si="100"/>
        <v>0.222916666665697</v>
      </c>
      <c r="K1321" s="22">
        <f t="shared" si="101"/>
        <v>5.34999999997672</v>
      </c>
      <c r="L1321" s="22">
        <f t="shared" si="102"/>
        <v>5.34999999997672</v>
      </c>
      <c r="M1321" s="22" cm="1">
        <f ca="1" t="array" ref="M1321">SUMPRODUCT(--(WEEKDAY(ROW(INDIRECT(INT(F1321)&amp;":"&amp;INT(I1321))),2)&gt;5))</f>
        <v>0</v>
      </c>
      <c r="N1321" s="22">
        <f ca="1" t="shared" si="103"/>
        <v>5.34999999997672</v>
      </c>
      <c r="O1321" s="22" t="str">
        <f ca="1" t="shared" si="104"/>
        <v>Within SLA</v>
      </c>
      <c r="P1321" s="26" t="s">
        <v>5224</v>
      </c>
      <c r="Q1321" s="24" t="s">
        <v>37</v>
      </c>
      <c r="R1321" s="25"/>
      <c r="S1321" s="25"/>
    </row>
    <row r="1322" ht="50" customHeight="1" spans="1:19">
      <c r="A1322" s="19" t="s">
        <v>5227</v>
      </c>
      <c r="B1322" s="20" t="s">
        <v>369</v>
      </c>
      <c r="C1322" s="20" t="s">
        <v>2057</v>
      </c>
      <c r="D1322" s="20" t="s">
        <v>32</v>
      </c>
      <c r="E1322" s="21" t="s">
        <v>5228</v>
      </c>
      <c r="F1322" s="21" t="s">
        <v>5229</v>
      </c>
      <c r="G1322" s="20" t="s">
        <v>35</v>
      </c>
      <c r="H1322" s="20" t="s">
        <v>25</v>
      </c>
      <c r="I1322" s="21" t="s">
        <v>5230</v>
      </c>
      <c r="J1322" s="22">
        <f t="shared" si="100"/>
        <v>24.71875</v>
      </c>
      <c r="K1322" s="22">
        <f t="shared" si="101"/>
        <v>593.25</v>
      </c>
      <c r="L1322" s="22">
        <f t="shared" si="102"/>
        <v>193.25</v>
      </c>
      <c r="M1322" s="22" cm="1">
        <f ca="1" t="array" ref="M1322">SUMPRODUCT(--(WEEKDAY(ROW(INDIRECT(INT(F1322)&amp;":"&amp;INT(I1322))),2)&gt;5))</f>
        <v>6</v>
      </c>
      <c r="N1322" s="22">
        <f ca="1" t="shared" si="103"/>
        <v>145.25</v>
      </c>
      <c r="O1322" s="22" t="str">
        <f ca="1" t="shared" si="104"/>
        <v>SLA Violated</v>
      </c>
      <c r="P1322" s="23" t="s">
        <v>5231</v>
      </c>
      <c r="Q1322" s="24" t="s">
        <v>28</v>
      </c>
      <c r="R1322" s="25"/>
      <c r="S1322" s="25"/>
    </row>
    <row r="1323" ht="39" customHeight="1" spans="1:19">
      <c r="A1323" s="19" t="s">
        <v>5232</v>
      </c>
      <c r="B1323" s="20" t="s">
        <v>19</v>
      </c>
      <c r="C1323" s="20" t="s">
        <v>20</v>
      </c>
      <c r="D1323" s="20" t="s">
        <v>32</v>
      </c>
      <c r="E1323" s="21" t="s">
        <v>5233</v>
      </c>
      <c r="F1323" s="21" t="s">
        <v>5234</v>
      </c>
      <c r="G1323" s="20" t="s">
        <v>35</v>
      </c>
      <c r="H1323" s="20" t="s">
        <v>25</v>
      </c>
      <c r="I1323" s="21" t="s">
        <v>5235</v>
      </c>
      <c r="J1323" s="22">
        <f t="shared" si="100"/>
        <v>0.730555555557657</v>
      </c>
      <c r="K1323" s="22">
        <f t="shared" si="101"/>
        <v>17.5333333333838</v>
      </c>
      <c r="L1323" s="22">
        <f t="shared" si="102"/>
        <v>1.53333333338378</v>
      </c>
      <c r="M1323" s="22" cm="1">
        <f ca="1" t="array" ref="M1323">SUMPRODUCT(--(WEEKDAY(ROW(INDIRECT(INT(F1323)&amp;":"&amp;INT(I1323))),2)&gt;5))</f>
        <v>0</v>
      </c>
      <c r="N1323" s="22">
        <f ca="1" t="shared" si="103"/>
        <v>1.53333333338378</v>
      </c>
      <c r="O1323" s="22" t="str">
        <f ca="1" t="shared" si="104"/>
        <v>Within SLA</v>
      </c>
      <c r="P1323" s="26" t="s">
        <v>5232</v>
      </c>
      <c r="Q1323" s="24" t="s">
        <v>37</v>
      </c>
      <c r="R1323" s="25"/>
      <c r="S1323" s="25"/>
    </row>
    <row r="1324" ht="27" customHeight="1" spans="1:19">
      <c r="A1324" s="19" t="s">
        <v>5236</v>
      </c>
      <c r="B1324" s="20" t="s">
        <v>139</v>
      </c>
      <c r="C1324" s="20" t="s">
        <v>849</v>
      </c>
      <c r="D1324" s="20" t="s">
        <v>32</v>
      </c>
      <c r="E1324" s="21" t="s">
        <v>5233</v>
      </c>
      <c r="F1324" s="21" t="s">
        <v>5237</v>
      </c>
      <c r="G1324" s="20" t="s">
        <v>35</v>
      </c>
      <c r="H1324" s="20" t="s">
        <v>25</v>
      </c>
      <c r="I1324" s="21" t="s">
        <v>5238</v>
      </c>
      <c r="J1324" s="22">
        <f t="shared" si="100"/>
        <v>7.29305555555766</v>
      </c>
      <c r="K1324" s="22">
        <f t="shared" si="101"/>
        <v>175.033333333384</v>
      </c>
      <c r="L1324" s="22">
        <f t="shared" si="102"/>
        <v>63.0333333333838</v>
      </c>
      <c r="M1324" s="22" cm="1">
        <f ca="1" t="array" ref="M1324">SUMPRODUCT(--(WEEKDAY(ROW(INDIRECT(INT(F1324)&amp;":"&amp;INT(I1324))),2)&gt;5))</f>
        <v>2</v>
      </c>
      <c r="N1324" s="22">
        <f ca="1" t="shared" si="103"/>
        <v>47.0333333333838</v>
      </c>
      <c r="O1324" s="22" t="str">
        <f ca="1" t="shared" si="104"/>
        <v>SLA Violated</v>
      </c>
      <c r="P1324" s="23" t="s">
        <v>5239</v>
      </c>
      <c r="Q1324" s="24" t="s">
        <v>28</v>
      </c>
      <c r="R1324" s="25"/>
      <c r="S1324" s="25"/>
    </row>
    <row r="1325" ht="27" customHeight="1" spans="1:19">
      <c r="A1325" s="19" t="s">
        <v>5240</v>
      </c>
      <c r="B1325" s="20" t="s">
        <v>30</v>
      </c>
      <c r="C1325" s="20" t="s">
        <v>31</v>
      </c>
      <c r="D1325" s="20" t="s">
        <v>32</v>
      </c>
      <c r="E1325" s="21" t="s">
        <v>5241</v>
      </c>
      <c r="F1325" s="21" t="s">
        <v>5242</v>
      </c>
      <c r="G1325" s="20" t="s">
        <v>35</v>
      </c>
      <c r="H1325" s="20" t="s">
        <v>25</v>
      </c>
      <c r="I1325" s="21" t="s">
        <v>5243</v>
      </c>
      <c r="J1325" s="22">
        <f t="shared" si="100"/>
        <v>0.190277777779556</v>
      </c>
      <c r="K1325" s="22">
        <f t="shared" si="101"/>
        <v>4.56666666670935</v>
      </c>
      <c r="L1325" s="22">
        <f t="shared" si="102"/>
        <v>4.56666666670935</v>
      </c>
      <c r="M1325" s="22" cm="1">
        <f ca="1" t="array" ref="M1325">SUMPRODUCT(--(WEEKDAY(ROW(INDIRECT(INT(F1325)&amp;":"&amp;INT(I1325))),2)&gt;5))</f>
        <v>0</v>
      </c>
      <c r="N1325" s="22">
        <f ca="1" t="shared" si="103"/>
        <v>4.56666666670935</v>
      </c>
      <c r="O1325" s="22" t="str">
        <f ca="1" t="shared" si="104"/>
        <v>Within SLA</v>
      </c>
      <c r="P1325" s="26" t="s">
        <v>5240</v>
      </c>
      <c r="Q1325" s="24" t="s">
        <v>37</v>
      </c>
      <c r="R1325" s="25"/>
      <c r="S1325" s="25"/>
    </row>
    <row r="1326" ht="27" customHeight="1" spans="1:19">
      <c r="A1326" s="19" t="s">
        <v>5244</v>
      </c>
      <c r="B1326" s="20" t="s">
        <v>30</v>
      </c>
      <c r="C1326" s="20" t="s">
        <v>31</v>
      </c>
      <c r="D1326" s="20" t="s">
        <v>21</v>
      </c>
      <c r="E1326" s="21" t="s">
        <v>5245</v>
      </c>
      <c r="F1326" s="21" t="s">
        <v>5246</v>
      </c>
      <c r="G1326" s="20" t="s">
        <v>35</v>
      </c>
      <c r="H1326" s="20" t="s">
        <v>25</v>
      </c>
      <c r="I1326" s="21" t="s">
        <v>5247</v>
      </c>
      <c r="J1326" s="22">
        <f t="shared" si="100"/>
        <v>5.01527777777665</v>
      </c>
      <c r="K1326" s="22">
        <f t="shared" si="101"/>
        <v>120.36666666664</v>
      </c>
      <c r="L1326" s="22">
        <f t="shared" si="102"/>
        <v>40.3666666666395</v>
      </c>
      <c r="M1326" s="22" cm="1">
        <f ca="1" t="array" ref="M1326">SUMPRODUCT(--(WEEKDAY(ROW(INDIRECT(INT(F1326)&amp;":"&amp;INT(I1326))),2)&gt;5))</f>
        <v>2</v>
      </c>
      <c r="N1326" s="22">
        <f ca="1" t="shared" si="103"/>
        <v>24.3666666666395</v>
      </c>
      <c r="O1326" s="22" t="str">
        <f ca="1" t="shared" si="104"/>
        <v>SLA Violated</v>
      </c>
      <c r="P1326" s="23" t="s">
        <v>5248</v>
      </c>
      <c r="Q1326" s="24" t="s">
        <v>28</v>
      </c>
      <c r="R1326" s="25"/>
      <c r="S1326" s="25"/>
    </row>
    <row r="1327" ht="39" customHeight="1" spans="1:19">
      <c r="A1327" s="19" t="s">
        <v>5249</v>
      </c>
      <c r="B1327" s="20" t="s">
        <v>19</v>
      </c>
      <c r="C1327" s="20" t="s">
        <v>20</v>
      </c>
      <c r="D1327" s="20" t="s">
        <v>32</v>
      </c>
      <c r="E1327" s="21" t="s">
        <v>5250</v>
      </c>
      <c r="F1327" s="21" t="s">
        <v>5251</v>
      </c>
      <c r="G1327" s="20" t="s">
        <v>35</v>
      </c>
      <c r="H1327" s="20" t="s">
        <v>25</v>
      </c>
      <c r="I1327" s="21" t="s">
        <v>5252</v>
      </c>
      <c r="J1327" s="22">
        <f t="shared" si="100"/>
        <v>8.93958333334012</v>
      </c>
      <c r="K1327" s="22">
        <f t="shared" si="101"/>
        <v>214.550000000163</v>
      </c>
      <c r="L1327" s="22">
        <f t="shared" si="102"/>
        <v>70.550000000163</v>
      </c>
      <c r="M1327" s="22" cm="1">
        <f ca="1" t="array" ref="M1327">SUMPRODUCT(--(WEEKDAY(ROW(INDIRECT(INT(F1327)&amp;":"&amp;INT(I1327))),2)&gt;5))</f>
        <v>2</v>
      </c>
      <c r="N1327" s="22">
        <f ca="1" t="shared" si="103"/>
        <v>54.550000000163</v>
      </c>
      <c r="O1327" s="22" t="str">
        <f ca="1" t="shared" si="104"/>
        <v>SLA Violated</v>
      </c>
      <c r="P1327" s="23" t="s">
        <v>5253</v>
      </c>
      <c r="Q1327" s="24" t="s">
        <v>28</v>
      </c>
      <c r="R1327" s="25"/>
      <c r="S1327" s="25"/>
    </row>
    <row r="1328" ht="27" customHeight="1" spans="1:19">
      <c r="A1328" s="19" t="s">
        <v>5254</v>
      </c>
      <c r="B1328" s="20" t="s">
        <v>30</v>
      </c>
      <c r="C1328" s="20" t="s">
        <v>101</v>
      </c>
      <c r="D1328" s="20" t="s">
        <v>32</v>
      </c>
      <c r="E1328" s="21" t="s">
        <v>4626</v>
      </c>
      <c r="F1328" s="21" t="s">
        <v>4472</v>
      </c>
      <c r="G1328" s="20" t="s">
        <v>24</v>
      </c>
      <c r="H1328" s="20" t="s">
        <v>25</v>
      </c>
      <c r="I1328" s="21" t="s">
        <v>5255</v>
      </c>
      <c r="J1328" s="22">
        <f t="shared" si="100"/>
        <v>0.966666666667152</v>
      </c>
      <c r="K1328" s="22">
        <f t="shared" si="101"/>
        <v>23.2000000000116</v>
      </c>
      <c r="L1328" s="22">
        <f t="shared" si="102"/>
        <v>7.20000000001164</v>
      </c>
      <c r="M1328" s="22" cm="1">
        <f ca="1" t="array" ref="M1328">SUMPRODUCT(--(WEEKDAY(ROW(INDIRECT(INT(F1328)&amp;":"&amp;INT(I1328))),2)&gt;5))</f>
        <v>0</v>
      </c>
      <c r="N1328" s="22">
        <f ca="1" t="shared" si="103"/>
        <v>7.20000000001164</v>
      </c>
      <c r="O1328" s="22" t="str">
        <f ca="1" t="shared" si="104"/>
        <v>Within SLA</v>
      </c>
      <c r="P1328" s="26" t="s">
        <v>5254</v>
      </c>
      <c r="Q1328" s="24" t="s">
        <v>37</v>
      </c>
      <c r="R1328" s="25"/>
      <c r="S1328" s="25"/>
    </row>
    <row r="1329" ht="27" customHeight="1" spans="1:19">
      <c r="A1329" s="19" t="s">
        <v>5256</v>
      </c>
      <c r="B1329" s="20" t="s">
        <v>30</v>
      </c>
      <c r="C1329" s="20" t="s">
        <v>2057</v>
      </c>
      <c r="D1329" s="20" t="s">
        <v>32</v>
      </c>
      <c r="E1329" s="21" t="s">
        <v>5257</v>
      </c>
      <c r="F1329" s="21" t="s">
        <v>5258</v>
      </c>
      <c r="G1329" s="20" t="s">
        <v>35</v>
      </c>
      <c r="H1329" s="20" t="s">
        <v>25</v>
      </c>
      <c r="I1329" s="21" t="s">
        <v>5259</v>
      </c>
      <c r="J1329" s="22">
        <f t="shared" si="100"/>
        <v>6.97916666666424</v>
      </c>
      <c r="K1329" s="22">
        <f t="shared" si="101"/>
        <v>167.499999999942</v>
      </c>
      <c r="L1329" s="22">
        <f t="shared" si="102"/>
        <v>55.4999999999418</v>
      </c>
      <c r="M1329" s="22" cm="1">
        <f ca="1" t="array" ref="M1329">SUMPRODUCT(--(WEEKDAY(ROW(INDIRECT(INT(F1329)&amp;":"&amp;INT(I1329))),2)&gt;5))</f>
        <v>2</v>
      </c>
      <c r="N1329" s="22">
        <f ca="1" t="shared" si="103"/>
        <v>39.4999999999418</v>
      </c>
      <c r="O1329" s="22" t="str">
        <f ca="1" t="shared" si="104"/>
        <v>SLA Violated</v>
      </c>
      <c r="P1329" s="26" t="s">
        <v>5256</v>
      </c>
      <c r="Q1329" s="24" t="s">
        <v>28</v>
      </c>
      <c r="R1329" s="25"/>
      <c r="S1329" s="25"/>
    </row>
    <row r="1330" ht="39" customHeight="1" spans="1:19">
      <c r="A1330" s="19" t="s">
        <v>5260</v>
      </c>
      <c r="B1330" s="20" t="s">
        <v>19</v>
      </c>
      <c r="C1330" s="20" t="s">
        <v>20</v>
      </c>
      <c r="D1330" s="20" t="s">
        <v>32</v>
      </c>
      <c r="E1330" s="21" t="s">
        <v>5257</v>
      </c>
      <c r="F1330" s="21" t="s">
        <v>5261</v>
      </c>
      <c r="G1330" s="20" t="s">
        <v>35</v>
      </c>
      <c r="H1330" s="20" t="s">
        <v>25</v>
      </c>
      <c r="I1330" s="21" t="s">
        <v>5262</v>
      </c>
      <c r="J1330" s="22">
        <f t="shared" si="100"/>
        <v>0.71875</v>
      </c>
      <c r="K1330" s="22">
        <f t="shared" si="101"/>
        <v>17.25</v>
      </c>
      <c r="L1330" s="22">
        <f t="shared" si="102"/>
        <v>1.25</v>
      </c>
      <c r="M1330" s="22" cm="1">
        <f ca="1" t="array" ref="M1330">SUMPRODUCT(--(WEEKDAY(ROW(INDIRECT(INT(F1330)&amp;":"&amp;INT(I1330))),2)&gt;5))</f>
        <v>0</v>
      </c>
      <c r="N1330" s="22">
        <f ca="1" t="shared" si="103"/>
        <v>1.25</v>
      </c>
      <c r="O1330" s="22" t="str">
        <f ca="1" t="shared" si="104"/>
        <v>Within SLA</v>
      </c>
      <c r="P1330" s="26" t="s">
        <v>5260</v>
      </c>
      <c r="Q1330" s="24" t="s">
        <v>37</v>
      </c>
      <c r="R1330" s="25"/>
      <c r="S1330" s="25"/>
    </row>
    <row r="1331" ht="27" customHeight="1" spans="1:19">
      <c r="A1331" s="19" t="s">
        <v>5263</v>
      </c>
      <c r="B1331" s="20" t="s">
        <v>30</v>
      </c>
      <c r="C1331" s="20" t="s">
        <v>31</v>
      </c>
      <c r="D1331" s="20" t="s">
        <v>32</v>
      </c>
      <c r="E1331" s="21" t="s">
        <v>5212</v>
      </c>
      <c r="F1331" s="21" t="s">
        <v>5264</v>
      </c>
      <c r="G1331" s="20" t="s">
        <v>35</v>
      </c>
      <c r="H1331" s="20" t="s">
        <v>25</v>
      </c>
      <c r="I1331" s="21" t="s">
        <v>5265</v>
      </c>
      <c r="J1331" s="22">
        <f t="shared" si="100"/>
        <v>0.186805555553292</v>
      </c>
      <c r="K1331" s="22">
        <f t="shared" si="101"/>
        <v>4.48333333327901</v>
      </c>
      <c r="L1331" s="22">
        <f t="shared" si="102"/>
        <v>4.48333333327901</v>
      </c>
      <c r="M1331" s="22" cm="1">
        <f ca="1" t="array" ref="M1331">SUMPRODUCT(--(WEEKDAY(ROW(INDIRECT(INT(F1331)&amp;":"&amp;INT(I1331))),2)&gt;5))</f>
        <v>0</v>
      </c>
      <c r="N1331" s="22">
        <f ca="1" t="shared" si="103"/>
        <v>4.48333333327901</v>
      </c>
      <c r="O1331" s="22" t="str">
        <f ca="1" t="shared" si="104"/>
        <v>Within SLA</v>
      </c>
      <c r="P1331" s="26" t="s">
        <v>5263</v>
      </c>
      <c r="Q1331" s="24" t="s">
        <v>37</v>
      </c>
      <c r="R1331" s="25"/>
      <c r="S1331" s="25"/>
    </row>
    <row r="1332" ht="27" customHeight="1" spans="1:19">
      <c r="A1332" s="19" t="s">
        <v>5266</v>
      </c>
      <c r="B1332" s="20" t="s">
        <v>30</v>
      </c>
      <c r="C1332" s="20" t="s">
        <v>31</v>
      </c>
      <c r="D1332" s="20" t="s">
        <v>32</v>
      </c>
      <c r="E1332" s="21" t="s">
        <v>5267</v>
      </c>
      <c r="F1332" s="21" t="s">
        <v>5268</v>
      </c>
      <c r="G1332" s="20" t="s">
        <v>35</v>
      </c>
      <c r="H1332" s="20" t="s">
        <v>25</v>
      </c>
      <c r="I1332" s="21" t="s">
        <v>5269</v>
      </c>
      <c r="J1332" s="22">
        <f t="shared" si="100"/>
        <v>0.181944444448163</v>
      </c>
      <c r="K1332" s="22">
        <f t="shared" si="101"/>
        <v>4.36666666675592</v>
      </c>
      <c r="L1332" s="22">
        <f t="shared" si="102"/>
        <v>4.36666666675592</v>
      </c>
      <c r="M1332" s="22" cm="1">
        <f ca="1" t="array" ref="M1332">SUMPRODUCT(--(WEEKDAY(ROW(INDIRECT(INT(F1332)&amp;":"&amp;INT(I1332))),2)&gt;5))</f>
        <v>0</v>
      </c>
      <c r="N1332" s="22">
        <f ca="1" t="shared" si="103"/>
        <v>4.36666666675592</v>
      </c>
      <c r="O1332" s="22" t="str">
        <f ca="1" t="shared" si="104"/>
        <v>Within SLA</v>
      </c>
      <c r="P1332" s="26" t="s">
        <v>5266</v>
      </c>
      <c r="Q1332" s="24" t="s">
        <v>37</v>
      </c>
      <c r="R1332" s="25"/>
      <c r="S1332" s="25"/>
    </row>
    <row r="1333" ht="39" customHeight="1" spans="1:19">
      <c r="A1333" s="19" t="s">
        <v>5270</v>
      </c>
      <c r="B1333" s="20" t="s">
        <v>19</v>
      </c>
      <c r="C1333" s="20" t="s">
        <v>20</v>
      </c>
      <c r="D1333" s="20" t="s">
        <v>32</v>
      </c>
      <c r="E1333" s="21" t="s">
        <v>5271</v>
      </c>
      <c r="F1333" s="21" t="s">
        <v>5219</v>
      </c>
      <c r="G1333" s="20" t="s">
        <v>35</v>
      </c>
      <c r="H1333" s="20" t="s">
        <v>25</v>
      </c>
      <c r="I1333" s="21" t="s">
        <v>5272</v>
      </c>
      <c r="J1333" s="22">
        <f t="shared" si="100"/>
        <v>0.689583333332848</v>
      </c>
      <c r="K1333" s="22">
        <f t="shared" si="101"/>
        <v>16.5499999999884</v>
      </c>
      <c r="L1333" s="22">
        <f t="shared" si="102"/>
        <v>0.549999999988358</v>
      </c>
      <c r="M1333" s="22" cm="1">
        <f ca="1" t="array" ref="M1333">SUMPRODUCT(--(WEEKDAY(ROW(INDIRECT(INT(F1333)&amp;":"&amp;INT(I1333))),2)&gt;5))</f>
        <v>0</v>
      </c>
      <c r="N1333" s="22">
        <f ca="1" t="shared" si="103"/>
        <v>0.549999999988358</v>
      </c>
      <c r="O1333" s="22" t="str">
        <f ca="1" t="shared" si="104"/>
        <v>Within SLA</v>
      </c>
      <c r="P1333" s="26" t="s">
        <v>5270</v>
      </c>
      <c r="Q1333" s="24" t="s">
        <v>37</v>
      </c>
      <c r="R1333" s="25"/>
      <c r="S1333" s="25"/>
    </row>
    <row r="1334" ht="39" customHeight="1" spans="1:19">
      <c r="A1334" s="19" t="s">
        <v>5273</v>
      </c>
      <c r="B1334" s="20" t="s">
        <v>196</v>
      </c>
      <c r="C1334" s="20" t="s">
        <v>101</v>
      </c>
      <c r="D1334" s="20" t="s">
        <v>32</v>
      </c>
      <c r="E1334" s="21" t="s">
        <v>5269</v>
      </c>
      <c r="F1334" s="21" t="s">
        <v>5274</v>
      </c>
      <c r="G1334" s="20" t="s">
        <v>35</v>
      </c>
      <c r="H1334" s="20" t="s">
        <v>25</v>
      </c>
      <c r="I1334" s="21" t="s">
        <v>5275</v>
      </c>
      <c r="J1334" s="22">
        <f t="shared" si="100"/>
        <v>1.16875000000437</v>
      </c>
      <c r="K1334" s="22">
        <f t="shared" si="101"/>
        <v>28.0500000001048</v>
      </c>
      <c r="L1334" s="22">
        <f t="shared" si="102"/>
        <v>12.0500000001048</v>
      </c>
      <c r="M1334" s="22" cm="1">
        <f ca="1" t="array" ref="M1334">SUMPRODUCT(--(WEEKDAY(ROW(INDIRECT(INT(F1334)&amp;":"&amp;INT(I1334))),2)&gt;5))</f>
        <v>0</v>
      </c>
      <c r="N1334" s="22">
        <f ca="1" t="shared" si="103"/>
        <v>12.0500000001048</v>
      </c>
      <c r="O1334" s="22" t="str">
        <f ca="1" t="shared" si="104"/>
        <v>SLA Violated</v>
      </c>
      <c r="P1334" s="23" t="s">
        <v>5276</v>
      </c>
      <c r="Q1334" s="24" t="s">
        <v>28</v>
      </c>
      <c r="R1334" s="25"/>
      <c r="S1334" s="25"/>
    </row>
    <row r="1335" ht="27" customHeight="1" spans="1:19">
      <c r="A1335" s="19" t="s">
        <v>5277</v>
      </c>
      <c r="B1335" s="20" t="s">
        <v>30</v>
      </c>
      <c r="C1335" s="20" t="s">
        <v>31</v>
      </c>
      <c r="D1335" s="20" t="s">
        <v>32</v>
      </c>
      <c r="E1335" s="21" t="s">
        <v>5278</v>
      </c>
      <c r="F1335" s="21" t="s">
        <v>5279</v>
      </c>
      <c r="G1335" s="20" t="s">
        <v>35</v>
      </c>
      <c r="H1335" s="20" t="s">
        <v>25</v>
      </c>
      <c r="I1335" s="21" t="s">
        <v>5280</v>
      </c>
      <c r="J1335" s="22">
        <f t="shared" si="100"/>
        <v>0.995138888887595</v>
      </c>
      <c r="K1335" s="22">
        <f t="shared" si="101"/>
        <v>23.8833333333023</v>
      </c>
      <c r="L1335" s="22">
        <f t="shared" si="102"/>
        <v>7.88333333330229</v>
      </c>
      <c r="M1335" s="22" cm="1">
        <f ca="1" t="array" ref="M1335">SUMPRODUCT(--(WEEKDAY(ROW(INDIRECT(INT(F1335)&amp;":"&amp;INT(I1335))),2)&gt;5))</f>
        <v>0</v>
      </c>
      <c r="N1335" s="22">
        <f ca="1" t="shared" si="103"/>
        <v>7.88333333330229</v>
      </c>
      <c r="O1335" s="22" t="str">
        <f ca="1" t="shared" si="104"/>
        <v>Within SLA</v>
      </c>
      <c r="P1335" s="26" t="s">
        <v>5277</v>
      </c>
      <c r="Q1335" s="24" t="s">
        <v>37</v>
      </c>
      <c r="R1335" s="25"/>
      <c r="S1335" s="25"/>
    </row>
    <row r="1336" ht="27" customHeight="1" spans="1:19">
      <c r="A1336" s="19" t="s">
        <v>5281</v>
      </c>
      <c r="B1336" s="20" t="s">
        <v>30</v>
      </c>
      <c r="C1336" s="20" t="s">
        <v>2057</v>
      </c>
      <c r="D1336" s="20" t="s">
        <v>32</v>
      </c>
      <c r="E1336" s="21" t="s">
        <v>5278</v>
      </c>
      <c r="F1336" s="21" t="s">
        <v>5282</v>
      </c>
      <c r="G1336" s="20" t="s">
        <v>35</v>
      </c>
      <c r="H1336" s="20" t="s">
        <v>25</v>
      </c>
      <c r="I1336" s="21" t="s">
        <v>5283</v>
      </c>
      <c r="J1336" s="22">
        <f t="shared" si="100"/>
        <v>6.29166666667152</v>
      </c>
      <c r="K1336" s="22">
        <f t="shared" si="101"/>
        <v>151.000000000116</v>
      </c>
      <c r="L1336" s="22">
        <f t="shared" si="102"/>
        <v>55.0000000001164</v>
      </c>
      <c r="M1336" s="22" cm="1">
        <f ca="1" t="array" ref="M1336">SUMPRODUCT(--(WEEKDAY(ROW(INDIRECT(INT(F1336)&amp;":"&amp;INT(I1336))),2)&gt;5))</f>
        <v>2</v>
      </c>
      <c r="N1336" s="22">
        <f ca="1" t="shared" si="103"/>
        <v>39.0000000001164</v>
      </c>
      <c r="O1336" s="22" t="str">
        <f ca="1" t="shared" si="104"/>
        <v>SLA Violated</v>
      </c>
      <c r="P1336" s="26" t="s">
        <v>5281</v>
      </c>
      <c r="Q1336" s="24" t="s">
        <v>28</v>
      </c>
      <c r="R1336" s="25"/>
      <c r="S1336" s="25"/>
    </row>
    <row r="1337" ht="27" customHeight="1" spans="1:19">
      <c r="A1337" s="19" t="s">
        <v>5284</v>
      </c>
      <c r="B1337" s="20" t="s">
        <v>30</v>
      </c>
      <c r="C1337" s="20" t="s">
        <v>31</v>
      </c>
      <c r="D1337" s="20" t="s">
        <v>105</v>
      </c>
      <c r="E1337" s="21" t="s">
        <v>5285</v>
      </c>
      <c r="F1337" s="21" t="s">
        <v>5286</v>
      </c>
      <c r="G1337" s="20" t="s">
        <v>35</v>
      </c>
      <c r="H1337" s="20" t="s">
        <v>25</v>
      </c>
      <c r="I1337" s="21" t="s">
        <v>5287</v>
      </c>
      <c r="J1337" s="22">
        <f t="shared" si="100"/>
        <v>8.96805555555329</v>
      </c>
      <c r="K1337" s="22">
        <f t="shared" si="101"/>
        <v>215.233333333279</v>
      </c>
      <c r="L1337" s="22">
        <f t="shared" si="102"/>
        <v>71.233333333279</v>
      </c>
      <c r="M1337" s="22" cm="1">
        <f ca="1" t="array" ref="M1337">SUMPRODUCT(--(WEEKDAY(ROW(INDIRECT(INT(F1337)&amp;":"&amp;INT(I1337))),2)&gt;5))</f>
        <v>2</v>
      </c>
      <c r="N1337" s="22">
        <f ca="1" t="shared" si="103"/>
        <v>55.233333333279</v>
      </c>
      <c r="O1337" s="22" t="str">
        <f ca="1" t="shared" si="104"/>
        <v>SLA Violated</v>
      </c>
      <c r="P1337" s="23" t="s">
        <v>5288</v>
      </c>
      <c r="Q1337" s="24" t="s">
        <v>37</v>
      </c>
      <c r="R1337" s="25" t="s">
        <v>5289</v>
      </c>
      <c r="S1337" s="25" t="s">
        <v>39</v>
      </c>
    </row>
    <row r="1338" ht="27" customHeight="1" spans="1:19">
      <c r="A1338" s="19" t="s">
        <v>5290</v>
      </c>
      <c r="B1338" s="20" t="s">
        <v>30</v>
      </c>
      <c r="C1338" s="20" t="s">
        <v>2057</v>
      </c>
      <c r="D1338" s="20" t="s">
        <v>32</v>
      </c>
      <c r="E1338" s="21" t="s">
        <v>5285</v>
      </c>
      <c r="F1338" s="21" t="s">
        <v>5291</v>
      </c>
      <c r="G1338" s="20" t="s">
        <v>35</v>
      </c>
      <c r="H1338" s="20" t="s">
        <v>25</v>
      </c>
      <c r="I1338" s="21" t="s">
        <v>5292</v>
      </c>
      <c r="J1338" s="22">
        <f t="shared" si="100"/>
        <v>6.29097222221753</v>
      </c>
      <c r="K1338" s="22">
        <f t="shared" si="101"/>
        <v>150.983333333221</v>
      </c>
      <c r="L1338" s="22">
        <f t="shared" si="102"/>
        <v>54.9833333332208</v>
      </c>
      <c r="M1338" s="22" cm="1">
        <f ca="1" t="array" ref="M1338">SUMPRODUCT(--(WEEKDAY(ROW(INDIRECT(INT(F1338)&amp;":"&amp;INT(I1338))),2)&gt;5))</f>
        <v>2</v>
      </c>
      <c r="N1338" s="22">
        <f ca="1" t="shared" si="103"/>
        <v>38.9833333332208</v>
      </c>
      <c r="O1338" s="22" t="str">
        <f ca="1" t="shared" si="104"/>
        <v>SLA Violated</v>
      </c>
      <c r="P1338" s="26" t="s">
        <v>5290</v>
      </c>
      <c r="Q1338" s="24" t="s">
        <v>28</v>
      </c>
      <c r="R1338" s="25"/>
      <c r="S1338" s="25"/>
    </row>
    <row r="1339" ht="27" customHeight="1" spans="1:19">
      <c r="A1339" s="19" t="s">
        <v>5293</v>
      </c>
      <c r="B1339" s="20" t="s">
        <v>30</v>
      </c>
      <c r="C1339" s="20" t="s">
        <v>2057</v>
      </c>
      <c r="D1339" s="20" t="s">
        <v>32</v>
      </c>
      <c r="E1339" s="21" t="s">
        <v>5294</v>
      </c>
      <c r="F1339" s="21" t="s">
        <v>5295</v>
      </c>
      <c r="G1339" s="20" t="s">
        <v>35</v>
      </c>
      <c r="H1339" s="20" t="s">
        <v>25</v>
      </c>
      <c r="I1339" s="21" t="s">
        <v>5296</v>
      </c>
      <c r="J1339" s="22">
        <f t="shared" si="100"/>
        <v>15.0826388888891</v>
      </c>
      <c r="K1339" s="22">
        <f t="shared" si="101"/>
        <v>361.983333333337</v>
      </c>
      <c r="L1339" s="22">
        <f t="shared" si="102"/>
        <v>121.983333333337</v>
      </c>
      <c r="M1339" s="22" cm="1">
        <f ca="1" t="array" ref="M1339">SUMPRODUCT(--(WEEKDAY(ROW(INDIRECT(INT(F1339)&amp;":"&amp;INT(I1339))),2)&gt;5))</f>
        <v>4</v>
      </c>
      <c r="N1339" s="22">
        <f ca="1" t="shared" si="103"/>
        <v>89.983333333337</v>
      </c>
      <c r="O1339" s="22" t="str">
        <f ca="1" t="shared" si="104"/>
        <v>SLA Violated</v>
      </c>
      <c r="P1339" s="26" t="s">
        <v>5293</v>
      </c>
      <c r="Q1339" s="24" t="s">
        <v>28</v>
      </c>
      <c r="R1339" s="25"/>
      <c r="S1339" s="25"/>
    </row>
    <row r="1340" ht="39" customHeight="1" spans="1:19">
      <c r="A1340" s="19" t="s">
        <v>5297</v>
      </c>
      <c r="B1340" s="20" t="s">
        <v>19</v>
      </c>
      <c r="C1340" s="20" t="s">
        <v>20</v>
      </c>
      <c r="D1340" s="20" t="s">
        <v>32</v>
      </c>
      <c r="E1340" s="21" t="s">
        <v>5298</v>
      </c>
      <c r="F1340" s="21" t="s">
        <v>5299</v>
      </c>
      <c r="G1340" s="20" t="s">
        <v>35</v>
      </c>
      <c r="H1340" s="20" t="s">
        <v>25</v>
      </c>
      <c r="I1340" s="21" t="s">
        <v>5300</v>
      </c>
      <c r="J1340" s="22">
        <f t="shared" si="100"/>
        <v>1.1291666666657</v>
      </c>
      <c r="K1340" s="22">
        <f t="shared" si="101"/>
        <v>27.0999999999767</v>
      </c>
      <c r="L1340" s="22">
        <f t="shared" si="102"/>
        <v>11.0999999999767</v>
      </c>
      <c r="M1340" s="22" cm="1">
        <f ca="1" t="array" ref="M1340">SUMPRODUCT(--(WEEKDAY(ROW(INDIRECT(INT(F1340)&amp;":"&amp;INT(I1340))),2)&gt;5))</f>
        <v>0</v>
      </c>
      <c r="N1340" s="22">
        <f ca="1" t="shared" si="103"/>
        <v>11.0999999999767</v>
      </c>
      <c r="O1340" s="22" t="str">
        <f ca="1" t="shared" si="104"/>
        <v>Within SLA</v>
      </c>
      <c r="P1340" s="26" t="s">
        <v>5297</v>
      </c>
      <c r="Q1340" s="24" t="s">
        <v>37</v>
      </c>
      <c r="R1340" s="25"/>
      <c r="S1340" s="25"/>
    </row>
    <row r="1341" ht="39" customHeight="1" spans="1:19">
      <c r="A1341" s="19" t="s">
        <v>5301</v>
      </c>
      <c r="B1341" s="20" t="s">
        <v>19</v>
      </c>
      <c r="C1341" s="20" t="s">
        <v>20</v>
      </c>
      <c r="D1341" s="20" t="s">
        <v>32</v>
      </c>
      <c r="E1341" s="21" t="s">
        <v>5302</v>
      </c>
      <c r="F1341" s="21" t="s">
        <v>5303</v>
      </c>
      <c r="G1341" s="20" t="s">
        <v>35</v>
      </c>
      <c r="H1341" s="20" t="s">
        <v>25</v>
      </c>
      <c r="I1341" s="21" t="s">
        <v>5304</v>
      </c>
      <c r="J1341" s="22">
        <f t="shared" si="100"/>
        <v>8.14444444444962</v>
      </c>
      <c r="K1341" s="22">
        <f t="shared" si="101"/>
        <v>195.466666666791</v>
      </c>
      <c r="L1341" s="22">
        <f t="shared" si="102"/>
        <v>67.4666666667908</v>
      </c>
      <c r="M1341" s="22" cm="1">
        <f ca="1" t="array" ref="M1341">SUMPRODUCT(--(WEEKDAY(ROW(INDIRECT(INT(F1341)&amp;":"&amp;INT(I1341))),2)&gt;5))</f>
        <v>2</v>
      </c>
      <c r="N1341" s="22">
        <f ca="1" t="shared" si="103"/>
        <v>51.4666666667908</v>
      </c>
      <c r="O1341" s="22" t="str">
        <f ca="1" t="shared" si="104"/>
        <v>SLA Violated</v>
      </c>
      <c r="P1341" s="23" t="s">
        <v>5305</v>
      </c>
      <c r="Q1341" s="24" t="s">
        <v>28</v>
      </c>
      <c r="R1341" s="25"/>
      <c r="S1341" s="25"/>
    </row>
    <row r="1342" ht="39" customHeight="1" spans="1:19">
      <c r="A1342" s="19" t="s">
        <v>5306</v>
      </c>
      <c r="B1342" s="20" t="s">
        <v>19</v>
      </c>
      <c r="C1342" s="20" t="s">
        <v>20</v>
      </c>
      <c r="D1342" s="20" t="s">
        <v>32</v>
      </c>
      <c r="E1342" s="21" t="s">
        <v>5307</v>
      </c>
      <c r="F1342" s="21" t="s">
        <v>5308</v>
      </c>
      <c r="G1342" s="20" t="s">
        <v>35</v>
      </c>
      <c r="H1342" s="20" t="s">
        <v>25</v>
      </c>
      <c r="I1342" s="21" t="s">
        <v>5309</v>
      </c>
      <c r="J1342" s="22">
        <f t="shared" si="100"/>
        <v>1.07777777778392</v>
      </c>
      <c r="K1342" s="22">
        <f t="shared" si="101"/>
        <v>25.8666666668141</v>
      </c>
      <c r="L1342" s="22">
        <f t="shared" si="102"/>
        <v>9.86666666681413</v>
      </c>
      <c r="M1342" s="22" cm="1">
        <f ca="1" t="array" ref="M1342">SUMPRODUCT(--(WEEKDAY(ROW(INDIRECT(INT(F1342)&amp;":"&amp;INT(I1342))),2)&gt;5))</f>
        <v>0</v>
      </c>
      <c r="N1342" s="22">
        <f ca="1" t="shared" si="103"/>
        <v>9.86666666681413</v>
      </c>
      <c r="O1342" s="22" t="str">
        <f ca="1" t="shared" si="104"/>
        <v>Within SLA</v>
      </c>
      <c r="P1342" s="26" t="s">
        <v>5306</v>
      </c>
      <c r="Q1342" s="24" t="s">
        <v>37</v>
      </c>
      <c r="R1342" s="25"/>
      <c r="S1342" s="25"/>
    </row>
    <row r="1343" ht="39" customHeight="1" spans="1:19">
      <c r="A1343" s="19" t="s">
        <v>5310</v>
      </c>
      <c r="B1343" s="20" t="s">
        <v>19</v>
      </c>
      <c r="C1343" s="20" t="s">
        <v>20</v>
      </c>
      <c r="D1343" s="20" t="s">
        <v>32</v>
      </c>
      <c r="E1343" s="21" t="s">
        <v>5311</v>
      </c>
      <c r="F1343" s="21" t="s">
        <v>5312</v>
      </c>
      <c r="G1343" s="20" t="s">
        <v>35</v>
      </c>
      <c r="H1343" s="20" t="s">
        <v>25</v>
      </c>
      <c r="I1343" s="21" t="s">
        <v>5313</v>
      </c>
      <c r="J1343" s="22">
        <f t="shared" si="100"/>
        <v>0.0756944444437977</v>
      </c>
      <c r="K1343" s="22">
        <f t="shared" si="101"/>
        <v>1.81666666665114</v>
      </c>
      <c r="L1343" s="22">
        <f t="shared" si="102"/>
        <v>1.81666666665114</v>
      </c>
      <c r="M1343" s="22" cm="1">
        <f ca="1" t="array" ref="M1343">SUMPRODUCT(--(WEEKDAY(ROW(INDIRECT(INT(F1343)&amp;":"&amp;INT(I1343))),2)&gt;5))</f>
        <v>0</v>
      </c>
      <c r="N1343" s="22">
        <f ca="1" t="shared" si="103"/>
        <v>1.81666666665114</v>
      </c>
      <c r="O1343" s="22" t="str">
        <f ca="1" t="shared" si="104"/>
        <v>Within SLA</v>
      </c>
      <c r="P1343" s="26" t="s">
        <v>5310</v>
      </c>
      <c r="Q1343" s="24" t="s">
        <v>37</v>
      </c>
      <c r="R1343" s="25"/>
      <c r="S1343" s="25"/>
    </row>
    <row r="1344" ht="27" customHeight="1" spans="1:19">
      <c r="A1344" s="19" t="s">
        <v>5314</v>
      </c>
      <c r="B1344" s="20" t="s">
        <v>30</v>
      </c>
      <c r="C1344" s="20" t="s">
        <v>2057</v>
      </c>
      <c r="D1344" s="20" t="s">
        <v>32</v>
      </c>
      <c r="E1344" s="21" t="s">
        <v>5315</v>
      </c>
      <c r="F1344" s="21" t="s">
        <v>5316</v>
      </c>
      <c r="G1344" s="20" t="s">
        <v>35</v>
      </c>
      <c r="H1344" s="20" t="s">
        <v>25</v>
      </c>
      <c r="I1344" s="21" t="s">
        <v>5317</v>
      </c>
      <c r="J1344" s="22">
        <f t="shared" si="100"/>
        <v>6.25208333333285</v>
      </c>
      <c r="K1344" s="22">
        <f t="shared" si="101"/>
        <v>150.049999999988</v>
      </c>
      <c r="L1344" s="22">
        <f t="shared" si="102"/>
        <v>54.0499999999884</v>
      </c>
      <c r="M1344" s="22" cm="1">
        <f ca="1" t="array" ref="M1344">SUMPRODUCT(--(WEEKDAY(ROW(INDIRECT(INT(F1344)&amp;":"&amp;INT(I1344))),2)&gt;5))</f>
        <v>2</v>
      </c>
      <c r="N1344" s="22">
        <f ca="1" t="shared" si="103"/>
        <v>38.0499999999884</v>
      </c>
      <c r="O1344" s="22" t="str">
        <f ca="1" t="shared" si="104"/>
        <v>SLA Violated</v>
      </c>
      <c r="P1344" s="26" t="s">
        <v>5314</v>
      </c>
      <c r="Q1344" s="24" t="s">
        <v>28</v>
      </c>
      <c r="R1344" s="25"/>
      <c r="S1344" s="25"/>
    </row>
    <row r="1345" ht="27" customHeight="1" spans="1:19">
      <c r="A1345" s="19" t="s">
        <v>5318</v>
      </c>
      <c r="B1345" s="20" t="s">
        <v>30</v>
      </c>
      <c r="C1345" s="20" t="s">
        <v>2057</v>
      </c>
      <c r="D1345" s="20" t="s">
        <v>32</v>
      </c>
      <c r="E1345" s="21" t="s">
        <v>5319</v>
      </c>
      <c r="F1345" s="21" t="s">
        <v>5320</v>
      </c>
      <c r="G1345" s="20" t="s">
        <v>35</v>
      </c>
      <c r="H1345" s="20" t="s">
        <v>25</v>
      </c>
      <c r="I1345" s="21" t="s">
        <v>5321</v>
      </c>
      <c r="J1345" s="22">
        <f t="shared" si="100"/>
        <v>6.25138888888614</v>
      </c>
      <c r="K1345" s="22">
        <f t="shared" si="101"/>
        <v>150.033333333267</v>
      </c>
      <c r="L1345" s="22">
        <f t="shared" si="102"/>
        <v>54.0333333332674</v>
      </c>
      <c r="M1345" s="22" cm="1">
        <f ca="1" t="array" ref="M1345">SUMPRODUCT(--(WEEKDAY(ROW(INDIRECT(INT(F1345)&amp;":"&amp;INT(I1345))),2)&gt;5))</f>
        <v>2</v>
      </c>
      <c r="N1345" s="22">
        <f ca="1" t="shared" si="103"/>
        <v>38.0333333332674</v>
      </c>
      <c r="O1345" s="22" t="str">
        <f ca="1" t="shared" si="104"/>
        <v>SLA Violated</v>
      </c>
      <c r="P1345" s="26" t="s">
        <v>5318</v>
      </c>
      <c r="Q1345" s="24" t="s">
        <v>28</v>
      </c>
      <c r="R1345" s="25"/>
      <c r="S1345" s="25"/>
    </row>
    <row r="1346" ht="27" customHeight="1" spans="1:19">
      <c r="A1346" s="19" t="s">
        <v>5322</v>
      </c>
      <c r="B1346" s="20" t="s">
        <v>30</v>
      </c>
      <c r="C1346" s="20" t="s">
        <v>2057</v>
      </c>
      <c r="D1346" s="20" t="s">
        <v>32</v>
      </c>
      <c r="E1346" s="21" t="s">
        <v>5323</v>
      </c>
      <c r="F1346" s="21" t="s">
        <v>5324</v>
      </c>
      <c r="G1346" s="20" t="s">
        <v>35</v>
      </c>
      <c r="H1346" s="20" t="s">
        <v>25</v>
      </c>
      <c r="I1346" s="21" t="s">
        <v>5325</v>
      </c>
      <c r="J1346" s="22">
        <f t="shared" si="100"/>
        <v>6.21666666666715</v>
      </c>
      <c r="K1346" s="22">
        <f t="shared" si="101"/>
        <v>149.200000000012</v>
      </c>
      <c r="L1346" s="22">
        <f t="shared" si="102"/>
        <v>53.2000000000116</v>
      </c>
      <c r="M1346" s="22" cm="1">
        <f ca="1" t="array" ref="M1346">SUMPRODUCT(--(WEEKDAY(ROW(INDIRECT(INT(F1346)&amp;":"&amp;INT(I1346))),2)&gt;5))</f>
        <v>2</v>
      </c>
      <c r="N1346" s="22">
        <f ca="1" t="shared" si="103"/>
        <v>37.2000000000116</v>
      </c>
      <c r="O1346" s="22" t="str">
        <f ca="1" t="shared" si="104"/>
        <v>SLA Violated</v>
      </c>
      <c r="P1346" s="26" t="s">
        <v>5322</v>
      </c>
      <c r="Q1346" s="24" t="s">
        <v>28</v>
      </c>
      <c r="R1346" s="25"/>
      <c r="S1346" s="25"/>
    </row>
    <row r="1347" ht="27" customHeight="1" spans="1:19">
      <c r="A1347" s="19" t="s">
        <v>5326</v>
      </c>
      <c r="B1347" s="20" t="s">
        <v>30</v>
      </c>
      <c r="C1347" s="20" t="s">
        <v>31</v>
      </c>
      <c r="D1347" s="20" t="s">
        <v>32</v>
      </c>
      <c r="E1347" s="21" t="s">
        <v>5323</v>
      </c>
      <c r="F1347" s="21" t="s">
        <v>5327</v>
      </c>
      <c r="G1347" s="20" t="s">
        <v>35</v>
      </c>
      <c r="H1347" s="20" t="s">
        <v>25</v>
      </c>
      <c r="I1347" s="21" t="s">
        <v>5328</v>
      </c>
      <c r="J1347" s="22">
        <f t="shared" ref="J1347:J1410" si="105">F1347-I1347</f>
        <v>0.940277777779556</v>
      </c>
      <c r="K1347" s="22">
        <f t="shared" ref="K1347:K1410" si="106">J1347*24</f>
        <v>22.5666666667094</v>
      </c>
      <c r="L1347" s="22">
        <f t="shared" ref="L1347:L1410" si="107">IF(_xlfn.DAYS(F1347,I1347)&gt;0,K1347-IF(FLOOR(J1347,1)=0,1,_xlfn.DAYS(F1347,I1347))*16,K1347)</f>
        <v>6.56666666670935</v>
      </c>
      <c r="M1347" s="22" cm="1">
        <f ca="1" t="array" ref="M1347">SUMPRODUCT(--(WEEKDAY(ROW(INDIRECT(INT(F1347)&amp;":"&amp;INT(I1347))),2)&gt;5))</f>
        <v>0</v>
      </c>
      <c r="N1347" s="22">
        <f ca="1" t="shared" ref="N1347:N1410" si="108">IF(IF(M1347&gt;0,L1347-M1347*8,L1347)&lt;0,0,IF(M1347&gt;0,L1347-M1347*8,L1347))</f>
        <v>6.56666666670935</v>
      </c>
      <c r="O1347" s="22" t="str">
        <f ca="1" t="shared" ref="O1347:O1410" si="109">IF(OR(AND(D1347="P1",N1347&lt;=3),AND(D1347="P2",N1347&lt;=6),AND(D1347="P3",N1347&lt;=9),AND(D1347="P4",N1347&lt;=12)),"Within SLA","SLA Violated")</f>
        <v>Within SLA</v>
      </c>
      <c r="P1347" s="26" t="s">
        <v>5326</v>
      </c>
      <c r="Q1347" s="24" t="s">
        <v>37</v>
      </c>
      <c r="R1347" s="25"/>
      <c r="S1347" s="25"/>
    </row>
    <row r="1348" ht="27" customHeight="1" spans="1:19">
      <c r="A1348" s="19" t="s">
        <v>5329</v>
      </c>
      <c r="B1348" s="20" t="s">
        <v>30</v>
      </c>
      <c r="C1348" s="20" t="s">
        <v>2057</v>
      </c>
      <c r="D1348" s="20" t="s">
        <v>32</v>
      </c>
      <c r="E1348" s="21" t="s">
        <v>5330</v>
      </c>
      <c r="F1348" s="21" t="s">
        <v>5331</v>
      </c>
      <c r="G1348" s="20" t="s">
        <v>35</v>
      </c>
      <c r="H1348" s="20" t="s">
        <v>25</v>
      </c>
      <c r="I1348" s="21" t="s">
        <v>5332</v>
      </c>
      <c r="J1348" s="22">
        <f t="shared" si="105"/>
        <v>6.21597222222044</v>
      </c>
      <c r="K1348" s="22">
        <f t="shared" si="106"/>
        <v>149.183333333291</v>
      </c>
      <c r="L1348" s="22">
        <f t="shared" si="107"/>
        <v>53.1833333332906</v>
      </c>
      <c r="M1348" s="22" cm="1">
        <f ca="1" t="array" ref="M1348">SUMPRODUCT(--(WEEKDAY(ROW(INDIRECT(INT(F1348)&amp;":"&amp;INT(I1348))),2)&gt;5))</f>
        <v>2</v>
      </c>
      <c r="N1348" s="22">
        <f ca="1" t="shared" si="108"/>
        <v>37.1833333332906</v>
      </c>
      <c r="O1348" s="22" t="str">
        <f ca="1" t="shared" si="109"/>
        <v>SLA Violated</v>
      </c>
      <c r="P1348" s="26" t="s">
        <v>5329</v>
      </c>
      <c r="Q1348" s="24" t="s">
        <v>28</v>
      </c>
      <c r="R1348" s="25"/>
      <c r="S1348" s="25"/>
    </row>
    <row r="1349" ht="39" customHeight="1" spans="1:19">
      <c r="A1349" s="19" t="s">
        <v>5333</v>
      </c>
      <c r="B1349" s="20" t="s">
        <v>19</v>
      </c>
      <c r="C1349" s="20" t="s">
        <v>167</v>
      </c>
      <c r="D1349" s="20" t="s">
        <v>32</v>
      </c>
      <c r="E1349" s="21" t="s">
        <v>5330</v>
      </c>
      <c r="F1349" s="21" t="s">
        <v>5334</v>
      </c>
      <c r="G1349" s="20" t="s">
        <v>35</v>
      </c>
      <c r="H1349" s="20" t="s">
        <v>25</v>
      </c>
      <c r="I1349" s="21" t="s">
        <v>5334</v>
      </c>
      <c r="J1349" s="22">
        <f t="shared" si="105"/>
        <v>0</v>
      </c>
      <c r="K1349" s="22">
        <f t="shared" si="106"/>
        <v>0</v>
      </c>
      <c r="L1349" s="22">
        <f t="shared" si="107"/>
        <v>0</v>
      </c>
      <c r="M1349" s="22" cm="1">
        <f ca="1" t="array" ref="M1349">SUMPRODUCT(--(WEEKDAY(ROW(INDIRECT(INT(F1349)&amp;":"&amp;INT(I1349))),2)&gt;5))</f>
        <v>0</v>
      </c>
      <c r="N1349" s="22">
        <f ca="1" t="shared" si="108"/>
        <v>0</v>
      </c>
      <c r="O1349" s="22" t="str">
        <f ca="1" t="shared" si="109"/>
        <v>Within SLA</v>
      </c>
      <c r="P1349" s="26" t="s">
        <v>5333</v>
      </c>
      <c r="Q1349" s="24" t="s">
        <v>37</v>
      </c>
      <c r="R1349" s="25"/>
      <c r="S1349" s="25"/>
    </row>
    <row r="1350" ht="27" customHeight="1" spans="1:19">
      <c r="A1350" s="19" t="s">
        <v>5335</v>
      </c>
      <c r="B1350" s="20" t="s">
        <v>30</v>
      </c>
      <c r="C1350" s="20" t="s">
        <v>2057</v>
      </c>
      <c r="D1350" s="20" t="s">
        <v>21</v>
      </c>
      <c r="E1350" s="21" t="s">
        <v>5336</v>
      </c>
      <c r="F1350" s="21" t="s">
        <v>5337</v>
      </c>
      <c r="G1350" s="20" t="s">
        <v>35</v>
      </c>
      <c r="H1350" s="20" t="s">
        <v>25</v>
      </c>
      <c r="I1350" s="21" t="s">
        <v>5338</v>
      </c>
      <c r="J1350" s="22">
        <f t="shared" si="105"/>
        <v>14.8666666666686</v>
      </c>
      <c r="K1350" s="22">
        <f t="shared" si="106"/>
        <v>356.800000000047</v>
      </c>
      <c r="L1350" s="22">
        <f t="shared" si="107"/>
        <v>116.800000000047</v>
      </c>
      <c r="M1350" s="22" cm="1">
        <f ca="1" t="array" ref="M1350">SUMPRODUCT(--(WEEKDAY(ROW(INDIRECT(INT(F1350)&amp;":"&amp;INT(I1350))),2)&gt;5))</f>
        <v>4</v>
      </c>
      <c r="N1350" s="22">
        <f ca="1" t="shared" si="108"/>
        <v>84.800000000047</v>
      </c>
      <c r="O1350" s="22" t="str">
        <f ca="1" t="shared" si="109"/>
        <v>SLA Violated</v>
      </c>
      <c r="P1350" s="23" t="s">
        <v>5339</v>
      </c>
      <c r="Q1350" s="24" t="s">
        <v>28</v>
      </c>
      <c r="R1350" s="25"/>
      <c r="S1350" s="25"/>
    </row>
    <row r="1351" ht="27" customHeight="1" spans="1:19">
      <c r="A1351" s="19" t="s">
        <v>5340</v>
      </c>
      <c r="B1351" s="20" t="s">
        <v>30</v>
      </c>
      <c r="C1351" s="20" t="s">
        <v>31</v>
      </c>
      <c r="D1351" s="20" t="s">
        <v>32</v>
      </c>
      <c r="E1351" s="21" t="s">
        <v>5341</v>
      </c>
      <c r="F1351" s="21" t="s">
        <v>5342</v>
      </c>
      <c r="G1351" s="20" t="s">
        <v>35</v>
      </c>
      <c r="H1351" s="20" t="s">
        <v>25</v>
      </c>
      <c r="I1351" s="21" t="s">
        <v>5343</v>
      </c>
      <c r="J1351" s="22">
        <f t="shared" si="105"/>
        <v>6.18541666666715</v>
      </c>
      <c r="K1351" s="22">
        <f t="shared" si="106"/>
        <v>148.450000000012</v>
      </c>
      <c r="L1351" s="22">
        <f t="shared" si="107"/>
        <v>52.4500000000116</v>
      </c>
      <c r="M1351" s="22" cm="1">
        <f ca="1" t="array" ref="M1351">SUMPRODUCT(--(WEEKDAY(ROW(INDIRECT(INT(F1351)&amp;":"&amp;INT(I1351))),2)&gt;5))</f>
        <v>2</v>
      </c>
      <c r="N1351" s="22">
        <f ca="1" t="shared" si="108"/>
        <v>36.4500000000116</v>
      </c>
      <c r="O1351" s="22" t="str">
        <f ca="1" t="shared" si="109"/>
        <v>SLA Violated</v>
      </c>
      <c r="P1351" s="23" t="s">
        <v>5344</v>
      </c>
      <c r="Q1351" s="24" t="s">
        <v>28</v>
      </c>
      <c r="R1351" s="25"/>
      <c r="S1351" s="25"/>
    </row>
    <row r="1352" ht="27" customHeight="1" spans="1:19">
      <c r="A1352" s="19" t="s">
        <v>5345</v>
      </c>
      <c r="B1352" s="20" t="s">
        <v>121</v>
      </c>
      <c r="C1352" s="20" t="s">
        <v>20</v>
      </c>
      <c r="D1352" s="20" t="s">
        <v>21</v>
      </c>
      <c r="E1352" s="21" t="s">
        <v>5346</v>
      </c>
      <c r="F1352" s="21" t="s">
        <v>5347</v>
      </c>
      <c r="G1352" s="20" t="s">
        <v>35</v>
      </c>
      <c r="H1352" s="20" t="s">
        <v>25</v>
      </c>
      <c r="I1352" s="21" t="s">
        <v>5348</v>
      </c>
      <c r="J1352" s="22">
        <f t="shared" si="105"/>
        <v>0.000694444446708076</v>
      </c>
      <c r="K1352" s="22">
        <f t="shared" si="106"/>
        <v>0.0166666667209938</v>
      </c>
      <c r="L1352" s="22">
        <f t="shared" si="107"/>
        <v>0.0166666667209938</v>
      </c>
      <c r="M1352" s="22" cm="1">
        <f ca="1" t="array" ref="M1352">SUMPRODUCT(--(WEEKDAY(ROW(INDIRECT(INT(F1352)&amp;":"&amp;INT(I1352))),2)&gt;5))</f>
        <v>0</v>
      </c>
      <c r="N1352" s="22">
        <f ca="1" t="shared" si="108"/>
        <v>0.0166666667209938</v>
      </c>
      <c r="O1352" s="22" t="str">
        <f ca="1" t="shared" si="109"/>
        <v>Within SLA</v>
      </c>
      <c r="P1352" s="26" t="s">
        <v>5345</v>
      </c>
      <c r="Q1352" s="24" t="s">
        <v>37</v>
      </c>
      <c r="R1352" s="25"/>
      <c r="S1352" s="25"/>
    </row>
    <row r="1353" ht="27" customHeight="1" spans="1:19">
      <c r="A1353" s="19" t="s">
        <v>5349</v>
      </c>
      <c r="B1353" s="20" t="s">
        <v>30</v>
      </c>
      <c r="C1353" s="20" t="s">
        <v>2057</v>
      </c>
      <c r="D1353" s="20" t="s">
        <v>32</v>
      </c>
      <c r="E1353" s="21" t="s">
        <v>5350</v>
      </c>
      <c r="F1353" s="21" t="s">
        <v>5351</v>
      </c>
      <c r="G1353" s="20" t="s">
        <v>35</v>
      </c>
      <c r="H1353" s="20" t="s">
        <v>25</v>
      </c>
      <c r="I1353" s="21" t="s">
        <v>5352</v>
      </c>
      <c r="J1353" s="22">
        <f t="shared" si="105"/>
        <v>6.2451388888876</v>
      </c>
      <c r="K1353" s="22">
        <f t="shared" si="106"/>
        <v>149.883333333302</v>
      </c>
      <c r="L1353" s="22">
        <f t="shared" si="107"/>
        <v>53.8833333333023</v>
      </c>
      <c r="M1353" s="22" cm="1">
        <f ca="1" t="array" ref="M1353">SUMPRODUCT(--(WEEKDAY(ROW(INDIRECT(INT(F1353)&amp;":"&amp;INT(I1353))),2)&gt;5))</f>
        <v>2</v>
      </c>
      <c r="N1353" s="22">
        <f ca="1" t="shared" si="108"/>
        <v>37.8833333333023</v>
      </c>
      <c r="O1353" s="22" t="str">
        <f ca="1" t="shared" si="109"/>
        <v>SLA Violated</v>
      </c>
      <c r="P1353" s="26" t="s">
        <v>5349</v>
      </c>
      <c r="Q1353" s="24" t="s">
        <v>28</v>
      </c>
      <c r="R1353" s="25"/>
      <c r="S1353" s="25"/>
    </row>
    <row r="1354" ht="39" customHeight="1" spans="1:19">
      <c r="A1354" s="19" t="s">
        <v>5353</v>
      </c>
      <c r="B1354" s="20" t="s">
        <v>19</v>
      </c>
      <c r="C1354" s="20" t="s">
        <v>20</v>
      </c>
      <c r="D1354" s="20" t="s">
        <v>105</v>
      </c>
      <c r="E1354" s="21" t="s">
        <v>5354</v>
      </c>
      <c r="F1354" s="21" t="s">
        <v>5063</v>
      </c>
      <c r="G1354" s="20" t="s">
        <v>35</v>
      </c>
      <c r="H1354" s="20" t="s">
        <v>25</v>
      </c>
      <c r="I1354" s="21" t="s">
        <v>5355</v>
      </c>
      <c r="J1354" s="22">
        <f t="shared" si="105"/>
        <v>-0.120138888894871</v>
      </c>
      <c r="K1354" s="22">
        <f t="shared" si="106"/>
        <v>-2.88333333347691</v>
      </c>
      <c r="L1354" s="22">
        <f t="shared" si="107"/>
        <v>-2.88333333347691</v>
      </c>
      <c r="M1354" s="22" cm="1">
        <f ca="1" t="array" ref="M1354">SUMPRODUCT(--(WEEKDAY(ROW(INDIRECT(INT(F1354)&amp;":"&amp;INT(I1354))),2)&gt;5))</f>
        <v>0</v>
      </c>
      <c r="N1354" s="22">
        <f ca="1" t="shared" si="108"/>
        <v>0</v>
      </c>
      <c r="O1354" s="22" t="str">
        <f ca="1" t="shared" si="109"/>
        <v>Within SLA</v>
      </c>
      <c r="P1354" s="26" t="s">
        <v>5353</v>
      </c>
      <c r="Q1354" s="24" t="s">
        <v>37</v>
      </c>
      <c r="R1354" s="25"/>
      <c r="S1354" s="25"/>
    </row>
    <row r="1355" ht="39" customHeight="1" spans="1:19">
      <c r="A1355" s="19" t="s">
        <v>5356</v>
      </c>
      <c r="B1355" s="20" t="s">
        <v>19</v>
      </c>
      <c r="C1355" s="20" t="s">
        <v>20</v>
      </c>
      <c r="D1355" s="20" t="s">
        <v>32</v>
      </c>
      <c r="E1355" s="21" t="s">
        <v>5357</v>
      </c>
      <c r="F1355" s="21" t="s">
        <v>5358</v>
      </c>
      <c r="G1355" s="20" t="s">
        <v>35</v>
      </c>
      <c r="H1355" s="20" t="s">
        <v>25</v>
      </c>
      <c r="I1355" s="21" t="s">
        <v>5359</v>
      </c>
      <c r="J1355" s="22">
        <f t="shared" si="105"/>
        <v>8.15000000000146</v>
      </c>
      <c r="K1355" s="22">
        <f t="shared" si="106"/>
        <v>195.600000000035</v>
      </c>
      <c r="L1355" s="22">
        <f t="shared" si="107"/>
        <v>67.6000000000349</v>
      </c>
      <c r="M1355" s="22" cm="1">
        <f ca="1" t="array" ref="M1355">SUMPRODUCT(--(WEEKDAY(ROW(INDIRECT(INT(F1355)&amp;":"&amp;INT(I1355))),2)&gt;5))</f>
        <v>2</v>
      </c>
      <c r="N1355" s="22">
        <f ca="1" t="shared" si="108"/>
        <v>51.6000000000349</v>
      </c>
      <c r="O1355" s="22" t="str">
        <f ca="1" t="shared" si="109"/>
        <v>SLA Violated</v>
      </c>
      <c r="P1355" s="23" t="s">
        <v>5360</v>
      </c>
      <c r="Q1355" s="24" t="s">
        <v>28</v>
      </c>
      <c r="R1355" s="25"/>
      <c r="S1355" s="25"/>
    </row>
    <row r="1356" ht="27" customHeight="1" spans="1:19">
      <c r="A1356" s="19" t="s">
        <v>5361</v>
      </c>
      <c r="B1356" s="20" t="s">
        <v>30</v>
      </c>
      <c r="C1356" s="20" t="s">
        <v>31</v>
      </c>
      <c r="D1356" s="20" t="s">
        <v>32</v>
      </c>
      <c r="E1356" s="21" t="s">
        <v>5357</v>
      </c>
      <c r="F1356" s="21" t="s">
        <v>5362</v>
      </c>
      <c r="G1356" s="20" t="s">
        <v>35</v>
      </c>
      <c r="H1356" s="20" t="s">
        <v>25</v>
      </c>
      <c r="I1356" s="21" t="s">
        <v>5363</v>
      </c>
      <c r="J1356" s="22">
        <f t="shared" si="105"/>
        <v>1.32083333333139</v>
      </c>
      <c r="K1356" s="22">
        <f t="shared" si="106"/>
        <v>31.6999999999534</v>
      </c>
      <c r="L1356" s="22">
        <f t="shared" si="107"/>
        <v>15.6999999999534</v>
      </c>
      <c r="M1356" s="22" cm="1">
        <f ca="1" t="array" ref="M1356">SUMPRODUCT(--(WEEKDAY(ROW(INDIRECT(INT(F1356)&amp;":"&amp;INT(I1356))),2)&gt;5))</f>
        <v>0</v>
      </c>
      <c r="N1356" s="22">
        <f ca="1" t="shared" si="108"/>
        <v>15.6999999999534</v>
      </c>
      <c r="O1356" s="22" t="str">
        <f ca="1" t="shared" si="109"/>
        <v>SLA Violated</v>
      </c>
      <c r="P1356" s="26" t="s">
        <v>5361</v>
      </c>
      <c r="Q1356" s="24" t="s">
        <v>37</v>
      </c>
      <c r="R1356" s="6" t="s">
        <v>5364</v>
      </c>
      <c r="S1356" s="25" t="s">
        <v>39</v>
      </c>
    </row>
    <row r="1357" ht="27" customHeight="1" spans="1:19">
      <c r="A1357" s="19" t="s">
        <v>5365</v>
      </c>
      <c r="B1357" s="20" t="s">
        <v>30</v>
      </c>
      <c r="C1357" s="20" t="s">
        <v>2057</v>
      </c>
      <c r="D1357" s="20" t="s">
        <v>32</v>
      </c>
      <c r="E1357" s="21" t="s">
        <v>5366</v>
      </c>
      <c r="F1357" s="21" t="s">
        <v>5367</v>
      </c>
      <c r="G1357" s="20" t="s">
        <v>35</v>
      </c>
      <c r="H1357" s="20" t="s">
        <v>25</v>
      </c>
      <c r="I1357" s="21" t="s">
        <v>5368</v>
      </c>
      <c r="J1357" s="22">
        <f t="shared" si="105"/>
        <v>6.24375000000146</v>
      </c>
      <c r="K1357" s="22">
        <f t="shared" si="106"/>
        <v>149.850000000035</v>
      </c>
      <c r="L1357" s="22">
        <f t="shared" si="107"/>
        <v>53.8500000000349</v>
      </c>
      <c r="M1357" s="22" cm="1">
        <f ca="1" t="array" ref="M1357">SUMPRODUCT(--(WEEKDAY(ROW(INDIRECT(INT(F1357)&amp;":"&amp;INT(I1357))),2)&gt;5))</f>
        <v>2</v>
      </c>
      <c r="N1357" s="22">
        <f ca="1" t="shared" si="108"/>
        <v>37.8500000000349</v>
      </c>
      <c r="O1357" s="22" t="str">
        <f ca="1" t="shared" si="109"/>
        <v>SLA Violated</v>
      </c>
      <c r="P1357" s="26" t="s">
        <v>5365</v>
      </c>
      <c r="Q1357" s="24" t="s">
        <v>28</v>
      </c>
      <c r="R1357" s="25"/>
      <c r="S1357" s="25"/>
    </row>
    <row r="1358" ht="27" customHeight="1" spans="1:19">
      <c r="A1358" s="19" t="s">
        <v>5369</v>
      </c>
      <c r="B1358" s="20" t="s">
        <v>30</v>
      </c>
      <c r="C1358" s="20" t="s">
        <v>2057</v>
      </c>
      <c r="D1358" s="20" t="s">
        <v>115</v>
      </c>
      <c r="E1358" s="21" t="s">
        <v>4995</v>
      </c>
      <c r="F1358" s="21" t="s">
        <v>5370</v>
      </c>
      <c r="G1358" s="20" t="s">
        <v>35</v>
      </c>
      <c r="H1358" s="20" t="s">
        <v>25</v>
      </c>
      <c r="I1358" s="21" t="s">
        <v>5371</v>
      </c>
      <c r="J1358" s="22">
        <f t="shared" si="105"/>
        <v>6.23819444444234</v>
      </c>
      <c r="K1358" s="22">
        <f t="shared" si="106"/>
        <v>149.716666666616</v>
      </c>
      <c r="L1358" s="22">
        <f t="shared" si="107"/>
        <v>53.7166666666162</v>
      </c>
      <c r="M1358" s="22" cm="1">
        <f ca="1" t="array" ref="M1358">SUMPRODUCT(--(WEEKDAY(ROW(INDIRECT(INT(F1358)&amp;":"&amp;INT(I1358))),2)&gt;5))</f>
        <v>2</v>
      </c>
      <c r="N1358" s="22">
        <f ca="1" t="shared" si="108"/>
        <v>37.7166666666162</v>
      </c>
      <c r="O1358" s="22" t="str">
        <f ca="1" t="shared" si="109"/>
        <v>SLA Violated</v>
      </c>
      <c r="P1358" s="23" t="s">
        <v>5372</v>
      </c>
      <c r="Q1358" s="24" t="s">
        <v>28</v>
      </c>
      <c r="R1358" s="25"/>
      <c r="S1358" s="25"/>
    </row>
    <row r="1359" ht="39" customHeight="1" spans="1:19">
      <c r="A1359" s="19" t="s">
        <v>5373</v>
      </c>
      <c r="B1359" s="20" t="s">
        <v>19</v>
      </c>
      <c r="C1359" s="20" t="s">
        <v>20</v>
      </c>
      <c r="D1359" s="20" t="s">
        <v>32</v>
      </c>
      <c r="E1359" s="21" t="s">
        <v>5374</v>
      </c>
      <c r="F1359" s="21" t="s">
        <v>5375</v>
      </c>
      <c r="G1359" s="20" t="s">
        <v>35</v>
      </c>
      <c r="H1359" s="20" t="s">
        <v>25</v>
      </c>
      <c r="I1359" s="21" t="s">
        <v>5376</v>
      </c>
      <c r="J1359" s="22">
        <f t="shared" si="105"/>
        <v>0.159722222218988</v>
      </c>
      <c r="K1359" s="22">
        <f t="shared" si="106"/>
        <v>3.83333333325572</v>
      </c>
      <c r="L1359" s="22">
        <f t="shared" si="107"/>
        <v>3.83333333325572</v>
      </c>
      <c r="M1359" s="22" cm="1">
        <f ca="1" t="array" ref="M1359">SUMPRODUCT(--(WEEKDAY(ROW(INDIRECT(INT(F1359)&amp;":"&amp;INT(I1359))),2)&gt;5))</f>
        <v>0</v>
      </c>
      <c r="N1359" s="22">
        <f ca="1" t="shared" si="108"/>
        <v>3.83333333325572</v>
      </c>
      <c r="O1359" s="22" t="str">
        <f ca="1" t="shared" si="109"/>
        <v>Within SLA</v>
      </c>
      <c r="P1359" s="26" t="s">
        <v>5373</v>
      </c>
      <c r="Q1359" s="24" t="s">
        <v>37</v>
      </c>
      <c r="R1359" s="25"/>
      <c r="S1359" s="25"/>
    </row>
    <row r="1360" ht="39" customHeight="1" spans="1:19">
      <c r="A1360" s="19" t="s">
        <v>5377</v>
      </c>
      <c r="B1360" s="20" t="s">
        <v>19</v>
      </c>
      <c r="C1360" s="20" t="s">
        <v>20</v>
      </c>
      <c r="D1360" s="20" t="s">
        <v>32</v>
      </c>
      <c r="E1360" s="21" t="s">
        <v>5374</v>
      </c>
      <c r="F1360" s="21" t="s">
        <v>5378</v>
      </c>
      <c r="G1360" s="20" t="s">
        <v>35</v>
      </c>
      <c r="H1360" s="20" t="s">
        <v>25</v>
      </c>
      <c r="I1360" s="21" t="s">
        <v>5379</v>
      </c>
      <c r="J1360" s="22">
        <f t="shared" si="105"/>
        <v>8.12569444443943</v>
      </c>
      <c r="K1360" s="22">
        <f t="shared" si="106"/>
        <v>195.016666666546</v>
      </c>
      <c r="L1360" s="22">
        <f t="shared" si="107"/>
        <v>67.0166666665464</v>
      </c>
      <c r="M1360" s="22" cm="1">
        <f ca="1" t="array" ref="M1360">SUMPRODUCT(--(WEEKDAY(ROW(INDIRECT(INT(F1360)&amp;":"&amp;INT(I1360))),2)&gt;5))</f>
        <v>2</v>
      </c>
      <c r="N1360" s="22">
        <f ca="1" t="shared" si="108"/>
        <v>51.0166666665464</v>
      </c>
      <c r="O1360" s="22" t="str">
        <f ca="1" t="shared" si="109"/>
        <v>SLA Violated</v>
      </c>
      <c r="P1360" s="23" t="s">
        <v>5380</v>
      </c>
      <c r="Q1360" s="24" t="s">
        <v>37</v>
      </c>
      <c r="R1360" s="25" t="s">
        <v>2424</v>
      </c>
      <c r="S1360" s="25" t="s">
        <v>39</v>
      </c>
    </row>
    <row r="1361" ht="27" customHeight="1" spans="1:19">
      <c r="A1361" s="19" t="s">
        <v>5381</v>
      </c>
      <c r="B1361" s="20" t="s">
        <v>30</v>
      </c>
      <c r="C1361" s="20" t="s">
        <v>2057</v>
      </c>
      <c r="D1361" s="20" t="s">
        <v>32</v>
      </c>
      <c r="E1361" s="21" t="s">
        <v>5374</v>
      </c>
      <c r="F1361" s="21" t="s">
        <v>5382</v>
      </c>
      <c r="G1361" s="20" t="s">
        <v>35</v>
      </c>
      <c r="H1361" s="20" t="s">
        <v>25</v>
      </c>
      <c r="I1361" s="21" t="s">
        <v>5383</v>
      </c>
      <c r="J1361" s="22">
        <f t="shared" si="105"/>
        <v>10.1409722222234</v>
      </c>
      <c r="K1361" s="22">
        <f t="shared" si="106"/>
        <v>243.38333333336</v>
      </c>
      <c r="L1361" s="22">
        <f t="shared" si="107"/>
        <v>83.3833333333605</v>
      </c>
      <c r="M1361" s="22" cm="1">
        <f ca="1" t="array" ref="M1361">SUMPRODUCT(--(WEEKDAY(ROW(INDIRECT(INT(F1361)&amp;":"&amp;INT(I1361))),2)&gt;5))</f>
        <v>2</v>
      </c>
      <c r="N1361" s="22">
        <f ca="1" t="shared" si="108"/>
        <v>67.3833333333605</v>
      </c>
      <c r="O1361" s="22" t="str">
        <f ca="1" t="shared" si="109"/>
        <v>SLA Violated</v>
      </c>
      <c r="P1361" s="26" t="s">
        <v>5381</v>
      </c>
      <c r="Q1361" s="24" t="s">
        <v>28</v>
      </c>
      <c r="R1361" s="25"/>
      <c r="S1361" s="25"/>
    </row>
    <row r="1362" ht="39" customHeight="1" spans="1:19">
      <c r="A1362" s="19" t="s">
        <v>5384</v>
      </c>
      <c r="B1362" s="20" t="s">
        <v>19</v>
      </c>
      <c r="C1362" s="20" t="s">
        <v>20</v>
      </c>
      <c r="D1362" s="20" t="s">
        <v>32</v>
      </c>
      <c r="E1362" s="21" t="s">
        <v>5385</v>
      </c>
      <c r="F1362" s="21" t="s">
        <v>5386</v>
      </c>
      <c r="G1362" s="20" t="s">
        <v>35</v>
      </c>
      <c r="H1362" s="20" t="s">
        <v>25</v>
      </c>
      <c r="I1362" s="21" t="s">
        <v>5387</v>
      </c>
      <c r="J1362" s="22">
        <f t="shared" si="105"/>
        <v>0.159722222218988</v>
      </c>
      <c r="K1362" s="22">
        <f t="shared" si="106"/>
        <v>3.83333333325572</v>
      </c>
      <c r="L1362" s="22">
        <f t="shared" si="107"/>
        <v>3.83333333325572</v>
      </c>
      <c r="M1362" s="22" cm="1">
        <f ca="1" t="array" ref="M1362">SUMPRODUCT(--(WEEKDAY(ROW(INDIRECT(INT(F1362)&amp;":"&amp;INT(I1362))),2)&gt;5))</f>
        <v>0</v>
      </c>
      <c r="N1362" s="22">
        <f ca="1" t="shared" si="108"/>
        <v>3.83333333325572</v>
      </c>
      <c r="O1362" s="22" t="str">
        <f ca="1" t="shared" si="109"/>
        <v>Within SLA</v>
      </c>
      <c r="P1362" s="26" t="s">
        <v>5384</v>
      </c>
      <c r="Q1362" s="24" t="s">
        <v>37</v>
      </c>
      <c r="R1362" s="25"/>
      <c r="S1362" s="25"/>
    </row>
    <row r="1363" ht="27" customHeight="1" spans="1:19">
      <c r="A1363" s="19" t="s">
        <v>5388</v>
      </c>
      <c r="B1363" s="20" t="s">
        <v>30</v>
      </c>
      <c r="C1363" s="20" t="s">
        <v>46</v>
      </c>
      <c r="D1363" s="20" t="s">
        <v>32</v>
      </c>
      <c r="E1363" s="21" t="s">
        <v>5385</v>
      </c>
      <c r="F1363" s="21" t="s">
        <v>5389</v>
      </c>
      <c r="G1363" s="20" t="s">
        <v>35</v>
      </c>
      <c r="H1363" s="20" t="s">
        <v>25</v>
      </c>
      <c r="I1363" s="21" t="s">
        <v>5390</v>
      </c>
      <c r="J1363" s="22">
        <f t="shared" si="105"/>
        <v>0.129166666665697</v>
      </c>
      <c r="K1363" s="22">
        <f t="shared" si="106"/>
        <v>3.09999999997672</v>
      </c>
      <c r="L1363" s="22">
        <f t="shared" si="107"/>
        <v>3.09999999997672</v>
      </c>
      <c r="M1363" s="22" cm="1">
        <f ca="1" t="array" ref="M1363">SUMPRODUCT(--(WEEKDAY(ROW(INDIRECT(INT(F1363)&amp;":"&amp;INT(I1363))),2)&gt;5))</f>
        <v>0</v>
      </c>
      <c r="N1363" s="22">
        <f ca="1" t="shared" si="108"/>
        <v>3.09999999997672</v>
      </c>
      <c r="O1363" s="22" t="str">
        <f ca="1" t="shared" si="109"/>
        <v>Within SLA</v>
      </c>
      <c r="P1363" s="26" t="s">
        <v>5388</v>
      </c>
      <c r="Q1363" s="24" t="s">
        <v>37</v>
      </c>
      <c r="R1363" s="25"/>
      <c r="S1363" s="25"/>
    </row>
    <row r="1364" ht="27" customHeight="1" spans="1:19">
      <c r="A1364" s="19" t="s">
        <v>5391</v>
      </c>
      <c r="B1364" s="20" t="s">
        <v>30</v>
      </c>
      <c r="C1364" s="20" t="s">
        <v>2057</v>
      </c>
      <c r="D1364" s="20" t="s">
        <v>32</v>
      </c>
      <c r="E1364" s="21" t="s">
        <v>5385</v>
      </c>
      <c r="F1364" s="21" t="s">
        <v>5392</v>
      </c>
      <c r="G1364" s="20" t="s">
        <v>35</v>
      </c>
      <c r="H1364" s="20" t="s">
        <v>25</v>
      </c>
      <c r="I1364" s="21" t="s">
        <v>5393</v>
      </c>
      <c r="J1364" s="22">
        <f t="shared" si="105"/>
        <v>6.98125000000437</v>
      </c>
      <c r="K1364" s="22">
        <f t="shared" si="106"/>
        <v>167.550000000105</v>
      </c>
      <c r="L1364" s="22">
        <f t="shared" si="107"/>
        <v>55.5500000001048</v>
      </c>
      <c r="M1364" s="22" cm="1">
        <f ca="1" t="array" ref="M1364">SUMPRODUCT(--(WEEKDAY(ROW(INDIRECT(INT(F1364)&amp;":"&amp;INT(I1364))),2)&gt;5))</f>
        <v>2</v>
      </c>
      <c r="N1364" s="22">
        <f ca="1" t="shared" si="108"/>
        <v>39.5500000001048</v>
      </c>
      <c r="O1364" s="22" t="str">
        <f ca="1" t="shared" si="109"/>
        <v>SLA Violated</v>
      </c>
      <c r="P1364" s="26" t="s">
        <v>5391</v>
      </c>
      <c r="Q1364" s="24" t="s">
        <v>28</v>
      </c>
      <c r="R1364" s="25"/>
      <c r="S1364" s="25"/>
    </row>
    <row r="1365" ht="27" customHeight="1" spans="1:19">
      <c r="A1365" s="19" t="s">
        <v>5394</v>
      </c>
      <c r="B1365" s="20" t="s">
        <v>30</v>
      </c>
      <c r="C1365" s="20" t="s">
        <v>31</v>
      </c>
      <c r="D1365" s="20" t="s">
        <v>105</v>
      </c>
      <c r="E1365" s="21" t="s">
        <v>5395</v>
      </c>
      <c r="F1365" s="21" t="s">
        <v>5396</v>
      </c>
      <c r="G1365" s="20" t="s">
        <v>35</v>
      </c>
      <c r="H1365" s="20" t="s">
        <v>25</v>
      </c>
      <c r="I1365" s="21" t="s">
        <v>5397</v>
      </c>
      <c r="J1365" s="22">
        <f t="shared" si="105"/>
        <v>15.0708333333314</v>
      </c>
      <c r="K1365" s="22">
        <f t="shared" si="106"/>
        <v>361.699999999953</v>
      </c>
      <c r="L1365" s="22">
        <f t="shared" si="107"/>
        <v>121.699999999953</v>
      </c>
      <c r="M1365" s="22" cm="1">
        <f ca="1" t="array" ref="M1365">SUMPRODUCT(--(WEEKDAY(ROW(INDIRECT(INT(F1365)&amp;":"&amp;INT(I1365))),2)&gt;5))</f>
        <v>4</v>
      </c>
      <c r="N1365" s="22">
        <f ca="1" t="shared" si="108"/>
        <v>89.699999999953</v>
      </c>
      <c r="O1365" s="22" t="str">
        <f ca="1" t="shared" si="109"/>
        <v>SLA Violated</v>
      </c>
      <c r="P1365" s="23" t="s">
        <v>5398</v>
      </c>
      <c r="Q1365" s="24" t="s">
        <v>28</v>
      </c>
      <c r="R1365" s="25"/>
      <c r="S1365" s="25"/>
    </row>
    <row r="1366" ht="39" customHeight="1" spans="1:19">
      <c r="A1366" s="19" t="s">
        <v>5399</v>
      </c>
      <c r="B1366" s="20" t="s">
        <v>19</v>
      </c>
      <c r="C1366" s="20" t="s">
        <v>20</v>
      </c>
      <c r="D1366" s="20" t="s">
        <v>32</v>
      </c>
      <c r="E1366" s="21" t="s">
        <v>5400</v>
      </c>
      <c r="F1366" s="21" t="s">
        <v>5401</v>
      </c>
      <c r="G1366" s="20" t="s">
        <v>35</v>
      </c>
      <c r="H1366" s="20" t="s">
        <v>25</v>
      </c>
      <c r="I1366" s="21" t="s">
        <v>5402</v>
      </c>
      <c r="J1366" s="22">
        <f t="shared" si="105"/>
        <v>-0.125</v>
      </c>
      <c r="K1366" s="22">
        <f t="shared" si="106"/>
        <v>-3</v>
      </c>
      <c r="L1366" s="22">
        <f t="shared" si="107"/>
        <v>-3</v>
      </c>
      <c r="M1366" s="22" cm="1">
        <f ca="1" t="array" ref="M1366">SUMPRODUCT(--(WEEKDAY(ROW(INDIRECT(INT(F1366)&amp;":"&amp;INT(I1366))),2)&gt;5))</f>
        <v>0</v>
      </c>
      <c r="N1366" s="22">
        <f ca="1" t="shared" si="108"/>
        <v>0</v>
      </c>
      <c r="O1366" s="22" t="str">
        <f ca="1" t="shared" si="109"/>
        <v>Within SLA</v>
      </c>
      <c r="P1366" s="26" t="s">
        <v>5399</v>
      </c>
      <c r="Q1366" s="24" t="s">
        <v>37</v>
      </c>
      <c r="R1366" s="25"/>
      <c r="S1366" s="25"/>
    </row>
    <row r="1367" ht="27" customHeight="1" spans="1:19">
      <c r="A1367" s="19" t="s">
        <v>5403</v>
      </c>
      <c r="B1367" s="20" t="s">
        <v>30</v>
      </c>
      <c r="C1367" s="20" t="s">
        <v>31</v>
      </c>
      <c r="D1367" s="20" t="s">
        <v>105</v>
      </c>
      <c r="E1367" s="21" t="s">
        <v>5043</v>
      </c>
      <c r="F1367" s="21" t="s">
        <v>5404</v>
      </c>
      <c r="G1367" s="20" t="s">
        <v>35</v>
      </c>
      <c r="H1367" s="20" t="s">
        <v>25</v>
      </c>
      <c r="I1367" s="21" t="s">
        <v>5405</v>
      </c>
      <c r="J1367" s="22">
        <f t="shared" si="105"/>
        <v>23.9972222222204</v>
      </c>
      <c r="K1367" s="22">
        <f t="shared" si="106"/>
        <v>575.933333333291</v>
      </c>
      <c r="L1367" s="22">
        <f t="shared" si="107"/>
        <v>191.933333333291</v>
      </c>
      <c r="M1367" s="22" cm="1">
        <f ca="1" t="array" ref="M1367">SUMPRODUCT(--(WEEKDAY(ROW(INDIRECT(INT(F1367)&amp;":"&amp;INT(I1367))),2)&gt;5))</f>
        <v>6</v>
      </c>
      <c r="N1367" s="22">
        <f ca="1" t="shared" si="108"/>
        <v>143.933333333291</v>
      </c>
      <c r="O1367" s="22" t="str">
        <f ca="1" t="shared" si="109"/>
        <v>SLA Violated</v>
      </c>
      <c r="P1367" s="23" t="s">
        <v>5406</v>
      </c>
      <c r="Q1367" s="24" t="s">
        <v>28</v>
      </c>
      <c r="R1367" s="25"/>
      <c r="S1367" s="25"/>
    </row>
    <row r="1368" ht="27" customHeight="1" spans="1:19">
      <c r="A1368" s="19" t="s">
        <v>5407</v>
      </c>
      <c r="B1368" s="20" t="s">
        <v>30</v>
      </c>
      <c r="C1368" s="20" t="s">
        <v>2057</v>
      </c>
      <c r="D1368" s="20" t="s">
        <v>32</v>
      </c>
      <c r="E1368" s="21" t="s">
        <v>5348</v>
      </c>
      <c r="F1368" s="21" t="s">
        <v>5408</v>
      </c>
      <c r="G1368" s="20" t="s">
        <v>35</v>
      </c>
      <c r="H1368" s="20" t="s">
        <v>25</v>
      </c>
      <c r="I1368" s="21" t="s">
        <v>5409</v>
      </c>
      <c r="J1368" s="22">
        <f t="shared" si="105"/>
        <v>6.97499999999854</v>
      </c>
      <c r="K1368" s="22">
        <f t="shared" si="106"/>
        <v>167.399999999965</v>
      </c>
      <c r="L1368" s="22">
        <f t="shared" si="107"/>
        <v>55.3999999999651</v>
      </c>
      <c r="M1368" s="22" cm="1">
        <f ca="1" t="array" ref="M1368">SUMPRODUCT(--(WEEKDAY(ROW(INDIRECT(INT(F1368)&amp;":"&amp;INT(I1368))),2)&gt;5))</f>
        <v>2</v>
      </c>
      <c r="N1368" s="22">
        <f ca="1" t="shared" si="108"/>
        <v>39.3999999999651</v>
      </c>
      <c r="O1368" s="22" t="str">
        <f ca="1" t="shared" si="109"/>
        <v>SLA Violated</v>
      </c>
      <c r="P1368" s="26" t="s">
        <v>5407</v>
      </c>
      <c r="Q1368" s="24" t="s">
        <v>28</v>
      </c>
      <c r="R1368" s="25"/>
      <c r="S1368" s="25"/>
    </row>
    <row r="1369" ht="39" customHeight="1" spans="1:19">
      <c r="A1369" s="19" t="s">
        <v>5410</v>
      </c>
      <c r="B1369" s="20" t="s">
        <v>19</v>
      </c>
      <c r="C1369" s="20" t="s">
        <v>20</v>
      </c>
      <c r="D1369" s="20" t="s">
        <v>32</v>
      </c>
      <c r="E1369" s="21" t="s">
        <v>5348</v>
      </c>
      <c r="F1369" s="21" t="s">
        <v>5411</v>
      </c>
      <c r="G1369" s="20" t="s">
        <v>35</v>
      </c>
      <c r="H1369" s="20" t="s">
        <v>25</v>
      </c>
      <c r="I1369" s="21" t="s">
        <v>5412</v>
      </c>
      <c r="J1369" s="22">
        <f t="shared" si="105"/>
        <v>2.9736111111124</v>
      </c>
      <c r="K1369" s="22">
        <f t="shared" si="106"/>
        <v>71.3666666666977</v>
      </c>
      <c r="L1369" s="22">
        <f t="shared" si="107"/>
        <v>23.3666666666977</v>
      </c>
      <c r="M1369" s="22" cm="1">
        <f ca="1" t="array" ref="M1369">SUMPRODUCT(--(WEEKDAY(ROW(INDIRECT(INT(F1369)&amp;":"&amp;INT(I1369))),2)&gt;5))</f>
        <v>0</v>
      </c>
      <c r="N1369" s="22">
        <f ca="1" t="shared" si="108"/>
        <v>23.3666666666977</v>
      </c>
      <c r="O1369" s="22" t="str">
        <f ca="1" t="shared" si="109"/>
        <v>SLA Violated</v>
      </c>
      <c r="P1369" s="23" t="s">
        <v>5413</v>
      </c>
      <c r="Q1369" s="24" t="s">
        <v>28</v>
      </c>
      <c r="R1369" s="25"/>
      <c r="S1369" s="25"/>
    </row>
    <row r="1370" ht="27" customHeight="1" spans="1:19">
      <c r="A1370" s="19" t="s">
        <v>5414</v>
      </c>
      <c r="B1370" s="20" t="s">
        <v>30</v>
      </c>
      <c r="C1370" s="20" t="s">
        <v>31</v>
      </c>
      <c r="D1370" s="20" t="s">
        <v>32</v>
      </c>
      <c r="E1370" s="21" t="s">
        <v>5415</v>
      </c>
      <c r="F1370" s="21" t="s">
        <v>5416</v>
      </c>
      <c r="G1370" s="20" t="s">
        <v>35</v>
      </c>
      <c r="H1370" s="20" t="s">
        <v>25</v>
      </c>
      <c r="I1370" s="21" t="s">
        <v>5412</v>
      </c>
      <c r="J1370" s="22">
        <f t="shared" si="105"/>
        <v>6.16180555555911</v>
      </c>
      <c r="K1370" s="22">
        <f t="shared" si="106"/>
        <v>147.883333333419</v>
      </c>
      <c r="L1370" s="22">
        <f t="shared" si="107"/>
        <v>51.8833333334187</v>
      </c>
      <c r="M1370" s="22" cm="1">
        <f ca="1" t="array" ref="M1370">SUMPRODUCT(--(WEEKDAY(ROW(INDIRECT(INT(F1370)&amp;":"&amp;INT(I1370))),2)&gt;5))</f>
        <v>2</v>
      </c>
      <c r="N1370" s="22">
        <f ca="1" t="shared" si="108"/>
        <v>35.8833333334187</v>
      </c>
      <c r="O1370" s="22" t="str">
        <f ca="1" t="shared" si="109"/>
        <v>SLA Violated</v>
      </c>
      <c r="P1370" s="23" t="s">
        <v>5417</v>
      </c>
      <c r="Q1370" s="24" t="s">
        <v>28</v>
      </c>
      <c r="R1370" s="25"/>
      <c r="S1370" s="25"/>
    </row>
    <row r="1371" ht="27" customHeight="1" spans="1:19">
      <c r="A1371" s="19" t="s">
        <v>5418</v>
      </c>
      <c r="B1371" s="20" t="s">
        <v>30</v>
      </c>
      <c r="C1371" s="20" t="s">
        <v>31</v>
      </c>
      <c r="D1371" s="20" t="s">
        <v>32</v>
      </c>
      <c r="E1371" s="21" t="s">
        <v>5419</v>
      </c>
      <c r="F1371" s="21" t="s">
        <v>5420</v>
      </c>
      <c r="G1371" s="20" t="s">
        <v>35</v>
      </c>
      <c r="H1371" s="20" t="s">
        <v>25</v>
      </c>
      <c r="I1371" s="21" t="s">
        <v>5421</v>
      </c>
      <c r="J1371" s="22">
        <f t="shared" si="105"/>
        <v>1.94236111110513</v>
      </c>
      <c r="K1371" s="22">
        <f t="shared" si="106"/>
        <v>46.6166666665231</v>
      </c>
      <c r="L1371" s="22">
        <f t="shared" si="107"/>
        <v>14.6166666665231</v>
      </c>
      <c r="M1371" s="22" cm="1">
        <f ca="1" t="array" ref="M1371">SUMPRODUCT(--(WEEKDAY(ROW(INDIRECT(INT(F1371)&amp;":"&amp;INT(I1371))),2)&gt;5))</f>
        <v>0</v>
      </c>
      <c r="N1371" s="22">
        <f ca="1" t="shared" si="108"/>
        <v>14.6166666665231</v>
      </c>
      <c r="O1371" s="22" t="str">
        <f ca="1" t="shared" si="109"/>
        <v>SLA Violated</v>
      </c>
      <c r="P1371" s="23" t="s">
        <v>5422</v>
      </c>
      <c r="Q1371" s="24" t="s">
        <v>28</v>
      </c>
      <c r="R1371" s="25"/>
      <c r="S1371" s="25"/>
    </row>
    <row r="1372" ht="27" customHeight="1" spans="1:19">
      <c r="A1372" s="19" t="s">
        <v>5423</v>
      </c>
      <c r="B1372" s="20" t="s">
        <v>30</v>
      </c>
      <c r="C1372" s="20" t="s">
        <v>2057</v>
      </c>
      <c r="D1372" s="20" t="s">
        <v>32</v>
      </c>
      <c r="E1372" s="21" t="s">
        <v>5063</v>
      </c>
      <c r="F1372" s="21" t="s">
        <v>5424</v>
      </c>
      <c r="G1372" s="20" t="s">
        <v>35</v>
      </c>
      <c r="H1372" s="20" t="s">
        <v>25</v>
      </c>
      <c r="I1372" s="21" t="s">
        <v>5425</v>
      </c>
      <c r="J1372" s="22">
        <f t="shared" si="105"/>
        <v>6.97638888889196</v>
      </c>
      <c r="K1372" s="22">
        <f t="shared" si="106"/>
        <v>167.433333333407</v>
      </c>
      <c r="L1372" s="22">
        <f t="shared" si="107"/>
        <v>55.4333333334071</v>
      </c>
      <c r="M1372" s="22" cm="1">
        <f ca="1" t="array" ref="M1372">SUMPRODUCT(--(WEEKDAY(ROW(INDIRECT(INT(F1372)&amp;":"&amp;INT(I1372))),2)&gt;5))</f>
        <v>2</v>
      </c>
      <c r="N1372" s="22">
        <f ca="1" t="shared" si="108"/>
        <v>39.4333333334071</v>
      </c>
      <c r="O1372" s="22" t="str">
        <f ca="1" t="shared" si="109"/>
        <v>SLA Violated</v>
      </c>
      <c r="P1372" s="26" t="s">
        <v>5423</v>
      </c>
      <c r="Q1372" s="24" t="s">
        <v>28</v>
      </c>
      <c r="R1372" s="25"/>
      <c r="S1372" s="25"/>
    </row>
    <row r="1373" ht="27" customHeight="1" spans="1:19">
      <c r="A1373" s="19" t="s">
        <v>5426</v>
      </c>
      <c r="B1373" s="20" t="s">
        <v>30</v>
      </c>
      <c r="C1373" s="20" t="s">
        <v>31</v>
      </c>
      <c r="D1373" s="20" t="s">
        <v>32</v>
      </c>
      <c r="E1373" s="21" t="s">
        <v>5090</v>
      </c>
      <c r="F1373" s="21" t="s">
        <v>5427</v>
      </c>
      <c r="G1373" s="20" t="s">
        <v>35</v>
      </c>
      <c r="H1373" s="20" t="s">
        <v>25</v>
      </c>
      <c r="I1373" s="21" t="s">
        <v>5428</v>
      </c>
      <c r="J1373" s="22">
        <f t="shared" si="105"/>
        <v>1.9333333333343</v>
      </c>
      <c r="K1373" s="22">
        <f t="shared" si="106"/>
        <v>46.4000000000233</v>
      </c>
      <c r="L1373" s="22">
        <f t="shared" si="107"/>
        <v>14.4000000000233</v>
      </c>
      <c r="M1373" s="22" cm="1">
        <f ca="1" t="array" ref="M1373">SUMPRODUCT(--(WEEKDAY(ROW(INDIRECT(INT(F1373)&amp;":"&amp;INT(I1373))),2)&gt;5))</f>
        <v>0</v>
      </c>
      <c r="N1373" s="22">
        <f ca="1" t="shared" si="108"/>
        <v>14.4000000000233</v>
      </c>
      <c r="O1373" s="22" t="str">
        <f ca="1" t="shared" si="109"/>
        <v>SLA Violated</v>
      </c>
      <c r="P1373" s="23" t="s">
        <v>5429</v>
      </c>
      <c r="Q1373" s="24" t="s">
        <v>37</v>
      </c>
      <c r="R1373" s="25" t="s">
        <v>2693</v>
      </c>
      <c r="S1373" s="25" t="s">
        <v>4726</v>
      </c>
    </row>
    <row r="1374" ht="39" customHeight="1" spans="1:19">
      <c r="A1374" s="19" t="s">
        <v>5430</v>
      </c>
      <c r="B1374" s="20" t="s">
        <v>19</v>
      </c>
      <c r="C1374" s="20" t="s">
        <v>20</v>
      </c>
      <c r="D1374" s="20" t="s">
        <v>32</v>
      </c>
      <c r="E1374" s="21" t="s">
        <v>5431</v>
      </c>
      <c r="F1374" s="21" t="s">
        <v>5432</v>
      </c>
      <c r="G1374" s="20" t="s">
        <v>35</v>
      </c>
      <c r="H1374" s="20" t="s">
        <v>25</v>
      </c>
      <c r="I1374" s="21" t="s">
        <v>5433</v>
      </c>
      <c r="J1374" s="22">
        <f t="shared" si="105"/>
        <v>1.09166666666715</v>
      </c>
      <c r="K1374" s="22">
        <f t="shared" si="106"/>
        <v>26.2000000000116</v>
      </c>
      <c r="L1374" s="22">
        <f t="shared" si="107"/>
        <v>10.2000000000116</v>
      </c>
      <c r="M1374" s="22" cm="1">
        <f ca="1" t="array" ref="M1374">SUMPRODUCT(--(WEEKDAY(ROW(INDIRECT(INT(F1374)&amp;":"&amp;INT(I1374))),2)&gt;5))</f>
        <v>0</v>
      </c>
      <c r="N1374" s="22">
        <f ca="1" t="shared" si="108"/>
        <v>10.2000000000116</v>
      </c>
      <c r="O1374" s="22" t="str">
        <f ca="1" t="shared" si="109"/>
        <v>Within SLA</v>
      </c>
      <c r="P1374" s="26" t="s">
        <v>5430</v>
      </c>
      <c r="Q1374" s="24" t="s">
        <v>37</v>
      </c>
      <c r="R1374" s="25"/>
      <c r="S1374" s="25"/>
    </row>
    <row r="1375" ht="27" customHeight="1" spans="1:19">
      <c r="A1375" s="19" t="s">
        <v>5434</v>
      </c>
      <c r="B1375" s="20" t="s">
        <v>30</v>
      </c>
      <c r="C1375" s="20" t="s">
        <v>849</v>
      </c>
      <c r="D1375" s="20" t="s">
        <v>32</v>
      </c>
      <c r="E1375" s="21" t="s">
        <v>5435</v>
      </c>
      <c r="F1375" s="21" t="s">
        <v>5436</v>
      </c>
      <c r="G1375" s="20" t="s">
        <v>35</v>
      </c>
      <c r="H1375" s="20" t="s">
        <v>25</v>
      </c>
      <c r="I1375" s="21" t="s">
        <v>5437</v>
      </c>
      <c r="J1375" s="22">
        <f t="shared" si="105"/>
        <v>8.20763888888905</v>
      </c>
      <c r="K1375" s="22">
        <f t="shared" si="106"/>
        <v>196.983333333337</v>
      </c>
      <c r="L1375" s="22">
        <f t="shared" si="107"/>
        <v>68.9833333333372</v>
      </c>
      <c r="M1375" s="22" cm="1">
        <f ca="1" t="array" ref="M1375">SUMPRODUCT(--(WEEKDAY(ROW(INDIRECT(INT(F1375)&amp;":"&amp;INT(I1375))),2)&gt;5))</f>
        <v>2</v>
      </c>
      <c r="N1375" s="22">
        <f ca="1" t="shared" si="108"/>
        <v>52.9833333333372</v>
      </c>
      <c r="O1375" s="22" t="str">
        <f ca="1" t="shared" si="109"/>
        <v>SLA Violated</v>
      </c>
      <c r="P1375" s="23" t="s">
        <v>5438</v>
      </c>
      <c r="Q1375" s="24" t="s">
        <v>28</v>
      </c>
      <c r="R1375" s="25"/>
      <c r="S1375" s="25"/>
    </row>
    <row r="1376" ht="39" customHeight="1" spans="1:19">
      <c r="A1376" s="19" t="s">
        <v>5439</v>
      </c>
      <c r="B1376" s="20" t="s">
        <v>19</v>
      </c>
      <c r="C1376" s="20" t="s">
        <v>20</v>
      </c>
      <c r="D1376" s="20" t="s">
        <v>21</v>
      </c>
      <c r="E1376" s="21" t="s">
        <v>5440</v>
      </c>
      <c r="F1376" s="21" t="s">
        <v>5441</v>
      </c>
      <c r="G1376" s="20" t="s">
        <v>35</v>
      </c>
      <c r="H1376" s="20" t="s">
        <v>25</v>
      </c>
      <c r="I1376" s="21" t="s">
        <v>5442</v>
      </c>
      <c r="J1376" s="22">
        <f t="shared" si="105"/>
        <v>0.96597222222772</v>
      </c>
      <c r="K1376" s="22">
        <f t="shared" si="106"/>
        <v>23.1833333334653</v>
      </c>
      <c r="L1376" s="22">
        <f t="shared" si="107"/>
        <v>7.18333333346527</v>
      </c>
      <c r="M1376" s="22" cm="1">
        <f ca="1" t="array" ref="M1376">SUMPRODUCT(--(WEEKDAY(ROW(INDIRECT(INT(F1376)&amp;":"&amp;INT(I1376))),2)&gt;5))</f>
        <v>0</v>
      </c>
      <c r="N1376" s="22">
        <f ca="1" t="shared" si="108"/>
        <v>7.18333333346527</v>
      </c>
      <c r="O1376" s="22" t="str">
        <f ca="1" t="shared" si="109"/>
        <v>SLA Violated</v>
      </c>
      <c r="P1376" s="26" t="s">
        <v>5439</v>
      </c>
      <c r="Q1376" s="24" t="s">
        <v>37</v>
      </c>
      <c r="R1376" s="6" t="s">
        <v>597</v>
      </c>
      <c r="S1376" s="25" t="s">
        <v>39</v>
      </c>
    </row>
    <row r="1377" ht="27" customHeight="1" spans="1:19">
      <c r="A1377" s="19" t="s">
        <v>5443</v>
      </c>
      <c r="B1377" s="20" t="s">
        <v>139</v>
      </c>
      <c r="C1377" s="20" t="s">
        <v>2057</v>
      </c>
      <c r="D1377" s="20" t="s">
        <v>32</v>
      </c>
      <c r="E1377" s="21" t="s">
        <v>5440</v>
      </c>
      <c r="F1377" s="21" t="s">
        <v>5444</v>
      </c>
      <c r="G1377" s="20" t="s">
        <v>35</v>
      </c>
      <c r="H1377" s="20" t="s">
        <v>25</v>
      </c>
      <c r="I1377" s="21" t="s">
        <v>5442</v>
      </c>
      <c r="J1377" s="22">
        <f t="shared" si="105"/>
        <v>0.992361111115315</v>
      </c>
      <c r="K1377" s="22">
        <f t="shared" si="106"/>
        <v>23.8166666667676</v>
      </c>
      <c r="L1377" s="22">
        <f t="shared" si="107"/>
        <v>7.81666666676756</v>
      </c>
      <c r="M1377" s="22" cm="1">
        <f ca="1" t="array" ref="M1377">SUMPRODUCT(--(WEEKDAY(ROW(INDIRECT(INT(F1377)&amp;":"&amp;INT(I1377))),2)&gt;5))</f>
        <v>0</v>
      </c>
      <c r="N1377" s="22">
        <f ca="1" t="shared" si="108"/>
        <v>7.81666666676756</v>
      </c>
      <c r="O1377" s="22" t="str">
        <f ca="1" t="shared" si="109"/>
        <v>Within SLA</v>
      </c>
      <c r="P1377" s="26" t="s">
        <v>5443</v>
      </c>
      <c r="Q1377" s="24" t="s">
        <v>37</v>
      </c>
      <c r="R1377" s="25"/>
      <c r="S1377" s="25"/>
    </row>
    <row r="1378" ht="39" customHeight="1" spans="1:19">
      <c r="A1378" s="19" t="s">
        <v>5445</v>
      </c>
      <c r="B1378" s="20" t="s">
        <v>19</v>
      </c>
      <c r="C1378" s="20" t="s">
        <v>20</v>
      </c>
      <c r="D1378" s="20" t="s">
        <v>32</v>
      </c>
      <c r="E1378" s="21" t="s">
        <v>5446</v>
      </c>
      <c r="F1378" s="21" t="s">
        <v>5447</v>
      </c>
      <c r="G1378" s="20" t="s">
        <v>35</v>
      </c>
      <c r="H1378" s="20" t="s">
        <v>25</v>
      </c>
      <c r="I1378" s="21" t="s">
        <v>5448</v>
      </c>
      <c r="J1378" s="22">
        <f t="shared" si="105"/>
        <v>0.130555555551837</v>
      </c>
      <c r="K1378" s="22">
        <f t="shared" si="106"/>
        <v>3.13333333324408</v>
      </c>
      <c r="L1378" s="22">
        <f t="shared" si="107"/>
        <v>3.13333333324408</v>
      </c>
      <c r="M1378" s="22" cm="1">
        <f ca="1" t="array" ref="M1378">SUMPRODUCT(--(WEEKDAY(ROW(INDIRECT(INT(F1378)&amp;":"&amp;INT(I1378))),2)&gt;5))</f>
        <v>0</v>
      </c>
      <c r="N1378" s="22">
        <f ca="1" t="shared" si="108"/>
        <v>3.13333333324408</v>
      </c>
      <c r="O1378" s="22" t="str">
        <f ca="1" t="shared" si="109"/>
        <v>Within SLA</v>
      </c>
      <c r="P1378" s="26" t="s">
        <v>5445</v>
      </c>
      <c r="Q1378" s="24" t="s">
        <v>37</v>
      </c>
      <c r="R1378" s="25"/>
      <c r="S1378" s="25"/>
    </row>
    <row r="1379" ht="27" customHeight="1" spans="1:19">
      <c r="A1379" s="19" t="s">
        <v>5449</v>
      </c>
      <c r="B1379" s="20" t="s">
        <v>30</v>
      </c>
      <c r="C1379" s="20" t="s">
        <v>31</v>
      </c>
      <c r="D1379" s="20" t="s">
        <v>32</v>
      </c>
      <c r="E1379" s="21" t="s">
        <v>5450</v>
      </c>
      <c r="F1379" s="21" t="s">
        <v>5451</v>
      </c>
      <c r="G1379" s="20" t="s">
        <v>35</v>
      </c>
      <c r="H1379" s="20" t="s">
        <v>25</v>
      </c>
      <c r="I1379" s="21" t="s">
        <v>5452</v>
      </c>
      <c r="J1379" s="22">
        <f t="shared" si="105"/>
        <v>2.06874999999854</v>
      </c>
      <c r="K1379" s="22">
        <f t="shared" si="106"/>
        <v>49.6499999999651</v>
      </c>
      <c r="L1379" s="22">
        <f t="shared" si="107"/>
        <v>17.6499999999651</v>
      </c>
      <c r="M1379" s="22" cm="1">
        <f ca="1" t="array" ref="M1379">SUMPRODUCT(--(WEEKDAY(ROW(INDIRECT(INT(F1379)&amp;":"&amp;INT(I1379))),2)&gt;5))</f>
        <v>0</v>
      </c>
      <c r="N1379" s="22">
        <f ca="1" t="shared" si="108"/>
        <v>17.6499999999651</v>
      </c>
      <c r="O1379" s="22" t="str">
        <f ca="1" t="shared" si="109"/>
        <v>SLA Violated</v>
      </c>
      <c r="P1379" s="23" t="s">
        <v>5453</v>
      </c>
      <c r="Q1379" s="24" t="s">
        <v>28</v>
      </c>
      <c r="R1379" s="25"/>
      <c r="S1379" s="25"/>
    </row>
    <row r="1380" ht="39" customHeight="1" spans="1:19">
      <c r="A1380" s="19" t="s">
        <v>5454</v>
      </c>
      <c r="B1380" s="20" t="s">
        <v>19</v>
      </c>
      <c r="C1380" s="20" t="s">
        <v>20</v>
      </c>
      <c r="D1380" s="20" t="s">
        <v>32</v>
      </c>
      <c r="E1380" s="21" t="s">
        <v>5352</v>
      </c>
      <c r="F1380" s="21" t="s">
        <v>5455</v>
      </c>
      <c r="G1380" s="20" t="s">
        <v>35</v>
      </c>
      <c r="H1380" s="20" t="s">
        <v>25</v>
      </c>
      <c r="I1380" s="21" t="s">
        <v>5456</v>
      </c>
      <c r="J1380" s="22">
        <f t="shared" si="105"/>
        <v>0.0833333333357587</v>
      </c>
      <c r="K1380" s="22">
        <f t="shared" si="106"/>
        <v>2.00000000005821</v>
      </c>
      <c r="L1380" s="22">
        <f t="shared" si="107"/>
        <v>2.00000000005821</v>
      </c>
      <c r="M1380" s="22" cm="1">
        <f ca="1" t="array" ref="M1380">SUMPRODUCT(--(WEEKDAY(ROW(INDIRECT(INT(F1380)&amp;":"&amp;INT(I1380))),2)&gt;5))</f>
        <v>0</v>
      </c>
      <c r="N1380" s="22">
        <f ca="1" t="shared" si="108"/>
        <v>2.00000000005821</v>
      </c>
      <c r="O1380" s="22" t="str">
        <f ca="1" t="shared" si="109"/>
        <v>Within SLA</v>
      </c>
      <c r="P1380" s="26" t="s">
        <v>5454</v>
      </c>
      <c r="Q1380" s="24" t="s">
        <v>37</v>
      </c>
      <c r="R1380" s="25"/>
      <c r="S1380" s="25"/>
    </row>
    <row r="1381" ht="27" customHeight="1" spans="1:19">
      <c r="A1381" s="19" t="s">
        <v>5457</v>
      </c>
      <c r="B1381" s="20" t="s">
        <v>30</v>
      </c>
      <c r="C1381" s="20" t="s">
        <v>2057</v>
      </c>
      <c r="D1381" s="20" t="s">
        <v>115</v>
      </c>
      <c r="E1381" s="21" t="s">
        <v>5352</v>
      </c>
      <c r="F1381" s="21" t="s">
        <v>5458</v>
      </c>
      <c r="G1381" s="20" t="s">
        <v>35</v>
      </c>
      <c r="H1381" s="20" t="s">
        <v>25</v>
      </c>
      <c r="I1381" s="21" t="s">
        <v>5459</v>
      </c>
      <c r="J1381" s="22">
        <f t="shared" si="105"/>
        <v>6.90625</v>
      </c>
      <c r="K1381" s="22">
        <f t="shared" si="106"/>
        <v>165.75</v>
      </c>
      <c r="L1381" s="22">
        <f t="shared" si="107"/>
        <v>53.75</v>
      </c>
      <c r="M1381" s="22" cm="1">
        <f ca="1" t="array" ref="M1381">SUMPRODUCT(--(WEEKDAY(ROW(INDIRECT(INT(F1381)&amp;":"&amp;INT(I1381))),2)&gt;5))</f>
        <v>2</v>
      </c>
      <c r="N1381" s="22">
        <f ca="1" t="shared" si="108"/>
        <v>37.75</v>
      </c>
      <c r="O1381" s="22" t="str">
        <f ca="1" t="shared" si="109"/>
        <v>SLA Violated</v>
      </c>
      <c r="P1381" s="23" t="s">
        <v>5460</v>
      </c>
      <c r="Q1381" s="24" t="s">
        <v>28</v>
      </c>
      <c r="R1381" s="25"/>
      <c r="S1381" s="25"/>
    </row>
    <row r="1382" ht="27" customHeight="1" spans="1:19">
      <c r="A1382" s="19" t="s">
        <v>5461</v>
      </c>
      <c r="B1382" s="20" t="s">
        <v>30</v>
      </c>
      <c r="C1382" s="20" t="s">
        <v>2057</v>
      </c>
      <c r="D1382" s="20" t="s">
        <v>32</v>
      </c>
      <c r="E1382" s="21" t="s">
        <v>5462</v>
      </c>
      <c r="F1382" s="21" t="s">
        <v>5463</v>
      </c>
      <c r="G1382" s="20" t="s">
        <v>35</v>
      </c>
      <c r="H1382" s="20" t="s">
        <v>25</v>
      </c>
      <c r="I1382" s="21" t="s">
        <v>5464</v>
      </c>
      <c r="J1382" s="22">
        <f t="shared" si="105"/>
        <v>14.9673611111139</v>
      </c>
      <c r="K1382" s="22">
        <f t="shared" si="106"/>
        <v>359.216666666733</v>
      </c>
      <c r="L1382" s="22">
        <f t="shared" si="107"/>
        <v>119.216666666733</v>
      </c>
      <c r="M1382" s="22" cm="1">
        <f ca="1" t="array" ref="M1382">SUMPRODUCT(--(WEEKDAY(ROW(INDIRECT(INT(F1382)&amp;":"&amp;INT(I1382))),2)&gt;5))</f>
        <v>4</v>
      </c>
      <c r="N1382" s="22">
        <f ca="1" t="shared" si="108"/>
        <v>87.216666666733</v>
      </c>
      <c r="O1382" s="22" t="str">
        <f ca="1" t="shared" si="109"/>
        <v>SLA Violated</v>
      </c>
      <c r="P1382" s="26" t="s">
        <v>5461</v>
      </c>
      <c r="Q1382" s="24" t="s">
        <v>28</v>
      </c>
      <c r="R1382" s="25"/>
      <c r="S1382" s="25"/>
    </row>
    <row r="1383" ht="27" customHeight="1" spans="1:19">
      <c r="A1383" s="19" t="s">
        <v>5465</v>
      </c>
      <c r="B1383" s="20" t="s">
        <v>30</v>
      </c>
      <c r="C1383" s="20" t="s">
        <v>2057</v>
      </c>
      <c r="D1383" s="20" t="s">
        <v>32</v>
      </c>
      <c r="E1383" s="21" t="s">
        <v>5462</v>
      </c>
      <c r="F1383" s="21" t="s">
        <v>5466</v>
      </c>
      <c r="G1383" s="20" t="s">
        <v>35</v>
      </c>
      <c r="H1383" s="20" t="s">
        <v>25</v>
      </c>
      <c r="I1383" s="21" t="s">
        <v>5467</v>
      </c>
      <c r="J1383" s="22">
        <f t="shared" si="105"/>
        <v>7.00555555555184</v>
      </c>
      <c r="K1383" s="22">
        <f t="shared" si="106"/>
        <v>168.133333333244</v>
      </c>
      <c r="L1383" s="22">
        <f t="shared" si="107"/>
        <v>56.1333333332441</v>
      </c>
      <c r="M1383" s="22" cm="1">
        <f ca="1" t="array" ref="M1383">SUMPRODUCT(--(WEEKDAY(ROW(INDIRECT(INT(F1383)&amp;":"&amp;INT(I1383))),2)&gt;5))</f>
        <v>2</v>
      </c>
      <c r="N1383" s="22">
        <f ca="1" t="shared" si="108"/>
        <v>40.1333333332441</v>
      </c>
      <c r="O1383" s="22" t="str">
        <f ca="1" t="shared" si="109"/>
        <v>SLA Violated</v>
      </c>
      <c r="P1383" s="26" t="s">
        <v>5465</v>
      </c>
      <c r="Q1383" s="24" t="s">
        <v>28</v>
      </c>
      <c r="R1383" s="25"/>
      <c r="S1383" s="25"/>
    </row>
    <row r="1384" ht="27" customHeight="1" spans="1:19">
      <c r="A1384" s="19" t="s">
        <v>5468</v>
      </c>
      <c r="B1384" s="20" t="s">
        <v>30</v>
      </c>
      <c r="C1384" s="20" t="s">
        <v>31</v>
      </c>
      <c r="D1384" s="20" t="s">
        <v>32</v>
      </c>
      <c r="E1384" s="21" t="s">
        <v>5469</v>
      </c>
      <c r="F1384" s="21" t="s">
        <v>5470</v>
      </c>
      <c r="G1384" s="20" t="s">
        <v>35</v>
      </c>
      <c r="H1384" s="20" t="s">
        <v>25</v>
      </c>
      <c r="I1384" s="21" t="s">
        <v>5471</v>
      </c>
      <c r="J1384" s="22">
        <f t="shared" si="105"/>
        <v>1.00347222221899</v>
      </c>
      <c r="K1384" s="22">
        <f t="shared" si="106"/>
        <v>24.0833333332557</v>
      </c>
      <c r="L1384" s="22">
        <f t="shared" si="107"/>
        <v>8.08333333325572</v>
      </c>
      <c r="M1384" s="22" cm="1">
        <f ca="1" t="array" ref="M1384">SUMPRODUCT(--(WEEKDAY(ROW(INDIRECT(INT(F1384)&amp;":"&amp;INT(I1384))),2)&gt;5))</f>
        <v>0</v>
      </c>
      <c r="N1384" s="22">
        <f ca="1" t="shared" si="108"/>
        <v>8.08333333325572</v>
      </c>
      <c r="O1384" s="22" t="str">
        <f ca="1" t="shared" si="109"/>
        <v>Within SLA</v>
      </c>
      <c r="P1384" s="26" t="s">
        <v>5468</v>
      </c>
      <c r="Q1384" s="24" t="s">
        <v>37</v>
      </c>
      <c r="R1384" s="25"/>
      <c r="S1384" s="25"/>
    </row>
    <row r="1385" ht="27" customHeight="1" spans="1:19">
      <c r="A1385" s="19" t="s">
        <v>5472</v>
      </c>
      <c r="B1385" s="20" t="s">
        <v>30</v>
      </c>
      <c r="C1385" s="20" t="s">
        <v>31</v>
      </c>
      <c r="D1385" s="20" t="s">
        <v>32</v>
      </c>
      <c r="E1385" s="21" t="s">
        <v>5421</v>
      </c>
      <c r="F1385" s="21" t="s">
        <v>5473</v>
      </c>
      <c r="G1385" s="20" t="s">
        <v>35</v>
      </c>
      <c r="H1385" s="20" t="s">
        <v>25</v>
      </c>
      <c r="I1385" s="21" t="s">
        <v>5474</v>
      </c>
      <c r="J1385" s="22">
        <f t="shared" si="105"/>
        <v>14.9638888888876</v>
      </c>
      <c r="K1385" s="22">
        <f t="shared" si="106"/>
        <v>359.133333333302</v>
      </c>
      <c r="L1385" s="22">
        <f t="shared" si="107"/>
        <v>119.133333333302</v>
      </c>
      <c r="M1385" s="22" cm="1">
        <f ca="1" t="array" ref="M1385">SUMPRODUCT(--(WEEKDAY(ROW(INDIRECT(INT(F1385)&amp;":"&amp;INT(I1385))),2)&gt;5))</f>
        <v>4</v>
      </c>
      <c r="N1385" s="22">
        <f ca="1" t="shared" si="108"/>
        <v>87.133333333302</v>
      </c>
      <c r="O1385" s="22" t="str">
        <f ca="1" t="shared" si="109"/>
        <v>SLA Violated</v>
      </c>
      <c r="P1385" s="23" t="s">
        <v>5475</v>
      </c>
      <c r="Q1385" s="24" t="s">
        <v>28</v>
      </c>
      <c r="R1385" s="25"/>
      <c r="S1385" s="25"/>
    </row>
    <row r="1386" ht="27" customHeight="1" spans="1:19">
      <c r="A1386" s="19" t="s">
        <v>5476</v>
      </c>
      <c r="B1386" s="20" t="s">
        <v>30</v>
      </c>
      <c r="C1386" s="20" t="s">
        <v>31</v>
      </c>
      <c r="D1386" s="20" t="s">
        <v>32</v>
      </c>
      <c r="E1386" s="21" t="s">
        <v>5437</v>
      </c>
      <c r="F1386" s="21" t="s">
        <v>5477</v>
      </c>
      <c r="G1386" s="20" t="s">
        <v>35</v>
      </c>
      <c r="H1386" s="20" t="s">
        <v>25</v>
      </c>
      <c r="I1386" s="21" t="s">
        <v>5478</v>
      </c>
      <c r="J1386" s="22">
        <f t="shared" si="105"/>
        <v>1.82986111110949</v>
      </c>
      <c r="K1386" s="22">
        <f t="shared" si="106"/>
        <v>43.9166666666279</v>
      </c>
      <c r="L1386" s="22">
        <f t="shared" si="107"/>
        <v>11.9166666666279</v>
      </c>
      <c r="M1386" s="22" cm="1">
        <f ca="1" t="array" ref="M1386">SUMPRODUCT(--(WEEKDAY(ROW(INDIRECT(INT(F1386)&amp;":"&amp;INT(I1386))),2)&gt;5))</f>
        <v>0</v>
      </c>
      <c r="N1386" s="22">
        <f ca="1" t="shared" si="108"/>
        <v>11.9166666666279</v>
      </c>
      <c r="O1386" s="22" t="str">
        <f ca="1" t="shared" si="109"/>
        <v>Within SLA</v>
      </c>
      <c r="P1386" s="26" t="s">
        <v>5476</v>
      </c>
      <c r="Q1386" s="24" t="s">
        <v>37</v>
      </c>
      <c r="R1386" s="25"/>
      <c r="S1386" s="25"/>
    </row>
    <row r="1387" ht="39" customHeight="1" spans="1:19">
      <c r="A1387" s="19" t="s">
        <v>5479</v>
      </c>
      <c r="B1387" s="20" t="s">
        <v>19</v>
      </c>
      <c r="C1387" s="20" t="s">
        <v>20</v>
      </c>
      <c r="D1387" s="20" t="s">
        <v>32</v>
      </c>
      <c r="E1387" s="21" t="s">
        <v>5480</v>
      </c>
      <c r="F1387" s="21" t="s">
        <v>5481</v>
      </c>
      <c r="G1387" s="20" t="s">
        <v>35</v>
      </c>
      <c r="H1387" s="20" t="s">
        <v>25</v>
      </c>
      <c r="I1387" s="21" t="s">
        <v>5482</v>
      </c>
      <c r="J1387" s="22">
        <f t="shared" si="105"/>
        <v>1.01180555555766</v>
      </c>
      <c r="K1387" s="22">
        <f t="shared" si="106"/>
        <v>24.2833333333838</v>
      </c>
      <c r="L1387" s="22">
        <f t="shared" si="107"/>
        <v>8.28333333338378</v>
      </c>
      <c r="M1387" s="22" cm="1">
        <f ca="1" t="array" ref="M1387">SUMPRODUCT(--(WEEKDAY(ROW(INDIRECT(INT(F1387)&amp;":"&amp;INT(I1387))),2)&gt;5))</f>
        <v>0</v>
      </c>
      <c r="N1387" s="22">
        <f ca="1" t="shared" si="108"/>
        <v>8.28333333338378</v>
      </c>
      <c r="O1387" s="22" t="str">
        <f ca="1" t="shared" si="109"/>
        <v>Within SLA</v>
      </c>
      <c r="P1387" s="26" t="s">
        <v>5479</v>
      </c>
      <c r="Q1387" s="24" t="s">
        <v>37</v>
      </c>
      <c r="R1387" s="25"/>
      <c r="S1387" s="25"/>
    </row>
    <row r="1388" ht="27" customHeight="1" spans="1:19">
      <c r="A1388" s="19" t="s">
        <v>5483</v>
      </c>
      <c r="B1388" s="20" t="s">
        <v>30</v>
      </c>
      <c r="C1388" s="20" t="s">
        <v>31</v>
      </c>
      <c r="D1388" s="20" t="s">
        <v>21</v>
      </c>
      <c r="E1388" s="21" t="s">
        <v>5484</v>
      </c>
      <c r="F1388" s="21" t="s">
        <v>5485</v>
      </c>
      <c r="G1388" s="20" t="s">
        <v>35</v>
      </c>
      <c r="H1388" s="20" t="s">
        <v>25</v>
      </c>
      <c r="I1388" s="21" t="s">
        <v>5486</v>
      </c>
      <c r="J1388" s="22">
        <f t="shared" si="105"/>
        <v>1.83680555555475</v>
      </c>
      <c r="K1388" s="22">
        <f t="shared" si="106"/>
        <v>44.0833333333139</v>
      </c>
      <c r="L1388" s="22">
        <f t="shared" si="107"/>
        <v>12.0833333333139</v>
      </c>
      <c r="M1388" s="22" cm="1">
        <f ca="1" t="array" ref="M1388">SUMPRODUCT(--(WEEKDAY(ROW(INDIRECT(INT(F1388)&amp;":"&amp;INT(I1388))),2)&gt;5))</f>
        <v>0</v>
      </c>
      <c r="N1388" s="22">
        <f ca="1" t="shared" si="108"/>
        <v>12.0833333333139</v>
      </c>
      <c r="O1388" s="22" t="str">
        <f ca="1" t="shared" si="109"/>
        <v>SLA Violated</v>
      </c>
      <c r="P1388" s="23" t="s">
        <v>5487</v>
      </c>
      <c r="Q1388" s="24" t="s">
        <v>28</v>
      </c>
      <c r="R1388" s="25"/>
      <c r="S1388" s="25"/>
    </row>
    <row r="1389" ht="27" customHeight="1" spans="1:19">
      <c r="A1389" s="19" t="s">
        <v>5488</v>
      </c>
      <c r="B1389" s="20" t="s">
        <v>30</v>
      </c>
      <c r="C1389" s="20" t="s">
        <v>46</v>
      </c>
      <c r="D1389" s="20" t="s">
        <v>32</v>
      </c>
      <c r="E1389" s="21" t="s">
        <v>5489</v>
      </c>
      <c r="F1389" s="21" t="s">
        <v>5490</v>
      </c>
      <c r="G1389" s="20" t="s">
        <v>35</v>
      </c>
      <c r="H1389" s="20" t="s">
        <v>25</v>
      </c>
      <c r="I1389" s="21" t="s">
        <v>5491</v>
      </c>
      <c r="J1389" s="22">
        <f t="shared" si="105"/>
        <v>0.0493055555562023</v>
      </c>
      <c r="K1389" s="22">
        <f t="shared" si="106"/>
        <v>1.18333333334886</v>
      </c>
      <c r="L1389" s="22">
        <f t="shared" si="107"/>
        <v>1.18333333334886</v>
      </c>
      <c r="M1389" s="22" cm="1">
        <f ca="1" t="array" ref="M1389">SUMPRODUCT(--(WEEKDAY(ROW(INDIRECT(INT(F1389)&amp;":"&amp;INT(I1389))),2)&gt;5))</f>
        <v>0</v>
      </c>
      <c r="N1389" s="22">
        <f ca="1" t="shared" si="108"/>
        <v>1.18333333334886</v>
      </c>
      <c r="O1389" s="22" t="str">
        <f ca="1" t="shared" si="109"/>
        <v>Within SLA</v>
      </c>
      <c r="P1389" s="26" t="s">
        <v>5488</v>
      </c>
      <c r="Q1389" s="24" t="s">
        <v>37</v>
      </c>
      <c r="R1389" s="25"/>
      <c r="S1389" s="25"/>
    </row>
    <row r="1390" ht="27" customHeight="1" spans="1:19">
      <c r="A1390" s="19" t="s">
        <v>5492</v>
      </c>
      <c r="B1390" s="20" t="s">
        <v>30</v>
      </c>
      <c r="C1390" s="20" t="s">
        <v>31</v>
      </c>
      <c r="D1390" s="20" t="s">
        <v>32</v>
      </c>
      <c r="E1390" s="21" t="s">
        <v>5493</v>
      </c>
      <c r="F1390" s="21" t="s">
        <v>5494</v>
      </c>
      <c r="G1390" s="20" t="s">
        <v>35</v>
      </c>
      <c r="H1390" s="20" t="s">
        <v>25</v>
      </c>
      <c r="I1390" s="21" t="s">
        <v>5495</v>
      </c>
      <c r="J1390" s="22">
        <f t="shared" si="105"/>
        <v>1.82500000000437</v>
      </c>
      <c r="K1390" s="22">
        <f t="shared" si="106"/>
        <v>43.8000000001048</v>
      </c>
      <c r="L1390" s="22">
        <f t="shared" si="107"/>
        <v>11.8000000001048</v>
      </c>
      <c r="M1390" s="22" cm="1">
        <f ca="1" t="array" ref="M1390">SUMPRODUCT(--(WEEKDAY(ROW(INDIRECT(INT(F1390)&amp;":"&amp;INT(I1390))),2)&gt;5))</f>
        <v>0</v>
      </c>
      <c r="N1390" s="22">
        <f ca="1" t="shared" si="108"/>
        <v>11.8000000001048</v>
      </c>
      <c r="O1390" s="22" t="str">
        <f ca="1" t="shared" si="109"/>
        <v>Within SLA</v>
      </c>
      <c r="P1390" s="26" t="s">
        <v>5492</v>
      </c>
      <c r="Q1390" s="24" t="s">
        <v>37</v>
      </c>
      <c r="R1390" s="25"/>
      <c r="S1390" s="25"/>
    </row>
    <row r="1391" ht="27" customHeight="1" spans="1:19">
      <c r="A1391" s="19" t="s">
        <v>5496</v>
      </c>
      <c r="B1391" s="20" t="s">
        <v>30</v>
      </c>
      <c r="C1391" s="20" t="s">
        <v>31</v>
      </c>
      <c r="D1391" s="20" t="s">
        <v>32</v>
      </c>
      <c r="E1391" s="21" t="s">
        <v>5497</v>
      </c>
      <c r="F1391" s="21" t="s">
        <v>3759</v>
      </c>
      <c r="G1391" s="20" t="s">
        <v>35</v>
      </c>
      <c r="H1391" s="20" t="s">
        <v>25</v>
      </c>
      <c r="I1391" s="21" t="s">
        <v>5498</v>
      </c>
      <c r="J1391" s="22">
        <f t="shared" si="105"/>
        <v>1.82291666666424</v>
      </c>
      <c r="K1391" s="22">
        <f t="shared" si="106"/>
        <v>43.7499999999418</v>
      </c>
      <c r="L1391" s="22">
        <f t="shared" si="107"/>
        <v>11.7499999999418</v>
      </c>
      <c r="M1391" s="22" cm="1">
        <f ca="1" t="array" ref="M1391">SUMPRODUCT(--(WEEKDAY(ROW(INDIRECT(INT(F1391)&amp;":"&amp;INT(I1391))),2)&gt;5))</f>
        <v>0</v>
      </c>
      <c r="N1391" s="22">
        <f ca="1" t="shared" si="108"/>
        <v>11.7499999999418</v>
      </c>
      <c r="O1391" s="22" t="str">
        <f ca="1" t="shared" si="109"/>
        <v>Within SLA</v>
      </c>
      <c r="P1391" s="26" t="s">
        <v>5496</v>
      </c>
      <c r="Q1391" s="24" t="s">
        <v>37</v>
      </c>
      <c r="R1391" s="25"/>
      <c r="S1391" s="25"/>
    </row>
    <row r="1392" ht="39" customHeight="1" spans="1:19">
      <c r="A1392" s="19" t="s">
        <v>5499</v>
      </c>
      <c r="B1392" s="20" t="s">
        <v>19</v>
      </c>
      <c r="C1392" s="20" t="s">
        <v>20</v>
      </c>
      <c r="D1392" s="20" t="s">
        <v>21</v>
      </c>
      <c r="E1392" s="21" t="s">
        <v>5500</v>
      </c>
      <c r="F1392" s="21" t="s">
        <v>5501</v>
      </c>
      <c r="G1392" s="20" t="s">
        <v>35</v>
      </c>
      <c r="H1392" s="20" t="s">
        <v>25</v>
      </c>
      <c r="I1392" s="21" t="s">
        <v>5502</v>
      </c>
      <c r="J1392" s="22">
        <f t="shared" si="105"/>
        <v>0.119444444440887</v>
      </c>
      <c r="K1392" s="22">
        <f t="shared" si="106"/>
        <v>2.8666666665813</v>
      </c>
      <c r="L1392" s="22">
        <f t="shared" si="107"/>
        <v>2.8666666665813</v>
      </c>
      <c r="M1392" s="22" cm="1">
        <f ca="1" t="array" ref="M1392">SUMPRODUCT(--(WEEKDAY(ROW(INDIRECT(INT(F1392)&amp;":"&amp;INT(I1392))),2)&gt;5))</f>
        <v>0</v>
      </c>
      <c r="N1392" s="22">
        <f ca="1" t="shared" si="108"/>
        <v>2.8666666665813</v>
      </c>
      <c r="O1392" s="22" t="str">
        <f ca="1" t="shared" si="109"/>
        <v>Within SLA</v>
      </c>
      <c r="P1392" s="26" t="s">
        <v>5499</v>
      </c>
      <c r="Q1392" s="24" t="s">
        <v>37</v>
      </c>
      <c r="R1392" s="25"/>
      <c r="S1392" s="25"/>
    </row>
    <row r="1393" ht="27" customHeight="1" spans="1:19">
      <c r="A1393" s="19" t="s">
        <v>5503</v>
      </c>
      <c r="B1393" s="20" t="s">
        <v>30</v>
      </c>
      <c r="C1393" s="20" t="s">
        <v>2057</v>
      </c>
      <c r="D1393" s="20" t="s">
        <v>32</v>
      </c>
      <c r="E1393" s="21" t="s">
        <v>5363</v>
      </c>
      <c r="F1393" s="21" t="s">
        <v>5504</v>
      </c>
      <c r="G1393" s="20" t="s">
        <v>35</v>
      </c>
      <c r="H1393" s="20" t="s">
        <v>25</v>
      </c>
      <c r="I1393" s="21" t="s">
        <v>5505</v>
      </c>
      <c r="J1393" s="22">
        <f t="shared" si="105"/>
        <v>6.00624999999854</v>
      </c>
      <c r="K1393" s="22">
        <f t="shared" si="106"/>
        <v>144.149999999965</v>
      </c>
      <c r="L1393" s="22">
        <f t="shared" si="107"/>
        <v>48.1499999999651</v>
      </c>
      <c r="M1393" s="22" cm="1">
        <f ca="1" t="array" ref="M1393">SUMPRODUCT(--(WEEKDAY(ROW(INDIRECT(INT(F1393)&amp;":"&amp;INT(I1393))),2)&gt;5))</f>
        <v>2</v>
      </c>
      <c r="N1393" s="22">
        <f ca="1" t="shared" si="108"/>
        <v>32.1499999999651</v>
      </c>
      <c r="O1393" s="22" t="str">
        <f ca="1" t="shared" si="109"/>
        <v>SLA Violated</v>
      </c>
      <c r="P1393" s="26" t="s">
        <v>5503</v>
      </c>
      <c r="Q1393" s="24" t="s">
        <v>28</v>
      </c>
      <c r="R1393" s="25"/>
      <c r="S1393" s="25"/>
    </row>
    <row r="1394" ht="27" customHeight="1" spans="1:19">
      <c r="A1394" s="19" t="s">
        <v>5506</v>
      </c>
      <c r="B1394" s="20" t="s">
        <v>30</v>
      </c>
      <c r="C1394" s="20" t="s">
        <v>2057</v>
      </c>
      <c r="D1394" s="20" t="s">
        <v>32</v>
      </c>
      <c r="E1394" s="21" t="s">
        <v>4794</v>
      </c>
      <c r="F1394" s="21" t="s">
        <v>5507</v>
      </c>
      <c r="G1394" s="20" t="s">
        <v>35</v>
      </c>
      <c r="H1394" s="20" t="s">
        <v>25</v>
      </c>
      <c r="I1394" s="21" t="s">
        <v>5508</v>
      </c>
      <c r="J1394" s="22">
        <f t="shared" si="105"/>
        <v>6.98749999999563</v>
      </c>
      <c r="K1394" s="22">
        <f t="shared" si="106"/>
        <v>167.699999999895</v>
      </c>
      <c r="L1394" s="22">
        <f t="shared" si="107"/>
        <v>55.6999999998952</v>
      </c>
      <c r="M1394" s="22" cm="1">
        <f ca="1" t="array" ref="M1394">SUMPRODUCT(--(WEEKDAY(ROW(INDIRECT(INT(F1394)&amp;":"&amp;INT(I1394))),2)&gt;5))</f>
        <v>2</v>
      </c>
      <c r="N1394" s="22">
        <f ca="1" t="shared" si="108"/>
        <v>39.6999999998952</v>
      </c>
      <c r="O1394" s="22" t="str">
        <f ca="1" t="shared" si="109"/>
        <v>SLA Violated</v>
      </c>
      <c r="P1394" s="26" t="s">
        <v>5506</v>
      </c>
      <c r="Q1394" s="24" t="s">
        <v>28</v>
      </c>
      <c r="R1394" s="25"/>
      <c r="S1394" s="25"/>
    </row>
    <row r="1395" ht="27" customHeight="1" spans="1:19">
      <c r="A1395" s="19" t="s">
        <v>5509</v>
      </c>
      <c r="B1395" s="20" t="s">
        <v>30</v>
      </c>
      <c r="C1395" s="20" t="s">
        <v>2057</v>
      </c>
      <c r="D1395" s="20" t="s">
        <v>32</v>
      </c>
      <c r="E1395" s="21" t="s">
        <v>5510</v>
      </c>
      <c r="F1395" s="21" t="s">
        <v>5511</v>
      </c>
      <c r="G1395" s="20" t="s">
        <v>35</v>
      </c>
      <c r="H1395" s="20" t="s">
        <v>25</v>
      </c>
      <c r="I1395" s="21" t="s">
        <v>5512</v>
      </c>
      <c r="J1395" s="22">
        <f t="shared" si="105"/>
        <v>12.9868055555562</v>
      </c>
      <c r="K1395" s="22">
        <f t="shared" si="106"/>
        <v>311.683333333349</v>
      </c>
      <c r="L1395" s="22">
        <f t="shared" si="107"/>
        <v>103.683333333349</v>
      </c>
      <c r="M1395" s="22" cm="1">
        <f ca="1" t="array" ref="M1395">SUMPRODUCT(--(WEEKDAY(ROW(INDIRECT(INT(F1395)&amp;":"&amp;INT(I1395))),2)&gt;5))</f>
        <v>4</v>
      </c>
      <c r="N1395" s="22">
        <f ca="1" t="shared" si="108"/>
        <v>71.683333333349</v>
      </c>
      <c r="O1395" s="22" t="str">
        <f ca="1" t="shared" si="109"/>
        <v>SLA Violated</v>
      </c>
      <c r="P1395" s="26" t="s">
        <v>5509</v>
      </c>
      <c r="Q1395" s="24" t="s">
        <v>28</v>
      </c>
      <c r="R1395" s="25"/>
      <c r="S1395" s="25"/>
    </row>
    <row r="1396" ht="27" customHeight="1" spans="1:19">
      <c r="A1396" s="19" t="s">
        <v>5513</v>
      </c>
      <c r="B1396" s="20" t="s">
        <v>30</v>
      </c>
      <c r="C1396" s="20" t="s">
        <v>31</v>
      </c>
      <c r="D1396" s="20" t="s">
        <v>21</v>
      </c>
      <c r="E1396" s="21" t="s">
        <v>5514</v>
      </c>
      <c r="F1396" s="21" t="s">
        <v>5515</v>
      </c>
      <c r="G1396" s="20" t="s">
        <v>35</v>
      </c>
      <c r="H1396" s="20" t="s">
        <v>25</v>
      </c>
      <c r="I1396" s="21" t="s">
        <v>5516</v>
      </c>
      <c r="J1396" s="22">
        <f t="shared" si="105"/>
        <v>1.26388888889051</v>
      </c>
      <c r="K1396" s="22">
        <f t="shared" si="106"/>
        <v>30.3333333333721</v>
      </c>
      <c r="L1396" s="22">
        <f t="shared" si="107"/>
        <v>14.3333333333721</v>
      </c>
      <c r="M1396" s="22" cm="1">
        <f ca="1" t="array" ref="M1396">SUMPRODUCT(--(WEEKDAY(ROW(INDIRECT(INT(F1396)&amp;":"&amp;INT(I1396))),2)&gt;5))</f>
        <v>0</v>
      </c>
      <c r="N1396" s="22">
        <f ca="1" t="shared" si="108"/>
        <v>14.3333333333721</v>
      </c>
      <c r="O1396" s="22" t="str">
        <f ca="1" t="shared" si="109"/>
        <v>SLA Violated</v>
      </c>
      <c r="P1396" s="23" t="s">
        <v>5517</v>
      </c>
      <c r="Q1396" s="24" t="s">
        <v>28</v>
      </c>
      <c r="R1396" s="25"/>
      <c r="S1396" s="25"/>
    </row>
    <row r="1397" ht="27" customHeight="1" spans="1:19">
      <c r="A1397" s="19" t="s">
        <v>5518</v>
      </c>
      <c r="B1397" s="20" t="s">
        <v>30</v>
      </c>
      <c r="C1397" s="20" t="s">
        <v>2057</v>
      </c>
      <c r="D1397" s="20" t="s">
        <v>32</v>
      </c>
      <c r="E1397" s="21" t="s">
        <v>5519</v>
      </c>
      <c r="F1397" s="21" t="s">
        <v>5520</v>
      </c>
      <c r="G1397" s="20" t="s">
        <v>35</v>
      </c>
      <c r="H1397" s="20" t="s">
        <v>25</v>
      </c>
      <c r="I1397" s="21" t="s">
        <v>5521</v>
      </c>
      <c r="J1397" s="22">
        <f t="shared" si="105"/>
        <v>6.98333333333721</v>
      </c>
      <c r="K1397" s="22">
        <f t="shared" si="106"/>
        <v>167.600000000093</v>
      </c>
      <c r="L1397" s="22">
        <f t="shared" si="107"/>
        <v>55.6000000000931</v>
      </c>
      <c r="M1397" s="22" cm="1">
        <f ca="1" t="array" ref="M1397">SUMPRODUCT(--(WEEKDAY(ROW(INDIRECT(INT(F1397)&amp;":"&amp;INT(I1397))),2)&gt;5))</f>
        <v>2</v>
      </c>
      <c r="N1397" s="22">
        <f ca="1" t="shared" si="108"/>
        <v>39.6000000000931</v>
      </c>
      <c r="O1397" s="22" t="str">
        <f ca="1" t="shared" si="109"/>
        <v>SLA Violated</v>
      </c>
      <c r="P1397" s="26" t="s">
        <v>5518</v>
      </c>
      <c r="Q1397" s="24" t="s">
        <v>28</v>
      </c>
      <c r="R1397" s="25"/>
      <c r="S1397" s="25"/>
    </row>
    <row r="1398" ht="39" customHeight="1" spans="1:19">
      <c r="A1398" s="19" t="s">
        <v>5522</v>
      </c>
      <c r="B1398" s="20" t="s">
        <v>19</v>
      </c>
      <c r="C1398" s="20" t="s">
        <v>20</v>
      </c>
      <c r="D1398" s="20" t="s">
        <v>32</v>
      </c>
      <c r="E1398" s="21" t="s">
        <v>3716</v>
      </c>
      <c r="F1398" s="21" t="s">
        <v>5523</v>
      </c>
      <c r="G1398" s="20" t="s">
        <v>35</v>
      </c>
      <c r="H1398" s="20" t="s">
        <v>25</v>
      </c>
      <c r="I1398" s="21" t="s">
        <v>5523</v>
      </c>
      <c r="J1398" s="22">
        <f t="shared" si="105"/>
        <v>0</v>
      </c>
      <c r="K1398" s="22">
        <f t="shared" si="106"/>
        <v>0</v>
      </c>
      <c r="L1398" s="22">
        <f t="shared" si="107"/>
        <v>0</v>
      </c>
      <c r="M1398" s="22" cm="1">
        <f ca="1" t="array" ref="M1398">SUMPRODUCT(--(WEEKDAY(ROW(INDIRECT(INT(F1398)&amp;":"&amp;INT(I1398))),2)&gt;5))</f>
        <v>0</v>
      </c>
      <c r="N1398" s="22">
        <f ca="1" t="shared" si="108"/>
        <v>0</v>
      </c>
      <c r="O1398" s="22" t="str">
        <f ca="1" t="shared" si="109"/>
        <v>Within SLA</v>
      </c>
      <c r="P1398" s="26" t="s">
        <v>5522</v>
      </c>
      <c r="Q1398" s="24" t="s">
        <v>37</v>
      </c>
      <c r="R1398" s="25"/>
      <c r="S1398" s="25"/>
    </row>
    <row r="1399" ht="39" customHeight="1" spans="1:19">
      <c r="A1399" s="19" t="s">
        <v>5524</v>
      </c>
      <c r="B1399" s="20" t="s">
        <v>19</v>
      </c>
      <c r="C1399" s="20" t="s">
        <v>20</v>
      </c>
      <c r="D1399" s="20" t="s">
        <v>32</v>
      </c>
      <c r="E1399" s="21" t="s">
        <v>3657</v>
      </c>
      <c r="F1399" s="21" t="s">
        <v>5525</v>
      </c>
      <c r="G1399" s="20" t="s">
        <v>35</v>
      </c>
      <c r="H1399" s="20" t="s">
        <v>25</v>
      </c>
      <c r="I1399" s="21" t="s">
        <v>5526</v>
      </c>
      <c r="J1399" s="22">
        <f t="shared" si="105"/>
        <v>0.878472222226264</v>
      </c>
      <c r="K1399" s="22">
        <f t="shared" si="106"/>
        <v>21.0833333334303</v>
      </c>
      <c r="L1399" s="22">
        <f t="shared" si="107"/>
        <v>5.08333333343035</v>
      </c>
      <c r="M1399" s="22" cm="1">
        <f ca="1" t="array" ref="M1399">SUMPRODUCT(--(WEEKDAY(ROW(INDIRECT(INT(F1399)&amp;":"&amp;INT(I1399))),2)&gt;5))</f>
        <v>0</v>
      </c>
      <c r="N1399" s="22">
        <f ca="1" t="shared" si="108"/>
        <v>5.08333333343035</v>
      </c>
      <c r="O1399" s="22" t="str">
        <f ca="1" t="shared" si="109"/>
        <v>Within SLA</v>
      </c>
      <c r="P1399" s="26" t="s">
        <v>5524</v>
      </c>
      <c r="Q1399" s="24" t="s">
        <v>37</v>
      </c>
      <c r="R1399" s="25"/>
      <c r="S1399" s="25"/>
    </row>
    <row r="1400" ht="39" customHeight="1" spans="1:19">
      <c r="A1400" s="19" t="s">
        <v>5527</v>
      </c>
      <c r="B1400" s="20" t="s">
        <v>19</v>
      </c>
      <c r="C1400" s="20" t="s">
        <v>20</v>
      </c>
      <c r="D1400" s="20" t="s">
        <v>32</v>
      </c>
      <c r="E1400" s="21" t="s">
        <v>5474</v>
      </c>
      <c r="F1400" s="21" t="s">
        <v>5528</v>
      </c>
      <c r="G1400" s="20" t="s">
        <v>35</v>
      </c>
      <c r="H1400" s="20" t="s">
        <v>25</v>
      </c>
      <c r="I1400" s="21" t="s">
        <v>5529</v>
      </c>
      <c r="J1400" s="22">
        <f t="shared" si="105"/>
        <v>7.97499999999854</v>
      </c>
      <c r="K1400" s="22">
        <f t="shared" si="106"/>
        <v>191.399999999965</v>
      </c>
      <c r="L1400" s="22">
        <f t="shared" si="107"/>
        <v>63.3999999999651</v>
      </c>
      <c r="M1400" s="22" cm="1">
        <f ca="1" t="array" ref="M1400">SUMPRODUCT(--(WEEKDAY(ROW(INDIRECT(INT(F1400)&amp;":"&amp;INT(I1400))),2)&gt;5))</f>
        <v>2</v>
      </c>
      <c r="N1400" s="22">
        <f ca="1" t="shared" si="108"/>
        <v>47.3999999999651</v>
      </c>
      <c r="O1400" s="22" t="str">
        <f ca="1" t="shared" si="109"/>
        <v>SLA Violated</v>
      </c>
      <c r="P1400" s="23" t="s">
        <v>5530</v>
      </c>
      <c r="Q1400" s="24" t="s">
        <v>28</v>
      </c>
      <c r="R1400" s="25"/>
      <c r="S1400" s="25"/>
    </row>
    <row r="1401" ht="27" customHeight="1" spans="1:19">
      <c r="A1401" s="19" t="s">
        <v>5531</v>
      </c>
      <c r="B1401" s="20" t="s">
        <v>30</v>
      </c>
      <c r="C1401" s="20" t="s">
        <v>31</v>
      </c>
      <c r="D1401" s="20" t="s">
        <v>21</v>
      </c>
      <c r="E1401" s="21" t="s">
        <v>5478</v>
      </c>
      <c r="F1401" s="21" t="s">
        <v>5532</v>
      </c>
      <c r="G1401" s="20" t="s">
        <v>35</v>
      </c>
      <c r="H1401" s="20" t="s">
        <v>25</v>
      </c>
      <c r="I1401" s="21" t="s">
        <v>5533</v>
      </c>
      <c r="J1401" s="22">
        <f t="shared" si="105"/>
        <v>2.94513888888468</v>
      </c>
      <c r="K1401" s="22">
        <f t="shared" si="106"/>
        <v>70.6833333332324</v>
      </c>
      <c r="L1401" s="22">
        <f t="shared" si="107"/>
        <v>22.6833333332324</v>
      </c>
      <c r="M1401" s="22" cm="1">
        <f ca="1" t="array" ref="M1401">SUMPRODUCT(--(WEEKDAY(ROW(INDIRECT(INT(F1401)&amp;":"&amp;INT(I1401))),2)&gt;5))</f>
        <v>0</v>
      </c>
      <c r="N1401" s="22">
        <f ca="1" t="shared" si="108"/>
        <v>22.6833333332324</v>
      </c>
      <c r="O1401" s="22" t="str">
        <f ca="1" t="shared" si="109"/>
        <v>SLA Violated</v>
      </c>
      <c r="P1401" s="23" t="s">
        <v>5534</v>
      </c>
      <c r="Q1401" s="24" t="s">
        <v>28</v>
      </c>
      <c r="R1401" s="25"/>
      <c r="S1401" s="25"/>
    </row>
    <row r="1402" ht="27" customHeight="1" spans="1:19">
      <c r="A1402" s="19" t="s">
        <v>5535</v>
      </c>
      <c r="B1402" s="20" t="s">
        <v>30</v>
      </c>
      <c r="C1402" s="20" t="s">
        <v>2057</v>
      </c>
      <c r="D1402" s="20" t="s">
        <v>32</v>
      </c>
      <c r="E1402" s="21" t="s">
        <v>5536</v>
      </c>
      <c r="F1402" s="21" t="s">
        <v>5537</v>
      </c>
      <c r="G1402" s="20" t="s">
        <v>35</v>
      </c>
      <c r="H1402" s="20" t="s">
        <v>25</v>
      </c>
      <c r="I1402" s="21" t="s">
        <v>5538</v>
      </c>
      <c r="J1402" s="22">
        <f t="shared" si="105"/>
        <v>7.00833333333139</v>
      </c>
      <c r="K1402" s="22">
        <f t="shared" si="106"/>
        <v>168.199999999953</v>
      </c>
      <c r="L1402" s="22">
        <f t="shared" si="107"/>
        <v>56.1999999999534</v>
      </c>
      <c r="M1402" s="22" cm="1">
        <f ca="1" t="array" ref="M1402">SUMPRODUCT(--(WEEKDAY(ROW(INDIRECT(INT(F1402)&amp;":"&amp;INT(I1402))),2)&gt;5))</f>
        <v>2</v>
      </c>
      <c r="N1402" s="22">
        <f ca="1" t="shared" si="108"/>
        <v>40.1999999999534</v>
      </c>
      <c r="O1402" s="22" t="str">
        <f ca="1" t="shared" si="109"/>
        <v>SLA Violated</v>
      </c>
      <c r="P1402" s="26" t="s">
        <v>5535</v>
      </c>
      <c r="Q1402" s="24" t="s">
        <v>28</v>
      </c>
      <c r="R1402" s="25"/>
      <c r="S1402" s="25"/>
    </row>
    <row r="1403" ht="27" customHeight="1" spans="1:19">
      <c r="A1403" s="19" t="s">
        <v>5539</v>
      </c>
      <c r="B1403" s="20" t="s">
        <v>30</v>
      </c>
      <c r="C1403" s="20" t="s">
        <v>31</v>
      </c>
      <c r="D1403" s="20" t="s">
        <v>32</v>
      </c>
      <c r="E1403" s="21" t="s">
        <v>5536</v>
      </c>
      <c r="F1403" s="21" t="s">
        <v>5540</v>
      </c>
      <c r="G1403" s="20" t="s">
        <v>35</v>
      </c>
      <c r="H1403" s="20" t="s">
        <v>25</v>
      </c>
      <c r="I1403" s="21" t="s">
        <v>5541</v>
      </c>
      <c r="J1403" s="22">
        <f t="shared" si="105"/>
        <v>1.79791666667006</v>
      </c>
      <c r="K1403" s="22">
        <f t="shared" si="106"/>
        <v>43.1500000000815</v>
      </c>
      <c r="L1403" s="22">
        <f t="shared" si="107"/>
        <v>11.1500000000815</v>
      </c>
      <c r="M1403" s="22" cm="1">
        <f ca="1" t="array" ref="M1403">SUMPRODUCT(--(WEEKDAY(ROW(INDIRECT(INT(F1403)&amp;":"&amp;INT(I1403))),2)&gt;5))</f>
        <v>0</v>
      </c>
      <c r="N1403" s="22">
        <f ca="1" t="shared" si="108"/>
        <v>11.1500000000815</v>
      </c>
      <c r="O1403" s="22" t="str">
        <f ca="1" t="shared" si="109"/>
        <v>Within SLA</v>
      </c>
      <c r="P1403" s="26" t="s">
        <v>5539</v>
      </c>
      <c r="Q1403" s="24" t="s">
        <v>37</v>
      </c>
      <c r="R1403" s="25"/>
      <c r="S1403" s="25"/>
    </row>
    <row r="1404" ht="27" customHeight="1" spans="1:19">
      <c r="A1404" s="19" t="s">
        <v>5542</v>
      </c>
      <c r="B1404" s="20" t="s">
        <v>30</v>
      </c>
      <c r="C1404" s="20" t="s">
        <v>31</v>
      </c>
      <c r="D1404" s="20" t="s">
        <v>32</v>
      </c>
      <c r="E1404" s="21" t="s">
        <v>5543</v>
      </c>
      <c r="F1404" s="21" t="s">
        <v>5544</v>
      </c>
      <c r="G1404" s="20" t="s">
        <v>35</v>
      </c>
      <c r="H1404" s="20" t="s">
        <v>25</v>
      </c>
      <c r="I1404" s="21" t="s">
        <v>5545</v>
      </c>
      <c r="J1404" s="22">
        <f t="shared" si="105"/>
        <v>1.79444444445107</v>
      </c>
      <c r="K1404" s="22">
        <f t="shared" si="106"/>
        <v>43.0666666668258</v>
      </c>
      <c r="L1404" s="22">
        <f t="shared" si="107"/>
        <v>11.0666666668258</v>
      </c>
      <c r="M1404" s="22" cm="1">
        <f ca="1" t="array" ref="M1404">SUMPRODUCT(--(WEEKDAY(ROW(INDIRECT(INT(F1404)&amp;":"&amp;INT(I1404))),2)&gt;5))</f>
        <v>0</v>
      </c>
      <c r="N1404" s="22">
        <f ca="1" t="shared" si="108"/>
        <v>11.0666666668258</v>
      </c>
      <c r="O1404" s="22" t="str">
        <f ca="1" t="shared" si="109"/>
        <v>Within SLA</v>
      </c>
      <c r="P1404" s="26" t="s">
        <v>5542</v>
      </c>
      <c r="Q1404" s="24" t="s">
        <v>37</v>
      </c>
      <c r="R1404" s="25"/>
      <c r="S1404" s="25"/>
    </row>
    <row r="1405" ht="27" customHeight="1" spans="1:19">
      <c r="A1405" s="19" t="s">
        <v>5546</v>
      </c>
      <c r="B1405" s="20" t="s">
        <v>30</v>
      </c>
      <c r="C1405" s="20" t="s">
        <v>2057</v>
      </c>
      <c r="D1405" s="20" t="s">
        <v>32</v>
      </c>
      <c r="E1405" s="21" t="s">
        <v>5521</v>
      </c>
      <c r="F1405" s="21" t="s">
        <v>4964</v>
      </c>
      <c r="G1405" s="20" t="s">
        <v>35</v>
      </c>
      <c r="H1405" s="20" t="s">
        <v>25</v>
      </c>
      <c r="I1405" s="21" t="s">
        <v>5547</v>
      </c>
      <c r="J1405" s="22">
        <f t="shared" si="105"/>
        <v>10.0159722222234</v>
      </c>
      <c r="K1405" s="22">
        <f t="shared" si="106"/>
        <v>240.38333333336</v>
      </c>
      <c r="L1405" s="22">
        <f t="shared" si="107"/>
        <v>80.3833333333605</v>
      </c>
      <c r="M1405" s="22" cm="1">
        <f ca="1" t="array" ref="M1405">SUMPRODUCT(--(WEEKDAY(ROW(INDIRECT(INT(F1405)&amp;":"&amp;INT(I1405))),2)&gt;5))</f>
        <v>2</v>
      </c>
      <c r="N1405" s="22">
        <f ca="1" t="shared" si="108"/>
        <v>64.3833333333605</v>
      </c>
      <c r="O1405" s="22" t="str">
        <f ca="1" t="shared" si="109"/>
        <v>SLA Violated</v>
      </c>
      <c r="P1405" s="26" t="s">
        <v>5546</v>
      </c>
      <c r="Q1405" s="24" t="s">
        <v>28</v>
      </c>
      <c r="R1405" s="25"/>
      <c r="S1405" s="25"/>
    </row>
    <row r="1406" ht="27" customHeight="1" spans="1:19">
      <c r="A1406" s="19" t="s">
        <v>5548</v>
      </c>
      <c r="B1406" s="20" t="s">
        <v>30</v>
      </c>
      <c r="C1406" s="20" t="s">
        <v>2057</v>
      </c>
      <c r="D1406" s="20" t="s">
        <v>32</v>
      </c>
      <c r="E1406" s="21" t="s">
        <v>5533</v>
      </c>
      <c r="F1406" s="21" t="s">
        <v>5549</v>
      </c>
      <c r="G1406" s="20" t="s">
        <v>35</v>
      </c>
      <c r="H1406" s="20" t="s">
        <v>25</v>
      </c>
      <c r="I1406" s="21" t="s">
        <v>5550</v>
      </c>
      <c r="J1406" s="22">
        <f t="shared" si="105"/>
        <v>6.96111111110804</v>
      </c>
      <c r="K1406" s="22">
        <f t="shared" si="106"/>
        <v>167.066666666593</v>
      </c>
      <c r="L1406" s="22">
        <f t="shared" si="107"/>
        <v>55.0666666665929</v>
      </c>
      <c r="M1406" s="22" cm="1">
        <f ca="1" t="array" ref="M1406">SUMPRODUCT(--(WEEKDAY(ROW(INDIRECT(INT(F1406)&amp;":"&amp;INT(I1406))),2)&gt;5))</f>
        <v>2</v>
      </c>
      <c r="N1406" s="22">
        <f ca="1" t="shared" si="108"/>
        <v>39.0666666665929</v>
      </c>
      <c r="O1406" s="22" t="str">
        <f ca="1" t="shared" si="109"/>
        <v>SLA Violated</v>
      </c>
      <c r="P1406" s="26" t="s">
        <v>5548</v>
      </c>
      <c r="Q1406" s="24" t="s">
        <v>28</v>
      </c>
      <c r="R1406" s="25"/>
      <c r="S1406" s="25"/>
    </row>
    <row r="1407" ht="27" customHeight="1" spans="1:19">
      <c r="A1407" s="19" t="s">
        <v>5551</v>
      </c>
      <c r="B1407" s="20" t="s">
        <v>139</v>
      </c>
      <c r="C1407" s="20" t="s">
        <v>2057</v>
      </c>
      <c r="D1407" s="20" t="s">
        <v>32</v>
      </c>
      <c r="E1407" s="21" t="s">
        <v>5552</v>
      </c>
      <c r="F1407" s="21" t="s">
        <v>1294</v>
      </c>
      <c r="G1407" s="20" t="s">
        <v>35</v>
      </c>
      <c r="H1407" s="20" t="s">
        <v>25</v>
      </c>
      <c r="I1407" s="21" t="s">
        <v>5553</v>
      </c>
      <c r="J1407" s="22">
        <f t="shared" si="105"/>
        <v>19.7111111111153</v>
      </c>
      <c r="K1407" s="22">
        <f t="shared" si="106"/>
        <v>473.066666666768</v>
      </c>
      <c r="L1407" s="22">
        <f t="shared" si="107"/>
        <v>153.066666666768</v>
      </c>
      <c r="M1407" s="22" cm="1">
        <f ca="1" t="array" ref="M1407">SUMPRODUCT(--(WEEKDAY(ROW(INDIRECT(INT(F1407)&amp;":"&amp;INT(I1407))),2)&gt;5))</f>
        <v>6</v>
      </c>
      <c r="N1407" s="22">
        <f ca="1" t="shared" si="108"/>
        <v>105.066666666768</v>
      </c>
      <c r="O1407" s="22" t="str">
        <f ca="1" t="shared" si="109"/>
        <v>SLA Violated</v>
      </c>
      <c r="P1407" s="23" t="s">
        <v>5554</v>
      </c>
      <c r="Q1407" s="24" t="s">
        <v>37</v>
      </c>
      <c r="R1407" s="25" t="s">
        <v>1297</v>
      </c>
      <c r="S1407" s="25" t="s">
        <v>1298</v>
      </c>
    </row>
    <row r="1408" ht="27" customHeight="1" spans="1:19">
      <c r="A1408" s="19" t="s">
        <v>5555</v>
      </c>
      <c r="B1408" s="20" t="s">
        <v>30</v>
      </c>
      <c r="C1408" s="20" t="s">
        <v>2057</v>
      </c>
      <c r="D1408" s="20" t="s">
        <v>32</v>
      </c>
      <c r="E1408" s="21" t="s">
        <v>5556</v>
      </c>
      <c r="F1408" s="21" t="s">
        <v>5557</v>
      </c>
      <c r="G1408" s="20" t="s">
        <v>35</v>
      </c>
      <c r="H1408" s="20" t="s">
        <v>25</v>
      </c>
      <c r="I1408" s="21" t="s">
        <v>5558</v>
      </c>
      <c r="J1408" s="22">
        <f t="shared" si="105"/>
        <v>9.97430555555911</v>
      </c>
      <c r="K1408" s="22">
        <f t="shared" si="106"/>
        <v>239.383333333419</v>
      </c>
      <c r="L1408" s="22">
        <f t="shared" si="107"/>
        <v>79.3833333334187</v>
      </c>
      <c r="M1408" s="22" cm="1">
        <f ca="1" t="array" ref="M1408">SUMPRODUCT(--(WEEKDAY(ROW(INDIRECT(INT(F1408)&amp;":"&amp;INT(I1408))),2)&gt;5))</f>
        <v>2</v>
      </c>
      <c r="N1408" s="22">
        <f ca="1" t="shared" si="108"/>
        <v>63.3833333334187</v>
      </c>
      <c r="O1408" s="22" t="str">
        <f ca="1" t="shared" si="109"/>
        <v>SLA Violated</v>
      </c>
      <c r="P1408" s="26" t="s">
        <v>5555</v>
      </c>
      <c r="Q1408" s="24" t="s">
        <v>28</v>
      </c>
      <c r="R1408" s="25"/>
      <c r="S1408" s="25"/>
    </row>
    <row r="1409" ht="39" customHeight="1" spans="1:19">
      <c r="A1409" s="19" t="s">
        <v>5559</v>
      </c>
      <c r="B1409" s="20" t="s">
        <v>196</v>
      </c>
      <c r="C1409" s="20" t="s">
        <v>31</v>
      </c>
      <c r="D1409" s="20" t="s">
        <v>32</v>
      </c>
      <c r="E1409" s="21" t="s">
        <v>5547</v>
      </c>
      <c r="F1409" s="21" t="s">
        <v>5553</v>
      </c>
      <c r="G1409" s="20" t="s">
        <v>35</v>
      </c>
      <c r="H1409" s="20" t="s">
        <v>25</v>
      </c>
      <c r="I1409" s="21" t="s">
        <v>5560</v>
      </c>
      <c r="J1409" s="22">
        <f t="shared" si="105"/>
        <v>0.0215277777751908</v>
      </c>
      <c r="K1409" s="22">
        <f t="shared" si="106"/>
        <v>0.516666666604578</v>
      </c>
      <c r="L1409" s="22">
        <f t="shared" si="107"/>
        <v>0.516666666604578</v>
      </c>
      <c r="M1409" s="22" cm="1">
        <f ca="1" t="array" ref="M1409">SUMPRODUCT(--(WEEKDAY(ROW(INDIRECT(INT(F1409)&amp;":"&amp;INT(I1409))),2)&gt;5))</f>
        <v>0</v>
      </c>
      <c r="N1409" s="22">
        <f ca="1" t="shared" si="108"/>
        <v>0.516666666604578</v>
      </c>
      <c r="O1409" s="22" t="str">
        <f ca="1" t="shared" si="109"/>
        <v>Within SLA</v>
      </c>
      <c r="P1409" s="26" t="s">
        <v>5559</v>
      </c>
      <c r="Q1409" s="24" t="s">
        <v>37</v>
      </c>
      <c r="R1409" s="25"/>
      <c r="S1409" s="25"/>
    </row>
    <row r="1410" ht="27" customHeight="1" spans="1:19">
      <c r="A1410" s="19" t="s">
        <v>5561</v>
      </c>
      <c r="B1410" s="20" t="s">
        <v>30</v>
      </c>
      <c r="C1410" s="20" t="s">
        <v>2057</v>
      </c>
      <c r="D1410" s="20" t="s">
        <v>32</v>
      </c>
      <c r="E1410" s="21" t="s">
        <v>5562</v>
      </c>
      <c r="F1410" s="21" t="s">
        <v>5563</v>
      </c>
      <c r="G1410" s="20" t="s">
        <v>35</v>
      </c>
      <c r="H1410" s="20" t="s">
        <v>25</v>
      </c>
      <c r="I1410" s="21" t="s">
        <v>5564</v>
      </c>
      <c r="J1410" s="22">
        <f t="shared" si="105"/>
        <v>6.96180555555475</v>
      </c>
      <c r="K1410" s="22">
        <f t="shared" si="106"/>
        <v>167.083333333314</v>
      </c>
      <c r="L1410" s="22">
        <f t="shared" si="107"/>
        <v>55.0833333333139</v>
      </c>
      <c r="M1410" s="22" cm="1">
        <f ca="1" t="array" ref="M1410">SUMPRODUCT(--(WEEKDAY(ROW(INDIRECT(INT(F1410)&amp;":"&amp;INT(I1410))),2)&gt;5))</f>
        <v>2</v>
      </c>
      <c r="N1410" s="22">
        <f ca="1" t="shared" si="108"/>
        <v>39.0833333333139</v>
      </c>
      <c r="O1410" s="22" t="str">
        <f ca="1" t="shared" si="109"/>
        <v>SLA Violated</v>
      </c>
      <c r="P1410" s="26" t="s">
        <v>5561</v>
      </c>
      <c r="Q1410" s="24" t="s">
        <v>28</v>
      </c>
      <c r="R1410" s="25"/>
      <c r="S1410" s="25"/>
    </row>
    <row r="1411" ht="27" customHeight="1" spans="1:19">
      <c r="A1411" s="19" t="s">
        <v>5565</v>
      </c>
      <c r="B1411" s="20" t="s">
        <v>30</v>
      </c>
      <c r="C1411" s="20" t="s">
        <v>2057</v>
      </c>
      <c r="D1411" s="20" t="s">
        <v>32</v>
      </c>
      <c r="E1411" s="21" t="s">
        <v>5550</v>
      </c>
      <c r="F1411" s="21" t="s">
        <v>5566</v>
      </c>
      <c r="G1411" s="20" t="s">
        <v>35</v>
      </c>
      <c r="H1411" s="20" t="s">
        <v>25</v>
      </c>
      <c r="I1411" s="21" t="s">
        <v>5567</v>
      </c>
      <c r="J1411" s="22">
        <f t="shared" ref="J1411:J1474" si="110">F1411-I1411</f>
        <v>6.96111111110804</v>
      </c>
      <c r="K1411" s="22">
        <f t="shared" ref="K1411:K1474" si="111">J1411*24</f>
        <v>167.066666666593</v>
      </c>
      <c r="L1411" s="22">
        <f t="shared" ref="L1411:L1474" si="112">IF(_xlfn.DAYS(F1411,I1411)&gt;0,K1411-IF(FLOOR(J1411,1)=0,1,_xlfn.DAYS(F1411,I1411))*16,K1411)</f>
        <v>55.0666666665929</v>
      </c>
      <c r="M1411" s="22" cm="1">
        <f ca="1" t="array" ref="M1411">SUMPRODUCT(--(WEEKDAY(ROW(INDIRECT(INT(F1411)&amp;":"&amp;INT(I1411))),2)&gt;5))</f>
        <v>2</v>
      </c>
      <c r="N1411" s="22">
        <f ca="1" t="shared" ref="N1411:N1474" si="113">IF(IF(M1411&gt;0,L1411-M1411*8,L1411)&lt;0,0,IF(M1411&gt;0,L1411-M1411*8,L1411))</f>
        <v>39.0666666665929</v>
      </c>
      <c r="O1411" s="22" t="str">
        <f ca="1" t="shared" ref="O1411:O1474" si="114">IF(OR(AND(D1411="P1",N1411&lt;=3),AND(D1411="P2",N1411&lt;=6),AND(D1411="P3",N1411&lt;=9),AND(D1411="P4",N1411&lt;=12)),"Within SLA","SLA Violated")</f>
        <v>SLA Violated</v>
      </c>
      <c r="P1411" s="26" t="s">
        <v>5565</v>
      </c>
      <c r="Q1411" s="24" t="s">
        <v>28</v>
      </c>
      <c r="R1411" s="25"/>
      <c r="S1411" s="25"/>
    </row>
    <row r="1412" ht="27" customHeight="1" spans="1:19">
      <c r="A1412" s="19" t="s">
        <v>5568</v>
      </c>
      <c r="B1412" s="20" t="s">
        <v>3163</v>
      </c>
      <c r="C1412" s="20" t="s">
        <v>2057</v>
      </c>
      <c r="D1412" s="20" t="s">
        <v>32</v>
      </c>
      <c r="E1412" s="21" t="s">
        <v>5455</v>
      </c>
      <c r="F1412" s="21" t="s">
        <v>5569</v>
      </c>
      <c r="G1412" s="20" t="s">
        <v>35</v>
      </c>
      <c r="H1412" s="20" t="s">
        <v>25</v>
      </c>
      <c r="I1412" s="21" t="s">
        <v>5570</v>
      </c>
      <c r="J1412" s="22">
        <f t="shared" si="110"/>
        <v>12.9340277777737</v>
      </c>
      <c r="K1412" s="22">
        <f t="shared" si="111"/>
        <v>310.41666666657</v>
      </c>
      <c r="L1412" s="22">
        <f t="shared" si="112"/>
        <v>102.41666666657</v>
      </c>
      <c r="M1412" s="22" cm="1">
        <f ca="1" t="array" ref="M1412">SUMPRODUCT(--(WEEKDAY(ROW(INDIRECT(INT(F1412)&amp;":"&amp;INT(I1412))),2)&gt;5))</f>
        <v>4</v>
      </c>
      <c r="N1412" s="22">
        <f ca="1" t="shared" si="113"/>
        <v>70.41666666657</v>
      </c>
      <c r="O1412" s="22" t="str">
        <f ca="1" t="shared" si="114"/>
        <v>SLA Violated</v>
      </c>
      <c r="P1412" s="23" t="s">
        <v>5571</v>
      </c>
      <c r="Q1412" s="24" t="s">
        <v>28</v>
      </c>
      <c r="R1412" s="25"/>
      <c r="S1412" s="25"/>
    </row>
    <row r="1413" ht="39" customHeight="1" spans="1:19">
      <c r="A1413" s="19" t="s">
        <v>5572</v>
      </c>
      <c r="B1413" s="20" t="s">
        <v>19</v>
      </c>
      <c r="C1413" s="20" t="s">
        <v>20</v>
      </c>
      <c r="D1413" s="20" t="s">
        <v>32</v>
      </c>
      <c r="E1413" s="21" t="s">
        <v>5573</v>
      </c>
      <c r="F1413" s="21" t="s">
        <v>5574</v>
      </c>
      <c r="G1413" s="20" t="s">
        <v>35</v>
      </c>
      <c r="H1413" s="20" t="s">
        <v>25</v>
      </c>
      <c r="I1413" s="21" t="s">
        <v>5575</v>
      </c>
      <c r="J1413" s="22">
        <f t="shared" si="110"/>
        <v>7.92222222222335</v>
      </c>
      <c r="K1413" s="22">
        <f t="shared" si="111"/>
        <v>190.13333333336</v>
      </c>
      <c r="L1413" s="22">
        <f t="shared" si="112"/>
        <v>62.1333333333605</v>
      </c>
      <c r="M1413" s="22" cm="1">
        <f ca="1" t="array" ref="M1413">SUMPRODUCT(--(WEEKDAY(ROW(INDIRECT(INT(F1413)&amp;":"&amp;INT(I1413))),2)&gt;5))</f>
        <v>2</v>
      </c>
      <c r="N1413" s="22">
        <f ca="1" t="shared" si="113"/>
        <v>46.1333333333605</v>
      </c>
      <c r="O1413" s="22" t="str">
        <f ca="1" t="shared" si="114"/>
        <v>SLA Violated</v>
      </c>
      <c r="P1413" s="23" t="s">
        <v>5576</v>
      </c>
      <c r="Q1413" s="24" t="s">
        <v>28</v>
      </c>
      <c r="R1413" s="25"/>
      <c r="S1413" s="25"/>
    </row>
    <row r="1414" ht="27" customHeight="1" spans="1:19">
      <c r="A1414" s="19" t="s">
        <v>5577</v>
      </c>
      <c r="B1414" s="20" t="s">
        <v>30</v>
      </c>
      <c r="C1414" s="20" t="s">
        <v>2057</v>
      </c>
      <c r="D1414" s="20" t="s">
        <v>32</v>
      </c>
      <c r="E1414" s="21" t="s">
        <v>5564</v>
      </c>
      <c r="F1414" s="21" t="s">
        <v>5578</v>
      </c>
      <c r="G1414" s="20" t="s">
        <v>35</v>
      </c>
      <c r="H1414" s="20" t="s">
        <v>25</v>
      </c>
      <c r="I1414" s="21" t="s">
        <v>5579</v>
      </c>
      <c r="J1414" s="22">
        <f t="shared" si="110"/>
        <v>6.94444444444525</v>
      </c>
      <c r="K1414" s="22">
        <f t="shared" si="111"/>
        <v>166.666666666686</v>
      </c>
      <c r="L1414" s="22">
        <f t="shared" si="112"/>
        <v>54.6666666666861</v>
      </c>
      <c r="M1414" s="22" cm="1">
        <f ca="1" t="array" ref="M1414">SUMPRODUCT(--(WEEKDAY(ROW(INDIRECT(INT(F1414)&amp;":"&amp;INT(I1414))),2)&gt;5))</f>
        <v>2</v>
      </c>
      <c r="N1414" s="22">
        <f ca="1" t="shared" si="113"/>
        <v>38.6666666666861</v>
      </c>
      <c r="O1414" s="22" t="str">
        <f ca="1" t="shared" si="114"/>
        <v>SLA Violated</v>
      </c>
      <c r="P1414" s="26" t="s">
        <v>5577</v>
      </c>
      <c r="Q1414" s="24" t="s">
        <v>28</v>
      </c>
      <c r="R1414" s="25"/>
      <c r="S1414" s="25"/>
    </row>
    <row r="1415" ht="27" customHeight="1" spans="1:19">
      <c r="A1415" s="19" t="s">
        <v>5580</v>
      </c>
      <c r="B1415" s="20" t="s">
        <v>30</v>
      </c>
      <c r="C1415" s="20" t="s">
        <v>2057</v>
      </c>
      <c r="D1415" s="20" t="s">
        <v>32</v>
      </c>
      <c r="E1415" s="21" t="s">
        <v>4473</v>
      </c>
      <c r="F1415" s="21" t="s">
        <v>5581</v>
      </c>
      <c r="G1415" s="20" t="s">
        <v>24</v>
      </c>
      <c r="H1415" s="20" t="s">
        <v>25</v>
      </c>
      <c r="I1415" s="21" t="s">
        <v>5582</v>
      </c>
      <c r="J1415" s="22">
        <f t="shared" si="110"/>
        <v>6.99652777777374</v>
      </c>
      <c r="K1415" s="22">
        <f t="shared" si="111"/>
        <v>167.91666666657</v>
      </c>
      <c r="L1415" s="22">
        <f t="shared" si="112"/>
        <v>55.9166666665697</v>
      </c>
      <c r="M1415" s="22" cm="1">
        <f ca="1" t="array" ref="M1415">SUMPRODUCT(--(WEEKDAY(ROW(INDIRECT(INT(F1415)&amp;":"&amp;INT(I1415))),2)&gt;5))</f>
        <v>2</v>
      </c>
      <c r="N1415" s="22">
        <f ca="1" t="shared" si="113"/>
        <v>39.9166666665697</v>
      </c>
      <c r="O1415" s="22" t="str">
        <f ca="1" t="shared" si="114"/>
        <v>SLA Violated</v>
      </c>
      <c r="P1415" s="26" t="s">
        <v>5580</v>
      </c>
      <c r="Q1415" s="24" t="s">
        <v>28</v>
      </c>
      <c r="R1415" s="25"/>
      <c r="S1415" s="25"/>
    </row>
    <row r="1416" ht="39" customHeight="1" spans="1:19">
      <c r="A1416" s="19" t="s">
        <v>5583</v>
      </c>
      <c r="B1416" s="20" t="s">
        <v>19</v>
      </c>
      <c r="C1416" s="20" t="s">
        <v>20</v>
      </c>
      <c r="D1416" s="20" t="s">
        <v>32</v>
      </c>
      <c r="E1416" s="21" t="s">
        <v>5570</v>
      </c>
      <c r="F1416" s="21" t="s">
        <v>5584</v>
      </c>
      <c r="G1416" s="20" t="s">
        <v>35</v>
      </c>
      <c r="H1416" s="20" t="s">
        <v>25</v>
      </c>
      <c r="I1416" s="21" t="s">
        <v>5585</v>
      </c>
      <c r="J1416" s="22">
        <f t="shared" si="110"/>
        <v>7.90555555556057</v>
      </c>
      <c r="K1416" s="22">
        <f t="shared" si="111"/>
        <v>189.733333333454</v>
      </c>
      <c r="L1416" s="22">
        <f t="shared" si="112"/>
        <v>61.7333333334536</v>
      </c>
      <c r="M1416" s="22" cm="1">
        <f ca="1" t="array" ref="M1416">SUMPRODUCT(--(WEEKDAY(ROW(INDIRECT(INT(F1416)&amp;":"&amp;INT(I1416))),2)&gt;5))</f>
        <v>2</v>
      </c>
      <c r="N1416" s="22">
        <f ca="1" t="shared" si="113"/>
        <v>45.7333333334536</v>
      </c>
      <c r="O1416" s="22" t="str">
        <f ca="1" t="shared" si="114"/>
        <v>SLA Violated</v>
      </c>
      <c r="P1416" s="23" t="s">
        <v>5586</v>
      </c>
      <c r="Q1416" s="24" t="s">
        <v>37</v>
      </c>
      <c r="R1416" s="25" t="s">
        <v>4039</v>
      </c>
      <c r="S1416" s="25" t="s">
        <v>39</v>
      </c>
    </row>
    <row r="1417" ht="27" customHeight="1" spans="1:19">
      <c r="A1417" s="19" t="s">
        <v>5587</v>
      </c>
      <c r="B1417" s="20" t="s">
        <v>30</v>
      </c>
      <c r="C1417" s="20" t="s">
        <v>31</v>
      </c>
      <c r="D1417" s="20" t="s">
        <v>32</v>
      </c>
      <c r="E1417" s="21" t="s">
        <v>5588</v>
      </c>
      <c r="F1417" s="21" t="s">
        <v>5589</v>
      </c>
      <c r="G1417" s="20" t="s">
        <v>35</v>
      </c>
      <c r="H1417" s="20" t="s">
        <v>25</v>
      </c>
      <c r="I1417" s="21" t="s">
        <v>5590</v>
      </c>
      <c r="J1417" s="22">
        <f t="shared" si="110"/>
        <v>6.87361111111386</v>
      </c>
      <c r="K1417" s="22">
        <f t="shared" si="111"/>
        <v>164.966666666733</v>
      </c>
      <c r="L1417" s="22">
        <f t="shared" si="112"/>
        <v>52.9666666667326</v>
      </c>
      <c r="M1417" s="22" cm="1">
        <f ca="1" t="array" ref="M1417">SUMPRODUCT(--(WEEKDAY(ROW(INDIRECT(INT(F1417)&amp;":"&amp;INT(I1417))),2)&gt;5))</f>
        <v>2</v>
      </c>
      <c r="N1417" s="22">
        <f ca="1" t="shared" si="113"/>
        <v>36.9666666667326</v>
      </c>
      <c r="O1417" s="22" t="str">
        <f ca="1" t="shared" si="114"/>
        <v>SLA Violated</v>
      </c>
      <c r="P1417" s="23" t="s">
        <v>5591</v>
      </c>
      <c r="Q1417" s="24" t="s">
        <v>28</v>
      </c>
      <c r="R1417" s="25"/>
      <c r="S1417" s="25"/>
    </row>
    <row r="1418" ht="27" customHeight="1" spans="1:19">
      <c r="A1418" s="19" t="s">
        <v>5592</v>
      </c>
      <c r="B1418" s="20" t="s">
        <v>30</v>
      </c>
      <c r="C1418" s="20" t="s">
        <v>2057</v>
      </c>
      <c r="D1418" s="20" t="s">
        <v>105</v>
      </c>
      <c r="E1418" s="21" t="s">
        <v>5588</v>
      </c>
      <c r="F1418" s="21" t="s">
        <v>5593</v>
      </c>
      <c r="G1418" s="20" t="s">
        <v>35</v>
      </c>
      <c r="H1418" s="20" t="s">
        <v>25</v>
      </c>
      <c r="I1418" s="21" t="s">
        <v>5594</v>
      </c>
      <c r="J1418" s="22">
        <f t="shared" si="110"/>
        <v>6.94513888888468</v>
      </c>
      <c r="K1418" s="22">
        <f t="shared" si="111"/>
        <v>166.683333333232</v>
      </c>
      <c r="L1418" s="22">
        <f t="shared" si="112"/>
        <v>54.6833333332324</v>
      </c>
      <c r="M1418" s="22" cm="1">
        <f ca="1" t="array" ref="M1418">SUMPRODUCT(--(WEEKDAY(ROW(INDIRECT(INT(F1418)&amp;":"&amp;INT(I1418))),2)&gt;5))</f>
        <v>2</v>
      </c>
      <c r="N1418" s="22">
        <f ca="1" t="shared" si="113"/>
        <v>38.6833333332324</v>
      </c>
      <c r="O1418" s="22" t="str">
        <f ca="1" t="shared" si="114"/>
        <v>SLA Violated</v>
      </c>
      <c r="P1418" s="23" t="s">
        <v>5595</v>
      </c>
      <c r="Q1418" s="24" t="s">
        <v>28</v>
      </c>
      <c r="R1418" s="25"/>
      <c r="S1418" s="25"/>
    </row>
    <row r="1419" ht="27" customHeight="1" spans="1:19">
      <c r="A1419" s="19" t="s">
        <v>5596</v>
      </c>
      <c r="B1419" s="20" t="s">
        <v>30</v>
      </c>
      <c r="C1419" s="20" t="s">
        <v>2057</v>
      </c>
      <c r="D1419" s="20" t="s">
        <v>32</v>
      </c>
      <c r="E1419" s="21" t="s">
        <v>5597</v>
      </c>
      <c r="F1419" s="21" t="s">
        <v>5598</v>
      </c>
      <c r="G1419" s="20" t="s">
        <v>35</v>
      </c>
      <c r="H1419" s="20" t="s">
        <v>25</v>
      </c>
      <c r="I1419" s="21" t="s">
        <v>5599</v>
      </c>
      <c r="J1419" s="22">
        <f t="shared" si="110"/>
        <v>6.93263888889487</v>
      </c>
      <c r="K1419" s="22">
        <f t="shared" si="111"/>
        <v>166.383333333477</v>
      </c>
      <c r="L1419" s="22">
        <f t="shared" si="112"/>
        <v>54.3833333334769</v>
      </c>
      <c r="M1419" s="22" cm="1">
        <f ca="1" t="array" ref="M1419">SUMPRODUCT(--(WEEKDAY(ROW(INDIRECT(INT(F1419)&amp;":"&amp;INT(I1419))),2)&gt;5))</f>
        <v>2</v>
      </c>
      <c r="N1419" s="22">
        <f ca="1" t="shared" si="113"/>
        <v>38.3833333334769</v>
      </c>
      <c r="O1419" s="22" t="str">
        <f ca="1" t="shared" si="114"/>
        <v>SLA Violated</v>
      </c>
      <c r="P1419" s="26" t="s">
        <v>5596</v>
      </c>
      <c r="Q1419" s="24" t="s">
        <v>28</v>
      </c>
      <c r="R1419" s="25"/>
      <c r="S1419" s="25"/>
    </row>
    <row r="1420" ht="39" customHeight="1" spans="1:19">
      <c r="A1420" s="19" t="s">
        <v>5600</v>
      </c>
      <c r="B1420" s="20" t="s">
        <v>19</v>
      </c>
      <c r="C1420" s="20" t="s">
        <v>20</v>
      </c>
      <c r="D1420" s="20" t="s">
        <v>32</v>
      </c>
      <c r="E1420" s="21" t="s">
        <v>3863</v>
      </c>
      <c r="F1420" s="21" t="s">
        <v>5601</v>
      </c>
      <c r="G1420" s="20" t="s">
        <v>35</v>
      </c>
      <c r="H1420" s="20" t="s">
        <v>25</v>
      </c>
      <c r="I1420" s="21" t="s">
        <v>5602</v>
      </c>
      <c r="J1420" s="22">
        <f t="shared" si="110"/>
        <v>7.87152777778101</v>
      </c>
      <c r="K1420" s="22">
        <f t="shared" si="111"/>
        <v>188.916666666744</v>
      </c>
      <c r="L1420" s="22">
        <f t="shared" si="112"/>
        <v>60.9166666667443</v>
      </c>
      <c r="M1420" s="22" cm="1">
        <f ca="1" t="array" ref="M1420">SUMPRODUCT(--(WEEKDAY(ROW(INDIRECT(INT(F1420)&amp;":"&amp;INT(I1420))),2)&gt;5))</f>
        <v>2</v>
      </c>
      <c r="N1420" s="22">
        <f ca="1" t="shared" si="113"/>
        <v>44.9166666667443</v>
      </c>
      <c r="O1420" s="22" t="str">
        <f ca="1" t="shared" si="114"/>
        <v>SLA Violated</v>
      </c>
      <c r="P1420" s="23" t="s">
        <v>5603</v>
      </c>
      <c r="Q1420" s="24" t="s">
        <v>28</v>
      </c>
      <c r="R1420" s="25"/>
      <c r="S1420" s="25"/>
    </row>
    <row r="1421" ht="39" customHeight="1" spans="1:19">
      <c r="A1421" s="19" t="s">
        <v>5604</v>
      </c>
      <c r="B1421" s="20" t="s">
        <v>19</v>
      </c>
      <c r="C1421" s="20" t="s">
        <v>20</v>
      </c>
      <c r="D1421" s="20" t="s">
        <v>32</v>
      </c>
      <c r="E1421" s="21" t="s">
        <v>5605</v>
      </c>
      <c r="F1421" s="21" t="s">
        <v>5606</v>
      </c>
      <c r="G1421" s="20" t="s">
        <v>35</v>
      </c>
      <c r="H1421" s="20" t="s">
        <v>25</v>
      </c>
      <c r="I1421" s="21" t="s">
        <v>5607</v>
      </c>
      <c r="J1421" s="22">
        <f t="shared" si="110"/>
        <v>0.805555555554747</v>
      </c>
      <c r="K1421" s="22">
        <f t="shared" si="111"/>
        <v>19.3333333333139</v>
      </c>
      <c r="L1421" s="22">
        <f t="shared" si="112"/>
        <v>3.33333333331393</v>
      </c>
      <c r="M1421" s="22" cm="1">
        <f ca="1" t="array" ref="M1421">SUMPRODUCT(--(WEEKDAY(ROW(INDIRECT(INT(F1421)&amp;":"&amp;INT(I1421))),2)&gt;5))</f>
        <v>0</v>
      </c>
      <c r="N1421" s="22">
        <f ca="1" t="shared" si="113"/>
        <v>3.33333333331393</v>
      </c>
      <c r="O1421" s="22" t="str">
        <f ca="1" t="shared" si="114"/>
        <v>Within SLA</v>
      </c>
      <c r="P1421" s="26" t="s">
        <v>5604</v>
      </c>
      <c r="Q1421" s="24" t="s">
        <v>37</v>
      </c>
      <c r="R1421" s="25"/>
      <c r="S1421" s="25"/>
    </row>
    <row r="1422" ht="39" customHeight="1" spans="1:19">
      <c r="A1422" s="19" t="s">
        <v>5608</v>
      </c>
      <c r="B1422" s="20" t="s">
        <v>19</v>
      </c>
      <c r="C1422" s="20" t="s">
        <v>20</v>
      </c>
      <c r="D1422" s="20" t="s">
        <v>32</v>
      </c>
      <c r="E1422" s="21" t="s">
        <v>5590</v>
      </c>
      <c r="F1422" s="21" t="s">
        <v>5609</v>
      </c>
      <c r="G1422" s="20" t="s">
        <v>35</v>
      </c>
      <c r="H1422" s="20" t="s">
        <v>25</v>
      </c>
      <c r="I1422" s="21" t="s">
        <v>5610</v>
      </c>
      <c r="J1422" s="22">
        <f t="shared" si="110"/>
        <v>1.69444444444525</v>
      </c>
      <c r="K1422" s="22">
        <f t="shared" si="111"/>
        <v>40.6666666666861</v>
      </c>
      <c r="L1422" s="22">
        <f t="shared" si="112"/>
        <v>8.66666666668607</v>
      </c>
      <c r="M1422" s="22" cm="1">
        <f ca="1" t="array" ref="M1422">SUMPRODUCT(--(WEEKDAY(ROW(INDIRECT(INT(F1422)&amp;":"&amp;INT(I1422))),2)&gt;5))</f>
        <v>0</v>
      </c>
      <c r="N1422" s="22">
        <f ca="1" t="shared" si="113"/>
        <v>8.66666666668607</v>
      </c>
      <c r="O1422" s="22" t="str">
        <f ca="1" t="shared" si="114"/>
        <v>Within SLA</v>
      </c>
      <c r="P1422" s="26" t="s">
        <v>5608</v>
      </c>
      <c r="Q1422" s="24" t="s">
        <v>37</v>
      </c>
      <c r="R1422" s="25"/>
      <c r="S1422" s="25"/>
    </row>
    <row r="1423" ht="27" customHeight="1" spans="1:19">
      <c r="A1423" s="19" t="s">
        <v>5611</v>
      </c>
      <c r="B1423" s="20" t="s">
        <v>30</v>
      </c>
      <c r="C1423" s="20" t="s">
        <v>2057</v>
      </c>
      <c r="D1423" s="20" t="s">
        <v>32</v>
      </c>
      <c r="E1423" s="21" t="s">
        <v>5602</v>
      </c>
      <c r="F1423" s="21" t="s">
        <v>5612</v>
      </c>
      <c r="G1423" s="20" t="s">
        <v>35</v>
      </c>
      <c r="H1423" s="20" t="s">
        <v>25</v>
      </c>
      <c r="I1423" s="21" t="s">
        <v>5613</v>
      </c>
      <c r="J1423" s="22">
        <f t="shared" si="110"/>
        <v>6.92708333332848</v>
      </c>
      <c r="K1423" s="22">
        <f t="shared" si="111"/>
        <v>166.249999999884</v>
      </c>
      <c r="L1423" s="22">
        <f t="shared" si="112"/>
        <v>54.2499999998836</v>
      </c>
      <c r="M1423" s="22" cm="1">
        <f ca="1" t="array" ref="M1423">SUMPRODUCT(--(WEEKDAY(ROW(INDIRECT(INT(F1423)&amp;":"&amp;INT(I1423))),2)&gt;5))</f>
        <v>2</v>
      </c>
      <c r="N1423" s="22">
        <f ca="1" t="shared" si="113"/>
        <v>38.2499999998836</v>
      </c>
      <c r="O1423" s="22" t="str">
        <f ca="1" t="shared" si="114"/>
        <v>SLA Violated</v>
      </c>
      <c r="P1423" s="26" t="s">
        <v>5611</v>
      </c>
      <c r="Q1423" s="24" t="s">
        <v>28</v>
      </c>
      <c r="R1423" s="25"/>
      <c r="S1423" s="25"/>
    </row>
    <row r="1424" ht="27" customHeight="1" spans="1:19">
      <c r="A1424" s="19" t="s">
        <v>5614</v>
      </c>
      <c r="B1424" s="20" t="s">
        <v>30</v>
      </c>
      <c r="C1424" s="20" t="s">
        <v>2057</v>
      </c>
      <c r="D1424" s="20" t="s">
        <v>21</v>
      </c>
      <c r="E1424" s="21" t="s">
        <v>5615</v>
      </c>
      <c r="F1424" s="21" t="s">
        <v>5616</v>
      </c>
      <c r="G1424" s="20" t="s">
        <v>35</v>
      </c>
      <c r="H1424" s="20" t="s">
        <v>25</v>
      </c>
      <c r="I1424" s="21" t="s">
        <v>5617</v>
      </c>
      <c r="J1424" s="22">
        <f t="shared" si="110"/>
        <v>14.8618055555562</v>
      </c>
      <c r="K1424" s="22">
        <f t="shared" si="111"/>
        <v>356.683333333349</v>
      </c>
      <c r="L1424" s="22">
        <f t="shared" si="112"/>
        <v>116.683333333349</v>
      </c>
      <c r="M1424" s="22" cm="1">
        <f ca="1" t="array" ref="M1424">SUMPRODUCT(--(WEEKDAY(ROW(INDIRECT(INT(F1424)&amp;":"&amp;INT(I1424))),2)&gt;5))</f>
        <v>4</v>
      </c>
      <c r="N1424" s="22">
        <f ca="1" t="shared" si="113"/>
        <v>84.683333333349</v>
      </c>
      <c r="O1424" s="22" t="str">
        <f ca="1" t="shared" si="114"/>
        <v>SLA Violated</v>
      </c>
      <c r="P1424" s="23" t="s">
        <v>5618</v>
      </c>
      <c r="Q1424" s="24" t="s">
        <v>28</v>
      </c>
      <c r="R1424" s="25"/>
      <c r="S1424" s="25"/>
    </row>
    <row r="1425" ht="39" customHeight="1" spans="1:19">
      <c r="A1425" s="19" t="s">
        <v>5619</v>
      </c>
      <c r="B1425" s="20" t="s">
        <v>196</v>
      </c>
      <c r="C1425" s="20" t="s">
        <v>46</v>
      </c>
      <c r="D1425" s="20" t="s">
        <v>32</v>
      </c>
      <c r="E1425" s="21" t="s">
        <v>5620</v>
      </c>
      <c r="F1425" s="21" t="s">
        <v>5621</v>
      </c>
      <c r="G1425" s="20" t="s">
        <v>35</v>
      </c>
      <c r="H1425" s="20" t="s">
        <v>25</v>
      </c>
      <c r="I1425" s="21" t="s">
        <v>5622</v>
      </c>
      <c r="J1425" s="22">
        <f t="shared" si="110"/>
        <v>0.679166666668607</v>
      </c>
      <c r="K1425" s="22">
        <f t="shared" si="111"/>
        <v>16.3000000000466</v>
      </c>
      <c r="L1425" s="22">
        <f t="shared" si="112"/>
        <v>0.300000000046566</v>
      </c>
      <c r="M1425" s="22" cm="1">
        <f ca="1" t="array" ref="M1425">SUMPRODUCT(--(WEEKDAY(ROW(INDIRECT(INT(F1425)&amp;":"&amp;INT(I1425))),2)&gt;5))</f>
        <v>0</v>
      </c>
      <c r="N1425" s="22">
        <f ca="1" t="shared" si="113"/>
        <v>0.300000000046566</v>
      </c>
      <c r="O1425" s="22" t="str">
        <f ca="1" t="shared" si="114"/>
        <v>Within SLA</v>
      </c>
      <c r="P1425" s="26" t="s">
        <v>5619</v>
      </c>
      <c r="Q1425" s="24" t="s">
        <v>37</v>
      </c>
      <c r="R1425" s="25"/>
      <c r="S1425" s="25"/>
    </row>
    <row r="1426" ht="27" customHeight="1" spans="1:19">
      <c r="A1426" s="19" t="s">
        <v>5623</v>
      </c>
      <c r="B1426" s="20" t="s">
        <v>30</v>
      </c>
      <c r="C1426" s="20" t="s">
        <v>2057</v>
      </c>
      <c r="D1426" s="20" t="s">
        <v>32</v>
      </c>
      <c r="E1426" s="21" t="s">
        <v>5624</v>
      </c>
      <c r="F1426" s="21" t="s">
        <v>5625</v>
      </c>
      <c r="G1426" s="20" t="s">
        <v>35</v>
      </c>
      <c r="H1426" s="20" t="s">
        <v>25</v>
      </c>
      <c r="I1426" s="21" t="s">
        <v>5626</v>
      </c>
      <c r="J1426" s="22">
        <f t="shared" si="110"/>
        <v>6.92986111110804</v>
      </c>
      <c r="K1426" s="22">
        <f t="shared" si="111"/>
        <v>166.316666666593</v>
      </c>
      <c r="L1426" s="22">
        <f t="shared" si="112"/>
        <v>54.3166666665929</v>
      </c>
      <c r="M1426" s="22" cm="1">
        <f ca="1" t="array" ref="M1426">SUMPRODUCT(--(WEEKDAY(ROW(INDIRECT(INT(F1426)&amp;":"&amp;INT(I1426))),2)&gt;5))</f>
        <v>2</v>
      </c>
      <c r="N1426" s="22">
        <f ca="1" t="shared" si="113"/>
        <v>38.3166666665929</v>
      </c>
      <c r="O1426" s="22" t="str">
        <f ca="1" t="shared" si="114"/>
        <v>SLA Violated</v>
      </c>
      <c r="P1426" s="26" t="s">
        <v>5623</v>
      </c>
      <c r="Q1426" s="24" t="s">
        <v>28</v>
      </c>
      <c r="R1426" s="25"/>
      <c r="S1426" s="25"/>
    </row>
    <row r="1427" ht="27" customHeight="1" spans="1:19">
      <c r="A1427" s="19" t="s">
        <v>5627</v>
      </c>
      <c r="B1427" s="20" t="s">
        <v>30</v>
      </c>
      <c r="C1427" s="20" t="s">
        <v>31</v>
      </c>
      <c r="D1427" s="20" t="s">
        <v>105</v>
      </c>
      <c r="E1427" s="21" t="s">
        <v>5628</v>
      </c>
      <c r="F1427" s="21" t="s">
        <v>5629</v>
      </c>
      <c r="G1427" s="20" t="s">
        <v>35</v>
      </c>
      <c r="H1427" s="20" t="s">
        <v>25</v>
      </c>
      <c r="I1427" s="21" t="s">
        <v>5630</v>
      </c>
      <c r="J1427" s="22">
        <f t="shared" si="110"/>
        <v>6.16874999999709</v>
      </c>
      <c r="K1427" s="22">
        <f t="shared" si="111"/>
        <v>148.04999999993</v>
      </c>
      <c r="L1427" s="22">
        <f t="shared" si="112"/>
        <v>52.0499999999302</v>
      </c>
      <c r="M1427" s="22" cm="1">
        <f ca="1" t="array" ref="M1427">SUMPRODUCT(--(WEEKDAY(ROW(INDIRECT(INT(F1427)&amp;":"&amp;INT(I1427))),2)&gt;5))</f>
        <v>2</v>
      </c>
      <c r="N1427" s="22">
        <f ca="1" t="shared" si="113"/>
        <v>36.0499999999302</v>
      </c>
      <c r="O1427" s="22" t="str">
        <f ca="1" t="shared" si="114"/>
        <v>SLA Violated</v>
      </c>
      <c r="P1427" s="23" t="s">
        <v>5631</v>
      </c>
      <c r="Q1427" s="24" t="s">
        <v>28</v>
      </c>
      <c r="R1427" s="25"/>
      <c r="S1427" s="25"/>
    </row>
    <row r="1428" ht="39" customHeight="1" spans="1:19">
      <c r="A1428" s="19" t="s">
        <v>5632</v>
      </c>
      <c r="B1428" s="20" t="s">
        <v>19</v>
      </c>
      <c r="C1428" s="20" t="s">
        <v>20</v>
      </c>
      <c r="D1428" s="20" t="s">
        <v>32</v>
      </c>
      <c r="E1428" s="21" t="s">
        <v>5633</v>
      </c>
      <c r="F1428" s="21" t="s">
        <v>5634</v>
      </c>
      <c r="G1428" s="20" t="s">
        <v>35</v>
      </c>
      <c r="H1428" s="20" t="s">
        <v>25</v>
      </c>
      <c r="I1428" s="21" t="s">
        <v>5635</v>
      </c>
      <c r="J1428" s="22">
        <f t="shared" si="110"/>
        <v>7.04652777777665</v>
      </c>
      <c r="K1428" s="22">
        <f t="shared" si="111"/>
        <v>169.11666666664</v>
      </c>
      <c r="L1428" s="22">
        <f t="shared" si="112"/>
        <v>57.1166666666395</v>
      </c>
      <c r="M1428" s="22" cm="1">
        <f ca="1" t="array" ref="M1428">SUMPRODUCT(--(WEEKDAY(ROW(INDIRECT(INT(F1428)&amp;":"&amp;INT(I1428))),2)&gt;5))</f>
        <v>2</v>
      </c>
      <c r="N1428" s="22">
        <f ca="1" t="shared" si="113"/>
        <v>41.1166666666395</v>
      </c>
      <c r="O1428" s="22" t="str">
        <f ca="1" t="shared" si="114"/>
        <v>SLA Violated</v>
      </c>
      <c r="P1428" s="23" t="s">
        <v>5636</v>
      </c>
      <c r="Q1428" s="24" t="s">
        <v>28</v>
      </c>
      <c r="R1428" s="25"/>
      <c r="S1428" s="25"/>
    </row>
    <row r="1429" ht="27" customHeight="1" spans="1:19">
      <c r="A1429" s="19" t="s">
        <v>5637</v>
      </c>
      <c r="B1429" s="20" t="s">
        <v>30</v>
      </c>
      <c r="C1429" s="20" t="s">
        <v>31</v>
      </c>
      <c r="D1429" s="20" t="s">
        <v>32</v>
      </c>
      <c r="E1429" s="21" t="s">
        <v>5638</v>
      </c>
      <c r="F1429" s="21" t="s">
        <v>5639</v>
      </c>
      <c r="G1429" s="20" t="s">
        <v>35</v>
      </c>
      <c r="H1429" s="20" t="s">
        <v>25</v>
      </c>
      <c r="I1429" s="21" t="s">
        <v>5630</v>
      </c>
      <c r="J1429" s="22">
        <f t="shared" si="110"/>
        <v>1.03402777777228</v>
      </c>
      <c r="K1429" s="22">
        <f t="shared" si="111"/>
        <v>24.8166666665347</v>
      </c>
      <c r="L1429" s="22">
        <f t="shared" si="112"/>
        <v>8.81666666653473</v>
      </c>
      <c r="M1429" s="22" cm="1">
        <f ca="1" t="array" ref="M1429">SUMPRODUCT(--(WEEKDAY(ROW(INDIRECT(INT(F1429)&amp;":"&amp;INT(I1429))),2)&gt;5))</f>
        <v>0</v>
      </c>
      <c r="N1429" s="22">
        <f ca="1" t="shared" si="113"/>
        <v>8.81666666653473</v>
      </c>
      <c r="O1429" s="22" t="str">
        <f ca="1" t="shared" si="114"/>
        <v>Within SLA</v>
      </c>
      <c r="P1429" s="26" t="s">
        <v>5637</v>
      </c>
      <c r="Q1429" s="24" t="s">
        <v>37</v>
      </c>
      <c r="R1429" s="25"/>
      <c r="S1429" s="25"/>
    </row>
    <row r="1430" ht="27" customHeight="1" spans="1:19">
      <c r="A1430" s="19" t="s">
        <v>5640</v>
      </c>
      <c r="B1430" s="20" t="s">
        <v>30</v>
      </c>
      <c r="C1430" s="20" t="s">
        <v>31</v>
      </c>
      <c r="D1430" s="20" t="s">
        <v>32</v>
      </c>
      <c r="E1430" s="21" t="s">
        <v>5641</v>
      </c>
      <c r="F1430" s="21" t="s">
        <v>5642</v>
      </c>
      <c r="G1430" s="20" t="s">
        <v>35</v>
      </c>
      <c r="H1430" s="20" t="s">
        <v>25</v>
      </c>
      <c r="I1430" s="21" t="s">
        <v>5643</v>
      </c>
      <c r="J1430" s="22">
        <f t="shared" si="110"/>
        <v>6.14375000000291</v>
      </c>
      <c r="K1430" s="22">
        <f t="shared" si="111"/>
        <v>147.45000000007</v>
      </c>
      <c r="L1430" s="22">
        <f t="shared" si="112"/>
        <v>51.4500000000698</v>
      </c>
      <c r="M1430" s="22" cm="1">
        <f ca="1" t="array" ref="M1430">SUMPRODUCT(--(WEEKDAY(ROW(INDIRECT(INT(F1430)&amp;":"&amp;INT(I1430))),2)&gt;5))</f>
        <v>2</v>
      </c>
      <c r="N1430" s="22">
        <f ca="1" t="shared" si="113"/>
        <v>35.4500000000698</v>
      </c>
      <c r="O1430" s="22" t="str">
        <f ca="1" t="shared" si="114"/>
        <v>SLA Violated</v>
      </c>
      <c r="P1430" s="23" t="s">
        <v>5644</v>
      </c>
      <c r="Q1430" s="24" t="s">
        <v>28</v>
      </c>
      <c r="R1430" s="25"/>
      <c r="S1430" s="25"/>
    </row>
    <row r="1431" ht="27" customHeight="1" spans="1:19">
      <c r="A1431" s="19" t="s">
        <v>5645</v>
      </c>
      <c r="B1431" s="20" t="s">
        <v>30</v>
      </c>
      <c r="C1431" s="20" t="s">
        <v>2057</v>
      </c>
      <c r="D1431" s="20" t="s">
        <v>32</v>
      </c>
      <c r="E1431" s="21" t="s">
        <v>5646</v>
      </c>
      <c r="F1431" s="21" t="s">
        <v>5647</v>
      </c>
      <c r="G1431" s="20" t="s">
        <v>35</v>
      </c>
      <c r="H1431" s="20" t="s">
        <v>25</v>
      </c>
      <c r="I1431" s="21" t="s">
        <v>5648</v>
      </c>
      <c r="J1431" s="22">
        <f t="shared" si="110"/>
        <v>6.2319444444438</v>
      </c>
      <c r="K1431" s="22">
        <f t="shared" si="111"/>
        <v>149.566666666651</v>
      </c>
      <c r="L1431" s="22">
        <f t="shared" si="112"/>
        <v>53.5666666666511</v>
      </c>
      <c r="M1431" s="22" cm="1">
        <f ca="1" t="array" ref="M1431">SUMPRODUCT(--(WEEKDAY(ROW(INDIRECT(INT(F1431)&amp;":"&amp;INT(I1431))),2)&gt;5))</f>
        <v>2</v>
      </c>
      <c r="N1431" s="22">
        <f ca="1" t="shared" si="113"/>
        <v>37.5666666666511</v>
      </c>
      <c r="O1431" s="22" t="str">
        <f ca="1" t="shared" si="114"/>
        <v>SLA Violated</v>
      </c>
      <c r="P1431" s="26" t="s">
        <v>5645</v>
      </c>
      <c r="Q1431" s="24" t="s">
        <v>28</v>
      </c>
      <c r="R1431" s="25"/>
      <c r="S1431" s="25"/>
    </row>
    <row r="1432" ht="39" customHeight="1" spans="1:19">
      <c r="A1432" s="19" t="s">
        <v>5649</v>
      </c>
      <c r="B1432" s="20" t="s">
        <v>19</v>
      </c>
      <c r="C1432" s="20" t="s">
        <v>20</v>
      </c>
      <c r="D1432" s="20" t="s">
        <v>115</v>
      </c>
      <c r="E1432" s="21" t="s">
        <v>5650</v>
      </c>
      <c r="F1432" s="21" t="s">
        <v>5651</v>
      </c>
      <c r="G1432" s="20" t="s">
        <v>35</v>
      </c>
      <c r="H1432" s="20" t="s">
        <v>25</v>
      </c>
      <c r="I1432" s="21" t="s">
        <v>5652</v>
      </c>
      <c r="J1432" s="22">
        <f t="shared" si="110"/>
        <v>1.22916666666424</v>
      </c>
      <c r="K1432" s="22">
        <f t="shared" si="111"/>
        <v>29.4999999999418</v>
      </c>
      <c r="L1432" s="22">
        <f t="shared" si="112"/>
        <v>13.4999999999418</v>
      </c>
      <c r="M1432" s="22" cm="1">
        <f ca="1" t="array" ref="M1432">SUMPRODUCT(--(WEEKDAY(ROW(INDIRECT(INT(F1432)&amp;":"&amp;INT(I1432))),2)&gt;5))</f>
        <v>0</v>
      </c>
      <c r="N1432" s="22">
        <f ca="1" t="shared" si="113"/>
        <v>13.4999999999418</v>
      </c>
      <c r="O1432" s="22" t="str">
        <f ca="1" t="shared" si="114"/>
        <v>SLA Violated</v>
      </c>
      <c r="P1432" s="23" t="s">
        <v>5653</v>
      </c>
      <c r="Q1432" s="24" t="s">
        <v>28</v>
      </c>
      <c r="R1432" s="25"/>
      <c r="S1432" s="25"/>
    </row>
    <row r="1433" ht="27" customHeight="1" spans="1:19">
      <c r="A1433" s="19" t="s">
        <v>5654</v>
      </c>
      <c r="B1433" s="20" t="s">
        <v>30</v>
      </c>
      <c r="C1433" s="20" t="s">
        <v>31</v>
      </c>
      <c r="D1433" s="20" t="s">
        <v>32</v>
      </c>
      <c r="E1433" s="21" t="s">
        <v>5655</v>
      </c>
      <c r="F1433" s="21" t="s">
        <v>5656</v>
      </c>
      <c r="G1433" s="20" t="s">
        <v>35</v>
      </c>
      <c r="H1433" s="20" t="s">
        <v>25</v>
      </c>
      <c r="I1433" s="21" t="s">
        <v>5657</v>
      </c>
      <c r="J1433" s="22">
        <f t="shared" si="110"/>
        <v>1.00347222221899</v>
      </c>
      <c r="K1433" s="22">
        <f t="shared" si="111"/>
        <v>24.0833333332557</v>
      </c>
      <c r="L1433" s="22">
        <f t="shared" si="112"/>
        <v>8.08333333325572</v>
      </c>
      <c r="M1433" s="22" cm="1">
        <f ca="1" t="array" ref="M1433">SUMPRODUCT(--(WEEKDAY(ROW(INDIRECT(INT(F1433)&amp;":"&amp;INT(I1433))),2)&gt;5))</f>
        <v>0</v>
      </c>
      <c r="N1433" s="22">
        <f ca="1" t="shared" si="113"/>
        <v>8.08333333325572</v>
      </c>
      <c r="O1433" s="22" t="str">
        <f ca="1" t="shared" si="114"/>
        <v>Within SLA</v>
      </c>
      <c r="P1433" s="26" t="s">
        <v>5654</v>
      </c>
      <c r="Q1433" s="24" t="s">
        <v>37</v>
      </c>
      <c r="R1433" s="25"/>
      <c r="S1433" s="25"/>
    </row>
    <row r="1434" ht="27" customHeight="1" spans="1:19">
      <c r="A1434" s="19" t="s">
        <v>5658</v>
      </c>
      <c r="B1434" s="20" t="s">
        <v>30</v>
      </c>
      <c r="C1434" s="20" t="s">
        <v>2057</v>
      </c>
      <c r="D1434" s="20" t="s">
        <v>32</v>
      </c>
      <c r="E1434" s="21" t="s">
        <v>5655</v>
      </c>
      <c r="F1434" s="21" t="s">
        <v>5659</v>
      </c>
      <c r="G1434" s="20" t="s">
        <v>35</v>
      </c>
      <c r="H1434" s="20" t="s">
        <v>25</v>
      </c>
      <c r="I1434" s="21" t="s">
        <v>5660</v>
      </c>
      <c r="J1434" s="22">
        <f t="shared" si="110"/>
        <v>6.22708333333867</v>
      </c>
      <c r="K1434" s="22">
        <f t="shared" si="111"/>
        <v>149.450000000128</v>
      </c>
      <c r="L1434" s="22">
        <f t="shared" si="112"/>
        <v>53.4500000001281</v>
      </c>
      <c r="M1434" s="22" cm="1">
        <f ca="1" t="array" ref="M1434">SUMPRODUCT(--(WEEKDAY(ROW(INDIRECT(INT(F1434)&amp;":"&amp;INT(I1434))),2)&gt;5))</f>
        <v>2</v>
      </c>
      <c r="N1434" s="22">
        <f ca="1" t="shared" si="113"/>
        <v>37.4500000001281</v>
      </c>
      <c r="O1434" s="22" t="str">
        <f ca="1" t="shared" si="114"/>
        <v>SLA Violated</v>
      </c>
      <c r="P1434" s="26" t="s">
        <v>5658</v>
      </c>
      <c r="Q1434" s="24" t="s">
        <v>28</v>
      </c>
      <c r="R1434" s="25"/>
      <c r="S1434" s="25"/>
    </row>
    <row r="1435" ht="27" customHeight="1" spans="1:19">
      <c r="A1435" s="19" t="s">
        <v>5661</v>
      </c>
      <c r="B1435" s="20" t="s">
        <v>30</v>
      </c>
      <c r="C1435" s="20" t="s">
        <v>2057</v>
      </c>
      <c r="D1435" s="20" t="s">
        <v>21</v>
      </c>
      <c r="E1435" s="21" t="s">
        <v>5662</v>
      </c>
      <c r="F1435" s="21" t="s">
        <v>5663</v>
      </c>
      <c r="G1435" s="20" t="s">
        <v>35</v>
      </c>
      <c r="H1435" s="20" t="s">
        <v>25</v>
      </c>
      <c r="I1435" s="21" t="s">
        <v>5664</v>
      </c>
      <c r="J1435" s="22">
        <f t="shared" si="110"/>
        <v>6.2236111111124</v>
      </c>
      <c r="K1435" s="22">
        <f t="shared" si="111"/>
        <v>149.366666666698</v>
      </c>
      <c r="L1435" s="22">
        <f t="shared" si="112"/>
        <v>53.3666666666977</v>
      </c>
      <c r="M1435" s="22" cm="1">
        <f ca="1" t="array" ref="M1435">SUMPRODUCT(--(WEEKDAY(ROW(INDIRECT(INT(F1435)&amp;":"&amp;INT(I1435))),2)&gt;5))</f>
        <v>2</v>
      </c>
      <c r="N1435" s="22">
        <f ca="1" t="shared" si="113"/>
        <v>37.3666666666977</v>
      </c>
      <c r="O1435" s="22" t="str">
        <f ca="1" t="shared" si="114"/>
        <v>SLA Violated</v>
      </c>
      <c r="P1435" s="23" t="s">
        <v>5665</v>
      </c>
      <c r="Q1435" s="24" t="s">
        <v>28</v>
      </c>
      <c r="R1435" s="25"/>
      <c r="S1435" s="25"/>
    </row>
    <row r="1436" ht="39" customHeight="1" spans="1:19">
      <c r="A1436" s="19" t="s">
        <v>5666</v>
      </c>
      <c r="B1436" s="20" t="s">
        <v>19</v>
      </c>
      <c r="C1436" s="20" t="s">
        <v>20</v>
      </c>
      <c r="D1436" s="20" t="s">
        <v>32</v>
      </c>
      <c r="E1436" s="21" t="s">
        <v>5621</v>
      </c>
      <c r="F1436" s="21" t="s">
        <v>5667</v>
      </c>
      <c r="G1436" s="20" t="s">
        <v>35</v>
      </c>
      <c r="H1436" s="20" t="s">
        <v>25</v>
      </c>
      <c r="I1436" s="21" t="s">
        <v>5668</v>
      </c>
      <c r="J1436" s="22">
        <f t="shared" si="110"/>
        <v>0.077777777776646</v>
      </c>
      <c r="K1436" s="22">
        <f t="shared" si="111"/>
        <v>1.8666666666395</v>
      </c>
      <c r="L1436" s="22">
        <f t="shared" si="112"/>
        <v>1.8666666666395</v>
      </c>
      <c r="M1436" s="22" cm="1">
        <f ca="1" t="array" ref="M1436">SUMPRODUCT(--(WEEKDAY(ROW(INDIRECT(INT(F1436)&amp;":"&amp;INT(I1436))),2)&gt;5))</f>
        <v>0</v>
      </c>
      <c r="N1436" s="22">
        <f ca="1" t="shared" si="113"/>
        <v>1.8666666666395</v>
      </c>
      <c r="O1436" s="22" t="str">
        <f ca="1" t="shared" si="114"/>
        <v>Within SLA</v>
      </c>
      <c r="P1436" s="26" t="s">
        <v>5666</v>
      </c>
      <c r="Q1436" s="24" t="s">
        <v>37</v>
      </c>
      <c r="R1436" s="25"/>
      <c r="S1436" s="25"/>
    </row>
    <row r="1437" ht="39" customHeight="1" spans="1:19">
      <c r="A1437" s="19" t="s">
        <v>5669</v>
      </c>
      <c r="B1437" s="20" t="s">
        <v>19</v>
      </c>
      <c r="C1437" s="20" t="s">
        <v>20</v>
      </c>
      <c r="D1437" s="20" t="s">
        <v>32</v>
      </c>
      <c r="E1437" s="21" t="s">
        <v>5621</v>
      </c>
      <c r="F1437" s="21" t="s">
        <v>5670</v>
      </c>
      <c r="G1437" s="20" t="s">
        <v>35</v>
      </c>
      <c r="H1437" s="20" t="s">
        <v>25</v>
      </c>
      <c r="I1437" s="21" t="s">
        <v>5671</v>
      </c>
      <c r="J1437" s="22">
        <f t="shared" si="110"/>
        <v>0.0638888888861402</v>
      </c>
      <c r="K1437" s="22">
        <f t="shared" si="111"/>
        <v>1.53333333326736</v>
      </c>
      <c r="L1437" s="22">
        <f t="shared" si="112"/>
        <v>1.53333333326736</v>
      </c>
      <c r="M1437" s="22" cm="1">
        <f ca="1" t="array" ref="M1437">SUMPRODUCT(--(WEEKDAY(ROW(INDIRECT(INT(F1437)&amp;":"&amp;INT(I1437))),2)&gt;5))</f>
        <v>0</v>
      </c>
      <c r="N1437" s="22">
        <f ca="1" t="shared" si="113"/>
        <v>1.53333333326736</v>
      </c>
      <c r="O1437" s="22" t="str">
        <f ca="1" t="shared" si="114"/>
        <v>Within SLA</v>
      </c>
      <c r="P1437" s="26" t="s">
        <v>5669</v>
      </c>
      <c r="Q1437" s="24" t="s">
        <v>37</v>
      </c>
      <c r="R1437" s="25"/>
      <c r="S1437" s="25"/>
    </row>
    <row r="1438" ht="39" customHeight="1" spans="1:19">
      <c r="A1438" s="19" t="s">
        <v>5672</v>
      </c>
      <c r="B1438" s="20" t="s">
        <v>19</v>
      </c>
      <c r="C1438" s="20" t="s">
        <v>20</v>
      </c>
      <c r="D1438" s="20" t="s">
        <v>32</v>
      </c>
      <c r="E1438" s="21" t="s">
        <v>5673</v>
      </c>
      <c r="F1438" s="21" t="s">
        <v>5674</v>
      </c>
      <c r="G1438" s="20" t="s">
        <v>35</v>
      </c>
      <c r="H1438" s="20" t="s">
        <v>25</v>
      </c>
      <c r="I1438" s="21" t="s">
        <v>5674</v>
      </c>
      <c r="J1438" s="22">
        <f t="shared" si="110"/>
        <v>0</v>
      </c>
      <c r="K1438" s="22">
        <f t="shared" si="111"/>
        <v>0</v>
      </c>
      <c r="L1438" s="22">
        <f t="shared" si="112"/>
        <v>0</v>
      </c>
      <c r="M1438" s="22" cm="1">
        <f ca="1" t="array" ref="M1438">SUMPRODUCT(--(WEEKDAY(ROW(INDIRECT(INT(F1438)&amp;":"&amp;INT(I1438))),2)&gt;5))</f>
        <v>0</v>
      </c>
      <c r="N1438" s="22">
        <f ca="1" t="shared" si="113"/>
        <v>0</v>
      </c>
      <c r="O1438" s="22" t="str">
        <f ca="1" t="shared" si="114"/>
        <v>Within SLA</v>
      </c>
      <c r="P1438" s="26" t="s">
        <v>5672</v>
      </c>
      <c r="Q1438" s="24" t="s">
        <v>37</v>
      </c>
      <c r="R1438" s="25"/>
      <c r="S1438" s="25"/>
    </row>
    <row r="1439" ht="16" customHeight="1" spans="1:19">
      <c r="A1439" s="19" t="s">
        <v>5675</v>
      </c>
      <c r="B1439" s="20" t="s">
        <v>45</v>
      </c>
      <c r="C1439" s="20" t="s">
        <v>2235</v>
      </c>
      <c r="D1439" s="20" t="s">
        <v>32</v>
      </c>
      <c r="E1439" s="21" t="s">
        <v>5676</v>
      </c>
      <c r="F1439" s="21" t="s">
        <v>5677</v>
      </c>
      <c r="G1439" s="20" t="s">
        <v>35</v>
      </c>
      <c r="H1439" s="20" t="s">
        <v>25</v>
      </c>
      <c r="I1439" s="21" t="s">
        <v>5678</v>
      </c>
      <c r="J1439" s="22">
        <f t="shared" si="110"/>
        <v>1.17569444444234</v>
      </c>
      <c r="K1439" s="22">
        <f t="shared" si="111"/>
        <v>28.2166666666162</v>
      </c>
      <c r="L1439" s="22">
        <f t="shared" si="112"/>
        <v>12.2166666666162</v>
      </c>
      <c r="M1439" s="22" cm="1">
        <f ca="1" t="array" ref="M1439">SUMPRODUCT(--(WEEKDAY(ROW(INDIRECT(INT(F1439)&amp;":"&amp;INT(I1439))),2)&gt;5))</f>
        <v>0</v>
      </c>
      <c r="N1439" s="22">
        <f ca="1" t="shared" si="113"/>
        <v>12.2166666666162</v>
      </c>
      <c r="O1439" s="22" t="str">
        <f ca="1" t="shared" si="114"/>
        <v>SLA Violated</v>
      </c>
      <c r="P1439" s="23" t="s">
        <v>5679</v>
      </c>
      <c r="Q1439" s="24" t="s">
        <v>37</v>
      </c>
      <c r="R1439" s="25" t="s">
        <v>5680</v>
      </c>
      <c r="S1439" s="25" t="s">
        <v>39</v>
      </c>
    </row>
    <row r="1440" ht="39" customHeight="1" spans="1:19">
      <c r="A1440" s="19" t="s">
        <v>5681</v>
      </c>
      <c r="B1440" s="20" t="s">
        <v>19</v>
      </c>
      <c r="C1440" s="20" t="s">
        <v>20</v>
      </c>
      <c r="D1440" s="20" t="s">
        <v>32</v>
      </c>
      <c r="E1440" s="21" t="s">
        <v>5682</v>
      </c>
      <c r="F1440" s="21" t="s">
        <v>5683</v>
      </c>
      <c r="G1440" s="20" t="s">
        <v>35</v>
      </c>
      <c r="H1440" s="20" t="s">
        <v>25</v>
      </c>
      <c r="I1440" s="21" t="s">
        <v>5684</v>
      </c>
      <c r="J1440" s="22">
        <f t="shared" si="110"/>
        <v>7.16388888889196</v>
      </c>
      <c r="K1440" s="22">
        <f t="shared" si="111"/>
        <v>171.933333333407</v>
      </c>
      <c r="L1440" s="22">
        <f t="shared" si="112"/>
        <v>59.9333333334071</v>
      </c>
      <c r="M1440" s="22" cm="1">
        <f ca="1" t="array" ref="M1440">SUMPRODUCT(--(WEEKDAY(ROW(INDIRECT(INT(F1440)&amp;":"&amp;INT(I1440))),2)&gt;5))</f>
        <v>2</v>
      </c>
      <c r="N1440" s="22">
        <f ca="1" t="shared" si="113"/>
        <v>43.9333333334071</v>
      </c>
      <c r="O1440" s="22" t="str">
        <f ca="1" t="shared" si="114"/>
        <v>SLA Violated</v>
      </c>
      <c r="P1440" s="23" t="s">
        <v>5685</v>
      </c>
      <c r="Q1440" s="24" t="s">
        <v>28</v>
      </c>
      <c r="R1440" s="25"/>
      <c r="S1440" s="25"/>
    </row>
    <row r="1441" ht="39" customHeight="1" spans="1:19">
      <c r="A1441" s="19" t="s">
        <v>5686</v>
      </c>
      <c r="B1441" s="20" t="s">
        <v>19</v>
      </c>
      <c r="C1441" s="20" t="s">
        <v>20</v>
      </c>
      <c r="D1441" s="20" t="s">
        <v>32</v>
      </c>
      <c r="E1441" s="21" t="s">
        <v>4924</v>
      </c>
      <c r="F1441" s="21" t="s">
        <v>5687</v>
      </c>
      <c r="G1441" s="20" t="s">
        <v>35</v>
      </c>
      <c r="H1441" s="20" t="s">
        <v>25</v>
      </c>
      <c r="I1441" s="21" t="s">
        <v>5688</v>
      </c>
      <c r="J1441" s="22">
        <f t="shared" si="110"/>
        <v>0.0625</v>
      </c>
      <c r="K1441" s="22">
        <f t="shared" si="111"/>
        <v>1.5</v>
      </c>
      <c r="L1441" s="22">
        <f t="shared" si="112"/>
        <v>1.5</v>
      </c>
      <c r="M1441" s="22" cm="1">
        <f ca="1" t="array" ref="M1441">SUMPRODUCT(--(WEEKDAY(ROW(INDIRECT(INT(F1441)&amp;":"&amp;INT(I1441))),2)&gt;5))</f>
        <v>0</v>
      </c>
      <c r="N1441" s="22">
        <f ca="1" t="shared" si="113"/>
        <v>1.5</v>
      </c>
      <c r="O1441" s="22" t="str">
        <f ca="1" t="shared" si="114"/>
        <v>Within SLA</v>
      </c>
      <c r="P1441" s="26" t="s">
        <v>5686</v>
      </c>
      <c r="Q1441" s="24" t="s">
        <v>37</v>
      </c>
      <c r="R1441" s="25"/>
      <c r="S1441" s="25"/>
    </row>
    <row r="1442" ht="27" customHeight="1" spans="1:19">
      <c r="A1442" s="19" t="s">
        <v>5689</v>
      </c>
      <c r="B1442" s="20" t="s">
        <v>30</v>
      </c>
      <c r="C1442" s="20" t="s">
        <v>2057</v>
      </c>
      <c r="D1442" s="20" t="s">
        <v>32</v>
      </c>
      <c r="E1442" s="21" t="s">
        <v>4924</v>
      </c>
      <c r="F1442" s="21" t="s">
        <v>5690</v>
      </c>
      <c r="G1442" s="20" t="s">
        <v>35</v>
      </c>
      <c r="H1442" s="20" t="s">
        <v>25</v>
      </c>
      <c r="I1442" s="21" t="s">
        <v>5691</v>
      </c>
      <c r="J1442" s="22">
        <f t="shared" si="110"/>
        <v>6.22013888888614</v>
      </c>
      <c r="K1442" s="22">
        <f t="shared" si="111"/>
        <v>149.283333333267</v>
      </c>
      <c r="L1442" s="22">
        <f t="shared" si="112"/>
        <v>53.2833333332674</v>
      </c>
      <c r="M1442" s="22" cm="1">
        <f ca="1" t="array" ref="M1442">SUMPRODUCT(--(WEEKDAY(ROW(INDIRECT(INT(F1442)&amp;":"&amp;INT(I1442))),2)&gt;5))</f>
        <v>2</v>
      </c>
      <c r="N1442" s="22">
        <f ca="1" t="shared" si="113"/>
        <v>37.2833333332674</v>
      </c>
      <c r="O1442" s="22" t="str">
        <f ca="1" t="shared" si="114"/>
        <v>SLA Violated</v>
      </c>
      <c r="P1442" s="26" t="s">
        <v>5689</v>
      </c>
      <c r="Q1442" s="24" t="s">
        <v>28</v>
      </c>
      <c r="R1442" s="25"/>
      <c r="S1442" s="25"/>
    </row>
    <row r="1443" ht="27" customHeight="1" spans="1:19">
      <c r="A1443" s="19" t="s">
        <v>5692</v>
      </c>
      <c r="B1443" s="20" t="s">
        <v>30</v>
      </c>
      <c r="C1443" s="20" t="s">
        <v>2057</v>
      </c>
      <c r="D1443" s="20" t="s">
        <v>32</v>
      </c>
      <c r="E1443" s="21" t="s">
        <v>4924</v>
      </c>
      <c r="F1443" s="21" t="s">
        <v>5693</v>
      </c>
      <c r="G1443" s="20" t="s">
        <v>35</v>
      </c>
      <c r="H1443" s="20" t="s">
        <v>25</v>
      </c>
      <c r="I1443" s="21" t="s">
        <v>5694</v>
      </c>
      <c r="J1443" s="22">
        <f t="shared" si="110"/>
        <v>6.26875000000291</v>
      </c>
      <c r="K1443" s="22">
        <f t="shared" si="111"/>
        <v>150.45000000007</v>
      </c>
      <c r="L1443" s="22">
        <f t="shared" si="112"/>
        <v>54.4500000000698</v>
      </c>
      <c r="M1443" s="22" cm="1">
        <f ca="1" t="array" ref="M1443">SUMPRODUCT(--(WEEKDAY(ROW(INDIRECT(INT(F1443)&amp;":"&amp;INT(I1443))),2)&gt;5))</f>
        <v>2</v>
      </c>
      <c r="N1443" s="22">
        <f ca="1" t="shared" si="113"/>
        <v>38.4500000000698</v>
      </c>
      <c r="O1443" s="22" t="str">
        <f ca="1" t="shared" si="114"/>
        <v>SLA Violated</v>
      </c>
      <c r="P1443" s="26" t="s">
        <v>5692</v>
      </c>
      <c r="Q1443" s="24" t="s">
        <v>28</v>
      </c>
      <c r="R1443" s="25"/>
      <c r="S1443" s="25"/>
    </row>
    <row r="1444" ht="39" customHeight="1" spans="1:19">
      <c r="A1444" s="19" t="s">
        <v>5695</v>
      </c>
      <c r="B1444" s="20" t="s">
        <v>196</v>
      </c>
      <c r="C1444" s="20" t="s">
        <v>46</v>
      </c>
      <c r="D1444" s="20" t="s">
        <v>21</v>
      </c>
      <c r="E1444" s="21" t="s">
        <v>5696</v>
      </c>
      <c r="F1444" s="21" t="s">
        <v>5697</v>
      </c>
      <c r="G1444" s="20" t="s">
        <v>35</v>
      </c>
      <c r="H1444" s="20" t="s">
        <v>25</v>
      </c>
      <c r="I1444" s="21" t="s">
        <v>5698</v>
      </c>
      <c r="J1444" s="22">
        <f t="shared" si="110"/>
        <v>0.0298611111138598</v>
      </c>
      <c r="K1444" s="22">
        <f t="shared" si="111"/>
        <v>0.716666666732635</v>
      </c>
      <c r="L1444" s="22">
        <f t="shared" si="112"/>
        <v>0.716666666732635</v>
      </c>
      <c r="M1444" s="22" cm="1">
        <f ca="1" t="array" ref="M1444">SUMPRODUCT(--(WEEKDAY(ROW(INDIRECT(INT(F1444)&amp;":"&amp;INT(I1444))),2)&gt;5))</f>
        <v>0</v>
      </c>
      <c r="N1444" s="22">
        <f ca="1" t="shared" si="113"/>
        <v>0.716666666732635</v>
      </c>
      <c r="O1444" s="22" t="str">
        <f ca="1" t="shared" si="114"/>
        <v>Within SLA</v>
      </c>
      <c r="P1444" s="26" t="s">
        <v>5695</v>
      </c>
      <c r="Q1444" s="24" t="s">
        <v>37</v>
      </c>
      <c r="R1444" s="25"/>
      <c r="S1444" s="25"/>
    </row>
    <row r="1445" ht="27" customHeight="1" spans="1:19">
      <c r="A1445" s="19" t="s">
        <v>5699</v>
      </c>
      <c r="B1445" s="20" t="s">
        <v>30</v>
      </c>
      <c r="C1445" s="20" t="s">
        <v>31</v>
      </c>
      <c r="D1445" s="20" t="s">
        <v>32</v>
      </c>
      <c r="E1445" s="21" t="s">
        <v>5696</v>
      </c>
      <c r="F1445" s="21" t="s">
        <v>5700</v>
      </c>
      <c r="G1445" s="20" t="s">
        <v>35</v>
      </c>
      <c r="H1445" s="20" t="s">
        <v>25</v>
      </c>
      <c r="I1445" s="21" t="s">
        <v>5701</v>
      </c>
      <c r="J1445" s="22">
        <f t="shared" si="110"/>
        <v>6.6965277777781</v>
      </c>
      <c r="K1445" s="22">
        <f t="shared" si="111"/>
        <v>160.716666666674</v>
      </c>
      <c r="L1445" s="22">
        <f t="shared" si="112"/>
        <v>48.7166666666744</v>
      </c>
      <c r="M1445" s="22" cm="1">
        <f ca="1" t="array" ref="M1445">SUMPRODUCT(--(WEEKDAY(ROW(INDIRECT(INT(F1445)&amp;":"&amp;INT(I1445))),2)&gt;5))</f>
        <v>2</v>
      </c>
      <c r="N1445" s="22">
        <f ca="1" t="shared" si="113"/>
        <v>32.7166666666744</v>
      </c>
      <c r="O1445" s="22" t="str">
        <f ca="1" t="shared" si="114"/>
        <v>SLA Violated</v>
      </c>
      <c r="P1445" s="23" t="s">
        <v>5702</v>
      </c>
      <c r="Q1445" s="24" t="s">
        <v>28</v>
      </c>
      <c r="R1445" s="25"/>
      <c r="S1445" s="25"/>
    </row>
    <row r="1446" ht="39" customHeight="1" spans="1:19">
      <c r="A1446" s="19" t="s">
        <v>5703</v>
      </c>
      <c r="B1446" s="20" t="s">
        <v>19</v>
      </c>
      <c r="C1446" s="20" t="s">
        <v>20</v>
      </c>
      <c r="D1446" s="20" t="s">
        <v>32</v>
      </c>
      <c r="E1446" s="21" t="s">
        <v>5704</v>
      </c>
      <c r="F1446" s="21" t="s">
        <v>5705</v>
      </c>
      <c r="G1446" s="20" t="s">
        <v>35</v>
      </c>
      <c r="H1446" s="20" t="s">
        <v>25</v>
      </c>
      <c r="I1446" s="21" t="s">
        <v>5706</v>
      </c>
      <c r="J1446" s="22">
        <f t="shared" si="110"/>
        <v>0.0402777777781012</v>
      </c>
      <c r="K1446" s="22">
        <f t="shared" si="111"/>
        <v>0.966666666674428</v>
      </c>
      <c r="L1446" s="22">
        <f t="shared" si="112"/>
        <v>0.966666666674428</v>
      </c>
      <c r="M1446" s="22" cm="1">
        <f ca="1" t="array" ref="M1446">SUMPRODUCT(--(WEEKDAY(ROW(INDIRECT(INT(F1446)&amp;":"&amp;INT(I1446))),2)&gt;5))</f>
        <v>0</v>
      </c>
      <c r="N1446" s="22">
        <f ca="1" t="shared" si="113"/>
        <v>0.966666666674428</v>
      </c>
      <c r="O1446" s="22" t="str">
        <f ca="1" t="shared" si="114"/>
        <v>Within SLA</v>
      </c>
      <c r="P1446" s="26" t="s">
        <v>5703</v>
      </c>
      <c r="Q1446" s="24" t="s">
        <v>37</v>
      </c>
      <c r="R1446" s="25"/>
      <c r="S1446" s="25"/>
    </row>
    <row r="1447" ht="39" customHeight="1" spans="1:19">
      <c r="A1447" s="19" t="s">
        <v>5707</v>
      </c>
      <c r="B1447" s="20" t="s">
        <v>196</v>
      </c>
      <c r="C1447" s="20" t="s">
        <v>2057</v>
      </c>
      <c r="D1447" s="20" t="s">
        <v>32</v>
      </c>
      <c r="E1447" s="21" t="s">
        <v>5704</v>
      </c>
      <c r="F1447" s="21" t="s">
        <v>5708</v>
      </c>
      <c r="G1447" s="20" t="s">
        <v>35</v>
      </c>
      <c r="H1447" s="20" t="s">
        <v>25</v>
      </c>
      <c r="I1447" s="21" t="s">
        <v>5709</v>
      </c>
      <c r="J1447" s="22">
        <f t="shared" si="110"/>
        <v>1.96736111111386</v>
      </c>
      <c r="K1447" s="22">
        <f t="shared" si="111"/>
        <v>47.2166666667326</v>
      </c>
      <c r="L1447" s="22">
        <f t="shared" si="112"/>
        <v>15.2166666667326</v>
      </c>
      <c r="M1447" s="22" cm="1">
        <f ca="1" t="array" ref="M1447">SUMPRODUCT(--(WEEKDAY(ROW(INDIRECT(INT(F1447)&amp;":"&amp;INT(I1447))),2)&gt;5))</f>
        <v>0</v>
      </c>
      <c r="N1447" s="22">
        <f ca="1" t="shared" si="113"/>
        <v>15.2166666667326</v>
      </c>
      <c r="O1447" s="22" t="str">
        <f ca="1" t="shared" si="114"/>
        <v>SLA Violated</v>
      </c>
      <c r="P1447" s="23" t="s">
        <v>5710</v>
      </c>
      <c r="Q1447" s="24" t="s">
        <v>37</v>
      </c>
      <c r="R1447" s="25" t="s">
        <v>4039</v>
      </c>
      <c r="S1447" s="25" t="s">
        <v>39</v>
      </c>
    </row>
    <row r="1448" ht="27" customHeight="1" spans="1:19">
      <c r="A1448" s="19" t="s">
        <v>5711</v>
      </c>
      <c r="B1448" s="20" t="s">
        <v>30</v>
      </c>
      <c r="C1448" s="20" t="s">
        <v>31</v>
      </c>
      <c r="D1448" s="20" t="s">
        <v>32</v>
      </c>
      <c r="E1448" s="21" t="s">
        <v>5704</v>
      </c>
      <c r="F1448" s="21" t="s">
        <v>5712</v>
      </c>
      <c r="G1448" s="20" t="s">
        <v>35</v>
      </c>
      <c r="H1448" s="20" t="s">
        <v>25</v>
      </c>
      <c r="I1448" s="21" t="s">
        <v>5709</v>
      </c>
      <c r="J1448" s="22">
        <f t="shared" si="110"/>
        <v>8.0131944444438</v>
      </c>
      <c r="K1448" s="22">
        <f t="shared" si="111"/>
        <v>192.316666666651</v>
      </c>
      <c r="L1448" s="22">
        <f t="shared" si="112"/>
        <v>64.3166666666511</v>
      </c>
      <c r="M1448" s="22" cm="1">
        <f ca="1" t="array" ref="M1448">SUMPRODUCT(--(WEEKDAY(ROW(INDIRECT(INT(F1448)&amp;":"&amp;INT(I1448))),2)&gt;5))</f>
        <v>2</v>
      </c>
      <c r="N1448" s="22">
        <f ca="1" t="shared" si="113"/>
        <v>48.3166666666511</v>
      </c>
      <c r="O1448" s="22" t="str">
        <f ca="1" t="shared" si="114"/>
        <v>SLA Violated</v>
      </c>
      <c r="P1448" s="23" t="s">
        <v>5713</v>
      </c>
      <c r="Q1448" s="24" t="s">
        <v>28</v>
      </c>
      <c r="R1448" s="25"/>
      <c r="S1448" s="25"/>
    </row>
    <row r="1449" ht="27" customHeight="1" spans="1:19">
      <c r="A1449" s="19" t="s">
        <v>5714</v>
      </c>
      <c r="B1449" s="20" t="s">
        <v>30</v>
      </c>
      <c r="C1449" s="20" t="s">
        <v>2057</v>
      </c>
      <c r="D1449" s="20" t="s">
        <v>32</v>
      </c>
      <c r="E1449" s="21" t="s">
        <v>5704</v>
      </c>
      <c r="F1449" s="21" t="s">
        <v>5715</v>
      </c>
      <c r="G1449" s="20" t="s">
        <v>35</v>
      </c>
      <c r="H1449" s="20" t="s">
        <v>25</v>
      </c>
      <c r="I1449" s="21" t="s">
        <v>5716</v>
      </c>
      <c r="J1449" s="22">
        <f t="shared" si="110"/>
        <v>6.2590277777781</v>
      </c>
      <c r="K1449" s="22">
        <f t="shared" si="111"/>
        <v>150.216666666674</v>
      </c>
      <c r="L1449" s="22">
        <f t="shared" si="112"/>
        <v>54.2166666666744</v>
      </c>
      <c r="M1449" s="22" cm="1">
        <f ca="1" t="array" ref="M1449">SUMPRODUCT(--(WEEKDAY(ROW(INDIRECT(INT(F1449)&amp;":"&amp;INT(I1449))),2)&gt;5))</f>
        <v>2</v>
      </c>
      <c r="N1449" s="22">
        <f ca="1" t="shared" si="113"/>
        <v>38.2166666666744</v>
      </c>
      <c r="O1449" s="22" t="str">
        <f ca="1" t="shared" si="114"/>
        <v>SLA Violated</v>
      </c>
      <c r="P1449" s="26" t="s">
        <v>5714</v>
      </c>
      <c r="Q1449" s="24" t="s">
        <v>28</v>
      </c>
      <c r="R1449" s="25"/>
      <c r="S1449" s="25"/>
    </row>
    <row r="1450" ht="27" customHeight="1" spans="1:19">
      <c r="A1450" s="19" t="s">
        <v>5717</v>
      </c>
      <c r="B1450" s="20" t="s">
        <v>30</v>
      </c>
      <c r="C1450" s="20" t="s">
        <v>31</v>
      </c>
      <c r="D1450" s="20" t="s">
        <v>105</v>
      </c>
      <c r="E1450" s="21" t="s">
        <v>5718</v>
      </c>
      <c r="F1450" s="21" t="s">
        <v>3965</v>
      </c>
      <c r="G1450" s="20" t="s">
        <v>24</v>
      </c>
      <c r="H1450" s="20" t="s">
        <v>25</v>
      </c>
      <c r="I1450" s="21" t="s">
        <v>5719</v>
      </c>
      <c r="J1450" s="22">
        <f t="shared" si="110"/>
        <v>62.9534722222234</v>
      </c>
      <c r="K1450" s="22">
        <f t="shared" si="111"/>
        <v>1510.88333333336</v>
      </c>
      <c r="L1450" s="22">
        <f t="shared" si="112"/>
        <v>502.88333333336</v>
      </c>
      <c r="M1450" s="22" cm="1">
        <f ca="1" t="array" ref="M1450">SUMPRODUCT(--(WEEKDAY(ROW(INDIRECT(INT(F1450)&amp;":"&amp;INT(I1450))),2)&gt;5))</f>
        <v>18</v>
      </c>
      <c r="N1450" s="22">
        <f ca="1" t="shared" si="113"/>
        <v>358.88333333336</v>
      </c>
      <c r="O1450" s="22" t="str">
        <f ca="1" t="shared" si="114"/>
        <v>SLA Violated</v>
      </c>
      <c r="P1450" s="23" t="s">
        <v>5720</v>
      </c>
      <c r="Q1450" s="24" t="s">
        <v>28</v>
      </c>
      <c r="R1450" s="25"/>
      <c r="S1450" s="25"/>
    </row>
    <row r="1451" ht="27" customHeight="1" spans="1:19">
      <c r="A1451" s="19" t="s">
        <v>5721</v>
      </c>
      <c r="B1451" s="20" t="s">
        <v>30</v>
      </c>
      <c r="C1451" s="20" t="s">
        <v>2057</v>
      </c>
      <c r="D1451" s="20" t="s">
        <v>32</v>
      </c>
      <c r="E1451" s="21" t="s">
        <v>5718</v>
      </c>
      <c r="F1451" s="21" t="s">
        <v>5722</v>
      </c>
      <c r="G1451" s="20" t="s">
        <v>35</v>
      </c>
      <c r="H1451" s="20" t="s">
        <v>25</v>
      </c>
      <c r="I1451" s="21" t="s">
        <v>5723</v>
      </c>
      <c r="J1451" s="22">
        <f t="shared" si="110"/>
        <v>6.25763888889196</v>
      </c>
      <c r="K1451" s="22">
        <f t="shared" si="111"/>
        <v>150.183333333407</v>
      </c>
      <c r="L1451" s="22">
        <f t="shared" si="112"/>
        <v>54.1833333334071</v>
      </c>
      <c r="M1451" s="22" cm="1">
        <f ca="1" t="array" ref="M1451">SUMPRODUCT(--(WEEKDAY(ROW(INDIRECT(INT(F1451)&amp;":"&amp;INT(I1451))),2)&gt;5))</f>
        <v>2</v>
      </c>
      <c r="N1451" s="22">
        <f ca="1" t="shared" si="113"/>
        <v>38.1833333334071</v>
      </c>
      <c r="O1451" s="22" t="str">
        <f ca="1" t="shared" si="114"/>
        <v>SLA Violated</v>
      </c>
      <c r="P1451" s="26" t="s">
        <v>5721</v>
      </c>
      <c r="Q1451" s="24" t="s">
        <v>28</v>
      </c>
      <c r="R1451" s="25"/>
      <c r="S1451" s="25"/>
    </row>
    <row r="1452" ht="50" customHeight="1" spans="1:19">
      <c r="A1452" s="19" t="s">
        <v>5724</v>
      </c>
      <c r="B1452" s="20" t="s">
        <v>369</v>
      </c>
      <c r="C1452" s="20" t="s">
        <v>46</v>
      </c>
      <c r="D1452" s="20" t="s">
        <v>32</v>
      </c>
      <c r="E1452" s="21" t="s">
        <v>5718</v>
      </c>
      <c r="F1452" s="21" t="s">
        <v>5725</v>
      </c>
      <c r="G1452" s="20" t="s">
        <v>35</v>
      </c>
      <c r="H1452" s="20" t="s">
        <v>25</v>
      </c>
      <c r="I1452" s="21" t="s">
        <v>5726</v>
      </c>
      <c r="J1452" s="22">
        <f t="shared" si="110"/>
        <v>0.0229166666686069</v>
      </c>
      <c r="K1452" s="22">
        <f t="shared" si="111"/>
        <v>0.550000000046566</v>
      </c>
      <c r="L1452" s="22">
        <f t="shared" si="112"/>
        <v>0.550000000046566</v>
      </c>
      <c r="M1452" s="22" cm="1">
        <f ca="1" t="array" ref="M1452">SUMPRODUCT(--(WEEKDAY(ROW(INDIRECT(INT(F1452)&amp;":"&amp;INT(I1452))),2)&gt;5))</f>
        <v>0</v>
      </c>
      <c r="N1452" s="22">
        <f ca="1" t="shared" si="113"/>
        <v>0.550000000046566</v>
      </c>
      <c r="O1452" s="22" t="str">
        <f ca="1" t="shared" si="114"/>
        <v>Within SLA</v>
      </c>
      <c r="P1452" s="26" t="s">
        <v>5724</v>
      </c>
      <c r="Q1452" s="24" t="s">
        <v>37</v>
      </c>
      <c r="R1452" s="25"/>
      <c r="S1452" s="25"/>
    </row>
    <row r="1453" ht="27" customHeight="1" spans="1:19">
      <c r="A1453" s="19" t="s">
        <v>5727</v>
      </c>
      <c r="B1453" s="20" t="s">
        <v>30</v>
      </c>
      <c r="C1453" s="20" t="s">
        <v>2057</v>
      </c>
      <c r="D1453" s="20" t="s">
        <v>32</v>
      </c>
      <c r="E1453" s="21" t="s">
        <v>5728</v>
      </c>
      <c r="F1453" s="21" t="s">
        <v>5729</v>
      </c>
      <c r="G1453" s="20" t="s">
        <v>35</v>
      </c>
      <c r="H1453" s="20" t="s">
        <v>25</v>
      </c>
      <c r="I1453" s="21" t="s">
        <v>5730</v>
      </c>
      <c r="J1453" s="22">
        <f t="shared" si="110"/>
        <v>6.25625000000582</v>
      </c>
      <c r="K1453" s="22">
        <f t="shared" si="111"/>
        <v>150.15000000014</v>
      </c>
      <c r="L1453" s="22">
        <f t="shared" si="112"/>
        <v>54.1500000001397</v>
      </c>
      <c r="M1453" s="22" cm="1">
        <f ca="1" t="array" ref="M1453">SUMPRODUCT(--(WEEKDAY(ROW(INDIRECT(INT(F1453)&amp;":"&amp;INT(I1453))),2)&gt;5))</f>
        <v>2</v>
      </c>
      <c r="N1453" s="22">
        <f ca="1" t="shared" si="113"/>
        <v>38.1500000001397</v>
      </c>
      <c r="O1453" s="22" t="str">
        <f ca="1" t="shared" si="114"/>
        <v>SLA Violated</v>
      </c>
      <c r="P1453" s="26" t="s">
        <v>5727</v>
      </c>
      <c r="Q1453" s="24" t="s">
        <v>28</v>
      </c>
      <c r="R1453" s="25"/>
      <c r="S1453" s="25"/>
    </row>
    <row r="1454" ht="39" customHeight="1" spans="1:19">
      <c r="A1454" s="19" t="s">
        <v>5731</v>
      </c>
      <c r="B1454" s="20" t="s">
        <v>19</v>
      </c>
      <c r="C1454" s="20" t="s">
        <v>20</v>
      </c>
      <c r="D1454" s="20" t="s">
        <v>32</v>
      </c>
      <c r="E1454" s="21" t="s">
        <v>5732</v>
      </c>
      <c r="F1454" s="21" t="s">
        <v>5733</v>
      </c>
      <c r="G1454" s="20" t="s">
        <v>35</v>
      </c>
      <c r="H1454" s="20" t="s">
        <v>25</v>
      </c>
      <c r="I1454" s="21" t="s">
        <v>5734</v>
      </c>
      <c r="J1454" s="22">
        <f t="shared" si="110"/>
        <v>0.0451388888905058</v>
      </c>
      <c r="K1454" s="22">
        <f t="shared" si="111"/>
        <v>1.08333333337214</v>
      </c>
      <c r="L1454" s="22">
        <f t="shared" si="112"/>
        <v>1.08333333337214</v>
      </c>
      <c r="M1454" s="22" cm="1">
        <f ca="1" t="array" ref="M1454">SUMPRODUCT(--(WEEKDAY(ROW(INDIRECT(INT(F1454)&amp;":"&amp;INT(I1454))),2)&gt;5))</f>
        <v>0</v>
      </c>
      <c r="N1454" s="22">
        <f ca="1" t="shared" si="113"/>
        <v>1.08333333337214</v>
      </c>
      <c r="O1454" s="22" t="str">
        <f ca="1" t="shared" si="114"/>
        <v>Within SLA</v>
      </c>
      <c r="P1454" s="26" t="s">
        <v>5731</v>
      </c>
      <c r="Q1454" s="24" t="s">
        <v>37</v>
      </c>
      <c r="R1454" s="25"/>
      <c r="S1454" s="25"/>
    </row>
    <row r="1455" ht="27" customHeight="1" spans="1:19">
      <c r="A1455" s="19" t="s">
        <v>5735</v>
      </c>
      <c r="B1455" s="20" t="s">
        <v>30</v>
      </c>
      <c r="C1455" s="20" t="s">
        <v>2057</v>
      </c>
      <c r="D1455" s="20" t="s">
        <v>32</v>
      </c>
      <c r="E1455" s="21" t="s">
        <v>5736</v>
      </c>
      <c r="F1455" s="21" t="s">
        <v>5737</v>
      </c>
      <c r="G1455" s="20" t="s">
        <v>35</v>
      </c>
      <c r="H1455" s="20" t="s">
        <v>25</v>
      </c>
      <c r="I1455" s="21" t="s">
        <v>5738</v>
      </c>
      <c r="J1455" s="22">
        <f t="shared" si="110"/>
        <v>6.25277777777228</v>
      </c>
      <c r="K1455" s="22">
        <f t="shared" si="111"/>
        <v>150.066666666535</v>
      </c>
      <c r="L1455" s="22">
        <f t="shared" si="112"/>
        <v>54.0666666665347</v>
      </c>
      <c r="M1455" s="22" cm="1">
        <f ca="1" t="array" ref="M1455">SUMPRODUCT(--(WEEKDAY(ROW(INDIRECT(INT(F1455)&amp;":"&amp;INT(I1455))),2)&gt;5))</f>
        <v>2</v>
      </c>
      <c r="N1455" s="22">
        <f ca="1" t="shared" si="113"/>
        <v>38.0666666665347</v>
      </c>
      <c r="O1455" s="22" t="str">
        <f ca="1" t="shared" si="114"/>
        <v>SLA Violated</v>
      </c>
      <c r="P1455" s="26" t="s">
        <v>5735</v>
      </c>
      <c r="Q1455" s="24" t="s">
        <v>28</v>
      </c>
      <c r="R1455" s="25"/>
      <c r="S1455" s="25"/>
    </row>
    <row r="1456" ht="27" customHeight="1" spans="1:19">
      <c r="A1456" s="19" t="s">
        <v>5739</v>
      </c>
      <c r="B1456" s="20" t="s">
        <v>30</v>
      </c>
      <c r="C1456" s="20" t="s">
        <v>31</v>
      </c>
      <c r="D1456" s="20" t="s">
        <v>32</v>
      </c>
      <c r="E1456" s="21" t="s">
        <v>5657</v>
      </c>
      <c r="F1456" s="21" t="s">
        <v>5740</v>
      </c>
      <c r="G1456" s="20" t="s">
        <v>35</v>
      </c>
      <c r="H1456" s="20" t="s">
        <v>25</v>
      </c>
      <c r="I1456" s="21" t="s">
        <v>5741</v>
      </c>
      <c r="J1456" s="22">
        <f t="shared" si="110"/>
        <v>0.188194444439432</v>
      </c>
      <c r="K1456" s="22">
        <f t="shared" si="111"/>
        <v>4.51666666654637</v>
      </c>
      <c r="L1456" s="22">
        <f t="shared" si="112"/>
        <v>4.51666666654637</v>
      </c>
      <c r="M1456" s="22" cm="1">
        <f ca="1" t="array" ref="M1456">SUMPRODUCT(--(WEEKDAY(ROW(INDIRECT(INT(F1456)&amp;":"&amp;INT(I1456))),2)&gt;5))</f>
        <v>0</v>
      </c>
      <c r="N1456" s="22">
        <f ca="1" t="shared" si="113"/>
        <v>4.51666666654637</v>
      </c>
      <c r="O1456" s="22" t="str">
        <f ca="1" t="shared" si="114"/>
        <v>Within SLA</v>
      </c>
      <c r="P1456" s="26" t="s">
        <v>5739</v>
      </c>
      <c r="Q1456" s="24" t="s">
        <v>37</v>
      </c>
      <c r="R1456" s="25"/>
      <c r="S1456" s="25"/>
    </row>
    <row r="1457" ht="27" customHeight="1" spans="1:19">
      <c r="A1457" s="19" t="s">
        <v>5742</v>
      </c>
      <c r="B1457" s="20" t="s">
        <v>30</v>
      </c>
      <c r="C1457" s="20" t="s">
        <v>2057</v>
      </c>
      <c r="D1457" s="20" t="s">
        <v>21</v>
      </c>
      <c r="E1457" s="21" t="s">
        <v>5657</v>
      </c>
      <c r="F1457" s="21" t="s">
        <v>5743</v>
      </c>
      <c r="G1457" s="20" t="s">
        <v>35</v>
      </c>
      <c r="H1457" s="20" t="s">
        <v>25</v>
      </c>
      <c r="I1457" s="21" t="s">
        <v>5744</v>
      </c>
      <c r="J1457" s="22">
        <f t="shared" si="110"/>
        <v>6.24375000000146</v>
      </c>
      <c r="K1457" s="22">
        <f t="shared" si="111"/>
        <v>149.850000000035</v>
      </c>
      <c r="L1457" s="22">
        <f t="shared" si="112"/>
        <v>53.8500000000349</v>
      </c>
      <c r="M1457" s="22" cm="1">
        <f ca="1" t="array" ref="M1457">SUMPRODUCT(--(WEEKDAY(ROW(INDIRECT(INT(F1457)&amp;":"&amp;INT(I1457))),2)&gt;5))</f>
        <v>2</v>
      </c>
      <c r="N1457" s="22">
        <f ca="1" t="shared" si="113"/>
        <v>37.8500000000349</v>
      </c>
      <c r="O1457" s="22" t="str">
        <f ca="1" t="shared" si="114"/>
        <v>SLA Violated</v>
      </c>
      <c r="P1457" s="23" t="s">
        <v>5745</v>
      </c>
      <c r="Q1457" s="24" t="s">
        <v>28</v>
      </c>
      <c r="R1457" s="25"/>
      <c r="S1457" s="25"/>
    </row>
    <row r="1458" ht="39" customHeight="1" spans="1:19">
      <c r="A1458" s="19" t="s">
        <v>5746</v>
      </c>
      <c r="B1458" s="20" t="s">
        <v>19</v>
      </c>
      <c r="C1458" s="20" t="s">
        <v>20</v>
      </c>
      <c r="D1458" s="20" t="s">
        <v>32</v>
      </c>
      <c r="E1458" s="21" t="s">
        <v>5657</v>
      </c>
      <c r="F1458" s="21" t="s">
        <v>5747</v>
      </c>
      <c r="G1458" s="20" t="s">
        <v>35</v>
      </c>
      <c r="H1458" s="20" t="s">
        <v>25</v>
      </c>
      <c r="I1458" s="21" t="s">
        <v>5726</v>
      </c>
      <c r="J1458" s="22">
        <f t="shared" si="110"/>
        <v>-0.000694444446708076</v>
      </c>
      <c r="K1458" s="22">
        <f t="shared" si="111"/>
        <v>-0.0166666667209938</v>
      </c>
      <c r="L1458" s="22">
        <f t="shared" si="112"/>
        <v>-0.0166666667209938</v>
      </c>
      <c r="M1458" s="22" cm="1">
        <f ca="1" t="array" ref="M1458">SUMPRODUCT(--(WEEKDAY(ROW(INDIRECT(INT(F1458)&amp;":"&amp;INT(I1458))),2)&gt;5))</f>
        <v>0</v>
      </c>
      <c r="N1458" s="22">
        <f ca="1" t="shared" si="113"/>
        <v>0</v>
      </c>
      <c r="O1458" s="22" t="str">
        <f ca="1" t="shared" si="114"/>
        <v>Within SLA</v>
      </c>
      <c r="P1458" s="26" t="s">
        <v>5746</v>
      </c>
      <c r="Q1458" s="24" t="s">
        <v>37</v>
      </c>
      <c r="R1458" s="25"/>
      <c r="S1458" s="25"/>
    </row>
    <row r="1459" ht="27" customHeight="1" spans="1:19">
      <c r="A1459" s="19" t="s">
        <v>5748</v>
      </c>
      <c r="B1459" s="20" t="s">
        <v>30</v>
      </c>
      <c r="C1459" s="20" t="s">
        <v>2057</v>
      </c>
      <c r="D1459" s="20" t="s">
        <v>32</v>
      </c>
      <c r="E1459" s="21" t="s">
        <v>5674</v>
      </c>
      <c r="F1459" s="21" t="s">
        <v>5749</v>
      </c>
      <c r="G1459" s="20" t="s">
        <v>35</v>
      </c>
      <c r="H1459" s="20" t="s">
        <v>25</v>
      </c>
      <c r="I1459" s="21" t="s">
        <v>5750</v>
      </c>
      <c r="J1459" s="22">
        <f t="shared" si="110"/>
        <v>6.24375000000146</v>
      </c>
      <c r="K1459" s="22">
        <f t="shared" si="111"/>
        <v>149.850000000035</v>
      </c>
      <c r="L1459" s="22">
        <f t="shared" si="112"/>
        <v>53.8500000000349</v>
      </c>
      <c r="M1459" s="22" cm="1">
        <f ca="1" t="array" ref="M1459">SUMPRODUCT(--(WEEKDAY(ROW(INDIRECT(INT(F1459)&amp;":"&amp;INT(I1459))),2)&gt;5))</f>
        <v>2</v>
      </c>
      <c r="N1459" s="22">
        <f ca="1" t="shared" si="113"/>
        <v>37.8500000000349</v>
      </c>
      <c r="O1459" s="22" t="str">
        <f ca="1" t="shared" si="114"/>
        <v>SLA Violated</v>
      </c>
      <c r="P1459" s="26" t="s">
        <v>5748</v>
      </c>
      <c r="Q1459" s="24" t="s">
        <v>28</v>
      </c>
      <c r="R1459" s="25"/>
      <c r="S1459" s="25"/>
    </row>
    <row r="1460" ht="27" customHeight="1" spans="1:19">
      <c r="A1460" s="19" t="s">
        <v>5751</v>
      </c>
      <c r="B1460" s="20" t="s">
        <v>30</v>
      </c>
      <c r="C1460" s="20" t="s">
        <v>2057</v>
      </c>
      <c r="D1460" s="20" t="s">
        <v>32</v>
      </c>
      <c r="E1460" s="21" t="s">
        <v>5688</v>
      </c>
      <c r="F1460" s="21" t="s">
        <v>5752</v>
      </c>
      <c r="G1460" s="20" t="s">
        <v>35</v>
      </c>
      <c r="H1460" s="20" t="s">
        <v>25</v>
      </c>
      <c r="I1460" s="21" t="s">
        <v>5753</v>
      </c>
      <c r="J1460" s="22">
        <f t="shared" si="110"/>
        <v>6.24930555555329</v>
      </c>
      <c r="K1460" s="22">
        <f t="shared" si="111"/>
        <v>149.983333333279</v>
      </c>
      <c r="L1460" s="22">
        <f t="shared" si="112"/>
        <v>53.983333333279</v>
      </c>
      <c r="M1460" s="22" cm="1">
        <f ca="1" t="array" ref="M1460">SUMPRODUCT(--(WEEKDAY(ROW(INDIRECT(INT(F1460)&amp;":"&amp;INT(I1460))),2)&gt;5))</f>
        <v>2</v>
      </c>
      <c r="N1460" s="22">
        <f ca="1" t="shared" si="113"/>
        <v>37.983333333279</v>
      </c>
      <c r="O1460" s="22" t="str">
        <f ca="1" t="shared" si="114"/>
        <v>SLA Violated</v>
      </c>
      <c r="P1460" s="26" t="s">
        <v>5751</v>
      </c>
      <c r="Q1460" s="24" t="s">
        <v>28</v>
      </c>
      <c r="R1460" s="25"/>
      <c r="S1460" s="25"/>
    </row>
    <row r="1461" ht="27" customHeight="1" spans="1:19">
      <c r="A1461" s="19" t="s">
        <v>5754</v>
      </c>
      <c r="B1461" s="20" t="s">
        <v>30</v>
      </c>
      <c r="C1461" s="20" t="s">
        <v>2057</v>
      </c>
      <c r="D1461" s="20" t="s">
        <v>21</v>
      </c>
      <c r="E1461" s="21" t="s">
        <v>5688</v>
      </c>
      <c r="F1461" s="21" t="s">
        <v>5755</v>
      </c>
      <c r="G1461" s="20" t="s">
        <v>35</v>
      </c>
      <c r="H1461" s="20" t="s">
        <v>25</v>
      </c>
      <c r="I1461" s="21" t="s">
        <v>5756</v>
      </c>
      <c r="J1461" s="22">
        <f t="shared" si="110"/>
        <v>6.22083333334012</v>
      </c>
      <c r="K1461" s="22">
        <f t="shared" si="111"/>
        <v>149.300000000163</v>
      </c>
      <c r="L1461" s="22">
        <f t="shared" si="112"/>
        <v>53.300000000163</v>
      </c>
      <c r="M1461" s="22" cm="1">
        <f ca="1" t="array" ref="M1461">SUMPRODUCT(--(WEEKDAY(ROW(INDIRECT(INT(F1461)&amp;":"&amp;INT(I1461))),2)&gt;5))</f>
        <v>2</v>
      </c>
      <c r="N1461" s="22">
        <f ca="1" t="shared" si="113"/>
        <v>37.300000000163</v>
      </c>
      <c r="O1461" s="22" t="str">
        <f ca="1" t="shared" si="114"/>
        <v>SLA Violated</v>
      </c>
      <c r="P1461" s="23" t="s">
        <v>5757</v>
      </c>
      <c r="Q1461" s="24" t="s">
        <v>28</v>
      </c>
      <c r="R1461" s="25"/>
      <c r="S1461" s="25"/>
    </row>
    <row r="1462" ht="27" customHeight="1" spans="1:19">
      <c r="A1462" s="19" t="s">
        <v>5758</v>
      </c>
      <c r="B1462" s="20" t="s">
        <v>30</v>
      </c>
      <c r="C1462" s="20" t="s">
        <v>31</v>
      </c>
      <c r="D1462" s="20" t="s">
        <v>32</v>
      </c>
      <c r="E1462" s="21" t="s">
        <v>5723</v>
      </c>
      <c r="F1462" s="21" t="s">
        <v>5759</v>
      </c>
      <c r="G1462" s="20" t="s">
        <v>35</v>
      </c>
      <c r="H1462" s="20" t="s">
        <v>25</v>
      </c>
      <c r="I1462" s="21" t="s">
        <v>5760</v>
      </c>
      <c r="J1462" s="22">
        <f t="shared" si="110"/>
        <v>0.168750000004366</v>
      </c>
      <c r="K1462" s="22">
        <f t="shared" si="111"/>
        <v>4.05000000010477</v>
      </c>
      <c r="L1462" s="22">
        <f t="shared" si="112"/>
        <v>4.05000000010477</v>
      </c>
      <c r="M1462" s="22" cm="1">
        <f ca="1" t="array" ref="M1462">SUMPRODUCT(--(WEEKDAY(ROW(INDIRECT(INT(F1462)&amp;":"&amp;INT(I1462))),2)&gt;5))</f>
        <v>0</v>
      </c>
      <c r="N1462" s="22">
        <f ca="1" t="shared" si="113"/>
        <v>4.05000000010477</v>
      </c>
      <c r="O1462" s="22" t="str">
        <f ca="1" t="shared" si="114"/>
        <v>Within SLA</v>
      </c>
      <c r="P1462" s="26" t="s">
        <v>5758</v>
      </c>
      <c r="Q1462" s="24" t="s">
        <v>37</v>
      </c>
      <c r="R1462" s="25"/>
      <c r="S1462" s="25"/>
    </row>
    <row r="1463" ht="27" customHeight="1" spans="1:19">
      <c r="A1463" s="19" t="s">
        <v>5761</v>
      </c>
      <c r="B1463" s="20" t="s">
        <v>30</v>
      </c>
      <c r="C1463" s="20" t="s">
        <v>2057</v>
      </c>
      <c r="D1463" s="20" t="s">
        <v>32</v>
      </c>
      <c r="E1463" s="21" t="s">
        <v>5723</v>
      </c>
      <c r="F1463" s="21" t="s">
        <v>5762</v>
      </c>
      <c r="G1463" s="20" t="s">
        <v>35</v>
      </c>
      <c r="H1463" s="20" t="s">
        <v>25</v>
      </c>
      <c r="I1463" s="21" t="s">
        <v>5763</v>
      </c>
      <c r="J1463" s="22">
        <f t="shared" si="110"/>
        <v>6.2368055555562</v>
      </c>
      <c r="K1463" s="22">
        <f t="shared" si="111"/>
        <v>149.683333333349</v>
      </c>
      <c r="L1463" s="22">
        <f t="shared" si="112"/>
        <v>53.6833333333489</v>
      </c>
      <c r="M1463" s="22" cm="1">
        <f ca="1" t="array" ref="M1463">SUMPRODUCT(--(WEEKDAY(ROW(INDIRECT(INT(F1463)&amp;":"&amp;INT(I1463))),2)&gt;5))</f>
        <v>2</v>
      </c>
      <c r="N1463" s="22">
        <f ca="1" t="shared" si="113"/>
        <v>37.6833333333489</v>
      </c>
      <c r="O1463" s="22" t="str">
        <f ca="1" t="shared" si="114"/>
        <v>SLA Violated</v>
      </c>
      <c r="P1463" s="26" t="s">
        <v>5761</v>
      </c>
      <c r="Q1463" s="24" t="s">
        <v>28</v>
      </c>
      <c r="R1463" s="25"/>
      <c r="S1463" s="25"/>
    </row>
    <row r="1464" ht="39" customHeight="1" spans="1:19">
      <c r="A1464" s="19" t="s">
        <v>5764</v>
      </c>
      <c r="B1464" s="20" t="s">
        <v>1076</v>
      </c>
      <c r="C1464" s="20" t="s">
        <v>2235</v>
      </c>
      <c r="D1464" s="20" t="s">
        <v>32</v>
      </c>
      <c r="E1464" s="21" t="s">
        <v>5765</v>
      </c>
      <c r="F1464" s="21" t="s">
        <v>5766</v>
      </c>
      <c r="G1464" s="20" t="s">
        <v>35</v>
      </c>
      <c r="H1464" s="20" t="s">
        <v>25</v>
      </c>
      <c r="I1464" s="21" t="s">
        <v>5767</v>
      </c>
      <c r="J1464" s="22">
        <f t="shared" si="110"/>
        <v>0.00833333333139308</v>
      </c>
      <c r="K1464" s="22">
        <f t="shared" si="111"/>
        <v>0.199999999953434</v>
      </c>
      <c r="L1464" s="22">
        <f t="shared" si="112"/>
        <v>0.199999999953434</v>
      </c>
      <c r="M1464" s="22" cm="1">
        <f ca="1" t="array" ref="M1464">SUMPRODUCT(--(WEEKDAY(ROW(INDIRECT(INT(F1464)&amp;":"&amp;INT(I1464))),2)&gt;5))</f>
        <v>0</v>
      </c>
      <c r="N1464" s="22">
        <f ca="1" t="shared" si="113"/>
        <v>0.199999999953434</v>
      </c>
      <c r="O1464" s="22" t="str">
        <f ca="1" t="shared" si="114"/>
        <v>Within SLA</v>
      </c>
      <c r="P1464" s="26" t="s">
        <v>5764</v>
      </c>
      <c r="Q1464" s="24" t="s">
        <v>37</v>
      </c>
      <c r="R1464" s="25"/>
      <c r="S1464" s="25"/>
    </row>
    <row r="1465" ht="27" customHeight="1" spans="1:19">
      <c r="A1465" s="19" t="s">
        <v>5768</v>
      </c>
      <c r="B1465" s="20" t="s">
        <v>30</v>
      </c>
      <c r="C1465" s="20" t="s">
        <v>31</v>
      </c>
      <c r="D1465" s="20" t="s">
        <v>32</v>
      </c>
      <c r="E1465" s="21" t="s">
        <v>5734</v>
      </c>
      <c r="F1465" s="21" t="s">
        <v>5769</v>
      </c>
      <c r="G1465" s="20" t="s">
        <v>35</v>
      </c>
      <c r="H1465" s="20" t="s">
        <v>25</v>
      </c>
      <c r="I1465" s="21" t="s">
        <v>5770</v>
      </c>
      <c r="J1465" s="22">
        <f t="shared" si="110"/>
        <v>0.0145833333372138</v>
      </c>
      <c r="K1465" s="22">
        <f t="shared" si="111"/>
        <v>0.350000000093132</v>
      </c>
      <c r="L1465" s="22">
        <f t="shared" si="112"/>
        <v>0.350000000093132</v>
      </c>
      <c r="M1465" s="22" cm="1">
        <f ca="1" t="array" ref="M1465">SUMPRODUCT(--(WEEKDAY(ROW(INDIRECT(INT(F1465)&amp;":"&amp;INT(I1465))),2)&gt;5))</f>
        <v>0</v>
      </c>
      <c r="N1465" s="22">
        <f ca="1" t="shared" si="113"/>
        <v>0.350000000093132</v>
      </c>
      <c r="O1465" s="22" t="str">
        <f ca="1" t="shared" si="114"/>
        <v>Within SLA</v>
      </c>
      <c r="P1465" s="26" t="s">
        <v>5768</v>
      </c>
      <c r="Q1465" s="24" t="s">
        <v>37</v>
      </c>
      <c r="R1465" s="25"/>
      <c r="S1465" s="25"/>
    </row>
    <row r="1466" ht="27" customHeight="1" spans="1:19">
      <c r="A1466" s="19" t="s">
        <v>5771</v>
      </c>
      <c r="B1466" s="20" t="s">
        <v>30</v>
      </c>
      <c r="C1466" s="20" t="s">
        <v>2057</v>
      </c>
      <c r="D1466" s="20" t="s">
        <v>32</v>
      </c>
      <c r="E1466" s="21" t="s">
        <v>5772</v>
      </c>
      <c r="F1466" s="21" t="s">
        <v>5762</v>
      </c>
      <c r="G1466" s="20" t="s">
        <v>35</v>
      </c>
      <c r="H1466" s="20" t="s">
        <v>25</v>
      </c>
      <c r="I1466" s="21" t="s">
        <v>5773</v>
      </c>
      <c r="J1466" s="22">
        <f t="shared" si="110"/>
        <v>6.23333333333721</v>
      </c>
      <c r="K1466" s="22">
        <f t="shared" si="111"/>
        <v>149.600000000093</v>
      </c>
      <c r="L1466" s="22">
        <f t="shared" si="112"/>
        <v>53.6000000000931</v>
      </c>
      <c r="M1466" s="22" cm="1">
        <f ca="1" t="array" ref="M1466">SUMPRODUCT(--(WEEKDAY(ROW(INDIRECT(INT(F1466)&amp;":"&amp;INT(I1466))),2)&gt;5))</f>
        <v>2</v>
      </c>
      <c r="N1466" s="22">
        <f ca="1" t="shared" si="113"/>
        <v>37.6000000000931</v>
      </c>
      <c r="O1466" s="22" t="str">
        <f ca="1" t="shared" si="114"/>
        <v>SLA Violated</v>
      </c>
      <c r="P1466" s="26" t="s">
        <v>5771</v>
      </c>
      <c r="Q1466" s="24" t="s">
        <v>28</v>
      </c>
      <c r="R1466" s="25"/>
      <c r="S1466" s="25"/>
    </row>
    <row r="1467" ht="27" customHeight="1" spans="1:19">
      <c r="A1467" s="19" t="s">
        <v>5774</v>
      </c>
      <c r="B1467" s="20" t="s">
        <v>30</v>
      </c>
      <c r="C1467" s="20" t="s">
        <v>31</v>
      </c>
      <c r="D1467" s="20" t="s">
        <v>32</v>
      </c>
      <c r="E1467" s="21" t="s">
        <v>5772</v>
      </c>
      <c r="F1467" s="21" t="s">
        <v>5775</v>
      </c>
      <c r="G1467" s="20" t="s">
        <v>35</v>
      </c>
      <c r="H1467" s="20" t="s">
        <v>25</v>
      </c>
      <c r="I1467" s="21" t="s">
        <v>5776</v>
      </c>
      <c r="J1467" s="22">
        <f t="shared" si="110"/>
        <v>0.936111111106584</v>
      </c>
      <c r="K1467" s="22">
        <f t="shared" si="111"/>
        <v>22.466666666558</v>
      </c>
      <c r="L1467" s="22">
        <f t="shared" si="112"/>
        <v>6.46666666655801</v>
      </c>
      <c r="M1467" s="22" cm="1">
        <f ca="1" t="array" ref="M1467">SUMPRODUCT(--(WEEKDAY(ROW(INDIRECT(INT(F1467)&amp;":"&amp;INT(I1467))),2)&gt;5))</f>
        <v>0</v>
      </c>
      <c r="N1467" s="22">
        <f ca="1" t="shared" si="113"/>
        <v>6.46666666655801</v>
      </c>
      <c r="O1467" s="22" t="str">
        <f ca="1" t="shared" si="114"/>
        <v>Within SLA</v>
      </c>
      <c r="P1467" s="26" t="s">
        <v>5774</v>
      </c>
      <c r="Q1467" s="24" t="s">
        <v>37</v>
      </c>
      <c r="R1467" s="25"/>
      <c r="S1467" s="25"/>
    </row>
    <row r="1468" ht="27" customHeight="1" spans="1:19">
      <c r="A1468" s="19" t="s">
        <v>5777</v>
      </c>
      <c r="B1468" s="20" t="s">
        <v>30</v>
      </c>
      <c r="C1468" s="20" t="s">
        <v>2057</v>
      </c>
      <c r="D1468" s="20" t="s">
        <v>32</v>
      </c>
      <c r="E1468" s="21" t="s">
        <v>5778</v>
      </c>
      <c r="F1468" s="21" t="s">
        <v>5779</v>
      </c>
      <c r="G1468" s="20" t="s">
        <v>35</v>
      </c>
      <c r="H1468" s="20" t="s">
        <v>25</v>
      </c>
      <c r="I1468" s="21" t="s">
        <v>5780</v>
      </c>
      <c r="J1468" s="22">
        <f t="shared" si="110"/>
        <v>6.2319444444438</v>
      </c>
      <c r="K1468" s="22">
        <f t="shared" si="111"/>
        <v>149.566666666651</v>
      </c>
      <c r="L1468" s="22">
        <f t="shared" si="112"/>
        <v>53.5666666666511</v>
      </c>
      <c r="M1468" s="22" cm="1">
        <f ca="1" t="array" ref="M1468">SUMPRODUCT(--(WEEKDAY(ROW(INDIRECT(INT(F1468)&amp;":"&amp;INT(I1468))),2)&gt;5))</f>
        <v>2</v>
      </c>
      <c r="N1468" s="22">
        <f ca="1" t="shared" si="113"/>
        <v>37.5666666666511</v>
      </c>
      <c r="O1468" s="22" t="str">
        <f ca="1" t="shared" si="114"/>
        <v>SLA Violated</v>
      </c>
      <c r="P1468" s="26" t="s">
        <v>5777</v>
      </c>
      <c r="Q1468" s="24" t="s">
        <v>28</v>
      </c>
      <c r="R1468" s="25"/>
      <c r="S1468" s="25"/>
    </row>
    <row r="1469" ht="39" customHeight="1" spans="1:19">
      <c r="A1469" s="19" t="s">
        <v>5781</v>
      </c>
      <c r="B1469" s="20" t="s">
        <v>196</v>
      </c>
      <c r="C1469" s="20" t="s">
        <v>1935</v>
      </c>
      <c r="D1469" s="20" t="s">
        <v>21</v>
      </c>
      <c r="E1469" s="21" t="s">
        <v>5782</v>
      </c>
      <c r="F1469" s="21" t="s">
        <v>5783</v>
      </c>
      <c r="G1469" s="20" t="s">
        <v>35</v>
      </c>
      <c r="H1469" s="20" t="s">
        <v>25</v>
      </c>
      <c r="I1469" s="21" t="s">
        <v>5784</v>
      </c>
      <c r="J1469" s="22">
        <f t="shared" si="110"/>
        <v>0.00208333333284827</v>
      </c>
      <c r="K1469" s="22">
        <f t="shared" si="111"/>
        <v>0.0499999999883585</v>
      </c>
      <c r="L1469" s="22">
        <f t="shared" si="112"/>
        <v>0.0499999999883585</v>
      </c>
      <c r="M1469" s="22" cm="1">
        <f ca="1" t="array" ref="M1469">SUMPRODUCT(--(WEEKDAY(ROW(INDIRECT(INT(F1469)&amp;":"&amp;INT(I1469))),2)&gt;5))</f>
        <v>0</v>
      </c>
      <c r="N1469" s="22">
        <f ca="1" t="shared" si="113"/>
        <v>0.0499999999883585</v>
      </c>
      <c r="O1469" s="22" t="str">
        <f ca="1" t="shared" si="114"/>
        <v>Within SLA</v>
      </c>
      <c r="P1469" s="26" t="s">
        <v>5781</v>
      </c>
      <c r="Q1469" s="24" t="s">
        <v>37</v>
      </c>
      <c r="R1469" s="25"/>
      <c r="S1469" s="25"/>
    </row>
    <row r="1470" ht="27" customHeight="1" spans="1:19">
      <c r="A1470" s="19" t="s">
        <v>5785</v>
      </c>
      <c r="B1470" s="20" t="s">
        <v>30</v>
      </c>
      <c r="C1470" s="20" t="s">
        <v>31</v>
      </c>
      <c r="D1470" s="20" t="s">
        <v>32</v>
      </c>
      <c r="E1470" s="21" t="s">
        <v>5786</v>
      </c>
      <c r="F1470" s="21" t="s">
        <v>5787</v>
      </c>
      <c r="G1470" s="20" t="s">
        <v>35</v>
      </c>
      <c r="H1470" s="20" t="s">
        <v>25</v>
      </c>
      <c r="I1470" s="21" t="s">
        <v>5788</v>
      </c>
      <c r="J1470" s="22">
        <f t="shared" si="110"/>
        <v>6.90833333333285</v>
      </c>
      <c r="K1470" s="22">
        <f t="shared" si="111"/>
        <v>165.799999999988</v>
      </c>
      <c r="L1470" s="22">
        <f t="shared" si="112"/>
        <v>53.7999999999884</v>
      </c>
      <c r="M1470" s="22" cm="1">
        <f ca="1" t="array" ref="M1470">SUMPRODUCT(--(WEEKDAY(ROW(INDIRECT(INT(F1470)&amp;":"&amp;INT(I1470))),2)&gt;5))</f>
        <v>2</v>
      </c>
      <c r="N1470" s="22">
        <f ca="1" t="shared" si="113"/>
        <v>37.7999999999884</v>
      </c>
      <c r="O1470" s="22" t="str">
        <f ca="1" t="shared" si="114"/>
        <v>SLA Violated</v>
      </c>
      <c r="P1470" s="23" t="s">
        <v>5789</v>
      </c>
      <c r="Q1470" s="24" t="s">
        <v>28</v>
      </c>
      <c r="R1470" s="25"/>
      <c r="S1470" s="25"/>
    </row>
    <row r="1471" ht="27" customHeight="1" spans="1:19">
      <c r="A1471" s="19" t="s">
        <v>5790</v>
      </c>
      <c r="B1471" s="20" t="s">
        <v>121</v>
      </c>
      <c r="C1471" s="20" t="s">
        <v>31</v>
      </c>
      <c r="D1471" s="20" t="s">
        <v>32</v>
      </c>
      <c r="E1471" s="21" t="s">
        <v>5786</v>
      </c>
      <c r="F1471" s="21" t="s">
        <v>5791</v>
      </c>
      <c r="G1471" s="20" t="s">
        <v>35</v>
      </c>
      <c r="H1471" s="20" t="s">
        <v>25</v>
      </c>
      <c r="I1471" s="21" t="s">
        <v>5792</v>
      </c>
      <c r="J1471" s="22">
        <f t="shared" si="110"/>
        <v>0.149305555554747</v>
      </c>
      <c r="K1471" s="22">
        <f t="shared" si="111"/>
        <v>3.58333333331393</v>
      </c>
      <c r="L1471" s="22">
        <f t="shared" si="112"/>
        <v>3.58333333331393</v>
      </c>
      <c r="M1471" s="22" cm="1">
        <f ca="1" t="array" ref="M1471">SUMPRODUCT(--(WEEKDAY(ROW(INDIRECT(INT(F1471)&amp;":"&amp;INT(I1471))),2)&gt;5))</f>
        <v>0</v>
      </c>
      <c r="N1471" s="22">
        <f ca="1" t="shared" si="113"/>
        <v>3.58333333331393</v>
      </c>
      <c r="O1471" s="22" t="str">
        <f ca="1" t="shared" si="114"/>
        <v>Within SLA</v>
      </c>
      <c r="P1471" s="26" t="s">
        <v>5790</v>
      </c>
      <c r="Q1471" s="24" t="s">
        <v>37</v>
      </c>
      <c r="R1471" s="25"/>
      <c r="S1471" s="25"/>
    </row>
    <row r="1472" ht="27" customHeight="1" spans="1:19">
      <c r="A1472" s="19" t="s">
        <v>5793</v>
      </c>
      <c r="B1472" s="20" t="s">
        <v>30</v>
      </c>
      <c r="C1472" s="20" t="s">
        <v>31</v>
      </c>
      <c r="D1472" s="20" t="s">
        <v>105</v>
      </c>
      <c r="E1472" s="21" t="s">
        <v>5773</v>
      </c>
      <c r="F1472" s="21" t="s">
        <v>5794</v>
      </c>
      <c r="G1472" s="20" t="s">
        <v>24</v>
      </c>
      <c r="H1472" s="20" t="s">
        <v>25</v>
      </c>
      <c r="I1472" s="21" t="s">
        <v>5795</v>
      </c>
      <c r="J1472" s="22">
        <f t="shared" si="110"/>
        <v>2.06041666666715</v>
      </c>
      <c r="K1472" s="22">
        <f t="shared" si="111"/>
        <v>49.4500000000116</v>
      </c>
      <c r="L1472" s="22">
        <f t="shared" si="112"/>
        <v>17.4500000000116</v>
      </c>
      <c r="M1472" s="22" cm="1">
        <f ca="1" t="array" ref="M1472">SUMPRODUCT(--(WEEKDAY(ROW(INDIRECT(INT(F1472)&amp;":"&amp;INT(I1472))),2)&gt;5))</f>
        <v>0</v>
      </c>
      <c r="N1472" s="22">
        <f ca="1" t="shared" si="113"/>
        <v>17.4500000000116</v>
      </c>
      <c r="O1472" s="22" t="str">
        <f ca="1" t="shared" si="114"/>
        <v>SLA Violated</v>
      </c>
      <c r="P1472" s="23" t="s">
        <v>5796</v>
      </c>
      <c r="Q1472" s="24" t="s">
        <v>37</v>
      </c>
      <c r="R1472" s="25" t="s">
        <v>4805</v>
      </c>
      <c r="S1472" s="25" t="s">
        <v>39</v>
      </c>
    </row>
    <row r="1473" ht="27" customHeight="1" spans="1:19">
      <c r="A1473" s="19" t="s">
        <v>5797</v>
      </c>
      <c r="B1473" s="20" t="s">
        <v>30</v>
      </c>
      <c r="C1473" s="20" t="s">
        <v>31</v>
      </c>
      <c r="D1473" s="20" t="s">
        <v>32</v>
      </c>
      <c r="E1473" s="21" t="s">
        <v>5798</v>
      </c>
      <c r="F1473" s="21" t="s">
        <v>5799</v>
      </c>
      <c r="G1473" s="20" t="s">
        <v>35</v>
      </c>
      <c r="H1473" s="20" t="s">
        <v>25</v>
      </c>
      <c r="I1473" s="21" t="s">
        <v>5800</v>
      </c>
      <c r="J1473" s="22">
        <f t="shared" si="110"/>
        <v>0.854861111110949</v>
      </c>
      <c r="K1473" s="22">
        <f t="shared" si="111"/>
        <v>20.5166666666628</v>
      </c>
      <c r="L1473" s="22">
        <f t="shared" si="112"/>
        <v>4.51666666666279</v>
      </c>
      <c r="M1473" s="22" cm="1">
        <f ca="1" t="array" ref="M1473">SUMPRODUCT(--(WEEKDAY(ROW(INDIRECT(INT(F1473)&amp;":"&amp;INT(I1473))),2)&gt;5))</f>
        <v>0</v>
      </c>
      <c r="N1473" s="22">
        <f ca="1" t="shared" si="113"/>
        <v>4.51666666666279</v>
      </c>
      <c r="O1473" s="22" t="str">
        <f ca="1" t="shared" si="114"/>
        <v>Within SLA</v>
      </c>
      <c r="P1473" s="26" t="s">
        <v>5797</v>
      </c>
      <c r="Q1473" s="24" t="s">
        <v>37</v>
      </c>
      <c r="R1473" s="25"/>
      <c r="S1473" s="25"/>
    </row>
    <row r="1474" ht="39" customHeight="1" spans="1:19">
      <c r="A1474" s="28" t="s">
        <v>5801</v>
      </c>
      <c r="B1474" s="20" t="s">
        <v>19</v>
      </c>
      <c r="C1474" s="20" t="s">
        <v>167</v>
      </c>
      <c r="D1474" s="20" t="s">
        <v>32</v>
      </c>
      <c r="E1474" s="21" t="s">
        <v>5525</v>
      </c>
      <c r="F1474" s="21" t="s">
        <v>5802</v>
      </c>
      <c r="G1474" s="20" t="s">
        <v>35</v>
      </c>
      <c r="H1474" s="20" t="s">
        <v>25</v>
      </c>
      <c r="I1474" s="21" t="s">
        <v>5803</v>
      </c>
      <c r="J1474" s="22">
        <f t="shared" si="110"/>
        <v>7.08402777777519</v>
      </c>
      <c r="K1474" s="22">
        <f t="shared" si="111"/>
        <v>170.016666666605</v>
      </c>
      <c r="L1474" s="22">
        <f t="shared" si="112"/>
        <v>58.0166666666046</v>
      </c>
      <c r="M1474" s="22" cm="1">
        <f ca="1" t="array" ref="M1474">SUMPRODUCT(--(WEEKDAY(ROW(INDIRECT(INT(F1474)&amp;":"&amp;INT(I1474))),2)&gt;5))</f>
        <v>2</v>
      </c>
      <c r="N1474" s="22">
        <f ca="1" t="shared" si="113"/>
        <v>42.0166666666046</v>
      </c>
      <c r="O1474" s="22" t="str">
        <f ca="1" t="shared" si="114"/>
        <v>SLA Violated</v>
      </c>
      <c r="P1474" s="23" t="s">
        <v>5801</v>
      </c>
      <c r="Q1474" s="24" t="s">
        <v>28</v>
      </c>
      <c r="R1474" s="25"/>
      <c r="S1474" s="25"/>
    </row>
    <row r="1475" ht="27" customHeight="1" spans="1:19">
      <c r="A1475" s="19" t="s">
        <v>5804</v>
      </c>
      <c r="B1475" s="20" t="s">
        <v>30</v>
      </c>
      <c r="C1475" s="20" t="s">
        <v>849</v>
      </c>
      <c r="D1475" s="20" t="s">
        <v>32</v>
      </c>
      <c r="E1475" s="21" t="s">
        <v>5805</v>
      </c>
      <c r="F1475" s="21" t="s">
        <v>5806</v>
      </c>
      <c r="G1475" s="20" t="s">
        <v>35</v>
      </c>
      <c r="H1475" s="20" t="s">
        <v>25</v>
      </c>
      <c r="I1475" s="21" t="s">
        <v>5807</v>
      </c>
      <c r="J1475" s="22">
        <f t="shared" ref="J1475:J1538" si="115">F1475-I1475</f>
        <v>6.15347222222044</v>
      </c>
      <c r="K1475" s="22">
        <f t="shared" ref="K1475:K1538" si="116">J1475*24</f>
        <v>147.683333333291</v>
      </c>
      <c r="L1475" s="22">
        <f t="shared" ref="L1475:L1538" si="117">IF(_xlfn.DAYS(F1475,I1475)&gt;0,K1475-IF(FLOOR(J1475,1)=0,1,_xlfn.DAYS(F1475,I1475))*16,K1475)</f>
        <v>51.6833333332906</v>
      </c>
      <c r="M1475" s="22" cm="1">
        <f ca="1" t="array" ref="M1475">SUMPRODUCT(--(WEEKDAY(ROW(INDIRECT(INT(F1475)&amp;":"&amp;INT(I1475))),2)&gt;5))</f>
        <v>2</v>
      </c>
      <c r="N1475" s="22">
        <f ca="1" t="shared" ref="N1475:N1538" si="118">IF(IF(M1475&gt;0,L1475-M1475*8,L1475)&lt;0,0,IF(M1475&gt;0,L1475-M1475*8,L1475))</f>
        <v>35.6833333332906</v>
      </c>
      <c r="O1475" s="22" t="str">
        <f ca="1" t="shared" ref="O1475:O1538" si="119">IF(OR(AND(D1475="P1",N1475&lt;=3),AND(D1475="P2",N1475&lt;=6),AND(D1475="P3",N1475&lt;=9),AND(D1475="P4",N1475&lt;=12)),"Within SLA","SLA Violated")</f>
        <v>SLA Violated</v>
      </c>
      <c r="P1475" s="23" t="s">
        <v>5808</v>
      </c>
      <c r="Q1475" s="24" t="s">
        <v>28</v>
      </c>
      <c r="R1475" s="25"/>
      <c r="S1475" s="25"/>
    </row>
    <row r="1476" ht="39" customHeight="1" spans="1:19">
      <c r="A1476" s="19" t="s">
        <v>5809</v>
      </c>
      <c r="B1476" s="20" t="s">
        <v>196</v>
      </c>
      <c r="C1476" s="20" t="s">
        <v>46</v>
      </c>
      <c r="D1476" s="20" t="s">
        <v>21</v>
      </c>
      <c r="E1476" s="21" t="s">
        <v>5810</v>
      </c>
      <c r="F1476" s="21" t="s">
        <v>5811</v>
      </c>
      <c r="G1476" s="20" t="s">
        <v>35</v>
      </c>
      <c r="H1476" s="20" t="s">
        <v>25</v>
      </c>
      <c r="I1476" s="21" t="s">
        <v>5812</v>
      </c>
      <c r="J1476" s="22">
        <f t="shared" si="115"/>
        <v>0.135416666664241</v>
      </c>
      <c r="K1476" s="22">
        <f t="shared" si="116"/>
        <v>3.24999999994179</v>
      </c>
      <c r="L1476" s="22">
        <f t="shared" si="117"/>
        <v>3.24999999994179</v>
      </c>
      <c r="M1476" s="22" cm="1">
        <f ca="1" t="array" ref="M1476">SUMPRODUCT(--(WEEKDAY(ROW(INDIRECT(INT(F1476)&amp;":"&amp;INT(I1476))),2)&gt;5))</f>
        <v>0</v>
      </c>
      <c r="N1476" s="22">
        <f ca="1" t="shared" si="118"/>
        <v>3.24999999994179</v>
      </c>
      <c r="O1476" s="22" t="str">
        <f ca="1" t="shared" si="119"/>
        <v>SLA Violated</v>
      </c>
      <c r="P1476" s="23" t="s">
        <v>5813</v>
      </c>
      <c r="Q1476" s="24" t="s">
        <v>37</v>
      </c>
      <c r="R1476" s="25" t="s">
        <v>719</v>
      </c>
      <c r="S1476" s="25" t="s">
        <v>3770</v>
      </c>
    </row>
    <row r="1477" ht="39" customHeight="1" spans="1:19">
      <c r="A1477" s="19" t="s">
        <v>5814</v>
      </c>
      <c r="B1477" s="20" t="s">
        <v>196</v>
      </c>
      <c r="C1477" s="20" t="s">
        <v>849</v>
      </c>
      <c r="D1477" s="20" t="s">
        <v>21</v>
      </c>
      <c r="E1477" s="21" t="s">
        <v>5815</v>
      </c>
      <c r="F1477" s="21" t="s">
        <v>5816</v>
      </c>
      <c r="G1477" s="20" t="s">
        <v>35</v>
      </c>
      <c r="H1477" s="20" t="s">
        <v>25</v>
      </c>
      <c r="I1477" s="21" t="s">
        <v>5817</v>
      </c>
      <c r="J1477" s="22">
        <f t="shared" si="115"/>
        <v>14.9187500000044</v>
      </c>
      <c r="K1477" s="22">
        <f t="shared" si="116"/>
        <v>358.050000000105</v>
      </c>
      <c r="L1477" s="22">
        <f t="shared" si="117"/>
        <v>118.050000000105</v>
      </c>
      <c r="M1477" s="22" cm="1">
        <f ca="1" t="array" ref="M1477">SUMPRODUCT(--(WEEKDAY(ROW(INDIRECT(INT(F1477)&amp;":"&amp;INT(I1477))),2)&gt;5))</f>
        <v>4</v>
      </c>
      <c r="N1477" s="22">
        <f ca="1" t="shared" si="118"/>
        <v>86.050000000105</v>
      </c>
      <c r="O1477" s="22" t="str">
        <f ca="1" t="shared" si="119"/>
        <v>SLA Violated</v>
      </c>
      <c r="P1477" s="23" t="s">
        <v>5818</v>
      </c>
      <c r="Q1477" s="24" t="s">
        <v>28</v>
      </c>
      <c r="R1477" s="25"/>
      <c r="S1477" s="25"/>
    </row>
    <row r="1478" ht="27" customHeight="1" spans="1:19">
      <c r="A1478" s="19" t="s">
        <v>5819</v>
      </c>
      <c r="B1478" s="20" t="s">
        <v>30</v>
      </c>
      <c r="C1478" s="20" t="s">
        <v>849</v>
      </c>
      <c r="D1478" s="20" t="s">
        <v>32</v>
      </c>
      <c r="E1478" s="21" t="s">
        <v>5815</v>
      </c>
      <c r="F1478" s="21" t="s">
        <v>5820</v>
      </c>
      <c r="G1478" s="20" t="s">
        <v>35</v>
      </c>
      <c r="H1478" s="20" t="s">
        <v>25</v>
      </c>
      <c r="I1478" s="21" t="s">
        <v>5821</v>
      </c>
      <c r="J1478" s="22">
        <f t="shared" si="115"/>
        <v>6.1520833333343</v>
      </c>
      <c r="K1478" s="22">
        <f t="shared" si="116"/>
        <v>147.650000000023</v>
      </c>
      <c r="L1478" s="22">
        <f t="shared" si="117"/>
        <v>51.6500000000233</v>
      </c>
      <c r="M1478" s="22" cm="1">
        <f ca="1" t="array" ref="M1478">SUMPRODUCT(--(WEEKDAY(ROW(INDIRECT(INT(F1478)&amp;":"&amp;INT(I1478))),2)&gt;5))</f>
        <v>2</v>
      </c>
      <c r="N1478" s="22">
        <f ca="1" t="shared" si="118"/>
        <v>35.6500000000233</v>
      </c>
      <c r="O1478" s="22" t="str">
        <f ca="1" t="shared" si="119"/>
        <v>SLA Violated</v>
      </c>
      <c r="P1478" s="23" t="s">
        <v>5822</v>
      </c>
      <c r="Q1478" s="24" t="s">
        <v>28</v>
      </c>
      <c r="R1478" s="25"/>
      <c r="S1478" s="25"/>
    </row>
    <row r="1479" ht="27" customHeight="1" spans="1:19">
      <c r="A1479" s="19" t="s">
        <v>5823</v>
      </c>
      <c r="B1479" s="20" t="s">
        <v>30</v>
      </c>
      <c r="C1479" s="20" t="s">
        <v>849</v>
      </c>
      <c r="D1479" s="20" t="s">
        <v>32</v>
      </c>
      <c r="E1479" s="21" t="s">
        <v>5824</v>
      </c>
      <c r="F1479" s="21" t="s">
        <v>5825</v>
      </c>
      <c r="G1479" s="20" t="s">
        <v>35</v>
      </c>
      <c r="H1479" s="20" t="s">
        <v>25</v>
      </c>
      <c r="I1479" s="21" t="s">
        <v>5826</v>
      </c>
      <c r="J1479" s="22">
        <f t="shared" si="115"/>
        <v>6.1520833333343</v>
      </c>
      <c r="K1479" s="22">
        <f t="shared" si="116"/>
        <v>147.650000000023</v>
      </c>
      <c r="L1479" s="22">
        <f t="shared" si="117"/>
        <v>51.6500000000233</v>
      </c>
      <c r="M1479" s="22" cm="1">
        <f ca="1" t="array" ref="M1479">SUMPRODUCT(--(WEEKDAY(ROW(INDIRECT(INT(F1479)&amp;":"&amp;INT(I1479))),2)&gt;5))</f>
        <v>2</v>
      </c>
      <c r="N1479" s="22">
        <f ca="1" t="shared" si="118"/>
        <v>35.6500000000233</v>
      </c>
      <c r="O1479" s="22" t="str">
        <f ca="1" t="shared" si="119"/>
        <v>SLA Violated</v>
      </c>
      <c r="P1479" s="23" t="s">
        <v>5827</v>
      </c>
      <c r="Q1479" s="24" t="s">
        <v>28</v>
      </c>
      <c r="R1479" s="25"/>
      <c r="S1479" s="25"/>
    </row>
    <row r="1480" ht="27" customHeight="1" spans="1:19">
      <c r="A1480" s="19" t="s">
        <v>5828</v>
      </c>
      <c r="B1480" s="20" t="s">
        <v>30</v>
      </c>
      <c r="C1480" s="20" t="s">
        <v>849</v>
      </c>
      <c r="D1480" s="20" t="s">
        <v>32</v>
      </c>
      <c r="E1480" s="21" t="s">
        <v>5829</v>
      </c>
      <c r="F1480" s="21" t="s">
        <v>5830</v>
      </c>
      <c r="G1480" s="20" t="s">
        <v>35</v>
      </c>
      <c r="H1480" s="20" t="s">
        <v>25</v>
      </c>
      <c r="I1480" s="21" t="s">
        <v>5831</v>
      </c>
      <c r="J1480" s="22">
        <f t="shared" si="115"/>
        <v>6.1513888888876</v>
      </c>
      <c r="K1480" s="22">
        <f t="shared" si="116"/>
        <v>147.633333333302</v>
      </c>
      <c r="L1480" s="22">
        <f t="shared" si="117"/>
        <v>51.6333333333023</v>
      </c>
      <c r="M1480" s="22" cm="1">
        <f ca="1" t="array" ref="M1480">SUMPRODUCT(--(WEEKDAY(ROW(INDIRECT(INT(F1480)&amp;":"&amp;INT(I1480))),2)&gt;5))</f>
        <v>2</v>
      </c>
      <c r="N1480" s="22">
        <f ca="1" t="shared" si="118"/>
        <v>35.6333333333023</v>
      </c>
      <c r="O1480" s="22" t="str">
        <f ca="1" t="shared" si="119"/>
        <v>SLA Violated</v>
      </c>
      <c r="P1480" s="23" t="s">
        <v>5832</v>
      </c>
      <c r="Q1480" s="24" t="s">
        <v>28</v>
      </c>
      <c r="R1480" s="25"/>
      <c r="S1480" s="25"/>
    </row>
    <row r="1481" ht="27" customHeight="1" spans="1:19">
      <c r="A1481" s="19" t="s">
        <v>5833</v>
      </c>
      <c r="B1481" s="20" t="s">
        <v>30</v>
      </c>
      <c r="C1481" s="20" t="s">
        <v>849</v>
      </c>
      <c r="D1481" s="20" t="s">
        <v>32</v>
      </c>
      <c r="E1481" s="21" t="s">
        <v>5829</v>
      </c>
      <c r="F1481" s="21" t="s">
        <v>5834</v>
      </c>
      <c r="G1481" s="20" t="s">
        <v>35</v>
      </c>
      <c r="H1481" s="20" t="s">
        <v>25</v>
      </c>
      <c r="I1481" s="21" t="s">
        <v>5835</v>
      </c>
      <c r="J1481" s="22">
        <f t="shared" si="115"/>
        <v>6.14652777778247</v>
      </c>
      <c r="K1481" s="22">
        <f t="shared" si="116"/>
        <v>147.516666666779</v>
      </c>
      <c r="L1481" s="22">
        <f t="shared" si="117"/>
        <v>51.5166666667792</v>
      </c>
      <c r="M1481" s="22" cm="1">
        <f ca="1" t="array" ref="M1481">SUMPRODUCT(--(WEEKDAY(ROW(INDIRECT(INT(F1481)&amp;":"&amp;INT(I1481))),2)&gt;5))</f>
        <v>2</v>
      </c>
      <c r="N1481" s="22">
        <f ca="1" t="shared" si="118"/>
        <v>35.5166666667792</v>
      </c>
      <c r="O1481" s="22" t="str">
        <f ca="1" t="shared" si="119"/>
        <v>SLA Violated</v>
      </c>
      <c r="P1481" s="23" t="s">
        <v>5836</v>
      </c>
      <c r="Q1481" s="24" t="s">
        <v>28</v>
      </c>
      <c r="R1481" s="25"/>
      <c r="S1481" s="25"/>
    </row>
    <row r="1482" ht="39" customHeight="1" spans="1:19">
      <c r="A1482" s="19" t="s">
        <v>5837</v>
      </c>
      <c r="B1482" s="20" t="s">
        <v>196</v>
      </c>
      <c r="C1482" s="20" t="s">
        <v>46</v>
      </c>
      <c r="D1482" s="20" t="s">
        <v>21</v>
      </c>
      <c r="E1482" s="21" t="s">
        <v>5838</v>
      </c>
      <c r="F1482" s="21" t="s">
        <v>5839</v>
      </c>
      <c r="G1482" s="20" t="s">
        <v>35</v>
      </c>
      <c r="H1482" s="20" t="s">
        <v>25</v>
      </c>
      <c r="I1482" s="21" t="s">
        <v>5840</v>
      </c>
      <c r="J1482" s="22">
        <f t="shared" si="115"/>
        <v>0.0305555555532919</v>
      </c>
      <c r="K1482" s="22">
        <f t="shared" si="116"/>
        <v>0.733333333279006</v>
      </c>
      <c r="L1482" s="22">
        <f t="shared" si="117"/>
        <v>0.733333333279006</v>
      </c>
      <c r="M1482" s="22" cm="1">
        <f ca="1" t="array" ref="M1482">SUMPRODUCT(--(WEEKDAY(ROW(INDIRECT(INT(F1482)&amp;":"&amp;INT(I1482))),2)&gt;5))</f>
        <v>0</v>
      </c>
      <c r="N1482" s="22">
        <f ca="1" t="shared" si="118"/>
        <v>0.733333333279006</v>
      </c>
      <c r="O1482" s="22" t="str">
        <f ca="1" t="shared" si="119"/>
        <v>Within SLA</v>
      </c>
      <c r="P1482" s="26" t="s">
        <v>5837</v>
      </c>
      <c r="Q1482" s="24" t="s">
        <v>37</v>
      </c>
      <c r="R1482" s="25"/>
      <c r="S1482" s="25"/>
    </row>
    <row r="1483" ht="39" customHeight="1" spans="1:19">
      <c r="A1483" s="19" t="s">
        <v>5841</v>
      </c>
      <c r="B1483" s="20" t="s">
        <v>19</v>
      </c>
      <c r="C1483" s="20" t="s">
        <v>20</v>
      </c>
      <c r="D1483" s="20" t="s">
        <v>32</v>
      </c>
      <c r="E1483" s="21" t="s">
        <v>5842</v>
      </c>
      <c r="F1483" s="21" t="s">
        <v>5843</v>
      </c>
      <c r="G1483" s="20" t="s">
        <v>35</v>
      </c>
      <c r="H1483" s="20" t="s">
        <v>25</v>
      </c>
      <c r="I1483" s="21" t="s">
        <v>5844</v>
      </c>
      <c r="J1483" s="22">
        <f t="shared" si="115"/>
        <v>0.0604166666671517</v>
      </c>
      <c r="K1483" s="22">
        <f t="shared" si="116"/>
        <v>1.45000000001164</v>
      </c>
      <c r="L1483" s="22">
        <f t="shared" si="117"/>
        <v>1.45000000001164</v>
      </c>
      <c r="M1483" s="22" cm="1">
        <f ca="1" t="array" ref="M1483">SUMPRODUCT(--(WEEKDAY(ROW(INDIRECT(INT(F1483)&amp;":"&amp;INT(I1483))),2)&gt;5))</f>
        <v>0</v>
      </c>
      <c r="N1483" s="22">
        <f ca="1" t="shared" si="118"/>
        <v>1.45000000001164</v>
      </c>
      <c r="O1483" s="22" t="str">
        <f ca="1" t="shared" si="119"/>
        <v>Within SLA</v>
      </c>
      <c r="P1483" s="26" t="s">
        <v>5841</v>
      </c>
      <c r="Q1483" s="24" t="s">
        <v>37</v>
      </c>
      <c r="R1483" s="25"/>
      <c r="S1483" s="25"/>
    </row>
    <row r="1484" ht="27" customHeight="1" spans="1:19">
      <c r="A1484" s="19" t="s">
        <v>5845</v>
      </c>
      <c r="B1484" s="20" t="s">
        <v>30</v>
      </c>
      <c r="C1484" s="20" t="s">
        <v>46</v>
      </c>
      <c r="D1484" s="20" t="s">
        <v>32</v>
      </c>
      <c r="E1484" s="21" t="s">
        <v>5812</v>
      </c>
      <c r="F1484" s="21" t="s">
        <v>5846</v>
      </c>
      <c r="G1484" s="20" t="s">
        <v>35</v>
      </c>
      <c r="H1484" s="20" t="s">
        <v>25</v>
      </c>
      <c r="I1484" s="21" t="s">
        <v>5847</v>
      </c>
      <c r="J1484" s="22">
        <f t="shared" si="115"/>
        <v>0.0250000000014552</v>
      </c>
      <c r="K1484" s="22">
        <f t="shared" si="116"/>
        <v>0.600000000034925</v>
      </c>
      <c r="L1484" s="22">
        <f t="shared" si="117"/>
        <v>0.600000000034925</v>
      </c>
      <c r="M1484" s="22" cm="1">
        <f ca="1" t="array" ref="M1484">SUMPRODUCT(--(WEEKDAY(ROW(INDIRECT(INT(F1484)&amp;":"&amp;INT(I1484))),2)&gt;5))</f>
        <v>0</v>
      </c>
      <c r="N1484" s="22">
        <f ca="1" t="shared" si="118"/>
        <v>0.600000000034925</v>
      </c>
      <c r="O1484" s="22" t="str">
        <f ca="1" t="shared" si="119"/>
        <v>Within SLA</v>
      </c>
      <c r="P1484" s="26" t="s">
        <v>5845</v>
      </c>
      <c r="Q1484" s="24" t="s">
        <v>37</v>
      </c>
      <c r="R1484" s="25"/>
      <c r="S1484" s="25"/>
    </row>
    <row r="1485" ht="39" customHeight="1" spans="1:19">
      <c r="A1485" s="19" t="s">
        <v>5848</v>
      </c>
      <c r="B1485" s="20" t="s">
        <v>19</v>
      </c>
      <c r="C1485" s="20" t="s">
        <v>20</v>
      </c>
      <c r="D1485" s="20" t="s">
        <v>32</v>
      </c>
      <c r="E1485" s="21" t="s">
        <v>5817</v>
      </c>
      <c r="F1485" s="21" t="s">
        <v>5849</v>
      </c>
      <c r="G1485" s="20" t="s">
        <v>35</v>
      </c>
      <c r="H1485" s="20" t="s">
        <v>25</v>
      </c>
      <c r="I1485" s="21" t="s">
        <v>5850</v>
      </c>
      <c r="J1485" s="22">
        <f t="shared" si="115"/>
        <v>0.0354166666656965</v>
      </c>
      <c r="K1485" s="22">
        <f t="shared" si="116"/>
        <v>0.849999999976717</v>
      </c>
      <c r="L1485" s="22">
        <f t="shared" si="117"/>
        <v>0.849999999976717</v>
      </c>
      <c r="M1485" s="22" cm="1">
        <f ca="1" t="array" ref="M1485">SUMPRODUCT(--(WEEKDAY(ROW(INDIRECT(INT(F1485)&amp;":"&amp;INT(I1485))),2)&gt;5))</f>
        <v>0</v>
      </c>
      <c r="N1485" s="22">
        <f ca="1" t="shared" si="118"/>
        <v>0.849999999976717</v>
      </c>
      <c r="O1485" s="22" t="str">
        <f ca="1" t="shared" si="119"/>
        <v>Within SLA</v>
      </c>
      <c r="P1485" s="26" t="s">
        <v>5848</v>
      </c>
      <c r="Q1485" s="24" t="s">
        <v>37</v>
      </c>
      <c r="R1485" s="25"/>
      <c r="S1485" s="25"/>
    </row>
    <row r="1486" ht="27" customHeight="1" spans="1:19">
      <c r="A1486" s="19" t="s">
        <v>5851</v>
      </c>
      <c r="B1486" s="20" t="s">
        <v>30</v>
      </c>
      <c r="C1486" s="20" t="s">
        <v>31</v>
      </c>
      <c r="D1486" s="20" t="s">
        <v>32</v>
      </c>
      <c r="E1486" s="21" t="s">
        <v>5817</v>
      </c>
      <c r="F1486" s="21" t="s">
        <v>5852</v>
      </c>
      <c r="G1486" s="20" t="s">
        <v>35</v>
      </c>
      <c r="H1486" s="20" t="s">
        <v>25</v>
      </c>
      <c r="I1486" s="21" t="s">
        <v>5853</v>
      </c>
      <c r="J1486" s="22">
        <f t="shared" si="115"/>
        <v>7.14444444444962</v>
      </c>
      <c r="K1486" s="22">
        <f t="shared" si="116"/>
        <v>171.466666666791</v>
      </c>
      <c r="L1486" s="22">
        <f t="shared" si="117"/>
        <v>59.4666666667908</v>
      </c>
      <c r="M1486" s="22" cm="1">
        <f ca="1" t="array" ref="M1486">SUMPRODUCT(--(WEEKDAY(ROW(INDIRECT(INT(F1486)&amp;":"&amp;INT(I1486))),2)&gt;5))</f>
        <v>2</v>
      </c>
      <c r="N1486" s="22">
        <f ca="1" t="shared" si="118"/>
        <v>43.4666666667908</v>
      </c>
      <c r="O1486" s="22" t="str">
        <f ca="1" t="shared" si="119"/>
        <v>SLA Violated</v>
      </c>
      <c r="P1486" s="23" t="s">
        <v>5854</v>
      </c>
      <c r="Q1486" s="24" t="s">
        <v>28</v>
      </c>
      <c r="R1486" s="25"/>
      <c r="S1486" s="25"/>
    </row>
    <row r="1487" ht="27" customHeight="1" spans="1:19">
      <c r="A1487" s="19" t="s">
        <v>5855</v>
      </c>
      <c r="B1487" s="20" t="s">
        <v>30</v>
      </c>
      <c r="C1487" s="20" t="s">
        <v>849</v>
      </c>
      <c r="D1487" s="20" t="s">
        <v>32</v>
      </c>
      <c r="E1487" s="21" t="s">
        <v>5856</v>
      </c>
      <c r="F1487" s="21" t="s">
        <v>5857</v>
      </c>
      <c r="G1487" s="20" t="s">
        <v>35</v>
      </c>
      <c r="H1487" s="20" t="s">
        <v>25</v>
      </c>
      <c r="I1487" s="21" t="s">
        <v>5858</v>
      </c>
      <c r="J1487" s="22">
        <f t="shared" si="115"/>
        <v>6.13611111111095</v>
      </c>
      <c r="K1487" s="22">
        <f t="shared" si="116"/>
        <v>147.266666666663</v>
      </c>
      <c r="L1487" s="22">
        <f t="shared" si="117"/>
        <v>51.2666666666628</v>
      </c>
      <c r="M1487" s="22" cm="1">
        <f ca="1" t="array" ref="M1487">SUMPRODUCT(--(WEEKDAY(ROW(INDIRECT(INT(F1487)&amp;":"&amp;INT(I1487))),2)&gt;5))</f>
        <v>2</v>
      </c>
      <c r="N1487" s="22">
        <f ca="1" t="shared" si="118"/>
        <v>35.2666666666628</v>
      </c>
      <c r="O1487" s="22" t="str">
        <f ca="1" t="shared" si="119"/>
        <v>SLA Violated</v>
      </c>
      <c r="P1487" s="23" t="s">
        <v>5859</v>
      </c>
      <c r="Q1487" s="24" t="s">
        <v>28</v>
      </c>
      <c r="R1487" s="25"/>
      <c r="S1487" s="25"/>
    </row>
    <row r="1488" ht="39" customHeight="1" spans="1:19">
      <c r="A1488" s="19" t="s">
        <v>5860</v>
      </c>
      <c r="B1488" s="20" t="s">
        <v>19</v>
      </c>
      <c r="C1488" s="20" t="s">
        <v>20</v>
      </c>
      <c r="D1488" s="20" t="s">
        <v>32</v>
      </c>
      <c r="E1488" s="21" t="s">
        <v>5861</v>
      </c>
      <c r="F1488" s="21" t="s">
        <v>5862</v>
      </c>
      <c r="G1488" s="20" t="s">
        <v>35</v>
      </c>
      <c r="H1488" s="20" t="s">
        <v>25</v>
      </c>
      <c r="I1488" s="21" t="s">
        <v>5863</v>
      </c>
      <c r="J1488" s="22">
        <f t="shared" si="115"/>
        <v>7.01249999999709</v>
      </c>
      <c r="K1488" s="22">
        <f t="shared" si="116"/>
        <v>168.29999999993</v>
      </c>
      <c r="L1488" s="22">
        <f t="shared" si="117"/>
        <v>56.2999999999302</v>
      </c>
      <c r="M1488" s="22" cm="1">
        <f ca="1" t="array" ref="M1488">SUMPRODUCT(--(WEEKDAY(ROW(INDIRECT(INT(F1488)&amp;":"&amp;INT(I1488))),2)&gt;5))</f>
        <v>2</v>
      </c>
      <c r="N1488" s="22">
        <f ca="1" t="shared" si="118"/>
        <v>40.2999999999302</v>
      </c>
      <c r="O1488" s="22" t="str">
        <f ca="1" t="shared" si="119"/>
        <v>SLA Violated</v>
      </c>
      <c r="P1488" s="23" t="s">
        <v>5864</v>
      </c>
      <c r="Q1488" s="24" t="s">
        <v>28</v>
      </c>
      <c r="R1488" s="25"/>
      <c r="S1488" s="25"/>
    </row>
    <row r="1489" ht="27" customHeight="1" spans="1:19">
      <c r="A1489" s="19" t="s">
        <v>5865</v>
      </c>
      <c r="B1489" s="20" t="s">
        <v>30</v>
      </c>
      <c r="C1489" s="20" t="s">
        <v>31</v>
      </c>
      <c r="D1489" s="20" t="s">
        <v>32</v>
      </c>
      <c r="E1489" s="21" t="s">
        <v>5861</v>
      </c>
      <c r="F1489" s="21" t="s">
        <v>5866</v>
      </c>
      <c r="G1489" s="20" t="s">
        <v>35</v>
      </c>
      <c r="H1489" s="20" t="s">
        <v>25</v>
      </c>
      <c r="I1489" s="21" t="s">
        <v>5867</v>
      </c>
      <c r="J1489" s="22">
        <f t="shared" si="115"/>
        <v>0.829166666670062</v>
      </c>
      <c r="K1489" s="22">
        <f t="shared" si="116"/>
        <v>19.9000000000815</v>
      </c>
      <c r="L1489" s="22">
        <f t="shared" si="117"/>
        <v>3.90000000008149</v>
      </c>
      <c r="M1489" s="22" cm="1">
        <f ca="1" t="array" ref="M1489">SUMPRODUCT(--(WEEKDAY(ROW(INDIRECT(INT(F1489)&amp;":"&amp;INT(I1489))),2)&gt;5))</f>
        <v>0</v>
      </c>
      <c r="N1489" s="22">
        <f ca="1" t="shared" si="118"/>
        <v>3.90000000008149</v>
      </c>
      <c r="O1489" s="22" t="str">
        <f ca="1" t="shared" si="119"/>
        <v>Within SLA</v>
      </c>
      <c r="P1489" s="26" t="s">
        <v>5865</v>
      </c>
      <c r="Q1489" s="24" t="s">
        <v>37</v>
      </c>
      <c r="R1489" s="25"/>
      <c r="S1489" s="25"/>
    </row>
    <row r="1490" ht="27" customHeight="1" spans="1:19">
      <c r="A1490" s="19" t="s">
        <v>5868</v>
      </c>
      <c r="B1490" s="20" t="s">
        <v>30</v>
      </c>
      <c r="C1490" s="20" t="s">
        <v>31</v>
      </c>
      <c r="D1490" s="20" t="s">
        <v>32</v>
      </c>
      <c r="E1490" s="21" t="s">
        <v>5861</v>
      </c>
      <c r="F1490" s="21" t="s">
        <v>5869</v>
      </c>
      <c r="G1490" s="20" t="s">
        <v>35</v>
      </c>
      <c r="H1490" s="20" t="s">
        <v>25</v>
      </c>
      <c r="I1490" s="21" t="s">
        <v>5870</v>
      </c>
      <c r="J1490" s="22">
        <f t="shared" si="115"/>
        <v>13.9736111111124</v>
      </c>
      <c r="K1490" s="22">
        <f t="shared" si="116"/>
        <v>335.366666666698</v>
      </c>
      <c r="L1490" s="22">
        <f t="shared" si="117"/>
        <v>111.366666666698</v>
      </c>
      <c r="M1490" s="22" cm="1">
        <f ca="1" t="array" ref="M1490">SUMPRODUCT(--(WEEKDAY(ROW(INDIRECT(INT(F1490)&amp;":"&amp;INT(I1490))),2)&gt;5))</f>
        <v>4</v>
      </c>
      <c r="N1490" s="22">
        <f ca="1" t="shared" si="118"/>
        <v>79.366666666698</v>
      </c>
      <c r="O1490" s="22" t="str">
        <f ca="1" t="shared" si="119"/>
        <v>SLA Violated</v>
      </c>
      <c r="P1490" s="23" t="s">
        <v>5871</v>
      </c>
      <c r="Q1490" s="24" t="s">
        <v>28</v>
      </c>
      <c r="R1490" s="25"/>
      <c r="S1490" s="25"/>
    </row>
    <row r="1491" ht="27" customHeight="1" spans="1:19">
      <c r="A1491" s="19" t="s">
        <v>5872</v>
      </c>
      <c r="B1491" s="20" t="s">
        <v>30</v>
      </c>
      <c r="C1491" s="20" t="s">
        <v>849</v>
      </c>
      <c r="D1491" s="20" t="s">
        <v>21</v>
      </c>
      <c r="E1491" s="21" t="s">
        <v>5873</v>
      </c>
      <c r="F1491" s="21" t="s">
        <v>5874</v>
      </c>
      <c r="G1491" s="20" t="s">
        <v>35</v>
      </c>
      <c r="H1491" s="20" t="s">
        <v>25</v>
      </c>
      <c r="I1491" s="21" t="s">
        <v>5875</v>
      </c>
      <c r="J1491" s="22">
        <f t="shared" si="115"/>
        <v>5.91458333333867</v>
      </c>
      <c r="K1491" s="22">
        <f t="shared" si="116"/>
        <v>141.950000000128</v>
      </c>
      <c r="L1491" s="22">
        <f t="shared" si="117"/>
        <v>45.9500000001281</v>
      </c>
      <c r="M1491" s="22" cm="1">
        <f ca="1" t="array" ref="M1491">SUMPRODUCT(--(WEEKDAY(ROW(INDIRECT(INT(F1491)&amp;":"&amp;INT(I1491))),2)&gt;5))</f>
        <v>2</v>
      </c>
      <c r="N1491" s="22">
        <f ca="1" t="shared" si="118"/>
        <v>29.9500000001281</v>
      </c>
      <c r="O1491" s="22" t="str">
        <f ca="1" t="shared" si="119"/>
        <v>SLA Violated</v>
      </c>
      <c r="P1491" s="23" t="s">
        <v>5876</v>
      </c>
      <c r="Q1491" s="24" t="s">
        <v>28</v>
      </c>
      <c r="R1491" s="25"/>
      <c r="S1491" s="25"/>
    </row>
    <row r="1492" ht="27" customHeight="1" spans="1:19">
      <c r="A1492" s="19" t="s">
        <v>5877</v>
      </c>
      <c r="B1492" s="20" t="s">
        <v>30</v>
      </c>
      <c r="C1492" s="20" t="s">
        <v>31</v>
      </c>
      <c r="D1492" s="20" t="s">
        <v>32</v>
      </c>
      <c r="E1492" s="21" t="s">
        <v>5878</v>
      </c>
      <c r="F1492" s="21" t="s">
        <v>5879</v>
      </c>
      <c r="G1492" s="20" t="s">
        <v>35</v>
      </c>
      <c r="H1492" s="20" t="s">
        <v>25</v>
      </c>
      <c r="I1492" s="21" t="s">
        <v>5880</v>
      </c>
      <c r="J1492" s="22">
        <f t="shared" si="115"/>
        <v>0.784722222218988</v>
      </c>
      <c r="K1492" s="22">
        <f t="shared" si="116"/>
        <v>18.8333333332557</v>
      </c>
      <c r="L1492" s="22">
        <f t="shared" si="117"/>
        <v>2.83333333325572</v>
      </c>
      <c r="M1492" s="22" cm="1">
        <f ca="1" t="array" ref="M1492">SUMPRODUCT(--(WEEKDAY(ROW(INDIRECT(INT(F1492)&amp;":"&amp;INT(I1492))),2)&gt;5))</f>
        <v>0</v>
      </c>
      <c r="N1492" s="22">
        <f ca="1" t="shared" si="118"/>
        <v>2.83333333325572</v>
      </c>
      <c r="O1492" s="22" t="str">
        <f ca="1" t="shared" si="119"/>
        <v>Within SLA</v>
      </c>
      <c r="P1492" s="26" t="s">
        <v>5877</v>
      </c>
      <c r="Q1492" s="24" t="s">
        <v>37</v>
      </c>
      <c r="R1492" s="25"/>
      <c r="S1492" s="25"/>
    </row>
    <row r="1493" ht="27" customHeight="1" spans="1:19">
      <c r="A1493" s="19" t="s">
        <v>5881</v>
      </c>
      <c r="B1493" s="20" t="s">
        <v>30</v>
      </c>
      <c r="C1493" s="20" t="s">
        <v>31</v>
      </c>
      <c r="D1493" s="20" t="s">
        <v>32</v>
      </c>
      <c r="E1493" s="21" t="s">
        <v>5882</v>
      </c>
      <c r="F1493" s="21" t="s">
        <v>5883</v>
      </c>
      <c r="G1493" s="20" t="s">
        <v>35</v>
      </c>
      <c r="H1493" s="20" t="s">
        <v>25</v>
      </c>
      <c r="I1493" s="21" t="s">
        <v>5884</v>
      </c>
      <c r="J1493" s="22">
        <f t="shared" si="115"/>
        <v>0.807638888887595</v>
      </c>
      <c r="K1493" s="22">
        <f t="shared" si="116"/>
        <v>19.3833333333023</v>
      </c>
      <c r="L1493" s="22">
        <f t="shared" si="117"/>
        <v>3.38333333330229</v>
      </c>
      <c r="M1493" s="22" cm="1">
        <f ca="1" t="array" ref="M1493">SUMPRODUCT(--(WEEKDAY(ROW(INDIRECT(INT(F1493)&amp;":"&amp;INT(I1493))),2)&gt;5))</f>
        <v>0</v>
      </c>
      <c r="N1493" s="22">
        <f ca="1" t="shared" si="118"/>
        <v>3.38333333330229</v>
      </c>
      <c r="O1493" s="22" t="str">
        <f ca="1" t="shared" si="119"/>
        <v>Within SLA</v>
      </c>
      <c r="P1493" s="26" t="s">
        <v>5881</v>
      </c>
      <c r="Q1493" s="24" t="s">
        <v>37</v>
      </c>
      <c r="R1493" s="25"/>
      <c r="S1493" s="25"/>
    </row>
    <row r="1494" ht="27" customHeight="1" spans="1:19">
      <c r="A1494" s="19" t="s">
        <v>5885</v>
      </c>
      <c r="B1494" s="20" t="s">
        <v>30</v>
      </c>
      <c r="C1494" s="20" t="s">
        <v>849</v>
      </c>
      <c r="D1494" s="20" t="s">
        <v>32</v>
      </c>
      <c r="E1494" s="21" t="s">
        <v>5886</v>
      </c>
      <c r="F1494" s="21" t="s">
        <v>5887</v>
      </c>
      <c r="G1494" s="20" t="s">
        <v>35</v>
      </c>
      <c r="H1494" s="20" t="s">
        <v>25</v>
      </c>
      <c r="I1494" s="21" t="s">
        <v>5888</v>
      </c>
      <c r="J1494" s="22">
        <f t="shared" si="115"/>
        <v>6.13194444444525</v>
      </c>
      <c r="K1494" s="22">
        <f t="shared" si="116"/>
        <v>147.166666666686</v>
      </c>
      <c r="L1494" s="22">
        <f t="shared" si="117"/>
        <v>51.1666666666861</v>
      </c>
      <c r="M1494" s="22" cm="1">
        <f ca="1" t="array" ref="M1494">SUMPRODUCT(--(WEEKDAY(ROW(INDIRECT(INT(F1494)&amp;":"&amp;INT(I1494))),2)&gt;5))</f>
        <v>2</v>
      </c>
      <c r="N1494" s="22">
        <f ca="1" t="shared" si="118"/>
        <v>35.1666666666861</v>
      </c>
      <c r="O1494" s="22" t="str">
        <f ca="1" t="shared" si="119"/>
        <v>SLA Violated</v>
      </c>
      <c r="P1494" s="23" t="s">
        <v>5889</v>
      </c>
      <c r="Q1494" s="24" t="s">
        <v>28</v>
      </c>
      <c r="R1494" s="25"/>
      <c r="S1494" s="25"/>
    </row>
    <row r="1495" ht="27" customHeight="1" spans="1:19">
      <c r="A1495" s="19" t="s">
        <v>5890</v>
      </c>
      <c r="B1495" s="20" t="s">
        <v>30</v>
      </c>
      <c r="C1495" s="20" t="s">
        <v>31</v>
      </c>
      <c r="D1495" s="20" t="s">
        <v>32</v>
      </c>
      <c r="E1495" s="21" t="s">
        <v>5886</v>
      </c>
      <c r="F1495" s="21" t="s">
        <v>5891</v>
      </c>
      <c r="G1495" s="20" t="s">
        <v>35</v>
      </c>
      <c r="H1495" s="20" t="s">
        <v>25</v>
      </c>
      <c r="I1495" s="21" t="s">
        <v>5892</v>
      </c>
      <c r="J1495" s="22">
        <f t="shared" si="115"/>
        <v>0.771527777782467</v>
      </c>
      <c r="K1495" s="22">
        <f t="shared" si="116"/>
        <v>18.5166666667792</v>
      </c>
      <c r="L1495" s="22">
        <f t="shared" si="117"/>
        <v>2.5166666667792</v>
      </c>
      <c r="M1495" s="22" cm="1">
        <f ca="1" t="array" ref="M1495">SUMPRODUCT(--(WEEKDAY(ROW(INDIRECT(INT(F1495)&amp;":"&amp;INT(I1495))),2)&gt;5))</f>
        <v>0</v>
      </c>
      <c r="N1495" s="22">
        <f ca="1" t="shared" si="118"/>
        <v>2.5166666667792</v>
      </c>
      <c r="O1495" s="22" t="str">
        <f ca="1" t="shared" si="119"/>
        <v>Within SLA</v>
      </c>
      <c r="P1495" s="26" t="s">
        <v>5890</v>
      </c>
      <c r="Q1495" s="24" t="s">
        <v>37</v>
      </c>
      <c r="R1495" s="25"/>
      <c r="S1495" s="25"/>
    </row>
    <row r="1496" ht="27" customHeight="1" spans="1:19">
      <c r="A1496" s="19" t="s">
        <v>5893</v>
      </c>
      <c r="B1496" s="20" t="s">
        <v>30</v>
      </c>
      <c r="C1496" s="20" t="s">
        <v>31</v>
      </c>
      <c r="D1496" s="20" t="s">
        <v>32</v>
      </c>
      <c r="E1496" s="21" t="s">
        <v>2767</v>
      </c>
      <c r="F1496" s="21" t="s">
        <v>5894</v>
      </c>
      <c r="G1496" s="20" t="s">
        <v>35</v>
      </c>
      <c r="H1496" s="20" t="s">
        <v>25</v>
      </c>
      <c r="I1496" s="21" t="s">
        <v>5895</v>
      </c>
      <c r="J1496" s="22">
        <f t="shared" si="115"/>
        <v>0.795138888890506</v>
      </c>
      <c r="K1496" s="22">
        <f t="shared" si="116"/>
        <v>19.0833333333721</v>
      </c>
      <c r="L1496" s="22">
        <f t="shared" si="117"/>
        <v>3.08333333337214</v>
      </c>
      <c r="M1496" s="22" cm="1">
        <f ca="1" t="array" ref="M1496">SUMPRODUCT(--(WEEKDAY(ROW(INDIRECT(INT(F1496)&amp;":"&amp;INT(I1496))),2)&gt;5))</f>
        <v>0</v>
      </c>
      <c r="N1496" s="22">
        <f ca="1" t="shared" si="118"/>
        <v>3.08333333337214</v>
      </c>
      <c r="O1496" s="22" t="str">
        <f ca="1" t="shared" si="119"/>
        <v>Within SLA</v>
      </c>
      <c r="P1496" s="26" t="s">
        <v>5893</v>
      </c>
      <c r="Q1496" s="24" t="s">
        <v>37</v>
      </c>
      <c r="R1496" s="25"/>
      <c r="S1496" s="25"/>
    </row>
    <row r="1497" ht="27" customHeight="1" spans="1:19">
      <c r="A1497" s="19" t="s">
        <v>5896</v>
      </c>
      <c r="B1497" s="20" t="s">
        <v>30</v>
      </c>
      <c r="C1497" s="20" t="s">
        <v>31</v>
      </c>
      <c r="D1497" s="20" t="s">
        <v>32</v>
      </c>
      <c r="E1497" s="21" t="s">
        <v>2767</v>
      </c>
      <c r="F1497" s="21" t="s">
        <v>5897</v>
      </c>
      <c r="G1497" s="20" t="s">
        <v>35</v>
      </c>
      <c r="H1497" s="20" t="s">
        <v>25</v>
      </c>
      <c r="I1497" s="21" t="s">
        <v>5898</v>
      </c>
      <c r="J1497" s="22">
        <f t="shared" si="115"/>
        <v>0.792361111110949</v>
      </c>
      <c r="K1497" s="22">
        <f t="shared" si="116"/>
        <v>19.0166666666628</v>
      </c>
      <c r="L1497" s="22">
        <f t="shared" si="117"/>
        <v>3.01666666666279</v>
      </c>
      <c r="M1497" s="22" cm="1">
        <f ca="1" t="array" ref="M1497">SUMPRODUCT(--(WEEKDAY(ROW(INDIRECT(INT(F1497)&amp;":"&amp;INT(I1497))),2)&gt;5))</f>
        <v>0</v>
      </c>
      <c r="N1497" s="22">
        <f ca="1" t="shared" si="118"/>
        <v>3.01666666666279</v>
      </c>
      <c r="O1497" s="22" t="str">
        <f ca="1" t="shared" si="119"/>
        <v>Within SLA</v>
      </c>
      <c r="P1497" s="26" t="s">
        <v>5896</v>
      </c>
      <c r="Q1497" s="24" t="s">
        <v>37</v>
      </c>
      <c r="R1497" s="25"/>
      <c r="S1497" s="25"/>
    </row>
    <row r="1498" ht="27" customHeight="1" spans="1:19">
      <c r="A1498" s="19" t="s">
        <v>5899</v>
      </c>
      <c r="B1498" s="20" t="s">
        <v>30</v>
      </c>
      <c r="C1498" s="20" t="s">
        <v>849</v>
      </c>
      <c r="D1498" s="20" t="s">
        <v>32</v>
      </c>
      <c r="E1498" s="21" t="s">
        <v>5895</v>
      </c>
      <c r="F1498" s="21" t="s">
        <v>5900</v>
      </c>
      <c r="G1498" s="20" t="s">
        <v>35</v>
      </c>
      <c r="H1498" s="20" t="s">
        <v>25</v>
      </c>
      <c r="I1498" s="21" t="s">
        <v>5901</v>
      </c>
      <c r="J1498" s="22">
        <f t="shared" si="115"/>
        <v>6.09166666666715</v>
      </c>
      <c r="K1498" s="22">
        <f t="shared" si="116"/>
        <v>146.200000000012</v>
      </c>
      <c r="L1498" s="22">
        <f t="shared" si="117"/>
        <v>50.2000000000116</v>
      </c>
      <c r="M1498" s="22" cm="1">
        <f ca="1" t="array" ref="M1498">SUMPRODUCT(--(WEEKDAY(ROW(INDIRECT(INT(F1498)&amp;":"&amp;INT(I1498))),2)&gt;5))</f>
        <v>2</v>
      </c>
      <c r="N1498" s="22">
        <f ca="1" t="shared" si="118"/>
        <v>34.2000000000116</v>
      </c>
      <c r="O1498" s="22" t="str">
        <f ca="1" t="shared" si="119"/>
        <v>SLA Violated</v>
      </c>
      <c r="P1498" s="23" t="s">
        <v>5902</v>
      </c>
      <c r="Q1498" s="24" t="s">
        <v>28</v>
      </c>
      <c r="R1498" s="25"/>
      <c r="S1498" s="25"/>
    </row>
    <row r="1499" ht="27" customHeight="1" spans="1:19">
      <c r="A1499" s="19" t="s">
        <v>5903</v>
      </c>
      <c r="B1499" s="20" t="s">
        <v>30</v>
      </c>
      <c r="C1499" s="20" t="s">
        <v>31</v>
      </c>
      <c r="D1499" s="20" t="s">
        <v>32</v>
      </c>
      <c r="E1499" s="21" t="s">
        <v>5895</v>
      </c>
      <c r="F1499" s="21" t="s">
        <v>5904</v>
      </c>
      <c r="G1499" s="20" t="s">
        <v>35</v>
      </c>
      <c r="H1499" s="20" t="s">
        <v>25</v>
      </c>
      <c r="I1499" s="21" t="s">
        <v>5905</v>
      </c>
      <c r="J1499" s="22">
        <f t="shared" si="115"/>
        <v>0.754166666665697</v>
      </c>
      <c r="K1499" s="22">
        <f t="shared" si="116"/>
        <v>18.0999999999767</v>
      </c>
      <c r="L1499" s="22">
        <f t="shared" si="117"/>
        <v>2.09999999997672</v>
      </c>
      <c r="M1499" s="22" cm="1">
        <f ca="1" t="array" ref="M1499">SUMPRODUCT(--(WEEKDAY(ROW(INDIRECT(INT(F1499)&amp;":"&amp;INT(I1499))),2)&gt;5))</f>
        <v>0</v>
      </c>
      <c r="N1499" s="22">
        <f ca="1" t="shared" si="118"/>
        <v>2.09999999997672</v>
      </c>
      <c r="O1499" s="22" t="str">
        <f ca="1" t="shared" si="119"/>
        <v>Within SLA</v>
      </c>
      <c r="P1499" s="26" t="s">
        <v>5903</v>
      </c>
      <c r="Q1499" s="24" t="s">
        <v>37</v>
      </c>
      <c r="R1499" s="25"/>
      <c r="S1499" s="25"/>
    </row>
    <row r="1500" ht="27" customHeight="1" spans="1:19">
      <c r="A1500" s="19" t="s">
        <v>5906</v>
      </c>
      <c r="B1500" s="20" t="s">
        <v>30</v>
      </c>
      <c r="C1500" s="20" t="s">
        <v>849</v>
      </c>
      <c r="D1500" s="20" t="s">
        <v>32</v>
      </c>
      <c r="E1500" s="21" t="s">
        <v>5895</v>
      </c>
      <c r="F1500" s="21" t="s">
        <v>5907</v>
      </c>
      <c r="G1500" s="20" t="s">
        <v>35</v>
      </c>
      <c r="H1500" s="20" t="s">
        <v>25</v>
      </c>
      <c r="I1500" s="21" t="s">
        <v>5908</v>
      </c>
      <c r="J1500" s="22">
        <f t="shared" si="115"/>
        <v>6.0888888888876</v>
      </c>
      <c r="K1500" s="22">
        <f t="shared" si="116"/>
        <v>146.133333333302</v>
      </c>
      <c r="L1500" s="22">
        <f t="shared" si="117"/>
        <v>50.1333333333023</v>
      </c>
      <c r="M1500" s="22" cm="1">
        <f ca="1" t="array" ref="M1500">SUMPRODUCT(--(WEEKDAY(ROW(INDIRECT(INT(F1500)&amp;":"&amp;INT(I1500))),2)&gt;5))</f>
        <v>2</v>
      </c>
      <c r="N1500" s="22">
        <f ca="1" t="shared" si="118"/>
        <v>34.1333333333023</v>
      </c>
      <c r="O1500" s="22" t="str">
        <f ca="1" t="shared" si="119"/>
        <v>SLA Violated</v>
      </c>
      <c r="P1500" s="23" t="s">
        <v>5909</v>
      </c>
      <c r="Q1500" s="24" t="s">
        <v>28</v>
      </c>
      <c r="R1500" s="25"/>
      <c r="S1500" s="25"/>
    </row>
    <row r="1501" ht="27" customHeight="1" spans="1:19">
      <c r="A1501" s="19" t="s">
        <v>5910</v>
      </c>
      <c r="B1501" s="20" t="s">
        <v>30</v>
      </c>
      <c r="C1501" s="20" t="s">
        <v>31</v>
      </c>
      <c r="D1501" s="20" t="s">
        <v>32</v>
      </c>
      <c r="E1501" s="21" t="s">
        <v>5895</v>
      </c>
      <c r="F1501" s="21" t="s">
        <v>5911</v>
      </c>
      <c r="G1501" s="20" t="s">
        <v>35</v>
      </c>
      <c r="H1501" s="20" t="s">
        <v>25</v>
      </c>
      <c r="I1501" s="21" t="s">
        <v>5912</v>
      </c>
      <c r="J1501" s="22">
        <f t="shared" si="115"/>
        <v>0.745833333334303</v>
      </c>
      <c r="K1501" s="22">
        <f t="shared" si="116"/>
        <v>17.9000000000233</v>
      </c>
      <c r="L1501" s="22">
        <f t="shared" si="117"/>
        <v>1.90000000002328</v>
      </c>
      <c r="M1501" s="22" cm="1">
        <f ca="1" t="array" ref="M1501">SUMPRODUCT(--(WEEKDAY(ROW(INDIRECT(INT(F1501)&amp;":"&amp;INT(I1501))),2)&gt;5))</f>
        <v>0</v>
      </c>
      <c r="N1501" s="22">
        <f ca="1" t="shared" si="118"/>
        <v>1.90000000002328</v>
      </c>
      <c r="O1501" s="22" t="str">
        <f ca="1" t="shared" si="119"/>
        <v>Within SLA</v>
      </c>
      <c r="P1501" s="26" t="s">
        <v>5910</v>
      </c>
      <c r="Q1501" s="24" t="s">
        <v>37</v>
      </c>
      <c r="R1501" s="25"/>
      <c r="S1501" s="25"/>
    </row>
    <row r="1502" ht="27" customHeight="1" spans="1:19">
      <c r="A1502" s="19" t="s">
        <v>5913</v>
      </c>
      <c r="B1502" s="20" t="s">
        <v>30</v>
      </c>
      <c r="C1502" s="20" t="s">
        <v>31</v>
      </c>
      <c r="D1502" s="20" t="s">
        <v>21</v>
      </c>
      <c r="E1502" s="21" t="s">
        <v>5898</v>
      </c>
      <c r="F1502" s="21" t="s">
        <v>5914</v>
      </c>
      <c r="G1502" s="20" t="s">
        <v>35</v>
      </c>
      <c r="H1502" s="20" t="s">
        <v>25</v>
      </c>
      <c r="I1502" s="21" t="s">
        <v>5915</v>
      </c>
      <c r="J1502" s="22">
        <f t="shared" si="115"/>
        <v>7.73750000000291</v>
      </c>
      <c r="K1502" s="22">
        <f t="shared" si="116"/>
        <v>185.70000000007</v>
      </c>
      <c r="L1502" s="22">
        <f t="shared" si="117"/>
        <v>57.7000000000698</v>
      </c>
      <c r="M1502" s="22" cm="1">
        <f ca="1" t="array" ref="M1502">SUMPRODUCT(--(WEEKDAY(ROW(INDIRECT(INT(F1502)&amp;":"&amp;INT(I1502))),2)&gt;5))</f>
        <v>2</v>
      </c>
      <c r="N1502" s="22">
        <f ca="1" t="shared" si="118"/>
        <v>41.7000000000698</v>
      </c>
      <c r="O1502" s="22" t="str">
        <f ca="1" t="shared" si="119"/>
        <v>SLA Violated</v>
      </c>
      <c r="P1502" s="23" t="s">
        <v>5916</v>
      </c>
      <c r="Q1502" s="24" t="s">
        <v>28</v>
      </c>
      <c r="R1502" s="25"/>
      <c r="S1502" s="25"/>
    </row>
    <row r="1503" ht="39" customHeight="1" spans="1:19">
      <c r="A1503" s="19" t="s">
        <v>5917</v>
      </c>
      <c r="B1503" s="20" t="s">
        <v>19</v>
      </c>
      <c r="C1503" s="20" t="s">
        <v>20</v>
      </c>
      <c r="D1503" s="20" t="s">
        <v>32</v>
      </c>
      <c r="E1503" s="21" t="s">
        <v>5918</v>
      </c>
      <c r="F1503" s="21" t="s">
        <v>5919</v>
      </c>
      <c r="G1503" s="20" t="s">
        <v>35</v>
      </c>
      <c r="H1503" s="20" t="s">
        <v>25</v>
      </c>
      <c r="I1503" s="21" t="s">
        <v>5920</v>
      </c>
      <c r="J1503" s="22">
        <f t="shared" si="115"/>
        <v>5.90972222221899</v>
      </c>
      <c r="K1503" s="22">
        <f t="shared" si="116"/>
        <v>141.833333333256</v>
      </c>
      <c r="L1503" s="22">
        <f t="shared" si="117"/>
        <v>45.8333333332557</v>
      </c>
      <c r="M1503" s="22" cm="1">
        <f ca="1" t="array" ref="M1503">SUMPRODUCT(--(WEEKDAY(ROW(INDIRECT(INT(F1503)&amp;":"&amp;INT(I1503))),2)&gt;5))</f>
        <v>2</v>
      </c>
      <c r="N1503" s="22">
        <f ca="1" t="shared" si="118"/>
        <v>29.8333333332557</v>
      </c>
      <c r="O1503" s="22" t="str">
        <f ca="1" t="shared" si="119"/>
        <v>SLA Violated</v>
      </c>
      <c r="P1503" s="23" t="s">
        <v>5921</v>
      </c>
      <c r="Q1503" s="24" t="s">
        <v>28</v>
      </c>
      <c r="R1503" s="25"/>
      <c r="S1503" s="25"/>
    </row>
    <row r="1504" ht="39" customHeight="1" spans="1:19">
      <c r="A1504" s="19" t="s">
        <v>5922</v>
      </c>
      <c r="B1504" s="20" t="s">
        <v>19</v>
      </c>
      <c r="C1504" s="20" t="s">
        <v>20</v>
      </c>
      <c r="D1504" s="20" t="s">
        <v>21</v>
      </c>
      <c r="E1504" s="21" t="s">
        <v>2362</v>
      </c>
      <c r="F1504" s="21" t="s">
        <v>5923</v>
      </c>
      <c r="G1504" s="20" t="s">
        <v>35</v>
      </c>
      <c r="H1504" s="20" t="s">
        <v>25</v>
      </c>
      <c r="I1504" s="21" t="s">
        <v>5924</v>
      </c>
      <c r="J1504" s="22">
        <f t="shared" si="115"/>
        <v>-0.0180555555562023</v>
      </c>
      <c r="K1504" s="22">
        <f t="shared" si="116"/>
        <v>-0.433333333348855</v>
      </c>
      <c r="L1504" s="22">
        <f t="shared" si="117"/>
        <v>-0.433333333348855</v>
      </c>
      <c r="M1504" s="22" cm="1">
        <f ca="1" t="array" ref="M1504">SUMPRODUCT(--(WEEKDAY(ROW(INDIRECT(INT(F1504)&amp;":"&amp;INT(I1504))),2)&gt;5))</f>
        <v>0</v>
      </c>
      <c r="N1504" s="22">
        <f ca="1" t="shared" si="118"/>
        <v>0</v>
      </c>
      <c r="O1504" s="22" t="str">
        <f ca="1" t="shared" si="119"/>
        <v>Within SLA</v>
      </c>
      <c r="P1504" s="26" t="s">
        <v>5922</v>
      </c>
      <c r="Q1504" s="24" t="s">
        <v>37</v>
      </c>
      <c r="R1504" s="25"/>
      <c r="S1504" s="25"/>
    </row>
    <row r="1505" ht="27" customHeight="1" spans="1:19">
      <c r="A1505" s="19" t="s">
        <v>5925</v>
      </c>
      <c r="B1505" s="20" t="s">
        <v>30</v>
      </c>
      <c r="C1505" s="20" t="s">
        <v>849</v>
      </c>
      <c r="D1505" s="20" t="s">
        <v>32</v>
      </c>
      <c r="E1505" s="21" t="s">
        <v>5926</v>
      </c>
      <c r="F1505" s="21" t="s">
        <v>5927</v>
      </c>
      <c r="G1505" s="20" t="s">
        <v>35</v>
      </c>
      <c r="H1505" s="20" t="s">
        <v>25</v>
      </c>
      <c r="I1505" s="21" t="s">
        <v>5928</v>
      </c>
      <c r="J1505" s="22">
        <f t="shared" si="115"/>
        <v>6.73472222222335</v>
      </c>
      <c r="K1505" s="22">
        <f t="shared" si="116"/>
        <v>161.63333333336</v>
      </c>
      <c r="L1505" s="22">
        <f t="shared" si="117"/>
        <v>49.6333333333605</v>
      </c>
      <c r="M1505" s="22" cm="1">
        <f ca="1" t="array" ref="M1505">SUMPRODUCT(--(WEEKDAY(ROW(INDIRECT(INT(F1505)&amp;":"&amp;INT(I1505))),2)&gt;5))</f>
        <v>2</v>
      </c>
      <c r="N1505" s="22">
        <f ca="1" t="shared" si="118"/>
        <v>33.6333333333605</v>
      </c>
      <c r="O1505" s="22" t="str">
        <f ca="1" t="shared" si="119"/>
        <v>SLA Violated</v>
      </c>
      <c r="P1505" s="23" t="s">
        <v>5929</v>
      </c>
      <c r="Q1505" s="24" t="s">
        <v>28</v>
      </c>
      <c r="R1505" s="25"/>
      <c r="S1505" s="25"/>
    </row>
    <row r="1506" ht="39" customHeight="1" spans="1:19">
      <c r="A1506" s="19" t="s">
        <v>5930</v>
      </c>
      <c r="B1506" s="20" t="s">
        <v>19</v>
      </c>
      <c r="C1506" s="20" t="s">
        <v>20</v>
      </c>
      <c r="D1506" s="20" t="s">
        <v>32</v>
      </c>
      <c r="E1506" s="21" t="s">
        <v>5926</v>
      </c>
      <c r="F1506" s="21" t="s">
        <v>5931</v>
      </c>
      <c r="G1506" s="20" t="s">
        <v>24</v>
      </c>
      <c r="H1506" s="20" t="s">
        <v>25</v>
      </c>
      <c r="I1506" s="21" t="s">
        <v>5932</v>
      </c>
      <c r="J1506" s="22">
        <f t="shared" si="115"/>
        <v>61.8423611111066</v>
      </c>
      <c r="K1506" s="22">
        <f t="shared" si="116"/>
        <v>1484.21666666656</v>
      </c>
      <c r="L1506" s="22">
        <f t="shared" si="117"/>
        <v>492.216666666558</v>
      </c>
      <c r="M1506" s="22" cm="1">
        <f ca="1" t="array" ref="M1506">SUMPRODUCT(--(WEEKDAY(ROW(INDIRECT(INT(F1506)&amp;":"&amp;INT(I1506))),2)&gt;5))</f>
        <v>18</v>
      </c>
      <c r="N1506" s="22">
        <f ca="1" t="shared" si="118"/>
        <v>348.216666666558</v>
      </c>
      <c r="O1506" s="22" t="str">
        <f ca="1" t="shared" si="119"/>
        <v>SLA Violated</v>
      </c>
      <c r="P1506" s="23" t="s">
        <v>5933</v>
      </c>
      <c r="Q1506" s="24" t="s">
        <v>37</v>
      </c>
      <c r="R1506" s="25" t="s">
        <v>220</v>
      </c>
      <c r="S1506" s="25" t="s">
        <v>39</v>
      </c>
    </row>
    <row r="1507" ht="27" customHeight="1" spans="1:19">
      <c r="A1507" s="19" t="s">
        <v>5934</v>
      </c>
      <c r="B1507" s="20" t="s">
        <v>30</v>
      </c>
      <c r="C1507" s="20" t="s">
        <v>31</v>
      </c>
      <c r="D1507" s="20" t="s">
        <v>32</v>
      </c>
      <c r="E1507" s="21" t="s">
        <v>5759</v>
      </c>
      <c r="F1507" s="21" t="s">
        <v>5935</v>
      </c>
      <c r="G1507" s="20" t="s">
        <v>35</v>
      </c>
      <c r="H1507" s="20" t="s">
        <v>25</v>
      </c>
      <c r="I1507" s="21" t="s">
        <v>5936</v>
      </c>
      <c r="J1507" s="22">
        <f t="shared" si="115"/>
        <v>0.74861111111386</v>
      </c>
      <c r="K1507" s="22">
        <f t="shared" si="116"/>
        <v>17.9666666667326</v>
      </c>
      <c r="L1507" s="22">
        <f t="shared" si="117"/>
        <v>1.96666666673264</v>
      </c>
      <c r="M1507" s="22" cm="1">
        <f ca="1" t="array" ref="M1507">SUMPRODUCT(--(WEEKDAY(ROW(INDIRECT(INT(F1507)&amp;":"&amp;INT(I1507))),2)&gt;5))</f>
        <v>0</v>
      </c>
      <c r="N1507" s="22">
        <f ca="1" t="shared" si="118"/>
        <v>1.96666666673264</v>
      </c>
      <c r="O1507" s="22" t="str">
        <f ca="1" t="shared" si="119"/>
        <v>Within SLA</v>
      </c>
      <c r="P1507" s="26" t="s">
        <v>5934</v>
      </c>
      <c r="Q1507" s="24" t="s">
        <v>37</v>
      </c>
      <c r="R1507" s="25"/>
      <c r="S1507" s="25"/>
    </row>
    <row r="1508" ht="27" customHeight="1" spans="1:19">
      <c r="A1508" s="19" t="s">
        <v>5937</v>
      </c>
      <c r="B1508" s="20" t="s">
        <v>30</v>
      </c>
      <c r="C1508" s="20" t="s">
        <v>31</v>
      </c>
      <c r="D1508" s="20" t="s">
        <v>32</v>
      </c>
      <c r="E1508" s="21" t="s">
        <v>5923</v>
      </c>
      <c r="F1508" s="21" t="s">
        <v>5938</v>
      </c>
      <c r="G1508" s="20" t="s">
        <v>35</v>
      </c>
      <c r="H1508" s="20" t="s">
        <v>25</v>
      </c>
      <c r="I1508" s="21" t="s">
        <v>5939</v>
      </c>
      <c r="J1508" s="22">
        <f t="shared" si="115"/>
        <v>0.759722222224809</v>
      </c>
      <c r="K1508" s="22">
        <f t="shared" si="116"/>
        <v>18.2333333333954</v>
      </c>
      <c r="L1508" s="22">
        <f t="shared" si="117"/>
        <v>2.23333333339542</v>
      </c>
      <c r="M1508" s="22" cm="1">
        <f ca="1" t="array" ref="M1508">SUMPRODUCT(--(WEEKDAY(ROW(INDIRECT(INT(F1508)&amp;":"&amp;INT(I1508))),2)&gt;5))</f>
        <v>0</v>
      </c>
      <c r="N1508" s="22">
        <f ca="1" t="shared" si="118"/>
        <v>2.23333333339542</v>
      </c>
      <c r="O1508" s="22" t="str">
        <f ca="1" t="shared" si="119"/>
        <v>Within SLA</v>
      </c>
      <c r="P1508" s="26" t="s">
        <v>5937</v>
      </c>
      <c r="Q1508" s="24" t="s">
        <v>37</v>
      </c>
      <c r="R1508" s="25"/>
      <c r="S1508" s="25"/>
    </row>
    <row r="1509" ht="39" customHeight="1" spans="1:19">
      <c r="A1509" s="19" t="s">
        <v>5940</v>
      </c>
      <c r="B1509" s="20" t="s">
        <v>19</v>
      </c>
      <c r="C1509" s="20" t="s">
        <v>20</v>
      </c>
      <c r="D1509" s="20" t="s">
        <v>32</v>
      </c>
      <c r="E1509" s="21" t="s">
        <v>5200</v>
      </c>
      <c r="F1509" s="21" t="s">
        <v>5941</v>
      </c>
      <c r="G1509" s="20" t="s">
        <v>35</v>
      </c>
      <c r="H1509" s="20" t="s">
        <v>25</v>
      </c>
      <c r="I1509" s="21" t="s">
        <v>5942</v>
      </c>
      <c r="J1509" s="22">
        <f t="shared" si="115"/>
        <v>1.02013888888905</v>
      </c>
      <c r="K1509" s="22">
        <f t="shared" si="116"/>
        <v>24.4833333333372</v>
      </c>
      <c r="L1509" s="22">
        <f t="shared" si="117"/>
        <v>8.48333333333721</v>
      </c>
      <c r="M1509" s="22" cm="1">
        <f ca="1" t="array" ref="M1509">SUMPRODUCT(--(WEEKDAY(ROW(INDIRECT(INT(F1509)&amp;":"&amp;INT(I1509))),2)&gt;5))</f>
        <v>0</v>
      </c>
      <c r="N1509" s="22">
        <f ca="1" t="shared" si="118"/>
        <v>8.48333333333721</v>
      </c>
      <c r="O1509" s="22" t="str">
        <f ca="1" t="shared" si="119"/>
        <v>Within SLA</v>
      </c>
      <c r="P1509" s="26" t="s">
        <v>5940</v>
      </c>
      <c r="Q1509" s="24" t="s">
        <v>37</v>
      </c>
      <c r="R1509" s="25"/>
      <c r="S1509" s="25"/>
    </row>
    <row r="1510" ht="27" customHeight="1" spans="1:19">
      <c r="A1510" s="19" t="s">
        <v>5943</v>
      </c>
      <c r="B1510" s="20" t="s">
        <v>30</v>
      </c>
      <c r="C1510" s="20" t="s">
        <v>849</v>
      </c>
      <c r="D1510" s="20" t="s">
        <v>32</v>
      </c>
      <c r="E1510" s="21" t="s">
        <v>4108</v>
      </c>
      <c r="F1510" s="21" t="s">
        <v>5944</v>
      </c>
      <c r="G1510" s="20" t="s">
        <v>35</v>
      </c>
      <c r="H1510" s="20" t="s">
        <v>25</v>
      </c>
      <c r="I1510" s="21" t="s">
        <v>5945</v>
      </c>
      <c r="J1510" s="22">
        <f t="shared" si="115"/>
        <v>6.72847222221753</v>
      </c>
      <c r="K1510" s="22">
        <f t="shared" si="116"/>
        <v>161.483333333221</v>
      </c>
      <c r="L1510" s="22">
        <f t="shared" si="117"/>
        <v>49.4833333332208</v>
      </c>
      <c r="M1510" s="22" cm="1">
        <f ca="1" t="array" ref="M1510">SUMPRODUCT(--(WEEKDAY(ROW(INDIRECT(INT(F1510)&amp;":"&amp;INT(I1510))),2)&gt;5))</f>
        <v>2</v>
      </c>
      <c r="N1510" s="22">
        <f ca="1" t="shared" si="118"/>
        <v>33.4833333332208</v>
      </c>
      <c r="O1510" s="22" t="str">
        <f ca="1" t="shared" si="119"/>
        <v>SLA Violated</v>
      </c>
      <c r="P1510" s="23" t="s">
        <v>5946</v>
      </c>
      <c r="Q1510" s="24" t="s">
        <v>28</v>
      </c>
      <c r="R1510" s="25"/>
      <c r="S1510" s="25"/>
    </row>
    <row r="1511" ht="27" customHeight="1" spans="1:19">
      <c r="A1511" s="19" t="s">
        <v>5947</v>
      </c>
      <c r="B1511" s="20" t="s">
        <v>30</v>
      </c>
      <c r="C1511" s="20" t="s">
        <v>31</v>
      </c>
      <c r="D1511" s="20" t="s">
        <v>32</v>
      </c>
      <c r="E1511" s="21" t="s">
        <v>4108</v>
      </c>
      <c r="F1511" s="21" t="s">
        <v>5948</v>
      </c>
      <c r="G1511" s="20" t="s">
        <v>35</v>
      </c>
      <c r="H1511" s="20" t="s">
        <v>25</v>
      </c>
      <c r="I1511" s="21" t="s">
        <v>5949</v>
      </c>
      <c r="J1511" s="22">
        <f t="shared" si="115"/>
        <v>0.71875</v>
      </c>
      <c r="K1511" s="22">
        <f t="shared" si="116"/>
        <v>17.25</v>
      </c>
      <c r="L1511" s="22">
        <f t="shared" si="117"/>
        <v>1.25</v>
      </c>
      <c r="M1511" s="22" cm="1">
        <f ca="1" t="array" ref="M1511">SUMPRODUCT(--(WEEKDAY(ROW(INDIRECT(INT(F1511)&amp;":"&amp;INT(I1511))),2)&gt;5))</f>
        <v>0</v>
      </c>
      <c r="N1511" s="22">
        <f ca="1" t="shared" si="118"/>
        <v>1.25</v>
      </c>
      <c r="O1511" s="22" t="str">
        <f ca="1" t="shared" si="119"/>
        <v>Within SLA</v>
      </c>
      <c r="P1511" s="26" t="s">
        <v>5947</v>
      </c>
      <c r="Q1511" s="24" t="s">
        <v>37</v>
      </c>
      <c r="R1511" s="25"/>
      <c r="S1511" s="25"/>
    </row>
    <row r="1512" ht="39" customHeight="1" spans="1:19">
      <c r="A1512" s="28" t="s">
        <v>5950</v>
      </c>
      <c r="B1512" s="20" t="s">
        <v>19</v>
      </c>
      <c r="C1512" s="20" t="s">
        <v>167</v>
      </c>
      <c r="D1512" s="20" t="s">
        <v>32</v>
      </c>
      <c r="E1512" s="21" t="s">
        <v>4108</v>
      </c>
      <c r="F1512" s="21" t="s">
        <v>5951</v>
      </c>
      <c r="G1512" s="20" t="s">
        <v>35</v>
      </c>
      <c r="H1512" s="20" t="s">
        <v>25</v>
      </c>
      <c r="I1512" s="21" t="s">
        <v>5952</v>
      </c>
      <c r="J1512" s="22">
        <f t="shared" si="115"/>
        <v>5.04305555555766</v>
      </c>
      <c r="K1512" s="22">
        <f t="shared" si="116"/>
        <v>121.033333333384</v>
      </c>
      <c r="L1512" s="22">
        <f t="shared" si="117"/>
        <v>41.0333333333838</v>
      </c>
      <c r="M1512" s="22" cm="1">
        <f ca="1" t="array" ref="M1512">SUMPRODUCT(--(WEEKDAY(ROW(INDIRECT(INT(F1512)&amp;":"&amp;INT(I1512))),2)&gt;5))</f>
        <v>2</v>
      </c>
      <c r="N1512" s="22">
        <f ca="1" t="shared" si="118"/>
        <v>25.0333333333838</v>
      </c>
      <c r="O1512" s="22" t="str">
        <f ca="1" t="shared" si="119"/>
        <v>SLA Violated</v>
      </c>
      <c r="P1512" s="23" t="s">
        <v>5950</v>
      </c>
      <c r="Q1512" s="24" t="s">
        <v>28</v>
      </c>
      <c r="R1512" s="25"/>
      <c r="S1512" s="25"/>
    </row>
    <row r="1513" ht="27" customHeight="1" spans="1:19">
      <c r="A1513" s="19" t="s">
        <v>5953</v>
      </c>
      <c r="B1513" s="20" t="s">
        <v>30</v>
      </c>
      <c r="C1513" s="20" t="s">
        <v>849</v>
      </c>
      <c r="D1513" s="20" t="s">
        <v>32</v>
      </c>
      <c r="E1513" s="21" t="s">
        <v>5954</v>
      </c>
      <c r="F1513" s="21" t="s">
        <v>5955</v>
      </c>
      <c r="G1513" s="20" t="s">
        <v>35</v>
      </c>
      <c r="H1513" s="20" t="s">
        <v>25</v>
      </c>
      <c r="I1513" s="21" t="s">
        <v>5956</v>
      </c>
      <c r="J1513" s="22">
        <f t="shared" si="115"/>
        <v>6.7319444444438</v>
      </c>
      <c r="K1513" s="22">
        <f t="shared" si="116"/>
        <v>161.566666666651</v>
      </c>
      <c r="L1513" s="22">
        <f t="shared" si="117"/>
        <v>49.5666666666511</v>
      </c>
      <c r="M1513" s="22" cm="1">
        <f ca="1" t="array" ref="M1513">SUMPRODUCT(--(WEEKDAY(ROW(INDIRECT(INT(F1513)&amp;":"&amp;INT(I1513))),2)&gt;5))</f>
        <v>2</v>
      </c>
      <c r="N1513" s="22">
        <f ca="1" t="shared" si="118"/>
        <v>33.5666666666511</v>
      </c>
      <c r="O1513" s="22" t="str">
        <f ca="1" t="shared" si="119"/>
        <v>SLA Violated</v>
      </c>
      <c r="P1513" s="23" t="s">
        <v>5957</v>
      </c>
      <c r="Q1513" s="24" t="s">
        <v>28</v>
      </c>
      <c r="R1513" s="25"/>
      <c r="S1513" s="25"/>
    </row>
    <row r="1514" ht="27" customHeight="1" spans="1:19">
      <c r="A1514" s="19" t="s">
        <v>5958</v>
      </c>
      <c r="B1514" s="20" t="s">
        <v>30</v>
      </c>
      <c r="C1514" s="20" t="s">
        <v>849</v>
      </c>
      <c r="D1514" s="20" t="s">
        <v>32</v>
      </c>
      <c r="E1514" s="21" t="s">
        <v>5959</v>
      </c>
      <c r="F1514" s="21" t="s">
        <v>5960</v>
      </c>
      <c r="G1514" s="20" t="s">
        <v>35</v>
      </c>
      <c r="H1514" s="20" t="s">
        <v>25</v>
      </c>
      <c r="I1514" s="21" t="s">
        <v>5961</v>
      </c>
      <c r="J1514" s="22">
        <f t="shared" si="115"/>
        <v>6.72847222222481</v>
      </c>
      <c r="K1514" s="22">
        <f t="shared" si="116"/>
        <v>161.483333333395</v>
      </c>
      <c r="L1514" s="22">
        <f t="shared" si="117"/>
        <v>49.4833333333954</v>
      </c>
      <c r="M1514" s="22" cm="1">
        <f ca="1" t="array" ref="M1514">SUMPRODUCT(--(WEEKDAY(ROW(INDIRECT(INT(F1514)&amp;":"&amp;INT(I1514))),2)&gt;5))</f>
        <v>2</v>
      </c>
      <c r="N1514" s="22">
        <f ca="1" t="shared" si="118"/>
        <v>33.4833333333954</v>
      </c>
      <c r="O1514" s="22" t="str">
        <f ca="1" t="shared" si="119"/>
        <v>SLA Violated</v>
      </c>
      <c r="P1514" s="23" t="s">
        <v>5962</v>
      </c>
      <c r="Q1514" s="24" t="s">
        <v>28</v>
      </c>
      <c r="R1514" s="25"/>
      <c r="S1514" s="25"/>
    </row>
    <row r="1515" ht="27" customHeight="1" spans="1:19">
      <c r="A1515" s="19" t="s">
        <v>5963</v>
      </c>
      <c r="B1515" s="20" t="s">
        <v>30</v>
      </c>
      <c r="C1515" s="20" t="s">
        <v>849</v>
      </c>
      <c r="D1515" s="20" t="s">
        <v>32</v>
      </c>
      <c r="E1515" s="21" t="s">
        <v>5964</v>
      </c>
      <c r="F1515" s="21" t="s">
        <v>5965</v>
      </c>
      <c r="G1515" s="20" t="s">
        <v>35</v>
      </c>
      <c r="H1515" s="20" t="s">
        <v>25</v>
      </c>
      <c r="I1515" s="21" t="s">
        <v>5966</v>
      </c>
      <c r="J1515" s="22">
        <f t="shared" si="115"/>
        <v>6.7319444444438</v>
      </c>
      <c r="K1515" s="22">
        <f t="shared" si="116"/>
        <v>161.566666666651</v>
      </c>
      <c r="L1515" s="22">
        <f t="shared" si="117"/>
        <v>49.5666666666511</v>
      </c>
      <c r="M1515" s="22" cm="1">
        <f ca="1" t="array" ref="M1515">SUMPRODUCT(--(WEEKDAY(ROW(INDIRECT(INT(F1515)&amp;":"&amp;INT(I1515))),2)&gt;5))</f>
        <v>2</v>
      </c>
      <c r="N1515" s="22">
        <f ca="1" t="shared" si="118"/>
        <v>33.5666666666511</v>
      </c>
      <c r="O1515" s="22" t="str">
        <f ca="1" t="shared" si="119"/>
        <v>SLA Violated</v>
      </c>
      <c r="P1515" s="23" t="s">
        <v>5967</v>
      </c>
      <c r="Q1515" s="24" t="s">
        <v>28</v>
      </c>
      <c r="R1515" s="25"/>
      <c r="S1515" s="25"/>
    </row>
    <row r="1516" ht="27" customHeight="1" spans="1:19">
      <c r="A1516" s="19" t="s">
        <v>5968</v>
      </c>
      <c r="B1516" s="20" t="s">
        <v>30</v>
      </c>
      <c r="C1516" s="20" t="s">
        <v>849</v>
      </c>
      <c r="D1516" s="20" t="s">
        <v>32</v>
      </c>
      <c r="E1516" s="21" t="s">
        <v>5969</v>
      </c>
      <c r="F1516" s="21" t="s">
        <v>5970</v>
      </c>
      <c r="G1516" s="20" t="s">
        <v>35</v>
      </c>
      <c r="H1516" s="20" t="s">
        <v>25</v>
      </c>
      <c r="I1516" s="21" t="s">
        <v>5971</v>
      </c>
      <c r="J1516" s="22">
        <f t="shared" si="115"/>
        <v>6.70416666666279</v>
      </c>
      <c r="K1516" s="22">
        <f t="shared" si="116"/>
        <v>160.899999999907</v>
      </c>
      <c r="L1516" s="22">
        <f t="shared" si="117"/>
        <v>48.8999999999069</v>
      </c>
      <c r="M1516" s="22" cm="1">
        <f ca="1" t="array" ref="M1516">SUMPRODUCT(--(WEEKDAY(ROW(INDIRECT(INT(F1516)&amp;":"&amp;INT(I1516))),2)&gt;5))</f>
        <v>2</v>
      </c>
      <c r="N1516" s="22">
        <f ca="1" t="shared" si="118"/>
        <v>32.8999999999069</v>
      </c>
      <c r="O1516" s="22" t="str">
        <f ca="1" t="shared" si="119"/>
        <v>SLA Violated</v>
      </c>
      <c r="P1516" s="23" t="s">
        <v>5972</v>
      </c>
      <c r="Q1516" s="24" t="s">
        <v>28</v>
      </c>
      <c r="R1516" s="25"/>
      <c r="S1516" s="25"/>
    </row>
    <row r="1517" ht="27" customHeight="1" spans="1:19">
      <c r="A1517" s="19" t="s">
        <v>5973</v>
      </c>
      <c r="B1517" s="20" t="s">
        <v>30</v>
      </c>
      <c r="C1517" s="20" t="s">
        <v>31</v>
      </c>
      <c r="D1517" s="20" t="s">
        <v>32</v>
      </c>
      <c r="E1517" s="21" t="s">
        <v>5974</v>
      </c>
      <c r="F1517" s="21" t="s">
        <v>5975</v>
      </c>
      <c r="G1517" s="20" t="s">
        <v>35</v>
      </c>
      <c r="H1517" s="20" t="s">
        <v>25</v>
      </c>
      <c r="I1517" s="21" t="s">
        <v>5976</v>
      </c>
      <c r="J1517" s="22">
        <f t="shared" si="115"/>
        <v>5.17361111110949</v>
      </c>
      <c r="K1517" s="22">
        <f t="shared" si="116"/>
        <v>124.166666666628</v>
      </c>
      <c r="L1517" s="22">
        <f t="shared" si="117"/>
        <v>44.1666666666279</v>
      </c>
      <c r="M1517" s="22" cm="1">
        <f ca="1" t="array" ref="M1517">SUMPRODUCT(--(WEEKDAY(ROW(INDIRECT(INT(F1517)&amp;":"&amp;INT(I1517))),2)&gt;5))</f>
        <v>2</v>
      </c>
      <c r="N1517" s="22">
        <f ca="1" t="shared" si="118"/>
        <v>28.1666666666279</v>
      </c>
      <c r="O1517" s="22" t="str">
        <f ca="1" t="shared" si="119"/>
        <v>SLA Violated</v>
      </c>
      <c r="P1517" s="23" t="s">
        <v>5977</v>
      </c>
      <c r="Q1517" s="24" t="s">
        <v>28</v>
      </c>
      <c r="R1517" s="25"/>
      <c r="S1517" s="25"/>
    </row>
    <row r="1518" ht="39" customHeight="1" spans="1:19">
      <c r="A1518" s="19" t="s">
        <v>5978</v>
      </c>
      <c r="B1518" s="20" t="s">
        <v>19</v>
      </c>
      <c r="C1518" s="20" t="s">
        <v>20</v>
      </c>
      <c r="D1518" s="20" t="s">
        <v>32</v>
      </c>
      <c r="E1518" s="21" t="s">
        <v>5979</v>
      </c>
      <c r="F1518" s="21" t="s">
        <v>5980</v>
      </c>
      <c r="G1518" s="20" t="s">
        <v>35</v>
      </c>
      <c r="H1518" s="20" t="s">
        <v>25</v>
      </c>
      <c r="I1518" s="21" t="s">
        <v>5981</v>
      </c>
      <c r="J1518" s="22">
        <f t="shared" si="115"/>
        <v>4.0493055555562</v>
      </c>
      <c r="K1518" s="22">
        <f t="shared" si="116"/>
        <v>97.1833333333489</v>
      </c>
      <c r="L1518" s="22">
        <f t="shared" si="117"/>
        <v>33.1833333333489</v>
      </c>
      <c r="M1518" s="22" cm="1">
        <f ca="1" t="array" ref="M1518">SUMPRODUCT(--(WEEKDAY(ROW(INDIRECT(INT(F1518)&amp;":"&amp;INT(I1518))),2)&gt;5))</f>
        <v>2</v>
      </c>
      <c r="N1518" s="22">
        <f ca="1" t="shared" si="118"/>
        <v>17.1833333333489</v>
      </c>
      <c r="O1518" s="22" t="str">
        <f ca="1" t="shared" si="119"/>
        <v>SLA Violated</v>
      </c>
      <c r="P1518" s="23" t="s">
        <v>5982</v>
      </c>
      <c r="Q1518" s="24" t="s">
        <v>37</v>
      </c>
      <c r="R1518" s="25" t="s">
        <v>439</v>
      </c>
      <c r="S1518" s="25" t="s">
        <v>39</v>
      </c>
    </row>
    <row r="1519" ht="27" customHeight="1" spans="1:19">
      <c r="A1519" s="19" t="s">
        <v>5983</v>
      </c>
      <c r="B1519" s="20" t="s">
        <v>30</v>
      </c>
      <c r="C1519" s="20" t="s">
        <v>849</v>
      </c>
      <c r="D1519" s="20" t="s">
        <v>32</v>
      </c>
      <c r="E1519" s="21" t="s">
        <v>5984</v>
      </c>
      <c r="F1519" s="21" t="s">
        <v>5985</v>
      </c>
      <c r="G1519" s="20" t="s">
        <v>35</v>
      </c>
      <c r="H1519" s="20" t="s">
        <v>25</v>
      </c>
      <c r="I1519" s="21" t="s">
        <v>5986</v>
      </c>
      <c r="J1519" s="22">
        <f t="shared" si="115"/>
        <v>5.9597222222219</v>
      </c>
      <c r="K1519" s="22">
        <f t="shared" si="116"/>
        <v>143.033333333326</v>
      </c>
      <c r="L1519" s="22">
        <f t="shared" si="117"/>
        <v>47.0333333333256</v>
      </c>
      <c r="M1519" s="22" cm="1">
        <f ca="1" t="array" ref="M1519">SUMPRODUCT(--(WEEKDAY(ROW(INDIRECT(INT(F1519)&amp;":"&amp;INT(I1519))),2)&gt;5))</f>
        <v>2</v>
      </c>
      <c r="N1519" s="22">
        <f ca="1" t="shared" si="118"/>
        <v>31.0333333333256</v>
      </c>
      <c r="O1519" s="22" t="str">
        <f ca="1" t="shared" si="119"/>
        <v>SLA Violated</v>
      </c>
      <c r="P1519" s="23" t="s">
        <v>5987</v>
      </c>
      <c r="Q1519" s="24" t="s">
        <v>28</v>
      </c>
      <c r="R1519" s="25"/>
      <c r="S1519" s="25"/>
    </row>
    <row r="1520" ht="27" customHeight="1" spans="1:19">
      <c r="A1520" s="19" t="s">
        <v>5988</v>
      </c>
      <c r="B1520" s="20" t="s">
        <v>30</v>
      </c>
      <c r="C1520" s="20" t="s">
        <v>849</v>
      </c>
      <c r="D1520" s="20" t="s">
        <v>32</v>
      </c>
      <c r="E1520" s="21" t="s">
        <v>5989</v>
      </c>
      <c r="F1520" s="21" t="s">
        <v>5990</v>
      </c>
      <c r="G1520" s="20" t="s">
        <v>35</v>
      </c>
      <c r="H1520" s="20" t="s">
        <v>25</v>
      </c>
      <c r="I1520" s="21" t="s">
        <v>5991</v>
      </c>
      <c r="J1520" s="22">
        <f t="shared" si="115"/>
        <v>5.95972222222917</v>
      </c>
      <c r="K1520" s="22">
        <f t="shared" si="116"/>
        <v>143.0333333335</v>
      </c>
      <c r="L1520" s="22">
        <f t="shared" si="117"/>
        <v>47.0333333335002</v>
      </c>
      <c r="M1520" s="22" cm="1">
        <f ca="1" t="array" ref="M1520">SUMPRODUCT(--(WEEKDAY(ROW(INDIRECT(INT(F1520)&amp;":"&amp;INT(I1520))),2)&gt;5))</f>
        <v>2</v>
      </c>
      <c r="N1520" s="22">
        <f ca="1" t="shared" si="118"/>
        <v>31.0333333335002</v>
      </c>
      <c r="O1520" s="22" t="str">
        <f ca="1" t="shared" si="119"/>
        <v>SLA Violated</v>
      </c>
      <c r="P1520" s="23" t="s">
        <v>5992</v>
      </c>
      <c r="Q1520" s="24" t="s">
        <v>28</v>
      </c>
      <c r="R1520" s="25"/>
      <c r="S1520" s="25"/>
    </row>
    <row r="1521" ht="27" customHeight="1" spans="1:19">
      <c r="A1521" s="19" t="s">
        <v>5993</v>
      </c>
      <c r="B1521" s="20" t="s">
        <v>30</v>
      </c>
      <c r="C1521" s="20" t="s">
        <v>31</v>
      </c>
      <c r="D1521" s="20" t="s">
        <v>32</v>
      </c>
      <c r="E1521" s="21" t="s">
        <v>5994</v>
      </c>
      <c r="F1521" s="21" t="s">
        <v>5995</v>
      </c>
      <c r="G1521" s="20" t="s">
        <v>35</v>
      </c>
      <c r="H1521" s="20" t="s">
        <v>25</v>
      </c>
      <c r="I1521" s="21" t="s">
        <v>5996</v>
      </c>
      <c r="J1521" s="22">
        <f t="shared" si="115"/>
        <v>5.10763888889051</v>
      </c>
      <c r="K1521" s="22">
        <f t="shared" si="116"/>
        <v>122.583333333372</v>
      </c>
      <c r="L1521" s="22">
        <f t="shared" si="117"/>
        <v>42.5833333333721</v>
      </c>
      <c r="M1521" s="22" cm="1">
        <f ca="1" t="array" ref="M1521">SUMPRODUCT(--(WEEKDAY(ROW(INDIRECT(INT(F1521)&amp;":"&amp;INT(I1521))),2)&gt;5))</f>
        <v>2</v>
      </c>
      <c r="N1521" s="22">
        <f ca="1" t="shared" si="118"/>
        <v>26.5833333333721</v>
      </c>
      <c r="O1521" s="22" t="str">
        <f ca="1" t="shared" si="119"/>
        <v>SLA Violated</v>
      </c>
      <c r="P1521" s="23" t="s">
        <v>5997</v>
      </c>
      <c r="Q1521" s="24" t="s">
        <v>28</v>
      </c>
      <c r="R1521" s="25"/>
      <c r="S1521" s="25"/>
    </row>
    <row r="1522" ht="27" customHeight="1" spans="1:19">
      <c r="A1522" s="19" t="s">
        <v>5998</v>
      </c>
      <c r="B1522" s="20" t="s">
        <v>30</v>
      </c>
      <c r="C1522" s="20" t="s">
        <v>849</v>
      </c>
      <c r="D1522" s="20" t="s">
        <v>32</v>
      </c>
      <c r="E1522" s="21" t="s">
        <v>5999</v>
      </c>
      <c r="F1522" s="21" t="s">
        <v>6000</v>
      </c>
      <c r="G1522" s="20" t="s">
        <v>35</v>
      </c>
      <c r="H1522" s="20" t="s">
        <v>25</v>
      </c>
      <c r="I1522" s="21" t="s">
        <v>6001</v>
      </c>
      <c r="J1522" s="22">
        <f t="shared" si="115"/>
        <v>6.01180555555038</v>
      </c>
      <c r="K1522" s="22">
        <f t="shared" si="116"/>
        <v>144.283333333209</v>
      </c>
      <c r="L1522" s="22">
        <f t="shared" si="117"/>
        <v>48.2833333332092</v>
      </c>
      <c r="M1522" s="22" cm="1">
        <f ca="1" t="array" ref="M1522">SUMPRODUCT(--(WEEKDAY(ROW(INDIRECT(INT(F1522)&amp;":"&amp;INT(I1522))),2)&gt;5))</f>
        <v>2</v>
      </c>
      <c r="N1522" s="22">
        <f ca="1" t="shared" si="118"/>
        <v>32.2833333332092</v>
      </c>
      <c r="O1522" s="22" t="str">
        <f ca="1" t="shared" si="119"/>
        <v>SLA Violated</v>
      </c>
      <c r="P1522" s="23" t="s">
        <v>6002</v>
      </c>
      <c r="Q1522" s="24" t="s">
        <v>28</v>
      </c>
      <c r="R1522" s="25"/>
      <c r="S1522" s="25"/>
    </row>
    <row r="1523" ht="27" customHeight="1" spans="1:19">
      <c r="A1523" s="19" t="s">
        <v>6003</v>
      </c>
      <c r="B1523" s="20" t="s">
        <v>30</v>
      </c>
      <c r="C1523" s="20" t="s">
        <v>31</v>
      </c>
      <c r="D1523" s="20" t="s">
        <v>32</v>
      </c>
      <c r="E1523" s="21" t="s">
        <v>6004</v>
      </c>
      <c r="F1523" s="21" t="s">
        <v>6005</v>
      </c>
      <c r="G1523" s="20" t="s">
        <v>35</v>
      </c>
      <c r="H1523" s="20" t="s">
        <v>25</v>
      </c>
      <c r="I1523" s="21" t="s">
        <v>6006</v>
      </c>
      <c r="J1523" s="22">
        <f t="shared" si="115"/>
        <v>13.1173611111153</v>
      </c>
      <c r="K1523" s="22">
        <f t="shared" si="116"/>
        <v>314.816666666768</v>
      </c>
      <c r="L1523" s="22">
        <f t="shared" si="117"/>
        <v>106.816666666768</v>
      </c>
      <c r="M1523" s="22" cm="1">
        <f ca="1" t="array" ref="M1523">SUMPRODUCT(--(WEEKDAY(ROW(INDIRECT(INT(F1523)&amp;":"&amp;INT(I1523))),2)&gt;5))</f>
        <v>4</v>
      </c>
      <c r="N1523" s="22">
        <f ca="1" t="shared" si="118"/>
        <v>74.816666666768</v>
      </c>
      <c r="O1523" s="22" t="str">
        <f ca="1" t="shared" si="119"/>
        <v>SLA Violated</v>
      </c>
      <c r="P1523" s="23" t="s">
        <v>6007</v>
      </c>
      <c r="Q1523" s="24" t="s">
        <v>28</v>
      </c>
      <c r="R1523" s="25"/>
      <c r="S1523" s="25"/>
    </row>
    <row r="1524" ht="27" customHeight="1" spans="1:19">
      <c r="A1524" s="19" t="s">
        <v>6008</v>
      </c>
      <c r="B1524" s="20" t="s">
        <v>30</v>
      </c>
      <c r="C1524" s="20" t="s">
        <v>849</v>
      </c>
      <c r="D1524" s="20" t="s">
        <v>32</v>
      </c>
      <c r="E1524" s="21" t="s">
        <v>6009</v>
      </c>
      <c r="F1524" s="21" t="s">
        <v>6010</v>
      </c>
      <c r="G1524" s="20" t="s">
        <v>35</v>
      </c>
      <c r="H1524" s="20" t="s">
        <v>25</v>
      </c>
      <c r="I1524" s="21" t="s">
        <v>6011</v>
      </c>
      <c r="J1524" s="22">
        <f t="shared" si="115"/>
        <v>6.01111111111095</v>
      </c>
      <c r="K1524" s="22">
        <f t="shared" si="116"/>
        <v>144.266666666663</v>
      </c>
      <c r="L1524" s="22">
        <f t="shared" si="117"/>
        <v>48.2666666666628</v>
      </c>
      <c r="M1524" s="22" cm="1">
        <f ca="1" t="array" ref="M1524">SUMPRODUCT(--(WEEKDAY(ROW(INDIRECT(INT(F1524)&amp;":"&amp;INT(I1524))),2)&gt;5))</f>
        <v>2</v>
      </c>
      <c r="N1524" s="22">
        <f ca="1" t="shared" si="118"/>
        <v>32.2666666666628</v>
      </c>
      <c r="O1524" s="22" t="str">
        <f ca="1" t="shared" si="119"/>
        <v>SLA Violated</v>
      </c>
      <c r="P1524" s="23" t="s">
        <v>6012</v>
      </c>
      <c r="Q1524" s="24" t="s">
        <v>28</v>
      </c>
      <c r="R1524" s="25"/>
      <c r="S1524" s="25"/>
    </row>
    <row r="1525" ht="27" customHeight="1" spans="1:19">
      <c r="A1525" s="19" t="s">
        <v>6013</v>
      </c>
      <c r="B1525" s="20" t="s">
        <v>30</v>
      </c>
      <c r="C1525" s="20" t="s">
        <v>849</v>
      </c>
      <c r="D1525" s="20" t="s">
        <v>32</v>
      </c>
      <c r="E1525" s="21" t="s">
        <v>6014</v>
      </c>
      <c r="F1525" s="21" t="s">
        <v>6015</v>
      </c>
      <c r="G1525" s="20" t="s">
        <v>35</v>
      </c>
      <c r="H1525" s="20" t="s">
        <v>25</v>
      </c>
      <c r="I1525" s="21" t="s">
        <v>6016</v>
      </c>
      <c r="J1525" s="22">
        <f t="shared" si="115"/>
        <v>13.1652777777781</v>
      </c>
      <c r="K1525" s="22">
        <f t="shared" si="116"/>
        <v>315.966666666674</v>
      </c>
      <c r="L1525" s="22">
        <f t="shared" si="117"/>
        <v>107.966666666674</v>
      </c>
      <c r="M1525" s="22" cm="1">
        <f ca="1" t="array" ref="M1525">SUMPRODUCT(--(WEEKDAY(ROW(INDIRECT(INT(F1525)&amp;":"&amp;INT(I1525))),2)&gt;5))</f>
        <v>4</v>
      </c>
      <c r="N1525" s="22">
        <f ca="1" t="shared" si="118"/>
        <v>75.966666666674</v>
      </c>
      <c r="O1525" s="22" t="str">
        <f ca="1" t="shared" si="119"/>
        <v>SLA Violated</v>
      </c>
      <c r="P1525" s="23" t="s">
        <v>6017</v>
      </c>
      <c r="Q1525" s="24" t="s">
        <v>28</v>
      </c>
      <c r="R1525" s="25"/>
      <c r="S1525" s="25"/>
    </row>
    <row r="1526" ht="27" customHeight="1" spans="1:19">
      <c r="A1526" s="19" t="s">
        <v>6018</v>
      </c>
      <c r="B1526" s="20" t="s">
        <v>30</v>
      </c>
      <c r="C1526" s="20" t="s">
        <v>31</v>
      </c>
      <c r="D1526" s="20" t="s">
        <v>105</v>
      </c>
      <c r="E1526" s="21" t="s">
        <v>6019</v>
      </c>
      <c r="F1526" s="21" t="s">
        <v>6020</v>
      </c>
      <c r="G1526" s="20" t="s">
        <v>35</v>
      </c>
      <c r="H1526" s="20" t="s">
        <v>25</v>
      </c>
      <c r="I1526" s="21" t="s">
        <v>6021</v>
      </c>
      <c r="J1526" s="22">
        <f t="shared" si="115"/>
        <v>22.9500000000044</v>
      </c>
      <c r="K1526" s="22">
        <f t="shared" si="116"/>
        <v>550.800000000105</v>
      </c>
      <c r="L1526" s="22">
        <f t="shared" si="117"/>
        <v>182.800000000105</v>
      </c>
      <c r="M1526" s="22" cm="1">
        <f ca="1" t="array" ref="M1526">SUMPRODUCT(--(WEEKDAY(ROW(INDIRECT(INT(F1526)&amp;":"&amp;INT(I1526))),2)&gt;5))</f>
        <v>7</v>
      </c>
      <c r="N1526" s="22">
        <f ca="1" t="shared" si="118"/>
        <v>126.800000000105</v>
      </c>
      <c r="O1526" s="22" t="str">
        <f ca="1" t="shared" si="119"/>
        <v>SLA Violated</v>
      </c>
      <c r="P1526" s="23" t="s">
        <v>6022</v>
      </c>
      <c r="Q1526" s="24" t="s">
        <v>28</v>
      </c>
      <c r="R1526" s="25"/>
      <c r="S1526" s="25"/>
    </row>
    <row r="1527" ht="27" customHeight="1" spans="1:19">
      <c r="A1527" s="19" t="s">
        <v>6023</v>
      </c>
      <c r="B1527" s="20" t="s">
        <v>30</v>
      </c>
      <c r="C1527" s="20" t="s">
        <v>849</v>
      </c>
      <c r="D1527" s="20" t="s">
        <v>32</v>
      </c>
      <c r="E1527" s="21" t="s">
        <v>5976</v>
      </c>
      <c r="F1527" s="21" t="s">
        <v>6024</v>
      </c>
      <c r="G1527" s="20" t="s">
        <v>35</v>
      </c>
      <c r="H1527" s="20" t="s">
        <v>25</v>
      </c>
      <c r="I1527" s="21" t="s">
        <v>6025</v>
      </c>
      <c r="J1527" s="22">
        <f t="shared" si="115"/>
        <v>13.2152777777737</v>
      </c>
      <c r="K1527" s="22">
        <f t="shared" si="116"/>
        <v>317.16666666657</v>
      </c>
      <c r="L1527" s="22">
        <f t="shared" si="117"/>
        <v>109.16666666657</v>
      </c>
      <c r="M1527" s="22" cm="1">
        <f ca="1" t="array" ref="M1527">SUMPRODUCT(--(WEEKDAY(ROW(INDIRECT(INT(F1527)&amp;":"&amp;INT(I1527))),2)&gt;5))</f>
        <v>4</v>
      </c>
      <c r="N1527" s="22">
        <f ca="1" t="shared" si="118"/>
        <v>77.16666666657</v>
      </c>
      <c r="O1527" s="22" t="str">
        <f ca="1" t="shared" si="119"/>
        <v>SLA Violated</v>
      </c>
      <c r="P1527" s="23" t="s">
        <v>6026</v>
      </c>
      <c r="Q1527" s="24" t="s">
        <v>28</v>
      </c>
      <c r="R1527" s="25"/>
      <c r="S1527" s="25"/>
    </row>
    <row r="1528" ht="39" customHeight="1" spans="1:19">
      <c r="A1528" s="19" t="s">
        <v>6027</v>
      </c>
      <c r="B1528" s="20" t="s">
        <v>19</v>
      </c>
      <c r="C1528" s="20" t="s">
        <v>20</v>
      </c>
      <c r="D1528" s="20" t="s">
        <v>32</v>
      </c>
      <c r="E1528" s="21" t="s">
        <v>6028</v>
      </c>
      <c r="F1528" s="21" t="s">
        <v>4397</v>
      </c>
      <c r="G1528" s="20" t="s">
        <v>35</v>
      </c>
      <c r="H1528" s="20" t="s">
        <v>25</v>
      </c>
      <c r="I1528" s="21" t="s">
        <v>6029</v>
      </c>
      <c r="J1528" s="22">
        <f t="shared" si="115"/>
        <v>1.03541666667297</v>
      </c>
      <c r="K1528" s="22">
        <f t="shared" si="116"/>
        <v>24.8500000001513</v>
      </c>
      <c r="L1528" s="22">
        <f t="shared" si="117"/>
        <v>8.85000000015134</v>
      </c>
      <c r="M1528" s="22" cm="1">
        <f ca="1" t="array" ref="M1528">SUMPRODUCT(--(WEEKDAY(ROW(INDIRECT(INT(F1528)&amp;":"&amp;INT(I1528))),2)&gt;5))</f>
        <v>0</v>
      </c>
      <c r="N1528" s="22">
        <f ca="1" t="shared" si="118"/>
        <v>8.85000000015134</v>
      </c>
      <c r="O1528" s="22" t="str">
        <f ca="1" t="shared" si="119"/>
        <v>Within SLA</v>
      </c>
      <c r="P1528" s="26" t="s">
        <v>6027</v>
      </c>
      <c r="Q1528" s="24" t="s">
        <v>37</v>
      </c>
      <c r="R1528" s="25"/>
      <c r="S1528" s="25"/>
    </row>
    <row r="1529" ht="27" customHeight="1" spans="1:19">
      <c r="A1529" s="19" t="s">
        <v>6030</v>
      </c>
      <c r="B1529" s="20" t="s">
        <v>30</v>
      </c>
      <c r="C1529" s="20" t="s">
        <v>31</v>
      </c>
      <c r="D1529" s="20" t="s">
        <v>32</v>
      </c>
      <c r="E1529" s="21" t="s">
        <v>6031</v>
      </c>
      <c r="F1529" s="21" t="s">
        <v>6032</v>
      </c>
      <c r="G1529" s="20" t="s">
        <v>35</v>
      </c>
      <c r="H1529" s="20" t="s">
        <v>25</v>
      </c>
      <c r="I1529" s="21" t="s">
        <v>6033</v>
      </c>
      <c r="J1529" s="22">
        <f t="shared" si="115"/>
        <v>5.10208333333139</v>
      </c>
      <c r="K1529" s="22">
        <f t="shared" si="116"/>
        <v>122.449999999953</v>
      </c>
      <c r="L1529" s="22">
        <f t="shared" si="117"/>
        <v>42.4499999999534</v>
      </c>
      <c r="M1529" s="22" cm="1">
        <f ca="1" t="array" ref="M1529">SUMPRODUCT(--(WEEKDAY(ROW(INDIRECT(INT(F1529)&amp;":"&amp;INT(I1529))),2)&gt;5))</f>
        <v>2</v>
      </c>
      <c r="N1529" s="22">
        <f ca="1" t="shared" si="118"/>
        <v>26.4499999999534</v>
      </c>
      <c r="O1529" s="22" t="str">
        <f ca="1" t="shared" si="119"/>
        <v>SLA Violated</v>
      </c>
      <c r="P1529" s="23" t="s">
        <v>6034</v>
      </c>
      <c r="Q1529" s="24" t="s">
        <v>28</v>
      </c>
      <c r="R1529" s="25"/>
      <c r="S1529" s="25"/>
    </row>
    <row r="1530" ht="27" customHeight="1" spans="1:19">
      <c r="A1530" s="19" t="s">
        <v>6035</v>
      </c>
      <c r="B1530" s="20" t="s">
        <v>30</v>
      </c>
      <c r="C1530" s="20" t="s">
        <v>31</v>
      </c>
      <c r="D1530" s="20" t="s">
        <v>32</v>
      </c>
      <c r="E1530" s="21" t="s">
        <v>6036</v>
      </c>
      <c r="F1530" s="21" t="s">
        <v>6037</v>
      </c>
      <c r="G1530" s="20" t="s">
        <v>35</v>
      </c>
      <c r="H1530" s="20" t="s">
        <v>25</v>
      </c>
      <c r="I1530" s="21" t="s">
        <v>6038</v>
      </c>
      <c r="J1530" s="22">
        <f t="shared" si="115"/>
        <v>21.3777777777723</v>
      </c>
      <c r="K1530" s="22">
        <f t="shared" si="116"/>
        <v>513.066666666535</v>
      </c>
      <c r="L1530" s="22">
        <f t="shared" si="117"/>
        <v>177.066666666535</v>
      </c>
      <c r="M1530" s="22" cm="1">
        <f ca="1" t="array" ref="M1530">SUMPRODUCT(--(WEEKDAY(ROW(INDIRECT(INT(F1530)&amp;":"&amp;INT(I1530))),2)&gt;5))</f>
        <v>6</v>
      </c>
      <c r="N1530" s="22">
        <f ca="1" t="shared" si="118"/>
        <v>129.066666666535</v>
      </c>
      <c r="O1530" s="22" t="str">
        <f ca="1" t="shared" si="119"/>
        <v>SLA Violated</v>
      </c>
      <c r="P1530" s="23" t="s">
        <v>6039</v>
      </c>
      <c r="Q1530" s="24" t="s">
        <v>37</v>
      </c>
      <c r="R1530" s="25" t="s">
        <v>6040</v>
      </c>
      <c r="S1530" s="25" t="s">
        <v>39</v>
      </c>
    </row>
    <row r="1531" ht="27" customHeight="1" spans="1:19">
      <c r="A1531" s="19" t="s">
        <v>6041</v>
      </c>
      <c r="B1531" s="20" t="s">
        <v>30</v>
      </c>
      <c r="C1531" s="20" t="s">
        <v>849</v>
      </c>
      <c r="D1531" s="20" t="s">
        <v>32</v>
      </c>
      <c r="E1531" s="21" t="s">
        <v>6042</v>
      </c>
      <c r="F1531" s="21" t="s">
        <v>6043</v>
      </c>
      <c r="G1531" s="20" t="s">
        <v>35</v>
      </c>
      <c r="H1531" s="20" t="s">
        <v>25</v>
      </c>
      <c r="I1531" s="21" t="s">
        <v>6044</v>
      </c>
      <c r="J1531" s="22">
        <f t="shared" si="115"/>
        <v>6.00763888889196</v>
      </c>
      <c r="K1531" s="22">
        <f t="shared" si="116"/>
        <v>144.183333333407</v>
      </c>
      <c r="L1531" s="22">
        <f t="shared" si="117"/>
        <v>48.1833333334071</v>
      </c>
      <c r="M1531" s="22" cm="1">
        <f ca="1" t="array" ref="M1531">SUMPRODUCT(--(WEEKDAY(ROW(INDIRECT(INT(F1531)&amp;":"&amp;INT(I1531))),2)&gt;5))</f>
        <v>2</v>
      </c>
      <c r="N1531" s="22">
        <f ca="1" t="shared" si="118"/>
        <v>32.1833333334071</v>
      </c>
      <c r="O1531" s="22" t="str">
        <f ca="1" t="shared" si="119"/>
        <v>SLA Violated</v>
      </c>
      <c r="P1531" s="23" t="s">
        <v>6045</v>
      </c>
      <c r="Q1531" s="24" t="s">
        <v>28</v>
      </c>
      <c r="R1531" s="25"/>
      <c r="S1531" s="25"/>
    </row>
    <row r="1532" ht="27" customHeight="1" spans="1:19">
      <c r="A1532" s="19" t="s">
        <v>6046</v>
      </c>
      <c r="B1532" s="20" t="s">
        <v>30</v>
      </c>
      <c r="C1532" s="20" t="s">
        <v>31</v>
      </c>
      <c r="D1532" s="20" t="s">
        <v>32</v>
      </c>
      <c r="E1532" s="21" t="s">
        <v>6047</v>
      </c>
      <c r="F1532" s="21" t="s">
        <v>6048</v>
      </c>
      <c r="G1532" s="20" t="s">
        <v>35</v>
      </c>
      <c r="H1532" s="20" t="s">
        <v>25</v>
      </c>
      <c r="I1532" s="21" t="s">
        <v>6049</v>
      </c>
      <c r="J1532" s="22">
        <f t="shared" si="115"/>
        <v>2.85069444444525</v>
      </c>
      <c r="K1532" s="22">
        <f t="shared" si="116"/>
        <v>68.4166666666861</v>
      </c>
      <c r="L1532" s="22">
        <f t="shared" si="117"/>
        <v>20.4166666666861</v>
      </c>
      <c r="M1532" s="22" cm="1">
        <f ca="1" t="array" ref="M1532">SUMPRODUCT(--(WEEKDAY(ROW(INDIRECT(INT(F1532)&amp;":"&amp;INT(I1532))),2)&gt;5))</f>
        <v>2</v>
      </c>
      <c r="N1532" s="22">
        <f ca="1" t="shared" si="118"/>
        <v>4.4166666666861</v>
      </c>
      <c r="O1532" s="22" t="str">
        <f ca="1" t="shared" si="119"/>
        <v>Within SLA</v>
      </c>
      <c r="P1532" s="26" t="s">
        <v>6046</v>
      </c>
      <c r="Q1532" s="24" t="s">
        <v>37</v>
      </c>
      <c r="R1532" s="25"/>
      <c r="S1532" s="25"/>
    </row>
    <row r="1533" ht="27" customHeight="1" spans="1:19">
      <c r="A1533" s="19" t="s">
        <v>6050</v>
      </c>
      <c r="B1533" s="20" t="s">
        <v>30</v>
      </c>
      <c r="C1533" s="20" t="s">
        <v>31</v>
      </c>
      <c r="D1533" s="20" t="s">
        <v>32</v>
      </c>
      <c r="E1533" s="21" t="s">
        <v>5891</v>
      </c>
      <c r="F1533" s="21" t="s">
        <v>6051</v>
      </c>
      <c r="G1533" s="20" t="s">
        <v>35</v>
      </c>
      <c r="H1533" s="20" t="s">
        <v>25</v>
      </c>
      <c r="I1533" s="21" t="s">
        <v>6049</v>
      </c>
      <c r="J1533" s="22">
        <f t="shared" si="115"/>
        <v>0.49722222222772</v>
      </c>
      <c r="K1533" s="22">
        <f t="shared" si="116"/>
        <v>11.9333333334653</v>
      </c>
      <c r="L1533" s="22">
        <f t="shared" si="117"/>
        <v>11.9333333334653</v>
      </c>
      <c r="M1533" s="22" cm="1">
        <f ca="1" t="array" ref="M1533">SUMPRODUCT(--(WEEKDAY(ROW(INDIRECT(INT(F1533)&amp;":"&amp;INT(I1533))),2)&gt;5))</f>
        <v>0</v>
      </c>
      <c r="N1533" s="22">
        <f ca="1" t="shared" si="118"/>
        <v>11.9333333334653</v>
      </c>
      <c r="O1533" s="22" t="str">
        <f ca="1" t="shared" si="119"/>
        <v>Within SLA</v>
      </c>
      <c r="P1533" s="26" t="s">
        <v>6050</v>
      </c>
      <c r="Q1533" s="24" t="s">
        <v>37</v>
      </c>
      <c r="R1533" s="25"/>
      <c r="S1533" s="25"/>
    </row>
    <row r="1534" ht="39" customHeight="1" spans="1:19">
      <c r="A1534" s="19" t="s">
        <v>6052</v>
      </c>
      <c r="B1534" s="20" t="s">
        <v>19</v>
      </c>
      <c r="C1534" s="20" t="s">
        <v>20</v>
      </c>
      <c r="D1534" s="20" t="s">
        <v>32</v>
      </c>
      <c r="E1534" s="21" t="s">
        <v>5883</v>
      </c>
      <c r="F1534" s="21" t="s">
        <v>6053</v>
      </c>
      <c r="G1534" s="20" t="s">
        <v>35</v>
      </c>
      <c r="H1534" s="20" t="s">
        <v>25</v>
      </c>
      <c r="I1534" s="21" t="s">
        <v>6054</v>
      </c>
      <c r="J1534" s="22">
        <f t="shared" si="115"/>
        <v>0.16874999999709</v>
      </c>
      <c r="K1534" s="22">
        <f t="shared" si="116"/>
        <v>4.04999999993015</v>
      </c>
      <c r="L1534" s="22">
        <f t="shared" si="117"/>
        <v>4.04999999993015</v>
      </c>
      <c r="M1534" s="22" cm="1">
        <f ca="1" t="array" ref="M1534">SUMPRODUCT(--(WEEKDAY(ROW(INDIRECT(INT(F1534)&amp;":"&amp;INT(I1534))),2)&gt;5))</f>
        <v>0</v>
      </c>
      <c r="N1534" s="22">
        <f ca="1" t="shared" si="118"/>
        <v>4.04999999993015</v>
      </c>
      <c r="O1534" s="22" t="str">
        <f ca="1" t="shared" si="119"/>
        <v>Within SLA</v>
      </c>
      <c r="P1534" s="26" t="s">
        <v>6052</v>
      </c>
      <c r="Q1534" s="24" t="s">
        <v>37</v>
      </c>
      <c r="R1534" s="25"/>
      <c r="S1534" s="25"/>
    </row>
    <row r="1535" ht="27" customHeight="1" spans="1:19">
      <c r="A1535" s="19" t="s">
        <v>6055</v>
      </c>
      <c r="B1535" s="20" t="s">
        <v>30</v>
      </c>
      <c r="C1535" s="20" t="s">
        <v>31</v>
      </c>
      <c r="D1535" s="20" t="s">
        <v>32</v>
      </c>
      <c r="E1535" s="21" t="s">
        <v>5883</v>
      </c>
      <c r="F1535" s="21" t="s">
        <v>6056</v>
      </c>
      <c r="G1535" s="20" t="s">
        <v>35</v>
      </c>
      <c r="H1535" s="20" t="s">
        <v>25</v>
      </c>
      <c r="I1535" s="21" t="s">
        <v>6049</v>
      </c>
      <c r="J1535" s="22">
        <f t="shared" si="115"/>
        <v>0.266666666670062</v>
      </c>
      <c r="K1535" s="22">
        <f t="shared" si="116"/>
        <v>6.40000000008149</v>
      </c>
      <c r="L1535" s="22">
        <f t="shared" si="117"/>
        <v>6.40000000008149</v>
      </c>
      <c r="M1535" s="22" cm="1">
        <f ca="1" t="array" ref="M1535">SUMPRODUCT(--(WEEKDAY(ROW(INDIRECT(INT(F1535)&amp;":"&amp;INT(I1535))),2)&gt;5))</f>
        <v>0</v>
      </c>
      <c r="N1535" s="22">
        <f ca="1" t="shared" si="118"/>
        <v>6.40000000008149</v>
      </c>
      <c r="O1535" s="22" t="str">
        <f ca="1" t="shared" si="119"/>
        <v>Within SLA</v>
      </c>
      <c r="P1535" s="26" t="s">
        <v>6055</v>
      </c>
      <c r="Q1535" s="24" t="s">
        <v>37</v>
      </c>
      <c r="R1535" s="25"/>
      <c r="S1535" s="25"/>
    </row>
    <row r="1536" ht="27" customHeight="1" spans="1:19">
      <c r="A1536" s="19" t="s">
        <v>6057</v>
      </c>
      <c r="B1536" s="20" t="s">
        <v>30</v>
      </c>
      <c r="C1536" s="20" t="s">
        <v>849</v>
      </c>
      <c r="D1536" s="20" t="s">
        <v>32</v>
      </c>
      <c r="E1536" s="21" t="s">
        <v>5883</v>
      </c>
      <c r="F1536" s="21" t="s">
        <v>6058</v>
      </c>
      <c r="G1536" s="20" t="s">
        <v>35</v>
      </c>
      <c r="H1536" s="20" t="s">
        <v>25</v>
      </c>
      <c r="I1536" s="21" t="s">
        <v>6059</v>
      </c>
      <c r="J1536" s="22">
        <f t="shared" si="115"/>
        <v>8.21250000000146</v>
      </c>
      <c r="K1536" s="22">
        <f t="shared" si="116"/>
        <v>197.100000000035</v>
      </c>
      <c r="L1536" s="22">
        <f t="shared" si="117"/>
        <v>69.1000000000349</v>
      </c>
      <c r="M1536" s="22" cm="1">
        <f ca="1" t="array" ref="M1536">SUMPRODUCT(--(WEEKDAY(ROW(INDIRECT(INT(F1536)&amp;":"&amp;INT(I1536))),2)&gt;5))</f>
        <v>2</v>
      </c>
      <c r="N1536" s="22">
        <f ca="1" t="shared" si="118"/>
        <v>53.1000000000349</v>
      </c>
      <c r="O1536" s="22" t="str">
        <f ca="1" t="shared" si="119"/>
        <v>SLA Violated</v>
      </c>
      <c r="P1536" s="23" t="s">
        <v>6060</v>
      </c>
      <c r="Q1536" s="24" t="s">
        <v>28</v>
      </c>
      <c r="R1536" s="25"/>
      <c r="S1536" s="25"/>
    </row>
    <row r="1537" ht="27" customHeight="1" spans="1:19">
      <c r="A1537" s="19" t="s">
        <v>6061</v>
      </c>
      <c r="B1537" s="20" t="s">
        <v>30</v>
      </c>
      <c r="C1537" s="20" t="s">
        <v>31</v>
      </c>
      <c r="D1537" s="20" t="s">
        <v>105</v>
      </c>
      <c r="E1537" s="21" t="s">
        <v>5883</v>
      </c>
      <c r="F1537" s="21" t="s">
        <v>6062</v>
      </c>
      <c r="G1537" s="20" t="s">
        <v>35</v>
      </c>
      <c r="H1537" s="20" t="s">
        <v>25</v>
      </c>
      <c r="I1537" s="21" t="s">
        <v>6063</v>
      </c>
      <c r="J1537" s="22">
        <f t="shared" si="115"/>
        <v>5.51736111110949</v>
      </c>
      <c r="K1537" s="22">
        <f t="shared" si="116"/>
        <v>132.416666666628</v>
      </c>
      <c r="L1537" s="22">
        <f t="shared" si="117"/>
        <v>36.4166666666279</v>
      </c>
      <c r="M1537" s="22" cm="1">
        <f ca="1" t="array" ref="M1537">SUMPRODUCT(--(WEEKDAY(ROW(INDIRECT(INT(F1537)&amp;":"&amp;INT(I1537))),2)&gt;5))</f>
        <v>2</v>
      </c>
      <c r="N1537" s="22">
        <f ca="1" t="shared" si="118"/>
        <v>20.4166666666279</v>
      </c>
      <c r="O1537" s="22" t="str">
        <f ca="1" t="shared" si="119"/>
        <v>SLA Violated</v>
      </c>
      <c r="P1537" s="26" t="s">
        <v>6061</v>
      </c>
      <c r="Q1537" s="24" t="s">
        <v>37</v>
      </c>
      <c r="R1537" s="6" t="s">
        <v>6064</v>
      </c>
      <c r="S1537" s="25" t="s">
        <v>39</v>
      </c>
    </row>
    <row r="1538" ht="27" customHeight="1" spans="1:19">
      <c r="A1538" s="19" t="s">
        <v>6065</v>
      </c>
      <c r="B1538" s="20" t="s">
        <v>30</v>
      </c>
      <c r="C1538" s="20" t="s">
        <v>849</v>
      </c>
      <c r="D1538" s="20" t="s">
        <v>21</v>
      </c>
      <c r="E1538" s="21" t="s">
        <v>6066</v>
      </c>
      <c r="F1538" s="21" t="s">
        <v>6067</v>
      </c>
      <c r="G1538" s="20" t="s">
        <v>35</v>
      </c>
      <c r="H1538" s="20" t="s">
        <v>25</v>
      </c>
      <c r="I1538" s="21" t="s">
        <v>6068</v>
      </c>
      <c r="J1538" s="22">
        <f t="shared" si="115"/>
        <v>6.00833333333139</v>
      </c>
      <c r="K1538" s="22">
        <f t="shared" si="116"/>
        <v>144.199999999953</v>
      </c>
      <c r="L1538" s="22">
        <f t="shared" si="117"/>
        <v>48.1999999999534</v>
      </c>
      <c r="M1538" s="22" cm="1">
        <f ca="1" t="array" ref="M1538">SUMPRODUCT(--(WEEKDAY(ROW(INDIRECT(INT(F1538)&amp;":"&amp;INT(I1538))),2)&gt;5))</f>
        <v>2</v>
      </c>
      <c r="N1538" s="22">
        <f ca="1" t="shared" si="118"/>
        <v>32.1999999999534</v>
      </c>
      <c r="O1538" s="22" t="str">
        <f ca="1" t="shared" si="119"/>
        <v>SLA Violated</v>
      </c>
      <c r="P1538" s="23" t="s">
        <v>6069</v>
      </c>
      <c r="Q1538" s="24" t="s">
        <v>28</v>
      </c>
      <c r="R1538" s="25"/>
      <c r="S1538" s="25"/>
    </row>
    <row r="1539" ht="27" customHeight="1" spans="1:19">
      <c r="A1539" s="19" t="s">
        <v>6070</v>
      </c>
      <c r="B1539" s="20" t="s">
        <v>30</v>
      </c>
      <c r="C1539" s="20" t="s">
        <v>849</v>
      </c>
      <c r="D1539" s="20" t="s">
        <v>32</v>
      </c>
      <c r="E1539" s="21" t="s">
        <v>6071</v>
      </c>
      <c r="F1539" s="21" t="s">
        <v>6072</v>
      </c>
      <c r="G1539" s="20" t="s">
        <v>35</v>
      </c>
      <c r="H1539" s="20" t="s">
        <v>25</v>
      </c>
      <c r="I1539" s="21" t="s">
        <v>6073</v>
      </c>
      <c r="J1539" s="22">
        <f t="shared" ref="J1539:J1602" si="120">F1539-I1539</f>
        <v>7.96250000000146</v>
      </c>
      <c r="K1539" s="22">
        <f t="shared" ref="K1539:K1602" si="121">J1539*24</f>
        <v>191.100000000035</v>
      </c>
      <c r="L1539" s="22">
        <f t="shared" ref="L1539:L1602" si="122">IF(_xlfn.DAYS(F1539,I1539)&gt;0,K1539-IF(FLOOR(J1539,1)=0,1,_xlfn.DAYS(F1539,I1539))*16,K1539)</f>
        <v>63.1000000000349</v>
      </c>
      <c r="M1539" s="22" cm="1">
        <f ca="1" t="array" ref="M1539">SUMPRODUCT(--(WEEKDAY(ROW(INDIRECT(INT(F1539)&amp;":"&amp;INT(I1539))),2)&gt;5))</f>
        <v>2</v>
      </c>
      <c r="N1539" s="22">
        <f ca="1" t="shared" ref="N1539:N1602" si="123">IF(IF(M1539&gt;0,L1539-M1539*8,L1539)&lt;0,0,IF(M1539&gt;0,L1539-M1539*8,L1539))</f>
        <v>47.1000000000349</v>
      </c>
      <c r="O1539" s="22" t="str">
        <f ca="1" t="shared" ref="O1539:O1602" si="124">IF(OR(AND(D1539="P1",N1539&lt;=3),AND(D1539="P2",N1539&lt;=6),AND(D1539="P3",N1539&lt;=9),AND(D1539="P4",N1539&lt;=12)),"Within SLA","SLA Violated")</f>
        <v>SLA Violated</v>
      </c>
      <c r="P1539" s="23" t="s">
        <v>6074</v>
      </c>
      <c r="Q1539" s="24" t="s">
        <v>28</v>
      </c>
      <c r="R1539" s="25"/>
      <c r="S1539" s="25"/>
    </row>
    <row r="1540" ht="27" customHeight="1" spans="1:19">
      <c r="A1540" s="19" t="s">
        <v>6075</v>
      </c>
      <c r="B1540" s="20" t="s">
        <v>30</v>
      </c>
      <c r="C1540" s="20" t="s">
        <v>31</v>
      </c>
      <c r="D1540" s="20" t="s">
        <v>32</v>
      </c>
      <c r="E1540" s="21" t="s">
        <v>6071</v>
      </c>
      <c r="F1540" s="21" t="s">
        <v>6076</v>
      </c>
      <c r="G1540" s="20" t="s">
        <v>35</v>
      </c>
      <c r="H1540" s="20" t="s">
        <v>25</v>
      </c>
      <c r="I1540" s="21" t="s">
        <v>6077</v>
      </c>
      <c r="J1540" s="22">
        <f t="shared" si="120"/>
        <v>27.1027777777708</v>
      </c>
      <c r="K1540" s="22">
        <f t="shared" si="121"/>
        <v>650.4666666665</v>
      </c>
      <c r="L1540" s="22">
        <f t="shared" si="122"/>
        <v>218.4666666665</v>
      </c>
      <c r="M1540" s="22" cm="1">
        <f ca="1" t="array" ref="M1540">SUMPRODUCT(--(WEEKDAY(ROW(INDIRECT(INT(F1540)&amp;":"&amp;INT(I1540))),2)&gt;5))</f>
        <v>8</v>
      </c>
      <c r="N1540" s="22">
        <f ca="1" t="shared" si="123"/>
        <v>154.4666666665</v>
      </c>
      <c r="O1540" s="22" t="str">
        <f ca="1" t="shared" si="124"/>
        <v>SLA Violated</v>
      </c>
      <c r="P1540" s="23" t="s">
        <v>6078</v>
      </c>
      <c r="Q1540" s="24" t="s">
        <v>28</v>
      </c>
      <c r="R1540" s="25"/>
      <c r="S1540" s="25"/>
    </row>
    <row r="1541" ht="39" customHeight="1" spans="1:19">
      <c r="A1541" s="19" t="s">
        <v>6079</v>
      </c>
      <c r="B1541" s="20" t="s">
        <v>19</v>
      </c>
      <c r="C1541" s="20" t="s">
        <v>20</v>
      </c>
      <c r="D1541" s="20" t="s">
        <v>32</v>
      </c>
      <c r="E1541" s="21" t="s">
        <v>6071</v>
      </c>
      <c r="F1541" s="21" t="s">
        <v>6080</v>
      </c>
      <c r="G1541" s="20" t="s">
        <v>35</v>
      </c>
      <c r="H1541" s="20" t="s">
        <v>25</v>
      </c>
      <c r="I1541" s="21" t="s">
        <v>6081</v>
      </c>
      <c r="J1541" s="22">
        <f t="shared" si="120"/>
        <v>0.10624999999709</v>
      </c>
      <c r="K1541" s="22">
        <f t="shared" si="121"/>
        <v>2.54999999993015</v>
      </c>
      <c r="L1541" s="22">
        <f t="shared" si="122"/>
        <v>2.54999999993015</v>
      </c>
      <c r="M1541" s="22" cm="1">
        <f ca="1" t="array" ref="M1541">SUMPRODUCT(--(WEEKDAY(ROW(INDIRECT(INT(F1541)&amp;":"&amp;INT(I1541))),2)&gt;5))</f>
        <v>0</v>
      </c>
      <c r="N1541" s="22">
        <f ca="1" t="shared" si="123"/>
        <v>2.54999999993015</v>
      </c>
      <c r="O1541" s="22" t="str">
        <f ca="1" t="shared" si="124"/>
        <v>Within SLA</v>
      </c>
      <c r="P1541" s="26" t="s">
        <v>6079</v>
      </c>
      <c r="Q1541" s="24" t="s">
        <v>37</v>
      </c>
      <c r="R1541" s="25"/>
      <c r="S1541" s="25"/>
    </row>
    <row r="1542" ht="39" customHeight="1" spans="1:19">
      <c r="A1542" s="19" t="s">
        <v>6082</v>
      </c>
      <c r="B1542" s="20" t="s">
        <v>19</v>
      </c>
      <c r="C1542" s="20" t="s">
        <v>31</v>
      </c>
      <c r="D1542" s="20" t="s">
        <v>32</v>
      </c>
      <c r="E1542" s="21" t="s">
        <v>5477</v>
      </c>
      <c r="F1542" s="21" t="s">
        <v>6083</v>
      </c>
      <c r="G1542" s="20" t="s">
        <v>35</v>
      </c>
      <c r="H1542" s="20" t="s">
        <v>25</v>
      </c>
      <c r="I1542" s="21" t="s">
        <v>6084</v>
      </c>
      <c r="J1542" s="22">
        <f t="shared" si="120"/>
        <v>0.920833333329938</v>
      </c>
      <c r="K1542" s="22">
        <f t="shared" si="121"/>
        <v>22.0999999999185</v>
      </c>
      <c r="L1542" s="22">
        <f t="shared" si="122"/>
        <v>6.09999999991851</v>
      </c>
      <c r="M1542" s="22" cm="1">
        <f ca="1" t="array" ref="M1542">SUMPRODUCT(--(WEEKDAY(ROW(INDIRECT(INT(F1542)&amp;":"&amp;INT(I1542))),2)&gt;5))</f>
        <v>0</v>
      </c>
      <c r="N1542" s="22">
        <f ca="1" t="shared" si="123"/>
        <v>6.09999999991851</v>
      </c>
      <c r="O1542" s="22" t="str">
        <f ca="1" t="shared" si="124"/>
        <v>Within SLA</v>
      </c>
      <c r="P1542" s="26" t="s">
        <v>6082</v>
      </c>
      <c r="Q1542" s="24" t="s">
        <v>37</v>
      </c>
      <c r="R1542" s="25"/>
      <c r="S1542" s="25"/>
    </row>
    <row r="1543" ht="27" customHeight="1" spans="1:19">
      <c r="A1543" s="19" t="s">
        <v>6085</v>
      </c>
      <c r="B1543" s="20" t="s">
        <v>30</v>
      </c>
      <c r="C1543" s="20" t="s">
        <v>31</v>
      </c>
      <c r="D1543" s="20" t="s">
        <v>32</v>
      </c>
      <c r="E1543" s="21" t="s">
        <v>6086</v>
      </c>
      <c r="F1543" s="21" t="s">
        <v>6087</v>
      </c>
      <c r="G1543" s="20" t="s">
        <v>35</v>
      </c>
      <c r="H1543" s="20" t="s">
        <v>25</v>
      </c>
      <c r="I1543" s="21" t="s">
        <v>6081</v>
      </c>
      <c r="J1543" s="22">
        <f t="shared" si="120"/>
        <v>18.0854166666686</v>
      </c>
      <c r="K1543" s="22">
        <f t="shared" si="121"/>
        <v>434.050000000047</v>
      </c>
      <c r="L1543" s="22">
        <f t="shared" si="122"/>
        <v>146.050000000047</v>
      </c>
      <c r="M1543" s="22" cm="1">
        <f ca="1" t="array" ref="M1543">SUMPRODUCT(--(WEEKDAY(ROW(INDIRECT(INT(F1543)&amp;":"&amp;INT(I1543))),2)&gt;5))</f>
        <v>6</v>
      </c>
      <c r="N1543" s="22">
        <f ca="1" t="shared" si="123"/>
        <v>98.050000000047</v>
      </c>
      <c r="O1543" s="22" t="str">
        <f ca="1" t="shared" si="124"/>
        <v>SLA Violated</v>
      </c>
      <c r="P1543" s="23" t="s">
        <v>6088</v>
      </c>
      <c r="Q1543" s="24" t="s">
        <v>28</v>
      </c>
      <c r="R1543" s="25"/>
      <c r="S1543" s="25"/>
    </row>
    <row r="1544" ht="27" customHeight="1" spans="1:19">
      <c r="A1544" s="19" t="s">
        <v>6089</v>
      </c>
      <c r="B1544" s="20" t="s">
        <v>30</v>
      </c>
      <c r="C1544" s="20" t="s">
        <v>849</v>
      </c>
      <c r="D1544" s="20" t="s">
        <v>32</v>
      </c>
      <c r="E1544" s="21" t="s">
        <v>6086</v>
      </c>
      <c r="F1544" s="21" t="s">
        <v>6090</v>
      </c>
      <c r="G1544" s="20" t="s">
        <v>35</v>
      </c>
      <c r="H1544" s="20" t="s">
        <v>25</v>
      </c>
      <c r="I1544" s="21" t="s">
        <v>6091</v>
      </c>
      <c r="J1544" s="22">
        <f t="shared" si="120"/>
        <v>6.00208333333285</v>
      </c>
      <c r="K1544" s="22">
        <f t="shared" si="121"/>
        <v>144.049999999988</v>
      </c>
      <c r="L1544" s="22">
        <f t="shared" si="122"/>
        <v>48.0499999999884</v>
      </c>
      <c r="M1544" s="22" cm="1">
        <f ca="1" t="array" ref="M1544">SUMPRODUCT(--(WEEKDAY(ROW(INDIRECT(INT(F1544)&amp;":"&amp;INT(I1544))),2)&gt;5))</f>
        <v>2</v>
      </c>
      <c r="N1544" s="22">
        <f ca="1" t="shared" si="123"/>
        <v>32.0499999999884</v>
      </c>
      <c r="O1544" s="22" t="str">
        <f ca="1" t="shared" si="124"/>
        <v>SLA Violated</v>
      </c>
      <c r="P1544" s="23" t="s">
        <v>6092</v>
      </c>
      <c r="Q1544" s="24" t="s">
        <v>28</v>
      </c>
      <c r="R1544" s="25"/>
      <c r="S1544" s="25"/>
    </row>
    <row r="1545" ht="39" customHeight="1" spans="1:19">
      <c r="A1545" s="19" t="s">
        <v>6093</v>
      </c>
      <c r="B1545" s="20" t="s">
        <v>19</v>
      </c>
      <c r="C1545" s="20" t="s">
        <v>20</v>
      </c>
      <c r="D1545" s="20" t="s">
        <v>32</v>
      </c>
      <c r="E1545" s="21" t="s">
        <v>3128</v>
      </c>
      <c r="F1545" s="21" t="s">
        <v>6094</v>
      </c>
      <c r="G1545" s="20" t="s">
        <v>35</v>
      </c>
      <c r="H1545" s="20" t="s">
        <v>25</v>
      </c>
      <c r="I1545" s="21" t="s">
        <v>6095</v>
      </c>
      <c r="J1545" s="22">
        <f t="shared" si="120"/>
        <v>3.91736111111095</v>
      </c>
      <c r="K1545" s="22">
        <f t="shared" si="121"/>
        <v>94.0166666666628</v>
      </c>
      <c r="L1545" s="22">
        <f t="shared" si="122"/>
        <v>30.0166666666628</v>
      </c>
      <c r="M1545" s="22" cm="1">
        <f ca="1" t="array" ref="M1545">SUMPRODUCT(--(WEEKDAY(ROW(INDIRECT(INT(F1545)&amp;":"&amp;INT(I1545))),2)&gt;5))</f>
        <v>2</v>
      </c>
      <c r="N1545" s="22">
        <f ca="1" t="shared" si="123"/>
        <v>14.0166666666628</v>
      </c>
      <c r="O1545" s="22" t="str">
        <f ca="1" t="shared" si="124"/>
        <v>SLA Violated</v>
      </c>
      <c r="P1545" s="23" t="s">
        <v>6096</v>
      </c>
      <c r="Q1545" s="24" t="s">
        <v>28</v>
      </c>
      <c r="R1545" s="25"/>
      <c r="S1545" s="25"/>
    </row>
    <row r="1546" ht="27" customHeight="1" spans="1:19">
      <c r="A1546" s="19" t="s">
        <v>6097</v>
      </c>
      <c r="B1546" s="20" t="s">
        <v>30</v>
      </c>
      <c r="C1546" s="20" t="s">
        <v>31</v>
      </c>
      <c r="D1546" s="20" t="s">
        <v>32</v>
      </c>
      <c r="E1546" s="21" t="s">
        <v>2880</v>
      </c>
      <c r="F1546" s="21" t="s">
        <v>5404</v>
      </c>
      <c r="G1546" s="20" t="s">
        <v>35</v>
      </c>
      <c r="H1546" s="20" t="s">
        <v>25</v>
      </c>
      <c r="I1546" s="21" t="s">
        <v>6098</v>
      </c>
      <c r="J1546" s="22">
        <f t="shared" si="120"/>
        <v>21.9986111111066</v>
      </c>
      <c r="K1546" s="22">
        <f t="shared" si="121"/>
        <v>527.966666666558</v>
      </c>
      <c r="L1546" s="22">
        <f t="shared" si="122"/>
        <v>175.966666666558</v>
      </c>
      <c r="M1546" s="22" cm="1">
        <f ca="1" t="array" ref="M1546">SUMPRODUCT(--(WEEKDAY(ROW(INDIRECT(INT(F1546)&amp;":"&amp;INT(I1546))),2)&gt;5))</f>
        <v>6</v>
      </c>
      <c r="N1546" s="22">
        <f ca="1" t="shared" si="123"/>
        <v>127.966666666558</v>
      </c>
      <c r="O1546" s="22" t="str">
        <f ca="1" t="shared" si="124"/>
        <v>SLA Violated</v>
      </c>
      <c r="P1546" s="23" t="s">
        <v>6099</v>
      </c>
      <c r="Q1546" s="24" t="s">
        <v>28</v>
      </c>
      <c r="R1546" s="25"/>
      <c r="S1546" s="25"/>
    </row>
    <row r="1547" ht="27" customHeight="1" spans="1:19">
      <c r="A1547" s="19" t="s">
        <v>6100</v>
      </c>
      <c r="B1547" s="20" t="s">
        <v>30</v>
      </c>
      <c r="C1547" s="20" t="s">
        <v>31</v>
      </c>
      <c r="D1547" s="20" t="s">
        <v>32</v>
      </c>
      <c r="E1547" s="21" t="s">
        <v>3523</v>
      </c>
      <c r="F1547" s="21" t="s">
        <v>6101</v>
      </c>
      <c r="G1547" s="20" t="s">
        <v>35</v>
      </c>
      <c r="H1547" s="20" t="s">
        <v>25</v>
      </c>
      <c r="I1547" s="21" t="s">
        <v>4194</v>
      </c>
      <c r="J1547" s="22">
        <f t="shared" si="120"/>
        <v>5.09583333334012</v>
      </c>
      <c r="K1547" s="22">
        <f t="shared" si="121"/>
        <v>122.300000000163</v>
      </c>
      <c r="L1547" s="22">
        <f t="shared" si="122"/>
        <v>42.300000000163</v>
      </c>
      <c r="M1547" s="22" cm="1">
        <f ca="1" t="array" ref="M1547">SUMPRODUCT(--(WEEKDAY(ROW(INDIRECT(INT(F1547)&amp;":"&amp;INT(I1547))),2)&gt;5))</f>
        <v>2</v>
      </c>
      <c r="N1547" s="22">
        <f ca="1" t="shared" si="123"/>
        <v>26.300000000163</v>
      </c>
      <c r="O1547" s="22" t="str">
        <f ca="1" t="shared" si="124"/>
        <v>SLA Violated</v>
      </c>
      <c r="P1547" s="23" t="s">
        <v>6102</v>
      </c>
      <c r="Q1547" s="24" t="s">
        <v>28</v>
      </c>
      <c r="R1547" s="25"/>
      <c r="S1547" s="25"/>
    </row>
    <row r="1548" ht="27" customHeight="1" spans="1:19">
      <c r="A1548" s="19" t="s">
        <v>6103</v>
      </c>
      <c r="B1548" s="20" t="s">
        <v>30</v>
      </c>
      <c r="C1548" s="20" t="s">
        <v>46</v>
      </c>
      <c r="D1548" s="20" t="s">
        <v>32</v>
      </c>
      <c r="E1548" s="21" t="s">
        <v>5991</v>
      </c>
      <c r="F1548" s="21" t="s">
        <v>6104</v>
      </c>
      <c r="G1548" s="20" t="s">
        <v>35</v>
      </c>
      <c r="H1548" s="20" t="s">
        <v>25</v>
      </c>
      <c r="I1548" s="21" t="s">
        <v>6105</v>
      </c>
      <c r="J1548" s="22">
        <f t="shared" si="120"/>
        <v>0.086111111115315</v>
      </c>
      <c r="K1548" s="22">
        <f t="shared" si="121"/>
        <v>2.06666666676756</v>
      </c>
      <c r="L1548" s="22">
        <f t="shared" si="122"/>
        <v>2.06666666676756</v>
      </c>
      <c r="M1548" s="22" cm="1">
        <f ca="1" t="array" ref="M1548">SUMPRODUCT(--(WEEKDAY(ROW(INDIRECT(INT(F1548)&amp;":"&amp;INT(I1548))),2)&gt;5))</f>
        <v>0</v>
      </c>
      <c r="N1548" s="22">
        <f ca="1" t="shared" si="123"/>
        <v>2.06666666676756</v>
      </c>
      <c r="O1548" s="22" t="str">
        <f ca="1" t="shared" si="124"/>
        <v>Within SLA</v>
      </c>
      <c r="P1548" s="26" t="s">
        <v>6103</v>
      </c>
      <c r="Q1548" s="24" t="s">
        <v>37</v>
      </c>
      <c r="R1548" s="25"/>
      <c r="S1548" s="25"/>
    </row>
    <row r="1549" ht="27" customHeight="1" spans="1:19">
      <c r="A1549" s="19" t="s">
        <v>6106</v>
      </c>
      <c r="B1549" s="20" t="s">
        <v>30</v>
      </c>
      <c r="C1549" s="20" t="s">
        <v>849</v>
      </c>
      <c r="D1549" s="20" t="s">
        <v>32</v>
      </c>
      <c r="E1549" s="21" t="s">
        <v>6107</v>
      </c>
      <c r="F1549" s="21" t="s">
        <v>6108</v>
      </c>
      <c r="G1549" s="20" t="s">
        <v>35</v>
      </c>
      <c r="H1549" s="20" t="s">
        <v>25</v>
      </c>
      <c r="I1549" s="21" t="s">
        <v>6109</v>
      </c>
      <c r="J1549" s="22">
        <f t="shared" si="120"/>
        <v>5.9951388888876</v>
      </c>
      <c r="K1549" s="22">
        <f t="shared" si="121"/>
        <v>143.883333333302</v>
      </c>
      <c r="L1549" s="22">
        <f t="shared" si="122"/>
        <v>47.8833333333023</v>
      </c>
      <c r="M1549" s="22" cm="1">
        <f ca="1" t="array" ref="M1549">SUMPRODUCT(--(WEEKDAY(ROW(INDIRECT(INT(F1549)&amp;":"&amp;INT(I1549))),2)&gt;5))</f>
        <v>2</v>
      </c>
      <c r="N1549" s="22">
        <f ca="1" t="shared" si="123"/>
        <v>31.8833333333023</v>
      </c>
      <c r="O1549" s="22" t="str">
        <f ca="1" t="shared" si="124"/>
        <v>SLA Violated</v>
      </c>
      <c r="P1549" s="23" t="s">
        <v>6110</v>
      </c>
      <c r="Q1549" s="24" t="s">
        <v>28</v>
      </c>
      <c r="R1549" s="25"/>
      <c r="S1549" s="25"/>
    </row>
    <row r="1550" ht="27" customHeight="1" spans="1:19">
      <c r="A1550" s="19" t="s">
        <v>6111</v>
      </c>
      <c r="B1550" s="20" t="s">
        <v>30</v>
      </c>
      <c r="C1550" s="20" t="s">
        <v>849</v>
      </c>
      <c r="D1550" s="20" t="s">
        <v>32</v>
      </c>
      <c r="E1550" s="21" t="s">
        <v>6112</v>
      </c>
      <c r="F1550" s="21" t="s">
        <v>6113</v>
      </c>
      <c r="G1550" s="20" t="s">
        <v>35</v>
      </c>
      <c r="H1550" s="20" t="s">
        <v>25</v>
      </c>
      <c r="I1550" s="21" t="s">
        <v>6114</v>
      </c>
      <c r="J1550" s="22">
        <f t="shared" si="120"/>
        <v>5.9951388888876</v>
      </c>
      <c r="K1550" s="22">
        <f t="shared" si="121"/>
        <v>143.883333333302</v>
      </c>
      <c r="L1550" s="22">
        <f t="shared" si="122"/>
        <v>47.8833333333023</v>
      </c>
      <c r="M1550" s="22" cm="1">
        <f ca="1" t="array" ref="M1550">SUMPRODUCT(--(WEEKDAY(ROW(INDIRECT(INT(F1550)&amp;":"&amp;INT(I1550))),2)&gt;5))</f>
        <v>2</v>
      </c>
      <c r="N1550" s="22">
        <f ca="1" t="shared" si="123"/>
        <v>31.8833333333023</v>
      </c>
      <c r="O1550" s="22" t="str">
        <f ca="1" t="shared" si="124"/>
        <v>SLA Violated</v>
      </c>
      <c r="P1550" s="23" t="s">
        <v>6115</v>
      </c>
      <c r="Q1550" s="24" t="s">
        <v>28</v>
      </c>
      <c r="R1550" s="25"/>
      <c r="S1550" s="25"/>
    </row>
    <row r="1551" ht="27" customHeight="1" spans="1:19">
      <c r="A1551" s="19" t="s">
        <v>6116</v>
      </c>
      <c r="B1551" s="20" t="s">
        <v>30</v>
      </c>
      <c r="C1551" s="20" t="s">
        <v>31</v>
      </c>
      <c r="D1551" s="20" t="s">
        <v>105</v>
      </c>
      <c r="E1551" s="21" t="s">
        <v>6025</v>
      </c>
      <c r="F1551" s="21" t="s">
        <v>6117</v>
      </c>
      <c r="G1551" s="20" t="s">
        <v>35</v>
      </c>
      <c r="H1551" s="20" t="s">
        <v>25</v>
      </c>
      <c r="I1551" s="21" t="s">
        <v>6118</v>
      </c>
      <c r="J1551" s="22">
        <f t="shared" si="120"/>
        <v>3.0534722222219</v>
      </c>
      <c r="K1551" s="22">
        <f t="shared" si="121"/>
        <v>73.2833333333256</v>
      </c>
      <c r="L1551" s="22">
        <f t="shared" si="122"/>
        <v>25.2833333333256</v>
      </c>
      <c r="M1551" s="22" cm="1">
        <f ca="1" t="array" ref="M1551">SUMPRODUCT(--(WEEKDAY(ROW(INDIRECT(INT(F1551)&amp;":"&amp;INT(I1551))),2)&gt;5))</f>
        <v>2</v>
      </c>
      <c r="N1551" s="22">
        <f ca="1" t="shared" si="123"/>
        <v>9.2833333333256</v>
      </c>
      <c r="O1551" s="22" t="str">
        <f ca="1" t="shared" si="124"/>
        <v>SLA Violated</v>
      </c>
      <c r="P1551" s="23" t="s">
        <v>6119</v>
      </c>
      <c r="Q1551" s="24" t="s">
        <v>37</v>
      </c>
      <c r="R1551" s="25" t="s">
        <v>4805</v>
      </c>
      <c r="S1551" s="25" t="s">
        <v>39</v>
      </c>
    </row>
    <row r="1552" ht="27" customHeight="1" spans="1:19">
      <c r="A1552" s="19" t="s">
        <v>6120</v>
      </c>
      <c r="B1552" s="20" t="s">
        <v>30</v>
      </c>
      <c r="C1552" s="20" t="s">
        <v>31</v>
      </c>
      <c r="D1552" s="20" t="s">
        <v>32</v>
      </c>
      <c r="E1552" s="21" t="s">
        <v>6121</v>
      </c>
      <c r="F1552" s="21" t="s">
        <v>6122</v>
      </c>
      <c r="G1552" s="20" t="s">
        <v>35</v>
      </c>
      <c r="H1552" s="20" t="s">
        <v>25</v>
      </c>
      <c r="I1552" s="21" t="s">
        <v>6123</v>
      </c>
      <c r="J1552" s="22">
        <f t="shared" si="120"/>
        <v>0.108333333337214</v>
      </c>
      <c r="K1552" s="22">
        <f t="shared" si="121"/>
        <v>2.60000000009313</v>
      </c>
      <c r="L1552" s="22">
        <f t="shared" si="122"/>
        <v>2.60000000009313</v>
      </c>
      <c r="M1552" s="22" cm="1">
        <f ca="1" t="array" ref="M1552">SUMPRODUCT(--(WEEKDAY(ROW(INDIRECT(INT(F1552)&amp;":"&amp;INT(I1552))),2)&gt;5))</f>
        <v>0</v>
      </c>
      <c r="N1552" s="22">
        <f ca="1" t="shared" si="123"/>
        <v>2.60000000009313</v>
      </c>
      <c r="O1552" s="22" t="str">
        <f ca="1" t="shared" si="124"/>
        <v>Within SLA</v>
      </c>
      <c r="P1552" s="26" t="s">
        <v>6120</v>
      </c>
      <c r="Q1552" s="24" t="s">
        <v>37</v>
      </c>
      <c r="R1552" s="25"/>
      <c r="S1552" s="25"/>
    </row>
    <row r="1553" ht="27" customHeight="1" spans="1:19">
      <c r="A1553" s="19" t="s">
        <v>6124</v>
      </c>
      <c r="B1553" s="20" t="s">
        <v>30</v>
      </c>
      <c r="C1553" s="20" t="s">
        <v>31</v>
      </c>
      <c r="D1553" s="20" t="s">
        <v>32</v>
      </c>
      <c r="E1553" s="21" t="s">
        <v>6121</v>
      </c>
      <c r="F1553" s="21" t="s">
        <v>6125</v>
      </c>
      <c r="G1553" s="20" t="s">
        <v>35</v>
      </c>
      <c r="H1553" s="20" t="s">
        <v>25</v>
      </c>
      <c r="I1553" s="21" t="s">
        <v>6126</v>
      </c>
      <c r="J1553" s="22">
        <f t="shared" si="120"/>
        <v>31.8791666666657</v>
      </c>
      <c r="K1553" s="22">
        <f t="shared" si="121"/>
        <v>765.099999999977</v>
      </c>
      <c r="L1553" s="22">
        <f t="shared" si="122"/>
        <v>253.099999999977</v>
      </c>
      <c r="M1553" s="22" cm="1">
        <f ca="1" t="array" ref="M1553">SUMPRODUCT(--(WEEKDAY(ROW(INDIRECT(INT(F1553)&amp;":"&amp;INT(I1553))),2)&gt;5))</f>
        <v>10</v>
      </c>
      <c r="N1553" s="22">
        <f ca="1" t="shared" si="123"/>
        <v>173.099999999977</v>
      </c>
      <c r="O1553" s="22" t="str">
        <f ca="1" t="shared" si="124"/>
        <v>SLA Violated</v>
      </c>
      <c r="P1553" s="23" t="s">
        <v>6127</v>
      </c>
      <c r="Q1553" s="24" t="s">
        <v>37</v>
      </c>
      <c r="R1553" s="25" t="s">
        <v>749</v>
      </c>
      <c r="S1553" s="25" t="s">
        <v>39</v>
      </c>
    </row>
    <row r="1554" ht="27" customHeight="1" spans="1:19">
      <c r="A1554" s="19" t="s">
        <v>6128</v>
      </c>
      <c r="B1554" s="20" t="s">
        <v>139</v>
      </c>
      <c r="C1554" s="20" t="s">
        <v>46</v>
      </c>
      <c r="D1554" s="20" t="s">
        <v>32</v>
      </c>
      <c r="E1554" s="21" t="s">
        <v>6129</v>
      </c>
      <c r="F1554" s="21" t="s">
        <v>6130</v>
      </c>
      <c r="G1554" s="20" t="s">
        <v>35</v>
      </c>
      <c r="H1554" s="20" t="s">
        <v>25</v>
      </c>
      <c r="I1554" s="21" t="s">
        <v>6131</v>
      </c>
      <c r="J1554" s="22">
        <f t="shared" si="120"/>
        <v>0.0625</v>
      </c>
      <c r="K1554" s="22">
        <f t="shared" si="121"/>
        <v>1.5</v>
      </c>
      <c r="L1554" s="22">
        <f t="shared" si="122"/>
        <v>1.5</v>
      </c>
      <c r="M1554" s="22" cm="1">
        <f ca="1" t="array" ref="M1554">SUMPRODUCT(--(WEEKDAY(ROW(INDIRECT(INT(F1554)&amp;":"&amp;INT(I1554))),2)&gt;5))</f>
        <v>0</v>
      </c>
      <c r="N1554" s="22">
        <f ca="1" t="shared" si="123"/>
        <v>1.5</v>
      </c>
      <c r="O1554" s="22" t="str">
        <f ca="1" t="shared" si="124"/>
        <v>Within SLA</v>
      </c>
      <c r="P1554" s="26" t="s">
        <v>6128</v>
      </c>
      <c r="Q1554" s="24" t="s">
        <v>37</v>
      </c>
      <c r="R1554" s="25"/>
      <c r="S1554" s="25"/>
    </row>
    <row r="1555" ht="27" customHeight="1" spans="1:19">
      <c r="A1555" s="19" t="s">
        <v>6132</v>
      </c>
      <c r="B1555" s="20" t="s">
        <v>30</v>
      </c>
      <c r="C1555" s="20" t="s">
        <v>31</v>
      </c>
      <c r="D1555" s="20" t="s">
        <v>32</v>
      </c>
      <c r="E1555" s="21" t="s">
        <v>6054</v>
      </c>
      <c r="F1555" s="21" t="s">
        <v>6133</v>
      </c>
      <c r="G1555" s="20" t="s">
        <v>35</v>
      </c>
      <c r="H1555" s="20" t="s">
        <v>25</v>
      </c>
      <c r="I1555" s="21" t="s">
        <v>6134</v>
      </c>
      <c r="J1555" s="22">
        <f t="shared" si="120"/>
        <v>5.08819444444816</v>
      </c>
      <c r="K1555" s="22">
        <f t="shared" si="121"/>
        <v>122.116666666756</v>
      </c>
      <c r="L1555" s="22">
        <f t="shared" si="122"/>
        <v>42.1166666667559</v>
      </c>
      <c r="M1555" s="22" cm="1">
        <f ca="1" t="array" ref="M1555">SUMPRODUCT(--(WEEKDAY(ROW(INDIRECT(INT(F1555)&amp;":"&amp;INT(I1555))),2)&gt;5))</f>
        <v>2</v>
      </c>
      <c r="N1555" s="22">
        <f ca="1" t="shared" si="123"/>
        <v>26.1166666667559</v>
      </c>
      <c r="O1555" s="22" t="str">
        <f ca="1" t="shared" si="124"/>
        <v>SLA Violated</v>
      </c>
      <c r="P1555" s="23" t="s">
        <v>6135</v>
      </c>
      <c r="Q1555" s="24" t="s">
        <v>28</v>
      </c>
      <c r="R1555" s="25"/>
      <c r="S1555" s="25"/>
    </row>
    <row r="1556" ht="39" customHeight="1" spans="1:19">
      <c r="A1556" s="19" t="s">
        <v>6136</v>
      </c>
      <c r="B1556" s="20" t="s">
        <v>19</v>
      </c>
      <c r="C1556" s="20" t="s">
        <v>20</v>
      </c>
      <c r="D1556" s="20" t="s">
        <v>32</v>
      </c>
      <c r="E1556" s="21" t="s">
        <v>6059</v>
      </c>
      <c r="F1556" s="21" t="s">
        <v>6137</v>
      </c>
      <c r="G1556" s="20" t="s">
        <v>35</v>
      </c>
      <c r="H1556" s="20" t="s">
        <v>25</v>
      </c>
      <c r="I1556" s="21" t="s">
        <v>6138</v>
      </c>
      <c r="J1556" s="22">
        <f t="shared" si="120"/>
        <v>0.09375</v>
      </c>
      <c r="K1556" s="22">
        <f t="shared" si="121"/>
        <v>2.25</v>
      </c>
      <c r="L1556" s="22">
        <f t="shared" si="122"/>
        <v>2.25</v>
      </c>
      <c r="M1556" s="22" cm="1">
        <f ca="1" t="array" ref="M1556">SUMPRODUCT(--(WEEKDAY(ROW(INDIRECT(INT(F1556)&amp;":"&amp;INT(I1556))),2)&gt;5))</f>
        <v>0</v>
      </c>
      <c r="N1556" s="22">
        <f ca="1" t="shared" si="123"/>
        <v>2.25</v>
      </c>
      <c r="O1556" s="22" t="str">
        <f ca="1" t="shared" si="124"/>
        <v>Within SLA</v>
      </c>
      <c r="P1556" s="26" t="s">
        <v>6136</v>
      </c>
      <c r="Q1556" s="24" t="s">
        <v>37</v>
      </c>
      <c r="R1556" s="25"/>
      <c r="S1556" s="25"/>
    </row>
    <row r="1557" ht="27" customHeight="1" spans="1:19">
      <c r="A1557" s="19" t="s">
        <v>6139</v>
      </c>
      <c r="B1557" s="20" t="s">
        <v>30</v>
      </c>
      <c r="C1557" s="20" t="s">
        <v>849</v>
      </c>
      <c r="D1557" s="20" t="s">
        <v>32</v>
      </c>
      <c r="E1557" s="21" t="s">
        <v>6068</v>
      </c>
      <c r="F1557" s="21" t="s">
        <v>6140</v>
      </c>
      <c r="G1557" s="20" t="s">
        <v>35</v>
      </c>
      <c r="H1557" s="20" t="s">
        <v>25</v>
      </c>
      <c r="I1557" s="21" t="s">
        <v>6138</v>
      </c>
      <c r="J1557" s="22">
        <f t="shared" si="120"/>
        <v>5.15694444444671</v>
      </c>
      <c r="K1557" s="22">
        <f t="shared" si="121"/>
        <v>123.766666666721</v>
      </c>
      <c r="L1557" s="22">
        <f t="shared" si="122"/>
        <v>43.766666666721</v>
      </c>
      <c r="M1557" s="22" cm="1">
        <f ca="1" t="array" ref="M1557">SUMPRODUCT(--(WEEKDAY(ROW(INDIRECT(INT(F1557)&amp;":"&amp;INT(I1557))),2)&gt;5))</f>
        <v>2</v>
      </c>
      <c r="N1557" s="22">
        <f ca="1" t="shared" si="123"/>
        <v>27.766666666721</v>
      </c>
      <c r="O1557" s="22" t="str">
        <f ca="1" t="shared" si="124"/>
        <v>SLA Violated</v>
      </c>
      <c r="P1557" s="23" t="s">
        <v>6141</v>
      </c>
      <c r="Q1557" s="24" t="s">
        <v>28</v>
      </c>
      <c r="R1557" s="25"/>
      <c r="S1557" s="25"/>
    </row>
    <row r="1558" ht="27" customHeight="1" spans="1:19">
      <c r="A1558" s="19" t="s">
        <v>6142</v>
      </c>
      <c r="B1558" s="20" t="s">
        <v>30</v>
      </c>
      <c r="C1558" s="20" t="s">
        <v>849</v>
      </c>
      <c r="D1558" s="20" t="s">
        <v>32</v>
      </c>
      <c r="E1558" s="21" t="s">
        <v>6143</v>
      </c>
      <c r="F1558" s="21" t="s">
        <v>6144</v>
      </c>
      <c r="G1558" s="20" t="s">
        <v>35</v>
      </c>
      <c r="H1558" s="20" t="s">
        <v>25</v>
      </c>
      <c r="I1558" s="21" t="s">
        <v>6145</v>
      </c>
      <c r="J1558" s="22">
        <f t="shared" si="120"/>
        <v>5.9819444444438</v>
      </c>
      <c r="K1558" s="22">
        <f t="shared" si="121"/>
        <v>143.566666666651</v>
      </c>
      <c r="L1558" s="22">
        <f t="shared" si="122"/>
        <v>47.5666666666511</v>
      </c>
      <c r="M1558" s="22" cm="1">
        <f ca="1" t="array" ref="M1558">SUMPRODUCT(--(WEEKDAY(ROW(INDIRECT(INT(F1558)&amp;":"&amp;INT(I1558))),2)&gt;5))</f>
        <v>2</v>
      </c>
      <c r="N1558" s="22">
        <f ca="1" t="shared" si="123"/>
        <v>31.5666666666511</v>
      </c>
      <c r="O1558" s="22" t="str">
        <f ca="1" t="shared" si="124"/>
        <v>SLA Violated</v>
      </c>
      <c r="P1558" s="23" t="s">
        <v>6146</v>
      </c>
      <c r="Q1558" s="24" t="s">
        <v>28</v>
      </c>
      <c r="R1558" s="25"/>
      <c r="S1558" s="25"/>
    </row>
    <row r="1559" ht="27" customHeight="1" spans="1:19">
      <c r="A1559" s="19" t="s">
        <v>6147</v>
      </c>
      <c r="B1559" s="20" t="s">
        <v>30</v>
      </c>
      <c r="C1559" s="20" t="s">
        <v>849</v>
      </c>
      <c r="D1559" s="20" t="s">
        <v>32</v>
      </c>
      <c r="E1559" s="21" t="s">
        <v>6148</v>
      </c>
      <c r="F1559" s="21" t="s">
        <v>6149</v>
      </c>
      <c r="G1559" s="20" t="s">
        <v>35</v>
      </c>
      <c r="H1559" s="20" t="s">
        <v>25</v>
      </c>
      <c r="I1559" s="21" t="s">
        <v>6145</v>
      </c>
      <c r="J1559" s="22">
        <f t="shared" si="120"/>
        <v>8.18194444444816</v>
      </c>
      <c r="K1559" s="22">
        <f t="shared" si="121"/>
        <v>196.366666666756</v>
      </c>
      <c r="L1559" s="22">
        <f t="shared" si="122"/>
        <v>68.3666666667559</v>
      </c>
      <c r="M1559" s="22" cm="1">
        <f ca="1" t="array" ref="M1559">SUMPRODUCT(--(WEEKDAY(ROW(INDIRECT(INT(F1559)&amp;":"&amp;INT(I1559))),2)&gt;5))</f>
        <v>2</v>
      </c>
      <c r="N1559" s="22">
        <f ca="1" t="shared" si="123"/>
        <v>52.3666666667559</v>
      </c>
      <c r="O1559" s="22" t="str">
        <f ca="1" t="shared" si="124"/>
        <v>SLA Violated</v>
      </c>
      <c r="P1559" s="23" t="s">
        <v>6150</v>
      </c>
      <c r="Q1559" s="24" t="s">
        <v>28</v>
      </c>
      <c r="R1559" s="25"/>
      <c r="S1559" s="25"/>
    </row>
    <row r="1560" ht="27" customHeight="1" spans="1:19">
      <c r="A1560" s="19" t="s">
        <v>6151</v>
      </c>
      <c r="B1560" s="20" t="s">
        <v>30</v>
      </c>
      <c r="C1560" s="20" t="s">
        <v>31</v>
      </c>
      <c r="D1560" s="20" t="s">
        <v>32</v>
      </c>
      <c r="E1560" s="21" t="s">
        <v>6148</v>
      </c>
      <c r="F1560" s="21" t="s">
        <v>6152</v>
      </c>
      <c r="G1560" s="20" t="s">
        <v>35</v>
      </c>
      <c r="H1560" s="20" t="s">
        <v>25</v>
      </c>
      <c r="I1560" s="21" t="s">
        <v>6153</v>
      </c>
      <c r="J1560" s="22">
        <f t="shared" si="120"/>
        <v>6.89236111110949</v>
      </c>
      <c r="K1560" s="22">
        <f t="shared" si="121"/>
        <v>165.416666666628</v>
      </c>
      <c r="L1560" s="22">
        <f t="shared" si="122"/>
        <v>53.4166666666279</v>
      </c>
      <c r="M1560" s="22" cm="1">
        <f ca="1" t="array" ref="M1560">SUMPRODUCT(--(WEEKDAY(ROW(INDIRECT(INT(F1560)&amp;":"&amp;INT(I1560))),2)&gt;5))</f>
        <v>2</v>
      </c>
      <c r="N1560" s="22">
        <f ca="1" t="shared" si="123"/>
        <v>37.4166666666279</v>
      </c>
      <c r="O1560" s="22" t="str">
        <f ca="1" t="shared" si="124"/>
        <v>SLA Violated</v>
      </c>
      <c r="P1560" s="23" t="s">
        <v>6154</v>
      </c>
      <c r="Q1560" s="24" t="s">
        <v>28</v>
      </c>
      <c r="R1560" s="25"/>
      <c r="S1560" s="25"/>
    </row>
    <row r="1561" ht="39" customHeight="1" spans="1:19">
      <c r="A1561" s="19" t="s">
        <v>6155</v>
      </c>
      <c r="B1561" s="20" t="s">
        <v>4167</v>
      </c>
      <c r="C1561" s="20" t="s">
        <v>101</v>
      </c>
      <c r="D1561" s="20" t="s">
        <v>32</v>
      </c>
      <c r="E1561" s="21" t="s">
        <v>4194</v>
      </c>
      <c r="F1561" s="21" t="s">
        <v>6156</v>
      </c>
      <c r="G1561" s="20" t="s">
        <v>35</v>
      </c>
      <c r="H1561" s="20" t="s">
        <v>25</v>
      </c>
      <c r="I1561" s="21" t="s">
        <v>6157</v>
      </c>
      <c r="J1561" s="22">
        <f t="shared" si="120"/>
        <v>0.917361111110949</v>
      </c>
      <c r="K1561" s="22">
        <f t="shared" si="121"/>
        <v>22.0166666666628</v>
      </c>
      <c r="L1561" s="22">
        <f t="shared" si="122"/>
        <v>6.01666666666279</v>
      </c>
      <c r="M1561" s="22" cm="1">
        <f ca="1" t="array" ref="M1561">SUMPRODUCT(--(WEEKDAY(ROW(INDIRECT(INT(F1561)&amp;":"&amp;INT(I1561))),2)&gt;5))</f>
        <v>0</v>
      </c>
      <c r="N1561" s="22">
        <f ca="1" t="shared" si="123"/>
        <v>6.01666666666279</v>
      </c>
      <c r="O1561" s="22" t="str">
        <f ca="1" t="shared" si="124"/>
        <v>Within SLA</v>
      </c>
      <c r="P1561" s="26" t="s">
        <v>6155</v>
      </c>
      <c r="Q1561" s="24" t="s">
        <v>37</v>
      </c>
      <c r="R1561" s="25"/>
      <c r="S1561" s="25"/>
    </row>
    <row r="1562" ht="39" customHeight="1" spans="1:19">
      <c r="A1562" s="19" t="s">
        <v>6158</v>
      </c>
      <c r="B1562" s="20" t="s">
        <v>725</v>
      </c>
      <c r="C1562" s="20" t="s">
        <v>101</v>
      </c>
      <c r="D1562" s="20" t="s">
        <v>21</v>
      </c>
      <c r="E1562" s="21" t="s">
        <v>4194</v>
      </c>
      <c r="F1562" s="21" t="s">
        <v>6159</v>
      </c>
      <c r="G1562" s="20" t="s">
        <v>35</v>
      </c>
      <c r="H1562" s="20" t="s">
        <v>25</v>
      </c>
      <c r="I1562" s="21" t="s">
        <v>6160</v>
      </c>
      <c r="J1562" s="22">
        <f t="shared" si="120"/>
        <v>0.129861111112405</v>
      </c>
      <c r="K1562" s="22">
        <f t="shared" si="121"/>
        <v>3.11666666669771</v>
      </c>
      <c r="L1562" s="22">
        <f t="shared" si="122"/>
        <v>3.11666666669771</v>
      </c>
      <c r="M1562" s="22" cm="1">
        <f ca="1" t="array" ref="M1562">SUMPRODUCT(--(WEEKDAY(ROW(INDIRECT(INT(F1562)&amp;":"&amp;INT(I1562))),2)&gt;5))</f>
        <v>0</v>
      </c>
      <c r="N1562" s="22">
        <f ca="1" t="shared" si="123"/>
        <v>3.11666666669771</v>
      </c>
      <c r="O1562" s="22" t="str">
        <f ca="1" t="shared" si="124"/>
        <v>SLA Violated</v>
      </c>
      <c r="P1562" s="23" t="s">
        <v>6161</v>
      </c>
      <c r="Q1562" s="24" t="s">
        <v>28</v>
      </c>
      <c r="R1562" s="25"/>
      <c r="S1562" s="25"/>
    </row>
    <row r="1563" ht="27" customHeight="1" spans="1:19">
      <c r="A1563" s="19" t="s">
        <v>6162</v>
      </c>
      <c r="B1563" s="20" t="s">
        <v>30</v>
      </c>
      <c r="C1563" s="20" t="s">
        <v>849</v>
      </c>
      <c r="D1563" s="20" t="s">
        <v>32</v>
      </c>
      <c r="E1563" s="21" t="s">
        <v>6109</v>
      </c>
      <c r="F1563" s="21" t="s">
        <v>6163</v>
      </c>
      <c r="G1563" s="20" t="s">
        <v>35</v>
      </c>
      <c r="H1563" s="20" t="s">
        <v>25</v>
      </c>
      <c r="I1563" s="21" t="s">
        <v>6164</v>
      </c>
      <c r="J1563" s="22">
        <f t="shared" si="120"/>
        <v>5.92500000000291</v>
      </c>
      <c r="K1563" s="22">
        <f t="shared" si="121"/>
        <v>142.20000000007</v>
      </c>
      <c r="L1563" s="22">
        <f t="shared" si="122"/>
        <v>46.2000000000698</v>
      </c>
      <c r="M1563" s="22" cm="1">
        <f ca="1" t="array" ref="M1563">SUMPRODUCT(--(WEEKDAY(ROW(INDIRECT(INT(F1563)&amp;":"&amp;INT(I1563))),2)&gt;5))</f>
        <v>2</v>
      </c>
      <c r="N1563" s="22">
        <f ca="1" t="shared" si="123"/>
        <v>30.2000000000698</v>
      </c>
      <c r="O1563" s="22" t="str">
        <f ca="1" t="shared" si="124"/>
        <v>SLA Violated</v>
      </c>
      <c r="P1563" s="23" t="s">
        <v>6165</v>
      </c>
      <c r="Q1563" s="24" t="s">
        <v>28</v>
      </c>
      <c r="R1563" s="25"/>
      <c r="S1563" s="25"/>
    </row>
    <row r="1564" ht="27" customHeight="1" spans="1:19">
      <c r="A1564" s="19" t="s">
        <v>6166</v>
      </c>
      <c r="B1564" s="20" t="s">
        <v>30</v>
      </c>
      <c r="C1564" s="20" t="s">
        <v>849</v>
      </c>
      <c r="D1564" s="20" t="s">
        <v>32</v>
      </c>
      <c r="E1564" s="21" t="s">
        <v>6167</v>
      </c>
      <c r="F1564" s="21" t="s">
        <v>6168</v>
      </c>
      <c r="G1564" s="20" t="s">
        <v>35</v>
      </c>
      <c r="H1564" s="20" t="s">
        <v>25</v>
      </c>
      <c r="I1564" s="21" t="s">
        <v>6169</v>
      </c>
      <c r="J1564" s="22">
        <f t="shared" si="120"/>
        <v>6.10555555555766</v>
      </c>
      <c r="K1564" s="22">
        <f t="shared" si="121"/>
        <v>146.533333333384</v>
      </c>
      <c r="L1564" s="22">
        <f t="shared" si="122"/>
        <v>50.5333333333838</v>
      </c>
      <c r="M1564" s="22" cm="1">
        <f ca="1" t="array" ref="M1564">SUMPRODUCT(--(WEEKDAY(ROW(INDIRECT(INT(F1564)&amp;":"&amp;INT(I1564))),2)&gt;5))</f>
        <v>2</v>
      </c>
      <c r="N1564" s="22">
        <f ca="1" t="shared" si="123"/>
        <v>34.5333333333838</v>
      </c>
      <c r="O1564" s="22" t="str">
        <f ca="1" t="shared" si="124"/>
        <v>SLA Violated</v>
      </c>
      <c r="P1564" s="23" t="s">
        <v>6170</v>
      </c>
      <c r="Q1564" s="24" t="s">
        <v>28</v>
      </c>
      <c r="R1564" s="25"/>
      <c r="S1564" s="25"/>
    </row>
    <row r="1565" ht="27" customHeight="1" spans="1:19">
      <c r="A1565" s="19" t="s">
        <v>6171</v>
      </c>
      <c r="B1565" s="20" t="s">
        <v>30</v>
      </c>
      <c r="C1565" s="20" t="s">
        <v>849</v>
      </c>
      <c r="D1565" s="20" t="s">
        <v>105</v>
      </c>
      <c r="E1565" s="21" t="s">
        <v>6172</v>
      </c>
      <c r="F1565" s="21" t="s">
        <v>6173</v>
      </c>
      <c r="G1565" s="20" t="s">
        <v>35</v>
      </c>
      <c r="H1565" s="20" t="s">
        <v>25</v>
      </c>
      <c r="I1565" s="21" t="s">
        <v>6174</v>
      </c>
      <c r="J1565" s="22">
        <f t="shared" si="120"/>
        <v>5.92777777777519</v>
      </c>
      <c r="K1565" s="22">
        <f t="shared" si="121"/>
        <v>142.266666666605</v>
      </c>
      <c r="L1565" s="22">
        <f t="shared" si="122"/>
        <v>46.2666666666046</v>
      </c>
      <c r="M1565" s="22" cm="1">
        <f ca="1" t="array" ref="M1565">SUMPRODUCT(--(WEEKDAY(ROW(INDIRECT(INT(F1565)&amp;":"&amp;INT(I1565))),2)&gt;5))</f>
        <v>2</v>
      </c>
      <c r="N1565" s="22">
        <f ca="1" t="shared" si="123"/>
        <v>30.2666666666046</v>
      </c>
      <c r="O1565" s="22" t="str">
        <f ca="1" t="shared" si="124"/>
        <v>SLA Violated</v>
      </c>
      <c r="P1565" s="23" t="s">
        <v>6175</v>
      </c>
      <c r="Q1565" s="24" t="s">
        <v>28</v>
      </c>
      <c r="R1565" s="25"/>
      <c r="S1565" s="25"/>
    </row>
    <row r="1566" ht="27" customHeight="1" spans="1:19">
      <c r="A1566" s="19" t="s">
        <v>6176</v>
      </c>
      <c r="B1566" s="20" t="s">
        <v>30</v>
      </c>
      <c r="C1566" s="20" t="s">
        <v>31</v>
      </c>
      <c r="D1566" s="20" t="s">
        <v>32</v>
      </c>
      <c r="E1566" s="21" t="s">
        <v>6177</v>
      </c>
      <c r="F1566" s="21" t="s">
        <v>6178</v>
      </c>
      <c r="G1566" s="20" t="s">
        <v>35</v>
      </c>
      <c r="H1566" s="20" t="s">
        <v>25</v>
      </c>
      <c r="I1566" s="21" t="s">
        <v>6179</v>
      </c>
      <c r="J1566" s="22">
        <f t="shared" si="120"/>
        <v>27.0194444444496</v>
      </c>
      <c r="K1566" s="22">
        <f t="shared" si="121"/>
        <v>648.466666666791</v>
      </c>
      <c r="L1566" s="22">
        <f t="shared" si="122"/>
        <v>216.466666666791</v>
      </c>
      <c r="M1566" s="22" cm="1">
        <f ca="1" t="array" ref="M1566">SUMPRODUCT(--(WEEKDAY(ROW(INDIRECT(INT(F1566)&amp;":"&amp;INT(I1566))),2)&gt;5))</f>
        <v>8</v>
      </c>
      <c r="N1566" s="22">
        <f ca="1" t="shared" si="123"/>
        <v>152.466666666791</v>
      </c>
      <c r="O1566" s="22" t="str">
        <f ca="1" t="shared" si="124"/>
        <v>SLA Violated</v>
      </c>
      <c r="P1566" s="23" t="s">
        <v>6180</v>
      </c>
      <c r="Q1566" s="24" t="s">
        <v>28</v>
      </c>
      <c r="R1566" s="25"/>
      <c r="S1566" s="25"/>
    </row>
    <row r="1567" ht="39" customHeight="1" spans="1:19">
      <c r="A1567" s="19" t="s">
        <v>6181</v>
      </c>
      <c r="B1567" s="20" t="s">
        <v>725</v>
      </c>
      <c r="C1567" s="20" t="s">
        <v>101</v>
      </c>
      <c r="D1567" s="20" t="s">
        <v>32</v>
      </c>
      <c r="E1567" s="21" t="s">
        <v>6153</v>
      </c>
      <c r="F1567" s="21" t="s">
        <v>6182</v>
      </c>
      <c r="G1567" s="20" t="s">
        <v>35</v>
      </c>
      <c r="H1567" s="20" t="s">
        <v>25</v>
      </c>
      <c r="I1567" s="21" t="s">
        <v>6183</v>
      </c>
      <c r="J1567" s="22">
        <f t="shared" si="120"/>
        <v>0.00138888888614019</v>
      </c>
      <c r="K1567" s="22">
        <f t="shared" si="121"/>
        <v>0.0333333332673647</v>
      </c>
      <c r="L1567" s="22">
        <f t="shared" si="122"/>
        <v>0.0333333332673647</v>
      </c>
      <c r="M1567" s="22" cm="1">
        <f ca="1" t="array" ref="M1567">SUMPRODUCT(--(WEEKDAY(ROW(INDIRECT(INT(F1567)&amp;":"&amp;INT(I1567))),2)&gt;5))</f>
        <v>0</v>
      </c>
      <c r="N1567" s="22">
        <f ca="1" t="shared" si="123"/>
        <v>0.0333333332673647</v>
      </c>
      <c r="O1567" s="22" t="str">
        <f ca="1" t="shared" si="124"/>
        <v>Within SLA</v>
      </c>
      <c r="P1567" s="26" t="s">
        <v>6181</v>
      </c>
      <c r="Q1567" s="24" t="s">
        <v>37</v>
      </c>
      <c r="R1567" s="25"/>
      <c r="S1567" s="25"/>
    </row>
    <row r="1568" ht="39" customHeight="1" spans="1:19">
      <c r="A1568" s="19" t="s">
        <v>6184</v>
      </c>
      <c r="B1568" s="20" t="s">
        <v>196</v>
      </c>
      <c r="C1568" s="20" t="s">
        <v>46</v>
      </c>
      <c r="D1568" s="20" t="s">
        <v>32</v>
      </c>
      <c r="E1568" s="21" t="s">
        <v>6185</v>
      </c>
      <c r="F1568" s="21" t="s">
        <v>6186</v>
      </c>
      <c r="G1568" s="20" t="s">
        <v>35</v>
      </c>
      <c r="H1568" s="20" t="s">
        <v>25</v>
      </c>
      <c r="I1568" s="21" t="s">
        <v>6187</v>
      </c>
      <c r="J1568" s="22">
        <f t="shared" si="120"/>
        <v>0.00138888889341615</v>
      </c>
      <c r="K1568" s="22">
        <f t="shared" si="121"/>
        <v>0.0333333334419876</v>
      </c>
      <c r="L1568" s="22">
        <f t="shared" si="122"/>
        <v>0.0333333334419876</v>
      </c>
      <c r="M1568" s="22" cm="1">
        <f ca="1" t="array" ref="M1568">SUMPRODUCT(--(WEEKDAY(ROW(INDIRECT(INT(F1568)&amp;":"&amp;INT(I1568))),2)&gt;5))</f>
        <v>0</v>
      </c>
      <c r="N1568" s="22">
        <f ca="1" t="shared" si="123"/>
        <v>0.0333333334419876</v>
      </c>
      <c r="O1568" s="22" t="str">
        <f ca="1" t="shared" si="124"/>
        <v>Within SLA</v>
      </c>
      <c r="P1568" s="26" t="s">
        <v>6184</v>
      </c>
      <c r="Q1568" s="24" t="s">
        <v>37</v>
      </c>
      <c r="R1568" s="25"/>
      <c r="S1568" s="25"/>
    </row>
    <row r="1569" ht="27" customHeight="1" spans="1:19">
      <c r="A1569" s="19" t="s">
        <v>6188</v>
      </c>
      <c r="B1569" s="20" t="s">
        <v>30</v>
      </c>
      <c r="C1569" s="20" t="s">
        <v>849</v>
      </c>
      <c r="D1569" s="20" t="s">
        <v>32</v>
      </c>
      <c r="E1569" s="21" t="s">
        <v>6189</v>
      </c>
      <c r="F1569" s="21" t="s">
        <v>6190</v>
      </c>
      <c r="G1569" s="20" t="s">
        <v>35</v>
      </c>
      <c r="H1569" s="20" t="s">
        <v>25</v>
      </c>
      <c r="I1569" s="21" t="s">
        <v>6191</v>
      </c>
      <c r="J1569" s="22">
        <f t="shared" si="120"/>
        <v>5.9243055555562</v>
      </c>
      <c r="K1569" s="22">
        <f t="shared" si="121"/>
        <v>142.183333333349</v>
      </c>
      <c r="L1569" s="22">
        <f t="shared" si="122"/>
        <v>46.1833333333489</v>
      </c>
      <c r="M1569" s="22" cm="1">
        <f ca="1" t="array" ref="M1569">SUMPRODUCT(--(WEEKDAY(ROW(INDIRECT(INT(F1569)&amp;":"&amp;INT(I1569))),2)&gt;5))</f>
        <v>2</v>
      </c>
      <c r="N1569" s="22">
        <f ca="1" t="shared" si="123"/>
        <v>30.1833333333489</v>
      </c>
      <c r="O1569" s="22" t="str">
        <f ca="1" t="shared" si="124"/>
        <v>SLA Violated</v>
      </c>
      <c r="P1569" s="23" t="s">
        <v>6192</v>
      </c>
      <c r="Q1569" s="24" t="s">
        <v>28</v>
      </c>
      <c r="R1569" s="25"/>
      <c r="S1569" s="25"/>
    </row>
    <row r="1570" ht="27" customHeight="1" spans="1:19">
      <c r="A1570" s="19" t="s">
        <v>6193</v>
      </c>
      <c r="B1570" s="20" t="s">
        <v>30</v>
      </c>
      <c r="C1570" s="20" t="s">
        <v>31</v>
      </c>
      <c r="D1570" s="20" t="s">
        <v>32</v>
      </c>
      <c r="E1570" s="21" t="s">
        <v>6194</v>
      </c>
      <c r="F1570" s="21" t="s">
        <v>6195</v>
      </c>
      <c r="G1570" s="20" t="s">
        <v>35</v>
      </c>
      <c r="H1570" s="20" t="s">
        <v>25</v>
      </c>
      <c r="I1570" s="21" t="s">
        <v>6196</v>
      </c>
      <c r="J1570" s="22">
        <f t="shared" si="120"/>
        <v>0.0222222222218988</v>
      </c>
      <c r="K1570" s="22">
        <f t="shared" si="121"/>
        <v>0.533333333325572</v>
      </c>
      <c r="L1570" s="22">
        <f t="shared" si="122"/>
        <v>0.533333333325572</v>
      </c>
      <c r="M1570" s="22" cm="1">
        <f ca="1" t="array" ref="M1570">SUMPRODUCT(--(WEEKDAY(ROW(INDIRECT(INT(F1570)&amp;":"&amp;INT(I1570))),2)&gt;5))</f>
        <v>0</v>
      </c>
      <c r="N1570" s="22">
        <f ca="1" t="shared" si="123"/>
        <v>0.533333333325572</v>
      </c>
      <c r="O1570" s="22" t="str">
        <f ca="1" t="shared" si="124"/>
        <v>Within SLA</v>
      </c>
      <c r="P1570" s="26" t="s">
        <v>6193</v>
      </c>
      <c r="Q1570" s="24" t="s">
        <v>37</v>
      </c>
      <c r="R1570" s="25"/>
      <c r="S1570" s="25"/>
    </row>
    <row r="1571" ht="27" customHeight="1" spans="1:19">
      <c r="A1571" s="19" t="s">
        <v>6197</v>
      </c>
      <c r="B1571" s="20" t="s">
        <v>30</v>
      </c>
      <c r="C1571" s="20" t="s">
        <v>101</v>
      </c>
      <c r="D1571" s="20" t="s">
        <v>32</v>
      </c>
      <c r="E1571" s="21" t="s">
        <v>6198</v>
      </c>
      <c r="F1571" s="21" t="s">
        <v>6199</v>
      </c>
      <c r="G1571" s="20" t="s">
        <v>35</v>
      </c>
      <c r="H1571" s="20" t="s">
        <v>25</v>
      </c>
      <c r="I1571" s="21" t="s">
        <v>6200</v>
      </c>
      <c r="J1571" s="22">
        <f t="shared" si="120"/>
        <v>1.1201388888876</v>
      </c>
      <c r="K1571" s="22">
        <f t="shared" si="121"/>
        <v>26.8833333333023</v>
      </c>
      <c r="L1571" s="22">
        <f t="shared" si="122"/>
        <v>10.8833333333023</v>
      </c>
      <c r="M1571" s="22" cm="1">
        <f ca="1" t="array" ref="M1571">SUMPRODUCT(--(WEEKDAY(ROW(INDIRECT(INT(F1571)&amp;":"&amp;INT(I1571))),2)&gt;5))</f>
        <v>0</v>
      </c>
      <c r="N1571" s="22">
        <f ca="1" t="shared" si="123"/>
        <v>10.8833333333023</v>
      </c>
      <c r="O1571" s="22" t="str">
        <f ca="1" t="shared" si="124"/>
        <v>Within SLA</v>
      </c>
      <c r="P1571" s="26" t="s">
        <v>6197</v>
      </c>
      <c r="Q1571" s="24" t="s">
        <v>37</v>
      </c>
      <c r="R1571" s="25"/>
      <c r="S1571" s="25"/>
    </row>
    <row r="1572" ht="27" customHeight="1" spans="1:19">
      <c r="A1572" s="19" t="s">
        <v>6201</v>
      </c>
      <c r="B1572" s="20" t="s">
        <v>139</v>
      </c>
      <c r="C1572" s="20" t="s">
        <v>2057</v>
      </c>
      <c r="D1572" s="20" t="s">
        <v>32</v>
      </c>
      <c r="E1572" s="21" t="s">
        <v>6202</v>
      </c>
      <c r="F1572" s="21" t="s">
        <v>6203</v>
      </c>
      <c r="G1572" s="20" t="s">
        <v>24</v>
      </c>
      <c r="H1572" s="20" t="s">
        <v>25</v>
      </c>
      <c r="I1572" s="21" t="s">
        <v>6204</v>
      </c>
      <c r="J1572" s="22">
        <f t="shared" si="120"/>
        <v>48.0291666666672</v>
      </c>
      <c r="K1572" s="22">
        <f t="shared" si="121"/>
        <v>1152.70000000001</v>
      </c>
      <c r="L1572" s="22">
        <f t="shared" si="122"/>
        <v>384.700000000012</v>
      </c>
      <c r="M1572" s="22" cm="1">
        <f ca="1" t="array" ref="M1572">SUMPRODUCT(--(WEEKDAY(ROW(INDIRECT(INT(F1572)&amp;":"&amp;INT(I1572))),2)&gt;5))</f>
        <v>14</v>
      </c>
      <c r="N1572" s="22">
        <f ca="1" t="shared" si="123"/>
        <v>272.700000000012</v>
      </c>
      <c r="O1572" s="22" t="str">
        <f ca="1" t="shared" si="124"/>
        <v>SLA Violated</v>
      </c>
      <c r="P1572" s="23" t="s">
        <v>6205</v>
      </c>
      <c r="Q1572" s="24" t="s">
        <v>28</v>
      </c>
      <c r="R1572" s="25"/>
      <c r="S1572" s="25"/>
    </row>
    <row r="1573" ht="27" customHeight="1" spans="1:19">
      <c r="A1573" s="19" t="s">
        <v>6206</v>
      </c>
      <c r="B1573" s="20" t="s">
        <v>30</v>
      </c>
      <c r="C1573" s="20" t="s">
        <v>31</v>
      </c>
      <c r="D1573" s="20" t="s">
        <v>32</v>
      </c>
      <c r="E1573" s="21" t="s">
        <v>6207</v>
      </c>
      <c r="F1573" s="21" t="s">
        <v>6208</v>
      </c>
      <c r="G1573" s="20" t="s">
        <v>35</v>
      </c>
      <c r="H1573" s="20" t="s">
        <v>25</v>
      </c>
      <c r="I1573" s="21" t="s">
        <v>6209</v>
      </c>
      <c r="J1573" s="22">
        <f t="shared" si="120"/>
        <v>32.8145833333328</v>
      </c>
      <c r="K1573" s="22">
        <f t="shared" si="121"/>
        <v>787.549999999988</v>
      </c>
      <c r="L1573" s="22">
        <f t="shared" si="122"/>
        <v>259.549999999988</v>
      </c>
      <c r="M1573" s="22" cm="1">
        <f ca="1" t="array" ref="M1573">SUMPRODUCT(--(WEEKDAY(ROW(INDIRECT(INT(F1573)&amp;":"&amp;INT(I1573))),2)&gt;5))</f>
        <v>10</v>
      </c>
      <c r="N1573" s="22">
        <f ca="1" t="shared" si="123"/>
        <v>179.549999999988</v>
      </c>
      <c r="O1573" s="22" t="str">
        <f ca="1" t="shared" si="124"/>
        <v>SLA Violated</v>
      </c>
      <c r="P1573" s="23" t="s">
        <v>6210</v>
      </c>
      <c r="Q1573" s="24" t="s">
        <v>37</v>
      </c>
      <c r="R1573" s="25" t="s">
        <v>2693</v>
      </c>
      <c r="S1573" s="25"/>
    </row>
    <row r="1574" ht="39" customHeight="1" spans="1:19">
      <c r="A1574" s="19" t="s">
        <v>6211</v>
      </c>
      <c r="B1574" s="20" t="s">
        <v>19</v>
      </c>
      <c r="C1574" s="20" t="s">
        <v>20</v>
      </c>
      <c r="D1574" s="20" t="s">
        <v>32</v>
      </c>
      <c r="E1574" s="21" t="s">
        <v>6183</v>
      </c>
      <c r="F1574" s="21" t="s">
        <v>6212</v>
      </c>
      <c r="G1574" s="20" t="s">
        <v>35</v>
      </c>
      <c r="H1574" s="20" t="s">
        <v>25</v>
      </c>
      <c r="I1574" s="21" t="s">
        <v>6213</v>
      </c>
      <c r="J1574" s="22">
        <f t="shared" si="120"/>
        <v>0.0270833333343035</v>
      </c>
      <c r="K1574" s="22">
        <f t="shared" si="121"/>
        <v>0.650000000023283</v>
      </c>
      <c r="L1574" s="22">
        <f t="shared" si="122"/>
        <v>0.650000000023283</v>
      </c>
      <c r="M1574" s="22" cm="1">
        <f ca="1" t="array" ref="M1574">SUMPRODUCT(--(WEEKDAY(ROW(INDIRECT(INT(F1574)&amp;":"&amp;INT(I1574))),2)&gt;5))</f>
        <v>0</v>
      </c>
      <c r="N1574" s="22">
        <f ca="1" t="shared" si="123"/>
        <v>0.650000000023283</v>
      </c>
      <c r="O1574" s="22" t="str">
        <f ca="1" t="shared" si="124"/>
        <v>Within SLA</v>
      </c>
      <c r="P1574" s="26" t="s">
        <v>6211</v>
      </c>
      <c r="Q1574" s="24" t="s">
        <v>37</v>
      </c>
      <c r="R1574" s="25"/>
      <c r="S1574" s="25"/>
    </row>
    <row r="1575" ht="39" customHeight="1" spans="1:19">
      <c r="A1575" s="19" t="s">
        <v>6214</v>
      </c>
      <c r="B1575" s="20" t="s">
        <v>19</v>
      </c>
      <c r="C1575" s="20" t="s">
        <v>20</v>
      </c>
      <c r="D1575" s="20" t="s">
        <v>32</v>
      </c>
      <c r="E1575" s="21" t="s">
        <v>6215</v>
      </c>
      <c r="F1575" s="21" t="s">
        <v>6216</v>
      </c>
      <c r="G1575" s="20" t="s">
        <v>35</v>
      </c>
      <c r="H1575" s="20" t="s">
        <v>25</v>
      </c>
      <c r="I1575" s="21" t="s">
        <v>6217</v>
      </c>
      <c r="J1575" s="22">
        <f t="shared" si="120"/>
        <v>0.015972222223354</v>
      </c>
      <c r="K1575" s="22">
        <f t="shared" si="121"/>
        <v>0.383333333360497</v>
      </c>
      <c r="L1575" s="22">
        <f t="shared" si="122"/>
        <v>0.383333333360497</v>
      </c>
      <c r="M1575" s="22" cm="1">
        <f ca="1" t="array" ref="M1575">SUMPRODUCT(--(WEEKDAY(ROW(INDIRECT(INT(F1575)&amp;":"&amp;INT(I1575))),2)&gt;5))</f>
        <v>0</v>
      </c>
      <c r="N1575" s="22">
        <f ca="1" t="shared" si="123"/>
        <v>0.383333333360497</v>
      </c>
      <c r="O1575" s="22" t="str">
        <f ca="1" t="shared" si="124"/>
        <v>Within SLA</v>
      </c>
      <c r="P1575" s="26" t="s">
        <v>6214</v>
      </c>
      <c r="Q1575" s="24" t="s">
        <v>37</v>
      </c>
      <c r="R1575" s="25"/>
      <c r="S1575" s="25"/>
    </row>
    <row r="1576" ht="27" customHeight="1" spans="1:19">
      <c r="A1576" s="19" t="s">
        <v>6218</v>
      </c>
      <c r="B1576" s="20" t="s">
        <v>30</v>
      </c>
      <c r="C1576" s="20" t="s">
        <v>31</v>
      </c>
      <c r="D1576" s="20" t="s">
        <v>32</v>
      </c>
      <c r="E1576" s="21" t="s">
        <v>6164</v>
      </c>
      <c r="F1576" s="21" t="s">
        <v>6219</v>
      </c>
      <c r="G1576" s="20" t="s">
        <v>35</v>
      </c>
      <c r="H1576" s="20" t="s">
        <v>25</v>
      </c>
      <c r="I1576" s="21" t="s">
        <v>6217</v>
      </c>
      <c r="J1576" s="22">
        <f t="shared" si="120"/>
        <v>1.04791666667006</v>
      </c>
      <c r="K1576" s="22">
        <f t="shared" si="121"/>
        <v>25.1500000000815</v>
      </c>
      <c r="L1576" s="22">
        <f t="shared" si="122"/>
        <v>9.15000000008149</v>
      </c>
      <c r="M1576" s="22" cm="1">
        <f ca="1" t="array" ref="M1576">SUMPRODUCT(--(WEEKDAY(ROW(INDIRECT(INT(F1576)&amp;":"&amp;INT(I1576))),2)&gt;5))</f>
        <v>0</v>
      </c>
      <c r="N1576" s="22">
        <f ca="1" t="shared" si="123"/>
        <v>9.15000000008149</v>
      </c>
      <c r="O1576" s="22" t="str">
        <f ca="1" t="shared" si="124"/>
        <v>Within SLA</v>
      </c>
      <c r="P1576" s="26" t="s">
        <v>6218</v>
      </c>
      <c r="Q1576" s="24" t="s">
        <v>37</v>
      </c>
      <c r="R1576" s="25"/>
      <c r="S1576" s="25"/>
    </row>
    <row r="1577" ht="27" customHeight="1" spans="1:19">
      <c r="A1577" s="19" t="s">
        <v>6220</v>
      </c>
      <c r="B1577" s="20" t="s">
        <v>30</v>
      </c>
      <c r="C1577" s="20" t="s">
        <v>849</v>
      </c>
      <c r="D1577" s="20" t="s">
        <v>32</v>
      </c>
      <c r="E1577" s="21" t="s">
        <v>6196</v>
      </c>
      <c r="F1577" s="21" t="s">
        <v>6221</v>
      </c>
      <c r="G1577" s="20" t="s">
        <v>35</v>
      </c>
      <c r="H1577" s="20" t="s">
        <v>25</v>
      </c>
      <c r="I1577" s="21" t="s">
        <v>6222</v>
      </c>
      <c r="J1577" s="22">
        <f t="shared" si="120"/>
        <v>8.10763888889051</v>
      </c>
      <c r="K1577" s="22">
        <f t="shared" si="121"/>
        <v>194.583333333372</v>
      </c>
      <c r="L1577" s="22">
        <f t="shared" si="122"/>
        <v>66.5833333333721</v>
      </c>
      <c r="M1577" s="22" cm="1">
        <f ca="1" t="array" ref="M1577">SUMPRODUCT(--(WEEKDAY(ROW(INDIRECT(INT(F1577)&amp;":"&amp;INT(I1577))),2)&gt;5))</f>
        <v>2</v>
      </c>
      <c r="N1577" s="22">
        <f ca="1" t="shared" si="123"/>
        <v>50.5833333333721</v>
      </c>
      <c r="O1577" s="22" t="str">
        <f ca="1" t="shared" si="124"/>
        <v>SLA Violated</v>
      </c>
      <c r="P1577" s="23" t="s">
        <v>6223</v>
      </c>
      <c r="Q1577" s="24" t="s">
        <v>28</v>
      </c>
      <c r="R1577" s="25"/>
      <c r="S1577" s="25"/>
    </row>
    <row r="1578" ht="39" customHeight="1" spans="1:19">
      <c r="A1578" s="19" t="s">
        <v>6224</v>
      </c>
      <c r="B1578" s="20" t="s">
        <v>19</v>
      </c>
      <c r="C1578" s="20" t="s">
        <v>20</v>
      </c>
      <c r="D1578" s="20" t="s">
        <v>32</v>
      </c>
      <c r="E1578" s="21" t="s">
        <v>6225</v>
      </c>
      <c r="F1578" s="21" t="s">
        <v>6226</v>
      </c>
      <c r="G1578" s="20" t="s">
        <v>35</v>
      </c>
      <c r="H1578" s="20" t="s">
        <v>25</v>
      </c>
      <c r="I1578" s="21" t="s">
        <v>6227</v>
      </c>
      <c r="J1578" s="22">
        <f t="shared" si="120"/>
        <v>3.80000000000291</v>
      </c>
      <c r="K1578" s="22">
        <f t="shared" si="121"/>
        <v>91.2000000000698</v>
      </c>
      <c r="L1578" s="22">
        <f t="shared" si="122"/>
        <v>27.2000000000698</v>
      </c>
      <c r="M1578" s="22" cm="1">
        <f ca="1" t="array" ref="M1578">SUMPRODUCT(--(WEEKDAY(ROW(INDIRECT(INT(F1578)&amp;":"&amp;INT(I1578))),2)&gt;5))</f>
        <v>2</v>
      </c>
      <c r="N1578" s="22">
        <f ca="1" t="shared" si="123"/>
        <v>11.2000000000698</v>
      </c>
      <c r="O1578" s="22" t="str">
        <f ca="1" t="shared" si="124"/>
        <v>Within SLA</v>
      </c>
      <c r="P1578" s="26" t="s">
        <v>6224</v>
      </c>
      <c r="Q1578" s="24" t="s">
        <v>37</v>
      </c>
      <c r="R1578" s="25"/>
      <c r="S1578" s="25"/>
    </row>
    <row r="1579" ht="39" customHeight="1" spans="1:19">
      <c r="A1579" s="19" t="s">
        <v>6228</v>
      </c>
      <c r="B1579" s="20" t="s">
        <v>196</v>
      </c>
      <c r="C1579" s="20" t="s">
        <v>849</v>
      </c>
      <c r="D1579" s="20" t="s">
        <v>21</v>
      </c>
      <c r="E1579" s="21" t="s">
        <v>2812</v>
      </c>
      <c r="F1579" s="21" t="s">
        <v>6229</v>
      </c>
      <c r="G1579" s="20" t="s">
        <v>35</v>
      </c>
      <c r="H1579" s="20" t="s">
        <v>25</v>
      </c>
      <c r="I1579" s="21" t="s">
        <v>6230</v>
      </c>
      <c r="J1579" s="22">
        <f t="shared" si="120"/>
        <v>32.7840277777796</v>
      </c>
      <c r="K1579" s="22">
        <f t="shared" si="121"/>
        <v>786.816666666709</v>
      </c>
      <c r="L1579" s="22">
        <f t="shared" si="122"/>
        <v>258.816666666709</v>
      </c>
      <c r="M1579" s="22" cm="1">
        <f ca="1" t="array" ref="M1579">SUMPRODUCT(--(WEEKDAY(ROW(INDIRECT(INT(F1579)&amp;":"&amp;INT(I1579))),2)&gt;5))</f>
        <v>10</v>
      </c>
      <c r="N1579" s="22">
        <f ca="1" t="shared" si="123"/>
        <v>178.816666666709</v>
      </c>
      <c r="O1579" s="22" t="str">
        <f ca="1" t="shared" si="124"/>
        <v>SLA Violated</v>
      </c>
      <c r="P1579" s="23" t="s">
        <v>6231</v>
      </c>
      <c r="Q1579" s="24" t="s">
        <v>37</v>
      </c>
      <c r="R1579" s="25" t="s">
        <v>1690</v>
      </c>
      <c r="S1579" s="25" t="s">
        <v>39</v>
      </c>
    </row>
    <row r="1580" ht="39" customHeight="1" spans="1:19">
      <c r="A1580" s="19" t="s">
        <v>6232</v>
      </c>
      <c r="B1580" s="20" t="s">
        <v>19</v>
      </c>
      <c r="C1580" s="20" t="s">
        <v>20</v>
      </c>
      <c r="D1580" s="20" t="s">
        <v>32</v>
      </c>
      <c r="E1580" s="21" t="s">
        <v>2812</v>
      </c>
      <c r="F1580" s="21" t="s">
        <v>6233</v>
      </c>
      <c r="G1580" s="20" t="s">
        <v>24</v>
      </c>
      <c r="H1580" s="20" t="s">
        <v>25</v>
      </c>
      <c r="I1580" s="21" t="s">
        <v>6234</v>
      </c>
      <c r="J1580" s="22">
        <f t="shared" si="120"/>
        <v>14.8895833333299</v>
      </c>
      <c r="K1580" s="22">
        <f t="shared" si="121"/>
        <v>357.349999999919</v>
      </c>
      <c r="L1580" s="22">
        <f t="shared" si="122"/>
        <v>117.349999999919</v>
      </c>
      <c r="M1580" s="22" cm="1">
        <f ca="1" t="array" ref="M1580">SUMPRODUCT(--(WEEKDAY(ROW(INDIRECT(INT(F1580)&amp;":"&amp;INT(I1580))),2)&gt;5))</f>
        <v>4</v>
      </c>
      <c r="N1580" s="22">
        <f ca="1" t="shared" si="123"/>
        <v>85.349999999919</v>
      </c>
      <c r="O1580" s="22" t="str">
        <f ca="1" t="shared" si="124"/>
        <v>SLA Violated</v>
      </c>
      <c r="P1580" s="23" t="s">
        <v>6235</v>
      </c>
      <c r="Q1580" s="24" t="s">
        <v>28</v>
      </c>
      <c r="R1580" s="25"/>
      <c r="S1580" s="25"/>
    </row>
    <row r="1581" ht="39" customHeight="1" spans="1:19">
      <c r="A1581" s="19" t="s">
        <v>6236</v>
      </c>
      <c r="B1581" s="20" t="s">
        <v>19</v>
      </c>
      <c r="C1581" s="20" t="s">
        <v>20</v>
      </c>
      <c r="D1581" s="20" t="s">
        <v>32</v>
      </c>
      <c r="E1581" s="21" t="s">
        <v>405</v>
      </c>
      <c r="F1581" s="21" t="s">
        <v>6237</v>
      </c>
      <c r="G1581" s="20" t="s">
        <v>35</v>
      </c>
      <c r="H1581" s="20" t="s">
        <v>25</v>
      </c>
      <c r="I1581" s="21" t="s">
        <v>6238</v>
      </c>
      <c r="J1581" s="22">
        <f t="shared" si="120"/>
        <v>0.866666666661331</v>
      </c>
      <c r="K1581" s="22">
        <f t="shared" si="121"/>
        <v>20.7999999998719</v>
      </c>
      <c r="L1581" s="22">
        <f t="shared" si="122"/>
        <v>4.79999999987194</v>
      </c>
      <c r="M1581" s="22" cm="1">
        <f ca="1" t="array" ref="M1581">SUMPRODUCT(--(WEEKDAY(ROW(INDIRECT(INT(F1581)&amp;":"&amp;INT(I1581))),2)&gt;5))</f>
        <v>0</v>
      </c>
      <c r="N1581" s="22">
        <f ca="1" t="shared" si="123"/>
        <v>4.79999999987194</v>
      </c>
      <c r="O1581" s="22" t="str">
        <f ca="1" t="shared" si="124"/>
        <v>Within SLA</v>
      </c>
      <c r="P1581" s="26" t="s">
        <v>6236</v>
      </c>
      <c r="Q1581" s="24" t="s">
        <v>37</v>
      </c>
      <c r="R1581" s="25"/>
      <c r="S1581" s="25"/>
    </row>
    <row r="1582" ht="39" customHeight="1" spans="1:19">
      <c r="A1582" s="19" t="s">
        <v>6239</v>
      </c>
      <c r="B1582" s="20" t="s">
        <v>19</v>
      </c>
      <c r="C1582" s="20" t="s">
        <v>20</v>
      </c>
      <c r="D1582" s="20" t="s">
        <v>32</v>
      </c>
      <c r="E1582" s="21" t="s">
        <v>292</v>
      </c>
      <c r="F1582" s="21" t="s">
        <v>6240</v>
      </c>
      <c r="G1582" s="20" t="s">
        <v>35</v>
      </c>
      <c r="H1582" s="20" t="s">
        <v>25</v>
      </c>
      <c r="I1582" s="21" t="s">
        <v>6241</v>
      </c>
      <c r="J1582" s="22">
        <f t="shared" si="120"/>
        <v>0.865277777782467</v>
      </c>
      <c r="K1582" s="22">
        <f t="shared" si="121"/>
        <v>20.7666666667792</v>
      </c>
      <c r="L1582" s="22">
        <f t="shared" si="122"/>
        <v>4.7666666667792</v>
      </c>
      <c r="M1582" s="22" cm="1">
        <f ca="1" t="array" ref="M1582">SUMPRODUCT(--(WEEKDAY(ROW(INDIRECT(INT(F1582)&amp;":"&amp;INT(I1582))),2)&gt;5))</f>
        <v>0</v>
      </c>
      <c r="N1582" s="22">
        <f ca="1" t="shared" si="123"/>
        <v>4.7666666667792</v>
      </c>
      <c r="O1582" s="22" t="str">
        <f ca="1" t="shared" si="124"/>
        <v>Within SLA</v>
      </c>
      <c r="P1582" s="26" t="s">
        <v>6239</v>
      </c>
      <c r="Q1582" s="24" t="s">
        <v>37</v>
      </c>
      <c r="R1582" s="25"/>
      <c r="S1582" s="25"/>
    </row>
    <row r="1583" ht="16" customHeight="1" spans="1:19">
      <c r="A1583" s="19" t="s">
        <v>6242</v>
      </c>
      <c r="B1583" s="20" t="s">
        <v>100</v>
      </c>
      <c r="C1583" s="20" t="s">
        <v>101</v>
      </c>
      <c r="D1583" s="20" t="s">
        <v>32</v>
      </c>
      <c r="E1583" s="21" t="s">
        <v>6243</v>
      </c>
      <c r="F1583" s="21" t="s">
        <v>6244</v>
      </c>
      <c r="G1583" s="20" t="s">
        <v>35</v>
      </c>
      <c r="H1583" s="20" t="s">
        <v>25</v>
      </c>
      <c r="I1583" s="21" t="s">
        <v>6245</v>
      </c>
      <c r="J1583" s="22">
        <f t="shared" si="120"/>
        <v>0.00138888889341615</v>
      </c>
      <c r="K1583" s="22">
        <f t="shared" si="121"/>
        <v>0.0333333334419876</v>
      </c>
      <c r="L1583" s="22">
        <f t="shared" si="122"/>
        <v>0.0333333334419876</v>
      </c>
      <c r="M1583" s="22" cm="1">
        <f ca="1" t="array" ref="M1583">SUMPRODUCT(--(WEEKDAY(ROW(INDIRECT(INT(F1583)&amp;":"&amp;INT(I1583))),2)&gt;5))</f>
        <v>0</v>
      </c>
      <c r="N1583" s="22">
        <f ca="1" t="shared" si="123"/>
        <v>0.0333333334419876</v>
      </c>
      <c r="O1583" s="22" t="str">
        <f ca="1" t="shared" si="124"/>
        <v>Within SLA</v>
      </c>
      <c r="P1583" s="26" t="s">
        <v>6242</v>
      </c>
      <c r="Q1583" s="24" t="s">
        <v>37</v>
      </c>
      <c r="R1583" s="25"/>
      <c r="S1583" s="25"/>
    </row>
    <row r="1584" ht="27" customHeight="1" spans="1:19">
      <c r="A1584" s="19" t="s">
        <v>6246</v>
      </c>
      <c r="B1584" s="20" t="s">
        <v>30</v>
      </c>
      <c r="C1584" s="20" t="s">
        <v>849</v>
      </c>
      <c r="D1584" s="20" t="s">
        <v>32</v>
      </c>
      <c r="E1584" s="21" t="s">
        <v>6247</v>
      </c>
      <c r="F1584" s="21" t="s">
        <v>6248</v>
      </c>
      <c r="G1584" s="20" t="s">
        <v>35</v>
      </c>
      <c r="H1584" s="20" t="s">
        <v>25</v>
      </c>
      <c r="I1584" s="21" t="s">
        <v>6249</v>
      </c>
      <c r="J1584" s="22">
        <f t="shared" si="120"/>
        <v>8.0402777777781</v>
      </c>
      <c r="K1584" s="22">
        <f t="shared" si="121"/>
        <v>192.966666666674</v>
      </c>
      <c r="L1584" s="22">
        <f t="shared" si="122"/>
        <v>64.9666666666744</v>
      </c>
      <c r="M1584" s="22" cm="1">
        <f ca="1" t="array" ref="M1584">SUMPRODUCT(--(WEEKDAY(ROW(INDIRECT(INT(F1584)&amp;":"&amp;INT(I1584))),2)&gt;5))</f>
        <v>2</v>
      </c>
      <c r="N1584" s="22">
        <f ca="1" t="shared" si="123"/>
        <v>48.9666666666744</v>
      </c>
      <c r="O1584" s="22" t="str">
        <f ca="1" t="shared" si="124"/>
        <v>SLA Violated</v>
      </c>
      <c r="P1584" s="23" t="s">
        <v>6250</v>
      </c>
      <c r="Q1584" s="24" t="s">
        <v>28</v>
      </c>
      <c r="R1584" s="25"/>
      <c r="S1584" s="25"/>
    </row>
    <row r="1585" ht="39" customHeight="1" spans="1:19">
      <c r="A1585" s="19" t="s">
        <v>6251</v>
      </c>
      <c r="B1585" s="20" t="s">
        <v>19</v>
      </c>
      <c r="C1585" s="20" t="s">
        <v>20</v>
      </c>
      <c r="D1585" s="20" t="s">
        <v>32</v>
      </c>
      <c r="E1585" s="21" t="s">
        <v>6137</v>
      </c>
      <c r="F1585" s="21" t="s">
        <v>6252</v>
      </c>
      <c r="G1585" s="20" t="s">
        <v>35</v>
      </c>
      <c r="H1585" s="20" t="s">
        <v>25</v>
      </c>
      <c r="I1585" s="21" t="s">
        <v>6253</v>
      </c>
      <c r="J1585" s="22">
        <f t="shared" si="120"/>
        <v>0.805555555554747</v>
      </c>
      <c r="K1585" s="22">
        <f t="shared" si="121"/>
        <v>19.3333333333139</v>
      </c>
      <c r="L1585" s="22">
        <f t="shared" si="122"/>
        <v>3.33333333331393</v>
      </c>
      <c r="M1585" s="22" cm="1">
        <f ca="1" t="array" ref="M1585">SUMPRODUCT(--(WEEKDAY(ROW(INDIRECT(INT(F1585)&amp;":"&amp;INT(I1585))),2)&gt;5))</f>
        <v>0</v>
      </c>
      <c r="N1585" s="22">
        <f ca="1" t="shared" si="123"/>
        <v>3.33333333331393</v>
      </c>
      <c r="O1585" s="22" t="str">
        <f ca="1" t="shared" si="124"/>
        <v>Within SLA</v>
      </c>
      <c r="P1585" s="26" t="s">
        <v>6251</v>
      </c>
      <c r="Q1585" s="24" t="s">
        <v>37</v>
      </c>
      <c r="R1585" s="25"/>
      <c r="S1585" s="25"/>
    </row>
    <row r="1586" ht="27" customHeight="1" spans="1:19">
      <c r="A1586" s="19" t="s">
        <v>6254</v>
      </c>
      <c r="B1586" s="20" t="s">
        <v>30</v>
      </c>
      <c r="C1586" s="20" t="s">
        <v>849</v>
      </c>
      <c r="D1586" s="20" t="s">
        <v>115</v>
      </c>
      <c r="E1586" s="21" t="s">
        <v>6137</v>
      </c>
      <c r="F1586" s="21" t="s">
        <v>6255</v>
      </c>
      <c r="G1586" s="20" t="s">
        <v>35</v>
      </c>
      <c r="H1586" s="20" t="s">
        <v>25</v>
      </c>
      <c r="I1586" s="21" t="s">
        <v>6256</v>
      </c>
      <c r="J1586" s="22">
        <f t="shared" si="120"/>
        <v>5.87708333333285</v>
      </c>
      <c r="K1586" s="22">
        <f t="shared" si="121"/>
        <v>141.049999999988</v>
      </c>
      <c r="L1586" s="22">
        <f t="shared" si="122"/>
        <v>45.0499999999884</v>
      </c>
      <c r="M1586" s="22" cm="1">
        <f ca="1" t="array" ref="M1586">SUMPRODUCT(--(WEEKDAY(ROW(INDIRECT(INT(F1586)&amp;":"&amp;INT(I1586))),2)&gt;5))</f>
        <v>2</v>
      </c>
      <c r="N1586" s="22">
        <f ca="1" t="shared" si="123"/>
        <v>29.0499999999884</v>
      </c>
      <c r="O1586" s="22" t="str">
        <f ca="1" t="shared" si="124"/>
        <v>SLA Violated</v>
      </c>
      <c r="P1586" s="23" t="s">
        <v>6257</v>
      </c>
      <c r="Q1586" s="24" t="s">
        <v>28</v>
      </c>
      <c r="R1586" s="25"/>
      <c r="S1586" s="25"/>
    </row>
    <row r="1587" ht="27" customHeight="1" spans="1:19">
      <c r="A1587" s="19" t="s">
        <v>6258</v>
      </c>
      <c r="B1587" s="20" t="s">
        <v>30</v>
      </c>
      <c r="C1587" s="20" t="s">
        <v>31</v>
      </c>
      <c r="D1587" s="20" t="s">
        <v>32</v>
      </c>
      <c r="E1587" s="21" t="s">
        <v>6230</v>
      </c>
      <c r="F1587" s="21" t="s">
        <v>6259</v>
      </c>
      <c r="G1587" s="20" t="s">
        <v>35</v>
      </c>
      <c r="H1587" s="20" t="s">
        <v>25</v>
      </c>
      <c r="I1587" s="21" t="s">
        <v>6260</v>
      </c>
      <c r="J1587" s="22">
        <f t="shared" si="120"/>
        <v>0.865972222221899</v>
      </c>
      <c r="K1587" s="22">
        <f t="shared" si="121"/>
        <v>20.7833333333256</v>
      </c>
      <c r="L1587" s="22">
        <f t="shared" si="122"/>
        <v>4.78333333332557</v>
      </c>
      <c r="M1587" s="22" cm="1">
        <f ca="1" t="array" ref="M1587">SUMPRODUCT(--(WEEKDAY(ROW(INDIRECT(INT(F1587)&amp;":"&amp;INT(I1587))),2)&gt;5))</f>
        <v>0</v>
      </c>
      <c r="N1587" s="22">
        <f ca="1" t="shared" si="123"/>
        <v>4.78333333332557</v>
      </c>
      <c r="O1587" s="22" t="str">
        <f ca="1" t="shared" si="124"/>
        <v>Within SLA</v>
      </c>
      <c r="P1587" s="26" t="s">
        <v>6258</v>
      </c>
      <c r="Q1587" s="24" t="s">
        <v>37</v>
      </c>
      <c r="R1587" s="25"/>
      <c r="S1587" s="25"/>
    </row>
    <row r="1588" ht="27" customHeight="1" spans="1:19">
      <c r="A1588" s="19" t="s">
        <v>6261</v>
      </c>
      <c r="B1588" s="20" t="s">
        <v>30</v>
      </c>
      <c r="C1588" s="20" t="s">
        <v>849</v>
      </c>
      <c r="D1588" s="20" t="s">
        <v>32</v>
      </c>
      <c r="E1588" s="21" t="s">
        <v>6262</v>
      </c>
      <c r="F1588" s="21" t="s">
        <v>6263</v>
      </c>
      <c r="G1588" s="20" t="s">
        <v>35</v>
      </c>
      <c r="H1588" s="20" t="s">
        <v>25</v>
      </c>
      <c r="I1588" s="21" t="s">
        <v>6264</v>
      </c>
      <c r="J1588" s="22">
        <f t="shared" si="120"/>
        <v>5.87708333333285</v>
      </c>
      <c r="K1588" s="22">
        <f t="shared" si="121"/>
        <v>141.049999999988</v>
      </c>
      <c r="L1588" s="22">
        <f t="shared" si="122"/>
        <v>45.0499999999884</v>
      </c>
      <c r="M1588" s="22" cm="1">
        <f ca="1" t="array" ref="M1588">SUMPRODUCT(--(WEEKDAY(ROW(INDIRECT(INT(F1588)&amp;":"&amp;INT(I1588))),2)&gt;5))</f>
        <v>2</v>
      </c>
      <c r="N1588" s="22">
        <f ca="1" t="shared" si="123"/>
        <v>29.0499999999884</v>
      </c>
      <c r="O1588" s="22" t="str">
        <f ca="1" t="shared" si="124"/>
        <v>SLA Violated</v>
      </c>
      <c r="P1588" s="23" t="s">
        <v>6265</v>
      </c>
      <c r="Q1588" s="24" t="s">
        <v>28</v>
      </c>
      <c r="R1588" s="25"/>
      <c r="S1588" s="25"/>
    </row>
    <row r="1589" ht="27" customHeight="1" spans="1:19">
      <c r="A1589" s="19" t="s">
        <v>6266</v>
      </c>
      <c r="B1589" s="20" t="s">
        <v>30</v>
      </c>
      <c r="C1589" s="20" t="s">
        <v>31</v>
      </c>
      <c r="D1589" s="20" t="s">
        <v>32</v>
      </c>
      <c r="E1589" s="21" t="s">
        <v>6264</v>
      </c>
      <c r="F1589" s="21" t="s">
        <v>6267</v>
      </c>
      <c r="G1589" s="20" t="s">
        <v>35</v>
      </c>
      <c r="H1589" s="20" t="s">
        <v>25</v>
      </c>
      <c r="I1589" s="21" t="s">
        <v>6268</v>
      </c>
      <c r="J1589" s="22">
        <f t="shared" si="120"/>
        <v>5.03194444444671</v>
      </c>
      <c r="K1589" s="22">
        <f t="shared" si="121"/>
        <v>120.766666666721</v>
      </c>
      <c r="L1589" s="22">
        <f t="shared" si="122"/>
        <v>40.766666666721</v>
      </c>
      <c r="M1589" s="22" cm="1">
        <f ca="1" t="array" ref="M1589">SUMPRODUCT(--(WEEKDAY(ROW(INDIRECT(INT(F1589)&amp;":"&amp;INT(I1589))),2)&gt;5))</f>
        <v>2</v>
      </c>
      <c r="N1589" s="22">
        <f ca="1" t="shared" si="123"/>
        <v>24.766666666721</v>
      </c>
      <c r="O1589" s="22" t="str">
        <f ca="1" t="shared" si="124"/>
        <v>SLA Violated</v>
      </c>
      <c r="P1589" s="23" t="s">
        <v>6269</v>
      </c>
      <c r="Q1589" s="24" t="s">
        <v>28</v>
      </c>
      <c r="R1589" s="25"/>
      <c r="S1589" s="25"/>
    </row>
    <row r="1590" ht="27" customHeight="1" spans="1:19">
      <c r="A1590" s="19" t="s">
        <v>6270</v>
      </c>
      <c r="B1590" s="20" t="s">
        <v>30</v>
      </c>
      <c r="C1590" s="20" t="s">
        <v>31</v>
      </c>
      <c r="D1590" s="20" t="s">
        <v>105</v>
      </c>
      <c r="E1590" s="21" t="s">
        <v>6264</v>
      </c>
      <c r="F1590" s="21" t="s">
        <v>6271</v>
      </c>
      <c r="G1590" s="20" t="s">
        <v>35</v>
      </c>
      <c r="H1590" s="20" t="s">
        <v>25</v>
      </c>
      <c r="I1590" s="21" t="s">
        <v>6272</v>
      </c>
      <c r="J1590" s="22">
        <f t="shared" si="120"/>
        <v>0.330555555556202</v>
      </c>
      <c r="K1590" s="22">
        <f t="shared" si="121"/>
        <v>7.93333333334886</v>
      </c>
      <c r="L1590" s="22">
        <f t="shared" si="122"/>
        <v>7.93333333334886</v>
      </c>
      <c r="M1590" s="22" cm="1">
        <f ca="1" t="array" ref="M1590">SUMPRODUCT(--(WEEKDAY(ROW(INDIRECT(INT(F1590)&amp;":"&amp;INT(I1590))),2)&gt;5))</f>
        <v>0</v>
      </c>
      <c r="N1590" s="22">
        <f ca="1" t="shared" si="123"/>
        <v>7.93333333334886</v>
      </c>
      <c r="O1590" s="22" t="str">
        <f ca="1" t="shared" si="124"/>
        <v>SLA Violated</v>
      </c>
      <c r="P1590" s="23" t="s">
        <v>6273</v>
      </c>
      <c r="Q1590" s="24" t="s">
        <v>37</v>
      </c>
      <c r="R1590" s="25" t="s">
        <v>4805</v>
      </c>
      <c r="S1590" s="25" t="s">
        <v>39</v>
      </c>
    </row>
    <row r="1591" ht="27" customHeight="1" spans="1:19">
      <c r="A1591" s="19" t="s">
        <v>6274</v>
      </c>
      <c r="B1591" s="20" t="s">
        <v>30</v>
      </c>
      <c r="C1591" s="20" t="s">
        <v>849</v>
      </c>
      <c r="D1591" s="20" t="s">
        <v>32</v>
      </c>
      <c r="E1591" s="21" t="s">
        <v>6275</v>
      </c>
      <c r="F1591" s="21" t="s">
        <v>6276</v>
      </c>
      <c r="G1591" s="20" t="s">
        <v>35</v>
      </c>
      <c r="H1591" s="20" t="s">
        <v>25</v>
      </c>
      <c r="I1591" s="21" t="s">
        <v>6277</v>
      </c>
      <c r="J1591" s="22">
        <f t="shared" si="120"/>
        <v>3.78263888888614</v>
      </c>
      <c r="K1591" s="22">
        <f t="shared" si="121"/>
        <v>90.7833333332674</v>
      </c>
      <c r="L1591" s="22">
        <f t="shared" si="122"/>
        <v>26.7833333332674</v>
      </c>
      <c r="M1591" s="22" cm="1">
        <f ca="1" t="array" ref="M1591">SUMPRODUCT(--(WEEKDAY(ROW(INDIRECT(INT(F1591)&amp;":"&amp;INT(I1591))),2)&gt;5))</f>
        <v>2</v>
      </c>
      <c r="N1591" s="22">
        <f ca="1" t="shared" si="123"/>
        <v>10.7833333332674</v>
      </c>
      <c r="O1591" s="22" t="str">
        <f ca="1" t="shared" si="124"/>
        <v>Within SLA</v>
      </c>
      <c r="P1591" s="26" t="s">
        <v>6274</v>
      </c>
      <c r="Q1591" s="24" t="s">
        <v>37</v>
      </c>
      <c r="R1591" s="25"/>
      <c r="S1591" s="25"/>
    </row>
    <row r="1592" ht="27" customHeight="1" spans="1:19">
      <c r="A1592" s="19" t="s">
        <v>6278</v>
      </c>
      <c r="B1592" s="20" t="s">
        <v>30</v>
      </c>
      <c r="C1592" s="20" t="s">
        <v>31</v>
      </c>
      <c r="D1592" s="20" t="s">
        <v>32</v>
      </c>
      <c r="E1592" s="21" t="s">
        <v>6279</v>
      </c>
      <c r="F1592" s="21" t="s">
        <v>6280</v>
      </c>
      <c r="G1592" s="20" t="s">
        <v>24</v>
      </c>
      <c r="H1592" s="20" t="s">
        <v>25</v>
      </c>
      <c r="I1592" s="21" t="s">
        <v>6281</v>
      </c>
      <c r="J1592" s="22">
        <f t="shared" si="120"/>
        <v>5.7770833333343</v>
      </c>
      <c r="K1592" s="22">
        <f t="shared" si="121"/>
        <v>138.650000000023</v>
      </c>
      <c r="L1592" s="22">
        <f t="shared" si="122"/>
        <v>42.6500000000233</v>
      </c>
      <c r="M1592" s="22" cm="1">
        <f ca="1" t="array" ref="M1592">SUMPRODUCT(--(WEEKDAY(ROW(INDIRECT(INT(F1592)&amp;":"&amp;INT(I1592))),2)&gt;5))</f>
        <v>2</v>
      </c>
      <c r="N1592" s="22">
        <f ca="1" t="shared" si="123"/>
        <v>26.6500000000233</v>
      </c>
      <c r="O1592" s="22" t="str">
        <f ca="1" t="shared" si="124"/>
        <v>SLA Violated</v>
      </c>
      <c r="P1592" s="23" t="s">
        <v>6282</v>
      </c>
      <c r="Q1592" s="24" t="s">
        <v>28</v>
      </c>
      <c r="R1592" s="25"/>
      <c r="S1592" s="25"/>
    </row>
    <row r="1593" ht="27" customHeight="1" spans="1:19">
      <c r="A1593" s="19" t="s">
        <v>6283</v>
      </c>
      <c r="B1593" s="20" t="s">
        <v>30</v>
      </c>
      <c r="C1593" s="20" t="s">
        <v>849</v>
      </c>
      <c r="D1593" s="20" t="s">
        <v>32</v>
      </c>
      <c r="E1593" s="21" t="s">
        <v>6279</v>
      </c>
      <c r="F1593" s="21" t="s">
        <v>6284</v>
      </c>
      <c r="G1593" s="20" t="s">
        <v>35</v>
      </c>
      <c r="H1593" s="20" t="s">
        <v>25</v>
      </c>
      <c r="I1593" s="21" t="s">
        <v>6285</v>
      </c>
      <c r="J1593" s="22">
        <f t="shared" si="120"/>
        <v>3.76180555555766</v>
      </c>
      <c r="K1593" s="22">
        <f t="shared" si="121"/>
        <v>90.2833333333838</v>
      </c>
      <c r="L1593" s="22">
        <f t="shared" si="122"/>
        <v>26.2833333333838</v>
      </c>
      <c r="M1593" s="22" cm="1">
        <f ca="1" t="array" ref="M1593">SUMPRODUCT(--(WEEKDAY(ROW(INDIRECT(INT(F1593)&amp;":"&amp;INT(I1593))),2)&gt;5))</f>
        <v>2</v>
      </c>
      <c r="N1593" s="22">
        <f ca="1" t="shared" si="123"/>
        <v>10.2833333333838</v>
      </c>
      <c r="O1593" s="22" t="str">
        <f ca="1" t="shared" si="124"/>
        <v>Within SLA</v>
      </c>
      <c r="P1593" s="26" t="s">
        <v>6283</v>
      </c>
      <c r="Q1593" s="24" t="s">
        <v>37</v>
      </c>
      <c r="R1593" s="25"/>
      <c r="S1593" s="25"/>
    </row>
    <row r="1594" ht="39" customHeight="1" spans="1:19">
      <c r="A1594" s="19" t="s">
        <v>6286</v>
      </c>
      <c r="B1594" s="20" t="s">
        <v>19</v>
      </c>
      <c r="C1594" s="20" t="s">
        <v>20</v>
      </c>
      <c r="D1594" s="20" t="s">
        <v>32</v>
      </c>
      <c r="E1594" s="21" t="s">
        <v>5451</v>
      </c>
      <c r="F1594" s="21" t="s">
        <v>6287</v>
      </c>
      <c r="G1594" s="20" t="s">
        <v>35</v>
      </c>
      <c r="H1594" s="20" t="s">
        <v>25</v>
      </c>
      <c r="I1594" s="21" t="s">
        <v>6288</v>
      </c>
      <c r="J1594" s="22">
        <f t="shared" si="120"/>
        <v>5.9243055555562</v>
      </c>
      <c r="K1594" s="22">
        <f t="shared" si="121"/>
        <v>142.183333333349</v>
      </c>
      <c r="L1594" s="22">
        <f t="shared" si="122"/>
        <v>46.1833333333489</v>
      </c>
      <c r="M1594" s="22" cm="1">
        <f ca="1" t="array" ref="M1594">SUMPRODUCT(--(WEEKDAY(ROW(INDIRECT(INT(F1594)&amp;":"&amp;INT(I1594))),2)&gt;5))</f>
        <v>2</v>
      </c>
      <c r="N1594" s="22">
        <f ca="1" t="shared" si="123"/>
        <v>30.1833333333489</v>
      </c>
      <c r="O1594" s="22" t="str">
        <f ca="1" t="shared" si="124"/>
        <v>SLA Violated</v>
      </c>
      <c r="P1594" s="23" t="s">
        <v>6289</v>
      </c>
      <c r="Q1594" s="24" t="s">
        <v>28</v>
      </c>
      <c r="R1594" s="25"/>
      <c r="S1594" s="25"/>
    </row>
    <row r="1595" ht="27" customHeight="1" spans="1:19">
      <c r="A1595" s="19" t="s">
        <v>6290</v>
      </c>
      <c r="B1595" s="20" t="s">
        <v>30</v>
      </c>
      <c r="C1595" s="20" t="s">
        <v>31</v>
      </c>
      <c r="D1595" s="20" t="s">
        <v>105</v>
      </c>
      <c r="E1595" s="21" t="s">
        <v>6291</v>
      </c>
      <c r="F1595" s="21" t="s">
        <v>6292</v>
      </c>
      <c r="G1595" s="20" t="s">
        <v>35</v>
      </c>
      <c r="H1595" s="20" t="s">
        <v>25</v>
      </c>
      <c r="I1595" s="21" t="s">
        <v>6293</v>
      </c>
      <c r="J1595" s="22">
        <f t="shared" si="120"/>
        <v>24.8354166666686</v>
      </c>
      <c r="K1595" s="22">
        <f t="shared" si="121"/>
        <v>596.050000000047</v>
      </c>
      <c r="L1595" s="22">
        <f t="shared" si="122"/>
        <v>196.050000000047</v>
      </c>
      <c r="M1595" s="22" cm="1">
        <f ca="1" t="array" ref="M1595">SUMPRODUCT(--(WEEKDAY(ROW(INDIRECT(INT(F1595)&amp;":"&amp;INT(I1595))),2)&gt;5))</f>
        <v>8</v>
      </c>
      <c r="N1595" s="22">
        <f ca="1" t="shared" si="123"/>
        <v>132.050000000047</v>
      </c>
      <c r="O1595" s="22" t="str">
        <f ca="1" t="shared" si="124"/>
        <v>SLA Violated</v>
      </c>
      <c r="P1595" s="23" t="s">
        <v>6294</v>
      </c>
      <c r="Q1595" s="24" t="s">
        <v>28</v>
      </c>
      <c r="R1595" s="25"/>
      <c r="S1595" s="25"/>
    </row>
    <row r="1596" ht="39" customHeight="1" spans="1:19">
      <c r="A1596" s="19" t="s">
        <v>6295</v>
      </c>
      <c r="B1596" s="20" t="s">
        <v>19</v>
      </c>
      <c r="C1596" s="20" t="s">
        <v>20</v>
      </c>
      <c r="D1596" s="20" t="s">
        <v>32</v>
      </c>
      <c r="E1596" s="21" t="s">
        <v>6291</v>
      </c>
      <c r="F1596" s="21" t="s">
        <v>6296</v>
      </c>
      <c r="G1596" s="20" t="s">
        <v>35</v>
      </c>
      <c r="H1596" s="20" t="s">
        <v>25</v>
      </c>
      <c r="I1596" s="21" t="s">
        <v>6297</v>
      </c>
      <c r="J1596" s="22">
        <f t="shared" si="120"/>
        <v>0.785416666665697</v>
      </c>
      <c r="K1596" s="22">
        <f t="shared" si="121"/>
        <v>18.8499999999767</v>
      </c>
      <c r="L1596" s="22">
        <f t="shared" si="122"/>
        <v>2.84999999997672</v>
      </c>
      <c r="M1596" s="22" cm="1">
        <f ca="1" t="array" ref="M1596">SUMPRODUCT(--(WEEKDAY(ROW(INDIRECT(INT(F1596)&amp;":"&amp;INT(I1596))),2)&gt;5))</f>
        <v>0</v>
      </c>
      <c r="N1596" s="22">
        <f ca="1" t="shared" si="123"/>
        <v>2.84999999997672</v>
      </c>
      <c r="O1596" s="22" t="str">
        <f ca="1" t="shared" si="124"/>
        <v>Within SLA</v>
      </c>
      <c r="P1596" s="26" t="s">
        <v>6295</v>
      </c>
      <c r="Q1596" s="24" t="s">
        <v>37</v>
      </c>
      <c r="R1596" s="25"/>
      <c r="S1596" s="25"/>
    </row>
    <row r="1597" ht="27" customHeight="1" spans="1:19">
      <c r="A1597" s="19" t="s">
        <v>6298</v>
      </c>
      <c r="B1597" s="20" t="s">
        <v>30</v>
      </c>
      <c r="C1597" s="20" t="s">
        <v>849</v>
      </c>
      <c r="D1597" s="20" t="s">
        <v>105</v>
      </c>
      <c r="E1597" s="21" t="s">
        <v>6293</v>
      </c>
      <c r="F1597" s="21" t="s">
        <v>6299</v>
      </c>
      <c r="G1597" s="20" t="s">
        <v>35</v>
      </c>
      <c r="H1597" s="20" t="s">
        <v>25</v>
      </c>
      <c r="I1597" s="21" t="s">
        <v>6300</v>
      </c>
      <c r="J1597" s="22">
        <f t="shared" si="120"/>
        <v>22.7402777777752</v>
      </c>
      <c r="K1597" s="22">
        <f t="shared" si="121"/>
        <v>545.766666666605</v>
      </c>
      <c r="L1597" s="22">
        <f t="shared" si="122"/>
        <v>177.766666666605</v>
      </c>
      <c r="M1597" s="22" cm="1">
        <f ca="1" t="array" ref="M1597">SUMPRODUCT(--(WEEKDAY(ROW(INDIRECT(INT(F1597)&amp;":"&amp;INT(I1597))),2)&gt;5))</f>
        <v>7</v>
      </c>
      <c r="N1597" s="22">
        <f ca="1" t="shared" si="123"/>
        <v>121.766666666605</v>
      </c>
      <c r="O1597" s="22" t="str">
        <f ca="1" t="shared" si="124"/>
        <v>SLA Violated</v>
      </c>
      <c r="P1597" s="23" t="s">
        <v>6301</v>
      </c>
      <c r="Q1597" s="24" t="s">
        <v>28</v>
      </c>
      <c r="R1597" s="25"/>
      <c r="S1597" s="25"/>
    </row>
    <row r="1598" ht="27" customHeight="1" spans="1:19">
      <c r="A1598" s="19" t="s">
        <v>6302</v>
      </c>
      <c r="B1598" s="20" t="s">
        <v>30</v>
      </c>
      <c r="C1598" s="20" t="s">
        <v>849</v>
      </c>
      <c r="D1598" s="20" t="s">
        <v>105</v>
      </c>
      <c r="E1598" s="21" t="s">
        <v>6293</v>
      </c>
      <c r="F1598" s="21" t="s">
        <v>6303</v>
      </c>
      <c r="G1598" s="20" t="s">
        <v>35</v>
      </c>
      <c r="H1598" s="20" t="s">
        <v>25</v>
      </c>
      <c r="I1598" s="21" t="s">
        <v>6304</v>
      </c>
      <c r="J1598" s="22">
        <f t="shared" si="120"/>
        <v>3.74027777778247</v>
      </c>
      <c r="K1598" s="22">
        <f t="shared" si="121"/>
        <v>89.7666666667792</v>
      </c>
      <c r="L1598" s="22">
        <f t="shared" si="122"/>
        <v>25.7666666667792</v>
      </c>
      <c r="M1598" s="22" cm="1">
        <f ca="1" t="array" ref="M1598">SUMPRODUCT(--(WEEKDAY(ROW(INDIRECT(INT(F1598)&amp;":"&amp;INT(I1598))),2)&gt;5))</f>
        <v>2</v>
      </c>
      <c r="N1598" s="22">
        <f ca="1" t="shared" si="123"/>
        <v>9.7666666667792</v>
      </c>
      <c r="O1598" s="22" t="str">
        <f ca="1" t="shared" si="124"/>
        <v>SLA Violated</v>
      </c>
      <c r="P1598" s="23" t="s">
        <v>6305</v>
      </c>
      <c r="Q1598" s="24" t="s">
        <v>28</v>
      </c>
      <c r="R1598" s="25"/>
      <c r="S1598" s="25"/>
    </row>
    <row r="1599" ht="39" customHeight="1" spans="1:19">
      <c r="A1599" s="19" t="s">
        <v>6306</v>
      </c>
      <c r="B1599" s="20" t="s">
        <v>19</v>
      </c>
      <c r="C1599" s="20" t="s">
        <v>20</v>
      </c>
      <c r="D1599" s="20" t="s">
        <v>32</v>
      </c>
      <c r="E1599" s="21" t="s">
        <v>6307</v>
      </c>
      <c r="F1599" s="21" t="s">
        <v>6308</v>
      </c>
      <c r="G1599" s="20" t="s">
        <v>35</v>
      </c>
      <c r="H1599" s="20" t="s">
        <v>25</v>
      </c>
      <c r="I1599" s="21" t="s">
        <v>6309</v>
      </c>
      <c r="J1599" s="22">
        <f t="shared" si="120"/>
        <v>5.94027777777956</v>
      </c>
      <c r="K1599" s="22">
        <f t="shared" si="121"/>
        <v>142.566666666709</v>
      </c>
      <c r="L1599" s="22">
        <f t="shared" si="122"/>
        <v>46.5666666667094</v>
      </c>
      <c r="M1599" s="22" cm="1">
        <f ca="1" t="array" ref="M1599">SUMPRODUCT(--(WEEKDAY(ROW(INDIRECT(INT(F1599)&amp;":"&amp;INT(I1599))),2)&gt;5))</f>
        <v>2</v>
      </c>
      <c r="N1599" s="22">
        <f ca="1" t="shared" si="123"/>
        <v>30.5666666667094</v>
      </c>
      <c r="O1599" s="22" t="str">
        <f ca="1" t="shared" si="124"/>
        <v>SLA Violated</v>
      </c>
      <c r="P1599" s="23" t="s">
        <v>6310</v>
      </c>
      <c r="Q1599" s="24" t="s">
        <v>28</v>
      </c>
      <c r="R1599" s="25"/>
      <c r="S1599" s="25"/>
    </row>
    <row r="1600" ht="27" customHeight="1" spans="1:19">
      <c r="A1600" s="19" t="s">
        <v>6311</v>
      </c>
      <c r="B1600" s="20" t="s">
        <v>30</v>
      </c>
      <c r="C1600" s="20" t="s">
        <v>849</v>
      </c>
      <c r="D1600" s="20" t="s">
        <v>32</v>
      </c>
      <c r="E1600" s="21" t="s">
        <v>6312</v>
      </c>
      <c r="F1600" s="21" t="s">
        <v>6313</v>
      </c>
      <c r="G1600" s="20" t="s">
        <v>35</v>
      </c>
      <c r="H1600" s="20" t="s">
        <v>25</v>
      </c>
      <c r="I1600" s="21" t="s">
        <v>6314</v>
      </c>
      <c r="J1600" s="22">
        <f t="shared" si="120"/>
        <v>7.96319444444816</v>
      </c>
      <c r="K1600" s="22">
        <f t="shared" si="121"/>
        <v>191.116666666756</v>
      </c>
      <c r="L1600" s="22">
        <f t="shared" si="122"/>
        <v>63.1166666667559</v>
      </c>
      <c r="M1600" s="22" cm="1">
        <f ca="1" t="array" ref="M1600">SUMPRODUCT(--(WEEKDAY(ROW(INDIRECT(INT(F1600)&amp;":"&amp;INT(I1600))),2)&gt;5))</f>
        <v>2</v>
      </c>
      <c r="N1600" s="22">
        <f ca="1" t="shared" si="123"/>
        <v>47.1166666667559</v>
      </c>
      <c r="O1600" s="22" t="str">
        <f ca="1" t="shared" si="124"/>
        <v>SLA Violated</v>
      </c>
      <c r="P1600" s="23" t="s">
        <v>6315</v>
      </c>
      <c r="Q1600" s="24" t="s">
        <v>28</v>
      </c>
      <c r="R1600" s="25"/>
      <c r="S1600" s="25"/>
    </row>
    <row r="1601" ht="39" customHeight="1" spans="1:19">
      <c r="A1601" s="19" t="s">
        <v>6316</v>
      </c>
      <c r="B1601" s="20" t="s">
        <v>725</v>
      </c>
      <c r="C1601" s="20" t="s">
        <v>101</v>
      </c>
      <c r="D1601" s="20" t="s">
        <v>21</v>
      </c>
      <c r="E1601" s="21" t="s">
        <v>6317</v>
      </c>
      <c r="F1601" s="21" t="s">
        <v>6318</v>
      </c>
      <c r="G1601" s="20" t="s">
        <v>35</v>
      </c>
      <c r="H1601" s="20" t="s">
        <v>25</v>
      </c>
      <c r="I1601" s="21" t="s">
        <v>6319</v>
      </c>
      <c r="J1601" s="22">
        <f t="shared" si="120"/>
        <v>0.744444444440887</v>
      </c>
      <c r="K1601" s="22">
        <f t="shared" si="121"/>
        <v>17.8666666665813</v>
      </c>
      <c r="L1601" s="22">
        <f t="shared" si="122"/>
        <v>1.8666666665813</v>
      </c>
      <c r="M1601" s="22" cm="1">
        <f ca="1" t="array" ref="M1601">SUMPRODUCT(--(WEEKDAY(ROW(INDIRECT(INT(F1601)&amp;":"&amp;INT(I1601))),2)&gt;5))</f>
        <v>0</v>
      </c>
      <c r="N1601" s="22">
        <f ca="1" t="shared" si="123"/>
        <v>1.8666666665813</v>
      </c>
      <c r="O1601" s="22" t="str">
        <f ca="1" t="shared" si="124"/>
        <v>Within SLA</v>
      </c>
      <c r="P1601" s="26" t="s">
        <v>6316</v>
      </c>
      <c r="Q1601" s="24" t="s">
        <v>37</v>
      </c>
      <c r="R1601" s="25"/>
      <c r="S1601" s="25"/>
    </row>
    <row r="1602" ht="27" customHeight="1" spans="1:19">
      <c r="A1602" s="19" t="s">
        <v>6320</v>
      </c>
      <c r="B1602" s="20" t="s">
        <v>30</v>
      </c>
      <c r="C1602" s="20" t="s">
        <v>849</v>
      </c>
      <c r="D1602" s="20" t="s">
        <v>32</v>
      </c>
      <c r="E1602" s="21" t="s">
        <v>6321</v>
      </c>
      <c r="F1602" s="21" t="s">
        <v>6322</v>
      </c>
      <c r="G1602" s="20" t="s">
        <v>35</v>
      </c>
      <c r="H1602" s="20" t="s">
        <v>25</v>
      </c>
      <c r="I1602" s="21" t="s">
        <v>6323</v>
      </c>
      <c r="J1602" s="22">
        <f t="shared" si="120"/>
        <v>8.02361111111531</v>
      </c>
      <c r="K1602" s="22">
        <f t="shared" si="121"/>
        <v>192.566666666768</v>
      </c>
      <c r="L1602" s="22">
        <f t="shared" si="122"/>
        <v>64.5666666667676</v>
      </c>
      <c r="M1602" s="22" cm="1">
        <f ca="1" t="array" ref="M1602">SUMPRODUCT(--(WEEKDAY(ROW(INDIRECT(INT(F1602)&amp;":"&amp;INT(I1602))),2)&gt;5))</f>
        <v>2</v>
      </c>
      <c r="N1602" s="22">
        <f ca="1" t="shared" si="123"/>
        <v>48.5666666667676</v>
      </c>
      <c r="O1602" s="22" t="str">
        <f ca="1" t="shared" si="124"/>
        <v>SLA Violated</v>
      </c>
      <c r="P1602" s="23" t="s">
        <v>6324</v>
      </c>
      <c r="Q1602" s="24" t="s">
        <v>28</v>
      </c>
      <c r="R1602" s="25"/>
      <c r="S1602" s="25"/>
    </row>
    <row r="1603" ht="39" customHeight="1" spans="1:19">
      <c r="A1603" s="19" t="s">
        <v>6325</v>
      </c>
      <c r="B1603" s="20" t="s">
        <v>19</v>
      </c>
      <c r="C1603" s="20" t="s">
        <v>20</v>
      </c>
      <c r="D1603" s="20" t="s">
        <v>32</v>
      </c>
      <c r="E1603" s="21" t="s">
        <v>6321</v>
      </c>
      <c r="F1603" s="21" t="s">
        <v>6326</v>
      </c>
      <c r="G1603" s="20" t="s">
        <v>35</v>
      </c>
      <c r="H1603" s="20" t="s">
        <v>25</v>
      </c>
      <c r="I1603" s="21" t="s">
        <v>6327</v>
      </c>
      <c r="J1603" s="22">
        <f t="shared" ref="J1603:J1666" si="125">F1603-I1603</f>
        <v>3.72083333333285</v>
      </c>
      <c r="K1603" s="22">
        <f t="shared" ref="K1603:K1666" si="126">J1603*24</f>
        <v>89.2999999999884</v>
      </c>
      <c r="L1603" s="22">
        <f t="shared" ref="L1603:L1666" si="127">IF(_xlfn.DAYS(F1603,I1603)&gt;0,K1603-IF(FLOOR(J1603,1)=0,1,_xlfn.DAYS(F1603,I1603))*16,K1603)</f>
        <v>25.2999999999884</v>
      </c>
      <c r="M1603" s="22" cm="1">
        <f ca="1" t="array" ref="M1603">SUMPRODUCT(--(WEEKDAY(ROW(INDIRECT(INT(F1603)&amp;":"&amp;INT(I1603))),2)&gt;5))</f>
        <v>2</v>
      </c>
      <c r="N1603" s="22">
        <f ca="1" t="shared" ref="N1603:N1666" si="128">IF(IF(M1603&gt;0,L1603-M1603*8,L1603)&lt;0,0,IF(M1603&gt;0,L1603-M1603*8,L1603))</f>
        <v>9.2999999999884</v>
      </c>
      <c r="O1603" s="22" t="str">
        <f ca="1" t="shared" ref="O1603:O1666" si="129">IF(OR(AND(D1603="P1",N1603&lt;=3),AND(D1603="P2",N1603&lt;=6),AND(D1603="P3",N1603&lt;=9),AND(D1603="P4",N1603&lt;=12)),"Within SLA","SLA Violated")</f>
        <v>Within SLA</v>
      </c>
      <c r="P1603" s="26" t="s">
        <v>6325</v>
      </c>
      <c r="Q1603" s="24" t="s">
        <v>37</v>
      </c>
      <c r="R1603" s="25"/>
      <c r="S1603" s="25"/>
    </row>
    <row r="1604" ht="27" customHeight="1" spans="1:19">
      <c r="A1604" s="19" t="s">
        <v>6328</v>
      </c>
      <c r="B1604" s="20" t="s">
        <v>30</v>
      </c>
      <c r="C1604" s="20" t="s">
        <v>849</v>
      </c>
      <c r="D1604" s="20" t="s">
        <v>105</v>
      </c>
      <c r="E1604" s="21" t="s">
        <v>6288</v>
      </c>
      <c r="F1604" s="21" t="s">
        <v>6329</v>
      </c>
      <c r="G1604" s="20" t="s">
        <v>35</v>
      </c>
      <c r="H1604" s="20" t="s">
        <v>25</v>
      </c>
      <c r="I1604" s="21" t="s">
        <v>6309</v>
      </c>
      <c r="J1604" s="22">
        <f t="shared" si="125"/>
        <v>22.7569444444453</v>
      </c>
      <c r="K1604" s="22">
        <f t="shared" si="126"/>
        <v>546.166666666686</v>
      </c>
      <c r="L1604" s="22">
        <f t="shared" si="127"/>
        <v>178.166666666686</v>
      </c>
      <c r="M1604" s="22" cm="1">
        <f ca="1" t="array" ref="M1604">SUMPRODUCT(--(WEEKDAY(ROW(INDIRECT(INT(F1604)&amp;":"&amp;INT(I1604))),2)&gt;5))</f>
        <v>7</v>
      </c>
      <c r="N1604" s="22">
        <f ca="1" t="shared" si="128"/>
        <v>122.166666666686</v>
      </c>
      <c r="O1604" s="22" t="str">
        <f ca="1" t="shared" si="129"/>
        <v>SLA Violated</v>
      </c>
      <c r="P1604" s="23" t="s">
        <v>6330</v>
      </c>
      <c r="Q1604" s="24" t="s">
        <v>28</v>
      </c>
      <c r="R1604" s="25"/>
      <c r="S1604" s="25"/>
    </row>
    <row r="1605" ht="39" customHeight="1" spans="1:19">
      <c r="A1605" s="19" t="s">
        <v>6331</v>
      </c>
      <c r="B1605" s="20" t="s">
        <v>3163</v>
      </c>
      <c r="C1605" s="20" t="s">
        <v>849</v>
      </c>
      <c r="D1605" s="20" t="s">
        <v>32</v>
      </c>
      <c r="E1605" s="21" t="s">
        <v>6309</v>
      </c>
      <c r="F1605" s="21" t="s">
        <v>6332</v>
      </c>
      <c r="G1605" s="20" t="s">
        <v>35</v>
      </c>
      <c r="H1605" s="20" t="s">
        <v>25</v>
      </c>
      <c r="I1605" s="21" t="s">
        <v>6333</v>
      </c>
      <c r="J1605" s="22">
        <f t="shared" si="125"/>
        <v>7.76458333332994</v>
      </c>
      <c r="K1605" s="22">
        <f t="shared" si="126"/>
        <v>186.349999999919</v>
      </c>
      <c r="L1605" s="22">
        <f t="shared" si="127"/>
        <v>58.3499999999185</v>
      </c>
      <c r="M1605" s="22" cm="1">
        <f ca="1" t="array" ref="M1605">SUMPRODUCT(--(WEEKDAY(ROW(INDIRECT(INT(F1605)&amp;":"&amp;INT(I1605))),2)&gt;5))</f>
        <v>2</v>
      </c>
      <c r="N1605" s="22">
        <f ca="1" t="shared" si="128"/>
        <v>42.3499999999185</v>
      </c>
      <c r="O1605" s="22" t="str">
        <f ca="1" t="shared" si="129"/>
        <v>SLA Violated</v>
      </c>
      <c r="P1605" s="23" t="s">
        <v>6334</v>
      </c>
      <c r="Q1605" s="24" t="s">
        <v>28</v>
      </c>
      <c r="R1605" s="25"/>
      <c r="S1605" s="25"/>
    </row>
    <row r="1606" ht="39" customHeight="1" spans="1:19">
      <c r="A1606" s="19" t="s">
        <v>6335</v>
      </c>
      <c r="B1606" s="20" t="s">
        <v>19</v>
      </c>
      <c r="C1606" s="20" t="s">
        <v>20</v>
      </c>
      <c r="D1606" s="20" t="s">
        <v>21</v>
      </c>
      <c r="E1606" s="21" t="s">
        <v>145</v>
      </c>
      <c r="F1606" s="21" t="s">
        <v>6336</v>
      </c>
      <c r="G1606" s="20" t="s">
        <v>35</v>
      </c>
      <c r="H1606" s="20" t="s">
        <v>25</v>
      </c>
      <c r="I1606" s="21" t="s">
        <v>6337</v>
      </c>
      <c r="J1606" s="22">
        <f t="shared" si="125"/>
        <v>2.99027777777519</v>
      </c>
      <c r="K1606" s="22">
        <f t="shared" si="126"/>
        <v>71.7666666666046</v>
      </c>
      <c r="L1606" s="22">
        <f t="shared" si="127"/>
        <v>23.7666666666046</v>
      </c>
      <c r="M1606" s="22" cm="1">
        <f ca="1" t="array" ref="M1606">SUMPRODUCT(--(WEEKDAY(ROW(INDIRECT(INT(F1606)&amp;":"&amp;INT(I1606))),2)&gt;5))</f>
        <v>2</v>
      </c>
      <c r="N1606" s="22">
        <f ca="1" t="shared" si="128"/>
        <v>7.7666666666046</v>
      </c>
      <c r="O1606" s="22" t="str">
        <f ca="1" t="shared" si="129"/>
        <v>SLA Violated</v>
      </c>
      <c r="P1606" s="23" t="s">
        <v>6338</v>
      </c>
      <c r="Q1606" s="24" t="s">
        <v>28</v>
      </c>
      <c r="R1606" s="25"/>
      <c r="S1606" s="25"/>
    </row>
    <row r="1607" ht="27" customHeight="1" spans="1:19">
      <c r="A1607" s="19" t="s">
        <v>6339</v>
      </c>
      <c r="B1607" s="20" t="s">
        <v>139</v>
      </c>
      <c r="C1607" s="20" t="s">
        <v>2057</v>
      </c>
      <c r="D1607" s="20" t="s">
        <v>32</v>
      </c>
      <c r="E1607" s="21" t="s">
        <v>6340</v>
      </c>
      <c r="F1607" s="21" t="s">
        <v>6341</v>
      </c>
      <c r="G1607" s="20" t="s">
        <v>35</v>
      </c>
      <c r="H1607" s="20" t="s">
        <v>25</v>
      </c>
      <c r="I1607" s="21" t="s">
        <v>6342</v>
      </c>
      <c r="J1607" s="22">
        <f t="shared" si="125"/>
        <v>0.330555555556202</v>
      </c>
      <c r="K1607" s="22">
        <f t="shared" si="126"/>
        <v>7.93333333334886</v>
      </c>
      <c r="L1607" s="22">
        <f t="shared" si="127"/>
        <v>7.93333333334886</v>
      </c>
      <c r="M1607" s="22" cm="1">
        <f ca="1" t="array" ref="M1607">SUMPRODUCT(--(WEEKDAY(ROW(INDIRECT(INT(F1607)&amp;":"&amp;INT(I1607))),2)&gt;5))</f>
        <v>0</v>
      </c>
      <c r="N1607" s="22">
        <f ca="1" t="shared" si="128"/>
        <v>7.93333333334886</v>
      </c>
      <c r="O1607" s="22" t="str">
        <f ca="1" t="shared" si="129"/>
        <v>Within SLA</v>
      </c>
      <c r="P1607" s="26" t="s">
        <v>6339</v>
      </c>
      <c r="Q1607" s="24" t="s">
        <v>37</v>
      </c>
      <c r="R1607" s="25"/>
      <c r="S1607" s="25"/>
    </row>
    <row r="1608" ht="27" customHeight="1" spans="1:19">
      <c r="A1608" s="19" t="s">
        <v>6343</v>
      </c>
      <c r="B1608" s="20" t="s">
        <v>30</v>
      </c>
      <c r="C1608" s="20" t="s">
        <v>849</v>
      </c>
      <c r="D1608" s="20" t="s">
        <v>32</v>
      </c>
      <c r="E1608" s="21" t="s">
        <v>6344</v>
      </c>
      <c r="F1608" s="21" t="s">
        <v>6345</v>
      </c>
      <c r="G1608" s="20" t="s">
        <v>24</v>
      </c>
      <c r="H1608" s="20" t="s">
        <v>25</v>
      </c>
      <c r="I1608" s="21" t="s">
        <v>6346</v>
      </c>
      <c r="J1608" s="22">
        <f t="shared" si="125"/>
        <v>0.93888888888614</v>
      </c>
      <c r="K1608" s="22">
        <f t="shared" si="126"/>
        <v>22.5333333332674</v>
      </c>
      <c r="L1608" s="22">
        <f t="shared" si="127"/>
        <v>6.53333333326736</v>
      </c>
      <c r="M1608" s="22" cm="1">
        <f ca="1" t="array" ref="M1608">SUMPRODUCT(--(WEEKDAY(ROW(INDIRECT(INT(F1608)&amp;":"&amp;INT(I1608))),2)&gt;5))</f>
        <v>0</v>
      </c>
      <c r="N1608" s="22">
        <f ca="1" t="shared" si="128"/>
        <v>6.53333333326736</v>
      </c>
      <c r="O1608" s="22" t="str">
        <f ca="1" t="shared" si="129"/>
        <v>Within SLA</v>
      </c>
      <c r="P1608" s="26" t="s">
        <v>6343</v>
      </c>
      <c r="Q1608" s="24" t="s">
        <v>37</v>
      </c>
      <c r="R1608" s="25"/>
      <c r="S1608" s="25"/>
    </row>
    <row r="1609" ht="27" customHeight="1" spans="1:19">
      <c r="A1609" s="19" t="s">
        <v>6347</v>
      </c>
      <c r="B1609" s="20" t="s">
        <v>30</v>
      </c>
      <c r="C1609" s="20" t="s">
        <v>849</v>
      </c>
      <c r="D1609" s="20" t="s">
        <v>32</v>
      </c>
      <c r="E1609" s="21" t="s">
        <v>6344</v>
      </c>
      <c r="F1609" s="21" t="s">
        <v>6348</v>
      </c>
      <c r="G1609" s="20" t="s">
        <v>35</v>
      </c>
      <c r="H1609" s="20" t="s">
        <v>25</v>
      </c>
      <c r="I1609" s="21" t="s">
        <v>6349</v>
      </c>
      <c r="J1609" s="22">
        <f t="shared" si="125"/>
        <v>3.72152777777228</v>
      </c>
      <c r="K1609" s="22">
        <f t="shared" si="126"/>
        <v>89.3166666665347</v>
      </c>
      <c r="L1609" s="22">
        <f t="shared" si="127"/>
        <v>25.3166666665347</v>
      </c>
      <c r="M1609" s="22" cm="1">
        <f ca="1" t="array" ref="M1609">SUMPRODUCT(--(WEEKDAY(ROW(INDIRECT(INT(F1609)&amp;":"&amp;INT(I1609))),2)&gt;5))</f>
        <v>2</v>
      </c>
      <c r="N1609" s="22">
        <f ca="1" t="shared" si="128"/>
        <v>9.3166666665347</v>
      </c>
      <c r="O1609" s="22" t="str">
        <f ca="1" t="shared" si="129"/>
        <v>Within SLA</v>
      </c>
      <c r="P1609" s="26" t="s">
        <v>6347</v>
      </c>
      <c r="Q1609" s="24" t="s">
        <v>37</v>
      </c>
      <c r="R1609" s="25"/>
      <c r="S1609" s="25"/>
    </row>
    <row r="1610" ht="27" customHeight="1" spans="1:19">
      <c r="A1610" s="19" t="s">
        <v>6350</v>
      </c>
      <c r="B1610" s="20" t="s">
        <v>30</v>
      </c>
      <c r="C1610" s="20" t="s">
        <v>849</v>
      </c>
      <c r="D1610" s="20" t="s">
        <v>115</v>
      </c>
      <c r="E1610" s="21" t="s">
        <v>6351</v>
      </c>
      <c r="F1610" s="21" t="s">
        <v>6352</v>
      </c>
      <c r="G1610" s="20" t="s">
        <v>35</v>
      </c>
      <c r="H1610" s="20" t="s">
        <v>25</v>
      </c>
      <c r="I1610" s="21" t="s">
        <v>6353</v>
      </c>
      <c r="J1610" s="22">
        <f t="shared" si="125"/>
        <v>11.7993055555562</v>
      </c>
      <c r="K1610" s="22">
        <f t="shared" si="126"/>
        <v>283.183333333349</v>
      </c>
      <c r="L1610" s="22">
        <f t="shared" si="127"/>
        <v>91.1833333333489</v>
      </c>
      <c r="M1610" s="22" cm="1">
        <f ca="1" t="array" ref="M1610">SUMPRODUCT(--(WEEKDAY(ROW(INDIRECT(INT(F1610)&amp;":"&amp;INT(I1610))),2)&gt;5))</f>
        <v>4</v>
      </c>
      <c r="N1610" s="22">
        <f ca="1" t="shared" si="128"/>
        <v>59.1833333333489</v>
      </c>
      <c r="O1610" s="22" t="str">
        <f ca="1" t="shared" si="129"/>
        <v>SLA Violated</v>
      </c>
      <c r="P1610" s="23" t="s">
        <v>6354</v>
      </c>
      <c r="Q1610" s="24" t="s">
        <v>28</v>
      </c>
      <c r="R1610" s="25"/>
      <c r="S1610" s="25"/>
    </row>
    <row r="1611" ht="27" customHeight="1" spans="1:19">
      <c r="A1611" s="19" t="s">
        <v>6355</v>
      </c>
      <c r="B1611" s="20" t="s">
        <v>30</v>
      </c>
      <c r="C1611" s="20" t="s">
        <v>849</v>
      </c>
      <c r="D1611" s="20" t="s">
        <v>32</v>
      </c>
      <c r="E1611" s="21" t="s">
        <v>6356</v>
      </c>
      <c r="F1611" s="21" t="s">
        <v>6357</v>
      </c>
      <c r="G1611" s="20" t="s">
        <v>35</v>
      </c>
      <c r="H1611" s="20" t="s">
        <v>25</v>
      </c>
      <c r="I1611" s="21" t="s">
        <v>6358</v>
      </c>
      <c r="J1611" s="22">
        <f t="shared" si="125"/>
        <v>7.92708333332848</v>
      </c>
      <c r="K1611" s="22">
        <f t="shared" si="126"/>
        <v>190.249999999884</v>
      </c>
      <c r="L1611" s="22">
        <f t="shared" si="127"/>
        <v>62.2499999998836</v>
      </c>
      <c r="M1611" s="22" cm="1">
        <f ca="1" t="array" ref="M1611">SUMPRODUCT(--(WEEKDAY(ROW(INDIRECT(INT(F1611)&amp;":"&amp;INT(I1611))),2)&gt;5))</f>
        <v>2</v>
      </c>
      <c r="N1611" s="22">
        <f ca="1" t="shared" si="128"/>
        <v>46.2499999998836</v>
      </c>
      <c r="O1611" s="22" t="str">
        <f ca="1" t="shared" si="129"/>
        <v>SLA Violated</v>
      </c>
      <c r="P1611" s="23" t="s">
        <v>6359</v>
      </c>
      <c r="Q1611" s="24" t="s">
        <v>28</v>
      </c>
      <c r="R1611" s="25"/>
      <c r="S1611" s="25"/>
    </row>
    <row r="1612" ht="27" customHeight="1" spans="1:19">
      <c r="A1612" s="19" t="s">
        <v>6360</v>
      </c>
      <c r="B1612" s="20" t="s">
        <v>30</v>
      </c>
      <c r="C1612" s="20" t="s">
        <v>849</v>
      </c>
      <c r="D1612" s="20" t="s">
        <v>32</v>
      </c>
      <c r="E1612" s="21" t="s">
        <v>6361</v>
      </c>
      <c r="F1612" s="21" t="s">
        <v>6362</v>
      </c>
      <c r="G1612" s="20" t="s">
        <v>35</v>
      </c>
      <c r="H1612" s="20" t="s">
        <v>25</v>
      </c>
      <c r="I1612" s="21" t="s">
        <v>6363</v>
      </c>
      <c r="J1612" s="22">
        <f t="shared" si="125"/>
        <v>3.7055555555562</v>
      </c>
      <c r="K1612" s="22">
        <f t="shared" si="126"/>
        <v>88.9333333333489</v>
      </c>
      <c r="L1612" s="22">
        <f t="shared" si="127"/>
        <v>24.9333333333489</v>
      </c>
      <c r="M1612" s="22" cm="1">
        <f ca="1" t="array" ref="M1612">SUMPRODUCT(--(WEEKDAY(ROW(INDIRECT(INT(F1612)&amp;":"&amp;INT(I1612))),2)&gt;5))</f>
        <v>2</v>
      </c>
      <c r="N1612" s="22">
        <f ca="1" t="shared" si="128"/>
        <v>8.9333333333489</v>
      </c>
      <c r="O1612" s="22" t="str">
        <f ca="1" t="shared" si="129"/>
        <v>Within SLA</v>
      </c>
      <c r="P1612" s="26" t="s">
        <v>6360</v>
      </c>
      <c r="Q1612" s="24" t="s">
        <v>37</v>
      </c>
      <c r="R1612" s="25"/>
      <c r="S1612" s="25"/>
    </row>
    <row r="1613" ht="27" customHeight="1" spans="1:19">
      <c r="A1613" s="19" t="s">
        <v>6364</v>
      </c>
      <c r="B1613" s="20" t="s">
        <v>30</v>
      </c>
      <c r="C1613" s="20" t="s">
        <v>849</v>
      </c>
      <c r="D1613" s="20" t="s">
        <v>32</v>
      </c>
      <c r="E1613" s="21" t="s">
        <v>6365</v>
      </c>
      <c r="F1613" s="21" t="s">
        <v>6094</v>
      </c>
      <c r="G1613" s="20" t="s">
        <v>35</v>
      </c>
      <c r="H1613" s="20" t="s">
        <v>25</v>
      </c>
      <c r="I1613" s="21" t="s">
        <v>6366</v>
      </c>
      <c r="J1613" s="22">
        <f t="shared" si="125"/>
        <v>3.70694444444234</v>
      </c>
      <c r="K1613" s="22">
        <f t="shared" si="126"/>
        <v>88.9666666666162</v>
      </c>
      <c r="L1613" s="22">
        <f t="shared" si="127"/>
        <v>24.9666666666162</v>
      </c>
      <c r="M1613" s="22" cm="1">
        <f ca="1" t="array" ref="M1613">SUMPRODUCT(--(WEEKDAY(ROW(INDIRECT(INT(F1613)&amp;":"&amp;INT(I1613))),2)&gt;5))</f>
        <v>2</v>
      </c>
      <c r="N1613" s="22">
        <f ca="1" t="shared" si="128"/>
        <v>8.9666666666162</v>
      </c>
      <c r="O1613" s="22" t="str">
        <f ca="1" t="shared" si="129"/>
        <v>Within SLA</v>
      </c>
      <c r="P1613" s="26" t="s">
        <v>6364</v>
      </c>
      <c r="Q1613" s="24" t="s">
        <v>37</v>
      </c>
      <c r="R1613" s="25"/>
      <c r="S1613" s="25"/>
    </row>
    <row r="1614" ht="39" customHeight="1" spans="1:19">
      <c r="A1614" s="19" t="s">
        <v>6367</v>
      </c>
      <c r="B1614" s="20" t="s">
        <v>725</v>
      </c>
      <c r="C1614" s="20" t="s">
        <v>101</v>
      </c>
      <c r="D1614" s="20" t="s">
        <v>32</v>
      </c>
      <c r="E1614" s="21" t="s">
        <v>6368</v>
      </c>
      <c r="F1614" s="21" t="s">
        <v>6369</v>
      </c>
      <c r="G1614" s="20" t="s">
        <v>35</v>
      </c>
      <c r="H1614" s="20" t="s">
        <v>25</v>
      </c>
      <c r="I1614" s="21" t="s">
        <v>6369</v>
      </c>
      <c r="J1614" s="22">
        <f t="shared" si="125"/>
        <v>0</v>
      </c>
      <c r="K1614" s="22">
        <f t="shared" si="126"/>
        <v>0</v>
      </c>
      <c r="L1614" s="22">
        <f t="shared" si="127"/>
        <v>0</v>
      </c>
      <c r="M1614" s="22" cm="1">
        <f ca="1" t="array" ref="M1614">SUMPRODUCT(--(WEEKDAY(ROW(INDIRECT(INT(F1614)&amp;":"&amp;INT(I1614))),2)&gt;5))</f>
        <v>0</v>
      </c>
      <c r="N1614" s="22">
        <f ca="1" t="shared" si="128"/>
        <v>0</v>
      </c>
      <c r="O1614" s="22" t="str">
        <f ca="1" t="shared" si="129"/>
        <v>Within SLA</v>
      </c>
      <c r="P1614" s="26" t="s">
        <v>6367</v>
      </c>
      <c r="Q1614" s="24" t="s">
        <v>37</v>
      </c>
      <c r="R1614" s="25"/>
      <c r="S1614" s="25"/>
    </row>
    <row r="1615" ht="27" customHeight="1" spans="1:19">
      <c r="A1615" s="19" t="s">
        <v>6370</v>
      </c>
      <c r="B1615" s="20" t="s">
        <v>30</v>
      </c>
      <c r="C1615" s="20" t="s">
        <v>849</v>
      </c>
      <c r="D1615" s="20" t="s">
        <v>32</v>
      </c>
      <c r="E1615" s="21" t="s">
        <v>6358</v>
      </c>
      <c r="F1615" s="21" t="s">
        <v>6371</v>
      </c>
      <c r="G1615" s="20" t="s">
        <v>35</v>
      </c>
      <c r="H1615" s="20" t="s">
        <v>25</v>
      </c>
      <c r="I1615" s="21" t="s">
        <v>6372</v>
      </c>
      <c r="J1615" s="22">
        <f t="shared" si="125"/>
        <v>5.28402777777228</v>
      </c>
      <c r="K1615" s="22">
        <f t="shared" si="126"/>
        <v>126.816666666535</v>
      </c>
      <c r="L1615" s="22">
        <f t="shared" si="127"/>
        <v>30.8166666665347</v>
      </c>
      <c r="M1615" s="22" cm="1">
        <f ca="1" t="array" ref="M1615">SUMPRODUCT(--(WEEKDAY(ROW(INDIRECT(INT(F1615)&amp;":"&amp;INT(I1615))),2)&gt;5))</f>
        <v>2</v>
      </c>
      <c r="N1615" s="22">
        <f ca="1" t="shared" si="128"/>
        <v>14.8166666665347</v>
      </c>
      <c r="O1615" s="22" t="str">
        <f ca="1" t="shared" si="129"/>
        <v>SLA Violated</v>
      </c>
      <c r="P1615" s="23" t="s">
        <v>6373</v>
      </c>
      <c r="Q1615" s="24" t="s">
        <v>28</v>
      </c>
      <c r="R1615" s="25"/>
      <c r="S1615" s="25"/>
    </row>
    <row r="1616" ht="39" customHeight="1" spans="1:19">
      <c r="A1616" s="19" t="s">
        <v>6374</v>
      </c>
      <c r="B1616" s="20" t="s">
        <v>19</v>
      </c>
      <c r="C1616" s="20" t="s">
        <v>20</v>
      </c>
      <c r="D1616" s="20" t="s">
        <v>32</v>
      </c>
      <c r="E1616" s="21" t="s">
        <v>6375</v>
      </c>
      <c r="F1616" s="21" t="s">
        <v>6376</v>
      </c>
      <c r="G1616" s="20" t="s">
        <v>35</v>
      </c>
      <c r="H1616" s="20" t="s">
        <v>25</v>
      </c>
      <c r="I1616" s="21" t="s">
        <v>6377</v>
      </c>
      <c r="J1616" s="22">
        <f t="shared" si="125"/>
        <v>5.8395833333343</v>
      </c>
      <c r="K1616" s="22">
        <f t="shared" si="126"/>
        <v>140.150000000023</v>
      </c>
      <c r="L1616" s="22">
        <f t="shared" si="127"/>
        <v>44.1500000000233</v>
      </c>
      <c r="M1616" s="22" cm="1">
        <f ca="1" t="array" ref="M1616">SUMPRODUCT(--(WEEKDAY(ROW(INDIRECT(INT(F1616)&amp;":"&amp;INT(I1616))),2)&gt;5))</f>
        <v>2</v>
      </c>
      <c r="N1616" s="22">
        <f ca="1" t="shared" si="128"/>
        <v>28.1500000000233</v>
      </c>
      <c r="O1616" s="22" t="str">
        <f ca="1" t="shared" si="129"/>
        <v>SLA Violated</v>
      </c>
      <c r="P1616" s="23" t="s">
        <v>6378</v>
      </c>
      <c r="Q1616" s="24" t="s">
        <v>28</v>
      </c>
      <c r="R1616" s="25"/>
      <c r="S1616" s="25"/>
    </row>
    <row r="1617" ht="39" customHeight="1" spans="1:19">
      <c r="A1617" s="19" t="s">
        <v>6379</v>
      </c>
      <c r="B1617" s="20" t="s">
        <v>19</v>
      </c>
      <c r="C1617" s="20" t="s">
        <v>20</v>
      </c>
      <c r="D1617" s="20" t="s">
        <v>32</v>
      </c>
      <c r="E1617" s="21" t="s">
        <v>6380</v>
      </c>
      <c r="F1617" s="21" t="s">
        <v>6381</v>
      </c>
      <c r="G1617" s="20" t="s">
        <v>35</v>
      </c>
      <c r="H1617" s="20" t="s">
        <v>25</v>
      </c>
      <c r="I1617" s="21" t="s">
        <v>6382</v>
      </c>
      <c r="J1617" s="22">
        <f t="shared" si="125"/>
        <v>3.67361111111677</v>
      </c>
      <c r="K1617" s="22">
        <f t="shared" si="126"/>
        <v>88.1666666668025</v>
      </c>
      <c r="L1617" s="22">
        <f t="shared" si="127"/>
        <v>24.1666666668025</v>
      </c>
      <c r="M1617" s="22" cm="1">
        <f ca="1" t="array" ref="M1617">SUMPRODUCT(--(WEEKDAY(ROW(INDIRECT(INT(F1617)&amp;":"&amp;INT(I1617))),2)&gt;5))</f>
        <v>2</v>
      </c>
      <c r="N1617" s="22">
        <f ca="1" t="shared" si="128"/>
        <v>8.1666666668025</v>
      </c>
      <c r="O1617" s="22" t="str">
        <f ca="1" t="shared" si="129"/>
        <v>Within SLA</v>
      </c>
      <c r="P1617" s="26" t="s">
        <v>6379</v>
      </c>
      <c r="Q1617" s="24" t="s">
        <v>37</v>
      </c>
      <c r="R1617" s="25"/>
      <c r="S1617" s="25"/>
    </row>
    <row r="1618" ht="27" customHeight="1" spans="1:19">
      <c r="A1618" s="19" t="s">
        <v>6383</v>
      </c>
      <c r="B1618" s="20" t="s">
        <v>30</v>
      </c>
      <c r="C1618" s="20" t="s">
        <v>31</v>
      </c>
      <c r="D1618" s="20" t="s">
        <v>32</v>
      </c>
      <c r="E1618" s="21" t="s">
        <v>6384</v>
      </c>
      <c r="F1618" s="21" t="s">
        <v>6385</v>
      </c>
      <c r="G1618" s="20" t="s">
        <v>35</v>
      </c>
      <c r="H1618" s="20" t="s">
        <v>25</v>
      </c>
      <c r="I1618" s="21" t="s">
        <v>6386</v>
      </c>
      <c r="J1618" s="22">
        <f t="shared" si="125"/>
        <v>0.677777777775191</v>
      </c>
      <c r="K1618" s="22">
        <f t="shared" si="126"/>
        <v>16.2666666666046</v>
      </c>
      <c r="L1618" s="22">
        <f t="shared" si="127"/>
        <v>0.266666666604578</v>
      </c>
      <c r="M1618" s="22" cm="1">
        <f ca="1" t="array" ref="M1618">SUMPRODUCT(--(WEEKDAY(ROW(INDIRECT(INT(F1618)&amp;":"&amp;INT(I1618))),2)&gt;5))</f>
        <v>0</v>
      </c>
      <c r="N1618" s="22">
        <f ca="1" t="shared" si="128"/>
        <v>0.266666666604578</v>
      </c>
      <c r="O1618" s="22" t="str">
        <f ca="1" t="shared" si="129"/>
        <v>Within SLA</v>
      </c>
      <c r="P1618" s="26" t="s">
        <v>6383</v>
      </c>
      <c r="Q1618" s="24" t="s">
        <v>37</v>
      </c>
      <c r="R1618" s="25"/>
      <c r="S1618" s="25"/>
    </row>
    <row r="1619" ht="39" customHeight="1" spans="1:19">
      <c r="A1619" s="19" t="s">
        <v>6387</v>
      </c>
      <c r="B1619" s="20" t="s">
        <v>19</v>
      </c>
      <c r="C1619" s="20" t="s">
        <v>20</v>
      </c>
      <c r="D1619" s="20" t="s">
        <v>32</v>
      </c>
      <c r="E1619" s="21" t="s">
        <v>6388</v>
      </c>
      <c r="F1619" s="21" t="s">
        <v>6389</v>
      </c>
      <c r="G1619" s="20" t="s">
        <v>35</v>
      </c>
      <c r="H1619" s="20" t="s">
        <v>25</v>
      </c>
      <c r="I1619" s="21" t="s">
        <v>6390</v>
      </c>
      <c r="J1619" s="22">
        <f t="shared" si="125"/>
        <v>3.66736111111095</v>
      </c>
      <c r="K1619" s="22">
        <f t="shared" si="126"/>
        <v>88.0166666666628</v>
      </c>
      <c r="L1619" s="22">
        <f t="shared" si="127"/>
        <v>24.0166666666628</v>
      </c>
      <c r="M1619" s="22" cm="1">
        <f ca="1" t="array" ref="M1619">SUMPRODUCT(--(WEEKDAY(ROW(INDIRECT(INT(F1619)&amp;":"&amp;INT(I1619))),2)&gt;5))</f>
        <v>2</v>
      </c>
      <c r="N1619" s="22">
        <f ca="1" t="shared" si="128"/>
        <v>8.0166666666628</v>
      </c>
      <c r="O1619" s="22" t="str">
        <f ca="1" t="shared" si="129"/>
        <v>Within SLA</v>
      </c>
      <c r="P1619" s="26" t="s">
        <v>6387</v>
      </c>
      <c r="Q1619" s="24" t="s">
        <v>37</v>
      </c>
      <c r="R1619" s="25"/>
      <c r="S1619" s="25"/>
    </row>
    <row r="1620" ht="27" customHeight="1" spans="1:19">
      <c r="A1620" s="19" t="s">
        <v>6391</v>
      </c>
      <c r="B1620" s="20" t="s">
        <v>30</v>
      </c>
      <c r="C1620" s="20" t="s">
        <v>849</v>
      </c>
      <c r="D1620" s="20" t="s">
        <v>32</v>
      </c>
      <c r="E1620" s="21" t="s">
        <v>6388</v>
      </c>
      <c r="F1620" s="21" t="s">
        <v>6094</v>
      </c>
      <c r="G1620" s="20" t="s">
        <v>35</v>
      </c>
      <c r="H1620" s="20" t="s">
        <v>25</v>
      </c>
      <c r="I1620" s="21" t="s">
        <v>6392</v>
      </c>
      <c r="J1620" s="22">
        <f t="shared" si="125"/>
        <v>3.67708333332848</v>
      </c>
      <c r="K1620" s="22">
        <f t="shared" si="126"/>
        <v>88.2499999998836</v>
      </c>
      <c r="L1620" s="22">
        <f t="shared" si="127"/>
        <v>24.2499999998836</v>
      </c>
      <c r="M1620" s="22" cm="1">
        <f ca="1" t="array" ref="M1620">SUMPRODUCT(--(WEEKDAY(ROW(INDIRECT(INT(F1620)&amp;":"&amp;INT(I1620))),2)&gt;5))</f>
        <v>2</v>
      </c>
      <c r="N1620" s="22">
        <f ca="1" t="shared" si="128"/>
        <v>8.2499999998836</v>
      </c>
      <c r="O1620" s="22" t="str">
        <f ca="1" t="shared" si="129"/>
        <v>Within SLA</v>
      </c>
      <c r="P1620" s="26" t="s">
        <v>6391</v>
      </c>
      <c r="Q1620" s="24" t="s">
        <v>37</v>
      </c>
      <c r="R1620" s="25"/>
      <c r="S1620" s="25"/>
    </row>
    <row r="1621" ht="27" customHeight="1" spans="1:19">
      <c r="A1621" s="19" t="s">
        <v>6393</v>
      </c>
      <c r="B1621" s="20" t="s">
        <v>30</v>
      </c>
      <c r="C1621" s="20" t="s">
        <v>31</v>
      </c>
      <c r="D1621" s="20" t="s">
        <v>32</v>
      </c>
      <c r="E1621" s="21" t="s">
        <v>6394</v>
      </c>
      <c r="F1621" s="21" t="s">
        <v>6395</v>
      </c>
      <c r="G1621" s="20" t="s">
        <v>35</v>
      </c>
      <c r="H1621" s="20" t="s">
        <v>25</v>
      </c>
      <c r="I1621" s="21" t="s">
        <v>6396</v>
      </c>
      <c r="J1621" s="22">
        <f t="shared" si="125"/>
        <v>0.663194444445253</v>
      </c>
      <c r="K1621" s="22">
        <f t="shared" si="126"/>
        <v>15.9166666666861</v>
      </c>
      <c r="L1621" s="22">
        <f t="shared" si="127"/>
        <v>-0.0833333333139308</v>
      </c>
      <c r="M1621" s="22" cm="1">
        <f ca="1" t="array" ref="M1621">SUMPRODUCT(--(WEEKDAY(ROW(INDIRECT(INT(F1621)&amp;":"&amp;INT(I1621))),2)&gt;5))</f>
        <v>0</v>
      </c>
      <c r="N1621" s="22">
        <f ca="1" t="shared" si="128"/>
        <v>0</v>
      </c>
      <c r="O1621" s="22" t="str">
        <f ca="1" t="shared" si="129"/>
        <v>Within SLA</v>
      </c>
      <c r="P1621" s="26" t="s">
        <v>6393</v>
      </c>
      <c r="Q1621" s="24" t="s">
        <v>37</v>
      </c>
      <c r="R1621" s="25"/>
      <c r="S1621" s="25"/>
    </row>
    <row r="1622" ht="27" customHeight="1" spans="1:19">
      <c r="A1622" s="19" t="s">
        <v>6397</v>
      </c>
      <c r="B1622" s="20" t="s">
        <v>30</v>
      </c>
      <c r="C1622" s="20" t="s">
        <v>849</v>
      </c>
      <c r="D1622" s="20" t="s">
        <v>32</v>
      </c>
      <c r="E1622" s="21" t="s">
        <v>6398</v>
      </c>
      <c r="F1622" s="21" t="s">
        <v>6248</v>
      </c>
      <c r="G1622" s="20" t="s">
        <v>35</v>
      </c>
      <c r="H1622" s="20" t="s">
        <v>25</v>
      </c>
      <c r="I1622" s="21" t="s">
        <v>6399</v>
      </c>
      <c r="J1622" s="22">
        <f t="shared" si="125"/>
        <v>7.23819444444234</v>
      </c>
      <c r="K1622" s="22">
        <f t="shared" si="126"/>
        <v>173.716666666616</v>
      </c>
      <c r="L1622" s="22">
        <f t="shared" si="127"/>
        <v>61.7166666666162</v>
      </c>
      <c r="M1622" s="22" cm="1">
        <f ca="1" t="array" ref="M1622">SUMPRODUCT(--(WEEKDAY(ROW(INDIRECT(INT(F1622)&amp;":"&amp;INT(I1622))),2)&gt;5))</f>
        <v>2</v>
      </c>
      <c r="N1622" s="22">
        <f ca="1" t="shared" si="128"/>
        <v>45.7166666666162</v>
      </c>
      <c r="O1622" s="22" t="str">
        <f ca="1" t="shared" si="129"/>
        <v>SLA Violated</v>
      </c>
      <c r="P1622" s="23" t="s">
        <v>6400</v>
      </c>
      <c r="Q1622" s="24" t="s">
        <v>28</v>
      </c>
      <c r="R1622" s="25"/>
      <c r="S1622" s="25"/>
    </row>
    <row r="1623" ht="27" customHeight="1" spans="1:19">
      <c r="A1623" s="19" t="s">
        <v>6401</v>
      </c>
      <c r="B1623" s="20" t="s">
        <v>30</v>
      </c>
      <c r="C1623" s="20" t="s">
        <v>849</v>
      </c>
      <c r="D1623" s="20" t="s">
        <v>32</v>
      </c>
      <c r="E1623" s="21" t="s">
        <v>6398</v>
      </c>
      <c r="F1623" s="21" t="s">
        <v>6094</v>
      </c>
      <c r="G1623" s="20" t="s">
        <v>35</v>
      </c>
      <c r="H1623" s="20" t="s">
        <v>25</v>
      </c>
      <c r="I1623" s="21" t="s">
        <v>6399</v>
      </c>
      <c r="J1623" s="22">
        <f t="shared" si="125"/>
        <v>2.98958333332848</v>
      </c>
      <c r="K1623" s="22">
        <f t="shared" si="126"/>
        <v>71.7499999998836</v>
      </c>
      <c r="L1623" s="22">
        <f t="shared" si="127"/>
        <v>23.7499999998836</v>
      </c>
      <c r="M1623" s="22" cm="1">
        <f ca="1" t="array" ref="M1623">SUMPRODUCT(--(WEEKDAY(ROW(INDIRECT(INT(F1623)&amp;":"&amp;INT(I1623))),2)&gt;5))</f>
        <v>2</v>
      </c>
      <c r="N1623" s="22">
        <f ca="1" t="shared" si="128"/>
        <v>7.7499999998836</v>
      </c>
      <c r="O1623" s="22" t="str">
        <f ca="1" t="shared" si="129"/>
        <v>Within SLA</v>
      </c>
      <c r="P1623" s="26" t="s">
        <v>6401</v>
      </c>
      <c r="Q1623" s="24" t="s">
        <v>37</v>
      </c>
      <c r="R1623" s="25"/>
      <c r="S1623" s="25"/>
    </row>
    <row r="1624" ht="27" customHeight="1" spans="1:19">
      <c r="A1624" s="19" t="s">
        <v>6402</v>
      </c>
      <c r="B1624" s="20" t="s">
        <v>30</v>
      </c>
      <c r="C1624" s="20" t="s">
        <v>849</v>
      </c>
      <c r="D1624" s="20" t="s">
        <v>32</v>
      </c>
      <c r="E1624" s="21" t="s">
        <v>6403</v>
      </c>
      <c r="F1624" s="21" t="s">
        <v>6326</v>
      </c>
      <c r="G1624" s="20" t="s">
        <v>35</v>
      </c>
      <c r="H1624" s="20" t="s">
        <v>25</v>
      </c>
      <c r="I1624" s="21" t="s">
        <v>6404</v>
      </c>
      <c r="J1624" s="22">
        <f t="shared" si="125"/>
        <v>2.98819444444962</v>
      </c>
      <c r="K1624" s="22">
        <f t="shared" si="126"/>
        <v>71.7166666667908</v>
      </c>
      <c r="L1624" s="22">
        <f t="shared" si="127"/>
        <v>23.7166666667908</v>
      </c>
      <c r="M1624" s="22" cm="1">
        <f ca="1" t="array" ref="M1624">SUMPRODUCT(--(WEEKDAY(ROW(INDIRECT(INT(F1624)&amp;":"&amp;INT(I1624))),2)&gt;5))</f>
        <v>2</v>
      </c>
      <c r="N1624" s="22">
        <f ca="1" t="shared" si="128"/>
        <v>7.7166666667908</v>
      </c>
      <c r="O1624" s="22" t="str">
        <f ca="1" t="shared" si="129"/>
        <v>Within SLA</v>
      </c>
      <c r="P1624" s="26" t="s">
        <v>6402</v>
      </c>
      <c r="Q1624" s="24" t="s">
        <v>37</v>
      </c>
      <c r="R1624" s="25"/>
      <c r="S1624" s="25"/>
    </row>
    <row r="1625" ht="39" customHeight="1" spans="1:19">
      <c r="A1625" s="19" t="s">
        <v>6405</v>
      </c>
      <c r="B1625" s="20" t="s">
        <v>19</v>
      </c>
      <c r="C1625" s="20" t="s">
        <v>20</v>
      </c>
      <c r="D1625" s="20" t="s">
        <v>32</v>
      </c>
      <c r="E1625" s="21" t="s">
        <v>6403</v>
      </c>
      <c r="F1625" s="21" t="s">
        <v>6406</v>
      </c>
      <c r="G1625" s="20" t="s">
        <v>35</v>
      </c>
      <c r="H1625" s="20" t="s">
        <v>25</v>
      </c>
      <c r="I1625" s="21" t="s">
        <v>6407</v>
      </c>
      <c r="J1625" s="22">
        <f t="shared" si="125"/>
        <v>2.98472222222335</v>
      </c>
      <c r="K1625" s="22">
        <f t="shared" si="126"/>
        <v>71.6333333333605</v>
      </c>
      <c r="L1625" s="22">
        <f t="shared" si="127"/>
        <v>23.6333333333605</v>
      </c>
      <c r="M1625" s="22" cm="1">
        <f ca="1" t="array" ref="M1625">SUMPRODUCT(--(WEEKDAY(ROW(INDIRECT(INT(F1625)&amp;":"&amp;INT(I1625))),2)&gt;5))</f>
        <v>2</v>
      </c>
      <c r="N1625" s="22">
        <f ca="1" t="shared" si="128"/>
        <v>7.6333333333605</v>
      </c>
      <c r="O1625" s="22" t="str">
        <f ca="1" t="shared" si="129"/>
        <v>Within SLA</v>
      </c>
      <c r="P1625" s="26" t="s">
        <v>6405</v>
      </c>
      <c r="Q1625" s="24" t="s">
        <v>37</v>
      </c>
      <c r="R1625" s="25"/>
      <c r="S1625" s="25"/>
    </row>
    <row r="1626" ht="27" customHeight="1" spans="1:19">
      <c r="A1626" s="19" t="s">
        <v>6408</v>
      </c>
      <c r="B1626" s="20" t="s">
        <v>30</v>
      </c>
      <c r="C1626" s="20" t="s">
        <v>31</v>
      </c>
      <c r="D1626" s="20" t="s">
        <v>32</v>
      </c>
      <c r="E1626" s="21" t="s">
        <v>6409</v>
      </c>
      <c r="F1626" s="21" t="s">
        <v>6163</v>
      </c>
      <c r="G1626" s="20" t="s">
        <v>35</v>
      </c>
      <c r="H1626" s="20" t="s">
        <v>25</v>
      </c>
      <c r="I1626" s="21" t="s">
        <v>6410</v>
      </c>
      <c r="J1626" s="22">
        <f t="shared" si="125"/>
        <v>5.07361111111095</v>
      </c>
      <c r="K1626" s="22">
        <f t="shared" si="126"/>
        <v>121.766666666663</v>
      </c>
      <c r="L1626" s="22">
        <f t="shared" si="127"/>
        <v>41.7666666666628</v>
      </c>
      <c r="M1626" s="22" cm="1">
        <f ca="1" t="array" ref="M1626">SUMPRODUCT(--(WEEKDAY(ROW(INDIRECT(INT(F1626)&amp;":"&amp;INT(I1626))),2)&gt;5))</f>
        <v>2</v>
      </c>
      <c r="N1626" s="22">
        <f ca="1" t="shared" si="128"/>
        <v>25.7666666666628</v>
      </c>
      <c r="O1626" s="22" t="str">
        <f ca="1" t="shared" si="129"/>
        <v>SLA Violated</v>
      </c>
      <c r="P1626" s="23" t="s">
        <v>6411</v>
      </c>
      <c r="Q1626" s="24" t="s">
        <v>28</v>
      </c>
      <c r="R1626" s="25"/>
      <c r="S1626" s="25"/>
    </row>
    <row r="1627" ht="39" customHeight="1" spans="1:19">
      <c r="A1627" s="19" t="s">
        <v>6412</v>
      </c>
      <c r="B1627" s="20" t="s">
        <v>196</v>
      </c>
      <c r="C1627" s="20" t="s">
        <v>2057</v>
      </c>
      <c r="D1627" s="20" t="s">
        <v>21</v>
      </c>
      <c r="E1627" s="21" t="s">
        <v>6413</v>
      </c>
      <c r="F1627" s="21" t="s">
        <v>6414</v>
      </c>
      <c r="G1627" s="20" t="s">
        <v>35</v>
      </c>
      <c r="H1627" s="20" t="s">
        <v>25</v>
      </c>
      <c r="I1627" s="21" t="s">
        <v>6415</v>
      </c>
      <c r="J1627" s="22">
        <f t="shared" si="125"/>
        <v>24.1902777777796</v>
      </c>
      <c r="K1627" s="22">
        <f t="shared" si="126"/>
        <v>580.566666666709</v>
      </c>
      <c r="L1627" s="22">
        <f t="shared" si="127"/>
        <v>196.566666666709</v>
      </c>
      <c r="M1627" s="22" cm="1">
        <f ca="1" t="array" ref="M1627">SUMPRODUCT(--(WEEKDAY(ROW(INDIRECT(INT(F1627)&amp;":"&amp;INT(I1627))),2)&gt;5))</f>
        <v>8</v>
      </c>
      <c r="N1627" s="22">
        <f ca="1" t="shared" si="128"/>
        <v>132.566666666709</v>
      </c>
      <c r="O1627" s="22" t="str">
        <f ca="1" t="shared" si="129"/>
        <v>SLA Violated</v>
      </c>
      <c r="P1627" s="23" t="s">
        <v>6416</v>
      </c>
      <c r="Q1627" s="24" t="s">
        <v>28</v>
      </c>
      <c r="R1627" s="25"/>
      <c r="S1627" s="25"/>
    </row>
    <row r="1628" ht="39" customHeight="1" spans="1:19">
      <c r="A1628" s="19" t="s">
        <v>6417</v>
      </c>
      <c r="B1628" s="20" t="s">
        <v>19</v>
      </c>
      <c r="C1628" s="20" t="s">
        <v>20</v>
      </c>
      <c r="D1628" s="20" t="s">
        <v>32</v>
      </c>
      <c r="E1628" s="21" t="s">
        <v>6418</v>
      </c>
      <c r="F1628" s="21" t="s">
        <v>6419</v>
      </c>
      <c r="G1628" s="20" t="s">
        <v>35</v>
      </c>
      <c r="H1628" s="20" t="s">
        <v>25</v>
      </c>
      <c r="I1628" s="21" t="s">
        <v>6420</v>
      </c>
      <c r="J1628" s="22">
        <f t="shared" si="125"/>
        <v>0.320833333331393</v>
      </c>
      <c r="K1628" s="22">
        <f t="shared" si="126"/>
        <v>7.69999999995343</v>
      </c>
      <c r="L1628" s="22">
        <f t="shared" si="127"/>
        <v>7.69999999995343</v>
      </c>
      <c r="M1628" s="22" cm="1">
        <f ca="1" t="array" ref="M1628">SUMPRODUCT(--(WEEKDAY(ROW(INDIRECT(INT(F1628)&amp;":"&amp;INT(I1628))),2)&gt;5))</f>
        <v>0</v>
      </c>
      <c r="N1628" s="22">
        <f ca="1" t="shared" si="128"/>
        <v>7.69999999995343</v>
      </c>
      <c r="O1628" s="22" t="str">
        <f ca="1" t="shared" si="129"/>
        <v>Within SLA</v>
      </c>
      <c r="P1628" s="26" t="s">
        <v>6417</v>
      </c>
      <c r="Q1628" s="24" t="s">
        <v>37</v>
      </c>
      <c r="R1628" s="25"/>
      <c r="S1628" s="25"/>
    </row>
    <row r="1629" ht="39" customHeight="1" spans="1:19">
      <c r="A1629" s="19" t="s">
        <v>6421</v>
      </c>
      <c r="B1629" s="20" t="s">
        <v>19</v>
      </c>
      <c r="C1629" s="20" t="s">
        <v>20</v>
      </c>
      <c r="D1629" s="20" t="s">
        <v>32</v>
      </c>
      <c r="E1629" s="21" t="s">
        <v>6418</v>
      </c>
      <c r="F1629" s="21" t="s">
        <v>6422</v>
      </c>
      <c r="G1629" s="20" t="s">
        <v>35</v>
      </c>
      <c r="H1629" s="20" t="s">
        <v>25</v>
      </c>
      <c r="I1629" s="21" t="s">
        <v>6423</v>
      </c>
      <c r="J1629" s="22">
        <f t="shared" si="125"/>
        <v>0.318749999998545</v>
      </c>
      <c r="K1629" s="22">
        <f t="shared" si="126"/>
        <v>7.64999999996508</v>
      </c>
      <c r="L1629" s="22">
        <f t="shared" si="127"/>
        <v>7.64999999996508</v>
      </c>
      <c r="M1629" s="22" cm="1">
        <f ca="1" t="array" ref="M1629">SUMPRODUCT(--(WEEKDAY(ROW(INDIRECT(INT(F1629)&amp;":"&amp;INT(I1629))),2)&gt;5))</f>
        <v>0</v>
      </c>
      <c r="N1629" s="22">
        <f ca="1" t="shared" si="128"/>
        <v>7.64999999996508</v>
      </c>
      <c r="O1629" s="22" t="str">
        <f ca="1" t="shared" si="129"/>
        <v>Within SLA</v>
      </c>
      <c r="P1629" s="26" t="s">
        <v>6421</v>
      </c>
      <c r="Q1629" s="24" t="s">
        <v>37</v>
      </c>
      <c r="R1629" s="25"/>
      <c r="S1629" s="25"/>
    </row>
    <row r="1630" ht="27" customHeight="1" spans="1:19">
      <c r="A1630" s="19" t="s">
        <v>6424</v>
      </c>
      <c r="B1630" s="20" t="s">
        <v>30</v>
      </c>
      <c r="C1630" s="20" t="s">
        <v>849</v>
      </c>
      <c r="D1630" s="20" t="s">
        <v>32</v>
      </c>
      <c r="E1630" s="21" t="s">
        <v>6425</v>
      </c>
      <c r="F1630" s="21" t="s">
        <v>6326</v>
      </c>
      <c r="G1630" s="20" t="s">
        <v>35</v>
      </c>
      <c r="H1630" s="20" t="s">
        <v>25</v>
      </c>
      <c r="I1630" s="21" t="s">
        <v>6426</v>
      </c>
      <c r="J1630" s="22">
        <f t="shared" si="125"/>
        <v>2.98333333333721</v>
      </c>
      <c r="K1630" s="22">
        <f t="shared" si="126"/>
        <v>71.6000000000931</v>
      </c>
      <c r="L1630" s="22">
        <f t="shared" si="127"/>
        <v>23.6000000000931</v>
      </c>
      <c r="M1630" s="22" cm="1">
        <f ca="1" t="array" ref="M1630">SUMPRODUCT(--(WEEKDAY(ROW(INDIRECT(INT(F1630)&amp;":"&amp;INT(I1630))),2)&gt;5))</f>
        <v>2</v>
      </c>
      <c r="N1630" s="22">
        <f ca="1" t="shared" si="128"/>
        <v>7.6000000000931</v>
      </c>
      <c r="O1630" s="22" t="str">
        <f ca="1" t="shared" si="129"/>
        <v>Within SLA</v>
      </c>
      <c r="P1630" s="26" t="s">
        <v>6424</v>
      </c>
      <c r="Q1630" s="24" t="s">
        <v>37</v>
      </c>
      <c r="R1630" s="25"/>
      <c r="S1630" s="25"/>
    </row>
    <row r="1631" ht="27" customHeight="1" spans="1:19">
      <c r="A1631" s="19" t="s">
        <v>6427</v>
      </c>
      <c r="B1631" s="20" t="s">
        <v>30</v>
      </c>
      <c r="C1631" s="20" t="s">
        <v>849</v>
      </c>
      <c r="D1631" s="20" t="s">
        <v>32</v>
      </c>
      <c r="E1631" s="21" t="s">
        <v>6428</v>
      </c>
      <c r="F1631" s="21" t="s">
        <v>6429</v>
      </c>
      <c r="G1631" s="20" t="s">
        <v>35</v>
      </c>
      <c r="H1631" s="20" t="s">
        <v>25</v>
      </c>
      <c r="I1631" s="21" t="s">
        <v>6430</v>
      </c>
      <c r="J1631" s="22">
        <f t="shared" si="125"/>
        <v>2.97152777777956</v>
      </c>
      <c r="K1631" s="22">
        <f t="shared" si="126"/>
        <v>71.3166666667094</v>
      </c>
      <c r="L1631" s="22">
        <f t="shared" si="127"/>
        <v>23.3166666667094</v>
      </c>
      <c r="M1631" s="22" cm="1">
        <f ca="1" t="array" ref="M1631">SUMPRODUCT(--(WEEKDAY(ROW(INDIRECT(INT(F1631)&amp;":"&amp;INT(I1631))),2)&gt;5))</f>
        <v>2</v>
      </c>
      <c r="N1631" s="22">
        <f ca="1" t="shared" si="128"/>
        <v>7.3166666667094</v>
      </c>
      <c r="O1631" s="22" t="str">
        <f ca="1" t="shared" si="129"/>
        <v>Within SLA</v>
      </c>
      <c r="P1631" s="26" t="s">
        <v>6427</v>
      </c>
      <c r="Q1631" s="24" t="s">
        <v>37</v>
      </c>
      <c r="R1631" s="25"/>
      <c r="S1631" s="25"/>
    </row>
    <row r="1632" ht="27" customHeight="1" spans="1:19">
      <c r="A1632" s="28" t="s">
        <v>6431</v>
      </c>
      <c r="B1632" s="20" t="s">
        <v>30</v>
      </c>
      <c r="C1632" s="20" t="s">
        <v>101</v>
      </c>
      <c r="D1632" s="20" t="s">
        <v>32</v>
      </c>
      <c r="E1632" s="21" t="s">
        <v>6432</v>
      </c>
      <c r="F1632" s="21" t="s">
        <v>6433</v>
      </c>
      <c r="G1632" s="20" t="s">
        <v>35</v>
      </c>
      <c r="H1632" s="20" t="s">
        <v>25</v>
      </c>
      <c r="I1632" s="21" t="s">
        <v>6434</v>
      </c>
      <c r="J1632" s="22">
        <f t="shared" si="125"/>
        <v>5.24444444444089</v>
      </c>
      <c r="K1632" s="22">
        <f t="shared" si="126"/>
        <v>125.866666666581</v>
      </c>
      <c r="L1632" s="22">
        <f t="shared" si="127"/>
        <v>45.8666666665813</v>
      </c>
      <c r="M1632" s="22" cm="1">
        <f ca="1" t="array" ref="M1632">SUMPRODUCT(--(WEEKDAY(ROW(INDIRECT(INT(F1632)&amp;":"&amp;INT(I1632))),2)&gt;5))</f>
        <v>2</v>
      </c>
      <c r="N1632" s="22">
        <f ca="1" t="shared" si="128"/>
        <v>29.8666666665813</v>
      </c>
      <c r="O1632" s="22" t="str">
        <f ca="1" t="shared" si="129"/>
        <v>SLA Violated</v>
      </c>
      <c r="P1632" s="26" t="s">
        <v>6435</v>
      </c>
      <c r="Q1632" s="24" t="s">
        <v>37</v>
      </c>
      <c r="R1632" s="25" t="s">
        <v>38</v>
      </c>
      <c r="S1632" s="25" t="s">
        <v>39</v>
      </c>
    </row>
    <row r="1633" ht="27" customHeight="1" spans="1:19">
      <c r="A1633" s="19" t="s">
        <v>6436</v>
      </c>
      <c r="B1633" s="20" t="s">
        <v>30</v>
      </c>
      <c r="C1633" s="20" t="s">
        <v>849</v>
      </c>
      <c r="D1633" s="20" t="s">
        <v>105</v>
      </c>
      <c r="E1633" s="21" t="s">
        <v>6437</v>
      </c>
      <c r="F1633" s="21" t="s">
        <v>6429</v>
      </c>
      <c r="G1633" s="20" t="s">
        <v>35</v>
      </c>
      <c r="H1633" s="20" t="s">
        <v>25</v>
      </c>
      <c r="I1633" s="21" t="s">
        <v>6438</v>
      </c>
      <c r="J1633" s="22">
        <f t="shared" si="125"/>
        <v>2.9819444444438</v>
      </c>
      <c r="K1633" s="22">
        <f t="shared" si="126"/>
        <v>71.5666666666511</v>
      </c>
      <c r="L1633" s="22">
        <f t="shared" si="127"/>
        <v>23.5666666666511</v>
      </c>
      <c r="M1633" s="22" cm="1">
        <f ca="1" t="array" ref="M1633">SUMPRODUCT(--(WEEKDAY(ROW(INDIRECT(INT(F1633)&amp;":"&amp;INT(I1633))),2)&gt;5))</f>
        <v>2</v>
      </c>
      <c r="N1633" s="22">
        <f ca="1" t="shared" si="128"/>
        <v>7.5666666666511</v>
      </c>
      <c r="O1633" s="22" t="str">
        <f ca="1" t="shared" si="129"/>
        <v>SLA Violated</v>
      </c>
      <c r="P1633" s="26" t="s">
        <v>6436</v>
      </c>
      <c r="Q1633" s="24" t="s">
        <v>37</v>
      </c>
      <c r="R1633" s="6" t="s">
        <v>109</v>
      </c>
      <c r="S1633" s="25" t="s">
        <v>39</v>
      </c>
    </row>
    <row r="1634" ht="27" customHeight="1" spans="1:19">
      <c r="A1634" s="19" t="s">
        <v>6439</v>
      </c>
      <c r="B1634" s="20" t="s">
        <v>30</v>
      </c>
      <c r="C1634" s="20" t="s">
        <v>31</v>
      </c>
      <c r="D1634" s="20" t="s">
        <v>32</v>
      </c>
      <c r="E1634" s="21" t="s">
        <v>6440</v>
      </c>
      <c r="F1634" s="21" t="s">
        <v>3188</v>
      </c>
      <c r="G1634" s="20" t="s">
        <v>35</v>
      </c>
      <c r="H1634" s="20" t="s">
        <v>25</v>
      </c>
      <c r="I1634" s="21" t="s">
        <v>6441</v>
      </c>
      <c r="J1634" s="22">
        <f t="shared" si="125"/>
        <v>6.03611111110513</v>
      </c>
      <c r="K1634" s="22">
        <f t="shared" si="126"/>
        <v>144.866666666523</v>
      </c>
      <c r="L1634" s="22">
        <f t="shared" si="127"/>
        <v>48.8666666665231</v>
      </c>
      <c r="M1634" s="22" cm="1">
        <f ca="1" t="array" ref="M1634">SUMPRODUCT(--(WEEKDAY(ROW(INDIRECT(INT(F1634)&amp;":"&amp;INT(I1634))),2)&gt;5))</f>
        <v>2</v>
      </c>
      <c r="N1634" s="22">
        <f ca="1" t="shared" si="128"/>
        <v>32.8666666665231</v>
      </c>
      <c r="O1634" s="22" t="str">
        <f ca="1" t="shared" si="129"/>
        <v>SLA Violated</v>
      </c>
      <c r="P1634" s="23" t="s">
        <v>6442</v>
      </c>
      <c r="Q1634" s="24" t="s">
        <v>28</v>
      </c>
      <c r="R1634" s="25"/>
      <c r="S1634" s="25"/>
    </row>
    <row r="1635" ht="27" customHeight="1" spans="1:19">
      <c r="A1635" s="19" t="s">
        <v>6443</v>
      </c>
      <c r="B1635" s="20" t="s">
        <v>30</v>
      </c>
      <c r="C1635" s="20" t="s">
        <v>31</v>
      </c>
      <c r="D1635" s="20" t="s">
        <v>105</v>
      </c>
      <c r="E1635" s="21" t="s">
        <v>6444</v>
      </c>
      <c r="F1635" s="21" t="s">
        <v>6445</v>
      </c>
      <c r="G1635" s="20" t="s">
        <v>35</v>
      </c>
      <c r="H1635" s="20" t="s">
        <v>25</v>
      </c>
      <c r="I1635" s="21" t="s">
        <v>6446</v>
      </c>
      <c r="J1635" s="22">
        <f t="shared" si="125"/>
        <v>6.03402777777956</v>
      </c>
      <c r="K1635" s="22">
        <f t="shared" si="126"/>
        <v>144.816666666709</v>
      </c>
      <c r="L1635" s="22">
        <f t="shared" si="127"/>
        <v>48.8166666667094</v>
      </c>
      <c r="M1635" s="22" cm="1">
        <f ca="1" t="array" ref="M1635">SUMPRODUCT(--(WEEKDAY(ROW(INDIRECT(INT(F1635)&amp;":"&amp;INT(I1635))),2)&gt;5))</f>
        <v>2</v>
      </c>
      <c r="N1635" s="22">
        <f ca="1" t="shared" si="128"/>
        <v>32.8166666667094</v>
      </c>
      <c r="O1635" s="22" t="str">
        <f ca="1" t="shared" si="129"/>
        <v>SLA Violated</v>
      </c>
      <c r="P1635" s="23" t="s">
        <v>6447</v>
      </c>
      <c r="Q1635" s="24" t="s">
        <v>28</v>
      </c>
      <c r="R1635" s="25"/>
      <c r="S1635" s="25"/>
    </row>
    <row r="1636" ht="27" customHeight="1" spans="1:19">
      <c r="A1636" s="19" t="s">
        <v>6448</v>
      </c>
      <c r="B1636" s="20" t="s">
        <v>30</v>
      </c>
      <c r="C1636" s="20" t="s">
        <v>31</v>
      </c>
      <c r="D1636" s="20" t="s">
        <v>32</v>
      </c>
      <c r="E1636" s="21" t="s">
        <v>6449</v>
      </c>
      <c r="F1636" s="21" t="s">
        <v>6450</v>
      </c>
      <c r="G1636" s="20" t="s">
        <v>35</v>
      </c>
      <c r="H1636" s="20" t="s">
        <v>25</v>
      </c>
      <c r="I1636" s="21" t="s">
        <v>6451</v>
      </c>
      <c r="J1636" s="22">
        <f t="shared" si="125"/>
        <v>4.54236111111095</v>
      </c>
      <c r="K1636" s="22">
        <f t="shared" si="126"/>
        <v>109.016666666663</v>
      </c>
      <c r="L1636" s="22">
        <f t="shared" si="127"/>
        <v>29.0166666666628</v>
      </c>
      <c r="M1636" s="22" cm="1">
        <f ca="1" t="array" ref="M1636">SUMPRODUCT(--(WEEKDAY(ROW(INDIRECT(INT(F1636)&amp;":"&amp;INT(I1636))),2)&gt;5))</f>
        <v>2</v>
      </c>
      <c r="N1636" s="22">
        <f ca="1" t="shared" si="128"/>
        <v>13.0166666666628</v>
      </c>
      <c r="O1636" s="22" t="str">
        <f ca="1" t="shared" si="129"/>
        <v>SLA Violated</v>
      </c>
      <c r="P1636" s="23" t="s">
        <v>6452</v>
      </c>
      <c r="Q1636" s="24" t="s">
        <v>28</v>
      </c>
      <c r="R1636" s="25"/>
      <c r="S1636" s="25"/>
    </row>
    <row r="1637" ht="39" customHeight="1" spans="1:19">
      <c r="A1637" s="19" t="s">
        <v>6453</v>
      </c>
      <c r="B1637" s="20" t="s">
        <v>19</v>
      </c>
      <c r="C1637" s="20" t="s">
        <v>20</v>
      </c>
      <c r="D1637" s="20" t="s">
        <v>32</v>
      </c>
      <c r="E1637" s="21" t="s">
        <v>6454</v>
      </c>
      <c r="F1637" s="21" t="s">
        <v>6455</v>
      </c>
      <c r="G1637" s="20" t="s">
        <v>24</v>
      </c>
      <c r="H1637" s="20" t="s">
        <v>25</v>
      </c>
      <c r="I1637" s="21" t="s">
        <v>6456</v>
      </c>
      <c r="J1637" s="22">
        <f t="shared" si="125"/>
        <v>60.9638888888876</v>
      </c>
      <c r="K1637" s="22">
        <f t="shared" si="126"/>
        <v>1463.1333333333</v>
      </c>
      <c r="L1637" s="22">
        <f t="shared" si="127"/>
        <v>487.133333333302</v>
      </c>
      <c r="M1637" s="22" cm="1">
        <f ca="1" t="array" ref="M1637">SUMPRODUCT(--(WEEKDAY(ROW(INDIRECT(INT(F1637)&amp;":"&amp;INT(I1637))),2)&gt;5))</f>
        <v>18</v>
      </c>
      <c r="N1637" s="22">
        <f ca="1" t="shared" si="128"/>
        <v>343.133333333302</v>
      </c>
      <c r="O1637" s="22" t="str">
        <f ca="1" t="shared" si="129"/>
        <v>SLA Violated</v>
      </c>
      <c r="P1637" s="23" t="s">
        <v>6457</v>
      </c>
      <c r="Q1637" s="24" t="s">
        <v>28</v>
      </c>
      <c r="R1637" s="25"/>
      <c r="S1637" s="25"/>
    </row>
    <row r="1638" ht="27" customHeight="1" spans="1:19">
      <c r="A1638" s="19" t="s">
        <v>6458</v>
      </c>
      <c r="B1638" s="20" t="s">
        <v>30</v>
      </c>
      <c r="C1638" s="20" t="s">
        <v>849</v>
      </c>
      <c r="D1638" s="20" t="s">
        <v>105</v>
      </c>
      <c r="E1638" s="21" t="s">
        <v>6454</v>
      </c>
      <c r="F1638" s="21" t="s">
        <v>6459</v>
      </c>
      <c r="G1638" s="20" t="s">
        <v>35</v>
      </c>
      <c r="H1638" s="20" t="s">
        <v>25</v>
      </c>
      <c r="I1638" s="21" t="s">
        <v>6460</v>
      </c>
      <c r="J1638" s="22">
        <f t="shared" si="125"/>
        <v>6.16666666666424</v>
      </c>
      <c r="K1638" s="22">
        <f t="shared" si="126"/>
        <v>147.999999999942</v>
      </c>
      <c r="L1638" s="22">
        <f t="shared" si="127"/>
        <v>51.9999999999418</v>
      </c>
      <c r="M1638" s="22" cm="1">
        <f ca="1" t="array" ref="M1638">SUMPRODUCT(--(WEEKDAY(ROW(INDIRECT(INT(F1638)&amp;":"&amp;INT(I1638))),2)&gt;5))</f>
        <v>2</v>
      </c>
      <c r="N1638" s="22">
        <f ca="1" t="shared" si="128"/>
        <v>35.9999999999418</v>
      </c>
      <c r="O1638" s="22" t="str">
        <f ca="1" t="shared" si="129"/>
        <v>SLA Violated</v>
      </c>
      <c r="P1638" s="23" t="s">
        <v>6461</v>
      </c>
      <c r="Q1638" s="24" t="s">
        <v>28</v>
      </c>
      <c r="R1638" s="25"/>
      <c r="S1638" s="25"/>
    </row>
    <row r="1639" ht="27" customHeight="1" spans="1:19">
      <c r="A1639" s="19" t="s">
        <v>6462</v>
      </c>
      <c r="B1639" s="20" t="s">
        <v>30</v>
      </c>
      <c r="C1639" s="20" t="s">
        <v>849</v>
      </c>
      <c r="D1639" s="20" t="s">
        <v>32</v>
      </c>
      <c r="E1639" s="21" t="s">
        <v>6463</v>
      </c>
      <c r="F1639" s="21" t="s">
        <v>6464</v>
      </c>
      <c r="G1639" s="20" t="s">
        <v>35</v>
      </c>
      <c r="H1639" s="20" t="s">
        <v>25</v>
      </c>
      <c r="I1639" s="21" t="s">
        <v>6465</v>
      </c>
      <c r="J1639" s="22">
        <f t="shared" si="125"/>
        <v>4.53055555555329</v>
      </c>
      <c r="K1639" s="22">
        <f t="shared" si="126"/>
        <v>108.733333333279</v>
      </c>
      <c r="L1639" s="22">
        <f t="shared" si="127"/>
        <v>28.733333333279</v>
      </c>
      <c r="M1639" s="22" cm="1">
        <f ca="1" t="array" ref="M1639">SUMPRODUCT(--(WEEKDAY(ROW(INDIRECT(INT(F1639)&amp;":"&amp;INT(I1639))),2)&gt;5))</f>
        <v>2</v>
      </c>
      <c r="N1639" s="22">
        <f ca="1" t="shared" si="128"/>
        <v>12.733333333279</v>
      </c>
      <c r="O1639" s="22" t="str">
        <f ca="1" t="shared" si="129"/>
        <v>SLA Violated</v>
      </c>
      <c r="P1639" s="23" t="s">
        <v>6466</v>
      </c>
      <c r="Q1639" s="24" t="s">
        <v>28</v>
      </c>
      <c r="R1639" s="25"/>
      <c r="S1639" s="25"/>
    </row>
    <row r="1640" ht="27" customHeight="1" spans="1:19">
      <c r="A1640" s="19" t="s">
        <v>6467</v>
      </c>
      <c r="B1640" s="20" t="s">
        <v>30</v>
      </c>
      <c r="C1640" s="20" t="s">
        <v>849</v>
      </c>
      <c r="D1640" s="20" t="s">
        <v>21</v>
      </c>
      <c r="E1640" s="21" t="s">
        <v>6468</v>
      </c>
      <c r="F1640" s="21" t="s">
        <v>6469</v>
      </c>
      <c r="G1640" s="20" t="s">
        <v>35</v>
      </c>
      <c r="H1640" s="20" t="s">
        <v>25</v>
      </c>
      <c r="I1640" s="21" t="s">
        <v>6470</v>
      </c>
      <c r="J1640" s="22">
        <f t="shared" si="125"/>
        <v>3.96597222222044</v>
      </c>
      <c r="K1640" s="22">
        <f t="shared" si="126"/>
        <v>95.1833333332906</v>
      </c>
      <c r="L1640" s="22">
        <f t="shared" si="127"/>
        <v>31.1833333332906</v>
      </c>
      <c r="M1640" s="22" cm="1">
        <f ca="1" t="array" ref="M1640">SUMPRODUCT(--(WEEKDAY(ROW(INDIRECT(INT(F1640)&amp;":"&amp;INT(I1640))),2)&gt;5))</f>
        <v>2</v>
      </c>
      <c r="N1640" s="22">
        <f ca="1" t="shared" si="128"/>
        <v>15.1833333332906</v>
      </c>
      <c r="O1640" s="22" t="str">
        <f ca="1" t="shared" si="129"/>
        <v>SLA Violated</v>
      </c>
      <c r="P1640" s="23" t="s">
        <v>6471</v>
      </c>
      <c r="Q1640" s="24" t="s">
        <v>28</v>
      </c>
      <c r="R1640" s="25"/>
      <c r="S1640" s="25"/>
    </row>
    <row r="1641" ht="27" customHeight="1" spans="1:19">
      <c r="A1641" s="19" t="s">
        <v>6472</v>
      </c>
      <c r="B1641" s="20" t="s">
        <v>30</v>
      </c>
      <c r="C1641" s="20" t="s">
        <v>849</v>
      </c>
      <c r="D1641" s="20" t="s">
        <v>32</v>
      </c>
      <c r="E1641" s="21" t="s">
        <v>6473</v>
      </c>
      <c r="F1641" s="21" t="s">
        <v>6406</v>
      </c>
      <c r="G1641" s="20" t="s">
        <v>35</v>
      </c>
      <c r="H1641" s="20" t="s">
        <v>25</v>
      </c>
      <c r="I1641" s="21" t="s">
        <v>6474</v>
      </c>
      <c r="J1641" s="22">
        <f t="shared" si="125"/>
        <v>2.92083333333721</v>
      </c>
      <c r="K1641" s="22">
        <f t="shared" si="126"/>
        <v>70.1000000000931</v>
      </c>
      <c r="L1641" s="22">
        <f t="shared" si="127"/>
        <v>22.1000000000931</v>
      </c>
      <c r="M1641" s="22" cm="1">
        <f ca="1" t="array" ref="M1641">SUMPRODUCT(--(WEEKDAY(ROW(INDIRECT(INT(F1641)&amp;":"&amp;INT(I1641))),2)&gt;5))</f>
        <v>2</v>
      </c>
      <c r="N1641" s="22">
        <f ca="1" t="shared" si="128"/>
        <v>6.1000000000931</v>
      </c>
      <c r="O1641" s="22" t="str">
        <f ca="1" t="shared" si="129"/>
        <v>Within SLA</v>
      </c>
      <c r="P1641" s="26" t="s">
        <v>6472</v>
      </c>
      <c r="Q1641" s="24" t="s">
        <v>37</v>
      </c>
      <c r="R1641" s="25"/>
      <c r="S1641" s="25"/>
    </row>
    <row r="1642" ht="39" customHeight="1" spans="1:19">
      <c r="A1642" s="19" t="s">
        <v>6475</v>
      </c>
      <c r="B1642" s="20" t="s">
        <v>19</v>
      </c>
      <c r="C1642" s="20" t="s">
        <v>20</v>
      </c>
      <c r="D1642" s="20" t="s">
        <v>32</v>
      </c>
      <c r="E1642" s="21" t="s">
        <v>6318</v>
      </c>
      <c r="F1642" s="21" t="s">
        <v>6476</v>
      </c>
      <c r="G1642" s="20" t="s">
        <v>35</v>
      </c>
      <c r="H1642" s="20" t="s">
        <v>25</v>
      </c>
      <c r="I1642" s="21" t="s">
        <v>6474</v>
      </c>
      <c r="J1642" s="22">
        <f t="shared" si="125"/>
        <v>0.188888888893416</v>
      </c>
      <c r="K1642" s="22">
        <f t="shared" si="126"/>
        <v>4.53333333344199</v>
      </c>
      <c r="L1642" s="22">
        <f t="shared" si="127"/>
        <v>4.53333333344199</v>
      </c>
      <c r="M1642" s="22" cm="1">
        <f ca="1" t="array" ref="M1642">SUMPRODUCT(--(WEEKDAY(ROW(INDIRECT(INT(F1642)&amp;":"&amp;INT(I1642))),2)&gt;5))</f>
        <v>0</v>
      </c>
      <c r="N1642" s="22">
        <f ca="1" t="shared" si="128"/>
        <v>4.53333333344199</v>
      </c>
      <c r="O1642" s="22" t="str">
        <f ca="1" t="shared" si="129"/>
        <v>Within SLA</v>
      </c>
      <c r="P1642" s="26" t="s">
        <v>6475</v>
      </c>
      <c r="Q1642" s="24" t="s">
        <v>37</v>
      </c>
      <c r="R1642" s="25"/>
      <c r="S1642" s="25"/>
    </row>
    <row r="1643" ht="27" customHeight="1" spans="1:19">
      <c r="A1643" s="19" t="s">
        <v>6477</v>
      </c>
      <c r="B1643" s="20" t="s">
        <v>30</v>
      </c>
      <c r="C1643" s="20" t="s">
        <v>849</v>
      </c>
      <c r="D1643" s="20" t="s">
        <v>32</v>
      </c>
      <c r="E1643" s="21" t="s">
        <v>6478</v>
      </c>
      <c r="F1643" s="21" t="s">
        <v>6406</v>
      </c>
      <c r="G1643" s="20" t="s">
        <v>35</v>
      </c>
      <c r="H1643" s="20" t="s">
        <v>25</v>
      </c>
      <c r="I1643" s="21" t="s">
        <v>6479</v>
      </c>
      <c r="J1643" s="22">
        <f t="shared" si="125"/>
        <v>2.92013888889051</v>
      </c>
      <c r="K1643" s="22">
        <f t="shared" si="126"/>
        <v>70.0833333333721</v>
      </c>
      <c r="L1643" s="22">
        <f t="shared" si="127"/>
        <v>22.0833333333721</v>
      </c>
      <c r="M1643" s="22" cm="1">
        <f ca="1" t="array" ref="M1643">SUMPRODUCT(--(WEEKDAY(ROW(INDIRECT(INT(F1643)&amp;":"&amp;INT(I1643))),2)&gt;5))</f>
        <v>2</v>
      </c>
      <c r="N1643" s="22">
        <f ca="1" t="shared" si="128"/>
        <v>6.0833333333721</v>
      </c>
      <c r="O1643" s="22" t="str">
        <f ca="1" t="shared" si="129"/>
        <v>Within SLA</v>
      </c>
      <c r="P1643" s="26" t="s">
        <v>6477</v>
      </c>
      <c r="Q1643" s="24" t="s">
        <v>37</v>
      </c>
      <c r="R1643" s="25"/>
      <c r="S1643" s="25"/>
    </row>
    <row r="1644" ht="27" customHeight="1" spans="1:19">
      <c r="A1644" s="19" t="s">
        <v>6480</v>
      </c>
      <c r="B1644" s="20" t="s">
        <v>30</v>
      </c>
      <c r="C1644" s="20" t="s">
        <v>849</v>
      </c>
      <c r="D1644" s="20" t="s">
        <v>32</v>
      </c>
      <c r="E1644" s="21" t="s">
        <v>6478</v>
      </c>
      <c r="F1644" s="21" t="s">
        <v>6481</v>
      </c>
      <c r="G1644" s="20" t="s">
        <v>35</v>
      </c>
      <c r="H1644" s="20" t="s">
        <v>25</v>
      </c>
      <c r="I1644" s="21" t="s">
        <v>6482</v>
      </c>
      <c r="J1644" s="22">
        <f t="shared" si="125"/>
        <v>2.90972222221899</v>
      </c>
      <c r="K1644" s="22">
        <f t="shared" si="126"/>
        <v>69.8333333332557</v>
      </c>
      <c r="L1644" s="22">
        <f t="shared" si="127"/>
        <v>21.8333333332557</v>
      </c>
      <c r="M1644" s="22" cm="1">
        <f ca="1" t="array" ref="M1644">SUMPRODUCT(--(WEEKDAY(ROW(INDIRECT(INT(F1644)&amp;":"&amp;INT(I1644))),2)&gt;5))</f>
        <v>2</v>
      </c>
      <c r="N1644" s="22">
        <f ca="1" t="shared" si="128"/>
        <v>5.8333333332557</v>
      </c>
      <c r="O1644" s="22" t="str">
        <f ca="1" t="shared" si="129"/>
        <v>Within SLA</v>
      </c>
      <c r="P1644" s="26" t="s">
        <v>6480</v>
      </c>
      <c r="Q1644" s="24" t="s">
        <v>37</v>
      </c>
      <c r="R1644" s="25"/>
      <c r="S1644" s="25"/>
    </row>
    <row r="1645" ht="27" customHeight="1" spans="1:19">
      <c r="A1645" s="19" t="s">
        <v>6483</v>
      </c>
      <c r="B1645" s="20" t="s">
        <v>30</v>
      </c>
      <c r="C1645" s="20" t="s">
        <v>849</v>
      </c>
      <c r="D1645" s="20" t="s">
        <v>115</v>
      </c>
      <c r="E1645" s="21" t="s">
        <v>6478</v>
      </c>
      <c r="F1645" s="21" t="s">
        <v>6484</v>
      </c>
      <c r="G1645" s="20" t="s">
        <v>35</v>
      </c>
      <c r="H1645" s="20" t="s">
        <v>25</v>
      </c>
      <c r="I1645" s="21" t="s">
        <v>6485</v>
      </c>
      <c r="J1645" s="22">
        <f t="shared" si="125"/>
        <v>21.8958333333285</v>
      </c>
      <c r="K1645" s="22">
        <f t="shared" si="126"/>
        <v>525.499999999884</v>
      </c>
      <c r="L1645" s="22">
        <f t="shared" si="127"/>
        <v>173.499999999884</v>
      </c>
      <c r="M1645" s="22" cm="1">
        <f ca="1" t="array" ref="M1645">SUMPRODUCT(--(WEEKDAY(ROW(INDIRECT(INT(F1645)&amp;":"&amp;INT(I1645))),2)&gt;5))</f>
        <v>7</v>
      </c>
      <c r="N1645" s="22">
        <f ca="1" t="shared" si="128"/>
        <v>117.499999999884</v>
      </c>
      <c r="O1645" s="22" t="str">
        <f ca="1" t="shared" si="129"/>
        <v>SLA Violated</v>
      </c>
      <c r="P1645" s="23" t="s">
        <v>6486</v>
      </c>
      <c r="Q1645" s="24" t="s">
        <v>28</v>
      </c>
      <c r="R1645" s="25"/>
      <c r="S1645" s="25"/>
    </row>
    <row r="1646" ht="27" customHeight="1" spans="1:19">
      <c r="A1646" s="19" t="s">
        <v>6487</v>
      </c>
      <c r="B1646" s="20" t="s">
        <v>30</v>
      </c>
      <c r="C1646" s="20" t="s">
        <v>849</v>
      </c>
      <c r="D1646" s="20" t="s">
        <v>32</v>
      </c>
      <c r="E1646" s="21" t="s">
        <v>6478</v>
      </c>
      <c r="F1646" s="21" t="s">
        <v>6488</v>
      </c>
      <c r="G1646" s="20" t="s">
        <v>35</v>
      </c>
      <c r="H1646" s="20" t="s">
        <v>25</v>
      </c>
      <c r="I1646" s="21" t="s">
        <v>6489</v>
      </c>
      <c r="J1646" s="22">
        <f t="shared" si="125"/>
        <v>2.90277777778101</v>
      </c>
      <c r="K1646" s="22">
        <f t="shared" si="126"/>
        <v>69.6666666667443</v>
      </c>
      <c r="L1646" s="22">
        <f t="shared" si="127"/>
        <v>21.6666666667443</v>
      </c>
      <c r="M1646" s="22" cm="1">
        <f ca="1" t="array" ref="M1646">SUMPRODUCT(--(WEEKDAY(ROW(INDIRECT(INT(F1646)&amp;":"&amp;INT(I1646))),2)&gt;5))</f>
        <v>2</v>
      </c>
      <c r="N1646" s="22">
        <f ca="1" t="shared" si="128"/>
        <v>5.6666666667443</v>
      </c>
      <c r="O1646" s="22" t="str">
        <f ca="1" t="shared" si="129"/>
        <v>Within SLA</v>
      </c>
      <c r="P1646" s="26" t="s">
        <v>6487</v>
      </c>
      <c r="Q1646" s="24" t="s">
        <v>37</v>
      </c>
      <c r="R1646" s="25"/>
      <c r="S1646" s="25"/>
    </row>
    <row r="1647" ht="27" customHeight="1" spans="1:19">
      <c r="A1647" s="19" t="s">
        <v>6490</v>
      </c>
      <c r="B1647" s="20" t="s">
        <v>30</v>
      </c>
      <c r="C1647" s="20" t="s">
        <v>849</v>
      </c>
      <c r="D1647" s="20" t="s">
        <v>32</v>
      </c>
      <c r="E1647" s="21" t="s">
        <v>6491</v>
      </c>
      <c r="F1647" s="21" t="s">
        <v>6389</v>
      </c>
      <c r="G1647" s="20" t="s">
        <v>24</v>
      </c>
      <c r="H1647" s="20" t="s">
        <v>25</v>
      </c>
      <c r="I1647" s="21" t="s">
        <v>6492</v>
      </c>
      <c r="J1647" s="22">
        <f t="shared" si="125"/>
        <v>2.90277777778101</v>
      </c>
      <c r="K1647" s="22">
        <f t="shared" si="126"/>
        <v>69.6666666667443</v>
      </c>
      <c r="L1647" s="22">
        <f t="shared" si="127"/>
        <v>21.6666666667443</v>
      </c>
      <c r="M1647" s="22" cm="1">
        <f ca="1" t="array" ref="M1647">SUMPRODUCT(--(WEEKDAY(ROW(INDIRECT(INT(F1647)&amp;":"&amp;INT(I1647))),2)&gt;5))</f>
        <v>2</v>
      </c>
      <c r="N1647" s="22">
        <f ca="1" t="shared" si="128"/>
        <v>5.6666666667443</v>
      </c>
      <c r="O1647" s="22" t="str">
        <f ca="1" t="shared" si="129"/>
        <v>Within SLA</v>
      </c>
      <c r="P1647" s="26" t="s">
        <v>6490</v>
      </c>
      <c r="Q1647" s="24" t="s">
        <v>37</v>
      </c>
      <c r="R1647" s="25"/>
      <c r="S1647" s="25"/>
    </row>
    <row r="1648" ht="27" customHeight="1" spans="1:19">
      <c r="A1648" s="19" t="s">
        <v>6493</v>
      </c>
      <c r="B1648" s="20" t="s">
        <v>30</v>
      </c>
      <c r="C1648" s="20" t="s">
        <v>849</v>
      </c>
      <c r="D1648" s="20" t="s">
        <v>105</v>
      </c>
      <c r="E1648" s="21" t="s">
        <v>6494</v>
      </c>
      <c r="F1648" s="21" t="s">
        <v>6495</v>
      </c>
      <c r="G1648" s="20" t="s">
        <v>35</v>
      </c>
      <c r="H1648" s="20" t="s">
        <v>25</v>
      </c>
      <c r="I1648" s="21" t="s">
        <v>6496</v>
      </c>
      <c r="J1648" s="22">
        <f t="shared" si="125"/>
        <v>3.92986111110804</v>
      </c>
      <c r="K1648" s="22">
        <f t="shared" si="126"/>
        <v>94.3166666665929</v>
      </c>
      <c r="L1648" s="22">
        <f t="shared" si="127"/>
        <v>30.3166666665929</v>
      </c>
      <c r="M1648" s="22" cm="1">
        <f ca="1" t="array" ref="M1648">SUMPRODUCT(--(WEEKDAY(ROW(INDIRECT(INT(F1648)&amp;":"&amp;INT(I1648))),2)&gt;5))</f>
        <v>2</v>
      </c>
      <c r="N1648" s="22">
        <f ca="1" t="shared" si="128"/>
        <v>14.3166666665929</v>
      </c>
      <c r="O1648" s="22" t="str">
        <f ca="1" t="shared" si="129"/>
        <v>SLA Violated</v>
      </c>
      <c r="P1648" s="23" t="s">
        <v>6497</v>
      </c>
      <c r="Q1648" s="24" t="s">
        <v>28</v>
      </c>
      <c r="R1648" s="25"/>
      <c r="S1648" s="25"/>
    </row>
    <row r="1649" ht="27" customHeight="1" spans="1:19">
      <c r="A1649" s="19" t="s">
        <v>6498</v>
      </c>
      <c r="B1649" s="20" t="s">
        <v>30</v>
      </c>
      <c r="C1649" s="20" t="s">
        <v>849</v>
      </c>
      <c r="D1649" s="20" t="s">
        <v>115</v>
      </c>
      <c r="E1649" s="21" t="s">
        <v>6415</v>
      </c>
      <c r="F1649" s="21" t="s">
        <v>6488</v>
      </c>
      <c r="G1649" s="20" t="s">
        <v>35</v>
      </c>
      <c r="H1649" s="20" t="s">
        <v>25</v>
      </c>
      <c r="I1649" s="21" t="s">
        <v>6499</v>
      </c>
      <c r="J1649" s="22">
        <f t="shared" si="125"/>
        <v>2.95763888888905</v>
      </c>
      <c r="K1649" s="22">
        <f t="shared" si="126"/>
        <v>70.9833333333372</v>
      </c>
      <c r="L1649" s="22">
        <f t="shared" si="127"/>
        <v>22.9833333333372</v>
      </c>
      <c r="M1649" s="22" cm="1">
        <f ca="1" t="array" ref="M1649">SUMPRODUCT(--(WEEKDAY(ROW(INDIRECT(INT(F1649)&amp;":"&amp;INT(I1649))),2)&gt;5))</f>
        <v>2</v>
      </c>
      <c r="N1649" s="22">
        <f ca="1" t="shared" si="128"/>
        <v>6.9833333333372</v>
      </c>
      <c r="O1649" s="22" t="str">
        <f ca="1" t="shared" si="129"/>
        <v>Within SLA</v>
      </c>
      <c r="P1649" s="26" t="s">
        <v>6498</v>
      </c>
      <c r="Q1649" s="24" t="s">
        <v>37</v>
      </c>
      <c r="R1649" s="25"/>
      <c r="S1649" s="25"/>
    </row>
    <row r="1650" ht="27" customHeight="1" spans="1:19">
      <c r="A1650" s="19" t="s">
        <v>6500</v>
      </c>
      <c r="B1650" s="20" t="s">
        <v>30</v>
      </c>
      <c r="C1650" s="20" t="s">
        <v>31</v>
      </c>
      <c r="D1650" s="20" t="s">
        <v>32</v>
      </c>
      <c r="E1650" s="21" t="s">
        <v>6423</v>
      </c>
      <c r="F1650" s="21" t="s">
        <v>6501</v>
      </c>
      <c r="G1650" s="20" t="s">
        <v>24</v>
      </c>
      <c r="H1650" s="20" t="s">
        <v>25</v>
      </c>
      <c r="I1650" s="21" t="s">
        <v>6502</v>
      </c>
      <c r="J1650" s="22">
        <f t="shared" si="125"/>
        <v>4.04722222222335</v>
      </c>
      <c r="K1650" s="22">
        <f t="shared" si="126"/>
        <v>97.1333333333605</v>
      </c>
      <c r="L1650" s="22">
        <f t="shared" si="127"/>
        <v>33.1333333333605</v>
      </c>
      <c r="M1650" s="22" cm="1">
        <f ca="1" t="array" ref="M1650">SUMPRODUCT(--(WEEKDAY(ROW(INDIRECT(INT(F1650)&amp;":"&amp;INT(I1650))),2)&gt;5))</f>
        <v>2</v>
      </c>
      <c r="N1650" s="22">
        <f ca="1" t="shared" si="128"/>
        <v>17.1333333333605</v>
      </c>
      <c r="O1650" s="22" t="str">
        <f ca="1" t="shared" si="129"/>
        <v>SLA Violated</v>
      </c>
      <c r="P1650" s="26" t="s">
        <v>6500</v>
      </c>
      <c r="Q1650" s="24" t="s">
        <v>37</v>
      </c>
      <c r="R1650" s="6" t="s">
        <v>6503</v>
      </c>
      <c r="S1650" s="25" t="s">
        <v>39</v>
      </c>
    </row>
    <row r="1651" ht="27" customHeight="1" spans="1:19">
      <c r="A1651" s="19" t="s">
        <v>6504</v>
      </c>
      <c r="B1651" s="20" t="s">
        <v>30</v>
      </c>
      <c r="C1651" s="20" t="s">
        <v>31</v>
      </c>
      <c r="D1651" s="20" t="s">
        <v>105</v>
      </c>
      <c r="E1651" s="21" t="s">
        <v>6505</v>
      </c>
      <c r="F1651" s="21" t="s">
        <v>6506</v>
      </c>
      <c r="G1651" s="20" t="s">
        <v>35</v>
      </c>
      <c r="H1651" s="20" t="s">
        <v>25</v>
      </c>
      <c r="I1651" s="21" t="s">
        <v>6507</v>
      </c>
      <c r="J1651" s="22">
        <f t="shared" si="125"/>
        <v>11.7145833333343</v>
      </c>
      <c r="K1651" s="22">
        <f t="shared" si="126"/>
        <v>281.150000000023</v>
      </c>
      <c r="L1651" s="22">
        <f t="shared" si="127"/>
        <v>89.1500000000233</v>
      </c>
      <c r="M1651" s="22" cm="1">
        <f ca="1" t="array" ref="M1651">SUMPRODUCT(--(WEEKDAY(ROW(INDIRECT(INT(F1651)&amp;":"&amp;INT(I1651))),2)&gt;5))</f>
        <v>3</v>
      </c>
      <c r="N1651" s="22">
        <f ca="1" t="shared" si="128"/>
        <v>65.1500000000233</v>
      </c>
      <c r="O1651" s="22" t="str">
        <f ca="1" t="shared" si="129"/>
        <v>SLA Violated</v>
      </c>
      <c r="P1651" s="23" t="s">
        <v>6508</v>
      </c>
      <c r="Q1651" s="24" t="s">
        <v>28</v>
      </c>
      <c r="R1651" s="25"/>
      <c r="S1651" s="25"/>
    </row>
    <row r="1652" ht="39" customHeight="1" spans="1:19">
      <c r="A1652" s="19" t="s">
        <v>6509</v>
      </c>
      <c r="B1652" s="20" t="s">
        <v>196</v>
      </c>
      <c r="C1652" s="20" t="s">
        <v>2057</v>
      </c>
      <c r="D1652" s="20" t="s">
        <v>32</v>
      </c>
      <c r="E1652" s="21" t="s">
        <v>6510</v>
      </c>
      <c r="F1652" s="21" t="s">
        <v>6511</v>
      </c>
      <c r="G1652" s="20" t="s">
        <v>35</v>
      </c>
      <c r="H1652" s="20" t="s">
        <v>25</v>
      </c>
      <c r="I1652" s="21" t="s">
        <v>6512</v>
      </c>
      <c r="J1652" s="22">
        <f t="shared" si="125"/>
        <v>7.1298611111124</v>
      </c>
      <c r="K1652" s="22">
        <f t="shared" si="126"/>
        <v>171.116666666698</v>
      </c>
      <c r="L1652" s="22">
        <f t="shared" si="127"/>
        <v>59.1166666666977</v>
      </c>
      <c r="M1652" s="22" cm="1">
        <f ca="1" t="array" ref="M1652">SUMPRODUCT(--(WEEKDAY(ROW(INDIRECT(INT(F1652)&amp;":"&amp;INT(I1652))),2)&gt;5))</f>
        <v>2</v>
      </c>
      <c r="N1652" s="22">
        <f ca="1" t="shared" si="128"/>
        <v>43.1166666666977</v>
      </c>
      <c r="O1652" s="22" t="str">
        <f ca="1" t="shared" si="129"/>
        <v>SLA Violated</v>
      </c>
      <c r="P1652" s="23" t="s">
        <v>6513</v>
      </c>
      <c r="Q1652" s="24" t="s">
        <v>37</v>
      </c>
      <c r="R1652" s="25" t="s">
        <v>6514</v>
      </c>
      <c r="S1652" s="25" t="s">
        <v>39</v>
      </c>
    </row>
    <row r="1653" ht="39" customHeight="1" spans="1:19">
      <c r="A1653" s="19" t="s">
        <v>6515</v>
      </c>
      <c r="B1653" s="20" t="s">
        <v>19</v>
      </c>
      <c r="C1653" s="20" t="s">
        <v>20</v>
      </c>
      <c r="D1653" s="20" t="s">
        <v>32</v>
      </c>
      <c r="E1653" s="21" t="s">
        <v>6516</v>
      </c>
      <c r="F1653" s="21" t="s">
        <v>6517</v>
      </c>
      <c r="G1653" s="20" t="s">
        <v>35</v>
      </c>
      <c r="H1653" s="20" t="s">
        <v>25</v>
      </c>
      <c r="I1653" s="21" t="s">
        <v>6518</v>
      </c>
      <c r="J1653" s="22">
        <f t="shared" si="125"/>
        <v>0.0159722222160781</v>
      </c>
      <c r="K1653" s="22">
        <f t="shared" si="126"/>
        <v>0.383333333185874</v>
      </c>
      <c r="L1653" s="22">
        <f t="shared" si="127"/>
        <v>0.383333333185874</v>
      </c>
      <c r="M1653" s="22" cm="1">
        <f ca="1" t="array" ref="M1653">SUMPRODUCT(--(WEEKDAY(ROW(INDIRECT(INT(F1653)&amp;":"&amp;INT(I1653))),2)&gt;5))</f>
        <v>0</v>
      </c>
      <c r="N1653" s="22">
        <f ca="1" t="shared" si="128"/>
        <v>0.383333333185874</v>
      </c>
      <c r="O1653" s="22" t="str">
        <f ca="1" t="shared" si="129"/>
        <v>Within SLA</v>
      </c>
      <c r="P1653" s="26" t="s">
        <v>6515</v>
      </c>
      <c r="Q1653" s="24" t="s">
        <v>37</v>
      </c>
      <c r="R1653" s="25"/>
      <c r="S1653" s="25"/>
    </row>
    <row r="1654" ht="27" customHeight="1" spans="1:19">
      <c r="A1654" s="19" t="s">
        <v>6519</v>
      </c>
      <c r="B1654" s="20" t="s">
        <v>30</v>
      </c>
      <c r="C1654" s="20" t="s">
        <v>849</v>
      </c>
      <c r="D1654" s="20" t="s">
        <v>32</v>
      </c>
      <c r="E1654" s="21" t="s">
        <v>6434</v>
      </c>
      <c r="F1654" s="21" t="s">
        <v>6520</v>
      </c>
      <c r="G1654" s="20" t="s">
        <v>35</v>
      </c>
      <c r="H1654" s="20" t="s">
        <v>25</v>
      </c>
      <c r="I1654" s="21" t="s">
        <v>6521</v>
      </c>
      <c r="J1654" s="22">
        <f t="shared" si="125"/>
        <v>7.19375000000582</v>
      </c>
      <c r="K1654" s="22">
        <f t="shared" si="126"/>
        <v>172.65000000014</v>
      </c>
      <c r="L1654" s="22">
        <f t="shared" si="127"/>
        <v>60.6500000001397</v>
      </c>
      <c r="M1654" s="22" cm="1">
        <f ca="1" t="array" ref="M1654">SUMPRODUCT(--(WEEKDAY(ROW(INDIRECT(INT(F1654)&amp;":"&amp;INT(I1654))),2)&gt;5))</f>
        <v>2</v>
      </c>
      <c r="N1654" s="22">
        <f ca="1" t="shared" si="128"/>
        <v>44.6500000001397</v>
      </c>
      <c r="O1654" s="22" t="str">
        <f ca="1" t="shared" si="129"/>
        <v>SLA Violated</v>
      </c>
      <c r="P1654" s="23" t="s">
        <v>6522</v>
      </c>
      <c r="Q1654" s="24" t="s">
        <v>28</v>
      </c>
      <c r="R1654" s="25"/>
      <c r="S1654" s="25"/>
    </row>
    <row r="1655" ht="27" customHeight="1" spans="1:19">
      <c r="A1655" s="19" t="s">
        <v>6523</v>
      </c>
      <c r="B1655" s="20" t="s">
        <v>30</v>
      </c>
      <c r="C1655" s="20" t="s">
        <v>849</v>
      </c>
      <c r="D1655" s="20" t="s">
        <v>32</v>
      </c>
      <c r="E1655" s="21" t="s">
        <v>6296</v>
      </c>
      <c r="F1655" s="21" t="s">
        <v>6524</v>
      </c>
      <c r="G1655" s="20" t="s">
        <v>35</v>
      </c>
      <c r="H1655" s="20" t="s">
        <v>25</v>
      </c>
      <c r="I1655" s="21" t="s">
        <v>6525</v>
      </c>
      <c r="J1655" s="22">
        <f t="shared" si="125"/>
        <v>2.89930555555475</v>
      </c>
      <c r="K1655" s="22">
        <f t="shared" si="126"/>
        <v>69.5833333333139</v>
      </c>
      <c r="L1655" s="22">
        <f t="shared" si="127"/>
        <v>21.5833333333139</v>
      </c>
      <c r="M1655" s="22" cm="1">
        <f ca="1" t="array" ref="M1655">SUMPRODUCT(--(WEEKDAY(ROW(INDIRECT(INT(F1655)&amp;":"&amp;INT(I1655))),2)&gt;5))</f>
        <v>2</v>
      </c>
      <c r="N1655" s="22">
        <f ca="1" t="shared" si="128"/>
        <v>5.5833333333139</v>
      </c>
      <c r="O1655" s="22" t="str">
        <f ca="1" t="shared" si="129"/>
        <v>Within SLA</v>
      </c>
      <c r="P1655" s="26" t="s">
        <v>6523</v>
      </c>
      <c r="Q1655" s="24" t="s">
        <v>37</v>
      </c>
      <c r="R1655" s="25"/>
      <c r="S1655" s="25"/>
    </row>
    <row r="1656" ht="27" customHeight="1" spans="1:19">
      <c r="A1656" s="19" t="s">
        <v>6526</v>
      </c>
      <c r="B1656" s="20" t="s">
        <v>30</v>
      </c>
      <c r="C1656" s="20" t="s">
        <v>849</v>
      </c>
      <c r="D1656" s="20" t="s">
        <v>21</v>
      </c>
      <c r="E1656" s="21" t="s">
        <v>6296</v>
      </c>
      <c r="F1656" s="21" t="s">
        <v>6527</v>
      </c>
      <c r="G1656" s="20" t="s">
        <v>35</v>
      </c>
      <c r="H1656" s="20" t="s">
        <v>25</v>
      </c>
      <c r="I1656" s="21" t="s">
        <v>6528</v>
      </c>
      <c r="J1656" s="22">
        <f t="shared" si="125"/>
        <v>2.89791666666133</v>
      </c>
      <c r="K1656" s="22">
        <f t="shared" si="126"/>
        <v>69.5499999998719</v>
      </c>
      <c r="L1656" s="22">
        <f t="shared" si="127"/>
        <v>21.5499999998719</v>
      </c>
      <c r="M1656" s="22" cm="1">
        <f ca="1" t="array" ref="M1656">SUMPRODUCT(--(WEEKDAY(ROW(INDIRECT(INT(F1656)&amp;":"&amp;INT(I1656))),2)&gt;5))</f>
        <v>2</v>
      </c>
      <c r="N1656" s="22">
        <f ca="1" t="shared" si="128"/>
        <v>5.5499999998719</v>
      </c>
      <c r="O1656" s="22" t="str">
        <f ca="1" t="shared" si="129"/>
        <v>SLA Violated</v>
      </c>
      <c r="P1656" s="26" t="s">
        <v>6526</v>
      </c>
      <c r="Q1656" s="24" t="s">
        <v>37</v>
      </c>
      <c r="R1656" s="6" t="s">
        <v>3288</v>
      </c>
      <c r="S1656" s="25" t="s">
        <v>39</v>
      </c>
    </row>
    <row r="1657" ht="39" customHeight="1" spans="1:19">
      <c r="A1657" s="19" t="s">
        <v>6529</v>
      </c>
      <c r="B1657" s="20" t="s">
        <v>19</v>
      </c>
      <c r="C1657" s="20" t="s">
        <v>20</v>
      </c>
      <c r="D1657" s="20" t="s">
        <v>32</v>
      </c>
      <c r="E1657" s="21" t="s">
        <v>6451</v>
      </c>
      <c r="F1657" s="21" t="s">
        <v>6530</v>
      </c>
      <c r="G1657" s="20" t="s">
        <v>35</v>
      </c>
      <c r="H1657" s="20" t="s">
        <v>25</v>
      </c>
      <c r="I1657" s="21" t="s">
        <v>6531</v>
      </c>
      <c r="J1657" s="22">
        <f t="shared" si="125"/>
        <v>0.0597222222277196</v>
      </c>
      <c r="K1657" s="22">
        <f t="shared" si="126"/>
        <v>1.43333333346527</v>
      </c>
      <c r="L1657" s="22">
        <f t="shared" si="127"/>
        <v>1.43333333346527</v>
      </c>
      <c r="M1657" s="22" cm="1">
        <f ca="1" t="array" ref="M1657">SUMPRODUCT(--(WEEKDAY(ROW(INDIRECT(INT(F1657)&amp;":"&amp;INT(I1657))),2)&gt;5))</f>
        <v>0</v>
      </c>
      <c r="N1657" s="22">
        <f ca="1" t="shared" si="128"/>
        <v>1.43333333346527</v>
      </c>
      <c r="O1657" s="22" t="str">
        <f ca="1" t="shared" si="129"/>
        <v>Within SLA</v>
      </c>
      <c r="P1657" s="26" t="s">
        <v>6529</v>
      </c>
      <c r="Q1657" s="24" t="s">
        <v>37</v>
      </c>
      <c r="R1657" s="25"/>
      <c r="S1657" s="25"/>
    </row>
    <row r="1658" ht="27" customHeight="1" spans="1:19">
      <c r="A1658" s="19" t="s">
        <v>6532</v>
      </c>
      <c r="B1658" s="20" t="s">
        <v>30</v>
      </c>
      <c r="C1658" s="20" t="s">
        <v>849</v>
      </c>
      <c r="D1658" s="20" t="s">
        <v>32</v>
      </c>
      <c r="E1658" s="21" t="s">
        <v>6533</v>
      </c>
      <c r="F1658" s="21" t="s">
        <v>6527</v>
      </c>
      <c r="G1658" s="20" t="s">
        <v>35</v>
      </c>
      <c r="H1658" s="20" t="s">
        <v>25</v>
      </c>
      <c r="I1658" s="21" t="s">
        <v>6534</v>
      </c>
      <c r="J1658" s="22">
        <f t="shared" si="125"/>
        <v>2.89652777777519</v>
      </c>
      <c r="K1658" s="22">
        <f t="shared" si="126"/>
        <v>69.5166666666046</v>
      </c>
      <c r="L1658" s="22">
        <f t="shared" si="127"/>
        <v>21.5166666666046</v>
      </c>
      <c r="M1658" s="22" cm="1">
        <f ca="1" t="array" ref="M1658">SUMPRODUCT(--(WEEKDAY(ROW(INDIRECT(INT(F1658)&amp;":"&amp;INT(I1658))),2)&gt;5))</f>
        <v>2</v>
      </c>
      <c r="N1658" s="22">
        <f ca="1" t="shared" si="128"/>
        <v>5.5166666666046</v>
      </c>
      <c r="O1658" s="22" t="str">
        <f ca="1" t="shared" si="129"/>
        <v>Within SLA</v>
      </c>
      <c r="P1658" s="26" t="s">
        <v>6532</v>
      </c>
      <c r="Q1658" s="24" t="s">
        <v>37</v>
      </c>
      <c r="R1658" s="25"/>
      <c r="S1658" s="25"/>
    </row>
    <row r="1659" ht="27" customHeight="1" spans="1:19">
      <c r="A1659" s="19" t="s">
        <v>6535</v>
      </c>
      <c r="B1659" s="20" t="s">
        <v>30</v>
      </c>
      <c r="C1659" s="20" t="s">
        <v>31</v>
      </c>
      <c r="D1659" s="20" t="s">
        <v>32</v>
      </c>
      <c r="E1659" s="21" t="s">
        <v>6536</v>
      </c>
      <c r="F1659" s="21" t="s">
        <v>6537</v>
      </c>
      <c r="G1659" s="20" t="s">
        <v>35</v>
      </c>
      <c r="H1659" s="20" t="s">
        <v>25</v>
      </c>
      <c r="I1659" s="21" t="s">
        <v>6538</v>
      </c>
      <c r="J1659" s="22">
        <f t="shared" si="125"/>
        <v>1.20624999999563</v>
      </c>
      <c r="K1659" s="22">
        <f t="shared" si="126"/>
        <v>28.9499999998952</v>
      </c>
      <c r="L1659" s="22">
        <f t="shared" si="127"/>
        <v>12.9499999998952</v>
      </c>
      <c r="M1659" s="22" cm="1">
        <f ca="1" t="array" ref="M1659">SUMPRODUCT(--(WEEKDAY(ROW(INDIRECT(INT(F1659)&amp;":"&amp;INT(I1659))),2)&gt;5))</f>
        <v>1</v>
      </c>
      <c r="N1659" s="22">
        <f ca="1" t="shared" si="128"/>
        <v>4.9499999998952</v>
      </c>
      <c r="O1659" s="22" t="str">
        <f ca="1" t="shared" si="129"/>
        <v>Within SLA</v>
      </c>
      <c r="P1659" s="26" t="s">
        <v>6535</v>
      </c>
      <c r="Q1659" s="24" t="s">
        <v>37</v>
      </c>
      <c r="R1659" s="25"/>
      <c r="S1659" s="25"/>
    </row>
    <row r="1660" ht="27" customHeight="1" spans="1:19">
      <c r="A1660" s="19" t="s">
        <v>6539</v>
      </c>
      <c r="B1660" s="20" t="s">
        <v>30</v>
      </c>
      <c r="C1660" s="20" t="s">
        <v>849</v>
      </c>
      <c r="D1660" s="20" t="s">
        <v>32</v>
      </c>
      <c r="E1660" s="21" t="s">
        <v>6536</v>
      </c>
      <c r="F1660" s="21" t="s">
        <v>6540</v>
      </c>
      <c r="G1660" s="20" t="s">
        <v>35</v>
      </c>
      <c r="H1660" s="20" t="s">
        <v>25</v>
      </c>
      <c r="I1660" s="21" t="s">
        <v>6541</v>
      </c>
      <c r="J1660" s="22">
        <f t="shared" si="125"/>
        <v>2.89444444444234</v>
      </c>
      <c r="K1660" s="22">
        <f t="shared" si="126"/>
        <v>69.4666666666162</v>
      </c>
      <c r="L1660" s="22">
        <f t="shared" si="127"/>
        <v>21.4666666666162</v>
      </c>
      <c r="M1660" s="22" cm="1">
        <f ca="1" t="array" ref="M1660">SUMPRODUCT(--(WEEKDAY(ROW(INDIRECT(INT(F1660)&amp;":"&amp;INT(I1660))),2)&gt;5))</f>
        <v>2</v>
      </c>
      <c r="N1660" s="22">
        <f ca="1" t="shared" si="128"/>
        <v>5.4666666666162</v>
      </c>
      <c r="O1660" s="22" t="str">
        <f ca="1" t="shared" si="129"/>
        <v>Within SLA</v>
      </c>
      <c r="P1660" s="26" t="s">
        <v>6539</v>
      </c>
      <c r="Q1660" s="24" t="s">
        <v>37</v>
      </c>
      <c r="R1660" s="25"/>
      <c r="S1660" s="25"/>
    </row>
    <row r="1661" ht="27" customHeight="1" spans="1:19">
      <c r="A1661" s="19" t="s">
        <v>6542</v>
      </c>
      <c r="B1661" s="20" t="s">
        <v>30</v>
      </c>
      <c r="C1661" s="20" t="s">
        <v>31</v>
      </c>
      <c r="D1661" s="20" t="s">
        <v>32</v>
      </c>
      <c r="E1661" s="21" t="s">
        <v>6536</v>
      </c>
      <c r="F1661" s="21" t="s">
        <v>6543</v>
      </c>
      <c r="G1661" s="20" t="s">
        <v>35</v>
      </c>
      <c r="H1661" s="20" t="s">
        <v>25</v>
      </c>
      <c r="I1661" s="21" t="s">
        <v>6544</v>
      </c>
      <c r="J1661" s="22">
        <f t="shared" si="125"/>
        <v>1.32291666667152</v>
      </c>
      <c r="K1661" s="22">
        <f t="shared" si="126"/>
        <v>31.7500000001164</v>
      </c>
      <c r="L1661" s="22">
        <f t="shared" si="127"/>
        <v>15.7500000001164</v>
      </c>
      <c r="M1661" s="22" cm="1">
        <f ca="1" t="array" ref="M1661">SUMPRODUCT(--(WEEKDAY(ROW(INDIRECT(INT(F1661)&amp;":"&amp;INT(I1661))),2)&gt;5))</f>
        <v>1</v>
      </c>
      <c r="N1661" s="22">
        <f ca="1" t="shared" si="128"/>
        <v>7.7500000001164</v>
      </c>
      <c r="O1661" s="22" t="str">
        <f ca="1" t="shared" si="129"/>
        <v>Within SLA</v>
      </c>
      <c r="P1661" s="26" t="s">
        <v>6542</v>
      </c>
      <c r="Q1661" s="24" t="s">
        <v>37</v>
      </c>
      <c r="R1661" s="25"/>
      <c r="S1661" s="25"/>
    </row>
    <row r="1662" ht="16" customHeight="1" spans="1:19">
      <c r="A1662" s="19" t="s">
        <v>6545</v>
      </c>
      <c r="B1662" s="20" t="s">
        <v>100</v>
      </c>
      <c r="C1662" s="20" t="s">
        <v>101</v>
      </c>
      <c r="D1662" s="20" t="s">
        <v>21</v>
      </c>
      <c r="E1662" s="21" t="s">
        <v>6546</v>
      </c>
      <c r="F1662" s="21" t="s">
        <v>6547</v>
      </c>
      <c r="G1662" s="20" t="s">
        <v>35</v>
      </c>
      <c r="H1662" s="20" t="s">
        <v>25</v>
      </c>
      <c r="I1662" s="21" t="s">
        <v>6548</v>
      </c>
      <c r="J1662" s="22">
        <f t="shared" si="125"/>
        <v>0.174305555556202</v>
      </c>
      <c r="K1662" s="22">
        <f t="shared" si="126"/>
        <v>4.18333333334886</v>
      </c>
      <c r="L1662" s="22">
        <f t="shared" si="127"/>
        <v>4.18333333334886</v>
      </c>
      <c r="M1662" s="22" cm="1">
        <f ca="1" t="array" ref="M1662">SUMPRODUCT(--(WEEKDAY(ROW(INDIRECT(INT(F1662)&amp;":"&amp;INT(I1662))),2)&gt;5))</f>
        <v>0</v>
      </c>
      <c r="N1662" s="22">
        <f ca="1" t="shared" si="128"/>
        <v>4.18333333334886</v>
      </c>
      <c r="O1662" s="22" t="str">
        <f ca="1" t="shared" si="129"/>
        <v>SLA Violated</v>
      </c>
      <c r="P1662" s="26" t="s">
        <v>6545</v>
      </c>
      <c r="Q1662" s="24" t="s">
        <v>37</v>
      </c>
      <c r="R1662" s="6" t="s">
        <v>6549</v>
      </c>
      <c r="S1662" s="25" t="s">
        <v>39</v>
      </c>
    </row>
    <row r="1663" ht="27" customHeight="1" spans="1:19">
      <c r="A1663" s="19" t="s">
        <v>6550</v>
      </c>
      <c r="B1663" s="20" t="s">
        <v>30</v>
      </c>
      <c r="C1663" s="20" t="s">
        <v>101</v>
      </c>
      <c r="D1663" s="20" t="s">
        <v>32</v>
      </c>
      <c r="E1663" s="21" t="s">
        <v>6546</v>
      </c>
      <c r="F1663" s="21" t="s">
        <v>6551</v>
      </c>
      <c r="G1663" s="20" t="s">
        <v>35</v>
      </c>
      <c r="H1663" s="20" t="s">
        <v>25</v>
      </c>
      <c r="I1663" s="21" t="s">
        <v>6552</v>
      </c>
      <c r="J1663" s="22">
        <f t="shared" si="125"/>
        <v>0.185416666667152</v>
      </c>
      <c r="K1663" s="22">
        <f t="shared" si="126"/>
        <v>4.45000000001164</v>
      </c>
      <c r="L1663" s="22">
        <f t="shared" si="127"/>
        <v>4.45000000001164</v>
      </c>
      <c r="M1663" s="22" cm="1">
        <f ca="1" t="array" ref="M1663">SUMPRODUCT(--(WEEKDAY(ROW(INDIRECT(INT(F1663)&amp;":"&amp;INT(I1663))),2)&gt;5))</f>
        <v>0</v>
      </c>
      <c r="N1663" s="22">
        <f ca="1" t="shared" si="128"/>
        <v>4.45000000001164</v>
      </c>
      <c r="O1663" s="22" t="str">
        <f ca="1" t="shared" si="129"/>
        <v>Within SLA</v>
      </c>
      <c r="P1663" s="26" t="s">
        <v>6550</v>
      </c>
      <c r="Q1663" s="24" t="s">
        <v>37</v>
      </c>
      <c r="R1663" s="25"/>
      <c r="S1663" s="25"/>
    </row>
    <row r="1664" ht="27" customHeight="1" spans="1:19">
      <c r="A1664" s="19" t="s">
        <v>6553</v>
      </c>
      <c r="B1664" s="20" t="s">
        <v>30</v>
      </c>
      <c r="C1664" s="20" t="s">
        <v>31</v>
      </c>
      <c r="D1664" s="20" t="s">
        <v>32</v>
      </c>
      <c r="E1664" s="21" t="s">
        <v>6554</v>
      </c>
      <c r="F1664" s="21" t="s">
        <v>6555</v>
      </c>
      <c r="G1664" s="20" t="s">
        <v>35</v>
      </c>
      <c r="H1664" s="20" t="s">
        <v>25</v>
      </c>
      <c r="I1664" s="21" t="s">
        <v>6556</v>
      </c>
      <c r="J1664" s="22">
        <f t="shared" si="125"/>
        <v>1.2680555555562</v>
      </c>
      <c r="K1664" s="22">
        <f t="shared" si="126"/>
        <v>30.4333333333489</v>
      </c>
      <c r="L1664" s="22">
        <f t="shared" si="127"/>
        <v>14.4333333333489</v>
      </c>
      <c r="M1664" s="22" cm="1">
        <f ca="1" t="array" ref="M1664">SUMPRODUCT(--(WEEKDAY(ROW(INDIRECT(INT(F1664)&amp;":"&amp;INT(I1664))),2)&gt;5))</f>
        <v>1</v>
      </c>
      <c r="N1664" s="22">
        <f ca="1" t="shared" si="128"/>
        <v>6.4333333333489</v>
      </c>
      <c r="O1664" s="22" t="str">
        <f ca="1" t="shared" si="129"/>
        <v>Within SLA</v>
      </c>
      <c r="P1664" s="26" t="s">
        <v>6553</v>
      </c>
      <c r="Q1664" s="24" t="s">
        <v>37</v>
      </c>
      <c r="R1664" s="25"/>
      <c r="S1664" s="25"/>
    </row>
    <row r="1665" ht="27" customHeight="1" spans="1:19">
      <c r="A1665" s="19" t="s">
        <v>6557</v>
      </c>
      <c r="B1665" s="20" t="s">
        <v>30</v>
      </c>
      <c r="C1665" s="20" t="s">
        <v>101</v>
      </c>
      <c r="D1665" s="20" t="s">
        <v>32</v>
      </c>
      <c r="E1665" s="21" t="s">
        <v>6554</v>
      </c>
      <c r="F1665" s="21" t="s">
        <v>6558</v>
      </c>
      <c r="G1665" s="20" t="s">
        <v>35</v>
      </c>
      <c r="H1665" s="20" t="s">
        <v>25</v>
      </c>
      <c r="I1665" s="21" t="s">
        <v>6559</v>
      </c>
      <c r="J1665" s="22">
        <f t="shared" si="125"/>
        <v>0.00833333333139308</v>
      </c>
      <c r="K1665" s="22">
        <f t="shared" si="126"/>
        <v>0.199999999953434</v>
      </c>
      <c r="L1665" s="22">
        <f t="shared" si="127"/>
        <v>0.199999999953434</v>
      </c>
      <c r="M1665" s="22" cm="1">
        <f ca="1" t="array" ref="M1665">SUMPRODUCT(--(WEEKDAY(ROW(INDIRECT(INT(F1665)&amp;":"&amp;INT(I1665))),2)&gt;5))</f>
        <v>0</v>
      </c>
      <c r="N1665" s="22">
        <f ca="1" t="shared" si="128"/>
        <v>0.199999999953434</v>
      </c>
      <c r="O1665" s="22" t="str">
        <f ca="1" t="shared" si="129"/>
        <v>Within SLA</v>
      </c>
      <c r="P1665" s="26" t="s">
        <v>6557</v>
      </c>
      <c r="Q1665" s="24" t="s">
        <v>37</v>
      </c>
      <c r="R1665" s="25"/>
      <c r="S1665" s="25"/>
    </row>
    <row r="1666" ht="39" customHeight="1" spans="1:19">
      <c r="A1666" s="19" t="s">
        <v>6560</v>
      </c>
      <c r="B1666" s="20" t="s">
        <v>196</v>
      </c>
      <c r="C1666" s="20" t="s">
        <v>849</v>
      </c>
      <c r="D1666" s="20" t="s">
        <v>105</v>
      </c>
      <c r="E1666" s="21" t="s">
        <v>6561</v>
      </c>
      <c r="F1666" s="21" t="s">
        <v>6562</v>
      </c>
      <c r="G1666" s="20" t="s">
        <v>35</v>
      </c>
      <c r="H1666" s="20" t="s">
        <v>25</v>
      </c>
      <c r="I1666" s="21" t="s">
        <v>6563</v>
      </c>
      <c r="J1666" s="22">
        <f t="shared" si="125"/>
        <v>7.04097222221753</v>
      </c>
      <c r="K1666" s="22">
        <f t="shared" si="126"/>
        <v>168.983333333221</v>
      </c>
      <c r="L1666" s="22">
        <f t="shared" si="127"/>
        <v>56.9833333332208</v>
      </c>
      <c r="M1666" s="22" cm="1">
        <f ca="1" t="array" ref="M1666">SUMPRODUCT(--(WEEKDAY(ROW(INDIRECT(INT(F1666)&amp;":"&amp;INT(I1666))),2)&gt;5))</f>
        <v>2</v>
      </c>
      <c r="N1666" s="22">
        <f ca="1" t="shared" si="128"/>
        <v>40.9833333332208</v>
      </c>
      <c r="O1666" s="22" t="str">
        <f ca="1" t="shared" si="129"/>
        <v>SLA Violated</v>
      </c>
      <c r="P1666" s="23" t="s">
        <v>6564</v>
      </c>
      <c r="Q1666" s="24" t="s">
        <v>28</v>
      </c>
      <c r="R1666" s="25"/>
      <c r="S1666" s="25"/>
    </row>
    <row r="1667" ht="27" customHeight="1" spans="1:19">
      <c r="A1667" s="19" t="s">
        <v>6565</v>
      </c>
      <c r="B1667" s="20" t="s">
        <v>30</v>
      </c>
      <c r="C1667" s="20" t="s">
        <v>31</v>
      </c>
      <c r="D1667" s="20" t="s">
        <v>21</v>
      </c>
      <c r="E1667" s="21" t="s">
        <v>6561</v>
      </c>
      <c r="F1667" s="21" t="s">
        <v>6566</v>
      </c>
      <c r="G1667" s="20" t="s">
        <v>35</v>
      </c>
      <c r="H1667" s="20" t="s">
        <v>25</v>
      </c>
      <c r="I1667" s="21" t="s">
        <v>6567</v>
      </c>
      <c r="J1667" s="22">
        <f t="shared" ref="J1667:J1730" si="130">F1667-I1667</f>
        <v>5.87361111111386</v>
      </c>
      <c r="K1667" s="22">
        <f t="shared" ref="K1667:K1730" si="131">J1667*24</f>
        <v>140.966666666733</v>
      </c>
      <c r="L1667" s="22">
        <f t="shared" ref="L1667:L1730" si="132">IF(_xlfn.DAYS(F1667,I1667)&gt;0,K1667-IF(FLOOR(J1667,1)=0,1,_xlfn.DAYS(F1667,I1667))*16,K1667)</f>
        <v>44.9666666667326</v>
      </c>
      <c r="M1667" s="22" cm="1">
        <f ca="1" t="array" ref="M1667">SUMPRODUCT(--(WEEKDAY(ROW(INDIRECT(INT(F1667)&amp;":"&amp;INT(I1667))),2)&gt;5))</f>
        <v>2</v>
      </c>
      <c r="N1667" s="22">
        <f ca="1" t="shared" ref="N1667:N1730" si="133">IF(IF(M1667&gt;0,L1667-M1667*8,L1667)&lt;0,0,IF(M1667&gt;0,L1667-M1667*8,L1667))</f>
        <v>28.9666666667326</v>
      </c>
      <c r="O1667" s="22" t="str">
        <f ca="1" t="shared" ref="O1667:O1730" si="134">IF(OR(AND(D1667="P1",N1667&lt;=3),AND(D1667="P2",N1667&lt;=6),AND(D1667="P3",N1667&lt;=9),AND(D1667="P4",N1667&lt;=12)),"Within SLA","SLA Violated")</f>
        <v>SLA Violated</v>
      </c>
      <c r="P1667" s="23" t="s">
        <v>6568</v>
      </c>
      <c r="Q1667" s="24" t="s">
        <v>28</v>
      </c>
      <c r="R1667" s="25"/>
      <c r="S1667" s="25"/>
    </row>
    <row r="1668" ht="27" customHeight="1" spans="1:19">
      <c r="A1668" s="19" t="s">
        <v>6569</v>
      </c>
      <c r="B1668" s="20" t="s">
        <v>30</v>
      </c>
      <c r="C1668" s="20" t="s">
        <v>31</v>
      </c>
      <c r="D1668" s="20" t="s">
        <v>32</v>
      </c>
      <c r="E1668" s="21" t="s">
        <v>6570</v>
      </c>
      <c r="F1668" s="21" t="s">
        <v>6571</v>
      </c>
      <c r="G1668" s="20" t="s">
        <v>35</v>
      </c>
      <c r="H1668" s="20" t="s">
        <v>25</v>
      </c>
      <c r="I1668" s="21" t="s">
        <v>6572</v>
      </c>
      <c r="J1668" s="22">
        <f t="shared" si="130"/>
        <v>5.91736111111095</v>
      </c>
      <c r="K1668" s="22">
        <f t="shared" si="131"/>
        <v>142.016666666663</v>
      </c>
      <c r="L1668" s="22">
        <f t="shared" si="132"/>
        <v>46.0166666666628</v>
      </c>
      <c r="M1668" s="22" cm="1">
        <f ca="1" t="array" ref="M1668">SUMPRODUCT(--(WEEKDAY(ROW(INDIRECT(INT(F1668)&amp;":"&amp;INT(I1668))),2)&gt;5))</f>
        <v>2</v>
      </c>
      <c r="N1668" s="22">
        <f ca="1" t="shared" si="133"/>
        <v>30.0166666666628</v>
      </c>
      <c r="O1668" s="22" t="str">
        <f ca="1" t="shared" si="134"/>
        <v>SLA Violated</v>
      </c>
      <c r="P1668" s="23" t="s">
        <v>6573</v>
      </c>
      <c r="Q1668" s="24" t="s">
        <v>28</v>
      </c>
      <c r="R1668" s="25"/>
      <c r="S1668" s="25"/>
    </row>
    <row r="1669" ht="27" customHeight="1" spans="1:19">
      <c r="A1669" s="19" t="s">
        <v>6574</v>
      </c>
      <c r="B1669" s="20" t="s">
        <v>30</v>
      </c>
      <c r="C1669" s="20" t="s">
        <v>863</v>
      </c>
      <c r="D1669" s="20" t="s">
        <v>32</v>
      </c>
      <c r="E1669" s="21" t="s">
        <v>6575</v>
      </c>
      <c r="F1669" s="21" t="s">
        <v>6576</v>
      </c>
      <c r="G1669" s="20" t="s">
        <v>24</v>
      </c>
      <c r="H1669" s="20" t="s">
        <v>25</v>
      </c>
      <c r="I1669" s="21" t="s">
        <v>6517</v>
      </c>
      <c r="J1669" s="22">
        <f t="shared" si="130"/>
        <v>0.0444444444510737</v>
      </c>
      <c r="K1669" s="22">
        <f t="shared" si="131"/>
        <v>1.06666666682577</v>
      </c>
      <c r="L1669" s="22">
        <f t="shared" si="132"/>
        <v>1.06666666682577</v>
      </c>
      <c r="M1669" s="22" cm="1">
        <f ca="1" t="array" ref="M1669">SUMPRODUCT(--(WEEKDAY(ROW(INDIRECT(INT(F1669)&amp;":"&amp;INT(I1669))),2)&gt;5))</f>
        <v>0</v>
      </c>
      <c r="N1669" s="22">
        <f ca="1" t="shared" si="133"/>
        <v>1.06666666682577</v>
      </c>
      <c r="O1669" s="22" t="str">
        <f ca="1" t="shared" si="134"/>
        <v>Within SLA</v>
      </c>
      <c r="P1669" s="26" t="s">
        <v>6574</v>
      </c>
      <c r="Q1669" s="24" t="s">
        <v>37</v>
      </c>
      <c r="R1669" s="25"/>
      <c r="S1669" s="25"/>
    </row>
    <row r="1670" ht="39" customHeight="1" spans="1:19">
      <c r="A1670" s="19" t="s">
        <v>6577</v>
      </c>
      <c r="B1670" s="20" t="s">
        <v>196</v>
      </c>
      <c r="C1670" s="20" t="s">
        <v>46</v>
      </c>
      <c r="D1670" s="20" t="s">
        <v>32</v>
      </c>
      <c r="E1670" s="21" t="s">
        <v>6517</v>
      </c>
      <c r="F1670" s="21" t="s">
        <v>6578</v>
      </c>
      <c r="G1670" s="20" t="s">
        <v>35</v>
      </c>
      <c r="H1670" s="20" t="s">
        <v>25</v>
      </c>
      <c r="I1670" s="21" t="s">
        <v>6579</v>
      </c>
      <c r="J1670" s="22">
        <f t="shared" si="130"/>
        <v>0.00138888889341615</v>
      </c>
      <c r="K1670" s="22">
        <f t="shared" si="131"/>
        <v>0.0333333334419876</v>
      </c>
      <c r="L1670" s="22">
        <f t="shared" si="132"/>
        <v>0.0333333334419876</v>
      </c>
      <c r="M1670" s="22" cm="1">
        <f ca="1" t="array" ref="M1670">SUMPRODUCT(--(WEEKDAY(ROW(INDIRECT(INT(F1670)&amp;":"&amp;INT(I1670))),2)&gt;5))</f>
        <v>0</v>
      </c>
      <c r="N1670" s="22">
        <f ca="1" t="shared" si="133"/>
        <v>0.0333333334419876</v>
      </c>
      <c r="O1670" s="22" t="str">
        <f ca="1" t="shared" si="134"/>
        <v>Within SLA</v>
      </c>
      <c r="P1670" s="26" t="s">
        <v>6577</v>
      </c>
      <c r="Q1670" s="24" t="s">
        <v>37</v>
      </c>
      <c r="R1670" s="25"/>
      <c r="S1670" s="25"/>
    </row>
    <row r="1671" ht="27" customHeight="1" spans="1:19">
      <c r="A1671" s="19" t="s">
        <v>6580</v>
      </c>
      <c r="B1671" s="20" t="s">
        <v>30</v>
      </c>
      <c r="C1671" s="20" t="s">
        <v>849</v>
      </c>
      <c r="D1671" s="20" t="s">
        <v>32</v>
      </c>
      <c r="E1671" s="21" t="s">
        <v>6581</v>
      </c>
      <c r="F1671" s="21" t="s">
        <v>6540</v>
      </c>
      <c r="G1671" s="20" t="s">
        <v>35</v>
      </c>
      <c r="H1671" s="20" t="s">
        <v>25</v>
      </c>
      <c r="I1671" s="21" t="s">
        <v>6582</v>
      </c>
      <c r="J1671" s="22">
        <f t="shared" si="130"/>
        <v>2.83541666666861</v>
      </c>
      <c r="K1671" s="22">
        <f t="shared" si="131"/>
        <v>68.0500000000466</v>
      </c>
      <c r="L1671" s="22">
        <f t="shared" si="132"/>
        <v>20.0500000000466</v>
      </c>
      <c r="M1671" s="22" cm="1">
        <f ca="1" t="array" ref="M1671">SUMPRODUCT(--(WEEKDAY(ROW(INDIRECT(INT(F1671)&amp;":"&amp;INT(I1671))),2)&gt;5))</f>
        <v>2</v>
      </c>
      <c r="N1671" s="22">
        <f ca="1" t="shared" si="133"/>
        <v>4.0500000000466</v>
      </c>
      <c r="O1671" s="22" t="str">
        <f ca="1" t="shared" si="134"/>
        <v>Within SLA</v>
      </c>
      <c r="P1671" s="26" t="s">
        <v>6580</v>
      </c>
      <c r="Q1671" s="24" t="s">
        <v>37</v>
      </c>
      <c r="R1671" s="25"/>
      <c r="S1671" s="25"/>
    </row>
    <row r="1672" ht="27" customHeight="1" spans="1:19">
      <c r="A1672" s="19" t="s">
        <v>6583</v>
      </c>
      <c r="B1672" s="20" t="s">
        <v>30</v>
      </c>
      <c r="C1672" s="20" t="s">
        <v>31</v>
      </c>
      <c r="D1672" s="20" t="s">
        <v>32</v>
      </c>
      <c r="E1672" s="21" t="s">
        <v>6584</v>
      </c>
      <c r="F1672" s="21" t="s">
        <v>6585</v>
      </c>
      <c r="G1672" s="20" t="s">
        <v>35</v>
      </c>
      <c r="H1672" s="20" t="s">
        <v>25</v>
      </c>
      <c r="I1672" s="21" t="s">
        <v>6586</v>
      </c>
      <c r="J1672" s="22">
        <f t="shared" si="130"/>
        <v>1.74236111110804</v>
      </c>
      <c r="K1672" s="22">
        <f t="shared" si="131"/>
        <v>41.8166666665929</v>
      </c>
      <c r="L1672" s="22">
        <f t="shared" si="132"/>
        <v>9.81666666659294</v>
      </c>
      <c r="M1672" s="22" cm="1">
        <f ca="1" t="array" ref="M1672">SUMPRODUCT(--(WEEKDAY(ROW(INDIRECT(INT(F1672)&amp;":"&amp;INT(I1672))),2)&gt;5))</f>
        <v>2</v>
      </c>
      <c r="N1672" s="22">
        <f ca="1" t="shared" si="133"/>
        <v>0</v>
      </c>
      <c r="O1672" s="22" t="str">
        <f ca="1" t="shared" si="134"/>
        <v>Within SLA</v>
      </c>
      <c r="P1672" s="26" t="s">
        <v>6583</v>
      </c>
      <c r="Q1672" s="24" t="s">
        <v>37</v>
      </c>
      <c r="R1672" s="25"/>
      <c r="S1672" s="25"/>
    </row>
    <row r="1673" ht="27" customHeight="1" spans="1:19">
      <c r="A1673" s="19" t="s">
        <v>6587</v>
      </c>
      <c r="B1673" s="20" t="s">
        <v>30</v>
      </c>
      <c r="C1673" s="20" t="s">
        <v>31</v>
      </c>
      <c r="D1673" s="20" t="s">
        <v>32</v>
      </c>
      <c r="E1673" s="21" t="s">
        <v>6588</v>
      </c>
      <c r="F1673" s="21" t="s">
        <v>6589</v>
      </c>
      <c r="G1673" s="20" t="s">
        <v>35</v>
      </c>
      <c r="H1673" s="20" t="s">
        <v>25</v>
      </c>
      <c r="I1673" s="21" t="s">
        <v>6590</v>
      </c>
      <c r="J1673" s="22">
        <f t="shared" si="130"/>
        <v>31.0743055555577</v>
      </c>
      <c r="K1673" s="22">
        <f t="shared" si="131"/>
        <v>745.783333333384</v>
      </c>
      <c r="L1673" s="22">
        <f t="shared" si="132"/>
        <v>249.783333333384</v>
      </c>
      <c r="M1673" s="22" cm="1">
        <f ca="1" t="array" ref="M1673">SUMPRODUCT(--(WEEKDAY(ROW(INDIRECT(INT(F1673)&amp;":"&amp;INT(I1673))),2)&gt;5))</f>
        <v>10</v>
      </c>
      <c r="N1673" s="22">
        <f ca="1" t="shared" si="133"/>
        <v>169.783333333384</v>
      </c>
      <c r="O1673" s="22" t="str">
        <f ca="1" t="shared" si="134"/>
        <v>SLA Violated</v>
      </c>
      <c r="P1673" s="23" t="s">
        <v>6591</v>
      </c>
      <c r="Q1673" s="24" t="s">
        <v>28</v>
      </c>
      <c r="R1673" s="25"/>
      <c r="S1673" s="25"/>
    </row>
    <row r="1674" ht="39" customHeight="1" spans="1:19">
      <c r="A1674" s="19" t="s">
        <v>6592</v>
      </c>
      <c r="B1674" s="20" t="s">
        <v>19</v>
      </c>
      <c r="C1674" s="20" t="s">
        <v>20</v>
      </c>
      <c r="D1674" s="20" t="s">
        <v>32</v>
      </c>
      <c r="E1674" s="21" t="s">
        <v>4602</v>
      </c>
      <c r="F1674" s="21" t="s">
        <v>6593</v>
      </c>
      <c r="G1674" s="20" t="s">
        <v>35</v>
      </c>
      <c r="H1674" s="20" t="s">
        <v>25</v>
      </c>
      <c r="I1674" s="21" t="s">
        <v>6594</v>
      </c>
      <c r="J1674" s="22">
        <f t="shared" si="130"/>
        <v>0.104861111110949</v>
      </c>
      <c r="K1674" s="22">
        <f t="shared" si="131"/>
        <v>2.51666666666279</v>
      </c>
      <c r="L1674" s="22">
        <f t="shared" si="132"/>
        <v>2.51666666666279</v>
      </c>
      <c r="M1674" s="22" cm="1">
        <f ca="1" t="array" ref="M1674">SUMPRODUCT(--(WEEKDAY(ROW(INDIRECT(INT(F1674)&amp;":"&amp;INT(I1674))),2)&gt;5))</f>
        <v>0</v>
      </c>
      <c r="N1674" s="22">
        <f ca="1" t="shared" si="133"/>
        <v>2.51666666666279</v>
      </c>
      <c r="O1674" s="22" t="str">
        <f ca="1" t="shared" si="134"/>
        <v>Within SLA</v>
      </c>
      <c r="P1674" s="26" t="s">
        <v>6592</v>
      </c>
      <c r="Q1674" s="24" t="s">
        <v>37</v>
      </c>
      <c r="R1674" s="25"/>
      <c r="S1674" s="25"/>
    </row>
    <row r="1675" ht="39" customHeight="1" spans="1:19">
      <c r="A1675" s="19" t="s">
        <v>6595</v>
      </c>
      <c r="B1675" s="20" t="s">
        <v>19</v>
      </c>
      <c r="C1675" s="20" t="s">
        <v>20</v>
      </c>
      <c r="D1675" s="20" t="s">
        <v>32</v>
      </c>
      <c r="E1675" s="21" t="s">
        <v>6531</v>
      </c>
      <c r="F1675" s="21" t="s">
        <v>6596</v>
      </c>
      <c r="G1675" s="20" t="s">
        <v>35</v>
      </c>
      <c r="H1675" s="20" t="s">
        <v>25</v>
      </c>
      <c r="I1675" s="21" t="s">
        <v>6597</v>
      </c>
      <c r="J1675" s="22">
        <f t="shared" si="130"/>
        <v>0.105555555557657</v>
      </c>
      <c r="K1675" s="22">
        <f t="shared" si="131"/>
        <v>2.53333333338378</v>
      </c>
      <c r="L1675" s="22">
        <f t="shared" si="132"/>
        <v>2.53333333338378</v>
      </c>
      <c r="M1675" s="22" cm="1">
        <f ca="1" t="array" ref="M1675">SUMPRODUCT(--(WEEKDAY(ROW(INDIRECT(INT(F1675)&amp;":"&amp;INT(I1675))),2)&gt;5))</f>
        <v>0</v>
      </c>
      <c r="N1675" s="22">
        <f ca="1" t="shared" si="133"/>
        <v>2.53333333338378</v>
      </c>
      <c r="O1675" s="22" t="str">
        <f ca="1" t="shared" si="134"/>
        <v>Within SLA</v>
      </c>
      <c r="P1675" s="26" t="s">
        <v>6595</v>
      </c>
      <c r="Q1675" s="24" t="s">
        <v>37</v>
      </c>
      <c r="R1675" s="25"/>
      <c r="S1675" s="25"/>
    </row>
    <row r="1676" ht="27" customHeight="1" spans="1:19">
      <c r="A1676" s="19" t="s">
        <v>6598</v>
      </c>
      <c r="B1676" s="20" t="s">
        <v>30</v>
      </c>
      <c r="C1676" s="20" t="s">
        <v>849</v>
      </c>
      <c r="D1676" s="20" t="s">
        <v>32</v>
      </c>
      <c r="E1676" s="21" t="s">
        <v>6541</v>
      </c>
      <c r="F1676" s="21" t="s">
        <v>6599</v>
      </c>
      <c r="G1676" s="20" t="s">
        <v>35</v>
      </c>
      <c r="H1676" s="20" t="s">
        <v>25</v>
      </c>
      <c r="I1676" s="21" t="s">
        <v>6600</v>
      </c>
      <c r="J1676" s="22">
        <f t="shared" si="130"/>
        <v>21.8499999999985</v>
      </c>
      <c r="K1676" s="22">
        <f t="shared" si="131"/>
        <v>524.399999999965</v>
      </c>
      <c r="L1676" s="22">
        <f t="shared" si="132"/>
        <v>172.399999999965</v>
      </c>
      <c r="M1676" s="22" cm="1">
        <f ca="1" t="array" ref="M1676">SUMPRODUCT(--(WEEKDAY(ROW(INDIRECT(INT(F1676)&amp;":"&amp;INT(I1676))),2)&gt;5))</f>
        <v>7</v>
      </c>
      <c r="N1676" s="22">
        <f ca="1" t="shared" si="133"/>
        <v>116.399999999965</v>
      </c>
      <c r="O1676" s="22" t="str">
        <f ca="1" t="shared" si="134"/>
        <v>SLA Violated</v>
      </c>
      <c r="P1676" s="23" t="s">
        <v>6601</v>
      </c>
      <c r="Q1676" s="24" t="s">
        <v>28</v>
      </c>
      <c r="R1676" s="25"/>
      <c r="S1676" s="25"/>
    </row>
    <row r="1677" ht="27" customHeight="1" spans="1:19">
      <c r="A1677" s="19" t="s">
        <v>6602</v>
      </c>
      <c r="B1677" s="20" t="s">
        <v>30</v>
      </c>
      <c r="C1677" s="20" t="s">
        <v>31</v>
      </c>
      <c r="D1677" s="20" t="s">
        <v>32</v>
      </c>
      <c r="E1677" s="21" t="s">
        <v>6603</v>
      </c>
      <c r="F1677" s="21" t="s">
        <v>6604</v>
      </c>
      <c r="G1677" s="20" t="s">
        <v>35</v>
      </c>
      <c r="H1677" s="20" t="s">
        <v>25</v>
      </c>
      <c r="I1677" s="21" t="s">
        <v>6605</v>
      </c>
      <c r="J1677" s="22">
        <f t="shared" si="130"/>
        <v>21.8479166666657</v>
      </c>
      <c r="K1677" s="22">
        <f t="shared" si="131"/>
        <v>524.349999999977</v>
      </c>
      <c r="L1677" s="22">
        <f t="shared" si="132"/>
        <v>172.349999999977</v>
      </c>
      <c r="M1677" s="22" cm="1">
        <f ca="1" t="array" ref="M1677">SUMPRODUCT(--(WEEKDAY(ROW(INDIRECT(INT(F1677)&amp;":"&amp;INT(I1677))),2)&gt;5))</f>
        <v>7</v>
      </c>
      <c r="N1677" s="22">
        <f ca="1" t="shared" si="133"/>
        <v>116.349999999977</v>
      </c>
      <c r="O1677" s="22" t="str">
        <f ca="1" t="shared" si="134"/>
        <v>SLA Violated</v>
      </c>
      <c r="P1677" s="23" t="s">
        <v>6606</v>
      </c>
      <c r="Q1677" s="24" t="s">
        <v>28</v>
      </c>
      <c r="R1677" s="25"/>
      <c r="S1677" s="25"/>
    </row>
    <row r="1678" ht="27" customHeight="1" spans="1:19">
      <c r="A1678" s="19" t="s">
        <v>6607</v>
      </c>
      <c r="B1678" s="20" t="s">
        <v>30</v>
      </c>
      <c r="C1678" s="20" t="s">
        <v>849</v>
      </c>
      <c r="D1678" s="20" t="s">
        <v>32</v>
      </c>
      <c r="E1678" s="21" t="s">
        <v>6608</v>
      </c>
      <c r="F1678" s="21" t="s">
        <v>6609</v>
      </c>
      <c r="G1678" s="20" t="s">
        <v>35</v>
      </c>
      <c r="H1678" s="20" t="s">
        <v>25</v>
      </c>
      <c r="I1678" s="21" t="s">
        <v>5952</v>
      </c>
      <c r="J1678" s="22">
        <f t="shared" si="130"/>
        <v>3.01875000000291</v>
      </c>
      <c r="K1678" s="22">
        <f t="shared" si="131"/>
        <v>72.4500000000698</v>
      </c>
      <c r="L1678" s="22">
        <f t="shared" si="132"/>
        <v>24.4500000000698</v>
      </c>
      <c r="M1678" s="22" cm="1">
        <f ca="1" t="array" ref="M1678">SUMPRODUCT(--(WEEKDAY(ROW(INDIRECT(INT(F1678)&amp;":"&amp;INT(I1678))),2)&gt;5))</f>
        <v>2</v>
      </c>
      <c r="N1678" s="22">
        <f ca="1" t="shared" si="133"/>
        <v>8.4500000000698</v>
      </c>
      <c r="O1678" s="22" t="str">
        <f ca="1" t="shared" si="134"/>
        <v>Within SLA</v>
      </c>
      <c r="P1678" s="26" t="s">
        <v>6607</v>
      </c>
      <c r="Q1678" s="24" t="s">
        <v>37</v>
      </c>
      <c r="R1678" s="25"/>
      <c r="S1678" s="25"/>
    </row>
    <row r="1679" ht="27" customHeight="1" spans="1:19">
      <c r="A1679" s="19" t="s">
        <v>6610</v>
      </c>
      <c r="B1679" s="20" t="s">
        <v>30</v>
      </c>
      <c r="C1679" s="20" t="s">
        <v>849</v>
      </c>
      <c r="D1679" s="20" t="s">
        <v>32</v>
      </c>
      <c r="E1679" s="21" t="s">
        <v>6611</v>
      </c>
      <c r="F1679" s="21" t="s">
        <v>6612</v>
      </c>
      <c r="G1679" s="20" t="s">
        <v>35</v>
      </c>
      <c r="H1679" s="20" t="s">
        <v>25</v>
      </c>
      <c r="I1679" s="21" t="s">
        <v>6613</v>
      </c>
      <c r="J1679" s="22">
        <f t="shared" si="130"/>
        <v>2.82499999999709</v>
      </c>
      <c r="K1679" s="22">
        <f t="shared" si="131"/>
        <v>67.7999999999302</v>
      </c>
      <c r="L1679" s="22">
        <f t="shared" si="132"/>
        <v>19.7999999999302</v>
      </c>
      <c r="M1679" s="22" cm="1">
        <f ca="1" t="array" ref="M1679">SUMPRODUCT(--(WEEKDAY(ROW(INDIRECT(INT(F1679)&amp;":"&amp;INT(I1679))),2)&gt;5))</f>
        <v>2</v>
      </c>
      <c r="N1679" s="22">
        <f ca="1" t="shared" si="133"/>
        <v>3.7999999999302</v>
      </c>
      <c r="O1679" s="22" t="str">
        <f ca="1" t="shared" si="134"/>
        <v>Within SLA</v>
      </c>
      <c r="P1679" s="26" t="s">
        <v>6610</v>
      </c>
      <c r="Q1679" s="24" t="s">
        <v>37</v>
      </c>
      <c r="R1679" s="25"/>
      <c r="S1679" s="25"/>
    </row>
    <row r="1680" ht="27" customHeight="1" spans="1:19">
      <c r="A1680" s="19" t="s">
        <v>6614</v>
      </c>
      <c r="B1680" s="20" t="s">
        <v>30</v>
      </c>
      <c r="C1680" s="20" t="s">
        <v>31</v>
      </c>
      <c r="D1680" s="20" t="s">
        <v>32</v>
      </c>
      <c r="E1680" s="21" t="s">
        <v>6615</v>
      </c>
      <c r="F1680" s="21" t="s">
        <v>6616</v>
      </c>
      <c r="G1680" s="20" t="s">
        <v>35</v>
      </c>
      <c r="H1680" s="20" t="s">
        <v>25</v>
      </c>
      <c r="I1680" s="21" t="s">
        <v>6617</v>
      </c>
      <c r="J1680" s="22">
        <f t="shared" si="130"/>
        <v>21.8416666666672</v>
      </c>
      <c r="K1680" s="22">
        <f t="shared" si="131"/>
        <v>524.200000000012</v>
      </c>
      <c r="L1680" s="22">
        <f t="shared" si="132"/>
        <v>172.200000000012</v>
      </c>
      <c r="M1680" s="22" cm="1">
        <f ca="1" t="array" ref="M1680">SUMPRODUCT(--(WEEKDAY(ROW(INDIRECT(INT(F1680)&amp;":"&amp;INT(I1680))),2)&gt;5))</f>
        <v>7</v>
      </c>
      <c r="N1680" s="22">
        <f ca="1" t="shared" si="133"/>
        <v>116.200000000012</v>
      </c>
      <c r="O1680" s="22" t="str">
        <f ca="1" t="shared" si="134"/>
        <v>SLA Violated</v>
      </c>
      <c r="P1680" s="23" t="s">
        <v>6618</v>
      </c>
      <c r="Q1680" s="24" t="s">
        <v>28</v>
      </c>
      <c r="R1680" s="25"/>
      <c r="S1680" s="25"/>
    </row>
    <row r="1681" ht="27" customHeight="1" spans="1:19">
      <c r="A1681" s="19" t="s">
        <v>6619</v>
      </c>
      <c r="B1681" s="20" t="s">
        <v>30</v>
      </c>
      <c r="C1681" s="20" t="s">
        <v>31</v>
      </c>
      <c r="D1681" s="20" t="s">
        <v>32</v>
      </c>
      <c r="E1681" s="21" t="s">
        <v>6615</v>
      </c>
      <c r="F1681" s="21" t="s">
        <v>6620</v>
      </c>
      <c r="G1681" s="20" t="s">
        <v>35</v>
      </c>
      <c r="H1681" s="20" t="s">
        <v>25</v>
      </c>
      <c r="I1681" s="21" t="s">
        <v>6621</v>
      </c>
      <c r="J1681" s="22">
        <f t="shared" si="130"/>
        <v>4.42083333333721</v>
      </c>
      <c r="K1681" s="22">
        <f t="shared" si="131"/>
        <v>106.100000000093</v>
      </c>
      <c r="L1681" s="22">
        <f t="shared" si="132"/>
        <v>26.1000000000931</v>
      </c>
      <c r="M1681" s="22" cm="1">
        <f ca="1" t="array" ref="M1681">SUMPRODUCT(--(WEEKDAY(ROW(INDIRECT(INT(F1681)&amp;":"&amp;INT(I1681))),2)&gt;5))</f>
        <v>2</v>
      </c>
      <c r="N1681" s="22">
        <f ca="1" t="shared" si="133"/>
        <v>10.1000000000931</v>
      </c>
      <c r="O1681" s="22" t="str">
        <f ca="1" t="shared" si="134"/>
        <v>Within SLA</v>
      </c>
      <c r="P1681" s="26" t="s">
        <v>6619</v>
      </c>
      <c r="Q1681" s="24" t="s">
        <v>37</v>
      </c>
      <c r="R1681" s="25"/>
      <c r="S1681" s="25"/>
    </row>
    <row r="1682" ht="27" customHeight="1" spans="1:19">
      <c r="A1682" s="19" t="s">
        <v>6622</v>
      </c>
      <c r="B1682" s="20" t="s">
        <v>30</v>
      </c>
      <c r="C1682" s="20" t="s">
        <v>31</v>
      </c>
      <c r="D1682" s="20" t="s">
        <v>32</v>
      </c>
      <c r="E1682" s="21" t="s">
        <v>6623</v>
      </c>
      <c r="F1682" s="21" t="s">
        <v>6624</v>
      </c>
      <c r="G1682" s="20" t="s">
        <v>35</v>
      </c>
      <c r="H1682" s="20" t="s">
        <v>25</v>
      </c>
      <c r="I1682" s="21" t="s">
        <v>6625</v>
      </c>
      <c r="J1682" s="22">
        <f t="shared" si="130"/>
        <v>21.8534722222175</v>
      </c>
      <c r="K1682" s="22">
        <f t="shared" si="131"/>
        <v>524.483333333221</v>
      </c>
      <c r="L1682" s="22">
        <f t="shared" si="132"/>
        <v>172.483333333221</v>
      </c>
      <c r="M1682" s="22" cm="1">
        <f ca="1" t="array" ref="M1682">SUMPRODUCT(--(WEEKDAY(ROW(INDIRECT(INT(F1682)&amp;":"&amp;INT(I1682))),2)&gt;5))</f>
        <v>7</v>
      </c>
      <c r="N1682" s="22">
        <f ca="1" t="shared" si="133"/>
        <v>116.483333333221</v>
      </c>
      <c r="O1682" s="22" t="str">
        <f ca="1" t="shared" si="134"/>
        <v>SLA Violated</v>
      </c>
      <c r="P1682" s="23" t="s">
        <v>6626</v>
      </c>
      <c r="Q1682" s="24" t="s">
        <v>28</v>
      </c>
      <c r="R1682" s="25"/>
      <c r="S1682" s="25"/>
    </row>
    <row r="1683" ht="27" customHeight="1" spans="1:19">
      <c r="A1683" s="19" t="s">
        <v>6627</v>
      </c>
      <c r="B1683" s="20" t="s">
        <v>30</v>
      </c>
      <c r="C1683" s="20" t="s">
        <v>31</v>
      </c>
      <c r="D1683" s="20" t="s">
        <v>32</v>
      </c>
      <c r="E1683" s="21" t="s">
        <v>6628</v>
      </c>
      <c r="F1683" s="21" t="s">
        <v>6629</v>
      </c>
      <c r="G1683" s="20" t="s">
        <v>35</v>
      </c>
      <c r="H1683" s="20" t="s">
        <v>25</v>
      </c>
      <c r="I1683" s="21" t="s">
        <v>6630</v>
      </c>
      <c r="J1683" s="22">
        <f t="shared" si="130"/>
        <v>1.24861111110658</v>
      </c>
      <c r="K1683" s="22">
        <f t="shared" si="131"/>
        <v>29.966666666558</v>
      </c>
      <c r="L1683" s="22">
        <f t="shared" si="132"/>
        <v>13.966666666558</v>
      </c>
      <c r="M1683" s="22" cm="1">
        <f ca="1" t="array" ref="M1683">SUMPRODUCT(--(WEEKDAY(ROW(INDIRECT(INT(F1683)&amp;":"&amp;INT(I1683))),2)&gt;5))</f>
        <v>1</v>
      </c>
      <c r="N1683" s="22">
        <f ca="1" t="shared" si="133"/>
        <v>5.966666666558</v>
      </c>
      <c r="O1683" s="22" t="str">
        <f ca="1" t="shared" si="134"/>
        <v>Within SLA</v>
      </c>
      <c r="P1683" s="26" t="s">
        <v>6627</v>
      </c>
      <c r="Q1683" s="24" t="s">
        <v>37</v>
      </c>
      <c r="R1683" s="25"/>
      <c r="S1683" s="25"/>
    </row>
    <row r="1684" ht="39" customHeight="1" spans="1:19">
      <c r="A1684" s="19" t="s">
        <v>6631</v>
      </c>
      <c r="B1684" s="20" t="s">
        <v>19</v>
      </c>
      <c r="C1684" s="20" t="s">
        <v>20</v>
      </c>
      <c r="D1684" s="20" t="s">
        <v>32</v>
      </c>
      <c r="E1684" s="21" t="s">
        <v>6600</v>
      </c>
      <c r="F1684" s="21" t="s">
        <v>6632</v>
      </c>
      <c r="G1684" s="20" t="s">
        <v>35</v>
      </c>
      <c r="H1684" s="20" t="s">
        <v>25</v>
      </c>
      <c r="I1684" s="21" t="s">
        <v>6633</v>
      </c>
      <c r="J1684" s="22">
        <f t="shared" si="130"/>
        <v>0.000694444446708076</v>
      </c>
      <c r="K1684" s="22">
        <f t="shared" si="131"/>
        <v>0.0166666667209938</v>
      </c>
      <c r="L1684" s="22">
        <f t="shared" si="132"/>
        <v>0.0166666667209938</v>
      </c>
      <c r="M1684" s="22" cm="1">
        <f ca="1" t="array" ref="M1684">SUMPRODUCT(--(WEEKDAY(ROW(INDIRECT(INT(F1684)&amp;":"&amp;INT(I1684))),2)&gt;5))</f>
        <v>0</v>
      </c>
      <c r="N1684" s="22">
        <f ca="1" t="shared" si="133"/>
        <v>0.0166666667209938</v>
      </c>
      <c r="O1684" s="22" t="str">
        <f ca="1" t="shared" si="134"/>
        <v>Within SLA</v>
      </c>
      <c r="P1684" s="26" t="s">
        <v>6631</v>
      </c>
      <c r="Q1684" s="24" t="s">
        <v>37</v>
      </c>
      <c r="R1684" s="25"/>
      <c r="S1684" s="25"/>
    </row>
    <row r="1685" ht="39" customHeight="1" spans="1:19">
      <c r="A1685" s="19" t="s">
        <v>6634</v>
      </c>
      <c r="B1685" s="20" t="s">
        <v>19</v>
      </c>
      <c r="C1685" s="20" t="s">
        <v>20</v>
      </c>
      <c r="D1685" s="20" t="s">
        <v>32</v>
      </c>
      <c r="E1685" s="21" t="s">
        <v>5794</v>
      </c>
      <c r="F1685" s="21" t="s">
        <v>6635</v>
      </c>
      <c r="G1685" s="20" t="s">
        <v>35</v>
      </c>
      <c r="H1685" s="20" t="s">
        <v>25</v>
      </c>
      <c r="I1685" s="21" t="s">
        <v>6636</v>
      </c>
      <c r="J1685" s="22">
        <f t="shared" si="130"/>
        <v>0.130555555559113</v>
      </c>
      <c r="K1685" s="22">
        <f t="shared" si="131"/>
        <v>3.1333333334187</v>
      </c>
      <c r="L1685" s="22">
        <f t="shared" si="132"/>
        <v>3.1333333334187</v>
      </c>
      <c r="M1685" s="22" cm="1">
        <f ca="1" t="array" ref="M1685">SUMPRODUCT(--(WEEKDAY(ROW(INDIRECT(INT(F1685)&amp;":"&amp;INT(I1685))),2)&gt;5))</f>
        <v>0</v>
      </c>
      <c r="N1685" s="22">
        <f ca="1" t="shared" si="133"/>
        <v>3.1333333334187</v>
      </c>
      <c r="O1685" s="22" t="str">
        <f ca="1" t="shared" si="134"/>
        <v>Within SLA</v>
      </c>
      <c r="P1685" s="26" t="s">
        <v>6634</v>
      </c>
      <c r="Q1685" s="24" t="s">
        <v>37</v>
      </c>
      <c r="R1685" s="25"/>
      <c r="S1685" s="25"/>
    </row>
    <row r="1686" ht="39" customHeight="1" spans="1:19">
      <c r="A1686" s="19" t="s">
        <v>6637</v>
      </c>
      <c r="B1686" s="20" t="s">
        <v>196</v>
      </c>
      <c r="C1686" s="20" t="s">
        <v>849</v>
      </c>
      <c r="D1686" s="20" t="s">
        <v>21</v>
      </c>
      <c r="E1686" s="21" t="s">
        <v>6613</v>
      </c>
      <c r="F1686" s="21" t="s">
        <v>6638</v>
      </c>
      <c r="G1686" s="20" t="s">
        <v>35</v>
      </c>
      <c r="H1686" s="20" t="s">
        <v>25</v>
      </c>
      <c r="I1686" s="21" t="s">
        <v>6639</v>
      </c>
      <c r="J1686" s="22">
        <f t="shared" si="130"/>
        <v>6.90972222221899</v>
      </c>
      <c r="K1686" s="22">
        <f t="shared" si="131"/>
        <v>165.833333333256</v>
      </c>
      <c r="L1686" s="22">
        <f t="shared" si="132"/>
        <v>53.8333333332557</v>
      </c>
      <c r="M1686" s="22" cm="1">
        <f ca="1" t="array" ref="M1686">SUMPRODUCT(--(WEEKDAY(ROW(INDIRECT(INT(F1686)&amp;":"&amp;INT(I1686))),2)&gt;5))</f>
        <v>2</v>
      </c>
      <c r="N1686" s="22">
        <f ca="1" t="shared" si="133"/>
        <v>37.8333333332557</v>
      </c>
      <c r="O1686" s="22" t="str">
        <f ca="1" t="shared" si="134"/>
        <v>SLA Violated</v>
      </c>
      <c r="P1686" s="23" t="s">
        <v>6640</v>
      </c>
      <c r="Q1686" s="24" t="s">
        <v>28</v>
      </c>
      <c r="R1686" s="25"/>
      <c r="S1686" s="25"/>
    </row>
    <row r="1687" ht="16" customHeight="1" spans="1:19">
      <c r="A1687" s="28" t="s">
        <v>6641</v>
      </c>
      <c r="B1687" s="20" t="s">
        <v>100</v>
      </c>
      <c r="C1687" s="20" t="s">
        <v>101</v>
      </c>
      <c r="D1687" s="20" t="s">
        <v>32</v>
      </c>
      <c r="E1687" s="21" t="s">
        <v>6613</v>
      </c>
      <c r="F1687" s="21" t="s">
        <v>6642</v>
      </c>
      <c r="G1687" s="20" t="s">
        <v>24</v>
      </c>
      <c r="H1687" s="20" t="s">
        <v>25</v>
      </c>
      <c r="I1687" s="21" t="s">
        <v>6643</v>
      </c>
      <c r="J1687" s="22">
        <f t="shared" si="130"/>
        <v>11.8458333333328</v>
      </c>
      <c r="K1687" s="22">
        <f t="shared" si="131"/>
        <v>284.299999999988</v>
      </c>
      <c r="L1687" s="22">
        <f t="shared" si="132"/>
        <v>92.2999999999884</v>
      </c>
      <c r="M1687" s="22" cm="1">
        <f ca="1" t="array" ref="M1687">SUMPRODUCT(--(WEEKDAY(ROW(INDIRECT(INT(F1687)&amp;":"&amp;INT(I1687))),2)&gt;5))</f>
        <v>4</v>
      </c>
      <c r="N1687" s="22">
        <f ca="1" t="shared" si="133"/>
        <v>60.2999999999884</v>
      </c>
      <c r="O1687" s="22" t="str">
        <f ca="1" t="shared" si="134"/>
        <v>SLA Violated</v>
      </c>
      <c r="P1687" s="26" t="s">
        <v>6644</v>
      </c>
      <c r="Q1687" s="24" t="s">
        <v>37</v>
      </c>
      <c r="R1687" s="25" t="s">
        <v>4407</v>
      </c>
      <c r="S1687" s="25" t="s">
        <v>39</v>
      </c>
    </row>
    <row r="1688" ht="39" customHeight="1" spans="1:19">
      <c r="A1688" s="19" t="s">
        <v>6645</v>
      </c>
      <c r="B1688" s="20" t="s">
        <v>19</v>
      </c>
      <c r="C1688" s="20" t="s">
        <v>20</v>
      </c>
      <c r="D1688" s="20" t="s">
        <v>32</v>
      </c>
      <c r="E1688" s="21" t="s">
        <v>5532</v>
      </c>
      <c r="F1688" s="21" t="s">
        <v>6646</v>
      </c>
      <c r="G1688" s="20" t="s">
        <v>35</v>
      </c>
      <c r="H1688" s="20" t="s">
        <v>25</v>
      </c>
      <c r="I1688" s="21" t="s">
        <v>6647</v>
      </c>
      <c r="J1688" s="22">
        <f t="shared" si="130"/>
        <v>0.12638888888614</v>
      </c>
      <c r="K1688" s="22">
        <f t="shared" si="131"/>
        <v>3.03333333326736</v>
      </c>
      <c r="L1688" s="22">
        <f t="shared" si="132"/>
        <v>3.03333333326736</v>
      </c>
      <c r="M1688" s="22" cm="1">
        <f ca="1" t="array" ref="M1688">SUMPRODUCT(--(WEEKDAY(ROW(INDIRECT(INT(F1688)&amp;":"&amp;INT(I1688))),2)&gt;5))</f>
        <v>0</v>
      </c>
      <c r="N1688" s="22">
        <f ca="1" t="shared" si="133"/>
        <v>3.03333333326736</v>
      </c>
      <c r="O1688" s="22" t="str">
        <f ca="1" t="shared" si="134"/>
        <v>Within SLA</v>
      </c>
      <c r="P1688" s="26" t="s">
        <v>6645</v>
      </c>
      <c r="Q1688" s="24" t="s">
        <v>37</v>
      </c>
      <c r="R1688" s="25"/>
      <c r="S1688" s="25"/>
    </row>
    <row r="1689" ht="27" customHeight="1" spans="1:19">
      <c r="A1689" s="19" t="s">
        <v>6648</v>
      </c>
      <c r="B1689" s="20" t="s">
        <v>30</v>
      </c>
      <c r="C1689" s="20" t="s">
        <v>31</v>
      </c>
      <c r="D1689" s="20" t="s">
        <v>32</v>
      </c>
      <c r="E1689" s="21" t="s">
        <v>6649</v>
      </c>
      <c r="F1689" s="21" t="s">
        <v>6650</v>
      </c>
      <c r="G1689" s="20" t="s">
        <v>35</v>
      </c>
      <c r="H1689" s="20" t="s">
        <v>25</v>
      </c>
      <c r="I1689" s="21" t="s">
        <v>6651</v>
      </c>
      <c r="J1689" s="22">
        <f t="shared" si="130"/>
        <v>1.70763888888905</v>
      </c>
      <c r="K1689" s="22">
        <f t="shared" si="131"/>
        <v>40.9833333333372</v>
      </c>
      <c r="L1689" s="22">
        <f t="shared" si="132"/>
        <v>8.98333333333721</v>
      </c>
      <c r="M1689" s="22" cm="1">
        <f ca="1" t="array" ref="M1689">SUMPRODUCT(--(WEEKDAY(ROW(INDIRECT(INT(F1689)&amp;":"&amp;INT(I1689))),2)&gt;5))</f>
        <v>2</v>
      </c>
      <c r="N1689" s="22">
        <f ca="1" t="shared" si="133"/>
        <v>0</v>
      </c>
      <c r="O1689" s="22" t="str">
        <f ca="1" t="shared" si="134"/>
        <v>Within SLA</v>
      </c>
      <c r="P1689" s="26" t="s">
        <v>6648</v>
      </c>
      <c r="Q1689" s="24" t="s">
        <v>37</v>
      </c>
      <c r="R1689" s="25"/>
      <c r="S1689" s="25"/>
    </row>
    <row r="1690" ht="39" customHeight="1" spans="1:19">
      <c r="A1690" s="19" t="s">
        <v>6652</v>
      </c>
      <c r="B1690" s="20" t="s">
        <v>19</v>
      </c>
      <c r="C1690" s="20" t="s">
        <v>20</v>
      </c>
      <c r="D1690" s="20" t="s">
        <v>32</v>
      </c>
      <c r="E1690" s="21" t="s">
        <v>6649</v>
      </c>
      <c r="F1690" s="21" t="s">
        <v>6653</v>
      </c>
      <c r="G1690" s="20" t="s">
        <v>35</v>
      </c>
      <c r="H1690" s="20" t="s">
        <v>25</v>
      </c>
      <c r="I1690" s="21" t="s">
        <v>6654</v>
      </c>
      <c r="J1690" s="22">
        <f t="shared" si="130"/>
        <v>0.110416666670062</v>
      </c>
      <c r="K1690" s="22">
        <f t="shared" si="131"/>
        <v>2.65000000008149</v>
      </c>
      <c r="L1690" s="22">
        <f t="shared" si="132"/>
        <v>2.65000000008149</v>
      </c>
      <c r="M1690" s="22" cm="1">
        <f ca="1" t="array" ref="M1690">SUMPRODUCT(--(WEEKDAY(ROW(INDIRECT(INT(F1690)&amp;":"&amp;INT(I1690))),2)&gt;5))</f>
        <v>0</v>
      </c>
      <c r="N1690" s="22">
        <f ca="1" t="shared" si="133"/>
        <v>2.65000000008149</v>
      </c>
      <c r="O1690" s="22" t="str">
        <f ca="1" t="shared" si="134"/>
        <v>Within SLA</v>
      </c>
      <c r="P1690" s="26" t="s">
        <v>6652</v>
      </c>
      <c r="Q1690" s="24" t="s">
        <v>37</v>
      </c>
      <c r="R1690" s="25"/>
      <c r="S1690" s="25"/>
    </row>
    <row r="1691" ht="39" customHeight="1" spans="1:19">
      <c r="A1691" s="19" t="s">
        <v>6655</v>
      </c>
      <c r="B1691" s="20" t="s">
        <v>19</v>
      </c>
      <c r="C1691" s="20" t="s">
        <v>20</v>
      </c>
      <c r="D1691" s="20" t="s">
        <v>32</v>
      </c>
      <c r="E1691" s="21" t="s">
        <v>6649</v>
      </c>
      <c r="F1691" s="21" t="s">
        <v>6656</v>
      </c>
      <c r="G1691" s="20" t="s">
        <v>35</v>
      </c>
      <c r="H1691" s="20" t="s">
        <v>25</v>
      </c>
      <c r="I1691" s="21" t="s">
        <v>6657</v>
      </c>
      <c r="J1691" s="22">
        <f t="shared" si="130"/>
        <v>0.104166666664241</v>
      </c>
      <c r="K1691" s="22">
        <f t="shared" si="131"/>
        <v>2.49999999994179</v>
      </c>
      <c r="L1691" s="22">
        <f t="shared" si="132"/>
        <v>2.49999999994179</v>
      </c>
      <c r="M1691" s="22" cm="1">
        <f ca="1" t="array" ref="M1691">SUMPRODUCT(--(WEEKDAY(ROW(INDIRECT(INT(F1691)&amp;":"&amp;INT(I1691))),2)&gt;5))</f>
        <v>0</v>
      </c>
      <c r="N1691" s="22">
        <f ca="1" t="shared" si="133"/>
        <v>2.49999999994179</v>
      </c>
      <c r="O1691" s="22" t="str">
        <f ca="1" t="shared" si="134"/>
        <v>Within SLA</v>
      </c>
      <c r="P1691" s="26" t="s">
        <v>6655</v>
      </c>
      <c r="Q1691" s="24" t="s">
        <v>37</v>
      </c>
      <c r="R1691" s="25"/>
      <c r="S1691" s="25"/>
    </row>
    <row r="1692" ht="39" customHeight="1" spans="1:19">
      <c r="A1692" s="19" t="s">
        <v>6658</v>
      </c>
      <c r="B1692" s="20" t="s">
        <v>19</v>
      </c>
      <c r="C1692" s="20" t="s">
        <v>20</v>
      </c>
      <c r="D1692" s="20" t="s">
        <v>32</v>
      </c>
      <c r="E1692" s="21" t="s">
        <v>6659</v>
      </c>
      <c r="F1692" s="21" t="s">
        <v>6660</v>
      </c>
      <c r="G1692" s="20" t="s">
        <v>35</v>
      </c>
      <c r="H1692" s="20" t="s">
        <v>25</v>
      </c>
      <c r="I1692" s="21" t="s">
        <v>6661</v>
      </c>
      <c r="J1692" s="22">
        <f t="shared" si="130"/>
        <v>0.00833333333139308</v>
      </c>
      <c r="K1692" s="22">
        <f t="shared" si="131"/>
        <v>0.199999999953434</v>
      </c>
      <c r="L1692" s="22">
        <f t="shared" si="132"/>
        <v>0.199999999953434</v>
      </c>
      <c r="M1692" s="22" cm="1">
        <f ca="1" t="array" ref="M1692">SUMPRODUCT(--(WEEKDAY(ROW(INDIRECT(INT(F1692)&amp;":"&amp;INT(I1692))),2)&gt;5))</f>
        <v>0</v>
      </c>
      <c r="N1692" s="22">
        <f ca="1" t="shared" si="133"/>
        <v>0.199999999953434</v>
      </c>
      <c r="O1692" s="22" t="str">
        <f ca="1" t="shared" si="134"/>
        <v>Within SLA</v>
      </c>
      <c r="P1692" s="26" t="s">
        <v>6658</v>
      </c>
      <c r="Q1692" s="24" t="s">
        <v>37</v>
      </c>
      <c r="R1692" s="25"/>
      <c r="S1692" s="25"/>
    </row>
    <row r="1693" ht="27" customHeight="1" spans="1:19">
      <c r="A1693" s="19" t="s">
        <v>6662</v>
      </c>
      <c r="B1693" s="20" t="s">
        <v>30</v>
      </c>
      <c r="C1693" s="20" t="s">
        <v>31</v>
      </c>
      <c r="D1693" s="20" t="s">
        <v>32</v>
      </c>
      <c r="E1693" s="21" t="s">
        <v>6659</v>
      </c>
      <c r="F1693" s="21" t="s">
        <v>6663</v>
      </c>
      <c r="G1693" s="20" t="s">
        <v>35</v>
      </c>
      <c r="H1693" s="20" t="s">
        <v>25</v>
      </c>
      <c r="I1693" s="21" t="s">
        <v>6219</v>
      </c>
      <c r="J1693" s="22">
        <f t="shared" si="130"/>
        <v>1.89236111110949</v>
      </c>
      <c r="K1693" s="22">
        <f t="shared" si="131"/>
        <v>45.4166666666279</v>
      </c>
      <c r="L1693" s="22">
        <f t="shared" si="132"/>
        <v>13.4166666666279</v>
      </c>
      <c r="M1693" s="22" cm="1">
        <f ca="1" t="array" ref="M1693">SUMPRODUCT(--(WEEKDAY(ROW(INDIRECT(INT(F1693)&amp;":"&amp;INT(I1693))),2)&gt;5))</f>
        <v>2</v>
      </c>
      <c r="N1693" s="22">
        <f ca="1" t="shared" si="133"/>
        <v>0</v>
      </c>
      <c r="O1693" s="22" t="str">
        <f ca="1" t="shared" si="134"/>
        <v>Within SLA</v>
      </c>
      <c r="P1693" s="26" t="s">
        <v>6662</v>
      </c>
      <c r="Q1693" s="24" t="s">
        <v>37</v>
      </c>
      <c r="R1693" s="25"/>
      <c r="S1693" s="25"/>
    </row>
    <row r="1694" ht="27" customHeight="1" spans="1:19">
      <c r="A1694" s="19" t="s">
        <v>6664</v>
      </c>
      <c r="B1694" s="20" t="s">
        <v>30</v>
      </c>
      <c r="C1694" s="20" t="s">
        <v>31</v>
      </c>
      <c r="D1694" s="20" t="s">
        <v>32</v>
      </c>
      <c r="E1694" s="21" t="s">
        <v>6665</v>
      </c>
      <c r="F1694" s="21" t="s">
        <v>6666</v>
      </c>
      <c r="G1694" s="20" t="s">
        <v>35</v>
      </c>
      <c r="H1694" s="20" t="s">
        <v>25</v>
      </c>
      <c r="I1694" s="21" t="s">
        <v>6667</v>
      </c>
      <c r="J1694" s="22">
        <f t="shared" si="130"/>
        <v>1.6826388888876</v>
      </c>
      <c r="K1694" s="22">
        <f t="shared" si="131"/>
        <v>40.3833333333023</v>
      </c>
      <c r="L1694" s="22">
        <f t="shared" si="132"/>
        <v>8.38333333330229</v>
      </c>
      <c r="M1694" s="22" cm="1">
        <f ca="1" t="array" ref="M1694">SUMPRODUCT(--(WEEKDAY(ROW(INDIRECT(INT(F1694)&amp;":"&amp;INT(I1694))),2)&gt;5))</f>
        <v>2</v>
      </c>
      <c r="N1694" s="22">
        <f ca="1" t="shared" si="133"/>
        <v>0</v>
      </c>
      <c r="O1694" s="22" t="str">
        <f ca="1" t="shared" si="134"/>
        <v>Within SLA</v>
      </c>
      <c r="P1694" s="26" t="s">
        <v>6664</v>
      </c>
      <c r="Q1694" s="24" t="s">
        <v>37</v>
      </c>
      <c r="R1694" s="25"/>
      <c r="S1694" s="25"/>
    </row>
    <row r="1695" ht="27" customHeight="1" spans="1:19">
      <c r="A1695" s="19" t="s">
        <v>6668</v>
      </c>
      <c r="B1695" s="20" t="s">
        <v>30</v>
      </c>
      <c r="C1695" s="20" t="s">
        <v>101</v>
      </c>
      <c r="D1695" s="20" t="s">
        <v>32</v>
      </c>
      <c r="E1695" s="21" t="s">
        <v>6665</v>
      </c>
      <c r="F1695" s="21" t="s">
        <v>6669</v>
      </c>
      <c r="G1695" s="20" t="s">
        <v>35</v>
      </c>
      <c r="H1695" s="20" t="s">
        <v>25</v>
      </c>
      <c r="I1695" s="21" t="s">
        <v>6670</v>
      </c>
      <c r="J1695" s="22">
        <f t="shared" si="130"/>
        <v>0.0590277777737356</v>
      </c>
      <c r="K1695" s="22">
        <f t="shared" si="131"/>
        <v>1.41666666656965</v>
      </c>
      <c r="L1695" s="22">
        <f t="shared" si="132"/>
        <v>1.41666666656965</v>
      </c>
      <c r="M1695" s="22" cm="1">
        <f ca="1" t="array" ref="M1695">SUMPRODUCT(--(WEEKDAY(ROW(INDIRECT(INT(F1695)&amp;":"&amp;INT(I1695))),2)&gt;5))</f>
        <v>0</v>
      </c>
      <c r="N1695" s="22">
        <f ca="1" t="shared" si="133"/>
        <v>1.41666666656965</v>
      </c>
      <c r="O1695" s="22" t="str">
        <f ca="1" t="shared" si="134"/>
        <v>Within SLA</v>
      </c>
      <c r="P1695" s="26" t="s">
        <v>6668</v>
      </c>
      <c r="Q1695" s="24" t="s">
        <v>37</v>
      </c>
      <c r="R1695" s="25"/>
      <c r="S1695" s="25"/>
    </row>
    <row r="1696" ht="27" customHeight="1" spans="1:19">
      <c r="A1696" s="19" t="s">
        <v>6671</v>
      </c>
      <c r="B1696" s="20" t="s">
        <v>30</v>
      </c>
      <c r="C1696" s="20" t="s">
        <v>31</v>
      </c>
      <c r="D1696" s="20" t="s">
        <v>32</v>
      </c>
      <c r="E1696" s="21" t="s">
        <v>6672</v>
      </c>
      <c r="F1696" s="21" t="s">
        <v>6673</v>
      </c>
      <c r="G1696" s="20" t="s">
        <v>35</v>
      </c>
      <c r="H1696" s="20" t="s">
        <v>25</v>
      </c>
      <c r="I1696" s="21" t="s">
        <v>6674</v>
      </c>
      <c r="J1696" s="22">
        <f t="shared" si="130"/>
        <v>2.9506944444438</v>
      </c>
      <c r="K1696" s="22">
        <f t="shared" si="131"/>
        <v>70.8166666666511</v>
      </c>
      <c r="L1696" s="22">
        <f t="shared" si="132"/>
        <v>22.8166666666511</v>
      </c>
      <c r="M1696" s="22" cm="1">
        <f ca="1" t="array" ref="M1696">SUMPRODUCT(--(WEEKDAY(ROW(INDIRECT(INT(F1696)&amp;":"&amp;INT(I1696))),2)&gt;5))</f>
        <v>2</v>
      </c>
      <c r="N1696" s="22">
        <f ca="1" t="shared" si="133"/>
        <v>6.8166666666511</v>
      </c>
      <c r="O1696" s="22" t="str">
        <f ca="1" t="shared" si="134"/>
        <v>Within SLA</v>
      </c>
      <c r="P1696" s="26" t="s">
        <v>6671</v>
      </c>
      <c r="Q1696" s="24" t="s">
        <v>37</v>
      </c>
      <c r="R1696" s="25"/>
      <c r="S1696" s="25"/>
    </row>
    <row r="1697" ht="27" customHeight="1" spans="1:19">
      <c r="A1697" s="19" t="s">
        <v>6675</v>
      </c>
      <c r="B1697" s="20" t="s">
        <v>30</v>
      </c>
      <c r="C1697" s="20" t="s">
        <v>31</v>
      </c>
      <c r="D1697" s="20" t="s">
        <v>32</v>
      </c>
      <c r="E1697" s="21" t="s">
        <v>6676</v>
      </c>
      <c r="F1697" s="21" t="s">
        <v>6677</v>
      </c>
      <c r="G1697" s="20" t="s">
        <v>35</v>
      </c>
      <c r="H1697" s="20" t="s">
        <v>25</v>
      </c>
      <c r="I1697" s="21" t="s">
        <v>6678</v>
      </c>
      <c r="J1697" s="22">
        <f t="shared" si="130"/>
        <v>21.7798611111066</v>
      </c>
      <c r="K1697" s="22">
        <f t="shared" si="131"/>
        <v>522.716666666558</v>
      </c>
      <c r="L1697" s="22">
        <f t="shared" si="132"/>
        <v>170.716666666558</v>
      </c>
      <c r="M1697" s="22" cm="1">
        <f ca="1" t="array" ref="M1697">SUMPRODUCT(--(WEEKDAY(ROW(INDIRECT(INT(F1697)&amp;":"&amp;INT(I1697))),2)&gt;5))</f>
        <v>7</v>
      </c>
      <c r="N1697" s="22">
        <f ca="1" t="shared" si="133"/>
        <v>114.716666666558</v>
      </c>
      <c r="O1697" s="22" t="str">
        <f ca="1" t="shared" si="134"/>
        <v>SLA Violated</v>
      </c>
      <c r="P1697" s="23" t="s">
        <v>6679</v>
      </c>
      <c r="Q1697" s="24" t="s">
        <v>28</v>
      </c>
      <c r="R1697" s="25"/>
      <c r="S1697" s="25"/>
    </row>
    <row r="1698" ht="27" customHeight="1" spans="1:19">
      <c r="A1698" s="19" t="s">
        <v>6680</v>
      </c>
      <c r="B1698" s="20" t="s">
        <v>30</v>
      </c>
      <c r="C1698" s="20" t="s">
        <v>31</v>
      </c>
      <c r="D1698" s="20" t="s">
        <v>32</v>
      </c>
      <c r="E1698" s="21" t="s">
        <v>6681</v>
      </c>
      <c r="F1698" s="21" t="s">
        <v>6682</v>
      </c>
      <c r="G1698" s="20" t="s">
        <v>35</v>
      </c>
      <c r="H1698" s="20" t="s">
        <v>25</v>
      </c>
      <c r="I1698" s="21" t="s">
        <v>6683</v>
      </c>
      <c r="J1698" s="22">
        <f t="shared" si="130"/>
        <v>1.89375000000291</v>
      </c>
      <c r="K1698" s="22">
        <f t="shared" si="131"/>
        <v>45.4500000000698</v>
      </c>
      <c r="L1698" s="22">
        <f t="shared" si="132"/>
        <v>13.4500000000698</v>
      </c>
      <c r="M1698" s="22" cm="1">
        <f ca="1" t="array" ref="M1698">SUMPRODUCT(--(WEEKDAY(ROW(INDIRECT(INT(F1698)&amp;":"&amp;INT(I1698))),2)&gt;5))</f>
        <v>2</v>
      </c>
      <c r="N1698" s="22">
        <f ca="1" t="shared" si="133"/>
        <v>0</v>
      </c>
      <c r="O1698" s="22" t="str">
        <f ca="1" t="shared" si="134"/>
        <v>Within SLA</v>
      </c>
      <c r="P1698" s="26" t="s">
        <v>6680</v>
      </c>
      <c r="Q1698" s="24" t="s">
        <v>37</v>
      </c>
      <c r="R1698" s="25"/>
      <c r="S1698" s="25"/>
    </row>
    <row r="1699" ht="27" customHeight="1" spans="1:19">
      <c r="A1699" s="19" t="s">
        <v>6684</v>
      </c>
      <c r="B1699" s="20" t="s">
        <v>30</v>
      </c>
      <c r="C1699" s="20" t="s">
        <v>31</v>
      </c>
      <c r="D1699" s="20" t="s">
        <v>32</v>
      </c>
      <c r="E1699" s="21" t="s">
        <v>6685</v>
      </c>
      <c r="F1699" s="21" t="s">
        <v>6686</v>
      </c>
      <c r="G1699" s="20" t="s">
        <v>35</v>
      </c>
      <c r="H1699" s="20" t="s">
        <v>25</v>
      </c>
      <c r="I1699" s="21" t="s">
        <v>6687</v>
      </c>
      <c r="J1699" s="22">
        <f t="shared" si="130"/>
        <v>1.91666666667152</v>
      </c>
      <c r="K1699" s="22">
        <f t="shared" si="131"/>
        <v>46.0000000001164</v>
      </c>
      <c r="L1699" s="22">
        <f t="shared" si="132"/>
        <v>14.0000000001164</v>
      </c>
      <c r="M1699" s="22" cm="1">
        <f ca="1" t="array" ref="M1699">SUMPRODUCT(--(WEEKDAY(ROW(INDIRECT(INT(F1699)&amp;":"&amp;INT(I1699))),2)&gt;5))</f>
        <v>2</v>
      </c>
      <c r="N1699" s="22">
        <f ca="1" t="shared" si="133"/>
        <v>0</v>
      </c>
      <c r="O1699" s="22" t="str">
        <f ca="1" t="shared" si="134"/>
        <v>Within SLA</v>
      </c>
      <c r="P1699" s="26" t="s">
        <v>6684</v>
      </c>
      <c r="Q1699" s="24" t="s">
        <v>37</v>
      </c>
      <c r="R1699" s="25"/>
      <c r="S1699" s="25"/>
    </row>
    <row r="1700" ht="27" customHeight="1" spans="1:19">
      <c r="A1700" s="19" t="s">
        <v>6688</v>
      </c>
      <c r="B1700" s="20" t="s">
        <v>30</v>
      </c>
      <c r="C1700" s="20" t="s">
        <v>31</v>
      </c>
      <c r="D1700" s="20" t="s">
        <v>32</v>
      </c>
      <c r="E1700" s="21" t="s">
        <v>6689</v>
      </c>
      <c r="F1700" s="21" t="s">
        <v>6690</v>
      </c>
      <c r="G1700" s="20" t="s">
        <v>35</v>
      </c>
      <c r="H1700" s="20" t="s">
        <v>25</v>
      </c>
      <c r="I1700" s="21" t="s">
        <v>6691</v>
      </c>
      <c r="J1700" s="22">
        <f t="shared" si="130"/>
        <v>1.9152777777781</v>
      </c>
      <c r="K1700" s="22">
        <f t="shared" si="131"/>
        <v>45.9666666666744</v>
      </c>
      <c r="L1700" s="22">
        <f t="shared" si="132"/>
        <v>13.9666666666744</v>
      </c>
      <c r="M1700" s="22" cm="1">
        <f ca="1" t="array" ref="M1700">SUMPRODUCT(--(WEEKDAY(ROW(INDIRECT(INT(F1700)&amp;":"&amp;INT(I1700))),2)&gt;5))</f>
        <v>2</v>
      </c>
      <c r="N1700" s="22">
        <f ca="1" t="shared" si="133"/>
        <v>0</v>
      </c>
      <c r="O1700" s="22" t="str">
        <f ca="1" t="shared" si="134"/>
        <v>Within SLA</v>
      </c>
      <c r="P1700" s="26" t="s">
        <v>6688</v>
      </c>
      <c r="Q1700" s="24" t="s">
        <v>37</v>
      </c>
      <c r="R1700" s="25"/>
      <c r="S1700" s="25"/>
    </row>
    <row r="1701" ht="27" customHeight="1" spans="1:19">
      <c r="A1701" s="19" t="s">
        <v>6692</v>
      </c>
      <c r="B1701" s="20" t="s">
        <v>30</v>
      </c>
      <c r="C1701" s="20" t="s">
        <v>849</v>
      </c>
      <c r="D1701" s="20" t="s">
        <v>21</v>
      </c>
      <c r="E1701" s="21" t="s">
        <v>6689</v>
      </c>
      <c r="F1701" s="21" t="s">
        <v>6693</v>
      </c>
      <c r="G1701" s="20" t="s">
        <v>35</v>
      </c>
      <c r="H1701" s="20" t="s">
        <v>25</v>
      </c>
      <c r="I1701" s="21" t="s">
        <v>6694</v>
      </c>
      <c r="J1701" s="22">
        <f t="shared" si="130"/>
        <v>3.99791666666715</v>
      </c>
      <c r="K1701" s="22">
        <f t="shared" si="131"/>
        <v>95.9500000000116</v>
      </c>
      <c r="L1701" s="22">
        <f t="shared" si="132"/>
        <v>31.9500000000116</v>
      </c>
      <c r="M1701" s="22" cm="1">
        <f ca="1" t="array" ref="M1701">SUMPRODUCT(--(WEEKDAY(ROW(INDIRECT(INT(F1701)&amp;":"&amp;INT(I1701))),2)&gt;5))</f>
        <v>2</v>
      </c>
      <c r="N1701" s="22">
        <f ca="1" t="shared" si="133"/>
        <v>15.9500000000116</v>
      </c>
      <c r="O1701" s="22" t="str">
        <f ca="1" t="shared" si="134"/>
        <v>SLA Violated</v>
      </c>
      <c r="P1701" s="23" t="s">
        <v>6695</v>
      </c>
      <c r="Q1701" s="24" t="s">
        <v>28</v>
      </c>
      <c r="R1701" s="25"/>
      <c r="S1701" s="25"/>
    </row>
    <row r="1702" ht="27" customHeight="1" spans="1:19">
      <c r="A1702" s="19" t="s">
        <v>6696</v>
      </c>
      <c r="B1702" s="20" t="s">
        <v>30</v>
      </c>
      <c r="C1702" s="20" t="s">
        <v>31</v>
      </c>
      <c r="D1702" s="20" t="s">
        <v>32</v>
      </c>
      <c r="E1702" s="21" t="s">
        <v>6689</v>
      </c>
      <c r="F1702" s="21" t="s">
        <v>6690</v>
      </c>
      <c r="G1702" s="20" t="s">
        <v>35</v>
      </c>
      <c r="H1702" s="20" t="s">
        <v>25</v>
      </c>
      <c r="I1702" s="21" t="s">
        <v>6697</v>
      </c>
      <c r="J1702" s="22">
        <f t="shared" si="130"/>
        <v>1.91388888888469</v>
      </c>
      <c r="K1702" s="22">
        <f t="shared" si="131"/>
        <v>45.9333333332324</v>
      </c>
      <c r="L1702" s="22">
        <f t="shared" si="132"/>
        <v>13.9333333332324</v>
      </c>
      <c r="M1702" s="22" cm="1">
        <f ca="1" t="array" ref="M1702">SUMPRODUCT(--(WEEKDAY(ROW(INDIRECT(INT(F1702)&amp;":"&amp;INT(I1702))),2)&gt;5))</f>
        <v>2</v>
      </c>
      <c r="N1702" s="22">
        <f ca="1" t="shared" si="133"/>
        <v>0</v>
      </c>
      <c r="O1702" s="22" t="str">
        <f ca="1" t="shared" si="134"/>
        <v>Within SLA</v>
      </c>
      <c r="P1702" s="26" t="s">
        <v>6696</v>
      </c>
      <c r="Q1702" s="24" t="s">
        <v>37</v>
      </c>
      <c r="R1702" s="25"/>
      <c r="S1702" s="25"/>
    </row>
    <row r="1703" ht="27" customHeight="1" spans="1:19">
      <c r="A1703" s="19" t="s">
        <v>6698</v>
      </c>
      <c r="B1703" s="20" t="s">
        <v>30</v>
      </c>
      <c r="C1703" s="20" t="s">
        <v>849</v>
      </c>
      <c r="D1703" s="20" t="s">
        <v>32</v>
      </c>
      <c r="E1703" s="21" t="s">
        <v>6699</v>
      </c>
      <c r="F1703" s="21" t="s">
        <v>6700</v>
      </c>
      <c r="G1703" s="20" t="s">
        <v>35</v>
      </c>
      <c r="H1703" s="20" t="s">
        <v>25</v>
      </c>
      <c r="I1703" s="21" t="s">
        <v>6701</v>
      </c>
      <c r="J1703" s="22">
        <f t="shared" si="130"/>
        <v>2.75138888889342</v>
      </c>
      <c r="K1703" s="22">
        <f t="shared" si="131"/>
        <v>66.033333333442</v>
      </c>
      <c r="L1703" s="22">
        <f t="shared" si="132"/>
        <v>18.033333333442</v>
      </c>
      <c r="M1703" s="22" cm="1">
        <f ca="1" t="array" ref="M1703">SUMPRODUCT(--(WEEKDAY(ROW(INDIRECT(INT(F1703)&amp;":"&amp;INT(I1703))),2)&gt;5))</f>
        <v>2</v>
      </c>
      <c r="N1703" s="22">
        <f ca="1" t="shared" si="133"/>
        <v>2.033333333442</v>
      </c>
      <c r="O1703" s="22" t="str">
        <f ca="1" t="shared" si="134"/>
        <v>Within SLA</v>
      </c>
      <c r="P1703" s="26" t="s">
        <v>6698</v>
      </c>
      <c r="Q1703" s="24" t="s">
        <v>37</v>
      </c>
      <c r="R1703" s="25"/>
      <c r="S1703" s="25"/>
    </row>
    <row r="1704" ht="27" customHeight="1" spans="1:19">
      <c r="A1704" s="19" t="s">
        <v>6702</v>
      </c>
      <c r="B1704" s="20" t="s">
        <v>30</v>
      </c>
      <c r="C1704" s="20" t="s">
        <v>849</v>
      </c>
      <c r="D1704" s="20" t="s">
        <v>32</v>
      </c>
      <c r="E1704" s="21" t="s">
        <v>6703</v>
      </c>
      <c r="F1704" s="21" t="s">
        <v>6704</v>
      </c>
      <c r="G1704" s="20" t="s">
        <v>35</v>
      </c>
      <c r="H1704" s="20" t="s">
        <v>25</v>
      </c>
      <c r="I1704" s="21" t="s">
        <v>6705</v>
      </c>
      <c r="J1704" s="22">
        <f t="shared" si="130"/>
        <v>23.8368055555547</v>
      </c>
      <c r="K1704" s="22">
        <f t="shared" si="131"/>
        <v>572.083333333314</v>
      </c>
      <c r="L1704" s="22">
        <f t="shared" si="132"/>
        <v>188.083333333314</v>
      </c>
      <c r="M1704" s="22" cm="1">
        <f ca="1" t="array" ref="M1704">SUMPRODUCT(--(WEEKDAY(ROW(INDIRECT(INT(F1704)&amp;":"&amp;INT(I1704))),2)&gt;5))</f>
        <v>8</v>
      </c>
      <c r="N1704" s="22">
        <f ca="1" t="shared" si="133"/>
        <v>124.083333333314</v>
      </c>
      <c r="O1704" s="22" t="str">
        <f ca="1" t="shared" si="134"/>
        <v>SLA Violated</v>
      </c>
      <c r="P1704" s="23" t="s">
        <v>6706</v>
      </c>
      <c r="Q1704" s="24" t="s">
        <v>28</v>
      </c>
      <c r="R1704" s="25"/>
      <c r="S1704" s="25"/>
    </row>
    <row r="1705" ht="27" customHeight="1" spans="1:19">
      <c r="A1705" s="19" t="s">
        <v>6707</v>
      </c>
      <c r="B1705" s="20" t="s">
        <v>30</v>
      </c>
      <c r="C1705" s="20" t="s">
        <v>31</v>
      </c>
      <c r="D1705" s="20" t="s">
        <v>21</v>
      </c>
      <c r="E1705" s="21" t="s">
        <v>6708</v>
      </c>
      <c r="F1705" s="21" t="s">
        <v>6709</v>
      </c>
      <c r="G1705" s="20" t="s">
        <v>35</v>
      </c>
      <c r="H1705" s="20" t="s">
        <v>25</v>
      </c>
      <c r="I1705" s="21" t="s">
        <v>6710</v>
      </c>
      <c r="J1705" s="22">
        <f t="shared" si="130"/>
        <v>21.7722222222219</v>
      </c>
      <c r="K1705" s="22">
        <f t="shared" si="131"/>
        <v>522.533333333326</v>
      </c>
      <c r="L1705" s="22">
        <f t="shared" si="132"/>
        <v>170.533333333326</v>
      </c>
      <c r="M1705" s="22" cm="1">
        <f ca="1" t="array" ref="M1705">SUMPRODUCT(--(WEEKDAY(ROW(INDIRECT(INT(F1705)&amp;":"&amp;INT(I1705))),2)&gt;5))</f>
        <v>7</v>
      </c>
      <c r="N1705" s="22">
        <f ca="1" t="shared" si="133"/>
        <v>114.533333333326</v>
      </c>
      <c r="O1705" s="22" t="str">
        <f ca="1" t="shared" si="134"/>
        <v>SLA Violated</v>
      </c>
      <c r="P1705" s="23" t="s">
        <v>6711</v>
      </c>
      <c r="Q1705" s="24" t="s">
        <v>28</v>
      </c>
      <c r="R1705" s="25"/>
      <c r="S1705" s="25"/>
    </row>
    <row r="1706" ht="27" customHeight="1" spans="1:19">
      <c r="A1706" s="19" t="s">
        <v>6712</v>
      </c>
      <c r="B1706" s="20" t="s">
        <v>30</v>
      </c>
      <c r="C1706" s="20" t="s">
        <v>849</v>
      </c>
      <c r="D1706" s="20" t="s">
        <v>32</v>
      </c>
      <c r="E1706" s="21" t="s">
        <v>6345</v>
      </c>
      <c r="F1706" s="21" t="s">
        <v>6700</v>
      </c>
      <c r="G1706" s="20" t="s">
        <v>35</v>
      </c>
      <c r="H1706" s="20" t="s">
        <v>25</v>
      </c>
      <c r="I1706" s="21" t="s">
        <v>6713</v>
      </c>
      <c r="J1706" s="22">
        <f t="shared" si="130"/>
        <v>2.74444444444816</v>
      </c>
      <c r="K1706" s="22">
        <f t="shared" si="131"/>
        <v>65.8666666667559</v>
      </c>
      <c r="L1706" s="22">
        <f t="shared" si="132"/>
        <v>17.8666666667559</v>
      </c>
      <c r="M1706" s="22" cm="1">
        <f ca="1" t="array" ref="M1706">SUMPRODUCT(--(WEEKDAY(ROW(INDIRECT(INT(F1706)&amp;":"&amp;INT(I1706))),2)&gt;5))</f>
        <v>2</v>
      </c>
      <c r="N1706" s="22">
        <f ca="1" t="shared" si="133"/>
        <v>1.8666666667559</v>
      </c>
      <c r="O1706" s="22" t="str">
        <f ca="1" t="shared" si="134"/>
        <v>Within SLA</v>
      </c>
      <c r="P1706" s="26" t="s">
        <v>6712</v>
      </c>
      <c r="Q1706" s="24" t="s">
        <v>37</v>
      </c>
      <c r="R1706" s="25"/>
      <c r="S1706" s="25"/>
    </row>
    <row r="1707" ht="39" customHeight="1" spans="1:19">
      <c r="A1707" s="19" t="s">
        <v>6714</v>
      </c>
      <c r="B1707" s="20" t="s">
        <v>19</v>
      </c>
      <c r="C1707" s="20" t="s">
        <v>20</v>
      </c>
      <c r="D1707" s="20" t="s">
        <v>32</v>
      </c>
      <c r="E1707" s="21" t="s">
        <v>6715</v>
      </c>
      <c r="F1707" s="21" t="s">
        <v>6716</v>
      </c>
      <c r="G1707" s="20" t="s">
        <v>35</v>
      </c>
      <c r="H1707" s="20" t="s">
        <v>25</v>
      </c>
      <c r="I1707" s="21" t="s">
        <v>6717</v>
      </c>
      <c r="J1707" s="22">
        <f t="shared" si="130"/>
        <v>0.0736111111109494</v>
      </c>
      <c r="K1707" s="22">
        <f t="shared" si="131"/>
        <v>1.76666666666279</v>
      </c>
      <c r="L1707" s="22">
        <f t="shared" si="132"/>
        <v>1.76666666666279</v>
      </c>
      <c r="M1707" s="22" cm="1">
        <f ca="1" t="array" ref="M1707">SUMPRODUCT(--(WEEKDAY(ROW(INDIRECT(INT(F1707)&amp;":"&amp;INT(I1707))),2)&gt;5))</f>
        <v>0</v>
      </c>
      <c r="N1707" s="22">
        <f ca="1" t="shared" si="133"/>
        <v>1.76666666666279</v>
      </c>
      <c r="O1707" s="22" t="str">
        <f ca="1" t="shared" si="134"/>
        <v>Within SLA</v>
      </c>
      <c r="P1707" s="26" t="s">
        <v>6714</v>
      </c>
      <c r="Q1707" s="24" t="s">
        <v>37</v>
      </c>
      <c r="R1707" s="25"/>
      <c r="S1707" s="25"/>
    </row>
    <row r="1708" ht="27" customHeight="1" spans="1:19">
      <c r="A1708" s="19" t="s">
        <v>6718</v>
      </c>
      <c r="B1708" s="20" t="s">
        <v>30</v>
      </c>
      <c r="C1708" s="20" t="s">
        <v>31</v>
      </c>
      <c r="D1708" s="20" t="s">
        <v>21</v>
      </c>
      <c r="E1708" s="21" t="s">
        <v>6719</v>
      </c>
      <c r="F1708" s="21" t="s">
        <v>6720</v>
      </c>
      <c r="G1708" s="20" t="s">
        <v>35</v>
      </c>
      <c r="H1708" s="20" t="s">
        <v>25</v>
      </c>
      <c r="I1708" s="21" t="s">
        <v>6721</v>
      </c>
      <c r="J1708" s="22">
        <f t="shared" si="130"/>
        <v>2.77847222222772</v>
      </c>
      <c r="K1708" s="22">
        <f t="shared" si="131"/>
        <v>66.6833333334653</v>
      </c>
      <c r="L1708" s="22">
        <f t="shared" si="132"/>
        <v>18.6833333334653</v>
      </c>
      <c r="M1708" s="22" cm="1">
        <f ca="1" t="array" ref="M1708">SUMPRODUCT(--(WEEKDAY(ROW(INDIRECT(INT(F1708)&amp;":"&amp;INT(I1708))),2)&gt;5))</f>
        <v>2</v>
      </c>
      <c r="N1708" s="22">
        <f ca="1" t="shared" si="133"/>
        <v>2.6833333334653</v>
      </c>
      <c r="O1708" s="22" t="str">
        <f ca="1" t="shared" si="134"/>
        <v>Within SLA</v>
      </c>
      <c r="P1708" s="26" t="s">
        <v>6718</v>
      </c>
      <c r="Q1708" s="24" t="s">
        <v>37</v>
      </c>
      <c r="R1708" s="25"/>
      <c r="S1708" s="25"/>
    </row>
    <row r="1709" ht="39" customHeight="1" spans="1:19">
      <c r="A1709" s="19" t="s">
        <v>6722</v>
      </c>
      <c r="B1709" s="20" t="s">
        <v>19</v>
      </c>
      <c r="C1709" s="20" t="s">
        <v>20</v>
      </c>
      <c r="D1709" s="20" t="s">
        <v>32</v>
      </c>
      <c r="E1709" s="21" t="s">
        <v>6723</v>
      </c>
      <c r="F1709" s="21" t="s">
        <v>3417</v>
      </c>
      <c r="G1709" s="20" t="s">
        <v>35</v>
      </c>
      <c r="H1709" s="20" t="s">
        <v>25</v>
      </c>
      <c r="I1709" s="21" t="s">
        <v>6724</v>
      </c>
      <c r="J1709" s="22">
        <f t="shared" si="130"/>
        <v>0.0513888888890506</v>
      </c>
      <c r="K1709" s="22">
        <f t="shared" si="131"/>
        <v>1.23333333333721</v>
      </c>
      <c r="L1709" s="22">
        <f t="shared" si="132"/>
        <v>1.23333333333721</v>
      </c>
      <c r="M1709" s="22" cm="1">
        <f ca="1" t="array" ref="M1709">SUMPRODUCT(--(WEEKDAY(ROW(INDIRECT(INT(F1709)&amp;":"&amp;INT(I1709))),2)&gt;5))</f>
        <v>0</v>
      </c>
      <c r="N1709" s="22">
        <f ca="1" t="shared" si="133"/>
        <v>1.23333333333721</v>
      </c>
      <c r="O1709" s="22" t="str">
        <f ca="1" t="shared" si="134"/>
        <v>Within SLA</v>
      </c>
      <c r="P1709" s="26" t="s">
        <v>6722</v>
      </c>
      <c r="Q1709" s="24" t="s">
        <v>37</v>
      </c>
      <c r="R1709" s="25"/>
      <c r="S1709" s="25"/>
    </row>
    <row r="1710" ht="27" customHeight="1" spans="1:19">
      <c r="A1710" s="19" t="s">
        <v>6725</v>
      </c>
      <c r="B1710" s="20" t="s">
        <v>30</v>
      </c>
      <c r="C1710" s="20" t="s">
        <v>31</v>
      </c>
      <c r="D1710" s="20" t="s">
        <v>32</v>
      </c>
      <c r="E1710" s="21" t="s">
        <v>6726</v>
      </c>
      <c r="F1710" s="21" t="s">
        <v>6727</v>
      </c>
      <c r="G1710" s="20" t="s">
        <v>24</v>
      </c>
      <c r="H1710" s="20" t="s">
        <v>25</v>
      </c>
      <c r="I1710" s="21" t="s">
        <v>6728</v>
      </c>
      <c r="J1710" s="22">
        <f t="shared" si="130"/>
        <v>3.76111111111095</v>
      </c>
      <c r="K1710" s="22">
        <f t="shared" si="131"/>
        <v>90.2666666666628</v>
      </c>
      <c r="L1710" s="22">
        <f t="shared" si="132"/>
        <v>26.2666666666628</v>
      </c>
      <c r="M1710" s="22" cm="1">
        <f ca="1" t="array" ref="M1710">SUMPRODUCT(--(WEEKDAY(ROW(INDIRECT(INT(F1710)&amp;":"&amp;INT(I1710))),2)&gt;5))</f>
        <v>2</v>
      </c>
      <c r="N1710" s="22">
        <f ca="1" t="shared" si="133"/>
        <v>10.2666666666628</v>
      </c>
      <c r="O1710" s="22" t="str">
        <f ca="1" t="shared" si="134"/>
        <v>Within SLA</v>
      </c>
      <c r="P1710" s="26" t="s">
        <v>6725</v>
      </c>
      <c r="Q1710" s="24" t="s">
        <v>37</v>
      </c>
      <c r="R1710" s="25"/>
      <c r="S1710" s="25"/>
    </row>
    <row r="1711" ht="39" customHeight="1" spans="1:19">
      <c r="A1711" s="19" t="s">
        <v>6729</v>
      </c>
      <c r="B1711" s="20" t="s">
        <v>19</v>
      </c>
      <c r="C1711" s="20" t="s">
        <v>20</v>
      </c>
      <c r="D1711" s="20" t="s">
        <v>32</v>
      </c>
      <c r="E1711" s="21" t="s">
        <v>6726</v>
      </c>
      <c r="F1711" s="21" t="s">
        <v>6730</v>
      </c>
      <c r="G1711" s="20" t="s">
        <v>35</v>
      </c>
      <c r="H1711" s="20" t="s">
        <v>25</v>
      </c>
      <c r="I1711" s="21" t="s">
        <v>6731</v>
      </c>
      <c r="J1711" s="22">
        <f t="shared" si="130"/>
        <v>2.83819444444816</v>
      </c>
      <c r="K1711" s="22">
        <f t="shared" si="131"/>
        <v>68.1166666667559</v>
      </c>
      <c r="L1711" s="22">
        <f t="shared" si="132"/>
        <v>20.1166666667559</v>
      </c>
      <c r="M1711" s="22" cm="1">
        <f ca="1" t="array" ref="M1711">SUMPRODUCT(--(WEEKDAY(ROW(INDIRECT(INT(F1711)&amp;":"&amp;INT(I1711))),2)&gt;5))</f>
        <v>2</v>
      </c>
      <c r="N1711" s="22">
        <f ca="1" t="shared" si="133"/>
        <v>4.1166666667559</v>
      </c>
      <c r="O1711" s="22" t="str">
        <f ca="1" t="shared" si="134"/>
        <v>Within SLA</v>
      </c>
      <c r="P1711" s="26" t="s">
        <v>6729</v>
      </c>
      <c r="Q1711" s="24" t="s">
        <v>37</v>
      </c>
      <c r="R1711" s="25"/>
      <c r="S1711" s="25"/>
    </row>
    <row r="1712" ht="27" customHeight="1" spans="1:19">
      <c r="A1712" s="19" t="s">
        <v>6732</v>
      </c>
      <c r="B1712" s="20" t="s">
        <v>30</v>
      </c>
      <c r="C1712" s="20" t="s">
        <v>31</v>
      </c>
      <c r="D1712" s="20" t="s">
        <v>32</v>
      </c>
      <c r="E1712" s="21" t="s">
        <v>6733</v>
      </c>
      <c r="F1712" s="21" t="s">
        <v>6624</v>
      </c>
      <c r="G1712" s="20" t="s">
        <v>35</v>
      </c>
      <c r="H1712" s="20" t="s">
        <v>25</v>
      </c>
      <c r="I1712" s="21" t="s">
        <v>6734</v>
      </c>
      <c r="J1712" s="22">
        <f t="shared" si="130"/>
        <v>21.7722222222219</v>
      </c>
      <c r="K1712" s="22">
        <f t="shared" si="131"/>
        <v>522.533333333326</v>
      </c>
      <c r="L1712" s="22">
        <f t="shared" si="132"/>
        <v>170.533333333326</v>
      </c>
      <c r="M1712" s="22" cm="1">
        <f ca="1" t="array" ref="M1712">SUMPRODUCT(--(WEEKDAY(ROW(INDIRECT(INT(F1712)&amp;":"&amp;INT(I1712))),2)&gt;5))</f>
        <v>7</v>
      </c>
      <c r="N1712" s="22">
        <f ca="1" t="shared" si="133"/>
        <v>114.533333333326</v>
      </c>
      <c r="O1712" s="22" t="str">
        <f ca="1" t="shared" si="134"/>
        <v>SLA Violated</v>
      </c>
      <c r="P1712" s="23" t="s">
        <v>6735</v>
      </c>
      <c r="Q1712" s="24" t="s">
        <v>28</v>
      </c>
      <c r="R1712" s="25"/>
      <c r="S1712" s="25"/>
    </row>
    <row r="1713" ht="27" customHeight="1" spans="1:19">
      <c r="A1713" s="19" t="s">
        <v>6736</v>
      </c>
      <c r="B1713" s="20" t="s">
        <v>30</v>
      </c>
      <c r="C1713" s="20" t="s">
        <v>849</v>
      </c>
      <c r="D1713" s="20" t="s">
        <v>32</v>
      </c>
      <c r="E1713" s="21" t="s">
        <v>6737</v>
      </c>
      <c r="F1713" s="21" t="s">
        <v>6738</v>
      </c>
      <c r="G1713" s="20" t="s">
        <v>35</v>
      </c>
      <c r="H1713" s="20" t="s">
        <v>25</v>
      </c>
      <c r="I1713" s="21" t="s">
        <v>6739</v>
      </c>
      <c r="J1713" s="22">
        <f t="shared" si="130"/>
        <v>2.72638888889196</v>
      </c>
      <c r="K1713" s="22">
        <f t="shared" si="131"/>
        <v>65.4333333334071</v>
      </c>
      <c r="L1713" s="22">
        <f t="shared" si="132"/>
        <v>17.4333333334071</v>
      </c>
      <c r="M1713" s="22" cm="1">
        <f ca="1" t="array" ref="M1713">SUMPRODUCT(--(WEEKDAY(ROW(INDIRECT(INT(F1713)&amp;":"&amp;INT(I1713))),2)&gt;5))</f>
        <v>2</v>
      </c>
      <c r="N1713" s="22">
        <f ca="1" t="shared" si="133"/>
        <v>1.4333333334071</v>
      </c>
      <c r="O1713" s="22" t="str">
        <f ca="1" t="shared" si="134"/>
        <v>Within SLA</v>
      </c>
      <c r="P1713" s="26" t="s">
        <v>6736</v>
      </c>
      <c r="Q1713" s="24" t="s">
        <v>37</v>
      </c>
      <c r="R1713" s="25"/>
      <c r="S1713" s="25"/>
    </row>
    <row r="1714" ht="39" customHeight="1" spans="1:19">
      <c r="A1714" s="19" t="s">
        <v>6740</v>
      </c>
      <c r="B1714" s="20" t="s">
        <v>19</v>
      </c>
      <c r="C1714" s="20" t="s">
        <v>20</v>
      </c>
      <c r="D1714" s="20" t="s">
        <v>32</v>
      </c>
      <c r="E1714" s="21" t="s">
        <v>6741</v>
      </c>
      <c r="F1714" s="21" t="s">
        <v>6742</v>
      </c>
      <c r="G1714" s="20" t="s">
        <v>35</v>
      </c>
      <c r="H1714" s="20" t="s">
        <v>25</v>
      </c>
      <c r="I1714" s="21" t="s">
        <v>6743</v>
      </c>
      <c r="J1714" s="22">
        <f t="shared" si="130"/>
        <v>3.70347222222335</v>
      </c>
      <c r="K1714" s="22">
        <f t="shared" si="131"/>
        <v>88.8833333333605</v>
      </c>
      <c r="L1714" s="22">
        <f t="shared" si="132"/>
        <v>24.8833333333605</v>
      </c>
      <c r="M1714" s="22" cm="1">
        <f ca="1" t="array" ref="M1714">SUMPRODUCT(--(WEEKDAY(ROW(INDIRECT(INT(F1714)&amp;":"&amp;INT(I1714))),2)&gt;5))</f>
        <v>2</v>
      </c>
      <c r="N1714" s="22">
        <f ca="1" t="shared" si="133"/>
        <v>8.8833333333605</v>
      </c>
      <c r="O1714" s="22" t="str">
        <f ca="1" t="shared" si="134"/>
        <v>Within SLA</v>
      </c>
      <c r="P1714" s="26" t="s">
        <v>6740</v>
      </c>
      <c r="Q1714" s="24" t="s">
        <v>37</v>
      </c>
      <c r="R1714" s="25"/>
      <c r="S1714" s="25"/>
    </row>
    <row r="1715" ht="27" customHeight="1" spans="1:19">
      <c r="A1715" s="19" t="s">
        <v>6744</v>
      </c>
      <c r="B1715" s="20" t="s">
        <v>121</v>
      </c>
      <c r="C1715" s="20" t="s">
        <v>849</v>
      </c>
      <c r="D1715" s="20" t="s">
        <v>21</v>
      </c>
      <c r="E1715" s="21" t="s">
        <v>6741</v>
      </c>
      <c r="F1715" s="21" t="s">
        <v>6745</v>
      </c>
      <c r="G1715" s="20" t="s">
        <v>35</v>
      </c>
      <c r="H1715" s="20" t="s">
        <v>25</v>
      </c>
      <c r="I1715" s="21" t="s">
        <v>6746</v>
      </c>
      <c r="J1715" s="22">
        <f t="shared" si="130"/>
        <v>5.06041666666715</v>
      </c>
      <c r="K1715" s="22">
        <f t="shared" si="131"/>
        <v>121.450000000012</v>
      </c>
      <c r="L1715" s="22">
        <f t="shared" si="132"/>
        <v>41.4500000000116</v>
      </c>
      <c r="M1715" s="22" cm="1">
        <f ca="1" t="array" ref="M1715">SUMPRODUCT(--(WEEKDAY(ROW(INDIRECT(INT(F1715)&amp;":"&amp;INT(I1715))),2)&gt;5))</f>
        <v>2</v>
      </c>
      <c r="N1715" s="22">
        <f ca="1" t="shared" si="133"/>
        <v>25.4500000000116</v>
      </c>
      <c r="O1715" s="22" t="str">
        <f ca="1" t="shared" si="134"/>
        <v>SLA Violated</v>
      </c>
      <c r="P1715" s="23" t="s">
        <v>6747</v>
      </c>
      <c r="Q1715" s="24" t="s">
        <v>28</v>
      </c>
      <c r="R1715" s="25"/>
      <c r="S1715" s="25"/>
    </row>
    <row r="1716" ht="27" customHeight="1" spans="1:19">
      <c r="A1716" s="19" t="s">
        <v>6748</v>
      </c>
      <c r="B1716" s="20" t="s">
        <v>30</v>
      </c>
      <c r="C1716" s="20" t="s">
        <v>31</v>
      </c>
      <c r="D1716" s="20" t="s">
        <v>32</v>
      </c>
      <c r="E1716" s="21" t="s">
        <v>6749</v>
      </c>
      <c r="F1716" s="21" t="s">
        <v>6750</v>
      </c>
      <c r="G1716" s="20" t="s">
        <v>35</v>
      </c>
      <c r="H1716" s="20" t="s">
        <v>25</v>
      </c>
      <c r="I1716" s="21" t="s">
        <v>6751</v>
      </c>
      <c r="J1716" s="22">
        <f t="shared" si="130"/>
        <v>2.18541666666715</v>
      </c>
      <c r="K1716" s="22">
        <f t="shared" si="131"/>
        <v>52.4500000000116</v>
      </c>
      <c r="L1716" s="22">
        <f t="shared" si="132"/>
        <v>20.4500000000116</v>
      </c>
      <c r="M1716" s="22" cm="1">
        <f ca="1" t="array" ref="M1716">SUMPRODUCT(--(WEEKDAY(ROW(INDIRECT(INT(F1716)&amp;":"&amp;INT(I1716))),2)&gt;5))</f>
        <v>2</v>
      </c>
      <c r="N1716" s="22">
        <f ca="1" t="shared" si="133"/>
        <v>4.4500000000116</v>
      </c>
      <c r="O1716" s="22" t="str">
        <f ca="1" t="shared" si="134"/>
        <v>Within SLA</v>
      </c>
      <c r="P1716" s="26" t="s">
        <v>6748</v>
      </c>
      <c r="Q1716" s="24" t="s">
        <v>37</v>
      </c>
      <c r="R1716" s="25"/>
      <c r="S1716" s="25"/>
    </row>
    <row r="1717" ht="39" customHeight="1" spans="1:19">
      <c r="A1717" s="19" t="s">
        <v>6752</v>
      </c>
      <c r="B1717" s="20" t="s">
        <v>19</v>
      </c>
      <c r="C1717" s="20" t="s">
        <v>20</v>
      </c>
      <c r="D1717" s="20" t="s">
        <v>32</v>
      </c>
      <c r="E1717" s="21" t="s">
        <v>6199</v>
      </c>
      <c r="F1717" s="21" t="s">
        <v>6753</v>
      </c>
      <c r="G1717" s="20" t="s">
        <v>35</v>
      </c>
      <c r="H1717" s="20" t="s">
        <v>25</v>
      </c>
      <c r="I1717" s="21" t="s">
        <v>6754</v>
      </c>
      <c r="J1717" s="22">
        <f t="shared" si="130"/>
        <v>2.92013888888323</v>
      </c>
      <c r="K1717" s="22">
        <f t="shared" si="131"/>
        <v>70.0833333331975</v>
      </c>
      <c r="L1717" s="22">
        <f t="shared" si="132"/>
        <v>22.0833333331975</v>
      </c>
      <c r="M1717" s="22" cm="1">
        <f ca="1" t="array" ref="M1717">SUMPRODUCT(--(WEEKDAY(ROW(INDIRECT(INT(F1717)&amp;":"&amp;INT(I1717))),2)&gt;5))</f>
        <v>2</v>
      </c>
      <c r="N1717" s="22">
        <f ca="1" t="shared" si="133"/>
        <v>6.0833333331975</v>
      </c>
      <c r="O1717" s="22" t="str">
        <f ca="1" t="shared" si="134"/>
        <v>Within SLA</v>
      </c>
      <c r="P1717" s="26" t="s">
        <v>6752</v>
      </c>
      <c r="Q1717" s="24" t="s">
        <v>37</v>
      </c>
      <c r="R1717" s="25"/>
      <c r="S1717" s="25"/>
    </row>
    <row r="1718" ht="27" customHeight="1" spans="1:19">
      <c r="A1718" s="19" t="s">
        <v>6755</v>
      </c>
      <c r="B1718" s="20" t="s">
        <v>30</v>
      </c>
      <c r="C1718" s="20" t="s">
        <v>101</v>
      </c>
      <c r="D1718" s="20" t="s">
        <v>32</v>
      </c>
      <c r="E1718" s="21" t="s">
        <v>6756</v>
      </c>
      <c r="F1718" s="21" t="s">
        <v>6757</v>
      </c>
      <c r="G1718" s="20" t="s">
        <v>35</v>
      </c>
      <c r="H1718" s="20" t="s">
        <v>25</v>
      </c>
      <c r="I1718" s="21" t="s">
        <v>6758</v>
      </c>
      <c r="J1718" s="22">
        <f t="shared" si="130"/>
        <v>2.8881944444438</v>
      </c>
      <c r="K1718" s="22">
        <f t="shared" si="131"/>
        <v>69.3166666666511</v>
      </c>
      <c r="L1718" s="22">
        <f t="shared" si="132"/>
        <v>21.3166666666511</v>
      </c>
      <c r="M1718" s="22" cm="1">
        <f ca="1" t="array" ref="M1718">SUMPRODUCT(--(WEEKDAY(ROW(INDIRECT(INT(F1718)&amp;":"&amp;INT(I1718))),2)&gt;5))</f>
        <v>2</v>
      </c>
      <c r="N1718" s="22">
        <f ca="1" t="shared" si="133"/>
        <v>5.3166666666511</v>
      </c>
      <c r="O1718" s="22" t="str">
        <f ca="1" t="shared" si="134"/>
        <v>Within SLA</v>
      </c>
      <c r="P1718" s="26" t="s">
        <v>6755</v>
      </c>
      <c r="Q1718" s="24" t="s">
        <v>37</v>
      </c>
      <c r="R1718" s="25"/>
      <c r="S1718" s="25"/>
    </row>
    <row r="1719" ht="27" customHeight="1" spans="1:19">
      <c r="A1719" s="19" t="s">
        <v>6759</v>
      </c>
      <c r="B1719" s="20" t="s">
        <v>30</v>
      </c>
      <c r="C1719" s="20" t="s">
        <v>849</v>
      </c>
      <c r="D1719" s="20" t="s">
        <v>32</v>
      </c>
      <c r="E1719" s="21" t="s">
        <v>6760</v>
      </c>
      <c r="F1719" s="21" t="s">
        <v>6738</v>
      </c>
      <c r="G1719" s="20" t="s">
        <v>35</v>
      </c>
      <c r="H1719" s="20" t="s">
        <v>25</v>
      </c>
      <c r="I1719" s="21" t="s">
        <v>6761</v>
      </c>
      <c r="J1719" s="22">
        <f t="shared" si="130"/>
        <v>2.66666666666424</v>
      </c>
      <c r="K1719" s="22">
        <f t="shared" si="131"/>
        <v>63.9999999999418</v>
      </c>
      <c r="L1719" s="22">
        <f t="shared" si="132"/>
        <v>15.9999999999418</v>
      </c>
      <c r="M1719" s="22" cm="1">
        <f ca="1" t="array" ref="M1719">SUMPRODUCT(--(WEEKDAY(ROW(INDIRECT(INT(F1719)&amp;":"&amp;INT(I1719))),2)&gt;5))</f>
        <v>2</v>
      </c>
      <c r="N1719" s="22">
        <f ca="1" t="shared" si="133"/>
        <v>0</v>
      </c>
      <c r="O1719" s="22" t="str">
        <f ca="1" t="shared" si="134"/>
        <v>Within SLA</v>
      </c>
      <c r="P1719" s="26" t="s">
        <v>6759</v>
      </c>
      <c r="Q1719" s="24" t="s">
        <v>37</v>
      </c>
      <c r="R1719" s="25"/>
      <c r="S1719" s="25"/>
    </row>
    <row r="1720" ht="16" customHeight="1" spans="1:19">
      <c r="A1720" s="28" t="s">
        <v>6762</v>
      </c>
      <c r="B1720" s="20" t="s">
        <v>45</v>
      </c>
      <c r="C1720" s="20" t="s">
        <v>20</v>
      </c>
      <c r="D1720" s="20" t="s">
        <v>21</v>
      </c>
      <c r="E1720" s="21" t="s">
        <v>6760</v>
      </c>
      <c r="F1720" s="21" t="s">
        <v>6763</v>
      </c>
      <c r="G1720" s="20" t="s">
        <v>35</v>
      </c>
      <c r="H1720" s="20" t="s">
        <v>25</v>
      </c>
      <c r="I1720" s="21" t="s">
        <v>6761</v>
      </c>
      <c r="J1720" s="22">
        <f t="shared" si="130"/>
        <v>2.75694444444525</v>
      </c>
      <c r="K1720" s="22">
        <f t="shared" si="131"/>
        <v>66.1666666666861</v>
      </c>
      <c r="L1720" s="22">
        <f t="shared" si="132"/>
        <v>18.1666666666861</v>
      </c>
      <c r="M1720" s="22" cm="1">
        <f ca="1" t="array" ref="M1720">SUMPRODUCT(--(WEEKDAY(ROW(INDIRECT(INT(F1720)&amp;":"&amp;INT(I1720))),2)&gt;5))</f>
        <v>2</v>
      </c>
      <c r="N1720" s="22">
        <f ca="1" t="shared" si="133"/>
        <v>2.1666666666861</v>
      </c>
      <c r="O1720" s="22" t="str">
        <f ca="1" t="shared" si="134"/>
        <v>Within SLA</v>
      </c>
      <c r="P1720" s="26" t="s">
        <v>6764</v>
      </c>
      <c r="Q1720" s="24" t="s">
        <v>37</v>
      </c>
      <c r="R1720" s="25"/>
      <c r="S1720" s="25"/>
    </row>
    <row r="1721" ht="39" customHeight="1" spans="1:19">
      <c r="A1721" s="19" t="s">
        <v>6765</v>
      </c>
      <c r="B1721" s="20" t="s">
        <v>19</v>
      </c>
      <c r="C1721" s="20" t="s">
        <v>20</v>
      </c>
      <c r="D1721" s="20" t="s">
        <v>32</v>
      </c>
      <c r="E1721" s="21" t="s">
        <v>6760</v>
      </c>
      <c r="F1721" s="21" t="s">
        <v>6766</v>
      </c>
      <c r="G1721" s="20" t="s">
        <v>24</v>
      </c>
      <c r="H1721" s="20" t="s">
        <v>25</v>
      </c>
      <c r="I1721" s="21" t="s">
        <v>6767</v>
      </c>
      <c r="J1721" s="22">
        <f t="shared" si="130"/>
        <v>4.84305555556057</v>
      </c>
      <c r="K1721" s="22">
        <f t="shared" si="131"/>
        <v>116.233333333454</v>
      </c>
      <c r="L1721" s="22">
        <f t="shared" si="132"/>
        <v>36.2333333334536</v>
      </c>
      <c r="M1721" s="22" cm="1">
        <f ca="1" t="array" ref="M1721">SUMPRODUCT(--(WEEKDAY(ROW(INDIRECT(INT(F1721)&amp;":"&amp;INT(I1721))),2)&gt;5))</f>
        <v>2</v>
      </c>
      <c r="N1721" s="22">
        <f ca="1" t="shared" si="133"/>
        <v>20.2333333334536</v>
      </c>
      <c r="O1721" s="22" t="str">
        <f ca="1" t="shared" si="134"/>
        <v>SLA Violated</v>
      </c>
      <c r="P1721" s="23" t="s">
        <v>6768</v>
      </c>
      <c r="Q1721" s="24" t="s">
        <v>28</v>
      </c>
      <c r="R1721" s="25"/>
      <c r="S1721" s="25"/>
    </row>
    <row r="1722" ht="39" customHeight="1" spans="1:19">
      <c r="A1722" s="19" t="s">
        <v>6769</v>
      </c>
      <c r="B1722" s="20" t="s">
        <v>19</v>
      </c>
      <c r="C1722" s="20" t="s">
        <v>20</v>
      </c>
      <c r="D1722" s="20" t="s">
        <v>105</v>
      </c>
      <c r="E1722" s="21" t="s">
        <v>4325</v>
      </c>
      <c r="F1722" s="21" t="s">
        <v>6770</v>
      </c>
      <c r="G1722" s="20" t="s">
        <v>35</v>
      </c>
      <c r="H1722" s="20" t="s">
        <v>25</v>
      </c>
      <c r="I1722" s="21" t="s">
        <v>6771</v>
      </c>
      <c r="J1722" s="22">
        <f t="shared" si="130"/>
        <v>2.05000000000291</v>
      </c>
      <c r="K1722" s="22">
        <f t="shared" si="131"/>
        <v>49.2000000000698</v>
      </c>
      <c r="L1722" s="22">
        <f t="shared" si="132"/>
        <v>17.2000000000698</v>
      </c>
      <c r="M1722" s="22" cm="1">
        <f ca="1" t="array" ref="M1722">SUMPRODUCT(--(WEEKDAY(ROW(INDIRECT(INT(F1722)&amp;":"&amp;INT(I1722))),2)&gt;5))</f>
        <v>0</v>
      </c>
      <c r="N1722" s="22">
        <f ca="1" t="shared" si="133"/>
        <v>17.2000000000698</v>
      </c>
      <c r="O1722" s="22" t="str">
        <f ca="1" t="shared" si="134"/>
        <v>SLA Violated</v>
      </c>
      <c r="P1722" s="23" t="s">
        <v>6772</v>
      </c>
      <c r="Q1722" s="24" t="s">
        <v>28</v>
      </c>
      <c r="R1722" s="25"/>
      <c r="S1722" s="25"/>
    </row>
    <row r="1723" ht="27" customHeight="1" spans="1:19">
      <c r="A1723" s="19" t="s">
        <v>6773</v>
      </c>
      <c r="B1723" s="20" t="s">
        <v>30</v>
      </c>
      <c r="C1723" s="20" t="s">
        <v>849</v>
      </c>
      <c r="D1723" s="20" t="s">
        <v>32</v>
      </c>
      <c r="E1723" s="21" t="s">
        <v>6774</v>
      </c>
      <c r="F1723" s="21" t="s">
        <v>6775</v>
      </c>
      <c r="G1723" s="20" t="s">
        <v>35</v>
      </c>
      <c r="H1723" s="20" t="s">
        <v>25</v>
      </c>
      <c r="I1723" s="21" t="s">
        <v>6776</v>
      </c>
      <c r="J1723" s="22">
        <f t="shared" si="130"/>
        <v>2.67152777777665</v>
      </c>
      <c r="K1723" s="22">
        <f t="shared" si="131"/>
        <v>64.1166666666395</v>
      </c>
      <c r="L1723" s="22">
        <f t="shared" si="132"/>
        <v>16.1166666666395</v>
      </c>
      <c r="M1723" s="22" cm="1">
        <f ca="1" t="array" ref="M1723">SUMPRODUCT(--(WEEKDAY(ROW(INDIRECT(INT(F1723)&amp;":"&amp;INT(I1723))),2)&gt;5))</f>
        <v>2</v>
      </c>
      <c r="N1723" s="22">
        <f ca="1" t="shared" si="133"/>
        <v>0.1166666666395</v>
      </c>
      <c r="O1723" s="22" t="str">
        <f ca="1" t="shared" si="134"/>
        <v>Within SLA</v>
      </c>
      <c r="P1723" s="26" t="s">
        <v>6773</v>
      </c>
      <c r="Q1723" s="24" t="s">
        <v>37</v>
      </c>
      <c r="R1723" s="25"/>
      <c r="S1723" s="25"/>
    </row>
    <row r="1724" ht="39" customHeight="1" spans="1:19">
      <c r="A1724" s="19" t="s">
        <v>6777</v>
      </c>
      <c r="B1724" s="20" t="s">
        <v>19</v>
      </c>
      <c r="C1724" s="20" t="s">
        <v>20</v>
      </c>
      <c r="D1724" s="20" t="s">
        <v>105</v>
      </c>
      <c r="E1724" s="21" t="s">
        <v>6778</v>
      </c>
      <c r="F1724" s="21" t="s">
        <v>6779</v>
      </c>
      <c r="G1724" s="20" t="s">
        <v>35</v>
      </c>
      <c r="H1724" s="20" t="s">
        <v>25</v>
      </c>
      <c r="I1724" s="21" t="s">
        <v>6780</v>
      </c>
      <c r="J1724" s="22">
        <f t="shared" si="130"/>
        <v>1.03819444444525</v>
      </c>
      <c r="K1724" s="22">
        <f t="shared" si="131"/>
        <v>24.9166666666861</v>
      </c>
      <c r="L1724" s="22">
        <f t="shared" si="132"/>
        <v>8.91666666668607</v>
      </c>
      <c r="M1724" s="22" cm="1">
        <f ca="1" t="array" ref="M1724">SUMPRODUCT(--(WEEKDAY(ROW(INDIRECT(INT(F1724)&amp;":"&amp;INT(I1724))),2)&gt;5))</f>
        <v>0</v>
      </c>
      <c r="N1724" s="22">
        <f ca="1" t="shared" si="133"/>
        <v>8.91666666668607</v>
      </c>
      <c r="O1724" s="22" t="str">
        <f ca="1" t="shared" si="134"/>
        <v>SLA Violated</v>
      </c>
      <c r="P1724" s="23" t="s">
        <v>6781</v>
      </c>
      <c r="Q1724" s="24" t="s">
        <v>28</v>
      </c>
      <c r="R1724" s="25"/>
      <c r="S1724" s="25"/>
    </row>
    <row r="1725" ht="27" customHeight="1" spans="1:19">
      <c r="A1725" s="19" t="s">
        <v>6782</v>
      </c>
      <c r="B1725" s="20" t="s">
        <v>30</v>
      </c>
      <c r="C1725" s="20" t="s">
        <v>849</v>
      </c>
      <c r="D1725" s="20" t="s">
        <v>21</v>
      </c>
      <c r="E1725" s="21" t="s">
        <v>6783</v>
      </c>
      <c r="F1725" s="21" t="s">
        <v>6784</v>
      </c>
      <c r="G1725" s="20" t="s">
        <v>35</v>
      </c>
      <c r="H1725" s="20" t="s">
        <v>25</v>
      </c>
      <c r="I1725" s="21" t="s">
        <v>6785</v>
      </c>
      <c r="J1725" s="22">
        <f t="shared" si="130"/>
        <v>9.01527777777665</v>
      </c>
      <c r="K1725" s="22">
        <f t="shared" si="131"/>
        <v>216.36666666664</v>
      </c>
      <c r="L1725" s="22">
        <f t="shared" si="132"/>
        <v>72.3666666666395</v>
      </c>
      <c r="M1725" s="22" cm="1">
        <f ca="1" t="array" ref="M1725">SUMPRODUCT(--(WEEKDAY(ROW(INDIRECT(INT(F1725)&amp;":"&amp;INT(I1725))),2)&gt;5))</f>
        <v>2</v>
      </c>
      <c r="N1725" s="22">
        <f ca="1" t="shared" si="133"/>
        <v>56.3666666666395</v>
      </c>
      <c r="O1725" s="22" t="str">
        <f ca="1" t="shared" si="134"/>
        <v>SLA Violated</v>
      </c>
      <c r="P1725" s="23" t="s">
        <v>6786</v>
      </c>
      <c r="Q1725" s="24" t="s">
        <v>28</v>
      </c>
      <c r="R1725" s="25"/>
      <c r="S1725" s="25"/>
    </row>
    <row r="1726" ht="27" customHeight="1" spans="1:19">
      <c r="A1726" s="19" t="s">
        <v>6787</v>
      </c>
      <c r="B1726" s="20" t="s">
        <v>30</v>
      </c>
      <c r="C1726" s="20" t="s">
        <v>31</v>
      </c>
      <c r="D1726" s="20" t="s">
        <v>105</v>
      </c>
      <c r="E1726" s="21" t="s">
        <v>6788</v>
      </c>
      <c r="F1726" s="21" t="s">
        <v>6789</v>
      </c>
      <c r="G1726" s="20" t="s">
        <v>35</v>
      </c>
      <c r="H1726" s="20" t="s">
        <v>25</v>
      </c>
      <c r="I1726" s="21" t="s">
        <v>6790</v>
      </c>
      <c r="J1726" s="22">
        <f t="shared" si="130"/>
        <v>14.2256944444453</v>
      </c>
      <c r="K1726" s="22">
        <f t="shared" si="131"/>
        <v>341.416666666686</v>
      </c>
      <c r="L1726" s="22">
        <f t="shared" si="132"/>
        <v>117.416666666686</v>
      </c>
      <c r="M1726" s="22" cm="1">
        <f ca="1" t="array" ref="M1726">SUMPRODUCT(--(WEEKDAY(ROW(INDIRECT(INT(F1726)&amp;":"&amp;INT(I1726))),2)&gt;5))</f>
        <v>4</v>
      </c>
      <c r="N1726" s="22">
        <f ca="1" t="shared" si="133"/>
        <v>85.416666666686</v>
      </c>
      <c r="O1726" s="22" t="str">
        <f ca="1" t="shared" si="134"/>
        <v>SLA Violated</v>
      </c>
      <c r="P1726" s="23" t="s">
        <v>6791</v>
      </c>
      <c r="Q1726" s="24" t="s">
        <v>28</v>
      </c>
      <c r="R1726" s="25"/>
      <c r="S1726" s="25"/>
    </row>
    <row r="1727" ht="39" customHeight="1" spans="1:19">
      <c r="A1727" s="19" t="s">
        <v>6792</v>
      </c>
      <c r="B1727" s="20" t="s">
        <v>19</v>
      </c>
      <c r="C1727" s="20" t="s">
        <v>20</v>
      </c>
      <c r="D1727" s="20" t="s">
        <v>32</v>
      </c>
      <c r="E1727" s="21" t="s">
        <v>6788</v>
      </c>
      <c r="F1727" s="21" t="s">
        <v>6793</v>
      </c>
      <c r="G1727" s="20" t="s">
        <v>35</v>
      </c>
      <c r="H1727" s="20" t="s">
        <v>25</v>
      </c>
      <c r="I1727" s="21" t="s">
        <v>6794</v>
      </c>
      <c r="J1727" s="22">
        <f t="shared" si="130"/>
        <v>1.13263888889196</v>
      </c>
      <c r="K1727" s="22">
        <f t="shared" si="131"/>
        <v>27.1833333334071</v>
      </c>
      <c r="L1727" s="22">
        <f t="shared" si="132"/>
        <v>11.1833333334071</v>
      </c>
      <c r="M1727" s="22" cm="1">
        <f ca="1" t="array" ref="M1727">SUMPRODUCT(--(WEEKDAY(ROW(INDIRECT(INT(F1727)&amp;":"&amp;INT(I1727))),2)&gt;5))</f>
        <v>0</v>
      </c>
      <c r="N1727" s="22">
        <f ca="1" t="shared" si="133"/>
        <v>11.1833333334071</v>
      </c>
      <c r="O1727" s="22" t="str">
        <f ca="1" t="shared" si="134"/>
        <v>Within SLA</v>
      </c>
      <c r="P1727" s="26" t="s">
        <v>6792</v>
      </c>
      <c r="Q1727" s="24" t="s">
        <v>37</v>
      </c>
      <c r="R1727" s="25"/>
      <c r="S1727" s="25"/>
    </row>
    <row r="1728" ht="27" customHeight="1" spans="1:19">
      <c r="A1728" s="19" t="s">
        <v>6795</v>
      </c>
      <c r="B1728" s="20" t="s">
        <v>30</v>
      </c>
      <c r="C1728" s="20" t="s">
        <v>849</v>
      </c>
      <c r="D1728" s="20" t="s">
        <v>32</v>
      </c>
      <c r="E1728" s="21" t="s">
        <v>6796</v>
      </c>
      <c r="F1728" s="21" t="s">
        <v>6797</v>
      </c>
      <c r="G1728" s="20" t="s">
        <v>35</v>
      </c>
      <c r="H1728" s="20" t="s">
        <v>25</v>
      </c>
      <c r="I1728" s="21" t="s">
        <v>6798</v>
      </c>
      <c r="J1728" s="22">
        <f t="shared" si="130"/>
        <v>0.000694444439432118</v>
      </c>
      <c r="K1728" s="22">
        <f t="shared" si="131"/>
        <v>0.0166666665463708</v>
      </c>
      <c r="L1728" s="22">
        <f t="shared" si="132"/>
        <v>0.0166666665463708</v>
      </c>
      <c r="M1728" s="22" cm="1">
        <f ca="1" t="array" ref="M1728">SUMPRODUCT(--(WEEKDAY(ROW(INDIRECT(INT(F1728)&amp;":"&amp;INT(I1728))),2)&gt;5))</f>
        <v>0</v>
      </c>
      <c r="N1728" s="22">
        <f ca="1" t="shared" si="133"/>
        <v>0.0166666665463708</v>
      </c>
      <c r="O1728" s="22" t="str">
        <f ca="1" t="shared" si="134"/>
        <v>Within SLA</v>
      </c>
      <c r="P1728" s="26" t="s">
        <v>6795</v>
      </c>
      <c r="Q1728" s="24" t="s">
        <v>37</v>
      </c>
      <c r="R1728" s="25"/>
      <c r="S1728" s="25"/>
    </row>
    <row r="1729" ht="27" customHeight="1" spans="1:19">
      <c r="A1729" s="19" t="s">
        <v>6799</v>
      </c>
      <c r="B1729" s="20" t="s">
        <v>30</v>
      </c>
      <c r="C1729" s="20" t="s">
        <v>849</v>
      </c>
      <c r="D1729" s="20" t="s">
        <v>32</v>
      </c>
      <c r="E1729" s="21" t="s">
        <v>6800</v>
      </c>
      <c r="F1729" s="21" t="s">
        <v>6801</v>
      </c>
      <c r="G1729" s="20" t="s">
        <v>35</v>
      </c>
      <c r="H1729" s="20" t="s">
        <v>25</v>
      </c>
      <c r="I1729" s="21" t="s">
        <v>6802</v>
      </c>
      <c r="J1729" s="22">
        <f t="shared" si="130"/>
        <v>0.000694444446708076</v>
      </c>
      <c r="K1729" s="22">
        <f t="shared" si="131"/>
        <v>0.0166666667209938</v>
      </c>
      <c r="L1729" s="22">
        <f t="shared" si="132"/>
        <v>0.0166666667209938</v>
      </c>
      <c r="M1729" s="22" cm="1">
        <f ca="1" t="array" ref="M1729">SUMPRODUCT(--(WEEKDAY(ROW(INDIRECT(INT(F1729)&amp;":"&amp;INT(I1729))),2)&gt;5))</f>
        <v>0</v>
      </c>
      <c r="N1729" s="22">
        <f ca="1" t="shared" si="133"/>
        <v>0.0166666667209938</v>
      </c>
      <c r="O1729" s="22" t="str">
        <f ca="1" t="shared" si="134"/>
        <v>Within SLA</v>
      </c>
      <c r="P1729" s="26" t="s">
        <v>6799</v>
      </c>
      <c r="Q1729" s="24" t="s">
        <v>37</v>
      </c>
      <c r="R1729" s="25"/>
      <c r="S1729" s="25"/>
    </row>
    <row r="1730" ht="27" customHeight="1" spans="1:19">
      <c r="A1730" s="19" t="s">
        <v>6803</v>
      </c>
      <c r="B1730" s="20" t="s">
        <v>30</v>
      </c>
      <c r="C1730" s="20" t="s">
        <v>849</v>
      </c>
      <c r="D1730" s="20" t="s">
        <v>32</v>
      </c>
      <c r="E1730" s="21" t="s">
        <v>6804</v>
      </c>
      <c r="F1730" s="21" t="s">
        <v>6805</v>
      </c>
      <c r="G1730" s="20" t="s">
        <v>35</v>
      </c>
      <c r="H1730" s="20" t="s">
        <v>25</v>
      </c>
      <c r="I1730" s="21" t="s">
        <v>6806</v>
      </c>
      <c r="J1730" s="22">
        <f t="shared" si="130"/>
        <v>0.000694444439432118</v>
      </c>
      <c r="K1730" s="22">
        <f t="shared" si="131"/>
        <v>0.0166666665463708</v>
      </c>
      <c r="L1730" s="22">
        <f t="shared" si="132"/>
        <v>0.0166666665463708</v>
      </c>
      <c r="M1730" s="22" cm="1">
        <f ca="1" t="array" ref="M1730">SUMPRODUCT(--(WEEKDAY(ROW(INDIRECT(INT(F1730)&amp;":"&amp;INT(I1730))),2)&gt;5))</f>
        <v>0</v>
      </c>
      <c r="N1730" s="22">
        <f ca="1" t="shared" si="133"/>
        <v>0.0166666665463708</v>
      </c>
      <c r="O1730" s="22" t="str">
        <f ca="1" t="shared" si="134"/>
        <v>Within SLA</v>
      </c>
      <c r="P1730" s="26" t="s">
        <v>6803</v>
      </c>
      <c r="Q1730" s="24" t="s">
        <v>37</v>
      </c>
      <c r="R1730" s="25"/>
      <c r="S1730" s="25"/>
    </row>
    <row r="1731" ht="27" customHeight="1" spans="1:19">
      <c r="A1731" s="19" t="s">
        <v>6807</v>
      </c>
      <c r="B1731" s="20" t="s">
        <v>30</v>
      </c>
      <c r="C1731" s="20" t="s">
        <v>31</v>
      </c>
      <c r="D1731" s="20" t="s">
        <v>32</v>
      </c>
      <c r="E1731" s="21" t="s">
        <v>6808</v>
      </c>
      <c r="F1731" s="21" t="s">
        <v>6809</v>
      </c>
      <c r="G1731" s="20" t="s">
        <v>35</v>
      </c>
      <c r="H1731" s="20" t="s">
        <v>25</v>
      </c>
      <c r="I1731" s="21" t="s">
        <v>6810</v>
      </c>
      <c r="J1731" s="22">
        <f t="shared" ref="J1731:J1794" si="135">F1731-I1731</f>
        <v>18.9194444444438</v>
      </c>
      <c r="K1731" s="22">
        <f t="shared" ref="K1731:K1794" si="136">J1731*24</f>
        <v>454.066666666651</v>
      </c>
      <c r="L1731" s="22">
        <f t="shared" ref="L1731:L1794" si="137">IF(_xlfn.DAYS(F1731,I1731)&gt;0,K1731-IF(FLOOR(J1731,1)=0,1,_xlfn.DAYS(F1731,I1731))*16,K1731)</f>
        <v>150.066666666651</v>
      </c>
      <c r="M1731" s="22" cm="1">
        <f ca="1" t="array" ref="M1731">SUMPRODUCT(--(WEEKDAY(ROW(INDIRECT(INT(F1731)&amp;":"&amp;INT(I1731))),2)&gt;5))</f>
        <v>5</v>
      </c>
      <c r="N1731" s="22">
        <f ca="1" t="shared" ref="N1731:N1794" si="138">IF(IF(M1731&gt;0,L1731-M1731*8,L1731)&lt;0,0,IF(M1731&gt;0,L1731-M1731*8,L1731))</f>
        <v>110.066666666651</v>
      </c>
      <c r="O1731" s="22" t="str">
        <f ca="1" t="shared" ref="O1731:O1794" si="139">IF(OR(AND(D1731="P1",N1731&lt;=3),AND(D1731="P2",N1731&lt;=6),AND(D1731="P3",N1731&lt;=9),AND(D1731="P4",N1731&lt;=12)),"Within SLA","SLA Violated")</f>
        <v>SLA Violated</v>
      </c>
      <c r="P1731" s="26" t="s">
        <v>6807</v>
      </c>
      <c r="Q1731" s="24" t="s">
        <v>28</v>
      </c>
      <c r="R1731" s="25"/>
      <c r="S1731" s="25"/>
    </row>
    <row r="1732" ht="27" customHeight="1" spans="1:19">
      <c r="A1732" s="19" t="s">
        <v>6811</v>
      </c>
      <c r="B1732" s="20" t="s">
        <v>30</v>
      </c>
      <c r="C1732" s="20" t="s">
        <v>101</v>
      </c>
      <c r="D1732" s="20" t="s">
        <v>32</v>
      </c>
      <c r="E1732" s="21" t="s">
        <v>6812</v>
      </c>
      <c r="F1732" s="21" t="s">
        <v>6813</v>
      </c>
      <c r="G1732" s="20" t="s">
        <v>35</v>
      </c>
      <c r="H1732" s="20" t="s">
        <v>25</v>
      </c>
      <c r="I1732" s="21" t="s">
        <v>6814</v>
      </c>
      <c r="J1732" s="22">
        <f t="shared" si="135"/>
        <v>2.11111111111677</v>
      </c>
      <c r="K1732" s="22">
        <f t="shared" si="136"/>
        <v>50.6666666668025</v>
      </c>
      <c r="L1732" s="22">
        <f t="shared" si="137"/>
        <v>18.6666666668025</v>
      </c>
      <c r="M1732" s="22" cm="1">
        <f ca="1" t="array" ref="M1732">SUMPRODUCT(--(WEEKDAY(ROW(INDIRECT(INT(F1732)&amp;":"&amp;INT(I1732))),2)&gt;5))</f>
        <v>0</v>
      </c>
      <c r="N1732" s="22">
        <f ca="1" t="shared" si="138"/>
        <v>18.6666666668025</v>
      </c>
      <c r="O1732" s="22" t="str">
        <f ca="1" t="shared" si="139"/>
        <v>SLA Violated</v>
      </c>
      <c r="P1732" s="23" t="s">
        <v>6815</v>
      </c>
      <c r="Q1732" s="24" t="s">
        <v>28</v>
      </c>
      <c r="R1732" s="25"/>
      <c r="S1732" s="25"/>
    </row>
    <row r="1733" ht="27" customHeight="1" spans="1:19">
      <c r="A1733" s="19" t="s">
        <v>6816</v>
      </c>
      <c r="B1733" s="20" t="s">
        <v>30</v>
      </c>
      <c r="C1733" s="20" t="s">
        <v>31</v>
      </c>
      <c r="D1733" s="20" t="s">
        <v>32</v>
      </c>
      <c r="E1733" s="21" t="s">
        <v>6817</v>
      </c>
      <c r="F1733" s="21" t="s">
        <v>6818</v>
      </c>
      <c r="G1733" s="20" t="s">
        <v>35</v>
      </c>
      <c r="H1733" s="20" t="s">
        <v>25</v>
      </c>
      <c r="I1733" s="21" t="s">
        <v>6819</v>
      </c>
      <c r="J1733" s="22">
        <f t="shared" si="135"/>
        <v>2.90347222222772</v>
      </c>
      <c r="K1733" s="22">
        <f t="shared" si="136"/>
        <v>69.6833333334653</v>
      </c>
      <c r="L1733" s="22">
        <f t="shared" si="137"/>
        <v>21.6833333334653</v>
      </c>
      <c r="M1733" s="22" cm="1">
        <f ca="1" t="array" ref="M1733">SUMPRODUCT(--(WEEKDAY(ROW(INDIRECT(INT(F1733)&amp;":"&amp;INT(I1733))),2)&gt;5))</f>
        <v>0</v>
      </c>
      <c r="N1733" s="22">
        <f ca="1" t="shared" si="138"/>
        <v>21.6833333334653</v>
      </c>
      <c r="O1733" s="22" t="str">
        <f ca="1" t="shared" si="139"/>
        <v>SLA Violated</v>
      </c>
      <c r="P1733" s="26" t="s">
        <v>6816</v>
      </c>
      <c r="Q1733" s="24" t="s">
        <v>28</v>
      </c>
      <c r="R1733" s="25"/>
      <c r="S1733" s="25"/>
    </row>
    <row r="1734" ht="27" customHeight="1" spans="1:19">
      <c r="A1734" s="19" t="s">
        <v>6820</v>
      </c>
      <c r="B1734" s="20" t="s">
        <v>30</v>
      </c>
      <c r="C1734" s="20" t="s">
        <v>849</v>
      </c>
      <c r="D1734" s="20" t="s">
        <v>32</v>
      </c>
      <c r="E1734" s="21" t="s">
        <v>6821</v>
      </c>
      <c r="F1734" s="21" t="s">
        <v>6822</v>
      </c>
      <c r="G1734" s="20" t="s">
        <v>35</v>
      </c>
      <c r="H1734" s="20" t="s">
        <v>25</v>
      </c>
      <c r="I1734" s="21" t="s">
        <v>6823</v>
      </c>
      <c r="J1734" s="22">
        <f t="shared" si="135"/>
        <v>4.12569444444671</v>
      </c>
      <c r="K1734" s="22">
        <f t="shared" si="136"/>
        <v>99.016666666721</v>
      </c>
      <c r="L1734" s="22">
        <f t="shared" si="137"/>
        <v>35.016666666721</v>
      </c>
      <c r="M1734" s="22" cm="1">
        <f ca="1" t="array" ref="M1734">SUMPRODUCT(--(WEEKDAY(ROW(INDIRECT(INT(F1734)&amp;":"&amp;INT(I1734))),2)&gt;5))</f>
        <v>0</v>
      </c>
      <c r="N1734" s="22">
        <f ca="1" t="shared" si="138"/>
        <v>35.016666666721</v>
      </c>
      <c r="O1734" s="22" t="str">
        <f ca="1" t="shared" si="139"/>
        <v>SLA Violated</v>
      </c>
      <c r="P1734" s="23" t="s">
        <v>6824</v>
      </c>
      <c r="Q1734" s="24" t="s">
        <v>28</v>
      </c>
      <c r="R1734" s="25"/>
      <c r="S1734" s="25"/>
    </row>
    <row r="1735" ht="27" customHeight="1" spans="1:19">
      <c r="A1735" s="19" t="s">
        <v>6825</v>
      </c>
      <c r="B1735" s="20" t="s">
        <v>139</v>
      </c>
      <c r="C1735" s="20" t="s">
        <v>2057</v>
      </c>
      <c r="D1735" s="20" t="s">
        <v>32</v>
      </c>
      <c r="E1735" s="21" t="s">
        <v>6826</v>
      </c>
      <c r="F1735" s="21" t="s">
        <v>6827</v>
      </c>
      <c r="G1735" s="20" t="s">
        <v>35</v>
      </c>
      <c r="H1735" s="20" t="s">
        <v>25</v>
      </c>
      <c r="I1735" s="21" t="s">
        <v>6828</v>
      </c>
      <c r="J1735" s="22">
        <f t="shared" si="135"/>
        <v>7.04097222222481</v>
      </c>
      <c r="K1735" s="22">
        <f t="shared" si="136"/>
        <v>168.983333333395</v>
      </c>
      <c r="L1735" s="22">
        <f t="shared" si="137"/>
        <v>56.9833333333954</v>
      </c>
      <c r="M1735" s="22" cm="1">
        <f ca="1" t="array" ref="M1735">SUMPRODUCT(--(WEEKDAY(ROW(INDIRECT(INT(F1735)&amp;":"&amp;INT(I1735))),2)&gt;5))</f>
        <v>2</v>
      </c>
      <c r="N1735" s="22">
        <f ca="1" t="shared" si="138"/>
        <v>40.9833333333954</v>
      </c>
      <c r="O1735" s="22" t="str">
        <f ca="1" t="shared" si="139"/>
        <v>SLA Violated</v>
      </c>
      <c r="P1735" s="23" t="s">
        <v>6829</v>
      </c>
      <c r="Q1735" s="24" t="s">
        <v>28</v>
      </c>
      <c r="R1735" s="25"/>
      <c r="S1735" s="25"/>
    </row>
    <row r="1736" ht="39" customHeight="1" spans="1:19">
      <c r="A1736" s="19" t="s">
        <v>6830</v>
      </c>
      <c r="B1736" s="20" t="s">
        <v>19</v>
      </c>
      <c r="C1736" s="20" t="s">
        <v>20</v>
      </c>
      <c r="D1736" s="20" t="s">
        <v>32</v>
      </c>
      <c r="E1736" s="21" t="s">
        <v>6831</v>
      </c>
      <c r="F1736" s="21" t="s">
        <v>6832</v>
      </c>
      <c r="G1736" s="20" t="s">
        <v>35</v>
      </c>
      <c r="H1736" s="20" t="s">
        <v>25</v>
      </c>
      <c r="I1736" s="21" t="s">
        <v>6771</v>
      </c>
      <c r="J1736" s="22">
        <f t="shared" si="135"/>
        <v>0.138888888890506</v>
      </c>
      <c r="K1736" s="22">
        <f t="shared" si="136"/>
        <v>3.33333333337214</v>
      </c>
      <c r="L1736" s="22">
        <f t="shared" si="137"/>
        <v>3.33333333337214</v>
      </c>
      <c r="M1736" s="22" cm="1">
        <f ca="1" t="array" ref="M1736">SUMPRODUCT(--(WEEKDAY(ROW(INDIRECT(INT(F1736)&amp;":"&amp;INT(I1736))),2)&gt;5))</f>
        <v>0</v>
      </c>
      <c r="N1736" s="22">
        <f ca="1" t="shared" si="138"/>
        <v>3.33333333337214</v>
      </c>
      <c r="O1736" s="22" t="str">
        <f ca="1" t="shared" si="139"/>
        <v>Within SLA</v>
      </c>
      <c r="P1736" s="26" t="s">
        <v>6830</v>
      </c>
      <c r="Q1736" s="24" t="s">
        <v>37</v>
      </c>
      <c r="R1736" s="25"/>
      <c r="S1736" s="25"/>
    </row>
    <row r="1737" ht="27" customHeight="1" spans="1:19">
      <c r="A1737" s="19" t="s">
        <v>6833</v>
      </c>
      <c r="B1737" s="20" t="s">
        <v>30</v>
      </c>
      <c r="C1737" s="20" t="s">
        <v>31</v>
      </c>
      <c r="D1737" s="20" t="s">
        <v>105</v>
      </c>
      <c r="E1737" s="21" t="s">
        <v>6834</v>
      </c>
      <c r="F1737" s="21" t="s">
        <v>6835</v>
      </c>
      <c r="G1737" s="20" t="s">
        <v>35</v>
      </c>
      <c r="H1737" s="20" t="s">
        <v>25</v>
      </c>
      <c r="I1737" s="21" t="s">
        <v>6836</v>
      </c>
      <c r="J1737" s="22">
        <f t="shared" si="135"/>
        <v>14.0416666666642</v>
      </c>
      <c r="K1737" s="22">
        <f t="shared" si="136"/>
        <v>336.999999999942</v>
      </c>
      <c r="L1737" s="22">
        <f t="shared" si="137"/>
        <v>112.999999999942</v>
      </c>
      <c r="M1737" s="22" cm="1">
        <f ca="1" t="array" ref="M1737">SUMPRODUCT(--(WEEKDAY(ROW(INDIRECT(INT(F1737)&amp;":"&amp;INT(I1737))),2)&gt;5))</f>
        <v>4</v>
      </c>
      <c r="N1737" s="22">
        <f ca="1" t="shared" si="138"/>
        <v>80.999999999942</v>
      </c>
      <c r="O1737" s="22" t="str">
        <f ca="1" t="shared" si="139"/>
        <v>SLA Violated</v>
      </c>
      <c r="P1737" s="23" t="s">
        <v>6837</v>
      </c>
      <c r="Q1737" s="24" t="s">
        <v>37</v>
      </c>
      <c r="R1737" s="25" t="s">
        <v>6838</v>
      </c>
      <c r="S1737" s="25" t="s">
        <v>39</v>
      </c>
    </row>
    <row r="1738" ht="27" customHeight="1" spans="1:19">
      <c r="A1738" s="19" t="s">
        <v>6839</v>
      </c>
      <c r="B1738" s="20" t="s">
        <v>30</v>
      </c>
      <c r="C1738" s="20" t="s">
        <v>849</v>
      </c>
      <c r="D1738" s="20" t="s">
        <v>32</v>
      </c>
      <c r="E1738" s="21" t="s">
        <v>6840</v>
      </c>
      <c r="F1738" s="21" t="s">
        <v>6841</v>
      </c>
      <c r="G1738" s="20" t="s">
        <v>35</v>
      </c>
      <c r="H1738" s="20" t="s">
        <v>25</v>
      </c>
      <c r="I1738" s="21" t="s">
        <v>6842</v>
      </c>
      <c r="J1738" s="22">
        <f t="shared" si="135"/>
        <v>4.07083333333139</v>
      </c>
      <c r="K1738" s="22">
        <f t="shared" si="136"/>
        <v>97.6999999999534</v>
      </c>
      <c r="L1738" s="22">
        <f t="shared" si="137"/>
        <v>33.6999999999534</v>
      </c>
      <c r="M1738" s="22" cm="1">
        <f ca="1" t="array" ref="M1738">SUMPRODUCT(--(WEEKDAY(ROW(INDIRECT(INT(F1738)&amp;":"&amp;INT(I1738))),2)&gt;5))</f>
        <v>0</v>
      </c>
      <c r="N1738" s="22">
        <f ca="1" t="shared" si="138"/>
        <v>33.6999999999534</v>
      </c>
      <c r="O1738" s="22" t="str">
        <f ca="1" t="shared" si="139"/>
        <v>SLA Violated</v>
      </c>
      <c r="P1738" s="23" t="s">
        <v>6843</v>
      </c>
      <c r="Q1738" s="24" t="s">
        <v>28</v>
      </c>
      <c r="R1738" s="25"/>
      <c r="S1738" s="25"/>
    </row>
    <row r="1739" ht="27" customHeight="1" spans="1:19">
      <c r="A1739" s="19" t="s">
        <v>6844</v>
      </c>
      <c r="B1739" s="20" t="s">
        <v>30</v>
      </c>
      <c r="C1739" s="20" t="s">
        <v>849</v>
      </c>
      <c r="D1739" s="20" t="s">
        <v>32</v>
      </c>
      <c r="E1739" s="21" t="s">
        <v>6840</v>
      </c>
      <c r="F1739" s="21" t="s">
        <v>6845</v>
      </c>
      <c r="G1739" s="20" t="s">
        <v>35</v>
      </c>
      <c r="H1739" s="20" t="s">
        <v>25</v>
      </c>
      <c r="I1739" s="21" t="s">
        <v>6845</v>
      </c>
      <c r="J1739" s="22">
        <f t="shared" si="135"/>
        <v>0</v>
      </c>
      <c r="K1739" s="22">
        <f t="shared" si="136"/>
        <v>0</v>
      </c>
      <c r="L1739" s="22">
        <f t="shared" si="137"/>
        <v>0</v>
      </c>
      <c r="M1739" s="22" cm="1">
        <f ca="1" t="array" ref="M1739">SUMPRODUCT(--(WEEKDAY(ROW(INDIRECT(INT(F1739)&amp;":"&amp;INT(I1739))),2)&gt;5))</f>
        <v>1</v>
      </c>
      <c r="N1739" s="22">
        <f ca="1" t="shared" si="138"/>
        <v>0</v>
      </c>
      <c r="O1739" s="22" t="str">
        <f ca="1" t="shared" si="139"/>
        <v>Within SLA</v>
      </c>
      <c r="P1739" s="26" t="s">
        <v>6844</v>
      </c>
      <c r="Q1739" s="24" t="s">
        <v>37</v>
      </c>
      <c r="R1739" s="25"/>
      <c r="S1739" s="25"/>
    </row>
    <row r="1740" ht="27" customHeight="1" spans="1:19">
      <c r="A1740" s="19" t="s">
        <v>6846</v>
      </c>
      <c r="B1740" s="20" t="s">
        <v>30</v>
      </c>
      <c r="C1740" s="20" t="s">
        <v>31</v>
      </c>
      <c r="D1740" s="20" t="s">
        <v>32</v>
      </c>
      <c r="E1740" s="21" t="s">
        <v>6847</v>
      </c>
      <c r="F1740" s="21" t="s">
        <v>6848</v>
      </c>
      <c r="G1740" s="20" t="s">
        <v>35</v>
      </c>
      <c r="H1740" s="20" t="s">
        <v>25</v>
      </c>
      <c r="I1740" s="21" t="s">
        <v>6849</v>
      </c>
      <c r="J1740" s="22">
        <f t="shared" si="135"/>
        <v>18.8409722222204</v>
      </c>
      <c r="K1740" s="22">
        <f t="shared" si="136"/>
        <v>452.183333333291</v>
      </c>
      <c r="L1740" s="22">
        <f t="shared" si="137"/>
        <v>148.183333333291</v>
      </c>
      <c r="M1740" s="22" cm="1">
        <f ca="1" t="array" ref="M1740">SUMPRODUCT(--(WEEKDAY(ROW(INDIRECT(INT(F1740)&amp;":"&amp;INT(I1740))),2)&gt;5))</f>
        <v>5</v>
      </c>
      <c r="N1740" s="22">
        <f ca="1" t="shared" si="138"/>
        <v>108.183333333291</v>
      </c>
      <c r="O1740" s="22" t="str">
        <f ca="1" t="shared" si="139"/>
        <v>SLA Violated</v>
      </c>
      <c r="P1740" s="26" t="s">
        <v>6846</v>
      </c>
      <c r="Q1740" s="24" t="s">
        <v>28</v>
      </c>
      <c r="R1740" s="25"/>
      <c r="S1740" s="25"/>
    </row>
    <row r="1741" ht="27" customHeight="1" spans="1:19">
      <c r="A1741" s="19" t="s">
        <v>6850</v>
      </c>
      <c r="B1741" s="20" t="s">
        <v>30</v>
      </c>
      <c r="C1741" s="20" t="s">
        <v>849</v>
      </c>
      <c r="D1741" s="20" t="s">
        <v>32</v>
      </c>
      <c r="E1741" s="21" t="s">
        <v>6847</v>
      </c>
      <c r="F1741" s="21" t="s">
        <v>6851</v>
      </c>
      <c r="G1741" s="20" t="s">
        <v>35</v>
      </c>
      <c r="H1741" s="20" t="s">
        <v>25</v>
      </c>
      <c r="I1741" s="21" t="s">
        <v>6852</v>
      </c>
      <c r="J1741" s="22">
        <f t="shared" si="135"/>
        <v>0.000694444446708076</v>
      </c>
      <c r="K1741" s="22">
        <f t="shared" si="136"/>
        <v>0.0166666667209938</v>
      </c>
      <c r="L1741" s="22">
        <f t="shared" si="137"/>
        <v>0.0166666667209938</v>
      </c>
      <c r="M1741" s="22" cm="1">
        <f ca="1" t="array" ref="M1741">SUMPRODUCT(--(WEEKDAY(ROW(INDIRECT(INT(F1741)&amp;":"&amp;INT(I1741))),2)&gt;5))</f>
        <v>1</v>
      </c>
      <c r="N1741" s="22">
        <f ca="1" t="shared" si="138"/>
        <v>0</v>
      </c>
      <c r="O1741" s="22" t="str">
        <f ca="1" t="shared" si="139"/>
        <v>Within SLA</v>
      </c>
      <c r="P1741" s="26" t="s">
        <v>6850</v>
      </c>
      <c r="Q1741" s="24" t="s">
        <v>37</v>
      </c>
      <c r="R1741" s="25"/>
      <c r="S1741" s="25"/>
    </row>
    <row r="1742" ht="39" customHeight="1" spans="1:19">
      <c r="A1742" s="19" t="s">
        <v>6853</v>
      </c>
      <c r="B1742" s="20" t="s">
        <v>19</v>
      </c>
      <c r="C1742" s="20" t="s">
        <v>20</v>
      </c>
      <c r="D1742" s="20" t="s">
        <v>32</v>
      </c>
      <c r="E1742" s="21" t="s">
        <v>6854</v>
      </c>
      <c r="F1742" s="21" t="s">
        <v>6855</v>
      </c>
      <c r="G1742" s="20" t="s">
        <v>35</v>
      </c>
      <c r="H1742" s="20" t="s">
        <v>25</v>
      </c>
      <c r="I1742" s="21" t="s">
        <v>6856</v>
      </c>
      <c r="J1742" s="22">
        <f t="shared" si="135"/>
        <v>0.181250000001455</v>
      </c>
      <c r="K1742" s="22">
        <f t="shared" si="136"/>
        <v>4.35000000003492</v>
      </c>
      <c r="L1742" s="22">
        <f t="shared" si="137"/>
        <v>4.35000000003492</v>
      </c>
      <c r="M1742" s="22" cm="1">
        <f ca="1" t="array" ref="M1742">SUMPRODUCT(--(WEEKDAY(ROW(INDIRECT(INT(F1742)&amp;":"&amp;INT(I1742))),2)&gt;5))</f>
        <v>0</v>
      </c>
      <c r="N1742" s="22">
        <f ca="1" t="shared" si="138"/>
        <v>4.35000000003492</v>
      </c>
      <c r="O1742" s="22" t="str">
        <f ca="1" t="shared" si="139"/>
        <v>Within SLA</v>
      </c>
      <c r="P1742" s="26" t="s">
        <v>6853</v>
      </c>
      <c r="Q1742" s="24" t="s">
        <v>37</v>
      </c>
      <c r="R1742" s="25"/>
      <c r="S1742" s="25"/>
    </row>
    <row r="1743" ht="39" customHeight="1" spans="1:19">
      <c r="A1743" s="28" t="s">
        <v>6857</v>
      </c>
      <c r="B1743" s="20" t="s">
        <v>19</v>
      </c>
      <c r="C1743" s="20" t="s">
        <v>167</v>
      </c>
      <c r="D1743" s="20" t="s">
        <v>32</v>
      </c>
      <c r="E1743" s="21" t="s">
        <v>6858</v>
      </c>
      <c r="F1743" s="21" t="s">
        <v>6859</v>
      </c>
      <c r="G1743" s="20" t="s">
        <v>35</v>
      </c>
      <c r="H1743" s="20" t="s">
        <v>25</v>
      </c>
      <c r="I1743" s="21" t="s">
        <v>6860</v>
      </c>
      <c r="J1743" s="22">
        <f t="shared" si="135"/>
        <v>2.00833333333867</v>
      </c>
      <c r="K1743" s="22">
        <f t="shared" si="136"/>
        <v>48.2000000001281</v>
      </c>
      <c r="L1743" s="22">
        <f t="shared" si="137"/>
        <v>16.2000000001281</v>
      </c>
      <c r="M1743" s="22" cm="1">
        <f ca="1" t="array" ref="M1743">SUMPRODUCT(--(WEEKDAY(ROW(INDIRECT(INT(F1743)&amp;":"&amp;INT(I1743))),2)&gt;5))</f>
        <v>0</v>
      </c>
      <c r="N1743" s="22">
        <f ca="1" t="shared" si="138"/>
        <v>16.2000000001281</v>
      </c>
      <c r="O1743" s="22" t="str">
        <f ca="1" t="shared" si="139"/>
        <v>SLA Violated</v>
      </c>
      <c r="P1743" s="23" t="s">
        <v>6857</v>
      </c>
      <c r="Q1743" s="24" t="s">
        <v>37</v>
      </c>
      <c r="R1743" s="25" t="s">
        <v>2424</v>
      </c>
      <c r="S1743" s="25"/>
    </row>
    <row r="1744" ht="39" customHeight="1" spans="1:19">
      <c r="A1744" s="19" t="s">
        <v>6861</v>
      </c>
      <c r="B1744" s="20" t="s">
        <v>19</v>
      </c>
      <c r="C1744" s="20" t="s">
        <v>20</v>
      </c>
      <c r="D1744" s="20" t="s">
        <v>32</v>
      </c>
      <c r="E1744" s="21" t="s">
        <v>6862</v>
      </c>
      <c r="F1744" s="21" t="s">
        <v>6863</v>
      </c>
      <c r="G1744" s="20" t="s">
        <v>35</v>
      </c>
      <c r="H1744" s="20" t="s">
        <v>25</v>
      </c>
      <c r="I1744" s="21" t="s">
        <v>6856</v>
      </c>
      <c r="J1744" s="22">
        <f t="shared" si="135"/>
        <v>0.038888888891961</v>
      </c>
      <c r="K1744" s="22">
        <f t="shared" si="136"/>
        <v>0.933333333407063</v>
      </c>
      <c r="L1744" s="22">
        <f t="shared" si="137"/>
        <v>0.933333333407063</v>
      </c>
      <c r="M1744" s="22" cm="1">
        <f ca="1" t="array" ref="M1744">SUMPRODUCT(--(WEEKDAY(ROW(INDIRECT(INT(F1744)&amp;":"&amp;INT(I1744))),2)&gt;5))</f>
        <v>0</v>
      </c>
      <c r="N1744" s="22">
        <f ca="1" t="shared" si="138"/>
        <v>0.933333333407063</v>
      </c>
      <c r="O1744" s="22" t="str">
        <f ca="1" t="shared" si="139"/>
        <v>Within SLA</v>
      </c>
      <c r="P1744" s="26" t="s">
        <v>6861</v>
      </c>
      <c r="Q1744" s="24" t="s">
        <v>37</v>
      </c>
      <c r="R1744" s="25"/>
      <c r="S1744" s="25"/>
    </row>
    <row r="1745" ht="27" customHeight="1" spans="1:19">
      <c r="A1745" s="19" t="s">
        <v>6864</v>
      </c>
      <c r="B1745" s="20" t="s">
        <v>30</v>
      </c>
      <c r="C1745" s="20" t="s">
        <v>849</v>
      </c>
      <c r="D1745" s="20" t="s">
        <v>32</v>
      </c>
      <c r="E1745" s="21" t="s">
        <v>6865</v>
      </c>
      <c r="F1745" s="21" t="s">
        <v>6866</v>
      </c>
      <c r="G1745" s="20" t="s">
        <v>35</v>
      </c>
      <c r="H1745" s="20" t="s">
        <v>25</v>
      </c>
      <c r="I1745" s="21" t="s">
        <v>6867</v>
      </c>
      <c r="J1745" s="22">
        <f t="shared" si="135"/>
        <v>3.17013888889051</v>
      </c>
      <c r="K1745" s="22">
        <f t="shared" si="136"/>
        <v>76.0833333333721</v>
      </c>
      <c r="L1745" s="22">
        <f t="shared" si="137"/>
        <v>28.0833333333721</v>
      </c>
      <c r="M1745" s="22" cm="1">
        <f ca="1" t="array" ref="M1745">SUMPRODUCT(--(WEEKDAY(ROW(INDIRECT(INT(F1745)&amp;":"&amp;INT(I1745))),2)&gt;5))</f>
        <v>0</v>
      </c>
      <c r="N1745" s="22">
        <f ca="1" t="shared" si="138"/>
        <v>28.0833333333721</v>
      </c>
      <c r="O1745" s="22" t="str">
        <f ca="1" t="shared" si="139"/>
        <v>SLA Violated</v>
      </c>
      <c r="P1745" s="23" t="s">
        <v>6868</v>
      </c>
      <c r="Q1745" s="24" t="s">
        <v>28</v>
      </c>
      <c r="R1745" s="25"/>
      <c r="S1745" s="25"/>
    </row>
    <row r="1746" ht="27" customHeight="1" spans="1:19">
      <c r="A1746" s="19" t="s">
        <v>6869</v>
      </c>
      <c r="B1746" s="20" t="s">
        <v>139</v>
      </c>
      <c r="C1746" s="20" t="s">
        <v>2057</v>
      </c>
      <c r="D1746" s="20" t="s">
        <v>32</v>
      </c>
      <c r="E1746" s="21" t="s">
        <v>6870</v>
      </c>
      <c r="F1746" s="21" t="s">
        <v>6871</v>
      </c>
      <c r="G1746" s="20" t="s">
        <v>35</v>
      </c>
      <c r="H1746" s="20" t="s">
        <v>25</v>
      </c>
      <c r="I1746" s="21" t="s">
        <v>6872</v>
      </c>
      <c r="J1746" s="22">
        <f t="shared" si="135"/>
        <v>2.84513888888614</v>
      </c>
      <c r="K1746" s="22">
        <f t="shared" si="136"/>
        <v>68.2833333332674</v>
      </c>
      <c r="L1746" s="22">
        <f t="shared" si="137"/>
        <v>20.2833333332674</v>
      </c>
      <c r="M1746" s="22" cm="1">
        <f ca="1" t="array" ref="M1746">SUMPRODUCT(--(WEEKDAY(ROW(INDIRECT(INT(F1746)&amp;":"&amp;INT(I1746))),2)&gt;5))</f>
        <v>0</v>
      </c>
      <c r="N1746" s="22">
        <f ca="1" t="shared" si="138"/>
        <v>20.2833333332674</v>
      </c>
      <c r="O1746" s="22" t="str">
        <f ca="1" t="shared" si="139"/>
        <v>SLA Violated</v>
      </c>
      <c r="P1746" s="23" t="s">
        <v>6873</v>
      </c>
      <c r="Q1746" s="24" t="s">
        <v>28</v>
      </c>
      <c r="R1746" s="25"/>
      <c r="S1746" s="25"/>
    </row>
    <row r="1747" ht="27" customHeight="1" spans="1:19">
      <c r="A1747" s="19" t="s">
        <v>6874</v>
      </c>
      <c r="B1747" s="20" t="s">
        <v>30</v>
      </c>
      <c r="C1747" s="20" t="s">
        <v>849</v>
      </c>
      <c r="D1747" s="20" t="s">
        <v>32</v>
      </c>
      <c r="E1747" s="21" t="s">
        <v>6875</v>
      </c>
      <c r="F1747" s="21" t="s">
        <v>6876</v>
      </c>
      <c r="G1747" s="20" t="s">
        <v>35</v>
      </c>
      <c r="H1747" s="20" t="s">
        <v>25</v>
      </c>
      <c r="I1747" s="21" t="s">
        <v>6877</v>
      </c>
      <c r="J1747" s="22">
        <f t="shared" si="135"/>
        <v>0.000694444439432118</v>
      </c>
      <c r="K1747" s="22">
        <f t="shared" si="136"/>
        <v>0.0166666665463708</v>
      </c>
      <c r="L1747" s="22">
        <f t="shared" si="137"/>
        <v>0.0166666665463708</v>
      </c>
      <c r="M1747" s="22" cm="1">
        <f ca="1" t="array" ref="M1747">SUMPRODUCT(--(WEEKDAY(ROW(INDIRECT(INT(F1747)&amp;":"&amp;INT(I1747))),2)&gt;5))</f>
        <v>1</v>
      </c>
      <c r="N1747" s="22">
        <f ca="1" t="shared" si="138"/>
        <v>0</v>
      </c>
      <c r="O1747" s="22" t="str">
        <f ca="1" t="shared" si="139"/>
        <v>Within SLA</v>
      </c>
      <c r="P1747" s="26" t="s">
        <v>6874</v>
      </c>
      <c r="Q1747" s="24" t="s">
        <v>37</v>
      </c>
      <c r="R1747" s="25"/>
      <c r="S1747" s="25"/>
    </row>
    <row r="1748" ht="39" customHeight="1" spans="1:19">
      <c r="A1748" s="19" t="s">
        <v>6878</v>
      </c>
      <c r="B1748" s="20" t="s">
        <v>19</v>
      </c>
      <c r="C1748" s="20" t="s">
        <v>20</v>
      </c>
      <c r="D1748" s="20" t="s">
        <v>32</v>
      </c>
      <c r="E1748" s="21" t="s">
        <v>6879</v>
      </c>
      <c r="F1748" s="21" t="s">
        <v>6880</v>
      </c>
      <c r="G1748" s="20" t="s">
        <v>35</v>
      </c>
      <c r="H1748" s="20" t="s">
        <v>25</v>
      </c>
      <c r="I1748" s="21" t="s">
        <v>6880</v>
      </c>
      <c r="J1748" s="22">
        <f t="shared" si="135"/>
        <v>0</v>
      </c>
      <c r="K1748" s="22">
        <f t="shared" si="136"/>
        <v>0</v>
      </c>
      <c r="L1748" s="22">
        <f t="shared" si="137"/>
        <v>0</v>
      </c>
      <c r="M1748" s="22" cm="1">
        <f ca="1" t="array" ref="M1748">SUMPRODUCT(--(WEEKDAY(ROW(INDIRECT(INT(F1748)&amp;":"&amp;INT(I1748))),2)&gt;5))</f>
        <v>0</v>
      </c>
      <c r="N1748" s="22">
        <f ca="1" t="shared" si="138"/>
        <v>0</v>
      </c>
      <c r="O1748" s="22" t="str">
        <f ca="1" t="shared" si="139"/>
        <v>Within SLA</v>
      </c>
      <c r="P1748" s="26" t="s">
        <v>6878</v>
      </c>
      <c r="Q1748" s="24" t="s">
        <v>37</v>
      </c>
      <c r="R1748" s="25"/>
      <c r="S1748" s="25"/>
    </row>
    <row r="1749" ht="39" customHeight="1" spans="1:19">
      <c r="A1749" s="19" t="s">
        <v>6881</v>
      </c>
      <c r="B1749" s="20" t="s">
        <v>19</v>
      </c>
      <c r="C1749" s="20" t="s">
        <v>20</v>
      </c>
      <c r="D1749" s="20" t="s">
        <v>32</v>
      </c>
      <c r="E1749" s="21" t="s">
        <v>6882</v>
      </c>
      <c r="F1749" s="21" t="s">
        <v>6883</v>
      </c>
      <c r="G1749" s="20" t="s">
        <v>35</v>
      </c>
      <c r="H1749" s="20" t="s">
        <v>25</v>
      </c>
      <c r="I1749" s="21" t="s">
        <v>6884</v>
      </c>
      <c r="J1749" s="22">
        <f t="shared" si="135"/>
        <v>0.0847222222218988</v>
      </c>
      <c r="K1749" s="22">
        <f t="shared" si="136"/>
        <v>2.03333333332557</v>
      </c>
      <c r="L1749" s="22">
        <f t="shared" si="137"/>
        <v>2.03333333332557</v>
      </c>
      <c r="M1749" s="22" cm="1">
        <f ca="1" t="array" ref="M1749">SUMPRODUCT(--(WEEKDAY(ROW(INDIRECT(INT(F1749)&amp;":"&amp;INT(I1749))),2)&gt;5))</f>
        <v>0</v>
      </c>
      <c r="N1749" s="22">
        <f ca="1" t="shared" si="138"/>
        <v>2.03333333332557</v>
      </c>
      <c r="O1749" s="22" t="str">
        <f ca="1" t="shared" si="139"/>
        <v>Within SLA</v>
      </c>
      <c r="P1749" s="26" t="s">
        <v>6881</v>
      </c>
      <c r="Q1749" s="24" t="s">
        <v>37</v>
      </c>
      <c r="R1749" s="25"/>
      <c r="S1749" s="25"/>
    </row>
    <row r="1750" ht="39" customHeight="1" spans="1:19">
      <c r="A1750" s="19" t="s">
        <v>6885</v>
      </c>
      <c r="B1750" s="20" t="s">
        <v>19</v>
      </c>
      <c r="C1750" s="20" t="s">
        <v>20</v>
      </c>
      <c r="D1750" s="20" t="s">
        <v>32</v>
      </c>
      <c r="E1750" s="21" t="s">
        <v>6886</v>
      </c>
      <c r="F1750" s="21" t="s">
        <v>6887</v>
      </c>
      <c r="G1750" s="20" t="s">
        <v>35</v>
      </c>
      <c r="H1750" s="20" t="s">
        <v>25</v>
      </c>
      <c r="I1750" s="21" t="s">
        <v>6888</v>
      </c>
      <c r="J1750" s="22">
        <f t="shared" si="135"/>
        <v>8.14097222222335</v>
      </c>
      <c r="K1750" s="22">
        <f t="shared" si="136"/>
        <v>195.38333333336</v>
      </c>
      <c r="L1750" s="22">
        <f t="shared" si="137"/>
        <v>67.3833333333605</v>
      </c>
      <c r="M1750" s="22" cm="1">
        <f ca="1" t="array" ref="M1750">SUMPRODUCT(--(WEEKDAY(ROW(INDIRECT(INT(F1750)&amp;":"&amp;INT(I1750))),2)&gt;5))</f>
        <v>2</v>
      </c>
      <c r="N1750" s="22">
        <f ca="1" t="shared" si="138"/>
        <v>51.3833333333605</v>
      </c>
      <c r="O1750" s="22" t="str">
        <f ca="1" t="shared" si="139"/>
        <v>SLA Violated</v>
      </c>
      <c r="P1750" s="23" t="s">
        <v>6889</v>
      </c>
      <c r="Q1750" s="24" t="s">
        <v>28</v>
      </c>
      <c r="R1750" s="25"/>
      <c r="S1750" s="25"/>
    </row>
    <row r="1751" ht="27" customHeight="1" spans="1:19">
      <c r="A1751" s="19" t="s">
        <v>6890</v>
      </c>
      <c r="B1751" s="20" t="s">
        <v>30</v>
      </c>
      <c r="C1751" s="20" t="s">
        <v>31</v>
      </c>
      <c r="D1751" s="20" t="s">
        <v>32</v>
      </c>
      <c r="E1751" s="21" t="s">
        <v>6891</v>
      </c>
      <c r="F1751" s="21" t="s">
        <v>6208</v>
      </c>
      <c r="G1751" s="20" t="s">
        <v>35</v>
      </c>
      <c r="H1751" s="20" t="s">
        <v>25</v>
      </c>
      <c r="I1751" s="21" t="s">
        <v>6892</v>
      </c>
      <c r="J1751" s="22">
        <f t="shared" si="135"/>
        <v>28.9798611111109</v>
      </c>
      <c r="K1751" s="22">
        <f t="shared" si="136"/>
        <v>695.516666666663</v>
      </c>
      <c r="L1751" s="22">
        <f t="shared" si="137"/>
        <v>231.516666666663</v>
      </c>
      <c r="M1751" s="22" cm="1">
        <f ca="1" t="array" ref="M1751">SUMPRODUCT(--(WEEKDAY(ROW(INDIRECT(INT(F1751)&amp;":"&amp;INT(I1751))),2)&gt;5))</f>
        <v>8</v>
      </c>
      <c r="N1751" s="22">
        <f ca="1" t="shared" si="138"/>
        <v>167.516666666663</v>
      </c>
      <c r="O1751" s="22" t="str">
        <f ca="1" t="shared" si="139"/>
        <v>SLA Violated</v>
      </c>
      <c r="P1751" s="26" t="s">
        <v>6890</v>
      </c>
      <c r="Q1751" s="24" t="s">
        <v>28</v>
      </c>
      <c r="R1751" s="25"/>
      <c r="S1751" s="25"/>
    </row>
    <row r="1752" ht="27" customHeight="1" spans="1:19">
      <c r="A1752" s="19" t="s">
        <v>6893</v>
      </c>
      <c r="B1752" s="20" t="s">
        <v>30</v>
      </c>
      <c r="C1752" s="20" t="s">
        <v>31</v>
      </c>
      <c r="D1752" s="20" t="s">
        <v>32</v>
      </c>
      <c r="E1752" s="21" t="s">
        <v>6894</v>
      </c>
      <c r="F1752" s="21" t="s">
        <v>6895</v>
      </c>
      <c r="G1752" s="20" t="s">
        <v>35</v>
      </c>
      <c r="H1752" s="20" t="s">
        <v>25</v>
      </c>
      <c r="I1752" s="21" t="s">
        <v>6348</v>
      </c>
      <c r="J1752" s="22">
        <f t="shared" si="135"/>
        <v>1.3305555555562</v>
      </c>
      <c r="K1752" s="22">
        <f t="shared" si="136"/>
        <v>31.9333333333489</v>
      </c>
      <c r="L1752" s="22">
        <f t="shared" si="137"/>
        <v>15.9333333333489</v>
      </c>
      <c r="M1752" s="22" cm="1">
        <f ca="1" t="array" ref="M1752">SUMPRODUCT(--(WEEKDAY(ROW(INDIRECT(INT(F1752)&amp;":"&amp;INT(I1752))),2)&gt;5))</f>
        <v>0</v>
      </c>
      <c r="N1752" s="22">
        <f ca="1" t="shared" si="138"/>
        <v>15.9333333333489</v>
      </c>
      <c r="O1752" s="22" t="str">
        <f ca="1" t="shared" si="139"/>
        <v>SLA Violated</v>
      </c>
      <c r="P1752" s="26" t="s">
        <v>6893</v>
      </c>
      <c r="Q1752" s="24" t="s">
        <v>28</v>
      </c>
      <c r="R1752" s="25"/>
      <c r="S1752" s="25"/>
    </row>
    <row r="1753" ht="27" customHeight="1" spans="1:19">
      <c r="A1753" s="19" t="s">
        <v>6896</v>
      </c>
      <c r="B1753" s="20" t="s">
        <v>30</v>
      </c>
      <c r="C1753" s="20" t="s">
        <v>31</v>
      </c>
      <c r="D1753" s="20" t="s">
        <v>32</v>
      </c>
      <c r="E1753" s="21" t="s">
        <v>6897</v>
      </c>
      <c r="F1753" s="21" t="s">
        <v>6898</v>
      </c>
      <c r="G1753" s="20" t="s">
        <v>35</v>
      </c>
      <c r="H1753" s="20" t="s">
        <v>25</v>
      </c>
      <c r="I1753" s="21" t="s">
        <v>6362</v>
      </c>
      <c r="J1753" s="22">
        <f t="shared" si="135"/>
        <v>18.996527777781</v>
      </c>
      <c r="K1753" s="22">
        <f t="shared" si="136"/>
        <v>455.916666666744</v>
      </c>
      <c r="L1753" s="22">
        <f t="shared" si="137"/>
        <v>151.916666666744</v>
      </c>
      <c r="M1753" s="22" cm="1">
        <f ca="1" t="array" ref="M1753">SUMPRODUCT(--(WEEKDAY(ROW(INDIRECT(INT(F1753)&amp;":"&amp;INT(I1753))),2)&gt;5))</f>
        <v>5</v>
      </c>
      <c r="N1753" s="22">
        <f ca="1" t="shared" si="138"/>
        <v>111.916666666744</v>
      </c>
      <c r="O1753" s="22" t="str">
        <f ca="1" t="shared" si="139"/>
        <v>SLA Violated</v>
      </c>
      <c r="P1753" s="26" t="s">
        <v>6896</v>
      </c>
      <c r="Q1753" s="24" t="s">
        <v>28</v>
      </c>
      <c r="R1753" s="25"/>
      <c r="S1753" s="25"/>
    </row>
    <row r="1754" ht="27" customHeight="1" spans="1:19">
      <c r="A1754" s="19" t="s">
        <v>6899</v>
      </c>
      <c r="B1754" s="20" t="s">
        <v>30</v>
      </c>
      <c r="C1754" s="20" t="s">
        <v>31</v>
      </c>
      <c r="D1754" s="20" t="s">
        <v>32</v>
      </c>
      <c r="E1754" s="21" t="s">
        <v>6900</v>
      </c>
      <c r="F1754" s="21" t="s">
        <v>6901</v>
      </c>
      <c r="G1754" s="20" t="s">
        <v>35</v>
      </c>
      <c r="H1754" s="20" t="s">
        <v>25</v>
      </c>
      <c r="I1754" s="21" t="s">
        <v>2986</v>
      </c>
      <c r="J1754" s="22">
        <f t="shared" si="135"/>
        <v>19.0152777777766</v>
      </c>
      <c r="K1754" s="22">
        <f t="shared" si="136"/>
        <v>456.36666666664</v>
      </c>
      <c r="L1754" s="22">
        <f t="shared" si="137"/>
        <v>152.36666666664</v>
      </c>
      <c r="M1754" s="22" cm="1">
        <f ca="1" t="array" ref="M1754">SUMPRODUCT(--(WEEKDAY(ROW(INDIRECT(INT(F1754)&amp;":"&amp;INT(I1754))),2)&gt;5))</f>
        <v>5</v>
      </c>
      <c r="N1754" s="22">
        <f ca="1" t="shared" si="138"/>
        <v>112.36666666664</v>
      </c>
      <c r="O1754" s="22" t="str">
        <f ca="1" t="shared" si="139"/>
        <v>SLA Violated</v>
      </c>
      <c r="P1754" s="26" t="s">
        <v>6899</v>
      </c>
      <c r="Q1754" s="24" t="s">
        <v>28</v>
      </c>
      <c r="R1754" s="25"/>
      <c r="S1754" s="25"/>
    </row>
    <row r="1755" ht="27" customHeight="1" spans="1:19">
      <c r="A1755" s="19" t="s">
        <v>6902</v>
      </c>
      <c r="B1755" s="20" t="s">
        <v>30</v>
      </c>
      <c r="C1755" s="20" t="s">
        <v>31</v>
      </c>
      <c r="D1755" s="20" t="s">
        <v>32</v>
      </c>
      <c r="E1755" s="21" t="s">
        <v>6903</v>
      </c>
      <c r="F1755" s="21" t="s">
        <v>6904</v>
      </c>
      <c r="G1755" s="20" t="s">
        <v>35</v>
      </c>
      <c r="H1755" s="20" t="s">
        <v>25</v>
      </c>
      <c r="I1755" s="21" t="s">
        <v>4249</v>
      </c>
      <c r="J1755" s="22">
        <f t="shared" si="135"/>
        <v>20.9729166666657</v>
      </c>
      <c r="K1755" s="22">
        <f t="shared" si="136"/>
        <v>503.349999999977</v>
      </c>
      <c r="L1755" s="22">
        <f t="shared" si="137"/>
        <v>167.349999999977</v>
      </c>
      <c r="M1755" s="22" cm="1">
        <f ca="1" t="array" ref="M1755">SUMPRODUCT(--(WEEKDAY(ROW(INDIRECT(INT(F1755)&amp;":"&amp;INT(I1755))),2)&gt;5))</f>
        <v>6</v>
      </c>
      <c r="N1755" s="22">
        <f ca="1" t="shared" si="138"/>
        <v>119.349999999977</v>
      </c>
      <c r="O1755" s="22" t="str">
        <f ca="1" t="shared" si="139"/>
        <v>SLA Violated</v>
      </c>
      <c r="P1755" s="26" t="s">
        <v>6902</v>
      </c>
      <c r="Q1755" s="24" t="s">
        <v>28</v>
      </c>
      <c r="R1755" s="25"/>
      <c r="S1755" s="25"/>
    </row>
    <row r="1756" ht="27" customHeight="1" spans="1:19">
      <c r="A1756" s="19" t="s">
        <v>6905</v>
      </c>
      <c r="B1756" s="20" t="s">
        <v>30</v>
      </c>
      <c r="C1756" s="20" t="s">
        <v>31</v>
      </c>
      <c r="D1756" s="20" t="s">
        <v>32</v>
      </c>
      <c r="E1756" s="21" t="s">
        <v>6906</v>
      </c>
      <c r="F1756" s="21" t="s">
        <v>6907</v>
      </c>
      <c r="G1756" s="20" t="s">
        <v>35</v>
      </c>
      <c r="H1756" s="20" t="s">
        <v>25</v>
      </c>
      <c r="I1756" s="21" t="s">
        <v>4343</v>
      </c>
      <c r="J1756" s="22">
        <f t="shared" si="135"/>
        <v>21.9756944444453</v>
      </c>
      <c r="K1756" s="22">
        <f t="shared" si="136"/>
        <v>527.416666666686</v>
      </c>
      <c r="L1756" s="22">
        <f t="shared" si="137"/>
        <v>175.416666666686</v>
      </c>
      <c r="M1756" s="22" cm="1">
        <f ca="1" t="array" ref="M1756">SUMPRODUCT(--(WEEKDAY(ROW(INDIRECT(INT(F1756)&amp;":"&amp;INT(I1756))),2)&gt;5))</f>
        <v>6</v>
      </c>
      <c r="N1756" s="22">
        <f ca="1" t="shared" si="138"/>
        <v>127.416666666686</v>
      </c>
      <c r="O1756" s="22" t="str">
        <f ca="1" t="shared" si="139"/>
        <v>SLA Violated</v>
      </c>
      <c r="P1756" s="26" t="s">
        <v>6905</v>
      </c>
      <c r="Q1756" s="24" t="s">
        <v>28</v>
      </c>
      <c r="R1756" s="25"/>
      <c r="S1756" s="25"/>
    </row>
    <row r="1757" ht="27" customHeight="1" spans="1:19">
      <c r="A1757" s="19" t="s">
        <v>6908</v>
      </c>
      <c r="B1757" s="20" t="s">
        <v>30</v>
      </c>
      <c r="C1757" s="20" t="s">
        <v>849</v>
      </c>
      <c r="D1757" s="20" t="s">
        <v>32</v>
      </c>
      <c r="E1757" s="21" t="s">
        <v>6909</v>
      </c>
      <c r="F1757" s="21" t="s">
        <v>6910</v>
      </c>
      <c r="G1757" s="20" t="s">
        <v>35</v>
      </c>
      <c r="H1757" s="20" t="s">
        <v>25</v>
      </c>
      <c r="I1757" s="21" t="s">
        <v>6911</v>
      </c>
      <c r="J1757" s="22">
        <f t="shared" si="135"/>
        <v>0.000694444439432118</v>
      </c>
      <c r="K1757" s="22">
        <f t="shared" si="136"/>
        <v>0.0166666665463708</v>
      </c>
      <c r="L1757" s="22">
        <f t="shared" si="137"/>
        <v>0.0166666665463708</v>
      </c>
      <c r="M1757" s="22" cm="1">
        <f ca="1" t="array" ref="M1757">SUMPRODUCT(--(WEEKDAY(ROW(INDIRECT(INT(F1757)&amp;":"&amp;INT(I1757))),2)&gt;5))</f>
        <v>0</v>
      </c>
      <c r="N1757" s="22">
        <f ca="1" t="shared" si="138"/>
        <v>0.0166666665463708</v>
      </c>
      <c r="O1757" s="22" t="str">
        <f ca="1" t="shared" si="139"/>
        <v>Within SLA</v>
      </c>
      <c r="P1757" s="26" t="s">
        <v>6908</v>
      </c>
      <c r="Q1757" s="24" t="s">
        <v>37</v>
      </c>
      <c r="R1757" s="25"/>
      <c r="S1757" s="25"/>
    </row>
    <row r="1758" ht="27" customHeight="1" spans="1:19">
      <c r="A1758" s="19" t="s">
        <v>6912</v>
      </c>
      <c r="B1758" s="20" t="s">
        <v>30</v>
      </c>
      <c r="C1758" s="20" t="s">
        <v>31</v>
      </c>
      <c r="D1758" s="20" t="s">
        <v>32</v>
      </c>
      <c r="E1758" s="21" t="s">
        <v>6913</v>
      </c>
      <c r="F1758" s="21" t="s">
        <v>6914</v>
      </c>
      <c r="G1758" s="20" t="s">
        <v>35</v>
      </c>
      <c r="H1758" s="20" t="s">
        <v>25</v>
      </c>
      <c r="I1758" s="21" t="s">
        <v>6915</v>
      </c>
      <c r="J1758" s="22">
        <f t="shared" si="135"/>
        <v>19.1020833333314</v>
      </c>
      <c r="K1758" s="22">
        <f t="shared" si="136"/>
        <v>458.449999999953</v>
      </c>
      <c r="L1758" s="22">
        <f t="shared" si="137"/>
        <v>154.449999999953</v>
      </c>
      <c r="M1758" s="22" cm="1">
        <f ca="1" t="array" ref="M1758">SUMPRODUCT(--(WEEKDAY(ROW(INDIRECT(INT(F1758)&amp;":"&amp;INT(I1758))),2)&gt;5))</f>
        <v>5</v>
      </c>
      <c r="N1758" s="22">
        <f ca="1" t="shared" si="138"/>
        <v>114.449999999953</v>
      </c>
      <c r="O1758" s="22" t="str">
        <f ca="1" t="shared" si="139"/>
        <v>SLA Violated</v>
      </c>
      <c r="P1758" s="26" t="s">
        <v>6912</v>
      </c>
      <c r="Q1758" s="24" t="s">
        <v>28</v>
      </c>
      <c r="R1758" s="25"/>
      <c r="S1758" s="25"/>
    </row>
    <row r="1759" ht="27" customHeight="1" spans="1:19">
      <c r="A1759" s="19" t="s">
        <v>6916</v>
      </c>
      <c r="B1759" s="20" t="s">
        <v>30</v>
      </c>
      <c r="C1759" s="20" t="s">
        <v>31</v>
      </c>
      <c r="D1759" s="20" t="s">
        <v>32</v>
      </c>
      <c r="E1759" s="21" t="s">
        <v>6917</v>
      </c>
      <c r="F1759" s="21" t="s">
        <v>6918</v>
      </c>
      <c r="G1759" s="20" t="s">
        <v>35</v>
      </c>
      <c r="H1759" s="20" t="s">
        <v>25</v>
      </c>
      <c r="I1759" s="21" t="s">
        <v>6919</v>
      </c>
      <c r="J1759" s="22">
        <f t="shared" si="135"/>
        <v>19.1062499999971</v>
      </c>
      <c r="K1759" s="22">
        <f t="shared" si="136"/>
        <v>458.54999999993</v>
      </c>
      <c r="L1759" s="22">
        <f t="shared" si="137"/>
        <v>154.54999999993</v>
      </c>
      <c r="M1759" s="22" cm="1">
        <f ca="1" t="array" ref="M1759">SUMPRODUCT(--(WEEKDAY(ROW(INDIRECT(INT(F1759)&amp;":"&amp;INT(I1759))),2)&gt;5))</f>
        <v>5</v>
      </c>
      <c r="N1759" s="22">
        <f ca="1" t="shared" si="138"/>
        <v>114.54999999993</v>
      </c>
      <c r="O1759" s="22" t="str">
        <f ca="1" t="shared" si="139"/>
        <v>SLA Violated</v>
      </c>
      <c r="P1759" s="26" t="s">
        <v>6916</v>
      </c>
      <c r="Q1759" s="24" t="s">
        <v>28</v>
      </c>
      <c r="R1759" s="25"/>
      <c r="S1759" s="25"/>
    </row>
    <row r="1760" ht="27" customHeight="1" spans="1:19">
      <c r="A1760" s="19" t="s">
        <v>6920</v>
      </c>
      <c r="B1760" s="20" t="s">
        <v>121</v>
      </c>
      <c r="C1760" s="20" t="s">
        <v>46</v>
      </c>
      <c r="D1760" s="20" t="s">
        <v>32</v>
      </c>
      <c r="E1760" s="21" t="s">
        <v>6921</v>
      </c>
      <c r="F1760" s="21" t="s">
        <v>6922</v>
      </c>
      <c r="G1760" s="20" t="s">
        <v>35</v>
      </c>
      <c r="H1760" s="20" t="s">
        <v>25</v>
      </c>
      <c r="I1760" s="21" t="s">
        <v>6923</v>
      </c>
      <c r="J1760" s="22">
        <f t="shared" si="135"/>
        <v>0.26875000000291</v>
      </c>
      <c r="K1760" s="22">
        <f t="shared" si="136"/>
        <v>6.45000000006985</v>
      </c>
      <c r="L1760" s="22">
        <f t="shared" si="137"/>
        <v>6.45000000006985</v>
      </c>
      <c r="M1760" s="22" cm="1">
        <f ca="1" t="array" ref="M1760">SUMPRODUCT(--(WEEKDAY(ROW(INDIRECT(INT(F1760)&amp;":"&amp;INT(I1760))),2)&gt;5))</f>
        <v>0</v>
      </c>
      <c r="N1760" s="22">
        <f ca="1" t="shared" si="138"/>
        <v>6.45000000006985</v>
      </c>
      <c r="O1760" s="22" t="str">
        <f ca="1" t="shared" si="139"/>
        <v>Within SLA</v>
      </c>
      <c r="P1760" s="26" t="s">
        <v>6920</v>
      </c>
      <c r="Q1760" s="24" t="s">
        <v>37</v>
      </c>
      <c r="R1760" s="25"/>
      <c r="S1760" s="25"/>
    </row>
    <row r="1761" ht="27" customHeight="1" spans="1:19">
      <c r="A1761" s="19" t="s">
        <v>6924</v>
      </c>
      <c r="B1761" s="20" t="s">
        <v>30</v>
      </c>
      <c r="C1761" s="20" t="s">
        <v>31</v>
      </c>
      <c r="D1761" s="20" t="s">
        <v>32</v>
      </c>
      <c r="E1761" s="21" t="s">
        <v>6785</v>
      </c>
      <c r="F1761" s="21" t="s">
        <v>6925</v>
      </c>
      <c r="G1761" s="20" t="s">
        <v>35</v>
      </c>
      <c r="H1761" s="20" t="s">
        <v>25</v>
      </c>
      <c r="I1761" s="21" t="s">
        <v>6926</v>
      </c>
      <c r="J1761" s="22">
        <f t="shared" si="135"/>
        <v>22.0444444444438</v>
      </c>
      <c r="K1761" s="22">
        <f t="shared" si="136"/>
        <v>529.066666666651</v>
      </c>
      <c r="L1761" s="22">
        <f t="shared" si="137"/>
        <v>177.066666666651</v>
      </c>
      <c r="M1761" s="22" cm="1">
        <f ca="1" t="array" ref="M1761">SUMPRODUCT(--(WEEKDAY(ROW(INDIRECT(INT(F1761)&amp;":"&amp;INT(I1761))),2)&gt;5))</f>
        <v>6</v>
      </c>
      <c r="N1761" s="22">
        <f ca="1" t="shared" si="138"/>
        <v>129.066666666651</v>
      </c>
      <c r="O1761" s="22" t="str">
        <f ca="1" t="shared" si="139"/>
        <v>SLA Violated</v>
      </c>
      <c r="P1761" s="26" t="s">
        <v>6924</v>
      </c>
      <c r="Q1761" s="24" t="s">
        <v>28</v>
      </c>
      <c r="R1761" s="25"/>
      <c r="S1761" s="25"/>
    </row>
    <row r="1762" ht="27" customHeight="1" spans="1:19">
      <c r="A1762" s="19" t="s">
        <v>6927</v>
      </c>
      <c r="B1762" s="20" t="s">
        <v>30</v>
      </c>
      <c r="C1762" s="20" t="s">
        <v>31</v>
      </c>
      <c r="D1762" s="20" t="s">
        <v>32</v>
      </c>
      <c r="E1762" s="21" t="s">
        <v>6527</v>
      </c>
      <c r="F1762" s="21" t="s">
        <v>6928</v>
      </c>
      <c r="G1762" s="20" t="s">
        <v>35</v>
      </c>
      <c r="H1762" s="20" t="s">
        <v>25</v>
      </c>
      <c r="I1762" s="21" t="s">
        <v>6929</v>
      </c>
      <c r="J1762" s="22">
        <f t="shared" si="135"/>
        <v>1.56597222221899</v>
      </c>
      <c r="K1762" s="22">
        <f t="shared" si="136"/>
        <v>37.5833333332557</v>
      </c>
      <c r="L1762" s="22">
        <f t="shared" si="137"/>
        <v>5.58333333325572</v>
      </c>
      <c r="M1762" s="22" cm="1">
        <f ca="1" t="array" ref="M1762">SUMPRODUCT(--(WEEKDAY(ROW(INDIRECT(INT(F1762)&amp;":"&amp;INT(I1762))),2)&gt;5))</f>
        <v>0</v>
      </c>
      <c r="N1762" s="22">
        <f ca="1" t="shared" si="138"/>
        <v>5.58333333325572</v>
      </c>
      <c r="O1762" s="22" t="str">
        <f ca="1" t="shared" si="139"/>
        <v>Within SLA</v>
      </c>
      <c r="P1762" s="26" t="s">
        <v>6927</v>
      </c>
      <c r="Q1762" s="24" t="s">
        <v>37</v>
      </c>
      <c r="R1762" s="25"/>
      <c r="S1762" s="25"/>
    </row>
    <row r="1763" ht="27" customHeight="1" spans="1:19">
      <c r="A1763" s="19" t="s">
        <v>6930</v>
      </c>
      <c r="B1763" s="20" t="s">
        <v>30</v>
      </c>
      <c r="C1763" s="20" t="s">
        <v>46</v>
      </c>
      <c r="D1763" s="20" t="s">
        <v>32</v>
      </c>
      <c r="E1763" s="21" t="s">
        <v>6389</v>
      </c>
      <c r="F1763" s="21" t="s">
        <v>6931</v>
      </c>
      <c r="G1763" s="20" t="s">
        <v>35</v>
      </c>
      <c r="H1763" s="20" t="s">
        <v>25</v>
      </c>
      <c r="I1763" s="21" t="s">
        <v>4409</v>
      </c>
      <c r="J1763" s="22">
        <f t="shared" si="135"/>
        <v>0.272916666661331</v>
      </c>
      <c r="K1763" s="22">
        <f t="shared" si="136"/>
        <v>6.54999999987194</v>
      </c>
      <c r="L1763" s="22">
        <f t="shared" si="137"/>
        <v>6.54999999987194</v>
      </c>
      <c r="M1763" s="22" cm="1">
        <f ca="1" t="array" ref="M1763">SUMPRODUCT(--(WEEKDAY(ROW(INDIRECT(INT(F1763)&amp;":"&amp;INT(I1763))),2)&gt;5))</f>
        <v>0</v>
      </c>
      <c r="N1763" s="22">
        <f ca="1" t="shared" si="138"/>
        <v>6.54999999987194</v>
      </c>
      <c r="O1763" s="22" t="str">
        <f ca="1" t="shared" si="139"/>
        <v>Within SLA</v>
      </c>
      <c r="P1763" s="26" t="s">
        <v>6930</v>
      </c>
      <c r="Q1763" s="24" t="s">
        <v>37</v>
      </c>
      <c r="R1763" s="25"/>
      <c r="S1763" s="25"/>
    </row>
    <row r="1764" ht="27" customHeight="1" spans="1:19">
      <c r="A1764" s="19" t="s">
        <v>6932</v>
      </c>
      <c r="B1764" s="20" t="s">
        <v>30</v>
      </c>
      <c r="C1764" s="20" t="s">
        <v>31</v>
      </c>
      <c r="D1764" s="20" t="s">
        <v>32</v>
      </c>
      <c r="E1764" s="21" t="s">
        <v>6933</v>
      </c>
      <c r="F1764" s="21" t="s">
        <v>6934</v>
      </c>
      <c r="G1764" s="20" t="s">
        <v>35</v>
      </c>
      <c r="H1764" s="20" t="s">
        <v>25</v>
      </c>
      <c r="I1764" s="21" t="s">
        <v>6935</v>
      </c>
      <c r="J1764" s="22">
        <f t="shared" si="135"/>
        <v>3.00347222221899</v>
      </c>
      <c r="K1764" s="22">
        <f t="shared" si="136"/>
        <v>72.0833333332557</v>
      </c>
      <c r="L1764" s="22">
        <f t="shared" si="137"/>
        <v>24.0833333332557</v>
      </c>
      <c r="M1764" s="22" cm="1">
        <f ca="1" t="array" ref="M1764">SUMPRODUCT(--(WEEKDAY(ROW(INDIRECT(INT(F1764)&amp;":"&amp;INT(I1764))),2)&gt;5))</f>
        <v>0</v>
      </c>
      <c r="N1764" s="22">
        <f ca="1" t="shared" si="138"/>
        <v>24.0833333332557</v>
      </c>
      <c r="O1764" s="22" t="str">
        <f ca="1" t="shared" si="139"/>
        <v>SLA Violated</v>
      </c>
      <c r="P1764" s="26" t="s">
        <v>6932</v>
      </c>
      <c r="Q1764" s="24" t="s">
        <v>28</v>
      </c>
      <c r="R1764" s="25"/>
      <c r="S1764" s="25"/>
    </row>
    <row r="1765" ht="27" customHeight="1" spans="1:19">
      <c r="A1765" s="19" t="s">
        <v>6936</v>
      </c>
      <c r="B1765" s="20" t="s">
        <v>30</v>
      </c>
      <c r="C1765" s="20" t="s">
        <v>31</v>
      </c>
      <c r="D1765" s="20" t="s">
        <v>32</v>
      </c>
      <c r="E1765" s="21" t="s">
        <v>6303</v>
      </c>
      <c r="F1765" s="21" t="s">
        <v>6937</v>
      </c>
      <c r="G1765" s="20" t="s">
        <v>35</v>
      </c>
      <c r="H1765" s="20" t="s">
        <v>25</v>
      </c>
      <c r="I1765" s="21" t="s">
        <v>6938</v>
      </c>
      <c r="J1765" s="22">
        <f t="shared" si="135"/>
        <v>4.28680555555184</v>
      </c>
      <c r="K1765" s="22">
        <f t="shared" si="136"/>
        <v>102.883333333244</v>
      </c>
      <c r="L1765" s="22">
        <f t="shared" si="137"/>
        <v>38.8833333332441</v>
      </c>
      <c r="M1765" s="22" cm="1">
        <f ca="1" t="array" ref="M1765">SUMPRODUCT(--(WEEKDAY(ROW(INDIRECT(INT(F1765)&amp;":"&amp;INT(I1765))),2)&gt;5))</f>
        <v>0</v>
      </c>
      <c r="N1765" s="22">
        <f ca="1" t="shared" si="138"/>
        <v>38.8833333332441</v>
      </c>
      <c r="O1765" s="22" t="str">
        <f ca="1" t="shared" si="139"/>
        <v>SLA Violated</v>
      </c>
      <c r="P1765" s="26" t="s">
        <v>6936</v>
      </c>
      <c r="Q1765" s="24" t="s">
        <v>28</v>
      </c>
      <c r="R1765" s="25"/>
      <c r="S1765" s="25"/>
    </row>
    <row r="1766" ht="16" customHeight="1" spans="1:19">
      <c r="A1766" s="19" t="s">
        <v>6939</v>
      </c>
      <c r="B1766" s="20" t="s">
        <v>45</v>
      </c>
      <c r="C1766" s="20" t="s">
        <v>46</v>
      </c>
      <c r="D1766" s="20" t="s">
        <v>32</v>
      </c>
      <c r="E1766" s="21" t="s">
        <v>6303</v>
      </c>
      <c r="F1766" s="21" t="s">
        <v>6940</v>
      </c>
      <c r="G1766" s="20" t="s">
        <v>35</v>
      </c>
      <c r="H1766" s="20" t="s">
        <v>25</v>
      </c>
      <c r="I1766" s="21" t="s">
        <v>6941</v>
      </c>
      <c r="J1766" s="22">
        <f t="shared" si="135"/>
        <v>0.0340277777795563</v>
      </c>
      <c r="K1766" s="22">
        <f t="shared" si="136"/>
        <v>0.816666666709352</v>
      </c>
      <c r="L1766" s="22">
        <f t="shared" si="137"/>
        <v>0.816666666709352</v>
      </c>
      <c r="M1766" s="22" cm="1">
        <f ca="1" t="array" ref="M1766">SUMPRODUCT(--(WEEKDAY(ROW(INDIRECT(INT(F1766)&amp;":"&amp;INT(I1766))),2)&gt;5))</f>
        <v>0</v>
      </c>
      <c r="N1766" s="22">
        <f ca="1" t="shared" si="138"/>
        <v>0.816666666709352</v>
      </c>
      <c r="O1766" s="22" t="str">
        <f ca="1" t="shared" si="139"/>
        <v>Within SLA</v>
      </c>
      <c r="P1766" s="26" t="s">
        <v>6939</v>
      </c>
      <c r="Q1766" s="24" t="s">
        <v>37</v>
      </c>
      <c r="R1766" s="25"/>
      <c r="S1766" s="25"/>
    </row>
    <row r="1767" ht="39" customHeight="1" spans="1:19">
      <c r="A1767" s="19" t="s">
        <v>6942</v>
      </c>
      <c r="B1767" s="20" t="s">
        <v>19</v>
      </c>
      <c r="C1767" s="20" t="s">
        <v>20</v>
      </c>
      <c r="D1767" s="20" t="s">
        <v>32</v>
      </c>
      <c r="E1767" s="21" t="s">
        <v>6303</v>
      </c>
      <c r="F1767" s="21" t="s">
        <v>6943</v>
      </c>
      <c r="G1767" s="20" t="s">
        <v>35</v>
      </c>
      <c r="H1767" s="20" t="s">
        <v>25</v>
      </c>
      <c r="I1767" s="21" t="s">
        <v>6944</v>
      </c>
      <c r="J1767" s="22">
        <f t="shared" si="135"/>
        <v>0.129166666665697</v>
      </c>
      <c r="K1767" s="22">
        <f t="shared" si="136"/>
        <v>3.09999999997672</v>
      </c>
      <c r="L1767" s="22">
        <f t="shared" si="137"/>
        <v>3.09999999997672</v>
      </c>
      <c r="M1767" s="22" cm="1">
        <f ca="1" t="array" ref="M1767">SUMPRODUCT(--(WEEKDAY(ROW(INDIRECT(INT(F1767)&amp;":"&amp;INT(I1767))),2)&gt;5))</f>
        <v>0</v>
      </c>
      <c r="N1767" s="22">
        <f ca="1" t="shared" si="138"/>
        <v>3.09999999997672</v>
      </c>
      <c r="O1767" s="22" t="str">
        <f ca="1" t="shared" si="139"/>
        <v>Within SLA</v>
      </c>
      <c r="P1767" s="26" t="s">
        <v>6942</v>
      </c>
      <c r="Q1767" s="24" t="s">
        <v>37</v>
      </c>
      <c r="R1767" s="25"/>
      <c r="S1767" s="25"/>
    </row>
    <row r="1768" ht="39" customHeight="1" spans="1:19">
      <c r="A1768" s="19" t="s">
        <v>6945</v>
      </c>
      <c r="B1768" s="20" t="s">
        <v>19</v>
      </c>
      <c r="C1768" s="20" t="s">
        <v>20</v>
      </c>
      <c r="D1768" s="20" t="s">
        <v>21</v>
      </c>
      <c r="E1768" s="21" t="s">
        <v>6892</v>
      </c>
      <c r="F1768" s="21" t="s">
        <v>6946</v>
      </c>
      <c r="G1768" s="20" t="s">
        <v>35</v>
      </c>
      <c r="H1768" s="20" t="s">
        <v>25</v>
      </c>
      <c r="I1768" s="21" t="s">
        <v>6947</v>
      </c>
      <c r="J1768" s="22">
        <f t="shared" si="135"/>
        <v>0.0451388888905058</v>
      </c>
      <c r="K1768" s="22">
        <f t="shared" si="136"/>
        <v>1.08333333337214</v>
      </c>
      <c r="L1768" s="22">
        <f t="shared" si="137"/>
        <v>1.08333333337214</v>
      </c>
      <c r="M1768" s="22" cm="1">
        <f ca="1" t="array" ref="M1768">SUMPRODUCT(--(WEEKDAY(ROW(INDIRECT(INT(F1768)&amp;":"&amp;INT(I1768))),2)&gt;5))</f>
        <v>0</v>
      </c>
      <c r="N1768" s="22">
        <f ca="1" t="shared" si="138"/>
        <v>1.08333333337214</v>
      </c>
      <c r="O1768" s="22" t="str">
        <f ca="1" t="shared" si="139"/>
        <v>Within SLA</v>
      </c>
      <c r="P1768" s="26" t="s">
        <v>6945</v>
      </c>
      <c r="Q1768" s="24" t="s">
        <v>37</v>
      </c>
      <c r="R1768" s="25"/>
      <c r="S1768" s="25"/>
    </row>
    <row r="1769" ht="27" customHeight="1" spans="1:19">
      <c r="A1769" s="19" t="s">
        <v>6948</v>
      </c>
      <c r="B1769" s="20" t="s">
        <v>30</v>
      </c>
      <c r="C1769" s="20" t="s">
        <v>31</v>
      </c>
      <c r="D1769" s="20" t="s">
        <v>32</v>
      </c>
      <c r="E1769" s="21" t="s">
        <v>4249</v>
      </c>
      <c r="F1769" s="21" t="s">
        <v>6949</v>
      </c>
      <c r="G1769" s="20" t="s">
        <v>35</v>
      </c>
      <c r="H1769" s="20" t="s">
        <v>25</v>
      </c>
      <c r="I1769" s="21" t="s">
        <v>6950</v>
      </c>
      <c r="J1769" s="22">
        <f t="shared" si="135"/>
        <v>2.97222222222626</v>
      </c>
      <c r="K1769" s="22">
        <f t="shared" si="136"/>
        <v>71.3333333334303</v>
      </c>
      <c r="L1769" s="22">
        <f t="shared" si="137"/>
        <v>23.3333333334303</v>
      </c>
      <c r="M1769" s="22" cm="1">
        <f ca="1" t="array" ref="M1769">SUMPRODUCT(--(WEEKDAY(ROW(INDIRECT(INT(F1769)&amp;":"&amp;INT(I1769))),2)&gt;5))</f>
        <v>0</v>
      </c>
      <c r="N1769" s="22">
        <f ca="1" t="shared" si="138"/>
        <v>23.3333333334303</v>
      </c>
      <c r="O1769" s="22" t="str">
        <f ca="1" t="shared" si="139"/>
        <v>SLA Violated</v>
      </c>
      <c r="P1769" s="26" t="s">
        <v>6948</v>
      </c>
      <c r="Q1769" s="24" t="s">
        <v>28</v>
      </c>
      <c r="R1769" s="25"/>
      <c r="S1769" s="25"/>
    </row>
    <row r="1770" ht="27" customHeight="1" spans="1:19">
      <c r="A1770" s="19" t="s">
        <v>6951</v>
      </c>
      <c r="B1770" s="20" t="s">
        <v>30</v>
      </c>
      <c r="C1770" s="20" t="s">
        <v>31</v>
      </c>
      <c r="D1770" s="20" t="s">
        <v>32</v>
      </c>
      <c r="E1770" s="21" t="s">
        <v>6952</v>
      </c>
      <c r="F1770" s="21" t="s">
        <v>6953</v>
      </c>
      <c r="G1770" s="20" t="s">
        <v>35</v>
      </c>
      <c r="H1770" s="20" t="s">
        <v>25</v>
      </c>
      <c r="I1770" s="21" t="s">
        <v>6954</v>
      </c>
      <c r="J1770" s="22">
        <f t="shared" si="135"/>
        <v>1.13611111111095</v>
      </c>
      <c r="K1770" s="22">
        <f t="shared" si="136"/>
        <v>27.2666666666628</v>
      </c>
      <c r="L1770" s="22">
        <f t="shared" si="137"/>
        <v>11.2666666666628</v>
      </c>
      <c r="M1770" s="22" cm="1">
        <f ca="1" t="array" ref="M1770">SUMPRODUCT(--(WEEKDAY(ROW(INDIRECT(INT(F1770)&amp;":"&amp;INT(I1770))),2)&gt;5))</f>
        <v>0</v>
      </c>
      <c r="N1770" s="22">
        <f ca="1" t="shared" si="138"/>
        <v>11.2666666666628</v>
      </c>
      <c r="O1770" s="22" t="str">
        <f ca="1" t="shared" si="139"/>
        <v>Within SLA</v>
      </c>
      <c r="P1770" s="26" t="s">
        <v>6951</v>
      </c>
      <c r="Q1770" s="24" t="s">
        <v>37</v>
      </c>
      <c r="R1770" s="25"/>
      <c r="S1770" s="25"/>
    </row>
    <row r="1771" ht="27" customHeight="1" spans="1:19">
      <c r="A1771" s="19" t="s">
        <v>6955</v>
      </c>
      <c r="B1771" s="20" t="s">
        <v>30</v>
      </c>
      <c r="C1771" s="20" t="s">
        <v>31</v>
      </c>
      <c r="D1771" s="20" t="s">
        <v>32</v>
      </c>
      <c r="E1771" s="21" t="s">
        <v>6935</v>
      </c>
      <c r="F1771" s="21" t="s">
        <v>6956</v>
      </c>
      <c r="G1771" s="20" t="s">
        <v>35</v>
      </c>
      <c r="H1771" s="20" t="s">
        <v>25</v>
      </c>
      <c r="I1771" s="21" t="s">
        <v>6957</v>
      </c>
      <c r="J1771" s="22">
        <f t="shared" si="135"/>
        <v>4.27013888888905</v>
      </c>
      <c r="K1771" s="22">
        <f t="shared" si="136"/>
        <v>102.483333333337</v>
      </c>
      <c r="L1771" s="22">
        <f t="shared" si="137"/>
        <v>38.4833333333372</v>
      </c>
      <c r="M1771" s="22" cm="1">
        <f ca="1" t="array" ref="M1771">SUMPRODUCT(--(WEEKDAY(ROW(INDIRECT(INT(F1771)&amp;":"&amp;INT(I1771))),2)&gt;5))</f>
        <v>0</v>
      </c>
      <c r="N1771" s="22">
        <f ca="1" t="shared" si="138"/>
        <v>38.4833333333372</v>
      </c>
      <c r="O1771" s="22" t="str">
        <f ca="1" t="shared" si="139"/>
        <v>SLA Violated</v>
      </c>
      <c r="P1771" s="26" t="s">
        <v>6955</v>
      </c>
      <c r="Q1771" s="24" t="s">
        <v>28</v>
      </c>
      <c r="R1771" s="25"/>
      <c r="S1771" s="25"/>
    </row>
    <row r="1772" ht="27" customHeight="1" spans="1:19">
      <c r="A1772" s="19" t="s">
        <v>6958</v>
      </c>
      <c r="B1772" s="20" t="s">
        <v>30</v>
      </c>
      <c r="C1772" s="20" t="s">
        <v>31</v>
      </c>
      <c r="D1772" s="20" t="s">
        <v>32</v>
      </c>
      <c r="E1772" s="21" t="s">
        <v>6959</v>
      </c>
      <c r="F1772" s="21" t="s">
        <v>6960</v>
      </c>
      <c r="G1772" s="20" t="s">
        <v>24</v>
      </c>
      <c r="H1772" s="20" t="s">
        <v>25</v>
      </c>
      <c r="I1772" s="21" t="s">
        <v>6961</v>
      </c>
      <c r="J1772" s="22">
        <f t="shared" si="135"/>
        <v>1.1298611111124</v>
      </c>
      <c r="K1772" s="22">
        <f t="shared" si="136"/>
        <v>27.1166666666977</v>
      </c>
      <c r="L1772" s="22">
        <f t="shared" si="137"/>
        <v>11.1166666666977</v>
      </c>
      <c r="M1772" s="22" cm="1">
        <f ca="1" t="array" ref="M1772">SUMPRODUCT(--(WEEKDAY(ROW(INDIRECT(INT(F1772)&amp;":"&amp;INT(I1772))),2)&gt;5))</f>
        <v>0</v>
      </c>
      <c r="N1772" s="22">
        <f ca="1" t="shared" si="138"/>
        <v>11.1166666666977</v>
      </c>
      <c r="O1772" s="22" t="str">
        <f ca="1" t="shared" si="139"/>
        <v>Within SLA</v>
      </c>
      <c r="P1772" s="26" t="s">
        <v>6958</v>
      </c>
      <c r="Q1772" s="24" t="s">
        <v>37</v>
      </c>
      <c r="R1772" s="25"/>
      <c r="S1772" s="25"/>
    </row>
    <row r="1773" ht="39" customHeight="1" spans="1:19">
      <c r="A1773" s="19" t="s">
        <v>6962</v>
      </c>
      <c r="B1773" s="20" t="s">
        <v>19</v>
      </c>
      <c r="C1773" s="20" t="s">
        <v>20</v>
      </c>
      <c r="D1773" s="20" t="s">
        <v>32</v>
      </c>
      <c r="E1773" s="21" t="s">
        <v>6959</v>
      </c>
      <c r="F1773" s="21" t="s">
        <v>6963</v>
      </c>
      <c r="G1773" s="20" t="s">
        <v>35</v>
      </c>
      <c r="H1773" s="20" t="s">
        <v>25</v>
      </c>
      <c r="I1773" s="21" t="s">
        <v>6964</v>
      </c>
      <c r="J1773" s="22">
        <f t="shared" si="135"/>
        <v>7.14513888888905</v>
      </c>
      <c r="K1773" s="22">
        <f t="shared" si="136"/>
        <v>171.483333333337</v>
      </c>
      <c r="L1773" s="22">
        <f t="shared" si="137"/>
        <v>59.4833333333372</v>
      </c>
      <c r="M1773" s="22" cm="1">
        <f ca="1" t="array" ref="M1773">SUMPRODUCT(--(WEEKDAY(ROW(INDIRECT(INT(F1773)&amp;":"&amp;INT(I1773))),2)&gt;5))</f>
        <v>2</v>
      </c>
      <c r="N1773" s="22">
        <f ca="1" t="shared" si="138"/>
        <v>43.4833333333372</v>
      </c>
      <c r="O1773" s="22" t="str">
        <f ca="1" t="shared" si="139"/>
        <v>SLA Violated</v>
      </c>
      <c r="P1773" s="23" t="s">
        <v>6965</v>
      </c>
      <c r="Q1773" s="24" t="s">
        <v>28</v>
      </c>
      <c r="R1773" s="25"/>
      <c r="S1773" s="25"/>
    </row>
    <row r="1774" ht="39" customHeight="1" spans="1:19">
      <c r="A1774" s="19" t="s">
        <v>6966</v>
      </c>
      <c r="B1774" s="20" t="s">
        <v>19</v>
      </c>
      <c r="C1774" s="20" t="s">
        <v>20</v>
      </c>
      <c r="D1774" s="20" t="s">
        <v>32</v>
      </c>
      <c r="E1774" s="21" t="s">
        <v>4927</v>
      </c>
      <c r="F1774" s="21" t="s">
        <v>6967</v>
      </c>
      <c r="G1774" s="20" t="s">
        <v>35</v>
      </c>
      <c r="H1774" s="20" t="s">
        <v>25</v>
      </c>
      <c r="I1774" s="21" t="s">
        <v>6968</v>
      </c>
      <c r="J1774" s="22">
        <f t="shared" si="135"/>
        <v>1.12013888889487</v>
      </c>
      <c r="K1774" s="22">
        <f t="shared" si="136"/>
        <v>26.8833333334769</v>
      </c>
      <c r="L1774" s="22">
        <f t="shared" si="137"/>
        <v>10.8833333334769</v>
      </c>
      <c r="M1774" s="22" cm="1">
        <f ca="1" t="array" ref="M1774">SUMPRODUCT(--(WEEKDAY(ROW(INDIRECT(INT(F1774)&amp;":"&amp;INT(I1774))),2)&gt;5))</f>
        <v>0</v>
      </c>
      <c r="N1774" s="22">
        <f ca="1" t="shared" si="138"/>
        <v>10.8833333334769</v>
      </c>
      <c r="O1774" s="22" t="str">
        <f ca="1" t="shared" si="139"/>
        <v>Within SLA</v>
      </c>
      <c r="P1774" s="26" t="s">
        <v>6966</v>
      </c>
      <c r="Q1774" s="24" t="s">
        <v>37</v>
      </c>
      <c r="R1774" s="25"/>
      <c r="S1774" s="25"/>
    </row>
    <row r="1775" ht="27" customHeight="1" spans="1:19">
      <c r="A1775" s="19" t="s">
        <v>6969</v>
      </c>
      <c r="B1775" s="20" t="s">
        <v>30</v>
      </c>
      <c r="C1775" s="20" t="s">
        <v>31</v>
      </c>
      <c r="D1775" s="20" t="s">
        <v>32</v>
      </c>
      <c r="E1775" s="21" t="s">
        <v>6970</v>
      </c>
      <c r="F1775" s="21" t="s">
        <v>6971</v>
      </c>
      <c r="G1775" s="20" t="s">
        <v>35</v>
      </c>
      <c r="H1775" s="20" t="s">
        <v>25</v>
      </c>
      <c r="I1775" s="21" t="s">
        <v>6972</v>
      </c>
      <c r="J1775" s="22">
        <f t="shared" si="135"/>
        <v>18.0430555555577</v>
      </c>
      <c r="K1775" s="22">
        <f t="shared" si="136"/>
        <v>433.033333333384</v>
      </c>
      <c r="L1775" s="22">
        <f t="shared" si="137"/>
        <v>145.033333333384</v>
      </c>
      <c r="M1775" s="22" cm="1">
        <f ca="1" t="array" ref="M1775">SUMPRODUCT(--(WEEKDAY(ROW(INDIRECT(INT(F1775)&amp;":"&amp;INT(I1775))),2)&gt;5))</f>
        <v>4</v>
      </c>
      <c r="N1775" s="22">
        <f ca="1" t="shared" si="138"/>
        <v>113.033333333384</v>
      </c>
      <c r="O1775" s="22" t="str">
        <f ca="1" t="shared" si="139"/>
        <v>SLA Violated</v>
      </c>
      <c r="P1775" s="26" t="s">
        <v>6969</v>
      </c>
      <c r="Q1775" s="24" t="s">
        <v>28</v>
      </c>
      <c r="R1775" s="25"/>
      <c r="S1775" s="25"/>
    </row>
    <row r="1776" ht="27" customHeight="1" spans="1:19">
      <c r="A1776" s="19" t="s">
        <v>6973</v>
      </c>
      <c r="B1776" s="20" t="s">
        <v>30</v>
      </c>
      <c r="C1776" s="20" t="s">
        <v>31</v>
      </c>
      <c r="D1776" s="20" t="s">
        <v>32</v>
      </c>
      <c r="E1776" s="21" t="s">
        <v>6970</v>
      </c>
      <c r="F1776" s="21" t="s">
        <v>6974</v>
      </c>
      <c r="G1776" s="20" t="s">
        <v>35</v>
      </c>
      <c r="H1776" s="20" t="s">
        <v>25</v>
      </c>
      <c r="I1776" s="21" t="s">
        <v>6975</v>
      </c>
      <c r="J1776" s="22">
        <f t="shared" si="135"/>
        <v>1.51875000000291</v>
      </c>
      <c r="K1776" s="22">
        <f t="shared" si="136"/>
        <v>36.4500000000698</v>
      </c>
      <c r="L1776" s="22">
        <f t="shared" si="137"/>
        <v>4.45000000006985</v>
      </c>
      <c r="M1776" s="22" cm="1">
        <f ca="1" t="array" ref="M1776">SUMPRODUCT(--(WEEKDAY(ROW(INDIRECT(INT(F1776)&amp;":"&amp;INT(I1776))),2)&gt;5))</f>
        <v>0</v>
      </c>
      <c r="N1776" s="22">
        <f ca="1" t="shared" si="138"/>
        <v>4.45000000006985</v>
      </c>
      <c r="O1776" s="22" t="str">
        <f ca="1" t="shared" si="139"/>
        <v>Within SLA</v>
      </c>
      <c r="P1776" s="26" t="s">
        <v>6973</v>
      </c>
      <c r="Q1776" s="24" t="s">
        <v>37</v>
      </c>
      <c r="R1776" s="25"/>
      <c r="S1776" s="25"/>
    </row>
    <row r="1777" ht="39" customHeight="1" spans="1:19">
      <c r="A1777" s="28" t="s">
        <v>6976</v>
      </c>
      <c r="B1777" s="20" t="s">
        <v>19</v>
      </c>
      <c r="C1777" s="20" t="s">
        <v>20</v>
      </c>
      <c r="D1777" s="20" t="s">
        <v>21</v>
      </c>
      <c r="E1777" s="21" t="s">
        <v>6977</v>
      </c>
      <c r="F1777" s="21" t="s">
        <v>6978</v>
      </c>
      <c r="G1777" s="20" t="s">
        <v>35</v>
      </c>
      <c r="H1777" s="20" t="s">
        <v>25</v>
      </c>
      <c r="I1777" s="21" t="s">
        <v>6979</v>
      </c>
      <c r="J1777" s="22">
        <f t="shared" si="135"/>
        <v>0.964583333334303</v>
      </c>
      <c r="K1777" s="22">
        <f t="shared" si="136"/>
        <v>23.1500000000233</v>
      </c>
      <c r="L1777" s="22">
        <f t="shared" si="137"/>
        <v>7.15000000002328</v>
      </c>
      <c r="M1777" s="22" cm="1">
        <f ca="1" t="array" ref="M1777">SUMPRODUCT(--(WEEKDAY(ROW(INDIRECT(INT(F1777)&amp;":"&amp;INT(I1777))),2)&gt;5))</f>
        <v>0</v>
      </c>
      <c r="N1777" s="22">
        <f ca="1" t="shared" si="138"/>
        <v>7.15000000002328</v>
      </c>
      <c r="O1777" s="22" t="str">
        <f ca="1" t="shared" si="139"/>
        <v>SLA Violated</v>
      </c>
      <c r="P1777" s="26" t="s">
        <v>6980</v>
      </c>
      <c r="Q1777" s="24" t="s">
        <v>28</v>
      </c>
      <c r="R1777" s="25"/>
      <c r="S1777" s="25"/>
    </row>
    <row r="1778" ht="50" customHeight="1" spans="1:19">
      <c r="A1778" s="19" t="s">
        <v>6981</v>
      </c>
      <c r="B1778" s="20" t="s">
        <v>369</v>
      </c>
      <c r="C1778" s="20" t="s">
        <v>46</v>
      </c>
      <c r="D1778" s="20" t="s">
        <v>32</v>
      </c>
      <c r="E1778" s="21" t="s">
        <v>6961</v>
      </c>
      <c r="F1778" s="21" t="s">
        <v>6982</v>
      </c>
      <c r="G1778" s="20" t="s">
        <v>35</v>
      </c>
      <c r="H1778" s="20" t="s">
        <v>25</v>
      </c>
      <c r="I1778" s="21" t="s">
        <v>6983</v>
      </c>
      <c r="J1778" s="22">
        <f t="shared" si="135"/>
        <v>0.0187500000029104</v>
      </c>
      <c r="K1778" s="22">
        <f t="shared" si="136"/>
        <v>0.450000000069849</v>
      </c>
      <c r="L1778" s="22">
        <f t="shared" si="137"/>
        <v>0.450000000069849</v>
      </c>
      <c r="M1778" s="22" cm="1">
        <f ca="1" t="array" ref="M1778">SUMPRODUCT(--(WEEKDAY(ROW(INDIRECT(INT(F1778)&amp;":"&amp;INT(I1778))),2)&gt;5))</f>
        <v>0</v>
      </c>
      <c r="N1778" s="22">
        <f ca="1" t="shared" si="138"/>
        <v>0.450000000069849</v>
      </c>
      <c r="O1778" s="22" t="str">
        <f ca="1" t="shared" si="139"/>
        <v>Within SLA</v>
      </c>
      <c r="P1778" s="26" t="s">
        <v>6981</v>
      </c>
      <c r="Q1778" s="24" t="s">
        <v>37</v>
      </c>
      <c r="R1778" s="25"/>
      <c r="S1778" s="25"/>
    </row>
    <row r="1779" ht="39" customHeight="1" spans="1:19">
      <c r="A1779" s="19" t="s">
        <v>6984</v>
      </c>
      <c r="B1779" s="20" t="s">
        <v>4167</v>
      </c>
      <c r="C1779" s="20" t="s">
        <v>101</v>
      </c>
      <c r="D1779" s="20" t="s">
        <v>32</v>
      </c>
      <c r="E1779" s="21" t="s">
        <v>6985</v>
      </c>
      <c r="F1779" s="21" t="s">
        <v>6986</v>
      </c>
      <c r="G1779" s="20" t="s">
        <v>35</v>
      </c>
      <c r="H1779" s="20" t="s">
        <v>25</v>
      </c>
      <c r="I1779" s="21" t="s">
        <v>6987</v>
      </c>
      <c r="J1779" s="22">
        <f t="shared" si="135"/>
        <v>46.2569444444453</v>
      </c>
      <c r="K1779" s="22">
        <f t="shared" si="136"/>
        <v>1110.16666666669</v>
      </c>
      <c r="L1779" s="22">
        <f t="shared" si="137"/>
        <v>374.166666666686</v>
      </c>
      <c r="M1779" s="22" cm="1">
        <f ca="1" t="array" ref="M1779">SUMPRODUCT(--(WEEKDAY(ROW(INDIRECT(INT(F1779)&amp;":"&amp;INT(I1779))),2)&gt;5))</f>
        <v>12</v>
      </c>
      <c r="N1779" s="22">
        <f ca="1" t="shared" si="138"/>
        <v>278.166666666686</v>
      </c>
      <c r="O1779" s="22" t="str">
        <f ca="1" t="shared" si="139"/>
        <v>SLA Violated</v>
      </c>
      <c r="P1779" s="23" t="s">
        <v>6988</v>
      </c>
      <c r="Q1779" s="24" t="s">
        <v>28</v>
      </c>
      <c r="R1779" s="25"/>
      <c r="S1779" s="25"/>
    </row>
    <row r="1780" ht="27" customHeight="1" spans="1:19">
      <c r="A1780" s="19" t="s">
        <v>6989</v>
      </c>
      <c r="B1780" s="20" t="s">
        <v>30</v>
      </c>
      <c r="C1780" s="20" t="s">
        <v>849</v>
      </c>
      <c r="D1780" s="20" t="s">
        <v>32</v>
      </c>
      <c r="E1780" s="21" t="s">
        <v>6985</v>
      </c>
      <c r="F1780" s="21" t="s">
        <v>6990</v>
      </c>
      <c r="G1780" s="20" t="s">
        <v>24</v>
      </c>
      <c r="H1780" s="20" t="s">
        <v>25</v>
      </c>
      <c r="I1780" s="21" t="s">
        <v>6991</v>
      </c>
      <c r="J1780" s="22">
        <f t="shared" si="135"/>
        <v>1.02013888888905</v>
      </c>
      <c r="K1780" s="22">
        <f t="shared" si="136"/>
        <v>24.4833333333372</v>
      </c>
      <c r="L1780" s="22">
        <f t="shared" si="137"/>
        <v>8.48333333333721</v>
      </c>
      <c r="M1780" s="22" cm="1">
        <f ca="1" t="array" ref="M1780">SUMPRODUCT(--(WEEKDAY(ROW(INDIRECT(INT(F1780)&amp;":"&amp;INT(I1780))),2)&gt;5))</f>
        <v>0</v>
      </c>
      <c r="N1780" s="22">
        <f ca="1" t="shared" si="138"/>
        <v>8.48333333333721</v>
      </c>
      <c r="O1780" s="22" t="str">
        <f ca="1" t="shared" si="139"/>
        <v>Within SLA</v>
      </c>
      <c r="P1780" s="26" t="s">
        <v>6989</v>
      </c>
      <c r="Q1780" s="24" t="s">
        <v>37</v>
      </c>
      <c r="R1780" s="25"/>
      <c r="S1780" s="25"/>
    </row>
    <row r="1781" ht="27" customHeight="1" spans="1:19">
      <c r="A1781" s="19" t="s">
        <v>6992</v>
      </c>
      <c r="B1781" s="20" t="s">
        <v>30</v>
      </c>
      <c r="C1781" s="20" t="s">
        <v>31</v>
      </c>
      <c r="D1781" s="20" t="s">
        <v>32</v>
      </c>
      <c r="E1781" s="21" t="s">
        <v>6993</v>
      </c>
      <c r="F1781" s="21" t="s">
        <v>6994</v>
      </c>
      <c r="G1781" s="20" t="s">
        <v>35</v>
      </c>
      <c r="H1781" s="20" t="s">
        <v>25</v>
      </c>
      <c r="I1781" s="21" t="s">
        <v>6995</v>
      </c>
      <c r="J1781" s="22">
        <f t="shared" si="135"/>
        <v>27.2041666666701</v>
      </c>
      <c r="K1781" s="22">
        <f t="shared" si="136"/>
        <v>652.900000000081</v>
      </c>
      <c r="L1781" s="22">
        <f t="shared" si="137"/>
        <v>220.900000000081</v>
      </c>
      <c r="M1781" s="22" cm="1">
        <f ca="1" t="array" ref="M1781">SUMPRODUCT(--(WEEKDAY(ROW(INDIRECT(INT(F1781)&amp;":"&amp;INT(I1781))),2)&gt;5))</f>
        <v>8</v>
      </c>
      <c r="N1781" s="22">
        <f ca="1" t="shared" si="138"/>
        <v>156.900000000081</v>
      </c>
      <c r="O1781" s="22" t="str">
        <f ca="1" t="shared" si="139"/>
        <v>SLA Violated</v>
      </c>
      <c r="P1781" s="26" t="s">
        <v>6992</v>
      </c>
      <c r="Q1781" s="24" t="s">
        <v>28</v>
      </c>
      <c r="R1781" s="25"/>
      <c r="S1781" s="25"/>
    </row>
    <row r="1782" ht="39" customHeight="1" spans="1:19">
      <c r="A1782" s="19" t="s">
        <v>6996</v>
      </c>
      <c r="B1782" s="20" t="s">
        <v>19</v>
      </c>
      <c r="C1782" s="20" t="s">
        <v>20</v>
      </c>
      <c r="D1782" s="20" t="s">
        <v>32</v>
      </c>
      <c r="E1782" s="21" t="s">
        <v>6997</v>
      </c>
      <c r="F1782" s="21" t="s">
        <v>6998</v>
      </c>
      <c r="G1782" s="20" t="s">
        <v>24</v>
      </c>
      <c r="H1782" s="20" t="s">
        <v>25</v>
      </c>
      <c r="I1782" s="21" t="s">
        <v>6999</v>
      </c>
      <c r="J1782" s="22">
        <f t="shared" si="135"/>
        <v>2.02361111110804</v>
      </c>
      <c r="K1782" s="22">
        <f t="shared" si="136"/>
        <v>48.5666666665929</v>
      </c>
      <c r="L1782" s="22">
        <f t="shared" si="137"/>
        <v>16.5666666665929</v>
      </c>
      <c r="M1782" s="22" cm="1">
        <f ca="1" t="array" ref="M1782">SUMPRODUCT(--(WEEKDAY(ROW(INDIRECT(INT(F1782)&amp;":"&amp;INT(I1782))),2)&gt;5))</f>
        <v>0</v>
      </c>
      <c r="N1782" s="22">
        <f ca="1" t="shared" si="138"/>
        <v>16.5666666665929</v>
      </c>
      <c r="O1782" s="22" t="str">
        <f ca="1" t="shared" si="139"/>
        <v>SLA Violated</v>
      </c>
      <c r="P1782" s="23" t="s">
        <v>7000</v>
      </c>
      <c r="Q1782" s="24" t="s">
        <v>37</v>
      </c>
      <c r="R1782" s="25"/>
      <c r="S1782" s="25" t="s">
        <v>97</v>
      </c>
    </row>
    <row r="1783" ht="39" customHeight="1" spans="1:19">
      <c r="A1783" s="19" t="s">
        <v>7001</v>
      </c>
      <c r="B1783" s="20" t="s">
        <v>19</v>
      </c>
      <c r="C1783" s="20" t="s">
        <v>20</v>
      </c>
      <c r="D1783" s="20" t="s">
        <v>32</v>
      </c>
      <c r="E1783" s="21" t="s">
        <v>6946</v>
      </c>
      <c r="F1783" s="21" t="s">
        <v>5980</v>
      </c>
      <c r="G1783" s="20" t="s">
        <v>35</v>
      </c>
      <c r="H1783" s="20" t="s">
        <v>25</v>
      </c>
      <c r="I1783" s="21" t="s">
        <v>5980</v>
      </c>
      <c r="J1783" s="22">
        <f t="shared" si="135"/>
        <v>0</v>
      </c>
      <c r="K1783" s="22">
        <f t="shared" si="136"/>
        <v>0</v>
      </c>
      <c r="L1783" s="22">
        <f t="shared" si="137"/>
        <v>0</v>
      </c>
      <c r="M1783" s="22" cm="1">
        <f ca="1" t="array" ref="M1783">SUMPRODUCT(--(WEEKDAY(ROW(INDIRECT(INT(F1783)&amp;":"&amp;INT(I1783))),2)&gt;5))</f>
        <v>0</v>
      </c>
      <c r="N1783" s="22">
        <f ca="1" t="shared" si="138"/>
        <v>0</v>
      </c>
      <c r="O1783" s="22" t="str">
        <f ca="1" t="shared" si="139"/>
        <v>Within SLA</v>
      </c>
      <c r="P1783" s="26" t="s">
        <v>7001</v>
      </c>
      <c r="Q1783" s="24" t="s">
        <v>37</v>
      </c>
      <c r="R1783" s="25"/>
      <c r="S1783" s="25"/>
    </row>
    <row r="1784" ht="27" customHeight="1" spans="1:19">
      <c r="A1784" s="19" t="s">
        <v>7002</v>
      </c>
      <c r="B1784" s="20" t="s">
        <v>30</v>
      </c>
      <c r="C1784" s="20" t="s">
        <v>31</v>
      </c>
      <c r="D1784" s="20" t="s">
        <v>32</v>
      </c>
      <c r="E1784" s="21" t="s">
        <v>7003</v>
      </c>
      <c r="F1784" s="21" t="s">
        <v>7004</v>
      </c>
      <c r="G1784" s="20" t="s">
        <v>35</v>
      </c>
      <c r="H1784" s="20" t="s">
        <v>25</v>
      </c>
      <c r="I1784" s="21" t="s">
        <v>7005</v>
      </c>
      <c r="J1784" s="22">
        <f t="shared" si="135"/>
        <v>1.0222222222219</v>
      </c>
      <c r="K1784" s="22">
        <f t="shared" si="136"/>
        <v>24.5333333333256</v>
      </c>
      <c r="L1784" s="22">
        <f t="shared" si="137"/>
        <v>8.53333333332557</v>
      </c>
      <c r="M1784" s="22" cm="1">
        <f ca="1" t="array" ref="M1784">SUMPRODUCT(--(WEEKDAY(ROW(INDIRECT(INT(F1784)&amp;":"&amp;INT(I1784))),2)&gt;5))</f>
        <v>0</v>
      </c>
      <c r="N1784" s="22">
        <f ca="1" t="shared" si="138"/>
        <v>8.53333333332557</v>
      </c>
      <c r="O1784" s="22" t="str">
        <f ca="1" t="shared" si="139"/>
        <v>Within SLA</v>
      </c>
      <c r="P1784" s="26" t="s">
        <v>7002</v>
      </c>
      <c r="Q1784" s="24" t="s">
        <v>37</v>
      </c>
      <c r="R1784" s="25"/>
      <c r="S1784" s="25"/>
    </row>
    <row r="1785" ht="27" customHeight="1" spans="1:19">
      <c r="A1785" s="19" t="s">
        <v>7006</v>
      </c>
      <c r="B1785" s="20" t="s">
        <v>30</v>
      </c>
      <c r="C1785" s="20" t="s">
        <v>849</v>
      </c>
      <c r="D1785" s="20" t="s">
        <v>32</v>
      </c>
      <c r="E1785" s="21" t="s">
        <v>4486</v>
      </c>
      <c r="F1785" s="21" t="s">
        <v>6866</v>
      </c>
      <c r="G1785" s="20" t="s">
        <v>35</v>
      </c>
      <c r="H1785" s="20" t="s">
        <v>25</v>
      </c>
      <c r="I1785" s="21" t="s">
        <v>7007</v>
      </c>
      <c r="J1785" s="22">
        <f t="shared" si="135"/>
        <v>4.14236111110949</v>
      </c>
      <c r="K1785" s="22">
        <f t="shared" si="136"/>
        <v>99.4166666666279</v>
      </c>
      <c r="L1785" s="22">
        <f t="shared" si="137"/>
        <v>35.4166666666279</v>
      </c>
      <c r="M1785" s="22" cm="1">
        <f ca="1" t="array" ref="M1785">SUMPRODUCT(--(WEEKDAY(ROW(INDIRECT(INT(F1785)&amp;":"&amp;INT(I1785))),2)&gt;5))</f>
        <v>0</v>
      </c>
      <c r="N1785" s="22">
        <f ca="1" t="shared" si="138"/>
        <v>35.4166666666279</v>
      </c>
      <c r="O1785" s="22" t="str">
        <f ca="1" t="shared" si="139"/>
        <v>SLA Violated</v>
      </c>
      <c r="P1785" s="23" t="s">
        <v>7008</v>
      </c>
      <c r="Q1785" s="24" t="s">
        <v>28</v>
      </c>
      <c r="R1785" s="25"/>
      <c r="S1785" s="25"/>
    </row>
    <row r="1786" ht="39" customHeight="1" spans="1:19">
      <c r="A1786" s="19" t="s">
        <v>7009</v>
      </c>
      <c r="B1786" s="20" t="s">
        <v>19</v>
      </c>
      <c r="C1786" s="20" t="s">
        <v>20</v>
      </c>
      <c r="D1786" s="20" t="s">
        <v>32</v>
      </c>
      <c r="E1786" s="21" t="s">
        <v>4499</v>
      </c>
      <c r="F1786" s="21" t="s">
        <v>3234</v>
      </c>
      <c r="G1786" s="20" t="s">
        <v>35</v>
      </c>
      <c r="H1786" s="20" t="s">
        <v>25</v>
      </c>
      <c r="I1786" s="21" t="s">
        <v>7010</v>
      </c>
      <c r="J1786" s="22">
        <f t="shared" si="135"/>
        <v>3.15625</v>
      </c>
      <c r="K1786" s="22">
        <f t="shared" si="136"/>
        <v>75.75</v>
      </c>
      <c r="L1786" s="22">
        <f t="shared" si="137"/>
        <v>27.75</v>
      </c>
      <c r="M1786" s="22" cm="1">
        <f ca="1" t="array" ref="M1786">SUMPRODUCT(--(WEEKDAY(ROW(INDIRECT(INT(F1786)&amp;":"&amp;INT(I1786))),2)&gt;5))</f>
        <v>0</v>
      </c>
      <c r="N1786" s="22">
        <f ca="1" t="shared" si="138"/>
        <v>27.75</v>
      </c>
      <c r="O1786" s="22" t="str">
        <f ca="1" t="shared" si="139"/>
        <v>SLA Violated</v>
      </c>
      <c r="P1786" s="23" t="s">
        <v>7011</v>
      </c>
      <c r="Q1786" s="24" t="s">
        <v>28</v>
      </c>
      <c r="R1786" s="25"/>
      <c r="S1786" s="25"/>
    </row>
    <row r="1787" ht="27" customHeight="1" spans="1:19">
      <c r="A1787" s="19" t="s">
        <v>7012</v>
      </c>
      <c r="B1787" s="20" t="s">
        <v>30</v>
      </c>
      <c r="C1787" s="20" t="s">
        <v>849</v>
      </c>
      <c r="D1787" s="20" t="s">
        <v>32</v>
      </c>
      <c r="E1787" s="21" t="s">
        <v>7013</v>
      </c>
      <c r="F1787" s="21" t="s">
        <v>7014</v>
      </c>
      <c r="G1787" s="20" t="s">
        <v>24</v>
      </c>
      <c r="H1787" s="20" t="s">
        <v>25</v>
      </c>
      <c r="I1787" s="21" t="s">
        <v>7015</v>
      </c>
      <c r="J1787" s="22">
        <f t="shared" si="135"/>
        <v>54.9944444444409</v>
      </c>
      <c r="K1787" s="22">
        <f t="shared" si="136"/>
        <v>1319.86666666658</v>
      </c>
      <c r="L1787" s="22">
        <f t="shared" si="137"/>
        <v>439.866666666581</v>
      </c>
      <c r="M1787" s="22" cm="1">
        <f ca="1" t="array" ref="M1787">SUMPRODUCT(--(WEEKDAY(ROW(INDIRECT(INT(F1787)&amp;":"&amp;INT(I1787))),2)&gt;5))</f>
        <v>16</v>
      </c>
      <c r="N1787" s="22">
        <f ca="1" t="shared" si="138"/>
        <v>311.866666666581</v>
      </c>
      <c r="O1787" s="22" t="str">
        <f ca="1" t="shared" si="139"/>
        <v>SLA Violated</v>
      </c>
      <c r="P1787" s="23" t="s">
        <v>7016</v>
      </c>
      <c r="Q1787" s="24" t="s">
        <v>28</v>
      </c>
      <c r="R1787" s="25"/>
      <c r="S1787" s="25"/>
    </row>
    <row r="1788" ht="39" customHeight="1" spans="1:19">
      <c r="A1788" s="19" t="s">
        <v>7017</v>
      </c>
      <c r="B1788" s="20" t="s">
        <v>19</v>
      </c>
      <c r="C1788" s="20" t="s">
        <v>20</v>
      </c>
      <c r="D1788" s="20" t="s">
        <v>32</v>
      </c>
      <c r="E1788" s="21" t="s">
        <v>6806</v>
      </c>
      <c r="F1788" s="21" t="s">
        <v>7018</v>
      </c>
      <c r="G1788" s="20" t="s">
        <v>35</v>
      </c>
      <c r="H1788" s="20" t="s">
        <v>25</v>
      </c>
      <c r="I1788" s="21" t="s">
        <v>6860</v>
      </c>
      <c r="J1788" s="22">
        <f t="shared" si="135"/>
        <v>0.0895833333343035</v>
      </c>
      <c r="K1788" s="22">
        <f t="shared" si="136"/>
        <v>2.15000000002328</v>
      </c>
      <c r="L1788" s="22">
        <f t="shared" si="137"/>
        <v>2.15000000002328</v>
      </c>
      <c r="M1788" s="22" cm="1">
        <f ca="1" t="array" ref="M1788">SUMPRODUCT(--(WEEKDAY(ROW(INDIRECT(INT(F1788)&amp;":"&amp;INT(I1788))),2)&gt;5))</f>
        <v>0</v>
      </c>
      <c r="N1788" s="22">
        <f ca="1" t="shared" si="138"/>
        <v>2.15000000002328</v>
      </c>
      <c r="O1788" s="22" t="str">
        <f ca="1" t="shared" si="139"/>
        <v>Within SLA</v>
      </c>
      <c r="P1788" s="26" t="s">
        <v>7017</v>
      </c>
      <c r="Q1788" s="24" t="s">
        <v>37</v>
      </c>
      <c r="R1788" s="25"/>
      <c r="S1788" s="25"/>
    </row>
    <row r="1789" ht="27" customHeight="1" spans="1:19">
      <c r="A1789" s="19" t="s">
        <v>7019</v>
      </c>
      <c r="B1789" s="20" t="s">
        <v>139</v>
      </c>
      <c r="C1789" s="20" t="s">
        <v>2057</v>
      </c>
      <c r="D1789" s="20" t="s">
        <v>32</v>
      </c>
      <c r="E1789" s="21" t="s">
        <v>7020</v>
      </c>
      <c r="F1789" s="21" t="s">
        <v>7021</v>
      </c>
      <c r="G1789" s="20" t="s">
        <v>35</v>
      </c>
      <c r="H1789" s="20" t="s">
        <v>25</v>
      </c>
      <c r="I1789" s="21" t="s">
        <v>7022</v>
      </c>
      <c r="J1789" s="22">
        <f t="shared" si="135"/>
        <v>0.133333333338669</v>
      </c>
      <c r="K1789" s="22">
        <f t="shared" si="136"/>
        <v>3.20000000012806</v>
      </c>
      <c r="L1789" s="22">
        <f t="shared" si="137"/>
        <v>3.20000000012806</v>
      </c>
      <c r="M1789" s="22" cm="1">
        <f ca="1" t="array" ref="M1789">SUMPRODUCT(--(WEEKDAY(ROW(INDIRECT(INT(F1789)&amp;":"&amp;INT(I1789))),2)&gt;5))</f>
        <v>0</v>
      </c>
      <c r="N1789" s="22">
        <f ca="1" t="shared" si="138"/>
        <v>3.20000000012806</v>
      </c>
      <c r="O1789" s="22" t="str">
        <f ca="1" t="shared" si="139"/>
        <v>Within SLA</v>
      </c>
      <c r="P1789" s="26" t="s">
        <v>7019</v>
      </c>
      <c r="Q1789" s="24" t="s">
        <v>37</v>
      </c>
      <c r="R1789" s="25"/>
      <c r="S1789" s="25"/>
    </row>
    <row r="1790" ht="39" customHeight="1" spans="1:19">
      <c r="A1790" s="19" t="s">
        <v>7023</v>
      </c>
      <c r="B1790" s="20" t="s">
        <v>19</v>
      </c>
      <c r="C1790" s="20" t="s">
        <v>20</v>
      </c>
      <c r="D1790" s="20" t="s">
        <v>32</v>
      </c>
      <c r="E1790" s="21" t="s">
        <v>7024</v>
      </c>
      <c r="F1790" s="21" t="s">
        <v>7025</v>
      </c>
      <c r="G1790" s="20" t="s">
        <v>35</v>
      </c>
      <c r="H1790" s="20" t="s">
        <v>25</v>
      </c>
      <c r="I1790" s="21" t="s">
        <v>7025</v>
      </c>
      <c r="J1790" s="22">
        <f t="shared" si="135"/>
        <v>0</v>
      </c>
      <c r="K1790" s="22">
        <f t="shared" si="136"/>
        <v>0</v>
      </c>
      <c r="L1790" s="22">
        <f t="shared" si="137"/>
        <v>0</v>
      </c>
      <c r="M1790" s="22" cm="1">
        <f ca="1" t="array" ref="M1790">SUMPRODUCT(--(WEEKDAY(ROW(INDIRECT(INT(F1790)&amp;":"&amp;INT(I1790))),2)&gt;5))</f>
        <v>0</v>
      </c>
      <c r="N1790" s="22">
        <f ca="1" t="shared" si="138"/>
        <v>0</v>
      </c>
      <c r="O1790" s="22" t="str">
        <f ca="1" t="shared" si="139"/>
        <v>Within SLA</v>
      </c>
      <c r="P1790" s="26" t="s">
        <v>7023</v>
      </c>
      <c r="Q1790" s="24" t="s">
        <v>37</v>
      </c>
      <c r="R1790" s="25"/>
      <c r="S1790" s="25"/>
    </row>
    <row r="1791" ht="39" customHeight="1" spans="1:19">
      <c r="A1791" s="19" t="s">
        <v>7026</v>
      </c>
      <c r="B1791" s="20" t="s">
        <v>19</v>
      </c>
      <c r="C1791" s="20" t="s">
        <v>20</v>
      </c>
      <c r="D1791" s="20" t="s">
        <v>32</v>
      </c>
      <c r="E1791" s="21" t="s">
        <v>7024</v>
      </c>
      <c r="F1791" s="21" t="s">
        <v>7027</v>
      </c>
      <c r="G1791" s="20" t="s">
        <v>35</v>
      </c>
      <c r="H1791" s="20" t="s">
        <v>25</v>
      </c>
      <c r="I1791" s="21" t="s">
        <v>7028</v>
      </c>
      <c r="J1791" s="22">
        <f t="shared" si="135"/>
        <v>0.000694444439432118</v>
      </c>
      <c r="K1791" s="22">
        <f t="shared" si="136"/>
        <v>0.0166666665463708</v>
      </c>
      <c r="L1791" s="22">
        <f t="shared" si="137"/>
        <v>0.0166666665463708</v>
      </c>
      <c r="M1791" s="22" cm="1">
        <f ca="1" t="array" ref="M1791">SUMPRODUCT(--(WEEKDAY(ROW(INDIRECT(INT(F1791)&amp;":"&amp;INT(I1791))),2)&gt;5))</f>
        <v>0</v>
      </c>
      <c r="N1791" s="22">
        <f ca="1" t="shared" si="138"/>
        <v>0.0166666665463708</v>
      </c>
      <c r="O1791" s="22" t="str">
        <f ca="1" t="shared" si="139"/>
        <v>Within SLA</v>
      </c>
      <c r="P1791" s="26" t="s">
        <v>7026</v>
      </c>
      <c r="Q1791" s="24" t="s">
        <v>37</v>
      </c>
      <c r="R1791" s="25"/>
      <c r="S1791" s="25"/>
    </row>
    <row r="1792" ht="27" customHeight="1" spans="1:19">
      <c r="A1792" s="19" t="s">
        <v>7029</v>
      </c>
      <c r="B1792" s="20" t="s">
        <v>30</v>
      </c>
      <c r="C1792" s="20" t="s">
        <v>31</v>
      </c>
      <c r="D1792" s="20" t="s">
        <v>32</v>
      </c>
      <c r="E1792" s="21" t="s">
        <v>6823</v>
      </c>
      <c r="F1792" s="21" t="s">
        <v>7030</v>
      </c>
      <c r="G1792" s="20" t="s">
        <v>35</v>
      </c>
      <c r="H1792" s="20" t="s">
        <v>25</v>
      </c>
      <c r="I1792" s="21" t="s">
        <v>7031</v>
      </c>
      <c r="J1792" s="22">
        <f t="shared" si="135"/>
        <v>0.84375</v>
      </c>
      <c r="K1792" s="22">
        <f t="shared" si="136"/>
        <v>20.25</v>
      </c>
      <c r="L1792" s="22">
        <f t="shared" si="137"/>
        <v>4.25</v>
      </c>
      <c r="M1792" s="22" cm="1">
        <f ca="1" t="array" ref="M1792">SUMPRODUCT(--(WEEKDAY(ROW(INDIRECT(INT(F1792)&amp;":"&amp;INT(I1792))),2)&gt;5))</f>
        <v>0</v>
      </c>
      <c r="N1792" s="22">
        <f ca="1" t="shared" si="138"/>
        <v>4.25</v>
      </c>
      <c r="O1792" s="22" t="str">
        <f ca="1" t="shared" si="139"/>
        <v>Within SLA</v>
      </c>
      <c r="P1792" s="26" t="s">
        <v>7029</v>
      </c>
      <c r="Q1792" s="24" t="s">
        <v>37</v>
      </c>
      <c r="R1792" s="25"/>
      <c r="S1792" s="25"/>
    </row>
    <row r="1793" ht="27" customHeight="1" spans="1:19">
      <c r="A1793" s="19" t="s">
        <v>7032</v>
      </c>
      <c r="B1793" s="20" t="s">
        <v>30</v>
      </c>
      <c r="C1793" s="20" t="s">
        <v>849</v>
      </c>
      <c r="D1793" s="20" t="s">
        <v>32</v>
      </c>
      <c r="E1793" s="21" t="s">
        <v>5980</v>
      </c>
      <c r="F1793" s="21" t="s">
        <v>7033</v>
      </c>
      <c r="G1793" s="20" t="s">
        <v>35</v>
      </c>
      <c r="H1793" s="20" t="s">
        <v>25</v>
      </c>
      <c r="I1793" s="21" t="s">
        <v>7034</v>
      </c>
      <c r="J1793" s="22">
        <f t="shared" si="135"/>
        <v>14.1243055555606</v>
      </c>
      <c r="K1793" s="22">
        <f t="shared" si="136"/>
        <v>338.983333333454</v>
      </c>
      <c r="L1793" s="22">
        <f t="shared" si="137"/>
        <v>114.983333333454</v>
      </c>
      <c r="M1793" s="22" cm="1">
        <f ca="1" t="array" ref="M1793">SUMPRODUCT(--(WEEKDAY(ROW(INDIRECT(INT(F1793)&amp;":"&amp;INT(I1793))),2)&gt;5))</f>
        <v>4</v>
      </c>
      <c r="N1793" s="22">
        <f ca="1" t="shared" si="138"/>
        <v>82.983333333454</v>
      </c>
      <c r="O1793" s="22" t="str">
        <f ca="1" t="shared" si="139"/>
        <v>SLA Violated</v>
      </c>
      <c r="P1793" s="23" t="s">
        <v>7035</v>
      </c>
      <c r="Q1793" s="24" t="s">
        <v>28</v>
      </c>
      <c r="R1793" s="25"/>
      <c r="S1793" s="25"/>
    </row>
    <row r="1794" ht="39" customHeight="1" spans="1:19">
      <c r="A1794" s="19" t="s">
        <v>7036</v>
      </c>
      <c r="B1794" s="20" t="s">
        <v>19</v>
      </c>
      <c r="C1794" s="20" t="s">
        <v>20</v>
      </c>
      <c r="D1794" s="20" t="s">
        <v>21</v>
      </c>
      <c r="E1794" s="21" t="s">
        <v>7037</v>
      </c>
      <c r="F1794" s="21" t="s">
        <v>7038</v>
      </c>
      <c r="G1794" s="20" t="s">
        <v>35</v>
      </c>
      <c r="H1794" s="20" t="s">
        <v>25</v>
      </c>
      <c r="I1794" s="21" t="s">
        <v>7039</v>
      </c>
      <c r="J1794" s="22">
        <f t="shared" si="135"/>
        <v>-0.00208333333284827</v>
      </c>
      <c r="K1794" s="22">
        <f t="shared" si="136"/>
        <v>-0.0499999999883585</v>
      </c>
      <c r="L1794" s="22">
        <f t="shared" si="137"/>
        <v>-0.0499999999883585</v>
      </c>
      <c r="M1794" s="22" cm="1">
        <f ca="1" t="array" ref="M1794">SUMPRODUCT(--(WEEKDAY(ROW(INDIRECT(INT(F1794)&amp;":"&amp;INT(I1794))),2)&gt;5))</f>
        <v>0</v>
      </c>
      <c r="N1794" s="22">
        <f ca="1" t="shared" si="138"/>
        <v>0</v>
      </c>
      <c r="O1794" s="22" t="str">
        <f ca="1" t="shared" si="139"/>
        <v>Within SLA</v>
      </c>
      <c r="P1794" s="26" t="s">
        <v>7036</v>
      </c>
      <c r="Q1794" s="24" t="s">
        <v>37</v>
      </c>
      <c r="R1794" s="25"/>
      <c r="S1794" s="25"/>
    </row>
    <row r="1795" ht="39" customHeight="1" spans="1:19">
      <c r="A1795" s="19" t="s">
        <v>7040</v>
      </c>
      <c r="B1795" s="20" t="s">
        <v>19</v>
      </c>
      <c r="C1795" s="20" t="s">
        <v>20</v>
      </c>
      <c r="D1795" s="20" t="s">
        <v>32</v>
      </c>
      <c r="E1795" s="21" t="s">
        <v>7041</v>
      </c>
      <c r="F1795" s="21" t="s">
        <v>7042</v>
      </c>
      <c r="G1795" s="20" t="s">
        <v>35</v>
      </c>
      <c r="H1795" s="20" t="s">
        <v>25</v>
      </c>
      <c r="I1795" s="21" t="s">
        <v>7039</v>
      </c>
      <c r="J1795" s="22">
        <f t="shared" ref="J1795:J1858" si="140">F1795-I1795</f>
        <v>0.0833333333357587</v>
      </c>
      <c r="K1795" s="22">
        <f t="shared" ref="K1795:K1858" si="141">J1795*24</f>
        <v>2.00000000005821</v>
      </c>
      <c r="L1795" s="22">
        <f t="shared" ref="L1795:L1858" si="142">IF(_xlfn.DAYS(F1795,I1795)&gt;0,K1795-IF(FLOOR(J1795,1)=0,1,_xlfn.DAYS(F1795,I1795))*16,K1795)</f>
        <v>2.00000000005821</v>
      </c>
      <c r="M1795" s="22" cm="1">
        <f ca="1" t="array" ref="M1795">SUMPRODUCT(--(WEEKDAY(ROW(INDIRECT(INT(F1795)&amp;":"&amp;INT(I1795))),2)&gt;5))</f>
        <v>0</v>
      </c>
      <c r="N1795" s="22">
        <f ca="1" t="shared" ref="N1795:N1858" si="143">IF(IF(M1795&gt;0,L1795-M1795*8,L1795)&lt;0,0,IF(M1795&gt;0,L1795-M1795*8,L1795))</f>
        <v>2.00000000005821</v>
      </c>
      <c r="O1795" s="22" t="str">
        <f ca="1" t="shared" ref="O1795:O1858" si="144">IF(OR(AND(D1795="P1",N1795&lt;=3),AND(D1795="P2",N1795&lt;=6),AND(D1795="P3",N1795&lt;=9),AND(D1795="P4",N1795&lt;=12)),"Within SLA","SLA Violated")</f>
        <v>Within SLA</v>
      </c>
      <c r="P1795" s="26" t="s">
        <v>7040</v>
      </c>
      <c r="Q1795" s="24" t="s">
        <v>37</v>
      </c>
      <c r="R1795" s="25"/>
      <c r="S1795" s="25"/>
    </row>
    <row r="1796" ht="27" customHeight="1" spans="1:19">
      <c r="A1796" s="19" t="s">
        <v>7043</v>
      </c>
      <c r="B1796" s="20" t="s">
        <v>30</v>
      </c>
      <c r="C1796" s="20" t="s">
        <v>31</v>
      </c>
      <c r="D1796" s="20" t="s">
        <v>32</v>
      </c>
      <c r="E1796" s="21" t="s">
        <v>7044</v>
      </c>
      <c r="F1796" s="21" t="s">
        <v>7045</v>
      </c>
      <c r="G1796" s="20" t="s">
        <v>35</v>
      </c>
      <c r="H1796" s="20" t="s">
        <v>25</v>
      </c>
      <c r="I1796" s="21" t="s">
        <v>7046</v>
      </c>
      <c r="J1796" s="22">
        <f t="shared" si="140"/>
        <v>0.112499999995634</v>
      </c>
      <c r="K1796" s="22">
        <f t="shared" si="141"/>
        <v>2.69999999989523</v>
      </c>
      <c r="L1796" s="22">
        <f t="shared" si="142"/>
        <v>2.69999999989523</v>
      </c>
      <c r="M1796" s="22" cm="1">
        <f ca="1" t="array" ref="M1796">SUMPRODUCT(--(WEEKDAY(ROW(INDIRECT(INT(F1796)&amp;":"&amp;INT(I1796))),2)&gt;5))</f>
        <v>0</v>
      </c>
      <c r="N1796" s="22">
        <f ca="1" t="shared" si="143"/>
        <v>2.69999999989523</v>
      </c>
      <c r="O1796" s="22" t="str">
        <f ca="1" t="shared" si="144"/>
        <v>Within SLA</v>
      </c>
      <c r="P1796" s="26" t="s">
        <v>7043</v>
      </c>
      <c r="Q1796" s="24" t="s">
        <v>37</v>
      </c>
      <c r="R1796" s="25"/>
      <c r="S1796" s="25"/>
    </row>
    <row r="1797" ht="27" customHeight="1" spans="1:19">
      <c r="A1797" s="19" t="s">
        <v>7047</v>
      </c>
      <c r="B1797" s="20" t="s">
        <v>30</v>
      </c>
      <c r="C1797" s="20" t="s">
        <v>849</v>
      </c>
      <c r="D1797" s="20" t="s">
        <v>32</v>
      </c>
      <c r="E1797" s="21" t="s">
        <v>7044</v>
      </c>
      <c r="F1797" s="21" t="s">
        <v>6866</v>
      </c>
      <c r="G1797" s="20" t="s">
        <v>35</v>
      </c>
      <c r="H1797" s="20" t="s">
        <v>25</v>
      </c>
      <c r="I1797" s="21" t="s">
        <v>7048</v>
      </c>
      <c r="J1797" s="22">
        <f t="shared" si="140"/>
        <v>4.06041666666715</v>
      </c>
      <c r="K1797" s="22">
        <f t="shared" si="141"/>
        <v>97.4500000000116</v>
      </c>
      <c r="L1797" s="22">
        <f t="shared" si="142"/>
        <v>33.4500000000116</v>
      </c>
      <c r="M1797" s="22" cm="1">
        <f ca="1" t="array" ref="M1797">SUMPRODUCT(--(WEEKDAY(ROW(INDIRECT(INT(F1797)&amp;":"&amp;INT(I1797))),2)&gt;5))</f>
        <v>0</v>
      </c>
      <c r="N1797" s="22">
        <f ca="1" t="shared" si="143"/>
        <v>33.4500000000116</v>
      </c>
      <c r="O1797" s="22" t="str">
        <f ca="1" t="shared" si="144"/>
        <v>SLA Violated</v>
      </c>
      <c r="P1797" s="23" t="s">
        <v>7049</v>
      </c>
      <c r="Q1797" s="24" t="s">
        <v>28</v>
      </c>
      <c r="R1797" s="25"/>
      <c r="S1797" s="25"/>
    </row>
    <row r="1798" ht="27" customHeight="1" spans="1:19">
      <c r="A1798" s="19" t="s">
        <v>7050</v>
      </c>
      <c r="B1798" s="20" t="s">
        <v>30</v>
      </c>
      <c r="C1798" s="20" t="s">
        <v>31</v>
      </c>
      <c r="D1798" s="20" t="s">
        <v>32</v>
      </c>
      <c r="E1798" s="21" t="s">
        <v>7044</v>
      </c>
      <c r="F1798" s="21" t="s">
        <v>7051</v>
      </c>
      <c r="G1798" s="20" t="s">
        <v>35</v>
      </c>
      <c r="H1798" s="20" t="s">
        <v>25</v>
      </c>
      <c r="I1798" s="21" t="s">
        <v>7052</v>
      </c>
      <c r="J1798" s="22">
        <f t="shared" si="140"/>
        <v>0.0597222222204437</v>
      </c>
      <c r="K1798" s="22">
        <f t="shared" si="141"/>
        <v>1.43333333329065</v>
      </c>
      <c r="L1798" s="22">
        <f t="shared" si="142"/>
        <v>1.43333333329065</v>
      </c>
      <c r="M1798" s="22" cm="1">
        <f ca="1" t="array" ref="M1798">SUMPRODUCT(--(WEEKDAY(ROW(INDIRECT(INT(F1798)&amp;":"&amp;INT(I1798))),2)&gt;5))</f>
        <v>0</v>
      </c>
      <c r="N1798" s="22">
        <f ca="1" t="shared" si="143"/>
        <v>1.43333333329065</v>
      </c>
      <c r="O1798" s="22" t="str">
        <f ca="1" t="shared" si="144"/>
        <v>Within SLA</v>
      </c>
      <c r="P1798" s="26" t="s">
        <v>7050</v>
      </c>
      <c r="Q1798" s="24" t="s">
        <v>37</v>
      </c>
      <c r="R1798" s="25"/>
      <c r="S1798" s="25"/>
    </row>
    <row r="1799" ht="39" customHeight="1" spans="1:19">
      <c r="A1799" s="19" t="s">
        <v>7053</v>
      </c>
      <c r="B1799" s="20" t="s">
        <v>19</v>
      </c>
      <c r="C1799" s="20" t="s">
        <v>167</v>
      </c>
      <c r="D1799" s="20" t="s">
        <v>32</v>
      </c>
      <c r="E1799" s="21" t="s">
        <v>7054</v>
      </c>
      <c r="F1799" s="21" t="s">
        <v>7055</v>
      </c>
      <c r="G1799" s="20" t="s">
        <v>35</v>
      </c>
      <c r="H1799" s="20" t="s">
        <v>25</v>
      </c>
      <c r="I1799" s="21" t="s">
        <v>7056</v>
      </c>
      <c r="J1799" s="22">
        <f t="shared" si="140"/>
        <v>0.785416666672972</v>
      </c>
      <c r="K1799" s="22">
        <f t="shared" si="141"/>
        <v>18.8500000001513</v>
      </c>
      <c r="L1799" s="22">
        <f t="shared" si="142"/>
        <v>2.85000000015134</v>
      </c>
      <c r="M1799" s="22" cm="1">
        <f ca="1" t="array" ref="M1799">SUMPRODUCT(--(WEEKDAY(ROW(INDIRECT(INT(F1799)&amp;":"&amp;INT(I1799))),2)&gt;5))</f>
        <v>0</v>
      </c>
      <c r="N1799" s="22">
        <f ca="1" t="shared" si="143"/>
        <v>2.85000000015134</v>
      </c>
      <c r="O1799" s="22" t="str">
        <f ca="1" t="shared" si="144"/>
        <v>Within SLA</v>
      </c>
      <c r="P1799" s="26" t="s">
        <v>7053</v>
      </c>
      <c r="Q1799" s="24" t="s">
        <v>37</v>
      </c>
      <c r="R1799" s="25"/>
      <c r="S1799" s="25"/>
    </row>
    <row r="1800" ht="39" customHeight="1" spans="1:19">
      <c r="A1800" s="28" t="s">
        <v>7057</v>
      </c>
      <c r="B1800" s="20" t="s">
        <v>19</v>
      </c>
      <c r="C1800" s="20" t="s">
        <v>20</v>
      </c>
      <c r="D1800" s="20" t="s">
        <v>21</v>
      </c>
      <c r="E1800" s="21" t="s">
        <v>7058</v>
      </c>
      <c r="F1800" s="21" t="s">
        <v>7059</v>
      </c>
      <c r="G1800" s="20" t="s">
        <v>35</v>
      </c>
      <c r="H1800" s="20" t="s">
        <v>25</v>
      </c>
      <c r="I1800" s="21" t="s">
        <v>7060</v>
      </c>
      <c r="J1800" s="22">
        <f t="shared" si="140"/>
        <v>0.130555555559113</v>
      </c>
      <c r="K1800" s="22">
        <f t="shared" si="141"/>
        <v>3.1333333334187</v>
      </c>
      <c r="L1800" s="22">
        <f t="shared" si="142"/>
        <v>3.1333333334187</v>
      </c>
      <c r="M1800" s="22" cm="1">
        <f ca="1" t="array" ref="M1800">SUMPRODUCT(--(WEEKDAY(ROW(INDIRECT(INT(F1800)&amp;":"&amp;INT(I1800))),2)&gt;5))</f>
        <v>0</v>
      </c>
      <c r="N1800" s="22">
        <f ca="1" t="shared" si="143"/>
        <v>3.1333333334187</v>
      </c>
      <c r="O1800" s="22" t="str">
        <f ca="1" t="shared" si="144"/>
        <v>SLA Violated</v>
      </c>
      <c r="P1800" s="26" t="s">
        <v>7061</v>
      </c>
      <c r="Q1800" s="24" t="s">
        <v>37</v>
      </c>
      <c r="R1800" s="25"/>
      <c r="S1800" s="25" t="s">
        <v>97</v>
      </c>
    </row>
    <row r="1801" ht="27" customHeight="1" spans="1:19">
      <c r="A1801" s="19" t="s">
        <v>7062</v>
      </c>
      <c r="B1801" s="20" t="s">
        <v>30</v>
      </c>
      <c r="C1801" s="20" t="s">
        <v>31</v>
      </c>
      <c r="D1801" s="20" t="s">
        <v>32</v>
      </c>
      <c r="E1801" s="21" t="s">
        <v>6771</v>
      </c>
      <c r="F1801" s="21" t="s">
        <v>7063</v>
      </c>
      <c r="G1801" s="20" t="s">
        <v>35</v>
      </c>
      <c r="H1801" s="20" t="s">
        <v>25</v>
      </c>
      <c r="I1801" s="21" t="s">
        <v>7064</v>
      </c>
      <c r="J1801" s="22">
        <f t="shared" si="140"/>
        <v>0.846527777779556</v>
      </c>
      <c r="K1801" s="22">
        <f t="shared" si="141"/>
        <v>20.3166666667094</v>
      </c>
      <c r="L1801" s="22">
        <f t="shared" si="142"/>
        <v>4.31666666670935</v>
      </c>
      <c r="M1801" s="22" cm="1">
        <f ca="1" t="array" ref="M1801">SUMPRODUCT(--(WEEKDAY(ROW(INDIRECT(INT(F1801)&amp;":"&amp;INT(I1801))),2)&gt;5))</f>
        <v>0</v>
      </c>
      <c r="N1801" s="22">
        <f ca="1" t="shared" si="143"/>
        <v>4.31666666670935</v>
      </c>
      <c r="O1801" s="22" t="str">
        <f ca="1" t="shared" si="144"/>
        <v>Within SLA</v>
      </c>
      <c r="P1801" s="26" t="s">
        <v>7062</v>
      </c>
      <c r="Q1801" s="24" t="s">
        <v>37</v>
      </c>
      <c r="R1801" s="25"/>
      <c r="S1801" s="25"/>
    </row>
    <row r="1802" ht="27" customHeight="1" spans="1:19">
      <c r="A1802" s="19" t="s">
        <v>7065</v>
      </c>
      <c r="B1802" s="20" t="s">
        <v>30</v>
      </c>
      <c r="C1802" s="20" t="s">
        <v>46</v>
      </c>
      <c r="D1802" s="20" t="s">
        <v>32</v>
      </c>
      <c r="E1802" s="21" t="s">
        <v>7034</v>
      </c>
      <c r="F1802" s="21" t="s">
        <v>7066</v>
      </c>
      <c r="G1802" s="20" t="s">
        <v>35</v>
      </c>
      <c r="H1802" s="20" t="s">
        <v>25</v>
      </c>
      <c r="I1802" s="21" t="s">
        <v>7067</v>
      </c>
      <c r="J1802" s="22">
        <f t="shared" si="140"/>
        <v>0.79374999999709</v>
      </c>
      <c r="K1802" s="22">
        <f t="shared" si="141"/>
        <v>19.0499999999302</v>
      </c>
      <c r="L1802" s="22">
        <f t="shared" si="142"/>
        <v>3.04999999993015</v>
      </c>
      <c r="M1802" s="22" cm="1">
        <f ca="1" t="array" ref="M1802">SUMPRODUCT(--(WEEKDAY(ROW(INDIRECT(INT(F1802)&amp;":"&amp;INT(I1802))),2)&gt;5))</f>
        <v>0</v>
      </c>
      <c r="N1802" s="22">
        <f ca="1" t="shared" si="143"/>
        <v>3.04999999993015</v>
      </c>
      <c r="O1802" s="22" t="str">
        <f ca="1" t="shared" si="144"/>
        <v>Within SLA</v>
      </c>
      <c r="P1802" s="26" t="s">
        <v>7065</v>
      </c>
      <c r="Q1802" s="24" t="s">
        <v>37</v>
      </c>
      <c r="R1802" s="25"/>
      <c r="S1802" s="25"/>
    </row>
    <row r="1803" ht="39" customHeight="1" spans="1:19">
      <c r="A1803" s="19" t="s">
        <v>7068</v>
      </c>
      <c r="B1803" s="20" t="s">
        <v>19</v>
      </c>
      <c r="C1803" s="20" t="s">
        <v>167</v>
      </c>
      <c r="D1803" s="20" t="s">
        <v>32</v>
      </c>
      <c r="E1803" s="21" t="s">
        <v>7034</v>
      </c>
      <c r="F1803" s="21" t="s">
        <v>7069</v>
      </c>
      <c r="G1803" s="20" t="s">
        <v>35</v>
      </c>
      <c r="H1803" s="20" t="s">
        <v>25</v>
      </c>
      <c r="I1803" s="21" t="s">
        <v>7069</v>
      </c>
      <c r="J1803" s="22">
        <f t="shared" si="140"/>
        <v>0</v>
      </c>
      <c r="K1803" s="22">
        <f t="shared" si="141"/>
        <v>0</v>
      </c>
      <c r="L1803" s="22">
        <f t="shared" si="142"/>
        <v>0</v>
      </c>
      <c r="M1803" s="22" cm="1">
        <f ca="1" t="array" ref="M1803">SUMPRODUCT(--(WEEKDAY(ROW(INDIRECT(INT(F1803)&amp;":"&amp;INT(I1803))),2)&gt;5))</f>
        <v>0</v>
      </c>
      <c r="N1803" s="22">
        <f ca="1" t="shared" si="143"/>
        <v>0</v>
      </c>
      <c r="O1803" s="22" t="str">
        <f ca="1" t="shared" si="144"/>
        <v>Within SLA</v>
      </c>
      <c r="P1803" s="26" t="s">
        <v>7068</v>
      </c>
      <c r="Q1803" s="24" t="s">
        <v>37</v>
      </c>
      <c r="R1803" s="25"/>
      <c r="S1803" s="25"/>
    </row>
    <row r="1804" ht="16" customHeight="1" spans="1:19">
      <c r="A1804" s="19" t="s">
        <v>7070</v>
      </c>
      <c r="B1804" s="20" t="s">
        <v>45</v>
      </c>
      <c r="C1804" s="20" t="s">
        <v>849</v>
      </c>
      <c r="D1804" s="20" t="s">
        <v>32</v>
      </c>
      <c r="E1804" s="21" t="s">
        <v>7071</v>
      </c>
      <c r="F1804" s="21" t="s">
        <v>7072</v>
      </c>
      <c r="G1804" s="20" t="s">
        <v>35</v>
      </c>
      <c r="H1804" s="20" t="s">
        <v>25</v>
      </c>
      <c r="I1804" s="21" t="s">
        <v>7073</v>
      </c>
      <c r="J1804" s="22">
        <f t="shared" si="140"/>
        <v>0.0291666666671517</v>
      </c>
      <c r="K1804" s="22">
        <f t="shared" si="141"/>
        <v>0.700000000011642</v>
      </c>
      <c r="L1804" s="22">
        <f t="shared" si="142"/>
        <v>0.700000000011642</v>
      </c>
      <c r="M1804" s="22" cm="1">
        <f ca="1" t="array" ref="M1804">SUMPRODUCT(--(WEEKDAY(ROW(INDIRECT(INT(F1804)&amp;":"&amp;INT(I1804))),2)&gt;5))</f>
        <v>0</v>
      </c>
      <c r="N1804" s="22">
        <f ca="1" t="shared" si="143"/>
        <v>0.700000000011642</v>
      </c>
      <c r="O1804" s="22" t="str">
        <f ca="1" t="shared" si="144"/>
        <v>Within SLA</v>
      </c>
      <c r="P1804" s="26" t="s">
        <v>7070</v>
      </c>
      <c r="Q1804" s="24" t="s">
        <v>37</v>
      </c>
      <c r="R1804" s="25"/>
      <c r="S1804" s="25"/>
    </row>
    <row r="1805" ht="39" customHeight="1" spans="1:19">
      <c r="A1805" s="19" t="s">
        <v>7074</v>
      </c>
      <c r="B1805" s="20" t="s">
        <v>19</v>
      </c>
      <c r="C1805" s="20" t="s">
        <v>20</v>
      </c>
      <c r="D1805" s="20" t="s">
        <v>32</v>
      </c>
      <c r="E1805" s="21" t="s">
        <v>7075</v>
      </c>
      <c r="F1805" s="21" t="s">
        <v>7076</v>
      </c>
      <c r="G1805" s="20" t="s">
        <v>35</v>
      </c>
      <c r="H1805" s="20" t="s">
        <v>25</v>
      </c>
      <c r="I1805" s="21" t="s">
        <v>7077</v>
      </c>
      <c r="J1805" s="22">
        <f t="shared" si="140"/>
        <v>0.879861111112405</v>
      </c>
      <c r="K1805" s="22">
        <f t="shared" si="141"/>
        <v>21.1166666666977</v>
      </c>
      <c r="L1805" s="22">
        <f t="shared" si="142"/>
        <v>5.11666666669771</v>
      </c>
      <c r="M1805" s="22" cm="1">
        <f ca="1" t="array" ref="M1805">SUMPRODUCT(--(WEEKDAY(ROW(INDIRECT(INT(F1805)&amp;":"&amp;INT(I1805))),2)&gt;5))</f>
        <v>0</v>
      </c>
      <c r="N1805" s="22">
        <f ca="1" t="shared" si="143"/>
        <v>5.11666666669771</v>
      </c>
      <c r="O1805" s="22" t="str">
        <f ca="1" t="shared" si="144"/>
        <v>Within SLA</v>
      </c>
      <c r="P1805" s="26" t="s">
        <v>7074</v>
      </c>
      <c r="Q1805" s="24" t="s">
        <v>37</v>
      </c>
      <c r="R1805" s="25"/>
      <c r="S1805" s="25"/>
    </row>
    <row r="1806" ht="39" customHeight="1" spans="1:19">
      <c r="A1806" s="19" t="s">
        <v>7078</v>
      </c>
      <c r="B1806" s="20" t="s">
        <v>19</v>
      </c>
      <c r="C1806" s="20" t="s">
        <v>20</v>
      </c>
      <c r="D1806" s="20" t="s">
        <v>32</v>
      </c>
      <c r="E1806" s="21" t="s">
        <v>4811</v>
      </c>
      <c r="F1806" s="21" t="s">
        <v>7079</v>
      </c>
      <c r="G1806" s="20" t="s">
        <v>35</v>
      </c>
      <c r="H1806" s="20" t="s">
        <v>25</v>
      </c>
      <c r="I1806" s="21" t="s">
        <v>7080</v>
      </c>
      <c r="J1806" s="22">
        <f t="shared" si="140"/>
        <v>7.89027777777665</v>
      </c>
      <c r="K1806" s="22">
        <f t="shared" si="141"/>
        <v>189.36666666664</v>
      </c>
      <c r="L1806" s="22">
        <f t="shared" si="142"/>
        <v>61.3666666666395</v>
      </c>
      <c r="M1806" s="22" cm="1">
        <f ca="1" t="array" ref="M1806">SUMPRODUCT(--(WEEKDAY(ROW(INDIRECT(INT(F1806)&amp;":"&amp;INT(I1806))),2)&gt;5))</f>
        <v>2</v>
      </c>
      <c r="N1806" s="22">
        <f ca="1" t="shared" si="143"/>
        <v>45.3666666666395</v>
      </c>
      <c r="O1806" s="22" t="str">
        <f ca="1" t="shared" si="144"/>
        <v>SLA Violated</v>
      </c>
      <c r="P1806" s="23" t="s">
        <v>7081</v>
      </c>
      <c r="Q1806" s="24" t="s">
        <v>37</v>
      </c>
      <c r="R1806" s="25" t="s">
        <v>38</v>
      </c>
      <c r="S1806" s="25" t="s">
        <v>39</v>
      </c>
    </row>
    <row r="1807" ht="27" customHeight="1" spans="1:19">
      <c r="A1807" s="19" t="s">
        <v>7082</v>
      </c>
      <c r="B1807" s="20" t="s">
        <v>30</v>
      </c>
      <c r="C1807" s="20" t="s">
        <v>31</v>
      </c>
      <c r="D1807" s="20" t="s">
        <v>32</v>
      </c>
      <c r="E1807" s="21" t="s">
        <v>7083</v>
      </c>
      <c r="F1807" s="21" t="s">
        <v>7084</v>
      </c>
      <c r="G1807" s="20" t="s">
        <v>35</v>
      </c>
      <c r="H1807" s="20" t="s">
        <v>25</v>
      </c>
      <c r="I1807" s="21" t="s">
        <v>7085</v>
      </c>
      <c r="J1807" s="22">
        <f t="shared" si="140"/>
        <v>0.0555555555547471</v>
      </c>
      <c r="K1807" s="22">
        <f t="shared" si="141"/>
        <v>1.33333333331393</v>
      </c>
      <c r="L1807" s="22">
        <f t="shared" si="142"/>
        <v>1.33333333331393</v>
      </c>
      <c r="M1807" s="22" cm="1">
        <f ca="1" t="array" ref="M1807">SUMPRODUCT(--(WEEKDAY(ROW(INDIRECT(INT(F1807)&amp;":"&amp;INT(I1807))),2)&gt;5))</f>
        <v>0</v>
      </c>
      <c r="N1807" s="22">
        <f ca="1" t="shared" si="143"/>
        <v>1.33333333331393</v>
      </c>
      <c r="O1807" s="22" t="str">
        <f ca="1" t="shared" si="144"/>
        <v>Within SLA</v>
      </c>
      <c r="P1807" s="26" t="s">
        <v>7082</v>
      </c>
      <c r="Q1807" s="24" t="s">
        <v>37</v>
      </c>
      <c r="R1807" s="25"/>
      <c r="S1807" s="25"/>
    </row>
    <row r="1808" ht="39" customHeight="1" spans="1:19">
      <c r="A1808" s="19" t="s">
        <v>7086</v>
      </c>
      <c r="B1808" s="20" t="s">
        <v>19</v>
      </c>
      <c r="C1808" s="20" t="s">
        <v>20</v>
      </c>
      <c r="D1808" s="20" t="s">
        <v>32</v>
      </c>
      <c r="E1808" s="21" t="s">
        <v>6872</v>
      </c>
      <c r="F1808" s="21" t="s">
        <v>7087</v>
      </c>
      <c r="G1808" s="20" t="s">
        <v>35</v>
      </c>
      <c r="H1808" s="20" t="s">
        <v>25</v>
      </c>
      <c r="I1808" s="21" t="s">
        <v>7087</v>
      </c>
      <c r="J1808" s="22">
        <f t="shared" si="140"/>
        <v>0</v>
      </c>
      <c r="K1808" s="22">
        <f t="shared" si="141"/>
        <v>0</v>
      </c>
      <c r="L1808" s="22">
        <f t="shared" si="142"/>
        <v>0</v>
      </c>
      <c r="M1808" s="22" cm="1">
        <f ca="1" t="array" ref="M1808">SUMPRODUCT(--(WEEKDAY(ROW(INDIRECT(INT(F1808)&amp;":"&amp;INT(I1808))),2)&gt;5))</f>
        <v>0</v>
      </c>
      <c r="N1808" s="22">
        <f ca="1" t="shared" si="143"/>
        <v>0</v>
      </c>
      <c r="O1808" s="22" t="str">
        <f ca="1" t="shared" si="144"/>
        <v>Within SLA</v>
      </c>
      <c r="P1808" s="26" t="s">
        <v>7086</v>
      </c>
      <c r="Q1808" s="24" t="s">
        <v>37</v>
      </c>
      <c r="R1808" s="25"/>
      <c r="S1808" s="25"/>
    </row>
    <row r="1809" ht="27" customHeight="1" spans="1:19">
      <c r="A1809" s="19" t="s">
        <v>7088</v>
      </c>
      <c r="B1809" s="20" t="s">
        <v>30</v>
      </c>
      <c r="C1809" s="20" t="s">
        <v>31</v>
      </c>
      <c r="D1809" s="20" t="s">
        <v>105</v>
      </c>
      <c r="E1809" s="21" t="s">
        <v>7089</v>
      </c>
      <c r="F1809" s="21" t="s">
        <v>7090</v>
      </c>
      <c r="G1809" s="20" t="s">
        <v>35</v>
      </c>
      <c r="H1809" s="20" t="s">
        <v>25</v>
      </c>
      <c r="I1809" s="21" t="s">
        <v>7091</v>
      </c>
      <c r="J1809" s="22">
        <f t="shared" si="140"/>
        <v>1.91458333333139</v>
      </c>
      <c r="K1809" s="22">
        <f t="shared" si="141"/>
        <v>45.9499999999534</v>
      </c>
      <c r="L1809" s="22">
        <f t="shared" si="142"/>
        <v>13.9499999999534</v>
      </c>
      <c r="M1809" s="22" cm="1">
        <f ca="1" t="array" ref="M1809">SUMPRODUCT(--(WEEKDAY(ROW(INDIRECT(INT(F1809)&amp;":"&amp;INT(I1809))),2)&gt;5))</f>
        <v>0</v>
      </c>
      <c r="N1809" s="22">
        <f ca="1" t="shared" si="143"/>
        <v>13.9499999999534</v>
      </c>
      <c r="O1809" s="22" t="str">
        <f ca="1" t="shared" si="144"/>
        <v>SLA Violated</v>
      </c>
      <c r="P1809" s="23" t="s">
        <v>7092</v>
      </c>
      <c r="Q1809" s="24" t="s">
        <v>37</v>
      </c>
      <c r="R1809" s="29" t="s">
        <v>7093</v>
      </c>
      <c r="S1809" s="25" t="s">
        <v>39</v>
      </c>
    </row>
    <row r="1810" ht="16" customHeight="1" spans="1:19">
      <c r="A1810" s="19" t="s">
        <v>7094</v>
      </c>
      <c r="B1810" s="20" t="s">
        <v>100</v>
      </c>
      <c r="C1810" s="20" t="s">
        <v>101</v>
      </c>
      <c r="D1810" s="20" t="s">
        <v>32</v>
      </c>
      <c r="E1810" s="21" t="s">
        <v>7089</v>
      </c>
      <c r="F1810" s="21" t="s">
        <v>7095</v>
      </c>
      <c r="G1810" s="20" t="s">
        <v>35</v>
      </c>
      <c r="H1810" s="20" t="s">
        <v>25</v>
      </c>
      <c r="I1810" s="21" t="s">
        <v>7096</v>
      </c>
      <c r="J1810" s="22">
        <f t="shared" si="140"/>
        <v>8.9111111111124</v>
      </c>
      <c r="K1810" s="22">
        <f t="shared" si="141"/>
        <v>213.866666666698</v>
      </c>
      <c r="L1810" s="22">
        <f t="shared" si="142"/>
        <v>69.8666666666977</v>
      </c>
      <c r="M1810" s="22" cm="1">
        <f ca="1" t="array" ref="M1810">SUMPRODUCT(--(WEEKDAY(ROW(INDIRECT(INT(F1810)&amp;":"&amp;INT(I1810))),2)&gt;5))</f>
        <v>2</v>
      </c>
      <c r="N1810" s="22">
        <f ca="1" t="shared" si="143"/>
        <v>53.8666666666977</v>
      </c>
      <c r="O1810" s="22" t="str">
        <f ca="1" t="shared" si="144"/>
        <v>SLA Violated</v>
      </c>
      <c r="P1810" s="23" t="s">
        <v>7097</v>
      </c>
      <c r="Q1810" s="24" t="s">
        <v>28</v>
      </c>
      <c r="R1810" s="25"/>
      <c r="S1810" s="25"/>
    </row>
    <row r="1811" ht="27" customHeight="1" spans="1:19">
      <c r="A1811" s="19" t="s">
        <v>7098</v>
      </c>
      <c r="B1811" s="20" t="s">
        <v>30</v>
      </c>
      <c r="C1811" s="20" t="s">
        <v>31</v>
      </c>
      <c r="D1811" s="20" t="s">
        <v>32</v>
      </c>
      <c r="E1811" s="21" t="s">
        <v>7099</v>
      </c>
      <c r="F1811" s="21" t="s">
        <v>7100</v>
      </c>
      <c r="G1811" s="20" t="s">
        <v>35</v>
      </c>
      <c r="H1811" s="20" t="s">
        <v>25</v>
      </c>
      <c r="I1811" s="21" t="s">
        <v>7101</v>
      </c>
      <c r="J1811" s="22">
        <f t="shared" si="140"/>
        <v>27.9312499999942</v>
      </c>
      <c r="K1811" s="22">
        <f t="shared" si="141"/>
        <v>670.34999999986</v>
      </c>
      <c r="L1811" s="22">
        <f t="shared" si="142"/>
        <v>222.34999999986</v>
      </c>
      <c r="M1811" s="22" cm="1">
        <f ca="1" t="array" ref="M1811">SUMPRODUCT(--(WEEKDAY(ROW(INDIRECT(INT(F1811)&amp;":"&amp;INT(I1811))),2)&gt;5))</f>
        <v>8</v>
      </c>
      <c r="N1811" s="22">
        <f ca="1" t="shared" si="143"/>
        <v>158.34999999986</v>
      </c>
      <c r="O1811" s="22" t="str">
        <f ca="1" t="shared" si="144"/>
        <v>SLA Violated</v>
      </c>
      <c r="P1811" s="26" t="s">
        <v>7098</v>
      </c>
      <c r="Q1811" s="24" t="s">
        <v>28</v>
      </c>
      <c r="R1811" s="25"/>
      <c r="S1811" s="25"/>
    </row>
    <row r="1812" ht="39" customHeight="1" spans="1:19">
      <c r="A1812" s="19" t="s">
        <v>7102</v>
      </c>
      <c r="B1812" s="20" t="s">
        <v>19</v>
      </c>
      <c r="C1812" s="20" t="s">
        <v>20</v>
      </c>
      <c r="D1812" s="20" t="s">
        <v>32</v>
      </c>
      <c r="E1812" s="21" t="s">
        <v>7099</v>
      </c>
      <c r="F1812" s="21" t="s">
        <v>7103</v>
      </c>
      <c r="G1812" s="20" t="s">
        <v>24</v>
      </c>
      <c r="H1812" s="20" t="s">
        <v>25</v>
      </c>
      <c r="I1812" s="21" t="s">
        <v>7104</v>
      </c>
      <c r="J1812" s="22">
        <f t="shared" si="140"/>
        <v>0.0652777777795563</v>
      </c>
      <c r="K1812" s="22">
        <f t="shared" si="141"/>
        <v>1.56666666670935</v>
      </c>
      <c r="L1812" s="22">
        <f t="shared" si="142"/>
        <v>1.56666666670935</v>
      </c>
      <c r="M1812" s="22" cm="1">
        <f ca="1" t="array" ref="M1812">SUMPRODUCT(--(WEEKDAY(ROW(INDIRECT(INT(F1812)&amp;":"&amp;INT(I1812))),2)&gt;5))</f>
        <v>0</v>
      </c>
      <c r="N1812" s="22">
        <f ca="1" t="shared" si="143"/>
        <v>1.56666666670935</v>
      </c>
      <c r="O1812" s="22" t="str">
        <f ca="1" t="shared" si="144"/>
        <v>Within SLA</v>
      </c>
      <c r="P1812" s="26" t="s">
        <v>7102</v>
      </c>
      <c r="Q1812" s="24" t="s">
        <v>37</v>
      </c>
      <c r="R1812" s="25"/>
      <c r="S1812" s="25"/>
    </row>
    <row r="1813" ht="27" customHeight="1" spans="1:19">
      <c r="A1813" s="19" t="s">
        <v>7105</v>
      </c>
      <c r="B1813" s="20" t="s">
        <v>139</v>
      </c>
      <c r="C1813" s="20" t="s">
        <v>2057</v>
      </c>
      <c r="D1813" s="20" t="s">
        <v>32</v>
      </c>
      <c r="E1813" s="21" t="s">
        <v>7099</v>
      </c>
      <c r="F1813" s="21" t="s">
        <v>7106</v>
      </c>
      <c r="G1813" s="20" t="s">
        <v>35</v>
      </c>
      <c r="H1813" s="20" t="s">
        <v>25</v>
      </c>
      <c r="I1813" s="21" t="s">
        <v>7107</v>
      </c>
      <c r="J1813" s="22">
        <f t="shared" si="140"/>
        <v>0.788888888884685</v>
      </c>
      <c r="K1813" s="22">
        <f t="shared" si="141"/>
        <v>18.9333333332324</v>
      </c>
      <c r="L1813" s="22">
        <f t="shared" si="142"/>
        <v>2.93333333323244</v>
      </c>
      <c r="M1813" s="22" cm="1">
        <f ca="1" t="array" ref="M1813">SUMPRODUCT(--(WEEKDAY(ROW(INDIRECT(INT(F1813)&amp;":"&amp;INT(I1813))),2)&gt;5))</f>
        <v>0</v>
      </c>
      <c r="N1813" s="22">
        <f ca="1" t="shared" si="143"/>
        <v>2.93333333323244</v>
      </c>
      <c r="O1813" s="22" t="str">
        <f ca="1" t="shared" si="144"/>
        <v>Within SLA</v>
      </c>
      <c r="P1813" s="26" t="s">
        <v>7105</v>
      </c>
      <c r="Q1813" s="24" t="s">
        <v>37</v>
      </c>
      <c r="R1813" s="25"/>
      <c r="S1813" s="25"/>
    </row>
    <row r="1814" ht="27" customHeight="1" spans="1:19">
      <c r="A1814" s="19" t="s">
        <v>7108</v>
      </c>
      <c r="B1814" s="20" t="s">
        <v>30</v>
      </c>
      <c r="C1814" s="20" t="s">
        <v>849</v>
      </c>
      <c r="D1814" s="20" t="s">
        <v>32</v>
      </c>
      <c r="E1814" s="21" t="s">
        <v>7109</v>
      </c>
      <c r="F1814" s="21" t="s">
        <v>7110</v>
      </c>
      <c r="G1814" s="20" t="s">
        <v>35</v>
      </c>
      <c r="H1814" s="20" t="s">
        <v>25</v>
      </c>
      <c r="I1814" s="21" t="s">
        <v>7111</v>
      </c>
      <c r="J1814" s="22">
        <f t="shared" si="140"/>
        <v>3.96875</v>
      </c>
      <c r="K1814" s="22">
        <f t="shared" si="141"/>
        <v>95.25</v>
      </c>
      <c r="L1814" s="22">
        <f t="shared" si="142"/>
        <v>31.25</v>
      </c>
      <c r="M1814" s="22" cm="1">
        <f ca="1" t="array" ref="M1814">SUMPRODUCT(--(WEEKDAY(ROW(INDIRECT(INT(F1814)&amp;":"&amp;INT(I1814))),2)&gt;5))</f>
        <v>0</v>
      </c>
      <c r="N1814" s="22">
        <f ca="1" t="shared" si="143"/>
        <v>31.25</v>
      </c>
      <c r="O1814" s="22" t="str">
        <f ca="1" t="shared" si="144"/>
        <v>SLA Violated</v>
      </c>
      <c r="P1814" s="23" t="s">
        <v>7112</v>
      </c>
      <c r="Q1814" s="24" t="s">
        <v>28</v>
      </c>
      <c r="R1814" s="25"/>
      <c r="S1814" s="25"/>
    </row>
    <row r="1815" ht="39" customHeight="1" spans="1:19">
      <c r="A1815" s="19" t="s">
        <v>7113</v>
      </c>
      <c r="B1815" s="20" t="s">
        <v>19</v>
      </c>
      <c r="C1815" s="20" t="s">
        <v>20</v>
      </c>
      <c r="D1815" s="20" t="s">
        <v>32</v>
      </c>
      <c r="E1815" s="21" t="s">
        <v>5042</v>
      </c>
      <c r="F1815" s="21" t="s">
        <v>7114</v>
      </c>
      <c r="G1815" s="20" t="s">
        <v>35</v>
      </c>
      <c r="H1815" s="20" t="s">
        <v>25</v>
      </c>
      <c r="I1815" s="21" t="s">
        <v>7115</v>
      </c>
      <c r="J1815" s="22">
        <f t="shared" si="140"/>
        <v>3.93194444444816</v>
      </c>
      <c r="K1815" s="22">
        <f t="shared" si="141"/>
        <v>94.3666666667559</v>
      </c>
      <c r="L1815" s="22">
        <f t="shared" si="142"/>
        <v>30.3666666667559</v>
      </c>
      <c r="M1815" s="22" cm="1">
        <f ca="1" t="array" ref="M1815">SUMPRODUCT(--(WEEKDAY(ROW(INDIRECT(INT(F1815)&amp;":"&amp;INT(I1815))),2)&gt;5))</f>
        <v>0</v>
      </c>
      <c r="N1815" s="22">
        <f ca="1" t="shared" si="143"/>
        <v>30.3666666667559</v>
      </c>
      <c r="O1815" s="22" t="str">
        <f ca="1" t="shared" si="144"/>
        <v>SLA Violated</v>
      </c>
      <c r="P1815" s="23" t="s">
        <v>7116</v>
      </c>
      <c r="Q1815" s="24" t="s">
        <v>37</v>
      </c>
      <c r="R1815" s="25" t="s">
        <v>38</v>
      </c>
      <c r="S1815" s="25" t="s">
        <v>39</v>
      </c>
    </row>
    <row r="1816" ht="27" customHeight="1" spans="1:19">
      <c r="A1816" s="19" t="s">
        <v>7117</v>
      </c>
      <c r="B1816" s="20" t="s">
        <v>30</v>
      </c>
      <c r="C1816" s="20" t="s">
        <v>31</v>
      </c>
      <c r="D1816" s="20" t="s">
        <v>32</v>
      </c>
      <c r="E1816" s="21" t="s">
        <v>7118</v>
      </c>
      <c r="F1816" s="21" t="s">
        <v>7119</v>
      </c>
      <c r="G1816" s="20" t="s">
        <v>35</v>
      </c>
      <c r="H1816" s="20" t="s">
        <v>25</v>
      </c>
      <c r="I1816" s="21" t="s">
        <v>7120</v>
      </c>
      <c r="J1816" s="22">
        <f t="shared" si="140"/>
        <v>17.6777777777752</v>
      </c>
      <c r="K1816" s="22">
        <f t="shared" si="141"/>
        <v>424.266666666605</v>
      </c>
      <c r="L1816" s="22">
        <f t="shared" si="142"/>
        <v>136.266666666605</v>
      </c>
      <c r="M1816" s="22" cm="1">
        <f ca="1" t="array" ref="M1816">SUMPRODUCT(--(WEEKDAY(ROW(INDIRECT(INT(F1816)&amp;":"&amp;INT(I1816))),2)&gt;5))</f>
        <v>4</v>
      </c>
      <c r="N1816" s="22">
        <f ca="1" t="shared" si="143"/>
        <v>104.266666666605</v>
      </c>
      <c r="O1816" s="22" t="str">
        <f ca="1" t="shared" si="144"/>
        <v>SLA Violated</v>
      </c>
      <c r="P1816" s="26" t="s">
        <v>7117</v>
      </c>
      <c r="Q1816" s="24" t="s">
        <v>28</v>
      </c>
      <c r="R1816" s="25"/>
      <c r="S1816" s="25"/>
    </row>
    <row r="1817" ht="27" customHeight="1" spans="1:19">
      <c r="A1817" s="19" t="s">
        <v>7121</v>
      </c>
      <c r="B1817" s="20" t="s">
        <v>30</v>
      </c>
      <c r="C1817" s="20" t="s">
        <v>101</v>
      </c>
      <c r="D1817" s="20" t="s">
        <v>32</v>
      </c>
      <c r="E1817" s="21" t="s">
        <v>7122</v>
      </c>
      <c r="F1817" s="21" t="s">
        <v>7123</v>
      </c>
      <c r="G1817" s="20" t="s">
        <v>35</v>
      </c>
      <c r="H1817" s="20" t="s">
        <v>25</v>
      </c>
      <c r="I1817" s="21" t="s">
        <v>5537</v>
      </c>
      <c r="J1817" s="22">
        <f t="shared" si="140"/>
        <v>0.0444444444437977</v>
      </c>
      <c r="K1817" s="22">
        <f t="shared" si="141"/>
        <v>1.06666666665114</v>
      </c>
      <c r="L1817" s="22">
        <f t="shared" si="142"/>
        <v>1.06666666665114</v>
      </c>
      <c r="M1817" s="22" cm="1">
        <f ca="1" t="array" ref="M1817">SUMPRODUCT(--(WEEKDAY(ROW(INDIRECT(INT(F1817)&amp;":"&amp;INT(I1817))),2)&gt;5))</f>
        <v>0</v>
      </c>
      <c r="N1817" s="22">
        <f ca="1" t="shared" si="143"/>
        <v>1.06666666665114</v>
      </c>
      <c r="O1817" s="22" t="str">
        <f ca="1" t="shared" si="144"/>
        <v>Within SLA</v>
      </c>
      <c r="P1817" s="26" t="s">
        <v>7121</v>
      </c>
      <c r="Q1817" s="24" t="s">
        <v>37</v>
      </c>
      <c r="R1817" s="25"/>
      <c r="S1817" s="25"/>
    </row>
    <row r="1818" ht="27" customHeight="1" spans="1:19">
      <c r="A1818" s="19" t="s">
        <v>7124</v>
      </c>
      <c r="B1818" s="20" t="s">
        <v>30</v>
      </c>
      <c r="C1818" s="20" t="s">
        <v>849</v>
      </c>
      <c r="D1818" s="20" t="s">
        <v>32</v>
      </c>
      <c r="E1818" s="21" t="s">
        <v>7122</v>
      </c>
      <c r="F1818" s="21" t="s">
        <v>7125</v>
      </c>
      <c r="G1818" s="20" t="s">
        <v>35</v>
      </c>
      <c r="H1818" s="20" t="s">
        <v>25</v>
      </c>
      <c r="I1818" s="21" t="s">
        <v>7126</v>
      </c>
      <c r="J1818" s="22">
        <f t="shared" si="140"/>
        <v>3.95208333332994</v>
      </c>
      <c r="K1818" s="22">
        <f t="shared" si="141"/>
        <v>94.8499999999185</v>
      </c>
      <c r="L1818" s="22">
        <f t="shared" si="142"/>
        <v>30.8499999999185</v>
      </c>
      <c r="M1818" s="22" cm="1">
        <f ca="1" t="array" ref="M1818">SUMPRODUCT(--(WEEKDAY(ROW(INDIRECT(INT(F1818)&amp;":"&amp;INT(I1818))),2)&gt;5))</f>
        <v>0</v>
      </c>
      <c r="N1818" s="22">
        <f ca="1" t="shared" si="143"/>
        <v>30.8499999999185</v>
      </c>
      <c r="O1818" s="22" t="str">
        <f ca="1" t="shared" si="144"/>
        <v>SLA Violated</v>
      </c>
      <c r="P1818" s="23" t="s">
        <v>7127</v>
      </c>
      <c r="Q1818" s="24" t="s">
        <v>28</v>
      </c>
      <c r="R1818" s="25"/>
      <c r="S1818" s="25"/>
    </row>
    <row r="1819" ht="27" customHeight="1" spans="1:19">
      <c r="A1819" s="19" t="s">
        <v>7128</v>
      </c>
      <c r="B1819" s="20" t="s">
        <v>30</v>
      </c>
      <c r="C1819" s="20" t="s">
        <v>849</v>
      </c>
      <c r="D1819" s="20" t="s">
        <v>32</v>
      </c>
      <c r="E1819" s="21" t="s">
        <v>7129</v>
      </c>
      <c r="F1819" s="21" t="s">
        <v>7125</v>
      </c>
      <c r="G1819" s="20" t="s">
        <v>35</v>
      </c>
      <c r="H1819" s="20" t="s">
        <v>25</v>
      </c>
      <c r="I1819" s="21" t="s">
        <v>7130</v>
      </c>
      <c r="J1819" s="22">
        <f t="shared" si="140"/>
        <v>3.93402777777374</v>
      </c>
      <c r="K1819" s="22">
        <f t="shared" si="141"/>
        <v>94.4166666665697</v>
      </c>
      <c r="L1819" s="22">
        <f t="shared" si="142"/>
        <v>30.4166666665697</v>
      </c>
      <c r="M1819" s="22" cm="1">
        <f ca="1" t="array" ref="M1819">SUMPRODUCT(--(WEEKDAY(ROW(INDIRECT(INT(F1819)&amp;":"&amp;INT(I1819))),2)&gt;5))</f>
        <v>0</v>
      </c>
      <c r="N1819" s="22">
        <f ca="1" t="shared" si="143"/>
        <v>30.4166666665697</v>
      </c>
      <c r="O1819" s="22" t="str">
        <f ca="1" t="shared" si="144"/>
        <v>SLA Violated</v>
      </c>
      <c r="P1819" s="23" t="s">
        <v>7131</v>
      </c>
      <c r="Q1819" s="24" t="s">
        <v>28</v>
      </c>
      <c r="R1819" s="25"/>
      <c r="S1819" s="25"/>
    </row>
    <row r="1820" ht="27" customHeight="1" spans="1:19">
      <c r="A1820" s="19" t="s">
        <v>7132</v>
      </c>
      <c r="B1820" s="20" t="s">
        <v>30</v>
      </c>
      <c r="C1820" s="20" t="s">
        <v>31</v>
      </c>
      <c r="D1820" s="20" t="s">
        <v>32</v>
      </c>
      <c r="E1820" s="21" t="s">
        <v>5211</v>
      </c>
      <c r="F1820" s="21" t="s">
        <v>7133</v>
      </c>
      <c r="G1820" s="20" t="s">
        <v>35</v>
      </c>
      <c r="H1820" s="20" t="s">
        <v>25</v>
      </c>
      <c r="I1820" s="21" t="s">
        <v>7134</v>
      </c>
      <c r="J1820" s="22">
        <f t="shared" si="140"/>
        <v>0.676388888889051</v>
      </c>
      <c r="K1820" s="22">
        <f t="shared" si="141"/>
        <v>16.2333333333372</v>
      </c>
      <c r="L1820" s="22">
        <f t="shared" si="142"/>
        <v>0.233333333337214</v>
      </c>
      <c r="M1820" s="22" cm="1">
        <f ca="1" t="array" ref="M1820">SUMPRODUCT(--(WEEKDAY(ROW(INDIRECT(INT(F1820)&amp;":"&amp;INT(I1820))),2)&gt;5))</f>
        <v>0</v>
      </c>
      <c r="N1820" s="22">
        <f ca="1" t="shared" si="143"/>
        <v>0.233333333337214</v>
      </c>
      <c r="O1820" s="22" t="str">
        <f ca="1" t="shared" si="144"/>
        <v>Within SLA</v>
      </c>
      <c r="P1820" s="26" t="s">
        <v>7132</v>
      </c>
      <c r="Q1820" s="24" t="s">
        <v>37</v>
      </c>
      <c r="R1820" s="25"/>
      <c r="S1820" s="25"/>
    </row>
    <row r="1821" ht="39" customHeight="1" spans="1:19">
      <c r="A1821" s="19" t="s">
        <v>7135</v>
      </c>
      <c r="B1821" s="20" t="s">
        <v>19</v>
      </c>
      <c r="C1821" s="20" t="s">
        <v>20</v>
      </c>
      <c r="D1821" s="20" t="s">
        <v>32</v>
      </c>
      <c r="E1821" s="21" t="s">
        <v>7136</v>
      </c>
      <c r="F1821" s="21" t="s">
        <v>7137</v>
      </c>
      <c r="G1821" s="20" t="s">
        <v>35</v>
      </c>
      <c r="H1821" s="20" t="s">
        <v>25</v>
      </c>
      <c r="I1821" s="21" t="s">
        <v>7138</v>
      </c>
      <c r="J1821" s="22">
        <f t="shared" si="140"/>
        <v>0.0111111111109494</v>
      </c>
      <c r="K1821" s="22">
        <f t="shared" si="141"/>
        <v>0.266666666662786</v>
      </c>
      <c r="L1821" s="22">
        <f t="shared" si="142"/>
        <v>0.266666666662786</v>
      </c>
      <c r="M1821" s="22" cm="1">
        <f ca="1" t="array" ref="M1821">SUMPRODUCT(--(WEEKDAY(ROW(INDIRECT(INT(F1821)&amp;":"&amp;INT(I1821))),2)&gt;5))</f>
        <v>0</v>
      </c>
      <c r="N1821" s="22">
        <f ca="1" t="shared" si="143"/>
        <v>0.266666666662786</v>
      </c>
      <c r="O1821" s="22" t="str">
        <f ca="1" t="shared" si="144"/>
        <v>Within SLA</v>
      </c>
      <c r="P1821" s="26" t="s">
        <v>7135</v>
      </c>
      <c r="Q1821" s="24" t="s">
        <v>37</v>
      </c>
      <c r="R1821" s="25"/>
      <c r="S1821" s="25"/>
    </row>
    <row r="1822" ht="39" customHeight="1" spans="1:19">
      <c r="A1822" s="19" t="s">
        <v>7139</v>
      </c>
      <c r="B1822" s="20" t="s">
        <v>19</v>
      </c>
      <c r="C1822" s="20" t="s">
        <v>20</v>
      </c>
      <c r="D1822" s="20" t="s">
        <v>32</v>
      </c>
      <c r="E1822" s="21" t="s">
        <v>7136</v>
      </c>
      <c r="F1822" s="21" t="s">
        <v>7140</v>
      </c>
      <c r="G1822" s="20" t="s">
        <v>24</v>
      </c>
      <c r="H1822" s="20" t="s">
        <v>25</v>
      </c>
      <c r="I1822" s="21" t="s">
        <v>6968</v>
      </c>
      <c r="J1822" s="22">
        <f t="shared" si="140"/>
        <v>10.0479166666701</v>
      </c>
      <c r="K1822" s="22">
        <f t="shared" si="141"/>
        <v>241.150000000081</v>
      </c>
      <c r="L1822" s="22">
        <f t="shared" si="142"/>
        <v>81.1500000000815</v>
      </c>
      <c r="M1822" s="22" cm="1">
        <f ca="1" t="array" ref="M1822">SUMPRODUCT(--(WEEKDAY(ROW(INDIRECT(INT(F1822)&amp;":"&amp;INT(I1822))),2)&gt;5))</f>
        <v>2</v>
      </c>
      <c r="N1822" s="22">
        <f ca="1" t="shared" si="143"/>
        <v>65.1500000000815</v>
      </c>
      <c r="O1822" s="22" t="str">
        <f ca="1" t="shared" si="144"/>
        <v>SLA Violated</v>
      </c>
      <c r="P1822" s="23" t="s">
        <v>7141</v>
      </c>
      <c r="Q1822" s="24" t="s">
        <v>37</v>
      </c>
      <c r="R1822" s="25" t="s">
        <v>749</v>
      </c>
      <c r="S1822" s="25" t="s">
        <v>39</v>
      </c>
    </row>
    <row r="1823" ht="27" customHeight="1" spans="1:19">
      <c r="A1823" s="19" t="s">
        <v>7142</v>
      </c>
      <c r="B1823" s="20" t="s">
        <v>30</v>
      </c>
      <c r="C1823" s="20" t="s">
        <v>31</v>
      </c>
      <c r="D1823" s="20" t="s">
        <v>32</v>
      </c>
      <c r="E1823" s="21" t="s">
        <v>7136</v>
      </c>
      <c r="F1823" s="21" t="s">
        <v>7143</v>
      </c>
      <c r="G1823" s="20" t="s">
        <v>35</v>
      </c>
      <c r="H1823" s="20" t="s">
        <v>25</v>
      </c>
      <c r="I1823" s="21" t="s">
        <v>7144</v>
      </c>
      <c r="J1823" s="22">
        <f t="shared" si="140"/>
        <v>0.678472222221899</v>
      </c>
      <c r="K1823" s="22">
        <f t="shared" si="141"/>
        <v>16.2833333333256</v>
      </c>
      <c r="L1823" s="22">
        <f t="shared" si="142"/>
        <v>0.283333333325572</v>
      </c>
      <c r="M1823" s="22" cm="1">
        <f ca="1" t="array" ref="M1823">SUMPRODUCT(--(WEEKDAY(ROW(INDIRECT(INT(F1823)&amp;":"&amp;INT(I1823))),2)&gt;5))</f>
        <v>0</v>
      </c>
      <c r="N1823" s="22">
        <f ca="1" t="shared" si="143"/>
        <v>0.283333333325572</v>
      </c>
      <c r="O1823" s="22" t="str">
        <f ca="1" t="shared" si="144"/>
        <v>Within SLA</v>
      </c>
      <c r="P1823" s="26" t="s">
        <v>7142</v>
      </c>
      <c r="Q1823" s="24" t="s">
        <v>37</v>
      </c>
      <c r="R1823" s="25"/>
      <c r="S1823" s="25"/>
    </row>
    <row r="1824" ht="27" customHeight="1" spans="1:19">
      <c r="A1824" s="19" t="s">
        <v>7145</v>
      </c>
      <c r="B1824" s="20" t="s">
        <v>1047</v>
      </c>
      <c r="C1824" s="20" t="s">
        <v>849</v>
      </c>
      <c r="D1824" s="20" t="s">
        <v>32</v>
      </c>
      <c r="E1824" s="21" t="s">
        <v>7136</v>
      </c>
      <c r="F1824" s="21" t="s">
        <v>7146</v>
      </c>
      <c r="G1824" s="20" t="s">
        <v>35</v>
      </c>
      <c r="H1824" s="20" t="s">
        <v>25</v>
      </c>
      <c r="I1824" s="21" t="s">
        <v>7147</v>
      </c>
      <c r="J1824" s="22">
        <f t="shared" si="140"/>
        <v>14.0819444444423</v>
      </c>
      <c r="K1824" s="22">
        <f t="shared" si="141"/>
        <v>337.966666666616</v>
      </c>
      <c r="L1824" s="22">
        <f t="shared" si="142"/>
        <v>113.966666666616</v>
      </c>
      <c r="M1824" s="22" cm="1">
        <f ca="1" t="array" ref="M1824">SUMPRODUCT(--(WEEKDAY(ROW(INDIRECT(INT(F1824)&amp;":"&amp;INT(I1824))),2)&gt;5))</f>
        <v>4</v>
      </c>
      <c r="N1824" s="22">
        <f ca="1" t="shared" si="143"/>
        <v>81.966666666616</v>
      </c>
      <c r="O1824" s="22" t="str">
        <f ca="1" t="shared" si="144"/>
        <v>SLA Violated</v>
      </c>
      <c r="P1824" s="23" t="s">
        <v>7148</v>
      </c>
      <c r="Q1824" s="24" t="s">
        <v>28</v>
      </c>
      <c r="R1824" s="25"/>
      <c r="S1824" s="25"/>
    </row>
    <row r="1825" ht="27" customHeight="1" spans="1:19">
      <c r="A1825" s="19" t="s">
        <v>7149</v>
      </c>
      <c r="B1825" s="20" t="s">
        <v>30</v>
      </c>
      <c r="C1825" s="20" t="s">
        <v>849</v>
      </c>
      <c r="D1825" s="20" t="s">
        <v>32</v>
      </c>
      <c r="E1825" s="21" t="s">
        <v>5320</v>
      </c>
      <c r="F1825" s="21" t="s">
        <v>7150</v>
      </c>
      <c r="G1825" s="20" t="s">
        <v>35</v>
      </c>
      <c r="H1825" s="20" t="s">
        <v>25</v>
      </c>
      <c r="I1825" s="21" t="s">
        <v>7151</v>
      </c>
      <c r="J1825" s="22">
        <f t="shared" si="140"/>
        <v>3.92291666666279</v>
      </c>
      <c r="K1825" s="22">
        <f t="shared" si="141"/>
        <v>94.1499999999069</v>
      </c>
      <c r="L1825" s="22">
        <f t="shared" si="142"/>
        <v>30.1499999999069</v>
      </c>
      <c r="M1825" s="22" cm="1">
        <f ca="1" t="array" ref="M1825">SUMPRODUCT(--(WEEKDAY(ROW(INDIRECT(INT(F1825)&amp;":"&amp;INT(I1825))),2)&gt;5))</f>
        <v>0</v>
      </c>
      <c r="N1825" s="22">
        <f ca="1" t="shared" si="143"/>
        <v>30.1499999999069</v>
      </c>
      <c r="O1825" s="22" t="str">
        <f ca="1" t="shared" si="144"/>
        <v>SLA Violated</v>
      </c>
      <c r="P1825" s="23" t="s">
        <v>7152</v>
      </c>
      <c r="Q1825" s="24" t="s">
        <v>28</v>
      </c>
      <c r="R1825" s="25"/>
      <c r="S1825" s="25"/>
    </row>
    <row r="1826" ht="27" customHeight="1" spans="1:19">
      <c r="A1826" s="19" t="s">
        <v>7153</v>
      </c>
      <c r="B1826" s="20" t="s">
        <v>30</v>
      </c>
      <c r="C1826" s="20" t="s">
        <v>31</v>
      </c>
      <c r="D1826" s="20" t="s">
        <v>32</v>
      </c>
      <c r="E1826" s="21" t="s">
        <v>5351</v>
      </c>
      <c r="F1826" s="21" t="s">
        <v>7154</v>
      </c>
      <c r="G1826" s="20" t="s">
        <v>35</v>
      </c>
      <c r="H1826" s="20" t="s">
        <v>25</v>
      </c>
      <c r="I1826" s="21" t="s">
        <v>7155</v>
      </c>
      <c r="J1826" s="22">
        <f t="shared" si="140"/>
        <v>0.675694444442343</v>
      </c>
      <c r="K1826" s="22">
        <f t="shared" si="141"/>
        <v>16.2166666666162</v>
      </c>
      <c r="L1826" s="22">
        <f t="shared" si="142"/>
        <v>0.21666666661622</v>
      </c>
      <c r="M1826" s="22" cm="1">
        <f ca="1" t="array" ref="M1826">SUMPRODUCT(--(WEEKDAY(ROW(INDIRECT(INT(F1826)&amp;":"&amp;INT(I1826))),2)&gt;5))</f>
        <v>0</v>
      </c>
      <c r="N1826" s="22">
        <f ca="1" t="shared" si="143"/>
        <v>0.21666666661622</v>
      </c>
      <c r="O1826" s="22" t="str">
        <f ca="1" t="shared" si="144"/>
        <v>Within SLA</v>
      </c>
      <c r="P1826" s="26" t="s">
        <v>7153</v>
      </c>
      <c r="Q1826" s="24" t="s">
        <v>37</v>
      </c>
      <c r="R1826" s="25"/>
      <c r="S1826" s="25"/>
    </row>
    <row r="1827" ht="39" customHeight="1" spans="1:19">
      <c r="A1827" s="19" t="s">
        <v>7156</v>
      </c>
      <c r="B1827" s="20" t="s">
        <v>19</v>
      </c>
      <c r="C1827" s="20" t="s">
        <v>167</v>
      </c>
      <c r="D1827" s="20" t="s">
        <v>32</v>
      </c>
      <c r="E1827" s="21" t="s">
        <v>7157</v>
      </c>
      <c r="F1827" s="21" t="s">
        <v>7158</v>
      </c>
      <c r="G1827" s="20" t="s">
        <v>35</v>
      </c>
      <c r="H1827" s="20" t="s">
        <v>25</v>
      </c>
      <c r="I1827" s="21" t="s">
        <v>7159</v>
      </c>
      <c r="J1827" s="22">
        <f t="shared" si="140"/>
        <v>0.0138888888905058</v>
      </c>
      <c r="K1827" s="22">
        <f t="shared" si="141"/>
        <v>0.333333333372138</v>
      </c>
      <c r="L1827" s="22">
        <f t="shared" si="142"/>
        <v>0.333333333372138</v>
      </c>
      <c r="M1827" s="22" cm="1">
        <f ca="1" t="array" ref="M1827">SUMPRODUCT(--(WEEKDAY(ROW(INDIRECT(INT(F1827)&amp;":"&amp;INT(I1827))),2)&gt;5))</f>
        <v>0</v>
      </c>
      <c r="N1827" s="22">
        <f ca="1" t="shared" si="143"/>
        <v>0.333333333372138</v>
      </c>
      <c r="O1827" s="22" t="str">
        <f ca="1" t="shared" si="144"/>
        <v>Within SLA</v>
      </c>
      <c r="P1827" s="26" t="s">
        <v>7156</v>
      </c>
      <c r="Q1827" s="24" t="s">
        <v>37</v>
      </c>
      <c r="R1827" s="25"/>
      <c r="S1827" s="25"/>
    </row>
    <row r="1828" ht="39" customHeight="1" spans="1:19">
      <c r="A1828" s="19" t="s">
        <v>7160</v>
      </c>
      <c r="B1828" s="20" t="s">
        <v>19</v>
      </c>
      <c r="C1828" s="20" t="s">
        <v>20</v>
      </c>
      <c r="D1828" s="20" t="s">
        <v>32</v>
      </c>
      <c r="E1828" s="21" t="s">
        <v>7161</v>
      </c>
      <c r="F1828" s="21" t="s">
        <v>7162</v>
      </c>
      <c r="G1828" s="20" t="s">
        <v>35</v>
      </c>
      <c r="H1828" s="20" t="s">
        <v>25</v>
      </c>
      <c r="I1828" s="21" t="s">
        <v>7163</v>
      </c>
      <c r="J1828" s="22">
        <f t="shared" si="140"/>
        <v>0.667361111110949</v>
      </c>
      <c r="K1828" s="22">
        <f t="shared" si="141"/>
        <v>16.0166666666628</v>
      </c>
      <c r="L1828" s="22">
        <f t="shared" si="142"/>
        <v>0.0166666666627862</v>
      </c>
      <c r="M1828" s="22" cm="1">
        <f ca="1" t="array" ref="M1828">SUMPRODUCT(--(WEEKDAY(ROW(INDIRECT(INT(F1828)&amp;":"&amp;INT(I1828))),2)&gt;5))</f>
        <v>0</v>
      </c>
      <c r="N1828" s="22">
        <f ca="1" t="shared" si="143"/>
        <v>0.0166666666627862</v>
      </c>
      <c r="O1828" s="22" t="str">
        <f ca="1" t="shared" si="144"/>
        <v>Within SLA</v>
      </c>
      <c r="P1828" s="26" t="s">
        <v>7160</v>
      </c>
      <c r="Q1828" s="24" t="s">
        <v>37</v>
      </c>
      <c r="R1828" s="25"/>
      <c r="S1828" s="25"/>
    </row>
    <row r="1829" ht="27" customHeight="1" spans="1:19">
      <c r="A1829" s="19" t="s">
        <v>7164</v>
      </c>
      <c r="B1829" s="20" t="s">
        <v>30</v>
      </c>
      <c r="C1829" s="20" t="s">
        <v>31</v>
      </c>
      <c r="D1829" s="20" t="s">
        <v>32</v>
      </c>
      <c r="E1829" s="21" t="s">
        <v>7165</v>
      </c>
      <c r="F1829" s="21" t="s">
        <v>7166</v>
      </c>
      <c r="G1829" s="20" t="s">
        <v>35</v>
      </c>
      <c r="H1829" s="20" t="s">
        <v>25</v>
      </c>
      <c r="I1829" s="21" t="s">
        <v>7167</v>
      </c>
      <c r="J1829" s="22">
        <f t="shared" si="140"/>
        <v>19.9506944444438</v>
      </c>
      <c r="K1829" s="22">
        <f t="shared" si="141"/>
        <v>478.816666666651</v>
      </c>
      <c r="L1829" s="22">
        <f t="shared" si="142"/>
        <v>158.816666666651</v>
      </c>
      <c r="M1829" s="22" cm="1">
        <f ca="1" t="array" ref="M1829">SUMPRODUCT(--(WEEKDAY(ROW(INDIRECT(INT(F1829)&amp;":"&amp;INT(I1829))),2)&gt;5))</f>
        <v>6</v>
      </c>
      <c r="N1829" s="22">
        <f ca="1" t="shared" si="143"/>
        <v>110.816666666651</v>
      </c>
      <c r="O1829" s="22" t="str">
        <f ca="1" t="shared" si="144"/>
        <v>SLA Violated</v>
      </c>
      <c r="P1829" s="26" t="s">
        <v>7164</v>
      </c>
      <c r="Q1829" s="24" t="s">
        <v>28</v>
      </c>
      <c r="R1829" s="25"/>
      <c r="S1829" s="25"/>
    </row>
    <row r="1830" ht="39" customHeight="1" spans="1:19">
      <c r="A1830" s="19" t="s">
        <v>7168</v>
      </c>
      <c r="B1830" s="20" t="s">
        <v>19</v>
      </c>
      <c r="C1830" s="20" t="s">
        <v>20</v>
      </c>
      <c r="D1830" s="20" t="s">
        <v>32</v>
      </c>
      <c r="E1830" s="21" t="s">
        <v>7169</v>
      </c>
      <c r="F1830" s="21" t="s">
        <v>7170</v>
      </c>
      <c r="G1830" s="20" t="s">
        <v>35</v>
      </c>
      <c r="H1830" s="20" t="s">
        <v>25</v>
      </c>
      <c r="I1830" s="21" t="s">
        <v>7171</v>
      </c>
      <c r="J1830" s="22">
        <f t="shared" si="140"/>
        <v>0.0437499999970896</v>
      </c>
      <c r="K1830" s="22">
        <f t="shared" si="141"/>
        <v>1.04999999993015</v>
      </c>
      <c r="L1830" s="22">
        <f t="shared" si="142"/>
        <v>1.04999999993015</v>
      </c>
      <c r="M1830" s="22" cm="1">
        <f ca="1" t="array" ref="M1830">SUMPRODUCT(--(WEEKDAY(ROW(INDIRECT(INT(F1830)&amp;":"&amp;INT(I1830))),2)&gt;5))</f>
        <v>0</v>
      </c>
      <c r="N1830" s="22">
        <f ca="1" t="shared" si="143"/>
        <v>1.04999999993015</v>
      </c>
      <c r="O1830" s="22" t="str">
        <f ca="1" t="shared" si="144"/>
        <v>Within SLA</v>
      </c>
      <c r="P1830" s="26" t="s">
        <v>7168</v>
      </c>
      <c r="Q1830" s="24" t="s">
        <v>37</v>
      </c>
      <c r="R1830" s="25"/>
      <c r="S1830" s="25"/>
    </row>
    <row r="1831" ht="16" customHeight="1" spans="1:19">
      <c r="A1831" s="19" t="s">
        <v>7172</v>
      </c>
      <c r="B1831" s="20" t="s">
        <v>100</v>
      </c>
      <c r="C1831" s="20" t="s">
        <v>101</v>
      </c>
      <c r="D1831" s="20" t="s">
        <v>32</v>
      </c>
      <c r="E1831" s="21" t="s">
        <v>7173</v>
      </c>
      <c r="F1831" s="21" t="s">
        <v>7174</v>
      </c>
      <c r="G1831" s="20" t="s">
        <v>35</v>
      </c>
      <c r="H1831" s="20" t="s">
        <v>25</v>
      </c>
      <c r="I1831" s="21" t="s">
        <v>7175</v>
      </c>
      <c r="J1831" s="22">
        <f t="shared" si="140"/>
        <v>1.1652777777781</v>
      </c>
      <c r="K1831" s="22">
        <f t="shared" si="141"/>
        <v>27.9666666666744</v>
      </c>
      <c r="L1831" s="22">
        <f t="shared" si="142"/>
        <v>11.9666666666744</v>
      </c>
      <c r="M1831" s="22" cm="1">
        <f ca="1" t="array" ref="M1831">SUMPRODUCT(--(WEEKDAY(ROW(INDIRECT(INT(F1831)&amp;":"&amp;INT(I1831))),2)&gt;5))</f>
        <v>0</v>
      </c>
      <c r="N1831" s="22">
        <f ca="1" t="shared" si="143"/>
        <v>11.9666666666744</v>
      </c>
      <c r="O1831" s="22" t="str">
        <f ca="1" t="shared" si="144"/>
        <v>Within SLA</v>
      </c>
      <c r="P1831" s="26" t="s">
        <v>7172</v>
      </c>
      <c r="Q1831" s="24" t="s">
        <v>37</v>
      </c>
      <c r="R1831" s="25"/>
      <c r="S1831" s="25"/>
    </row>
    <row r="1832" ht="39" customHeight="1" spans="1:19">
      <c r="A1832" s="19" t="s">
        <v>7176</v>
      </c>
      <c r="B1832" s="20" t="s">
        <v>19</v>
      </c>
      <c r="C1832" s="20" t="s">
        <v>20</v>
      </c>
      <c r="D1832" s="20" t="s">
        <v>32</v>
      </c>
      <c r="E1832" s="21" t="s">
        <v>7177</v>
      </c>
      <c r="F1832" s="21" t="s">
        <v>7178</v>
      </c>
      <c r="G1832" s="20" t="s">
        <v>35</v>
      </c>
      <c r="H1832" s="20" t="s">
        <v>25</v>
      </c>
      <c r="I1832" s="21" t="s">
        <v>7179</v>
      </c>
      <c r="J1832" s="22">
        <f t="shared" si="140"/>
        <v>0.0493055555562023</v>
      </c>
      <c r="K1832" s="22">
        <f t="shared" si="141"/>
        <v>1.18333333334886</v>
      </c>
      <c r="L1832" s="22">
        <f t="shared" si="142"/>
        <v>1.18333333334886</v>
      </c>
      <c r="M1832" s="22" cm="1">
        <f ca="1" t="array" ref="M1832">SUMPRODUCT(--(WEEKDAY(ROW(INDIRECT(INT(F1832)&amp;":"&amp;INT(I1832))),2)&gt;5))</f>
        <v>0</v>
      </c>
      <c r="N1832" s="22">
        <f ca="1" t="shared" si="143"/>
        <v>1.18333333334886</v>
      </c>
      <c r="O1832" s="22" t="str">
        <f ca="1" t="shared" si="144"/>
        <v>Within SLA</v>
      </c>
      <c r="P1832" s="26" t="s">
        <v>7176</v>
      </c>
      <c r="Q1832" s="24" t="s">
        <v>37</v>
      </c>
      <c r="R1832" s="25"/>
      <c r="S1832" s="25"/>
    </row>
    <row r="1833" ht="27" customHeight="1" spans="1:19">
      <c r="A1833" s="19" t="s">
        <v>7180</v>
      </c>
      <c r="B1833" s="20" t="s">
        <v>30</v>
      </c>
      <c r="C1833" s="20" t="s">
        <v>31</v>
      </c>
      <c r="D1833" s="20" t="s">
        <v>32</v>
      </c>
      <c r="E1833" s="21" t="s">
        <v>7181</v>
      </c>
      <c r="F1833" s="21" t="s">
        <v>7182</v>
      </c>
      <c r="G1833" s="20" t="s">
        <v>35</v>
      </c>
      <c r="H1833" s="20" t="s">
        <v>25</v>
      </c>
      <c r="I1833" s="21" t="s">
        <v>7183</v>
      </c>
      <c r="J1833" s="22">
        <f t="shared" si="140"/>
        <v>17.9798611111109</v>
      </c>
      <c r="K1833" s="22">
        <f t="shared" si="141"/>
        <v>431.516666666663</v>
      </c>
      <c r="L1833" s="22">
        <f t="shared" si="142"/>
        <v>143.516666666663</v>
      </c>
      <c r="M1833" s="22" cm="1">
        <f ca="1" t="array" ref="M1833">SUMPRODUCT(--(WEEKDAY(ROW(INDIRECT(INT(F1833)&amp;":"&amp;INT(I1833))),2)&gt;5))</f>
        <v>5</v>
      </c>
      <c r="N1833" s="22">
        <f ca="1" t="shared" si="143"/>
        <v>103.516666666663</v>
      </c>
      <c r="O1833" s="22" t="str">
        <f ca="1" t="shared" si="144"/>
        <v>SLA Violated</v>
      </c>
      <c r="P1833" s="26" t="s">
        <v>7180</v>
      </c>
      <c r="Q1833" s="24" t="s">
        <v>28</v>
      </c>
      <c r="R1833" s="25"/>
      <c r="S1833" s="25"/>
    </row>
    <row r="1834" ht="27" customHeight="1" spans="1:19">
      <c r="A1834" s="19" t="s">
        <v>7184</v>
      </c>
      <c r="B1834" s="20" t="s">
        <v>30</v>
      </c>
      <c r="C1834" s="20" t="s">
        <v>31</v>
      </c>
      <c r="D1834" s="20" t="s">
        <v>32</v>
      </c>
      <c r="E1834" s="21" t="s">
        <v>7181</v>
      </c>
      <c r="F1834" s="21" t="s">
        <v>7185</v>
      </c>
      <c r="G1834" s="20" t="s">
        <v>35</v>
      </c>
      <c r="H1834" s="20" t="s">
        <v>25</v>
      </c>
      <c r="I1834" s="21" t="s">
        <v>7186</v>
      </c>
      <c r="J1834" s="22">
        <f t="shared" si="140"/>
        <v>0.555555555554747</v>
      </c>
      <c r="K1834" s="22">
        <f t="shared" si="141"/>
        <v>13.3333333333139</v>
      </c>
      <c r="L1834" s="22">
        <f t="shared" si="142"/>
        <v>-2.66666666668607</v>
      </c>
      <c r="M1834" s="22" cm="1">
        <f ca="1" t="array" ref="M1834">SUMPRODUCT(--(WEEKDAY(ROW(INDIRECT(INT(F1834)&amp;":"&amp;INT(I1834))),2)&gt;5))</f>
        <v>0</v>
      </c>
      <c r="N1834" s="22">
        <f ca="1" t="shared" si="143"/>
        <v>0</v>
      </c>
      <c r="O1834" s="22" t="str">
        <f ca="1" t="shared" si="144"/>
        <v>Within SLA</v>
      </c>
      <c r="P1834" s="26" t="s">
        <v>7184</v>
      </c>
      <c r="Q1834" s="24" t="s">
        <v>37</v>
      </c>
      <c r="R1834" s="25"/>
      <c r="S1834" s="25"/>
    </row>
    <row r="1835" ht="27" customHeight="1" spans="1:19">
      <c r="A1835" s="19" t="s">
        <v>7187</v>
      </c>
      <c r="B1835" s="20" t="s">
        <v>30</v>
      </c>
      <c r="C1835" s="20" t="s">
        <v>31</v>
      </c>
      <c r="D1835" s="20" t="s">
        <v>32</v>
      </c>
      <c r="E1835" s="21" t="s">
        <v>7188</v>
      </c>
      <c r="F1835" s="21" t="s">
        <v>7189</v>
      </c>
      <c r="G1835" s="20" t="s">
        <v>35</v>
      </c>
      <c r="H1835" s="20" t="s">
        <v>25</v>
      </c>
      <c r="I1835" s="21" t="s">
        <v>7190</v>
      </c>
      <c r="J1835" s="22">
        <f t="shared" si="140"/>
        <v>21.878472222219</v>
      </c>
      <c r="K1835" s="22">
        <f t="shared" si="141"/>
        <v>525.083333333256</v>
      </c>
      <c r="L1835" s="22">
        <f t="shared" si="142"/>
        <v>173.083333333256</v>
      </c>
      <c r="M1835" s="22" cm="1">
        <f ca="1" t="array" ref="M1835">SUMPRODUCT(--(WEEKDAY(ROW(INDIRECT(INT(F1835)&amp;":"&amp;INT(I1835))),2)&gt;5))</f>
        <v>6</v>
      </c>
      <c r="N1835" s="22">
        <f ca="1" t="shared" si="143"/>
        <v>125.083333333256</v>
      </c>
      <c r="O1835" s="22" t="str">
        <f ca="1" t="shared" si="144"/>
        <v>SLA Violated</v>
      </c>
      <c r="P1835" s="26" t="s">
        <v>7187</v>
      </c>
      <c r="Q1835" s="24" t="s">
        <v>28</v>
      </c>
      <c r="R1835" s="25"/>
      <c r="S1835" s="25"/>
    </row>
    <row r="1836" ht="39" customHeight="1" spans="1:19">
      <c r="A1836" s="19" t="s">
        <v>7191</v>
      </c>
      <c r="B1836" s="20" t="s">
        <v>19</v>
      </c>
      <c r="C1836" s="20" t="s">
        <v>20</v>
      </c>
      <c r="D1836" s="20" t="s">
        <v>32</v>
      </c>
      <c r="E1836" s="21" t="s">
        <v>7030</v>
      </c>
      <c r="F1836" s="21" t="s">
        <v>7014</v>
      </c>
      <c r="G1836" s="20" t="s">
        <v>24</v>
      </c>
      <c r="H1836" s="20" t="s">
        <v>25</v>
      </c>
      <c r="I1836" s="21" t="s">
        <v>7192</v>
      </c>
      <c r="J1836" s="22">
        <f t="shared" si="140"/>
        <v>55.7673611111095</v>
      </c>
      <c r="K1836" s="22">
        <f t="shared" si="141"/>
        <v>1338.41666666663</v>
      </c>
      <c r="L1836" s="22">
        <f t="shared" si="142"/>
        <v>442.416666666628</v>
      </c>
      <c r="M1836" s="22" cm="1">
        <f ca="1" t="array" ref="M1836">SUMPRODUCT(--(WEEKDAY(ROW(INDIRECT(INT(F1836)&amp;":"&amp;INT(I1836))),2)&gt;5))</f>
        <v>16</v>
      </c>
      <c r="N1836" s="22">
        <f ca="1" t="shared" si="143"/>
        <v>314.416666666628</v>
      </c>
      <c r="O1836" s="22" t="str">
        <f ca="1" t="shared" si="144"/>
        <v>SLA Violated</v>
      </c>
      <c r="P1836" s="23" t="s">
        <v>7193</v>
      </c>
      <c r="Q1836" s="24" t="s">
        <v>37</v>
      </c>
      <c r="R1836" s="25" t="s">
        <v>220</v>
      </c>
      <c r="S1836" s="25" t="s">
        <v>39</v>
      </c>
    </row>
    <row r="1837" ht="27" customHeight="1" spans="1:19">
      <c r="A1837" s="19" t="s">
        <v>7194</v>
      </c>
      <c r="B1837" s="20" t="s">
        <v>30</v>
      </c>
      <c r="C1837" s="20" t="s">
        <v>46</v>
      </c>
      <c r="D1837" s="20" t="s">
        <v>32</v>
      </c>
      <c r="E1837" s="21" t="s">
        <v>7195</v>
      </c>
      <c r="F1837" s="21" t="s">
        <v>7196</v>
      </c>
      <c r="G1837" s="20" t="s">
        <v>35</v>
      </c>
      <c r="H1837" s="20" t="s">
        <v>25</v>
      </c>
      <c r="I1837" s="21" t="s">
        <v>7197</v>
      </c>
      <c r="J1837" s="22">
        <f t="shared" si="140"/>
        <v>5.98680555554893</v>
      </c>
      <c r="K1837" s="22">
        <f t="shared" si="141"/>
        <v>143.683333333174</v>
      </c>
      <c r="L1837" s="22">
        <f t="shared" si="142"/>
        <v>47.6833333331742</v>
      </c>
      <c r="M1837" s="22" cm="1">
        <f ca="1" t="array" ref="M1837">SUMPRODUCT(--(WEEKDAY(ROW(INDIRECT(INT(F1837)&amp;":"&amp;INT(I1837))),2)&gt;5))</f>
        <v>2</v>
      </c>
      <c r="N1837" s="22">
        <f ca="1" t="shared" si="143"/>
        <v>31.6833333331742</v>
      </c>
      <c r="O1837" s="22" t="str">
        <f ca="1" t="shared" si="144"/>
        <v>SLA Violated</v>
      </c>
      <c r="P1837" s="23" t="s">
        <v>7198</v>
      </c>
      <c r="Q1837" s="24" t="s">
        <v>37</v>
      </c>
      <c r="R1837" s="25" t="s">
        <v>719</v>
      </c>
      <c r="S1837" s="25" t="s">
        <v>39</v>
      </c>
    </row>
    <row r="1838" ht="27" customHeight="1" spans="1:19">
      <c r="A1838" s="19" t="s">
        <v>7199</v>
      </c>
      <c r="B1838" s="20" t="s">
        <v>30</v>
      </c>
      <c r="C1838" s="20" t="s">
        <v>31</v>
      </c>
      <c r="D1838" s="20" t="s">
        <v>32</v>
      </c>
      <c r="E1838" s="21" t="s">
        <v>7195</v>
      </c>
      <c r="F1838" s="21" t="s">
        <v>7200</v>
      </c>
      <c r="G1838" s="20" t="s">
        <v>35</v>
      </c>
      <c r="H1838" s="20" t="s">
        <v>25</v>
      </c>
      <c r="I1838" s="21" t="s">
        <v>7201</v>
      </c>
      <c r="J1838" s="22">
        <f t="shared" si="140"/>
        <v>0.206944444442343</v>
      </c>
      <c r="K1838" s="22">
        <f t="shared" si="141"/>
        <v>4.96666666661622</v>
      </c>
      <c r="L1838" s="22">
        <f t="shared" si="142"/>
        <v>4.96666666661622</v>
      </c>
      <c r="M1838" s="22" cm="1">
        <f ca="1" t="array" ref="M1838">SUMPRODUCT(--(WEEKDAY(ROW(INDIRECT(INT(F1838)&amp;":"&amp;INT(I1838))),2)&gt;5))</f>
        <v>0</v>
      </c>
      <c r="N1838" s="22">
        <f ca="1" t="shared" si="143"/>
        <v>4.96666666661622</v>
      </c>
      <c r="O1838" s="22" t="str">
        <f ca="1" t="shared" si="144"/>
        <v>Within SLA</v>
      </c>
      <c r="P1838" s="26" t="s">
        <v>7199</v>
      </c>
      <c r="Q1838" s="24" t="s">
        <v>37</v>
      </c>
      <c r="R1838" s="25"/>
      <c r="S1838" s="25"/>
    </row>
    <row r="1839" ht="27" customHeight="1" spans="1:19">
      <c r="A1839" s="19" t="s">
        <v>7202</v>
      </c>
      <c r="B1839" s="20" t="s">
        <v>30</v>
      </c>
      <c r="C1839" s="20" t="s">
        <v>31</v>
      </c>
      <c r="D1839" s="20" t="s">
        <v>32</v>
      </c>
      <c r="E1839" s="21" t="s">
        <v>7195</v>
      </c>
      <c r="F1839" s="21" t="s">
        <v>7203</v>
      </c>
      <c r="G1839" s="20" t="s">
        <v>35</v>
      </c>
      <c r="H1839" s="20" t="s">
        <v>25</v>
      </c>
      <c r="I1839" s="21" t="s">
        <v>6495</v>
      </c>
      <c r="J1839" s="22">
        <f t="shared" si="140"/>
        <v>0.564583333332848</v>
      </c>
      <c r="K1839" s="22">
        <f t="shared" si="141"/>
        <v>13.5499999999884</v>
      </c>
      <c r="L1839" s="22">
        <f t="shared" si="142"/>
        <v>-2.45000000001164</v>
      </c>
      <c r="M1839" s="22" cm="1">
        <f ca="1" t="array" ref="M1839">SUMPRODUCT(--(WEEKDAY(ROW(INDIRECT(INT(F1839)&amp;":"&amp;INT(I1839))),2)&gt;5))</f>
        <v>0</v>
      </c>
      <c r="N1839" s="22">
        <f ca="1" t="shared" si="143"/>
        <v>0</v>
      </c>
      <c r="O1839" s="22" t="str">
        <f ca="1" t="shared" si="144"/>
        <v>Within SLA</v>
      </c>
      <c r="P1839" s="26" t="s">
        <v>7202</v>
      </c>
      <c r="Q1839" s="24" t="s">
        <v>37</v>
      </c>
      <c r="R1839" s="25"/>
      <c r="S1839" s="25"/>
    </row>
    <row r="1840" ht="39" customHeight="1" spans="1:19">
      <c r="A1840" s="19" t="s">
        <v>7204</v>
      </c>
      <c r="B1840" s="20" t="s">
        <v>19</v>
      </c>
      <c r="C1840" s="20" t="s">
        <v>20</v>
      </c>
      <c r="D1840" s="20" t="s">
        <v>32</v>
      </c>
      <c r="E1840" s="21" t="s">
        <v>7205</v>
      </c>
      <c r="F1840" s="21" t="s">
        <v>7206</v>
      </c>
      <c r="G1840" s="20" t="s">
        <v>35</v>
      </c>
      <c r="H1840" s="20" t="s">
        <v>25</v>
      </c>
      <c r="I1840" s="21" t="s">
        <v>7207</v>
      </c>
      <c r="J1840" s="22">
        <f t="shared" si="140"/>
        <v>0.541666666671517</v>
      </c>
      <c r="K1840" s="22">
        <f t="shared" si="141"/>
        <v>13.0000000001164</v>
      </c>
      <c r="L1840" s="22">
        <f t="shared" si="142"/>
        <v>-2.99999999988358</v>
      </c>
      <c r="M1840" s="22" cm="1">
        <f ca="1" t="array" ref="M1840">SUMPRODUCT(--(WEEKDAY(ROW(INDIRECT(INT(F1840)&amp;":"&amp;INT(I1840))),2)&gt;5))</f>
        <v>0</v>
      </c>
      <c r="N1840" s="22">
        <f ca="1" t="shared" si="143"/>
        <v>0</v>
      </c>
      <c r="O1840" s="22" t="str">
        <f ca="1" t="shared" si="144"/>
        <v>Within SLA</v>
      </c>
      <c r="P1840" s="26" t="s">
        <v>7204</v>
      </c>
      <c r="Q1840" s="24" t="s">
        <v>37</v>
      </c>
      <c r="R1840" s="25"/>
      <c r="S1840" s="25"/>
    </row>
    <row r="1841" ht="39" customHeight="1" spans="1:19">
      <c r="A1841" s="19" t="s">
        <v>7208</v>
      </c>
      <c r="B1841" s="20" t="s">
        <v>19</v>
      </c>
      <c r="C1841" s="20" t="s">
        <v>167</v>
      </c>
      <c r="D1841" s="20" t="s">
        <v>32</v>
      </c>
      <c r="E1841" s="21" t="s">
        <v>7209</v>
      </c>
      <c r="F1841" s="21" t="s">
        <v>7210</v>
      </c>
      <c r="G1841" s="20" t="s">
        <v>35</v>
      </c>
      <c r="H1841" s="20" t="s">
        <v>25</v>
      </c>
      <c r="I1841" s="21" t="s">
        <v>7211</v>
      </c>
      <c r="J1841" s="22">
        <f t="shared" si="140"/>
        <v>0.0118055555503815</v>
      </c>
      <c r="K1841" s="22">
        <f t="shared" si="141"/>
        <v>0.283333333209157</v>
      </c>
      <c r="L1841" s="22">
        <f t="shared" si="142"/>
        <v>0.283333333209157</v>
      </c>
      <c r="M1841" s="22" cm="1">
        <f ca="1" t="array" ref="M1841">SUMPRODUCT(--(WEEKDAY(ROW(INDIRECT(INT(F1841)&amp;":"&amp;INT(I1841))),2)&gt;5))</f>
        <v>0</v>
      </c>
      <c r="N1841" s="22">
        <f ca="1" t="shared" si="143"/>
        <v>0.283333333209157</v>
      </c>
      <c r="O1841" s="22" t="str">
        <f ca="1" t="shared" si="144"/>
        <v>Within SLA</v>
      </c>
      <c r="P1841" s="26" t="s">
        <v>7208</v>
      </c>
      <c r="Q1841" s="24" t="s">
        <v>37</v>
      </c>
      <c r="R1841" s="25"/>
      <c r="S1841" s="25"/>
    </row>
    <row r="1842" ht="27" customHeight="1" spans="1:19">
      <c r="A1842" s="19" t="s">
        <v>7212</v>
      </c>
      <c r="B1842" s="20" t="s">
        <v>30</v>
      </c>
      <c r="C1842" s="20" t="s">
        <v>31</v>
      </c>
      <c r="D1842" s="20" t="s">
        <v>32</v>
      </c>
      <c r="E1842" s="21" t="s">
        <v>7183</v>
      </c>
      <c r="F1842" s="21" t="s">
        <v>6925</v>
      </c>
      <c r="G1842" s="20" t="s">
        <v>35</v>
      </c>
      <c r="H1842" s="20" t="s">
        <v>25</v>
      </c>
      <c r="I1842" s="21" t="s">
        <v>7213</v>
      </c>
      <c r="J1842" s="22">
        <f t="shared" si="140"/>
        <v>21.03125</v>
      </c>
      <c r="K1842" s="22">
        <f t="shared" si="141"/>
        <v>504.75</v>
      </c>
      <c r="L1842" s="22">
        <f t="shared" si="142"/>
        <v>168.75</v>
      </c>
      <c r="M1842" s="22" cm="1">
        <f ca="1" t="array" ref="M1842">SUMPRODUCT(--(WEEKDAY(ROW(INDIRECT(INT(F1842)&amp;":"&amp;INT(I1842))),2)&gt;5))</f>
        <v>6</v>
      </c>
      <c r="N1842" s="22">
        <f ca="1" t="shared" si="143"/>
        <v>120.75</v>
      </c>
      <c r="O1842" s="22" t="str">
        <f ca="1" t="shared" si="144"/>
        <v>SLA Violated</v>
      </c>
      <c r="P1842" s="26" t="s">
        <v>7212</v>
      </c>
      <c r="Q1842" s="24" t="s">
        <v>28</v>
      </c>
      <c r="R1842" s="25"/>
      <c r="S1842" s="25"/>
    </row>
    <row r="1843" ht="27" customHeight="1" spans="1:19">
      <c r="A1843" s="19" t="s">
        <v>7214</v>
      </c>
      <c r="B1843" s="20" t="s">
        <v>30</v>
      </c>
      <c r="C1843" s="20" t="s">
        <v>849</v>
      </c>
      <c r="D1843" s="20" t="s">
        <v>32</v>
      </c>
      <c r="E1843" s="21" t="s">
        <v>7215</v>
      </c>
      <c r="F1843" s="21" t="s">
        <v>7216</v>
      </c>
      <c r="G1843" s="20" t="s">
        <v>35</v>
      </c>
      <c r="H1843" s="20" t="s">
        <v>25</v>
      </c>
      <c r="I1843" s="21" t="s">
        <v>7217</v>
      </c>
      <c r="J1843" s="22">
        <f t="shared" si="140"/>
        <v>3.19930555555766</v>
      </c>
      <c r="K1843" s="22">
        <f t="shared" si="141"/>
        <v>76.7833333333838</v>
      </c>
      <c r="L1843" s="22">
        <f t="shared" si="142"/>
        <v>28.7833333333838</v>
      </c>
      <c r="M1843" s="22" cm="1">
        <f ca="1" t="array" ref="M1843">SUMPRODUCT(--(WEEKDAY(ROW(INDIRECT(INT(F1843)&amp;":"&amp;INT(I1843))),2)&gt;5))</f>
        <v>0</v>
      </c>
      <c r="N1843" s="22">
        <f ca="1" t="shared" si="143"/>
        <v>28.7833333333838</v>
      </c>
      <c r="O1843" s="22" t="str">
        <f ca="1" t="shared" si="144"/>
        <v>SLA Violated</v>
      </c>
      <c r="P1843" s="23" t="s">
        <v>7218</v>
      </c>
      <c r="Q1843" s="24" t="s">
        <v>28</v>
      </c>
      <c r="R1843" s="25"/>
      <c r="S1843" s="25"/>
    </row>
    <row r="1844" ht="27" customHeight="1" spans="1:19">
      <c r="A1844" s="19" t="s">
        <v>7219</v>
      </c>
      <c r="B1844" s="20" t="s">
        <v>30</v>
      </c>
      <c r="C1844" s="20" t="s">
        <v>31</v>
      </c>
      <c r="D1844" s="20" t="s">
        <v>32</v>
      </c>
      <c r="E1844" s="21" t="s">
        <v>7220</v>
      </c>
      <c r="F1844" s="21" t="s">
        <v>7221</v>
      </c>
      <c r="G1844" s="20" t="s">
        <v>35</v>
      </c>
      <c r="H1844" s="20" t="s">
        <v>25</v>
      </c>
      <c r="I1844" s="21" t="s">
        <v>7222</v>
      </c>
      <c r="J1844" s="22">
        <f t="shared" si="140"/>
        <v>1.12708333333285</v>
      </c>
      <c r="K1844" s="22">
        <f t="shared" si="141"/>
        <v>27.0499999999884</v>
      </c>
      <c r="L1844" s="22">
        <f t="shared" si="142"/>
        <v>11.0499999999884</v>
      </c>
      <c r="M1844" s="22" cm="1">
        <f ca="1" t="array" ref="M1844">SUMPRODUCT(--(WEEKDAY(ROW(INDIRECT(INT(F1844)&amp;":"&amp;INT(I1844))),2)&gt;5))</f>
        <v>0</v>
      </c>
      <c r="N1844" s="22">
        <f ca="1" t="shared" si="143"/>
        <v>11.0499999999884</v>
      </c>
      <c r="O1844" s="22" t="str">
        <f ca="1" t="shared" si="144"/>
        <v>Within SLA</v>
      </c>
      <c r="P1844" s="26" t="s">
        <v>7219</v>
      </c>
      <c r="Q1844" s="24" t="s">
        <v>37</v>
      </c>
      <c r="R1844" s="25"/>
      <c r="S1844" s="25"/>
    </row>
    <row r="1845" ht="39" customHeight="1" spans="1:19">
      <c r="A1845" s="19" t="s">
        <v>7223</v>
      </c>
      <c r="B1845" s="20" t="s">
        <v>19</v>
      </c>
      <c r="C1845" s="20" t="s">
        <v>20</v>
      </c>
      <c r="D1845" s="20" t="s">
        <v>32</v>
      </c>
      <c r="E1845" s="21" t="s">
        <v>7224</v>
      </c>
      <c r="F1845" s="21" t="s">
        <v>7225</v>
      </c>
      <c r="G1845" s="20" t="s">
        <v>35</v>
      </c>
      <c r="H1845" s="20" t="s">
        <v>25</v>
      </c>
      <c r="I1845" s="21" t="s">
        <v>7226</v>
      </c>
      <c r="J1845" s="22">
        <f t="shared" si="140"/>
        <v>0.480555555557657</v>
      </c>
      <c r="K1845" s="22">
        <f t="shared" si="141"/>
        <v>11.5333333333838</v>
      </c>
      <c r="L1845" s="22">
        <f t="shared" si="142"/>
        <v>-4.46666666661622</v>
      </c>
      <c r="M1845" s="22" cm="1">
        <f ca="1" t="array" ref="M1845">SUMPRODUCT(--(WEEKDAY(ROW(INDIRECT(INT(F1845)&amp;":"&amp;INT(I1845))),2)&gt;5))</f>
        <v>0</v>
      </c>
      <c r="N1845" s="22">
        <f ca="1" t="shared" si="143"/>
        <v>0</v>
      </c>
      <c r="O1845" s="22" t="str">
        <f ca="1" t="shared" si="144"/>
        <v>Within SLA</v>
      </c>
      <c r="P1845" s="26" t="s">
        <v>7223</v>
      </c>
      <c r="Q1845" s="24" t="s">
        <v>37</v>
      </c>
      <c r="R1845" s="25"/>
      <c r="S1845" s="25"/>
    </row>
    <row r="1846" ht="39" customHeight="1" spans="1:19">
      <c r="A1846" s="19" t="s">
        <v>7227</v>
      </c>
      <c r="B1846" s="20" t="s">
        <v>196</v>
      </c>
      <c r="C1846" s="20" t="s">
        <v>849</v>
      </c>
      <c r="D1846" s="20" t="s">
        <v>32</v>
      </c>
      <c r="E1846" s="21" t="s">
        <v>7224</v>
      </c>
      <c r="F1846" s="21" t="s">
        <v>7228</v>
      </c>
      <c r="G1846" s="20" t="s">
        <v>35</v>
      </c>
      <c r="H1846" s="20" t="s">
        <v>25</v>
      </c>
      <c r="I1846" s="21" t="s">
        <v>7229</v>
      </c>
      <c r="J1846" s="22">
        <f t="shared" si="140"/>
        <v>3.05972222222044</v>
      </c>
      <c r="K1846" s="22">
        <f t="shared" si="141"/>
        <v>73.4333333332906</v>
      </c>
      <c r="L1846" s="22">
        <f t="shared" si="142"/>
        <v>25.4333333332906</v>
      </c>
      <c r="M1846" s="22" cm="1">
        <f ca="1" t="array" ref="M1846">SUMPRODUCT(--(WEEKDAY(ROW(INDIRECT(INT(F1846)&amp;":"&amp;INT(I1846))),2)&gt;5))</f>
        <v>0</v>
      </c>
      <c r="N1846" s="22">
        <f ca="1" t="shared" si="143"/>
        <v>25.4333333332906</v>
      </c>
      <c r="O1846" s="22" t="str">
        <f ca="1" t="shared" si="144"/>
        <v>SLA Violated</v>
      </c>
      <c r="P1846" s="23" t="s">
        <v>7230</v>
      </c>
      <c r="Q1846" s="24" t="s">
        <v>28</v>
      </c>
      <c r="R1846" s="25"/>
      <c r="S1846" s="25"/>
    </row>
    <row r="1847" ht="50" customHeight="1" spans="1:19">
      <c r="A1847" s="19" t="s">
        <v>7231</v>
      </c>
      <c r="B1847" s="20" t="s">
        <v>369</v>
      </c>
      <c r="C1847" s="20" t="s">
        <v>46</v>
      </c>
      <c r="D1847" s="20" t="s">
        <v>32</v>
      </c>
      <c r="E1847" s="21" t="s">
        <v>7224</v>
      </c>
      <c r="F1847" s="21" t="s">
        <v>7232</v>
      </c>
      <c r="G1847" s="20" t="s">
        <v>35</v>
      </c>
      <c r="H1847" s="20" t="s">
        <v>25</v>
      </c>
      <c r="I1847" s="21" t="s">
        <v>7233</v>
      </c>
      <c r="J1847" s="22">
        <f t="shared" si="140"/>
        <v>0.0402777777781012</v>
      </c>
      <c r="K1847" s="22">
        <f t="shared" si="141"/>
        <v>0.966666666674428</v>
      </c>
      <c r="L1847" s="22">
        <f t="shared" si="142"/>
        <v>0.966666666674428</v>
      </c>
      <c r="M1847" s="22" cm="1">
        <f ca="1" t="array" ref="M1847">SUMPRODUCT(--(WEEKDAY(ROW(INDIRECT(INT(F1847)&amp;":"&amp;INT(I1847))),2)&gt;5))</f>
        <v>0</v>
      </c>
      <c r="N1847" s="22">
        <f ca="1" t="shared" si="143"/>
        <v>0.966666666674428</v>
      </c>
      <c r="O1847" s="22" t="str">
        <f ca="1" t="shared" si="144"/>
        <v>Within SLA</v>
      </c>
      <c r="P1847" s="26" t="s">
        <v>7231</v>
      </c>
      <c r="Q1847" s="24" t="s">
        <v>37</v>
      </c>
      <c r="R1847" s="25"/>
      <c r="S1847" s="25"/>
    </row>
    <row r="1848" ht="39" customHeight="1" spans="1:19">
      <c r="A1848" s="19" t="s">
        <v>7234</v>
      </c>
      <c r="B1848" s="20" t="s">
        <v>19</v>
      </c>
      <c r="C1848" s="20" t="s">
        <v>167</v>
      </c>
      <c r="D1848" s="20" t="s">
        <v>32</v>
      </c>
      <c r="E1848" s="21" t="s">
        <v>7235</v>
      </c>
      <c r="F1848" s="21" t="s">
        <v>7236</v>
      </c>
      <c r="G1848" s="20" t="s">
        <v>35</v>
      </c>
      <c r="H1848" s="20" t="s">
        <v>25</v>
      </c>
      <c r="I1848" s="21" t="s">
        <v>7233</v>
      </c>
      <c r="J1848" s="22">
        <f t="shared" si="140"/>
        <v>0.0194444444423425</v>
      </c>
      <c r="K1848" s="22">
        <f t="shared" si="141"/>
        <v>0.46666666661622</v>
      </c>
      <c r="L1848" s="22">
        <f t="shared" si="142"/>
        <v>0.46666666661622</v>
      </c>
      <c r="M1848" s="22" cm="1">
        <f ca="1" t="array" ref="M1848">SUMPRODUCT(--(WEEKDAY(ROW(INDIRECT(INT(F1848)&amp;":"&amp;INT(I1848))),2)&gt;5))</f>
        <v>0</v>
      </c>
      <c r="N1848" s="22">
        <f ca="1" t="shared" si="143"/>
        <v>0.46666666661622</v>
      </c>
      <c r="O1848" s="22" t="str">
        <f ca="1" t="shared" si="144"/>
        <v>Within SLA</v>
      </c>
      <c r="P1848" s="26" t="s">
        <v>7234</v>
      </c>
      <c r="Q1848" s="24" t="s">
        <v>37</v>
      </c>
      <c r="R1848" s="25"/>
      <c r="S1848" s="25"/>
    </row>
    <row r="1849" ht="27" customHeight="1" spans="1:19">
      <c r="A1849" s="19" t="s">
        <v>7237</v>
      </c>
      <c r="B1849" s="20" t="s">
        <v>30</v>
      </c>
      <c r="C1849" s="20" t="s">
        <v>31</v>
      </c>
      <c r="D1849" s="20" t="s">
        <v>32</v>
      </c>
      <c r="E1849" s="21" t="s">
        <v>6794</v>
      </c>
      <c r="F1849" s="21" t="s">
        <v>7238</v>
      </c>
      <c r="G1849" s="20" t="s">
        <v>35</v>
      </c>
      <c r="H1849" s="20" t="s">
        <v>25</v>
      </c>
      <c r="I1849" s="21" t="s">
        <v>7239</v>
      </c>
      <c r="J1849" s="22">
        <f t="shared" si="140"/>
        <v>19.9222222222161</v>
      </c>
      <c r="K1849" s="22">
        <f t="shared" si="141"/>
        <v>478.133333333186</v>
      </c>
      <c r="L1849" s="22">
        <f t="shared" si="142"/>
        <v>158.133333333186</v>
      </c>
      <c r="M1849" s="22" cm="1">
        <f ca="1" t="array" ref="M1849">SUMPRODUCT(--(WEEKDAY(ROW(INDIRECT(INT(F1849)&amp;":"&amp;INT(I1849))),2)&gt;5))</f>
        <v>6</v>
      </c>
      <c r="N1849" s="22">
        <f ca="1" t="shared" si="143"/>
        <v>110.133333333186</v>
      </c>
      <c r="O1849" s="22" t="str">
        <f ca="1" t="shared" si="144"/>
        <v>SLA Violated</v>
      </c>
      <c r="P1849" s="26" t="s">
        <v>7237</v>
      </c>
      <c r="Q1849" s="24" t="s">
        <v>28</v>
      </c>
      <c r="R1849" s="25"/>
      <c r="S1849" s="25"/>
    </row>
    <row r="1850" ht="27" customHeight="1" spans="1:19">
      <c r="A1850" s="19" t="s">
        <v>7240</v>
      </c>
      <c r="B1850" s="20" t="s">
        <v>30</v>
      </c>
      <c r="C1850" s="20" t="s">
        <v>849</v>
      </c>
      <c r="D1850" s="20" t="s">
        <v>32</v>
      </c>
      <c r="E1850" s="21" t="s">
        <v>6794</v>
      </c>
      <c r="F1850" s="21" t="s">
        <v>7241</v>
      </c>
      <c r="G1850" s="20" t="s">
        <v>35</v>
      </c>
      <c r="H1850" s="20" t="s">
        <v>25</v>
      </c>
      <c r="I1850" s="21" t="s">
        <v>7242</v>
      </c>
      <c r="J1850" s="22">
        <f t="shared" si="140"/>
        <v>3.17013888889051</v>
      </c>
      <c r="K1850" s="22">
        <f t="shared" si="141"/>
        <v>76.0833333333721</v>
      </c>
      <c r="L1850" s="22">
        <f t="shared" si="142"/>
        <v>28.0833333333721</v>
      </c>
      <c r="M1850" s="22" cm="1">
        <f ca="1" t="array" ref="M1850">SUMPRODUCT(--(WEEKDAY(ROW(INDIRECT(INT(F1850)&amp;":"&amp;INT(I1850))),2)&gt;5))</f>
        <v>0</v>
      </c>
      <c r="N1850" s="22">
        <f ca="1" t="shared" si="143"/>
        <v>28.0833333333721</v>
      </c>
      <c r="O1850" s="22" t="str">
        <f ca="1" t="shared" si="144"/>
        <v>SLA Violated</v>
      </c>
      <c r="P1850" s="23" t="s">
        <v>7243</v>
      </c>
      <c r="Q1850" s="24" t="s">
        <v>28</v>
      </c>
      <c r="R1850" s="25"/>
      <c r="S1850" s="25"/>
    </row>
    <row r="1851" ht="39" customHeight="1" spans="1:19">
      <c r="A1851" s="19" t="s">
        <v>7244</v>
      </c>
      <c r="B1851" s="20" t="s">
        <v>19</v>
      </c>
      <c r="C1851" s="20" t="s">
        <v>20</v>
      </c>
      <c r="D1851" s="20" t="s">
        <v>32</v>
      </c>
      <c r="E1851" s="21" t="s">
        <v>7055</v>
      </c>
      <c r="F1851" s="21" t="s">
        <v>7245</v>
      </c>
      <c r="G1851" s="20" t="s">
        <v>35</v>
      </c>
      <c r="H1851" s="20" t="s">
        <v>25</v>
      </c>
      <c r="I1851" s="21" t="s">
        <v>7246</v>
      </c>
      <c r="J1851" s="22">
        <f t="shared" si="140"/>
        <v>1.09583333333285</v>
      </c>
      <c r="K1851" s="22">
        <f t="shared" si="141"/>
        <v>26.2999999999884</v>
      </c>
      <c r="L1851" s="22">
        <f t="shared" si="142"/>
        <v>10.2999999999884</v>
      </c>
      <c r="M1851" s="22" cm="1">
        <f ca="1" t="array" ref="M1851">SUMPRODUCT(--(WEEKDAY(ROW(INDIRECT(INT(F1851)&amp;":"&amp;INT(I1851))),2)&gt;5))</f>
        <v>0</v>
      </c>
      <c r="N1851" s="22">
        <f ca="1" t="shared" si="143"/>
        <v>10.2999999999884</v>
      </c>
      <c r="O1851" s="22" t="str">
        <f ca="1" t="shared" si="144"/>
        <v>Within SLA</v>
      </c>
      <c r="P1851" s="26" t="s">
        <v>7244</v>
      </c>
      <c r="Q1851" s="24" t="s">
        <v>37</v>
      </c>
      <c r="R1851" s="25"/>
      <c r="S1851" s="25"/>
    </row>
    <row r="1852" ht="39" customHeight="1" spans="1:19">
      <c r="A1852" s="19" t="s">
        <v>7247</v>
      </c>
      <c r="B1852" s="20" t="s">
        <v>19</v>
      </c>
      <c r="C1852" s="20" t="s">
        <v>20</v>
      </c>
      <c r="D1852" s="20" t="s">
        <v>32</v>
      </c>
      <c r="E1852" s="21" t="s">
        <v>7248</v>
      </c>
      <c r="F1852" s="21" t="s">
        <v>7249</v>
      </c>
      <c r="G1852" s="20" t="s">
        <v>35</v>
      </c>
      <c r="H1852" s="20" t="s">
        <v>25</v>
      </c>
      <c r="I1852" s="21" t="s">
        <v>7250</v>
      </c>
      <c r="J1852" s="22">
        <f t="shared" si="140"/>
        <v>0.310416666667152</v>
      </c>
      <c r="K1852" s="22">
        <f t="shared" si="141"/>
        <v>7.45000000001164</v>
      </c>
      <c r="L1852" s="22">
        <f t="shared" si="142"/>
        <v>-8.54999999998836</v>
      </c>
      <c r="M1852" s="22" cm="1">
        <f ca="1" t="array" ref="M1852">SUMPRODUCT(--(WEEKDAY(ROW(INDIRECT(INT(F1852)&amp;":"&amp;INT(I1852))),2)&gt;5))</f>
        <v>0</v>
      </c>
      <c r="N1852" s="22">
        <f ca="1" t="shared" si="143"/>
        <v>0</v>
      </c>
      <c r="O1852" s="22" t="str">
        <f ca="1" t="shared" si="144"/>
        <v>Within SLA</v>
      </c>
      <c r="P1852" s="26" t="s">
        <v>7247</v>
      </c>
      <c r="Q1852" s="24" t="s">
        <v>37</v>
      </c>
      <c r="R1852" s="25"/>
      <c r="S1852" s="25"/>
    </row>
    <row r="1853" ht="27" customHeight="1" spans="1:19">
      <c r="A1853" s="19" t="s">
        <v>7251</v>
      </c>
      <c r="B1853" s="20" t="s">
        <v>30</v>
      </c>
      <c r="C1853" s="20" t="s">
        <v>31</v>
      </c>
      <c r="D1853" s="20" t="s">
        <v>32</v>
      </c>
      <c r="E1853" s="21" t="s">
        <v>7252</v>
      </c>
      <c r="F1853" s="21" t="s">
        <v>7253</v>
      </c>
      <c r="G1853" s="20" t="s">
        <v>24</v>
      </c>
      <c r="H1853" s="20" t="s">
        <v>25</v>
      </c>
      <c r="I1853" s="21" t="s">
        <v>7254</v>
      </c>
      <c r="J1853" s="22">
        <f t="shared" si="140"/>
        <v>2.1027777777781</v>
      </c>
      <c r="K1853" s="22">
        <f t="shared" si="141"/>
        <v>50.4666666666744</v>
      </c>
      <c r="L1853" s="22">
        <f t="shared" si="142"/>
        <v>18.4666666666744</v>
      </c>
      <c r="M1853" s="22" cm="1">
        <f ca="1" t="array" ref="M1853">SUMPRODUCT(--(WEEKDAY(ROW(INDIRECT(INT(F1853)&amp;":"&amp;INT(I1853))),2)&gt;5))</f>
        <v>0</v>
      </c>
      <c r="N1853" s="22">
        <f ca="1" t="shared" si="143"/>
        <v>18.4666666666744</v>
      </c>
      <c r="O1853" s="22" t="str">
        <f ca="1" t="shared" si="144"/>
        <v>SLA Violated</v>
      </c>
      <c r="P1853" s="26" t="s">
        <v>7251</v>
      </c>
      <c r="Q1853" s="24" t="s">
        <v>28</v>
      </c>
      <c r="R1853" s="25"/>
      <c r="S1853" s="25"/>
    </row>
    <row r="1854" ht="27" customHeight="1" spans="1:19">
      <c r="A1854" s="19" t="s">
        <v>7255</v>
      </c>
      <c r="B1854" s="20" t="s">
        <v>30</v>
      </c>
      <c r="C1854" s="20" t="s">
        <v>31</v>
      </c>
      <c r="D1854" s="20" t="s">
        <v>21</v>
      </c>
      <c r="E1854" s="21" t="s">
        <v>7256</v>
      </c>
      <c r="F1854" s="21" t="s">
        <v>7257</v>
      </c>
      <c r="G1854" s="20" t="s">
        <v>35</v>
      </c>
      <c r="H1854" s="20" t="s">
        <v>25</v>
      </c>
      <c r="I1854" s="21" t="s">
        <v>7258</v>
      </c>
      <c r="J1854" s="22">
        <f t="shared" si="140"/>
        <v>6.9284722222219</v>
      </c>
      <c r="K1854" s="22">
        <f t="shared" si="141"/>
        <v>166.283333333326</v>
      </c>
      <c r="L1854" s="22">
        <f t="shared" si="142"/>
        <v>54.2833333333256</v>
      </c>
      <c r="M1854" s="22" cm="1">
        <f ca="1" t="array" ref="M1854">SUMPRODUCT(--(WEEKDAY(ROW(INDIRECT(INT(F1854)&amp;":"&amp;INT(I1854))),2)&gt;5))</f>
        <v>2</v>
      </c>
      <c r="N1854" s="22">
        <f ca="1" t="shared" si="143"/>
        <v>38.2833333333256</v>
      </c>
      <c r="O1854" s="22" t="str">
        <f ca="1" t="shared" si="144"/>
        <v>SLA Violated</v>
      </c>
      <c r="P1854" s="23" t="s">
        <v>7259</v>
      </c>
      <c r="Q1854" s="24" t="s">
        <v>28</v>
      </c>
      <c r="R1854" s="25"/>
      <c r="S1854" s="25"/>
    </row>
    <row r="1855" ht="27" customHeight="1" spans="1:19">
      <c r="A1855" s="19" t="s">
        <v>7260</v>
      </c>
      <c r="B1855" s="20" t="s">
        <v>30</v>
      </c>
      <c r="C1855" s="20" t="s">
        <v>31</v>
      </c>
      <c r="D1855" s="20" t="s">
        <v>32</v>
      </c>
      <c r="E1855" s="21" t="s">
        <v>6964</v>
      </c>
      <c r="F1855" s="21" t="s">
        <v>7261</v>
      </c>
      <c r="G1855" s="20" t="s">
        <v>35</v>
      </c>
      <c r="H1855" s="20" t="s">
        <v>25</v>
      </c>
      <c r="I1855" s="21" t="s">
        <v>7262</v>
      </c>
      <c r="J1855" s="22">
        <f t="shared" si="140"/>
        <v>0.133333333331393</v>
      </c>
      <c r="K1855" s="22">
        <f t="shared" si="141"/>
        <v>3.19999999995343</v>
      </c>
      <c r="L1855" s="22">
        <f t="shared" si="142"/>
        <v>3.19999999995343</v>
      </c>
      <c r="M1855" s="22" cm="1">
        <f ca="1" t="array" ref="M1855">SUMPRODUCT(--(WEEKDAY(ROW(INDIRECT(INT(F1855)&amp;":"&amp;INT(I1855))),2)&gt;5))</f>
        <v>0</v>
      </c>
      <c r="N1855" s="22">
        <f ca="1" t="shared" si="143"/>
        <v>3.19999999995343</v>
      </c>
      <c r="O1855" s="22" t="str">
        <f ca="1" t="shared" si="144"/>
        <v>Within SLA</v>
      </c>
      <c r="P1855" s="26" t="s">
        <v>7260</v>
      </c>
      <c r="Q1855" s="24" t="s">
        <v>37</v>
      </c>
      <c r="R1855" s="25"/>
      <c r="S1855" s="25"/>
    </row>
    <row r="1856" ht="27" customHeight="1" spans="1:19">
      <c r="A1856" s="19" t="s">
        <v>7263</v>
      </c>
      <c r="B1856" s="20" t="s">
        <v>30</v>
      </c>
      <c r="C1856" s="20" t="s">
        <v>31</v>
      </c>
      <c r="D1856" s="20" t="s">
        <v>21</v>
      </c>
      <c r="E1856" s="21" t="s">
        <v>7262</v>
      </c>
      <c r="F1856" s="21" t="s">
        <v>7264</v>
      </c>
      <c r="G1856" s="20" t="s">
        <v>35</v>
      </c>
      <c r="H1856" s="20" t="s">
        <v>25</v>
      </c>
      <c r="I1856" s="21" t="s">
        <v>7265</v>
      </c>
      <c r="J1856" s="22">
        <f t="shared" si="140"/>
        <v>1.25555555555911</v>
      </c>
      <c r="K1856" s="22">
        <f t="shared" si="141"/>
        <v>30.1333333334187</v>
      </c>
      <c r="L1856" s="22">
        <f t="shared" si="142"/>
        <v>14.1333333334187</v>
      </c>
      <c r="M1856" s="22" cm="1">
        <f ca="1" t="array" ref="M1856">SUMPRODUCT(--(WEEKDAY(ROW(INDIRECT(INT(F1856)&amp;":"&amp;INT(I1856))),2)&gt;5))</f>
        <v>0</v>
      </c>
      <c r="N1856" s="22">
        <f ca="1" t="shared" si="143"/>
        <v>14.1333333334187</v>
      </c>
      <c r="O1856" s="22" t="str">
        <f ca="1" t="shared" si="144"/>
        <v>SLA Violated</v>
      </c>
      <c r="P1856" s="23" t="s">
        <v>7266</v>
      </c>
      <c r="Q1856" s="24" t="s">
        <v>28</v>
      </c>
      <c r="R1856" s="25"/>
      <c r="S1856" s="25"/>
    </row>
    <row r="1857" ht="27" customHeight="1" spans="1:19">
      <c r="A1857" s="19" t="s">
        <v>7267</v>
      </c>
      <c r="B1857" s="20" t="s">
        <v>30</v>
      </c>
      <c r="C1857" s="20" t="s">
        <v>849</v>
      </c>
      <c r="D1857" s="20" t="s">
        <v>32</v>
      </c>
      <c r="E1857" s="21" t="s">
        <v>5424</v>
      </c>
      <c r="F1857" s="21" t="s">
        <v>7241</v>
      </c>
      <c r="G1857" s="20" t="s">
        <v>35</v>
      </c>
      <c r="H1857" s="20" t="s">
        <v>25</v>
      </c>
      <c r="I1857" s="21" t="s">
        <v>7268</v>
      </c>
      <c r="J1857" s="22">
        <f t="shared" si="140"/>
        <v>3.14444444444962</v>
      </c>
      <c r="K1857" s="22">
        <f t="shared" si="141"/>
        <v>75.4666666667908</v>
      </c>
      <c r="L1857" s="22">
        <f t="shared" si="142"/>
        <v>27.4666666667908</v>
      </c>
      <c r="M1857" s="22" cm="1">
        <f ca="1" t="array" ref="M1857">SUMPRODUCT(--(WEEKDAY(ROW(INDIRECT(INT(F1857)&amp;":"&amp;INT(I1857))),2)&gt;5))</f>
        <v>0</v>
      </c>
      <c r="N1857" s="22">
        <f ca="1" t="shared" si="143"/>
        <v>27.4666666667908</v>
      </c>
      <c r="O1857" s="22" t="str">
        <f ca="1" t="shared" si="144"/>
        <v>SLA Violated</v>
      </c>
      <c r="P1857" s="23" t="s">
        <v>7269</v>
      </c>
      <c r="Q1857" s="24" t="s">
        <v>28</v>
      </c>
      <c r="R1857" s="25"/>
      <c r="S1857" s="25"/>
    </row>
    <row r="1858" ht="27" customHeight="1" spans="1:19">
      <c r="A1858" s="19" t="s">
        <v>7270</v>
      </c>
      <c r="B1858" s="20" t="s">
        <v>30</v>
      </c>
      <c r="C1858" s="20" t="s">
        <v>31</v>
      </c>
      <c r="D1858" s="20" t="s">
        <v>32</v>
      </c>
      <c r="E1858" s="21" t="s">
        <v>7271</v>
      </c>
      <c r="F1858" s="21" t="s">
        <v>7272</v>
      </c>
      <c r="G1858" s="20" t="s">
        <v>35</v>
      </c>
      <c r="H1858" s="20" t="s">
        <v>25</v>
      </c>
      <c r="I1858" s="21" t="s">
        <v>7273</v>
      </c>
      <c r="J1858" s="22">
        <f t="shared" si="140"/>
        <v>0.122916666667152</v>
      </c>
      <c r="K1858" s="22">
        <f t="shared" si="141"/>
        <v>2.95000000001164</v>
      </c>
      <c r="L1858" s="22">
        <f t="shared" si="142"/>
        <v>2.95000000001164</v>
      </c>
      <c r="M1858" s="22" cm="1">
        <f ca="1" t="array" ref="M1858">SUMPRODUCT(--(WEEKDAY(ROW(INDIRECT(INT(F1858)&amp;":"&amp;INT(I1858))),2)&gt;5))</f>
        <v>0</v>
      </c>
      <c r="N1858" s="22">
        <f ca="1" t="shared" si="143"/>
        <v>2.95000000001164</v>
      </c>
      <c r="O1858" s="22" t="str">
        <f ca="1" t="shared" si="144"/>
        <v>Within SLA</v>
      </c>
      <c r="P1858" s="26" t="s">
        <v>7270</v>
      </c>
      <c r="Q1858" s="24" t="s">
        <v>37</v>
      </c>
      <c r="R1858" s="25"/>
      <c r="S1858" s="25"/>
    </row>
    <row r="1859" ht="39" customHeight="1" spans="1:19">
      <c r="A1859" s="19" t="s">
        <v>7274</v>
      </c>
      <c r="B1859" s="20" t="s">
        <v>19</v>
      </c>
      <c r="C1859" s="20" t="s">
        <v>20</v>
      </c>
      <c r="D1859" s="20" t="s">
        <v>32</v>
      </c>
      <c r="E1859" s="21" t="s">
        <v>7275</v>
      </c>
      <c r="F1859" s="21" t="s">
        <v>7276</v>
      </c>
      <c r="G1859" s="20" t="s">
        <v>35</v>
      </c>
      <c r="H1859" s="20" t="s">
        <v>25</v>
      </c>
      <c r="I1859" s="21" t="s">
        <v>7277</v>
      </c>
      <c r="J1859" s="22">
        <f t="shared" ref="J1859:J1922" si="145">F1859-I1859</f>
        <v>0.493055555554747</v>
      </c>
      <c r="K1859" s="22">
        <f t="shared" ref="K1859:K1922" si="146">J1859*24</f>
        <v>11.8333333333139</v>
      </c>
      <c r="L1859" s="22">
        <f t="shared" ref="L1859:L1922" si="147">IF(_xlfn.DAYS(F1859,I1859)&gt;0,K1859-IF(FLOOR(J1859,1)=0,1,_xlfn.DAYS(F1859,I1859))*16,K1859)</f>
        <v>-4.16666666668607</v>
      </c>
      <c r="M1859" s="22" cm="1">
        <f ca="1" t="array" ref="M1859">SUMPRODUCT(--(WEEKDAY(ROW(INDIRECT(INT(F1859)&amp;":"&amp;INT(I1859))),2)&gt;5))</f>
        <v>0</v>
      </c>
      <c r="N1859" s="22">
        <f ca="1" t="shared" ref="N1859:N1922" si="148">IF(IF(M1859&gt;0,L1859-M1859*8,L1859)&lt;0,0,IF(M1859&gt;0,L1859-M1859*8,L1859))</f>
        <v>0</v>
      </c>
      <c r="O1859" s="22" t="str">
        <f ca="1" t="shared" ref="O1859:O1922" si="149">IF(OR(AND(D1859="P1",N1859&lt;=3),AND(D1859="P2",N1859&lt;=6),AND(D1859="P3",N1859&lt;=9),AND(D1859="P4",N1859&lt;=12)),"Within SLA","SLA Violated")</f>
        <v>Within SLA</v>
      </c>
      <c r="P1859" s="26" t="s">
        <v>7274</v>
      </c>
      <c r="Q1859" s="24" t="s">
        <v>37</v>
      </c>
      <c r="R1859" s="25"/>
      <c r="S1859" s="25"/>
    </row>
    <row r="1860" ht="50" customHeight="1" spans="1:19">
      <c r="A1860" s="19" t="s">
        <v>7278</v>
      </c>
      <c r="B1860" s="20" t="s">
        <v>369</v>
      </c>
      <c r="C1860" s="20" t="s">
        <v>2057</v>
      </c>
      <c r="D1860" s="20" t="s">
        <v>32</v>
      </c>
      <c r="E1860" s="21" t="s">
        <v>7279</v>
      </c>
      <c r="F1860" s="21" t="s">
        <v>7280</v>
      </c>
      <c r="G1860" s="20" t="s">
        <v>35</v>
      </c>
      <c r="H1860" s="20" t="s">
        <v>25</v>
      </c>
      <c r="I1860" s="21" t="s">
        <v>7281</v>
      </c>
      <c r="J1860" s="22">
        <f t="shared" si="145"/>
        <v>6.03958333333139</v>
      </c>
      <c r="K1860" s="22">
        <f t="shared" si="146"/>
        <v>144.949999999953</v>
      </c>
      <c r="L1860" s="22">
        <f t="shared" si="147"/>
        <v>48.9499999999534</v>
      </c>
      <c r="M1860" s="22" cm="1">
        <f ca="1" t="array" ref="M1860">SUMPRODUCT(--(WEEKDAY(ROW(INDIRECT(INT(F1860)&amp;":"&amp;INT(I1860))),2)&gt;5))</f>
        <v>2</v>
      </c>
      <c r="N1860" s="22">
        <f ca="1" t="shared" si="148"/>
        <v>32.9499999999534</v>
      </c>
      <c r="O1860" s="22" t="str">
        <f ca="1" t="shared" si="149"/>
        <v>SLA Violated</v>
      </c>
      <c r="P1860" s="23" t="s">
        <v>7282</v>
      </c>
      <c r="Q1860" s="24" t="s">
        <v>28</v>
      </c>
      <c r="R1860" s="25"/>
      <c r="S1860" s="25"/>
    </row>
    <row r="1861" ht="39" customHeight="1" spans="1:19">
      <c r="A1861" s="28" t="s">
        <v>7283</v>
      </c>
      <c r="B1861" s="20" t="s">
        <v>19</v>
      </c>
      <c r="C1861" s="20" t="s">
        <v>20</v>
      </c>
      <c r="D1861" s="20" t="s">
        <v>21</v>
      </c>
      <c r="E1861" s="21" t="s">
        <v>7284</v>
      </c>
      <c r="F1861" s="21" t="s">
        <v>7285</v>
      </c>
      <c r="G1861" s="20" t="s">
        <v>35</v>
      </c>
      <c r="H1861" s="20" t="s">
        <v>25</v>
      </c>
      <c r="I1861" s="21" t="s">
        <v>7286</v>
      </c>
      <c r="J1861" s="22">
        <f t="shared" si="145"/>
        <v>0.929166666661331</v>
      </c>
      <c r="K1861" s="22">
        <f t="shared" si="146"/>
        <v>22.2999999998719</v>
      </c>
      <c r="L1861" s="22">
        <f t="shared" si="147"/>
        <v>6.29999999987194</v>
      </c>
      <c r="M1861" s="22" cm="1">
        <f ca="1" t="array" ref="M1861">SUMPRODUCT(--(WEEKDAY(ROW(INDIRECT(INT(F1861)&amp;":"&amp;INT(I1861))),2)&gt;5))</f>
        <v>0</v>
      </c>
      <c r="N1861" s="22">
        <f ca="1" t="shared" si="148"/>
        <v>6.29999999987194</v>
      </c>
      <c r="O1861" s="22" t="str">
        <f ca="1" t="shared" si="149"/>
        <v>SLA Violated</v>
      </c>
      <c r="P1861" s="26" t="s">
        <v>7287</v>
      </c>
      <c r="Q1861" s="24" t="s">
        <v>28</v>
      </c>
      <c r="R1861" s="25"/>
      <c r="S1861" s="25"/>
    </row>
    <row r="1862" ht="39" customHeight="1" spans="1:19">
      <c r="A1862" s="19" t="s">
        <v>7288</v>
      </c>
      <c r="B1862" s="20" t="s">
        <v>19</v>
      </c>
      <c r="C1862" s="20" t="s">
        <v>46</v>
      </c>
      <c r="D1862" s="20" t="s">
        <v>32</v>
      </c>
      <c r="E1862" s="21" t="s">
        <v>7289</v>
      </c>
      <c r="F1862" s="21" t="s">
        <v>7290</v>
      </c>
      <c r="G1862" s="20" t="s">
        <v>35</v>
      </c>
      <c r="H1862" s="20" t="s">
        <v>25</v>
      </c>
      <c r="I1862" s="21" t="s">
        <v>7291</v>
      </c>
      <c r="J1862" s="22">
        <f t="shared" si="145"/>
        <v>0.118750000001455</v>
      </c>
      <c r="K1862" s="22">
        <f t="shared" si="146"/>
        <v>2.85000000003492</v>
      </c>
      <c r="L1862" s="22">
        <f t="shared" si="147"/>
        <v>2.85000000003492</v>
      </c>
      <c r="M1862" s="22" cm="1">
        <f ca="1" t="array" ref="M1862">SUMPRODUCT(--(WEEKDAY(ROW(INDIRECT(INT(F1862)&amp;":"&amp;INT(I1862))),2)&gt;5))</f>
        <v>0</v>
      </c>
      <c r="N1862" s="22">
        <f ca="1" t="shared" si="148"/>
        <v>2.85000000003492</v>
      </c>
      <c r="O1862" s="22" t="str">
        <f ca="1" t="shared" si="149"/>
        <v>Within SLA</v>
      </c>
      <c r="P1862" s="26" t="s">
        <v>7288</v>
      </c>
      <c r="Q1862" s="24" t="s">
        <v>37</v>
      </c>
      <c r="R1862" s="25"/>
      <c r="S1862" s="25"/>
    </row>
    <row r="1863" ht="27" customHeight="1" spans="1:19">
      <c r="A1863" s="19" t="s">
        <v>7292</v>
      </c>
      <c r="B1863" s="20" t="s">
        <v>30</v>
      </c>
      <c r="C1863" s="20" t="s">
        <v>849</v>
      </c>
      <c r="D1863" s="20" t="s">
        <v>32</v>
      </c>
      <c r="E1863" s="21" t="s">
        <v>5874</v>
      </c>
      <c r="F1863" s="21" t="s">
        <v>7150</v>
      </c>
      <c r="G1863" s="20" t="s">
        <v>35</v>
      </c>
      <c r="H1863" s="20" t="s">
        <v>25</v>
      </c>
      <c r="I1863" s="21" t="s">
        <v>7293</v>
      </c>
      <c r="J1863" s="22">
        <f t="shared" si="145"/>
        <v>3.09722222221899</v>
      </c>
      <c r="K1863" s="22">
        <f t="shared" si="146"/>
        <v>74.3333333332557</v>
      </c>
      <c r="L1863" s="22">
        <f t="shared" si="147"/>
        <v>26.3333333332557</v>
      </c>
      <c r="M1863" s="22" cm="1">
        <f ca="1" t="array" ref="M1863">SUMPRODUCT(--(WEEKDAY(ROW(INDIRECT(INT(F1863)&amp;":"&amp;INT(I1863))),2)&gt;5))</f>
        <v>0</v>
      </c>
      <c r="N1863" s="22">
        <f ca="1" t="shared" si="148"/>
        <v>26.3333333332557</v>
      </c>
      <c r="O1863" s="22" t="str">
        <f ca="1" t="shared" si="149"/>
        <v>SLA Violated</v>
      </c>
      <c r="P1863" s="23" t="s">
        <v>7294</v>
      </c>
      <c r="Q1863" s="24" t="s">
        <v>28</v>
      </c>
      <c r="R1863" s="25"/>
      <c r="S1863" s="25"/>
    </row>
    <row r="1864" ht="39" customHeight="1" spans="1:19">
      <c r="A1864" s="19" t="s">
        <v>7295</v>
      </c>
      <c r="B1864" s="20" t="s">
        <v>19</v>
      </c>
      <c r="C1864" s="20" t="s">
        <v>20</v>
      </c>
      <c r="D1864" s="20" t="s">
        <v>32</v>
      </c>
      <c r="E1864" s="21" t="s">
        <v>7296</v>
      </c>
      <c r="F1864" s="21" t="s">
        <v>7297</v>
      </c>
      <c r="G1864" s="20" t="s">
        <v>35</v>
      </c>
      <c r="H1864" s="20" t="s">
        <v>25</v>
      </c>
      <c r="I1864" s="21" t="s">
        <v>7298</v>
      </c>
      <c r="J1864" s="22">
        <f t="shared" si="145"/>
        <v>1.02013888888905</v>
      </c>
      <c r="K1864" s="22">
        <f t="shared" si="146"/>
        <v>24.4833333333372</v>
      </c>
      <c r="L1864" s="22">
        <f t="shared" si="147"/>
        <v>8.48333333333721</v>
      </c>
      <c r="M1864" s="22" cm="1">
        <f ca="1" t="array" ref="M1864">SUMPRODUCT(--(WEEKDAY(ROW(INDIRECT(INT(F1864)&amp;":"&amp;INT(I1864))),2)&gt;5))</f>
        <v>0</v>
      </c>
      <c r="N1864" s="22">
        <f ca="1" t="shared" si="148"/>
        <v>8.48333333333721</v>
      </c>
      <c r="O1864" s="22" t="str">
        <f ca="1" t="shared" si="149"/>
        <v>Within SLA</v>
      </c>
      <c r="P1864" s="26" t="s">
        <v>7295</v>
      </c>
      <c r="Q1864" s="24" t="s">
        <v>37</v>
      </c>
      <c r="R1864" s="25"/>
      <c r="S1864" s="25"/>
    </row>
    <row r="1865" ht="27" customHeight="1" spans="1:19">
      <c r="A1865" s="19" t="s">
        <v>7299</v>
      </c>
      <c r="B1865" s="20" t="s">
        <v>30</v>
      </c>
      <c r="C1865" s="20" t="s">
        <v>849</v>
      </c>
      <c r="D1865" s="20" t="s">
        <v>32</v>
      </c>
      <c r="E1865" s="21" t="s">
        <v>7296</v>
      </c>
      <c r="F1865" s="21" t="s">
        <v>7300</v>
      </c>
      <c r="G1865" s="20" t="s">
        <v>35</v>
      </c>
      <c r="H1865" s="20" t="s">
        <v>25</v>
      </c>
      <c r="I1865" s="21" t="s">
        <v>7301</v>
      </c>
      <c r="J1865" s="22">
        <f t="shared" si="145"/>
        <v>3.0805555555562</v>
      </c>
      <c r="K1865" s="22">
        <f t="shared" si="146"/>
        <v>73.9333333333489</v>
      </c>
      <c r="L1865" s="22">
        <f t="shared" si="147"/>
        <v>25.9333333333489</v>
      </c>
      <c r="M1865" s="22" cm="1">
        <f ca="1" t="array" ref="M1865">SUMPRODUCT(--(WEEKDAY(ROW(INDIRECT(INT(F1865)&amp;":"&amp;INT(I1865))),2)&gt;5))</f>
        <v>0</v>
      </c>
      <c r="N1865" s="22">
        <f ca="1" t="shared" si="148"/>
        <v>25.9333333333489</v>
      </c>
      <c r="O1865" s="22" t="str">
        <f ca="1" t="shared" si="149"/>
        <v>SLA Violated</v>
      </c>
      <c r="P1865" s="23" t="s">
        <v>7302</v>
      </c>
      <c r="Q1865" s="24" t="s">
        <v>28</v>
      </c>
      <c r="R1865" s="25"/>
      <c r="S1865" s="25"/>
    </row>
    <row r="1866" ht="39" customHeight="1" spans="1:19">
      <c r="A1866" s="19" t="s">
        <v>7303</v>
      </c>
      <c r="B1866" s="20" t="s">
        <v>19</v>
      </c>
      <c r="C1866" s="20" t="s">
        <v>20</v>
      </c>
      <c r="D1866" s="20" t="s">
        <v>32</v>
      </c>
      <c r="E1866" s="21" t="s">
        <v>7304</v>
      </c>
      <c r="F1866" s="21" t="s">
        <v>3816</v>
      </c>
      <c r="G1866" s="20" t="s">
        <v>35</v>
      </c>
      <c r="H1866" s="20" t="s">
        <v>25</v>
      </c>
      <c r="I1866" s="21" t="s">
        <v>7305</v>
      </c>
      <c r="J1866" s="22">
        <f t="shared" si="145"/>
        <v>2.10555555555766</v>
      </c>
      <c r="K1866" s="22">
        <f t="shared" si="146"/>
        <v>50.5333333333838</v>
      </c>
      <c r="L1866" s="22">
        <f t="shared" si="147"/>
        <v>18.5333333333838</v>
      </c>
      <c r="M1866" s="22" cm="1">
        <f ca="1" t="array" ref="M1866">SUMPRODUCT(--(WEEKDAY(ROW(INDIRECT(INT(F1866)&amp;":"&amp;INT(I1866))),2)&gt;5))</f>
        <v>0</v>
      </c>
      <c r="N1866" s="22">
        <f ca="1" t="shared" si="148"/>
        <v>18.5333333333838</v>
      </c>
      <c r="O1866" s="22" t="str">
        <f ca="1" t="shared" si="149"/>
        <v>SLA Violated</v>
      </c>
      <c r="P1866" s="23" t="s">
        <v>7306</v>
      </c>
      <c r="Q1866" s="24" t="s">
        <v>37</v>
      </c>
      <c r="R1866" s="25" t="s">
        <v>38</v>
      </c>
      <c r="S1866" s="25" t="s">
        <v>39</v>
      </c>
    </row>
    <row r="1867" ht="39" customHeight="1" spans="1:19">
      <c r="A1867" s="19" t="s">
        <v>7307</v>
      </c>
      <c r="B1867" s="20" t="s">
        <v>19</v>
      </c>
      <c r="C1867" s="20" t="s">
        <v>20</v>
      </c>
      <c r="D1867" s="20" t="s">
        <v>32</v>
      </c>
      <c r="E1867" s="21" t="s">
        <v>7308</v>
      </c>
      <c r="F1867" s="21" t="s">
        <v>7309</v>
      </c>
      <c r="G1867" s="20" t="s">
        <v>24</v>
      </c>
      <c r="H1867" s="20" t="s">
        <v>25</v>
      </c>
      <c r="I1867" s="21" t="s">
        <v>7310</v>
      </c>
      <c r="J1867" s="22">
        <f t="shared" si="145"/>
        <v>15.8180555555591</v>
      </c>
      <c r="K1867" s="22">
        <f t="shared" si="146"/>
        <v>379.633333333419</v>
      </c>
      <c r="L1867" s="22">
        <f t="shared" si="147"/>
        <v>123.633333333419</v>
      </c>
      <c r="M1867" s="22" cm="1">
        <f ca="1" t="array" ref="M1867">SUMPRODUCT(--(WEEKDAY(ROW(INDIRECT(INT(F1867)&amp;":"&amp;INT(I1867))),2)&gt;5))</f>
        <v>4</v>
      </c>
      <c r="N1867" s="22">
        <f ca="1" t="shared" si="148"/>
        <v>91.633333333419</v>
      </c>
      <c r="O1867" s="22" t="str">
        <f ca="1" t="shared" si="149"/>
        <v>SLA Violated</v>
      </c>
      <c r="P1867" s="23" t="s">
        <v>7311</v>
      </c>
      <c r="Q1867" s="24" t="s">
        <v>28</v>
      </c>
      <c r="R1867" s="25"/>
      <c r="S1867" s="25"/>
    </row>
    <row r="1868" ht="27" customHeight="1" spans="1:19">
      <c r="A1868" s="19" t="s">
        <v>7312</v>
      </c>
      <c r="B1868" s="20" t="s">
        <v>30</v>
      </c>
      <c r="C1868" s="20" t="s">
        <v>849</v>
      </c>
      <c r="D1868" s="20" t="s">
        <v>32</v>
      </c>
      <c r="E1868" s="21" t="s">
        <v>5995</v>
      </c>
      <c r="F1868" s="21" t="s">
        <v>7313</v>
      </c>
      <c r="G1868" s="20" t="s">
        <v>35</v>
      </c>
      <c r="H1868" s="20" t="s">
        <v>25</v>
      </c>
      <c r="I1868" s="21" t="s">
        <v>6960</v>
      </c>
      <c r="J1868" s="22">
        <f t="shared" si="145"/>
        <v>13.1076388888905</v>
      </c>
      <c r="K1868" s="22">
        <f t="shared" si="146"/>
        <v>314.583333333372</v>
      </c>
      <c r="L1868" s="22">
        <f t="shared" si="147"/>
        <v>106.583333333372</v>
      </c>
      <c r="M1868" s="22" cm="1">
        <f ca="1" t="array" ref="M1868">SUMPRODUCT(--(WEEKDAY(ROW(INDIRECT(INT(F1868)&amp;":"&amp;INT(I1868))),2)&gt;5))</f>
        <v>4</v>
      </c>
      <c r="N1868" s="22">
        <f ca="1" t="shared" si="148"/>
        <v>74.583333333372</v>
      </c>
      <c r="O1868" s="22" t="str">
        <f ca="1" t="shared" si="149"/>
        <v>SLA Violated</v>
      </c>
      <c r="P1868" s="23" t="s">
        <v>7314</v>
      </c>
      <c r="Q1868" s="24" t="s">
        <v>28</v>
      </c>
      <c r="R1868" s="25"/>
      <c r="S1868" s="25"/>
    </row>
    <row r="1869" ht="27" customHeight="1" spans="1:19">
      <c r="A1869" s="19" t="s">
        <v>7315</v>
      </c>
      <c r="B1869" s="20" t="s">
        <v>30</v>
      </c>
      <c r="C1869" s="20" t="s">
        <v>849</v>
      </c>
      <c r="D1869" s="20" t="s">
        <v>32</v>
      </c>
      <c r="E1869" s="21" t="s">
        <v>7316</v>
      </c>
      <c r="F1869" s="21" t="s">
        <v>7317</v>
      </c>
      <c r="G1869" s="20" t="s">
        <v>35</v>
      </c>
      <c r="H1869" s="20" t="s">
        <v>25</v>
      </c>
      <c r="I1869" s="21" t="s">
        <v>7318</v>
      </c>
      <c r="J1869" s="22">
        <f t="shared" si="145"/>
        <v>2.85208333333139</v>
      </c>
      <c r="K1869" s="22">
        <f t="shared" si="146"/>
        <v>68.4499999999534</v>
      </c>
      <c r="L1869" s="22">
        <f t="shared" si="147"/>
        <v>20.4499999999534</v>
      </c>
      <c r="M1869" s="22" cm="1">
        <f ca="1" t="array" ref="M1869">SUMPRODUCT(--(WEEKDAY(ROW(INDIRECT(INT(F1869)&amp;":"&amp;INT(I1869))),2)&gt;5))</f>
        <v>0</v>
      </c>
      <c r="N1869" s="22">
        <f ca="1" t="shared" si="148"/>
        <v>20.4499999999534</v>
      </c>
      <c r="O1869" s="22" t="str">
        <f ca="1" t="shared" si="149"/>
        <v>SLA Violated</v>
      </c>
      <c r="P1869" s="23" t="s">
        <v>7319</v>
      </c>
      <c r="Q1869" s="24" t="s">
        <v>28</v>
      </c>
      <c r="R1869" s="25"/>
      <c r="S1869" s="25"/>
    </row>
    <row r="1870" ht="27" customHeight="1" spans="1:19">
      <c r="A1870" s="19" t="s">
        <v>7320</v>
      </c>
      <c r="B1870" s="20" t="s">
        <v>30</v>
      </c>
      <c r="C1870" s="20" t="s">
        <v>31</v>
      </c>
      <c r="D1870" s="20" t="s">
        <v>32</v>
      </c>
      <c r="E1870" s="21" t="s">
        <v>7321</v>
      </c>
      <c r="F1870" s="21" t="s">
        <v>7322</v>
      </c>
      <c r="G1870" s="20" t="s">
        <v>35</v>
      </c>
      <c r="H1870" s="20" t="s">
        <v>25</v>
      </c>
      <c r="I1870" s="21" t="s">
        <v>7323</v>
      </c>
      <c r="J1870" s="22">
        <f t="shared" si="145"/>
        <v>16.8798611111124</v>
      </c>
      <c r="K1870" s="22">
        <f t="shared" si="146"/>
        <v>405.116666666698</v>
      </c>
      <c r="L1870" s="22">
        <f t="shared" si="147"/>
        <v>133.116666666698</v>
      </c>
      <c r="M1870" s="22" cm="1">
        <f ca="1" t="array" ref="M1870">SUMPRODUCT(--(WEEKDAY(ROW(INDIRECT(INT(F1870)&amp;":"&amp;INT(I1870))),2)&gt;5))</f>
        <v>4</v>
      </c>
      <c r="N1870" s="22">
        <f ca="1" t="shared" si="148"/>
        <v>101.116666666698</v>
      </c>
      <c r="O1870" s="22" t="str">
        <f ca="1" t="shared" si="149"/>
        <v>SLA Violated</v>
      </c>
      <c r="P1870" s="26" t="s">
        <v>7320</v>
      </c>
      <c r="Q1870" s="24" t="s">
        <v>28</v>
      </c>
      <c r="R1870" s="25"/>
      <c r="S1870" s="25"/>
    </row>
    <row r="1871" ht="27" customHeight="1" spans="1:19">
      <c r="A1871" s="19" t="s">
        <v>7324</v>
      </c>
      <c r="B1871" s="20" t="s">
        <v>30</v>
      </c>
      <c r="C1871" s="20" t="s">
        <v>849</v>
      </c>
      <c r="D1871" s="20" t="s">
        <v>32</v>
      </c>
      <c r="E1871" s="21" t="s">
        <v>7325</v>
      </c>
      <c r="F1871" s="21" t="s">
        <v>7326</v>
      </c>
      <c r="G1871" s="20" t="s">
        <v>35</v>
      </c>
      <c r="H1871" s="20" t="s">
        <v>25</v>
      </c>
      <c r="I1871" s="21" t="s">
        <v>7327</v>
      </c>
      <c r="J1871" s="22">
        <f t="shared" si="145"/>
        <v>5.85416666666424</v>
      </c>
      <c r="K1871" s="22">
        <f t="shared" si="146"/>
        <v>140.499999999942</v>
      </c>
      <c r="L1871" s="22">
        <f t="shared" si="147"/>
        <v>44.4999999999418</v>
      </c>
      <c r="M1871" s="22" cm="1">
        <f ca="1" t="array" ref="M1871">SUMPRODUCT(--(WEEKDAY(ROW(INDIRECT(INT(F1871)&amp;":"&amp;INT(I1871))),2)&gt;5))</f>
        <v>2</v>
      </c>
      <c r="N1871" s="22">
        <f ca="1" t="shared" si="148"/>
        <v>28.4999999999418</v>
      </c>
      <c r="O1871" s="22" t="str">
        <f ca="1" t="shared" si="149"/>
        <v>SLA Violated</v>
      </c>
      <c r="P1871" s="23" t="s">
        <v>7328</v>
      </c>
      <c r="Q1871" s="24" t="s">
        <v>28</v>
      </c>
      <c r="R1871" s="25"/>
      <c r="S1871" s="25"/>
    </row>
    <row r="1872" ht="27" customHeight="1" spans="1:19">
      <c r="A1872" s="19" t="s">
        <v>7329</v>
      </c>
      <c r="B1872" s="20" t="s">
        <v>30</v>
      </c>
      <c r="C1872" s="20" t="s">
        <v>849</v>
      </c>
      <c r="D1872" s="20" t="s">
        <v>32</v>
      </c>
      <c r="E1872" s="21" t="s">
        <v>7325</v>
      </c>
      <c r="F1872" s="21" t="s">
        <v>7330</v>
      </c>
      <c r="G1872" s="20" t="s">
        <v>35</v>
      </c>
      <c r="H1872" s="20" t="s">
        <v>25</v>
      </c>
      <c r="I1872" s="21" t="s">
        <v>7331</v>
      </c>
      <c r="J1872" s="22">
        <f t="shared" si="145"/>
        <v>5.78472222222626</v>
      </c>
      <c r="K1872" s="22">
        <f t="shared" si="146"/>
        <v>138.83333333343</v>
      </c>
      <c r="L1872" s="22">
        <f t="shared" si="147"/>
        <v>42.8333333334303</v>
      </c>
      <c r="M1872" s="22" cm="1">
        <f ca="1" t="array" ref="M1872">SUMPRODUCT(--(WEEKDAY(ROW(INDIRECT(INT(F1872)&amp;":"&amp;INT(I1872))),2)&gt;5))</f>
        <v>2</v>
      </c>
      <c r="N1872" s="22">
        <f ca="1" t="shared" si="148"/>
        <v>26.8333333334303</v>
      </c>
      <c r="O1872" s="22" t="str">
        <f ca="1" t="shared" si="149"/>
        <v>SLA Violated</v>
      </c>
      <c r="P1872" s="23" t="s">
        <v>7332</v>
      </c>
      <c r="Q1872" s="24" t="s">
        <v>28</v>
      </c>
      <c r="R1872" s="25"/>
      <c r="S1872" s="25"/>
    </row>
    <row r="1873" ht="39" customHeight="1" spans="1:19">
      <c r="A1873" s="19" t="s">
        <v>7333</v>
      </c>
      <c r="B1873" s="20" t="s">
        <v>196</v>
      </c>
      <c r="C1873" s="20" t="s">
        <v>46</v>
      </c>
      <c r="D1873" s="20" t="s">
        <v>32</v>
      </c>
      <c r="E1873" s="21" t="s">
        <v>2968</v>
      </c>
      <c r="F1873" s="21" t="s">
        <v>7334</v>
      </c>
      <c r="G1873" s="20" t="s">
        <v>35</v>
      </c>
      <c r="H1873" s="20" t="s">
        <v>25</v>
      </c>
      <c r="I1873" s="21" t="s">
        <v>7335</v>
      </c>
      <c r="J1873" s="22">
        <f t="shared" si="145"/>
        <v>0.124305555560568</v>
      </c>
      <c r="K1873" s="22">
        <f t="shared" si="146"/>
        <v>2.98333333345363</v>
      </c>
      <c r="L1873" s="22">
        <f t="shared" si="147"/>
        <v>2.98333333345363</v>
      </c>
      <c r="M1873" s="22" cm="1">
        <f ca="1" t="array" ref="M1873">SUMPRODUCT(--(WEEKDAY(ROW(INDIRECT(INT(F1873)&amp;":"&amp;INT(I1873))),2)&gt;5))</f>
        <v>0</v>
      </c>
      <c r="N1873" s="22">
        <f ca="1" t="shared" si="148"/>
        <v>2.98333333345363</v>
      </c>
      <c r="O1873" s="22" t="str">
        <f ca="1" t="shared" si="149"/>
        <v>Within SLA</v>
      </c>
      <c r="P1873" s="26" t="s">
        <v>7333</v>
      </c>
      <c r="Q1873" s="24" t="s">
        <v>37</v>
      </c>
      <c r="R1873" s="25"/>
      <c r="S1873" s="25"/>
    </row>
    <row r="1874" ht="39" customHeight="1" spans="1:19">
      <c r="A1874" s="28" t="s">
        <v>7336</v>
      </c>
      <c r="B1874" s="20" t="s">
        <v>196</v>
      </c>
      <c r="C1874" s="20" t="s">
        <v>46</v>
      </c>
      <c r="D1874" s="20" t="s">
        <v>21</v>
      </c>
      <c r="E1874" s="21" t="s">
        <v>7335</v>
      </c>
      <c r="F1874" s="21" t="s">
        <v>7337</v>
      </c>
      <c r="G1874" s="20" t="s">
        <v>35</v>
      </c>
      <c r="H1874" s="20" t="s">
        <v>25</v>
      </c>
      <c r="I1874" s="21" t="s">
        <v>7338</v>
      </c>
      <c r="J1874" s="22">
        <f t="shared" si="145"/>
        <v>0.140972222223354</v>
      </c>
      <c r="K1874" s="22">
        <f t="shared" si="146"/>
        <v>3.3833333333605</v>
      </c>
      <c r="L1874" s="22">
        <f t="shared" si="147"/>
        <v>3.3833333333605</v>
      </c>
      <c r="M1874" s="22" cm="1">
        <f ca="1" t="array" ref="M1874">SUMPRODUCT(--(WEEKDAY(ROW(INDIRECT(INT(F1874)&amp;":"&amp;INT(I1874))),2)&gt;5))</f>
        <v>0</v>
      </c>
      <c r="N1874" s="22">
        <f ca="1" t="shared" si="148"/>
        <v>3.3833333333605</v>
      </c>
      <c r="O1874" s="22" t="str">
        <f ca="1" t="shared" si="149"/>
        <v>SLA Violated</v>
      </c>
      <c r="P1874" s="23" t="s">
        <v>7336</v>
      </c>
      <c r="Q1874" s="24" t="s">
        <v>37</v>
      </c>
      <c r="R1874" s="25" t="s">
        <v>7339</v>
      </c>
      <c r="S1874" s="25" t="s">
        <v>7340</v>
      </c>
    </row>
    <row r="1875" ht="27" customHeight="1" spans="1:19">
      <c r="A1875" s="19" t="s">
        <v>7341</v>
      </c>
      <c r="B1875" s="20" t="s">
        <v>139</v>
      </c>
      <c r="C1875" s="20" t="s">
        <v>2057</v>
      </c>
      <c r="D1875" s="20" t="s">
        <v>32</v>
      </c>
      <c r="E1875" s="21" t="s">
        <v>7342</v>
      </c>
      <c r="F1875" s="21" t="s">
        <v>7343</v>
      </c>
      <c r="G1875" s="20" t="s">
        <v>35</v>
      </c>
      <c r="H1875" s="20" t="s">
        <v>25</v>
      </c>
      <c r="I1875" s="21" t="s">
        <v>7344</v>
      </c>
      <c r="J1875" s="22">
        <f t="shared" si="145"/>
        <v>2.92916666666861</v>
      </c>
      <c r="K1875" s="22">
        <f t="shared" si="146"/>
        <v>70.3000000000466</v>
      </c>
      <c r="L1875" s="22">
        <f t="shared" si="147"/>
        <v>22.3000000000466</v>
      </c>
      <c r="M1875" s="22" cm="1">
        <f ca="1" t="array" ref="M1875">SUMPRODUCT(--(WEEKDAY(ROW(INDIRECT(INT(F1875)&amp;":"&amp;INT(I1875))),2)&gt;5))</f>
        <v>0</v>
      </c>
      <c r="N1875" s="22">
        <f ca="1" t="shared" si="148"/>
        <v>22.3000000000466</v>
      </c>
      <c r="O1875" s="22" t="str">
        <f ca="1" t="shared" si="149"/>
        <v>SLA Violated</v>
      </c>
      <c r="P1875" s="23" t="s">
        <v>7345</v>
      </c>
      <c r="Q1875" s="24" t="s">
        <v>37</v>
      </c>
      <c r="R1875" s="25" t="s">
        <v>7346</v>
      </c>
      <c r="S1875" s="25" t="s">
        <v>39</v>
      </c>
    </row>
    <row r="1876" ht="27" customHeight="1" spans="1:19">
      <c r="A1876" s="19" t="s">
        <v>7347</v>
      </c>
      <c r="B1876" s="20" t="s">
        <v>30</v>
      </c>
      <c r="C1876" s="20" t="s">
        <v>849</v>
      </c>
      <c r="D1876" s="20" t="s">
        <v>32</v>
      </c>
      <c r="E1876" s="21" t="s">
        <v>7327</v>
      </c>
      <c r="F1876" s="21" t="s">
        <v>7348</v>
      </c>
      <c r="G1876" s="20" t="s">
        <v>35</v>
      </c>
      <c r="H1876" s="20" t="s">
        <v>25</v>
      </c>
      <c r="I1876" s="21" t="s">
        <v>7349</v>
      </c>
      <c r="J1876" s="22">
        <f t="shared" si="145"/>
        <v>3.0534722222219</v>
      </c>
      <c r="K1876" s="22">
        <f t="shared" si="146"/>
        <v>73.2833333333256</v>
      </c>
      <c r="L1876" s="22">
        <f t="shared" si="147"/>
        <v>25.2833333333256</v>
      </c>
      <c r="M1876" s="22" cm="1">
        <f ca="1" t="array" ref="M1876">SUMPRODUCT(--(WEEKDAY(ROW(INDIRECT(INT(F1876)&amp;":"&amp;INT(I1876))),2)&gt;5))</f>
        <v>0</v>
      </c>
      <c r="N1876" s="22">
        <f ca="1" t="shared" si="148"/>
        <v>25.2833333333256</v>
      </c>
      <c r="O1876" s="22" t="str">
        <f ca="1" t="shared" si="149"/>
        <v>SLA Violated</v>
      </c>
      <c r="P1876" s="23" t="s">
        <v>7350</v>
      </c>
      <c r="Q1876" s="24" t="s">
        <v>28</v>
      </c>
      <c r="R1876" s="25"/>
      <c r="S1876" s="25"/>
    </row>
    <row r="1877" ht="27" customHeight="1" spans="1:19">
      <c r="A1877" s="19" t="s">
        <v>7351</v>
      </c>
      <c r="B1877" s="20" t="s">
        <v>30</v>
      </c>
      <c r="C1877" s="20" t="s">
        <v>849</v>
      </c>
      <c r="D1877" s="20" t="s">
        <v>32</v>
      </c>
      <c r="E1877" s="21" t="s">
        <v>7352</v>
      </c>
      <c r="F1877" s="21" t="s">
        <v>7300</v>
      </c>
      <c r="G1877" s="20" t="s">
        <v>35</v>
      </c>
      <c r="H1877" s="20" t="s">
        <v>25</v>
      </c>
      <c r="I1877" s="21" t="s">
        <v>7353</v>
      </c>
      <c r="J1877" s="22">
        <f t="shared" si="145"/>
        <v>3.03402777777228</v>
      </c>
      <c r="K1877" s="22">
        <f t="shared" si="146"/>
        <v>72.8166666665347</v>
      </c>
      <c r="L1877" s="22">
        <f t="shared" si="147"/>
        <v>24.8166666665347</v>
      </c>
      <c r="M1877" s="22" cm="1">
        <f ca="1" t="array" ref="M1877">SUMPRODUCT(--(WEEKDAY(ROW(INDIRECT(INT(F1877)&amp;":"&amp;INT(I1877))),2)&gt;5))</f>
        <v>0</v>
      </c>
      <c r="N1877" s="22">
        <f ca="1" t="shared" si="148"/>
        <v>24.8166666665347</v>
      </c>
      <c r="O1877" s="22" t="str">
        <f ca="1" t="shared" si="149"/>
        <v>SLA Violated</v>
      </c>
      <c r="P1877" s="23" t="s">
        <v>7354</v>
      </c>
      <c r="Q1877" s="24" t="s">
        <v>28</v>
      </c>
      <c r="R1877" s="25"/>
      <c r="S1877" s="25"/>
    </row>
    <row r="1878" ht="27" customHeight="1" spans="1:19">
      <c r="A1878" s="19" t="s">
        <v>7355</v>
      </c>
      <c r="B1878" s="20" t="s">
        <v>30</v>
      </c>
      <c r="C1878" s="20" t="s">
        <v>31</v>
      </c>
      <c r="D1878" s="20" t="s">
        <v>105</v>
      </c>
      <c r="E1878" s="21" t="s">
        <v>7349</v>
      </c>
      <c r="F1878" s="21" t="s">
        <v>7356</v>
      </c>
      <c r="G1878" s="20" t="s">
        <v>35</v>
      </c>
      <c r="H1878" s="20" t="s">
        <v>25</v>
      </c>
      <c r="I1878" s="21" t="s">
        <v>7357</v>
      </c>
      <c r="J1878" s="22">
        <f t="shared" si="145"/>
        <v>0.37638888888614</v>
      </c>
      <c r="K1878" s="22">
        <f t="shared" si="146"/>
        <v>9.03333333326736</v>
      </c>
      <c r="L1878" s="22">
        <f t="shared" si="147"/>
        <v>-6.96666666673264</v>
      </c>
      <c r="M1878" s="22" cm="1">
        <f ca="1" t="array" ref="M1878">SUMPRODUCT(--(WEEKDAY(ROW(INDIRECT(INT(F1878)&amp;":"&amp;INT(I1878))),2)&gt;5))</f>
        <v>0</v>
      </c>
      <c r="N1878" s="22">
        <f ca="1" t="shared" si="148"/>
        <v>0</v>
      </c>
      <c r="O1878" s="22" t="str">
        <f ca="1" t="shared" si="149"/>
        <v>Within SLA</v>
      </c>
      <c r="P1878" s="26" t="s">
        <v>7355</v>
      </c>
      <c r="Q1878" s="24" t="s">
        <v>37</v>
      </c>
      <c r="R1878" s="25"/>
      <c r="S1878" s="25"/>
    </row>
    <row r="1879" ht="27" customHeight="1" spans="1:19">
      <c r="A1879" s="19" t="s">
        <v>7358</v>
      </c>
      <c r="B1879" s="20" t="s">
        <v>30</v>
      </c>
      <c r="C1879" s="20" t="s">
        <v>849</v>
      </c>
      <c r="D1879" s="20" t="s">
        <v>32</v>
      </c>
      <c r="E1879" s="21" t="s">
        <v>7359</v>
      </c>
      <c r="F1879" s="21" t="s">
        <v>7348</v>
      </c>
      <c r="G1879" s="20" t="s">
        <v>35</v>
      </c>
      <c r="H1879" s="20" t="s">
        <v>25</v>
      </c>
      <c r="I1879" s="21" t="s">
        <v>7360</v>
      </c>
      <c r="J1879" s="22">
        <f t="shared" si="145"/>
        <v>3.04375000000437</v>
      </c>
      <c r="K1879" s="22">
        <f t="shared" si="146"/>
        <v>73.0500000001048</v>
      </c>
      <c r="L1879" s="22">
        <f t="shared" si="147"/>
        <v>25.0500000001048</v>
      </c>
      <c r="M1879" s="22" cm="1">
        <f ca="1" t="array" ref="M1879">SUMPRODUCT(--(WEEKDAY(ROW(INDIRECT(INT(F1879)&amp;":"&amp;INT(I1879))),2)&gt;5))</f>
        <v>0</v>
      </c>
      <c r="N1879" s="22">
        <f ca="1" t="shared" si="148"/>
        <v>25.0500000001048</v>
      </c>
      <c r="O1879" s="22" t="str">
        <f ca="1" t="shared" si="149"/>
        <v>SLA Violated</v>
      </c>
      <c r="P1879" s="23" t="s">
        <v>7361</v>
      </c>
      <c r="Q1879" s="24" t="s">
        <v>28</v>
      </c>
      <c r="R1879" s="25"/>
      <c r="S1879" s="25"/>
    </row>
    <row r="1880" ht="27" customHeight="1" spans="1:19">
      <c r="A1880" s="19" t="s">
        <v>7362</v>
      </c>
      <c r="B1880" s="20" t="s">
        <v>30</v>
      </c>
      <c r="C1880" s="20" t="s">
        <v>849</v>
      </c>
      <c r="D1880" s="20" t="s">
        <v>32</v>
      </c>
      <c r="E1880" s="21" t="s">
        <v>7359</v>
      </c>
      <c r="F1880" s="21" t="s">
        <v>7363</v>
      </c>
      <c r="G1880" s="20" t="s">
        <v>35</v>
      </c>
      <c r="H1880" s="20" t="s">
        <v>25</v>
      </c>
      <c r="I1880" s="21" t="s">
        <v>7364</v>
      </c>
      <c r="J1880" s="22">
        <f t="shared" si="145"/>
        <v>3.0222222222219</v>
      </c>
      <c r="K1880" s="22">
        <f t="shared" si="146"/>
        <v>72.5333333333256</v>
      </c>
      <c r="L1880" s="22">
        <f t="shared" si="147"/>
        <v>24.5333333333256</v>
      </c>
      <c r="M1880" s="22" cm="1">
        <f ca="1" t="array" ref="M1880">SUMPRODUCT(--(WEEKDAY(ROW(INDIRECT(INT(F1880)&amp;":"&amp;INT(I1880))),2)&gt;5))</f>
        <v>0</v>
      </c>
      <c r="N1880" s="22">
        <f ca="1" t="shared" si="148"/>
        <v>24.5333333333256</v>
      </c>
      <c r="O1880" s="22" t="str">
        <f ca="1" t="shared" si="149"/>
        <v>SLA Violated</v>
      </c>
      <c r="P1880" s="23" t="s">
        <v>7365</v>
      </c>
      <c r="Q1880" s="24" t="s">
        <v>28</v>
      </c>
      <c r="R1880" s="25"/>
      <c r="S1880" s="25"/>
    </row>
    <row r="1881" ht="27" customHeight="1" spans="1:19">
      <c r="A1881" s="19" t="s">
        <v>7366</v>
      </c>
      <c r="B1881" s="20" t="s">
        <v>30</v>
      </c>
      <c r="C1881" s="20" t="s">
        <v>849</v>
      </c>
      <c r="D1881" s="20" t="s">
        <v>32</v>
      </c>
      <c r="E1881" s="21" t="s">
        <v>7367</v>
      </c>
      <c r="F1881" s="21" t="s">
        <v>7363</v>
      </c>
      <c r="G1881" s="20" t="s">
        <v>35</v>
      </c>
      <c r="H1881" s="20" t="s">
        <v>25</v>
      </c>
      <c r="I1881" s="21" t="s">
        <v>7368</v>
      </c>
      <c r="J1881" s="22">
        <f t="shared" si="145"/>
        <v>2.96805555555329</v>
      </c>
      <c r="K1881" s="22">
        <f t="shared" si="146"/>
        <v>71.233333333279</v>
      </c>
      <c r="L1881" s="22">
        <f t="shared" si="147"/>
        <v>23.233333333279</v>
      </c>
      <c r="M1881" s="22" cm="1">
        <f ca="1" t="array" ref="M1881">SUMPRODUCT(--(WEEKDAY(ROW(INDIRECT(INT(F1881)&amp;":"&amp;INT(I1881))),2)&gt;5))</f>
        <v>0</v>
      </c>
      <c r="N1881" s="22">
        <f ca="1" t="shared" si="148"/>
        <v>23.233333333279</v>
      </c>
      <c r="O1881" s="22" t="str">
        <f ca="1" t="shared" si="149"/>
        <v>SLA Violated</v>
      </c>
      <c r="P1881" s="23" t="s">
        <v>7369</v>
      </c>
      <c r="Q1881" s="24" t="s">
        <v>28</v>
      </c>
      <c r="R1881" s="25"/>
      <c r="S1881" s="25"/>
    </row>
    <row r="1882" ht="39" customHeight="1" spans="1:19">
      <c r="A1882" s="19" t="s">
        <v>7370</v>
      </c>
      <c r="B1882" s="20" t="s">
        <v>702</v>
      </c>
      <c r="C1882" s="20" t="s">
        <v>101</v>
      </c>
      <c r="D1882" s="20" t="s">
        <v>32</v>
      </c>
      <c r="E1882" s="21" t="s">
        <v>7371</v>
      </c>
      <c r="F1882" s="21" t="s">
        <v>7372</v>
      </c>
      <c r="G1882" s="20" t="s">
        <v>35</v>
      </c>
      <c r="H1882" s="20" t="s">
        <v>25</v>
      </c>
      <c r="I1882" s="21" t="s">
        <v>7373</v>
      </c>
      <c r="J1882" s="22">
        <f t="shared" si="145"/>
        <v>0.000694444446708076</v>
      </c>
      <c r="K1882" s="22">
        <f t="shared" si="146"/>
        <v>0.0166666667209938</v>
      </c>
      <c r="L1882" s="22">
        <f t="shared" si="147"/>
        <v>0.0166666667209938</v>
      </c>
      <c r="M1882" s="22" cm="1">
        <f ca="1" t="array" ref="M1882">SUMPRODUCT(--(WEEKDAY(ROW(INDIRECT(INT(F1882)&amp;":"&amp;INT(I1882))),2)&gt;5))</f>
        <v>0</v>
      </c>
      <c r="N1882" s="22">
        <f ca="1" t="shared" si="148"/>
        <v>0.0166666667209938</v>
      </c>
      <c r="O1882" s="22" t="str">
        <f ca="1" t="shared" si="149"/>
        <v>Within SLA</v>
      </c>
      <c r="P1882" s="26" t="s">
        <v>7370</v>
      </c>
      <c r="Q1882" s="24" t="s">
        <v>37</v>
      </c>
      <c r="R1882" s="25"/>
      <c r="S1882" s="25"/>
    </row>
    <row r="1883" ht="27" customHeight="1" spans="1:19">
      <c r="A1883" s="19" t="s">
        <v>7374</v>
      </c>
      <c r="B1883" s="20" t="s">
        <v>30</v>
      </c>
      <c r="C1883" s="20" t="s">
        <v>849</v>
      </c>
      <c r="D1883" s="20" t="s">
        <v>32</v>
      </c>
      <c r="E1883" s="21" t="s">
        <v>5690</v>
      </c>
      <c r="F1883" s="21" t="s">
        <v>7375</v>
      </c>
      <c r="G1883" s="20" t="s">
        <v>35</v>
      </c>
      <c r="H1883" s="20" t="s">
        <v>25</v>
      </c>
      <c r="I1883" s="21" t="s">
        <v>7376</v>
      </c>
      <c r="J1883" s="22">
        <f t="shared" si="145"/>
        <v>13.0208333333358</v>
      </c>
      <c r="K1883" s="22">
        <f t="shared" si="146"/>
        <v>312.500000000058</v>
      </c>
      <c r="L1883" s="22">
        <f t="shared" si="147"/>
        <v>104.500000000058</v>
      </c>
      <c r="M1883" s="22" cm="1">
        <f ca="1" t="array" ref="M1883">SUMPRODUCT(--(WEEKDAY(ROW(INDIRECT(INT(F1883)&amp;":"&amp;INT(I1883))),2)&gt;5))</f>
        <v>4</v>
      </c>
      <c r="N1883" s="22">
        <f ca="1" t="shared" si="148"/>
        <v>72.500000000058</v>
      </c>
      <c r="O1883" s="22" t="str">
        <f ca="1" t="shared" si="149"/>
        <v>SLA Violated</v>
      </c>
      <c r="P1883" s="23" t="s">
        <v>7377</v>
      </c>
      <c r="Q1883" s="24" t="s">
        <v>28</v>
      </c>
      <c r="R1883" s="25"/>
      <c r="S1883" s="25"/>
    </row>
    <row r="1884" ht="27" customHeight="1" spans="1:19">
      <c r="A1884" s="19" t="s">
        <v>7378</v>
      </c>
      <c r="B1884" s="20" t="s">
        <v>30</v>
      </c>
      <c r="C1884" s="20" t="s">
        <v>31</v>
      </c>
      <c r="D1884" s="20" t="s">
        <v>32</v>
      </c>
      <c r="E1884" s="21" t="s">
        <v>5690</v>
      </c>
      <c r="F1884" s="21" t="s">
        <v>7379</v>
      </c>
      <c r="G1884" s="20" t="s">
        <v>35</v>
      </c>
      <c r="H1884" s="20" t="s">
        <v>25</v>
      </c>
      <c r="I1884" s="21" t="s">
        <v>7380</v>
      </c>
      <c r="J1884" s="22">
        <f t="shared" si="145"/>
        <v>12.8305555555562</v>
      </c>
      <c r="K1884" s="22">
        <f t="shared" si="146"/>
        <v>307.933333333349</v>
      </c>
      <c r="L1884" s="22">
        <f t="shared" si="147"/>
        <v>99.9333333333489</v>
      </c>
      <c r="M1884" s="22" cm="1">
        <f ca="1" t="array" ref="M1884">SUMPRODUCT(--(WEEKDAY(ROW(INDIRECT(INT(F1884)&amp;":"&amp;INT(I1884))),2)&gt;5))</f>
        <v>4</v>
      </c>
      <c r="N1884" s="22">
        <f ca="1" t="shared" si="148"/>
        <v>67.9333333333489</v>
      </c>
      <c r="O1884" s="22" t="str">
        <f ca="1" t="shared" si="149"/>
        <v>SLA Violated</v>
      </c>
      <c r="P1884" s="26" t="s">
        <v>7378</v>
      </c>
      <c r="Q1884" s="24" t="s">
        <v>28</v>
      </c>
      <c r="R1884" s="25"/>
      <c r="S1884" s="25"/>
    </row>
    <row r="1885" ht="27" customHeight="1" spans="1:19">
      <c r="A1885" s="19" t="s">
        <v>7381</v>
      </c>
      <c r="B1885" s="20" t="s">
        <v>30</v>
      </c>
      <c r="C1885" s="20" t="s">
        <v>31</v>
      </c>
      <c r="D1885" s="20" t="s">
        <v>32</v>
      </c>
      <c r="E1885" s="21" t="s">
        <v>7372</v>
      </c>
      <c r="F1885" s="21" t="s">
        <v>7382</v>
      </c>
      <c r="G1885" s="20" t="s">
        <v>35</v>
      </c>
      <c r="H1885" s="20" t="s">
        <v>25</v>
      </c>
      <c r="I1885" s="21" t="s">
        <v>7383</v>
      </c>
      <c r="J1885" s="22">
        <f t="shared" si="145"/>
        <v>17.7888888888847</v>
      </c>
      <c r="K1885" s="22">
        <f t="shared" si="146"/>
        <v>426.933333333232</v>
      </c>
      <c r="L1885" s="22">
        <f t="shared" si="147"/>
        <v>138.933333333232</v>
      </c>
      <c r="M1885" s="22" cm="1">
        <f ca="1" t="array" ref="M1885">SUMPRODUCT(--(WEEKDAY(ROW(INDIRECT(INT(F1885)&amp;":"&amp;INT(I1885))),2)&gt;5))</f>
        <v>5</v>
      </c>
      <c r="N1885" s="22">
        <f ca="1" t="shared" si="148"/>
        <v>98.933333333232</v>
      </c>
      <c r="O1885" s="22" t="str">
        <f ca="1" t="shared" si="149"/>
        <v>SLA Violated</v>
      </c>
      <c r="P1885" s="26" t="s">
        <v>7381</v>
      </c>
      <c r="Q1885" s="24" t="s">
        <v>28</v>
      </c>
      <c r="R1885" s="25"/>
      <c r="S1885" s="25"/>
    </row>
    <row r="1886" ht="39" customHeight="1" spans="1:19">
      <c r="A1886" s="19" t="s">
        <v>7384</v>
      </c>
      <c r="B1886" s="20" t="s">
        <v>19</v>
      </c>
      <c r="C1886" s="20" t="s">
        <v>20</v>
      </c>
      <c r="D1886" s="20" t="s">
        <v>32</v>
      </c>
      <c r="E1886" s="21" t="s">
        <v>7385</v>
      </c>
      <c r="F1886" s="21" t="s">
        <v>7386</v>
      </c>
      <c r="G1886" s="20" t="s">
        <v>35</v>
      </c>
      <c r="H1886" s="20" t="s">
        <v>25</v>
      </c>
      <c r="I1886" s="21" t="s">
        <v>7387</v>
      </c>
      <c r="J1886" s="22">
        <f t="shared" si="145"/>
        <v>0.80972222222772</v>
      </c>
      <c r="K1886" s="22">
        <f t="shared" si="146"/>
        <v>19.4333333334653</v>
      </c>
      <c r="L1886" s="22">
        <f t="shared" si="147"/>
        <v>3.43333333346527</v>
      </c>
      <c r="M1886" s="22" cm="1">
        <f ca="1" t="array" ref="M1886">SUMPRODUCT(--(WEEKDAY(ROW(INDIRECT(INT(F1886)&amp;":"&amp;INT(I1886))),2)&gt;5))</f>
        <v>0</v>
      </c>
      <c r="N1886" s="22">
        <f ca="1" t="shared" si="148"/>
        <v>3.43333333346527</v>
      </c>
      <c r="O1886" s="22" t="str">
        <f ca="1" t="shared" si="149"/>
        <v>Within SLA</v>
      </c>
      <c r="P1886" s="26" t="s">
        <v>7384</v>
      </c>
      <c r="Q1886" s="24" t="s">
        <v>37</v>
      </c>
      <c r="R1886" s="25"/>
      <c r="S1886" s="25"/>
    </row>
    <row r="1887" ht="27" customHeight="1" spans="1:19">
      <c r="A1887" s="19" t="s">
        <v>7388</v>
      </c>
      <c r="B1887" s="20" t="s">
        <v>30</v>
      </c>
      <c r="C1887" s="20" t="s">
        <v>31</v>
      </c>
      <c r="D1887" s="20" t="s">
        <v>32</v>
      </c>
      <c r="E1887" s="21" t="s">
        <v>7389</v>
      </c>
      <c r="F1887" s="21" t="s">
        <v>7390</v>
      </c>
      <c r="G1887" s="20" t="s">
        <v>35</v>
      </c>
      <c r="H1887" s="20" t="s">
        <v>25</v>
      </c>
      <c r="I1887" s="21" t="s">
        <v>7391</v>
      </c>
      <c r="J1887" s="22">
        <f t="shared" si="145"/>
        <v>16.809027777781</v>
      </c>
      <c r="K1887" s="22">
        <f t="shared" si="146"/>
        <v>403.416666666744</v>
      </c>
      <c r="L1887" s="22">
        <f t="shared" si="147"/>
        <v>131.416666666744</v>
      </c>
      <c r="M1887" s="22" cm="1">
        <f ca="1" t="array" ref="M1887">SUMPRODUCT(--(WEEKDAY(ROW(INDIRECT(INT(F1887)&amp;":"&amp;INT(I1887))),2)&gt;5))</f>
        <v>4</v>
      </c>
      <c r="N1887" s="22">
        <f ca="1" t="shared" si="148"/>
        <v>99.416666666744</v>
      </c>
      <c r="O1887" s="22" t="str">
        <f ca="1" t="shared" si="149"/>
        <v>SLA Violated</v>
      </c>
      <c r="P1887" s="26" t="s">
        <v>7388</v>
      </c>
      <c r="Q1887" s="24" t="s">
        <v>28</v>
      </c>
      <c r="R1887" s="25"/>
      <c r="S1887" s="25"/>
    </row>
    <row r="1888" ht="27" customHeight="1" spans="1:19">
      <c r="A1888" s="19" t="s">
        <v>7392</v>
      </c>
      <c r="B1888" s="20" t="s">
        <v>30</v>
      </c>
      <c r="C1888" s="20" t="s">
        <v>849</v>
      </c>
      <c r="D1888" s="20" t="s">
        <v>32</v>
      </c>
      <c r="E1888" s="21" t="s">
        <v>5581</v>
      </c>
      <c r="F1888" s="21" t="s">
        <v>7348</v>
      </c>
      <c r="G1888" s="20" t="s">
        <v>35</v>
      </c>
      <c r="H1888" s="20" t="s">
        <v>25</v>
      </c>
      <c r="I1888" s="21" t="s">
        <v>7393</v>
      </c>
      <c r="J1888" s="22">
        <f t="shared" si="145"/>
        <v>2.97499999999854</v>
      </c>
      <c r="K1888" s="22">
        <f t="shared" si="146"/>
        <v>71.3999999999651</v>
      </c>
      <c r="L1888" s="22">
        <f t="shared" si="147"/>
        <v>23.3999999999651</v>
      </c>
      <c r="M1888" s="22" cm="1">
        <f ca="1" t="array" ref="M1888">SUMPRODUCT(--(WEEKDAY(ROW(INDIRECT(INT(F1888)&amp;":"&amp;INT(I1888))),2)&gt;5))</f>
        <v>0</v>
      </c>
      <c r="N1888" s="22">
        <f ca="1" t="shared" si="148"/>
        <v>23.3999999999651</v>
      </c>
      <c r="O1888" s="22" t="str">
        <f ca="1" t="shared" si="149"/>
        <v>SLA Violated</v>
      </c>
      <c r="P1888" s="23" t="s">
        <v>7394</v>
      </c>
      <c r="Q1888" s="24" t="s">
        <v>28</v>
      </c>
      <c r="R1888" s="25"/>
      <c r="S1888" s="25"/>
    </row>
    <row r="1889" ht="27" customHeight="1" spans="1:19">
      <c r="A1889" s="19" t="s">
        <v>7395</v>
      </c>
      <c r="B1889" s="20" t="s">
        <v>30</v>
      </c>
      <c r="C1889" s="20" t="s">
        <v>849</v>
      </c>
      <c r="D1889" s="20" t="s">
        <v>32</v>
      </c>
      <c r="E1889" s="21" t="s">
        <v>5581</v>
      </c>
      <c r="F1889" s="21" t="s">
        <v>7396</v>
      </c>
      <c r="G1889" s="20" t="s">
        <v>35</v>
      </c>
      <c r="H1889" s="20" t="s">
        <v>25</v>
      </c>
      <c r="I1889" s="21" t="s">
        <v>7397</v>
      </c>
      <c r="J1889" s="22">
        <f t="shared" si="145"/>
        <v>2.95347222222335</v>
      </c>
      <c r="K1889" s="22">
        <f t="shared" si="146"/>
        <v>70.8833333333605</v>
      </c>
      <c r="L1889" s="22">
        <f t="shared" si="147"/>
        <v>22.8833333333605</v>
      </c>
      <c r="M1889" s="22" cm="1">
        <f ca="1" t="array" ref="M1889">SUMPRODUCT(--(WEEKDAY(ROW(INDIRECT(INT(F1889)&amp;":"&amp;INT(I1889))),2)&gt;5))</f>
        <v>0</v>
      </c>
      <c r="N1889" s="22">
        <f ca="1" t="shared" si="148"/>
        <v>22.8833333333605</v>
      </c>
      <c r="O1889" s="22" t="str">
        <f ca="1" t="shared" si="149"/>
        <v>SLA Violated</v>
      </c>
      <c r="P1889" s="23" t="s">
        <v>7398</v>
      </c>
      <c r="Q1889" s="24" t="s">
        <v>28</v>
      </c>
      <c r="R1889" s="25"/>
      <c r="S1889" s="25"/>
    </row>
    <row r="1890" ht="39" customHeight="1" spans="1:19">
      <c r="A1890" s="19" t="s">
        <v>7399</v>
      </c>
      <c r="B1890" s="20" t="s">
        <v>19</v>
      </c>
      <c r="C1890" s="20" t="s">
        <v>20</v>
      </c>
      <c r="D1890" s="20" t="s">
        <v>32</v>
      </c>
      <c r="E1890" s="21" t="s">
        <v>7393</v>
      </c>
      <c r="F1890" s="21" t="s">
        <v>7400</v>
      </c>
      <c r="G1890" s="20" t="s">
        <v>35</v>
      </c>
      <c r="H1890" s="20" t="s">
        <v>25</v>
      </c>
      <c r="I1890" s="21" t="s">
        <v>7401</v>
      </c>
      <c r="J1890" s="22">
        <f t="shared" si="145"/>
        <v>2.96875</v>
      </c>
      <c r="K1890" s="22">
        <f t="shared" si="146"/>
        <v>71.25</v>
      </c>
      <c r="L1890" s="22">
        <f t="shared" si="147"/>
        <v>23.25</v>
      </c>
      <c r="M1890" s="22" cm="1">
        <f ca="1" t="array" ref="M1890">SUMPRODUCT(--(WEEKDAY(ROW(INDIRECT(INT(F1890)&amp;":"&amp;INT(I1890))),2)&gt;5))</f>
        <v>0</v>
      </c>
      <c r="N1890" s="22">
        <f ca="1" t="shared" si="148"/>
        <v>23.25</v>
      </c>
      <c r="O1890" s="22" t="str">
        <f ca="1" t="shared" si="149"/>
        <v>SLA Violated</v>
      </c>
      <c r="P1890" s="23" t="s">
        <v>7402</v>
      </c>
      <c r="Q1890" s="24" t="s">
        <v>28</v>
      </c>
      <c r="R1890" s="25"/>
      <c r="S1890" s="25"/>
    </row>
    <row r="1891" ht="27" customHeight="1" spans="1:19">
      <c r="A1891" s="19" t="s">
        <v>7403</v>
      </c>
      <c r="B1891" s="20" t="s">
        <v>30</v>
      </c>
      <c r="C1891" s="20" t="s">
        <v>31</v>
      </c>
      <c r="D1891" s="20" t="s">
        <v>32</v>
      </c>
      <c r="E1891" s="21" t="s">
        <v>7404</v>
      </c>
      <c r="F1891" s="21" t="s">
        <v>7405</v>
      </c>
      <c r="G1891" s="20" t="s">
        <v>35</v>
      </c>
      <c r="H1891" s="20" t="s">
        <v>25</v>
      </c>
      <c r="I1891" s="21" t="s">
        <v>7406</v>
      </c>
      <c r="J1891" s="22">
        <f t="shared" si="145"/>
        <v>26.7784722222204</v>
      </c>
      <c r="K1891" s="22">
        <f t="shared" si="146"/>
        <v>642.683333333291</v>
      </c>
      <c r="L1891" s="22">
        <f t="shared" si="147"/>
        <v>210.683333333291</v>
      </c>
      <c r="M1891" s="22" cm="1">
        <f ca="1" t="array" ref="M1891">SUMPRODUCT(--(WEEKDAY(ROW(INDIRECT(INT(F1891)&amp;":"&amp;INT(I1891))),2)&gt;5))</f>
        <v>8</v>
      </c>
      <c r="N1891" s="22">
        <f ca="1" t="shared" si="148"/>
        <v>146.683333333291</v>
      </c>
      <c r="O1891" s="22" t="str">
        <f ca="1" t="shared" si="149"/>
        <v>SLA Violated</v>
      </c>
      <c r="P1891" s="26" t="s">
        <v>7403</v>
      </c>
      <c r="Q1891" s="24" t="s">
        <v>28</v>
      </c>
      <c r="R1891" s="25"/>
      <c r="S1891" s="25"/>
    </row>
    <row r="1892" ht="27" customHeight="1" spans="1:19">
      <c r="A1892" s="19" t="s">
        <v>7407</v>
      </c>
      <c r="B1892" s="20" t="s">
        <v>30</v>
      </c>
      <c r="C1892" s="20" t="s">
        <v>31</v>
      </c>
      <c r="D1892" s="20" t="s">
        <v>32</v>
      </c>
      <c r="E1892" s="21" t="s">
        <v>5752</v>
      </c>
      <c r="F1892" s="21" t="s">
        <v>7408</v>
      </c>
      <c r="G1892" s="20" t="s">
        <v>35</v>
      </c>
      <c r="H1892" s="20" t="s">
        <v>25</v>
      </c>
      <c r="I1892" s="21" t="s">
        <v>7409</v>
      </c>
      <c r="J1892" s="22">
        <f t="shared" si="145"/>
        <v>0.668055555557657</v>
      </c>
      <c r="K1892" s="22">
        <f t="shared" si="146"/>
        <v>16.0333333333838</v>
      </c>
      <c r="L1892" s="22">
        <f t="shared" si="147"/>
        <v>0.03333333338378</v>
      </c>
      <c r="M1892" s="22" cm="1">
        <f ca="1" t="array" ref="M1892">SUMPRODUCT(--(WEEKDAY(ROW(INDIRECT(INT(F1892)&amp;":"&amp;INT(I1892))),2)&gt;5))</f>
        <v>0</v>
      </c>
      <c r="N1892" s="22">
        <f ca="1" t="shared" si="148"/>
        <v>0.03333333338378</v>
      </c>
      <c r="O1892" s="22" t="str">
        <f ca="1" t="shared" si="149"/>
        <v>Within SLA</v>
      </c>
      <c r="P1892" s="26" t="s">
        <v>7407</v>
      </c>
      <c r="Q1892" s="24" t="s">
        <v>37</v>
      </c>
      <c r="R1892" s="25"/>
      <c r="S1892" s="25"/>
    </row>
    <row r="1893" ht="27" customHeight="1" spans="1:19">
      <c r="A1893" s="19" t="s">
        <v>7410</v>
      </c>
      <c r="B1893" s="20" t="s">
        <v>121</v>
      </c>
      <c r="C1893" s="20" t="s">
        <v>849</v>
      </c>
      <c r="D1893" s="20" t="s">
        <v>21</v>
      </c>
      <c r="E1893" s="21" t="s">
        <v>5779</v>
      </c>
      <c r="F1893" s="21" t="s">
        <v>7411</v>
      </c>
      <c r="G1893" s="20" t="s">
        <v>35</v>
      </c>
      <c r="H1893" s="20" t="s">
        <v>25</v>
      </c>
      <c r="I1893" s="21" t="s">
        <v>7412</v>
      </c>
      <c r="J1893" s="22">
        <f t="shared" si="145"/>
        <v>0.951388888890506</v>
      </c>
      <c r="K1893" s="22">
        <f t="shared" si="146"/>
        <v>22.8333333333721</v>
      </c>
      <c r="L1893" s="22">
        <f t="shared" si="147"/>
        <v>6.83333333337214</v>
      </c>
      <c r="M1893" s="22" cm="1">
        <f ca="1" t="array" ref="M1893">SUMPRODUCT(--(WEEKDAY(ROW(INDIRECT(INT(F1893)&amp;":"&amp;INT(I1893))),2)&gt;5))</f>
        <v>0</v>
      </c>
      <c r="N1893" s="22">
        <f ca="1" t="shared" si="148"/>
        <v>6.83333333337214</v>
      </c>
      <c r="O1893" s="22" t="str">
        <f ca="1" t="shared" si="149"/>
        <v>SLA Violated</v>
      </c>
      <c r="P1893" s="23" t="s">
        <v>7413</v>
      </c>
      <c r="Q1893" s="24" t="s">
        <v>28</v>
      </c>
      <c r="R1893" s="25"/>
      <c r="S1893" s="25"/>
    </row>
    <row r="1894" ht="27" customHeight="1" spans="1:19">
      <c r="A1894" s="19" t="s">
        <v>7414</v>
      </c>
      <c r="B1894" s="20" t="s">
        <v>139</v>
      </c>
      <c r="C1894" s="20" t="s">
        <v>2057</v>
      </c>
      <c r="D1894" s="20" t="s">
        <v>21</v>
      </c>
      <c r="E1894" s="21" t="s">
        <v>5820</v>
      </c>
      <c r="F1894" s="21" t="s">
        <v>7415</v>
      </c>
      <c r="G1894" s="20" t="s">
        <v>35</v>
      </c>
      <c r="H1894" s="20" t="s">
        <v>25</v>
      </c>
      <c r="I1894" s="21" t="s">
        <v>7416</v>
      </c>
      <c r="J1894" s="22">
        <f t="shared" si="145"/>
        <v>44.9444444444453</v>
      </c>
      <c r="K1894" s="22">
        <f t="shared" si="146"/>
        <v>1078.66666666669</v>
      </c>
      <c r="L1894" s="22">
        <f t="shared" si="147"/>
        <v>358.666666666686</v>
      </c>
      <c r="M1894" s="22" cm="1">
        <f ca="1" t="array" ref="M1894">SUMPRODUCT(--(WEEKDAY(ROW(INDIRECT(INT(F1894)&amp;":"&amp;INT(I1894))),2)&gt;5))</f>
        <v>12</v>
      </c>
      <c r="N1894" s="22">
        <f ca="1" t="shared" si="148"/>
        <v>262.666666666686</v>
      </c>
      <c r="O1894" s="22" t="str">
        <f ca="1" t="shared" si="149"/>
        <v>SLA Violated</v>
      </c>
      <c r="P1894" s="23" t="s">
        <v>7417</v>
      </c>
      <c r="Q1894" s="24" t="s">
        <v>28</v>
      </c>
      <c r="R1894" s="25"/>
      <c r="S1894" s="25"/>
    </row>
    <row r="1895" ht="27" customHeight="1" spans="1:19">
      <c r="A1895" s="19" t="s">
        <v>7418</v>
      </c>
      <c r="B1895" s="20" t="s">
        <v>30</v>
      </c>
      <c r="C1895" s="20" t="s">
        <v>31</v>
      </c>
      <c r="D1895" s="20" t="s">
        <v>32</v>
      </c>
      <c r="E1895" s="21" t="s">
        <v>5834</v>
      </c>
      <c r="F1895" s="21" t="s">
        <v>7419</v>
      </c>
      <c r="G1895" s="20" t="s">
        <v>35</v>
      </c>
      <c r="H1895" s="20" t="s">
        <v>25</v>
      </c>
      <c r="I1895" s="21" t="s">
        <v>7420</v>
      </c>
      <c r="J1895" s="22">
        <f t="shared" si="145"/>
        <v>0.725694444445253</v>
      </c>
      <c r="K1895" s="22">
        <f t="shared" si="146"/>
        <v>17.4166666666861</v>
      </c>
      <c r="L1895" s="22">
        <f t="shared" si="147"/>
        <v>1.41666666668607</v>
      </c>
      <c r="M1895" s="22" cm="1">
        <f ca="1" t="array" ref="M1895">SUMPRODUCT(--(WEEKDAY(ROW(INDIRECT(INT(F1895)&amp;":"&amp;INT(I1895))),2)&gt;5))</f>
        <v>0</v>
      </c>
      <c r="N1895" s="22">
        <f ca="1" t="shared" si="148"/>
        <v>1.41666666668607</v>
      </c>
      <c r="O1895" s="22" t="str">
        <f ca="1" t="shared" si="149"/>
        <v>Within SLA</v>
      </c>
      <c r="P1895" s="26" t="s">
        <v>7418</v>
      </c>
      <c r="Q1895" s="24" t="s">
        <v>37</v>
      </c>
      <c r="R1895" s="25"/>
      <c r="S1895" s="25"/>
    </row>
    <row r="1896" ht="27" customHeight="1" spans="1:19">
      <c r="A1896" s="19" t="s">
        <v>7421</v>
      </c>
      <c r="B1896" s="20" t="s">
        <v>30</v>
      </c>
      <c r="C1896" s="20" t="s">
        <v>849</v>
      </c>
      <c r="D1896" s="20" t="s">
        <v>32</v>
      </c>
      <c r="E1896" s="21" t="s">
        <v>7422</v>
      </c>
      <c r="F1896" s="21" t="s">
        <v>7423</v>
      </c>
      <c r="G1896" s="20" t="s">
        <v>35</v>
      </c>
      <c r="H1896" s="20" t="s">
        <v>25</v>
      </c>
      <c r="I1896" s="21" t="s">
        <v>7424</v>
      </c>
      <c r="J1896" s="22">
        <f t="shared" si="145"/>
        <v>2.90833333333285</v>
      </c>
      <c r="K1896" s="22">
        <f t="shared" si="146"/>
        <v>69.7999999999884</v>
      </c>
      <c r="L1896" s="22">
        <f t="shared" si="147"/>
        <v>21.7999999999884</v>
      </c>
      <c r="M1896" s="22" cm="1">
        <f ca="1" t="array" ref="M1896">SUMPRODUCT(--(WEEKDAY(ROW(INDIRECT(INT(F1896)&amp;":"&amp;INT(I1896))),2)&gt;5))</f>
        <v>0</v>
      </c>
      <c r="N1896" s="22">
        <f ca="1" t="shared" si="148"/>
        <v>21.7999999999884</v>
      </c>
      <c r="O1896" s="22" t="str">
        <f ca="1" t="shared" si="149"/>
        <v>SLA Violated</v>
      </c>
      <c r="P1896" s="23" t="s">
        <v>7425</v>
      </c>
      <c r="Q1896" s="24" t="s">
        <v>28</v>
      </c>
      <c r="R1896" s="25"/>
      <c r="S1896" s="25"/>
    </row>
    <row r="1897" ht="27" customHeight="1" spans="1:19">
      <c r="A1897" s="19" t="s">
        <v>7426</v>
      </c>
      <c r="B1897" s="20" t="s">
        <v>30</v>
      </c>
      <c r="C1897" s="20" t="s">
        <v>31</v>
      </c>
      <c r="D1897" s="20" t="s">
        <v>115</v>
      </c>
      <c r="E1897" s="21" t="s">
        <v>7427</v>
      </c>
      <c r="F1897" s="21" t="s">
        <v>7428</v>
      </c>
      <c r="G1897" s="20" t="s">
        <v>35</v>
      </c>
      <c r="H1897" s="20" t="s">
        <v>25</v>
      </c>
      <c r="I1897" s="21" t="s">
        <v>7429</v>
      </c>
      <c r="J1897" s="22">
        <f t="shared" si="145"/>
        <v>26.0166666666701</v>
      </c>
      <c r="K1897" s="22">
        <f t="shared" si="146"/>
        <v>624.400000000081</v>
      </c>
      <c r="L1897" s="22">
        <f t="shared" si="147"/>
        <v>208.400000000081</v>
      </c>
      <c r="M1897" s="22" cm="1">
        <f ca="1" t="array" ref="M1897">SUMPRODUCT(--(WEEKDAY(ROW(INDIRECT(INT(F1897)&amp;":"&amp;INT(I1897))),2)&gt;5))</f>
        <v>8</v>
      </c>
      <c r="N1897" s="22">
        <f ca="1" t="shared" si="148"/>
        <v>144.400000000081</v>
      </c>
      <c r="O1897" s="22" t="str">
        <f ca="1" t="shared" si="149"/>
        <v>SLA Violated</v>
      </c>
      <c r="P1897" s="23" t="s">
        <v>7430</v>
      </c>
      <c r="Q1897" s="24" t="s">
        <v>28</v>
      </c>
      <c r="R1897" s="25"/>
      <c r="S1897" s="25"/>
    </row>
    <row r="1898" ht="27" customHeight="1" spans="1:19">
      <c r="A1898" s="19" t="s">
        <v>7431</v>
      </c>
      <c r="B1898" s="20" t="s">
        <v>30</v>
      </c>
      <c r="C1898" s="20" t="s">
        <v>849</v>
      </c>
      <c r="D1898" s="20" t="s">
        <v>32</v>
      </c>
      <c r="E1898" s="21" t="s">
        <v>7432</v>
      </c>
      <c r="F1898" s="21" t="s">
        <v>7423</v>
      </c>
      <c r="G1898" s="20" t="s">
        <v>35</v>
      </c>
      <c r="H1898" s="20" t="s">
        <v>25</v>
      </c>
      <c r="I1898" s="21" t="s">
        <v>7433</v>
      </c>
      <c r="J1898" s="22">
        <f t="shared" si="145"/>
        <v>2.24305555555475</v>
      </c>
      <c r="K1898" s="22">
        <f t="shared" si="146"/>
        <v>53.8333333333139</v>
      </c>
      <c r="L1898" s="22">
        <f t="shared" si="147"/>
        <v>21.8333333333139</v>
      </c>
      <c r="M1898" s="22" cm="1">
        <f ca="1" t="array" ref="M1898">SUMPRODUCT(--(WEEKDAY(ROW(INDIRECT(INT(F1898)&amp;":"&amp;INT(I1898))),2)&gt;5))</f>
        <v>0</v>
      </c>
      <c r="N1898" s="22">
        <f ca="1" t="shared" si="148"/>
        <v>21.8333333333139</v>
      </c>
      <c r="O1898" s="22" t="str">
        <f ca="1" t="shared" si="149"/>
        <v>SLA Violated</v>
      </c>
      <c r="P1898" s="23" t="s">
        <v>7434</v>
      </c>
      <c r="Q1898" s="24" t="s">
        <v>28</v>
      </c>
      <c r="R1898" s="25"/>
      <c r="S1898" s="25"/>
    </row>
    <row r="1899" ht="39" customHeight="1" spans="1:19">
      <c r="A1899" s="19" t="s">
        <v>7435</v>
      </c>
      <c r="B1899" s="20" t="s">
        <v>19</v>
      </c>
      <c r="C1899" s="20" t="s">
        <v>20</v>
      </c>
      <c r="D1899" s="20" t="s">
        <v>32</v>
      </c>
      <c r="E1899" s="21" t="s">
        <v>7436</v>
      </c>
      <c r="F1899" s="21" t="s">
        <v>7437</v>
      </c>
      <c r="G1899" s="20" t="s">
        <v>35</v>
      </c>
      <c r="H1899" s="20" t="s">
        <v>25</v>
      </c>
      <c r="I1899" s="21" t="s">
        <v>7438</v>
      </c>
      <c r="J1899" s="22">
        <f t="shared" si="145"/>
        <v>0.0694444444452529</v>
      </c>
      <c r="K1899" s="22">
        <f t="shared" si="146"/>
        <v>1.66666666668607</v>
      </c>
      <c r="L1899" s="22">
        <f t="shared" si="147"/>
        <v>1.66666666668607</v>
      </c>
      <c r="M1899" s="22" cm="1">
        <f ca="1" t="array" ref="M1899">SUMPRODUCT(--(WEEKDAY(ROW(INDIRECT(INT(F1899)&amp;":"&amp;INT(I1899))),2)&gt;5))</f>
        <v>0</v>
      </c>
      <c r="N1899" s="22">
        <f ca="1" t="shared" si="148"/>
        <v>1.66666666668607</v>
      </c>
      <c r="O1899" s="22" t="str">
        <f ca="1" t="shared" si="149"/>
        <v>Within SLA</v>
      </c>
      <c r="P1899" s="26" t="s">
        <v>7435</v>
      </c>
      <c r="Q1899" s="24" t="s">
        <v>37</v>
      </c>
      <c r="R1899" s="25"/>
      <c r="S1899" s="25"/>
    </row>
    <row r="1900" ht="27" customHeight="1" spans="1:19">
      <c r="A1900" s="19" t="s">
        <v>7439</v>
      </c>
      <c r="B1900" s="20" t="s">
        <v>30</v>
      </c>
      <c r="C1900" s="20" t="s">
        <v>849</v>
      </c>
      <c r="D1900" s="20" t="s">
        <v>32</v>
      </c>
      <c r="E1900" s="21" t="s">
        <v>7440</v>
      </c>
      <c r="F1900" s="21" t="s">
        <v>7441</v>
      </c>
      <c r="G1900" s="20" t="s">
        <v>35</v>
      </c>
      <c r="H1900" s="20" t="s">
        <v>25</v>
      </c>
      <c r="I1900" s="21" t="s">
        <v>7442</v>
      </c>
      <c r="J1900" s="22">
        <f t="shared" si="145"/>
        <v>2.24236111111531</v>
      </c>
      <c r="K1900" s="22">
        <f t="shared" si="146"/>
        <v>53.8166666667676</v>
      </c>
      <c r="L1900" s="22">
        <f t="shared" si="147"/>
        <v>21.8166666667676</v>
      </c>
      <c r="M1900" s="22" cm="1">
        <f ca="1" t="array" ref="M1900">SUMPRODUCT(--(WEEKDAY(ROW(INDIRECT(INT(F1900)&amp;":"&amp;INT(I1900))),2)&gt;5))</f>
        <v>0</v>
      </c>
      <c r="N1900" s="22">
        <f ca="1" t="shared" si="148"/>
        <v>21.8166666667676</v>
      </c>
      <c r="O1900" s="22" t="str">
        <f ca="1" t="shared" si="149"/>
        <v>SLA Violated</v>
      </c>
      <c r="P1900" s="23" t="s">
        <v>7443</v>
      </c>
      <c r="Q1900" s="24" t="s">
        <v>28</v>
      </c>
      <c r="R1900" s="25"/>
      <c r="S1900" s="25"/>
    </row>
    <row r="1901" ht="39" customHeight="1" spans="1:19">
      <c r="A1901" s="19" t="s">
        <v>7444</v>
      </c>
      <c r="B1901" s="20" t="s">
        <v>19</v>
      </c>
      <c r="C1901" s="20" t="s">
        <v>167</v>
      </c>
      <c r="D1901" s="20" t="s">
        <v>32</v>
      </c>
      <c r="E1901" s="21" t="s">
        <v>7445</v>
      </c>
      <c r="F1901" s="21" t="s">
        <v>7446</v>
      </c>
      <c r="G1901" s="20" t="s">
        <v>35</v>
      </c>
      <c r="H1901" s="20" t="s">
        <v>25</v>
      </c>
      <c r="I1901" s="21" t="s">
        <v>7438</v>
      </c>
      <c r="J1901" s="22">
        <f t="shared" si="145"/>
        <v>0.0444444444437977</v>
      </c>
      <c r="K1901" s="22">
        <f t="shared" si="146"/>
        <v>1.06666666665114</v>
      </c>
      <c r="L1901" s="22">
        <f t="shared" si="147"/>
        <v>1.06666666665114</v>
      </c>
      <c r="M1901" s="22" cm="1">
        <f ca="1" t="array" ref="M1901">SUMPRODUCT(--(WEEKDAY(ROW(INDIRECT(INT(F1901)&amp;":"&amp;INT(I1901))),2)&gt;5))</f>
        <v>0</v>
      </c>
      <c r="N1901" s="22">
        <f ca="1" t="shared" si="148"/>
        <v>1.06666666665114</v>
      </c>
      <c r="O1901" s="22" t="str">
        <f ca="1" t="shared" si="149"/>
        <v>Within SLA</v>
      </c>
      <c r="P1901" s="26" t="s">
        <v>7444</v>
      </c>
      <c r="Q1901" s="24" t="s">
        <v>37</v>
      </c>
      <c r="R1901" s="25"/>
      <c r="S1901" s="25"/>
    </row>
    <row r="1902" ht="39" customHeight="1" spans="1:19">
      <c r="A1902" s="19" t="s">
        <v>7447</v>
      </c>
      <c r="B1902" s="20" t="s">
        <v>19</v>
      </c>
      <c r="C1902" s="20" t="s">
        <v>20</v>
      </c>
      <c r="D1902" s="20" t="s">
        <v>32</v>
      </c>
      <c r="E1902" s="21" t="s">
        <v>7433</v>
      </c>
      <c r="F1902" s="21" t="s">
        <v>7448</v>
      </c>
      <c r="G1902" s="20" t="s">
        <v>35</v>
      </c>
      <c r="H1902" s="20" t="s">
        <v>25</v>
      </c>
      <c r="I1902" s="21" t="s">
        <v>7449</v>
      </c>
      <c r="J1902" s="22">
        <f t="shared" si="145"/>
        <v>0.00902777777810115</v>
      </c>
      <c r="K1902" s="22">
        <f t="shared" si="146"/>
        <v>0.216666666674428</v>
      </c>
      <c r="L1902" s="22">
        <f t="shared" si="147"/>
        <v>0.216666666674428</v>
      </c>
      <c r="M1902" s="22" cm="1">
        <f ca="1" t="array" ref="M1902">SUMPRODUCT(--(WEEKDAY(ROW(INDIRECT(INT(F1902)&amp;":"&amp;INT(I1902))),2)&gt;5))</f>
        <v>0</v>
      </c>
      <c r="N1902" s="22">
        <f ca="1" t="shared" si="148"/>
        <v>0.216666666674428</v>
      </c>
      <c r="O1902" s="22" t="str">
        <f ca="1" t="shared" si="149"/>
        <v>Within SLA</v>
      </c>
      <c r="P1902" s="26" t="s">
        <v>7447</v>
      </c>
      <c r="Q1902" s="24" t="s">
        <v>37</v>
      </c>
      <c r="R1902" s="25"/>
      <c r="S1902" s="25"/>
    </row>
    <row r="1903" ht="27" customHeight="1" spans="1:19">
      <c r="A1903" s="19" t="s">
        <v>7450</v>
      </c>
      <c r="B1903" s="20" t="s">
        <v>139</v>
      </c>
      <c r="C1903" s="20" t="s">
        <v>2057</v>
      </c>
      <c r="D1903" s="20" t="s">
        <v>32</v>
      </c>
      <c r="E1903" s="21" t="s">
        <v>7451</v>
      </c>
      <c r="F1903" s="21" t="s">
        <v>7452</v>
      </c>
      <c r="G1903" s="20" t="s">
        <v>35</v>
      </c>
      <c r="H1903" s="20" t="s">
        <v>25</v>
      </c>
      <c r="I1903" s="21" t="s">
        <v>7453</v>
      </c>
      <c r="J1903" s="22">
        <f t="shared" si="145"/>
        <v>0.248611111106584</v>
      </c>
      <c r="K1903" s="22">
        <f t="shared" si="146"/>
        <v>5.96666666655801</v>
      </c>
      <c r="L1903" s="22">
        <f t="shared" si="147"/>
        <v>5.96666666655801</v>
      </c>
      <c r="M1903" s="22" cm="1">
        <f ca="1" t="array" ref="M1903">SUMPRODUCT(--(WEEKDAY(ROW(INDIRECT(INT(F1903)&amp;":"&amp;INT(I1903))),2)&gt;5))</f>
        <v>0</v>
      </c>
      <c r="N1903" s="22">
        <f ca="1" t="shared" si="148"/>
        <v>5.96666666655801</v>
      </c>
      <c r="O1903" s="22" t="str">
        <f ca="1" t="shared" si="149"/>
        <v>Within SLA</v>
      </c>
      <c r="P1903" s="26" t="s">
        <v>7450</v>
      </c>
      <c r="Q1903" s="24" t="s">
        <v>37</v>
      </c>
      <c r="R1903" s="25"/>
      <c r="S1903" s="25"/>
    </row>
    <row r="1904" ht="27" customHeight="1" spans="1:19">
      <c r="A1904" s="19" t="s">
        <v>7454</v>
      </c>
      <c r="B1904" s="20" t="s">
        <v>139</v>
      </c>
      <c r="C1904" s="20" t="s">
        <v>2057</v>
      </c>
      <c r="D1904" s="20" t="s">
        <v>32</v>
      </c>
      <c r="E1904" s="21" t="s">
        <v>5927</v>
      </c>
      <c r="F1904" s="21" t="s">
        <v>7455</v>
      </c>
      <c r="G1904" s="20" t="s">
        <v>35</v>
      </c>
      <c r="H1904" s="20" t="s">
        <v>25</v>
      </c>
      <c r="I1904" s="21" t="s">
        <v>7456</v>
      </c>
      <c r="J1904" s="22">
        <f t="shared" si="145"/>
        <v>0.18888888888614</v>
      </c>
      <c r="K1904" s="22">
        <f t="shared" si="146"/>
        <v>4.53333333326736</v>
      </c>
      <c r="L1904" s="22">
        <f t="shared" si="147"/>
        <v>4.53333333326736</v>
      </c>
      <c r="M1904" s="22" cm="1">
        <f ca="1" t="array" ref="M1904">SUMPRODUCT(--(WEEKDAY(ROW(INDIRECT(INT(F1904)&amp;":"&amp;INT(I1904))),2)&gt;5))</f>
        <v>0</v>
      </c>
      <c r="N1904" s="22">
        <f ca="1" t="shared" si="148"/>
        <v>4.53333333326736</v>
      </c>
      <c r="O1904" s="22" t="str">
        <f ca="1" t="shared" si="149"/>
        <v>Within SLA</v>
      </c>
      <c r="P1904" s="26" t="s">
        <v>7454</v>
      </c>
      <c r="Q1904" s="24" t="s">
        <v>37</v>
      </c>
      <c r="R1904" s="25"/>
      <c r="S1904" s="25"/>
    </row>
    <row r="1905" ht="27" customHeight="1" spans="1:19">
      <c r="A1905" s="19" t="s">
        <v>7457</v>
      </c>
      <c r="B1905" s="20" t="s">
        <v>1047</v>
      </c>
      <c r="C1905" s="20" t="s">
        <v>849</v>
      </c>
      <c r="D1905" s="20" t="s">
        <v>32</v>
      </c>
      <c r="E1905" s="21" t="s">
        <v>7458</v>
      </c>
      <c r="F1905" s="21" t="s">
        <v>7459</v>
      </c>
      <c r="G1905" s="20" t="s">
        <v>35</v>
      </c>
      <c r="H1905" s="20" t="s">
        <v>25</v>
      </c>
      <c r="I1905" s="21" t="s">
        <v>7460</v>
      </c>
      <c r="J1905" s="22">
        <f t="shared" si="145"/>
        <v>5.29513888889051</v>
      </c>
      <c r="K1905" s="22">
        <f t="shared" si="146"/>
        <v>127.083333333372</v>
      </c>
      <c r="L1905" s="22">
        <f t="shared" si="147"/>
        <v>47.0833333333721</v>
      </c>
      <c r="M1905" s="22" cm="1">
        <f ca="1" t="array" ref="M1905">SUMPRODUCT(--(WEEKDAY(ROW(INDIRECT(INT(F1905)&amp;":"&amp;INT(I1905))),2)&gt;5))</f>
        <v>2</v>
      </c>
      <c r="N1905" s="22">
        <f ca="1" t="shared" si="148"/>
        <v>31.0833333333721</v>
      </c>
      <c r="O1905" s="22" t="str">
        <f ca="1" t="shared" si="149"/>
        <v>SLA Violated</v>
      </c>
      <c r="P1905" s="23" t="s">
        <v>7461</v>
      </c>
      <c r="Q1905" s="24" t="s">
        <v>37</v>
      </c>
      <c r="R1905" s="25" t="s">
        <v>38</v>
      </c>
      <c r="S1905" s="25" t="s">
        <v>39</v>
      </c>
    </row>
    <row r="1906" ht="27" customHeight="1" spans="1:19">
      <c r="A1906" s="19" t="s">
        <v>7462</v>
      </c>
      <c r="B1906" s="20" t="s">
        <v>30</v>
      </c>
      <c r="C1906" s="20" t="s">
        <v>31</v>
      </c>
      <c r="D1906" s="20" t="s">
        <v>32</v>
      </c>
      <c r="E1906" s="21" t="s">
        <v>7453</v>
      </c>
      <c r="F1906" s="21" t="s">
        <v>7463</v>
      </c>
      <c r="G1906" s="20" t="s">
        <v>35</v>
      </c>
      <c r="H1906" s="20" t="s">
        <v>25</v>
      </c>
      <c r="I1906" s="21" t="s">
        <v>7464</v>
      </c>
      <c r="J1906" s="22">
        <f t="shared" si="145"/>
        <v>0.13888888888323</v>
      </c>
      <c r="K1906" s="22">
        <f t="shared" si="146"/>
        <v>3.33333333319752</v>
      </c>
      <c r="L1906" s="22">
        <f t="shared" si="147"/>
        <v>3.33333333319752</v>
      </c>
      <c r="M1906" s="22" cm="1">
        <f ca="1" t="array" ref="M1906">SUMPRODUCT(--(WEEKDAY(ROW(INDIRECT(INT(F1906)&amp;":"&amp;INT(I1906))),2)&gt;5))</f>
        <v>0</v>
      </c>
      <c r="N1906" s="22">
        <f ca="1" t="shared" si="148"/>
        <v>3.33333333319752</v>
      </c>
      <c r="O1906" s="22" t="str">
        <f ca="1" t="shared" si="149"/>
        <v>Within SLA</v>
      </c>
      <c r="P1906" s="26" t="s">
        <v>7462</v>
      </c>
      <c r="Q1906" s="24" t="s">
        <v>37</v>
      </c>
      <c r="R1906" s="25"/>
      <c r="S1906" s="25"/>
    </row>
    <row r="1907" ht="27" customHeight="1" spans="1:19">
      <c r="A1907" s="19" t="s">
        <v>7465</v>
      </c>
      <c r="B1907" s="20" t="s">
        <v>30</v>
      </c>
      <c r="C1907" s="20" t="s">
        <v>31</v>
      </c>
      <c r="D1907" s="20" t="s">
        <v>32</v>
      </c>
      <c r="E1907" s="21" t="s">
        <v>7456</v>
      </c>
      <c r="F1907" s="21" t="s">
        <v>7466</v>
      </c>
      <c r="G1907" s="20" t="s">
        <v>35</v>
      </c>
      <c r="H1907" s="20" t="s">
        <v>25</v>
      </c>
      <c r="I1907" s="21" t="s">
        <v>7467</v>
      </c>
      <c r="J1907" s="22">
        <f t="shared" si="145"/>
        <v>0.134027777778101</v>
      </c>
      <c r="K1907" s="22">
        <f t="shared" si="146"/>
        <v>3.21666666667443</v>
      </c>
      <c r="L1907" s="22">
        <f t="shared" si="147"/>
        <v>3.21666666667443</v>
      </c>
      <c r="M1907" s="22" cm="1">
        <f ca="1" t="array" ref="M1907">SUMPRODUCT(--(WEEKDAY(ROW(INDIRECT(INT(F1907)&amp;":"&amp;INT(I1907))),2)&gt;5))</f>
        <v>0</v>
      </c>
      <c r="N1907" s="22">
        <f ca="1" t="shared" si="148"/>
        <v>3.21666666667443</v>
      </c>
      <c r="O1907" s="22" t="str">
        <f ca="1" t="shared" si="149"/>
        <v>Within SLA</v>
      </c>
      <c r="P1907" s="26" t="s">
        <v>7465</v>
      </c>
      <c r="Q1907" s="24" t="s">
        <v>37</v>
      </c>
      <c r="R1907" s="25"/>
      <c r="S1907" s="25"/>
    </row>
    <row r="1908" ht="39" customHeight="1" spans="1:19">
      <c r="A1908" s="19" t="s">
        <v>7468</v>
      </c>
      <c r="B1908" s="20" t="s">
        <v>19</v>
      </c>
      <c r="C1908" s="20" t="s">
        <v>20</v>
      </c>
      <c r="D1908" s="20" t="s">
        <v>32</v>
      </c>
      <c r="E1908" s="21" t="s">
        <v>7469</v>
      </c>
      <c r="F1908" s="21" t="s">
        <v>7470</v>
      </c>
      <c r="G1908" s="20" t="s">
        <v>24</v>
      </c>
      <c r="H1908" s="20" t="s">
        <v>25</v>
      </c>
      <c r="I1908" s="21" t="s">
        <v>7471</v>
      </c>
      <c r="J1908" s="22">
        <f t="shared" si="145"/>
        <v>0.114583333335759</v>
      </c>
      <c r="K1908" s="22">
        <f t="shared" si="146"/>
        <v>2.75000000005821</v>
      </c>
      <c r="L1908" s="22">
        <f t="shared" si="147"/>
        <v>2.75000000005821</v>
      </c>
      <c r="M1908" s="22" cm="1">
        <f ca="1" t="array" ref="M1908">SUMPRODUCT(--(WEEKDAY(ROW(INDIRECT(INT(F1908)&amp;":"&amp;INT(I1908))),2)&gt;5))</f>
        <v>0</v>
      </c>
      <c r="N1908" s="22">
        <f ca="1" t="shared" si="148"/>
        <v>2.75000000005821</v>
      </c>
      <c r="O1908" s="22" t="str">
        <f ca="1" t="shared" si="149"/>
        <v>Within SLA</v>
      </c>
      <c r="P1908" s="26" t="s">
        <v>7468</v>
      </c>
      <c r="Q1908" s="24" t="s">
        <v>37</v>
      </c>
      <c r="R1908" s="25"/>
      <c r="S1908" s="25"/>
    </row>
    <row r="1909" ht="27" customHeight="1" spans="1:19">
      <c r="A1909" s="19" t="s">
        <v>7472</v>
      </c>
      <c r="B1909" s="20" t="s">
        <v>30</v>
      </c>
      <c r="C1909" s="20" t="s">
        <v>31</v>
      </c>
      <c r="D1909" s="20" t="s">
        <v>32</v>
      </c>
      <c r="E1909" s="21" t="s">
        <v>5960</v>
      </c>
      <c r="F1909" s="21" t="s">
        <v>7473</v>
      </c>
      <c r="G1909" s="20" t="s">
        <v>35</v>
      </c>
      <c r="H1909" s="20" t="s">
        <v>25</v>
      </c>
      <c r="I1909" s="21" t="s">
        <v>7474</v>
      </c>
      <c r="J1909" s="22">
        <f t="shared" si="145"/>
        <v>0.252777777779556</v>
      </c>
      <c r="K1909" s="22">
        <f t="shared" si="146"/>
        <v>6.06666666670935</v>
      </c>
      <c r="L1909" s="22">
        <f t="shared" si="147"/>
        <v>6.06666666670935</v>
      </c>
      <c r="M1909" s="22" cm="1">
        <f ca="1" t="array" ref="M1909">SUMPRODUCT(--(WEEKDAY(ROW(INDIRECT(INT(F1909)&amp;":"&amp;INT(I1909))),2)&gt;5))</f>
        <v>0</v>
      </c>
      <c r="N1909" s="22">
        <f ca="1" t="shared" si="148"/>
        <v>6.06666666670935</v>
      </c>
      <c r="O1909" s="22" t="str">
        <f ca="1" t="shared" si="149"/>
        <v>Within SLA</v>
      </c>
      <c r="P1909" s="26" t="s">
        <v>7472</v>
      </c>
      <c r="Q1909" s="24" t="s">
        <v>37</v>
      </c>
      <c r="R1909" s="25"/>
      <c r="S1909" s="25"/>
    </row>
    <row r="1910" ht="27" customHeight="1" spans="1:19">
      <c r="A1910" s="19" t="s">
        <v>7475</v>
      </c>
      <c r="B1910" s="20" t="s">
        <v>30</v>
      </c>
      <c r="C1910" s="20" t="s">
        <v>849</v>
      </c>
      <c r="D1910" s="20" t="s">
        <v>32</v>
      </c>
      <c r="E1910" s="21" t="s">
        <v>5960</v>
      </c>
      <c r="F1910" s="21" t="s">
        <v>7441</v>
      </c>
      <c r="G1910" s="20" t="s">
        <v>35</v>
      </c>
      <c r="H1910" s="20" t="s">
        <v>25</v>
      </c>
      <c r="I1910" s="21" t="s">
        <v>7476</v>
      </c>
      <c r="J1910" s="22">
        <f t="shared" si="145"/>
        <v>2.20625000000291</v>
      </c>
      <c r="K1910" s="22">
        <f t="shared" si="146"/>
        <v>52.9500000000698</v>
      </c>
      <c r="L1910" s="22">
        <f t="shared" si="147"/>
        <v>20.9500000000698</v>
      </c>
      <c r="M1910" s="22" cm="1">
        <f ca="1" t="array" ref="M1910">SUMPRODUCT(--(WEEKDAY(ROW(INDIRECT(INT(F1910)&amp;":"&amp;INT(I1910))),2)&gt;5))</f>
        <v>0</v>
      </c>
      <c r="N1910" s="22">
        <f ca="1" t="shared" si="148"/>
        <v>20.9500000000698</v>
      </c>
      <c r="O1910" s="22" t="str">
        <f ca="1" t="shared" si="149"/>
        <v>SLA Violated</v>
      </c>
      <c r="P1910" s="23" t="s">
        <v>7477</v>
      </c>
      <c r="Q1910" s="24" t="s">
        <v>28</v>
      </c>
      <c r="R1910" s="25"/>
      <c r="S1910" s="25"/>
    </row>
    <row r="1911" ht="27" customHeight="1" spans="1:19">
      <c r="A1911" s="19" t="s">
        <v>7478</v>
      </c>
      <c r="B1911" s="20" t="s">
        <v>30</v>
      </c>
      <c r="C1911" s="20" t="s">
        <v>31</v>
      </c>
      <c r="D1911" s="20" t="s">
        <v>21</v>
      </c>
      <c r="E1911" s="21" t="s">
        <v>7479</v>
      </c>
      <c r="F1911" s="21" t="s">
        <v>7480</v>
      </c>
      <c r="G1911" s="20" t="s">
        <v>35</v>
      </c>
      <c r="H1911" s="20" t="s">
        <v>25</v>
      </c>
      <c r="I1911" s="21" t="s">
        <v>7481</v>
      </c>
      <c r="J1911" s="22">
        <f t="shared" si="145"/>
        <v>0.290972222217533</v>
      </c>
      <c r="K1911" s="22">
        <f t="shared" si="146"/>
        <v>6.9833333332208</v>
      </c>
      <c r="L1911" s="22">
        <f t="shared" si="147"/>
        <v>6.9833333332208</v>
      </c>
      <c r="M1911" s="22" cm="1">
        <f ca="1" t="array" ref="M1911">SUMPRODUCT(--(WEEKDAY(ROW(INDIRECT(INT(F1911)&amp;":"&amp;INT(I1911))),2)&gt;5))</f>
        <v>0</v>
      </c>
      <c r="N1911" s="22">
        <f ca="1" t="shared" si="148"/>
        <v>6.9833333332208</v>
      </c>
      <c r="O1911" s="22" t="str">
        <f ca="1" t="shared" si="149"/>
        <v>SLA Violated</v>
      </c>
      <c r="P1911" s="23" t="s">
        <v>7482</v>
      </c>
      <c r="Q1911" s="24" t="s">
        <v>37</v>
      </c>
      <c r="R1911" s="25" t="s">
        <v>4805</v>
      </c>
      <c r="S1911" s="25" t="s">
        <v>39</v>
      </c>
    </row>
    <row r="1912" ht="27" customHeight="1" spans="1:19">
      <c r="A1912" s="19" t="s">
        <v>7483</v>
      </c>
      <c r="B1912" s="20" t="s">
        <v>1047</v>
      </c>
      <c r="C1912" s="20" t="s">
        <v>849</v>
      </c>
      <c r="D1912" s="20" t="s">
        <v>32</v>
      </c>
      <c r="E1912" s="21" t="s">
        <v>6880</v>
      </c>
      <c r="F1912" s="21" t="s">
        <v>7484</v>
      </c>
      <c r="G1912" s="20" t="s">
        <v>35</v>
      </c>
      <c r="H1912" s="20" t="s">
        <v>25</v>
      </c>
      <c r="I1912" s="21" t="s">
        <v>7485</v>
      </c>
      <c r="J1912" s="22">
        <f t="shared" si="145"/>
        <v>5.26180555555038</v>
      </c>
      <c r="K1912" s="22">
        <f t="shared" si="146"/>
        <v>126.283333333209</v>
      </c>
      <c r="L1912" s="22">
        <f t="shared" si="147"/>
        <v>46.2833333332092</v>
      </c>
      <c r="M1912" s="22" cm="1">
        <f ca="1" t="array" ref="M1912">SUMPRODUCT(--(WEEKDAY(ROW(INDIRECT(INT(F1912)&amp;":"&amp;INT(I1912))),2)&gt;5))</f>
        <v>2</v>
      </c>
      <c r="N1912" s="22">
        <f ca="1" t="shared" si="148"/>
        <v>30.2833333332092</v>
      </c>
      <c r="O1912" s="22" t="str">
        <f ca="1" t="shared" si="149"/>
        <v>SLA Violated</v>
      </c>
      <c r="P1912" s="23" t="s">
        <v>7486</v>
      </c>
      <c r="Q1912" s="24" t="s">
        <v>28</v>
      </c>
      <c r="R1912" s="25"/>
      <c r="S1912" s="25"/>
    </row>
    <row r="1913" ht="27" customHeight="1" spans="1:19">
      <c r="A1913" s="19" t="s">
        <v>7487</v>
      </c>
      <c r="B1913" s="20" t="s">
        <v>30</v>
      </c>
      <c r="C1913" s="20" t="s">
        <v>31</v>
      </c>
      <c r="D1913" s="20" t="s">
        <v>32</v>
      </c>
      <c r="E1913" s="21" t="s">
        <v>7488</v>
      </c>
      <c r="F1913" s="21" t="s">
        <v>7489</v>
      </c>
      <c r="G1913" s="20" t="s">
        <v>35</v>
      </c>
      <c r="H1913" s="20" t="s">
        <v>25</v>
      </c>
      <c r="I1913" s="21" t="s">
        <v>7490</v>
      </c>
      <c r="J1913" s="22">
        <f t="shared" si="145"/>
        <v>0.142361111109494</v>
      </c>
      <c r="K1913" s="22">
        <f t="shared" si="146"/>
        <v>3.41666666662786</v>
      </c>
      <c r="L1913" s="22">
        <f t="shared" si="147"/>
        <v>3.41666666662786</v>
      </c>
      <c r="M1913" s="22" cm="1">
        <f ca="1" t="array" ref="M1913">SUMPRODUCT(--(WEEKDAY(ROW(INDIRECT(INT(F1913)&amp;":"&amp;INT(I1913))),2)&gt;5))</f>
        <v>0</v>
      </c>
      <c r="N1913" s="22">
        <f ca="1" t="shared" si="148"/>
        <v>3.41666666662786</v>
      </c>
      <c r="O1913" s="22" t="str">
        <f ca="1" t="shared" si="149"/>
        <v>Within SLA</v>
      </c>
      <c r="P1913" s="26" t="s">
        <v>7487</v>
      </c>
      <c r="Q1913" s="24" t="s">
        <v>37</v>
      </c>
      <c r="R1913" s="25"/>
      <c r="S1913" s="25"/>
    </row>
    <row r="1914" ht="39" customHeight="1" spans="1:19">
      <c r="A1914" s="19" t="s">
        <v>7491</v>
      </c>
      <c r="B1914" s="20" t="s">
        <v>196</v>
      </c>
      <c r="C1914" s="20" t="s">
        <v>849</v>
      </c>
      <c r="D1914" s="20" t="s">
        <v>115</v>
      </c>
      <c r="E1914" s="21" t="s">
        <v>7488</v>
      </c>
      <c r="F1914" s="21" t="s">
        <v>7492</v>
      </c>
      <c r="G1914" s="20" t="s">
        <v>35</v>
      </c>
      <c r="H1914" s="20" t="s">
        <v>25</v>
      </c>
      <c r="I1914" s="21" t="s">
        <v>7493</v>
      </c>
      <c r="J1914" s="22">
        <f t="shared" si="145"/>
        <v>29.1423611111095</v>
      </c>
      <c r="K1914" s="22">
        <f t="shared" si="146"/>
        <v>699.416666666628</v>
      </c>
      <c r="L1914" s="22">
        <f t="shared" si="147"/>
        <v>235.416666666628</v>
      </c>
      <c r="M1914" s="22" cm="1">
        <f ca="1" t="array" ref="M1914">SUMPRODUCT(--(WEEKDAY(ROW(INDIRECT(INT(F1914)&amp;":"&amp;INT(I1914))),2)&gt;5))</f>
        <v>8</v>
      </c>
      <c r="N1914" s="22">
        <f ca="1" t="shared" si="148"/>
        <v>171.416666666628</v>
      </c>
      <c r="O1914" s="22" t="str">
        <f ca="1" t="shared" si="149"/>
        <v>SLA Violated</v>
      </c>
      <c r="P1914" s="23" t="s">
        <v>7494</v>
      </c>
      <c r="Q1914" s="24" t="s">
        <v>28</v>
      </c>
      <c r="R1914" s="25"/>
      <c r="S1914" s="25"/>
    </row>
    <row r="1915" ht="27" customHeight="1" spans="1:19">
      <c r="A1915" s="19" t="s">
        <v>7495</v>
      </c>
      <c r="B1915" s="20" t="s">
        <v>30</v>
      </c>
      <c r="C1915" s="20" t="s">
        <v>849</v>
      </c>
      <c r="D1915" s="20" t="s">
        <v>105</v>
      </c>
      <c r="E1915" s="21" t="s">
        <v>7496</v>
      </c>
      <c r="F1915" s="21" t="s">
        <v>7497</v>
      </c>
      <c r="G1915" s="20" t="s">
        <v>35</v>
      </c>
      <c r="H1915" s="20" t="s">
        <v>25</v>
      </c>
      <c r="I1915" s="21" t="s">
        <v>7498</v>
      </c>
      <c r="J1915" s="22">
        <f t="shared" si="145"/>
        <v>6.2722222222219</v>
      </c>
      <c r="K1915" s="22">
        <f t="shared" si="146"/>
        <v>150.533333333326</v>
      </c>
      <c r="L1915" s="22">
        <f t="shared" si="147"/>
        <v>54.5333333333256</v>
      </c>
      <c r="M1915" s="22" cm="1">
        <f ca="1" t="array" ref="M1915">SUMPRODUCT(--(WEEKDAY(ROW(INDIRECT(INT(F1915)&amp;":"&amp;INT(I1915))),2)&gt;5))</f>
        <v>2</v>
      </c>
      <c r="N1915" s="22">
        <f ca="1" t="shared" si="148"/>
        <v>38.5333333333256</v>
      </c>
      <c r="O1915" s="22" t="str">
        <f ca="1" t="shared" si="149"/>
        <v>SLA Violated</v>
      </c>
      <c r="P1915" s="23" t="s">
        <v>7499</v>
      </c>
      <c r="Q1915" s="24" t="s">
        <v>28</v>
      </c>
      <c r="R1915" s="25"/>
      <c r="S1915" s="25"/>
    </row>
    <row r="1916" ht="39" customHeight="1" spans="1:19">
      <c r="A1916" s="19" t="s">
        <v>7500</v>
      </c>
      <c r="B1916" s="20" t="s">
        <v>196</v>
      </c>
      <c r="C1916" s="20" t="s">
        <v>849</v>
      </c>
      <c r="D1916" s="20" t="s">
        <v>32</v>
      </c>
      <c r="E1916" s="21" t="s">
        <v>7501</v>
      </c>
      <c r="F1916" s="21" t="s">
        <v>7502</v>
      </c>
      <c r="G1916" s="20" t="s">
        <v>35</v>
      </c>
      <c r="H1916" s="20" t="s">
        <v>25</v>
      </c>
      <c r="I1916" s="21" t="s">
        <v>7503</v>
      </c>
      <c r="J1916" s="22">
        <f t="shared" si="145"/>
        <v>0.226388888884685</v>
      </c>
      <c r="K1916" s="22">
        <f t="shared" si="146"/>
        <v>5.43333333323244</v>
      </c>
      <c r="L1916" s="22">
        <f t="shared" si="147"/>
        <v>5.43333333323244</v>
      </c>
      <c r="M1916" s="22" cm="1">
        <f ca="1" t="array" ref="M1916">SUMPRODUCT(--(WEEKDAY(ROW(INDIRECT(INT(F1916)&amp;":"&amp;INT(I1916))),2)&gt;5))</f>
        <v>0</v>
      </c>
      <c r="N1916" s="22">
        <f ca="1" t="shared" si="148"/>
        <v>5.43333333323244</v>
      </c>
      <c r="O1916" s="22" t="str">
        <f ca="1" t="shared" si="149"/>
        <v>Within SLA</v>
      </c>
      <c r="P1916" s="26" t="s">
        <v>7500</v>
      </c>
      <c r="Q1916" s="24" t="s">
        <v>37</v>
      </c>
      <c r="R1916" s="25"/>
      <c r="S1916" s="25"/>
    </row>
    <row r="1917" ht="27" customHeight="1" spans="1:19">
      <c r="A1917" s="19" t="s">
        <v>7504</v>
      </c>
      <c r="B1917" s="20" t="s">
        <v>30</v>
      </c>
      <c r="C1917" s="20" t="s">
        <v>31</v>
      </c>
      <c r="D1917" s="20" t="s">
        <v>32</v>
      </c>
      <c r="E1917" s="21" t="s">
        <v>7505</v>
      </c>
      <c r="F1917" s="21" t="s">
        <v>7506</v>
      </c>
      <c r="G1917" s="20" t="s">
        <v>35</v>
      </c>
      <c r="H1917" s="20" t="s">
        <v>25</v>
      </c>
      <c r="I1917" s="21" t="s">
        <v>7498</v>
      </c>
      <c r="J1917" s="22">
        <f t="shared" si="145"/>
        <v>0.131944444445253</v>
      </c>
      <c r="K1917" s="22">
        <f t="shared" si="146"/>
        <v>3.16666666668607</v>
      </c>
      <c r="L1917" s="22">
        <f t="shared" si="147"/>
        <v>3.16666666668607</v>
      </c>
      <c r="M1917" s="22" cm="1">
        <f ca="1" t="array" ref="M1917">SUMPRODUCT(--(WEEKDAY(ROW(INDIRECT(INT(F1917)&amp;":"&amp;INT(I1917))),2)&gt;5))</f>
        <v>0</v>
      </c>
      <c r="N1917" s="22">
        <f ca="1" t="shared" si="148"/>
        <v>3.16666666668607</v>
      </c>
      <c r="O1917" s="22" t="str">
        <f ca="1" t="shared" si="149"/>
        <v>Within SLA</v>
      </c>
      <c r="P1917" s="26" t="s">
        <v>7504</v>
      </c>
      <c r="Q1917" s="24" t="s">
        <v>37</v>
      </c>
      <c r="R1917" s="25"/>
      <c r="S1917" s="25"/>
    </row>
    <row r="1918" ht="39" customHeight="1" spans="1:19">
      <c r="A1918" s="19" t="s">
        <v>7507</v>
      </c>
      <c r="B1918" s="20" t="s">
        <v>19</v>
      </c>
      <c r="C1918" s="20" t="s">
        <v>20</v>
      </c>
      <c r="D1918" s="20" t="s">
        <v>32</v>
      </c>
      <c r="E1918" s="21" t="s">
        <v>7508</v>
      </c>
      <c r="F1918" s="21" t="s">
        <v>7509</v>
      </c>
      <c r="G1918" s="20" t="s">
        <v>35</v>
      </c>
      <c r="H1918" s="20" t="s">
        <v>25</v>
      </c>
      <c r="I1918" s="21" t="s">
        <v>7510</v>
      </c>
      <c r="J1918" s="22">
        <f t="shared" si="145"/>
        <v>0.238888888889051</v>
      </c>
      <c r="K1918" s="22">
        <f t="shared" si="146"/>
        <v>5.73333333333721</v>
      </c>
      <c r="L1918" s="22">
        <f t="shared" si="147"/>
        <v>5.73333333333721</v>
      </c>
      <c r="M1918" s="22" cm="1">
        <f ca="1" t="array" ref="M1918">SUMPRODUCT(--(WEEKDAY(ROW(INDIRECT(INT(F1918)&amp;":"&amp;INT(I1918))),2)&gt;5))</f>
        <v>0</v>
      </c>
      <c r="N1918" s="22">
        <f ca="1" t="shared" si="148"/>
        <v>5.73333333333721</v>
      </c>
      <c r="O1918" s="22" t="str">
        <f ca="1" t="shared" si="149"/>
        <v>Within SLA</v>
      </c>
      <c r="P1918" s="26" t="s">
        <v>7507</v>
      </c>
      <c r="Q1918" s="24" t="s">
        <v>37</v>
      </c>
      <c r="R1918" s="25"/>
      <c r="S1918" s="25"/>
    </row>
    <row r="1919" ht="27" customHeight="1" spans="1:19">
      <c r="A1919" s="19" t="s">
        <v>7511</v>
      </c>
      <c r="B1919" s="20" t="s">
        <v>30</v>
      </c>
      <c r="C1919" s="20" t="s">
        <v>31</v>
      </c>
      <c r="D1919" s="20" t="s">
        <v>32</v>
      </c>
      <c r="E1919" s="21" t="s">
        <v>7512</v>
      </c>
      <c r="F1919" s="21" t="s">
        <v>7513</v>
      </c>
      <c r="G1919" s="20" t="s">
        <v>35</v>
      </c>
      <c r="H1919" s="20" t="s">
        <v>25</v>
      </c>
      <c r="I1919" s="21" t="s">
        <v>7514</v>
      </c>
      <c r="J1919" s="22">
        <f t="shared" si="145"/>
        <v>1.0180555555562</v>
      </c>
      <c r="K1919" s="22">
        <f t="shared" si="146"/>
        <v>24.4333333333489</v>
      </c>
      <c r="L1919" s="22">
        <f t="shared" si="147"/>
        <v>8.43333333334886</v>
      </c>
      <c r="M1919" s="22" cm="1">
        <f ca="1" t="array" ref="M1919">SUMPRODUCT(--(WEEKDAY(ROW(INDIRECT(INT(F1919)&amp;":"&amp;INT(I1919))),2)&gt;5))</f>
        <v>0</v>
      </c>
      <c r="N1919" s="22">
        <f ca="1" t="shared" si="148"/>
        <v>8.43333333334886</v>
      </c>
      <c r="O1919" s="22" t="str">
        <f ca="1" t="shared" si="149"/>
        <v>Within SLA</v>
      </c>
      <c r="P1919" s="26" t="s">
        <v>7511</v>
      </c>
      <c r="Q1919" s="24" t="s">
        <v>37</v>
      </c>
      <c r="R1919" s="25"/>
      <c r="S1919" s="25"/>
    </row>
    <row r="1920" ht="27" customHeight="1" spans="1:19">
      <c r="A1920" s="19" t="s">
        <v>7515</v>
      </c>
      <c r="B1920" s="20" t="s">
        <v>30</v>
      </c>
      <c r="C1920" s="20" t="s">
        <v>849</v>
      </c>
      <c r="D1920" s="20" t="s">
        <v>32</v>
      </c>
      <c r="E1920" s="21" t="s">
        <v>6010</v>
      </c>
      <c r="F1920" s="21" t="s">
        <v>7441</v>
      </c>
      <c r="G1920" s="20" t="s">
        <v>35</v>
      </c>
      <c r="H1920" s="20" t="s">
        <v>25</v>
      </c>
      <c r="I1920" s="21" t="s">
        <v>7516</v>
      </c>
      <c r="J1920" s="22">
        <f t="shared" si="145"/>
        <v>2.15486111111386</v>
      </c>
      <c r="K1920" s="22">
        <f t="shared" si="146"/>
        <v>51.7166666667326</v>
      </c>
      <c r="L1920" s="22">
        <f t="shared" si="147"/>
        <v>19.7166666667326</v>
      </c>
      <c r="M1920" s="22" cm="1">
        <f ca="1" t="array" ref="M1920">SUMPRODUCT(--(WEEKDAY(ROW(INDIRECT(INT(F1920)&amp;":"&amp;INT(I1920))),2)&gt;5))</f>
        <v>0</v>
      </c>
      <c r="N1920" s="22">
        <f ca="1" t="shared" si="148"/>
        <v>19.7166666667326</v>
      </c>
      <c r="O1920" s="22" t="str">
        <f ca="1" t="shared" si="149"/>
        <v>SLA Violated</v>
      </c>
      <c r="P1920" s="23" t="s">
        <v>7517</v>
      </c>
      <c r="Q1920" s="24" t="s">
        <v>28</v>
      </c>
      <c r="R1920" s="25"/>
      <c r="S1920" s="25"/>
    </row>
    <row r="1921" ht="39" customHeight="1" spans="1:19">
      <c r="A1921" s="19" t="s">
        <v>7518</v>
      </c>
      <c r="B1921" s="20" t="s">
        <v>19</v>
      </c>
      <c r="C1921" s="20" t="s">
        <v>20</v>
      </c>
      <c r="D1921" s="20" t="s">
        <v>32</v>
      </c>
      <c r="E1921" s="21" t="s">
        <v>6010</v>
      </c>
      <c r="F1921" s="21" t="s">
        <v>7519</v>
      </c>
      <c r="G1921" s="20" t="s">
        <v>35</v>
      </c>
      <c r="H1921" s="20" t="s">
        <v>25</v>
      </c>
      <c r="I1921" s="21" t="s">
        <v>7520</v>
      </c>
      <c r="J1921" s="22">
        <f t="shared" si="145"/>
        <v>0.00902777777810115</v>
      </c>
      <c r="K1921" s="22">
        <f t="shared" si="146"/>
        <v>0.216666666674428</v>
      </c>
      <c r="L1921" s="22">
        <f t="shared" si="147"/>
        <v>0.216666666674428</v>
      </c>
      <c r="M1921" s="22" cm="1">
        <f ca="1" t="array" ref="M1921">SUMPRODUCT(--(WEEKDAY(ROW(INDIRECT(INT(F1921)&amp;":"&amp;INT(I1921))),2)&gt;5))</f>
        <v>0</v>
      </c>
      <c r="N1921" s="22">
        <f ca="1" t="shared" si="148"/>
        <v>0.216666666674428</v>
      </c>
      <c r="O1921" s="22" t="str">
        <f ca="1" t="shared" si="149"/>
        <v>Within SLA</v>
      </c>
      <c r="P1921" s="26" t="s">
        <v>7518</v>
      </c>
      <c r="Q1921" s="24" t="s">
        <v>37</v>
      </c>
      <c r="R1921" s="25"/>
      <c r="S1921" s="25"/>
    </row>
    <row r="1922" ht="27" customHeight="1" spans="1:19">
      <c r="A1922" s="19" t="s">
        <v>7521</v>
      </c>
      <c r="B1922" s="20" t="s">
        <v>30</v>
      </c>
      <c r="C1922" s="20" t="s">
        <v>46</v>
      </c>
      <c r="D1922" s="20" t="s">
        <v>32</v>
      </c>
      <c r="E1922" s="21" t="s">
        <v>7522</v>
      </c>
      <c r="F1922" s="21" t="s">
        <v>7523</v>
      </c>
      <c r="G1922" s="20" t="s">
        <v>35</v>
      </c>
      <c r="H1922" s="20" t="s">
        <v>25</v>
      </c>
      <c r="I1922" s="21" t="s">
        <v>7524</v>
      </c>
      <c r="J1922" s="22">
        <f t="shared" si="145"/>
        <v>0.0208333333357587</v>
      </c>
      <c r="K1922" s="22">
        <f t="shared" si="146"/>
        <v>0.500000000058208</v>
      </c>
      <c r="L1922" s="22">
        <f t="shared" si="147"/>
        <v>0.500000000058208</v>
      </c>
      <c r="M1922" s="22" cm="1">
        <f ca="1" t="array" ref="M1922">SUMPRODUCT(--(WEEKDAY(ROW(INDIRECT(INT(F1922)&amp;":"&amp;INT(I1922))),2)&gt;5))</f>
        <v>0</v>
      </c>
      <c r="N1922" s="22">
        <f ca="1" t="shared" si="148"/>
        <v>0.500000000058208</v>
      </c>
      <c r="O1922" s="22" t="str">
        <f ca="1" t="shared" si="149"/>
        <v>Within SLA</v>
      </c>
      <c r="P1922" s="26" t="s">
        <v>7521</v>
      </c>
      <c r="Q1922" s="24" t="s">
        <v>37</v>
      </c>
      <c r="R1922" s="25"/>
      <c r="S1922" s="25"/>
    </row>
    <row r="1923" ht="27" customHeight="1" spans="1:19">
      <c r="A1923" s="19" t="s">
        <v>7525</v>
      </c>
      <c r="B1923" s="20" t="s">
        <v>30</v>
      </c>
      <c r="C1923" s="20" t="s">
        <v>849</v>
      </c>
      <c r="D1923" s="20" t="s">
        <v>32</v>
      </c>
      <c r="E1923" s="21" t="s">
        <v>7522</v>
      </c>
      <c r="F1923" s="21" t="s">
        <v>7441</v>
      </c>
      <c r="G1923" s="20" t="s">
        <v>35</v>
      </c>
      <c r="H1923" s="20" t="s">
        <v>25</v>
      </c>
      <c r="I1923" s="21" t="s">
        <v>7516</v>
      </c>
      <c r="J1923" s="22">
        <f t="shared" ref="J1923:J1986" si="150">F1923-I1923</f>
        <v>2.15486111111386</v>
      </c>
      <c r="K1923" s="22">
        <f t="shared" ref="K1923:K1986" si="151">J1923*24</f>
        <v>51.7166666667326</v>
      </c>
      <c r="L1923" s="22">
        <f t="shared" ref="L1923:L1986" si="152">IF(_xlfn.DAYS(F1923,I1923)&gt;0,K1923-IF(FLOOR(J1923,1)=0,1,_xlfn.DAYS(F1923,I1923))*16,K1923)</f>
        <v>19.7166666667326</v>
      </c>
      <c r="M1923" s="22" cm="1">
        <f ca="1" t="array" ref="M1923">SUMPRODUCT(--(WEEKDAY(ROW(INDIRECT(INT(F1923)&amp;":"&amp;INT(I1923))),2)&gt;5))</f>
        <v>0</v>
      </c>
      <c r="N1923" s="22">
        <f ca="1" t="shared" ref="N1923:N1986" si="153">IF(IF(M1923&gt;0,L1923-M1923*8,L1923)&lt;0,0,IF(M1923&gt;0,L1923-M1923*8,L1923))</f>
        <v>19.7166666667326</v>
      </c>
      <c r="O1923" s="22" t="str">
        <f ca="1" t="shared" ref="O1923:O1986" si="154">IF(OR(AND(D1923="P1",N1923&lt;=3),AND(D1923="P2",N1923&lt;=6),AND(D1923="P3",N1923&lt;=9),AND(D1923="P4",N1923&lt;=12)),"Within SLA","SLA Violated")</f>
        <v>SLA Violated</v>
      </c>
      <c r="P1923" s="23" t="s">
        <v>7526</v>
      </c>
      <c r="Q1923" s="24" t="s">
        <v>28</v>
      </c>
      <c r="R1923" s="25"/>
      <c r="S1923" s="25"/>
    </row>
    <row r="1924" ht="27" customHeight="1" spans="1:19">
      <c r="A1924" s="19" t="s">
        <v>7527</v>
      </c>
      <c r="B1924" s="20" t="s">
        <v>30</v>
      </c>
      <c r="C1924" s="20" t="s">
        <v>31</v>
      </c>
      <c r="D1924" s="20" t="s">
        <v>105</v>
      </c>
      <c r="E1924" s="21" t="s">
        <v>7516</v>
      </c>
      <c r="F1924" s="21" t="s">
        <v>7528</v>
      </c>
      <c r="G1924" s="20" t="s">
        <v>35</v>
      </c>
      <c r="H1924" s="20" t="s">
        <v>25</v>
      </c>
      <c r="I1924" s="21" t="s">
        <v>7529</v>
      </c>
      <c r="J1924" s="22">
        <f t="shared" si="150"/>
        <v>26.0756944444438</v>
      </c>
      <c r="K1924" s="22">
        <f t="shared" si="151"/>
        <v>625.816666666651</v>
      </c>
      <c r="L1924" s="22">
        <f t="shared" si="152"/>
        <v>209.816666666651</v>
      </c>
      <c r="M1924" s="22" cm="1">
        <f ca="1" t="array" ref="M1924">SUMPRODUCT(--(WEEKDAY(ROW(INDIRECT(INT(F1924)&amp;":"&amp;INT(I1924))),2)&gt;5))</f>
        <v>8</v>
      </c>
      <c r="N1924" s="22">
        <f ca="1" t="shared" si="153"/>
        <v>145.816666666651</v>
      </c>
      <c r="O1924" s="22" t="str">
        <f ca="1" t="shared" si="154"/>
        <v>SLA Violated</v>
      </c>
      <c r="P1924" s="23" t="s">
        <v>7530</v>
      </c>
      <c r="Q1924" s="24" t="s">
        <v>28</v>
      </c>
      <c r="R1924" s="25"/>
      <c r="S1924" s="25"/>
    </row>
    <row r="1925" ht="39" customHeight="1" spans="1:19">
      <c r="A1925" s="19" t="s">
        <v>7531</v>
      </c>
      <c r="B1925" s="20" t="s">
        <v>19</v>
      </c>
      <c r="C1925" s="20" t="s">
        <v>20</v>
      </c>
      <c r="D1925" s="20" t="s">
        <v>32</v>
      </c>
      <c r="E1925" s="21" t="s">
        <v>7386</v>
      </c>
      <c r="F1925" s="21" t="s">
        <v>7532</v>
      </c>
      <c r="G1925" s="20" t="s">
        <v>35</v>
      </c>
      <c r="H1925" s="20" t="s">
        <v>25</v>
      </c>
      <c r="I1925" s="21" t="s">
        <v>7533</v>
      </c>
      <c r="J1925" s="22">
        <f t="shared" si="150"/>
        <v>12.0055555555518</v>
      </c>
      <c r="K1925" s="22">
        <f t="shared" si="151"/>
        <v>288.133333333244</v>
      </c>
      <c r="L1925" s="22">
        <f t="shared" si="152"/>
        <v>96.1333333332441</v>
      </c>
      <c r="M1925" s="22" cm="1">
        <f ca="1" t="array" ref="M1925">SUMPRODUCT(--(WEEKDAY(ROW(INDIRECT(INT(F1925)&amp;":"&amp;INT(I1925))),2)&gt;5))</f>
        <v>4</v>
      </c>
      <c r="N1925" s="22">
        <f ca="1" t="shared" si="153"/>
        <v>64.1333333332441</v>
      </c>
      <c r="O1925" s="22" t="str">
        <f ca="1" t="shared" si="154"/>
        <v>SLA Violated</v>
      </c>
      <c r="P1925" s="23" t="s">
        <v>7534</v>
      </c>
      <c r="Q1925" s="24" t="s">
        <v>37</v>
      </c>
      <c r="R1925" s="25" t="s">
        <v>38</v>
      </c>
      <c r="S1925" s="25" t="s">
        <v>39</v>
      </c>
    </row>
    <row r="1926" ht="16" customHeight="1" spans="1:19">
      <c r="A1926" s="19" t="s">
        <v>7535</v>
      </c>
      <c r="B1926" s="20" t="s">
        <v>7536</v>
      </c>
      <c r="C1926" s="20" t="s">
        <v>849</v>
      </c>
      <c r="D1926" s="20" t="s">
        <v>32</v>
      </c>
      <c r="E1926" s="21" t="s">
        <v>7386</v>
      </c>
      <c r="F1926" s="21" t="s">
        <v>7537</v>
      </c>
      <c r="G1926" s="20" t="s">
        <v>35</v>
      </c>
      <c r="H1926" s="20" t="s">
        <v>25</v>
      </c>
      <c r="I1926" s="21" t="s">
        <v>7538</v>
      </c>
      <c r="J1926" s="22">
        <f t="shared" si="150"/>
        <v>42.0993055555591</v>
      </c>
      <c r="K1926" s="22">
        <f t="shared" si="151"/>
        <v>1010.38333333342</v>
      </c>
      <c r="L1926" s="22">
        <f t="shared" si="152"/>
        <v>338.383333333419</v>
      </c>
      <c r="M1926" s="22" cm="1">
        <f ca="1" t="array" ref="M1926">SUMPRODUCT(--(WEEKDAY(ROW(INDIRECT(INT(F1926)&amp;":"&amp;INT(I1926))),2)&gt;5))</f>
        <v>12</v>
      </c>
      <c r="N1926" s="22">
        <f ca="1" t="shared" si="153"/>
        <v>242.383333333419</v>
      </c>
      <c r="O1926" s="22" t="str">
        <f ca="1" t="shared" si="154"/>
        <v>SLA Violated</v>
      </c>
      <c r="P1926" s="23" t="s">
        <v>7539</v>
      </c>
      <c r="Q1926" s="24" t="s">
        <v>28</v>
      </c>
      <c r="R1926" s="25"/>
      <c r="S1926" s="25"/>
    </row>
    <row r="1927" ht="16" customHeight="1" spans="1:19">
      <c r="A1927" s="19" t="s">
        <v>7540</v>
      </c>
      <c r="B1927" s="20" t="s">
        <v>100</v>
      </c>
      <c r="C1927" s="20" t="s">
        <v>101</v>
      </c>
      <c r="D1927" s="20" t="s">
        <v>21</v>
      </c>
      <c r="E1927" s="21" t="s">
        <v>6263</v>
      </c>
      <c r="F1927" s="21" t="s">
        <v>7541</v>
      </c>
      <c r="G1927" s="20" t="s">
        <v>35</v>
      </c>
      <c r="H1927" s="20" t="s">
        <v>25</v>
      </c>
      <c r="I1927" s="21" t="s">
        <v>7076</v>
      </c>
      <c r="J1927" s="22">
        <f t="shared" si="150"/>
        <v>0.0944444444394321</v>
      </c>
      <c r="K1927" s="22">
        <f t="shared" si="151"/>
        <v>2.26666666654637</v>
      </c>
      <c r="L1927" s="22">
        <f t="shared" si="152"/>
        <v>2.26666666654637</v>
      </c>
      <c r="M1927" s="22" cm="1">
        <f ca="1" t="array" ref="M1927">SUMPRODUCT(--(WEEKDAY(ROW(INDIRECT(INT(F1927)&amp;":"&amp;INT(I1927))),2)&gt;5))</f>
        <v>0</v>
      </c>
      <c r="N1927" s="22">
        <f ca="1" t="shared" si="153"/>
        <v>2.26666666654637</v>
      </c>
      <c r="O1927" s="22" t="str">
        <f ca="1" t="shared" si="154"/>
        <v>Within SLA</v>
      </c>
      <c r="P1927" s="26" t="s">
        <v>7540</v>
      </c>
      <c r="Q1927" s="24" t="s">
        <v>37</v>
      </c>
      <c r="R1927" s="25"/>
      <c r="S1927" s="25"/>
    </row>
    <row r="1928" ht="27" customHeight="1" spans="1:19">
      <c r="A1928" s="19" t="s">
        <v>7542</v>
      </c>
      <c r="B1928" s="20" t="s">
        <v>30</v>
      </c>
      <c r="C1928" s="20" t="s">
        <v>31</v>
      </c>
      <c r="D1928" s="20" t="s">
        <v>32</v>
      </c>
      <c r="E1928" s="21" t="s">
        <v>7543</v>
      </c>
      <c r="F1928" s="21" t="s">
        <v>7544</v>
      </c>
      <c r="G1928" s="20" t="s">
        <v>35</v>
      </c>
      <c r="H1928" s="20" t="s">
        <v>25</v>
      </c>
      <c r="I1928" s="21" t="s">
        <v>7545</v>
      </c>
      <c r="J1928" s="22">
        <f t="shared" si="150"/>
        <v>0.0881944444408873</v>
      </c>
      <c r="K1928" s="22">
        <f t="shared" si="151"/>
        <v>2.1166666665813</v>
      </c>
      <c r="L1928" s="22">
        <f t="shared" si="152"/>
        <v>2.1166666665813</v>
      </c>
      <c r="M1928" s="22" cm="1">
        <f ca="1" t="array" ref="M1928">SUMPRODUCT(--(WEEKDAY(ROW(INDIRECT(INT(F1928)&amp;":"&amp;INT(I1928))),2)&gt;5))</f>
        <v>0</v>
      </c>
      <c r="N1928" s="22">
        <f ca="1" t="shared" si="153"/>
        <v>2.1166666665813</v>
      </c>
      <c r="O1928" s="22" t="str">
        <f ca="1" t="shared" si="154"/>
        <v>Within SLA</v>
      </c>
      <c r="P1928" s="26" t="s">
        <v>7542</v>
      </c>
      <c r="Q1928" s="24" t="s">
        <v>37</v>
      </c>
      <c r="R1928" s="25"/>
      <c r="S1928" s="25"/>
    </row>
    <row r="1929" ht="27" customHeight="1" spans="1:19">
      <c r="A1929" s="19" t="s">
        <v>7546</v>
      </c>
      <c r="B1929" s="20" t="s">
        <v>30</v>
      </c>
      <c r="C1929" s="20" t="s">
        <v>31</v>
      </c>
      <c r="D1929" s="20" t="s">
        <v>32</v>
      </c>
      <c r="E1929" s="21" t="s">
        <v>7547</v>
      </c>
      <c r="F1929" s="21" t="s">
        <v>7548</v>
      </c>
      <c r="G1929" s="20" t="s">
        <v>35</v>
      </c>
      <c r="H1929" s="20" t="s">
        <v>25</v>
      </c>
      <c r="I1929" s="21" t="s">
        <v>7549</v>
      </c>
      <c r="J1929" s="22">
        <f t="shared" si="150"/>
        <v>0.0291666666598758</v>
      </c>
      <c r="K1929" s="22">
        <f t="shared" si="151"/>
        <v>0.699999999837019</v>
      </c>
      <c r="L1929" s="22">
        <f t="shared" si="152"/>
        <v>0.699999999837019</v>
      </c>
      <c r="M1929" s="22" cm="1">
        <f ca="1" t="array" ref="M1929">SUMPRODUCT(--(WEEKDAY(ROW(INDIRECT(INT(F1929)&amp;":"&amp;INT(I1929))),2)&gt;5))</f>
        <v>0</v>
      </c>
      <c r="N1929" s="22">
        <f ca="1" t="shared" si="153"/>
        <v>0.699999999837019</v>
      </c>
      <c r="O1929" s="22" t="str">
        <f ca="1" t="shared" si="154"/>
        <v>Within SLA</v>
      </c>
      <c r="P1929" s="26" t="s">
        <v>7546</v>
      </c>
      <c r="Q1929" s="24" t="s">
        <v>37</v>
      </c>
      <c r="R1929" s="25"/>
      <c r="S1929" s="25"/>
    </row>
    <row r="1930" ht="27" customHeight="1" spans="1:19">
      <c r="A1930" s="19" t="s">
        <v>7550</v>
      </c>
      <c r="B1930" s="20" t="s">
        <v>30</v>
      </c>
      <c r="C1930" s="20" t="s">
        <v>849</v>
      </c>
      <c r="D1930" s="20" t="s">
        <v>32</v>
      </c>
      <c r="E1930" s="21" t="s">
        <v>7551</v>
      </c>
      <c r="F1930" s="21" t="s">
        <v>7552</v>
      </c>
      <c r="G1930" s="20" t="s">
        <v>35</v>
      </c>
      <c r="H1930" s="20" t="s">
        <v>25</v>
      </c>
      <c r="I1930" s="21" t="s">
        <v>7553</v>
      </c>
      <c r="J1930" s="22">
        <f t="shared" si="150"/>
        <v>2.08333333333576</v>
      </c>
      <c r="K1930" s="22">
        <f t="shared" si="151"/>
        <v>50.0000000000582</v>
      </c>
      <c r="L1930" s="22">
        <f t="shared" si="152"/>
        <v>18.0000000000582</v>
      </c>
      <c r="M1930" s="22" cm="1">
        <f ca="1" t="array" ref="M1930">SUMPRODUCT(--(WEEKDAY(ROW(INDIRECT(INT(F1930)&amp;":"&amp;INT(I1930))),2)&gt;5))</f>
        <v>0</v>
      </c>
      <c r="N1930" s="22">
        <f ca="1" t="shared" si="153"/>
        <v>18.0000000000582</v>
      </c>
      <c r="O1930" s="22" t="str">
        <f ca="1" t="shared" si="154"/>
        <v>SLA Violated</v>
      </c>
      <c r="P1930" s="23" t="s">
        <v>7554</v>
      </c>
      <c r="Q1930" s="24" t="s">
        <v>28</v>
      </c>
      <c r="R1930" s="25"/>
      <c r="S1930" s="25"/>
    </row>
    <row r="1931" ht="27" customHeight="1" spans="1:19">
      <c r="A1931" s="19" t="s">
        <v>7555</v>
      </c>
      <c r="B1931" s="20" t="s">
        <v>30</v>
      </c>
      <c r="C1931" s="20" t="s">
        <v>849</v>
      </c>
      <c r="D1931" s="20" t="s">
        <v>32</v>
      </c>
      <c r="E1931" s="21" t="s">
        <v>7556</v>
      </c>
      <c r="F1931" s="21" t="s">
        <v>7552</v>
      </c>
      <c r="G1931" s="20" t="s">
        <v>35</v>
      </c>
      <c r="H1931" s="20" t="s">
        <v>25</v>
      </c>
      <c r="I1931" s="21" t="s">
        <v>7557</v>
      </c>
      <c r="J1931" s="22">
        <f t="shared" si="150"/>
        <v>2.08541666666861</v>
      </c>
      <c r="K1931" s="22">
        <f t="shared" si="151"/>
        <v>50.0500000000466</v>
      </c>
      <c r="L1931" s="22">
        <f t="shared" si="152"/>
        <v>18.0500000000466</v>
      </c>
      <c r="M1931" s="22" cm="1">
        <f ca="1" t="array" ref="M1931">SUMPRODUCT(--(WEEKDAY(ROW(INDIRECT(INT(F1931)&amp;":"&amp;INT(I1931))),2)&gt;5))</f>
        <v>0</v>
      </c>
      <c r="N1931" s="22">
        <f ca="1" t="shared" si="153"/>
        <v>18.0500000000466</v>
      </c>
      <c r="O1931" s="22" t="str">
        <f ca="1" t="shared" si="154"/>
        <v>SLA Violated</v>
      </c>
      <c r="P1931" s="23" t="s">
        <v>7558</v>
      </c>
      <c r="Q1931" s="24" t="s">
        <v>28</v>
      </c>
      <c r="R1931" s="25"/>
      <c r="S1931" s="25"/>
    </row>
    <row r="1932" ht="39" customHeight="1" spans="1:19">
      <c r="A1932" s="19" t="s">
        <v>7559</v>
      </c>
      <c r="B1932" s="20" t="s">
        <v>19</v>
      </c>
      <c r="C1932" s="20" t="s">
        <v>20</v>
      </c>
      <c r="D1932" s="20" t="s">
        <v>32</v>
      </c>
      <c r="E1932" s="21" t="s">
        <v>7560</v>
      </c>
      <c r="F1932" s="21" t="s">
        <v>7561</v>
      </c>
      <c r="G1932" s="20" t="s">
        <v>24</v>
      </c>
      <c r="H1932" s="20" t="s">
        <v>25</v>
      </c>
      <c r="I1932" s="21" t="s">
        <v>7562</v>
      </c>
      <c r="J1932" s="22">
        <f t="shared" si="150"/>
        <v>0.015277777776646</v>
      </c>
      <c r="K1932" s="22">
        <f t="shared" si="151"/>
        <v>0.366666666639503</v>
      </c>
      <c r="L1932" s="22">
        <f t="shared" si="152"/>
        <v>0.366666666639503</v>
      </c>
      <c r="M1932" s="22" cm="1">
        <f ca="1" t="array" ref="M1932">SUMPRODUCT(--(WEEKDAY(ROW(INDIRECT(INT(F1932)&amp;":"&amp;INT(I1932))),2)&gt;5))</f>
        <v>0</v>
      </c>
      <c r="N1932" s="22">
        <f ca="1" t="shared" si="153"/>
        <v>0.366666666639503</v>
      </c>
      <c r="O1932" s="22" t="str">
        <f ca="1" t="shared" si="154"/>
        <v>Within SLA</v>
      </c>
      <c r="P1932" s="26" t="s">
        <v>7559</v>
      </c>
      <c r="Q1932" s="24" t="s">
        <v>37</v>
      </c>
      <c r="R1932" s="25"/>
      <c r="S1932" s="25"/>
    </row>
    <row r="1933" ht="39" customHeight="1" spans="1:19">
      <c r="A1933" s="19" t="s">
        <v>7563</v>
      </c>
      <c r="B1933" s="20" t="s">
        <v>19</v>
      </c>
      <c r="C1933" s="20" t="s">
        <v>20</v>
      </c>
      <c r="D1933" s="20" t="s">
        <v>32</v>
      </c>
      <c r="E1933" s="21" t="s">
        <v>7564</v>
      </c>
      <c r="F1933" s="21" t="s">
        <v>7565</v>
      </c>
      <c r="G1933" s="20" t="s">
        <v>35</v>
      </c>
      <c r="H1933" s="20" t="s">
        <v>25</v>
      </c>
      <c r="I1933" s="21" t="s">
        <v>7566</v>
      </c>
      <c r="J1933" s="22">
        <f t="shared" si="150"/>
        <v>0.749305555560568</v>
      </c>
      <c r="K1933" s="22">
        <f t="shared" si="151"/>
        <v>17.9833333334536</v>
      </c>
      <c r="L1933" s="22">
        <f t="shared" si="152"/>
        <v>1.98333333345363</v>
      </c>
      <c r="M1933" s="22" cm="1">
        <f ca="1" t="array" ref="M1933">SUMPRODUCT(--(WEEKDAY(ROW(INDIRECT(INT(F1933)&amp;":"&amp;INT(I1933))),2)&gt;5))</f>
        <v>0</v>
      </c>
      <c r="N1933" s="22">
        <f ca="1" t="shared" si="153"/>
        <v>1.98333333345363</v>
      </c>
      <c r="O1933" s="22" t="str">
        <f ca="1" t="shared" si="154"/>
        <v>Within SLA</v>
      </c>
      <c r="P1933" s="26" t="s">
        <v>7563</v>
      </c>
      <c r="Q1933" s="24" t="s">
        <v>37</v>
      </c>
      <c r="R1933" s="25"/>
      <c r="S1933" s="25"/>
    </row>
    <row r="1934" ht="27" customHeight="1" spans="1:19">
      <c r="A1934" s="19" t="s">
        <v>7567</v>
      </c>
      <c r="B1934" s="20" t="s">
        <v>1047</v>
      </c>
      <c r="C1934" s="20" t="s">
        <v>46</v>
      </c>
      <c r="D1934" s="20" t="s">
        <v>32</v>
      </c>
      <c r="E1934" s="21" t="s">
        <v>7561</v>
      </c>
      <c r="F1934" s="21" t="s">
        <v>7568</v>
      </c>
      <c r="G1934" s="20" t="s">
        <v>35</v>
      </c>
      <c r="H1934" s="20" t="s">
        <v>25</v>
      </c>
      <c r="I1934" s="21" t="s">
        <v>7569</v>
      </c>
      <c r="J1934" s="22">
        <f t="shared" si="150"/>
        <v>0.0381944444452529</v>
      </c>
      <c r="K1934" s="22">
        <f t="shared" si="151"/>
        <v>0.916666666686069</v>
      </c>
      <c r="L1934" s="22">
        <f t="shared" si="152"/>
        <v>0.916666666686069</v>
      </c>
      <c r="M1934" s="22" cm="1">
        <f ca="1" t="array" ref="M1934">SUMPRODUCT(--(WEEKDAY(ROW(INDIRECT(INT(F1934)&amp;":"&amp;INT(I1934))),2)&gt;5))</f>
        <v>0</v>
      </c>
      <c r="N1934" s="22">
        <f ca="1" t="shared" si="153"/>
        <v>0.916666666686069</v>
      </c>
      <c r="O1934" s="22" t="str">
        <f ca="1" t="shared" si="154"/>
        <v>Within SLA</v>
      </c>
      <c r="P1934" s="26" t="s">
        <v>7567</v>
      </c>
      <c r="Q1934" s="24" t="s">
        <v>37</v>
      </c>
      <c r="R1934" s="25"/>
      <c r="S1934" s="25"/>
    </row>
    <row r="1935" ht="39" customHeight="1" spans="1:19">
      <c r="A1935" s="19" t="s">
        <v>7570</v>
      </c>
      <c r="B1935" s="20" t="s">
        <v>19</v>
      </c>
      <c r="C1935" s="20" t="s">
        <v>20</v>
      </c>
      <c r="D1935" s="20" t="s">
        <v>32</v>
      </c>
      <c r="E1935" s="21" t="s">
        <v>7561</v>
      </c>
      <c r="F1935" s="21" t="s">
        <v>7571</v>
      </c>
      <c r="G1935" s="20" t="s">
        <v>35</v>
      </c>
      <c r="H1935" s="20" t="s">
        <v>25</v>
      </c>
      <c r="I1935" s="21" t="s">
        <v>7572</v>
      </c>
      <c r="J1935" s="22">
        <f t="shared" si="150"/>
        <v>7.00624999999854</v>
      </c>
      <c r="K1935" s="22">
        <f t="shared" si="151"/>
        <v>168.149999999965</v>
      </c>
      <c r="L1935" s="22">
        <f t="shared" si="152"/>
        <v>56.1499999999651</v>
      </c>
      <c r="M1935" s="22" cm="1">
        <f ca="1" t="array" ref="M1935">SUMPRODUCT(--(WEEKDAY(ROW(INDIRECT(INT(F1935)&amp;":"&amp;INT(I1935))),2)&gt;5))</f>
        <v>2</v>
      </c>
      <c r="N1935" s="22">
        <f ca="1" t="shared" si="153"/>
        <v>40.1499999999651</v>
      </c>
      <c r="O1935" s="22" t="str">
        <f ca="1" t="shared" si="154"/>
        <v>SLA Violated</v>
      </c>
      <c r="P1935" s="23">
        <v>22349</v>
      </c>
      <c r="Q1935" s="24" t="s">
        <v>37</v>
      </c>
      <c r="R1935" s="25" t="s">
        <v>749</v>
      </c>
      <c r="S1935" s="25" t="s">
        <v>39</v>
      </c>
    </row>
    <row r="1936" ht="39" customHeight="1" spans="1:19">
      <c r="A1936" s="19" t="s">
        <v>7573</v>
      </c>
      <c r="B1936" s="20" t="s">
        <v>19</v>
      </c>
      <c r="C1936" s="20" t="s">
        <v>20</v>
      </c>
      <c r="D1936" s="20" t="s">
        <v>32</v>
      </c>
      <c r="E1936" s="21" t="s">
        <v>7561</v>
      </c>
      <c r="F1936" s="21" t="s">
        <v>7574</v>
      </c>
      <c r="G1936" s="20" t="s">
        <v>35</v>
      </c>
      <c r="H1936" s="20" t="s">
        <v>25</v>
      </c>
      <c r="I1936" s="21" t="s">
        <v>7575</v>
      </c>
      <c r="J1936" s="22">
        <f t="shared" si="150"/>
        <v>7.82777777777665</v>
      </c>
      <c r="K1936" s="22">
        <f t="shared" si="151"/>
        <v>187.86666666664</v>
      </c>
      <c r="L1936" s="22">
        <f t="shared" si="152"/>
        <v>59.8666666666395</v>
      </c>
      <c r="M1936" s="22" cm="1">
        <f ca="1" t="array" ref="M1936">SUMPRODUCT(--(WEEKDAY(ROW(INDIRECT(INT(F1936)&amp;":"&amp;INT(I1936))),2)&gt;5))</f>
        <v>2</v>
      </c>
      <c r="N1936" s="22">
        <f ca="1" t="shared" si="153"/>
        <v>43.8666666666395</v>
      </c>
      <c r="O1936" s="22" t="str">
        <f ca="1" t="shared" si="154"/>
        <v>SLA Violated</v>
      </c>
      <c r="P1936" s="23" t="s">
        <v>7576</v>
      </c>
      <c r="Q1936" s="24" t="s">
        <v>37</v>
      </c>
      <c r="R1936" s="25" t="s">
        <v>7577</v>
      </c>
      <c r="S1936" s="25" t="s">
        <v>39</v>
      </c>
    </row>
    <row r="1937" ht="27" customHeight="1" spans="1:19">
      <c r="A1937" s="19" t="s">
        <v>7578</v>
      </c>
      <c r="B1937" s="20" t="s">
        <v>30</v>
      </c>
      <c r="C1937" s="20" t="s">
        <v>849</v>
      </c>
      <c r="D1937" s="20" t="s">
        <v>32</v>
      </c>
      <c r="E1937" s="21" t="s">
        <v>6967</v>
      </c>
      <c r="F1937" s="21" t="s">
        <v>7579</v>
      </c>
      <c r="G1937" s="20" t="s">
        <v>35</v>
      </c>
      <c r="H1937" s="20" t="s">
        <v>25</v>
      </c>
      <c r="I1937" s="21" t="s">
        <v>7580</v>
      </c>
      <c r="J1937" s="22">
        <f t="shared" si="150"/>
        <v>4.81041666666715</v>
      </c>
      <c r="K1937" s="22">
        <f t="shared" si="151"/>
        <v>115.450000000012</v>
      </c>
      <c r="L1937" s="22">
        <f t="shared" si="152"/>
        <v>35.4500000000116</v>
      </c>
      <c r="M1937" s="22" cm="1">
        <f ca="1" t="array" ref="M1937">SUMPRODUCT(--(WEEKDAY(ROW(INDIRECT(INT(F1937)&amp;":"&amp;INT(I1937))),2)&gt;5))</f>
        <v>2</v>
      </c>
      <c r="N1937" s="22">
        <f ca="1" t="shared" si="153"/>
        <v>19.4500000000116</v>
      </c>
      <c r="O1937" s="22" t="str">
        <f ca="1" t="shared" si="154"/>
        <v>SLA Violated</v>
      </c>
      <c r="P1937" s="23" t="s">
        <v>7581</v>
      </c>
      <c r="Q1937" s="24" t="s">
        <v>28</v>
      </c>
      <c r="R1937" s="25"/>
      <c r="S1937" s="25"/>
    </row>
    <row r="1938" ht="27" customHeight="1" spans="1:19">
      <c r="A1938" s="19" t="s">
        <v>7582</v>
      </c>
      <c r="B1938" s="20" t="s">
        <v>30</v>
      </c>
      <c r="C1938" s="20" t="s">
        <v>849</v>
      </c>
      <c r="D1938" s="20" t="s">
        <v>32</v>
      </c>
      <c r="E1938" s="21" t="s">
        <v>7583</v>
      </c>
      <c r="F1938" s="21" t="s">
        <v>7584</v>
      </c>
      <c r="G1938" s="20" t="s">
        <v>35</v>
      </c>
      <c r="H1938" s="20" t="s">
        <v>25</v>
      </c>
      <c r="I1938" s="21" t="s">
        <v>7585</v>
      </c>
      <c r="J1938" s="22">
        <f t="shared" si="150"/>
        <v>1.99861111111386</v>
      </c>
      <c r="K1938" s="22">
        <f t="shared" si="151"/>
        <v>47.9666666667326</v>
      </c>
      <c r="L1938" s="22">
        <f t="shared" si="152"/>
        <v>15.9666666667326</v>
      </c>
      <c r="M1938" s="22" cm="1">
        <f ca="1" t="array" ref="M1938">SUMPRODUCT(--(WEEKDAY(ROW(INDIRECT(INT(F1938)&amp;":"&amp;INT(I1938))),2)&gt;5))</f>
        <v>0</v>
      </c>
      <c r="N1938" s="22">
        <f ca="1" t="shared" si="153"/>
        <v>15.9666666667326</v>
      </c>
      <c r="O1938" s="22" t="str">
        <f ca="1" t="shared" si="154"/>
        <v>SLA Violated</v>
      </c>
      <c r="P1938" s="23" t="s">
        <v>7586</v>
      </c>
      <c r="Q1938" s="24" t="s">
        <v>28</v>
      </c>
      <c r="R1938" s="25"/>
      <c r="S1938" s="25"/>
    </row>
    <row r="1939" ht="39" customHeight="1" spans="1:19">
      <c r="A1939" s="19" t="s">
        <v>7587</v>
      </c>
      <c r="B1939" s="20" t="s">
        <v>196</v>
      </c>
      <c r="C1939" s="20" t="s">
        <v>101</v>
      </c>
      <c r="D1939" s="20" t="s">
        <v>32</v>
      </c>
      <c r="E1939" s="21" t="s">
        <v>7583</v>
      </c>
      <c r="F1939" s="21" t="s">
        <v>7588</v>
      </c>
      <c r="G1939" s="20" t="s">
        <v>35</v>
      </c>
      <c r="H1939" s="20" t="s">
        <v>25</v>
      </c>
      <c r="I1939" s="21" t="s">
        <v>7589</v>
      </c>
      <c r="J1939" s="22">
        <f t="shared" si="150"/>
        <v>0.0208333333357587</v>
      </c>
      <c r="K1939" s="22">
        <f t="shared" si="151"/>
        <v>0.500000000058208</v>
      </c>
      <c r="L1939" s="22">
        <f t="shared" si="152"/>
        <v>0.500000000058208</v>
      </c>
      <c r="M1939" s="22" cm="1">
        <f ca="1" t="array" ref="M1939">SUMPRODUCT(--(WEEKDAY(ROW(INDIRECT(INT(F1939)&amp;":"&amp;INT(I1939))),2)&gt;5))</f>
        <v>0</v>
      </c>
      <c r="N1939" s="22">
        <f ca="1" t="shared" si="153"/>
        <v>0.500000000058208</v>
      </c>
      <c r="O1939" s="22" t="str">
        <f ca="1" t="shared" si="154"/>
        <v>Within SLA</v>
      </c>
      <c r="P1939" s="26" t="s">
        <v>7587</v>
      </c>
      <c r="Q1939" s="24" t="s">
        <v>37</v>
      </c>
      <c r="R1939" s="25"/>
      <c r="S1939" s="25"/>
    </row>
    <row r="1940" ht="27" customHeight="1" spans="1:19">
      <c r="A1940" s="19" t="s">
        <v>7590</v>
      </c>
      <c r="B1940" s="20" t="s">
        <v>30</v>
      </c>
      <c r="C1940" s="20" t="s">
        <v>31</v>
      </c>
      <c r="D1940" s="20" t="s">
        <v>32</v>
      </c>
      <c r="E1940" s="21" t="s">
        <v>7591</v>
      </c>
      <c r="F1940" s="21" t="s">
        <v>7592</v>
      </c>
      <c r="G1940" s="20" t="s">
        <v>35</v>
      </c>
      <c r="H1940" s="20" t="s">
        <v>25</v>
      </c>
      <c r="I1940" s="21" t="s">
        <v>7593</v>
      </c>
      <c r="J1940" s="22">
        <f t="shared" si="150"/>
        <v>0.000694444446708076</v>
      </c>
      <c r="K1940" s="22">
        <f t="shared" si="151"/>
        <v>0.0166666667209938</v>
      </c>
      <c r="L1940" s="22">
        <f t="shared" si="152"/>
        <v>0.0166666667209938</v>
      </c>
      <c r="M1940" s="22" cm="1">
        <f ca="1" t="array" ref="M1940">SUMPRODUCT(--(WEEKDAY(ROW(INDIRECT(INT(F1940)&amp;":"&amp;INT(I1940))),2)&gt;5))</f>
        <v>0</v>
      </c>
      <c r="N1940" s="22">
        <f ca="1" t="shared" si="153"/>
        <v>0.0166666667209938</v>
      </c>
      <c r="O1940" s="22" t="str">
        <f ca="1" t="shared" si="154"/>
        <v>Within SLA</v>
      </c>
      <c r="P1940" s="26" t="s">
        <v>7590</v>
      </c>
      <c r="Q1940" s="24" t="s">
        <v>37</v>
      </c>
      <c r="R1940" s="25"/>
      <c r="S1940" s="25"/>
    </row>
    <row r="1941" ht="27" customHeight="1" spans="1:19">
      <c r="A1941" s="19" t="s">
        <v>7594</v>
      </c>
      <c r="B1941" s="20" t="s">
        <v>30</v>
      </c>
      <c r="C1941" s="20" t="s">
        <v>849</v>
      </c>
      <c r="D1941" s="20" t="s">
        <v>32</v>
      </c>
      <c r="E1941" s="21" t="s">
        <v>5574</v>
      </c>
      <c r="F1941" s="21" t="s">
        <v>7595</v>
      </c>
      <c r="G1941" s="20" t="s">
        <v>35</v>
      </c>
      <c r="H1941" s="20" t="s">
        <v>25</v>
      </c>
      <c r="I1941" s="21" t="s">
        <v>7596</v>
      </c>
      <c r="J1941" s="22">
        <f t="shared" si="150"/>
        <v>1.99791666666715</v>
      </c>
      <c r="K1941" s="22">
        <f t="shared" si="151"/>
        <v>47.9500000000116</v>
      </c>
      <c r="L1941" s="22">
        <f t="shared" si="152"/>
        <v>15.9500000000116</v>
      </c>
      <c r="M1941" s="22" cm="1">
        <f ca="1" t="array" ref="M1941">SUMPRODUCT(--(WEEKDAY(ROW(INDIRECT(INT(F1941)&amp;":"&amp;INT(I1941))),2)&gt;5))</f>
        <v>0</v>
      </c>
      <c r="N1941" s="22">
        <f ca="1" t="shared" si="153"/>
        <v>15.9500000000116</v>
      </c>
      <c r="O1941" s="22" t="str">
        <f ca="1" t="shared" si="154"/>
        <v>SLA Violated</v>
      </c>
      <c r="P1941" s="23" t="s">
        <v>7597</v>
      </c>
      <c r="Q1941" s="24" t="s">
        <v>28</v>
      </c>
      <c r="R1941" s="25"/>
      <c r="S1941" s="25"/>
    </row>
    <row r="1942" ht="27" customHeight="1" spans="1:19">
      <c r="A1942" s="19" t="s">
        <v>7598</v>
      </c>
      <c r="B1942" s="20" t="s">
        <v>30</v>
      </c>
      <c r="C1942" s="20" t="s">
        <v>849</v>
      </c>
      <c r="D1942" s="20" t="s">
        <v>32</v>
      </c>
      <c r="E1942" s="21" t="s">
        <v>7599</v>
      </c>
      <c r="F1942" s="21" t="s">
        <v>7600</v>
      </c>
      <c r="G1942" s="20" t="s">
        <v>35</v>
      </c>
      <c r="H1942" s="20" t="s">
        <v>25</v>
      </c>
      <c r="I1942" s="21" t="s">
        <v>7596</v>
      </c>
      <c r="J1942" s="22">
        <f t="shared" si="150"/>
        <v>1.99861111111386</v>
      </c>
      <c r="K1942" s="22">
        <f t="shared" si="151"/>
        <v>47.9666666667326</v>
      </c>
      <c r="L1942" s="22">
        <f t="shared" si="152"/>
        <v>15.9666666667326</v>
      </c>
      <c r="M1942" s="22" cm="1">
        <f ca="1" t="array" ref="M1942">SUMPRODUCT(--(WEEKDAY(ROW(INDIRECT(INT(F1942)&amp;":"&amp;INT(I1942))),2)&gt;5))</f>
        <v>0</v>
      </c>
      <c r="N1942" s="22">
        <f ca="1" t="shared" si="153"/>
        <v>15.9666666667326</v>
      </c>
      <c r="O1942" s="22" t="str">
        <f ca="1" t="shared" si="154"/>
        <v>SLA Violated</v>
      </c>
      <c r="P1942" s="23" t="s">
        <v>7601</v>
      </c>
      <c r="Q1942" s="24" t="s">
        <v>28</v>
      </c>
      <c r="R1942" s="25"/>
      <c r="S1942" s="25"/>
    </row>
    <row r="1943" ht="27" customHeight="1" spans="1:19">
      <c r="A1943" s="19" t="s">
        <v>7602</v>
      </c>
      <c r="B1943" s="20" t="s">
        <v>30</v>
      </c>
      <c r="C1943" s="20" t="s">
        <v>849</v>
      </c>
      <c r="D1943" s="20" t="s">
        <v>32</v>
      </c>
      <c r="E1943" s="21" t="s">
        <v>7603</v>
      </c>
      <c r="F1943" s="21" t="s">
        <v>7600</v>
      </c>
      <c r="G1943" s="20" t="s">
        <v>35</v>
      </c>
      <c r="H1943" s="20" t="s">
        <v>25</v>
      </c>
      <c r="I1943" s="21" t="s">
        <v>7604</v>
      </c>
      <c r="J1943" s="22">
        <f t="shared" si="150"/>
        <v>1.99791666666715</v>
      </c>
      <c r="K1943" s="22">
        <f t="shared" si="151"/>
        <v>47.9500000000116</v>
      </c>
      <c r="L1943" s="22">
        <f t="shared" si="152"/>
        <v>15.9500000000116</v>
      </c>
      <c r="M1943" s="22" cm="1">
        <f ca="1" t="array" ref="M1943">SUMPRODUCT(--(WEEKDAY(ROW(INDIRECT(INT(F1943)&amp;":"&amp;INT(I1943))),2)&gt;5))</f>
        <v>0</v>
      </c>
      <c r="N1943" s="22">
        <f ca="1" t="shared" si="153"/>
        <v>15.9500000000116</v>
      </c>
      <c r="O1943" s="22" t="str">
        <f ca="1" t="shared" si="154"/>
        <v>SLA Violated</v>
      </c>
      <c r="P1943" s="23" t="s">
        <v>7605</v>
      </c>
      <c r="Q1943" s="24" t="s">
        <v>28</v>
      </c>
      <c r="R1943" s="25"/>
      <c r="S1943" s="25"/>
    </row>
    <row r="1944" ht="27" customHeight="1" spans="1:19">
      <c r="A1944" s="19" t="s">
        <v>7606</v>
      </c>
      <c r="B1944" s="20" t="s">
        <v>30</v>
      </c>
      <c r="C1944" s="20" t="s">
        <v>31</v>
      </c>
      <c r="D1944" s="20" t="s">
        <v>32</v>
      </c>
      <c r="E1944" s="21" t="s">
        <v>7607</v>
      </c>
      <c r="F1944" s="21" t="s">
        <v>7608</v>
      </c>
      <c r="G1944" s="20" t="s">
        <v>35</v>
      </c>
      <c r="H1944" s="20" t="s">
        <v>25</v>
      </c>
      <c r="I1944" s="21" t="s">
        <v>7604</v>
      </c>
      <c r="J1944" s="22">
        <f t="shared" si="150"/>
        <v>0.0666666666656965</v>
      </c>
      <c r="K1944" s="22">
        <f t="shared" si="151"/>
        <v>1.59999999997672</v>
      </c>
      <c r="L1944" s="22">
        <f t="shared" si="152"/>
        <v>1.59999999997672</v>
      </c>
      <c r="M1944" s="22" cm="1">
        <f ca="1" t="array" ref="M1944">SUMPRODUCT(--(WEEKDAY(ROW(INDIRECT(INT(F1944)&amp;":"&amp;INT(I1944))),2)&gt;5))</f>
        <v>0</v>
      </c>
      <c r="N1944" s="22">
        <f ca="1" t="shared" si="153"/>
        <v>1.59999999997672</v>
      </c>
      <c r="O1944" s="22" t="str">
        <f ca="1" t="shared" si="154"/>
        <v>Within SLA</v>
      </c>
      <c r="P1944" s="26" t="s">
        <v>7606</v>
      </c>
      <c r="Q1944" s="24" t="s">
        <v>37</v>
      </c>
      <c r="R1944" s="25"/>
      <c r="S1944" s="25"/>
    </row>
    <row r="1945" ht="39" customHeight="1" spans="1:19">
      <c r="A1945" s="19" t="s">
        <v>7609</v>
      </c>
      <c r="B1945" s="20" t="s">
        <v>19</v>
      </c>
      <c r="C1945" s="20" t="s">
        <v>20</v>
      </c>
      <c r="D1945" s="20" t="s">
        <v>32</v>
      </c>
      <c r="E1945" s="21" t="s">
        <v>7593</v>
      </c>
      <c r="F1945" s="21" t="s">
        <v>7610</v>
      </c>
      <c r="G1945" s="20" t="s">
        <v>35</v>
      </c>
      <c r="H1945" s="20" t="s">
        <v>25</v>
      </c>
      <c r="I1945" s="21" t="s">
        <v>7611</v>
      </c>
      <c r="J1945" s="22">
        <f t="shared" si="150"/>
        <v>0.752777777779556</v>
      </c>
      <c r="K1945" s="22">
        <f t="shared" si="151"/>
        <v>18.0666666667094</v>
      </c>
      <c r="L1945" s="22">
        <f t="shared" si="152"/>
        <v>2.06666666670935</v>
      </c>
      <c r="M1945" s="22" cm="1">
        <f ca="1" t="array" ref="M1945">SUMPRODUCT(--(WEEKDAY(ROW(INDIRECT(INT(F1945)&amp;":"&amp;INT(I1945))),2)&gt;5))</f>
        <v>0</v>
      </c>
      <c r="N1945" s="22">
        <f ca="1" t="shared" si="153"/>
        <v>2.06666666670935</v>
      </c>
      <c r="O1945" s="22" t="str">
        <f ca="1" t="shared" si="154"/>
        <v>Within SLA</v>
      </c>
      <c r="P1945" s="26" t="s">
        <v>7609</v>
      </c>
      <c r="Q1945" s="24" t="s">
        <v>37</v>
      </c>
      <c r="R1945" s="25"/>
      <c r="S1945" s="25"/>
    </row>
    <row r="1946" ht="39" customHeight="1" spans="1:19">
      <c r="A1946" s="19" t="s">
        <v>7612</v>
      </c>
      <c r="B1946" s="20" t="s">
        <v>19</v>
      </c>
      <c r="C1946" s="20" t="s">
        <v>20</v>
      </c>
      <c r="D1946" s="20" t="s">
        <v>32</v>
      </c>
      <c r="E1946" s="21" t="s">
        <v>7580</v>
      </c>
      <c r="F1946" s="21" t="s">
        <v>7613</v>
      </c>
      <c r="G1946" s="20" t="s">
        <v>35</v>
      </c>
      <c r="H1946" s="20" t="s">
        <v>25</v>
      </c>
      <c r="I1946" s="21" t="s">
        <v>7614</v>
      </c>
      <c r="J1946" s="22">
        <f t="shared" si="150"/>
        <v>0.745138888887595</v>
      </c>
      <c r="K1946" s="22">
        <f t="shared" si="151"/>
        <v>17.8833333333023</v>
      </c>
      <c r="L1946" s="22">
        <f t="shared" si="152"/>
        <v>1.88333333330229</v>
      </c>
      <c r="M1946" s="22" cm="1">
        <f ca="1" t="array" ref="M1946">SUMPRODUCT(--(WEEKDAY(ROW(INDIRECT(INT(F1946)&amp;":"&amp;INT(I1946))),2)&gt;5))</f>
        <v>0</v>
      </c>
      <c r="N1946" s="22">
        <f ca="1" t="shared" si="153"/>
        <v>1.88333333330229</v>
      </c>
      <c r="O1946" s="22" t="str">
        <f ca="1" t="shared" si="154"/>
        <v>Within SLA</v>
      </c>
      <c r="P1946" s="26" t="s">
        <v>7612</v>
      </c>
      <c r="Q1946" s="24" t="s">
        <v>37</v>
      </c>
      <c r="R1946" s="25"/>
      <c r="S1946" s="25"/>
    </row>
    <row r="1947" ht="27" customHeight="1" spans="1:19">
      <c r="A1947" s="19" t="s">
        <v>7615</v>
      </c>
      <c r="B1947" s="20" t="s">
        <v>30</v>
      </c>
      <c r="C1947" s="20" t="s">
        <v>31</v>
      </c>
      <c r="D1947" s="20" t="s">
        <v>32</v>
      </c>
      <c r="E1947" s="21" t="s">
        <v>7596</v>
      </c>
      <c r="F1947" s="21" t="s">
        <v>7616</v>
      </c>
      <c r="G1947" s="20" t="s">
        <v>35</v>
      </c>
      <c r="H1947" s="20" t="s">
        <v>25</v>
      </c>
      <c r="I1947" s="21" t="s">
        <v>7614</v>
      </c>
      <c r="J1947" s="22">
        <f t="shared" si="150"/>
        <v>0.0909722222204437</v>
      </c>
      <c r="K1947" s="22">
        <f t="shared" si="151"/>
        <v>2.18333333329065</v>
      </c>
      <c r="L1947" s="22">
        <f t="shared" si="152"/>
        <v>2.18333333329065</v>
      </c>
      <c r="M1947" s="22" cm="1">
        <f ca="1" t="array" ref="M1947">SUMPRODUCT(--(WEEKDAY(ROW(INDIRECT(INT(F1947)&amp;":"&amp;INT(I1947))),2)&gt;5))</f>
        <v>0</v>
      </c>
      <c r="N1947" s="22">
        <f ca="1" t="shared" si="153"/>
        <v>2.18333333329065</v>
      </c>
      <c r="O1947" s="22" t="str">
        <f ca="1" t="shared" si="154"/>
        <v>Within SLA</v>
      </c>
      <c r="P1947" s="26" t="s">
        <v>7615</v>
      </c>
      <c r="Q1947" s="24" t="s">
        <v>37</v>
      </c>
      <c r="R1947" s="25"/>
      <c r="S1947" s="25"/>
    </row>
    <row r="1948" ht="27" customHeight="1" spans="1:19">
      <c r="A1948" s="19" t="s">
        <v>7617</v>
      </c>
      <c r="B1948" s="20" t="s">
        <v>30</v>
      </c>
      <c r="C1948" s="20" t="s">
        <v>31</v>
      </c>
      <c r="D1948" s="20" t="s">
        <v>32</v>
      </c>
      <c r="E1948" s="21" t="s">
        <v>7596</v>
      </c>
      <c r="F1948" s="21" t="s">
        <v>7618</v>
      </c>
      <c r="G1948" s="20" t="s">
        <v>35</v>
      </c>
      <c r="H1948" s="20" t="s">
        <v>25</v>
      </c>
      <c r="I1948" s="21" t="s">
        <v>7619</v>
      </c>
      <c r="J1948" s="22">
        <f t="shared" si="150"/>
        <v>0.760416666671517</v>
      </c>
      <c r="K1948" s="22">
        <f t="shared" si="151"/>
        <v>18.2500000001164</v>
      </c>
      <c r="L1948" s="22">
        <f t="shared" si="152"/>
        <v>2.25000000011642</v>
      </c>
      <c r="M1948" s="22" cm="1">
        <f ca="1" t="array" ref="M1948">SUMPRODUCT(--(WEEKDAY(ROW(INDIRECT(INT(F1948)&amp;":"&amp;INT(I1948))),2)&gt;5))</f>
        <v>0</v>
      </c>
      <c r="N1948" s="22">
        <f ca="1" t="shared" si="153"/>
        <v>2.25000000011642</v>
      </c>
      <c r="O1948" s="22" t="str">
        <f ca="1" t="shared" si="154"/>
        <v>Within SLA</v>
      </c>
      <c r="P1948" s="26" t="s">
        <v>7617</v>
      </c>
      <c r="Q1948" s="24" t="s">
        <v>37</v>
      </c>
      <c r="R1948" s="25"/>
      <c r="S1948" s="25"/>
    </row>
    <row r="1949" ht="39" customHeight="1" spans="1:19">
      <c r="A1949" s="28" t="s">
        <v>7620</v>
      </c>
      <c r="B1949" s="20" t="s">
        <v>196</v>
      </c>
      <c r="C1949" s="20" t="s">
        <v>46</v>
      </c>
      <c r="D1949" s="20" t="s">
        <v>21</v>
      </c>
      <c r="E1949" s="21" t="s">
        <v>7596</v>
      </c>
      <c r="F1949" s="21" t="s">
        <v>7621</v>
      </c>
      <c r="G1949" s="20" t="s">
        <v>35</v>
      </c>
      <c r="H1949" s="20" t="s">
        <v>25</v>
      </c>
      <c r="I1949" s="21" t="s">
        <v>7622</v>
      </c>
      <c r="J1949" s="22">
        <f t="shared" si="150"/>
        <v>0.823611111110949</v>
      </c>
      <c r="K1949" s="22">
        <f t="shared" si="151"/>
        <v>19.7666666666628</v>
      </c>
      <c r="L1949" s="22">
        <f t="shared" si="152"/>
        <v>3.76666666666279</v>
      </c>
      <c r="M1949" s="22" cm="1">
        <f ca="1" t="array" ref="M1949">SUMPRODUCT(--(WEEKDAY(ROW(INDIRECT(INT(F1949)&amp;":"&amp;INT(I1949))),2)&gt;5))</f>
        <v>0</v>
      </c>
      <c r="N1949" s="22">
        <f ca="1" t="shared" si="153"/>
        <v>3.76666666666279</v>
      </c>
      <c r="O1949" s="22" t="str">
        <f ca="1" t="shared" si="154"/>
        <v>SLA Violated</v>
      </c>
      <c r="P1949" s="23" t="s">
        <v>7620</v>
      </c>
      <c r="Q1949" s="24" t="s">
        <v>37</v>
      </c>
      <c r="R1949" s="25" t="s">
        <v>7339</v>
      </c>
      <c r="S1949" s="25" t="s">
        <v>7340</v>
      </c>
    </row>
    <row r="1950" ht="27" customHeight="1" spans="1:19">
      <c r="A1950" s="19" t="s">
        <v>7623</v>
      </c>
      <c r="B1950" s="20" t="s">
        <v>139</v>
      </c>
      <c r="C1950" s="20" t="s">
        <v>2057</v>
      </c>
      <c r="D1950" s="20" t="s">
        <v>32</v>
      </c>
      <c r="E1950" s="21" t="s">
        <v>7622</v>
      </c>
      <c r="F1950" s="21" t="s">
        <v>7624</v>
      </c>
      <c r="G1950" s="20" t="s">
        <v>35</v>
      </c>
      <c r="H1950" s="20" t="s">
        <v>25</v>
      </c>
      <c r="I1950" s="21" t="s">
        <v>7625</v>
      </c>
      <c r="J1950" s="22">
        <f t="shared" si="150"/>
        <v>1.89652777778247</v>
      </c>
      <c r="K1950" s="22">
        <f t="shared" si="151"/>
        <v>45.5166666667792</v>
      </c>
      <c r="L1950" s="22">
        <f t="shared" si="152"/>
        <v>13.5166666667792</v>
      </c>
      <c r="M1950" s="22" cm="1">
        <f ca="1" t="array" ref="M1950">SUMPRODUCT(--(WEEKDAY(ROW(INDIRECT(INT(F1950)&amp;":"&amp;INT(I1950))),2)&gt;5))</f>
        <v>0</v>
      </c>
      <c r="N1950" s="22">
        <f ca="1" t="shared" si="153"/>
        <v>13.5166666667792</v>
      </c>
      <c r="O1950" s="22" t="str">
        <f ca="1" t="shared" si="154"/>
        <v>SLA Violated</v>
      </c>
      <c r="P1950" s="23" t="s">
        <v>7626</v>
      </c>
      <c r="Q1950" s="24" t="s">
        <v>28</v>
      </c>
      <c r="R1950" s="25"/>
      <c r="S1950" s="25"/>
    </row>
    <row r="1951" ht="39" customHeight="1" spans="1:19">
      <c r="A1951" s="19" t="s">
        <v>7627</v>
      </c>
      <c r="B1951" s="20" t="s">
        <v>19</v>
      </c>
      <c r="C1951" s="20" t="s">
        <v>20</v>
      </c>
      <c r="D1951" s="20" t="s">
        <v>32</v>
      </c>
      <c r="E1951" s="21" t="s">
        <v>5251</v>
      </c>
      <c r="F1951" s="21" t="s">
        <v>7628</v>
      </c>
      <c r="G1951" s="20" t="s">
        <v>35</v>
      </c>
      <c r="H1951" s="20" t="s">
        <v>25</v>
      </c>
      <c r="I1951" s="21" t="s">
        <v>7629</v>
      </c>
      <c r="J1951" s="22">
        <f t="shared" si="150"/>
        <v>0.723611111112405</v>
      </c>
      <c r="K1951" s="22">
        <f t="shared" si="151"/>
        <v>17.3666666666977</v>
      </c>
      <c r="L1951" s="22">
        <f t="shared" si="152"/>
        <v>1.36666666669771</v>
      </c>
      <c r="M1951" s="22" cm="1">
        <f ca="1" t="array" ref="M1951">SUMPRODUCT(--(WEEKDAY(ROW(INDIRECT(INT(F1951)&amp;":"&amp;INT(I1951))),2)&gt;5))</f>
        <v>0</v>
      </c>
      <c r="N1951" s="22">
        <f ca="1" t="shared" si="153"/>
        <v>1.36666666669771</v>
      </c>
      <c r="O1951" s="22" t="str">
        <f ca="1" t="shared" si="154"/>
        <v>Within SLA</v>
      </c>
      <c r="P1951" s="26" t="s">
        <v>7627</v>
      </c>
      <c r="Q1951" s="24" t="s">
        <v>37</v>
      </c>
      <c r="R1951" s="25"/>
      <c r="S1951" s="25"/>
    </row>
    <row r="1952" ht="27" customHeight="1" spans="1:19">
      <c r="A1952" s="19" t="s">
        <v>7630</v>
      </c>
      <c r="B1952" s="20" t="s">
        <v>30</v>
      </c>
      <c r="C1952" s="20" t="s">
        <v>46</v>
      </c>
      <c r="D1952" s="20" t="s">
        <v>32</v>
      </c>
      <c r="E1952" s="21" t="s">
        <v>5251</v>
      </c>
      <c r="F1952" s="21" t="s">
        <v>7631</v>
      </c>
      <c r="G1952" s="20" t="s">
        <v>35</v>
      </c>
      <c r="H1952" s="20" t="s">
        <v>25</v>
      </c>
      <c r="I1952" s="21" t="s">
        <v>7629</v>
      </c>
      <c r="J1952" s="22">
        <f t="shared" si="150"/>
        <v>0.83125000000291</v>
      </c>
      <c r="K1952" s="22">
        <f t="shared" si="151"/>
        <v>19.9500000000698</v>
      </c>
      <c r="L1952" s="22">
        <f t="shared" si="152"/>
        <v>3.95000000006985</v>
      </c>
      <c r="M1952" s="22" cm="1">
        <f ca="1" t="array" ref="M1952">SUMPRODUCT(--(WEEKDAY(ROW(INDIRECT(INT(F1952)&amp;":"&amp;INT(I1952))),2)&gt;5))</f>
        <v>0</v>
      </c>
      <c r="N1952" s="22">
        <f ca="1" t="shared" si="153"/>
        <v>3.95000000006985</v>
      </c>
      <c r="O1952" s="22" t="str">
        <f ca="1" t="shared" si="154"/>
        <v>Within SLA</v>
      </c>
      <c r="P1952" s="26" t="s">
        <v>7630</v>
      </c>
      <c r="Q1952" s="24" t="s">
        <v>37</v>
      </c>
      <c r="R1952" s="25"/>
      <c r="S1952" s="25"/>
    </row>
    <row r="1953" ht="27" customHeight="1" spans="1:19">
      <c r="A1953" s="19" t="s">
        <v>7632</v>
      </c>
      <c r="B1953" s="20" t="s">
        <v>30</v>
      </c>
      <c r="C1953" s="20" t="s">
        <v>31</v>
      </c>
      <c r="D1953" s="20" t="s">
        <v>32</v>
      </c>
      <c r="E1953" s="21" t="s">
        <v>7633</v>
      </c>
      <c r="F1953" s="21" t="s">
        <v>7634</v>
      </c>
      <c r="G1953" s="20" t="s">
        <v>35</v>
      </c>
      <c r="H1953" s="20" t="s">
        <v>25</v>
      </c>
      <c r="I1953" s="21" t="s">
        <v>7635</v>
      </c>
      <c r="J1953" s="22">
        <f t="shared" si="150"/>
        <v>25.7645833333299</v>
      </c>
      <c r="K1953" s="22">
        <f t="shared" si="151"/>
        <v>618.349999999919</v>
      </c>
      <c r="L1953" s="22">
        <f t="shared" si="152"/>
        <v>202.349999999919</v>
      </c>
      <c r="M1953" s="22" cm="1">
        <f ca="1" t="array" ref="M1953">SUMPRODUCT(--(WEEKDAY(ROW(INDIRECT(INT(F1953)&amp;":"&amp;INT(I1953))),2)&gt;5))</f>
        <v>8</v>
      </c>
      <c r="N1953" s="22">
        <f ca="1" t="shared" si="153"/>
        <v>138.349999999919</v>
      </c>
      <c r="O1953" s="22" t="str">
        <f ca="1" t="shared" si="154"/>
        <v>SLA Violated</v>
      </c>
      <c r="P1953" s="26" t="s">
        <v>7632</v>
      </c>
      <c r="Q1953" s="24" t="s">
        <v>28</v>
      </c>
      <c r="R1953" s="25"/>
      <c r="S1953" s="25"/>
    </row>
    <row r="1954" ht="27" customHeight="1" spans="1:19">
      <c r="A1954" s="19" t="s">
        <v>7636</v>
      </c>
      <c r="B1954" s="20" t="s">
        <v>121</v>
      </c>
      <c r="C1954" s="20" t="s">
        <v>46</v>
      </c>
      <c r="D1954" s="20" t="s">
        <v>32</v>
      </c>
      <c r="E1954" s="21" t="s">
        <v>7637</v>
      </c>
      <c r="F1954" s="21" t="s">
        <v>7638</v>
      </c>
      <c r="G1954" s="20" t="s">
        <v>35</v>
      </c>
      <c r="H1954" s="20" t="s">
        <v>25</v>
      </c>
      <c r="I1954" s="21" t="s">
        <v>7639</v>
      </c>
      <c r="J1954" s="22">
        <f t="shared" si="150"/>
        <v>0.0270833333343035</v>
      </c>
      <c r="K1954" s="22">
        <f t="shared" si="151"/>
        <v>0.650000000023283</v>
      </c>
      <c r="L1954" s="22">
        <f t="shared" si="152"/>
        <v>0.650000000023283</v>
      </c>
      <c r="M1954" s="22" cm="1">
        <f ca="1" t="array" ref="M1954">SUMPRODUCT(--(WEEKDAY(ROW(INDIRECT(INT(F1954)&amp;":"&amp;INT(I1954))),2)&gt;5))</f>
        <v>0</v>
      </c>
      <c r="N1954" s="22">
        <f ca="1" t="shared" si="153"/>
        <v>0.650000000023283</v>
      </c>
      <c r="O1954" s="22" t="str">
        <f ca="1" t="shared" si="154"/>
        <v>Within SLA</v>
      </c>
      <c r="P1954" s="26" t="s">
        <v>7636</v>
      </c>
      <c r="Q1954" s="24" t="s">
        <v>37</v>
      </c>
      <c r="R1954" s="25"/>
      <c r="S1954" s="25"/>
    </row>
    <row r="1955" ht="39" customHeight="1" spans="1:19">
      <c r="A1955" s="19" t="s">
        <v>7640</v>
      </c>
      <c r="B1955" s="20" t="s">
        <v>19</v>
      </c>
      <c r="C1955" s="20" t="s">
        <v>20</v>
      </c>
      <c r="D1955" s="20" t="s">
        <v>32</v>
      </c>
      <c r="E1955" s="21" t="s">
        <v>7639</v>
      </c>
      <c r="F1955" s="21" t="s">
        <v>7641</v>
      </c>
      <c r="G1955" s="20" t="s">
        <v>35</v>
      </c>
      <c r="H1955" s="20" t="s">
        <v>25</v>
      </c>
      <c r="I1955" s="21" t="s">
        <v>7642</v>
      </c>
      <c r="J1955" s="22">
        <f t="shared" si="150"/>
        <v>1.02152777777519</v>
      </c>
      <c r="K1955" s="22">
        <f t="shared" si="151"/>
        <v>24.5166666666046</v>
      </c>
      <c r="L1955" s="22">
        <f t="shared" si="152"/>
        <v>8.51666666660458</v>
      </c>
      <c r="M1955" s="22" cm="1">
        <f ca="1" t="array" ref="M1955">SUMPRODUCT(--(WEEKDAY(ROW(INDIRECT(INT(F1955)&amp;":"&amp;INT(I1955))),2)&gt;5))</f>
        <v>0</v>
      </c>
      <c r="N1955" s="22">
        <f ca="1" t="shared" si="153"/>
        <v>8.51666666660458</v>
      </c>
      <c r="O1955" s="22" t="str">
        <f ca="1" t="shared" si="154"/>
        <v>Within SLA</v>
      </c>
      <c r="P1955" s="26" t="s">
        <v>7640</v>
      </c>
      <c r="Q1955" s="24" t="s">
        <v>37</v>
      </c>
      <c r="R1955" s="25"/>
      <c r="S1955" s="25"/>
    </row>
    <row r="1956" ht="39" customHeight="1" spans="1:19">
      <c r="A1956" s="19" t="s">
        <v>7643</v>
      </c>
      <c r="B1956" s="20" t="s">
        <v>19</v>
      </c>
      <c r="C1956" s="20" t="s">
        <v>20</v>
      </c>
      <c r="D1956" s="20" t="s">
        <v>32</v>
      </c>
      <c r="E1956" s="21" t="s">
        <v>7644</v>
      </c>
      <c r="F1956" s="21" t="s">
        <v>7645</v>
      </c>
      <c r="G1956" s="20" t="s">
        <v>35</v>
      </c>
      <c r="H1956" s="20" t="s">
        <v>25</v>
      </c>
      <c r="I1956" s="21" t="s">
        <v>7646</v>
      </c>
      <c r="J1956" s="22">
        <f t="shared" si="150"/>
        <v>0.0395833333313931</v>
      </c>
      <c r="K1956" s="22">
        <f t="shared" si="151"/>
        <v>0.949999999953434</v>
      </c>
      <c r="L1956" s="22">
        <f t="shared" si="152"/>
        <v>0.949999999953434</v>
      </c>
      <c r="M1956" s="22" cm="1">
        <f ca="1" t="array" ref="M1956">SUMPRODUCT(--(WEEKDAY(ROW(INDIRECT(INT(F1956)&amp;":"&amp;INT(I1956))),2)&gt;5))</f>
        <v>0</v>
      </c>
      <c r="N1956" s="22">
        <f ca="1" t="shared" si="153"/>
        <v>0.949999999953434</v>
      </c>
      <c r="O1956" s="22" t="str">
        <f ca="1" t="shared" si="154"/>
        <v>Within SLA</v>
      </c>
      <c r="P1956" s="26" t="s">
        <v>7643</v>
      </c>
      <c r="Q1956" s="24" t="s">
        <v>37</v>
      </c>
      <c r="R1956" s="25"/>
      <c r="S1956" s="25"/>
    </row>
    <row r="1957" ht="27" customHeight="1" spans="1:19">
      <c r="A1957" s="19" t="s">
        <v>7647</v>
      </c>
      <c r="B1957" s="20" t="s">
        <v>30</v>
      </c>
      <c r="C1957" s="20" t="s">
        <v>849</v>
      </c>
      <c r="D1957" s="20" t="s">
        <v>32</v>
      </c>
      <c r="E1957" s="21" t="s">
        <v>7648</v>
      </c>
      <c r="F1957" s="21" t="s">
        <v>7600</v>
      </c>
      <c r="G1957" s="20" t="s">
        <v>35</v>
      </c>
      <c r="H1957" s="20" t="s">
        <v>25</v>
      </c>
      <c r="I1957" s="21" t="s">
        <v>7649</v>
      </c>
      <c r="J1957" s="22">
        <f t="shared" si="150"/>
        <v>1.94861111111095</v>
      </c>
      <c r="K1957" s="22">
        <f t="shared" si="151"/>
        <v>46.7666666666628</v>
      </c>
      <c r="L1957" s="22">
        <f t="shared" si="152"/>
        <v>14.7666666666628</v>
      </c>
      <c r="M1957" s="22" cm="1">
        <f ca="1" t="array" ref="M1957">SUMPRODUCT(--(WEEKDAY(ROW(INDIRECT(INT(F1957)&amp;":"&amp;INT(I1957))),2)&gt;5))</f>
        <v>0</v>
      </c>
      <c r="N1957" s="22">
        <f ca="1" t="shared" si="153"/>
        <v>14.7666666666628</v>
      </c>
      <c r="O1957" s="22" t="str">
        <f ca="1" t="shared" si="154"/>
        <v>SLA Violated</v>
      </c>
      <c r="P1957" s="23" t="s">
        <v>7650</v>
      </c>
      <c r="Q1957" s="24" t="s">
        <v>28</v>
      </c>
      <c r="R1957" s="25"/>
      <c r="S1957" s="25"/>
    </row>
    <row r="1958" ht="39" customHeight="1" spans="1:19">
      <c r="A1958" s="19" t="s">
        <v>7651</v>
      </c>
      <c r="B1958" s="20" t="s">
        <v>19</v>
      </c>
      <c r="C1958" s="20" t="s">
        <v>20</v>
      </c>
      <c r="D1958" s="20" t="s">
        <v>32</v>
      </c>
      <c r="E1958" s="21" t="s">
        <v>7652</v>
      </c>
      <c r="F1958" s="21" t="s">
        <v>7653</v>
      </c>
      <c r="G1958" s="20" t="s">
        <v>35</v>
      </c>
      <c r="H1958" s="20" t="s">
        <v>25</v>
      </c>
      <c r="I1958" s="21" t="s">
        <v>7654</v>
      </c>
      <c r="J1958" s="22">
        <f t="shared" si="150"/>
        <v>0.038888888891961</v>
      </c>
      <c r="K1958" s="22">
        <f t="shared" si="151"/>
        <v>0.933333333407063</v>
      </c>
      <c r="L1958" s="22">
        <f t="shared" si="152"/>
        <v>0.933333333407063</v>
      </c>
      <c r="M1958" s="22" cm="1">
        <f ca="1" t="array" ref="M1958">SUMPRODUCT(--(WEEKDAY(ROW(INDIRECT(INT(F1958)&amp;":"&amp;INT(I1958))),2)&gt;5))</f>
        <v>0</v>
      </c>
      <c r="N1958" s="22">
        <f ca="1" t="shared" si="153"/>
        <v>0.933333333407063</v>
      </c>
      <c r="O1958" s="22" t="str">
        <f ca="1" t="shared" si="154"/>
        <v>Within SLA</v>
      </c>
      <c r="P1958" s="26" t="s">
        <v>7651</v>
      </c>
      <c r="Q1958" s="24" t="s">
        <v>37</v>
      </c>
      <c r="R1958" s="25"/>
      <c r="S1958" s="25"/>
    </row>
    <row r="1959" ht="27" customHeight="1" spans="1:19">
      <c r="A1959" s="19" t="s">
        <v>7655</v>
      </c>
      <c r="B1959" s="20" t="s">
        <v>30</v>
      </c>
      <c r="C1959" s="20" t="s">
        <v>849</v>
      </c>
      <c r="D1959" s="20" t="s">
        <v>32</v>
      </c>
      <c r="E1959" s="21" t="s">
        <v>7656</v>
      </c>
      <c r="F1959" s="21" t="s">
        <v>7600</v>
      </c>
      <c r="G1959" s="20" t="s">
        <v>35</v>
      </c>
      <c r="H1959" s="20" t="s">
        <v>25</v>
      </c>
      <c r="I1959" s="21" t="s">
        <v>7657</v>
      </c>
      <c r="J1959" s="22">
        <f t="shared" si="150"/>
        <v>1.9333333333343</v>
      </c>
      <c r="K1959" s="22">
        <f t="shared" si="151"/>
        <v>46.4000000000233</v>
      </c>
      <c r="L1959" s="22">
        <f t="shared" si="152"/>
        <v>14.4000000000233</v>
      </c>
      <c r="M1959" s="22" cm="1">
        <f ca="1" t="array" ref="M1959">SUMPRODUCT(--(WEEKDAY(ROW(INDIRECT(INT(F1959)&amp;":"&amp;INT(I1959))),2)&gt;5))</f>
        <v>0</v>
      </c>
      <c r="N1959" s="22">
        <f ca="1" t="shared" si="153"/>
        <v>14.4000000000233</v>
      </c>
      <c r="O1959" s="22" t="str">
        <f ca="1" t="shared" si="154"/>
        <v>SLA Violated</v>
      </c>
      <c r="P1959" s="23" t="s">
        <v>7658</v>
      </c>
      <c r="Q1959" s="24" t="s">
        <v>28</v>
      </c>
      <c r="R1959" s="25"/>
      <c r="S1959" s="25"/>
    </row>
    <row r="1960" ht="27" customHeight="1" spans="1:19">
      <c r="A1960" s="19" t="s">
        <v>7659</v>
      </c>
      <c r="B1960" s="20" t="s">
        <v>30</v>
      </c>
      <c r="C1960" s="20" t="s">
        <v>849</v>
      </c>
      <c r="D1960" s="20" t="s">
        <v>32</v>
      </c>
      <c r="E1960" s="21" t="s">
        <v>7660</v>
      </c>
      <c r="F1960" s="21" t="s">
        <v>7661</v>
      </c>
      <c r="G1960" s="20" t="s">
        <v>35</v>
      </c>
      <c r="H1960" s="20" t="s">
        <v>25</v>
      </c>
      <c r="I1960" s="21" t="s">
        <v>7662</v>
      </c>
      <c r="J1960" s="22">
        <f t="shared" si="150"/>
        <v>1.92361111111677</v>
      </c>
      <c r="K1960" s="22">
        <f t="shared" si="151"/>
        <v>46.1666666668025</v>
      </c>
      <c r="L1960" s="22">
        <f t="shared" si="152"/>
        <v>14.1666666668025</v>
      </c>
      <c r="M1960" s="22" cm="1">
        <f ca="1" t="array" ref="M1960">SUMPRODUCT(--(WEEKDAY(ROW(INDIRECT(INT(F1960)&amp;":"&amp;INT(I1960))),2)&gt;5))</f>
        <v>0</v>
      </c>
      <c r="N1960" s="22">
        <f ca="1" t="shared" si="153"/>
        <v>14.1666666668025</v>
      </c>
      <c r="O1960" s="22" t="str">
        <f ca="1" t="shared" si="154"/>
        <v>SLA Violated</v>
      </c>
      <c r="P1960" s="23" t="s">
        <v>7663</v>
      </c>
      <c r="Q1960" s="24" t="s">
        <v>28</v>
      </c>
      <c r="R1960" s="25"/>
      <c r="S1960" s="25"/>
    </row>
    <row r="1961" ht="27" customHeight="1" spans="1:19">
      <c r="A1961" s="19" t="s">
        <v>7664</v>
      </c>
      <c r="B1961" s="20" t="s">
        <v>30</v>
      </c>
      <c r="C1961" s="20" t="s">
        <v>31</v>
      </c>
      <c r="D1961" s="20" t="s">
        <v>32</v>
      </c>
      <c r="E1961" s="21" t="s">
        <v>4724</v>
      </c>
      <c r="F1961" s="21" t="s">
        <v>7665</v>
      </c>
      <c r="G1961" s="20" t="s">
        <v>35</v>
      </c>
      <c r="H1961" s="20" t="s">
        <v>25</v>
      </c>
      <c r="I1961" s="21" t="s">
        <v>7666</v>
      </c>
      <c r="J1961" s="22">
        <f t="shared" si="150"/>
        <v>18.2548611111124</v>
      </c>
      <c r="K1961" s="22">
        <f t="shared" si="151"/>
        <v>438.116666666698</v>
      </c>
      <c r="L1961" s="22">
        <f t="shared" si="152"/>
        <v>150.116666666698</v>
      </c>
      <c r="M1961" s="22" cm="1">
        <f ca="1" t="array" ref="M1961">SUMPRODUCT(--(WEEKDAY(ROW(INDIRECT(INT(F1961)&amp;":"&amp;INT(I1961))),2)&gt;5))</f>
        <v>6</v>
      </c>
      <c r="N1961" s="22">
        <f ca="1" t="shared" si="153"/>
        <v>102.116666666698</v>
      </c>
      <c r="O1961" s="22" t="str">
        <f ca="1" t="shared" si="154"/>
        <v>SLA Violated</v>
      </c>
      <c r="P1961" s="26" t="s">
        <v>7664</v>
      </c>
      <c r="Q1961" s="24" t="s">
        <v>28</v>
      </c>
      <c r="R1961" s="25"/>
      <c r="S1961" s="25"/>
    </row>
    <row r="1962" ht="27" customHeight="1" spans="1:19">
      <c r="A1962" s="19" t="s">
        <v>7667</v>
      </c>
      <c r="B1962" s="20" t="s">
        <v>30</v>
      </c>
      <c r="C1962" s="20" t="s">
        <v>46</v>
      </c>
      <c r="D1962" s="20" t="s">
        <v>32</v>
      </c>
      <c r="E1962" s="21" t="s">
        <v>7668</v>
      </c>
      <c r="F1962" s="21" t="s">
        <v>7669</v>
      </c>
      <c r="G1962" s="20" t="s">
        <v>35</v>
      </c>
      <c r="H1962" s="20" t="s">
        <v>25</v>
      </c>
      <c r="I1962" s="21" t="s">
        <v>7670</v>
      </c>
      <c r="J1962" s="22">
        <f t="shared" si="150"/>
        <v>0.913194444445253</v>
      </c>
      <c r="K1962" s="22">
        <f t="shared" si="151"/>
        <v>21.9166666666861</v>
      </c>
      <c r="L1962" s="22">
        <f t="shared" si="152"/>
        <v>5.91666666668607</v>
      </c>
      <c r="M1962" s="22" cm="1">
        <f ca="1" t="array" ref="M1962">SUMPRODUCT(--(WEEKDAY(ROW(INDIRECT(INT(F1962)&amp;":"&amp;INT(I1962))),2)&gt;5))</f>
        <v>0</v>
      </c>
      <c r="N1962" s="22">
        <f ca="1" t="shared" si="153"/>
        <v>5.91666666668607</v>
      </c>
      <c r="O1962" s="22" t="str">
        <f ca="1" t="shared" si="154"/>
        <v>Within SLA</v>
      </c>
      <c r="P1962" s="26" t="s">
        <v>7667</v>
      </c>
      <c r="Q1962" s="24" t="s">
        <v>37</v>
      </c>
      <c r="R1962" s="25"/>
      <c r="S1962" s="25"/>
    </row>
    <row r="1963" ht="27" customHeight="1" spans="1:19">
      <c r="A1963" s="19" t="s">
        <v>7671</v>
      </c>
      <c r="B1963" s="20" t="s">
        <v>30</v>
      </c>
      <c r="C1963" s="20" t="s">
        <v>849</v>
      </c>
      <c r="D1963" s="20" t="s">
        <v>32</v>
      </c>
      <c r="E1963" s="21" t="s">
        <v>7672</v>
      </c>
      <c r="F1963" s="21" t="s">
        <v>7661</v>
      </c>
      <c r="G1963" s="20" t="s">
        <v>35</v>
      </c>
      <c r="H1963" s="20" t="s">
        <v>25</v>
      </c>
      <c r="I1963" s="21" t="s">
        <v>7673</v>
      </c>
      <c r="J1963" s="22">
        <f t="shared" si="150"/>
        <v>1.90555555556057</v>
      </c>
      <c r="K1963" s="22">
        <f t="shared" si="151"/>
        <v>45.7333333334536</v>
      </c>
      <c r="L1963" s="22">
        <f t="shared" si="152"/>
        <v>13.7333333334536</v>
      </c>
      <c r="M1963" s="22" cm="1">
        <f ca="1" t="array" ref="M1963">SUMPRODUCT(--(WEEKDAY(ROW(INDIRECT(INT(F1963)&amp;":"&amp;INT(I1963))),2)&gt;5))</f>
        <v>0</v>
      </c>
      <c r="N1963" s="22">
        <f ca="1" t="shared" si="153"/>
        <v>13.7333333334536</v>
      </c>
      <c r="O1963" s="22" t="str">
        <f ca="1" t="shared" si="154"/>
        <v>SLA Violated</v>
      </c>
      <c r="P1963" s="23" t="s">
        <v>7674</v>
      </c>
      <c r="Q1963" s="24" t="s">
        <v>28</v>
      </c>
      <c r="R1963" s="25"/>
      <c r="S1963" s="25"/>
    </row>
    <row r="1964" ht="27" customHeight="1" spans="1:19">
      <c r="A1964" s="19" t="s">
        <v>7675</v>
      </c>
      <c r="B1964" s="20" t="s">
        <v>30</v>
      </c>
      <c r="C1964" s="20" t="s">
        <v>849</v>
      </c>
      <c r="D1964" s="20" t="s">
        <v>32</v>
      </c>
      <c r="E1964" s="21" t="s">
        <v>7676</v>
      </c>
      <c r="F1964" s="21" t="s">
        <v>7661</v>
      </c>
      <c r="G1964" s="20" t="s">
        <v>35</v>
      </c>
      <c r="H1964" s="20" t="s">
        <v>25</v>
      </c>
      <c r="I1964" s="21" t="s">
        <v>7677</v>
      </c>
      <c r="J1964" s="22">
        <f t="shared" si="150"/>
        <v>1.90486111111386</v>
      </c>
      <c r="K1964" s="22">
        <f t="shared" si="151"/>
        <v>45.7166666667326</v>
      </c>
      <c r="L1964" s="22">
        <f t="shared" si="152"/>
        <v>13.7166666667326</v>
      </c>
      <c r="M1964" s="22" cm="1">
        <f ca="1" t="array" ref="M1964">SUMPRODUCT(--(WEEKDAY(ROW(INDIRECT(INT(F1964)&amp;":"&amp;INT(I1964))),2)&gt;5))</f>
        <v>0</v>
      </c>
      <c r="N1964" s="22">
        <f ca="1" t="shared" si="153"/>
        <v>13.7166666667326</v>
      </c>
      <c r="O1964" s="22" t="str">
        <f ca="1" t="shared" si="154"/>
        <v>SLA Violated</v>
      </c>
      <c r="P1964" s="23" t="s">
        <v>7678</v>
      </c>
      <c r="Q1964" s="24" t="s">
        <v>28</v>
      </c>
      <c r="R1964" s="25"/>
      <c r="S1964" s="25"/>
    </row>
    <row r="1965" ht="27" customHeight="1" spans="1:19">
      <c r="A1965" s="19" t="s">
        <v>7679</v>
      </c>
      <c r="B1965" s="20" t="s">
        <v>30</v>
      </c>
      <c r="C1965" s="20" t="s">
        <v>31</v>
      </c>
      <c r="D1965" s="20" t="s">
        <v>32</v>
      </c>
      <c r="E1965" s="21" t="s">
        <v>7680</v>
      </c>
      <c r="F1965" s="21" t="s">
        <v>7681</v>
      </c>
      <c r="G1965" s="20" t="s">
        <v>35</v>
      </c>
      <c r="H1965" s="20" t="s">
        <v>25</v>
      </c>
      <c r="I1965" s="21" t="s">
        <v>7682</v>
      </c>
      <c r="J1965" s="22">
        <f t="shared" si="150"/>
        <v>25.070138888892</v>
      </c>
      <c r="K1965" s="22">
        <f t="shared" si="151"/>
        <v>601.683333333407</v>
      </c>
      <c r="L1965" s="22">
        <f t="shared" si="152"/>
        <v>201.683333333407</v>
      </c>
      <c r="M1965" s="22" cm="1">
        <f ca="1" t="array" ref="M1965">SUMPRODUCT(--(WEEKDAY(ROW(INDIRECT(INT(F1965)&amp;":"&amp;INT(I1965))),2)&gt;5))</f>
        <v>8</v>
      </c>
      <c r="N1965" s="22">
        <f ca="1" t="shared" si="153"/>
        <v>137.683333333407</v>
      </c>
      <c r="O1965" s="22" t="str">
        <f ca="1" t="shared" si="154"/>
        <v>SLA Violated</v>
      </c>
      <c r="P1965" s="26" t="s">
        <v>7679</v>
      </c>
      <c r="Q1965" s="24" t="s">
        <v>28</v>
      </c>
      <c r="R1965" s="25"/>
      <c r="S1965" s="25"/>
    </row>
    <row r="1966" ht="27" customHeight="1" spans="1:19">
      <c r="A1966" s="19" t="s">
        <v>7683</v>
      </c>
      <c r="B1966" s="20" t="s">
        <v>30</v>
      </c>
      <c r="C1966" s="20" t="s">
        <v>849</v>
      </c>
      <c r="D1966" s="20" t="s">
        <v>32</v>
      </c>
      <c r="E1966" s="21" t="s">
        <v>7684</v>
      </c>
      <c r="F1966" s="21" t="s">
        <v>7661</v>
      </c>
      <c r="G1966" s="20" t="s">
        <v>35</v>
      </c>
      <c r="H1966" s="20" t="s">
        <v>25</v>
      </c>
      <c r="I1966" s="21" t="s">
        <v>7685</v>
      </c>
      <c r="J1966" s="22">
        <f t="shared" si="150"/>
        <v>1.23819444444962</v>
      </c>
      <c r="K1966" s="22">
        <f t="shared" si="151"/>
        <v>29.7166666667908</v>
      </c>
      <c r="L1966" s="22">
        <f t="shared" si="152"/>
        <v>13.7166666667908</v>
      </c>
      <c r="M1966" s="22" cm="1">
        <f ca="1" t="array" ref="M1966">SUMPRODUCT(--(WEEKDAY(ROW(INDIRECT(INT(F1966)&amp;":"&amp;INT(I1966))),2)&gt;5))</f>
        <v>0</v>
      </c>
      <c r="N1966" s="22">
        <f ca="1" t="shared" si="153"/>
        <v>13.7166666667908</v>
      </c>
      <c r="O1966" s="22" t="str">
        <f ca="1" t="shared" si="154"/>
        <v>SLA Violated</v>
      </c>
      <c r="P1966" s="23" t="s">
        <v>7686</v>
      </c>
      <c r="Q1966" s="24" t="s">
        <v>28</v>
      </c>
      <c r="R1966" s="25"/>
      <c r="S1966" s="25"/>
    </row>
    <row r="1967" ht="27" customHeight="1" spans="1:19">
      <c r="A1967" s="19" t="s">
        <v>7687</v>
      </c>
      <c r="B1967" s="20" t="s">
        <v>30</v>
      </c>
      <c r="C1967" s="20" t="s">
        <v>31</v>
      </c>
      <c r="D1967" s="20" t="s">
        <v>32</v>
      </c>
      <c r="E1967" s="21" t="s">
        <v>7688</v>
      </c>
      <c r="F1967" s="21" t="s">
        <v>7390</v>
      </c>
      <c r="G1967" s="20" t="s">
        <v>35</v>
      </c>
      <c r="H1967" s="20" t="s">
        <v>25</v>
      </c>
      <c r="I1967" s="21" t="s">
        <v>7689</v>
      </c>
      <c r="J1967" s="22">
        <f t="shared" si="150"/>
        <v>15.0451388888905</v>
      </c>
      <c r="K1967" s="22">
        <f t="shared" si="151"/>
        <v>361.083333333372</v>
      </c>
      <c r="L1967" s="22">
        <f t="shared" si="152"/>
        <v>121.083333333372</v>
      </c>
      <c r="M1967" s="22" cm="1">
        <f ca="1" t="array" ref="M1967">SUMPRODUCT(--(WEEKDAY(ROW(INDIRECT(INT(F1967)&amp;":"&amp;INT(I1967))),2)&gt;5))</f>
        <v>4</v>
      </c>
      <c r="N1967" s="22">
        <f ca="1" t="shared" si="153"/>
        <v>89.083333333372</v>
      </c>
      <c r="O1967" s="22" t="str">
        <f ca="1" t="shared" si="154"/>
        <v>SLA Violated</v>
      </c>
      <c r="P1967" s="26" t="s">
        <v>7687</v>
      </c>
      <c r="Q1967" s="24" t="s">
        <v>28</v>
      </c>
      <c r="R1967" s="25"/>
      <c r="S1967" s="25"/>
    </row>
    <row r="1968" ht="39" customHeight="1" spans="1:19">
      <c r="A1968" s="19" t="s">
        <v>7690</v>
      </c>
      <c r="B1968" s="20" t="s">
        <v>19</v>
      </c>
      <c r="C1968" s="20" t="s">
        <v>20</v>
      </c>
      <c r="D1968" s="20" t="s">
        <v>32</v>
      </c>
      <c r="E1968" s="21" t="s">
        <v>7613</v>
      </c>
      <c r="F1968" s="21" t="s">
        <v>7691</v>
      </c>
      <c r="G1968" s="20" t="s">
        <v>35</v>
      </c>
      <c r="H1968" s="20" t="s">
        <v>25</v>
      </c>
      <c r="I1968" s="21" t="s">
        <v>7692</v>
      </c>
      <c r="J1968" s="22">
        <f t="shared" si="150"/>
        <v>0.188888888893416</v>
      </c>
      <c r="K1968" s="22">
        <f t="shared" si="151"/>
        <v>4.53333333344199</v>
      </c>
      <c r="L1968" s="22">
        <f t="shared" si="152"/>
        <v>4.53333333344199</v>
      </c>
      <c r="M1968" s="22" cm="1">
        <f ca="1" t="array" ref="M1968">SUMPRODUCT(--(WEEKDAY(ROW(INDIRECT(INT(F1968)&amp;":"&amp;INT(I1968))),2)&gt;5))</f>
        <v>0</v>
      </c>
      <c r="N1968" s="22">
        <f ca="1" t="shared" si="153"/>
        <v>4.53333333344199</v>
      </c>
      <c r="O1968" s="22" t="str">
        <f ca="1" t="shared" si="154"/>
        <v>Within SLA</v>
      </c>
      <c r="P1968" s="26" t="s">
        <v>7690</v>
      </c>
      <c r="Q1968" s="24" t="s">
        <v>37</v>
      </c>
      <c r="R1968" s="25"/>
      <c r="S1968" s="25"/>
    </row>
    <row r="1969" ht="39" customHeight="1" spans="1:19">
      <c r="A1969" s="19" t="s">
        <v>7693</v>
      </c>
      <c r="B1969" s="20" t="s">
        <v>19</v>
      </c>
      <c r="C1969" s="20" t="s">
        <v>20</v>
      </c>
      <c r="D1969" s="20" t="s">
        <v>32</v>
      </c>
      <c r="E1969" s="21" t="s">
        <v>7694</v>
      </c>
      <c r="F1969" s="21" t="s">
        <v>7695</v>
      </c>
      <c r="G1969" s="20" t="s">
        <v>35</v>
      </c>
      <c r="H1969" s="20" t="s">
        <v>25</v>
      </c>
      <c r="I1969" s="21" t="s">
        <v>7696</v>
      </c>
      <c r="J1969" s="22">
        <f t="shared" si="150"/>
        <v>0.166666666664241</v>
      </c>
      <c r="K1969" s="22">
        <f t="shared" si="151"/>
        <v>3.99999999994179</v>
      </c>
      <c r="L1969" s="22">
        <f t="shared" si="152"/>
        <v>3.99999999994179</v>
      </c>
      <c r="M1969" s="22" cm="1">
        <f ca="1" t="array" ref="M1969">SUMPRODUCT(--(WEEKDAY(ROW(INDIRECT(INT(F1969)&amp;":"&amp;INT(I1969))),2)&gt;5))</f>
        <v>0</v>
      </c>
      <c r="N1969" s="22">
        <f ca="1" t="shared" si="153"/>
        <v>3.99999999994179</v>
      </c>
      <c r="O1969" s="22" t="str">
        <f ca="1" t="shared" si="154"/>
        <v>Within SLA</v>
      </c>
      <c r="P1969" s="26" t="s">
        <v>7693</v>
      </c>
      <c r="Q1969" s="24" t="s">
        <v>37</v>
      </c>
      <c r="R1969" s="25"/>
      <c r="S1969" s="25"/>
    </row>
    <row r="1970" ht="27" customHeight="1" spans="1:19">
      <c r="A1970" s="19" t="s">
        <v>7697</v>
      </c>
      <c r="B1970" s="20" t="s">
        <v>30</v>
      </c>
      <c r="C1970" s="20" t="s">
        <v>31</v>
      </c>
      <c r="D1970" s="20" t="s">
        <v>32</v>
      </c>
      <c r="E1970" s="21" t="s">
        <v>7698</v>
      </c>
      <c r="F1970" s="21" t="s">
        <v>7699</v>
      </c>
      <c r="G1970" s="20" t="s">
        <v>35</v>
      </c>
      <c r="H1970" s="20" t="s">
        <v>25</v>
      </c>
      <c r="I1970" s="21" t="s">
        <v>7700</v>
      </c>
      <c r="J1970" s="22">
        <f t="shared" si="150"/>
        <v>15.9618055555547</v>
      </c>
      <c r="K1970" s="22">
        <f t="shared" si="151"/>
        <v>383.083333333314</v>
      </c>
      <c r="L1970" s="22">
        <f t="shared" si="152"/>
        <v>127.083333333314</v>
      </c>
      <c r="M1970" s="22" cm="1">
        <f ca="1" t="array" ref="M1970">SUMPRODUCT(--(WEEKDAY(ROW(INDIRECT(INT(F1970)&amp;":"&amp;INT(I1970))),2)&gt;5))</f>
        <v>5</v>
      </c>
      <c r="N1970" s="22">
        <f ca="1" t="shared" si="153"/>
        <v>87.083333333314</v>
      </c>
      <c r="O1970" s="22" t="str">
        <f ca="1" t="shared" si="154"/>
        <v>SLA Violated</v>
      </c>
      <c r="P1970" s="26" t="s">
        <v>7697</v>
      </c>
      <c r="Q1970" s="24" t="s">
        <v>28</v>
      </c>
      <c r="R1970" s="25"/>
      <c r="S1970" s="25"/>
    </row>
    <row r="1971" ht="39" customHeight="1" spans="1:19">
      <c r="A1971" s="19" t="s">
        <v>7701</v>
      </c>
      <c r="B1971" s="20" t="s">
        <v>19</v>
      </c>
      <c r="C1971" s="20" t="s">
        <v>20</v>
      </c>
      <c r="D1971" s="20" t="s">
        <v>32</v>
      </c>
      <c r="E1971" s="21" t="s">
        <v>7702</v>
      </c>
      <c r="F1971" s="21" t="s">
        <v>7703</v>
      </c>
      <c r="G1971" s="20" t="s">
        <v>35</v>
      </c>
      <c r="H1971" s="20" t="s">
        <v>25</v>
      </c>
      <c r="I1971" s="21" t="s">
        <v>7704</v>
      </c>
      <c r="J1971" s="22">
        <f t="shared" si="150"/>
        <v>0.0187500000029104</v>
      </c>
      <c r="K1971" s="22">
        <f t="shared" si="151"/>
        <v>0.450000000069849</v>
      </c>
      <c r="L1971" s="22">
        <f t="shared" si="152"/>
        <v>0.450000000069849</v>
      </c>
      <c r="M1971" s="22" cm="1">
        <f ca="1" t="array" ref="M1971">SUMPRODUCT(--(WEEKDAY(ROW(INDIRECT(INT(F1971)&amp;":"&amp;INT(I1971))),2)&gt;5))</f>
        <v>0</v>
      </c>
      <c r="N1971" s="22">
        <f ca="1" t="shared" si="153"/>
        <v>0.450000000069849</v>
      </c>
      <c r="O1971" s="22" t="str">
        <f ca="1" t="shared" si="154"/>
        <v>Within SLA</v>
      </c>
      <c r="P1971" s="26" t="s">
        <v>7701</v>
      </c>
      <c r="Q1971" s="24" t="s">
        <v>37</v>
      </c>
      <c r="R1971" s="25"/>
      <c r="S1971" s="25"/>
    </row>
    <row r="1972" ht="39" customHeight="1" spans="1:19">
      <c r="A1972" s="19" t="s">
        <v>7705</v>
      </c>
      <c r="B1972" s="20" t="s">
        <v>19</v>
      </c>
      <c r="C1972" s="20" t="s">
        <v>20</v>
      </c>
      <c r="D1972" s="20" t="s">
        <v>32</v>
      </c>
      <c r="E1972" s="21" t="s">
        <v>7706</v>
      </c>
      <c r="F1972" s="21" t="s">
        <v>7707</v>
      </c>
      <c r="G1972" s="20" t="s">
        <v>35</v>
      </c>
      <c r="H1972" s="20" t="s">
        <v>25</v>
      </c>
      <c r="I1972" s="21" t="s">
        <v>7708</v>
      </c>
      <c r="J1972" s="22">
        <f t="shared" si="150"/>
        <v>0.0201388888890506</v>
      </c>
      <c r="K1972" s="22">
        <f t="shared" si="151"/>
        <v>0.483333333337214</v>
      </c>
      <c r="L1972" s="22">
        <f t="shared" si="152"/>
        <v>0.483333333337214</v>
      </c>
      <c r="M1972" s="22" cm="1">
        <f ca="1" t="array" ref="M1972">SUMPRODUCT(--(WEEKDAY(ROW(INDIRECT(INT(F1972)&amp;":"&amp;INT(I1972))),2)&gt;5))</f>
        <v>0</v>
      </c>
      <c r="N1972" s="22">
        <f ca="1" t="shared" si="153"/>
        <v>0.483333333337214</v>
      </c>
      <c r="O1972" s="22" t="str">
        <f ca="1" t="shared" si="154"/>
        <v>Within SLA</v>
      </c>
      <c r="P1972" s="26" t="s">
        <v>7705</v>
      </c>
      <c r="Q1972" s="24" t="s">
        <v>37</v>
      </c>
      <c r="R1972" s="25"/>
      <c r="S1972" s="25"/>
    </row>
    <row r="1973" ht="27" customHeight="1" spans="1:19">
      <c r="A1973" s="19" t="s">
        <v>7709</v>
      </c>
      <c r="B1973" s="20" t="s">
        <v>30</v>
      </c>
      <c r="C1973" s="20" t="s">
        <v>849</v>
      </c>
      <c r="D1973" s="20" t="s">
        <v>32</v>
      </c>
      <c r="E1973" s="21" t="s">
        <v>7710</v>
      </c>
      <c r="F1973" s="21" t="s">
        <v>7711</v>
      </c>
      <c r="G1973" s="20" t="s">
        <v>35</v>
      </c>
      <c r="H1973" s="20" t="s">
        <v>25</v>
      </c>
      <c r="I1973" s="21" t="s">
        <v>7712</v>
      </c>
      <c r="J1973" s="22">
        <f t="shared" si="150"/>
        <v>1.2006944444438</v>
      </c>
      <c r="K1973" s="22">
        <f t="shared" si="151"/>
        <v>28.8166666666511</v>
      </c>
      <c r="L1973" s="22">
        <f t="shared" si="152"/>
        <v>12.8166666666511</v>
      </c>
      <c r="M1973" s="22" cm="1">
        <f ca="1" t="array" ref="M1973">SUMPRODUCT(--(WEEKDAY(ROW(INDIRECT(INT(F1973)&amp;":"&amp;INT(I1973))),2)&gt;5))</f>
        <v>0</v>
      </c>
      <c r="N1973" s="22">
        <f ca="1" t="shared" si="153"/>
        <v>12.8166666666511</v>
      </c>
      <c r="O1973" s="22" t="str">
        <f ca="1" t="shared" si="154"/>
        <v>SLA Violated</v>
      </c>
      <c r="P1973" s="23" t="s">
        <v>7713</v>
      </c>
      <c r="Q1973" s="24" t="s">
        <v>28</v>
      </c>
      <c r="R1973" s="25"/>
      <c r="S1973" s="25"/>
    </row>
    <row r="1974" ht="27" customHeight="1" spans="1:19">
      <c r="A1974" s="19" t="s">
        <v>7714</v>
      </c>
      <c r="B1974" s="20" t="s">
        <v>30</v>
      </c>
      <c r="C1974" s="20" t="s">
        <v>31</v>
      </c>
      <c r="D1974" s="20" t="s">
        <v>21</v>
      </c>
      <c r="E1974" s="21" t="s">
        <v>7715</v>
      </c>
      <c r="F1974" s="21" t="s">
        <v>7716</v>
      </c>
      <c r="G1974" s="20" t="s">
        <v>35</v>
      </c>
      <c r="H1974" s="20" t="s">
        <v>25</v>
      </c>
      <c r="I1974" s="21" t="s">
        <v>7717</v>
      </c>
      <c r="J1974" s="22">
        <f t="shared" si="150"/>
        <v>12.9513888888905</v>
      </c>
      <c r="K1974" s="22">
        <f t="shared" si="151"/>
        <v>310.833333333372</v>
      </c>
      <c r="L1974" s="22">
        <f t="shared" si="152"/>
        <v>102.833333333372</v>
      </c>
      <c r="M1974" s="22" cm="1">
        <f ca="1" t="array" ref="M1974">SUMPRODUCT(--(WEEKDAY(ROW(INDIRECT(INT(F1974)&amp;":"&amp;INT(I1974))),2)&gt;5))</f>
        <v>4</v>
      </c>
      <c r="N1974" s="22">
        <f ca="1" t="shared" si="153"/>
        <v>70.833333333372</v>
      </c>
      <c r="O1974" s="22" t="str">
        <f ca="1" t="shared" si="154"/>
        <v>SLA Violated</v>
      </c>
      <c r="P1974" s="23" t="s">
        <v>7718</v>
      </c>
      <c r="Q1974" s="24" t="s">
        <v>28</v>
      </c>
      <c r="R1974" s="25"/>
      <c r="S1974" s="25"/>
    </row>
    <row r="1975" ht="27" customHeight="1" spans="1:19">
      <c r="A1975" s="19" t="s">
        <v>7719</v>
      </c>
      <c r="B1975" s="20" t="s">
        <v>30</v>
      </c>
      <c r="C1975" s="20" t="s">
        <v>31</v>
      </c>
      <c r="D1975" s="20" t="s">
        <v>32</v>
      </c>
      <c r="E1975" s="21" t="s">
        <v>7715</v>
      </c>
      <c r="F1975" s="21" t="s">
        <v>7720</v>
      </c>
      <c r="G1975" s="20" t="s">
        <v>35</v>
      </c>
      <c r="H1975" s="20" t="s">
        <v>25</v>
      </c>
      <c r="I1975" s="21" t="s">
        <v>7721</v>
      </c>
      <c r="J1975" s="22">
        <f t="shared" si="150"/>
        <v>0.913888888891961</v>
      </c>
      <c r="K1975" s="22">
        <f t="shared" si="151"/>
        <v>21.9333333334071</v>
      </c>
      <c r="L1975" s="22">
        <f t="shared" si="152"/>
        <v>5.93333333340706</v>
      </c>
      <c r="M1975" s="22" cm="1">
        <f ca="1" t="array" ref="M1975">SUMPRODUCT(--(WEEKDAY(ROW(INDIRECT(INT(F1975)&amp;":"&amp;INT(I1975))),2)&gt;5))</f>
        <v>0</v>
      </c>
      <c r="N1975" s="22">
        <f ca="1" t="shared" si="153"/>
        <v>5.93333333340706</v>
      </c>
      <c r="O1975" s="22" t="str">
        <f ca="1" t="shared" si="154"/>
        <v>Within SLA</v>
      </c>
      <c r="P1975" s="26" t="s">
        <v>7719</v>
      </c>
      <c r="Q1975" s="24" t="s">
        <v>37</v>
      </c>
      <c r="R1975" s="25"/>
      <c r="S1975" s="25"/>
    </row>
    <row r="1976" ht="27" customHeight="1" spans="1:19">
      <c r="A1976" s="19" t="s">
        <v>7722</v>
      </c>
      <c r="B1976" s="20" t="s">
        <v>139</v>
      </c>
      <c r="C1976" s="20" t="s">
        <v>2057</v>
      </c>
      <c r="D1976" s="20" t="s">
        <v>32</v>
      </c>
      <c r="E1976" s="21" t="s">
        <v>7712</v>
      </c>
      <c r="F1976" s="21" t="s">
        <v>7723</v>
      </c>
      <c r="G1976" s="20" t="s">
        <v>24</v>
      </c>
      <c r="H1976" s="20" t="s">
        <v>25</v>
      </c>
      <c r="I1976" s="21" t="s">
        <v>7724</v>
      </c>
      <c r="J1976" s="22">
        <f t="shared" si="150"/>
        <v>5.00972222222481</v>
      </c>
      <c r="K1976" s="22">
        <f t="shared" si="151"/>
        <v>120.233333333395</v>
      </c>
      <c r="L1976" s="22">
        <f t="shared" si="152"/>
        <v>40.2333333333954</v>
      </c>
      <c r="M1976" s="22" cm="1">
        <f ca="1" t="array" ref="M1976">SUMPRODUCT(--(WEEKDAY(ROW(INDIRECT(INT(F1976)&amp;":"&amp;INT(I1976))),2)&gt;5))</f>
        <v>2</v>
      </c>
      <c r="N1976" s="22">
        <f ca="1" t="shared" si="153"/>
        <v>24.2333333333954</v>
      </c>
      <c r="O1976" s="22" t="str">
        <f ca="1" t="shared" si="154"/>
        <v>SLA Violated</v>
      </c>
      <c r="P1976" s="23" t="s">
        <v>7725</v>
      </c>
      <c r="Q1976" s="24" t="s">
        <v>37</v>
      </c>
      <c r="R1976" s="25" t="s">
        <v>7726</v>
      </c>
      <c r="S1976" s="25" t="s">
        <v>39</v>
      </c>
    </row>
    <row r="1977" ht="27" customHeight="1" spans="1:19">
      <c r="A1977" s="19" t="s">
        <v>7727</v>
      </c>
      <c r="B1977" s="20" t="s">
        <v>30</v>
      </c>
      <c r="C1977" s="20" t="s">
        <v>46</v>
      </c>
      <c r="D1977" s="20" t="s">
        <v>32</v>
      </c>
      <c r="E1977" s="21" t="s">
        <v>7712</v>
      </c>
      <c r="F1977" s="21" t="s">
        <v>7728</v>
      </c>
      <c r="G1977" s="20" t="s">
        <v>35</v>
      </c>
      <c r="H1977" s="20" t="s">
        <v>25</v>
      </c>
      <c r="I1977" s="21" t="s">
        <v>7729</v>
      </c>
      <c r="J1977" s="22">
        <f t="shared" si="150"/>
        <v>0.260416666664241</v>
      </c>
      <c r="K1977" s="22">
        <f t="shared" si="151"/>
        <v>6.24999999994179</v>
      </c>
      <c r="L1977" s="22">
        <f t="shared" si="152"/>
        <v>6.24999999994179</v>
      </c>
      <c r="M1977" s="22" cm="1">
        <f ca="1" t="array" ref="M1977">SUMPRODUCT(--(WEEKDAY(ROW(INDIRECT(INT(F1977)&amp;":"&amp;INT(I1977))),2)&gt;5))</f>
        <v>0</v>
      </c>
      <c r="N1977" s="22">
        <f ca="1" t="shared" si="153"/>
        <v>6.24999999994179</v>
      </c>
      <c r="O1977" s="22" t="str">
        <f ca="1" t="shared" si="154"/>
        <v>Within SLA</v>
      </c>
      <c r="P1977" s="26" t="s">
        <v>7727</v>
      </c>
      <c r="Q1977" s="24" t="s">
        <v>37</v>
      </c>
      <c r="R1977" s="25"/>
      <c r="S1977" s="25"/>
    </row>
    <row r="1978" ht="27" customHeight="1" spans="1:19">
      <c r="A1978" s="19" t="s">
        <v>7730</v>
      </c>
      <c r="B1978" s="20" t="s">
        <v>30</v>
      </c>
      <c r="C1978" s="20" t="s">
        <v>31</v>
      </c>
      <c r="D1978" s="20" t="s">
        <v>115</v>
      </c>
      <c r="E1978" s="21" t="s">
        <v>7731</v>
      </c>
      <c r="F1978" s="21" t="s">
        <v>7732</v>
      </c>
      <c r="G1978" s="20" t="s">
        <v>35</v>
      </c>
      <c r="H1978" s="20" t="s">
        <v>25</v>
      </c>
      <c r="I1978" s="21" t="s">
        <v>7733</v>
      </c>
      <c r="J1978" s="22">
        <f t="shared" si="150"/>
        <v>15.2506944444467</v>
      </c>
      <c r="K1978" s="22">
        <f t="shared" si="151"/>
        <v>366.016666666721</v>
      </c>
      <c r="L1978" s="22">
        <f t="shared" si="152"/>
        <v>126.016666666721</v>
      </c>
      <c r="M1978" s="22" cm="1">
        <f ca="1" t="array" ref="M1978">SUMPRODUCT(--(WEEKDAY(ROW(INDIRECT(INT(F1978)&amp;":"&amp;INT(I1978))),2)&gt;5))</f>
        <v>4</v>
      </c>
      <c r="N1978" s="22">
        <f ca="1" t="shared" si="153"/>
        <v>94.016666666721</v>
      </c>
      <c r="O1978" s="22" t="str">
        <f ca="1" t="shared" si="154"/>
        <v>SLA Violated</v>
      </c>
      <c r="P1978" s="23" t="s">
        <v>7734</v>
      </c>
      <c r="Q1978" s="24" t="s">
        <v>37</v>
      </c>
      <c r="R1978" s="25" t="s">
        <v>6040</v>
      </c>
      <c r="S1978" s="25" t="s">
        <v>39</v>
      </c>
    </row>
    <row r="1979" ht="27" customHeight="1" spans="1:19">
      <c r="A1979" s="19" t="s">
        <v>7735</v>
      </c>
      <c r="B1979" s="20" t="s">
        <v>30</v>
      </c>
      <c r="C1979" s="20" t="s">
        <v>849</v>
      </c>
      <c r="D1979" s="20" t="s">
        <v>32</v>
      </c>
      <c r="E1979" s="21" t="s">
        <v>7736</v>
      </c>
      <c r="F1979" s="21" t="s">
        <v>7711</v>
      </c>
      <c r="G1979" s="20" t="s">
        <v>35</v>
      </c>
      <c r="H1979" s="20" t="s">
        <v>25</v>
      </c>
      <c r="I1979" s="21" t="s">
        <v>7737</v>
      </c>
      <c r="J1979" s="22">
        <f t="shared" si="150"/>
        <v>1.16736111111095</v>
      </c>
      <c r="K1979" s="22">
        <f t="shared" si="151"/>
        <v>28.0166666666628</v>
      </c>
      <c r="L1979" s="22">
        <f t="shared" si="152"/>
        <v>12.0166666666628</v>
      </c>
      <c r="M1979" s="22" cm="1">
        <f ca="1" t="array" ref="M1979">SUMPRODUCT(--(WEEKDAY(ROW(INDIRECT(INT(F1979)&amp;":"&amp;INT(I1979))),2)&gt;5))</f>
        <v>0</v>
      </c>
      <c r="N1979" s="22">
        <f ca="1" t="shared" si="153"/>
        <v>12.0166666666628</v>
      </c>
      <c r="O1979" s="22" t="str">
        <f ca="1" t="shared" si="154"/>
        <v>SLA Violated</v>
      </c>
      <c r="P1979" s="23" t="s">
        <v>7738</v>
      </c>
      <c r="Q1979" s="24" t="s">
        <v>28</v>
      </c>
      <c r="R1979" s="25"/>
      <c r="S1979" s="25"/>
    </row>
    <row r="1980" ht="27" customHeight="1" spans="1:19">
      <c r="A1980" s="19" t="s">
        <v>7739</v>
      </c>
      <c r="B1980" s="20" t="s">
        <v>30</v>
      </c>
      <c r="C1980" s="20" t="s">
        <v>849</v>
      </c>
      <c r="D1980" s="20" t="s">
        <v>105</v>
      </c>
      <c r="E1980" s="21" t="s">
        <v>7740</v>
      </c>
      <c r="F1980" s="21" t="s">
        <v>7741</v>
      </c>
      <c r="G1980" s="20" t="s">
        <v>35</v>
      </c>
      <c r="H1980" s="20" t="s">
        <v>25</v>
      </c>
      <c r="I1980" s="21" t="s">
        <v>7742</v>
      </c>
      <c r="J1980" s="22">
        <f t="shared" si="150"/>
        <v>11.0770833333372</v>
      </c>
      <c r="K1980" s="22">
        <f t="shared" si="151"/>
        <v>265.850000000093</v>
      </c>
      <c r="L1980" s="22">
        <f t="shared" si="152"/>
        <v>89.8500000000931</v>
      </c>
      <c r="M1980" s="22" cm="1">
        <f ca="1" t="array" ref="M1980">SUMPRODUCT(--(WEEKDAY(ROW(INDIRECT(INT(F1980)&amp;":"&amp;INT(I1980))),2)&gt;5))</f>
        <v>4</v>
      </c>
      <c r="N1980" s="22">
        <f ca="1" t="shared" si="153"/>
        <v>57.8500000000931</v>
      </c>
      <c r="O1980" s="22" t="str">
        <f ca="1" t="shared" si="154"/>
        <v>SLA Violated</v>
      </c>
      <c r="P1980" s="23" t="s">
        <v>7743</v>
      </c>
      <c r="Q1980" s="24" t="s">
        <v>28</v>
      </c>
      <c r="R1980" s="25"/>
      <c r="S1980" s="25"/>
    </row>
    <row r="1981" ht="27" customHeight="1" spans="1:19">
      <c r="A1981" s="19" t="s">
        <v>7744</v>
      </c>
      <c r="B1981" s="20" t="s">
        <v>30</v>
      </c>
      <c r="C1981" s="20" t="s">
        <v>849</v>
      </c>
      <c r="D1981" s="20" t="s">
        <v>105</v>
      </c>
      <c r="E1981" s="21" t="s">
        <v>3188</v>
      </c>
      <c r="F1981" s="21" t="s">
        <v>7745</v>
      </c>
      <c r="G1981" s="20" t="s">
        <v>35</v>
      </c>
      <c r="H1981" s="20" t="s">
        <v>25</v>
      </c>
      <c r="I1981" s="21" t="s">
        <v>7746</v>
      </c>
      <c r="J1981" s="22">
        <f t="shared" si="150"/>
        <v>11.1986111111109</v>
      </c>
      <c r="K1981" s="22">
        <f t="shared" si="151"/>
        <v>268.766666666663</v>
      </c>
      <c r="L1981" s="22">
        <f t="shared" si="152"/>
        <v>92.7666666666628</v>
      </c>
      <c r="M1981" s="22" cm="1">
        <f ca="1" t="array" ref="M1981">SUMPRODUCT(--(WEEKDAY(ROW(INDIRECT(INT(F1981)&amp;":"&amp;INT(I1981))),2)&gt;5))</f>
        <v>4</v>
      </c>
      <c r="N1981" s="22">
        <f ca="1" t="shared" si="153"/>
        <v>60.7666666666628</v>
      </c>
      <c r="O1981" s="22" t="str">
        <f ca="1" t="shared" si="154"/>
        <v>SLA Violated</v>
      </c>
      <c r="P1981" s="23" t="s">
        <v>7747</v>
      </c>
      <c r="Q1981" s="24" t="s">
        <v>28</v>
      </c>
      <c r="R1981" s="25"/>
      <c r="S1981" s="25"/>
    </row>
    <row r="1982" ht="27" customHeight="1" spans="1:19">
      <c r="A1982" s="19" t="s">
        <v>7748</v>
      </c>
      <c r="B1982" s="20" t="s">
        <v>30</v>
      </c>
      <c r="C1982" s="20" t="s">
        <v>31</v>
      </c>
      <c r="D1982" s="20" t="s">
        <v>21</v>
      </c>
      <c r="E1982" s="21" t="s">
        <v>7749</v>
      </c>
      <c r="F1982" s="21" t="s">
        <v>7750</v>
      </c>
      <c r="G1982" s="20" t="s">
        <v>35</v>
      </c>
      <c r="H1982" s="20" t="s">
        <v>25</v>
      </c>
      <c r="I1982" s="21" t="s">
        <v>7751</v>
      </c>
      <c r="J1982" s="22">
        <f t="shared" si="150"/>
        <v>20.0756944444438</v>
      </c>
      <c r="K1982" s="22">
        <f t="shared" si="151"/>
        <v>481.816666666651</v>
      </c>
      <c r="L1982" s="22">
        <f t="shared" si="152"/>
        <v>161.816666666651</v>
      </c>
      <c r="M1982" s="22" cm="1">
        <f ca="1" t="array" ref="M1982">SUMPRODUCT(--(WEEKDAY(ROW(INDIRECT(INT(F1982)&amp;":"&amp;INT(I1982))),2)&gt;5))</f>
        <v>6</v>
      </c>
      <c r="N1982" s="22">
        <f ca="1" t="shared" si="153"/>
        <v>113.816666666651</v>
      </c>
      <c r="O1982" s="22" t="str">
        <f ca="1" t="shared" si="154"/>
        <v>SLA Violated</v>
      </c>
      <c r="P1982" s="23" t="s">
        <v>7752</v>
      </c>
      <c r="Q1982" s="24" t="s">
        <v>37</v>
      </c>
      <c r="R1982" s="25" t="s">
        <v>4805</v>
      </c>
      <c r="S1982" s="25" t="s">
        <v>39</v>
      </c>
    </row>
    <row r="1983" ht="27" customHeight="1" spans="1:19">
      <c r="A1983" s="19" t="s">
        <v>7753</v>
      </c>
      <c r="B1983" s="20" t="s">
        <v>139</v>
      </c>
      <c r="C1983" s="20" t="s">
        <v>46</v>
      </c>
      <c r="D1983" s="20" t="s">
        <v>32</v>
      </c>
      <c r="E1983" s="21" t="s">
        <v>7754</v>
      </c>
      <c r="F1983" s="21" t="s">
        <v>7755</v>
      </c>
      <c r="G1983" s="20" t="s">
        <v>35</v>
      </c>
      <c r="H1983" s="20" t="s">
        <v>25</v>
      </c>
      <c r="I1983" s="21" t="s">
        <v>7756</v>
      </c>
      <c r="J1983" s="22">
        <f t="shared" si="150"/>
        <v>0.147222222221899</v>
      </c>
      <c r="K1983" s="22">
        <f t="shared" si="151"/>
        <v>3.53333333332557</v>
      </c>
      <c r="L1983" s="22">
        <f t="shared" si="152"/>
        <v>3.53333333332557</v>
      </c>
      <c r="M1983" s="22" cm="1">
        <f ca="1" t="array" ref="M1983">SUMPRODUCT(--(WEEKDAY(ROW(INDIRECT(INT(F1983)&amp;":"&amp;INT(I1983))),2)&gt;5))</f>
        <v>0</v>
      </c>
      <c r="N1983" s="22">
        <f ca="1" t="shared" si="153"/>
        <v>3.53333333332557</v>
      </c>
      <c r="O1983" s="22" t="str">
        <f ca="1" t="shared" si="154"/>
        <v>Within SLA</v>
      </c>
      <c r="P1983" s="26" t="s">
        <v>7753</v>
      </c>
      <c r="Q1983" s="24" t="s">
        <v>37</v>
      </c>
      <c r="R1983" s="25"/>
      <c r="S1983" s="25"/>
    </row>
    <row r="1984" ht="27" customHeight="1" spans="1:19">
      <c r="A1984" s="19" t="s">
        <v>7757</v>
      </c>
      <c r="B1984" s="20" t="s">
        <v>30</v>
      </c>
      <c r="C1984" s="20" t="s">
        <v>31</v>
      </c>
      <c r="D1984" s="20" t="s">
        <v>32</v>
      </c>
      <c r="E1984" s="21" t="s">
        <v>7758</v>
      </c>
      <c r="F1984" s="21" t="s">
        <v>7759</v>
      </c>
      <c r="G1984" s="20" t="s">
        <v>35</v>
      </c>
      <c r="H1984" s="20" t="s">
        <v>25</v>
      </c>
      <c r="I1984" s="21" t="s">
        <v>7760</v>
      </c>
      <c r="J1984" s="22">
        <f t="shared" si="150"/>
        <v>20.0958333333328</v>
      </c>
      <c r="K1984" s="22">
        <f t="shared" si="151"/>
        <v>482.299999999988</v>
      </c>
      <c r="L1984" s="22">
        <f t="shared" si="152"/>
        <v>162.299999999988</v>
      </c>
      <c r="M1984" s="22" cm="1">
        <f ca="1" t="array" ref="M1984">SUMPRODUCT(--(WEEKDAY(ROW(INDIRECT(INT(F1984)&amp;":"&amp;INT(I1984))),2)&gt;5))</f>
        <v>6</v>
      </c>
      <c r="N1984" s="22">
        <f ca="1" t="shared" si="153"/>
        <v>114.299999999988</v>
      </c>
      <c r="O1984" s="22" t="str">
        <f ca="1" t="shared" si="154"/>
        <v>SLA Violated</v>
      </c>
      <c r="P1984" s="26" t="s">
        <v>7757</v>
      </c>
      <c r="Q1984" s="24" t="s">
        <v>28</v>
      </c>
      <c r="R1984" s="25"/>
      <c r="S1984" s="25"/>
    </row>
    <row r="1985" ht="39" customHeight="1" spans="1:19">
      <c r="A1985" s="19" t="s">
        <v>7761</v>
      </c>
      <c r="B1985" s="20" t="s">
        <v>19</v>
      </c>
      <c r="C1985" s="20" t="s">
        <v>20</v>
      </c>
      <c r="D1985" s="20" t="s">
        <v>32</v>
      </c>
      <c r="E1985" s="21" t="s">
        <v>7762</v>
      </c>
      <c r="F1985" s="21" t="s">
        <v>7763</v>
      </c>
      <c r="G1985" s="20" t="s">
        <v>35</v>
      </c>
      <c r="H1985" s="20" t="s">
        <v>25</v>
      </c>
      <c r="I1985" s="21" t="s">
        <v>7764</v>
      </c>
      <c r="J1985" s="22">
        <f t="shared" si="150"/>
        <v>0.0874999999941792</v>
      </c>
      <c r="K1985" s="22">
        <f t="shared" si="151"/>
        <v>2.0999999998603</v>
      </c>
      <c r="L1985" s="22">
        <f t="shared" si="152"/>
        <v>2.0999999998603</v>
      </c>
      <c r="M1985" s="22" cm="1">
        <f ca="1" t="array" ref="M1985">SUMPRODUCT(--(WEEKDAY(ROW(INDIRECT(INT(F1985)&amp;":"&amp;INT(I1985))),2)&gt;5))</f>
        <v>0</v>
      </c>
      <c r="N1985" s="22">
        <f ca="1" t="shared" si="153"/>
        <v>2.0999999998603</v>
      </c>
      <c r="O1985" s="22" t="str">
        <f ca="1" t="shared" si="154"/>
        <v>Within SLA</v>
      </c>
      <c r="P1985" s="26" t="s">
        <v>7761</v>
      </c>
      <c r="Q1985" s="24" t="s">
        <v>37</v>
      </c>
      <c r="R1985" s="25"/>
      <c r="S1985" s="25"/>
    </row>
    <row r="1986" ht="27" customHeight="1" spans="1:19">
      <c r="A1986" s="19" t="s">
        <v>7765</v>
      </c>
      <c r="B1986" s="20" t="s">
        <v>30</v>
      </c>
      <c r="C1986" s="20" t="s">
        <v>849</v>
      </c>
      <c r="D1986" s="20" t="s">
        <v>32</v>
      </c>
      <c r="E1986" s="21" t="s">
        <v>7766</v>
      </c>
      <c r="F1986" s="21" t="s">
        <v>7711</v>
      </c>
      <c r="G1986" s="20" t="s">
        <v>35</v>
      </c>
      <c r="H1986" s="20" t="s">
        <v>25</v>
      </c>
      <c r="I1986" s="21" t="s">
        <v>7767</v>
      </c>
      <c r="J1986" s="22">
        <f t="shared" si="150"/>
        <v>1.09513888888614</v>
      </c>
      <c r="K1986" s="22">
        <f t="shared" si="151"/>
        <v>26.2833333332674</v>
      </c>
      <c r="L1986" s="22">
        <f t="shared" si="152"/>
        <v>10.2833333332674</v>
      </c>
      <c r="M1986" s="22" cm="1">
        <f ca="1" t="array" ref="M1986">SUMPRODUCT(--(WEEKDAY(ROW(INDIRECT(INT(F1986)&amp;":"&amp;INT(I1986))),2)&gt;5))</f>
        <v>0</v>
      </c>
      <c r="N1986" s="22">
        <f ca="1" t="shared" si="153"/>
        <v>10.2833333332674</v>
      </c>
      <c r="O1986" s="22" t="str">
        <f ca="1" t="shared" si="154"/>
        <v>Within SLA</v>
      </c>
      <c r="P1986" s="26" t="s">
        <v>7765</v>
      </c>
      <c r="Q1986" s="24" t="s">
        <v>37</v>
      </c>
      <c r="R1986" s="25"/>
      <c r="S1986" s="25"/>
    </row>
    <row r="1987" ht="39" customHeight="1" spans="1:19">
      <c r="A1987" s="19" t="s">
        <v>7768</v>
      </c>
      <c r="B1987" s="20" t="s">
        <v>19</v>
      </c>
      <c r="C1987" s="20" t="s">
        <v>20</v>
      </c>
      <c r="D1987" s="20" t="s">
        <v>32</v>
      </c>
      <c r="E1987" s="21" t="s">
        <v>7769</v>
      </c>
      <c r="F1987" s="21" t="s">
        <v>7770</v>
      </c>
      <c r="G1987" s="20" t="s">
        <v>24</v>
      </c>
      <c r="H1987" s="20" t="s">
        <v>25</v>
      </c>
      <c r="I1987" s="21" t="s">
        <v>7771</v>
      </c>
      <c r="J1987" s="22">
        <f t="shared" ref="J1987:J2050" si="155">F1987-I1987</f>
        <v>54.8104166666672</v>
      </c>
      <c r="K1987" s="22">
        <f t="shared" ref="K1987:K2050" si="156">J1987*24</f>
        <v>1315.45000000001</v>
      </c>
      <c r="L1987" s="22">
        <f t="shared" ref="L1987:L2050" si="157">IF(_xlfn.DAYS(F1987,I1987)&gt;0,K1987-IF(FLOOR(J1987,1)=0,1,_xlfn.DAYS(F1987,I1987))*16,K1987)</f>
        <v>435.450000000012</v>
      </c>
      <c r="M1987" s="22" cm="1">
        <f ca="1" t="array" ref="M1987">SUMPRODUCT(--(WEEKDAY(ROW(INDIRECT(INT(F1987)&amp;":"&amp;INT(I1987))),2)&gt;5))</f>
        <v>16</v>
      </c>
      <c r="N1987" s="22">
        <f ca="1" t="shared" ref="N1987:N2050" si="158">IF(IF(M1987&gt;0,L1987-M1987*8,L1987)&lt;0,0,IF(M1987&gt;0,L1987-M1987*8,L1987))</f>
        <v>307.450000000012</v>
      </c>
      <c r="O1987" s="22" t="str">
        <f ca="1" t="shared" ref="O1987:O2050" si="159">IF(OR(AND(D1987="P1",N1987&lt;=3),AND(D1987="P2",N1987&lt;=6),AND(D1987="P3",N1987&lt;=9),AND(D1987="P4",N1987&lt;=12)),"Within SLA","SLA Violated")</f>
        <v>SLA Violated</v>
      </c>
      <c r="P1987" s="23" t="s">
        <v>7772</v>
      </c>
      <c r="Q1987" s="24" t="s">
        <v>37</v>
      </c>
      <c r="R1987" s="25" t="s">
        <v>220</v>
      </c>
      <c r="S1987" s="25" t="s">
        <v>39</v>
      </c>
    </row>
    <row r="1988" ht="16" customHeight="1" spans="1:19">
      <c r="A1988" s="19" t="s">
        <v>7773</v>
      </c>
      <c r="B1988" s="20" t="s">
        <v>100</v>
      </c>
      <c r="C1988" s="20" t="s">
        <v>101</v>
      </c>
      <c r="D1988" s="20" t="s">
        <v>32</v>
      </c>
      <c r="E1988" s="21" t="s">
        <v>7774</v>
      </c>
      <c r="F1988" s="21" t="s">
        <v>7775</v>
      </c>
      <c r="G1988" s="20" t="s">
        <v>35</v>
      </c>
      <c r="H1988" s="20" t="s">
        <v>25</v>
      </c>
      <c r="I1988" s="21" t="s">
        <v>7776</v>
      </c>
      <c r="J1988" s="22">
        <f t="shared" si="155"/>
        <v>3.19444444444525</v>
      </c>
      <c r="K1988" s="22">
        <f t="shared" si="156"/>
        <v>76.6666666666861</v>
      </c>
      <c r="L1988" s="22">
        <f t="shared" si="157"/>
        <v>28.6666666666861</v>
      </c>
      <c r="M1988" s="22" cm="1">
        <f ca="1" t="array" ref="M1988">SUMPRODUCT(--(WEEKDAY(ROW(INDIRECT(INT(F1988)&amp;":"&amp;INT(I1988))),2)&gt;5))</f>
        <v>2</v>
      </c>
      <c r="N1988" s="22">
        <f ca="1" t="shared" si="158"/>
        <v>12.6666666666861</v>
      </c>
      <c r="O1988" s="22" t="str">
        <f ca="1" t="shared" si="159"/>
        <v>SLA Violated</v>
      </c>
      <c r="P1988" s="23" t="s">
        <v>7777</v>
      </c>
      <c r="Q1988" s="24" t="s">
        <v>28</v>
      </c>
      <c r="R1988" s="25"/>
      <c r="S1988" s="25"/>
    </row>
    <row r="1989" ht="27" customHeight="1" spans="1:19">
      <c r="A1989" s="19" t="s">
        <v>7778</v>
      </c>
      <c r="B1989" s="20" t="s">
        <v>30</v>
      </c>
      <c r="C1989" s="20" t="s">
        <v>849</v>
      </c>
      <c r="D1989" s="20" t="s">
        <v>32</v>
      </c>
      <c r="E1989" s="21" t="s">
        <v>7779</v>
      </c>
      <c r="F1989" s="21" t="s">
        <v>7711</v>
      </c>
      <c r="G1989" s="20" t="s">
        <v>35</v>
      </c>
      <c r="H1989" s="20" t="s">
        <v>25</v>
      </c>
      <c r="I1989" s="21" t="s">
        <v>7780</v>
      </c>
      <c r="J1989" s="22">
        <f t="shared" si="155"/>
        <v>1.09305555555329</v>
      </c>
      <c r="K1989" s="22">
        <f t="shared" si="156"/>
        <v>26.233333333279</v>
      </c>
      <c r="L1989" s="22">
        <f t="shared" si="157"/>
        <v>10.233333333279</v>
      </c>
      <c r="M1989" s="22" cm="1">
        <f ca="1" t="array" ref="M1989">SUMPRODUCT(--(WEEKDAY(ROW(INDIRECT(INT(F1989)&amp;":"&amp;INT(I1989))),2)&gt;5))</f>
        <v>0</v>
      </c>
      <c r="N1989" s="22">
        <f ca="1" t="shared" si="158"/>
        <v>10.233333333279</v>
      </c>
      <c r="O1989" s="22" t="str">
        <f ca="1" t="shared" si="159"/>
        <v>Within SLA</v>
      </c>
      <c r="P1989" s="26" t="s">
        <v>7778</v>
      </c>
      <c r="Q1989" s="24" t="s">
        <v>37</v>
      </c>
      <c r="R1989" s="25"/>
      <c r="S1989" s="25"/>
    </row>
    <row r="1990" ht="39" customHeight="1" spans="1:19">
      <c r="A1990" s="19" t="s">
        <v>7781</v>
      </c>
      <c r="B1990" s="20" t="s">
        <v>19</v>
      </c>
      <c r="C1990" s="20" t="s">
        <v>20</v>
      </c>
      <c r="D1990" s="20" t="s">
        <v>32</v>
      </c>
      <c r="E1990" s="21" t="s">
        <v>7782</v>
      </c>
      <c r="F1990" s="21" t="s">
        <v>7783</v>
      </c>
      <c r="G1990" s="20" t="s">
        <v>35</v>
      </c>
      <c r="H1990" s="20" t="s">
        <v>25</v>
      </c>
      <c r="I1990" s="21" t="s">
        <v>7784</v>
      </c>
      <c r="J1990" s="22">
        <f t="shared" si="155"/>
        <v>0.0319444444467081</v>
      </c>
      <c r="K1990" s="22">
        <f t="shared" si="156"/>
        <v>0.766666666720994</v>
      </c>
      <c r="L1990" s="22">
        <f t="shared" si="157"/>
        <v>0.766666666720994</v>
      </c>
      <c r="M1990" s="22" cm="1">
        <f ca="1" t="array" ref="M1990">SUMPRODUCT(--(WEEKDAY(ROW(INDIRECT(INT(F1990)&amp;":"&amp;INT(I1990))),2)&gt;5))</f>
        <v>0</v>
      </c>
      <c r="N1990" s="22">
        <f ca="1" t="shared" si="158"/>
        <v>0.766666666720994</v>
      </c>
      <c r="O1990" s="22" t="str">
        <f ca="1" t="shared" si="159"/>
        <v>Within SLA</v>
      </c>
      <c r="P1990" s="26" t="s">
        <v>7781</v>
      </c>
      <c r="Q1990" s="24" t="s">
        <v>37</v>
      </c>
      <c r="R1990" s="25"/>
      <c r="S1990" s="25"/>
    </row>
    <row r="1991" ht="27" customHeight="1" spans="1:19">
      <c r="A1991" s="19" t="s">
        <v>7785</v>
      </c>
      <c r="B1991" s="20" t="s">
        <v>30</v>
      </c>
      <c r="C1991" s="20" t="s">
        <v>31</v>
      </c>
      <c r="D1991" s="20" t="s">
        <v>115</v>
      </c>
      <c r="E1991" s="21" t="s">
        <v>7786</v>
      </c>
      <c r="F1991" s="21" t="s">
        <v>7770</v>
      </c>
      <c r="G1991" s="20" t="s">
        <v>24</v>
      </c>
      <c r="H1991" s="20" t="s">
        <v>25</v>
      </c>
      <c r="I1991" s="21" t="s">
        <v>7787</v>
      </c>
      <c r="J1991" s="22">
        <f t="shared" si="155"/>
        <v>54.8479166666657</v>
      </c>
      <c r="K1991" s="22">
        <f t="shared" si="156"/>
        <v>1316.34999999998</v>
      </c>
      <c r="L1991" s="22">
        <f t="shared" si="157"/>
        <v>436.349999999977</v>
      </c>
      <c r="M1991" s="22" cm="1">
        <f ca="1" t="array" ref="M1991">SUMPRODUCT(--(WEEKDAY(ROW(INDIRECT(INT(F1991)&amp;":"&amp;INT(I1991))),2)&gt;5))</f>
        <v>16</v>
      </c>
      <c r="N1991" s="22">
        <f ca="1" t="shared" si="158"/>
        <v>308.349999999977</v>
      </c>
      <c r="O1991" s="22" t="str">
        <f ca="1" t="shared" si="159"/>
        <v>SLA Violated</v>
      </c>
      <c r="P1991" s="23" t="s">
        <v>7788</v>
      </c>
      <c r="Q1991" s="24" t="s">
        <v>37</v>
      </c>
      <c r="R1991" s="25" t="s">
        <v>220</v>
      </c>
      <c r="S1991" s="25" t="s">
        <v>39</v>
      </c>
    </row>
    <row r="1992" ht="27" customHeight="1" spans="1:19">
      <c r="A1992" s="19" t="s">
        <v>7789</v>
      </c>
      <c r="B1992" s="20" t="s">
        <v>30</v>
      </c>
      <c r="C1992" s="20" t="s">
        <v>31</v>
      </c>
      <c r="D1992" s="20" t="s">
        <v>32</v>
      </c>
      <c r="E1992" s="21" t="s">
        <v>7790</v>
      </c>
      <c r="F1992" s="21" t="s">
        <v>7791</v>
      </c>
      <c r="G1992" s="20" t="s">
        <v>35</v>
      </c>
      <c r="H1992" s="20" t="s">
        <v>25</v>
      </c>
      <c r="I1992" s="21" t="s">
        <v>7792</v>
      </c>
      <c r="J1992" s="22">
        <f t="shared" si="155"/>
        <v>0.0583333333270275</v>
      </c>
      <c r="K1992" s="22">
        <f t="shared" si="156"/>
        <v>1.39999999984866</v>
      </c>
      <c r="L1992" s="22">
        <f t="shared" si="157"/>
        <v>1.39999999984866</v>
      </c>
      <c r="M1992" s="22" cm="1">
        <f ca="1" t="array" ref="M1992">SUMPRODUCT(--(WEEKDAY(ROW(INDIRECT(INT(F1992)&amp;":"&amp;INT(I1992))),2)&gt;5))</f>
        <v>0</v>
      </c>
      <c r="N1992" s="22">
        <f ca="1" t="shared" si="158"/>
        <v>1.39999999984866</v>
      </c>
      <c r="O1992" s="22" t="str">
        <f ca="1" t="shared" si="159"/>
        <v>Within SLA</v>
      </c>
      <c r="P1992" s="26" t="s">
        <v>7789</v>
      </c>
      <c r="Q1992" s="24" t="s">
        <v>37</v>
      </c>
      <c r="R1992" s="25"/>
      <c r="S1992" s="25"/>
    </row>
    <row r="1993" ht="27" customHeight="1" spans="1:19">
      <c r="A1993" s="19" t="s">
        <v>7793</v>
      </c>
      <c r="B1993" s="20" t="s">
        <v>30</v>
      </c>
      <c r="C1993" s="20" t="s">
        <v>849</v>
      </c>
      <c r="D1993" s="20" t="s">
        <v>32</v>
      </c>
      <c r="E1993" s="21" t="s">
        <v>7794</v>
      </c>
      <c r="F1993" s="21" t="s">
        <v>7711</v>
      </c>
      <c r="G1993" s="20" t="s">
        <v>35</v>
      </c>
      <c r="H1993" s="20" t="s">
        <v>25</v>
      </c>
      <c r="I1993" s="21" t="s">
        <v>7795</v>
      </c>
      <c r="J1993" s="22">
        <f t="shared" si="155"/>
        <v>1.08541666666861</v>
      </c>
      <c r="K1993" s="22">
        <f t="shared" si="156"/>
        <v>26.0500000000466</v>
      </c>
      <c r="L1993" s="22">
        <f t="shared" si="157"/>
        <v>10.0500000000466</v>
      </c>
      <c r="M1993" s="22" cm="1">
        <f ca="1" t="array" ref="M1993">SUMPRODUCT(--(WEEKDAY(ROW(INDIRECT(INT(F1993)&amp;":"&amp;INT(I1993))),2)&gt;5))</f>
        <v>0</v>
      </c>
      <c r="N1993" s="22">
        <f ca="1" t="shared" si="158"/>
        <v>10.0500000000466</v>
      </c>
      <c r="O1993" s="22" t="str">
        <f ca="1" t="shared" si="159"/>
        <v>Within SLA</v>
      </c>
      <c r="P1993" s="26" t="s">
        <v>7793</v>
      </c>
      <c r="Q1993" s="24" t="s">
        <v>37</v>
      </c>
      <c r="R1993" s="25"/>
      <c r="S1993" s="25"/>
    </row>
    <row r="1994" ht="27" customHeight="1" spans="1:19">
      <c r="A1994" s="19" t="s">
        <v>7796</v>
      </c>
      <c r="B1994" s="20" t="s">
        <v>30</v>
      </c>
      <c r="C1994" s="20" t="s">
        <v>849</v>
      </c>
      <c r="D1994" s="20" t="s">
        <v>32</v>
      </c>
      <c r="E1994" s="21" t="s">
        <v>7290</v>
      </c>
      <c r="F1994" s="21" t="s">
        <v>7797</v>
      </c>
      <c r="G1994" s="20" t="s">
        <v>35</v>
      </c>
      <c r="H1994" s="20" t="s">
        <v>25</v>
      </c>
      <c r="I1994" s="21" t="s">
        <v>7798</v>
      </c>
      <c r="J1994" s="22">
        <f t="shared" si="155"/>
        <v>1.08402777778247</v>
      </c>
      <c r="K1994" s="22">
        <f t="shared" si="156"/>
        <v>26.0166666667792</v>
      </c>
      <c r="L1994" s="22">
        <f t="shared" si="157"/>
        <v>10.0166666667792</v>
      </c>
      <c r="M1994" s="22" cm="1">
        <f ca="1" t="array" ref="M1994">SUMPRODUCT(--(WEEKDAY(ROW(INDIRECT(INT(F1994)&amp;":"&amp;INT(I1994))),2)&gt;5))</f>
        <v>0</v>
      </c>
      <c r="N1994" s="22">
        <f ca="1" t="shared" si="158"/>
        <v>10.0166666667792</v>
      </c>
      <c r="O1994" s="22" t="str">
        <f ca="1" t="shared" si="159"/>
        <v>Within SLA</v>
      </c>
      <c r="P1994" s="26" t="s">
        <v>7796</v>
      </c>
      <c r="Q1994" s="24" t="s">
        <v>37</v>
      </c>
      <c r="R1994" s="25"/>
      <c r="S1994" s="25"/>
    </row>
    <row r="1995" ht="27" customHeight="1" spans="1:19">
      <c r="A1995" s="19" t="s">
        <v>7799</v>
      </c>
      <c r="B1995" s="20" t="s">
        <v>30</v>
      </c>
      <c r="C1995" s="20" t="s">
        <v>31</v>
      </c>
      <c r="D1995" s="20" t="s">
        <v>32</v>
      </c>
      <c r="E1995" s="21" t="s">
        <v>7780</v>
      </c>
      <c r="F1995" s="21" t="s">
        <v>7800</v>
      </c>
      <c r="G1995" s="20" t="s">
        <v>35</v>
      </c>
      <c r="H1995" s="20" t="s">
        <v>25</v>
      </c>
      <c r="I1995" s="21" t="s">
        <v>7801</v>
      </c>
      <c r="J1995" s="22">
        <f t="shared" si="155"/>
        <v>0.839583333334303</v>
      </c>
      <c r="K1995" s="22">
        <f t="shared" si="156"/>
        <v>20.1500000000233</v>
      </c>
      <c r="L1995" s="22">
        <f t="shared" si="157"/>
        <v>4.15000000002328</v>
      </c>
      <c r="M1995" s="22" cm="1">
        <f ca="1" t="array" ref="M1995">SUMPRODUCT(--(WEEKDAY(ROW(INDIRECT(INT(F1995)&amp;":"&amp;INT(I1995))),2)&gt;5))</f>
        <v>0</v>
      </c>
      <c r="N1995" s="22">
        <f ca="1" t="shared" si="158"/>
        <v>4.15000000002328</v>
      </c>
      <c r="O1995" s="22" t="str">
        <f ca="1" t="shared" si="159"/>
        <v>Within SLA</v>
      </c>
      <c r="P1995" s="26" t="s">
        <v>7799</v>
      </c>
      <c r="Q1995" s="24" t="s">
        <v>37</v>
      </c>
      <c r="R1995" s="25"/>
      <c r="S1995" s="25"/>
    </row>
    <row r="1996" ht="27" customHeight="1" spans="1:19">
      <c r="A1996" s="19" t="s">
        <v>7802</v>
      </c>
      <c r="B1996" s="20" t="s">
        <v>30</v>
      </c>
      <c r="C1996" s="20" t="s">
        <v>31</v>
      </c>
      <c r="D1996" s="20" t="s">
        <v>21</v>
      </c>
      <c r="E1996" s="21" t="s">
        <v>7780</v>
      </c>
      <c r="F1996" s="21" t="s">
        <v>7803</v>
      </c>
      <c r="G1996" s="20" t="s">
        <v>35</v>
      </c>
      <c r="H1996" s="20" t="s">
        <v>25</v>
      </c>
      <c r="I1996" s="21" t="s">
        <v>7804</v>
      </c>
      <c r="J1996" s="22">
        <f t="shared" si="155"/>
        <v>0.046527777776646</v>
      </c>
      <c r="K1996" s="22">
        <f t="shared" si="156"/>
        <v>1.1166666666395</v>
      </c>
      <c r="L1996" s="22">
        <f t="shared" si="157"/>
        <v>1.1166666666395</v>
      </c>
      <c r="M1996" s="22" cm="1">
        <f ca="1" t="array" ref="M1996">SUMPRODUCT(--(WEEKDAY(ROW(INDIRECT(INT(F1996)&amp;":"&amp;INT(I1996))),2)&gt;5))</f>
        <v>0</v>
      </c>
      <c r="N1996" s="22">
        <f ca="1" t="shared" si="158"/>
        <v>1.1166666666395</v>
      </c>
      <c r="O1996" s="22" t="str">
        <f ca="1" t="shared" si="159"/>
        <v>Within SLA</v>
      </c>
      <c r="P1996" s="26" t="s">
        <v>7802</v>
      </c>
      <c r="Q1996" s="24" t="s">
        <v>37</v>
      </c>
      <c r="R1996" s="25"/>
      <c r="S1996" s="25"/>
    </row>
    <row r="1997" ht="39" customHeight="1" spans="1:19">
      <c r="A1997" s="19" t="s">
        <v>7805</v>
      </c>
      <c r="B1997" s="20" t="s">
        <v>19</v>
      </c>
      <c r="C1997" s="20" t="s">
        <v>20</v>
      </c>
      <c r="D1997" s="20" t="s">
        <v>32</v>
      </c>
      <c r="E1997" s="21" t="s">
        <v>7763</v>
      </c>
      <c r="F1997" s="21" t="s">
        <v>7806</v>
      </c>
      <c r="G1997" s="20" t="s">
        <v>35</v>
      </c>
      <c r="H1997" s="20" t="s">
        <v>25</v>
      </c>
      <c r="I1997" s="21" t="s">
        <v>7807</v>
      </c>
      <c r="J1997" s="22">
        <f t="shared" si="155"/>
        <v>6.04166666667152</v>
      </c>
      <c r="K1997" s="22">
        <f t="shared" si="156"/>
        <v>145.000000000116</v>
      </c>
      <c r="L1997" s="22">
        <f t="shared" si="157"/>
        <v>49.0000000001164</v>
      </c>
      <c r="M1997" s="22" cm="1">
        <f ca="1" t="array" ref="M1997">SUMPRODUCT(--(WEEKDAY(ROW(INDIRECT(INT(F1997)&amp;":"&amp;INT(I1997))),2)&gt;5))</f>
        <v>2</v>
      </c>
      <c r="N1997" s="22">
        <f ca="1" t="shared" si="158"/>
        <v>33.0000000001164</v>
      </c>
      <c r="O1997" s="22" t="str">
        <f ca="1" t="shared" si="159"/>
        <v>SLA Violated</v>
      </c>
      <c r="P1997" s="23" t="s">
        <v>7808</v>
      </c>
      <c r="Q1997" s="24" t="s">
        <v>37</v>
      </c>
      <c r="R1997" s="25" t="s">
        <v>4407</v>
      </c>
      <c r="S1997" s="25" t="s">
        <v>39</v>
      </c>
    </row>
    <row r="1998" ht="39" customHeight="1" spans="1:19">
      <c r="A1998" s="19" t="s">
        <v>7809</v>
      </c>
      <c r="B1998" s="20" t="s">
        <v>19</v>
      </c>
      <c r="C1998" s="20" t="s">
        <v>20</v>
      </c>
      <c r="D1998" s="20" t="s">
        <v>32</v>
      </c>
      <c r="E1998" s="21" t="s">
        <v>7810</v>
      </c>
      <c r="F1998" s="21" t="s">
        <v>7811</v>
      </c>
      <c r="G1998" s="20" t="s">
        <v>35</v>
      </c>
      <c r="H1998" s="20" t="s">
        <v>25</v>
      </c>
      <c r="I1998" s="21" t="s">
        <v>7771</v>
      </c>
      <c r="J1998" s="22">
        <f t="shared" si="155"/>
        <v>0.00902777777810115</v>
      </c>
      <c r="K1998" s="22">
        <f t="shared" si="156"/>
        <v>0.216666666674428</v>
      </c>
      <c r="L1998" s="22">
        <f t="shared" si="157"/>
        <v>0.216666666674428</v>
      </c>
      <c r="M1998" s="22" cm="1">
        <f ca="1" t="array" ref="M1998">SUMPRODUCT(--(WEEKDAY(ROW(INDIRECT(INT(F1998)&amp;":"&amp;INT(I1998))),2)&gt;5))</f>
        <v>0</v>
      </c>
      <c r="N1998" s="22">
        <f ca="1" t="shared" si="158"/>
        <v>0.216666666674428</v>
      </c>
      <c r="O1998" s="22" t="str">
        <f ca="1" t="shared" si="159"/>
        <v>Within SLA</v>
      </c>
      <c r="P1998" s="26" t="s">
        <v>7809</v>
      </c>
      <c r="Q1998" s="24" t="s">
        <v>37</v>
      </c>
      <c r="R1998" s="25"/>
      <c r="S1998" s="25"/>
    </row>
    <row r="1999" ht="27" customHeight="1" spans="1:19">
      <c r="A1999" s="19" t="s">
        <v>7812</v>
      </c>
      <c r="B1999" s="20" t="s">
        <v>30</v>
      </c>
      <c r="C1999" s="20" t="s">
        <v>849</v>
      </c>
      <c r="D1999" s="20" t="s">
        <v>32</v>
      </c>
      <c r="E1999" s="21" t="s">
        <v>7771</v>
      </c>
      <c r="F1999" s="21" t="s">
        <v>7797</v>
      </c>
      <c r="G1999" s="20" t="s">
        <v>35</v>
      </c>
      <c r="H1999" s="20" t="s">
        <v>25</v>
      </c>
      <c r="I1999" s="21" t="s">
        <v>7813</v>
      </c>
      <c r="J1999" s="22">
        <f t="shared" si="155"/>
        <v>1.04861111110949</v>
      </c>
      <c r="K1999" s="22">
        <f t="shared" si="156"/>
        <v>25.1666666666279</v>
      </c>
      <c r="L1999" s="22">
        <f t="shared" si="157"/>
        <v>9.16666666662786</v>
      </c>
      <c r="M1999" s="22" cm="1">
        <f ca="1" t="array" ref="M1999">SUMPRODUCT(--(WEEKDAY(ROW(INDIRECT(INT(F1999)&amp;":"&amp;INT(I1999))),2)&gt;5))</f>
        <v>0</v>
      </c>
      <c r="N1999" s="22">
        <f ca="1" t="shared" si="158"/>
        <v>9.16666666662786</v>
      </c>
      <c r="O1999" s="22" t="str">
        <f ca="1" t="shared" si="159"/>
        <v>Within SLA</v>
      </c>
      <c r="P1999" s="26" t="s">
        <v>7812</v>
      </c>
      <c r="Q1999" s="24" t="s">
        <v>37</v>
      </c>
      <c r="R1999" s="25"/>
      <c r="S1999" s="25"/>
    </row>
    <row r="2000" ht="39" customHeight="1" spans="1:19">
      <c r="A2000" s="19" t="s">
        <v>7814</v>
      </c>
      <c r="B2000" s="20" t="s">
        <v>196</v>
      </c>
      <c r="C2000" s="20" t="s">
        <v>849</v>
      </c>
      <c r="D2000" s="20" t="s">
        <v>32</v>
      </c>
      <c r="E2000" s="21" t="s">
        <v>7771</v>
      </c>
      <c r="F2000" s="21" t="s">
        <v>7815</v>
      </c>
      <c r="G2000" s="20" t="s">
        <v>35</v>
      </c>
      <c r="H2000" s="20" t="s">
        <v>25</v>
      </c>
      <c r="I2000" s="21" t="s">
        <v>7816</v>
      </c>
      <c r="J2000" s="22">
        <f t="shared" si="155"/>
        <v>0.0361111111124046</v>
      </c>
      <c r="K2000" s="22">
        <f t="shared" si="156"/>
        <v>0.866666666697711</v>
      </c>
      <c r="L2000" s="22">
        <f t="shared" si="157"/>
        <v>0.866666666697711</v>
      </c>
      <c r="M2000" s="22" cm="1">
        <f ca="1" t="array" ref="M2000">SUMPRODUCT(--(WEEKDAY(ROW(INDIRECT(INT(F2000)&amp;":"&amp;INT(I2000))),2)&gt;5))</f>
        <v>0</v>
      </c>
      <c r="N2000" s="22">
        <f ca="1" t="shared" si="158"/>
        <v>0.866666666697711</v>
      </c>
      <c r="O2000" s="22" t="str">
        <f ca="1" t="shared" si="159"/>
        <v>Within SLA</v>
      </c>
      <c r="P2000" s="26" t="s">
        <v>7814</v>
      </c>
      <c r="Q2000" s="24" t="s">
        <v>37</v>
      </c>
      <c r="R2000" s="25"/>
      <c r="S2000" s="25"/>
    </row>
    <row r="2001" ht="27" customHeight="1" spans="1:19">
      <c r="A2001" s="19" t="s">
        <v>7817</v>
      </c>
      <c r="B2001" s="20" t="s">
        <v>30</v>
      </c>
      <c r="C2001" s="20" t="s">
        <v>31</v>
      </c>
      <c r="D2001" s="20" t="s">
        <v>21</v>
      </c>
      <c r="E2001" s="21" t="s">
        <v>7816</v>
      </c>
      <c r="F2001" s="21" t="s">
        <v>7818</v>
      </c>
      <c r="G2001" s="20" t="s">
        <v>35</v>
      </c>
      <c r="H2001" s="20" t="s">
        <v>25</v>
      </c>
      <c r="I2001" s="21" t="s">
        <v>7819</v>
      </c>
      <c r="J2001" s="22">
        <f t="shared" si="155"/>
        <v>1.12222222222044</v>
      </c>
      <c r="K2001" s="22">
        <f t="shared" si="156"/>
        <v>26.9333333332906</v>
      </c>
      <c r="L2001" s="22">
        <f t="shared" si="157"/>
        <v>10.9333333332906</v>
      </c>
      <c r="M2001" s="22" cm="1">
        <f ca="1" t="array" ref="M2001">SUMPRODUCT(--(WEEKDAY(ROW(INDIRECT(INT(F2001)&amp;":"&amp;INT(I2001))),2)&gt;5))</f>
        <v>0</v>
      </c>
      <c r="N2001" s="22">
        <f ca="1" t="shared" si="158"/>
        <v>10.9333333332906</v>
      </c>
      <c r="O2001" s="22" t="str">
        <f ca="1" t="shared" si="159"/>
        <v>SLA Violated</v>
      </c>
      <c r="P2001" s="23" t="s">
        <v>7820</v>
      </c>
      <c r="Q2001" s="24" t="s">
        <v>28</v>
      </c>
      <c r="R2001" s="25"/>
      <c r="S2001" s="25"/>
    </row>
    <row r="2002" ht="27" customHeight="1" spans="1:19">
      <c r="A2002" s="19" t="s">
        <v>7821</v>
      </c>
      <c r="B2002" s="20" t="s">
        <v>30</v>
      </c>
      <c r="C2002" s="20" t="s">
        <v>31</v>
      </c>
      <c r="D2002" s="20" t="s">
        <v>32</v>
      </c>
      <c r="E2002" s="21" t="s">
        <v>7816</v>
      </c>
      <c r="F2002" s="21" t="s">
        <v>7822</v>
      </c>
      <c r="G2002" s="20" t="s">
        <v>35</v>
      </c>
      <c r="H2002" s="20" t="s">
        <v>25</v>
      </c>
      <c r="I2002" s="21" t="s">
        <v>7823</v>
      </c>
      <c r="J2002" s="22">
        <f t="shared" si="155"/>
        <v>4.89375000000291</v>
      </c>
      <c r="K2002" s="22">
        <f t="shared" si="156"/>
        <v>117.45000000007</v>
      </c>
      <c r="L2002" s="22">
        <f t="shared" si="157"/>
        <v>37.4500000000698</v>
      </c>
      <c r="M2002" s="22" cm="1">
        <f ca="1" t="array" ref="M2002">SUMPRODUCT(--(WEEKDAY(ROW(INDIRECT(INT(F2002)&amp;":"&amp;INT(I2002))),2)&gt;5))</f>
        <v>2</v>
      </c>
      <c r="N2002" s="22">
        <f ca="1" t="shared" si="158"/>
        <v>21.4500000000698</v>
      </c>
      <c r="O2002" s="22" t="str">
        <f ca="1" t="shared" si="159"/>
        <v>SLA Violated</v>
      </c>
      <c r="P2002" s="26" t="s">
        <v>7821</v>
      </c>
      <c r="Q2002" s="24" t="s">
        <v>28</v>
      </c>
      <c r="R2002" s="25"/>
      <c r="S2002" s="25"/>
    </row>
    <row r="2003" ht="39" customHeight="1" spans="1:19">
      <c r="A2003" s="19" t="s">
        <v>7824</v>
      </c>
      <c r="B2003" s="20" t="s">
        <v>19</v>
      </c>
      <c r="C2003" s="20" t="s">
        <v>20</v>
      </c>
      <c r="D2003" s="20" t="s">
        <v>32</v>
      </c>
      <c r="E2003" s="21" t="s">
        <v>7825</v>
      </c>
      <c r="F2003" s="21" t="s">
        <v>7826</v>
      </c>
      <c r="G2003" s="20" t="s">
        <v>35</v>
      </c>
      <c r="H2003" s="20" t="s">
        <v>25</v>
      </c>
      <c r="I2003" s="21" t="s">
        <v>7827</v>
      </c>
      <c r="J2003" s="22">
        <f t="shared" si="155"/>
        <v>0.0124999999970896</v>
      </c>
      <c r="K2003" s="22">
        <f t="shared" si="156"/>
        <v>0.299999999930151</v>
      </c>
      <c r="L2003" s="22">
        <f t="shared" si="157"/>
        <v>0.299999999930151</v>
      </c>
      <c r="M2003" s="22" cm="1">
        <f ca="1" t="array" ref="M2003">SUMPRODUCT(--(WEEKDAY(ROW(INDIRECT(INT(F2003)&amp;":"&amp;INT(I2003))),2)&gt;5))</f>
        <v>0</v>
      </c>
      <c r="N2003" s="22">
        <f ca="1" t="shared" si="158"/>
        <v>0.299999999930151</v>
      </c>
      <c r="O2003" s="22" t="str">
        <f ca="1" t="shared" si="159"/>
        <v>Within SLA</v>
      </c>
      <c r="P2003" s="26" t="s">
        <v>7824</v>
      </c>
      <c r="Q2003" s="24" t="s">
        <v>37</v>
      </c>
      <c r="R2003" s="25"/>
      <c r="S2003" s="25"/>
    </row>
    <row r="2004" ht="39" customHeight="1" spans="1:19">
      <c r="A2004" s="19" t="s">
        <v>7828</v>
      </c>
      <c r="B2004" s="20" t="s">
        <v>19</v>
      </c>
      <c r="C2004" s="20" t="s">
        <v>20</v>
      </c>
      <c r="D2004" s="20" t="s">
        <v>32</v>
      </c>
      <c r="E2004" s="21" t="s">
        <v>7825</v>
      </c>
      <c r="F2004" s="21" t="s">
        <v>7829</v>
      </c>
      <c r="G2004" s="20" t="s">
        <v>35</v>
      </c>
      <c r="H2004" s="20" t="s">
        <v>25</v>
      </c>
      <c r="I2004" s="21" t="s">
        <v>7830</v>
      </c>
      <c r="J2004" s="22">
        <f t="shared" si="155"/>
        <v>0.0555555555620231</v>
      </c>
      <c r="K2004" s="22">
        <f t="shared" si="156"/>
        <v>1.33333333348855</v>
      </c>
      <c r="L2004" s="22">
        <f t="shared" si="157"/>
        <v>1.33333333348855</v>
      </c>
      <c r="M2004" s="22" cm="1">
        <f ca="1" t="array" ref="M2004">SUMPRODUCT(--(WEEKDAY(ROW(INDIRECT(INT(F2004)&amp;":"&amp;INT(I2004))),2)&gt;5))</f>
        <v>0</v>
      </c>
      <c r="N2004" s="22">
        <f ca="1" t="shared" si="158"/>
        <v>1.33333333348855</v>
      </c>
      <c r="O2004" s="22" t="str">
        <f ca="1" t="shared" si="159"/>
        <v>Within SLA</v>
      </c>
      <c r="P2004" s="26" t="s">
        <v>7828</v>
      </c>
      <c r="Q2004" s="24" t="s">
        <v>37</v>
      </c>
      <c r="R2004" s="25"/>
      <c r="S2004" s="25"/>
    </row>
    <row r="2005" ht="39" customHeight="1" spans="1:19">
      <c r="A2005" s="19" t="s">
        <v>7831</v>
      </c>
      <c r="B2005" s="20" t="s">
        <v>19</v>
      </c>
      <c r="C2005" s="20" t="s">
        <v>20</v>
      </c>
      <c r="D2005" s="20" t="s">
        <v>32</v>
      </c>
      <c r="E2005" s="21" t="s">
        <v>2168</v>
      </c>
      <c r="F2005" s="21" t="s">
        <v>7832</v>
      </c>
      <c r="G2005" s="20" t="s">
        <v>35</v>
      </c>
      <c r="H2005" s="20" t="s">
        <v>25</v>
      </c>
      <c r="I2005" s="21" t="s">
        <v>7833</v>
      </c>
      <c r="J2005" s="22">
        <f t="shared" si="155"/>
        <v>0.0569444444481633</v>
      </c>
      <c r="K2005" s="22">
        <f t="shared" si="156"/>
        <v>1.36666666675592</v>
      </c>
      <c r="L2005" s="22">
        <f t="shared" si="157"/>
        <v>1.36666666675592</v>
      </c>
      <c r="M2005" s="22" cm="1">
        <f ca="1" t="array" ref="M2005">SUMPRODUCT(--(WEEKDAY(ROW(INDIRECT(INT(F2005)&amp;":"&amp;INT(I2005))),2)&gt;5))</f>
        <v>0</v>
      </c>
      <c r="N2005" s="22">
        <f ca="1" t="shared" si="158"/>
        <v>1.36666666675592</v>
      </c>
      <c r="O2005" s="22" t="str">
        <f ca="1" t="shared" si="159"/>
        <v>Within SLA</v>
      </c>
      <c r="P2005" s="26" t="s">
        <v>7831</v>
      </c>
      <c r="Q2005" s="24" t="s">
        <v>37</v>
      </c>
      <c r="R2005" s="25"/>
      <c r="S2005" s="25"/>
    </row>
    <row r="2006" ht="39" customHeight="1" spans="1:19">
      <c r="A2006" s="19" t="s">
        <v>7834</v>
      </c>
      <c r="B2006" s="20" t="s">
        <v>19</v>
      </c>
      <c r="C2006" s="20" t="s">
        <v>20</v>
      </c>
      <c r="D2006" s="20" t="s">
        <v>32</v>
      </c>
      <c r="E2006" s="21" t="s">
        <v>7835</v>
      </c>
      <c r="F2006" s="21" t="s">
        <v>7836</v>
      </c>
      <c r="G2006" s="20" t="s">
        <v>35</v>
      </c>
      <c r="H2006" s="20" t="s">
        <v>25</v>
      </c>
      <c r="I2006" s="21" t="s">
        <v>7837</v>
      </c>
      <c r="J2006" s="22">
        <f t="shared" si="155"/>
        <v>0.0534722222218988</v>
      </c>
      <c r="K2006" s="22">
        <f t="shared" si="156"/>
        <v>1.28333333332557</v>
      </c>
      <c r="L2006" s="22">
        <f t="shared" si="157"/>
        <v>1.28333333332557</v>
      </c>
      <c r="M2006" s="22" cm="1">
        <f ca="1" t="array" ref="M2006">SUMPRODUCT(--(WEEKDAY(ROW(INDIRECT(INT(F2006)&amp;":"&amp;INT(I2006))),2)&gt;5))</f>
        <v>0</v>
      </c>
      <c r="N2006" s="22">
        <f ca="1" t="shared" si="158"/>
        <v>1.28333333332557</v>
      </c>
      <c r="O2006" s="22" t="str">
        <f ca="1" t="shared" si="159"/>
        <v>Within SLA</v>
      </c>
      <c r="P2006" s="26" t="s">
        <v>7834</v>
      </c>
      <c r="Q2006" s="24" t="s">
        <v>37</v>
      </c>
      <c r="R2006" s="25"/>
      <c r="S2006" s="25"/>
    </row>
    <row r="2007" ht="27" customHeight="1" spans="1:19">
      <c r="A2007" s="19" t="s">
        <v>7838</v>
      </c>
      <c r="B2007" s="20" t="s">
        <v>30</v>
      </c>
      <c r="C2007" s="20" t="s">
        <v>31</v>
      </c>
      <c r="D2007" s="20" t="s">
        <v>32</v>
      </c>
      <c r="E2007" s="21" t="s">
        <v>7839</v>
      </c>
      <c r="F2007" s="21" t="s">
        <v>4281</v>
      </c>
      <c r="G2007" s="20" t="s">
        <v>35</v>
      </c>
      <c r="H2007" s="20" t="s">
        <v>25</v>
      </c>
      <c r="I2007" s="21" t="s">
        <v>7840</v>
      </c>
      <c r="J2007" s="22">
        <f t="shared" si="155"/>
        <v>14.9333333333343</v>
      </c>
      <c r="K2007" s="22">
        <f t="shared" si="156"/>
        <v>358.400000000023</v>
      </c>
      <c r="L2007" s="22">
        <f t="shared" si="157"/>
        <v>118.400000000023</v>
      </c>
      <c r="M2007" s="22" cm="1">
        <f ca="1" t="array" ref="M2007">SUMPRODUCT(--(WEEKDAY(ROW(INDIRECT(INT(F2007)&amp;":"&amp;INT(I2007))),2)&gt;5))</f>
        <v>4</v>
      </c>
      <c r="N2007" s="22">
        <f ca="1" t="shared" si="158"/>
        <v>86.400000000023</v>
      </c>
      <c r="O2007" s="22" t="str">
        <f ca="1" t="shared" si="159"/>
        <v>SLA Violated</v>
      </c>
      <c r="P2007" s="26" t="s">
        <v>7838</v>
      </c>
      <c r="Q2007" s="24" t="s">
        <v>28</v>
      </c>
      <c r="R2007" s="25"/>
      <c r="S2007" s="25"/>
    </row>
    <row r="2008" ht="27" customHeight="1" spans="1:19">
      <c r="A2008" s="19" t="s">
        <v>7841</v>
      </c>
      <c r="B2008" s="20" t="s">
        <v>30</v>
      </c>
      <c r="C2008" s="20" t="s">
        <v>849</v>
      </c>
      <c r="D2008" s="20" t="s">
        <v>32</v>
      </c>
      <c r="E2008" s="21" t="s">
        <v>6459</v>
      </c>
      <c r="F2008" s="21" t="s">
        <v>7797</v>
      </c>
      <c r="G2008" s="20" t="s">
        <v>35</v>
      </c>
      <c r="H2008" s="20" t="s">
        <v>25</v>
      </c>
      <c r="I2008" s="21" t="s">
        <v>7842</v>
      </c>
      <c r="J2008" s="22">
        <f t="shared" si="155"/>
        <v>1.01875000000291</v>
      </c>
      <c r="K2008" s="22">
        <f t="shared" si="156"/>
        <v>24.4500000000698</v>
      </c>
      <c r="L2008" s="22">
        <f t="shared" si="157"/>
        <v>8.45000000006985</v>
      </c>
      <c r="M2008" s="22" cm="1">
        <f ca="1" t="array" ref="M2008">SUMPRODUCT(--(WEEKDAY(ROW(INDIRECT(INT(F2008)&amp;":"&amp;INT(I2008))),2)&gt;5))</f>
        <v>0</v>
      </c>
      <c r="N2008" s="22">
        <f ca="1" t="shared" si="158"/>
        <v>8.45000000006985</v>
      </c>
      <c r="O2008" s="22" t="str">
        <f ca="1" t="shared" si="159"/>
        <v>Within SLA</v>
      </c>
      <c r="P2008" s="26" t="s">
        <v>7841</v>
      </c>
      <c r="Q2008" s="24" t="s">
        <v>37</v>
      </c>
      <c r="R2008" s="25"/>
      <c r="S2008" s="25"/>
    </row>
    <row r="2009" ht="27" customHeight="1" spans="1:19">
      <c r="A2009" s="19" t="s">
        <v>7843</v>
      </c>
      <c r="B2009" s="20" t="s">
        <v>30</v>
      </c>
      <c r="C2009" s="20" t="s">
        <v>849</v>
      </c>
      <c r="D2009" s="20" t="s">
        <v>32</v>
      </c>
      <c r="E2009" s="21" t="s">
        <v>7844</v>
      </c>
      <c r="F2009" s="21" t="s">
        <v>7845</v>
      </c>
      <c r="G2009" s="20" t="s">
        <v>35</v>
      </c>
      <c r="H2009" s="20" t="s">
        <v>25</v>
      </c>
      <c r="I2009" s="21" t="s">
        <v>7846</v>
      </c>
      <c r="J2009" s="22">
        <f t="shared" si="155"/>
        <v>1.00555555555184</v>
      </c>
      <c r="K2009" s="22">
        <f t="shared" si="156"/>
        <v>24.1333333332441</v>
      </c>
      <c r="L2009" s="22">
        <f t="shared" si="157"/>
        <v>8.13333333324408</v>
      </c>
      <c r="M2009" s="22" cm="1">
        <f ca="1" t="array" ref="M2009">SUMPRODUCT(--(WEEKDAY(ROW(INDIRECT(INT(F2009)&amp;":"&amp;INT(I2009))),2)&gt;5))</f>
        <v>0</v>
      </c>
      <c r="N2009" s="22">
        <f ca="1" t="shared" si="158"/>
        <v>8.13333333324408</v>
      </c>
      <c r="O2009" s="22" t="str">
        <f ca="1" t="shared" si="159"/>
        <v>Within SLA</v>
      </c>
      <c r="P2009" s="26" t="s">
        <v>7843</v>
      </c>
      <c r="Q2009" s="24" t="s">
        <v>37</v>
      </c>
      <c r="R2009" s="25"/>
      <c r="S2009" s="25"/>
    </row>
    <row r="2010" ht="16" customHeight="1" spans="1:19">
      <c r="A2010" s="19" t="s">
        <v>7847</v>
      </c>
      <c r="B2010" s="20" t="s">
        <v>100</v>
      </c>
      <c r="C2010" s="20" t="s">
        <v>101</v>
      </c>
      <c r="D2010" s="20" t="s">
        <v>32</v>
      </c>
      <c r="E2010" s="21" t="s">
        <v>7846</v>
      </c>
      <c r="F2010" s="21" t="s">
        <v>7848</v>
      </c>
      <c r="G2010" s="20" t="s">
        <v>35</v>
      </c>
      <c r="H2010" s="20" t="s">
        <v>25</v>
      </c>
      <c r="I2010" s="21" t="s">
        <v>7849</v>
      </c>
      <c r="J2010" s="22">
        <f t="shared" si="155"/>
        <v>3.09999999999854</v>
      </c>
      <c r="K2010" s="22">
        <f t="shared" si="156"/>
        <v>74.3999999999651</v>
      </c>
      <c r="L2010" s="22">
        <f t="shared" si="157"/>
        <v>26.3999999999651</v>
      </c>
      <c r="M2010" s="22" cm="1">
        <f ca="1" t="array" ref="M2010">SUMPRODUCT(--(WEEKDAY(ROW(INDIRECT(INT(F2010)&amp;":"&amp;INT(I2010))),2)&gt;5))</f>
        <v>2</v>
      </c>
      <c r="N2010" s="22">
        <f ca="1" t="shared" si="158"/>
        <v>10.3999999999651</v>
      </c>
      <c r="O2010" s="22" t="str">
        <f ca="1" t="shared" si="159"/>
        <v>Within SLA</v>
      </c>
      <c r="P2010" s="26" t="s">
        <v>7847</v>
      </c>
      <c r="Q2010" s="24" t="s">
        <v>37</v>
      </c>
      <c r="R2010" s="25"/>
      <c r="S2010" s="25"/>
    </row>
    <row r="2011" ht="27" customHeight="1" spans="1:19">
      <c r="A2011" s="19" t="s">
        <v>7850</v>
      </c>
      <c r="B2011" s="20" t="s">
        <v>121</v>
      </c>
      <c r="C2011" s="20" t="s">
        <v>849</v>
      </c>
      <c r="D2011" s="20" t="s">
        <v>32</v>
      </c>
      <c r="E2011" s="21" t="s">
        <v>7851</v>
      </c>
      <c r="F2011" s="21" t="s">
        <v>7852</v>
      </c>
      <c r="G2011" s="20" t="s">
        <v>35</v>
      </c>
      <c r="H2011" s="20" t="s">
        <v>25</v>
      </c>
      <c r="I2011" s="21" t="s">
        <v>7853</v>
      </c>
      <c r="J2011" s="22">
        <f t="shared" si="155"/>
        <v>0.0513888888817746</v>
      </c>
      <c r="K2011" s="22">
        <f t="shared" si="156"/>
        <v>1.23333333316259</v>
      </c>
      <c r="L2011" s="22">
        <f t="shared" si="157"/>
        <v>1.23333333316259</v>
      </c>
      <c r="M2011" s="22" cm="1">
        <f ca="1" t="array" ref="M2011">SUMPRODUCT(--(WEEKDAY(ROW(INDIRECT(INT(F2011)&amp;":"&amp;INT(I2011))),2)&gt;5))</f>
        <v>0</v>
      </c>
      <c r="N2011" s="22">
        <f ca="1" t="shared" si="158"/>
        <v>1.23333333316259</v>
      </c>
      <c r="O2011" s="22" t="str">
        <f ca="1" t="shared" si="159"/>
        <v>Within SLA</v>
      </c>
      <c r="P2011" s="26" t="s">
        <v>7850</v>
      </c>
      <c r="Q2011" s="24" t="s">
        <v>37</v>
      </c>
      <c r="R2011" s="25"/>
      <c r="S2011" s="25"/>
    </row>
    <row r="2012" ht="27" customHeight="1" spans="1:19">
      <c r="A2012" s="19" t="s">
        <v>7854</v>
      </c>
      <c r="B2012" s="20" t="s">
        <v>30</v>
      </c>
      <c r="C2012" s="20" t="s">
        <v>31</v>
      </c>
      <c r="D2012" s="20" t="s">
        <v>105</v>
      </c>
      <c r="E2012" s="21" t="s">
        <v>7855</v>
      </c>
      <c r="F2012" s="21" t="s">
        <v>7856</v>
      </c>
      <c r="G2012" s="20" t="s">
        <v>35</v>
      </c>
      <c r="H2012" s="20" t="s">
        <v>25</v>
      </c>
      <c r="I2012" s="21" t="s">
        <v>7857</v>
      </c>
      <c r="J2012" s="22">
        <f t="shared" si="155"/>
        <v>11.78125</v>
      </c>
      <c r="K2012" s="22">
        <f t="shared" si="156"/>
        <v>282.75</v>
      </c>
      <c r="L2012" s="22">
        <f t="shared" si="157"/>
        <v>90.75</v>
      </c>
      <c r="M2012" s="22" cm="1">
        <f ca="1" t="array" ref="M2012">SUMPRODUCT(--(WEEKDAY(ROW(INDIRECT(INT(F2012)&amp;":"&amp;INT(I2012))),2)&gt;5))</f>
        <v>4</v>
      </c>
      <c r="N2012" s="22">
        <f ca="1" t="shared" si="158"/>
        <v>58.75</v>
      </c>
      <c r="O2012" s="22" t="str">
        <f ca="1" t="shared" si="159"/>
        <v>SLA Violated</v>
      </c>
      <c r="P2012" s="23" t="s">
        <v>7858</v>
      </c>
      <c r="Q2012" s="24" t="s">
        <v>28</v>
      </c>
      <c r="R2012" s="25"/>
      <c r="S2012" s="25"/>
    </row>
    <row r="2013" ht="27" customHeight="1" spans="1:19">
      <c r="A2013" s="19" t="s">
        <v>7859</v>
      </c>
      <c r="B2013" s="20" t="s">
        <v>30</v>
      </c>
      <c r="C2013" s="20" t="s">
        <v>849</v>
      </c>
      <c r="D2013" s="20" t="s">
        <v>32</v>
      </c>
      <c r="E2013" s="21" t="s">
        <v>7860</v>
      </c>
      <c r="F2013" s="21" t="s">
        <v>7845</v>
      </c>
      <c r="G2013" s="20" t="s">
        <v>35</v>
      </c>
      <c r="H2013" s="20" t="s">
        <v>25</v>
      </c>
      <c r="I2013" s="21" t="s">
        <v>7861</v>
      </c>
      <c r="J2013" s="22">
        <f t="shared" si="155"/>
        <v>0.980555555550382</v>
      </c>
      <c r="K2013" s="22">
        <f t="shared" si="156"/>
        <v>23.5333333332092</v>
      </c>
      <c r="L2013" s="22">
        <f t="shared" si="157"/>
        <v>7.53333333320916</v>
      </c>
      <c r="M2013" s="22" cm="1">
        <f ca="1" t="array" ref="M2013">SUMPRODUCT(--(WEEKDAY(ROW(INDIRECT(INT(F2013)&amp;":"&amp;INT(I2013))),2)&gt;5))</f>
        <v>0</v>
      </c>
      <c r="N2013" s="22">
        <f ca="1" t="shared" si="158"/>
        <v>7.53333333320916</v>
      </c>
      <c r="O2013" s="22" t="str">
        <f ca="1" t="shared" si="159"/>
        <v>Within SLA</v>
      </c>
      <c r="P2013" s="26" t="s">
        <v>7859</v>
      </c>
      <c r="Q2013" s="24" t="s">
        <v>37</v>
      </c>
      <c r="R2013" s="25"/>
      <c r="S2013" s="25"/>
    </row>
    <row r="2014" ht="27" customHeight="1" spans="1:19">
      <c r="A2014" s="19" t="s">
        <v>7862</v>
      </c>
      <c r="B2014" s="20" t="s">
        <v>30</v>
      </c>
      <c r="C2014" s="20" t="s">
        <v>31</v>
      </c>
      <c r="D2014" s="20" t="s">
        <v>21</v>
      </c>
      <c r="E2014" s="21" t="s">
        <v>7829</v>
      </c>
      <c r="F2014" s="21" t="s">
        <v>7863</v>
      </c>
      <c r="G2014" s="20" t="s">
        <v>35</v>
      </c>
      <c r="H2014" s="20" t="s">
        <v>25</v>
      </c>
      <c r="I2014" s="21" t="s">
        <v>7864</v>
      </c>
      <c r="J2014" s="22">
        <f t="shared" si="155"/>
        <v>5.72152777777228</v>
      </c>
      <c r="K2014" s="22">
        <f t="shared" si="156"/>
        <v>137.316666666535</v>
      </c>
      <c r="L2014" s="22">
        <f t="shared" si="157"/>
        <v>41.3166666665347</v>
      </c>
      <c r="M2014" s="22" cm="1">
        <f ca="1" t="array" ref="M2014">SUMPRODUCT(--(WEEKDAY(ROW(INDIRECT(INT(F2014)&amp;":"&amp;INT(I2014))),2)&gt;5))</f>
        <v>2</v>
      </c>
      <c r="N2014" s="22">
        <f ca="1" t="shared" si="158"/>
        <v>25.3166666665347</v>
      </c>
      <c r="O2014" s="22" t="str">
        <f ca="1" t="shared" si="159"/>
        <v>SLA Violated</v>
      </c>
      <c r="P2014" s="23" t="s">
        <v>7865</v>
      </c>
      <c r="Q2014" s="24" t="s">
        <v>28</v>
      </c>
      <c r="R2014" s="25"/>
      <c r="S2014" s="25"/>
    </row>
    <row r="2015" ht="39" customHeight="1" spans="1:19">
      <c r="A2015" s="19" t="s">
        <v>7866</v>
      </c>
      <c r="B2015" s="20" t="s">
        <v>19</v>
      </c>
      <c r="C2015" s="20" t="s">
        <v>849</v>
      </c>
      <c r="D2015" s="20" t="s">
        <v>32</v>
      </c>
      <c r="E2015" s="21" t="s">
        <v>7867</v>
      </c>
      <c r="F2015" s="21" t="s">
        <v>7868</v>
      </c>
      <c r="G2015" s="20" t="s">
        <v>35</v>
      </c>
      <c r="H2015" s="20" t="s">
        <v>25</v>
      </c>
      <c r="I2015" s="21" t="s">
        <v>7869</v>
      </c>
      <c r="J2015" s="22">
        <f t="shared" si="155"/>
        <v>5.86458333333576</v>
      </c>
      <c r="K2015" s="22">
        <f t="shared" si="156"/>
        <v>140.750000000058</v>
      </c>
      <c r="L2015" s="22">
        <f t="shared" si="157"/>
        <v>44.7500000000582</v>
      </c>
      <c r="M2015" s="22" cm="1">
        <f ca="1" t="array" ref="M2015">SUMPRODUCT(--(WEEKDAY(ROW(INDIRECT(INT(F2015)&amp;":"&amp;INT(I2015))),2)&gt;5))</f>
        <v>2</v>
      </c>
      <c r="N2015" s="22">
        <f ca="1" t="shared" si="158"/>
        <v>28.7500000000582</v>
      </c>
      <c r="O2015" s="22" t="str">
        <f ca="1" t="shared" si="159"/>
        <v>SLA Violated</v>
      </c>
      <c r="P2015" s="23" t="s">
        <v>7870</v>
      </c>
      <c r="Q2015" s="24" t="s">
        <v>37</v>
      </c>
      <c r="R2015" s="25" t="s">
        <v>749</v>
      </c>
      <c r="S2015" s="25" t="s">
        <v>39</v>
      </c>
    </row>
    <row r="2016" ht="39" customHeight="1" spans="1:19">
      <c r="A2016" s="19" t="s">
        <v>7871</v>
      </c>
      <c r="B2016" s="20" t="s">
        <v>19</v>
      </c>
      <c r="C2016" s="20" t="s">
        <v>167</v>
      </c>
      <c r="D2016" s="20" t="s">
        <v>32</v>
      </c>
      <c r="E2016" s="21" t="s">
        <v>7872</v>
      </c>
      <c r="F2016" s="21" t="s">
        <v>7873</v>
      </c>
      <c r="G2016" s="20" t="s">
        <v>24</v>
      </c>
      <c r="H2016" s="20" t="s">
        <v>25</v>
      </c>
      <c r="I2016" s="21" t="s">
        <v>4404</v>
      </c>
      <c r="J2016" s="22">
        <f t="shared" si="155"/>
        <v>27.0124999999971</v>
      </c>
      <c r="K2016" s="22">
        <f t="shared" si="156"/>
        <v>648.29999999993</v>
      </c>
      <c r="L2016" s="22">
        <f t="shared" si="157"/>
        <v>216.29999999993</v>
      </c>
      <c r="M2016" s="22" cm="1">
        <f ca="1" t="array" ref="M2016">SUMPRODUCT(--(WEEKDAY(ROW(INDIRECT(INT(F2016)&amp;":"&amp;INT(I2016))),2)&gt;5))</f>
        <v>8</v>
      </c>
      <c r="N2016" s="22">
        <f ca="1" t="shared" si="158"/>
        <v>152.29999999993</v>
      </c>
      <c r="O2016" s="22" t="str">
        <f ca="1" t="shared" si="159"/>
        <v>SLA Violated</v>
      </c>
      <c r="P2016" s="23" t="s">
        <v>7874</v>
      </c>
      <c r="Q2016" s="24" t="s">
        <v>37</v>
      </c>
      <c r="R2016" s="25"/>
      <c r="S2016" s="25" t="s">
        <v>97</v>
      </c>
    </row>
    <row r="2017" ht="16" customHeight="1" spans="1:19">
      <c r="A2017" s="19" t="s">
        <v>7875</v>
      </c>
      <c r="B2017" s="20" t="s">
        <v>100</v>
      </c>
      <c r="C2017" s="20" t="s">
        <v>101</v>
      </c>
      <c r="D2017" s="20" t="s">
        <v>32</v>
      </c>
      <c r="E2017" s="21" t="s">
        <v>7876</v>
      </c>
      <c r="F2017" s="21" t="s">
        <v>7877</v>
      </c>
      <c r="G2017" s="20" t="s">
        <v>35</v>
      </c>
      <c r="H2017" s="20" t="s">
        <v>25</v>
      </c>
      <c r="I2017" s="21" t="s">
        <v>7878</v>
      </c>
      <c r="J2017" s="22">
        <f t="shared" si="155"/>
        <v>3.04097222222481</v>
      </c>
      <c r="K2017" s="22">
        <f t="shared" si="156"/>
        <v>72.9833333333954</v>
      </c>
      <c r="L2017" s="22">
        <f t="shared" si="157"/>
        <v>24.9833333333954</v>
      </c>
      <c r="M2017" s="22" cm="1">
        <f ca="1" t="array" ref="M2017">SUMPRODUCT(--(WEEKDAY(ROW(INDIRECT(INT(F2017)&amp;":"&amp;INT(I2017))),2)&gt;5))</f>
        <v>2</v>
      </c>
      <c r="N2017" s="22">
        <f ca="1" t="shared" si="158"/>
        <v>8.9833333333954</v>
      </c>
      <c r="O2017" s="22" t="str">
        <f ca="1" t="shared" si="159"/>
        <v>Within SLA</v>
      </c>
      <c r="P2017" s="26" t="s">
        <v>7875</v>
      </c>
      <c r="Q2017" s="24" t="s">
        <v>37</v>
      </c>
      <c r="R2017" s="25"/>
      <c r="S2017" s="25"/>
    </row>
    <row r="2018" ht="27" customHeight="1" spans="1:19">
      <c r="A2018" s="19" t="s">
        <v>7879</v>
      </c>
      <c r="B2018" s="20" t="s">
        <v>139</v>
      </c>
      <c r="C2018" s="20" t="s">
        <v>2057</v>
      </c>
      <c r="D2018" s="20" t="s">
        <v>32</v>
      </c>
      <c r="E2018" s="21" t="s">
        <v>7876</v>
      </c>
      <c r="F2018" s="21" t="s">
        <v>7880</v>
      </c>
      <c r="G2018" s="20" t="s">
        <v>35</v>
      </c>
      <c r="H2018" s="20" t="s">
        <v>25</v>
      </c>
      <c r="I2018" s="21" t="s">
        <v>7881</v>
      </c>
      <c r="J2018" s="22">
        <f t="shared" si="155"/>
        <v>0.740277777782467</v>
      </c>
      <c r="K2018" s="22">
        <f t="shared" si="156"/>
        <v>17.7666666667792</v>
      </c>
      <c r="L2018" s="22">
        <f t="shared" si="157"/>
        <v>1.7666666667792</v>
      </c>
      <c r="M2018" s="22" cm="1">
        <f ca="1" t="array" ref="M2018">SUMPRODUCT(--(WEEKDAY(ROW(INDIRECT(INT(F2018)&amp;":"&amp;INT(I2018))),2)&gt;5))</f>
        <v>0</v>
      </c>
      <c r="N2018" s="22">
        <f ca="1" t="shared" si="158"/>
        <v>1.7666666667792</v>
      </c>
      <c r="O2018" s="22" t="str">
        <f ca="1" t="shared" si="159"/>
        <v>Within SLA</v>
      </c>
      <c r="P2018" s="26" t="s">
        <v>7879</v>
      </c>
      <c r="Q2018" s="24" t="s">
        <v>37</v>
      </c>
      <c r="R2018" s="25"/>
      <c r="S2018" s="25"/>
    </row>
    <row r="2019" ht="27" customHeight="1" spans="1:19">
      <c r="A2019" s="19" t="s">
        <v>7882</v>
      </c>
      <c r="B2019" s="20" t="s">
        <v>30</v>
      </c>
      <c r="C2019" s="20" t="s">
        <v>31</v>
      </c>
      <c r="D2019" s="20" t="s">
        <v>32</v>
      </c>
      <c r="E2019" s="21" t="s">
        <v>672</v>
      </c>
      <c r="F2019" s="21" t="s">
        <v>7883</v>
      </c>
      <c r="G2019" s="20" t="s">
        <v>35</v>
      </c>
      <c r="H2019" s="20" t="s">
        <v>25</v>
      </c>
      <c r="I2019" s="21" t="s">
        <v>7884</v>
      </c>
      <c r="J2019" s="22">
        <f t="shared" si="155"/>
        <v>0.00277777777955635</v>
      </c>
      <c r="K2019" s="22">
        <f t="shared" si="156"/>
        <v>0.0666666667093523</v>
      </c>
      <c r="L2019" s="22">
        <f t="shared" si="157"/>
        <v>0.0666666667093523</v>
      </c>
      <c r="M2019" s="22" cm="1">
        <f ca="1" t="array" ref="M2019">SUMPRODUCT(--(WEEKDAY(ROW(INDIRECT(INT(F2019)&amp;":"&amp;INT(I2019))),2)&gt;5))</f>
        <v>0</v>
      </c>
      <c r="N2019" s="22">
        <f ca="1" t="shared" si="158"/>
        <v>0.0666666667093523</v>
      </c>
      <c r="O2019" s="22" t="str">
        <f ca="1" t="shared" si="159"/>
        <v>Within SLA</v>
      </c>
      <c r="P2019" s="26" t="s">
        <v>7882</v>
      </c>
      <c r="Q2019" s="24" t="s">
        <v>37</v>
      </c>
      <c r="R2019" s="25"/>
      <c r="S2019" s="25"/>
    </row>
    <row r="2020" ht="27" customHeight="1" spans="1:19">
      <c r="A2020" s="19" t="s">
        <v>7885</v>
      </c>
      <c r="B2020" s="20" t="s">
        <v>30</v>
      </c>
      <c r="C2020" s="20" t="s">
        <v>31</v>
      </c>
      <c r="D2020" s="20" t="s">
        <v>105</v>
      </c>
      <c r="E2020" s="21" t="s">
        <v>2532</v>
      </c>
      <c r="F2020" s="21" t="s">
        <v>7886</v>
      </c>
      <c r="G2020" s="20" t="s">
        <v>35</v>
      </c>
      <c r="H2020" s="20" t="s">
        <v>25</v>
      </c>
      <c r="I2020" s="21" t="s">
        <v>7887</v>
      </c>
      <c r="J2020" s="22">
        <f t="shared" si="155"/>
        <v>13.996527777781</v>
      </c>
      <c r="K2020" s="22">
        <f t="shared" si="156"/>
        <v>335.916666666744</v>
      </c>
      <c r="L2020" s="22">
        <f t="shared" si="157"/>
        <v>111.916666666744</v>
      </c>
      <c r="M2020" s="22" cm="1">
        <f ca="1" t="array" ref="M2020">SUMPRODUCT(--(WEEKDAY(ROW(INDIRECT(INT(F2020)&amp;":"&amp;INT(I2020))),2)&gt;5))</f>
        <v>4</v>
      </c>
      <c r="N2020" s="22">
        <f ca="1" t="shared" si="158"/>
        <v>79.916666666744</v>
      </c>
      <c r="O2020" s="22" t="str">
        <f ca="1" t="shared" si="159"/>
        <v>SLA Violated</v>
      </c>
      <c r="P2020" s="23" t="s">
        <v>7888</v>
      </c>
      <c r="Q2020" s="24" t="s">
        <v>28</v>
      </c>
      <c r="R2020" s="25"/>
      <c r="S2020" s="25"/>
    </row>
    <row r="2021" ht="39" customHeight="1" spans="1:19">
      <c r="A2021" s="19" t="s">
        <v>7889</v>
      </c>
      <c r="B2021" s="20" t="s">
        <v>19</v>
      </c>
      <c r="C2021" s="20" t="s">
        <v>20</v>
      </c>
      <c r="D2021" s="20" t="s">
        <v>32</v>
      </c>
      <c r="E2021" s="21" t="s">
        <v>7890</v>
      </c>
      <c r="F2021" s="21" t="s">
        <v>7891</v>
      </c>
      <c r="G2021" s="20" t="s">
        <v>35</v>
      </c>
      <c r="H2021" s="20" t="s">
        <v>25</v>
      </c>
      <c r="I2021" s="21" t="s">
        <v>7892</v>
      </c>
      <c r="J2021" s="22">
        <f t="shared" si="155"/>
        <v>10.0416666666715</v>
      </c>
      <c r="K2021" s="22">
        <f t="shared" si="156"/>
        <v>241.000000000116</v>
      </c>
      <c r="L2021" s="22">
        <f t="shared" si="157"/>
        <v>81.0000000001164</v>
      </c>
      <c r="M2021" s="22" cm="1">
        <f ca="1" t="array" ref="M2021">SUMPRODUCT(--(WEEKDAY(ROW(INDIRECT(INT(F2021)&amp;":"&amp;INT(I2021))),2)&gt;5))</f>
        <v>4</v>
      </c>
      <c r="N2021" s="22">
        <f ca="1" t="shared" si="158"/>
        <v>49.0000000001164</v>
      </c>
      <c r="O2021" s="22" t="str">
        <f ca="1" t="shared" si="159"/>
        <v>SLA Violated</v>
      </c>
      <c r="P2021" s="23" t="s">
        <v>7893</v>
      </c>
      <c r="Q2021" s="24" t="s">
        <v>28</v>
      </c>
      <c r="R2021" s="25"/>
      <c r="S2021" s="25"/>
    </row>
    <row r="2022" ht="27" customHeight="1" spans="1:19">
      <c r="A2022" s="19" t="s">
        <v>7894</v>
      </c>
      <c r="B2022" s="20" t="s">
        <v>30</v>
      </c>
      <c r="C2022" s="20" t="s">
        <v>849</v>
      </c>
      <c r="D2022" s="20" t="s">
        <v>32</v>
      </c>
      <c r="E2022" s="21" t="s">
        <v>7895</v>
      </c>
      <c r="F2022" s="21" t="s">
        <v>7896</v>
      </c>
      <c r="G2022" s="20" t="s">
        <v>35</v>
      </c>
      <c r="H2022" s="20" t="s">
        <v>25</v>
      </c>
      <c r="I2022" s="21" t="s">
        <v>7897</v>
      </c>
      <c r="J2022" s="22">
        <f t="shared" si="155"/>
        <v>0.000694444446708076</v>
      </c>
      <c r="K2022" s="22">
        <f t="shared" si="156"/>
        <v>0.0166666667209938</v>
      </c>
      <c r="L2022" s="22">
        <f t="shared" si="157"/>
        <v>0.0166666667209938</v>
      </c>
      <c r="M2022" s="22" cm="1">
        <f ca="1" t="array" ref="M2022">SUMPRODUCT(--(WEEKDAY(ROW(INDIRECT(INT(F2022)&amp;":"&amp;INT(I2022))),2)&gt;5))</f>
        <v>0</v>
      </c>
      <c r="N2022" s="22">
        <f ca="1" t="shared" si="158"/>
        <v>0.0166666667209938</v>
      </c>
      <c r="O2022" s="22" t="str">
        <f ca="1" t="shared" si="159"/>
        <v>Within SLA</v>
      </c>
      <c r="P2022" s="26" t="s">
        <v>7894</v>
      </c>
      <c r="Q2022" s="24" t="s">
        <v>37</v>
      </c>
      <c r="R2022" s="25"/>
      <c r="S2022" s="25"/>
    </row>
    <row r="2023" ht="39" customHeight="1" spans="1:19">
      <c r="A2023" s="19" t="s">
        <v>7898</v>
      </c>
      <c r="B2023" s="20" t="s">
        <v>19</v>
      </c>
      <c r="C2023" s="20" t="s">
        <v>167</v>
      </c>
      <c r="D2023" s="20" t="s">
        <v>32</v>
      </c>
      <c r="E2023" s="21" t="s">
        <v>7899</v>
      </c>
      <c r="F2023" s="21" t="s">
        <v>7900</v>
      </c>
      <c r="G2023" s="20" t="s">
        <v>35</v>
      </c>
      <c r="H2023" s="20" t="s">
        <v>25</v>
      </c>
      <c r="I2023" s="21" t="s">
        <v>7901</v>
      </c>
      <c r="J2023" s="22">
        <f t="shared" si="155"/>
        <v>11.1701388888905</v>
      </c>
      <c r="K2023" s="22">
        <f t="shared" si="156"/>
        <v>268.083333333372</v>
      </c>
      <c r="L2023" s="22">
        <f t="shared" si="157"/>
        <v>92.0833333333721</v>
      </c>
      <c r="M2023" s="22" cm="1">
        <f ca="1" t="array" ref="M2023">SUMPRODUCT(--(WEEKDAY(ROW(INDIRECT(INT(F2023)&amp;":"&amp;INT(I2023))),2)&gt;5))</f>
        <v>4</v>
      </c>
      <c r="N2023" s="22">
        <f ca="1" t="shared" si="158"/>
        <v>60.0833333333721</v>
      </c>
      <c r="O2023" s="22" t="str">
        <f ca="1" t="shared" si="159"/>
        <v>SLA Violated</v>
      </c>
      <c r="P2023" s="23" t="s">
        <v>7902</v>
      </c>
      <c r="Q2023" s="24" t="s">
        <v>37</v>
      </c>
      <c r="R2023" s="25" t="s">
        <v>749</v>
      </c>
      <c r="S2023" s="25" t="s">
        <v>39</v>
      </c>
    </row>
    <row r="2024" ht="27" customHeight="1" spans="1:19">
      <c r="A2024" s="19" t="s">
        <v>7903</v>
      </c>
      <c r="B2024" s="20" t="s">
        <v>30</v>
      </c>
      <c r="C2024" s="20" t="s">
        <v>31</v>
      </c>
      <c r="D2024" s="20" t="s">
        <v>21</v>
      </c>
      <c r="E2024" s="21" t="s">
        <v>7904</v>
      </c>
      <c r="F2024" s="21" t="s">
        <v>7905</v>
      </c>
      <c r="G2024" s="20" t="s">
        <v>35</v>
      </c>
      <c r="H2024" s="20" t="s">
        <v>25</v>
      </c>
      <c r="I2024" s="21" t="s">
        <v>7906</v>
      </c>
      <c r="J2024" s="22">
        <f t="shared" si="155"/>
        <v>19.1534722222204</v>
      </c>
      <c r="K2024" s="22">
        <f t="shared" si="156"/>
        <v>459.683333333291</v>
      </c>
      <c r="L2024" s="22">
        <f t="shared" si="157"/>
        <v>155.683333333291</v>
      </c>
      <c r="M2024" s="22" cm="1">
        <f ca="1" t="array" ref="M2024">SUMPRODUCT(--(WEEKDAY(ROW(INDIRECT(INT(F2024)&amp;":"&amp;INT(I2024))),2)&gt;5))</f>
        <v>6</v>
      </c>
      <c r="N2024" s="22">
        <f ca="1" t="shared" si="158"/>
        <v>107.683333333291</v>
      </c>
      <c r="O2024" s="22" t="str">
        <f ca="1" t="shared" si="159"/>
        <v>SLA Violated</v>
      </c>
      <c r="P2024" s="23" t="s">
        <v>7907</v>
      </c>
      <c r="Q2024" s="24" t="s">
        <v>37</v>
      </c>
      <c r="R2024" s="25" t="s">
        <v>4805</v>
      </c>
      <c r="S2024" s="25" t="s">
        <v>39</v>
      </c>
    </row>
    <row r="2025" ht="27" customHeight="1" spans="1:19">
      <c r="A2025" s="19" t="s">
        <v>7908</v>
      </c>
      <c r="B2025" s="20" t="s">
        <v>30</v>
      </c>
      <c r="C2025" s="20" t="s">
        <v>849</v>
      </c>
      <c r="D2025" s="20" t="s">
        <v>32</v>
      </c>
      <c r="E2025" s="21" t="s">
        <v>7909</v>
      </c>
      <c r="F2025" s="21" t="s">
        <v>7910</v>
      </c>
      <c r="G2025" s="20" t="s">
        <v>35</v>
      </c>
      <c r="H2025" s="20" t="s">
        <v>25</v>
      </c>
      <c r="I2025" s="21" t="s">
        <v>7911</v>
      </c>
      <c r="J2025" s="22">
        <f t="shared" si="155"/>
        <v>4.0666666666657</v>
      </c>
      <c r="K2025" s="22">
        <f t="shared" si="156"/>
        <v>97.5999999999767</v>
      </c>
      <c r="L2025" s="22">
        <f t="shared" si="157"/>
        <v>33.5999999999767</v>
      </c>
      <c r="M2025" s="22" cm="1">
        <f ca="1" t="array" ref="M2025">SUMPRODUCT(--(WEEKDAY(ROW(INDIRECT(INT(F2025)&amp;":"&amp;INT(I2025))),2)&gt;5))</f>
        <v>2</v>
      </c>
      <c r="N2025" s="22">
        <f ca="1" t="shared" si="158"/>
        <v>17.5999999999767</v>
      </c>
      <c r="O2025" s="22" t="str">
        <f ca="1" t="shared" si="159"/>
        <v>SLA Violated</v>
      </c>
      <c r="P2025" s="23" t="s">
        <v>7912</v>
      </c>
      <c r="Q2025" s="24" t="s">
        <v>28</v>
      </c>
      <c r="R2025" s="25"/>
      <c r="S2025" s="25"/>
    </row>
    <row r="2026" ht="27" customHeight="1" spans="1:19">
      <c r="A2026" s="19" t="s">
        <v>7913</v>
      </c>
      <c r="B2026" s="20" t="s">
        <v>30</v>
      </c>
      <c r="C2026" s="20" t="s">
        <v>31</v>
      </c>
      <c r="D2026" s="20" t="s">
        <v>32</v>
      </c>
      <c r="E2026" s="21" t="s">
        <v>7901</v>
      </c>
      <c r="F2026" s="21" t="s">
        <v>7914</v>
      </c>
      <c r="G2026" s="20" t="s">
        <v>35</v>
      </c>
      <c r="H2026" s="20" t="s">
        <v>25</v>
      </c>
      <c r="I2026" s="21" t="s">
        <v>7915</v>
      </c>
      <c r="J2026" s="22">
        <f t="shared" si="155"/>
        <v>0.000694444446708076</v>
      </c>
      <c r="K2026" s="22">
        <f t="shared" si="156"/>
        <v>0.0166666667209938</v>
      </c>
      <c r="L2026" s="22">
        <f t="shared" si="157"/>
        <v>0.0166666667209938</v>
      </c>
      <c r="M2026" s="22" cm="1">
        <f ca="1" t="array" ref="M2026">SUMPRODUCT(--(WEEKDAY(ROW(INDIRECT(INT(F2026)&amp;":"&amp;INT(I2026))),2)&gt;5))</f>
        <v>0</v>
      </c>
      <c r="N2026" s="22">
        <f ca="1" t="shared" si="158"/>
        <v>0.0166666667209938</v>
      </c>
      <c r="O2026" s="22" t="str">
        <f ca="1" t="shared" si="159"/>
        <v>Within SLA</v>
      </c>
      <c r="P2026" s="26" t="s">
        <v>7913</v>
      </c>
      <c r="Q2026" s="24" t="s">
        <v>37</v>
      </c>
      <c r="R2026" s="25"/>
      <c r="S2026" s="25"/>
    </row>
    <row r="2027" ht="27" customHeight="1" spans="1:19">
      <c r="A2027" s="19" t="s">
        <v>7916</v>
      </c>
      <c r="B2027" s="20" t="s">
        <v>30</v>
      </c>
      <c r="C2027" s="20" t="s">
        <v>31</v>
      </c>
      <c r="D2027" s="20" t="s">
        <v>32</v>
      </c>
      <c r="E2027" s="21" t="s">
        <v>7901</v>
      </c>
      <c r="F2027" s="21" t="s">
        <v>7917</v>
      </c>
      <c r="G2027" s="20" t="s">
        <v>35</v>
      </c>
      <c r="H2027" s="20" t="s">
        <v>25</v>
      </c>
      <c r="I2027" s="21" t="s">
        <v>7918</v>
      </c>
      <c r="J2027" s="22">
        <f t="shared" si="155"/>
        <v>0.0256944444481633</v>
      </c>
      <c r="K2027" s="22">
        <f t="shared" si="156"/>
        <v>0.616666666755918</v>
      </c>
      <c r="L2027" s="22">
        <f t="shared" si="157"/>
        <v>0.616666666755918</v>
      </c>
      <c r="M2027" s="22" cm="1">
        <f ca="1" t="array" ref="M2027">SUMPRODUCT(--(WEEKDAY(ROW(INDIRECT(INT(F2027)&amp;":"&amp;INT(I2027))),2)&gt;5))</f>
        <v>0</v>
      </c>
      <c r="N2027" s="22">
        <f ca="1" t="shared" si="158"/>
        <v>0.616666666755918</v>
      </c>
      <c r="O2027" s="22" t="str">
        <f ca="1" t="shared" si="159"/>
        <v>Within SLA</v>
      </c>
      <c r="P2027" s="26" t="s">
        <v>7916</v>
      </c>
      <c r="Q2027" s="24" t="s">
        <v>37</v>
      </c>
      <c r="R2027" s="25"/>
      <c r="S2027" s="25"/>
    </row>
    <row r="2028" ht="27" customHeight="1" spans="1:19">
      <c r="A2028" s="19" t="s">
        <v>7919</v>
      </c>
      <c r="B2028" s="20" t="s">
        <v>30</v>
      </c>
      <c r="C2028" s="20" t="s">
        <v>4889</v>
      </c>
      <c r="D2028" s="20" t="s">
        <v>32</v>
      </c>
      <c r="E2028" s="21" t="s">
        <v>7920</v>
      </c>
      <c r="F2028" s="21" t="s">
        <v>7921</v>
      </c>
      <c r="G2028" s="20" t="s">
        <v>35</v>
      </c>
      <c r="H2028" s="20" t="s">
        <v>25</v>
      </c>
      <c r="I2028" s="21" t="s">
        <v>7922</v>
      </c>
      <c r="J2028" s="22">
        <f t="shared" si="155"/>
        <v>3.01944444444234</v>
      </c>
      <c r="K2028" s="22">
        <f t="shared" si="156"/>
        <v>72.4666666666162</v>
      </c>
      <c r="L2028" s="22">
        <f t="shared" si="157"/>
        <v>24.4666666666162</v>
      </c>
      <c r="M2028" s="22" cm="1">
        <f ca="1" t="array" ref="M2028">SUMPRODUCT(--(WEEKDAY(ROW(INDIRECT(INT(F2028)&amp;":"&amp;INT(I2028))),2)&gt;5))</f>
        <v>2</v>
      </c>
      <c r="N2028" s="22">
        <f ca="1" t="shared" si="158"/>
        <v>8.4666666666162</v>
      </c>
      <c r="O2028" s="22" t="str">
        <f ca="1" t="shared" si="159"/>
        <v>Within SLA</v>
      </c>
      <c r="P2028" s="26" t="s">
        <v>7919</v>
      </c>
      <c r="Q2028" s="24" t="s">
        <v>37</v>
      </c>
      <c r="R2028" s="25"/>
      <c r="S2028" s="25"/>
    </row>
    <row r="2029" ht="27" customHeight="1" spans="1:19">
      <c r="A2029" s="19" t="s">
        <v>7923</v>
      </c>
      <c r="B2029" s="20" t="s">
        <v>30</v>
      </c>
      <c r="C2029" s="20" t="s">
        <v>4889</v>
      </c>
      <c r="D2029" s="20" t="s">
        <v>32</v>
      </c>
      <c r="E2029" s="21" t="s">
        <v>7920</v>
      </c>
      <c r="F2029" s="21" t="s">
        <v>7921</v>
      </c>
      <c r="G2029" s="20" t="s">
        <v>35</v>
      </c>
      <c r="H2029" s="20" t="s">
        <v>25</v>
      </c>
      <c r="I2029" s="21" t="s">
        <v>7922</v>
      </c>
      <c r="J2029" s="22">
        <f t="shared" si="155"/>
        <v>3.01944444444234</v>
      </c>
      <c r="K2029" s="22">
        <f t="shared" si="156"/>
        <v>72.4666666666162</v>
      </c>
      <c r="L2029" s="22">
        <f t="shared" si="157"/>
        <v>24.4666666666162</v>
      </c>
      <c r="M2029" s="22" cm="1">
        <f ca="1" t="array" ref="M2029">SUMPRODUCT(--(WEEKDAY(ROW(INDIRECT(INT(F2029)&amp;":"&amp;INT(I2029))),2)&gt;5))</f>
        <v>2</v>
      </c>
      <c r="N2029" s="22">
        <f ca="1" t="shared" si="158"/>
        <v>8.4666666666162</v>
      </c>
      <c r="O2029" s="22" t="str">
        <f ca="1" t="shared" si="159"/>
        <v>Within SLA</v>
      </c>
      <c r="P2029" s="26" t="s">
        <v>7923</v>
      </c>
      <c r="Q2029" s="24" t="s">
        <v>37</v>
      </c>
      <c r="R2029" s="25"/>
      <c r="S2029" s="25"/>
    </row>
    <row r="2030" ht="27" customHeight="1" spans="1:19">
      <c r="A2030" s="19" t="s">
        <v>7924</v>
      </c>
      <c r="B2030" s="20" t="s">
        <v>30</v>
      </c>
      <c r="C2030" s="20" t="s">
        <v>31</v>
      </c>
      <c r="D2030" s="20" t="s">
        <v>32</v>
      </c>
      <c r="E2030" s="21" t="s">
        <v>7925</v>
      </c>
      <c r="F2030" s="21" t="s">
        <v>7926</v>
      </c>
      <c r="G2030" s="20" t="s">
        <v>35</v>
      </c>
      <c r="H2030" s="20" t="s">
        <v>25</v>
      </c>
      <c r="I2030" s="21" t="s">
        <v>7927</v>
      </c>
      <c r="J2030" s="22">
        <f t="shared" si="155"/>
        <v>0.000694444446708076</v>
      </c>
      <c r="K2030" s="22">
        <f t="shared" si="156"/>
        <v>0.0166666667209938</v>
      </c>
      <c r="L2030" s="22">
        <f t="shared" si="157"/>
        <v>0.0166666667209938</v>
      </c>
      <c r="M2030" s="22" cm="1">
        <f ca="1" t="array" ref="M2030">SUMPRODUCT(--(WEEKDAY(ROW(INDIRECT(INT(F2030)&amp;":"&amp;INT(I2030))),2)&gt;5))</f>
        <v>0</v>
      </c>
      <c r="N2030" s="22">
        <f ca="1" t="shared" si="158"/>
        <v>0.0166666667209938</v>
      </c>
      <c r="O2030" s="22" t="str">
        <f ca="1" t="shared" si="159"/>
        <v>Within SLA</v>
      </c>
      <c r="P2030" s="26" t="s">
        <v>7924</v>
      </c>
      <c r="Q2030" s="24" t="s">
        <v>37</v>
      </c>
      <c r="R2030" s="25"/>
      <c r="S2030" s="25"/>
    </row>
    <row r="2031" ht="39" customHeight="1" spans="1:19">
      <c r="A2031" s="19" t="s">
        <v>7928</v>
      </c>
      <c r="B2031" s="20" t="s">
        <v>19</v>
      </c>
      <c r="C2031" s="20" t="s">
        <v>20</v>
      </c>
      <c r="D2031" s="20" t="s">
        <v>32</v>
      </c>
      <c r="E2031" s="21" t="s">
        <v>7925</v>
      </c>
      <c r="F2031" s="21" t="s">
        <v>7929</v>
      </c>
      <c r="G2031" s="20" t="s">
        <v>35</v>
      </c>
      <c r="H2031" s="20" t="s">
        <v>25</v>
      </c>
      <c r="I2031" s="21" t="s">
        <v>7930</v>
      </c>
      <c r="J2031" s="22">
        <f t="shared" si="155"/>
        <v>0.271527777775191</v>
      </c>
      <c r="K2031" s="22">
        <f t="shared" si="156"/>
        <v>6.51666666660458</v>
      </c>
      <c r="L2031" s="22">
        <f t="shared" si="157"/>
        <v>6.51666666660458</v>
      </c>
      <c r="M2031" s="22" cm="1">
        <f ca="1" t="array" ref="M2031">SUMPRODUCT(--(WEEKDAY(ROW(INDIRECT(INT(F2031)&amp;":"&amp;INT(I2031))),2)&gt;5))</f>
        <v>0</v>
      </c>
      <c r="N2031" s="22">
        <f ca="1" t="shared" si="158"/>
        <v>6.51666666660458</v>
      </c>
      <c r="O2031" s="22" t="str">
        <f ca="1" t="shared" si="159"/>
        <v>Within SLA</v>
      </c>
      <c r="P2031" s="26" t="s">
        <v>7928</v>
      </c>
      <c r="Q2031" s="24" t="s">
        <v>37</v>
      </c>
      <c r="R2031" s="25"/>
      <c r="S2031" s="25"/>
    </row>
    <row r="2032" ht="27" customHeight="1" spans="1:19">
      <c r="A2032" s="19" t="s">
        <v>7931</v>
      </c>
      <c r="B2032" s="20" t="s">
        <v>30</v>
      </c>
      <c r="C2032" s="20" t="s">
        <v>31</v>
      </c>
      <c r="D2032" s="20" t="s">
        <v>32</v>
      </c>
      <c r="E2032" s="21" t="s">
        <v>7720</v>
      </c>
      <c r="F2032" s="21" t="s">
        <v>7932</v>
      </c>
      <c r="G2032" s="20" t="s">
        <v>35</v>
      </c>
      <c r="H2032" s="20" t="s">
        <v>25</v>
      </c>
      <c r="I2032" s="21" t="s">
        <v>7932</v>
      </c>
      <c r="J2032" s="22">
        <f t="shared" si="155"/>
        <v>0</v>
      </c>
      <c r="K2032" s="22">
        <f t="shared" si="156"/>
        <v>0</v>
      </c>
      <c r="L2032" s="22">
        <f t="shared" si="157"/>
        <v>0</v>
      </c>
      <c r="M2032" s="22" cm="1">
        <f ca="1" t="array" ref="M2032">SUMPRODUCT(--(WEEKDAY(ROW(INDIRECT(INT(F2032)&amp;":"&amp;INT(I2032))),2)&gt;5))</f>
        <v>0</v>
      </c>
      <c r="N2032" s="22">
        <f ca="1" t="shared" si="158"/>
        <v>0</v>
      </c>
      <c r="O2032" s="22" t="str">
        <f ca="1" t="shared" si="159"/>
        <v>Within SLA</v>
      </c>
      <c r="P2032" s="26" t="s">
        <v>7931</v>
      </c>
      <c r="Q2032" s="24" t="s">
        <v>37</v>
      </c>
      <c r="R2032" s="25"/>
      <c r="S2032" s="25"/>
    </row>
    <row r="2033" ht="39" customHeight="1" spans="1:19">
      <c r="A2033" s="19" t="s">
        <v>7933</v>
      </c>
      <c r="B2033" s="20" t="s">
        <v>19</v>
      </c>
      <c r="C2033" s="20" t="s">
        <v>20</v>
      </c>
      <c r="D2033" s="20" t="s">
        <v>32</v>
      </c>
      <c r="E2033" s="21" t="s">
        <v>7934</v>
      </c>
      <c r="F2033" s="21" t="s">
        <v>7935</v>
      </c>
      <c r="G2033" s="20" t="s">
        <v>35</v>
      </c>
      <c r="H2033" s="20" t="s">
        <v>25</v>
      </c>
      <c r="I2033" s="21" t="s">
        <v>7936</v>
      </c>
      <c r="J2033" s="22">
        <f t="shared" si="155"/>
        <v>0.126388888893416</v>
      </c>
      <c r="K2033" s="22">
        <f t="shared" si="156"/>
        <v>3.03333333344199</v>
      </c>
      <c r="L2033" s="22">
        <f t="shared" si="157"/>
        <v>3.03333333344199</v>
      </c>
      <c r="M2033" s="22" cm="1">
        <f ca="1" t="array" ref="M2033">SUMPRODUCT(--(WEEKDAY(ROW(INDIRECT(INT(F2033)&amp;":"&amp;INT(I2033))),2)&gt;5))</f>
        <v>0</v>
      </c>
      <c r="N2033" s="22">
        <f ca="1" t="shared" si="158"/>
        <v>3.03333333344199</v>
      </c>
      <c r="O2033" s="22" t="str">
        <f ca="1" t="shared" si="159"/>
        <v>Within SLA</v>
      </c>
      <c r="P2033" s="26" t="s">
        <v>7933</v>
      </c>
      <c r="Q2033" s="24" t="s">
        <v>37</v>
      </c>
      <c r="R2033" s="25"/>
      <c r="S2033" s="25"/>
    </row>
    <row r="2034" ht="27" customHeight="1" spans="1:19">
      <c r="A2034" s="19" t="s">
        <v>7937</v>
      </c>
      <c r="B2034" s="20" t="s">
        <v>30</v>
      </c>
      <c r="C2034" s="20" t="s">
        <v>31</v>
      </c>
      <c r="D2034" s="20" t="s">
        <v>32</v>
      </c>
      <c r="E2034" s="21" t="s">
        <v>7927</v>
      </c>
      <c r="F2034" s="21" t="s">
        <v>7938</v>
      </c>
      <c r="G2034" s="20" t="s">
        <v>35</v>
      </c>
      <c r="H2034" s="20" t="s">
        <v>25</v>
      </c>
      <c r="I2034" s="21" t="s">
        <v>7939</v>
      </c>
      <c r="J2034" s="22">
        <f t="shared" si="155"/>
        <v>10.1680555555577</v>
      </c>
      <c r="K2034" s="22">
        <f t="shared" si="156"/>
        <v>244.033333333384</v>
      </c>
      <c r="L2034" s="22">
        <f t="shared" si="157"/>
        <v>84.0333333333838</v>
      </c>
      <c r="M2034" s="22" cm="1">
        <f ca="1" t="array" ref="M2034">SUMPRODUCT(--(WEEKDAY(ROW(INDIRECT(INT(F2034)&amp;":"&amp;INT(I2034))),2)&gt;5))</f>
        <v>2</v>
      </c>
      <c r="N2034" s="22">
        <f ca="1" t="shared" si="158"/>
        <v>68.0333333333838</v>
      </c>
      <c r="O2034" s="22" t="str">
        <f ca="1" t="shared" si="159"/>
        <v>SLA Violated</v>
      </c>
      <c r="P2034" s="26" t="s">
        <v>7937</v>
      </c>
      <c r="Q2034" s="24" t="s">
        <v>28</v>
      </c>
      <c r="R2034" s="25"/>
      <c r="S2034" s="25"/>
    </row>
    <row r="2035" ht="27" customHeight="1" spans="1:19">
      <c r="A2035" s="19" t="s">
        <v>7940</v>
      </c>
      <c r="B2035" s="20" t="s">
        <v>30</v>
      </c>
      <c r="C2035" s="20" t="s">
        <v>4889</v>
      </c>
      <c r="D2035" s="20" t="s">
        <v>32</v>
      </c>
      <c r="E2035" s="21" t="s">
        <v>7941</v>
      </c>
      <c r="F2035" s="21" t="s">
        <v>7942</v>
      </c>
      <c r="G2035" s="20" t="s">
        <v>35</v>
      </c>
      <c r="H2035" s="20" t="s">
        <v>25</v>
      </c>
      <c r="I2035" s="21" t="s">
        <v>7943</v>
      </c>
      <c r="J2035" s="22">
        <f t="shared" si="155"/>
        <v>0.120138888887595</v>
      </c>
      <c r="K2035" s="22">
        <f t="shared" si="156"/>
        <v>2.88333333330229</v>
      </c>
      <c r="L2035" s="22">
        <f t="shared" si="157"/>
        <v>2.88333333330229</v>
      </c>
      <c r="M2035" s="22" cm="1">
        <f ca="1" t="array" ref="M2035">SUMPRODUCT(--(WEEKDAY(ROW(INDIRECT(INT(F2035)&amp;":"&amp;INT(I2035))),2)&gt;5))</f>
        <v>0</v>
      </c>
      <c r="N2035" s="22">
        <f ca="1" t="shared" si="158"/>
        <v>2.88333333330229</v>
      </c>
      <c r="O2035" s="22" t="str">
        <f ca="1" t="shared" si="159"/>
        <v>Within SLA</v>
      </c>
      <c r="P2035" s="26" t="s">
        <v>7940</v>
      </c>
      <c r="Q2035" s="24" t="s">
        <v>37</v>
      </c>
      <c r="R2035" s="25"/>
      <c r="S2035" s="25"/>
    </row>
    <row r="2036" ht="27" customHeight="1" spans="1:19">
      <c r="A2036" s="19" t="s">
        <v>7944</v>
      </c>
      <c r="B2036" s="20" t="s">
        <v>30</v>
      </c>
      <c r="C2036" s="20" t="s">
        <v>31</v>
      </c>
      <c r="D2036" s="20" t="s">
        <v>32</v>
      </c>
      <c r="E2036" s="21" t="s">
        <v>7945</v>
      </c>
      <c r="F2036" s="21" t="s">
        <v>7946</v>
      </c>
      <c r="G2036" s="20" t="s">
        <v>35</v>
      </c>
      <c r="H2036" s="20" t="s">
        <v>25</v>
      </c>
      <c r="I2036" s="21" t="s">
        <v>7947</v>
      </c>
      <c r="J2036" s="22">
        <f t="shared" si="155"/>
        <v>16.9395833333328</v>
      </c>
      <c r="K2036" s="22">
        <f t="shared" si="156"/>
        <v>406.549999999988</v>
      </c>
      <c r="L2036" s="22">
        <f t="shared" si="157"/>
        <v>134.549999999988</v>
      </c>
      <c r="M2036" s="22" cm="1">
        <f ca="1" t="array" ref="M2036">SUMPRODUCT(--(WEEKDAY(ROW(INDIRECT(INT(F2036)&amp;":"&amp;INT(I2036))),2)&gt;5))</f>
        <v>6</v>
      </c>
      <c r="N2036" s="22">
        <f ca="1" t="shared" si="158"/>
        <v>86.549999999988</v>
      </c>
      <c r="O2036" s="22" t="str">
        <f ca="1" t="shared" si="159"/>
        <v>SLA Violated</v>
      </c>
      <c r="P2036" s="26" t="s">
        <v>7944</v>
      </c>
      <c r="Q2036" s="24" t="s">
        <v>28</v>
      </c>
      <c r="R2036" s="25"/>
      <c r="S2036" s="25"/>
    </row>
    <row r="2037" ht="27" customHeight="1" spans="1:19">
      <c r="A2037" s="19" t="s">
        <v>7948</v>
      </c>
      <c r="B2037" s="20" t="s">
        <v>30</v>
      </c>
      <c r="C2037" s="20" t="s">
        <v>4889</v>
      </c>
      <c r="D2037" s="20" t="s">
        <v>32</v>
      </c>
      <c r="E2037" s="21" t="s">
        <v>6332</v>
      </c>
      <c r="F2037" s="21" t="s">
        <v>7819</v>
      </c>
      <c r="G2037" s="20" t="s">
        <v>35</v>
      </c>
      <c r="H2037" s="20" t="s">
        <v>25</v>
      </c>
      <c r="I2037" s="21" t="s">
        <v>7947</v>
      </c>
      <c r="J2037" s="22">
        <f t="shared" si="155"/>
        <v>3.0090277777781</v>
      </c>
      <c r="K2037" s="22">
        <f t="shared" si="156"/>
        <v>72.2166666666744</v>
      </c>
      <c r="L2037" s="22">
        <f t="shared" si="157"/>
        <v>24.2166666666744</v>
      </c>
      <c r="M2037" s="22" cm="1">
        <f ca="1" t="array" ref="M2037">SUMPRODUCT(--(WEEKDAY(ROW(INDIRECT(INT(F2037)&amp;":"&amp;INT(I2037))),2)&gt;5))</f>
        <v>2</v>
      </c>
      <c r="N2037" s="22">
        <f ca="1" t="shared" si="158"/>
        <v>8.2166666666744</v>
      </c>
      <c r="O2037" s="22" t="str">
        <f ca="1" t="shared" si="159"/>
        <v>Within SLA</v>
      </c>
      <c r="P2037" s="26" t="s">
        <v>7948</v>
      </c>
      <c r="Q2037" s="24" t="s">
        <v>37</v>
      </c>
      <c r="R2037" s="25"/>
      <c r="S2037" s="25"/>
    </row>
    <row r="2038" ht="27" customHeight="1" spans="1:19">
      <c r="A2038" s="19" t="s">
        <v>7949</v>
      </c>
      <c r="B2038" s="20" t="s">
        <v>30</v>
      </c>
      <c r="C2038" s="20" t="s">
        <v>31</v>
      </c>
      <c r="D2038" s="20" t="s">
        <v>32</v>
      </c>
      <c r="E2038" s="21" t="s">
        <v>7950</v>
      </c>
      <c r="F2038" s="21" t="s">
        <v>7951</v>
      </c>
      <c r="G2038" s="20" t="s">
        <v>35</v>
      </c>
      <c r="H2038" s="20" t="s">
        <v>25</v>
      </c>
      <c r="I2038" s="21" t="s">
        <v>7952</v>
      </c>
      <c r="J2038" s="22">
        <f t="shared" si="155"/>
        <v>3.09305555555329</v>
      </c>
      <c r="K2038" s="22">
        <f t="shared" si="156"/>
        <v>74.233333333279</v>
      </c>
      <c r="L2038" s="22">
        <f t="shared" si="157"/>
        <v>26.233333333279</v>
      </c>
      <c r="M2038" s="22" cm="1">
        <f ca="1" t="array" ref="M2038">SUMPRODUCT(--(WEEKDAY(ROW(INDIRECT(INT(F2038)&amp;":"&amp;INT(I2038))),2)&gt;5))</f>
        <v>2</v>
      </c>
      <c r="N2038" s="22">
        <f ca="1" t="shared" si="158"/>
        <v>10.233333333279</v>
      </c>
      <c r="O2038" s="22" t="str">
        <f ca="1" t="shared" si="159"/>
        <v>Within SLA</v>
      </c>
      <c r="P2038" s="26" t="s">
        <v>7949</v>
      </c>
      <c r="Q2038" s="24" t="s">
        <v>37</v>
      </c>
      <c r="R2038" s="25"/>
      <c r="S2038" s="25"/>
    </row>
    <row r="2039" ht="27" customHeight="1" spans="1:19">
      <c r="A2039" s="19" t="s">
        <v>7953</v>
      </c>
      <c r="B2039" s="20" t="s">
        <v>30</v>
      </c>
      <c r="C2039" s="20" t="s">
        <v>4889</v>
      </c>
      <c r="D2039" s="20" t="s">
        <v>32</v>
      </c>
      <c r="E2039" s="21" t="s">
        <v>7954</v>
      </c>
      <c r="F2039" s="21" t="s">
        <v>7955</v>
      </c>
      <c r="G2039" s="20" t="s">
        <v>35</v>
      </c>
      <c r="H2039" s="20" t="s">
        <v>25</v>
      </c>
      <c r="I2039" s="21" t="s">
        <v>7956</v>
      </c>
      <c r="J2039" s="22">
        <f t="shared" si="155"/>
        <v>10.2097222222219</v>
      </c>
      <c r="K2039" s="22">
        <f t="shared" si="156"/>
        <v>245.033333333326</v>
      </c>
      <c r="L2039" s="22">
        <f t="shared" si="157"/>
        <v>85.0333333333256</v>
      </c>
      <c r="M2039" s="22" cm="1">
        <f ca="1" t="array" ref="M2039">SUMPRODUCT(--(WEEKDAY(ROW(INDIRECT(INT(F2039)&amp;":"&amp;INT(I2039))),2)&gt;5))</f>
        <v>4</v>
      </c>
      <c r="N2039" s="22">
        <f ca="1" t="shared" si="158"/>
        <v>53.0333333333256</v>
      </c>
      <c r="O2039" s="22" t="str">
        <f ca="1" t="shared" si="159"/>
        <v>SLA Violated</v>
      </c>
      <c r="P2039" s="23" t="s">
        <v>7957</v>
      </c>
      <c r="Q2039" s="24" t="s">
        <v>37</v>
      </c>
      <c r="R2039" s="25" t="s">
        <v>749</v>
      </c>
      <c r="S2039" s="25" t="s">
        <v>39</v>
      </c>
    </row>
    <row r="2040" ht="27" customHeight="1" spans="1:19">
      <c r="A2040" s="19" t="s">
        <v>7958</v>
      </c>
      <c r="B2040" s="20" t="s">
        <v>30</v>
      </c>
      <c r="C2040" s="20" t="s">
        <v>46</v>
      </c>
      <c r="D2040" s="20" t="s">
        <v>32</v>
      </c>
      <c r="E2040" s="21" t="s">
        <v>7959</v>
      </c>
      <c r="F2040" s="21" t="s">
        <v>7960</v>
      </c>
      <c r="G2040" s="20" t="s">
        <v>35</v>
      </c>
      <c r="H2040" s="20" t="s">
        <v>25</v>
      </c>
      <c r="I2040" s="21" t="s">
        <v>7961</v>
      </c>
      <c r="J2040" s="22">
        <f t="shared" si="155"/>
        <v>0.0555555555547471</v>
      </c>
      <c r="K2040" s="22">
        <f t="shared" si="156"/>
        <v>1.33333333331393</v>
      </c>
      <c r="L2040" s="22">
        <f t="shared" si="157"/>
        <v>1.33333333331393</v>
      </c>
      <c r="M2040" s="22" cm="1">
        <f ca="1" t="array" ref="M2040">SUMPRODUCT(--(WEEKDAY(ROW(INDIRECT(INT(F2040)&amp;":"&amp;INT(I2040))),2)&gt;5))</f>
        <v>0</v>
      </c>
      <c r="N2040" s="22">
        <f ca="1" t="shared" si="158"/>
        <v>1.33333333331393</v>
      </c>
      <c r="O2040" s="22" t="str">
        <f ca="1" t="shared" si="159"/>
        <v>Within SLA</v>
      </c>
      <c r="P2040" s="26" t="s">
        <v>7958</v>
      </c>
      <c r="Q2040" s="24" t="s">
        <v>37</v>
      </c>
      <c r="R2040" s="25"/>
      <c r="S2040" s="25"/>
    </row>
    <row r="2041" ht="39" customHeight="1" spans="1:19">
      <c r="A2041" s="19" t="s">
        <v>7962</v>
      </c>
      <c r="B2041" s="20" t="s">
        <v>196</v>
      </c>
      <c r="C2041" s="20" t="s">
        <v>4889</v>
      </c>
      <c r="D2041" s="20" t="s">
        <v>32</v>
      </c>
      <c r="E2041" s="21" t="s">
        <v>7959</v>
      </c>
      <c r="F2041" s="21" t="s">
        <v>7963</v>
      </c>
      <c r="G2041" s="20" t="s">
        <v>35</v>
      </c>
      <c r="H2041" s="20" t="s">
        <v>25</v>
      </c>
      <c r="I2041" s="21" t="s">
        <v>7964</v>
      </c>
      <c r="J2041" s="22">
        <f t="shared" si="155"/>
        <v>3.16319444444525</v>
      </c>
      <c r="K2041" s="22">
        <f t="shared" si="156"/>
        <v>75.9166666666861</v>
      </c>
      <c r="L2041" s="22">
        <f t="shared" si="157"/>
        <v>27.9166666666861</v>
      </c>
      <c r="M2041" s="22" cm="1">
        <f ca="1" t="array" ref="M2041">SUMPRODUCT(--(WEEKDAY(ROW(INDIRECT(INT(F2041)&amp;":"&amp;INT(I2041))),2)&gt;5))</f>
        <v>2</v>
      </c>
      <c r="N2041" s="22">
        <f ca="1" t="shared" si="158"/>
        <v>11.9166666666861</v>
      </c>
      <c r="O2041" s="22" t="str">
        <f ca="1" t="shared" si="159"/>
        <v>Within SLA</v>
      </c>
      <c r="P2041" s="26" t="s">
        <v>7962</v>
      </c>
      <c r="Q2041" s="24" t="s">
        <v>37</v>
      </c>
      <c r="R2041" s="25"/>
      <c r="S2041" s="25"/>
    </row>
    <row r="2042" ht="27" customHeight="1" spans="1:19">
      <c r="A2042" s="19" t="s">
        <v>7965</v>
      </c>
      <c r="B2042" s="20" t="s">
        <v>30</v>
      </c>
      <c r="C2042" s="20" t="s">
        <v>31</v>
      </c>
      <c r="D2042" s="20" t="s">
        <v>21</v>
      </c>
      <c r="E2042" s="21" t="s">
        <v>7966</v>
      </c>
      <c r="F2042" s="21" t="s">
        <v>7967</v>
      </c>
      <c r="G2042" s="20" t="s">
        <v>35</v>
      </c>
      <c r="H2042" s="20" t="s">
        <v>25</v>
      </c>
      <c r="I2042" s="21" t="s">
        <v>7968</v>
      </c>
      <c r="J2042" s="22">
        <f t="shared" si="155"/>
        <v>0.797222222223354</v>
      </c>
      <c r="K2042" s="22">
        <f t="shared" si="156"/>
        <v>19.1333333333605</v>
      </c>
      <c r="L2042" s="22">
        <f t="shared" si="157"/>
        <v>3.1333333333605</v>
      </c>
      <c r="M2042" s="22" cm="1">
        <f ca="1" t="array" ref="M2042">SUMPRODUCT(--(WEEKDAY(ROW(INDIRECT(INT(F2042)&amp;":"&amp;INT(I2042))),2)&gt;5))</f>
        <v>0</v>
      </c>
      <c r="N2042" s="22">
        <f ca="1" t="shared" si="158"/>
        <v>3.1333333333605</v>
      </c>
      <c r="O2042" s="22" t="str">
        <f ca="1" t="shared" si="159"/>
        <v>SLA Violated</v>
      </c>
      <c r="P2042" s="23" t="s">
        <v>7969</v>
      </c>
      <c r="Q2042" s="24" t="s">
        <v>37</v>
      </c>
      <c r="R2042" s="25" t="s">
        <v>749</v>
      </c>
      <c r="S2042" s="25" t="s">
        <v>39</v>
      </c>
    </row>
    <row r="2043" ht="50" customHeight="1" spans="1:19">
      <c r="A2043" s="19" t="s">
        <v>7970</v>
      </c>
      <c r="B2043" s="20" t="s">
        <v>369</v>
      </c>
      <c r="C2043" s="20" t="s">
        <v>849</v>
      </c>
      <c r="D2043" s="20" t="s">
        <v>32</v>
      </c>
      <c r="E2043" s="21" t="s">
        <v>7971</v>
      </c>
      <c r="F2043" s="21" t="s">
        <v>7972</v>
      </c>
      <c r="G2043" s="20" t="s">
        <v>35</v>
      </c>
      <c r="H2043" s="20" t="s">
        <v>25</v>
      </c>
      <c r="I2043" s="21" t="s">
        <v>7973</v>
      </c>
      <c r="J2043" s="22">
        <f t="shared" si="155"/>
        <v>12.023611111108</v>
      </c>
      <c r="K2043" s="22">
        <f t="shared" si="156"/>
        <v>288.566666666593</v>
      </c>
      <c r="L2043" s="22">
        <f t="shared" si="157"/>
        <v>96.5666666665929</v>
      </c>
      <c r="M2043" s="22" cm="1">
        <f ca="1" t="array" ref="M2043">SUMPRODUCT(--(WEEKDAY(ROW(INDIRECT(INT(F2043)&amp;":"&amp;INT(I2043))),2)&gt;5))</f>
        <v>4</v>
      </c>
      <c r="N2043" s="22">
        <f ca="1" t="shared" si="158"/>
        <v>64.5666666665929</v>
      </c>
      <c r="O2043" s="22" t="str">
        <f ca="1" t="shared" si="159"/>
        <v>SLA Violated</v>
      </c>
      <c r="P2043" s="23" t="s">
        <v>7974</v>
      </c>
      <c r="Q2043" s="24" t="s">
        <v>28</v>
      </c>
      <c r="R2043" s="25"/>
      <c r="S2043" s="25"/>
    </row>
    <row r="2044" ht="27" customHeight="1" spans="1:19">
      <c r="A2044" s="19" t="s">
        <v>7975</v>
      </c>
      <c r="B2044" s="20" t="s">
        <v>30</v>
      </c>
      <c r="C2044" s="20" t="s">
        <v>4889</v>
      </c>
      <c r="D2044" s="20" t="s">
        <v>32</v>
      </c>
      <c r="E2044" s="21" t="s">
        <v>7976</v>
      </c>
      <c r="F2044" s="21" t="s">
        <v>7977</v>
      </c>
      <c r="G2044" s="20" t="s">
        <v>35</v>
      </c>
      <c r="H2044" s="20" t="s">
        <v>25</v>
      </c>
      <c r="I2044" s="21" t="s">
        <v>7978</v>
      </c>
      <c r="J2044" s="22">
        <f t="shared" si="155"/>
        <v>6.23055555555766</v>
      </c>
      <c r="K2044" s="22">
        <f t="shared" si="156"/>
        <v>149.533333333384</v>
      </c>
      <c r="L2044" s="22">
        <f t="shared" si="157"/>
        <v>53.5333333333838</v>
      </c>
      <c r="M2044" s="22" cm="1">
        <f ca="1" t="array" ref="M2044">SUMPRODUCT(--(WEEKDAY(ROW(INDIRECT(INT(F2044)&amp;":"&amp;INT(I2044))),2)&gt;5))</f>
        <v>2</v>
      </c>
      <c r="N2044" s="22">
        <f ca="1" t="shared" si="158"/>
        <v>37.5333333333838</v>
      </c>
      <c r="O2044" s="22" t="str">
        <f ca="1" t="shared" si="159"/>
        <v>SLA Violated</v>
      </c>
      <c r="P2044" s="23" t="s">
        <v>7979</v>
      </c>
      <c r="Q2044" s="24" t="s">
        <v>28</v>
      </c>
      <c r="R2044" s="25"/>
      <c r="S2044" s="25"/>
    </row>
    <row r="2045" ht="27" customHeight="1" spans="1:19">
      <c r="A2045" s="19" t="s">
        <v>7980</v>
      </c>
      <c r="B2045" s="20" t="s">
        <v>30</v>
      </c>
      <c r="C2045" s="20" t="s">
        <v>4889</v>
      </c>
      <c r="D2045" s="20" t="s">
        <v>32</v>
      </c>
      <c r="E2045" s="21" t="s">
        <v>7981</v>
      </c>
      <c r="F2045" s="21" t="s">
        <v>7819</v>
      </c>
      <c r="G2045" s="20" t="s">
        <v>35</v>
      </c>
      <c r="H2045" s="20" t="s">
        <v>25</v>
      </c>
      <c r="I2045" s="21" t="s">
        <v>708</v>
      </c>
      <c r="J2045" s="22">
        <f t="shared" si="155"/>
        <v>2.96944444444671</v>
      </c>
      <c r="K2045" s="22">
        <f t="shared" si="156"/>
        <v>71.266666666721</v>
      </c>
      <c r="L2045" s="22">
        <f t="shared" si="157"/>
        <v>23.266666666721</v>
      </c>
      <c r="M2045" s="22" cm="1">
        <f ca="1" t="array" ref="M2045">SUMPRODUCT(--(WEEKDAY(ROW(INDIRECT(INT(F2045)&amp;":"&amp;INT(I2045))),2)&gt;5))</f>
        <v>2</v>
      </c>
      <c r="N2045" s="22">
        <f ca="1" t="shared" si="158"/>
        <v>7.266666666721</v>
      </c>
      <c r="O2045" s="22" t="str">
        <f ca="1" t="shared" si="159"/>
        <v>Within SLA</v>
      </c>
      <c r="P2045" s="26" t="s">
        <v>7980</v>
      </c>
      <c r="Q2045" s="24" t="s">
        <v>37</v>
      </c>
      <c r="R2045" s="25"/>
      <c r="S2045" s="25"/>
    </row>
    <row r="2046" ht="27" customHeight="1" spans="1:19">
      <c r="A2046" s="19" t="s">
        <v>7982</v>
      </c>
      <c r="B2046" s="20" t="s">
        <v>30</v>
      </c>
      <c r="C2046" s="20" t="s">
        <v>4889</v>
      </c>
      <c r="D2046" s="20" t="s">
        <v>32</v>
      </c>
      <c r="E2046" s="21" t="s">
        <v>4316</v>
      </c>
      <c r="F2046" s="21" t="s">
        <v>7983</v>
      </c>
      <c r="G2046" s="20" t="s">
        <v>35</v>
      </c>
      <c r="H2046" s="20" t="s">
        <v>25</v>
      </c>
      <c r="I2046" s="21" t="s">
        <v>7984</v>
      </c>
      <c r="J2046" s="22">
        <f t="shared" si="155"/>
        <v>2.96944444443943</v>
      </c>
      <c r="K2046" s="22">
        <f t="shared" si="156"/>
        <v>71.2666666665464</v>
      </c>
      <c r="L2046" s="22">
        <f t="shared" si="157"/>
        <v>23.2666666665464</v>
      </c>
      <c r="M2046" s="22" cm="1">
        <f ca="1" t="array" ref="M2046">SUMPRODUCT(--(WEEKDAY(ROW(INDIRECT(INT(F2046)&amp;":"&amp;INT(I2046))),2)&gt;5))</f>
        <v>2</v>
      </c>
      <c r="N2046" s="22">
        <f ca="1" t="shared" si="158"/>
        <v>7.2666666665464</v>
      </c>
      <c r="O2046" s="22" t="str">
        <f ca="1" t="shared" si="159"/>
        <v>Within SLA</v>
      </c>
      <c r="P2046" s="26" t="s">
        <v>7982</v>
      </c>
      <c r="Q2046" s="24" t="s">
        <v>37</v>
      </c>
      <c r="R2046" s="25"/>
      <c r="S2046" s="25"/>
    </row>
    <row r="2047" ht="27" customHeight="1" spans="1:19">
      <c r="A2047" s="19" t="s">
        <v>7985</v>
      </c>
      <c r="B2047" s="20" t="s">
        <v>30</v>
      </c>
      <c r="C2047" s="20" t="s">
        <v>31</v>
      </c>
      <c r="D2047" s="20" t="s">
        <v>32</v>
      </c>
      <c r="E2047" s="21" t="s">
        <v>4316</v>
      </c>
      <c r="F2047" s="21" t="s">
        <v>7986</v>
      </c>
      <c r="G2047" s="20" t="s">
        <v>35</v>
      </c>
      <c r="H2047" s="20" t="s">
        <v>25</v>
      </c>
      <c r="I2047" s="21" t="s">
        <v>7987</v>
      </c>
      <c r="J2047" s="22">
        <f t="shared" si="155"/>
        <v>19.0715277777781</v>
      </c>
      <c r="K2047" s="22">
        <f t="shared" si="156"/>
        <v>457.716666666674</v>
      </c>
      <c r="L2047" s="22">
        <f t="shared" si="157"/>
        <v>153.716666666674</v>
      </c>
      <c r="M2047" s="22" cm="1">
        <f ca="1" t="array" ref="M2047">SUMPRODUCT(--(WEEKDAY(ROW(INDIRECT(INT(F2047)&amp;":"&amp;INT(I2047))),2)&gt;5))</f>
        <v>6</v>
      </c>
      <c r="N2047" s="22">
        <f ca="1" t="shared" si="158"/>
        <v>105.716666666674</v>
      </c>
      <c r="O2047" s="22" t="str">
        <f ca="1" t="shared" si="159"/>
        <v>SLA Violated</v>
      </c>
      <c r="P2047" s="26" t="s">
        <v>7985</v>
      </c>
      <c r="Q2047" s="24" t="s">
        <v>28</v>
      </c>
      <c r="R2047" s="25"/>
      <c r="S2047" s="25"/>
    </row>
    <row r="2048" ht="39" customHeight="1" spans="1:19">
      <c r="A2048" s="19" t="s">
        <v>7988</v>
      </c>
      <c r="B2048" s="20" t="s">
        <v>19</v>
      </c>
      <c r="C2048" s="20" t="s">
        <v>20</v>
      </c>
      <c r="D2048" s="20" t="s">
        <v>32</v>
      </c>
      <c r="E2048" s="21" t="s">
        <v>7989</v>
      </c>
      <c r="F2048" s="21" t="s">
        <v>7990</v>
      </c>
      <c r="G2048" s="20" t="s">
        <v>35</v>
      </c>
      <c r="H2048" s="20" t="s">
        <v>25</v>
      </c>
      <c r="I2048" s="21" t="s">
        <v>7991</v>
      </c>
      <c r="J2048" s="22">
        <f t="shared" si="155"/>
        <v>0.0868055555547471</v>
      </c>
      <c r="K2048" s="22">
        <f t="shared" si="156"/>
        <v>2.08333333331393</v>
      </c>
      <c r="L2048" s="22">
        <f t="shared" si="157"/>
        <v>2.08333333331393</v>
      </c>
      <c r="M2048" s="22" cm="1">
        <f ca="1" t="array" ref="M2048">SUMPRODUCT(--(WEEKDAY(ROW(INDIRECT(INT(F2048)&amp;":"&amp;INT(I2048))),2)&gt;5))</f>
        <v>0</v>
      </c>
      <c r="N2048" s="22">
        <f ca="1" t="shared" si="158"/>
        <v>2.08333333331393</v>
      </c>
      <c r="O2048" s="22" t="str">
        <f ca="1" t="shared" si="159"/>
        <v>Within SLA</v>
      </c>
      <c r="P2048" s="26" t="s">
        <v>7988</v>
      </c>
      <c r="Q2048" s="24" t="s">
        <v>37</v>
      </c>
      <c r="R2048" s="25"/>
      <c r="S2048" s="25"/>
    </row>
    <row r="2049" ht="27" customHeight="1" spans="1:19">
      <c r="A2049" s="19" t="s">
        <v>7992</v>
      </c>
      <c r="B2049" s="20" t="s">
        <v>30</v>
      </c>
      <c r="C2049" s="20" t="s">
        <v>31</v>
      </c>
      <c r="D2049" s="20" t="s">
        <v>32</v>
      </c>
      <c r="E2049" s="21" t="s">
        <v>7989</v>
      </c>
      <c r="F2049" s="21" t="s">
        <v>7993</v>
      </c>
      <c r="G2049" s="20" t="s">
        <v>35</v>
      </c>
      <c r="H2049" s="20" t="s">
        <v>25</v>
      </c>
      <c r="I2049" s="21" t="s">
        <v>7994</v>
      </c>
      <c r="J2049" s="22">
        <f t="shared" si="155"/>
        <v>2.95347222222335</v>
      </c>
      <c r="K2049" s="22">
        <f t="shared" si="156"/>
        <v>70.8833333333605</v>
      </c>
      <c r="L2049" s="22">
        <f t="shared" si="157"/>
        <v>22.8833333333605</v>
      </c>
      <c r="M2049" s="22" cm="1">
        <f ca="1" t="array" ref="M2049">SUMPRODUCT(--(WEEKDAY(ROW(INDIRECT(INT(F2049)&amp;":"&amp;INT(I2049))),2)&gt;5))</f>
        <v>2</v>
      </c>
      <c r="N2049" s="22">
        <f ca="1" t="shared" si="158"/>
        <v>6.8833333333605</v>
      </c>
      <c r="O2049" s="22" t="str">
        <f ca="1" t="shared" si="159"/>
        <v>Within SLA</v>
      </c>
      <c r="P2049" s="26" t="s">
        <v>7992</v>
      </c>
      <c r="Q2049" s="24" t="s">
        <v>37</v>
      </c>
      <c r="R2049" s="25"/>
      <c r="S2049" s="25"/>
    </row>
    <row r="2050" ht="27" customHeight="1" spans="1:19">
      <c r="A2050" s="19" t="s">
        <v>7995</v>
      </c>
      <c r="B2050" s="20" t="s">
        <v>30</v>
      </c>
      <c r="C2050" s="20" t="s">
        <v>4889</v>
      </c>
      <c r="D2050" s="20" t="s">
        <v>32</v>
      </c>
      <c r="E2050" s="21" t="s">
        <v>7989</v>
      </c>
      <c r="F2050" s="21" t="s">
        <v>7996</v>
      </c>
      <c r="G2050" s="20" t="s">
        <v>35</v>
      </c>
      <c r="H2050" s="20" t="s">
        <v>25</v>
      </c>
      <c r="I2050" s="21" t="s">
        <v>7994</v>
      </c>
      <c r="J2050" s="22">
        <f t="shared" si="155"/>
        <v>2.96805555555329</v>
      </c>
      <c r="K2050" s="22">
        <f t="shared" si="156"/>
        <v>71.233333333279</v>
      </c>
      <c r="L2050" s="22">
        <f t="shared" si="157"/>
        <v>23.233333333279</v>
      </c>
      <c r="M2050" s="22" cm="1">
        <f ca="1" t="array" ref="M2050">SUMPRODUCT(--(WEEKDAY(ROW(INDIRECT(INT(F2050)&amp;":"&amp;INT(I2050))),2)&gt;5))</f>
        <v>2</v>
      </c>
      <c r="N2050" s="22">
        <f ca="1" t="shared" si="158"/>
        <v>7.233333333279</v>
      </c>
      <c r="O2050" s="22" t="str">
        <f ca="1" t="shared" si="159"/>
        <v>Within SLA</v>
      </c>
      <c r="P2050" s="26" t="s">
        <v>7995</v>
      </c>
      <c r="Q2050" s="24" t="s">
        <v>37</v>
      </c>
      <c r="R2050" s="25"/>
      <c r="S2050" s="25"/>
    </row>
    <row r="2051" ht="39" customHeight="1" spans="1:19">
      <c r="A2051" s="19" t="s">
        <v>7997</v>
      </c>
      <c r="B2051" s="20" t="s">
        <v>19</v>
      </c>
      <c r="C2051" s="20" t="s">
        <v>20</v>
      </c>
      <c r="D2051" s="20" t="s">
        <v>32</v>
      </c>
      <c r="E2051" s="21" t="s">
        <v>7998</v>
      </c>
      <c r="F2051" s="21" t="s">
        <v>7999</v>
      </c>
      <c r="G2051" s="20" t="s">
        <v>35</v>
      </c>
      <c r="H2051" s="20" t="s">
        <v>25</v>
      </c>
      <c r="I2051" s="21" t="s">
        <v>8000</v>
      </c>
      <c r="J2051" s="22">
        <f t="shared" ref="J2051:J2114" si="160">F2051-I2051</f>
        <v>0.0111111111109494</v>
      </c>
      <c r="K2051" s="22">
        <f t="shared" ref="K2051:K2114" si="161">J2051*24</f>
        <v>0.266666666662786</v>
      </c>
      <c r="L2051" s="22">
        <f t="shared" ref="L2051:L2114" si="162">IF(_xlfn.DAYS(F2051,I2051)&gt;0,K2051-IF(FLOOR(J2051,1)=0,1,_xlfn.DAYS(F2051,I2051))*16,K2051)</f>
        <v>0.266666666662786</v>
      </c>
      <c r="M2051" s="22" cm="1">
        <f ca="1" t="array" ref="M2051">SUMPRODUCT(--(WEEKDAY(ROW(INDIRECT(INT(F2051)&amp;":"&amp;INT(I2051))),2)&gt;5))</f>
        <v>0</v>
      </c>
      <c r="N2051" s="22">
        <f ca="1" t="shared" ref="N2051:N2114" si="163">IF(IF(M2051&gt;0,L2051-M2051*8,L2051)&lt;0,0,IF(M2051&gt;0,L2051-M2051*8,L2051))</f>
        <v>0.266666666662786</v>
      </c>
      <c r="O2051" s="22" t="str">
        <f ca="1" t="shared" ref="O2051:O2114" si="164">IF(OR(AND(D2051="P1",N2051&lt;=3),AND(D2051="P2",N2051&lt;=6),AND(D2051="P3",N2051&lt;=9),AND(D2051="P4",N2051&lt;=12)),"Within SLA","SLA Violated")</f>
        <v>Within SLA</v>
      </c>
      <c r="P2051" s="26" t="s">
        <v>7997</v>
      </c>
      <c r="Q2051" s="24" t="s">
        <v>37</v>
      </c>
      <c r="R2051" s="25"/>
      <c r="S2051" s="25"/>
    </row>
    <row r="2052" ht="27" customHeight="1" spans="1:19">
      <c r="A2052" s="19" t="s">
        <v>8001</v>
      </c>
      <c r="B2052" s="20" t="s">
        <v>30</v>
      </c>
      <c r="C2052" s="20" t="s">
        <v>31</v>
      </c>
      <c r="D2052" s="20" t="s">
        <v>32</v>
      </c>
      <c r="E2052" s="21" t="s">
        <v>8002</v>
      </c>
      <c r="F2052" s="21" t="s">
        <v>8003</v>
      </c>
      <c r="G2052" s="20" t="s">
        <v>35</v>
      </c>
      <c r="H2052" s="20" t="s">
        <v>25</v>
      </c>
      <c r="I2052" s="21" t="s">
        <v>8004</v>
      </c>
      <c r="J2052" s="22">
        <f t="shared" si="160"/>
        <v>2.92777777778247</v>
      </c>
      <c r="K2052" s="22">
        <f t="shared" si="161"/>
        <v>70.2666666667792</v>
      </c>
      <c r="L2052" s="22">
        <f t="shared" si="162"/>
        <v>22.2666666667792</v>
      </c>
      <c r="M2052" s="22" cm="1">
        <f ca="1" t="array" ref="M2052">SUMPRODUCT(--(WEEKDAY(ROW(INDIRECT(INT(F2052)&amp;":"&amp;INT(I2052))),2)&gt;5))</f>
        <v>2</v>
      </c>
      <c r="N2052" s="22">
        <f ca="1" t="shared" si="163"/>
        <v>6.2666666667792</v>
      </c>
      <c r="O2052" s="22" t="str">
        <f ca="1" t="shared" si="164"/>
        <v>Within SLA</v>
      </c>
      <c r="P2052" s="26" t="s">
        <v>8001</v>
      </c>
      <c r="Q2052" s="24" t="s">
        <v>37</v>
      </c>
      <c r="R2052" s="25"/>
      <c r="S2052" s="25"/>
    </row>
    <row r="2053" ht="39" customHeight="1" spans="1:19">
      <c r="A2053" s="19" t="s">
        <v>8005</v>
      </c>
      <c r="B2053" s="20" t="s">
        <v>19</v>
      </c>
      <c r="C2053" s="20" t="s">
        <v>20</v>
      </c>
      <c r="D2053" s="20" t="s">
        <v>32</v>
      </c>
      <c r="E2053" s="21" t="s">
        <v>8006</v>
      </c>
      <c r="F2053" s="21" t="s">
        <v>8007</v>
      </c>
      <c r="G2053" s="20" t="s">
        <v>35</v>
      </c>
      <c r="H2053" s="20" t="s">
        <v>25</v>
      </c>
      <c r="I2053" s="21" t="s">
        <v>8007</v>
      </c>
      <c r="J2053" s="22">
        <f t="shared" si="160"/>
        <v>0</v>
      </c>
      <c r="K2053" s="22">
        <f t="shared" si="161"/>
        <v>0</v>
      </c>
      <c r="L2053" s="22">
        <f t="shared" si="162"/>
        <v>0</v>
      </c>
      <c r="M2053" s="22" cm="1">
        <f ca="1" t="array" ref="M2053">SUMPRODUCT(--(WEEKDAY(ROW(INDIRECT(INT(F2053)&amp;":"&amp;INT(I2053))),2)&gt;5))</f>
        <v>0</v>
      </c>
      <c r="N2053" s="22">
        <f ca="1" t="shared" si="163"/>
        <v>0</v>
      </c>
      <c r="O2053" s="22" t="str">
        <f ca="1" t="shared" si="164"/>
        <v>Within SLA</v>
      </c>
      <c r="P2053" s="26" t="s">
        <v>8005</v>
      </c>
      <c r="Q2053" s="24" t="s">
        <v>37</v>
      </c>
      <c r="R2053" s="25"/>
      <c r="S2053" s="25"/>
    </row>
    <row r="2054" ht="39" customHeight="1" spans="1:19">
      <c r="A2054" s="19" t="s">
        <v>8008</v>
      </c>
      <c r="B2054" s="20" t="s">
        <v>19</v>
      </c>
      <c r="C2054" s="20" t="s">
        <v>20</v>
      </c>
      <c r="D2054" s="20" t="s">
        <v>32</v>
      </c>
      <c r="E2054" s="21" t="s">
        <v>8006</v>
      </c>
      <c r="F2054" s="21" t="s">
        <v>8009</v>
      </c>
      <c r="G2054" s="20" t="s">
        <v>35</v>
      </c>
      <c r="H2054" s="20" t="s">
        <v>25</v>
      </c>
      <c r="I2054" s="21" t="s">
        <v>8009</v>
      </c>
      <c r="J2054" s="22">
        <f t="shared" si="160"/>
        <v>0</v>
      </c>
      <c r="K2054" s="22">
        <f t="shared" si="161"/>
        <v>0</v>
      </c>
      <c r="L2054" s="22">
        <f t="shared" si="162"/>
        <v>0</v>
      </c>
      <c r="M2054" s="22" cm="1">
        <f ca="1" t="array" ref="M2054">SUMPRODUCT(--(WEEKDAY(ROW(INDIRECT(INT(F2054)&amp;":"&amp;INT(I2054))),2)&gt;5))</f>
        <v>0</v>
      </c>
      <c r="N2054" s="22">
        <f ca="1" t="shared" si="163"/>
        <v>0</v>
      </c>
      <c r="O2054" s="22" t="str">
        <f ca="1" t="shared" si="164"/>
        <v>Within SLA</v>
      </c>
      <c r="P2054" s="26" t="s">
        <v>8008</v>
      </c>
      <c r="Q2054" s="24" t="s">
        <v>37</v>
      </c>
      <c r="R2054" s="25"/>
      <c r="S2054" s="25"/>
    </row>
    <row r="2055" ht="27" customHeight="1" spans="1:19">
      <c r="A2055" s="19" t="s">
        <v>8010</v>
      </c>
      <c r="B2055" s="20" t="s">
        <v>139</v>
      </c>
      <c r="C2055" s="20" t="s">
        <v>20</v>
      </c>
      <c r="D2055" s="20" t="s">
        <v>32</v>
      </c>
      <c r="E2055" s="21" t="s">
        <v>7999</v>
      </c>
      <c r="F2055" s="21" t="s">
        <v>8011</v>
      </c>
      <c r="G2055" s="20" t="s">
        <v>35</v>
      </c>
      <c r="H2055" s="20" t="s">
        <v>25</v>
      </c>
      <c r="I2055" s="21" t="s">
        <v>8009</v>
      </c>
      <c r="J2055" s="22">
        <f t="shared" si="160"/>
        <v>0.0520833333357587</v>
      </c>
      <c r="K2055" s="22">
        <f t="shared" si="161"/>
        <v>1.25000000005821</v>
      </c>
      <c r="L2055" s="22">
        <f t="shared" si="162"/>
        <v>1.25000000005821</v>
      </c>
      <c r="M2055" s="22" cm="1">
        <f ca="1" t="array" ref="M2055">SUMPRODUCT(--(WEEKDAY(ROW(INDIRECT(INT(F2055)&amp;":"&amp;INT(I2055))),2)&gt;5))</f>
        <v>0</v>
      </c>
      <c r="N2055" s="22">
        <f ca="1" t="shared" si="163"/>
        <v>1.25000000005821</v>
      </c>
      <c r="O2055" s="22" t="str">
        <f ca="1" t="shared" si="164"/>
        <v>Within SLA</v>
      </c>
      <c r="P2055" s="26" t="s">
        <v>8010</v>
      </c>
      <c r="Q2055" s="24" t="s">
        <v>37</v>
      </c>
      <c r="R2055" s="25"/>
      <c r="S2055" s="25"/>
    </row>
    <row r="2056" ht="39" customHeight="1" spans="1:19">
      <c r="A2056" s="19" t="s">
        <v>8012</v>
      </c>
      <c r="B2056" s="20" t="s">
        <v>4167</v>
      </c>
      <c r="C2056" s="20" t="s">
        <v>849</v>
      </c>
      <c r="D2056" s="20" t="s">
        <v>32</v>
      </c>
      <c r="E2056" s="21" t="s">
        <v>8013</v>
      </c>
      <c r="F2056" s="21" t="s">
        <v>8014</v>
      </c>
      <c r="G2056" s="20" t="s">
        <v>35</v>
      </c>
      <c r="H2056" s="20" t="s">
        <v>25</v>
      </c>
      <c r="I2056" s="21" t="s">
        <v>8015</v>
      </c>
      <c r="J2056" s="22">
        <f t="shared" si="160"/>
        <v>33.0826388888891</v>
      </c>
      <c r="K2056" s="22">
        <f t="shared" si="161"/>
        <v>793.983333333337</v>
      </c>
      <c r="L2056" s="22">
        <f t="shared" si="162"/>
        <v>265.983333333337</v>
      </c>
      <c r="M2056" s="22" cm="1">
        <f ca="1" t="array" ref="M2056">SUMPRODUCT(--(WEEKDAY(ROW(INDIRECT(INT(F2056)&amp;":"&amp;INT(I2056))),2)&gt;5))</f>
        <v>10</v>
      </c>
      <c r="N2056" s="22">
        <f ca="1" t="shared" si="163"/>
        <v>185.983333333337</v>
      </c>
      <c r="O2056" s="22" t="str">
        <f ca="1" t="shared" si="164"/>
        <v>SLA Violated</v>
      </c>
      <c r="P2056" s="23" t="s">
        <v>8016</v>
      </c>
      <c r="Q2056" s="24" t="s">
        <v>28</v>
      </c>
      <c r="R2056" s="25"/>
      <c r="S2056" s="25"/>
    </row>
    <row r="2057" ht="27" customHeight="1" spans="1:19">
      <c r="A2057" s="19" t="s">
        <v>8017</v>
      </c>
      <c r="B2057" s="20" t="s">
        <v>30</v>
      </c>
      <c r="C2057" s="20" t="s">
        <v>4889</v>
      </c>
      <c r="D2057" s="20" t="s">
        <v>32</v>
      </c>
      <c r="E2057" s="21" t="s">
        <v>8018</v>
      </c>
      <c r="F2057" s="21" t="s">
        <v>2183</v>
      </c>
      <c r="G2057" s="20" t="s">
        <v>35</v>
      </c>
      <c r="H2057" s="20" t="s">
        <v>25</v>
      </c>
      <c r="I2057" s="21" t="s">
        <v>8019</v>
      </c>
      <c r="J2057" s="22">
        <f t="shared" si="160"/>
        <v>2.90763888888614</v>
      </c>
      <c r="K2057" s="22">
        <f t="shared" si="161"/>
        <v>69.7833333332674</v>
      </c>
      <c r="L2057" s="22">
        <f t="shared" si="162"/>
        <v>21.7833333332674</v>
      </c>
      <c r="M2057" s="22" cm="1">
        <f ca="1" t="array" ref="M2057">SUMPRODUCT(--(WEEKDAY(ROW(INDIRECT(INT(F2057)&amp;":"&amp;INT(I2057))),2)&gt;5))</f>
        <v>2</v>
      </c>
      <c r="N2057" s="22">
        <f ca="1" t="shared" si="163"/>
        <v>5.7833333332674</v>
      </c>
      <c r="O2057" s="22" t="str">
        <f ca="1" t="shared" si="164"/>
        <v>Within SLA</v>
      </c>
      <c r="P2057" s="26" t="s">
        <v>8017</v>
      </c>
      <c r="Q2057" s="24" t="s">
        <v>37</v>
      </c>
      <c r="R2057" s="25"/>
      <c r="S2057" s="25"/>
    </row>
    <row r="2058" ht="39" customHeight="1" spans="1:19">
      <c r="A2058" s="19" t="s">
        <v>8020</v>
      </c>
      <c r="B2058" s="20" t="s">
        <v>19</v>
      </c>
      <c r="C2058" s="20" t="s">
        <v>20</v>
      </c>
      <c r="D2058" s="20" t="s">
        <v>32</v>
      </c>
      <c r="E2058" s="21" t="s">
        <v>8018</v>
      </c>
      <c r="F2058" s="21" t="s">
        <v>8021</v>
      </c>
      <c r="G2058" s="20" t="s">
        <v>35</v>
      </c>
      <c r="H2058" s="20" t="s">
        <v>25</v>
      </c>
      <c r="I2058" s="21" t="s">
        <v>8022</v>
      </c>
      <c r="J2058" s="22">
        <f t="shared" si="160"/>
        <v>0.047222222223354</v>
      </c>
      <c r="K2058" s="22">
        <f t="shared" si="161"/>
        <v>1.1333333333605</v>
      </c>
      <c r="L2058" s="22">
        <f t="shared" si="162"/>
        <v>1.1333333333605</v>
      </c>
      <c r="M2058" s="22" cm="1">
        <f ca="1" t="array" ref="M2058">SUMPRODUCT(--(WEEKDAY(ROW(INDIRECT(INT(F2058)&amp;":"&amp;INT(I2058))),2)&gt;5))</f>
        <v>0</v>
      </c>
      <c r="N2058" s="22">
        <f ca="1" t="shared" si="163"/>
        <v>1.1333333333605</v>
      </c>
      <c r="O2058" s="22" t="str">
        <f ca="1" t="shared" si="164"/>
        <v>Within SLA</v>
      </c>
      <c r="P2058" s="26" t="s">
        <v>8020</v>
      </c>
      <c r="Q2058" s="24" t="s">
        <v>37</v>
      </c>
      <c r="R2058" s="25"/>
      <c r="S2058" s="25"/>
    </row>
    <row r="2059" ht="27" customHeight="1" spans="1:19">
      <c r="A2059" s="19" t="s">
        <v>8023</v>
      </c>
      <c r="B2059" s="20" t="s">
        <v>30</v>
      </c>
      <c r="C2059" s="20" t="s">
        <v>4889</v>
      </c>
      <c r="D2059" s="20" t="s">
        <v>32</v>
      </c>
      <c r="E2059" s="21" t="s">
        <v>8009</v>
      </c>
      <c r="F2059" s="21" t="s">
        <v>8024</v>
      </c>
      <c r="G2059" s="20" t="s">
        <v>35</v>
      </c>
      <c r="H2059" s="20" t="s">
        <v>25</v>
      </c>
      <c r="I2059" s="21" t="s">
        <v>8025</v>
      </c>
      <c r="J2059" s="22">
        <f t="shared" si="160"/>
        <v>2.88263888889196</v>
      </c>
      <c r="K2059" s="22">
        <f t="shared" si="161"/>
        <v>69.1833333334071</v>
      </c>
      <c r="L2059" s="22">
        <f t="shared" si="162"/>
        <v>21.1833333334071</v>
      </c>
      <c r="M2059" s="22" cm="1">
        <f ca="1" t="array" ref="M2059">SUMPRODUCT(--(WEEKDAY(ROW(INDIRECT(INT(F2059)&amp;":"&amp;INT(I2059))),2)&gt;5))</f>
        <v>2</v>
      </c>
      <c r="N2059" s="22">
        <f ca="1" t="shared" si="163"/>
        <v>5.1833333334071</v>
      </c>
      <c r="O2059" s="22" t="str">
        <f ca="1" t="shared" si="164"/>
        <v>Within SLA</v>
      </c>
      <c r="P2059" s="26" t="s">
        <v>8023</v>
      </c>
      <c r="Q2059" s="24" t="s">
        <v>37</v>
      </c>
      <c r="R2059" s="25"/>
      <c r="S2059" s="25"/>
    </row>
    <row r="2060" ht="39" customHeight="1" spans="1:19">
      <c r="A2060" s="19" t="s">
        <v>8026</v>
      </c>
      <c r="B2060" s="20" t="s">
        <v>196</v>
      </c>
      <c r="C2060" s="20" t="s">
        <v>1935</v>
      </c>
      <c r="D2060" s="20" t="s">
        <v>21</v>
      </c>
      <c r="E2060" s="21" t="s">
        <v>8027</v>
      </c>
      <c r="F2060" s="21" t="s">
        <v>8028</v>
      </c>
      <c r="G2060" s="20" t="s">
        <v>35</v>
      </c>
      <c r="H2060" s="20" t="s">
        <v>25</v>
      </c>
      <c r="I2060" s="21" t="s">
        <v>8025</v>
      </c>
      <c r="J2060" s="22">
        <f t="shared" si="160"/>
        <v>0.03125</v>
      </c>
      <c r="K2060" s="22">
        <f t="shared" si="161"/>
        <v>0.75</v>
      </c>
      <c r="L2060" s="22">
        <f t="shared" si="162"/>
        <v>0.75</v>
      </c>
      <c r="M2060" s="22" cm="1">
        <f ca="1" t="array" ref="M2060">SUMPRODUCT(--(WEEKDAY(ROW(INDIRECT(INT(F2060)&amp;":"&amp;INT(I2060))),2)&gt;5))</f>
        <v>0</v>
      </c>
      <c r="N2060" s="22">
        <f ca="1" t="shared" si="163"/>
        <v>0.75</v>
      </c>
      <c r="O2060" s="22" t="str">
        <f ca="1" t="shared" si="164"/>
        <v>Within SLA</v>
      </c>
      <c r="P2060" s="26" t="s">
        <v>8026</v>
      </c>
      <c r="Q2060" s="24" t="s">
        <v>37</v>
      </c>
      <c r="R2060" s="25"/>
      <c r="S2060" s="25"/>
    </row>
    <row r="2061" ht="39" customHeight="1" spans="1:19">
      <c r="A2061" s="19" t="s">
        <v>8029</v>
      </c>
      <c r="B2061" s="20" t="s">
        <v>19</v>
      </c>
      <c r="C2061" s="20" t="s">
        <v>167</v>
      </c>
      <c r="D2061" s="20" t="s">
        <v>32</v>
      </c>
      <c r="E2061" s="21" t="s">
        <v>8030</v>
      </c>
      <c r="F2061" s="21" t="s">
        <v>8031</v>
      </c>
      <c r="G2061" s="20" t="s">
        <v>35</v>
      </c>
      <c r="H2061" s="20" t="s">
        <v>25</v>
      </c>
      <c r="I2061" s="21" t="s">
        <v>8032</v>
      </c>
      <c r="J2061" s="22">
        <f t="shared" si="160"/>
        <v>0.180555555554747</v>
      </c>
      <c r="K2061" s="22">
        <f t="shared" si="161"/>
        <v>4.33333333331393</v>
      </c>
      <c r="L2061" s="22">
        <f t="shared" si="162"/>
        <v>4.33333333331393</v>
      </c>
      <c r="M2061" s="22" cm="1">
        <f ca="1" t="array" ref="M2061">SUMPRODUCT(--(WEEKDAY(ROW(INDIRECT(INT(F2061)&amp;":"&amp;INT(I2061))),2)&gt;5))</f>
        <v>0</v>
      </c>
      <c r="N2061" s="22">
        <f ca="1" t="shared" si="163"/>
        <v>4.33333333331393</v>
      </c>
      <c r="O2061" s="22" t="str">
        <f ca="1" t="shared" si="164"/>
        <v>Within SLA</v>
      </c>
      <c r="P2061" s="26" t="s">
        <v>8029</v>
      </c>
      <c r="Q2061" s="24" t="s">
        <v>37</v>
      </c>
      <c r="R2061" s="25"/>
      <c r="S2061" s="25"/>
    </row>
    <row r="2062" ht="27" customHeight="1" spans="1:19">
      <c r="A2062" s="19" t="s">
        <v>8033</v>
      </c>
      <c r="B2062" s="20" t="s">
        <v>30</v>
      </c>
      <c r="C2062" s="20" t="s">
        <v>31</v>
      </c>
      <c r="D2062" s="20" t="s">
        <v>32</v>
      </c>
      <c r="E2062" s="21" t="s">
        <v>8034</v>
      </c>
      <c r="F2062" s="21" t="s">
        <v>8035</v>
      </c>
      <c r="G2062" s="20" t="s">
        <v>35</v>
      </c>
      <c r="H2062" s="20" t="s">
        <v>25</v>
      </c>
      <c r="I2062" s="21" t="s">
        <v>8036</v>
      </c>
      <c r="J2062" s="22">
        <f t="shared" si="160"/>
        <v>2.8395833333343</v>
      </c>
      <c r="K2062" s="22">
        <f t="shared" si="161"/>
        <v>68.1500000000233</v>
      </c>
      <c r="L2062" s="22">
        <f t="shared" si="162"/>
        <v>20.1500000000233</v>
      </c>
      <c r="M2062" s="22" cm="1">
        <f ca="1" t="array" ref="M2062">SUMPRODUCT(--(WEEKDAY(ROW(INDIRECT(INT(F2062)&amp;":"&amp;INT(I2062))),2)&gt;5))</f>
        <v>2</v>
      </c>
      <c r="N2062" s="22">
        <f ca="1" t="shared" si="163"/>
        <v>4.1500000000233</v>
      </c>
      <c r="O2062" s="22" t="str">
        <f ca="1" t="shared" si="164"/>
        <v>Within SLA</v>
      </c>
      <c r="P2062" s="26" t="s">
        <v>8033</v>
      </c>
      <c r="Q2062" s="24" t="s">
        <v>37</v>
      </c>
      <c r="R2062" s="25"/>
      <c r="S2062" s="25"/>
    </row>
    <row r="2063" ht="39" customHeight="1" spans="1:19">
      <c r="A2063" s="19" t="s">
        <v>8037</v>
      </c>
      <c r="B2063" s="20" t="s">
        <v>196</v>
      </c>
      <c r="C2063" s="20" t="s">
        <v>849</v>
      </c>
      <c r="D2063" s="20" t="s">
        <v>32</v>
      </c>
      <c r="E2063" s="21" t="s">
        <v>827</v>
      </c>
      <c r="F2063" s="21" t="s">
        <v>8038</v>
      </c>
      <c r="G2063" s="20" t="s">
        <v>35</v>
      </c>
      <c r="H2063" s="20" t="s">
        <v>25</v>
      </c>
      <c r="I2063" s="21" t="s">
        <v>8039</v>
      </c>
      <c r="J2063" s="22">
        <f t="shared" si="160"/>
        <v>2.92638888888905</v>
      </c>
      <c r="K2063" s="22">
        <f t="shared" si="161"/>
        <v>70.2333333333372</v>
      </c>
      <c r="L2063" s="22">
        <f t="shared" si="162"/>
        <v>22.2333333333372</v>
      </c>
      <c r="M2063" s="22" cm="1">
        <f ca="1" t="array" ref="M2063">SUMPRODUCT(--(WEEKDAY(ROW(INDIRECT(INT(F2063)&amp;":"&amp;INT(I2063))),2)&gt;5))</f>
        <v>2</v>
      </c>
      <c r="N2063" s="22">
        <f ca="1" t="shared" si="163"/>
        <v>6.2333333333372</v>
      </c>
      <c r="O2063" s="22" t="str">
        <f ca="1" t="shared" si="164"/>
        <v>Within SLA</v>
      </c>
      <c r="P2063" s="26" t="s">
        <v>8037</v>
      </c>
      <c r="Q2063" s="24" t="s">
        <v>37</v>
      </c>
      <c r="R2063" s="25"/>
      <c r="S2063" s="25"/>
    </row>
    <row r="2064" ht="27" customHeight="1" spans="1:19">
      <c r="A2064" s="19" t="s">
        <v>8040</v>
      </c>
      <c r="B2064" s="20" t="s">
        <v>30</v>
      </c>
      <c r="C2064" s="20" t="s">
        <v>31</v>
      </c>
      <c r="D2064" s="20" t="s">
        <v>32</v>
      </c>
      <c r="E2064" s="21" t="s">
        <v>8041</v>
      </c>
      <c r="F2064" s="21" t="s">
        <v>8042</v>
      </c>
      <c r="G2064" s="20" t="s">
        <v>35</v>
      </c>
      <c r="H2064" s="20" t="s">
        <v>25</v>
      </c>
      <c r="I2064" s="21" t="s">
        <v>8043</v>
      </c>
      <c r="J2064" s="22">
        <f t="shared" si="160"/>
        <v>0.054861111115315</v>
      </c>
      <c r="K2064" s="22">
        <f t="shared" si="161"/>
        <v>1.31666666676756</v>
      </c>
      <c r="L2064" s="22">
        <f t="shared" si="162"/>
        <v>1.31666666676756</v>
      </c>
      <c r="M2064" s="22" cm="1">
        <f ca="1" t="array" ref="M2064">SUMPRODUCT(--(WEEKDAY(ROW(INDIRECT(INT(F2064)&amp;":"&amp;INT(I2064))),2)&gt;5))</f>
        <v>0</v>
      </c>
      <c r="N2064" s="22">
        <f ca="1" t="shared" si="163"/>
        <v>1.31666666676756</v>
      </c>
      <c r="O2064" s="22" t="str">
        <f ca="1" t="shared" si="164"/>
        <v>Within SLA</v>
      </c>
      <c r="P2064" s="26" t="s">
        <v>8040</v>
      </c>
      <c r="Q2064" s="24" t="s">
        <v>37</v>
      </c>
      <c r="R2064" s="25"/>
      <c r="S2064" s="25"/>
    </row>
    <row r="2065" ht="39" customHeight="1" spans="1:19">
      <c r="A2065" s="19" t="s">
        <v>8044</v>
      </c>
      <c r="B2065" s="20" t="s">
        <v>19</v>
      </c>
      <c r="C2065" s="20" t="s">
        <v>20</v>
      </c>
      <c r="D2065" s="20" t="s">
        <v>32</v>
      </c>
      <c r="E2065" s="21" t="s">
        <v>8045</v>
      </c>
      <c r="F2065" s="21" t="s">
        <v>8046</v>
      </c>
      <c r="G2065" s="20" t="s">
        <v>35</v>
      </c>
      <c r="H2065" s="20" t="s">
        <v>25</v>
      </c>
      <c r="I2065" s="21" t="s">
        <v>8047</v>
      </c>
      <c r="J2065" s="22">
        <f t="shared" si="160"/>
        <v>0.00416666666569654</v>
      </c>
      <c r="K2065" s="22">
        <f t="shared" si="161"/>
        <v>0.0999999999767169</v>
      </c>
      <c r="L2065" s="22">
        <f t="shared" si="162"/>
        <v>0.0999999999767169</v>
      </c>
      <c r="M2065" s="22" cm="1">
        <f ca="1" t="array" ref="M2065">SUMPRODUCT(--(WEEKDAY(ROW(INDIRECT(INT(F2065)&amp;":"&amp;INT(I2065))),2)&gt;5))</f>
        <v>0</v>
      </c>
      <c r="N2065" s="22">
        <f ca="1" t="shared" si="163"/>
        <v>0.0999999999767169</v>
      </c>
      <c r="O2065" s="22" t="str">
        <f ca="1" t="shared" si="164"/>
        <v>Within SLA</v>
      </c>
      <c r="P2065" s="26" t="s">
        <v>8044</v>
      </c>
      <c r="Q2065" s="24" t="s">
        <v>37</v>
      </c>
      <c r="R2065" s="25"/>
      <c r="S2065" s="25"/>
    </row>
    <row r="2066" ht="27" customHeight="1" spans="1:19">
      <c r="A2066" s="19" t="s">
        <v>8048</v>
      </c>
      <c r="B2066" s="20" t="s">
        <v>30</v>
      </c>
      <c r="C2066" s="20" t="s">
        <v>4889</v>
      </c>
      <c r="D2066" s="20" t="s">
        <v>32</v>
      </c>
      <c r="E2066" s="21" t="s">
        <v>8049</v>
      </c>
      <c r="F2066" s="21" t="s">
        <v>8050</v>
      </c>
      <c r="G2066" s="20" t="s">
        <v>35</v>
      </c>
      <c r="H2066" s="20" t="s">
        <v>25</v>
      </c>
      <c r="I2066" s="21" t="s">
        <v>8051</v>
      </c>
      <c r="J2066" s="22">
        <f t="shared" si="160"/>
        <v>2.84999999999854</v>
      </c>
      <c r="K2066" s="22">
        <f t="shared" si="161"/>
        <v>68.3999999999651</v>
      </c>
      <c r="L2066" s="22">
        <f t="shared" si="162"/>
        <v>20.3999999999651</v>
      </c>
      <c r="M2066" s="22" cm="1">
        <f ca="1" t="array" ref="M2066">SUMPRODUCT(--(WEEKDAY(ROW(INDIRECT(INT(F2066)&amp;":"&amp;INT(I2066))),2)&gt;5))</f>
        <v>2</v>
      </c>
      <c r="N2066" s="22">
        <f ca="1" t="shared" si="163"/>
        <v>4.3999999999651</v>
      </c>
      <c r="O2066" s="22" t="str">
        <f ca="1" t="shared" si="164"/>
        <v>Within SLA</v>
      </c>
      <c r="P2066" s="26" t="s">
        <v>8048</v>
      </c>
      <c r="Q2066" s="24" t="s">
        <v>37</v>
      </c>
      <c r="R2066" s="25"/>
      <c r="S2066" s="25"/>
    </row>
    <row r="2067" ht="27" customHeight="1" spans="1:19">
      <c r="A2067" s="19" t="s">
        <v>8052</v>
      </c>
      <c r="B2067" s="20" t="s">
        <v>30</v>
      </c>
      <c r="C2067" s="20" t="s">
        <v>4889</v>
      </c>
      <c r="D2067" s="20" t="s">
        <v>32</v>
      </c>
      <c r="E2067" s="21" t="s">
        <v>8053</v>
      </c>
      <c r="F2067" s="21" t="s">
        <v>8054</v>
      </c>
      <c r="G2067" s="20" t="s">
        <v>35</v>
      </c>
      <c r="H2067" s="20" t="s">
        <v>25</v>
      </c>
      <c r="I2067" s="21" t="s">
        <v>8055</v>
      </c>
      <c r="J2067" s="22">
        <f t="shared" si="160"/>
        <v>10.0187500000029</v>
      </c>
      <c r="K2067" s="22">
        <f t="shared" si="161"/>
        <v>240.45000000007</v>
      </c>
      <c r="L2067" s="22">
        <f t="shared" si="162"/>
        <v>80.4500000000698</v>
      </c>
      <c r="M2067" s="22" cm="1">
        <f ca="1" t="array" ref="M2067">SUMPRODUCT(--(WEEKDAY(ROW(INDIRECT(INT(F2067)&amp;":"&amp;INT(I2067))),2)&gt;5))</f>
        <v>4</v>
      </c>
      <c r="N2067" s="22">
        <f ca="1" t="shared" si="163"/>
        <v>48.4500000000698</v>
      </c>
      <c r="O2067" s="22" t="str">
        <f ca="1" t="shared" si="164"/>
        <v>SLA Violated</v>
      </c>
      <c r="P2067" s="23" t="s">
        <v>8056</v>
      </c>
      <c r="Q2067" s="24" t="s">
        <v>28</v>
      </c>
      <c r="R2067" s="25"/>
      <c r="S2067" s="25"/>
    </row>
    <row r="2068" ht="27" customHeight="1" spans="1:19">
      <c r="A2068" s="19" t="s">
        <v>8057</v>
      </c>
      <c r="B2068" s="20" t="s">
        <v>1047</v>
      </c>
      <c r="C2068" s="20" t="s">
        <v>849</v>
      </c>
      <c r="D2068" s="20" t="s">
        <v>32</v>
      </c>
      <c r="E2068" s="21" t="s">
        <v>8055</v>
      </c>
      <c r="F2068" s="21" t="s">
        <v>8058</v>
      </c>
      <c r="G2068" s="20" t="s">
        <v>35</v>
      </c>
      <c r="H2068" s="20" t="s">
        <v>25</v>
      </c>
      <c r="I2068" s="21" t="s">
        <v>8059</v>
      </c>
      <c r="J2068" s="22">
        <f t="shared" si="160"/>
        <v>4.02083333332848</v>
      </c>
      <c r="K2068" s="22">
        <f t="shared" si="161"/>
        <v>96.4999999998836</v>
      </c>
      <c r="L2068" s="22">
        <f t="shared" si="162"/>
        <v>32.4999999998836</v>
      </c>
      <c r="M2068" s="22" cm="1">
        <f ca="1" t="array" ref="M2068">SUMPRODUCT(--(WEEKDAY(ROW(INDIRECT(INT(F2068)&amp;":"&amp;INT(I2068))),2)&gt;5))</f>
        <v>2</v>
      </c>
      <c r="N2068" s="22">
        <f ca="1" t="shared" si="163"/>
        <v>16.4999999998836</v>
      </c>
      <c r="O2068" s="22" t="str">
        <f ca="1" t="shared" si="164"/>
        <v>SLA Violated</v>
      </c>
      <c r="P2068" s="23" t="s">
        <v>8060</v>
      </c>
      <c r="Q2068" s="24" t="s">
        <v>28</v>
      </c>
      <c r="R2068" s="25"/>
      <c r="S2068" s="25"/>
    </row>
    <row r="2069" ht="27" customHeight="1" spans="1:19">
      <c r="A2069" s="19" t="s">
        <v>8061</v>
      </c>
      <c r="B2069" s="20" t="s">
        <v>30</v>
      </c>
      <c r="C2069" s="20" t="s">
        <v>4889</v>
      </c>
      <c r="D2069" s="20" t="s">
        <v>32</v>
      </c>
      <c r="E2069" s="21" t="s">
        <v>7423</v>
      </c>
      <c r="F2069" s="21" t="s">
        <v>8062</v>
      </c>
      <c r="G2069" s="20" t="s">
        <v>35</v>
      </c>
      <c r="H2069" s="20" t="s">
        <v>25</v>
      </c>
      <c r="I2069" s="21" t="s">
        <v>8059</v>
      </c>
      <c r="J2069" s="22">
        <f t="shared" si="160"/>
        <v>2.80277777777519</v>
      </c>
      <c r="K2069" s="22">
        <f t="shared" si="161"/>
        <v>67.2666666666046</v>
      </c>
      <c r="L2069" s="22">
        <f t="shared" si="162"/>
        <v>19.2666666666046</v>
      </c>
      <c r="M2069" s="22" cm="1">
        <f ca="1" t="array" ref="M2069">SUMPRODUCT(--(WEEKDAY(ROW(INDIRECT(INT(F2069)&amp;":"&amp;INT(I2069))),2)&gt;5))</f>
        <v>2</v>
      </c>
      <c r="N2069" s="22">
        <f ca="1" t="shared" si="163"/>
        <v>3.2666666666046</v>
      </c>
      <c r="O2069" s="22" t="str">
        <f ca="1" t="shared" si="164"/>
        <v>Within SLA</v>
      </c>
      <c r="P2069" s="26" t="s">
        <v>8061</v>
      </c>
      <c r="Q2069" s="24" t="s">
        <v>37</v>
      </c>
      <c r="R2069" s="25"/>
      <c r="S2069" s="25"/>
    </row>
    <row r="2070" ht="27" customHeight="1" spans="1:19">
      <c r="A2070" s="19" t="s">
        <v>8063</v>
      </c>
      <c r="B2070" s="20" t="s">
        <v>30</v>
      </c>
      <c r="C2070" s="20" t="s">
        <v>4889</v>
      </c>
      <c r="D2070" s="20" t="s">
        <v>32</v>
      </c>
      <c r="E2070" s="21" t="s">
        <v>8064</v>
      </c>
      <c r="F2070" s="21" t="s">
        <v>8065</v>
      </c>
      <c r="G2070" s="20" t="s">
        <v>35</v>
      </c>
      <c r="H2070" s="20" t="s">
        <v>25</v>
      </c>
      <c r="I2070" s="21" t="s">
        <v>8066</v>
      </c>
      <c r="J2070" s="22">
        <f t="shared" si="160"/>
        <v>0.00208333333284827</v>
      </c>
      <c r="K2070" s="22">
        <f t="shared" si="161"/>
        <v>0.0499999999883585</v>
      </c>
      <c r="L2070" s="22">
        <f t="shared" si="162"/>
        <v>0.0499999999883585</v>
      </c>
      <c r="M2070" s="22" cm="1">
        <f ca="1" t="array" ref="M2070">SUMPRODUCT(--(WEEKDAY(ROW(INDIRECT(INT(F2070)&amp;":"&amp;INT(I2070))),2)&gt;5))</f>
        <v>0</v>
      </c>
      <c r="N2070" s="22">
        <f ca="1" t="shared" si="163"/>
        <v>0.0499999999883585</v>
      </c>
      <c r="O2070" s="22" t="str">
        <f ca="1" t="shared" si="164"/>
        <v>Within SLA</v>
      </c>
      <c r="P2070" s="26" t="s">
        <v>8063</v>
      </c>
      <c r="Q2070" s="24" t="s">
        <v>37</v>
      </c>
      <c r="R2070" s="25"/>
      <c r="S2070" s="25"/>
    </row>
    <row r="2071" ht="39" customHeight="1" spans="1:19">
      <c r="A2071" s="19" t="s">
        <v>8067</v>
      </c>
      <c r="B2071" s="20" t="s">
        <v>19</v>
      </c>
      <c r="C2071" s="20" t="s">
        <v>20</v>
      </c>
      <c r="D2071" s="20" t="s">
        <v>32</v>
      </c>
      <c r="E2071" s="21" t="s">
        <v>8064</v>
      </c>
      <c r="F2071" s="21" t="s">
        <v>8068</v>
      </c>
      <c r="G2071" s="20" t="s">
        <v>35</v>
      </c>
      <c r="H2071" s="20" t="s">
        <v>25</v>
      </c>
      <c r="I2071" s="21" t="s">
        <v>8069</v>
      </c>
      <c r="J2071" s="22">
        <f t="shared" si="160"/>
        <v>11.0104166666642</v>
      </c>
      <c r="K2071" s="22">
        <f t="shared" si="161"/>
        <v>264.249999999942</v>
      </c>
      <c r="L2071" s="22">
        <f t="shared" si="162"/>
        <v>88.2499999999418</v>
      </c>
      <c r="M2071" s="22" cm="1">
        <f ca="1" t="array" ref="M2071">SUMPRODUCT(--(WEEKDAY(ROW(INDIRECT(INT(F2071)&amp;":"&amp;INT(I2071))),2)&gt;5))</f>
        <v>4</v>
      </c>
      <c r="N2071" s="22">
        <f ca="1" t="shared" si="163"/>
        <v>56.2499999999418</v>
      </c>
      <c r="O2071" s="22" t="str">
        <f ca="1" t="shared" si="164"/>
        <v>SLA Violated</v>
      </c>
      <c r="P2071" s="23" t="s">
        <v>8070</v>
      </c>
      <c r="Q2071" s="24" t="s">
        <v>37</v>
      </c>
      <c r="R2071" s="25" t="s">
        <v>38</v>
      </c>
      <c r="S2071" s="25" t="s">
        <v>39</v>
      </c>
    </row>
    <row r="2072" ht="27" customHeight="1" spans="1:19">
      <c r="A2072" s="19" t="s">
        <v>8071</v>
      </c>
      <c r="B2072" s="20" t="s">
        <v>30</v>
      </c>
      <c r="C2072" s="20" t="s">
        <v>4889</v>
      </c>
      <c r="D2072" s="20" t="s">
        <v>32</v>
      </c>
      <c r="E2072" s="21" t="s">
        <v>8072</v>
      </c>
      <c r="F2072" s="21" t="s">
        <v>8073</v>
      </c>
      <c r="G2072" s="20" t="s">
        <v>35</v>
      </c>
      <c r="H2072" s="20" t="s">
        <v>25</v>
      </c>
      <c r="I2072" s="21" t="s">
        <v>8069</v>
      </c>
      <c r="J2072" s="22">
        <f t="shared" si="160"/>
        <v>0.00208333333284827</v>
      </c>
      <c r="K2072" s="22">
        <f t="shared" si="161"/>
        <v>0.0499999999883585</v>
      </c>
      <c r="L2072" s="22">
        <f t="shared" si="162"/>
        <v>0.0499999999883585</v>
      </c>
      <c r="M2072" s="22" cm="1">
        <f ca="1" t="array" ref="M2072">SUMPRODUCT(--(WEEKDAY(ROW(INDIRECT(INT(F2072)&amp;":"&amp;INT(I2072))),2)&gt;5))</f>
        <v>0</v>
      </c>
      <c r="N2072" s="22">
        <f ca="1" t="shared" si="163"/>
        <v>0.0499999999883585</v>
      </c>
      <c r="O2072" s="22" t="str">
        <f ca="1" t="shared" si="164"/>
        <v>Within SLA</v>
      </c>
      <c r="P2072" s="26" t="s">
        <v>8071</v>
      </c>
      <c r="Q2072" s="24" t="s">
        <v>37</v>
      </c>
      <c r="R2072" s="25"/>
      <c r="S2072" s="25"/>
    </row>
    <row r="2073" ht="27" customHeight="1" spans="1:19">
      <c r="A2073" s="19" t="s">
        <v>8074</v>
      </c>
      <c r="B2073" s="20" t="s">
        <v>30</v>
      </c>
      <c r="C2073" s="20" t="s">
        <v>31</v>
      </c>
      <c r="D2073" s="20" t="s">
        <v>21</v>
      </c>
      <c r="E2073" s="21" t="s">
        <v>8072</v>
      </c>
      <c r="F2073" s="21" t="s">
        <v>8075</v>
      </c>
      <c r="G2073" s="20" t="s">
        <v>35</v>
      </c>
      <c r="H2073" s="20" t="s">
        <v>25</v>
      </c>
      <c r="I2073" s="21" t="s">
        <v>8076</v>
      </c>
      <c r="J2073" s="22">
        <f t="shared" si="160"/>
        <v>21.2423611111153</v>
      </c>
      <c r="K2073" s="22">
        <f t="shared" si="161"/>
        <v>509.816666666768</v>
      </c>
      <c r="L2073" s="22">
        <f t="shared" si="162"/>
        <v>173.816666666768</v>
      </c>
      <c r="M2073" s="22" cm="1">
        <f ca="1" t="array" ref="M2073">SUMPRODUCT(--(WEEKDAY(ROW(INDIRECT(INT(F2073)&amp;":"&amp;INT(I2073))),2)&gt;5))</f>
        <v>6</v>
      </c>
      <c r="N2073" s="22">
        <f ca="1" t="shared" si="163"/>
        <v>125.816666666768</v>
      </c>
      <c r="O2073" s="22" t="str">
        <f ca="1" t="shared" si="164"/>
        <v>SLA Violated</v>
      </c>
      <c r="P2073" s="23" t="s">
        <v>8077</v>
      </c>
      <c r="Q2073" s="24" t="s">
        <v>28</v>
      </c>
      <c r="R2073" s="25"/>
      <c r="S2073" s="25"/>
    </row>
    <row r="2074" ht="39" customHeight="1" spans="1:19">
      <c r="A2074" s="19" t="s">
        <v>8078</v>
      </c>
      <c r="B2074" s="20" t="s">
        <v>19</v>
      </c>
      <c r="C2074" s="20" t="s">
        <v>167</v>
      </c>
      <c r="D2074" s="20" t="s">
        <v>32</v>
      </c>
      <c r="E2074" s="21" t="s">
        <v>7845</v>
      </c>
      <c r="F2074" s="21" t="s">
        <v>8079</v>
      </c>
      <c r="G2074" s="20" t="s">
        <v>35</v>
      </c>
      <c r="H2074" s="20" t="s">
        <v>25</v>
      </c>
      <c r="I2074" s="21" t="s">
        <v>8080</v>
      </c>
      <c r="J2074" s="22">
        <f t="shared" si="160"/>
        <v>0.832638888889051</v>
      </c>
      <c r="K2074" s="22">
        <f t="shared" si="161"/>
        <v>19.9833333333372</v>
      </c>
      <c r="L2074" s="22">
        <f t="shared" si="162"/>
        <v>3.98333333333721</v>
      </c>
      <c r="M2074" s="22" cm="1">
        <f ca="1" t="array" ref="M2074">SUMPRODUCT(--(WEEKDAY(ROW(INDIRECT(INT(F2074)&amp;":"&amp;INT(I2074))),2)&gt;5))</f>
        <v>1</v>
      </c>
      <c r="N2074" s="22">
        <f ca="1" t="shared" si="163"/>
        <v>0</v>
      </c>
      <c r="O2074" s="22" t="str">
        <f ca="1" t="shared" si="164"/>
        <v>Within SLA</v>
      </c>
      <c r="P2074" s="26" t="s">
        <v>8078</v>
      </c>
      <c r="Q2074" s="24" t="s">
        <v>37</v>
      </c>
      <c r="R2074" s="25"/>
      <c r="S2074" s="25"/>
    </row>
    <row r="2075" ht="27" customHeight="1" spans="1:19">
      <c r="A2075" s="19" t="s">
        <v>8081</v>
      </c>
      <c r="B2075" s="20" t="s">
        <v>30</v>
      </c>
      <c r="C2075" s="20" t="s">
        <v>4889</v>
      </c>
      <c r="D2075" s="20" t="s">
        <v>32</v>
      </c>
      <c r="E2075" s="21" t="s">
        <v>8082</v>
      </c>
      <c r="F2075" s="21" t="s">
        <v>8083</v>
      </c>
      <c r="G2075" s="20" t="s">
        <v>35</v>
      </c>
      <c r="H2075" s="20" t="s">
        <v>25</v>
      </c>
      <c r="I2075" s="21" t="s">
        <v>8065</v>
      </c>
      <c r="J2075" s="22">
        <f t="shared" si="160"/>
        <v>2.89861111110804</v>
      </c>
      <c r="K2075" s="22">
        <f t="shared" si="161"/>
        <v>69.5666666665929</v>
      </c>
      <c r="L2075" s="22">
        <f t="shared" si="162"/>
        <v>21.5666666665929</v>
      </c>
      <c r="M2075" s="22" cm="1">
        <f ca="1" t="array" ref="M2075">SUMPRODUCT(--(WEEKDAY(ROW(INDIRECT(INT(F2075)&amp;":"&amp;INT(I2075))),2)&gt;5))</f>
        <v>2</v>
      </c>
      <c r="N2075" s="22">
        <f ca="1" t="shared" si="163"/>
        <v>5.5666666665929</v>
      </c>
      <c r="O2075" s="22" t="str">
        <f ca="1" t="shared" si="164"/>
        <v>Within SLA</v>
      </c>
      <c r="P2075" s="26" t="s">
        <v>8081</v>
      </c>
      <c r="Q2075" s="24" t="s">
        <v>37</v>
      </c>
      <c r="R2075" s="25"/>
      <c r="S2075" s="25"/>
    </row>
    <row r="2076" ht="27" customHeight="1" spans="1:19">
      <c r="A2076" s="19" t="s">
        <v>8084</v>
      </c>
      <c r="B2076" s="20" t="s">
        <v>30</v>
      </c>
      <c r="C2076" s="20" t="s">
        <v>4889</v>
      </c>
      <c r="D2076" s="20" t="s">
        <v>32</v>
      </c>
      <c r="E2076" s="21" t="s">
        <v>8085</v>
      </c>
      <c r="F2076" s="21" t="s">
        <v>8086</v>
      </c>
      <c r="G2076" s="20" t="s">
        <v>35</v>
      </c>
      <c r="H2076" s="20" t="s">
        <v>25</v>
      </c>
      <c r="I2076" s="21" t="s">
        <v>8087</v>
      </c>
      <c r="J2076" s="22">
        <f t="shared" si="160"/>
        <v>2.8972222222219</v>
      </c>
      <c r="K2076" s="22">
        <f t="shared" si="161"/>
        <v>69.5333333333256</v>
      </c>
      <c r="L2076" s="22">
        <f t="shared" si="162"/>
        <v>21.5333333333256</v>
      </c>
      <c r="M2076" s="22" cm="1">
        <f ca="1" t="array" ref="M2076">SUMPRODUCT(--(WEEKDAY(ROW(INDIRECT(INT(F2076)&amp;":"&amp;INT(I2076))),2)&gt;5))</f>
        <v>2</v>
      </c>
      <c r="N2076" s="22">
        <f ca="1" t="shared" si="163"/>
        <v>5.5333333333256</v>
      </c>
      <c r="O2076" s="22" t="str">
        <f ca="1" t="shared" si="164"/>
        <v>Within SLA</v>
      </c>
      <c r="P2076" s="26" t="s">
        <v>8084</v>
      </c>
      <c r="Q2076" s="24" t="s">
        <v>37</v>
      </c>
      <c r="R2076" s="25"/>
      <c r="S2076" s="25"/>
    </row>
    <row r="2077" ht="39" customHeight="1" spans="1:19">
      <c r="A2077" s="19" t="s">
        <v>8088</v>
      </c>
      <c r="B2077" s="20" t="s">
        <v>196</v>
      </c>
      <c r="C2077" s="20" t="s">
        <v>849</v>
      </c>
      <c r="D2077" s="20" t="s">
        <v>32</v>
      </c>
      <c r="E2077" s="21" t="s">
        <v>8085</v>
      </c>
      <c r="F2077" s="21" t="s">
        <v>8089</v>
      </c>
      <c r="G2077" s="20" t="s">
        <v>35</v>
      </c>
      <c r="H2077" s="20" t="s">
        <v>25</v>
      </c>
      <c r="I2077" s="21" t="s">
        <v>8090</v>
      </c>
      <c r="J2077" s="22">
        <f t="shared" si="160"/>
        <v>2.74861111111386</v>
      </c>
      <c r="K2077" s="22">
        <f t="shared" si="161"/>
        <v>65.9666666667326</v>
      </c>
      <c r="L2077" s="22">
        <f t="shared" si="162"/>
        <v>17.9666666667326</v>
      </c>
      <c r="M2077" s="22" cm="1">
        <f ca="1" t="array" ref="M2077">SUMPRODUCT(--(WEEKDAY(ROW(INDIRECT(INT(F2077)&amp;":"&amp;INT(I2077))),2)&gt;5))</f>
        <v>2</v>
      </c>
      <c r="N2077" s="22">
        <f ca="1" t="shared" si="163"/>
        <v>1.9666666667326</v>
      </c>
      <c r="O2077" s="22" t="str">
        <f ca="1" t="shared" si="164"/>
        <v>Within SLA</v>
      </c>
      <c r="P2077" s="26" t="s">
        <v>8088</v>
      </c>
      <c r="Q2077" s="24" t="s">
        <v>37</v>
      </c>
      <c r="R2077" s="25"/>
      <c r="S2077" s="25"/>
    </row>
    <row r="2078" ht="39" customHeight="1" spans="1:19">
      <c r="A2078" s="19" t="s">
        <v>8091</v>
      </c>
      <c r="B2078" s="20" t="s">
        <v>196</v>
      </c>
      <c r="C2078" s="20" t="s">
        <v>4889</v>
      </c>
      <c r="D2078" s="20" t="s">
        <v>32</v>
      </c>
      <c r="E2078" s="21" t="s">
        <v>8085</v>
      </c>
      <c r="F2078" s="21" t="s">
        <v>8092</v>
      </c>
      <c r="G2078" s="20" t="s">
        <v>35</v>
      </c>
      <c r="H2078" s="20" t="s">
        <v>25</v>
      </c>
      <c r="I2078" s="21" t="s">
        <v>8092</v>
      </c>
      <c r="J2078" s="22">
        <f t="shared" si="160"/>
        <v>0</v>
      </c>
      <c r="K2078" s="22">
        <f t="shared" si="161"/>
        <v>0</v>
      </c>
      <c r="L2078" s="22">
        <f t="shared" si="162"/>
        <v>0</v>
      </c>
      <c r="M2078" s="22" cm="1">
        <f ca="1" t="array" ref="M2078">SUMPRODUCT(--(WEEKDAY(ROW(INDIRECT(INT(F2078)&amp;":"&amp;INT(I2078))),2)&gt;5))</f>
        <v>0</v>
      </c>
      <c r="N2078" s="22">
        <f ca="1" t="shared" si="163"/>
        <v>0</v>
      </c>
      <c r="O2078" s="22" t="str">
        <f ca="1" t="shared" si="164"/>
        <v>Within SLA</v>
      </c>
      <c r="P2078" s="26" t="s">
        <v>8091</v>
      </c>
      <c r="Q2078" s="24" t="s">
        <v>37</v>
      </c>
      <c r="R2078" s="25"/>
      <c r="S2078" s="25"/>
    </row>
    <row r="2079" ht="27" customHeight="1" spans="1:19">
      <c r="A2079" s="19" t="s">
        <v>8093</v>
      </c>
      <c r="B2079" s="20" t="s">
        <v>30</v>
      </c>
      <c r="C2079" s="20" t="s">
        <v>4889</v>
      </c>
      <c r="D2079" s="20" t="s">
        <v>32</v>
      </c>
      <c r="E2079" s="21" t="s">
        <v>8042</v>
      </c>
      <c r="F2079" s="21" t="s">
        <v>8094</v>
      </c>
      <c r="G2079" s="20" t="s">
        <v>35</v>
      </c>
      <c r="H2079" s="20" t="s">
        <v>25</v>
      </c>
      <c r="I2079" s="21" t="s">
        <v>8095</v>
      </c>
      <c r="J2079" s="22">
        <f t="shared" si="160"/>
        <v>2.89375000000291</v>
      </c>
      <c r="K2079" s="22">
        <f t="shared" si="161"/>
        <v>69.4500000000698</v>
      </c>
      <c r="L2079" s="22">
        <f t="shared" si="162"/>
        <v>21.4500000000698</v>
      </c>
      <c r="M2079" s="22" cm="1">
        <f ca="1" t="array" ref="M2079">SUMPRODUCT(--(WEEKDAY(ROW(INDIRECT(INT(F2079)&amp;":"&amp;INT(I2079))),2)&gt;5))</f>
        <v>2</v>
      </c>
      <c r="N2079" s="22">
        <f ca="1" t="shared" si="163"/>
        <v>5.4500000000698</v>
      </c>
      <c r="O2079" s="22" t="str">
        <f ca="1" t="shared" si="164"/>
        <v>Within SLA</v>
      </c>
      <c r="P2079" s="26" t="s">
        <v>8093</v>
      </c>
      <c r="Q2079" s="24" t="s">
        <v>37</v>
      </c>
      <c r="R2079" s="25"/>
      <c r="S2079" s="25"/>
    </row>
    <row r="2080" ht="39" customHeight="1" spans="1:19">
      <c r="A2080" s="19" t="s">
        <v>8096</v>
      </c>
      <c r="B2080" s="20" t="s">
        <v>19</v>
      </c>
      <c r="C2080" s="20" t="s">
        <v>20</v>
      </c>
      <c r="D2080" s="20" t="s">
        <v>32</v>
      </c>
      <c r="E2080" s="21" t="s">
        <v>8097</v>
      </c>
      <c r="F2080" s="21" t="s">
        <v>8098</v>
      </c>
      <c r="G2080" s="20" t="s">
        <v>35</v>
      </c>
      <c r="H2080" s="20" t="s">
        <v>25</v>
      </c>
      <c r="I2080" s="21" t="s">
        <v>8095</v>
      </c>
      <c r="J2080" s="22">
        <f t="shared" si="160"/>
        <v>0.0145833333372138</v>
      </c>
      <c r="K2080" s="22">
        <f t="shared" si="161"/>
        <v>0.350000000093132</v>
      </c>
      <c r="L2080" s="22">
        <f t="shared" si="162"/>
        <v>0.350000000093132</v>
      </c>
      <c r="M2080" s="22" cm="1">
        <f ca="1" t="array" ref="M2080">SUMPRODUCT(--(WEEKDAY(ROW(INDIRECT(INT(F2080)&amp;":"&amp;INT(I2080))),2)&gt;5))</f>
        <v>0</v>
      </c>
      <c r="N2080" s="22">
        <f ca="1" t="shared" si="163"/>
        <v>0.350000000093132</v>
      </c>
      <c r="O2080" s="22" t="str">
        <f ca="1" t="shared" si="164"/>
        <v>Within SLA</v>
      </c>
      <c r="P2080" s="26" t="s">
        <v>8096</v>
      </c>
      <c r="Q2080" s="24" t="s">
        <v>37</v>
      </c>
      <c r="R2080" s="25"/>
      <c r="S2080" s="25"/>
    </row>
    <row r="2081" ht="27" customHeight="1" spans="1:19">
      <c r="A2081" s="19" t="s">
        <v>8099</v>
      </c>
      <c r="B2081" s="20" t="s">
        <v>30</v>
      </c>
      <c r="C2081" s="20" t="s">
        <v>4889</v>
      </c>
      <c r="D2081" s="20" t="s">
        <v>32</v>
      </c>
      <c r="E2081" s="21" t="s">
        <v>8066</v>
      </c>
      <c r="F2081" s="21" t="s">
        <v>8100</v>
      </c>
      <c r="G2081" s="20" t="s">
        <v>35</v>
      </c>
      <c r="H2081" s="20" t="s">
        <v>25</v>
      </c>
      <c r="I2081" s="21" t="s">
        <v>8095</v>
      </c>
      <c r="J2081" s="22">
        <f t="shared" si="160"/>
        <v>3.78750000000582</v>
      </c>
      <c r="K2081" s="22">
        <f t="shared" si="161"/>
        <v>90.9000000001397</v>
      </c>
      <c r="L2081" s="22">
        <f t="shared" si="162"/>
        <v>26.9000000001397</v>
      </c>
      <c r="M2081" s="22" cm="1">
        <f ca="1" t="array" ref="M2081">SUMPRODUCT(--(WEEKDAY(ROW(INDIRECT(INT(F2081)&amp;":"&amp;INT(I2081))),2)&gt;5))</f>
        <v>2</v>
      </c>
      <c r="N2081" s="22">
        <f ca="1" t="shared" si="163"/>
        <v>10.9000000001397</v>
      </c>
      <c r="O2081" s="22" t="str">
        <f ca="1" t="shared" si="164"/>
        <v>Within SLA</v>
      </c>
      <c r="P2081" s="26" t="s">
        <v>8099</v>
      </c>
      <c r="Q2081" s="24" t="s">
        <v>37</v>
      </c>
      <c r="R2081" s="25"/>
      <c r="S2081" s="25"/>
    </row>
    <row r="2082" ht="27" customHeight="1" spans="1:19">
      <c r="A2082" s="19" t="s">
        <v>8101</v>
      </c>
      <c r="B2082" s="20" t="s">
        <v>30</v>
      </c>
      <c r="C2082" s="20" t="s">
        <v>4889</v>
      </c>
      <c r="D2082" s="20" t="s">
        <v>32</v>
      </c>
      <c r="E2082" s="21" t="s">
        <v>8065</v>
      </c>
      <c r="F2082" s="21" t="s">
        <v>8102</v>
      </c>
      <c r="G2082" s="20" t="s">
        <v>35</v>
      </c>
      <c r="H2082" s="20" t="s">
        <v>25</v>
      </c>
      <c r="I2082" s="21" t="s">
        <v>8103</v>
      </c>
      <c r="J2082" s="22">
        <f t="shared" si="160"/>
        <v>-0.0215277777751908</v>
      </c>
      <c r="K2082" s="22">
        <f t="shared" si="161"/>
        <v>-0.516666666604578</v>
      </c>
      <c r="L2082" s="22">
        <f t="shared" si="162"/>
        <v>-0.516666666604578</v>
      </c>
      <c r="M2082" s="22" cm="1">
        <f ca="1" t="array" ref="M2082">SUMPRODUCT(--(WEEKDAY(ROW(INDIRECT(INT(F2082)&amp;":"&amp;INT(I2082))),2)&gt;5))</f>
        <v>0</v>
      </c>
      <c r="N2082" s="22">
        <f ca="1" t="shared" si="163"/>
        <v>0</v>
      </c>
      <c r="O2082" s="22" t="str">
        <f ca="1" t="shared" si="164"/>
        <v>Within SLA</v>
      </c>
      <c r="P2082" s="26" t="s">
        <v>8101</v>
      </c>
      <c r="Q2082" s="24" t="s">
        <v>37</v>
      </c>
      <c r="R2082" s="25"/>
      <c r="S2082" s="25"/>
    </row>
    <row r="2083" ht="27" customHeight="1" spans="1:19">
      <c r="A2083" s="19" t="s">
        <v>8104</v>
      </c>
      <c r="B2083" s="20" t="s">
        <v>30</v>
      </c>
      <c r="C2083" s="20" t="s">
        <v>4889</v>
      </c>
      <c r="D2083" s="20" t="s">
        <v>32</v>
      </c>
      <c r="E2083" s="21" t="s">
        <v>4545</v>
      </c>
      <c r="F2083" s="21" t="s">
        <v>8105</v>
      </c>
      <c r="G2083" s="20" t="s">
        <v>35</v>
      </c>
      <c r="H2083" s="20" t="s">
        <v>25</v>
      </c>
      <c r="I2083" s="21" t="s">
        <v>8106</v>
      </c>
      <c r="J2083" s="22">
        <f t="shared" si="160"/>
        <v>2.86944444444089</v>
      </c>
      <c r="K2083" s="22">
        <f t="shared" si="161"/>
        <v>68.8666666665813</v>
      </c>
      <c r="L2083" s="22">
        <f t="shared" si="162"/>
        <v>20.8666666665813</v>
      </c>
      <c r="M2083" s="22" cm="1">
        <f ca="1" t="array" ref="M2083">SUMPRODUCT(--(WEEKDAY(ROW(INDIRECT(INT(F2083)&amp;":"&amp;INT(I2083))),2)&gt;5))</f>
        <v>2</v>
      </c>
      <c r="N2083" s="22">
        <f ca="1" t="shared" si="163"/>
        <v>4.8666666665813</v>
      </c>
      <c r="O2083" s="22" t="str">
        <f ca="1" t="shared" si="164"/>
        <v>Within SLA</v>
      </c>
      <c r="P2083" s="26" t="s">
        <v>8104</v>
      </c>
      <c r="Q2083" s="24" t="s">
        <v>37</v>
      </c>
      <c r="R2083" s="25"/>
      <c r="S2083" s="25"/>
    </row>
    <row r="2084" ht="39" customHeight="1" spans="1:19">
      <c r="A2084" s="19" t="s">
        <v>8107</v>
      </c>
      <c r="B2084" s="20" t="s">
        <v>19</v>
      </c>
      <c r="C2084" s="20" t="s">
        <v>20</v>
      </c>
      <c r="D2084" s="20" t="s">
        <v>32</v>
      </c>
      <c r="E2084" s="21" t="s">
        <v>6149</v>
      </c>
      <c r="F2084" s="21" t="s">
        <v>8108</v>
      </c>
      <c r="G2084" s="20" t="s">
        <v>35</v>
      </c>
      <c r="H2084" s="20" t="s">
        <v>25</v>
      </c>
      <c r="I2084" s="21" t="s">
        <v>8109</v>
      </c>
      <c r="J2084" s="22">
        <f t="shared" si="160"/>
        <v>1.00833333333139</v>
      </c>
      <c r="K2084" s="22">
        <f t="shared" si="161"/>
        <v>24.1999999999534</v>
      </c>
      <c r="L2084" s="22">
        <f t="shared" si="162"/>
        <v>8.19999999995343</v>
      </c>
      <c r="M2084" s="22" cm="1">
        <f ca="1" t="array" ref="M2084">SUMPRODUCT(--(WEEKDAY(ROW(INDIRECT(INT(F2084)&amp;":"&amp;INT(I2084))),2)&gt;5))</f>
        <v>0</v>
      </c>
      <c r="N2084" s="22">
        <f ca="1" t="shared" si="163"/>
        <v>8.19999999995343</v>
      </c>
      <c r="O2084" s="22" t="str">
        <f ca="1" t="shared" si="164"/>
        <v>Within SLA</v>
      </c>
      <c r="P2084" s="26" t="s">
        <v>8107</v>
      </c>
      <c r="Q2084" s="24" t="s">
        <v>37</v>
      </c>
      <c r="R2084" s="25"/>
      <c r="S2084" s="25"/>
    </row>
    <row r="2085" ht="27" customHeight="1" spans="1:19">
      <c r="A2085" s="19" t="s">
        <v>8110</v>
      </c>
      <c r="B2085" s="20" t="s">
        <v>30</v>
      </c>
      <c r="C2085" s="20" t="s">
        <v>4889</v>
      </c>
      <c r="D2085" s="20" t="s">
        <v>32</v>
      </c>
      <c r="E2085" s="21" t="s">
        <v>8111</v>
      </c>
      <c r="F2085" s="21" t="s">
        <v>8112</v>
      </c>
      <c r="G2085" s="20" t="s">
        <v>35</v>
      </c>
      <c r="H2085" s="20" t="s">
        <v>25</v>
      </c>
      <c r="I2085" s="21" t="s">
        <v>8106</v>
      </c>
      <c r="J2085" s="22">
        <f t="shared" si="160"/>
        <v>2.8708333333343</v>
      </c>
      <c r="K2085" s="22">
        <f t="shared" si="161"/>
        <v>68.9000000000233</v>
      </c>
      <c r="L2085" s="22">
        <f t="shared" si="162"/>
        <v>20.9000000000233</v>
      </c>
      <c r="M2085" s="22" cm="1">
        <f ca="1" t="array" ref="M2085">SUMPRODUCT(--(WEEKDAY(ROW(INDIRECT(INT(F2085)&amp;":"&amp;INT(I2085))),2)&gt;5))</f>
        <v>2</v>
      </c>
      <c r="N2085" s="22">
        <f ca="1" t="shared" si="163"/>
        <v>4.9000000000233</v>
      </c>
      <c r="O2085" s="22" t="str">
        <f ca="1" t="shared" si="164"/>
        <v>Within SLA</v>
      </c>
      <c r="P2085" s="26" t="s">
        <v>8110</v>
      </c>
      <c r="Q2085" s="24" t="s">
        <v>37</v>
      </c>
      <c r="R2085" s="25"/>
      <c r="S2085" s="25"/>
    </row>
    <row r="2086" ht="27" customHeight="1" spans="1:19">
      <c r="A2086" s="19" t="s">
        <v>8113</v>
      </c>
      <c r="B2086" s="20" t="s">
        <v>30</v>
      </c>
      <c r="C2086" s="20" t="s">
        <v>4889</v>
      </c>
      <c r="D2086" s="20" t="s">
        <v>32</v>
      </c>
      <c r="E2086" s="21" t="s">
        <v>8114</v>
      </c>
      <c r="F2086" s="21" t="s">
        <v>8115</v>
      </c>
      <c r="G2086" s="20" t="s">
        <v>35</v>
      </c>
      <c r="H2086" s="20" t="s">
        <v>25</v>
      </c>
      <c r="I2086" s="21" t="s">
        <v>8116</v>
      </c>
      <c r="J2086" s="22">
        <f t="shared" si="160"/>
        <v>2.9736111111124</v>
      </c>
      <c r="K2086" s="22">
        <f t="shared" si="161"/>
        <v>71.3666666666977</v>
      </c>
      <c r="L2086" s="22">
        <f t="shared" si="162"/>
        <v>23.3666666666977</v>
      </c>
      <c r="M2086" s="22" cm="1">
        <f ca="1" t="array" ref="M2086">SUMPRODUCT(--(WEEKDAY(ROW(INDIRECT(INT(F2086)&amp;":"&amp;INT(I2086))),2)&gt;5))</f>
        <v>2</v>
      </c>
      <c r="N2086" s="22">
        <f ca="1" t="shared" si="163"/>
        <v>7.3666666666977</v>
      </c>
      <c r="O2086" s="22" t="str">
        <f ca="1" t="shared" si="164"/>
        <v>Within SLA</v>
      </c>
      <c r="P2086" s="26" t="s">
        <v>8113</v>
      </c>
      <c r="Q2086" s="24" t="s">
        <v>37</v>
      </c>
      <c r="R2086" s="25"/>
      <c r="S2086" s="25"/>
    </row>
    <row r="2087" ht="27" customHeight="1" spans="1:19">
      <c r="A2087" s="19" t="s">
        <v>8117</v>
      </c>
      <c r="B2087" s="20" t="s">
        <v>30</v>
      </c>
      <c r="C2087" s="20" t="s">
        <v>31</v>
      </c>
      <c r="D2087" s="20" t="s">
        <v>32</v>
      </c>
      <c r="E2087" s="21" t="s">
        <v>8118</v>
      </c>
      <c r="F2087" s="21" t="s">
        <v>8119</v>
      </c>
      <c r="G2087" s="20" t="s">
        <v>35</v>
      </c>
      <c r="H2087" s="20" t="s">
        <v>25</v>
      </c>
      <c r="I2087" s="21" t="s">
        <v>8120</v>
      </c>
      <c r="J2087" s="22">
        <f t="shared" si="160"/>
        <v>21.0374999999985</v>
      </c>
      <c r="K2087" s="22">
        <f t="shared" si="161"/>
        <v>504.899999999965</v>
      </c>
      <c r="L2087" s="22">
        <f t="shared" si="162"/>
        <v>168.899999999965</v>
      </c>
      <c r="M2087" s="22" cm="1">
        <f ca="1" t="array" ref="M2087">SUMPRODUCT(--(WEEKDAY(ROW(INDIRECT(INT(F2087)&amp;":"&amp;INT(I2087))),2)&gt;5))</f>
        <v>6</v>
      </c>
      <c r="N2087" s="22">
        <f ca="1" t="shared" si="163"/>
        <v>120.899999999965</v>
      </c>
      <c r="O2087" s="22" t="str">
        <f ca="1" t="shared" si="164"/>
        <v>SLA Violated</v>
      </c>
      <c r="P2087" s="26" t="s">
        <v>8117</v>
      </c>
      <c r="Q2087" s="24" t="s">
        <v>28</v>
      </c>
      <c r="R2087" s="25"/>
      <c r="S2087" s="25"/>
    </row>
    <row r="2088" ht="27" customHeight="1" spans="1:19">
      <c r="A2088" s="19" t="s">
        <v>8121</v>
      </c>
      <c r="B2088" s="20" t="s">
        <v>30</v>
      </c>
      <c r="C2088" s="20" t="s">
        <v>31</v>
      </c>
      <c r="D2088" s="20" t="s">
        <v>32</v>
      </c>
      <c r="E2088" s="21" t="s">
        <v>8106</v>
      </c>
      <c r="F2088" s="21" t="s">
        <v>8122</v>
      </c>
      <c r="G2088" s="20" t="s">
        <v>35</v>
      </c>
      <c r="H2088" s="20" t="s">
        <v>25</v>
      </c>
      <c r="I2088" s="21" t="s">
        <v>8123</v>
      </c>
      <c r="J2088" s="22">
        <f t="shared" si="160"/>
        <v>4.95486111110949</v>
      </c>
      <c r="K2088" s="22">
        <f t="shared" si="161"/>
        <v>118.916666666628</v>
      </c>
      <c r="L2088" s="22">
        <f t="shared" si="162"/>
        <v>38.9166666666279</v>
      </c>
      <c r="M2088" s="22" cm="1">
        <f ca="1" t="array" ref="M2088">SUMPRODUCT(--(WEEKDAY(ROW(INDIRECT(INT(F2088)&amp;":"&amp;INT(I2088))),2)&gt;5))</f>
        <v>2</v>
      </c>
      <c r="N2088" s="22">
        <f ca="1" t="shared" si="163"/>
        <v>22.9166666666279</v>
      </c>
      <c r="O2088" s="22" t="str">
        <f ca="1" t="shared" si="164"/>
        <v>SLA Violated</v>
      </c>
      <c r="P2088" s="26" t="s">
        <v>8121</v>
      </c>
      <c r="Q2088" s="24" t="s">
        <v>28</v>
      </c>
      <c r="R2088" s="25"/>
      <c r="S2088" s="25"/>
    </row>
    <row r="2089" ht="27" customHeight="1" spans="1:19">
      <c r="A2089" s="19" t="s">
        <v>8124</v>
      </c>
      <c r="B2089" s="20" t="s">
        <v>30</v>
      </c>
      <c r="C2089" s="20" t="s">
        <v>849</v>
      </c>
      <c r="D2089" s="20" t="s">
        <v>32</v>
      </c>
      <c r="E2089" s="21" t="s">
        <v>8125</v>
      </c>
      <c r="F2089" s="21" t="s">
        <v>8126</v>
      </c>
      <c r="G2089" s="20" t="s">
        <v>35</v>
      </c>
      <c r="H2089" s="20" t="s">
        <v>25</v>
      </c>
      <c r="I2089" s="21" t="s">
        <v>7819</v>
      </c>
      <c r="J2089" s="22">
        <f t="shared" si="160"/>
        <v>0.128472222218988</v>
      </c>
      <c r="K2089" s="22">
        <f t="shared" si="161"/>
        <v>3.08333333325572</v>
      </c>
      <c r="L2089" s="22">
        <f t="shared" si="162"/>
        <v>3.08333333325572</v>
      </c>
      <c r="M2089" s="22" cm="1">
        <f ca="1" t="array" ref="M2089">SUMPRODUCT(--(WEEKDAY(ROW(INDIRECT(INT(F2089)&amp;":"&amp;INT(I2089))),2)&gt;5))</f>
        <v>0</v>
      </c>
      <c r="N2089" s="22">
        <f ca="1" t="shared" si="163"/>
        <v>3.08333333325572</v>
      </c>
      <c r="O2089" s="22" t="str">
        <f ca="1" t="shared" si="164"/>
        <v>Within SLA</v>
      </c>
      <c r="P2089" s="26" t="s">
        <v>8124</v>
      </c>
      <c r="Q2089" s="24" t="s">
        <v>37</v>
      </c>
      <c r="R2089" s="25"/>
      <c r="S2089" s="25"/>
    </row>
    <row r="2090" ht="39" customHeight="1" spans="1:19">
      <c r="A2090" s="19" t="s">
        <v>8127</v>
      </c>
      <c r="B2090" s="20" t="s">
        <v>19</v>
      </c>
      <c r="C2090" s="20" t="s">
        <v>20</v>
      </c>
      <c r="D2090" s="20" t="s">
        <v>32</v>
      </c>
      <c r="E2090" s="21" t="s">
        <v>8125</v>
      </c>
      <c r="F2090" s="21" t="s">
        <v>8128</v>
      </c>
      <c r="G2090" s="20" t="s">
        <v>35</v>
      </c>
      <c r="H2090" s="20" t="s">
        <v>25</v>
      </c>
      <c r="I2090" s="21" t="s">
        <v>7983</v>
      </c>
      <c r="J2090" s="22">
        <f t="shared" si="160"/>
        <v>1.21527777778101</v>
      </c>
      <c r="K2090" s="22">
        <f t="shared" si="161"/>
        <v>29.1666666667443</v>
      </c>
      <c r="L2090" s="22">
        <f t="shared" si="162"/>
        <v>13.1666666667443</v>
      </c>
      <c r="M2090" s="22" cm="1">
        <f ca="1" t="array" ref="M2090">SUMPRODUCT(--(WEEKDAY(ROW(INDIRECT(INT(F2090)&amp;":"&amp;INT(I2090))),2)&gt;5))</f>
        <v>0</v>
      </c>
      <c r="N2090" s="22">
        <f ca="1" t="shared" si="163"/>
        <v>13.1666666667443</v>
      </c>
      <c r="O2090" s="22" t="str">
        <f ca="1" t="shared" si="164"/>
        <v>SLA Violated</v>
      </c>
      <c r="P2090" s="23" t="s">
        <v>8129</v>
      </c>
      <c r="Q2090" s="24" t="s">
        <v>28</v>
      </c>
      <c r="R2090" s="25"/>
      <c r="S2090" s="25"/>
    </row>
    <row r="2091" ht="27" customHeight="1" spans="1:19">
      <c r="A2091" s="19" t="s">
        <v>8130</v>
      </c>
      <c r="B2091" s="20" t="s">
        <v>30</v>
      </c>
      <c r="C2091" s="20" t="s">
        <v>31</v>
      </c>
      <c r="D2091" s="20" t="s">
        <v>32</v>
      </c>
      <c r="E2091" s="21" t="s">
        <v>8125</v>
      </c>
      <c r="F2091" s="21" t="s">
        <v>8131</v>
      </c>
      <c r="G2091" s="20" t="s">
        <v>35</v>
      </c>
      <c r="H2091" s="20" t="s">
        <v>25</v>
      </c>
      <c r="I2091" s="21" t="s">
        <v>7996</v>
      </c>
      <c r="J2091" s="22">
        <f t="shared" si="160"/>
        <v>1.93680555555329</v>
      </c>
      <c r="K2091" s="22">
        <f t="shared" si="161"/>
        <v>46.483333333279</v>
      </c>
      <c r="L2091" s="22">
        <f t="shared" si="162"/>
        <v>14.483333333279</v>
      </c>
      <c r="M2091" s="22" cm="1">
        <f ca="1" t="array" ref="M2091">SUMPRODUCT(--(WEEKDAY(ROW(INDIRECT(INT(F2091)&amp;":"&amp;INT(I2091))),2)&gt;5))</f>
        <v>0</v>
      </c>
      <c r="N2091" s="22">
        <f ca="1" t="shared" si="163"/>
        <v>14.483333333279</v>
      </c>
      <c r="O2091" s="22" t="str">
        <f ca="1" t="shared" si="164"/>
        <v>SLA Violated</v>
      </c>
      <c r="P2091" s="26" t="s">
        <v>8130</v>
      </c>
      <c r="Q2091" s="24" t="s">
        <v>28</v>
      </c>
      <c r="R2091" s="25"/>
      <c r="S2091" s="25"/>
    </row>
    <row r="2092" ht="27" customHeight="1" spans="1:19">
      <c r="A2092" s="19" t="s">
        <v>8132</v>
      </c>
      <c r="B2092" s="20" t="s">
        <v>1047</v>
      </c>
      <c r="C2092" s="20" t="s">
        <v>849</v>
      </c>
      <c r="D2092" s="20" t="s">
        <v>21</v>
      </c>
      <c r="E2092" s="21" t="s">
        <v>8133</v>
      </c>
      <c r="F2092" s="21" t="s">
        <v>8134</v>
      </c>
      <c r="G2092" s="20" t="s">
        <v>35</v>
      </c>
      <c r="H2092" s="20" t="s">
        <v>25</v>
      </c>
      <c r="I2092" s="21" t="s">
        <v>8135</v>
      </c>
      <c r="J2092" s="22">
        <f t="shared" si="160"/>
        <v>2.0354166666657</v>
      </c>
      <c r="K2092" s="22">
        <f t="shared" si="161"/>
        <v>48.8499999999767</v>
      </c>
      <c r="L2092" s="22">
        <f t="shared" si="162"/>
        <v>16.8499999999767</v>
      </c>
      <c r="M2092" s="22" cm="1">
        <f ca="1" t="array" ref="M2092">SUMPRODUCT(--(WEEKDAY(ROW(INDIRECT(INT(F2092)&amp;":"&amp;INT(I2092))),2)&gt;5))</f>
        <v>0</v>
      </c>
      <c r="N2092" s="22">
        <f ca="1" t="shared" si="163"/>
        <v>16.8499999999767</v>
      </c>
      <c r="O2092" s="22" t="str">
        <f ca="1" t="shared" si="164"/>
        <v>SLA Violated</v>
      </c>
      <c r="P2092" s="23" t="s">
        <v>8136</v>
      </c>
      <c r="Q2092" s="24" t="s">
        <v>28</v>
      </c>
      <c r="R2092" s="25"/>
      <c r="S2092" s="25"/>
    </row>
    <row r="2093" ht="27" customHeight="1" spans="1:19">
      <c r="A2093" s="19" t="s">
        <v>8137</v>
      </c>
      <c r="B2093" s="20" t="s">
        <v>30</v>
      </c>
      <c r="C2093" s="20" t="s">
        <v>849</v>
      </c>
      <c r="D2093" s="20" t="s">
        <v>32</v>
      </c>
      <c r="E2093" s="21" t="s">
        <v>8138</v>
      </c>
      <c r="F2093" s="21" t="s">
        <v>8139</v>
      </c>
      <c r="G2093" s="20" t="s">
        <v>35</v>
      </c>
      <c r="H2093" s="20" t="s">
        <v>25</v>
      </c>
      <c r="I2093" s="21" t="s">
        <v>8140</v>
      </c>
      <c r="J2093" s="22">
        <f t="shared" si="160"/>
        <v>0.122916666667152</v>
      </c>
      <c r="K2093" s="22">
        <f t="shared" si="161"/>
        <v>2.95000000001164</v>
      </c>
      <c r="L2093" s="22">
        <f t="shared" si="162"/>
        <v>2.95000000001164</v>
      </c>
      <c r="M2093" s="22" cm="1">
        <f ca="1" t="array" ref="M2093">SUMPRODUCT(--(WEEKDAY(ROW(INDIRECT(INT(F2093)&amp;":"&amp;INT(I2093))),2)&gt;5))</f>
        <v>0</v>
      </c>
      <c r="N2093" s="22">
        <f ca="1" t="shared" si="163"/>
        <v>2.95000000001164</v>
      </c>
      <c r="O2093" s="22" t="str">
        <f ca="1" t="shared" si="164"/>
        <v>Within SLA</v>
      </c>
      <c r="P2093" s="26" t="s">
        <v>8137</v>
      </c>
      <c r="Q2093" s="24" t="s">
        <v>37</v>
      </c>
      <c r="R2093" s="25"/>
      <c r="S2093" s="25"/>
    </row>
    <row r="2094" ht="50" customHeight="1" spans="1:19">
      <c r="A2094" s="19" t="s">
        <v>8141</v>
      </c>
      <c r="B2094" s="20" t="s">
        <v>369</v>
      </c>
      <c r="C2094" s="20" t="s">
        <v>2057</v>
      </c>
      <c r="D2094" s="20" t="s">
        <v>32</v>
      </c>
      <c r="E2094" s="21" t="s">
        <v>8142</v>
      </c>
      <c r="F2094" s="21" t="s">
        <v>8143</v>
      </c>
      <c r="G2094" s="20" t="s">
        <v>35</v>
      </c>
      <c r="H2094" s="20" t="s">
        <v>25</v>
      </c>
      <c r="I2094" s="21" t="s">
        <v>8144</v>
      </c>
      <c r="J2094" s="22">
        <f t="shared" si="160"/>
        <v>0.0326388888861402</v>
      </c>
      <c r="K2094" s="22">
        <f t="shared" si="161"/>
        <v>0.783333333267365</v>
      </c>
      <c r="L2094" s="22">
        <f t="shared" si="162"/>
        <v>0.783333333267365</v>
      </c>
      <c r="M2094" s="22" cm="1">
        <f ca="1" t="array" ref="M2094">SUMPRODUCT(--(WEEKDAY(ROW(INDIRECT(INT(F2094)&amp;":"&amp;INT(I2094))),2)&gt;5))</f>
        <v>0</v>
      </c>
      <c r="N2094" s="22">
        <f ca="1" t="shared" si="163"/>
        <v>0.783333333267365</v>
      </c>
      <c r="O2094" s="22" t="str">
        <f ca="1" t="shared" si="164"/>
        <v>Within SLA</v>
      </c>
      <c r="P2094" s="26" t="s">
        <v>8141</v>
      </c>
      <c r="Q2094" s="24" t="s">
        <v>37</v>
      </c>
      <c r="R2094" s="25"/>
      <c r="S2094" s="25"/>
    </row>
    <row r="2095" ht="27" customHeight="1" spans="1:19">
      <c r="A2095" s="19" t="s">
        <v>8145</v>
      </c>
      <c r="B2095" s="20" t="s">
        <v>30</v>
      </c>
      <c r="C2095" s="20" t="s">
        <v>31</v>
      </c>
      <c r="D2095" s="20" t="s">
        <v>32</v>
      </c>
      <c r="E2095" s="21" t="s">
        <v>8146</v>
      </c>
      <c r="F2095" s="21" t="s">
        <v>8147</v>
      </c>
      <c r="G2095" s="20" t="s">
        <v>35</v>
      </c>
      <c r="H2095" s="20" t="s">
        <v>25</v>
      </c>
      <c r="I2095" s="21" t="s">
        <v>8148</v>
      </c>
      <c r="J2095" s="22">
        <f t="shared" si="160"/>
        <v>21.9861111111095</v>
      </c>
      <c r="K2095" s="22">
        <f t="shared" si="161"/>
        <v>527.666666666628</v>
      </c>
      <c r="L2095" s="22">
        <f t="shared" si="162"/>
        <v>175.666666666628</v>
      </c>
      <c r="M2095" s="22" cm="1">
        <f ca="1" t="array" ref="M2095">SUMPRODUCT(--(WEEKDAY(ROW(INDIRECT(INT(F2095)&amp;":"&amp;INT(I2095))),2)&gt;5))</f>
        <v>6</v>
      </c>
      <c r="N2095" s="22">
        <f ca="1" t="shared" si="163"/>
        <v>127.666666666628</v>
      </c>
      <c r="O2095" s="22" t="str">
        <f ca="1" t="shared" si="164"/>
        <v>SLA Violated</v>
      </c>
      <c r="P2095" s="26" t="s">
        <v>8145</v>
      </c>
      <c r="Q2095" s="24" t="s">
        <v>28</v>
      </c>
      <c r="R2095" s="25"/>
      <c r="S2095" s="25"/>
    </row>
    <row r="2096" ht="27" customHeight="1" spans="1:19">
      <c r="A2096" s="19" t="s">
        <v>8149</v>
      </c>
      <c r="B2096" s="20" t="s">
        <v>30</v>
      </c>
      <c r="C2096" s="20" t="s">
        <v>31</v>
      </c>
      <c r="D2096" s="20" t="s">
        <v>32</v>
      </c>
      <c r="E2096" s="21" t="s">
        <v>8150</v>
      </c>
      <c r="F2096" s="21" t="s">
        <v>8151</v>
      </c>
      <c r="G2096" s="20" t="s">
        <v>35</v>
      </c>
      <c r="H2096" s="20" t="s">
        <v>25</v>
      </c>
      <c r="I2096" s="21" t="s">
        <v>2549</v>
      </c>
      <c r="J2096" s="22">
        <f t="shared" si="160"/>
        <v>7.10763888889051</v>
      </c>
      <c r="K2096" s="22">
        <f t="shared" si="161"/>
        <v>170.583333333372</v>
      </c>
      <c r="L2096" s="22">
        <f t="shared" si="162"/>
        <v>58.5833333333721</v>
      </c>
      <c r="M2096" s="22" cm="1">
        <f ca="1" t="array" ref="M2096">SUMPRODUCT(--(WEEKDAY(ROW(INDIRECT(INT(F2096)&amp;":"&amp;INT(I2096))),2)&gt;5))</f>
        <v>2</v>
      </c>
      <c r="N2096" s="22">
        <f ca="1" t="shared" si="163"/>
        <v>42.5833333333721</v>
      </c>
      <c r="O2096" s="22" t="str">
        <f ca="1" t="shared" si="164"/>
        <v>SLA Violated</v>
      </c>
      <c r="P2096" s="26" t="s">
        <v>8149</v>
      </c>
      <c r="Q2096" s="24" t="s">
        <v>28</v>
      </c>
      <c r="R2096" s="25"/>
      <c r="S2096" s="25"/>
    </row>
    <row r="2097" ht="16" customHeight="1" spans="1:19">
      <c r="A2097" s="28" t="s">
        <v>8152</v>
      </c>
      <c r="B2097" s="20" t="s">
        <v>45</v>
      </c>
      <c r="C2097" s="20" t="s">
        <v>46</v>
      </c>
      <c r="D2097" s="20" t="s">
        <v>115</v>
      </c>
      <c r="E2097" s="21" t="s">
        <v>8153</v>
      </c>
      <c r="F2097" s="21" t="s">
        <v>8154</v>
      </c>
      <c r="G2097" s="20" t="s">
        <v>35</v>
      </c>
      <c r="H2097" s="20" t="s">
        <v>25</v>
      </c>
      <c r="I2097" s="21" t="s">
        <v>8155</v>
      </c>
      <c r="J2097" s="22">
        <f t="shared" si="160"/>
        <v>49.1611111111124</v>
      </c>
      <c r="K2097" s="22">
        <f t="shared" si="161"/>
        <v>1179.8666666667</v>
      </c>
      <c r="L2097" s="22">
        <f t="shared" si="162"/>
        <v>395.866666666698</v>
      </c>
      <c r="M2097" s="22" cm="1">
        <f ca="1" t="array" ref="M2097">SUMPRODUCT(--(WEEKDAY(ROW(INDIRECT(INT(F2097)&amp;":"&amp;INT(I2097))),2)&gt;5))</f>
        <v>14</v>
      </c>
      <c r="N2097" s="22">
        <f ca="1" t="shared" si="163"/>
        <v>283.866666666698</v>
      </c>
      <c r="O2097" s="22" t="str">
        <f ca="1" t="shared" si="164"/>
        <v>SLA Violated</v>
      </c>
      <c r="P2097" s="23" t="s">
        <v>8152</v>
      </c>
      <c r="Q2097" s="24" t="s">
        <v>37</v>
      </c>
      <c r="R2097" s="25" t="s">
        <v>6514</v>
      </c>
      <c r="S2097" s="25" t="s">
        <v>39</v>
      </c>
    </row>
    <row r="2098" ht="39" customHeight="1" spans="1:19">
      <c r="A2098" s="19" t="s">
        <v>8156</v>
      </c>
      <c r="B2098" s="20" t="s">
        <v>196</v>
      </c>
      <c r="C2098" s="20" t="s">
        <v>46</v>
      </c>
      <c r="D2098" s="20" t="s">
        <v>21</v>
      </c>
      <c r="E2098" s="21" t="s">
        <v>8157</v>
      </c>
      <c r="F2098" s="21" t="s">
        <v>8158</v>
      </c>
      <c r="G2098" s="20" t="s">
        <v>35</v>
      </c>
      <c r="H2098" s="20" t="s">
        <v>25</v>
      </c>
      <c r="I2098" s="21" t="s">
        <v>8158</v>
      </c>
      <c r="J2098" s="22">
        <f t="shared" si="160"/>
        <v>0</v>
      </c>
      <c r="K2098" s="22">
        <f t="shared" si="161"/>
        <v>0</v>
      </c>
      <c r="L2098" s="22">
        <f t="shared" si="162"/>
        <v>0</v>
      </c>
      <c r="M2098" s="22" cm="1">
        <f ca="1" t="array" ref="M2098">SUMPRODUCT(--(WEEKDAY(ROW(INDIRECT(INT(F2098)&amp;":"&amp;INT(I2098))),2)&gt;5))</f>
        <v>0</v>
      </c>
      <c r="N2098" s="22">
        <f ca="1" t="shared" si="163"/>
        <v>0</v>
      </c>
      <c r="O2098" s="22" t="str">
        <f ca="1" t="shared" si="164"/>
        <v>Within SLA</v>
      </c>
      <c r="P2098" s="26" t="s">
        <v>8156</v>
      </c>
      <c r="Q2098" s="24" t="s">
        <v>37</v>
      </c>
      <c r="R2098" s="25"/>
      <c r="S2098" s="25"/>
    </row>
    <row r="2099" ht="27" customHeight="1" spans="1:19">
      <c r="A2099" s="19" t="s">
        <v>8159</v>
      </c>
      <c r="B2099" s="20" t="s">
        <v>30</v>
      </c>
      <c r="C2099" s="20" t="s">
        <v>849</v>
      </c>
      <c r="D2099" s="20" t="s">
        <v>32</v>
      </c>
      <c r="E2099" s="21" t="s">
        <v>8160</v>
      </c>
      <c r="F2099" s="21" t="s">
        <v>8161</v>
      </c>
      <c r="G2099" s="20" t="s">
        <v>35</v>
      </c>
      <c r="H2099" s="20" t="s">
        <v>25</v>
      </c>
      <c r="I2099" s="21" t="s">
        <v>8162</v>
      </c>
      <c r="J2099" s="22">
        <f t="shared" si="160"/>
        <v>0.234722222216078</v>
      </c>
      <c r="K2099" s="22">
        <f t="shared" si="161"/>
        <v>5.63333333318587</v>
      </c>
      <c r="L2099" s="22">
        <f t="shared" si="162"/>
        <v>5.63333333318587</v>
      </c>
      <c r="M2099" s="22" cm="1">
        <f ca="1" t="array" ref="M2099">SUMPRODUCT(--(WEEKDAY(ROW(INDIRECT(INT(F2099)&amp;":"&amp;INT(I2099))),2)&gt;5))</f>
        <v>0</v>
      </c>
      <c r="N2099" s="22">
        <f ca="1" t="shared" si="163"/>
        <v>5.63333333318587</v>
      </c>
      <c r="O2099" s="22" t="str">
        <f ca="1" t="shared" si="164"/>
        <v>Within SLA</v>
      </c>
      <c r="P2099" s="26" t="s">
        <v>8159</v>
      </c>
      <c r="Q2099" s="24" t="s">
        <v>37</v>
      </c>
      <c r="R2099" s="25"/>
      <c r="S2099" s="25"/>
    </row>
    <row r="2100" ht="27" customHeight="1" spans="1:19">
      <c r="A2100" s="19" t="s">
        <v>8163</v>
      </c>
      <c r="B2100" s="20" t="s">
        <v>30</v>
      </c>
      <c r="C2100" s="20" t="s">
        <v>849</v>
      </c>
      <c r="D2100" s="20" t="s">
        <v>32</v>
      </c>
      <c r="E2100" s="21" t="s">
        <v>8164</v>
      </c>
      <c r="F2100" s="21" t="s">
        <v>8165</v>
      </c>
      <c r="G2100" s="20" t="s">
        <v>35</v>
      </c>
      <c r="H2100" s="20" t="s">
        <v>25</v>
      </c>
      <c r="I2100" s="21" t="s">
        <v>8166</v>
      </c>
      <c r="J2100" s="22">
        <f t="shared" si="160"/>
        <v>1.07013888889196</v>
      </c>
      <c r="K2100" s="22">
        <f t="shared" si="161"/>
        <v>25.6833333334071</v>
      </c>
      <c r="L2100" s="22">
        <f t="shared" si="162"/>
        <v>9.68333333340706</v>
      </c>
      <c r="M2100" s="22" cm="1">
        <f ca="1" t="array" ref="M2100">SUMPRODUCT(--(WEEKDAY(ROW(INDIRECT(INT(F2100)&amp;":"&amp;INT(I2100))),2)&gt;5))</f>
        <v>0</v>
      </c>
      <c r="N2100" s="22">
        <f ca="1" t="shared" si="163"/>
        <v>9.68333333340706</v>
      </c>
      <c r="O2100" s="22" t="str">
        <f ca="1" t="shared" si="164"/>
        <v>Within SLA</v>
      </c>
      <c r="P2100" s="26" t="s">
        <v>8163</v>
      </c>
      <c r="Q2100" s="24" t="s">
        <v>37</v>
      </c>
      <c r="R2100" s="25"/>
      <c r="S2100" s="25"/>
    </row>
    <row r="2101" ht="27" customHeight="1" spans="1:19">
      <c r="A2101" s="19" t="s">
        <v>8167</v>
      </c>
      <c r="B2101" s="20" t="s">
        <v>30</v>
      </c>
      <c r="C2101" s="20" t="s">
        <v>849</v>
      </c>
      <c r="D2101" s="20" t="s">
        <v>32</v>
      </c>
      <c r="E2101" s="21" t="s">
        <v>8168</v>
      </c>
      <c r="F2101" s="21" t="s">
        <v>8169</v>
      </c>
      <c r="G2101" s="20" t="s">
        <v>35</v>
      </c>
      <c r="H2101" s="20" t="s">
        <v>25</v>
      </c>
      <c r="I2101" s="21" t="s">
        <v>8170</v>
      </c>
      <c r="J2101" s="22">
        <f t="shared" si="160"/>
        <v>0.247916666659876</v>
      </c>
      <c r="K2101" s="22">
        <f t="shared" si="161"/>
        <v>5.94999999983702</v>
      </c>
      <c r="L2101" s="22">
        <f t="shared" si="162"/>
        <v>5.94999999983702</v>
      </c>
      <c r="M2101" s="22" cm="1">
        <f ca="1" t="array" ref="M2101">SUMPRODUCT(--(WEEKDAY(ROW(INDIRECT(INT(F2101)&amp;":"&amp;INT(I2101))),2)&gt;5))</f>
        <v>0</v>
      </c>
      <c r="N2101" s="22">
        <f ca="1" t="shared" si="163"/>
        <v>5.94999999983702</v>
      </c>
      <c r="O2101" s="22" t="str">
        <f ca="1" t="shared" si="164"/>
        <v>Within SLA</v>
      </c>
      <c r="P2101" s="26" t="s">
        <v>8167</v>
      </c>
      <c r="Q2101" s="24" t="s">
        <v>37</v>
      </c>
      <c r="R2101" s="25"/>
      <c r="S2101" s="25"/>
    </row>
    <row r="2102" ht="39" customHeight="1" spans="1:19">
      <c r="A2102" s="19" t="s">
        <v>8171</v>
      </c>
      <c r="B2102" s="20" t="s">
        <v>19</v>
      </c>
      <c r="C2102" s="20" t="s">
        <v>20</v>
      </c>
      <c r="D2102" s="20" t="s">
        <v>32</v>
      </c>
      <c r="E2102" s="21" t="s">
        <v>8172</v>
      </c>
      <c r="F2102" s="21" t="s">
        <v>8173</v>
      </c>
      <c r="G2102" s="20" t="s">
        <v>35</v>
      </c>
      <c r="H2102" s="20" t="s">
        <v>25</v>
      </c>
      <c r="I2102" s="21" t="s">
        <v>8174</v>
      </c>
      <c r="J2102" s="22">
        <f t="shared" si="160"/>
        <v>9.98541666666279</v>
      </c>
      <c r="K2102" s="22">
        <f t="shared" si="161"/>
        <v>239.649999999907</v>
      </c>
      <c r="L2102" s="22">
        <f t="shared" si="162"/>
        <v>79.6499999999069</v>
      </c>
      <c r="M2102" s="22" cm="1">
        <f ca="1" t="array" ref="M2102">SUMPRODUCT(--(WEEKDAY(ROW(INDIRECT(INT(F2102)&amp;":"&amp;INT(I2102))),2)&gt;5))</f>
        <v>2</v>
      </c>
      <c r="N2102" s="22">
        <f ca="1" t="shared" si="163"/>
        <v>63.6499999999069</v>
      </c>
      <c r="O2102" s="22" t="str">
        <f ca="1" t="shared" si="164"/>
        <v>SLA Violated</v>
      </c>
      <c r="P2102" s="23" t="s">
        <v>8175</v>
      </c>
      <c r="Q2102" s="24" t="s">
        <v>28</v>
      </c>
      <c r="R2102" s="25"/>
      <c r="S2102" s="25"/>
    </row>
    <row r="2103" ht="39" customHeight="1" spans="1:19">
      <c r="A2103" s="19" t="s">
        <v>8176</v>
      </c>
      <c r="B2103" s="20" t="s">
        <v>19</v>
      </c>
      <c r="C2103" s="20" t="s">
        <v>20</v>
      </c>
      <c r="D2103" s="20" t="s">
        <v>32</v>
      </c>
      <c r="E2103" s="21" t="s">
        <v>8177</v>
      </c>
      <c r="F2103" s="21" t="s">
        <v>8178</v>
      </c>
      <c r="G2103" s="20" t="s">
        <v>35</v>
      </c>
      <c r="H2103" s="20" t="s">
        <v>25</v>
      </c>
      <c r="I2103" s="21" t="s">
        <v>8174</v>
      </c>
      <c r="J2103" s="22">
        <f t="shared" si="160"/>
        <v>1.25555555555184</v>
      </c>
      <c r="K2103" s="22">
        <f t="shared" si="161"/>
        <v>30.1333333332441</v>
      </c>
      <c r="L2103" s="22">
        <f t="shared" si="162"/>
        <v>14.1333333332441</v>
      </c>
      <c r="M2103" s="22" cm="1">
        <f ca="1" t="array" ref="M2103">SUMPRODUCT(--(WEEKDAY(ROW(INDIRECT(INT(F2103)&amp;":"&amp;INT(I2103))),2)&gt;5))</f>
        <v>0</v>
      </c>
      <c r="N2103" s="22">
        <f ca="1" t="shared" si="163"/>
        <v>14.1333333332441</v>
      </c>
      <c r="O2103" s="22" t="str">
        <f ca="1" t="shared" si="164"/>
        <v>SLA Violated</v>
      </c>
      <c r="P2103" s="23" t="s">
        <v>8179</v>
      </c>
      <c r="Q2103" s="24" t="s">
        <v>28</v>
      </c>
      <c r="R2103" s="25"/>
      <c r="S2103" s="25"/>
    </row>
    <row r="2104" ht="39" customHeight="1" spans="1:19">
      <c r="A2104" s="19" t="s">
        <v>8180</v>
      </c>
      <c r="B2104" s="20" t="s">
        <v>19</v>
      </c>
      <c r="C2104" s="20" t="s">
        <v>20</v>
      </c>
      <c r="D2104" s="20" t="s">
        <v>32</v>
      </c>
      <c r="E2104" s="21" t="s">
        <v>8181</v>
      </c>
      <c r="F2104" s="21" t="s">
        <v>8182</v>
      </c>
      <c r="G2104" s="20" t="s">
        <v>24</v>
      </c>
      <c r="H2104" s="20" t="s">
        <v>25</v>
      </c>
      <c r="I2104" s="21" t="s">
        <v>8183</v>
      </c>
      <c r="J2104" s="22">
        <f t="shared" si="160"/>
        <v>9.9819444444438</v>
      </c>
      <c r="K2104" s="22">
        <f t="shared" si="161"/>
        <v>239.566666666651</v>
      </c>
      <c r="L2104" s="22">
        <f t="shared" si="162"/>
        <v>79.5666666666511</v>
      </c>
      <c r="M2104" s="22" cm="1">
        <f ca="1" t="array" ref="M2104">SUMPRODUCT(--(WEEKDAY(ROW(INDIRECT(INT(F2104)&amp;":"&amp;INT(I2104))),2)&gt;5))</f>
        <v>2</v>
      </c>
      <c r="N2104" s="22">
        <f ca="1" t="shared" si="163"/>
        <v>63.5666666666511</v>
      </c>
      <c r="O2104" s="22" t="str">
        <f ca="1" t="shared" si="164"/>
        <v>SLA Violated</v>
      </c>
      <c r="P2104" s="23" t="s">
        <v>8184</v>
      </c>
      <c r="Q2104" s="24" t="s">
        <v>28</v>
      </c>
      <c r="R2104" s="25"/>
      <c r="S2104" s="25"/>
    </row>
    <row r="2105" ht="39" customHeight="1" spans="1:19">
      <c r="A2105" s="19" t="s">
        <v>8185</v>
      </c>
      <c r="B2105" s="20" t="s">
        <v>19</v>
      </c>
      <c r="C2105" s="20" t="s">
        <v>20</v>
      </c>
      <c r="D2105" s="20" t="s">
        <v>32</v>
      </c>
      <c r="E2105" s="21" t="s">
        <v>8186</v>
      </c>
      <c r="F2105" s="21" t="s">
        <v>8187</v>
      </c>
      <c r="G2105" s="20" t="s">
        <v>35</v>
      </c>
      <c r="H2105" s="20" t="s">
        <v>25</v>
      </c>
      <c r="I2105" s="21" t="s">
        <v>8188</v>
      </c>
      <c r="J2105" s="22">
        <f t="shared" si="160"/>
        <v>8.10833333332994</v>
      </c>
      <c r="K2105" s="22">
        <f t="shared" si="161"/>
        <v>194.599999999919</v>
      </c>
      <c r="L2105" s="22">
        <f t="shared" si="162"/>
        <v>66.5999999999185</v>
      </c>
      <c r="M2105" s="22" cm="1">
        <f ca="1" t="array" ref="M2105">SUMPRODUCT(--(WEEKDAY(ROW(INDIRECT(INT(F2105)&amp;":"&amp;INT(I2105))),2)&gt;5))</f>
        <v>2</v>
      </c>
      <c r="N2105" s="22">
        <f ca="1" t="shared" si="163"/>
        <v>50.5999999999185</v>
      </c>
      <c r="O2105" s="22" t="str">
        <f ca="1" t="shared" si="164"/>
        <v>SLA Violated</v>
      </c>
      <c r="P2105" s="23" t="s">
        <v>8189</v>
      </c>
      <c r="Q2105" s="24" t="s">
        <v>28</v>
      </c>
      <c r="R2105" s="25"/>
      <c r="S2105" s="25"/>
    </row>
    <row r="2106" ht="39" customHeight="1" spans="1:19">
      <c r="A2106" s="19" t="s">
        <v>8190</v>
      </c>
      <c r="B2106" s="20" t="s">
        <v>19</v>
      </c>
      <c r="C2106" s="20" t="s">
        <v>20</v>
      </c>
      <c r="D2106" s="20" t="s">
        <v>32</v>
      </c>
      <c r="E2106" s="21" t="s">
        <v>8191</v>
      </c>
      <c r="F2106" s="21" t="s">
        <v>8192</v>
      </c>
      <c r="G2106" s="20" t="s">
        <v>35</v>
      </c>
      <c r="H2106" s="20" t="s">
        <v>25</v>
      </c>
      <c r="I2106" s="21" t="s">
        <v>8193</v>
      </c>
      <c r="J2106" s="22">
        <f t="shared" si="160"/>
        <v>2.22013888888614</v>
      </c>
      <c r="K2106" s="22">
        <f t="shared" si="161"/>
        <v>53.2833333332674</v>
      </c>
      <c r="L2106" s="22">
        <f t="shared" si="162"/>
        <v>21.2833333332674</v>
      </c>
      <c r="M2106" s="22" cm="1">
        <f ca="1" t="array" ref="M2106">SUMPRODUCT(--(WEEKDAY(ROW(INDIRECT(INT(F2106)&amp;":"&amp;INT(I2106))),2)&gt;5))</f>
        <v>0</v>
      </c>
      <c r="N2106" s="22">
        <f ca="1" t="shared" si="163"/>
        <v>21.2833333332674</v>
      </c>
      <c r="O2106" s="22" t="str">
        <f ca="1" t="shared" si="164"/>
        <v>SLA Violated</v>
      </c>
      <c r="P2106" s="23" t="s">
        <v>8194</v>
      </c>
      <c r="Q2106" s="24" t="s">
        <v>37</v>
      </c>
      <c r="R2106" s="25" t="s">
        <v>749</v>
      </c>
      <c r="S2106" s="25" t="s">
        <v>39</v>
      </c>
    </row>
    <row r="2107" ht="27" customHeight="1" spans="1:19">
      <c r="A2107" s="19" t="s">
        <v>8195</v>
      </c>
      <c r="B2107" s="20" t="s">
        <v>30</v>
      </c>
      <c r="C2107" s="20" t="s">
        <v>31</v>
      </c>
      <c r="D2107" s="20" t="s">
        <v>105</v>
      </c>
      <c r="E2107" s="21" t="s">
        <v>8196</v>
      </c>
      <c r="F2107" s="21" t="s">
        <v>8197</v>
      </c>
      <c r="G2107" s="20" t="s">
        <v>35</v>
      </c>
      <c r="H2107" s="20" t="s">
        <v>25</v>
      </c>
      <c r="I2107" s="21" t="s">
        <v>8198</v>
      </c>
      <c r="J2107" s="22">
        <f t="shared" si="160"/>
        <v>1.97083333333285</v>
      </c>
      <c r="K2107" s="22">
        <f t="shared" si="161"/>
        <v>47.2999999999884</v>
      </c>
      <c r="L2107" s="22">
        <f t="shared" si="162"/>
        <v>15.2999999999884</v>
      </c>
      <c r="M2107" s="22" cm="1">
        <f ca="1" t="array" ref="M2107">SUMPRODUCT(--(WEEKDAY(ROW(INDIRECT(INT(F2107)&amp;":"&amp;INT(I2107))),2)&gt;5))</f>
        <v>0</v>
      </c>
      <c r="N2107" s="22">
        <f ca="1" t="shared" si="163"/>
        <v>15.2999999999884</v>
      </c>
      <c r="O2107" s="22" t="str">
        <f ca="1" t="shared" si="164"/>
        <v>SLA Violated</v>
      </c>
      <c r="P2107" s="23" t="s">
        <v>8199</v>
      </c>
      <c r="Q2107" s="24" t="s">
        <v>28</v>
      </c>
      <c r="R2107" s="25"/>
      <c r="S2107" s="25"/>
    </row>
    <row r="2108" ht="27" customHeight="1" spans="1:19">
      <c r="A2108" s="19" t="s">
        <v>8200</v>
      </c>
      <c r="B2108" s="20" t="s">
        <v>30</v>
      </c>
      <c r="C2108" s="20" t="s">
        <v>849</v>
      </c>
      <c r="D2108" s="20" t="s">
        <v>32</v>
      </c>
      <c r="E2108" s="21" t="s">
        <v>8201</v>
      </c>
      <c r="F2108" s="21" t="s">
        <v>8202</v>
      </c>
      <c r="G2108" s="20" t="s">
        <v>35</v>
      </c>
      <c r="H2108" s="20" t="s">
        <v>25</v>
      </c>
      <c r="I2108" s="21" t="s">
        <v>8203</v>
      </c>
      <c r="J2108" s="22">
        <f t="shared" si="160"/>
        <v>7.24791666666715</v>
      </c>
      <c r="K2108" s="22">
        <f t="shared" si="161"/>
        <v>173.950000000012</v>
      </c>
      <c r="L2108" s="22">
        <f t="shared" si="162"/>
        <v>61.9500000000116</v>
      </c>
      <c r="M2108" s="22" cm="1">
        <f ca="1" t="array" ref="M2108">SUMPRODUCT(--(WEEKDAY(ROW(INDIRECT(INT(F2108)&amp;":"&amp;INT(I2108))),2)&gt;5))</f>
        <v>2</v>
      </c>
      <c r="N2108" s="22">
        <f ca="1" t="shared" si="163"/>
        <v>45.9500000000116</v>
      </c>
      <c r="O2108" s="22" t="str">
        <f ca="1" t="shared" si="164"/>
        <v>SLA Violated</v>
      </c>
      <c r="P2108" s="23" t="s">
        <v>8204</v>
      </c>
      <c r="Q2108" s="24" t="s">
        <v>28</v>
      </c>
      <c r="R2108" s="25"/>
      <c r="S2108" s="25"/>
    </row>
    <row r="2109" ht="39" customHeight="1" spans="1:19">
      <c r="A2109" s="19" t="s">
        <v>8205</v>
      </c>
      <c r="B2109" s="20" t="s">
        <v>19</v>
      </c>
      <c r="C2109" s="20" t="s">
        <v>20</v>
      </c>
      <c r="D2109" s="20" t="s">
        <v>32</v>
      </c>
      <c r="E2109" s="21" t="s">
        <v>8206</v>
      </c>
      <c r="F2109" s="21" t="s">
        <v>8207</v>
      </c>
      <c r="G2109" s="20" t="s">
        <v>35</v>
      </c>
      <c r="H2109" s="20" t="s">
        <v>25</v>
      </c>
      <c r="I2109" s="21" t="s">
        <v>8208</v>
      </c>
      <c r="J2109" s="22">
        <f t="shared" si="160"/>
        <v>0.990277777782467</v>
      </c>
      <c r="K2109" s="22">
        <f t="shared" si="161"/>
        <v>23.7666666667792</v>
      </c>
      <c r="L2109" s="22">
        <f t="shared" si="162"/>
        <v>7.7666666667792</v>
      </c>
      <c r="M2109" s="22" cm="1">
        <f ca="1" t="array" ref="M2109">SUMPRODUCT(--(WEEKDAY(ROW(INDIRECT(INT(F2109)&amp;":"&amp;INT(I2109))),2)&gt;5))</f>
        <v>0</v>
      </c>
      <c r="N2109" s="22">
        <f ca="1" t="shared" si="163"/>
        <v>7.7666666667792</v>
      </c>
      <c r="O2109" s="22" t="str">
        <f ca="1" t="shared" si="164"/>
        <v>Within SLA</v>
      </c>
      <c r="P2109" s="26" t="s">
        <v>8205</v>
      </c>
      <c r="Q2109" s="24" t="s">
        <v>37</v>
      </c>
      <c r="R2109" s="25"/>
      <c r="S2109" s="25"/>
    </row>
    <row r="2110" ht="50" customHeight="1" spans="1:19">
      <c r="A2110" s="19" t="s">
        <v>8209</v>
      </c>
      <c r="B2110" s="20" t="s">
        <v>369</v>
      </c>
      <c r="C2110" s="20" t="s">
        <v>849</v>
      </c>
      <c r="D2110" s="20" t="s">
        <v>32</v>
      </c>
      <c r="E2110" s="21" t="s">
        <v>8174</v>
      </c>
      <c r="F2110" s="21" t="s">
        <v>8210</v>
      </c>
      <c r="G2110" s="20" t="s">
        <v>35</v>
      </c>
      <c r="H2110" s="20" t="s">
        <v>25</v>
      </c>
      <c r="I2110" s="21" t="s">
        <v>8211</v>
      </c>
      <c r="J2110" s="22">
        <f t="shared" si="160"/>
        <v>0.00624999999854481</v>
      </c>
      <c r="K2110" s="22">
        <f t="shared" si="161"/>
        <v>0.149999999965075</v>
      </c>
      <c r="L2110" s="22">
        <f t="shared" si="162"/>
        <v>0.149999999965075</v>
      </c>
      <c r="M2110" s="22" cm="1">
        <f ca="1" t="array" ref="M2110">SUMPRODUCT(--(WEEKDAY(ROW(INDIRECT(INT(F2110)&amp;":"&amp;INT(I2110))),2)&gt;5))</f>
        <v>0</v>
      </c>
      <c r="N2110" s="22">
        <f ca="1" t="shared" si="163"/>
        <v>0.149999999965075</v>
      </c>
      <c r="O2110" s="22" t="str">
        <f ca="1" t="shared" si="164"/>
        <v>Within SLA</v>
      </c>
      <c r="P2110" s="26" t="s">
        <v>8209</v>
      </c>
      <c r="Q2110" s="24" t="s">
        <v>37</v>
      </c>
      <c r="R2110" s="25"/>
      <c r="S2110" s="25"/>
    </row>
    <row r="2111" ht="39" customHeight="1" spans="1:19">
      <c r="A2111" s="19" t="s">
        <v>8212</v>
      </c>
      <c r="B2111" s="20" t="s">
        <v>702</v>
      </c>
      <c r="C2111" s="20" t="s">
        <v>101</v>
      </c>
      <c r="D2111" s="20" t="s">
        <v>32</v>
      </c>
      <c r="E2111" s="21" t="s">
        <v>8003</v>
      </c>
      <c r="F2111" s="21" t="s">
        <v>8213</v>
      </c>
      <c r="G2111" s="20" t="s">
        <v>35</v>
      </c>
      <c r="H2111" s="20" t="s">
        <v>25</v>
      </c>
      <c r="I2111" s="21" t="s">
        <v>8214</v>
      </c>
      <c r="J2111" s="22">
        <f t="shared" si="160"/>
        <v>0.267361111109494</v>
      </c>
      <c r="K2111" s="22">
        <f t="shared" si="161"/>
        <v>6.41666666662786</v>
      </c>
      <c r="L2111" s="22">
        <f t="shared" si="162"/>
        <v>6.41666666662786</v>
      </c>
      <c r="M2111" s="22" cm="1">
        <f ca="1" t="array" ref="M2111">SUMPRODUCT(--(WEEKDAY(ROW(INDIRECT(INT(F2111)&amp;":"&amp;INT(I2111))),2)&gt;5))</f>
        <v>0</v>
      </c>
      <c r="N2111" s="22">
        <f ca="1" t="shared" si="163"/>
        <v>6.41666666662786</v>
      </c>
      <c r="O2111" s="22" t="str">
        <f ca="1" t="shared" si="164"/>
        <v>Within SLA</v>
      </c>
      <c r="P2111" s="26" t="s">
        <v>8212</v>
      </c>
      <c r="Q2111" s="24" t="s">
        <v>37</v>
      </c>
      <c r="R2111" s="25"/>
      <c r="S2111" s="25"/>
    </row>
    <row r="2112" ht="39" customHeight="1" spans="1:19">
      <c r="A2112" s="19" t="s">
        <v>8215</v>
      </c>
      <c r="B2112" s="20" t="s">
        <v>196</v>
      </c>
      <c r="C2112" s="20" t="s">
        <v>46</v>
      </c>
      <c r="D2112" s="20" t="s">
        <v>21</v>
      </c>
      <c r="E2112" s="21" t="s">
        <v>8216</v>
      </c>
      <c r="F2112" s="21" t="s">
        <v>8217</v>
      </c>
      <c r="G2112" s="20" t="s">
        <v>35</v>
      </c>
      <c r="H2112" s="20" t="s">
        <v>25</v>
      </c>
      <c r="I2112" s="21" t="s">
        <v>8218</v>
      </c>
      <c r="J2112" s="22">
        <f t="shared" si="160"/>
        <v>0.0340277777795563</v>
      </c>
      <c r="K2112" s="22">
        <f t="shared" si="161"/>
        <v>0.816666666709352</v>
      </c>
      <c r="L2112" s="22">
        <f t="shared" si="162"/>
        <v>0.816666666709352</v>
      </c>
      <c r="M2112" s="22" cm="1">
        <f ca="1" t="array" ref="M2112">SUMPRODUCT(--(WEEKDAY(ROW(INDIRECT(INT(F2112)&amp;":"&amp;INT(I2112))),2)&gt;5))</f>
        <v>0</v>
      </c>
      <c r="N2112" s="22">
        <f ca="1" t="shared" si="163"/>
        <v>0.816666666709352</v>
      </c>
      <c r="O2112" s="22" t="str">
        <f ca="1" t="shared" si="164"/>
        <v>Within SLA</v>
      </c>
      <c r="P2112" s="26" t="s">
        <v>8215</v>
      </c>
      <c r="Q2112" s="24" t="s">
        <v>37</v>
      </c>
      <c r="R2112" s="25"/>
      <c r="S2112" s="25"/>
    </row>
    <row r="2113" ht="27" customHeight="1" spans="1:19">
      <c r="A2113" s="19" t="s">
        <v>8219</v>
      </c>
      <c r="B2113" s="20" t="s">
        <v>30</v>
      </c>
      <c r="C2113" s="20" t="s">
        <v>31</v>
      </c>
      <c r="D2113" s="20" t="s">
        <v>32</v>
      </c>
      <c r="E2113" s="21" t="s">
        <v>8220</v>
      </c>
      <c r="F2113" s="21" t="s">
        <v>8221</v>
      </c>
      <c r="G2113" s="20" t="s">
        <v>35</v>
      </c>
      <c r="H2113" s="20" t="s">
        <v>25</v>
      </c>
      <c r="I2113" s="21" t="s">
        <v>8222</v>
      </c>
      <c r="J2113" s="22">
        <f t="shared" si="160"/>
        <v>0.0305555555605679</v>
      </c>
      <c r="K2113" s="22">
        <f t="shared" si="161"/>
        <v>0.733333333453629</v>
      </c>
      <c r="L2113" s="22">
        <f t="shared" si="162"/>
        <v>0.733333333453629</v>
      </c>
      <c r="M2113" s="22" cm="1">
        <f ca="1" t="array" ref="M2113">SUMPRODUCT(--(WEEKDAY(ROW(INDIRECT(INT(F2113)&amp;":"&amp;INT(I2113))),2)&gt;5))</f>
        <v>0</v>
      </c>
      <c r="N2113" s="22">
        <f ca="1" t="shared" si="163"/>
        <v>0.733333333453629</v>
      </c>
      <c r="O2113" s="22" t="str">
        <f ca="1" t="shared" si="164"/>
        <v>Within SLA</v>
      </c>
      <c r="P2113" s="26" t="s">
        <v>8219</v>
      </c>
      <c r="Q2113" s="24" t="s">
        <v>37</v>
      </c>
      <c r="R2113" s="25"/>
      <c r="S2113" s="25"/>
    </row>
    <row r="2114" ht="27" customHeight="1" spans="1:19">
      <c r="A2114" s="19" t="s">
        <v>8223</v>
      </c>
      <c r="B2114" s="20" t="s">
        <v>30</v>
      </c>
      <c r="C2114" s="20" t="s">
        <v>31</v>
      </c>
      <c r="D2114" s="20" t="s">
        <v>105</v>
      </c>
      <c r="E2114" s="21" t="s">
        <v>8214</v>
      </c>
      <c r="F2114" s="21" t="s">
        <v>8224</v>
      </c>
      <c r="G2114" s="20" t="s">
        <v>35</v>
      </c>
      <c r="H2114" s="20" t="s">
        <v>25</v>
      </c>
      <c r="I2114" s="21" t="s">
        <v>8225</v>
      </c>
      <c r="J2114" s="22">
        <f t="shared" si="160"/>
        <v>7.1513888888876</v>
      </c>
      <c r="K2114" s="22">
        <f t="shared" si="161"/>
        <v>171.633333333302</v>
      </c>
      <c r="L2114" s="22">
        <f t="shared" si="162"/>
        <v>59.6333333333023</v>
      </c>
      <c r="M2114" s="22" cm="1">
        <f ca="1" t="array" ref="M2114">SUMPRODUCT(--(WEEKDAY(ROW(INDIRECT(INT(F2114)&amp;":"&amp;INT(I2114))),2)&gt;5))</f>
        <v>2</v>
      </c>
      <c r="N2114" s="22">
        <f ca="1" t="shared" si="163"/>
        <v>43.6333333333023</v>
      </c>
      <c r="O2114" s="22" t="str">
        <f ca="1" t="shared" si="164"/>
        <v>SLA Violated</v>
      </c>
      <c r="P2114" s="23" t="s">
        <v>8226</v>
      </c>
      <c r="Q2114" s="24" t="s">
        <v>37</v>
      </c>
      <c r="R2114" s="25" t="s">
        <v>6838</v>
      </c>
      <c r="S2114" s="25" t="s">
        <v>39</v>
      </c>
    </row>
    <row r="2115" ht="27" customHeight="1" spans="1:19">
      <c r="A2115" s="19" t="s">
        <v>8227</v>
      </c>
      <c r="B2115" s="20" t="s">
        <v>30</v>
      </c>
      <c r="C2115" s="20" t="s">
        <v>31</v>
      </c>
      <c r="D2115" s="20" t="s">
        <v>115</v>
      </c>
      <c r="E2115" s="21" t="s">
        <v>8214</v>
      </c>
      <c r="F2115" s="21" t="s">
        <v>8228</v>
      </c>
      <c r="G2115" s="20" t="s">
        <v>35</v>
      </c>
      <c r="H2115" s="20" t="s">
        <v>25</v>
      </c>
      <c r="I2115" s="21" t="s">
        <v>8229</v>
      </c>
      <c r="J2115" s="22">
        <f t="shared" ref="J2115:J2178" si="165">F2115-I2115</f>
        <v>7.22499999999854</v>
      </c>
      <c r="K2115" s="22">
        <f t="shared" ref="K2115:K2178" si="166">J2115*24</f>
        <v>173.399999999965</v>
      </c>
      <c r="L2115" s="22">
        <f t="shared" ref="L2115:L2178" si="167">IF(_xlfn.DAYS(F2115,I2115)&gt;0,K2115-IF(FLOOR(J2115,1)=0,1,_xlfn.DAYS(F2115,I2115))*16,K2115)</f>
        <v>61.3999999999651</v>
      </c>
      <c r="M2115" s="22" cm="1">
        <f ca="1" t="array" ref="M2115">SUMPRODUCT(--(WEEKDAY(ROW(INDIRECT(INT(F2115)&amp;":"&amp;INT(I2115))),2)&gt;5))</f>
        <v>2</v>
      </c>
      <c r="N2115" s="22">
        <f ca="1" t="shared" ref="N2115:N2178" si="168">IF(IF(M2115&gt;0,L2115-M2115*8,L2115)&lt;0,0,IF(M2115&gt;0,L2115-M2115*8,L2115))</f>
        <v>45.3999999999651</v>
      </c>
      <c r="O2115" s="22" t="str">
        <f ca="1" t="shared" ref="O2115:O2178" si="169">IF(OR(AND(D2115="P1",N2115&lt;=3),AND(D2115="P2",N2115&lt;=6),AND(D2115="P3",N2115&lt;=9),AND(D2115="P4",N2115&lt;=12)),"Within SLA","SLA Violated")</f>
        <v>SLA Violated</v>
      </c>
      <c r="P2115" s="23" t="s">
        <v>8230</v>
      </c>
      <c r="Q2115" s="24" t="s">
        <v>28</v>
      </c>
      <c r="R2115" s="25"/>
      <c r="S2115" s="25"/>
    </row>
    <row r="2116" ht="39" customHeight="1" spans="1:19">
      <c r="A2116" s="19" t="s">
        <v>8231</v>
      </c>
      <c r="B2116" s="20" t="s">
        <v>19</v>
      </c>
      <c r="C2116" s="20" t="s">
        <v>20</v>
      </c>
      <c r="D2116" s="20" t="s">
        <v>32</v>
      </c>
      <c r="E2116" s="21" t="s">
        <v>8232</v>
      </c>
      <c r="F2116" s="21" t="s">
        <v>8233</v>
      </c>
      <c r="G2116" s="20" t="s">
        <v>35</v>
      </c>
      <c r="H2116" s="20" t="s">
        <v>25</v>
      </c>
      <c r="I2116" s="21" t="s">
        <v>8234</v>
      </c>
      <c r="J2116" s="22">
        <f t="shared" si="165"/>
        <v>0.228472222224809</v>
      </c>
      <c r="K2116" s="22">
        <f t="shared" si="166"/>
        <v>5.48333333339542</v>
      </c>
      <c r="L2116" s="22">
        <f t="shared" si="167"/>
        <v>5.48333333339542</v>
      </c>
      <c r="M2116" s="22" cm="1">
        <f ca="1" t="array" ref="M2116">SUMPRODUCT(--(WEEKDAY(ROW(INDIRECT(INT(F2116)&amp;":"&amp;INT(I2116))),2)&gt;5))</f>
        <v>0</v>
      </c>
      <c r="N2116" s="22">
        <f ca="1" t="shared" si="168"/>
        <v>5.48333333339542</v>
      </c>
      <c r="O2116" s="22" t="str">
        <f ca="1" t="shared" si="169"/>
        <v>Within SLA</v>
      </c>
      <c r="P2116" s="26" t="s">
        <v>8231</v>
      </c>
      <c r="Q2116" s="24" t="s">
        <v>37</v>
      </c>
      <c r="R2116" s="25"/>
      <c r="S2116" s="25"/>
    </row>
    <row r="2117" ht="27" customHeight="1" spans="1:19">
      <c r="A2117" s="19" t="s">
        <v>8235</v>
      </c>
      <c r="B2117" s="20" t="s">
        <v>139</v>
      </c>
      <c r="C2117" s="20" t="s">
        <v>2057</v>
      </c>
      <c r="D2117" s="20" t="s">
        <v>32</v>
      </c>
      <c r="E2117" s="21" t="s">
        <v>7819</v>
      </c>
      <c r="F2117" s="21" t="s">
        <v>8236</v>
      </c>
      <c r="G2117" s="20" t="s">
        <v>35</v>
      </c>
      <c r="H2117" s="20" t="s">
        <v>25</v>
      </c>
      <c r="I2117" s="21" t="s">
        <v>8237</v>
      </c>
      <c r="J2117" s="22">
        <f t="shared" si="165"/>
        <v>1.22222222222626</v>
      </c>
      <c r="K2117" s="22">
        <f t="shared" si="166"/>
        <v>29.3333333334303</v>
      </c>
      <c r="L2117" s="22">
        <f t="shared" si="167"/>
        <v>13.3333333334303</v>
      </c>
      <c r="M2117" s="22" cm="1">
        <f ca="1" t="array" ref="M2117">SUMPRODUCT(--(WEEKDAY(ROW(INDIRECT(INT(F2117)&amp;":"&amp;INT(I2117))),2)&gt;5))</f>
        <v>0</v>
      </c>
      <c r="N2117" s="22">
        <f ca="1" t="shared" si="168"/>
        <v>13.3333333334303</v>
      </c>
      <c r="O2117" s="22" t="str">
        <f ca="1" t="shared" si="169"/>
        <v>SLA Violated</v>
      </c>
      <c r="P2117" s="23" t="s">
        <v>8238</v>
      </c>
      <c r="Q2117" s="24" t="s">
        <v>28</v>
      </c>
      <c r="R2117" s="25"/>
      <c r="S2117" s="25"/>
    </row>
    <row r="2118" ht="39" customHeight="1" spans="1:19">
      <c r="A2118" s="19" t="s">
        <v>8239</v>
      </c>
      <c r="B2118" s="20" t="s">
        <v>19</v>
      </c>
      <c r="C2118" s="20" t="s">
        <v>20</v>
      </c>
      <c r="D2118" s="20" t="s">
        <v>32</v>
      </c>
      <c r="E2118" s="21" t="s">
        <v>8240</v>
      </c>
      <c r="F2118" s="21" t="s">
        <v>8241</v>
      </c>
      <c r="G2118" s="20" t="s">
        <v>35</v>
      </c>
      <c r="H2118" s="20" t="s">
        <v>25</v>
      </c>
      <c r="I2118" s="21" t="s">
        <v>8242</v>
      </c>
      <c r="J2118" s="22">
        <f t="shared" si="165"/>
        <v>1.05694444444089</v>
      </c>
      <c r="K2118" s="22">
        <f t="shared" si="166"/>
        <v>25.3666666665813</v>
      </c>
      <c r="L2118" s="22">
        <f t="shared" si="167"/>
        <v>9.3666666665813</v>
      </c>
      <c r="M2118" s="22" cm="1">
        <f ca="1" t="array" ref="M2118">SUMPRODUCT(--(WEEKDAY(ROW(INDIRECT(INT(F2118)&amp;":"&amp;INT(I2118))),2)&gt;5))</f>
        <v>0</v>
      </c>
      <c r="N2118" s="22">
        <f ca="1" t="shared" si="168"/>
        <v>9.3666666665813</v>
      </c>
      <c r="O2118" s="22" t="str">
        <f ca="1" t="shared" si="169"/>
        <v>Within SLA</v>
      </c>
      <c r="P2118" s="26" t="s">
        <v>8239</v>
      </c>
      <c r="Q2118" s="24" t="s">
        <v>37</v>
      </c>
      <c r="R2118" s="25"/>
      <c r="S2118" s="25"/>
    </row>
    <row r="2119" ht="27" customHeight="1" spans="1:19">
      <c r="A2119" s="19" t="s">
        <v>8243</v>
      </c>
      <c r="B2119" s="20" t="s">
        <v>30</v>
      </c>
      <c r="C2119" s="20" t="s">
        <v>31</v>
      </c>
      <c r="D2119" s="20" t="s">
        <v>32</v>
      </c>
      <c r="E2119" s="21" t="s">
        <v>8244</v>
      </c>
      <c r="F2119" s="21" t="s">
        <v>8245</v>
      </c>
      <c r="G2119" s="20" t="s">
        <v>35</v>
      </c>
      <c r="H2119" s="20" t="s">
        <v>25</v>
      </c>
      <c r="I2119" s="21" t="s">
        <v>8246</v>
      </c>
      <c r="J2119" s="22">
        <f t="shared" si="165"/>
        <v>21.9187499999971</v>
      </c>
      <c r="K2119" s="22">
        <f t="shared" si="166"/>
        <v>526.04999999993</v>
      </c>
      <c r="L2119" s="22">
        <f t="shared" si="167"/>
        <v>174.04999999993</v>
      </c>
      <c r="M2119" s="22" cm="1">
        <f ca="1" t="array" ref="M2119">SUMPRODUCT(--(WEEKDAY(ROW(INDIRECT(INT(F2119)&amp;":"&amp;INT(I2119))),2)&gt;5))</f>
        <v>6</v>
      </c>
      <c r="N2119" s="22">
        <f ca="1" t="shared" si="168"/>
        <v>126.04999999993</v>
      </c>
      <c r="O2119" s="22" t="str">
        <f ca="1" t="shared" si="169"/>
        <v>SLA Violated</v>
      </c>
      <c r="P2119" s="26" t="s">
        <v>8243</v>
      </c>
      <c r="Q2119" s="24" t="s">
        <v>28</v>
      </c>
      <c r="R2119" s="25"/>
      <c r="S2119" s="25"/>
    </row>
    <row r="2120" ht="27" customHeight="1" spans="1:19">
      <c r="A2120" s="19" t="s">
        <v>8247</v>
      </c>
      <c r="B2120" s="20" t="s">
        <v>30</v>
      </c>
      <c r="C2120" s="20" t="s">
        <v>4889</v>
      </c>
      <c r="D2120" s="20" t="s">
        <v>32</v>
      </c>
      <c r="E2120" s="21" t="s">
        <v>8050</v>
      </c>
      <c r="F2120" s="21" t="s">
        <v>8248</v>
      </c>
      <c r="G2120" s="20" t="s">
        <v>35</v>
      </c>
      <c r="H2120" s="20" t="s">
        <v>25</v>
      </c>
      <c r="I2120" s="21" t="s">
        <v>8249</v>
      </c>
      <c r="J2120" s="22">
        <f t="shared" si="165"/>
        <v>0.990972222221899</v>
      </c>
      <c r="K2120" s="22">
        <f t="shared" si="166"/>
        <v>23.7833333333256</v>
      </c>
      <c r="L2120" s="22">
        <f t="shared" si="167"/>
        <v>7.78333333332557</v>
      </c>
      <c r="M2120" s="22" cm="1">
        <f ca="1" t="array" ref="M2120">SUMPRODUCT(--(WEEKDAY(ROW(INDIRECT(INT(F2120)&amp;":"&amp;INT(I2120))),2)&gt;5))</f>
        <v>0</v>
      </c>
      <c r="N2120" s="22">
        <f ca="1" t="shared" si="168"/>
        <v>7.78333333332557</v>
      </c>
      <c r="O2120" s="22" t="str">
        <f ca="1" t="shared" si="169"/>
        <v>Within SLA</v>
      </c>
      <c r="P2120" s="26" t="s">
        <v>8247</v>
      </c>
      <c r="Q2120" s="24" t="s">
        <v>37</v>
      </c>
      <c r="R2120" s="25"/>
      <c r="S2120" s="25"/>
    </row>
    <row r="2121" ht="39" customHeight="1" spans="1:19">
      <c r="A2121" s="19" t="s">
        <v>8250</v>
      </c>
      <c r="B2121" s="20" t="s">
        <v>19</v>
      </c>
      <c r="C2121" s="20" t="s">
        <v>20</v>
      </c>
      <c r="D2121" s="20" t="s">
        <v>32</v>
      </c>
      <c r="E2121" s="21" t="s">
        <v>8221</v>
      </c>
      <c r="F2121" s="21" t="s">
        <v>8251</v>
      </c>
      <c r="G2121" s="20" t="s">
        <v>35</v>
      </c>
      <c r="H2121" s="20" t="s">
        <v>25</v>
      </c>
      <c r="I2121" s="21" t="s">
        <v>8252</v>
      </c>
      <c r="J2121" s="22">
        <f t="shared" si="165"/>
        <v>0.125694444446708</v>
      </c>
      <c r="K2121" s="22">
        <f t="shared" si="166"/>
        <v>3.01666666672099</v>
      </c>
      <c r="L2121" s="22">
        <f t="shared" si="167"/>
        <v>3.01666666672099</v>
      </c>
      <c r="M2121" s="22" cm="1">
        <f ca="1" t="array" ref="M2121">SUMPRODUCT(--(WEEKDAY(ROW(INDIRECT(INT(F2121)&amp;":"&amp;INT(I2121))),2)&gt;5))</f>
        <v>0</v>
      </c>
      <c r="N2121" s="22">
        <f ca="1" t="shared" si="168"/>
        <v>3.01666666672099</v>
      </c>
      <c r="O2121" s="22" t="str">
        <f ca="1" t="shared" si="169"/>
        <v>Within SLA</v>
      </c>
      <c r="P2121" s="26" t="s">
        <v>8250</v>
      </c>
      <c r="Q2121" s="24" t="s">
        <v>37</v>
      </c>
      <c r="R2121" s="25"/>
      <c r="S2121" s="25"/>
    </row>
    <row r="2122" ht="39" customHeight="1" spans="1:19">
      <c r="A2122" s="19" t="s">
        <v>8253</v>
      </c>
      <c r="B2122" s="20" t="s">
        <v>19</v>
      </c>
      <c r="C2122" s="20" t="s">
        <v>20</v>
      </c>
      <c r="D2122" s="20" t="s">
        <v>32</v>
      </c>
      <c r="E2122" s="21" t="s">
        <v>8254</v>
      </c>
      <c r="F2122" s="21" t="s">
        <v>8255</v>
      </c>
      <c r="G2122" s="20" t="s">
        <v>35</v>
      </c>
      <c r="H2122" s="20" t="s">
        <v>25</v>
      </c>
      <c r="I2122" s="21" t="s">
        <v>8256</v>
      </c>
      <c r="J2122" s="22">
        <f t="shared" si="165"/>
        <v>0.919444444443798</v>
      </c>
      <c r="K2122" s="22">
        <f t="shared" si="166"/>
        <v>22.0666666666511</v>
      </c>
      <c r="L2122" s="22">
        <f t="shared" si="167"/>
        <v>6.06666666665114</v>
      </c>
      <c r="M2122" s="22" cm="1">
        <f ca="1" t="array" ref="M2122">SUMPRODUCT(--(WEEKDAY(ROW(INDIRECT(INT(F2122)&amp;":"&amp;INT(I2122))),2)&gt;5))</f>
        <v>0</v>
      </c>
      <c r="N2122" s="22">
        <f ca="1" t="shared" si="168"/>
        <v>6.06666666665114</v>
      </c>
      <c r="O2122" s="22" t="str">
        <f ca="1" t="shared" si="169"/>
        <v>Within SLA</v>
      </c>
      <c r="P2122" s="26" t="s">
        <v>8253</v>
      </c>
      <c r="Q2122" s="24" t="s">
        <v>37</v>
      </c>
      <c r="R2122" s="25"/>
      <c r="S2122" s="25"/>
    </row>
    <row r="2123" ht="16" customHeight="1" spans="1:19">
      <c r="A2123" s="19" t="s">
        <v>8257</v>
      </c>
      <c r="B2123" s="20" t="s">
        <v>100</v>
      </c>
      <c r="C2123" s="20" t="s">
        <v>101</v>
      </c>
      <c r="D2123" s="20" t="s">
        <v>21</v>
      </c>
      <c r="E2123" s="21" t="s">
        <v>8254</v>
      </c>
      <c r="F2123" s="21" t="s">
        <v>8258</v>
      </c>
      <c r="G2123" s="20" t="s">
        <v>35</v>
      </c>
      <c r="H2123" s="20" t="s">
        <v>25</v>
      </c>
      <c r="I2123" s="21" t="s">
        <v>8259</v>
      </c>
      <c r="J2123" s="22">
        <f t="shared" si="165"/>
        <v>0.218055555553292</v>
      </c>
      <c r="K2123" s="22">
        <f t="shared" si="166"/>
        <v>5.23333333327901</v>
      </c>
      <c r="L2123" s="22">
        <f t="shared" si="167"/>
        <v>5.23333333327901</v>
      </c>
      <c r="M2123" s="22" cm="1">
        <f ca="1" t="array" ref="M2123">SUMPRODUCT(--(WEEKDAY(ROW(INDIRECT(INT(F2123)&amp;":"&amp;INT(I2123))),2)&gt;5))</f>
        <v>0</v>
      </c>
      <c r="N2123" s="22">
        <f ca="1" t="shared" si="168"/>
        <v>5.23333333327901</v>
      </c>
      <c r="O2123" s="22" t="str">
        <f ca="1" t="shared" si="169"/>
        <v>SLA Violated</v>
      </c>
      <c r="P2123" s="23" t="s">
        <v>8260</v>
      </c>
      <c r="Q2123" s="24" t="s">
        <v>28</v>
      </c>
      <c r="R2123" s="25"/>
      <c r="S2123" s="25"/>
    </row>
    <row r="2124" ht="27" customHeight="1" spans="1:19">
      <c r="A2124" s="19" t="s">
        <v>8261</v>
      </c>
      <c r="B2124" s="20" t="s">
        <v>30</v>
      </c>
      <c r="C2124" s="20" t="s">
        <v>31</v>
      </c>
      <c r="D2124" s="20" t="s">
        <v>32</v>
      </c>
      <c r="E2124" s="21" t="s">
        <v>8062</v>
      </c>
      <c r="F2124" s="21" t="s">
        <v>8262</v>
      </c>
      <c r="G2124" s="20" t="s">
        <v>35</v>
      </c>
      <c r="H2124" s="20" t="s">
        <v>25</v>
      </c>
      <c r="I2124" s="21" t="s">
        <v>8263</v>
      </c>
      <c r="J2124" s="22">
        <f t="shared" si="165"/>
        <v>16.0729166666715</v>
      </c>
      <c r="K2124" s="22">
        <f t="shared" si="166"/>
        <v>385.750000000116</v>
      </c>
      <c r="L2124" s="22">
        <f t="shared" si="167"/>
        <v>129.750000000116</v>
      </c>
      <c r="M2124" s="22" cm="1">
        <f ca="1" t="array" ref="M2124">SUMPRODUCT(--(WEEKDAY(ROW(INDIRECT(INT(F2124)&amp;":"&amp;INT(I2124))),2)&gt;5))</f>
        <v>4</v>
      </c>
      <c r="N2124" s="22">
        <f ca="1" t="shared" si="168"/>
        <v>97.750000000116</v>
      </c>
      <c r="O2124" s="22" t="str">
        <f ca="1" t="shared" si="169"/>
        <v>SLA Violated</v>
      </c>
      <c r="P2124" s="26" t="s">
        <v>8261</v>
      </c>
      <c r="Q2124" s="24" t="s">
        <v>28</v>
      </c>
      <c r="R2124" s="25"/>
      <c r="S2124" s="25"/>
    </row>
    <row r="2125" ht="27" customHeight="1" spans="1:19">
      <c r="A2125" s="19" t="s">
        <v>8264</v>
      </c>
      <c r="B2125" s="20" t="s">
        <v>30</v>
      </c>
      <c r="C2125" s="20" t="s">
        <v>31</v>
      </c>
      <c r="D2125" s="20" t="s">
        <v>32</v>
      </c>
      <c r="E2125" s="21" t="s">
        <v>8252</v>
      </c>
      <c r="F2125" s="21" t="s">
        <v>8265</v>
      </c>
      <c r="G2125" s="20" t="s">
        <v>35</v>
      </c>
      <c r="H2125" s="20" t="s">
        <v>25</v>
      </c>
      <c r="I2125" s="21" t="s">
        <v>8266</v>
      </c>
      <c r="J2125" s="22">
        <f t="shared" si="165"/>
        <v>1.13472222221753</v>
      </c>
      <c r="K2125" s="22">
        <f t="shared" si="166"/>
        <v>27.2333333332208</v>
      </c>
      <c r="L2125" s="22">
        <f t="shared" si="167"/>
        <v>11.2333333332208</v>
      </c>
      <c r="M2125" s="22" cm="1">
        <f ca="1" t="array" ref="M2125">SUMPRODUCT(--(WEEKDAY(ROW(INDIRECT(INT(F2125)&amp;":"&amp;INT(I2125))),2)&gt;5))</f>
        <v>0</v>
      </c>
      <c r="N2125" s="22">
        <f ca="1" t="shared" si="168"/>
        <v>11.2333333332208</v>
      </c>
      <c r="O2125" s="22" t="str">
        <f ca="1" t="shared" si="169"/>
        <v>Within SLA</v>
      </c>
      <c r="P2125" s="26" t="s">
        <v>8264</v>
      </c>
      <c r="Q2125" s="24" t="s">
        <v>37</v>
      </c>
      <c r="R2125" s="25"/>
      <c r="S2125" s="25"/>
    </row>
    <row r="2126" ht="39" customHeight="1" spans="1:19">
      <c r="A2126" s="19" t="s">
        <v>8267</v>
      </c>
      <c r="B2126" s="20" t="s">
        <v>19</v>
      </c>
      <c r="C2126" s="20" t="s">
        <v>20</v>
      </c>
      <c r="D2126" s="20" t="s">
        <v>32</v>
      </c>
      <c r="E2126" s="21" t="s">
        <v>8252</v>
      </c>
      <c r="F2126" s="21" t="s">
        <v>8268</v>
      </c>
      <c r="G2126" s="20" t="s">
        <v>35</v>
      </c>
      <c r="H2126" s="20" t="s">
        <v>25</v>
      </c>
      <c r="I2126" s="21" t="s">
        <v>8269</v>
      </c>
      <c r="J2126" s="22">
        <f t="shared" si="165"/>
        <v>1.1784722222219</v>
      </c>
      <c r="K2126" s="22">
        <f t="shared" si="166"/>
        <v>28.2833333333256</v>
      </c>
      <c r="L2126" s="22">
        <f t="shared" si="167"/>
        <v>12.2833333333256</v>
      </c>
      <c r="M2126" s="22" cm="1">
        <f ca="1" t="array" ref="M2126">SUMPRODUCT(--(WEEKDAY(ROW(INDIRECT(INT(F2126)&amp;":"&amp;INT(I2126))),2)&gt;5))</f>
        <v>0</v>
      </c>
      <c r="N2126" s="22">
        <f ca="1" t="shared" si="168"/>
        <v>12.2833333333256</v>
      </c>
      <c r="O2126" s="22" t="str">
        <f ca="1" t="shared" si="169"/>
        <v>SLA Violated</v>
      </c>
      <c r="P2126" s="23" t="s">
        <v>8270</v>
      </c>
      <c r="Q2126" s="24" t="s">
        <v>28</v>
      </c>
      <c r="R2126" s="25"/>
      <c r="S2126" s="25"/>
    </row>
    <row r="2127" ht="39" customHeight="1" spans="1:19">
      <c r="A2127" s="19" t="s">
        <v>8271</v>
      </c>
      <c r="B2127" s="20" t="s">
        <v>19</v>
      </c>
      <c r="C2127" s="20" t="s">
        <v>20</v>
      </c>
      <c r="D2127" s="20" t="s">
        <v>32</v>
      </c>
      <c r="E2127" s="21" t="s">
        <v>8272</v>
      </c>
      <c r="F2127" s="21" t="s">
        <v>8273</v>
      </c>
      <c r="G2127" s="20" t="s">
        <v>35</v>
      </c>
      <c r="H2127" s="20" t="s">
        <v>25</v>
      </c>
      <c r="I2127" s="21" t="s">
        <v>8274</v>
      </c>
      <c r="J2127" s="22">
        <f t="shared" si="165"/>
        <v>4.07708333333721</v>
      </c>
      <c r="K2127" s="22">
        <f t="shared" si="166"/>
        <v>97.8500000000931</v>
      </c>
      <c r="L2127" s="22">
        <f t="shared" si="167"/>
        <v>33.8500000000931</v>
      </c>
      <c r="M2127" s="22" cm="1">
        <f ca="1" t="array" ref="M2127">SUMPRODUCT(--(WEEKDAY(ROW(INDIRECT(INT(F2127)&amp;":"&amp;INT(I2127))),2)&gt;5))</f>
        <v>0</v>
      </c>
      <c r="N2127" s="22">
        <f ca="1" t="shared" si="168"/>
        <v>33.8500000000931</v>
      </c>
      <c r="O2127" s="22" t="str">
        <f ca="1" t="shared" si="169"/>
        <v>SLA Violated</v>
      </c>
      <c r="P2127" s="23" t="s">
        <v>8275</v>
      </c>
      <c r="Q2127" s="24" t="s">
        <v>28</v>
      </c>
      <c r="R2127" s="25"/>
      <c r="S2127" s="25"/>
    </row>
    <row r="2128" ht="27" customHeight="1" spans="1:19">
      <c r="A2128" s="19" t="s">
        <v>8276</v>
      </c>
      <c r="B2128" s="20" t="s">
        <v>30</v>
      </c>
      <c r="C2128" s="20" t="s">
        <v>849</v>
      </c>
      <c r="D2128" s="20" t="s">
        <v>32</v>
      </c>
      <c r="E2128" s="21" t="s">
        <v>8263</v>
      </c>
      <c r="F2128" s="21" t="s">
        <v>8277</v>
      </c>
      <c r="G2128" s="20" t="s">
        <v>35</v>
      </c>
      <c r="H2128" s="20" t="s">
        <v>25</v>
      </c>
      <c r="I2128" s="21" t="s">
        <v>8278</v>
      </c>
      <c r="J2128" s="22">
        <f t="shared" si="165"/>
        <v>7.16805555555766</v>
      </c>
      <c r="K2128" s="22">
        <f t="shared" si="166"/>
        <v>172.033333333384</v>
      </c>
      <c r="L2128" s="22">
        <f t="shared" si="167"/>
        <v>60.0333333333838</v>
      </c>
      <c r="M2128" s="22" cm="1">
        <f ca="1" t="array" ref="M2128">SUMPRODUCT(--(WEEKDAY(ROW(INDIRECT(INT(F2128)&amp;":"&amp;INT(I2128))),2)&gt;5))</f>
        <v>2</v>
      </c>
      <c r="N2128" s="22">
        <f ca="1" t="shared" si="168"/>
        <v>44.0333333333838</v>
      </c>
      <c r="O2128" s="22" t="str">
        <f ca="1" t="shared" si="169"/>
        <v>SLA Violated</v>
      </c>
      <c r="P2128" s="23" t="s">
        <v>8279</v>
      </c>
      <c r="Q2128" s="24" t="s">
        <v>28</v>
      </c>
      <c r="R2128" s="25"/>
      <c r="S2128" s="25"/>
    </row>
    <row r="2129" ht="39" customHeight="1" spans="1:19">
      <c r="A2129" s="19" t="s">
        <v>8280</v>
      </c>
      <c r="B2129" s="20" t="s">
        <v>19</v>
      </c>
      <c r="C2129" s="20" t="s">
        <v>20</v>
      </c>
      <c r="D2129" s="20" t="s">
        <v>32</v>
      </c>
      <c r="E2129" s="21" t="s">
        <v>8281</v>
      </c>
      <c r="F2129" s="21" t="s">
        <v>8282</v>
      </c>
      <c r="G2129" s="20" t="s">
        <v>35</v>
      </c>
      <c r="H2129" s="20" t="s">
        <v>25</v>
      </c>
      <c r="I2129" s="21" t="s">
        <v>8283</v>
      </c>
      <c r="J2129" s="22">
        <f t="shared" si="165"/>
        <v>1.14861111111531</v>
      </c>
      <c r="K2129" s="22">
        <f t="shared" si="166"/>
        <v>27.5666666667676</v>
      </c>
      <c r="L2129" s="22">
        <f t="shared" si="167"/>
        <v>11.5666666667676</v>
      </c>
      <c r="M2129" s="22" cm="1">
        <f ca="1" t="array" ref="M2129">SUMPRODUCT(--(WEEKDAY(ROW(INDIRECT(INT(F2129)&amp;":"&amp;INT(I2129))),2)&gt;5))</f>
        <v>0</v>
      </c>
      <c r="N2129" s="22">
        <f ca="1" t="shared" si="168"/>
        <v>11.5666666667676</v>
      </c>
      <c r="O2129" s="22" t="str">
        <f ca="1" t="shared" si="169"/>
        <v>Within SLA</v>
      </c>
      <c r="P2129" s="26" t="s">
        <v>8280</v>
      </c>
      <c r="Q2129" s="24" t="s">
        <v>37</v>
      </c>
      <c r="R2129" s="25"/>
      <c r="S2129" s="25"/>
    </row>
    <row r="2130" ht="39" customHeight="1" spans="1:19">
      <c r="A2130" s="19" t="s">
        <v>8284</v>
      </c>
      <c r="B2130" s="20" t="s">
        <v>19</v>
      </c>
      <c r="C2130" s="20" t="s">
        <v>20</v>
      </c>
      <c r="D2130" s="20" t="s">
        <v>32</v>
      </c>
      <c r="E2130" s="21" t="s">
        <v>8285</v>
      </c>
      <c r="F2130" s="21" t="s">
        <v>8286</v>
      </c>
      <c r="G2130" s="20" t="s">
        <v>35</v>
      </c>
      <c r="H2130" s="20" t="s">
        <v>25</v>
      </c>
      <c r="I2130" s="21" t="s">
        <v>8287</v>
      </c>
      <c r="J2130" s="22">
        <f t="shared" si="165"/>
        <v>0.228472222224809</v>
      </c>
      <c r="K2130" s="22">
        <f t="shared" si="166"/>
        <v>5.48333333339542</v>
      </c>
      <c r="L2130" s="22">
        <f t="shared" si="167"/>
        <v>5.48333333339542</v>
      </c>
      <c r="M2130" s="22" cm="1">
        <f ca="1" t="array" ref="M2130">SUMPRODUCT(--(WEEKDAY(ROW(INDIRECT(INT(F2130)&amp;":"&amp;INT(I2130))),2)&gt;5))</f>
        <v>0</v>
      </c>
      <c r="N2130" s="22">
        <f ca="1" t="shared" si="168"/>
        <v>5.48333333339542</v>
      </c>
      <c r="O2130" s="22" t="str">
        <f ca="1" t="shared" si="169"/>
        <v>Within SLA</v>
      </c>
      <c r="P2130" s="26" t="s">
        <v>8284</v>
      </c>
      <c r="Q2130" s="24" t="s">
        <v>37</v>
      </c>
      <c r="R2130" s="25"/>
      <c r="S2130" s="25"/>
    </row>
    <row r="2131" ht="39" customHeight="1" spans="1:19">
      <c r="A2131" s="19" t="s">
        <v>8288</v>
      </c>
      <c r="B2131" s="20" t="s">
        <v>19</v>
      </c>
      <c r="C2131" s="20" t="s">
        <v>20</v>
      </c>
      <c r="D2131" s="20" t="s">
        <v>32</v>
      </c>
      <c r="E2131" s="21" t="s">
        <v>8289</v>
      </c>
      <c r="F2131" s="21" t="s">
        <v>8290</v>
      </c>
      <c r="G2131" s="20" t="s">
        <v>35</v>
      </c>
      <c r="H2131" s="20" t="s">
        <v>25</v>
      </c>
      <c r="I2131" s="21" t="s">
        <v>8287</v>
      </c>
      <c r="J2131" s="22">
        <f t="shared" si="165"/>
        <v>1.1472222222219</v>
      </c>
      <c r="K2131" s="22">
        <f t="shared" si="166"/>
        <v>27.5333333333256</v>
      </c>
      <c r="L2131" s="22">
        <f t="shared" si="167"/>
        <v>11.5333333333256</v>
      </c>
      <c r="M2131" s="22" cm="1">
        <f ca="1" t="array" ref="M2131">SUMPRODUCT(--(WEEKDAY(ROW(INDIRECT(INT(F2131)&amp;":"&amp;INT(I2131))),2)&gt;5))</f>
        <v>0</v>
      </c>
      <c r="N2131" s="22">
        <f ca="1" t="shared" si="168"/>
        <v>11.5333333333256</v>
      </c>
      <c r="O2131" s="22" t="str">
        <f ca="1" t="shared" si="169"/>
        <v>Within SLA</v>
      </c>
      <c r="P2131" s="26" t="s">
        <v>8288</v>
      </c>
      <c r="Q2131" s="24" t="s">
        <v>37</v>
      </c>
      <c r="R2131" s="25"/>
      <c r="S2131" s="25"/>
    </row>
    <row r="2132" ht="39" customHeight="1" spans="1:19">
      <c r="A2132" s="19" t="s">
        <v>8291</v>
      </c>
      <c r="B2132" s="20" t="s">
        <v>19</v>
      </c>
      <c r="C2132" s="20" t="s">
        <v>20</v>
      </c>
      <c r="D2132" s="20" t="s">
        <v>32</v>
      </c>
      <c r="E2132" s="21" t="s">
        <v>8256</v>
      </c>
      <c r="F2132" s="21" t="s">
        <v>8292</v>
      </c>
      <c r="G2132" s="20" t="s">
        <v>35</v>
      </c>
      <c r="H2132" s="20" t="s">
        <v>25</v>
      </c>
      <c r="I2132" s="21" t="s">
        <v>8293</v>
      </c>
      <c r="J2132" s="22">
        <f t="shared" si="165"/>
        <v>1.14583333332848</v>
      </c>
      <c r="K2132" s="22">
        <f t="shared" si="166"/>
        <v>27.4999999998836</v>
      </c>
      <c r="L2132" s="22">
        <f t="shared" si="167"/>
        <v>11.4999999998836</v>
      </c>
      <c r="M2132" s="22" cm="1">
        <f ca="1" t="array" ref="M2132">SUMPRODUCT(--(WEEKDAY(ROW(INDIRECT(INT(F2132)&amp;":"&amp;INT(I2132))),2)&gt;5))</f>
        <v>0</v>
      </c>
      <c r="N2132" s="22">
        <f ca="1" t="shared" si="168"/>
        <v>11.4999999998836</v>
      </c>
      <c r="O2132" s="22" t="str">
        <f ca="1" t="shared" si="169"/>
        <v>Within SLA</v>
      </c>
      <c r="P2132" s="26" t="s">
        <v>8291</v>
      </c>
      <c r="Q2132" s="24" t="s">
        <v>37</v>
      </c>
      <c r="R2132" s="25"/>
      <c r="S2132" s="25"/>
    </row>
    <row r="2133" ht="27" customHeight="1" spans="1:19">
      <c r="A2133" s="19" t="s">
        <v>8294</v>
      </c>
      <c r="B2133" s="20" t="s">
        <v>30</v>
      </c>
      <c r="C2133" s="20" t="s">
        <v>4889</v>
      </c>
      <c r="D2133" s="20" t="s">
        <v>32</v>
      </c>
      <c r="E2133" s="21" t="s">
        <v>8256</v>
      </c>
      <c r="F2133" s="21" t="s">
        <v>8295</v>
      </c>
      <c r="G2133" s="20" t="s">
        <v>35</v>
      </c>
      <c r="H2133" s="20" t="s">
        <v>25</v>
      </c>
      <c r="I2133" s="21" t="s">
        <v>8296</v>
      </c>
      <c r="J2133" s="22">
        <f t="shared" si="165"/>
        <v>0.963888888887595</v>
      </c>
      <c r="K2133" s="22">
        <f t="shared" si="166"/>
        <v>23.1333333333023</v>
      </c>
      <c r="L2133" s="22">
        <f t="shared" si="167"/>
        <v>7.13333333330229</v>
      </c>
      <c r="M2133" s="22" cm="1">
        <f ca="1" t="array" ref="M2133">SUMPRODUCT(--(WEEKDAY(ROW(INDIRECT(INT(F2133)&amp;":"&amp;INT(I2133))),2)&gt;5))</f>
        <v>0</v>
      </c>
      <c r="N2133" s="22">
        <f ca="1" t="shared" si="168"/>
        <v>7.13333333330229</v>
      </c>
      <c r="O2133" s="22" t="str">
        <f ca="1" t="shared" si="169"/>
        <v>Within SLA</v>
      </c>
      <c r="P2133" s="26" t="s">
        <v>8294</v>
      </c>
      <c r="Q2133" s="24" t="s">
        <v>37</v>
      </c>
      <c r="R2133" s="25"/>
      <c r="S2133" s="25"/>
    </row>
    <row r="2134" ht="27" customHeight="1" spans="1:19">
      <c r="A2134" s="19" t="s">
        <v>8297</v>
      </c>
      <c r="B2134" s="20" t="s">
        <v>30</v>
      </c>
      <c r="C2134" s="20" t="s">
        <v>4889</v>
      </c>
      <c r="D2134" s="20" t="s">
        <v>32</v>
      </c>
      <c r="E2134" s="21" t="s">
        <v>8256</v>
      </c>
      <c r="F2134" s="21" t="s">
        <v>8298</v>
      </c>
      <c r="G2134" s="20" t="s">
        <v>35</v>
      </c>
      <c r="H2134" s="20" t="s">
        <v>25</v>
      </c>
      <c r="I2134" s="21" t="s">
        <v>8299</v>
      </c>
      <c r="J2134" s="22">
        <f t="shared" si="165"/>
        <v>0.961805555554747</v>
      </c>
      <c r="K2134" s="22">
        <f t="shared" si="166"/>
        <v>23.0833333333139</v>
      </c>
      <c r="L2134" s="22">
        <f t="shared" si="167"/>
        <v>7.08333333331393</v>
      </c>
      <c r="M2134" s="22" cm="1">
        <f ca="1" t="array" ref="M2134">SUMPRODUCT(--(WEEKDAY(ROW(INDIRECT(INT(F2134)&amp;":"&amp;INT(I2134))),2)&gt;5))</f>
        <v>0</v>
      </c>
      <c r="N2134" s="22">
        <f ca="1" t="shared" si="168"/>
        <v>7.08333333331393</v>
      </c>
      <c r="O2134" s="22" t="str">
        <f ca="1" t="shared" si="169"/>
        <v>Within SLA</v>
      </c>
      <c r="P2134" s="26" t="s">
        <v>8297</v>
      </c>
      <c r="Q2134" s="24" t="s">
        <v>37</v>
      </c>
      <c r="R2134" s="25"/>
      <c r="S2134" s="25"/>
    </row>
    <row r="2135" ht="27" customHeight="1" spans="1:19">
      <c r="A2135" s="19" t="s">
        <v>8300</v>
      </c>
      <c r="B2135" s="20" t="s">
        <v>30</v>
      </c>
      <c r="C2135" s="20" t="s">
        <v>4889</v>
      </c>
      <c r="D2135" s="20" t="s">
        <v>32</v>
      </c>
      <c r="E2135" s="21" t="s">
        <v>8283</v>
      </c>
      <c r="F2135" s="21" t="s">
        <v>8301</v>
      </c>
      <c r="G2135" s="20" t="s">
        <v>35</v>
      </c>
      <c r="H2135" s="20" t="s">
        <v>25</v>
      </c>
      <c r="I2135" s="21" t="s">
        <v>8302</v>
      </c>
      <c r="J2135" s="22">
        <f t="shared" si="165"/>
        <v>0.95138888888323</v>
      </c>
      <c r="K2135" s="22">
        <f t="shared" si="166"/>
        <v>22.8333333331975</v>
      </c>
      <c r="L2135" s="22">
        <f t="shared" si="167"/>
        <v>6.83333333319752</v>
      </c>
      <c r="M2135" s="22" cm="1">
        <f ca="1" t="array" ref="M2135">SUMPRODUCT(--(WEEKDAY(ROW(INDIRECT(INT(F2135)&amp;":"&amp;INT(I2135))),2)&gt;5))</f>
        <v>0</v>
      </c>
      <c r="N2135" s="22">
        <f ca="1" t="shared" si="168"/>
        <v>6.83333333319752</v>
      </c>
      <c r="O2135" s="22" t="str">
        <f ca="1" t="shared" si="169"/>
        <v>Within SLA</v>
      </c>
      <c r="P2135" s="26" t="s">
        <v>8300</v>
      </c>
      <c r="Q2135" s="24" t="s">
        <v>37</v>
      </c>
      <c r="R2135" s="25"/>
      <c r="S2135" s="25"/>
    </row>
    <row r="2136" ht="39" customHeight="1" spans="1:19">
      <c r="A2136" s="19" t="s">
        <v>8303</v>
      </c>
      <c r="B2136" s="20" t="s">
        <v>19</v>
      </c>
      <c r="C2136" s="20" t="s">
        <v>20</v>
      </c>
      <c r="D2136" s="20" t="s">
        <v>32</v>
      </c>
      <c r="E2136" s="21" t="s">
        <v>8283</v>
      </c>
      <c r="F2136" s="21" t="s">
        <v>8304</v>
      </c>
      <c r="G2136" s="20" t="s">
        <v>35</v>
      </c>
      <c r="H2136" s="20" t="s">
        <v>25</v>
      </c>
      <c r="I2136" s="21" t="s">
        <v>8305</v>
      </c>
      <c r="J2136" s="22">
        <f t="shared" si="165"/>
        <v>1.14097222222335</v>
      </c>
      <c r="K2136" s="22">
        <f t="shared" si="166"/>
        <v>27.3833333333605</v>
      </c>
      <c r="L2136" s="22">
        <f t="shared" si="167"/>
        <v>11.3833333333605</v>
      </c>
      <c r="M2136" s="22" cm="1">
        <f ca="1" t="array" ref="M2136">SUMPRODUCT(--(WEEKDAY(ROW(INDIRECT(INT(F2136)&amp;":"&amp;INT(I2136))),2)&gt;5))</f>
        <v>0</v>
      </c>
      <c r="N2136" s="22">
        <f ca="1" t="shared" si="168"/>
        <v>11.3833333333605</v>
      </c>
      <c r="O2136" s="22" t="str">
        <f ca="1" t="shared" si="169"/>
        <v>Within SLA</v>
      </c>
      <c r="P2136" s="26" t="s">
        <v>8303</v>
      </c>
      <c r="Q2136" s="24" t="s">
        <v>37</v>
      </c>
      <c r="R2136" s="25"/>
      <c r="S2136" s="25"/>
    </row>
    <row r="2137" ht="27" customHeight="1" spans="1:19">
      <c r="A2137" s="19" t="s">
        <v>8306</v>
      </c>
      <c r="B2137" s="20" t="s">
        <v>139</v>
      </c>
      <c r="C2137" s="20" t="s">
        <v>2057</v>
      </c>
      <c r="D2137" s="20" t="s">
        <v>32</v>
      </c>
      <c r="E2137" s="21" t="s">
        <v>8302</v>
      </c>
      <c r="F2137" s="21" t="s">
        <v>8307</v>
      </c>
      <c r="G2137" s="20" t="s">
        <v>35</v>
      </c>
      <c r="H2137" s="20" t="s">
        <v>25</v>
      </c>
      <c r="I2137" s="21" t="s">
        <v>8308</v>
      </c>
      <c r="J2137" s="22">
        <f t="shared" si="165"/>
        <v>4.16458333333139</v>
      </c>
      <c r="K2137" s="22">
        <f t="shared" si="166"/>
        <v>99.9499999999534</v>
      </c>
      <c r="L2137" s="22">
        <f t="shared" si="167"/>
        <v>35.9499999999534</v>
      </c>
      <c r="M2137" s="22" cm="1">
        <f ca="1" t="array" ref="M2137">SUMPRODUCT(--(WEEKDAY(ROW(INDIRECT(INT(F2137)&amp;":"&amp;INT(I2137))),2)&gt;5))</f>
        <v>0</v>
      </c>
      <c r="N2137" s="22">
        <f ca="1" t="shared" si="168"/>
        <v>35.9499999999534</v>
      </c>
      <c r="O2137" s="22" t="str">
        <f ca="1" t="shared" si="169"/>
        <v>SLA Violated</v>
      </c>
      <c r="P2137" s="23" t="s">
        <v>8309</v>
      </c>
      <c r="Q2137" s="24" t="s">
        <v>28</v>
      </c>
      <c r="R2137" s="25"/>
      <c r="S2137" s="25"/>
    </row>
    <row r="2138" ht="39" customHeight="1" spans="1:19">
      <c r="A2138" s="19" t="s">
        <v>8310</v>
      </c>
      <c r="B2138" s="20" t="s">
        <v>19</v>
      </c>
      <c r="C2138" s="20" t="s">
        <v>20</v>
      </c>
      <c r="D2138" s="20" t="s">
        <v>32</v>
      </c>
      <c r="E2138" s="21" t="s">
        <v>8302</v>
      </c>
      <c r="F2138" s="21" t="s">
        <v>8292</v>
      </c>
      <c r="G2138" s="20" t="s">
        <v>35</v>
      </c>
      <c r="H2138" s="20" t="s">
        <v>25</v>
      </c>
      <c r="I2138" s="21" t="s">
        <v>8311</v>
      </c>
      <c r="J2138" s="22">
        <f t="shared" si="165"/>
        <v>1.14166666666279</v>
      </c>
      <c r="K2138" s="22">
        <f t="shared" si="166"/>
        <v>27.3999999999069</v>
      </c>
      <c r="L2138" s="22">
        <f t="shared" si="167"/>
        <v>11.3999999999069</v>
      </c>
      <c r="M2138" s="22" cm="1">
        <f ca="1" t="array" ref="M2138">SUMPRODUCT(--(WEEKDAY(ROW(INDIRECT(INT(F2138)&amp;":"&amp;INT(I2138))),2)&gt;5))</f>
        <v>0</v>
      </c>
      <c r="N2138" s="22">
        <f ca="1" t="shared" si="168"/>
        <v>11.3999999999069</v>
      </c>
      <c r="O2138" s="22" t="str">
        <f ca="1" t="shared" si="169"/>
        <v>Within SLA</v>
      </c>
      <c r="P2138" s="26" t="s">
        <v>8310</v>
      </c>
      <c r="Q2138" s="24" t="s">
        <v>37</v>
      </c>
      <c r="R2138" s="25"/>
      <c r="S2138" s="25"/>
    </row>
    <row r="2139" ht="39" customHeight="1" spans="1:19">
      <c r="A2139" s="19" t="s">
        <v>8312</v>
      </c>
      <c r="B2139" s="20" t="s">
        <v>19</v>
      </c>
      <c r="C2139" s="20" t="s">
        <v>20</v>
      </c>
      <c r="D2139" s="20" t="s">
        <v>32</v>
      </c>
      <c r="E2139" s="21" t="s">
        <v>8313</v>
      </c>
      <c r="F2139" s="21" t="s">
        <v>8314</v>
      </c>
      <c r="G2139" s="20" t="s">
        <v>35</v>
      </c>
      <c r="H2139" s="20" t="s">
        <v>25</v>
      </c>
      <c r="I2139" s="21" t="s">
        <v>8315</v>
      </c>
      <c r="J2139" s="22">
        <f t="shared" si="165"/>
        <v>2.02083333333576</v>
      </c>
      <c r="K2139" s="22">
        <f t="shared" si="166"/>
        <v>48.5000000000582</v>
      </c>
      <c r="L2139" s="22">
        <f t="shared" si="167"/>
        <v>16.5000000000582</v>
      </c>
      <c r="M2139" s="22" cm="1">
        <f ca="1" t="array" ref="M2139">SUMPRODUCT(--(WEEKDAY(ROW(INDIRECT(INT(F2139)&amp;":"&amp;INT(I2139))),2)&gt;5))</f>
        <v>0</v>
      </c>
      <c r="N2139" s="22">
        <f ca="1" t="shared" si="168"/>
        <v>16.5000000000582</v>
      </c>
      <c r="O2139" s="22" t="str">
        <f ca="1" t="shared" si="169"/>
        <v>SLA Violated</v>
      </c>
      <c r="P2139" s="23" t="s">
        <v>8316</v>
      </c>
      <c r="Q2139" s="24" t="s">
        <v>28</v>
      </c>
      <c r="R2139" s="25"/>
      <c r="S2139" s="25"/>
    </row>
    <row r="2140" ht="27" customHeight="1" spans="1:19">
      <c r="A2140" s="19" t="s">
        <v>8317</v>
      </c>
      <c r="B2140" s="20" t="s">
        <v>30</v>
      </c>
      <c r="C2140" s="20" t="s">
        <v>4889</v>
      </c>
      <c r="D2140" s="20" t="s">
        <v>32</v>
      </c>
      <c r="E2140" s="21" t="s">
        <v>8318</v>
      </c>
      <c r="F2140" s="21" t="s">
        <v>8319</v>
      </c>
      <c r="G2140" s="20" t="s">
        <v>35</v>
      </c>
      <c r="H2140" s="20" t="s">
        <v>25</v>
      </c>
      <c r="I2140" s="21" t="s">
        <v>8320</v>
      </c>
      <c r="J2140" s="22">
        <f t="shared" si="165"/>
        <v>0.889583333329938</v>
      </c>
      <c r="K2140" s="22">
        <f t="shared" si="166"/>
        <v>21.3499999999185</v>
      </c>
      <c r="L2140" s="22">
        <f t="shared" si="167"/>
        <v>5.34999999991851</v>
      </c>
      <c r="M2140" s="22" cm="1">
        <f ca="1" t="array" ref="M2140">SUMPRODUCT(--(WEEKDAY(ROW(INDIRECT(INT(F2140)&amp;":"&amp;INT(I2140))),2)&gt;5))</f>
        <v>0</v>
      </c>
      <c r="N2140" s="22">
        <f ca="1" t="shared" si="168"/>
        <v>5.34999999991851</v>
      </c>
      <c r="O2140" s="22" t="str">
        <f ca="1" t="shared" si="169"/>
        <v>Within SLA</v>
      </c>
      <c r="P2140" s="26" t="s">
        <v>8317</v>
      </c>
      <c r="Q2140" s="24" t="s">
        <v>37</v>
      </c>
      <c r="R2140" s="25"/>
      <c r="S2140" s="25"/>
    </row>
    <row r="2141" ht="39" customHeight="1" spans="1:19">
      <c r="A2141" s="19" t="s">
        <v>8321</v>
      </c>
      <c r="B2141" s="20" t="s">
        <v>19</v>
      </c>
      <c r="C2141" s="20" t="s">
        <v>20</v>
      </c>
      <c r="D2141" s="20" t="s">
        <v>32</v>
      </c>
      <c r="E2141" s="21" t="s">
        <v>8322</v>
      </c>
      <c r="F2141" s="21" t="s">
        <v>8323</v>
      </c>
      <c r="G2141" s="20" t="s">
        <v>35</v>
      </c>
      <c r="H2141" s="20" t="s">
        <v>25</v>
      </c>
      <c r="I2141" s="21" t="s">
        <v>8324</v>
      </c>
      <c r="J2141" s="22">
        <f t="shared" si="165"/>
        <v>0.831944444442343</v>
      </c>
      <c r="K2141" s="22">
        <f t="shared" si="166"/>
        <v>19.9666666666162</v>
      </c>
      <c r="L2141" s="22">
        <f t="shared" si="167"/>
        <v>3.96666666661622</v>
      </c>
      <c r="M2141" s="22" cm="1">
        <f ca="1" t="array" ref="M2141">SUMPRODUCT(--(WEEKDAY(ROW(INDIRECT(INT(F2141)&amp;":"&amp;INT(I2141))),2)&gt;5))</f>
        <v>0</v>
      </c>
      <c r="N2141" s="22">
        <f ca="1" t="shared" si="168"/>
        <v>3.96666666661622</v>
      </c>
      <c r="O2141" s="22" t="str">
        <f ca="1" t="shared" si="169"/>
        <v>Within SLA</v>
      </c>
      <c r="P2141" s="26" t="s">
        <v>8321</v>
      </c>
      <c r="Q2141" s="24" t="s">
        <v>37</v>
      </c>
      <c r="R2141" s="25"/>
      <c r="S2141" s="25"/>
    </row>
    <row r="2142" ht="39" customHeight="1" spans="1:19">
      <c r="A2142" s="19" t="s">
        <v>8325</v>
      </c>
      <c r="B2142" s="20" t="s">
        <v>19</v>
      </c>
      <c r="C2142" s="20" t="s">
        <v>20</v>
      </c>
      <c r="D2142" s="20" t="s">
        <v>32</v>
      </c>
      <c r="E2142" s="21" t="s">
        <v>8322</v>
      </c>
      <c r="F2142" s="21" t="s">
        <v>8326</v>
      </c>
      <c r="G2142" s="20" t="s">
        <v>35</v>
      </c>
      <c r="H2142" s="20" t="s">
        <v>25</v>
      </c>
      <c r="I2142" s="21" t="s">
        <v>8327</v>
      </c>
      <c r="J2142" s="22">
        <f t="shared" si="165"/>
        <v>-0.0250000000014552</v>
      </c>
      <c r="K2142" s="22">
        <f t="shared" si="166"/>
        <v>-0.600000000034925</v>
      </c>
      <c r="L2142" s="22">
        <f t="shared" si="167"/>
        <v>-0.600000000034925</v>
      </c>
      <c r="M2142" s="22" cm="1">
        <f ca="1" t="array" ref="M2142">SUMPRODUCT(--(WEEKDAY(ROW(INDIRECT(INT(F2142)&amp;":"&amp;INT(I2142))),2)&gt;5))</f>
        <v>0</v>
      </c>
      <c r="N2142" s="22">
        <f ca="1" t="shared" si="168"/>
        <v>0</v>
      </c>
      <c r="O2142" s="22" t="str">
        <f ca="1" t="shared" si="169"/>
        <v>Within SLA</v>
      </c>
      <c r="P2142" s="26" t="s">
        <v>8325</v>
      </c>
      <c r="Q2142" s="24" t="s">
        <v>37</v>
      </c>
      <c r="R2142" s="25"/>
      <c r="S2142" s="25"/>
    </row>
    <row r="2143" ht="39" customHeight="1" spans="1:19">
      <c r="A2143" s="19" t="s">
        <v>8328</v>
      </c>
      <c r="B2143" s="20" t="s">
        <v>19</v>
      </c>
      <c r="C2143" s="20" t="s">
        <v>20</v>
      </c>
      <c r="D2143" s="20" t="s">
        <v>32</v>
      </c>
      <c r="E2143" s="21" t="s">
        <v>8329</v>
      </c>
      <c r="F2143" s="21" t="s">
        <v>8330</v>
      </c>
      <c r="G2143" s="20" t="s">
        <v>35</v>
      </c>
      <c r="H2143" s="20" t="s">
        <v>25</v>
      </c>
      <c r="I2143" s="21" t="s">
        <v>8331</v>
      </c>
      <c r="J2143" s="22">
        <f t="shared" si="165"/>
        <v>0.0291666666671517</v>
      </c>
      <c r="K2143" s="22">
        <f t="shared" si="166"/>
        <v>0.700000000011642</v>
      </c>
      <c r="L2143" s="22">
        <f t="shared" si="167"/>
        <v>0.700000000011642</v>
      </c>
      <c r="M2143" s="22" cm="1">
        <f ca="1" t="array" ref="M2143">SUMPRODUCT(--(WEEKDAY(ROW(INDIRECT(INT(F2143)&amp;":"&amp;INT(I2143))),2)&gt;5))</f>
        <v>0</v>
      </c>
      <c r="N2143" s="22">
        <f ca="1" t="shared" si="168"/>
        <v>0.700000000011642</v>
      </c>
      <c r="O2143" s="22" t="str">
        <f ca="1" t="shared" si="169"/>
        <v>Within SLA</v>
      </c>
      <c r="P2143" s="26" t="s">
        <v>8328</v>
      </c>
      <c r="Q2143" s="24" t="s">
        <v>37</v>
      </c>
      <c r="R2143" s="25"/>
      <c r="S2143" s="25"/>
    </row>
    <row r="2144" ht="39" customHeight="1" spans="1:19">
      <c r="A2144" s="19" t="s">
        <v>8332</v>
      </c>
      <c r="B2144" s="20" t="s">
        <v>19</v>
      </c>
      <c r="C2144" s="20" t="s">
        <v>20</v>
      </c>
      <c r="D2144" s="20" t="s">
        <v>32</v>
      </c>
      <c r="E2144" s="21" t="s">
        <v>8329</v>
      </c>
      <c r="F2144" s="21" t="s">
        <v>8333</v>
      </c>
      <c r="G2144" s="20" t="s">
        <v>35</v>
      </c>
      <c r="H2144" s="20" t="s">
        <v>25</v>
      </c>
      <c r="I2144" s="21" t="s">
        <v>8334</v>
      </c>
      <c r="J2144" s="22">
        <f t="shared" si="165"/>
        <v>0.147916666668607</v>
      </c>
      <c r="K2144" s="22">
        <f t="shared" si="166"/>
        <v>3.55000000004657</v>
      </c>
      <c r="L2144" s="22">
        <f t="shared" si="167"/>
        <v>3.55000000004657</v>
      </c>
      <c r="M2144" s="22" cm="1">
        <f ca="1" t="array" ref="M2144">SUMPRODUCT(--(WEEKDAY(ROW(INDIRECT(INT(F2144)&amp;":"&amp;INT(I2144))),2)&gt;5))</f>
        <v>0</v>
      </c>
      <c r="N2144" s="22">
        <f ca="1" t="shared" si="168"/>
        <v>3.55000000004657</v>
      </c>
      <c r="O2144" s="22" t="str">
        <f ca="1" t="shared" si="169"/>
        <v>Within SLA</v>
      </c>
      <c r="P2144" s="26" t="s">
        <v>8332</v>
      </c>
      <c r="Q2144" s="24" t="s">
        <v>37</v>
      </c>
      <c r="R2144" s="25"/>
      <c r="S2144" s="25"/>
    </row>
    <row r="2145" ht="39" customHeight="1" spans="1:19">
      <c r="A2145" s="19" t="s">
        <v>8335</v>
      </c>
      <c r="B2145" s="20" t="s">
        <v>196</v>
      </c>
      <c r="C2145" s="20" t="s">
        <v>2057</v>
      </c>
      <c r="D2145" s="20" t="s">
        <v>115</v>
      </c>
      <c r="E2145" s="21" t="s">
        <v>8336</v>
      </c>
      <c r="F2145" s="21" t="s">
        <v>8337</v>
      </c>
      <c r="G2145" s="20" t="s">
        <v>35</v>
      </c>
      <c r="H2145" s="20" t="s">
        <v>25</v>
      </c>
      <c r="I2145" s="21" t="s">
        <v>8338</v>
      </c>
      <c r="J2145" s="22">
        <f t="shared" si="165"/>
        <v>12.8868055555577</v>
      </c>
      <c r="K2145" s="22">
        <f t="shared" si="166"/>
        <v>309.283333333384</v>
      </c>
      <c r="L2145" s="22">
        <f t="shared" si="167"/>
        <v>101.283333333384</v>
      </c>
      <c r="M2145" s="22" cm="1">
        <f ca="1" t="array" ref="M2145">SUMPRODUCT(--(WEEKDAY(ROW(INDIRECT(INT(F2145)&amp;":"&amp;INT(I2145))),2)&gt;5))</f>
        <v>4</v>
      </c>
      <c r="N2145" s="22">
        <f ca="1" t="shared" si="168"/>
        <v>69.283333333384</v>
      </c>
      <c r="O2145" s="22" t="str">
        <f ca="1" t="shared" si="169"/>
        <v>SLA Violated</v>
      </c>
      <c r="P2145" s="23" t="s">
        <v>8339</v>
      </c>
      <c r="Q2145" s="24" t="s">
        <v>28</v>
      </c>
      <c r="R2145" s="25"/>
      <c r="S2145" s="25"/>
    </row>
    <row r="2146" ht="50" customHeight="1" spans="1:19">
      <c r="A2146" s="19" t="s">
        <v>8340</v>
      </c>
      <c r="B2146" s="20" t="s">
        <v>369</v>
      </c>
      <c r="C2146" s="20" t="s">
        <v>46</v>
      </c>
      <c r="D2146" s="20" t="s">
        <v>32</v>
      </c>
      <c r="E2146" s="21" t="s">
        <v>8083</v>
      </c>
      <c r="F2146" s="21" t="s">
        <v>8341</v>
      </c>
      <c r="G2146" s="20" t="s">
        <v>35</v>
      </c>
      <c r="H2146" s="20" t="s">
        <v>25</v>
      </c>
      <c r="I2146" s="21" t="s">
        <v>8342</v>
      </c>
      <c r="J2146" s="22">
        <f t="shared" si="165"/>
        <v>0.0361111111051287</v>
      </c>
      <c r="K2146" s="22">
        <f t="shared" si="166"/>
        <v>0.866666666523088</v>
      </c>
      <c r="L2146" s="22">
        <f t="shared" si="167"/>
        <v>0.866666666523088</v>
      </c>
      <c r="M2146" s="22" cm="1">
        <f ca="1" t="array" ref="M2146">SUMPRODUCT(--(WEEKDAY(ROW(INDIRECT(INT(F2146)&amp;":"&amp;INT(I2146))),2)&gt;5))</f>
        <v>0</v>
      </c>
      <c r="N2146" s="22">
        <f ca="1" t="shared" si="168"/>
        <v>0.866666666523088</v>
      </c>
      <c r="O2146" s="22" t="str">
        <f ca="1" t="shared" si="169"/>
        <v>Within SLA</v>
      </c>
      <c r="P2146" s="26" t="s">
        <v>8340</v>
      </c>
      <c r="Q2146" s="24" t="s">
        <v>37</v>
      </c>
      <c r="R2146" s="25"/>
      <c r="S2146" s="25"/>
    </row>
    <row r="2147" ht="50" customHeight="1" spans="1:19">
      <c r="A2147" s="28" t="s">
        <v>8343</v>
      </c>
      <c r="B2147" s="20" t="s">
        <v>369</v>
      </c>
      <c r="C2147" s="20" t="s">
        <v>46</v>
      </c>
      <c r="D2147" s="20" t="s">
        <v>32</v>
      </c>
      <c r="E2147" s="21" t="s">
        <v>8083</v>
      </c>
      <c r="F2147" s="21" t="s">
        <v>8344</v>
      </c>
      <c r="G2147" s="20" t="s">
        <v>35</v>
      </c>
      <c r="H2147" s="20" t="s">
        <v>25</v>
      </c>
      <c r="I2147" s="21" t="s">
        <v>8345</v>
      </c>
      <c r="J2147" s="22">
        <f t="shared" si="165"/>
        <v>7.98124999999709</v>
      </c>
      <c r="K2147" s="22">
        <f t="shared" si="166"/>
        <v>191.54999999993</v>
      </c>
      <c r="L2147" s="22">
        <f t="shared" si="167"/>
        <v>63.5499999999302</v>
      </c>
      <c r="M2147" s="22" cm="1">
        <f ca="1" t="array" ref="M2147">SUMPRODUCT(--(WEEKDAY(ROW(INDIRECT(INT(F2147)&amp;":"&amp;INT(I2147))),2)&gt;5))</f>
        <v>2</v>
      </c>
      <c r="N2147" s="22">
        <f ca="1" t="shared" si="168"/>
        <v>47.5499999999302</v>
      </c>
      <c r="O2147" s="22" t="str">
        <f ca="1" t="shared" si="169"/>
        <v>SLA Violated</v>
      </c>
      <c r="P2147" s="23" t="s">
        <v>8343</v>
      </c>
      <c r="Q2147" s="24" t="s">
        <v>28</v>
      </c>
      <c r="R2147" s="25"/>
      <c r="S2147" s="25"/>
    </row>
    <row r="2148" ht="27" customHeight="1" spans="1:19">
      <c r="A2148" s="19" t="s">
        <v>8346</v>
      </c>
      <c r="B2148" s="20" t="s">
        <v>30</v>
      </c>
      <c r="C2148" s="20" t="s">
        <v>31</v>
      </c>
      <c r="D2148" s="20" t="s">
        <v>32</v>
      </c>
      <c r="E2148" s="21" t="s">
        <v>8347</v>
      </c>
      <c r="F2148" s="21" t="s">
        <v>8348</v>
      </c>
      <c r="G2148" s="20" t="s">
        <v>35</v>
      </c>
      <c r="H2148" s="20" t="s">
        <v>25</v>
      </c>
      <c r="I2148" s="21" t="s">
        <v>8349</v>
      </c>
      <c r="J2148" s="22">
        <f t="shared" si="165"/>
        <v>8.95833333332848</v>
      </c>
      <c r="K2148" s="22">
        <f t="shared" si="166"/>
        <v>214.999999999884</v>
      </c>
      <c r="L2148" s="22">
        <f t="shared" si="167"/>
        <v>70.9999999998836</v>
      </c>
      <c r="M2148" s="22" cm="1">
        <f ca="1" t="array" ref="M2148">SUMPRODUCT(--(WEEKDAY(ROW(INDIRECT(INT(F2148)&amp;":"&amp;INT(I2148))),2)&gt;5))</f>
        <v>2</v>
      </c>
      <c r="N2148" s="22">
        <f ca="1" t="shared" si="168"/>
        <v>54.9999999998836</v>
      </c>
      <c r="O2148" s="22" t="str">
        <f ca="1" t="shared" si="169"/>
        <v>SLA Violated</v>
      </c>
      <c r="P2148" s="26" t="s">
        <v>8346</v>
      </c>
      <c r="Q2148" s="24" t="s">
        <v>28</v>
      </c>
      <c r="R2148" s="25"/>
      <c r="S2148" s="25"/>
    </row>
    <row r="2149" ht="27" customHeight="1" spans="1:19">
      <c r="A2149" s="19" t="s">
        <v>8350</v>
      </c>
      <c r="B2149" s="20" t="s">
        <v>30</v>
      </c>
      <c r="C2149" s="20" t="s">
        <v>31</v>
      </c>
      <c r="D2149" s="20" t="s">
        <v>32</v>
      </c>
      <c r="E2149" s="21" t="s">
        <v>8112</v>
      </c>
      <c r="F2149" s="21" t="s">
        <v>8351</v>
      </c>
      <c r="G2149" s="20" t="s">
        <v>35</v>
      </c>
      <c r="H2149" s="20" t="s">
        <v>25</v>
      </c>
      <c r="I2149" s="21" t="s">
        <v>8352</v>
      </c>
      <c r="J2149" s="22">
        <f t="shared" si="165"/>
        <v>7.0756944444438</v>
      </c>
      <c r="K2149" s="22">
        <f t="shared" si="166"/>
        <v>169.816666666651</v>
      </c>
      <c r="L2149" s="22">
        <f t="shared" si="167"/>
        <v>57.8166666666511</v>
      </c>
      <c r="M2149" s="22" cm="1">
        <f ca="1" t="array" ref="M2149">SUMPRODUCT(--(WEEKDAY(ROW(INDIRECT(INT(F2149)&amp;":"&amp;INT(I2149))),2)&gt;5))</f>
        <v>2</v>
      </c>
      <c r="N2149" s="22">
        <f ca="1" t="shared" si="168"/>
        <v>41.8166666666511</v>
      </c>
      <c r="O2149" s="22" t="str">
        <f ca="1" t="shared" si="169"/>
        <v>SLA Violated</v>
      </c>
      <c r="P2149" s="26" t="s">
        <v>8350</v>
      </c>
      <c r="Q2149" s="24" t="s">
        <v>28</v>
      </c>
      <c r="R2149" s="25"/>
      <c r="S2149" s="25"/>
    </row>
    <row r="2150" ht="39" customHeight="1" spans="1:19">
      <c r="A2150" s="19" t="s">
        <v>8353</v>
      </c>
      <c r="B2150" s="20" t="s">
        <v>19</v>
      </c>
      <c r="C2150" s="20" t="s">
        <v>20</v>
      </c>
      <c r="D2150" s="20" t="s">
        <v>32</v>
      </c>
      <c r="E2150" s="21" t="s">
        <v>8354</v>
      </c>
      <c r="F2150" s="21" t="s">
        <v>8355</v>
      </c>
      <c r="G2150" s="20" t="s">
        <v>35</v>
      </c>
      <c r="H2150" s="20" t="s">
        <v>25</v>
      </c>
      <c r="I2150" s="21" t="s">
        <v>8356</v>
      </c>
      <c r="J2150" s="22">
        <f t="shared" si="165"/>
        <v>2.78819444444525</v>
      </c>
      <c r="K2150" s="22">
        <f t="shared" si="166"/>
        <v>66.9166666666861</v>
      </c>
      <c r="L2150" s="22">
        <f t="shared" si="167"/>
        <v>18.9166666666861</v>
      </c>
      <c r="M2150" s="22" cm="1">
        <f ca="1" t="array" ref="M2150">SUMPRODUCT(--(WEEKDAY(ROW(INDIRECT(INT(F2150)&amp;":"&amp;INT(I2150))),2)&gt;5))</f>
        <v>0</v>
      </c>
      <c r="N2150" s="22">
        <f ca="1" t="shared" si="168"/>
        <v>18.9166666666861</v>
      </c>
      <c r="O2150" s="22" t="str">
        <f ca="1" t="shared" si="169"/>
        <v>SLA Violated</v>
      </c>
      <c r="P2150" s="23" t="s">
        <v>8357</v>
      </c>
      <c r="Q2150" s="24" t="s">
        <v>28</v>
      </c>
      <c r="R2150" s="25"/>
      <c r="S2150" s="25"/>
    </row>
    <row r="2151" ht="27" customHeight="1" spans="1:19">
      <c r="A2151" s="19" t="s">
        <v>8358</v>
      </c>
      <c r="B2151" s="20" t="s">
        <v>30</v>
      </c>
      <c r="C2151" s="20" t="s">
        <v>31</v>
      </c>
      <c r="D2151" s="20" t="s">
        <v>32</v>
      </c>
      <c r="E2151" s="21" t="s">
        <v>8359</v>
      </c>
      <c r="F2151" s="21" t="s">
        <v>8360</v>
      </c>
      <c r="G2151" s="20" t="s">
        <v>35</v>
      </c>
      <c r="H2151" s="20" t="s">
        <v>25</v>
      </c>
      <c r="I2151" s="21" t="s">
        <v>8361</v>
      </c>
      <c r="J2151" s="22">
        <f t="shared" si="165"/>
        <v>15.9749999999985</v>
      </c>
      <c r="K2151" s="22">
        <f t="shared" si="166"/>
        <v>383.399999999965</v>
      </c>
      <c r="L2151" s="22">
        <f t="shared" si="167"/>
        <v>127.399999999965</v>
      </c>
      <c r="M2151" s="22" cm="1">
        <f ca="1" t="array" ref="M2151">SUMPRODUCT(--(WEEKDAY(ROW(INDIRECT(INT(F2151)&amp;":"&amp;INT(I2151))),2)&gt;5))</f>
        <v>4</v>
      </c>
      <c r="N2151" s="22">
        <f ca="1" t="shared" si="168"/>
        <v>95.399999999965</v>
      </c>
      <c r="O2151" s="22" t="str">
        <f ca="1" t="shared" si="169"/>
        <v>SLA Violated</v>
      </c>
      <c r="P2151" s="26" t="s">
        <v>8358</v>
      </c>
      <c r="Q2151" s="24" t="s">
        <v>28</v>
      </c>
      <c r="R2151" s="25"/>
      <c r="S2151" s="25"/>
    </row>
    <row r="2152" ht="39" customHeight="1" spans="1:19">
      <c r="A2152" s="28" t="s">
        <v>8362</v>
      </c>
      <c r="B2152" s="20" t="s">
        <v>19</v>
      </c>
      <c r="C2152" s="20" t="s">
        <v>167</v>
      </c>
      <c r="D2152" s="20" t="s">
        <v>32</v>
      </c>
      <c r="E2152" s="21" t="s">
        <v>8363</v>
      </c>
      <c r="F2152" s="21" t="s">
        <v>8364</v>
      </c>
      <c r="G2152" s="20" t="s">
        <v>35</v>
      </c>
      <c r="H2152" s="20" t="s">
        <v>25</v>
      </c>
      <c r="I2152" s="21" t="s">
        <v>8365</v>
      </c>
      <c r="J2152" s="22">
        <f t="shared" si="165"/>
        <v>9.74305555555475</v>
      </c>
      <c r="K2152" s="22">
        <f t="shared" si="166"/>
        <v>233.833333333314</v>
      </c>
      <c r="L2152" s="22">
        <f t="shared" si="167"/>
        <v>73.8333333333139</v>
      </c>
      <c r="M2152" s="22" cm="1">
        <f ca="1" t="array" ref="M2152">SUMPRODUCT(--(WEEKDAY(ROW(INDIRECT(INT(F2152)&amp;":"&amp;INT(I2152))),2)&gt;5))</f>
        <v>2</v>
      </c>
      <c r="N2152" s="22">
        <f ca="1" t="shared" si="168"/>
        <v>57.8333333333139</v>
      </c>
      <c r="O2152" s="22" t="str">
        <f ca="1" t="shared" si="169"/>
        <v>SLA Violated</v>
      </c>
      <c r="P2152" s="23" t="s">
        <v>8362</v>
      </c>
      <c r="Q2152" s="24" t="s">
        <v>37</v>
      </c>
      <c r="R2152" s="25" t="s">
        <v>1297</v>
      </c>
      <c r="S2152" s="25"/>
    </row>
    <row r="2153" ht="27" customHeight="1" spans="1:19">
      <c r="A2153" s="19" t="s">
        <v>8366</v>
      </c>
      <c r="B2153" s="20" t="s">
        <v>30</v>
      </c>
      <c r="C2153" s="20" t="s">
        <v>31</v>
      </c>
      <c r="D2153" s="20" t="s">
        <v>32</v>
      </c>
      <c r="E2153" s="21" t="s">
        <v>8363</v>
      </c>
      <c r="F2153" s="21" t="s">
        <v>8367</v>
      </c>
      <c r="G2153" s="20" t="s">
        <v>35</v>
      </c>
      <c r="H2153" s="20" t="s">
        <v>25</v>
      </c>
      <c r="I2153" s="21" t="s">
        <v>8368</v>
      </c>
      <c r="J2153" s="22">
        <f t="shared" si="165"/>
        <v>10.7222222222263</v>
      </c>
      <c r="K2153" s="22">
        <f t="shared" si="166"/>
        <v>257.33333333343</v>
      </c>
      <c r="L2153" s="22">
        <f t="shared" si="167"/>
        <v>81.3333333334303</v>
      </c>
      <c r="M2153" s="22" cm="1">
        <f ca="1" t="array" ref="M2153">SUMPRODUCT(--(WEEKDAY(ROW(INDIRECT(INT(F2153)&amp;":"&amp;INT(I2153))),2)&gt;5))</f>
        <v>2</v>
      </c>
      <c r="N2153" s="22">
        <f ca="1" t="shared" si="168"/>
        <v>65.3333333334303</v>
      </c>
      <c r="O2153" s="22" t="str">
        <f ca="1" t="shared" si="169"/>
        <v>SLA Violated</v>
      </c>
      <c r="P2153" s="26" t="s">
        <v>8366</v>
      </c>
      <c r="Q2153" s="24" t="s">
        <v>28</v>
      </c>
      <c r="R2153" s="25"/>
      <c r="S2153" s="25"/>
    </row>
    <row r="2154" ht="27" customHeight="1" spans="1:19">
      <c r="A2154" s="19" t="s">
        <v>8369</v>
      </c>
      <c r="B2154" s="20" t="s">
        <v>30</v>
      </c>
      <c r="C2154" s="20" t="s">
        <v>849</v>
      </c>
      <c r="D2154" s="20" t="s">
        <v>32</v>
      </c>
      <c r="E2154" s="21" t="s">
        <v>8370</v>
      </c>
      <c r="F2154" s="21" t="s">
        <v>8371</v>
      </c>
      <c r="G2154" s="20" t="s">
        <v>35</v>
      </c>
      <c r="H2154" s="20" t="s">
        <v>25</v>
      </c>
      <c r="I2154" s="21" t="s">
        <v>8372</v>
      </c>
      <c r="J2154" s="22">
        <f t="shared" si="165"/>
        <v>0.815277777779556</v>
      </c>
      <c r="K2154" s="22">
        <f t="shared" si="166"/>
        <v>19.5666666667094</v>
      </c>
      <c r="L2154" s="22">
        <f t="shared" si="167"/>
        <v>3.56666666670935</v>
      </c>
      <c r="M2154" s="22" cm="1">
        <f ca="1" t="array" ref="M2154">SUMPRODUCT(--(WEEKDAY(ROW(INDIRECT(INT(F2154)&amp;":"&amp;INT(I2154))),2)&gt;5))</f>
        <v>0</v>
      </c>
      <c r="N2154" s="22">
        <f ca="1" t="shared" si="168"/>
        <v>3.56666666670935</v>
      </c>
      <c r="O2154" s="22" t="str">
        <f ca="1" t="shared" si="169"/>
        <v>Within SLA</v>
      </c>
      <c r="P2154" s="26" t="s">
        <v>8369</v>
      </c>
      <c r="Q2154" s="24" t="s">
        <v>37</v>
      </c>
      <c r="R2154" s="25"/>
      <c r="S2154" s="25"/>
    </row>
    <row r="2155" ht="39" customHeight="1" spans="1:19">
      <c r="A2155" s="19" t="s">
        <v>8373</v>
      </c>
      <c r="B2155" s="20" t="s">
        <v>19</v>
      </c>
      <c r="C2155" s="20" t="s">
        <v>20</v>
      </c>
      <c r="D2155" s="20" t="s">
        <v>32</v>
      </c>
      <c r="E2155" s="21" t="s">
        <v>8374</v>
      </c>
      <c r="F2155" s="21" t="s">
        <v>8268</v>
      </c>
      <c r="G2155" s="20" t="s">
        <v>35</v>
      </c>
      <c r="H2155" s="20" t="s">
        <v>25</v>
      </c>
      <c r="I2155" s="21" t="s">
        <v>8375</v>
      </c>
      <c r="J2155" s="22">
        <f t="shared" si="165"/>
        <v>0.0381944444452529</v>
      </c>
      <c r="K2155" s="22">
        <f t="shared" si="166"/>
        <v>0.916666666686069</v>
      </c>
      <c r="L2155" s="22">
        <f t="shared" si="167"/>
        <v>0.916666666686069</v>
      </c>
      <c r="M2155" s="22" cm="1">
        <f ca="1" t="array" ref="M2155">SUMPRODUCT(--(WEEKDAY(ROW(INDIRECT(INT(F2155)&amp;":"&amp;INT(I2155))),2)&gt;5))</f>
        <v>0</v>
      </c>
      <c r="N2155" s="22">
        <f ca="1" t="shared" si="168"/>
        <v>0.916666666686069</v>
      </c>
      <c r="O2155" s="22" t="str">
        <f ca="1" t="shared" si="169"/>
        <v>Within SLA</v>
      </c>
      <c r="P2155" s="26" t="s">
        <v>8373</v>
      </c>
      <c r="Q2155" s="24" t="s">
        <v>37</v>
      </c>
      <c r="R2155" s="25"/>
      <c r="S2155" s="25"/>
    </row>
    <row r="2156" ht="39" customHeight="1" spans="1:19">
      <c r="A2156" s="28" t="s">
        <v>8376</v>
      </c>
      <c r="B2156" s="20" t="s">
        <v>19</v>
      </c>
      <c r="C2156" s="20" t="s">
        <v>46</v>
      </c>
      <c r="D2156" s="20" t="s">
        <v>32</v>
      </c>
      <c r="E2156" s="21" t="s">
        <v>8374</v>
      </c>
      <c r="F2156" s="21" t="s">
        <v>8377</v>
      </c>
      <c r="G2156" s="20" t="s">
        <v>24</v>
      </c>
      <c r="H2156" s="20" t="s">
        <v>25</v>
      </c>
      <c r="I2156" s="21" t="s">
        <v>8378</v>
      </c>
      <c r="J2156" s="22">
        <f t="shared" si="165"/>
        <v>12.0694444444453</v>
      </c>
      <c r="K2156" s="22">
        <f t="shared" si="166"/>
        <v>289.666666666686</v>
      </c>
      <c r="L2156" s="22">
        <f t="shared" si="167"/>
        <v>97.6666666666861</v>
      </c>
      <c r="M2156" s="22" cm="1">
        <f ca="1" t="array" ref="M2156">SUMPRODUCT(--(WEEKDAY(ROW(INDIRECT(INT(F2156)&amp;":"&amp;INT(I2156))),2)&gt;5))</f>
        <v>4</v>
      </c>
      <c r="N2156" s="22">
        <f ca="1" t="shared" si="168"/>
        <v>65.6666666666861</v>
      </c>
      <c r="O2156" s="22" t="str">
        <f ca="1" t="shared" si="169"/>
        <v>SLA Violated</v>
      </c>
      <c r="P2156" s="23" t="s">
        <v>8376</v>
      </c>
      <c r="Q2156" s="24" t="s">
        <v>28</v>
      </c>
      <c r="R2156" s="25"/>
      <c r="S2156" s="25"/>
    </row>
    <row r="2157" ht="27" customHeight="1" spans="1:19">
      <c r="A2157" s="19" t="s">
        <v>8379</v>
      </c>
      <c r="B2157" s="20" t="s">
        <v>139</v>
      </c>
      <c r="C2157" s="20" t="s">
        <v>2057</v>
      </c>
      <c r="D2157" s="20" t="s">
        <v>32</v>
      </c>
      <c r="E2157" s="21" t="s">
        <v>8374</v>
      </c>
      <c r="F2157" s="21" t="s">
        <v>8380</v>
      </c>
      <c r="G2157" s="20" t="s">
        <v>35</v>
      </c>
      <c r="H2157" s="20" t="s">
        <v>25</v>
      </c>
      <c r="I2157" s="21" t="s">
        <v>8381</v>
      </c>
      <c r="J2157" s="22">
        <f t="shared" si="165"/>
        <v>39.1041666666715</v>
      </c>
      <c r="K2157" s="22">
        <f t="shared" si="166"/>
        <v>938.500000000116</v>
      </c>
      <c r="L2157" s="22">
        <f t="shared" si="167"/>
        <v>314.500000000116</v>
      </c>
      <c r="M2157" s="22" cm="1">
        <f ca="1" t="array" ref="M2157">SUMPRODUCT(--(WEEKDAY(ROW(INDIRECT(INT(F2157)&amp;":"&amp;INT(I2157))),2)&gt;5))</f>
        <v>10</v>
      </c>
      <c r="N2157" s="22">
        <f ca="1" t="shared" si="168"/>
        <v>234.500000000116</v>
      </c>
      <c r="O2157" s="22" t="str">
        <f ca="1" t="shared" si="169"/>
        <v>SLA Violated</v>
      </c>
      <c r="P2157" s="23" t="s">
        <v>8382</v>
      </c>
      <c r="Q2157" s="24" t="s">
        <v>28</v>
      </c>
      <c r="R2157" s="25"/>
      <c r="S2157" s="25"/>
    </row>
    <row r="2158" ht="27" customHeight="1" spans="1:19">
      <c r="A2158" s="19" t="s">
        <v>8383</v>
      </c>
      <c r="B2158" s="20" t="s">
        <v>30</v>
      </c>
      <c r="C2158" s="20" t="s">
        <v>849</v>
      </c>
      <c r="D2158" s="20" t="s">
        <v>32</v>
      </c>
      <c r="E2158" s="21" t="s">
        <v>8384</v>
      </c>
      <c r="F2158" s="21" t="s">
        <v>8385</v>
      </c>
      <c r="G2158" s="20" t="s">
        <v>35</v>
      </c>
      <c r="H2158" s="20" t="s">
        <v>25</v>
      </c>
      <c r="I2158" s="21" t="s">
        <v>8386</v>
      </c>
      <c r="J2158" s="22">
        <f t="shared" si="165"/>
        <v>0.797222222223354</v>
      </c>
      <c r="K2158" s="22">
        <f t="shared" si="166"/>
        <v>19.1333333333605</v>
      </c>
      <c r="L2158" s="22">
        <f t="shared" si="167"/>
        <v>3.1333333333605</v>
      </c>
      <c r="M2158" s="22" cm="1">
        <f ca="1" t="array" ref="M2158">SUMPRODUCT(--(WEEKDAY(ROW(INDIRECT(INT(F2158)&amp;":"&amp;INT(I2158))),2)&gt;5))</f>
        <v>0</v>
      </c>
      <c r="N2158" s="22">
        <f ca="1" t="shared" si="168"/>
        <v>3.1333333333605</v>
      </c>
      <c r="O2158" s="22" t="str">
        <f ca="1" t="shared" si="169"/>
        <v>Within SLA</v>
      </c>
      <c r="P2158" s="26" t="s">
        <v>8383</v>
      </c>
      <c r="Q2158" s="24" t="s">
        <v>37</v>
      </c>
      <c r="R2158" s="25"/>
      <c r="S2158" s="25"/>
    </row>
    <row r="2159" ht="39" customHeight="1" spans="1:19">
      <c r="A2159" s="19" t="s">
        <v>8387</v>
      </c>
      <c r="B2159" s="20" t="s">
        <v>19</v>
      </c>
      <c r="C2159" s="20" t="s">
        <v>20</v>
      </c>
      <c r="D2159" s="20" t="s">
        <v>32</v>
      </c>
      <c r="E2159" s="21" t="s">
        <v>8388</v>
      </c>
      <c r="F2159" s="21" t="s">
        <v>8389</v>
      </c>
      <c r="G2159" s="20" t="s">
        <v>35</v>
      </c>
      <c r="H2159" s="20" t="s">
        <v>25</v>
      </c>
      <c r="I2159" s="21" t="s">
        <v>8390</v>
      </c>
      <c r="J2159" s="22">
        <f t="shared" si="165"/>
        <v>0.0111111111109494</v>
      </c>
      <c r="K2159" s="22">
        <f t="shared" si="166"/>
        <v>0.266666666662786</v>
      </c>
      <c r="L2159" s="22">
        <f t="shared" si="167"/>
        <v>0.266666666662786</v>
      </c>
      <c r="M2159" s="22" cm="1">
        <f ca="1" t="array" ref="M2159">SUMPRODUCT(--(WEEKDAY(ROW(INDIRECT(INT(F2159)&amp;":"&amp;INT(I2159))),2)&gt;5))</f>
        <v>0</v>
      </c>
      <c r="N2159" s="22">
        <f ca="1" t="shared" si="168"/>
        <v>0.266666666662786</v>
      </c>
      <c r="O2159" s="22" t="str">
        <f ca="1" t="shared" si="169"/>
        <v>Within SLA</v>
      </c>
      <c r="P2159" s="26" t="s">
        <v>8387</v>
      </c>
      <c r="Q2159" s="24" t="s">
        <v>37</v>
      </c>
      <c r="R2159" s="25"/>
      <c r="S2159" s="25"/>
    </row>
    <row r="2160" ht="39" customHeight="1" spans="1:19">
      <c r="A2160" s="19" t="s">
        <v>8391</v>
      </c>
      <c r="B2160" s="20" t="s">
        <v>19</v>
      </c>
      <c r="C2160" s="20" t="s">
        <v>20</v>
      </c>
      <c r="D2160" s="20" t="s">
        <v>32</v>
      </c>
      <c r="E2160" s="21" t="s">
        <v>8392</v>
      </c>
      <c r="F2160" s="21" t="s">
        <v>8393</v>
      </c>
      <c r="G2160" s="20" t="s">
        <v>35</v>
      </c>
      <c r="H2160" s="20" t="s">
        <v>25</v>
      </c>
      <c r="I2160" s="21" t="s">
        <v>8394</v>
      </c>
      <c r="J2160" s="22">
        <f t="shared" si="165"/>
        <v>0.741666666668607</v>
      </c>
      <c r="K2160" s="22">
        <f t="shared" si="166"/>
        <v>17.8000000000466</v>
      </c>
      <c r="L2160" s="22">
        <f t="shared" si="167"/>
        <v>1.80000000004657</v>
      </c>
      <c r="M2160" s="22" cm="1">
        <f ca="1" t="array" ref="M2160">SUMPRODUCT(--(WEEKDAY(ROW(INDIRECT(INT(F2160)&amp;":"&amp;INT(I2160))),2)&gt;5))</f>
        <v>0</v>
      </c>
      <c r="N2160" s="22">
        <f ca="1" t="shared" si="168"/>
        <v>1.80000000004657</v>
      </c>
      <c r="O2160" s="22" t="str">
        <f ca="1" t="shared" si="169"/>
        <v>Within SLA</v>
      </c>
      <c r="P2160" s="26" t="s">
        <v>8391</v>
      </c>
      <c r="Q2160" s="24" t="s">
        <v>37</v>
      </c>
      <c r="R2160" s="25"/>
      <c r="S2160" s="25"/>
    </row>
    <row r="2161" ht="39" customHeight="1" spans="1:19">
      <c r="A2161" s="19" t="s">
        <v>8395</v>
      </c>
      <c r="B2161" s="20" t="s">
        <v>196</v>
      </c>
      <c r="C2161" s="20" t="s">
        <v>849</v>
      </c>
      <c r="D2161" s="20" t="s">
        <v>32</v>
      </c>
      <c r="E2161" s="21" t="s">
        <v>8396</v>
      </c>
      <c r="F2161" s="21" t="s">
        <v>8397</v>
      </c>
      <c r="G2161" s="20" t="s">
        <v>35</v>
      </c>
      <c r="H2161" s="20" t="s">
        <v>25</v>
      </c>
      <c r="I2161" s="21" t="s">
        <v>8398</v>
      </c>
      <c r="J2161" s="22">
        <f t="shared" si="165"/>
        <v>0.768055555556202</v>
      </c>
      <c r="K2161" s="22">
        <f t="shared" si="166"/>
        <v>18.4333333333489</v>
      </c>
      <c r="L2161" s="22">
        <f t="shared" si="167"/>
        <v>2.43333333334886</v>
      </c>
      <c r="M2161" s="22" cm="1">
        <f ca="1" t="array" ref="M2161">SUMPRODUCT(--(WEEKDAY(ROW(INDIRECT(INT(F2161)&amp;":"&amp;INT(I2161))),2)&gt;5))</f>
        <v>0</v>
      </c>
      <c r="N2161" s="22">
        <f ca="1" t="shared" si="168"/>
        <v>2.43333333334886</v>
      </c>
      <c r="O2161" s="22" t="str">
        <f ca="1" t="shared" si="169"/>
        <v>Within SLA</v>
      </c>
      <c r="P2161" s="26" t="s">
        <v>8395</v>
      </c>
      <c r="Q2161" s="24" t="s">
        <v>37</v>
      </c>
      <c r="R2161" s="25"/>
      <c r="S2161" s="25"/>
    </row>
    <row r="2162" ht="39" customHeight="1" spans="1:19">
      <c r="A2162" s="19" t="s">
        <v>8399</v>
      </c>
      <c r="B2162" s="20" t="s">
        <v>19</v>
      </c>
      <c r="C2162" s="20" t="s">
        <v>20</v>
      </c>
      <c r="D2162" s="20" t="s">
        <v>32</v>
      </c>
      <c r="E2162" s="21" t="s">
        <v>8400</v>
      </c>
      <c r="F2162" s="21" t="s">
        <v>8401</v>
      </c>
      <c r="G2162" s="20" t="s">
        <v>24</v>
      </c>
      <c r="H2162" s="20" t="s">
        <v>25</v>
      </c>
      <c r="I2162" s="21" t="s">
        <v>8398</v>
      </c>
      <c r="J2162" s="22">
        <f t="shared" si="165"/>
        <v>7.8166666666657</v>
      </c>
      <c r="K2162" s="22">
        <f t="shared" si="166"/>
        <v>187.599999999977</v>
      </c>
      <c r="L2162" s="22">
        <f t="shared" si="167"/>
        <v>59.5999999999767</v>
      </c>
      <c r="M2162" s="22" cm="1">
        <f ca="1" t="array" ref="M2162">SUMPRODUCT(--(WEEKDAY(ROW(INDIRECT(INT(F2162)&amp;":"&amp;INT(I2162))),2)&gt;5))</f>
        <v>2</v>
      </c>
      <c r="N2162" s="22">
        <f ca="1" t="shared" si="168"/>
        <v>43.5999999999767</v>
      </c>
      <c r="O2162" s="22" t="str">
        <f ca="1" t="shared" si="169"/>
        <v>SLA Violated</v>
      </c>
      <c r="P2162" s="23" t="s">
        <v>8402</v>
      </c>
      <c r="Q2162" s="24" t="s">
        <v>37</v>
      </c>
      <c r="R2162" s="25" t="s">
        <v>439</v>
      </c>
      <c r="S2162" s="25" t="s">
        <v>39</v>
      </c>
    </row>
    <row r="2163" ht="39" customHeight="1" spans="1:19">
      <c r="A2163" s="19" t="s">
        <v>8403</v>
      </c>
      <c r="B2163" s="20" t="s">
        <v>19</v>
      </c>
      <c r="C2163" s="20" t="s">
        <v>20</v>
      </c>
      <c r="D2163" s="20" t="s">
        <v>32</v>
      </c>
      <c r="E2163" s="21" t="s">
        <v>8404</v>
      </c>
      <c r="F2163" s="21" t="s">
        <v>8405</v>
      </c>
      <c r="G2163" s="20" t="s">
        <v>35</v>
      </c>
      <c r="H2163" s="20" t="s">
        <v>25</v>
      </c>
      <c r="I2163" s="21" t="s">
        <v>8109</v>
      </c>
      <c r="J2163" s="22">
        <f t="shared" si="165"/>
        <v>0.0333333333328483</v>
      </c>
      <c r="K2163" s="22">
        <f t="shared" si="166"/>
        <v>0.799999999988358</v>
      </c>
      <c r="L2163" s="22">
        <f t="shared" si="167"/>
        <v>0.799999999988358</v>
      </c>
      <c r="M2163" s="22" cm="1">
        <f ca="1" t="array" ref="M2163">SUMPRODUCT(--(WEEKDAY(ROW(INDIRECT(INT(F2163)&amp;":"&amp;INT(I2163))),2)&gt;5))</f>
        <v>0</v>
      </c>
      <c r="N2163" s="22">
        <f ca="1" t="shared" si="168"/>
        <v>0.799999999988358</v>
      </c>
      <c r="O2163" s="22" t="str">
        <f ca="1" t="shared" si="169"/>
        <v>Within SLA</v>
      </c>
      <c r="P2163" s="26" t="s">
        <v>8403</v>
      </c>
      <c r="Q2163" s="24" t="s">
        <v>37</v>
      </c>
      <c r="R2163" s="25"/>
      <c r="S2163" s="25"/>
    </row>
    <row r="2164" ht="27" customHeight="1" spans="1:19">
      <c r="A2164" s="19" t="s">
        <v>8406</v>
      </c>
      <c r="B2164" s="20" t="s">
        <v>30</v>
      </c>
      <c r="C2164" s="20" t="s">
        <v>4889</v>
      </c>
      <c r="D2164" s="20" t="s">
        <v>32</v>
      </c>
      <c r="E2164" s="21" t="s">
        <v>8407</v>
      </c>
      <c r="F2164" s="21" t="s">
        <v>8408</v>
      </c>
      <c r="G2164" s="20" t="s">
        <v>35</v>
      </c>
      <c r="H2164" s="20" t="s">
        <v>25</v>
      </c>
      <c r="I2164" s="21" t="s">
        <v>8409</v>
      </c>
      <c r="J2164" s="22">
        <f t="shared" si="165"/>
        <v>0.754166666672972</v>
      </c>
      <c r="K2164" s="22">
        <f t="shared" si="166"/>
        <v>18.1000000001513</v>
      </c>
      <c r="L2164" s="22">
        <f t="shared" si="167"/>
        <v>2.10000000015134</v>
      </c>
      <c r="M2164" s="22" cm="1">
        <f ca="1" t="array" ref="M2164">SUMPRODUCT(--(WEEKDAY(ROW(INDIRECT(INT(F2164)&amp;":"&amp;INT(I2164))),2)&gt;5))</f>
        <v>0</v>
      </c>
      <c r="N2164" s="22">
        <f ca="1" t="shared" si="168"/>
        <v>2.10000000015134</v>
      </c>
      <c r="O2164" s="22" t="str">
        <f ca="1" t="shared" si="169"/>
        <v>Within SLA</v>
      </c>
      <c r="P2164" s="26" t="s">
        <v>8406</v>
      </c>
      <c r="Q2164" s="24" t="s">
        <v>37</v>
      </c>
      <c r="R2164" s="25"/>
      <c r="S2164" s="25"/>
    </row>
    <row r="2165" ht="27" customHeight="1" spans="1:19">
      <c r="A2165" s="19" t="s">
        <v>8410</v>
      </c>
      <c r="B2165" s="20" t="s">
        <v>30</v>
      </c>
      <c r="C2165" s="20" t="s">
        <v>31</v>
      </c>
      <c r="D2165" s="20" t="s">
        <v>32</v>
      </c>
      <c r="E2165" s="21" t="s">
        <v>8411</v>
      </c>
      <c r="F2165" s="21" t="s">
        <v>8412</v>
      </c>
      <c r="G2165" s="20" t="s">
        <v>35</v>
      </c>
      <c r="H2165" s="20" t="s">
        <v>25</v>
      </c>
      <c r="I2165" s="21" t="s">
        <v>8413</v>
      </c>
      <c r="J2165" s="22">
        <f t="shared" si="165"/>
        <v>6.88541666666424</v>
      </c>
      <c r="K2165" s="22">
        <f t="shared" si="166"/>
        <v>165.249999999942</v>
      </c>
      <c r="L2165" s="22">
        <f t="shared" si="167"/>
        <v>53.2499999999418</v>
      </c>
      <c r="M2165" s="22" cm="1">
        <f ca="1" t="array" ref="M2165">SUMPRODUCT(--(WEEKDAY(ROW(INDIRECT(INT(F2165)&amp;":"&amp;INT(I2165))),2)&gt;5))</f>
        <v>2</v>
      </c>
      <c r="N2165" s="22">
        <f ca="1" t="shared" si="168"/>
        <v>37.2499999999418</v>
      </c>
      <c r="O2165" s="22" t="str">
        <f ca="1" t="shared" si="169"/>
        <v>SLA Violated</v>
      </c>
      <c r="P2165" s="26" t="s">
        <v>8410</v>
      </c>
      <c r="Q2165" s="24" t="s">
        <v>28</v>
      </c>
      <c r="R2165" s="25"/>
      <c r="S2165" s="25"/>
    </row>
    <row r="2166" ht="39" customHeight="1" spans="1:19">
      <c r="A2166" s="19" t="s">
        <v>8414</v>
      </c>
      <c r="B2166" s="20" t="s">
        <v>19</v>
      </c>
      <c r="C2166" s="20" t="s">
        <v>20</v>
      </c>
      <c r="D2166" s="20" t="s">
        <v>32</v>
      </c>
      <c r="E2166" s="21" t="s">
        <v>8415</v>
      </c>
      <c r="F2166" s="21" t="s">
        <v>8416</v>
      </c>
      <c r="G2166" s="20" t="s">
        <v>35</v>
      </c>
      <c r="H2166" s="20" t="s">
        <v>25</v>
      </c>
      <c r="I2166" s="21" t="s">
        <v>8417</v>
      </c>
      <c r="J2166" s="22">
        <f t="shared" si="165"/>
        <v>0.015277777776646</v>
      </c>
      <c r="K2166" s="22">
        <f t="shared" si="166"/>
        <v>0.366666666639503</v>
      </c>
      <c r="L2166" s="22">
        <f t="shared" si="167"/>
        <v>0.366666666639503</v>
      </c>
      <c r="M2166" s="22" cm="1">
        <f ca="1" t="array" ref="M2166">SUMPRODUCT(--(WEEKDAY(ROW(INDIRECT(INT(F2166)&amp;":"&amp;INT(I2166))),2)&gt;5))</f>
        <v>0</v>
      </c>
      <c r="N2166" s="22">
        <f ca="1" t="shared" si="168"/>
        <v>0.366666666639503</v>
      </c>
      <c r="O2166" s="22" t="str">
        <f ca="1" t="shared" si="169"/>
        <v>Within SLA</v>
      </c>
      <c r="P2166" s="26" t="s">
        <v>8414</v>
      </c>
      <c r="Q2166" s="24" t="s">
        <v>37</v>
      </c>
      <c r="R2166" s="25"/>
      <c r="S2166" s="25"/>
    </row>
    <row r="2167" ht="39" customHeight="1" spans="1:19">
      <c r="A2167" s="19" t="s">
        <v>8418</v>
      </c>
      <c r="B2167" s="20" t="s">
        <v>19</v>
      </c>
      <c r="C2167" s="20" t="s">
        <v>20</v>
      </c>
      <c r="D2167" s="20" t="s">
        <v>32</v>
      </c>
      <c r="E2167" s="21" t="s">
        <v>8415</v>
      </c>
      <c r="F2167" s="21" t="s">
        <v>8419</v>
      </c>
      <c r="G2167" s="20" t="s">
        <v>35</v>
      </c>
      <c r="H2167" s="20" t="s">
        <v>25</v>
      </c>
      <c r="I2167" s="21" t="s">
        <v>8417</v>
      </c>
      <c r="J2167" s="22">
        <f t="shared" si="165"/>
        <v>0.0222222222218988</v>
      </c>
      <c r="K2167" s="22">
        <f t="shared" si="166"/>
        <v>0.533333333325572</v>
      </c>
      <c r="L2167" s="22">
        <f t="shared" si="167"/>
        <v>0.533333333325572</v>
      </c>
      <c r="M2167" s="22" cm="1">
        <f ca="1" t="array" ref="M2167">SUMPRODUCT(--(WEEKDAY(ROW(INDIRECT(INT(F2167)&amp;":"&amp;INT(I2167))),2)&gt;5))</f>
        <v>0</v>
      </c>
      <c r="N2167" s="22">
        <f ca="1" t="shared" si="168"/>
        <v>0.533333333325572</v>
      </c>
      <c r="O2167" s="22" t="str">
        <f ca="1" t="shared" si="169"/>
        <v>Within SLA</v>
      </c>
      <c r="P2167" s="26" t="s">
        <v>8418</v>
      </c>
      <c r="Q2167" s="24" t="s">
        <v>37</v>
      </c>
      <c r="R2167" s="25"/>
      <c r="S2167" s="25"/>
    </row>
    <row r="2168" ht="39" customHeight="1" spans="1:19">
      <c r="A2168" s="19" t="s">
        <v>8420</v>
      </c>
      <c r="B2168" s="20" t="s">
        <v>19</v>
      </c>
      <c r="C2168" s="20" t="s">
        <v>20</v>
      </c>
      <c r="D2168" s="20" t="s">
        <v>32</v>
      </c>
      <c r="E2168" s="21" t="s">
        <v>8421</v>
      </c>
      <c r="F2168" s="21" t="s">
        <v>8422</v>
      </c>
      <c r="G2168" s="20" t="s">
        <v>35</v>
      </c>
      <c r="H2168" s="20" t="s">
        <v>25</v>
      </c>
      <c r="I2168" s="21" t="s">
        <v>8423</v>
      </c>
      <c r="J2168" s="22">
        <f t="shared" si="165"/>
        <v>0.00486111111240461</v>
      </c>
      <c r="K2168" s="22">
        <f t="shared" si="166"/>
        <v>0.116666666697711</v>
      </c>
      <c r="L2168" s="22">
        <f t="shared" si="167"/>
        <v>0.116666666697711</v>
      </c>
      <c r="M2168" s="22" cm="1">
        <f ca="1" t="array" ref="M2168">SUMPRODUCT(--(WEEKDAY(ROW(INDIRECT(INT(F2168)&amp;":"&amp;INT(I2168))),2)&gt;5))</f>
        <v>0</v>
      </c>
      <c r="N2168" s="22">
        <f ca="1" t="shared" si="168"/>
        <v>0.116666666697711</v>
      </c>
      <c r="O2168" s="22" t="str">
        <f ca="1" t="shared" si="169"/>
        <v>Within SLA</v>
      </c>
      <c r="P2168" s="26" t="s">
        <v>8420</v>
      </c>
      <c r="Q2168" s="24" t="s">
        <v>37</v>
      </c>
      <c r="R2168" s="25"/>
      <c r="S2168" s="25"/>
    </row>
    <row r="2169" ht="39" customHeight="1" spans="1:19">
      <c r="A2169" s="19" t="s">
        <v>8424</v>
      </c>
      <c r="B2169" s="20" t="s">
        <v>19</v>
      </c>
      <c r="C2169" s="20" t="s">
        <v>20</v>
      </c>
      <c r="D2169" s="20" t="s">
        <v>32</v>
      </c>
      <c r="E2169" s="21" t="s">
        <v>8425</v>
      </c>
      <c r="F2169" s="21" t="s">
        <v>8426</v>
      </c>
      <c r="G2169" s="20" t="s">
        <v>35</v>
      </c>
      <c r="H2169" s="20" t="s">
        <v>25</v>
      </c>
      <c r="I2169" s="21" t="s">
        <v>8427</v>
      </c>
      <c r="J2169" s="22">
        <f t="shared" si="165"/>
        <v>0.696527777778101</v>
      </c>
      <c r="K2169" s="22">
        <f t="shared" si="166"/>
        <v>16.7166666666744</v>
      </c>
      <c r="L2169" s="22">
        <f t="shared" si="167"/>
        <v>0.716666666674428</v>
      </c>
      <c r="M2169" s="22" cm="1">
        <f ca="1" t="array" ref="M2169">SUMPRODUCT(--(WEEKDAY(ROW(INDIRECT(INT(F2169)&amp;":"&amp;INT(I2169))),2)&gt;5))</f>
        <v>0</v>
      </c>
      <c r="N2169" s="22">
        <f ca="1" t="shared" si="168"/>
        <v>0.716666666674428</v>
      </c>
      <c r="O2169" s="22" t="str">
        <f ca="1" t="shared" si="169"/>
        <v>Within SLA</v>
      </c>
      <c r="P2169" s="26" t="s">
        <v>8424</v>
      </c>
      <c r="Q2169" s="24" t="s">
        <v>37</v>
      </c>
      <c r="R2169" s="25"/>
      <c r="S2169" s="25"/>
    </row>
    <row r="2170" ht="27" customHeight="1" spans="1:19">
      <c r="A2170" s="19" t="s">
        <v>8428</v>
      </c>
      <c r="B2170" s="20" t="s">
        <v>30</v>
      </c>
      <c r="C2170" s="20" t="s">
        <v>31</v>
      </c>
      <c r="D2170" s="20" t="s">
        <v>105</v>
      </c>
      <c r="E2170" s="21" t="s">
        <v>8429</v>
      </c>
      <c r="F2170" s="21" t="s">
        <v>8430</v>
      </c>
      <c r="G2170" s="20" t="s">
        <v>35</v>
      </c>
      <c r="H2170" s="20" t="s">
        <v>25</v>
      </c>
      <c r="I2170" s="21" t="s">
        <v>8431</v>
      </c>
      <c r="J2170" s="22">
        <f t="shared" si="165"/>
        <v>19.1451388888891</v>
      </c>
      <c r="K2170" s="22">
        <f t="shared" si="166"/>
        <v>459.483333333337</v>
      </c>
      <c r="L2170" s="22">
        <f t="shared" si="167"/>
        <v>155.483333333337</v>
      </c>
      <c r="M2170" s="22" cm="1">
        <f ca="1" t="array" ref="M2170">SUMPRODUCT(--(WEEKDAY(ROW(INDIRECT(INT(F2170)&amp;":"&amp;INT(I2170))),2)&gt;5))</f>
        <v>6</v>
      </c>
      <c r="N2170" s="22">
        <f ca="1" t="shared" si="168"/>
        <v>107.483333333337</v>
      </c>
      <c r="O2170" s="22" t="str">
        <f ca="1" t="shared" si="169"/>
        <v>SLA Violated</v>
      </c>
      <c r="P2170" s="23" t="s">
        <v>8432</v>
      </c>
      <c r="Q2170" s="24" t="s">
        <v>28</v>
      </c>
      <c r="R2170" s="25"/>
      <c r="S2170" s="25"/>
    </row>
    <row r="2171" ht="39" customHeight="1" spans="1:19">
      <c r="A2171" s="19" t="s">
        <v>8433</v>
      </c>
      <c r="B2171" s="20" t="s">
        <v>19</v>
      </c>
      <c r="C2171" s="20" t="s">
        <v>20</v>
      </c>
      <c r="D2171" s="20" t="s">
        <v>32</v>
      </c>
      <c r="E2171" s="21" t="s">
        <v>8434</v>
      </c>
      <c r="F2171" s="21" t="s">
        <v>8435</v>
      </c>
      <c r="G2171" s="20" t="s">
        <v>35</v>
      </c>
      <c r="H2171" s="20" t="s">
        <v>25</v>
      </c>
      <c r="I2171" s="21" t="s">
        <v>8436</v>
      </c>
      <c r="J2171" s="22">
        <f t="shared" si="165"/>
        <v>0.00277777777955635</v>
      </c>
      <c r="K2171" s="22">
        <f t="shared" si="166"/>
        <v>0.0666666667093523</v>
      </c>
      <c r="L2171" s="22">
        <f t="shared" si="167"/>
        <v>0.0666666667093523</v>
      </c>
      <c r="M2171" s="22" cm="1">
        <f ca="1" t="array" ref="M2171">SUMPRODUCT(--(WEEKDAY(ROW(INDIRECT(INT(F2171)&amp;":"&amp;INT(I2171))),2)&gt;5))</f>
        <v>0</v>
      </c>
      <c r="N2171" s="22">
        <f ca="1" t="shared" si="168"/>
        <v>0.0666666667093523</v>
      </c>
      <c r="O2171" s="22" t="str">
        <f ca="1" t="shared" si="169"/>
        <v>Within SLA</v>
      </c>
      <c r="P2171" s="26" t="s">
        <v>8433</v>
      </c>
      <c r="Q2171" s="24" t="s">
        <v>37</v>
      </c>
      <c r="R2171" s="25"/>
      <c r="S2171" s="25"/>
    </row>
    <row r="2172" ht="27" customHeight="1" spans="1:19">
      <c r="A2172" s="19" t="s">
        <v>8437</v>
      </c>
      <c r="B2172" s="20" t="s">
        <v>30</v>
      </c>
      <c r="C2172" s="20" t="s">
        <v>31</v>
      </c>
      <c r="D2172" s="20" t="s">
        <v>32</v>
      </c>
      <c r="E2172" s="21" t="s">
        <v>8438</v>
      </c>
      <c r="F2172" s="21" t="s">
        <v>8439</v>
      </c>
      <c r="G2172" s="20" t="s">
        <v>35</v>
      </c>
      <c r="H2172" s="20" t="s">
        <v>25</v>
      </c>
      <c r="I2172" s="21" t="s">
        <v>8440</v>
      </c>
      <c r="J2172" s="22">
        <f t="shared" si="165"/>
        <v>-0.000694444439432118</v>
      </c>
      <c r="K2172" s="22">
        <f t="shared" si="166"/>
        <v>-0.0166666665463708</v>
      </c>
      <c r="L2172" s="22">
        <f t="shared" si="167"/>
        <v>-0.0166666665463708</v>
      </c>
      <c r="M2172" s="22" cm="1">
        <f ca="1" t="array" ref="M2172">SUMPRODUCT(--(WEEKDAY(ROW(INDIRECT(INT(F2172)&amp;":"&amp;INT(I2172))),2)&gt;5))</f>
        <v>0</v>
      </c>
      <c r="N2172" s="22">
        <f ca="1" t="shared" si="168"/>
        <v>0</v>
      </c>
      <c r="O2172" s="22" t="str">
        <f ca="1" t="shared" si="169"/>
        <v>Within SLA</v>
      </c>
      <c r="P2172" s="26" t="s">
        <v>8437</v>
      </c>
      <c r="Q2172" s="24" t="s">
        <v>37</v>
      </c>
      <c r="R2172" s="25"/>
      <c r="S2172" s="25"/>
    </row>
    <row r="2173" ht="27" customHeight="1" spans="1:19">
      <c r="A2173" s="19" t="s">
        <v>8441</v>
      </c>
      <c r="B2173" s="20" t="s">
        <v>30</v>
      </c>
      <c r="C2173" s="20" t="s">
        <v>849</v>
      </c>
      <c r="D2173" s="20" t="s">
        <v>32</v>
      </c>
      <c r="E2173" s="21" t="s">
        <v>8442</v>
      </c>
      <c r="F2173" s="21" t="s">
        <v>8443</v>
      </c>
      <c r="G2173" s="20" t="s">
        <v>35</v>
      </c>
      <c r="H2173" s="20" t="s">
        <v>25</v>
      </c>
      <c r="I2173" s="21" t="s">
        <v>8444</v>
      </c>
      <c r="J2173" s="22">
        <f t="shared" si="165"/>
        <v>2.7138888888876</v>
      </c>
      <c r="K2173" s="22">
        <f t="shared" si="166"/>
        <v>65.1333333333023</v>
      </c>
      <c r="L2173" s="22">
        <f t="shared" si="167"/>
        <v>17.1333333333023</v>
      </c>
      <c r="M2173" s="22" cm="1">
        <f ca="1" t="array" ref="M2173">SUMPRODUCT(--(WEEKDAY(ROW(INDIRECT(INT(F2173)&amp;":"&amp;INT(I2173))),2)&gt;5))</f>
        <v>0</v>
      </c>
      <c r="N2173" s="22">
        <f ca="1" t="shared" si="168"/>
        <v>17.1333333333023</v>
      </c>
      <c r="O2173" s="22" t="str">
        <f ca="1" t="shared" si="169"/>
        <v>SLA Violated</v>
      </c>
      <c r="P2173" s="23" t="s">
        <v>8445</v>
      </c>
      <c r="Q2173" s="24" t="s">
        <v>37</v>
      </c>
      <c r="R2173" s="25" t="s">
        <v>38</v>
      </c>
      <c r="S2173" s="25" t="s">
        <v>39</v>
      </c>
    </row>
    <row r="2174" ht="39" customHeight="1" spans="1:19">
      <c r="A2174" s="19" t="s">
        <v>8446</v>
      </c>
      <c r="B2174" s="20" t="s">
        <v>19</v>
      </c>
      <c r="C2174" s="20" t="s">
        <v>20</v>
      </c>
      <c r="D2174" s="20" t="s">
        <v>32</v>
      </c>
      <c r="E2174" s="21" t="s">
        <v>8447</v>
      </c>
      <c r="F2174" s="21" t="s">
        <v>8448</v>
      </c>
      <c r="G2174" s="20" t="s">
        <v>35</v>
      </c>
      <c r="H2174" s="20" t="s">
        <v>25</v>
      </c>
      <c r="I2174" s="21" t="s">
        <v>8449</v>
      </c>
      <c r="J2174" s="22">
        <f t="shared" si="165"/>
        <v>0.653472222220444</v>
      </c>
      <c r="K2174" s="22">
        <f t="shared" si="166"/>
        <v>15.6833333332906</v>
      </c>
      <c r="L2174" s="22">
        <f t="shared" si="167"/>
        <v>-0.316666666709352</v>
      </c>
      <c r="M2174" s="22" cm="1">
        <f ca="1" t="array" ref="M2174">SUMPRODUCT(--(WEEKDAY(ROW(INDIRECT(INT(F2174)&amp;":"&amp;INT(I2174))),2)&gt;5))</f>
        <v>0</v>
      </c>
      <c r="N2174" s="22">
        <f ca="1" t="shared" si="168"/>
        <v>0</v>
      </c>
      <c r="O2174" s="22" t="str">
        <f ca="1" t="shared" si="169"/>
        <v>Within SLA</v>
      </c>
      <c r="P2174" s="26" t="s">
        <v>8446</v>
      </c>
      <c r="Q2174" s="24" t="s">
        <v>37</v>
      </c>
      <c r="R2174" s="25"/>
      <c r="S2174" s="25"/>
    </row>
    <row r="2175" ht="27" customHeight="1" spans="1:19">
      <c r="A2175" s="19" t="s">
        <v>8450</v>
      </c>
      <c r="B2175" s="20" t="s">
        <v>30</v>
      </c>
      <c r="C2175" s="20" t="s">
        <v>31</v>
      </c>
      <c r="D2175" s="20" t="s">
        <v>105</v>
      </c>
      <c r="E2175" s="21" t="s">
        <v>8451</v>
      </c>
      <c r="F2175" s="21" t="s">
        <v>8452</v>
      </c>
      <c r="G2175" s="20" t="s">
        <v>35</v>
      </c>
      <c r="H2175" s="20" t="s">
        <v>25</v>
      </c>
      <c r="I2175" s="21" t="s">
        <v>8453</v>
      </c>
      <c r="J2175" s="22">
        <f t="shared" si="165"/>
        <v>7.74652777777374</v>
      </c>
      <c r="K2175" s="22">
        <f t="shared" si="166"/>
        <v>185.91666666657</v>
      </c>
      <c r="L2175" s="22">
        <f t="shared" si="167"/>
        <v>57.9166666665697</v>
      </c>
      <c r="M2175" s="22" cm="1">
        <f ca="1" t="array" ref="M2175">SUMPRODUCT(--(WEEKDAY(ROW(INDIRECT(INT(F2175)&amp;":"&amp;INT(I2175))),2)&gt;5))</f>
        <v>2</v>
      </c>
      <c r="N2175" s="22">
        <f ca="1" t="shared" si="168"/>
        <v>41.9166666665697</v>
      </c>
      <c r="O2175" s="22" t="str">
        <f ca="1" t="shared" si="169"/>
        <v>SLA Violated</v>
      </c>
      <c r="P2175" s="23" t="s">
        <v>8454</v>
      </c>
      <c r="Q2175" s="24" t="s">
        <v>28</v>
      </c>
      <c r="R2175" s="25"/>
      <c r="S2175" s="25"/>
    </row>
    <row r="2176" ht="39" customHeight="1" spans="1:19">
      <c r="A2176" s="19" t="s">
        <v>8455</v>
      </c>
      <c r="B2176" s="20" t="s">
        <v>196</v>
      </c>
      <c r="C2176" s="20" t="s">
        <v>4889</v>
      </c>
      <c r="D2176" s="20" t="s">
        <v>32</v>
      </c>
      <c r="E2176" s="21" t="s">
        <v>8456</v>
      </c>
      <c r="F2176" s="21" t="s">
        <v>8457</v>
      </c>
      <c r="G2176" s="20" t="s">
        <v>35</v>
      </c>
      <c r="H2176" s="20" t="s">
        <v>25</v>
      </c>
      <c r="I2176" s="21" t="s">
        <v>8458</v>
      </c>
      <c r="J2176" s="22">
        <f t="shared" si="165"/>
        <v>2.04583333332994</v>
      </c>
      <c r="K2176" s="22">
        <f t="shared" si="166"/>
        <v>49.0999999999185</v>
      </c>
      <c r="L2176" s="22">
        <f t="shared" si="167"/>
        <v>17.0999999999185</v>
      </c>
      <c r="M2176" s="22" cm="1">
        <f ca="1" t="array" ref="M2176">SUMPRODUCT(--(WEEKDAY(ROW(INDIRECT(INT(F2176)&amp;":"&amp;INT(I2176))),2)&gt;5))</f>
        <v>0</v>
      </c>
      <c r="N2176" s="22">
        <f ca="1" t="shared" si="168"/>
        <v>17.0999999999185</v>
      </c>
      <c r="O2176" s="22" t="str">
        <f ca="1" t="shared" si="169"/>
        <v>SLA Violated</v>
      </c>
      <c r="P2176" s="23" t="s">
        <v>8459</v>
      </c>
      <c r="Q2176" s="24" t="s">
        <v>28</v>
      </c>
      <c r="R2176" s="25"/>
      <c r="S2176" s="25"/>
    </row>
    <row r="2177" ht="39" customHeight="1" spans="1:19">
      <c r="A2177" s="19" t="s">
        <v>8460</v>
      </c>
      <c r="B2177" s="20" t="s">
        <v>19</v>
      </c>
      <c r="C2177" s="20" t="s">
        <v>20</v>
      </c>
      <c r="D2177" s="20" t="s">
        <v>32</v>
      </c>
      <c r="E2177" s="21" t="s">
        <v>8456</v>
      </c>
      <c r="F2177" s="21" t="s">
        <v>8461</v>
      </c>
      <c r="G2177" s="20" t="s">
        <v>35</v>
      </c>
      <c r="H2177" s="20" t="s">
        <v>25</v>
      </c>
      <c r="I2177" s="21" t="s">
        <v>8458</v>
      </c>
      <c r="J2177" s="22">
        <f t="shared" si="165"/>
        <v>0.00972222221753327</v>
      </c>
      <c r="K2177" s="22">
        <f t="shared" si="166"/>
        <v>0.233333333220799</v>
      </c>
      <c r="L2177" s="22">
        <f t="shared" si="167"/>
        <v>0.233333333220799</v>
      </c>
      <c r="M2177" s="22" cm="1">
        <f ca="1" t="array" ref="M2177">SUMPRODUCT(--(WEEKDAY(ROW(INDIRECT(INT(F2177)&amp;":"&amp;INT(I2177))),2)&gt;5))</f>
        <v>0</v>
      </c>
      <c r="N2177" s="22">
        <f ca="1" t="shared" si="168"/>
        <v>0.233333333220799</v>
      </c>
      <c r="O2177" s="22" t="str">
        <f ca="1" t="shared" si="169"/>
        <v>Within SLA</v>
      </c>
      <c r="P2177" s="26" t="s">
        <v>8460</v>
      </c>
      <c r="Q2177" s="24" t="s">
        <v>37</v>
      </c>
      <c r="R2177" s="25"/>
      <c r="S2177" s="25"/>
    </row>
    <row r="2178" ht="27" customHeight="1" spans="1:19">
      <c r="A2178" s="19" t="s">
        <v>8462</v>
      </c>
      <c r="B2178" s="20" t="s">
        <v>30</v>
      </c>
      <c r="C2178" s="20" t="s">
        <v>31</v>
      </c>
      <c r="D2178" s="20" t="s">
        <v>32</v>
      </c>
      <c r="E2178" s="21" t="s">
        <v>8463</v>
      </c>
      <c r="F2178" s="21" t="s">
        <v>8464</v>
      </c>
      <c r="G2178" s="20" t="s">
        <v>35</v>
      </c>
      <c r="H2178" s="20" t="s">
        <v>25</v>
      </c>
      <c r="I2178" s="21" t="s">
        <v>8465</v>
      </c>
      <c r="J2178" s="22">
        <f t="shared" si="165"/>
        <v>14.2430555555547</v>
      </c>
      <c r="K2178" s="22">
        <f t="shared" si="166"/>
        <v>341.833333333314</v>
      </c>
      <c r="L2178" s="22">
        <f t="shared" si="167"/>
        <v>117.833333333314</v>
      </c>
      <c r="M2178" s="22" cm="1">
        <f ca="1" t="array" ref="M2178">SUMPRODUCT(--(WEEKDAY(ROW(INDIRECT(INT(F2178)&amp;":"&amp;INT(I2178))),2)&gt;5))</f>
        <v>4</v>
      </c>
      <c r="N2178" s="22">
        <f ca="1" t="shared" si="168"/>
        <v>85.833333333314</v>
      </c>
      <c r="O2178" s="22" t="str">
        <f ca="1" t="shared" si="169"/>
        <v>SLA Violated</v>
      </c>
      <c r="P2178" s="26" t="s">
        <v>8462</v>
      </c>
      <c r="Q2178" s="24" t="s">
        <v>28</v>
      </c>
      <c r="R2178" s="25"/>
      <c r="S2178" s="25"/>
    </row>
    <row r="2179" ht="27" customHeight="1" spans="1:19">
      <c r="A2179" s="19" t="s">
        <v>8466</v>
      </c>
      <c r="B2179" s="20" t="s">
        <v>30</v>
      </c>
      <c r="C2179" s="20" t="s">
        <v>31</v>
      </c>
      <c r="D2179" s="20" t="s">
        <v>21</v>
      </c>
      <c r="E2179" s="21" t="s">
        <v>8467</v>
      </c>
      <c r="F2179" s="21" t="s">
        <v>8468</v>
      </c>
      <c r="G2179" s="20" t="s">
        <v>35</v>
      </c>
      <c r="H2179" s="20" t="s">
        <v>25</v>
      </c>
      <c r="I2179" s="21" t="s">
        <v>8469</v>
      </c>
      <c r="J2179" s="22">
        <f t="shared" ref="J2179:J2242" si="170">F2179-I2179</f>
        <v>21.1624999999985</v>
      </c>
      <c r="K2179" s="22">
        <f t="shared" ref="K2179:K2242" si="171">J2179*24</f>
        <v>507.899999999965</v>
      </c>
      <c r="L2179" s="22">
        <f t="shared" ref="L2179:L2242" si="172">IF(_xlfn.DAYS(F2179,I2179)&gt;0,K2179-IF(FLOOR(J2179,1)=0,1,_xlfn.DAYS(F2179,I2179))*16,K2179)</f>
        <v>171.899999999965</v>
      </c>
      <c r="M2179" s="22" cm="1">
        <f ca="1" t="array" ref="M2179">SUMPRODUCT(--(WEEKDAY(ROW(INDIRECT(INT(F2179)&amp;":"&amp;INT(I2179))),2)&gt;5))</f>
        <v>6</v>
      </c>
      <c r="N2179" s="22">
        <f ca="1" t="shared" ref="N2179:N2242" si="173">IF(IF(M2179&gt;0,L2179-M2179*8,L2179)&lt;0,0,IF(M2179&gt;0,L2179-M2179*8,L2179))</f>
        <v>123.899999999965</v>
      </c>
      <c r="O2179" s="22" t="str">
        <f ca="1" t="shared" ref="O2179:O2242" si="174">IF(OR(AND(D2179="P1",N2179&lt;=3),AND(D2179="P2",N2179&lt;=6),AND(D2179="P3",N2179&lt;=9),AND(D2179="P4",N2179&lt;=12)),"Within SLA","SLA Violated")</f>
        <v>SLA Violated</v>
      </c>
      <c r="P2179" s="23" t="s">
        <v>8470</v>
      </c>
      <c r="Q2179" s="24" t="s">
        <v>28</v>
      </c>
      <c r="R2179" s="25"/>
      <c r="S2179" s="25"/>
    </row>
    <row r="2180" ht="27" customHeight="1" spans="1:19">
      <c r="A2180" s="19" t="s">
        <v>8471</v>
      </c>
      <c r="B2180" s="20" t="s">
        <v>30</v>
      </c>
      <c r="C2180" s="20" t="s">
        <v>4889</v>
      </c>
      <c r="D2180" s="20" t="s">
        <v>32</v>
      </c>
      <c r="E2180" s="21" t="s">
        <v>8472</v>
      </c>
      <c r="F2180" s="21" t="s">
        <v>8473</v>
      </c>
      <c r="G2180" s="20" t="s">
        <v>35</v>
      </c>
      <c r="H2180" s="20" t="s">
        <v>25</v>
      </c>
      <c r="I2180" s="21" t="s">
        <v>8474</v>
      </c>
      <c r="J2180" s="22">
        <f t="shared" si="170"/>
        <v>2.04097222222481</v>
      </c>
      <c r="K2180" s="22">
        <f t="shared" si="171"/>
        <v>48.9833333333954</v>
      </c>
      <c r="L2180" s="22">
        <f t="shared" si="172"/>
        <v>16.9833333333954</v>
      </c>
      <c r="M2180" s="22" cm="1">
        <f ca="1" t="array" ref="M2180">SUMPRODUCT(--(WEEKDAY(ROW(INDIRECT(INT(F2180)&amp;":"&amp;INT(I2180))),2)&gt;5))</f>
        <v>0</v>
      </c>
      <c r="N2180" s="22">
        <f ca="1" t="shared" si="173"/>
        <v>16.9833333333954</v>
      </c>
      <c r="O2180" s="22" t="str">
        <f ca="1" t="shared" si="174"/>
        <v>SLA Violated</v>
      </c>
      <c r="P2180" s="23" t="s">
        <v>8475</v>
      </c>
      <c r="Q2180" s="24" t="s">
        <v>28</v>
      </c>
      <c r="R2180" s="25"/>
      <c r="S2180" s="25"/>
    </row>
    <row r="2181" ht="39" customHeight="1" spans="1:19">
      <c r="A2181" s="19" t="s">
        <v>8476</v>
      </c>
      <c r="B2181" s="20" t="s">
        <v>19</v>
      </c>
      <c r="C2181" s="20" t="s">
        <v>20</v>
      </c>
      <c r="D2181" s="20" t="s">
        <v>32</v>
      </c>
      <c r="E2181" s="21" t="s">
        <v>8477</v>
      </c>
      <c r="F2181" s="21" t="s">
        <v>8478</v>
      </c>
      <c r="G2181" s="20" t="s">
        <v>35</v>
      </c>
      <c r="H2181" s="20" t="s">
        <v>25</v>
      </c>
      <c r="I2181" s="21" t="s">
        <v>8474</v>
      </c>
      <c r="J2181" s="22">
        <f t="shared" si="170"/>
        <v>0.00833333333866904</v>
      </c>
      <c r="K2181" s="22">
        <f t="shared" si="171"/>
        <v>0.200000000128057</v>
      </c>
      <c r="L2181" s="22">
        <f t="shared" si="172"/>
        <v>0.200000000128057</v>
      </c>
      <c r="M2181" s="22" cm="1">
        <f ca="1" t="array" ref="M2181">SUMPRODUCT(--(WEEKDAY(ROW(INDIRECT(INT(F2181)&amp;":"&amp;INT(I2181))),2)&gt;5))</f>
        <v>0</v>
      </c>
      <c r="N2181" s="22">
        <f ca="1" t="shared" si="173"/>
        <v>0.200000000128057</v>
      </c>
      <c r="O2181" s="22" t="str">
        <f ca="1" t="shared" si="174"/>
        <v>Within SLA</v>
      </c>
      <c r="P2181" s="26" t="s">
        <v>8476</v>
      </c>
      <c r="Q2181" s="24" t="s">
        <v>37</v>
      </c>
      <c r="R2181" s="25"/>
      <c r="S2181" s="25"/>
    </row>
    <row r="2182" ht="27" customHeight="1" spans="1:19">
      <c r="A2182" s="19" t="s">
        <v>8479</v>
      </c>
      <c r="B2182" s="20" t="s">
        <v>30</v>
      </c>
      <c r="C2182" s="20" t="s">
        <v>4889</v>
      </c>
      <c r="D2182" s="20" t="s">
        <v>32</v>
      </c>
      <c r="E2182" s="21" t="s">
        <v>8480</v>
      </c>
      <c r="F2182" s="21" t="s">
        <v>8481</v>
      </c>
      <c r="G2182" s="20" t="s">
        <v>35</v>
      </c>
      <c r="H2182" s="20" t="s">
        <v>25</v>
      </c>
      <c r="I2182" s="21" t="s">
        <v>8482</v>
      </c>
      <c r="J2182" s="22">
        <f t="shared" si="170"/>
        <v>2.03680555555184</v>
      </c>
      <c r="K2182" s="22">
        <f t="shared" si="171"/>
        <v>48.8833333332441</v>
      </c>
      <c r="L2182" s="22">
        <f t="shared" si="172"/>
        <v>16.8833333332441</v>
      </c>
      <c r="M2182" s="22" cm="1">
        <f ca="1" t="array" ref="M2182">SUMPRODUCT(--(WEEKDAY(ROW(INDIRECT(INT(F2182)&amp;":"&amp;INT(I2182))),2)&gt;5))</f>
        <v>0</v>
      </c>
      <c r="N2182" s="22">
        <f ca="1" t="shared" si="173"/>
        <v>16.8833333332441</v>
      </c>
      <c r="O2182" s="22" t="str">
        <f ca="1" t="shared" si="174"/>
        <v>SLA Violated</v>
      </c>
      <c r="P2182" s="23" t="s">
        <v>8483</v>
      </c>
      <c r="Q2182" s="24" t="s">
        <v>28</v>
      </c>
      <c r="R2182" s="25"/>
      <c r="S2182" s="25"/>
    </row>
    <row r="2183" ht="39" customHeight="1" spans="1:19">
      <c r="A2183" s="19" t="s">
        <v>8484</v>
      </c>
      <c r="B2183" s="20" t="s">
        <v>702</v>
      </c>
      <c r="C2183" s="20" t="s">
        <v>46</v>
      </c>
      <c r="D2183" s="20" t="s">
        <v>32</v>
      </c>
      <c r="E2183" s="21" t="s">
        <v>8485</v>
      </c>
      <c r="F2183" s="21" t="s">
        <v>8486</v>
      </c>
      <c r="G2183" s="20" t="s">
        <v>35</v>
      </c>
      <c r="H2183" s="20" t="s">
        <v>25</v>
      </c>
      <c r="I2183" s="21" t="s">
        <v>8487</v>
      </c>
      <c r="J2183" s="22">
        <f t="shared" si="170"/>
        <v>0.0902777777737356</v>
      </c>
      <c r="K2183" s="22">
        <f t="shared" si="171"/>
        <v>2.16666666656965</v>
      </c>
      <c r="L2183" s="22">
        <f t="shared" si="172"/>
        <v>2.16666666656965</v>
      </c>
      <c r="M2183" s="22" cm="1">
        <f ca="1" t="array" ref="M2183">SUMPRODUCT(--(WEEKDAY(ROW(INDIRECT(INT(F2183)&amp;":"&amp;INT(I2183))),2)&gt;5))</f>
        <v>0</v>
      </c>
      <c r="N2183" s="22">
        <f ca="1" t="shared" si="173"/>
        <v>2.16666666656965</v>
      </c>
      <c r="O2183" s="22" t="str">
        <f ca="1" t="shared" si="174"/>
        <v>Within SLA</v>
      </c>
      <c r="P2183" s="26" t="s">
        <v>8484</v>
      </c>
      <c r="Q2183" s="24" t="s">
        <v>37</v>
      </c>
      <c r="R2183" s="25"/>
      <c r="S2183" s="25"/>
    </row>
    <row r="2184" ht="27" customHeight="1" spans="1:19">
      <c r="A2184" s="19" t="s">
        <v>8488</v>
      </c>
      <c r="B2184" s="20" t="s">
        <v>30</v>
      </c>
      <c r="C2184" s="20" t="s">
        <v>31</v>
      </c>
      <c r="D2184" s="20" t="s">
        <v>32</v>
      </c>
      <c r="E2184" s="21" t="s">
        <v>8489</v>
      </c>
      <c r="F2184" s="21" t="s">
        <v>8490</v>
      </c>
      <c r="G2184" s="20" t="s">
        <v>35</v>
      </c>
      <c r="H2184" s="20" t="s">
        <v>25</v>
      </c>
      <c r="I2184" s="21" t="s">
        <v>8491</v>
      </c>
      <c r="J2184" s="22">
        <f t="shared" si="170"/>
        <v>9.88263888889196</v>
      </c>
      <c r="K2184" s="22">
        <f t="shared" si="171"/>
        <v>237.183333333407</v>
      </c>
      <c r="L2184" s="22">
        <f t="shared" si="172"/>
        <v>77.1833333334071</v>
      </c>
      <c r="M2184" s="22" cm="1">
        <f ca="1" t="array" ref="M2184">SUMPRODUCT(--(WEEKDAY(ROW(INDIRECT(INT(F2184)&amp;":"&amp;INT(I2184))),2)&gt;5))</f>
        <v>2</v>
      </c>
      <c r="N2184" s="22">
        <f ca="1" t="shared" si="173"/>
        <v>61.1833333334071</v>
      </c>
      <c r="O2184" s="22" t="str">
        <f ca="1" t="shared" si="174"/>
        <v>SLA Violated</v>
      </c>
      <c r="P2184" s="26" t="s">
        <v>8488</v>
      </c>
      <c r="Q2184" s="24" t="s">
        <v>28</v>
      </c>
      <c r="R2184" s="25"/>
      <c r="S2184" s="25"/>
    </row>
    <row r="2185" ht="27" customHeight="1" spans="1:19">
      <c r="A2185" s="19" t="s">
        <v>8492</v>
      </c>
      <c r="B2185" s="20" t="s">
        <v>30</v>
      </c>
      <c r="C2185" s="20" t="s">
        <v>31</v>
      </c>
      <c r="D2185" s="20" t="s">
        <v>32</v>
      </c>
      <c r="E2185" s="21" t="s">
        <v>8493</v>
      </c>
      <c r="F2185" s="21" t="s">
        <v>8494</v>
      </c>
      <c r="G2185" s="20" t="s">
        <v>35</v>
      </c>
      <c r="H2185" s="20" t="s">
        <v>25</v>
      </c>
      <c r="I2185" s="21" t="s">
        <v>8495</v>
      </c>
      <c r="J2185" s="22">
        <f t="shared" si="170"/>
        <v>10.1499999999942</v>
      </c>
      <c r="K2185" s="22">
        <f t="shared" si="171"/>
        <v>243.59999999986</v>
      </c>
      <c r="L2185" s="22">
        <f t="shared" si="172"/>
        <v>83.5999999998603</v>
      </c>
      <c r="M2185" s="22" cm="1">
        <f ca="1" t="array" ref="M2185">SUMPRODUCT(--(WEEKDAY(ROW(INDIRECT(INT(F2185)&amp;":"&amp;INT(I2185))),2)&gt;5))</f>
        <v>2</v>
      </c>
      <c r="N2185" s="22">
        <f ca="1" t="shared" si="173"/>
        <v>67.5999999998603</v>
      </c>
      <c r="O2185" s="22" t="str">
        <f ca="1" t="shared" si="174"/>
        <v>SLA Violated</v>
      </c>
      <c r="P2185" s="26" t="s">
        <v>8492</v>
      </c>
      <c r="Q2185" s="24" t="s">
        <v>28</v>
      </c>
      <c r="R2185" s="25"/>
      <c r="S2185" s="25"/>
    </row>
    <row r="2186" ht="39" customHeight="1" spans="1:19">
      <c r="A2186" s="19" t="s">
        <v>8496</v>
      </c>
      <c r="B2186" s="20" t="s">
        <v>4167</v>
      </c>
      <c r="C2186" s="20" t="s">
        <v>4889</v>
      </c>
      <c r="D2186" s="20" t="s">
        <v>32</v>
      </c>
      <c r="E2186" s="21" t="s">
        <v>8497</v>
      </c>
      <c r="F2186" s="21" t="s">
        <v>8498</v>
      </c>
      <c r="G2186" s="20" t="s">
        <v>35</v>
      </c>
      <c r="H2186" s="20" t="s">
        <v>25</v>
      </c>
      <c r="I2186" s="21" t="s">
        <v>8499</v>
      </c>
      <c r="J2186" s="22">
        <f t="shared" si="170"/>
        <v>6.02430555555475</v>
      </c>
      <c r="K2186" s="22">
        <f t="shared" si="171"/>
        <v>144.583333333314</v>
      </c>
      <c r="L2186" s="22">
        <f t="shared" si="172"/>
        <v>48.5833333333139</v>
      </c>
      <c r="M2186" s="22" cm="1">
        <f ca="1" t="array" ref="M2186">SUMPRODUCT(--(WEEKDAY(ROW(INDIRECT(INT(F2186)&amp;":"&amp;INT(I2186))),2)&gt;5))</f>
        <v>2</v>
      </c>
      <c r="N2186" s="22">
        <f ca="1" t="shared" si="173"/>
        <v>32.5833333333139</v>
      </c>
      <c r="O2186" s="22" t="str">
        <f ca="1" t="shared" si="174"/>
        <v>SLA Violated</v>
      </c>
      <c r="P2186" s="23" t="s">
        <v>8500</v>
      </c>
      <c r="Q2186" s="24" t="s">
        <v>28</v>
      </c>
      <c r="R2186" s="25"/>
      <c r="S2186" s="25"/>
    </row>
    <row r="2187" ht="27" customHeight="1" spans="1:19">
      <c r="A2187" s="19" t="s">
        <v>8501</v>
      </c>
      <c r="B2187" s="20" t="s">
        <v>30</v>
      </c>
      <c r="C2187" s="20" t="s">
        <v>4889</v>
      </c>
      <c r="D2187" s="20" t="s">
        <v>32</v>
      </c>
      <c r="E2187" s="21" t="s">
        <v>8497</v>
      </c>
      <c r="F2187" s="21" t="s">
        <v>8502</v>
      </c>
      <c r="G2187" s="20" t="s">
        <v>35</v>
      </c>
      <c r="H2187" s="20" t="s">
        <v>25</v>
      </c>
      <c r="I2187" s="21" t="s">
        <v>8499</v>
      </c>
      <c r="J2187" s="22">
        <f t="shared" si="170"/>
        <v>1.98888888888905</v>
      </c>
      <c r="K2187" s="22">
        <f t="shared" si="171"/>
        <v>47.7333333333372</v>
      </c>
      <c r="L2187" s="22">
        <f t="shared" si="172"/>
        <v>15.7333333333372</v>
      </c>
      <c r="M2187" s="22" cm="1">
        <f ca="1" t="array" ref="M2187">SUMPRODUCT(--(WEEKDAY(ROW(INDIRECT(INT(F2187)&amp;":"&amp;INT(I2187))),2)&gt;5))</f>
        <v>0</v>
      </c>
      <c r="N2187" s="22">
        <f ca="1" t="shared" si="173"/>
        <v>15.7333333333372</v>
      </c>
      <c r="O2187" s="22" t="str">
        <f ca="1" t="shared" si="174"/>
        <v>SLA Violated</v>
      </c>
      <c r="P2187" s="23" t="s">
        <v>8503</v>
      </c>
      <c r="Q2187" s="24" t="s">
        <v>28</v>
      </c>
      <c r="R2187" s="25"/>
      <c r="S2187" s="25"/>
    </row>
    <row r="2188" ht="27" customHeight="1" spans="1:19">
      <c r="A2188" s="19" t="s">
        <v>8504</v>
      </c>
      <c r="B2188" s="20" t="s">
        <v>30</v>
      </c>
      <c r="C2188" s="20" t="s">
        <v>31</v>
      </c>
      <c r="D2188" s="20" t="s">
        <v>32</v>
      </c>
      <c r="E2188" s="21" t="s">
        <v>8505</v>
      </c>
      <c r="F2188" s="21" t="s">
        <v>8506</v>
      </c>
      <c r="G2188" s="20" t="s">
        <v>35</v>
      </c>
      <c r="H2188" s="20" t="s">
        <v>25</v>
      </c>
      <c r="I2188" s="21" t="s">
        <v>8507</v>
      </c>
      <c r="J2188" s="22">
        <f t="shared" si="170"/>
        <v>13.0118055555504</v>
      </c>
      <c r="K2188" s="22">
        <f t="shared" si="171"/>
        <v>312.283333333209</v>
      </c>
      <c r="L2188" s="22">
        <f t="shared" si="172"/>
        <v>104.283333333209</v>
      </c>
      <c r="M2188" s="22" cm="1">
        <f ca="1" t="array" ref="M2188">SUMPRODUCT(--(WEEKDAY(ROW(INDIRECT(INT(F2188)&amp;":"&amp;INT(I2188))),2)&gt;5))</f>
        <v>4</v>
      </c>
      <c r="N2188" s="22">
        <f ca="1" t="shared" si="173"/>
        <v>72.283333333209</v>
      </c>
      <c r="O2188" s="22" t="str">
        <f ca="1" t="shared" si="174"/>
        <v>SLA Violated</v>
      </c>
      <c r="P2188" s="26" t="s">
        <v>8504</v>
      </c>
      <c r="Q2188" s="24" t="s">
        <v>28</v>
      </c>
      <c r="R2188" s="25"/>
      <c r="S2188" s="25"/>
    </row>
    <row r="2189" ht="27" customHeight="1" spans="1:19">
      <c r="A2189" s="19" t="s">
        <v>8508</v>
      </c>
      <c r="B2189" s="20" t="s">
        <v>30</v>
      </c>
      <c r="C2189" s="20" t="s">
        <v>4889</v>
      </c>
      <c r="D2189" s="20" t="s">
        <v>32</v>
      </c>
      <c r="E2189" s="21" t="s">
        <v>8507</v>
      </c>
      <c r="F2189" s="21" t="s">
        <v>8509</v>
      </c>
      <c r="G2189" s="20" t="s">
        <v>35</v>
      </c>
      <c r="H2189" s="20" t="s">
        <v>25</v>
      </c>
      <c r="I2189" s="21" t="s">
        <v>8510</v>
      </c>
      <c r="J2189" s="22">
        <f t="shared" si="170"/>
        <v>1.21319444444089</v>
      </c>
      <c r="K2189" s="22">
        <f t="shared" si="171"/>
        <v>29.1166666665813</v>
      </c>
      <c r="L2189" s="22">
        <f t="shared" si="172"/>
        <v>13.1166666665813</v>
      </c>
      <c r="M2189" s="22" cm="1">
        <f ca="1" t="array" ref="M2189">SUMPRODUCT(--(WEEKDAY(ROW(INDIRECT(INT(F2189)&amp;":"&amp;INT(I2189))),2)&gt;5))</f>
        <v>0</v>
      </c>
      <c r="N2189" s="22">
        <f ca="1" t="shared" si="173"/>
        <v>13.1166666665813</v>
      </c>
      <c r="O2189" s="22" t="str">
        <f ca="1" t="shared" si="174"/>
        <v>SLA Violated</v>
      </c>
      <c r="P2189" s="23" t="s">
        <v>8511</v>
      </c>
      <c r="Q2189" s="24" t="s">
        <v>28</v>
      </c>
      <c r="R2189" s="25"/>
      <c r="S2189" s="25"/>
    </row>
    <row r="2190" ht="16" customHeight="1" spans="1:19">
      <c r="A2190" s="19" t="s">
        <v>8512</v>
      </c>
      <c r="B2190" s="20" t="s">
        <v>100</v>
      </c>
      <c r="C2190" s="20" t="s">
        <v>101</v>
      </c>
      <c r="D2190" s="20" t="s">
        <v>32</v>
      </c>
      <c r="E2190" s="21" t="s">
        <v>8507</v>
      </c>
      <c r="F2190" s="21" t="s">
        <v>8513</v>
      </c>
      <c r="G2190" s="20" t="s">
        <v>24</v>
      </c>
      <c r="H2190" s="20" t="s">
        <v>25</v>
      </c>
      <c r="I2190" s="21" t="s">
        <v>8514</v>
      </c>
      <c r="J2190" s="22">
        <f t="shared" si="170"/>
        <v>7.12013888889487</v>
      </c>
      <c r="K2190" s="22">
        <f t="shared" si="171"/>
        <v>170.883333333477</v>
      </c>
      <c r="L2190" s="22">
        <f t="shared" si="172"/>
        <v>58.8833333334769</v>
      </c>
      <c r="M2190" s="22" cm="1">
        <f ca="1" t="array" ref="M2190">SUMPRODUCT(--(WEEKDAY(ROW(INDIRECT(INT(F2190)&amp;":"&amp;INT(I2190))),2)&gt;5))</f>
        <v>2</v>
      </c>
      <c r="N2190" s="22">
        <f ca="1" t="shared" si="173"/>
        <v>42.8833333334769</v>
      </c>
      <c r="O2190" s="22" t="str">
        <f ca="1" t="shared" si="174"/>
        <v>SLA Violated</v>
      </c>
      <c r="P2190" s="23" t="s">
        <v>8515</v>
      </c>
      <c r="Q2190" s="24" t="s">
        <v>37</v>
      </c>
      <c r="R2190" s="25" t="s">
        <v>1020</v>
      </c>
      <c r="S2190" s="25" t="s">
        <v>39</v>
      </c>
    </row>
    <row r="2191" ht="27" customHeight="1" spans="1:19">
      <c r="A2191" s="19" t="s">
        <v>8516</v>
      </c>
      <c r="B2191" s="20" t="s">
        <v>30</v>
      </c>
      <c r="C2191" s="20" t="s">
        <v>31</v>
      </c>
      <c r="D2191" s="20" t="s">
        <v>32</v>
      </c>
      <c r="E2191" s="21" t="s">
        <v>8517</v>
      </c>
      <c r="F2191" s="21" t="s">
        <v>8518</v>
      </c>
      <c r="G2191" s="20" t="s">
        <v>35</v>
      </c>
      <c r="H2191" s="20" t="s">
        <v>25</v>
      </c>
      <c r="I2191" s="21" t="s">
        <v>8519</v>
      </c>
      <c r="J2191" s="22">
        <f t="shared" si="170"/>
        <v>20.1673611111109</v>
      </c>
      <c r="K2191" s="22">
        <f t="shared" si="171"/>
        <v>484.016666666663</v>
      </c>
      <c r="L2191" s="22">
        <f t="shared" si="172"/>
        <v>164.016666666663</v>
      </c>
      <c r="M2191" s="22" cm="1">
        <f ca="1" t="array" ref="M2191">SUMPRODUCT(--(WEEKDAY(ROW(INDIRECT(INT(F2191)&amp;":"&amp;INT(I2191))),2)&gt;5))</f>
        <v>6</v>
      </c>
      <c r="N2191" s="22">
        <f ca="1" t="shared" si="173"/>
        <v>116.016666666663</v>
      </c>
      <c r="O2191" s="22" t="str">
        <f ca="1" t="shared" si="174"/>
        <v>SLA Violated</v>
      </c>
      <c r="P2191" s="26" t="s">
        <v>8516</v>
      </c>
      <c r="Q2191" s="24" t="s">
        <v>28</v>
      </c>
      <c r="R2191" s="25"/>
      <c r="S2191" s="25"/>
    </row>
    <row r="2192" ht="27" customHeight="1" spans="1:19">
      <c r="A2192" s="19" t="s">
        <v>8520</v>
      </c>
      <c r="B2192" s="20" t="s">
        <v>30</v>
      </c>
      <c r="C2192" s="20" t="s">
        <v>4889</v>
      </c>
      <c r="D2192" s="20" t="s">
        <v>32</v>
      </c>
      <c r="E2192" s="21" t="s">
        <v>8521</v>
      </c>
      <c r="F2192" s="21" t="s">
        <v>8522</v>
      </c>
      <c r="G2192" s="20" t="s">
        <v>35</v>
      </c>
      <c r="H2192" s="20" t="s">
        <v>25</v>
      </c>
      <c r="I2192" s="21" t="s">
        <v>8523</v>
      </c>
      <c r="J2192" s="22">
        <f t="shared" si="170"/>
        <v>1.0048611111124</v>
      </c>
      <c r="K2192" s="22">
        <f t="shared" si="171"/>
        <v>24.1166666666977</v>
      </c>
      <c r="L2192" s="22">
        <f t="shared" si="172"/>
        <v>8.11666666669771</v>
      </c>
      <c r="M2192" s="22" cm="1">
        <f ca="1" t="array" ref="M2192">SUMPRODUCT(--(WEEKDAY(ROW(INDIRECT(INT(F2192)&amp;":"&amp;INT(I2192))),2)&gt;5))</f>
        <v>0</v>
      </c>
      <c r="N2192" s="22">
        <f ca="1" t="shared" si="173"/>
        <v>8.11666666669771</v>
      </c>
      <c r="O2192" s="22" t="str">
        <f ca="1" t="shared" si="174"/>
        <v>Within SLA</v>
      </c>
      <c r="P2192" s="26" t="s">
        <v>8520</v>
      </c>
      <c r="Q2192" s="24" t="s">
        <v>37</v>
      </c>
      <c r="R2192" s="25"/>
      <c r="S2192" s="25"/>
    </row>
    <row r="2193" ht="27" customHeight="1" spans="1:19">
      <c r="A2193" s="19" t="s">
        <v>8524</v>
      </c>
      <c r="B2193" s="20" t="s">
        <v>30</v>
      </c>
      <c r="C2193" s="20" t="s">
        <v>31</v>
      </c>
      <c r="D2193" s="20" t="s">
        <v>32</v>
      </c>
      <c r="E2193" s="21" t="s">
        <v>8525</v>
      </c>
      <c r="F2193" s="21" t="s">
        <v>8526</v>
      </c>
      <c r="G2193" s="20" t="s">
        <v>35</v>
      </c>
      <c r="H2193" s="20" t="s">
        <v>25</v>
      </c>
      <c r="I2193" s="21" t="s">
        <v>8527</v>
      </c>
      <c r="J2193" s="22">
        <f t="shared" si="170"/>
        <v>13.1173611111153</v>
      </c>
      <c r="K2193" s="22">
        <f t="shared" si="171"/>
        <v>314.816666666768</v>
      </c>
      <c r="L2193" s="22">
        <f t="shared" si="172"/>
        <v>106.816666666768</v>
      </c>
      <c r="M2193" s="22" cm="1">
        <f ca="1" t="array" ref="M2193">SUMPRODUCT(--(WEEKDAY(ROW(INDIRECT(INT(F2193)&amp;":"&amp;INT(I2193))),2)&gt;5))</f>
        <v>4</v>
      </c>
      <c r="N2193" s="22">
        <f ca="1" t="shared" si="173"/>
        <v>74.816666666768</v>
      </c>
      <c r="O2193" s="22" t="str">
        <f ca="1" t="shared" si="174"/>
        <v>SLA Violated</v>
      </c>
      <c r="P2193" s="26" t="s">
        <v>8524</v>
      </c>
      <c r="Q2193" s="24" t="s">
        <v>28</v>
      </c>
      <c r="R2193" s="25"/>
      <c r="S2193" s="25"/>
    </row>
    <row r="2194" ht="39" customHeight="1" spans="1:19">
      <c r="A2194" s="19" t="s">
        <v>8528</v>
      </c>
      <c r="B2194" s="20" t="s">
        <v>196</v>
      </c>
      <c r="C2194" s="20" t="s">
        <v>4889</v>
      </c>
      <c r="D2194" s="20" t="s">
        <v>32</v>
      </c>
      <c r="E2194" s="21" t="s">
        <v>8248</v>
      </c>
      <c r="F2194" s="21" t="s">
        <v>8529</v>
      </c>
      <c r="G2194" s="20" t="s">
        <v>35</v>
      </c>
      <c r="H2194" s="20" t="s">
        <v>25</v>
      </c>
      <c r="I2194" s="21" t="s">
        <v>8527</v>
      </c>
      <c r="J2194" s="22">
        <f t="shared" si="170"/>
        <v>1.96180555555475</v>
      </c>
      <c r="K2194" s="22">
        <f t="shared" si="171"/>
        <v>47.0833333333139</v>
      </c>
      <c r="L2194" s="22">
        <f t="shared" si="172"/>
        <v>15.0833333333139</v>
      </c>
      <c r="M2194" s="22" cm="1">
        <f ca="1" t="array" ref="M2194">SUMPRODUCT(--(WEEKDAY(ROW(INDIRECT(INT(F2194)&amp;":"&amp;INT(I2194))),2)&gt;5))</f>
        <v>0</v>
      </c>
      <c r="N2194" s="22">
        <f ca="1" t="shared" si="173"/>
        <v>15.0833333333139</v>
      </c>
      <c r="O2194" s="22" t="str">
        <f ca="1" t="shared" si="174"/>
        <v>SLA Violated</v>
      </c>
      <c r="P2194" s="23" t="s">
        <v>8530</v>
      </c>
      <c r="Q2194" s="24" t="s">
        <v>28</v>
      </c>
      <c r="R2194" s="25"/>
      <c r="S2194" s="25"/>
    </row>
    <row r="2195" ht="27" customHeight="1" spans="1:19">
      <c r="A2195" s="19" t="s">
        <v>8531</v>
      </c>
      <c r="B2195" s="20" t="s">
        <v>30</v>
      </c>
      <c r="C2195" s="20" t="s">
        <v>31</v>
      </c>
      <c r="D2195" s="20" t="s">
        <v>32</v>
      </c>
      <c r="E2195" s="21" t="s">
        <v>8100</v>
      </c>
      <c r="F2195" s="21" t="s">
        <v>8532</v>
      </c>
      <c r="G2195" s="20" t="s">
        <v>35</v>
      </c>
      <c r="H2195" s="20" t="s">
        <v>25</v>
      </c>
      <c r="I2195" s="21" t="s">
        <v>8533</v>
      </c>
      <c r="J2195" s="22">
        <f t="shared" si="170"/>
        <v>15.9798611111109</v>
      </c>
      <c r="K2195" s="22">
        <f t="shared" si="171"/>
        <v>383.516666666663</v>
      </c>
      <c r="L2195" s="22">
        <f t="shared" si="172"/>
        <v>127.516666666663</v>
      </c>
      <c r="M2195" s="22" cm="1">
        <f ca="1" t="array" ref="M2195">SUMPRODUCT(--(WEEKDAY(ROW(INDIRECT(INT(F2195)&amp;":"&amp;INT(I2195))),2)&gt;5))</f>
        <v>4</v>
      </c>
      <c r="N2195" s="22">
        <f ca="1" t="shared" si="173"/>
        <v>95.516666666663</v>
      </c>
      <c r="O2195" s="22" t="str">
        <f ca="1" t="shared" si="174"/>
        <v>SLA Violated</v>
      </c>
      <c r="P2195" s="26" t="s">
        <v>8531</v>
      </c>
      <c r="Q2195" s="24" t="s">
        <v>28</v>
      </c>
      <c r="R2195" s="25"/>
      <c r="S2195" s="25"/>
    </row>
    <row r="2196" ht="39" customHeight="1" spans="1:19">
      <c r="A2196" s="19" t="s">
        <v>8534</v>
      </c>
      <c r="B2196" s="20" t="s">
        <v>196</v>
      </c>
      <c r="C2196" s="20" t="s">
        <v>46</v>
      </c>
      <c r="D2196" s="20" t="s">
        <v>21</v>
      </c>
      <c r="E2196" s="21" t="s">
        <v>8533</v>
      </c>
      <c r="F2196" s="21" t="s">
        <v>8535</v>
      </c>
      <c r="G2196" s="20" t="s">
        <v>35</v>
      </c>
      <c r="H2196" s="20" t="s">
        <v>25</v>
      </c>
      <c r="I2196" s="21" t="s">
        <v>8536</v>
      </c>
      <c r="J2196" s="22">
        <f t="shared" si="170"/>
        <v>0.0180555555562023</v>
      </c>
      <c r="K2196" s="22">
        <f t="shared" si="171"/>
        <v>0.433333333348855</v>
      </c>
      <c r="L2196" s="22">
        <f t="shared" si="172"/>
        <v>0.433333333348855</v>
      </c>
      <c r="M2196" s="22" cm="1">
        <f ca="1" t="array" ref="M2196">SUMPRODUCT(--(WEEKDAY(ROW(INDIRECT(INT(F2196)&amp;":"&amp;INT(I2196))),2)&gt;5))</f>
        <v>0</v>
      </c>
      <c r="N2196" s="22">
        <f ca="1" t="shared" si="173"/>
        <v>0.433333333348855</v>
      </c>
      <c r="O2196" s="22" t="str">
        <f ca="1" t="shared" si="174"/>
        <v>Within SLA</v>
      </c>
      <c r="P2196" s="26" t="s">
        <v>8534</v>
      </c>
      <c r="Q2196" s="24" t="s">
        <v>37</v>
      </c>
      <c r="R2196" s="25"/>
      <c r="S2196" s="25"/>
    </row>
    <row r="2197" ht="27" customHeight="1" spans="1:19">
      <c r="A2197" s="19" t="s">
        <v>8537</v>
      </c>
      <c r="B2197" s="20" t="s">
        <v>30</v>
      </c>
      <c r="C2197" s="20" t="s">
        <v>31</v>
      </c>
      <c r="D2197" s="20" t="s">
        <v>21</v>
      </c>
      <c r="E2197" s="21" t="s">
        <v>8538</v>
      </c>
      <c r="F2197" s="21" t="s">
        <v>8539</v>
      </c>
      <c r="G2197" s="20" t="s">
        <v>35</v>
      </c>
      <c r="H2197" s="20" t="s">
        <v>25</v>
      </c>
      <c r="I2197" s="21" t="s">
        <v>8540</v>
      </c>
      <c r="J2197" s="22">
        <f t="shared" si="170"/>
        <v>19.875</v>
      </c>
      <c r="K2197" s="22">
        <f t="shared" si="171"/>
        <v>477</v>
      </c>
      <c r="L2197" s="22">
        <f t="shared" si="172"/>
        <v>157</v>
      </c>
      <c r="M2197" s="22" cm="1">
        <f ca="1" t="array" ref="M2197">SUMPRODUCT(--(WEEKDAY(ROW(INDIRECT(INT(F2197)&amp;":"&amp;INT(I2197))),2)&gt;5))</f>
        <v>6</v>
      </c>
      <c r="N2197" s="22">
        <f ca="1" t="shared" si="173"/>
        <v>109</v>
      </c>
      <c r="O2197" s="22" t="str">
        <f ca="1" t="shared" si="174"/>
        <v>SLA Violated</v>
      </c>
      <c r="P2197" s="23" t="s">
        <v>8541</v>
      </c>
      <c r="Q2197" s="24" t="s">
        <v>28</v>
      </c>
      <c r="R2197" s="25"/>
      <c r="S2197" s="25"/>
    </row>
    <row r="2198" ht="16" customHeight="1" spans="1:19">
      <c r="A2198" s="19" t="s">
        <v>8542</v>
      </c>
      <c r="B2198" s="20" t="s">
        <v>100</v>
      </c>
      <c r="C2198" s="20" t="s">
        <v>101</v>
      </c>
      <c r="D2198" s="20" t="s">
        <v>21</v>
      </c>
      <c r="E2198" s="21" t="s">
        <v>8543</v>
      </c>
      <c r="F2198" s="21" t="s">
        <v>8544</v>
      </c>
      <c r="G2198" s="20" t="s">
        <v>35</v>
      </c>
      <c r="H2198" s="20" t="s">
        <v>25</v>
      </c>
      <c r="I2198" s="21" t="s">
        <v>8545</v>
      </c>
      <c r="J2198" s="22">
        <f t="shared" si="170"/>
        <v>13.0868055555547</v>
      </c>
      <c r="K2198" s="22">
        <f t="shared" si="171"/>
        <v>314.083333333314</v>
      </c>
      <c r="L2198" s="22">
        <f t="shared" si="172"/>
        <v>106.083333333314</v>
      </c>
      <c r="M2198" s="22" cm="1">
        <f ca="1" t="array" ref="M2198">SUMPRODUCT(--(WEEKDAY(ROW(INDIRECT(INT(F2198)&amp;":"&amp;INT(I2198))),2)&gt;5))</f>
        <v>4</v>
      </c>
      <c r="N2198" s="22">
        <f ca="1" t="shared" si="173"/>
        <v>74.083333333314</v>
      </c>
      <c r="O2198" s="22" t="str">
        <f ca="1" t="shared" si="174"/>
        <v>SLA Violated</v>
      </c>
      <c r="P2198" s="23" t="s">
        <v>8546</v>
      </c>
      <c r="Q2198" s="24" t="s">
        <v>37</v>
      </c>
      <c r="R2198" s="25" t="s">
        <v>8547</v>
      </c>
      <c r="S2198" s="25" t="s">
        <v>39</v>
      </c>
    </row>
    <row r="2199" ht="27" customHeight="1" spans="1:19">
      <c r="A2199" s="19" t="s">
        <v>8548</v>
      </c>
      <c r="B2199" s="20" t="s">
        <v>30</v>
      </c>
      <c r="C2199" s="20" t="s">
        <v>4889</v>
      </c>
      <c r="D2199" s="20" t="s">
        <v>105</v>
      </c>
      <c r="E2199" s="21" t="s">
        <v>8543</v>
      </c>
      <c r="F2199" s="21" t="s">
        <v>8549</v>
      </c>
      <c r="G2199" s="20" t="s">
        <v>35</v>
      </c>
      <c r="H2199" s="20" t="s">
        <v>25</v>
      </c>
      <c r="I2199" s="21" t="s">
        <v>8545</v>
      </c>
      <c r="J2199" s="22">
        <f t="shared" si="170"/>
        <v>6.16597222222481</v>
      </c>
      <c r="K2199" s="22">
        <f t="shared" si="171"/>
        <v>147.983333333395</v>
      </c>
      <c r="L2199" s="22">
        <f t="shared" si="172"/>
        <v>51.9833333333954</v>
      </c>
      <c r="M2199" s="22" cm="1">
        <f ca="1" t="array" ref="M2199">SUMPRODUCT(--(WEEKDAY(ROW(INDIRECT(INT(F2199)&amp;":"&amp;INT(I2199))),2)&gt;5))</f>
        <v>2</v>
      </c>
      <c r="N2199" s="22">
        <f ca="1" t="shared" si="173"/>
        <v>35.9833333333954</v>
      </c>
      <c r="O2199" s="22" t="str">
        <f ca="1" t="shared" si="174"/>
        <v>SLA Violated</v>
      </c>
      <c r="P2199" s="23" t="s">
        <v>8550</v>
      </c>
      <c r="Q2199" s="24" t="s">
        <v>28</v>
      </c>
      <c r="R2199" s="25"/>
      <c r="S2199" s="25"/>
    </row>
    <row r="2200" ht="27" customHeight="1" spans="1:19">
      <c r="A2200" s="19" t="s">
        <v>8551</v>
      </c>
      <c r="B2200" s="20" t="s">
        <v>121</v>
      </c>
      <c r="C2200" s="20" t="s">
        <v>46</v>
      </c>
      <c r="D2200" s="20" t="s">
        <v>32</v>
      </c>
      <c r="E2200" s="21" t="s">
        <v>8552</v>
      </c>
      <c r="F2200" s="21" t="s">
        <v>8553</v>
      </c>
      <c r="G2200" s="20" t="s">
        <v>35</v>
      </c>
      <c r="H2200" s="20" t="s">
        <v>25</v>
      </c>
      <c r="I2200" s="21" t="s">
        <v>8554</v>
      </c>
      <c r="J2200" s="22">
        <f t="shared" si="170"/>
        <v>0.0826388888890506</v>
      </c>
      <c r="K2200" s="22">
        <f t="shared" si="171"/>
        <v>1.98333333333721</v>
      </c>
      <c r="L2200" s="22">
        <f t="shared" si="172"/>
        <v>1.98333333333721</v>
      </c>
      <c r="M2200" s="22" cm="1">
        <f ca="1" t="array" ref="M2200">SUMPRODUCT(--(WEEKDAY(ROW(INDIRECT(INT(F2200)&amp;":"&amp;INT(I2200))),2)&gt;5))</f>
        <v>0</v>
      </c>
      <c r="N2200" s="22">
        <f ca="1" t="shared" si="173"/>
        <v>1.98333333333721</v>
      </c>
      <c r="O2200" s="22" t="str">
        <f ca="1" t="shared" si="174"/>
        <v>Within SLA</v>
      </c>
      <c r="P2200" s="26" t="s">
        <v>8551</v>
      </c>
      <c r="Q2200" s="24" t="s">
        <v>37</v>
      </c>
      <c r="R2200" s="25"/>
      <c r="S2200" s="25"/>
    </row>
    <row r="2201" ht="27" customHeight="1" spans="1:19">
      <c r="A2201" s="19" t="s">
        <v>8555</v>
      </c>
      <c r="B2201" s="20" t="s">
        <v>139</v>
      </c>
      <c r="C2201" s="20" t="s">
        <v>2057</v>
      </c>
      <c r="D2201" s="20" t="s">
        <v>32</v>
      </c>
      <c r="E2201" s="21" t="s">
        <v>8556</v>
      </c>
      <c r="F2201" s="21" t="s">
        <v>7014</v>
      </c>
      <c r="G2201" s="20" t="s">
        <v>24</v>
      </c>
      <c r="H2201" s="20" t="s">
        <v>25</v>
      </c>
      <c r="I2201" s="21" t="s">
        <v>8557</v>
      </c>
      <c r="J2201" s="22">
        <f t="shared" si="170"/>
        <v>49.8138888888861</v>
      </c>
      <c r="K2201" s="22">
        <f t="shared" si="171"/>
        <v>1195.53333333327</v>
      </c>
      <c r="L2201" s="22">
        <f t="shared" si="172"/>
        <v>395.533333333267</v>
      </c>
      <c r="M2201" s="22" cm="1">
        <f ca="1" t="array" ref="M2201">SUMPRODUCT(--(WEEKDAY(ROW(INDIRECT(INT(F2201)&amp;":"&amp;INT(I2201))),2)&gt;5))</f>
        <v>14</v>
      </c>
      <c r="N2201" s="22">
        <f ca="1" t="shared" si="173"/>
        <v>283.533333333267</v>
      </c>
      <c r="O2201" s="22" t="str">
        <f ca="1" t="shared" si="174"/>
        <v>SLA Violated</v>
      </c>
      <c r="P2201" s="23" t="s">
        <v>8558</v>
      </c>
      <c r="Q2201" s="24" t="s">
        <v>37</v>
      </c>
      <c r="R2201" s="25" t="s">
        <v>220</v>
      </c>
      <c r="S2201" s="25" t="s">
        <v>39</v>
      </c>
    </row>
    <row r="2202" ht="39" customHeight="1" spans="1:19">
      <c r="A2202" s="19" t="s">
        <v>8559</v>
      </c>
      <c r="B2202" s="20" t="s">
        <v>19</v>
      </c>
      <c r="C2202" s="20" t="s">
        <v>20</v>
      </c>
      <c r="D2202" s="20" t="s">
        <v>32</v>
      </c>
      <c r="E2202" s="21" t="s">
        <v>8560</v>
      </c>
      <c r="F2202" s="21" t="s">
        <v>8561</v>
      </c>
      <c r="G2202" s="20" t="s">
        <v>35</v>
      </c>
      <c r="H2202" s="20" t="s">
        <v>25</v>
      </c>
      <c r="I2202" s="21" t="s">
        <v>8562</v>
      </c>
      <c r="J2202" s="22">
        <f t="shared" si="170"/>
        <v>0.179861111115315</v>
      </c>
      <c r="K2202" s="22">
        <f t="shared" si="171"/>
        <v>4.31666666676756</v>
      </c>
      <c r="L2202" s="22">
        <f t="shared" si="172"/>
        <v>4.31666666676756</v>
      </c>
      <c r="M2202" s="22" cm="1">
        <f ca="1" t="array" ref="M2202">SUMPRODUCT(--(WEEKDAY(ROW(INDIRECT(INT(F2202)&amp;":"&amp;INT(I2202))),2)&gt;5))</f>
        <v>0</v>
      </c>
      <c r="N2202" s="22">
        <f ca="1" t="shared" si="173"/>
        <v>4.31666666676756</v>
      </c>
      <c r="O2202" s="22" t="str">
        <f ca="1" t="shared" si="174"/>
        <v>Within SLA</v>
      </c>
      <c r="P2202" s="26" t="s">
        <v>8559</v>
      </c>
      <c r="Q2202" s="24" t="s">
        <v>37</v>
      </c>
      <c r="R2202" s="25"/>
      <c r="S2202" s="25"/>
    </row>
    <row r="2203" ht="39" customHeight="1" spans="1:19">
      <c r="A2203" s="19" t="s">
        <v>8563</v>
      </c>
      <c r="B2203" s="20" t="s">
        <v>19</v>
      </c>
      <c r="C2203" s="20" t="s">
        <v>20</v>
      </c>
      <c r="D2203" s="20" t="s">
        <v>32</v>
      </c>
      <c r="E2203" s="21" t="s">
        <v>8564</v>
      </c>
      <c r="F2203" s="21" t="s">
        <v>8565</v>
      </c>
      <c r="G2203" s="20" t="s">
        <v>35</v>
      </c>
      <c r="H2203" s="20" t="s">
        <v>25</v>
      </c>
      <c r="I2203" s="21" t="s">
        <v>8566</v>
      </c>
      <c r="J2203" s="22">
        <f t="shared" si="170"/>
        <v>0.849999999998545</v>
      </c>
      <c r="K2203" s="22">
        <f t="shared" si="171"/>
        <v>20.3999999999651</v>
      </c>
      <c r="L2203" s="22">
        <f t="shared" si="172"/>
        <v>4.39999999996508</v>
      </c>
      <c r="M2203" s="22" cm="1">
        <f ca="1" t="array" ref="M2203">SUMPRODUCT(--(WEEKDAY(ROW(INDIRECT(INT(F2203)&amp;":"&amp;INT(I2203))),2)&gt;5))</f>
        <v>0</v>
      </c>
      <c r="N2203" s="22">
        <f ca="1" t="shared" si="173"/>
        <v>4.39999999996508</v>
      </c>
      <c r="O2203" s="22" t="str">
        <f ca="1" t="shared" si="174"/>
        <v>Within SLA</v>
      </c>
      <c r="P2203" s="26" t="s">
        <v>8563</v>
      </c>
      <c r="Q2203" s="24" t="s">
        <v>37</v>
      </c>
      <c r="R2203" s="25"/>
      <c r="S2203" s="25"/>
    </row>
    <row r="2204" ht="39" customHeight="1" spans="1:19">
      <c r="A2204" s="19" t="s">
        <v>8567</v>
      </c>
      <c r="B2204" s="20" t="s">
        <v>19</v>
      </c>
      <c r="C2204" s="20" t="s">
        <v>20</v>
      </c>
      <c r="D2204" s="20" t="s">
        <v>32</v>
      </c>
      <c r="E2204" s="21" t="s">
        <v>8568</v>
      </c>
      <c r="F2204" s="21" t="s">
        <v>8569</v>
      </c>
      <c r="G2204" s="20" t="s">
        <v>35</v>
      </c>
      <c r="H2204" s="20" t="s">
        <v>25</v>
      </c>
      <c r="I2204" s="21" t="s">
        <v>8570</v>
      </c>
      <c r="J2204" s="22">
        <f t="shared" si="170"/>
        <v>0.023611111115315</v>
      </c>
      <c r="K2204" s="22">
        <f t="shared" si="171"/>
        <v>0.56666666676756</v>
      </c>
      <c r="L2204" s="22">
        <f t="shared" si="172"/>
        <v>0.56666666676756</v>
      </c>
      <c r="M2204" s="22" cm="1">
        <f ca="1" t="array" ref="M2204">SUMPRODUCT(--(WEEKDAY(ROW(INDIRECT(INT(F2204)&amp;":"&amp;INT(I2204))),2)&gt;5))</f>
        <v>0</v>
      </c>
      <c r="N2204" s="22">
        <f ca="1" t="shared" si="173"/>
        <v>0.56666666676756</v>
      </c>
      <c r="O2204" s="22" t="str">
        <f ca="1" t="shared" si="174"/>
        <v>Within SLA</v>
      </c>
      <c r="P2204" s="26" t="s">
        <v>8567</v>
      </c>
      <c r="Q2204" s="24" t="s">
        <v>37</v>
      </c>
      <c r="R2204" s="25"/>
      <c r="S2204" s="25"/>
    </row>
    <row r="2205" ht="27" customHeight="1" spans="1:19">
      <c r="A2205" s="19" t="s">
        <v>8571</v>
      </c>
      <c r="B2205" s="20" t="s">
        <v>30</v>
      </c>
      <c r="C2205" s="20" t="s">
        <v>4889</v>
      </c>
      <c r="D2205" s="20" t="s">
        <v>32</v>
      </c>
      <c r="E2205" s="21" t="s">
        <v>8572</v>
      </c>
      <c r="F2205" s="21" t="s">
        <v>8573</v>
      </c>
      <c r="G2205" s="20" t="s">
        <v>35</v>
      </c>
      <c r="H2205" s="20" t="s">
        <v>25</v>
      </c>
      <c r="I2205" s="21" t="s">
        <v>8574</v>
      </c>
      <c r="J2205" s="22">
        <f t="shared" si="170"/>
        <v>1.875</v>
      </c>
      <c r="K2205" s="22">
        <f t="shared" si="171"/>
        <v>45</v>
      </c>
      <c r="L2205" s="22">
        <f t="shared" si="172"/>
        <v>13</v>
      </c>
      <c r="M2205" s="22" cm="1">
        <f ca="1" t="array" ref="M2205">SUMPRODUCT(--(WEEKDAY(ROW(INDIRECT(INT(F2205)&amp;":"&amp;INT(I2205))),2)&gt;5))</f>
        <v>0</v>
      </c>
      <c r="N2205" s="22">
        <f ca="1" t="shared" si="173"/>
        <v>13</v>
      </c>
      <c r="O2205" s="22" t="str">
        <f ca="1" t="shared" si="174"/>
        <v>SLA Violated</v>
      </c>
      <c r="P2205" s="23" t="s">
        <v>8575</v>
      </c>
      <c r="Q2205" s="24" t="s">
        <v>28</v>
      </c>
      <c r="R2205" s="25"/>
      <c r="S2205" s="25"/>
    </row>
    <row r="2206" ht="39" customHeight="1" spans="1:19">
      <c r="A2206" s="19" t="s">
        <v>8576</v>
      </c>
      <c r="B2206" s="20" t="s">
        <v>19</v>
      </c>
      <c r="C2206" s="20" t="s">
        <v>20</v>
      </c>
      <c r="D2206" s="20" t="s">
        <v>32</v>
      </c>
      <c r="E2206" s="21" t="s">
        <v>8577</v>
      </c>
      <c r="F2206" s="21" t="s">
        <v>8578</v>
      </c>
      <c r="G2206" s="20" t="s">
        <v>35</v>
      </c>
      <c r="H2206" s="20" t="s">
        <v>25</v>
      </c>
      <c r="I2206" s="21" t="s">
        <v>8579</v>
      </c>
      <c r="J2206" s="22">
        <f t="shared" si="170"/>
        <v>0.007638888884685</v>
      </c>
      <c r="K2206" s="22">
        <f t="shared" si="171"/>
        <v>0.18333333323244</v>
      </c>
      <c r="L2206" s="22">
        <f t="shared" si="172"/>
        <v>0.18333333323244</v>
      </c>
      <c r="M2206" s="22" cm="1">
        <f ca="1" t="array" ref="M2206">SUMPRODUCT(--(WEEKDAY(ROW(INDIRECT(INT(F2206)&amp;":"&amp;INT(I2206))),2)&gt;5))</f>
        <v>0</v>
      </c>
      <c r="N2206" s="22">
        <f ca="1" t="shared" si="173"/>
        <v>0.18333333323244</v>
      </c>
      <c r="O2206" s="22" t="str">
        <f ca="1" t="shared" si="174"/>
        <v>Within SLA</v>
      </c>
      <c r="P2206" s="26" t="s">
        <v>8576</v>
      </c>
      <c r="Q2206" s="24" t="s">
        <v>37</v>
      </c>
      <c r="R2206" s="25"/>
      <c r="S2206" s="25"/>
    </row>
    <row r="2207" ht="39" customHeight="1" spans="1:19">
      <c r="A2207" s="19" t="s">
        <v>8580</v>
      </c>
      <c r="B2207" s="20" t="s">
        <v>19</v>
      </c>
      <c r="C2207" s="20" t="s">
        <v>20</v>
      </c>
      <c r="D2207" s="20" t="s">
        <v>32</v>
      </c>
      <c r="E2207" s="21" t="s">
        <v>8581</v>
      </c>
      <c r="F2207" s="21" t="s">
        <v>8582</v>
      </c>
      <c r="G2207" s="20" t="s">
        <v>35</v>
      </c>
      <c r="H2207" s="20" t="s">
        <v>25</v>
      </c>
      <c r="I2207" s="21" t="s">
        <v>8583</v>
      </c>
      <c r="J2207" s="22">
        <f t="shared" si="170"/>
        <v>0.0222222222218988</v>
      </c>
      <c r="K2207" s="22">
        <f t="shared" si="171"/>
        <v>0.533333333325572</v>
      </c>
      <c r="L2207" s="22">
        <f t="shared" si="172"/>
        <v>0.533333333325572</v>
      </c>
      <c r="M2207" s="22" cm="1">
        <f ca="1" t="array" ref="M2207">SUMPRODUCT(--(WEEKDAY(ROW(INDIRECT(INT(F2207)&amp;":"&amp;INT(I2207))),2)&gt;5))</f>
        <v>0</v>
      </c>
      <c r="N2207" s="22">
        <f ca="1" t="shared" si="173"/>
        <v>0.533333333325572</v>
      </c>
      <c r="O2207" s="22" t="str">
        <f ca="1" t="shared" si="174"/>
        <v>Within SLA</v>
      </c>
      <c r="P2207" s="26" t="s">
        <v>8580</v>
      </c>
      <c r="Q2207" s="24" t="s">
        <v>37</v>
      </c>
      <c r="R2207" s="25"/>
      <c r="S2207" s="25"/>
    </row>
    <row r="2208" ht="50" customHeight="1" spans="1:19">
      <c r="A2208" s="19" t="s">
        <v>8584</v>
      </c>
      <c r="B2208" s="20" t="s">
        <v>369</v>
      </c>
      <c r="C2208" s="20" t="s">
        <v>4889</v>
      </c>
      <c r="D2208" s="20" t="s">
        <v>32</v>
      </c>
      <c r="E2208" s="21" t="s">
        <v>8585</v>
      </c>
      <c r="F2208" s="21" t="s">
        <v>8586</v>
      </c>
      <c r="G2208" s="20" t="s">
        <v>35</v>
      </c>
      <c r="H2208" s="20" t="s">
        <v>25</v>
      </c>
      <c r="I2208" s="21" t="s">
        <v>8587</v>
      </c>
      <c r="J2208" s="22">
        <f t="shared" si="170"/>
        <v>0.102777777778101</v>
      </c>
      <c r="K2208" s="22">
        <f t="shared" si="171"/>
        <v>2.46666666667443</v>
      </c>
      <c r="L2208" s="22">
        <f t="shared" si="172"/>
        <v>2.46666666667443</v>
      </c>
      <c r="M2208" s="22" cm="1">
        <f ca="1" t="array" ref="M2208">SUMPRODUCT(--(WEEKDAY(ROW(INDIRECT(INT(F2208)&amp;":"&amp;INT(I2208))),2)&gt;5))</f>
        <v>0</v>
      </c>
      <c r="N2208" s="22">
        <f ca="1" t="shared" si="173"/>
        <v>2.46666666667443</v>
      </c>
      <c r="O2208" s="22" t="str">
        <f ca="1" t="shared" si="174"/>
        <v>Within SLA</v>
      </c>
      <c r="P2208" s="26" t="s">
        <v>8584</v>
      </c>
      <c r="Q2208" s="24" t="s">
        <v>37</v>
      </c>
      <c r="R2208" s="25"/>
      <c r="S2208" s="25"/>
    </row>
    <row r="2209" ht="27" customHeight="1" spans="1:19">
      <c r="A2209" s="19" t="s">
        <v>8588</v>
      </c>
      <c r="B2209" s="20" t="s">
        <v>139</v>
      </c>
      <c r="C2209" s="20" t="s">
        <v>2057</v>
      </c>
      <c r="D2209" s="20" t="s">
        <v>32</v>
      </c>
      <c r="E2209" s="21" t="s">
        <v>7818</v>
      </c>
      <c r="F2209" s="21" t="s">
        <v>8589</v>
      </c>
      <c r="G2209" s="20" t="s">
        <v>35</v>
      </c>
      <c r="H2209" s="20" t="s">
        <v>25</v>
      </c>
      <c r="I2209" s="21" t="s">
        <v>8590</v>
      </c>
      <c r="J2209" s="22">
        <f t="shared" si="170"/>
        <v>23.0631944444394</v>
      </c>
      <c r="K2209" s="22">
        <f t="shared" si="171"/>
        <v>553.516666666546</v>
      </c>
      <c r="L2209" s="22">
        <f t="shared" si="172"/>
        <v>185.516666666546</v>
      </c>
      <c r="M2209" s="22" cm="1">
        <f ca="1" t="array" ref="M2209">SUMPRODUCT(--(WEEKDAY(ROW(INDIRECT(INT(F2209)&amp;":"&amp;INT(I2209))),2)&gt;5))</f>
        <v>6</v>
      </c>
      <c r="N2209" s="22">
        <f ca="1" t="shared" si="173"/>
        <v>137.516666666546</v>
      </c>
      <c r="O2209" s="22" t="str">
        <f ca="1" t="shared" si="174"/>
        <v>SLA Violated</v>
      </c>
      <c r="P2209" s="23" t="s">
        <v>8591</v>
      </c>
      <c r="Q2209" s="24" t="s">
        <v>37</v>
      </c>
      <c r="R2209" s="25" t="s">
        <v>5680</v>
      </c>
      <c r="S2209" s="25" t="s">
        <v>39</v>
      </c>
    </row>
    <row r="2210" ht="39" customHeight="1" spans="1:19">
      <c r="A2210" s="19" t="s">
        <v>8592</v>
      </c>
      <c r="B2210" s="20" t="s">
        <v>19</v>
      </c>
      <c r="C2210" s="20" t="s">
        <v>20</v>
      </c>
      <c r="D2210" s="20" t="s">
        <v>32</v>
      </c>
      <c r="E2210" s="21" t="s">
        <v>8593</v>
      </c>
      <c r="F2210" s="21" t="s">
        <v>8594</v>
      </c>
      <c r="G2210" s="20" t="s">
        <v>35</v>
      </c>
      <c r="H2210" s="20" t="s">
        <v>25</v>
      </c>
      <c r="I2210" s="21" t="s">
        <v>8595</v>
      </c>
      <c r="J2210" s="22">
        <f t="shared" si="170"/>
        <v>0.0326388888934162</v>
      </c>
      <c r="K2210" s="22">
        <f t="shared" si="171"/>
        <v>0.783333333441988</v>
      </c>
      <c r="L2210" s="22">
        <f t="shared" si="172"/>
        <v>0.783333333441988</v>
      </c>
      <c r="M2210" s="22" cm="1">
        <f ca="1" t="array" ref="M2210">SUMPRODUCT(--(WEEKDAY(ROW(INDIRECT(INT(F2210)&amp;":"&amp;INT(I2210))),2)&gt;5))</f>
        <v>0</v>
      </c>
      <c r="N2210" s="22">
        <f ca="1" t="shared" si="173"/>
        <v>0.783333333441988</v>
      </c>
      <c r="O2210" s="22" t="str">
        <f ca="1" t="shared" si="174"/>
        <v>Within SLA</v>
      </c>
      <c r="P2210" s="26" t="s">
        <v>8592</v>
      </c>
      <c r="Q2210" s="24" t="s">
        <v>37</v>
      </c>
      <c r="R2210" s="25"/>
      <c r="S2210" s="25"/>
    </row>
    <row r="2211" ht="27" customHeight="1" spans="1:19">
      <c r="A2211" s="19" t="s">
        <v>8596</v>
      </c>
      <c r="B2211" s="20" t="s">
        <v>30</v>
      </c>
      <c r="C2211" s="20" t="s">
        <v>31</v>
      </c>
      <c r="D2211" s="20" t="s">
        <v>32</v>
      </c>
      <c r="E2211" s="21" t="s">
        <v>8597</v>
      </c>
      <c r="F2211" s="21" t="s">
        <v>8598</v>
      </c>
      <c r="G2211" s="20" t="s">
        <v>35</v>
      </c>
      <c r="H2211" s="20" t="s">
        <v>25</v>
      </c>
      <c r="I2211" s="21" t="s">
        <v>8599</v>
      </c>
      <c r="J2211" s="22">
        <f t="shared" si="170"/>
        <v>0.135416666664241</v>
      </c>
      <c r="K2211" s="22">
        <f t="shared" si="171"/>
        <v>3.24999999994179</v>
      </c>
      <c r="L2211" s="22">
        <f t="shared" si="172"/>
        <v>3.24999999994179</v>
      </c>
      <c r="M2211" s="22" cm="1">
        <f ca="1" t="array" ref="M2211">SUMPRODUCT(--(WEEKDAY(ROW(INDIRECT(INT(F2211)&amp;":"&amp;INT(I2211))),2)&gt;5))</f>
        <v>0</v>
      </c>
      <c r="N2211" s="22">
        <f ca="1" t="shared" si="173"/>
        <v>3.24999999994179</v>
      </c>
      <c r="O2211" s="22" t="str">
        <f ca="1" t="shared" si="174"/>
        <v>Within SLA</v>
      </c>
      <c r="P2211" s="26" t="s">
        <v>8596</v>
      </c>
      <c r="Q2211" s="24" t="s">
        <v>37</v>
      </c>
      <c r="R2211" s="25"/>
      <c r="S2211" s="25"/>
    </row>
    <row r="2212" ht="27" customHeight="1" spans="1:19">
      <c r="A2212" s="19" t="s">
        <v>8600</v>
      </c>
      <c r="B2212" s="20" t="s">
        <v>30</v>
      </c>
      <c r="C2212" s="20" t="s">
        <v>31</v>
      </c>
      <c r="D2212" s="20" t="s">
        <v>32</v>
      </c>
      <c r="E2212" s="21" t="s">
        <v>8601</v>
      </c>
      <c r="F2212" s="21" t="s">
        <v>8262</v>
      </c>
      <c r="G2212" s="20" t="s">
        <v>35</v>
      </c>
      <c r="H2212" s="20" t="s">
        <v>25</v>
      </c>
      <c r="I2212" s="21" t="s">
        <v>8602</v>
      </c>
      <c r="J2212" s="22">
        <f t="shared" si="170"/>
        <v>14.9659722222277</v>
      </c>
      <c r="K2212" s="22">
        <f t="shared" si="171"/>
        <v>359.183333333465</v>
      </c>
      <c r="L2212" s="22">
        <f t="shared" si="172"/>
        <v>119.183333333465</v>
      </c>
      <c r="M2212" s="22" cm="1">
        <f ca="1" t="array" ref="M2212">SUMPRODUCT(--(WEEKDAY(ROW(INDIRECT(INT(F2212)&amp;":"&amp;INT(I2212))),2)&gt;5))</f>
        <v>4</v>
      </c>
      <c r="N2212" s="22">
        <f ca="1" t="shared" si="173"/>
        <v>87.183333333465</v>
      </c>
      <c r="O2212" s="22" t="str">
        <f ca="1" t="shared" si="174"/>
        <v>SLA Violated</v>
      </c>
      <c r="P2212" s="26" t="s">
        <v>8600</v>
      </c>
      <c r="Q2212" s="24" t="s">
        <v>28</v>
      </c>
      <c r="R2212" s="25"/>
      <c r="S2212" s="25"/>
    </row>
    <row r="2213" ht="39" customHeight="1" spans="1:19">
      <c r="A2213" s="19" t="s">
        <v>8603</v>
      </c>
      <c r="B2213" s="20" t="s">
        <v>19</v>
      </c>
      <c r="C2213" s="20" t="s">
        <v>20</v>
      </c>
      <c r="D2213" s="20" t="s">
        <v>32</v>
      </c>
      <c r="E2213" s="21" t="s">
        <v>8604</v>
      </c>
      <c r="F2213" s="21" t="s">
        <v>8605</v>
      </c>
      <c r="G2213" s="20" t="s">
        <v>35</v>
      </c>
      <c r="H2213" s="20" t="s">
        <v>25</v>
      </c>
      <c r="I2213" s="21" t="s">
        <v>8606</v>
      </c>
      <c r="J2213" s="22">
        <f t="shared" si="170"/>
        <v>0.00763888889196096</v>
      </c>
      <c r="K2213" s="22">
        <f t="shared" si="171"/>
        <v>0.183333333407063</v>
      </c>
      <c r="L2213" s="22">
        <f t="shared" si="172"/>
        <v>0.183333333407063</v>
      </c>
      <c r="M2213" s="22" cm="1">
        <f ca="1" t="array" ref="M2213">SUMPRODUCT(--(WEEKDAY(ROW(INDIRECT(INT(F2213)&amp;":"&amp;INT(I2213))),2)&gt;5))</f>
        <v>0</v>
      </c>
      <c r="N2213" s="22">
        <f ca="1" t="shared" si="173"/>
        <v>0.183333333407063</v>
      </c>
      <c r="O2213" s="22" t="str">
        <f ca="1" t="shared" si="174"/>
        <v>Within SLA</v>
      </c>
      <c r="P2213" s="26" t="s">
        <v>8603</v>
      </c>
      <c r="Q2213" s="24" t="s">
        <v>37</v>
      </c>
      <c r="R2213" s="25"/>
      <c r="S2213" s="25"/>
    </row>
    <row r="2214" ht="27" customHeight="1" spans="1:19">
      <c r="A2214" s="19" t="s">
        <v>8607</v>
      </c>
      <c r="B2214" s="20" t="s">
        <v>30</v>
      </c>
      <c r="C2214" s="20" t="s">
        <v>4889</v>
      </c>
      <c r="D2214" s="20" t="s">
        <v>32</v>
      </c>
      <c r="E2214" s="21" t="s">
        <v>8608</v>
      </c>
      <c r="F2214" s="21" t="s">
        <v>8609</v>
      </c>
      <c r="G2214" s="20" t="s">
        <v>35</v>
      </c>
      <c r="H2214" s="20" t="s">
        <v>25</v>
      </c>
      <c r="I2214" s="21" t="s">
        <v>8610</v>
      </c>
      <c r="J2214" s="22">
        <f t="shared" si="170"/>
        <v>1.7944444444438</v>
      </c>
      <c r="K2214" s="22">
        <f t="shared" si="171"/>
        <v>43.0666666666511</v>
      </c>
      <c r="L2214" s="22">
        <f t="shared" si="172"/>
        <v>11.0666666666511</v>
      </c>
      <c r="M2214" s="22" cm="1">
        <f ca="1" t="array" ref="M2214">SUMPRODUCT(--(WEEKDAY(ROW(INDIRECT(INT(F2214)&amp;":"&amp;INT(I2214))),2)&gt;5))</f>
        <v>0</v>
      </c>
      <c r="N2214" s="22">
        <f ca="1" t="shared" si="173"/>
        <v>11.0666666666511</v>
      </c>
      <c r="O2214" s="22" t="str">
        <f ca="1" t="shared" si="174"/>
        <v>Within SLA</v>
      </c>
      <c r="P2214" s="26" t="s">
        <v>8607</v>
      </c>
      <c r="Q2214" s="24" t="s">
        <v>37</v>
      </c>
      <c r="R2214" s="25"/>
      <c r="S2214" s="25"/>
    </row>
    <row r="2215" ht="27" customHeight="1" spans="1:19">
      <c r="A2215" s="19" t="s">
        <v>8611</v>
      </c>
      <c r="B2215" s="20" t="s">
        <v>30</v>
      </c>
      <c r="C2215" s="20" t="s">
        <v>4889</v>
      </c>
      <c r="D2215" s="20" t="s">
        <v>32</v>
      </c>
      <c r="E2215" s="21" t="s">
        <v>8606</v>
      </c>
      <c r="F2215" s="21" t="s">
        <v>8612</v>
      </c>
      <c r="G2215" s="20" t="s">
        <v>35</v>
      </c>
      <c r="H2215" s="20" t="s">
        <v>25</v>
      </c>
      <c r="I2215" s="21" t="s">
        <v>8613</v>
      </c>
      <c r="J2215" s="22">
        <f t="shared" si="170"/>
        <v>1.01874999999563</v>
      </c>
      <c r="K2215" s="22">
        <f t="shared" si="171"/>
        <v>24.4499999998952</v>
      </c>
      <c r="L2215" s="22">
        <f t="shared" si="172"/>
        <v>8.44999999989523</v>
      </c>
      <c r="M2215" s="22" cm="1">
        <f ca="1" t="array" ref="M2215">SUMPRODUCT(--(WEEKDAY(ROW(INDIRECT(INT(F2215)&amp;":"&amp;INT(I2215))),2)&gt;5))</f>
        <v>0</v>
      </c>
      <c r="N2215" s="22">
        <f ca="1" t="shared" si="173"/>
        <v>8.44999999989523</v>
      </c>
      <c r="O2215" s="22" t="str">
        <f ca="1" t="shared" si="174"/>
        <v>Within SLA</v>
      </c>
      <c r="P2215" s="26" t="s">
        <v>8611</v>
      </c>
      <c r="Q2215" s="24" t="s">
        <v>37</v>
      </c>
      <c r="R2215" s="25"/>
      <c r="S2215" s="25"/>
    </row>
    <row r="2216" ht="27" customHeight="1" spans="1:19">
      <c r="A2216" s="19" t="s">
        <v>8614</v>
      </c>
      <c r="B2216" s="20" t="s">
        <v>30</v>
      </c>
      <c r="C2216" s="20" t="s">
        <v>4889</v>
      </c>
      <c r="D2216" s="20" t="s">
        <v>32</v>
      </c>
      <c r="E2216" s="21" t="s">
        <v>8615</v>
      </c>
      <c r="F2216" s="21" t="s">
        <v>8616</v>
      </c>
      <c r="G2216" s="20" t="s">
        <v>35</v>
      </c>
      <c r="H2216" s="20" t="s">
        <v>25</v>
      </c>
      <c r="I2216" s="21" t="s">
        <v>8617</v>
      </c>
      <c r="J2216" s="22">
        <f t="shared" si="170"/>
        <v>1.76944444444234</v>
      </c>
      <c r="K2216" s="22">
        <f t="shared" si="171"/>
        <v>42.4666666666162</v>
      </c>
      <c r="L2216" s="22">
        <f t="shared" si="172"/>
        <v>10.4666666666162</v>
      </c>
      <c r="M2216" s="22" cm="1">
        <f ca="1" t="array" ref="M2216">SUMPRODUCT(--(WEEKDAY(ROW(INDIRECT(INT(F2216)&amp;":"&amp;INT(I2216))),2)&gt;5))</f>
        <v>0</v>
      </c>
      <c r="N2216" s="22">
        <f ca="1" t="shared" si="173"/>
        <v>10.4666666666162</v>
      </c>
      <c r="O2216" s="22" t="str">
        <f ca="1" t="shared" si="174"/>
        <v>Within SLA</v>
      </c>
      <c r="P2216" s="26" t="s">
        <v>8614</v>
      </c>
      <c r="Q2216" s="24" t="s">
        <v>37</v>
      </c>
      <c r="R2216" s="25"/>
      <c r="S2216" s="25"/>
    </row>
    <row r="2217" ht="39" customHeight="1" spans="1:19">
      <c r="A2217" s="19" t="s">
        <v>8618</v>
      </c>
      <c r="B2217" s="20" t="s">
        <v>19</v>
      </c>
      <c r="C2217" s="20" t="s">
        <v>20</v>
      </c>
      <c r="D2217" s="20" t="s">
        <v>32</v>
      </c>
      <c r="E2217" s="21" t="s">
        <v>8282</v>
      </c>
      <c r="F2217" s="21" t="s">
        <v>8619</v>
      </c>
      <c r="G2217" s="20" t="s">
        <v>35</v>
      </c>
      <c r="H2217" s="20" t="s">
        <v>25</v>
      </c>
      <c r="I2217" s="21" t="s">
        <v>8620</v>
      </c>
      <c r="J2217" s="22">
        <f t="shared" si="170"/>
        <v>0.0347222222262644</v>
      </c>
      <c r="K2217" s="22">
        <f t="shared" si="171"/>
        <v>0.833333333430346</v>
      </c>
      <c r="L2217" s="22">
        <f t="shared" si="172"/>
        <v>0.833333333430346</v>
      </c>
      <c r="M2217" s="22" cm="1">
        <f ca="1" t="array" ref="M2217">SUMPRODUCT(--(WEEKDAY(ROW(INDIRECT(INT(F2217)&amp;":"&amp;INT(I2217))),2)&gt;5))</f>
        <v>0</v>
      </c>
      <c r="N2217" s="22">
        <f ca="1" t="shared" si="173"/>
        <v>0.833333333430346</v>
      </c>
      <c r="O2217" s="22" t="str">
        <f ca="1" t="shared" si="174"/>
        <v>Within SLA</v>
      </c>
      <c r="P2217" s="26" t="s">
        <v>8618</v>
      </c>
      <c r="Q2217" s="24" t="s">
        <v>37</v>
      </c>
      <c r="R2217" s="25"/>
      <c r="S2217" s="25"/>
    </row>
    <row r="2218" ht="39" customHeight="1" spans="1:19">
      <c r="A2218" s="19" t="s">
        <v>8621</v>
      </c>
      <c r="B2218" s="20" t="s">
        <v>19</v>
      </c>
      <c r="C2218" s="20" t="s">
        <v>20</v>
      </c>
      <c r="D2218" s="20" t="s">
        <v>32</v>
      </c>
      <c r="E2218" s="21" t="s">
        <v>8282</v>
      </c>
      <c r="F2218" s="21" t="s">
        <v>8622</v>
      </c>
      <c r="G2218" s="20" t="s">
        <v>35</v>
      </c>
      <c r="H2218" s="20" t="s">
        <v>25</v>
      </c>
      <c r="I2218" s="21" t="s">
        <v>8623</v>
      </c>
      <c r="J2218" s="22">
        <f t="shared" si="170"/>
        <v>0.0333333333328483</v>
      </c>
      <c r="K2218" s="22">
        <f t="shared" si="171"/>
        <v>0.799999999988358</v>
      </c>
      <c r="L2218" s="22">
        <f t="shared" si="172"/>
        <v>0.799999999988358</v>
      </c>
      <c r="M2218" s="22" cm="1">
        <f ca="1" t="array" ref="M2218">SUMPRODUCT(--(WEEKDAY(ROW(INDIRECT(INT(F2218)&amp;":"&amp;INT(I2218))),2)&gt;5))</f>
        <v>0</v>
      </c>
      <c r="N2218" s="22">
        <f ca="1" t="shared" si="173"/>
        <v>0.799999999988358</v>
      </c>
      <c r="O2218" s="22" t="str">
        <f ca="1" t="shared" si="174"/>
        <v>Within SLA</v>
      </c>
      <c r="P2218" s="26" t="s">
        <v>8621</v>
      </c>
      <c r="Q2218" s="24" t="s">
        <v>37</v>
      </c>
      <c r="R2218" s="25"/>
      <c r="S2218" s="25"/>
    </row>
    <row r="2219" ht="27" customHeight="1" spans="1:19">
      <c r="A2219" s="19" t="s">
        <v>8624</v>
      </c>
      <c r="B2219" s="20" t="s">
        <v>30</v>
      </c>
      <c r="C2219" s="20" t="s">
        <v>31</v>
      </c>
      <c r="D2219" s="20" t="s">
        <v>21</v>
      </c>
      <c r="E2219" s="21" t="s">
        <v>8625</v>
      </c>
      <c r="F2219" s="21" t="s">
        <v>8626</v>
      </c>
      <c r="G2219" s="20" t="s">
        <v>35</v>
      </c>
      <c r="H2219" s="20" t="s">
        <v>25</v>
      </c>
      <c r="I2219" s="21" t="s">
        <v>8627</v>
      </c>
      <c r="J2219" s="22">
        <f t="shared" si="170"/>
        <v>7.73402777777665</v>
      </c>
      <c r="K2219" s="22">
        <f t="shared" si="171"/>
        <v>185.61666666664</v>
      </c>
      <c r="L2219" s="22">
        <f t="shared" si="172"/>
        <v>57.6166666666395</v>
      </c>
      <c r="M2219" s="22" cm="1">
        <f ca="1" t="array" ref="M2219">SUMPRODUCT(--(WEEKDAY(ROW(INDIRECT(INT(F2219)&amp;":"&amp;INT(I2219))),2)&gt;5))</f>
        <v>2</v>
      </c>
      <c r="N2219" s="22">
        <f ca="1" t="shared" si="173"/>
        <v>41.6166666666395</v>
      </c>
      <c r="O2219" s="22" t="str">
        <f ca="1" t="shared" si="174"/>
        <v>SLA Violated</v>
      </c>
      <c r="P2219" s="23" t="s">
        <v>8628</v>
      </c>
      <c r="Q2219" s="24" t="s">
        <v>28</v>
      </c>
      <c r="R2219" s="25"/>
      <c r="S2219" s="25"/>
    </row>
    <row r="2220" ht="27" customHeight="1" spans="1:19">
      <c r="A2220" s="19" t="s">
        <v>8629</v>
      </c>
      <c r="B2220" s="20" t="s">
        <v>30</v>
      </c>
      <c r="C2220" s="20" t="s">
        <v>31</v>
      </c>
      <c r="D2220" s="20" t="s">
        <v>32</v>
      </c>
      <c r="E2220" s="21" t="s">
        <v>8630</v>
      </c>
      <c r="F2220" s="21" t="s">
        <v>8631</v>
      </c>
      <c r="G2220" s="20" t="s">
        <v>35</v>
      </c>
      <c r="H2220" s="20" t="s">
        <v>25</v>
      </c>
      <c r="I2220" s="21" t="s">
        <v>8632</v>
      </c>
      <c r="J2220" s="22">
        <f t="shared" si="170"/>
        <v>1.89583333332848</v>
      </c>
      <c r="K2220" s="22">
        <f t="shared" si="171"/>
        <v>45.4999999998836</v>
      </c>
      <c r="L2220" s="22">
        <f t="shared" si="172"/>
        <v>13.4999999998836</v>
      </c>
      <c r="M2220" s="22" cm="1">
        <f ca="1" t="array" ref="M2220">SUMPRODUCT(--(WEEKDAY(ROW(INDIRECT(INT(F2220)&amp;":"&amp;INT(I2220))),2)&gt;5))</f>
        <v>0</v>
      </c>
      <c r="N2220" s="22">
        <f ca="1" t="shared" si="173"/>
        <v>13.4999999998836</v>
      </c>
      <c r="O2220" s="22" t="str">
        <f ca="1" t="shared" si="174"/>
        <v>SLA Violated</v>
      </c>
      <c r="P2220" s="26" t="s">
        <v>8629</v>
      </c>
      <c r="Q2220" s="24" t="s">
        <v>28</v>
      </c>
      <c r="R2220" s="25"/>
      <c r="S2220" s="25"/>
    </row>
    <row r="2221" ht="27" customHeight="1" spans="1:19">
      <c r="A2221" s="19" t="s">
        <v>8633</v>
      </c>
      <c r="B2221" s="20" t="s">
        <v>30</v>
      </c>
      <c r="C2221" s="20" t="s">
        <v>31</v>
      </c>
      <c r="D2221" s="20" t="s">
        <v>32</v>
      </c>
      <c r="E2221" s="21" t="s">
        <v>8634</v>
      </c>
      <c r="F2221" s="21" t="s">
        <v>8635</v>
      </c>
      <c r="G2221" s="20" t="s">
        <v>35</v>
      </c>
      <c r="H2221" s="20" t="s">
        <v>25</v>
      </c>
      <c r="I2221" s="21" t="s">
        <v>8636</v>
      </c>
      <c r="J2221" s="22">
        <f t="shared" si="170"/>
        <v>0.766666666662786</v>
      </c>
      <c r="K2221" s="22">
        <f t="shared" si="171"/>
        <v>18.3999999999069</v>
      </c>
      <c r="L2221" s="22">
        <f t="shared" si="172"/>
        <v>2.39999999990687</v>
      </c>
      <c r="M2221" s="22" cm="1">
        <f ca="1" t="array" ref="M2221">SUMPRODUCT(--(WEEKDAY(ROW(INDIRECT(INT(F2221)&amp;":"&amp;INT(I2221))),2)&gt;5))</f>
        <v>0</v>
      </c>
      <c r="N2221" s="22">
        <f ca="1" t="shared" si="173"/>
        <v>2.39999999990687</v>
      </c>
      <c r="O2221" s="22" t="str">
        <f ca="1" t="shared" si="174"/>
        <v>Within SLA</v>
      </c>
      <c r="P2221" s="26" t="s">
        <v>8633</v>
      </c>
      <c r="Q2221" s="24" t="s">
        <v>37</v>
      </c>
      <c r="R2221" s="25"/>
      <c r="S2221" s="25"/>
    </row>
    <row r="2222" ht="27" customHeight="1" spans="1:19">
      <c r="A2222" s="19" t="s">
        <v>8637</v>
      </c>
      <c r="B2222" s="20" t="s">
        <v>30</v>
      </c>
      <c r="C2222" s="20" t="s">
        <v>4889</v>
      </c>
      <c r="D2222" s="20" t="s">
        <v>32</v>
      </c>
      <c r="E2222" s="21" t="s">
        <v>8636</v>
      </c>
      <c r="F2222" s="21" t="s">
        <v>8522</v>
      </c>
      <c r="G2222" s="20" t="s">
        <v>35</v>
      </c>
      <c r="H2222" s="20" t="s">
        <v>25</v>
      </c>
      <c r="I2222" s="21" t="s">
        <v>8638</v>
      </c>
      <c r="J2222" s="22">
        <f t="shared" si="170"/>
        <v>0.779166666667152</v>
      </c>
      <c r="K2222" s="22">
        <f t="shared" si="171"/>
        <v>18.7000000000116</v>
      </c>
      <c r="L2222" s="22">
        <f t="shared" si="172"/>
        <v>2.70000000001164</v>
      </c>
      <c r="M2222" s="22" cm="1">
        <f ca="1" t="array" ref="M2222">SUMPRODUCT(--(WEEKDAY(ROW(INDIRECT(INT(F2222)&amp;":"&amp;INT(I2222))),2)&gt;5))</f>
        <v>0</v>
      </c>
      <c r="N2222" s="22">
        <f ca="1" t="shared" si="173"/>
        <v>2.70000000001164</v>
      </c>
      <c r="O2222" s="22" t="str">
        <f ca="1" t="shared" si="174"/>
        <v>Within SLA</v>
      </c>
      <c r="P2222" s="26" t="s">
        <v>8637</v>
      </c>
      <c r="Q2222" s="24" t="s">
        <v>37</v>
      </c>
      <c r="R2222" s="25"/>
      <c r="S2222" s="25"/>
    </row>
    <row r="2223" ht="27" customHeight="1" spans="1:19">
      <c r="A2223" s="19" t="s">
        <v>8639</v>
      </c>
      <c r="B2223" s="20" t="s">
        <v>30</v>
      </c>
      <c r="C2223" s="20" t="s">
        <v>4889</v>
      </c>
      <c r="D2223" s="20" t="s">
        <v>32</v>
      </c>
      <c r="E2223" s="21" t="s">
        <v>8638</v>
      </c>
      <c r="F2223" s="21" t="s">
        <v>8640</v>
      </c>
      <c r="G2223" s="20" t="s">
        <v>35</v>
      </c>
      <c r="H2223" s="20" t="s">
        <v>25</v>
      </c>
      <c r="I2223" s="21" t="s">
        <v>8641</v>
      </c>
      <c r="J2223" s="22">
        <f t="shared" si="170"/>
        <v>0.925694444442343</v>
      </c>
      <c r="K2223" s="22">
        <f t="shared" si="171"/>
        <v>22.2166666666162</v>
      </c>
      <c r="L2223" s="22">
        <f t="shared" si="172"/>
        <v>6.21666666661622</v>
      </c>
      <c r="M2223" s="22" cm="1">
        <f ca="1" t="array" ref="M2223">SUMPRODUCT(--(WEEKDAY(ROW(INDIRECT(INT(F2223)&amp;":"&amp;INT(I2223))),2)&gt;5))</f>
        <v>0</v>
      </c>
      <c r="N2223" s="22">
        <f ca="1" t="shared" si="173"/>
        <v>6.21666666661622</v>
      </c>
      <c r="O2223" s="22" t="str">
        <f ca="1" t="shared" si="174"/>
        <v>Within SLA</v>
      </c>
      <c r="P2223" s="26" t="s">
        <v>8639</v>
      </c>
      <c r="Q2223" s="24" t="s">
        <v>37</v>
      </c>
      <c r="R2223" s="25"/>
      <c r="S2223" s="25"/>
    </row>
    <row r="2224" ht="39" customHeight="1" spans="1:19">
      <c r="A2224" s="19" t="s">
        <v>8642</v>
      </c>
      <c r="B2224" s="20" t="s">
        <v>196</v>
      </c>
      <c r="C2224" s="20" t="s">
        <v>4889</v>
      </c>
      <c r="D2224" s="20" t="s">
        <v>32</v>
      </c>
      <c r="E2224" s="21" t="s">
        <v>8643</v>
      </c>
      <c r="F2224" s="21" t="s">
        <v>8644</v>
      </c>
      <c r="G2224" s="20" t="s">
        <v>35</v>
      </c>
      <c r="H2224" s="20" t="s">
        <v>25</v>
      </c>
      <c r="I2224" s="21" t="s">
        <v>8645</v>
      </c>
      <c r="J2224" s="22">
        <f t="shared" si="170"/>
        <v>0.901388888894871</v>
      </c>
      <c r="K2224" s="22">
        <f t="shared" si="171"/>
        <v>21.6333333334769</v>
      </c>
      <c r="L2224" s="22">
        <f t="shared" si="172"/>
        <v>5.63333333347691</v>
      </c>
      <c r="M2224" s="22" cm="1">
        <f ca="1" t="array" ref="M2224">SUMPRODUCT(--(WEEKDAY(ROW(INDIRECT(INT(F2224)&amp;":"&amp;INT(I2224))),2)&gt;5))</f>
        <v>0</v>
      </c>
      <c r="N2224" s="22">
        <f ca="1" t="shared" si="173"/>
        <v>5.63333333347691</v>
      </c>
      <c r="O2224" s="22" t="str">
        <f ca="1" t="shared" si="174"/>
        <v>Within SLA</v>
      </c>
      <c r="P2224" s="26" t="s">
        <v>8642</v>
      </c>
      <c r="Q2224" s="24" t="s">
        <v>37</v>
      </c>
      <c r="R2224" s="25"/>
      <c r="S2224" s="25"/>
    </row>
    <row r="2225" ht="27" customHeight="1" spans="1:19">
      <c r="A2225" s="19" t="s">
        <v>8646</v>
      </c>
      <c r="B2225" s="20" t="s">
        <v>30</v>
      </c>
      <c r="C2225" s="20" t="s">
        <v>31</v>
      </c>
      <c r="D2225" s="20" t="s">
        <v>32</v>
      </c>
      <c r="E2225" s="21" t="s">
        <v>8643</v>
      </c>
      <c r="F2225" s="21" t="s">
        <v>8647</v>
      </c>
      <c r="G2225" s="20" t="s">
        <v>35</v>
      </c>
      <c r="H2225" s="20" t="s">
        <v>25</v>
      </c>
      <c r="I2225" s="21" t="s">
        <v>8648</v>
      </c>
      <c r="J2225" s="22">
        <f t="shared" si="170"/>
        <v>0.729166666664241</v>
      </c>
      <c r="K2225" s="22">
        <f t="shared" si="171"/>
        <v>17.4999999999418</v>
      </c>
      <c r="L2225" s="22">
        <f t="shared" si="172"/>
        <v>1.49999999994179</v>
      </c>
      <c r="M2225" s="22" cm="1">
        <f ca="1" t="array" ref="M2225">SUMPRODUCT(--(WEEKDAY(ROW(INDIRECT(INT(F2225)&amp;":"&amp;INT(I2225))),2)&gt;5))</f>
        <v>0</v>
      </c>
      <c r="N2225" s="22">
        <f ca="1" t="shared" si="173"/>
        <v>1.49999999994179</v>
      </c>
      <c r="O2225" s="22" t="str">
        <f ca="1" t="shared" si="174"/>
        <v>Within SLA</v>
      </c>
      <c r="P2225" s="26" t="s">
        <v>8646</v>
      </c>
      <c r="Q2225" s="24" t="s">
        <v>37</v>
      </c>
      <c r="R2225" s="25"/>
      <c r="S2225" s="25"/>
    </row>
    <row r="2226" ht="39" customHeight="1" spans="1:19">
      <c r="A2226" s="19" t="s">
        <v>8649</v>
      </c>
      <c r="B2226" s="20" t="s">
        <v>19</v>
      </c>
      <c r="C2226" s="20" t="s">
        <v>20</v>
      </c>
      <c r="D2226" s="20" t="s">
        <v>32</v>
      </c>
      <c r="E2226" s="21" t="s">
        <v>8643</v>
      </c>
      <c r="F2226" s="21" t="s">
        <v>8650</v>
      </c>
      <c r="G2226" s="20" t="s">
        <v>35</v>
      </c>
      <c r="H2226" s="20" t="s">
        <v>25</v>
      </c>
      <c r="I2226" s="21" t="s">
        <v>8651</v>
      </c>
      <c r="J2226" s="22">
        <f t="shared" si="170"/>
        <v>0.00694444444525288</v>
      </c>
      <c r="K2226" s="22">
        <f t="shared" si="171"/>
        <v>0.166666666686069</v>
      </c>
      <c r="L2226" s="22">
        <f t="shared" si="172"/>
        <v>0.166666666686069</v>
      </c>
      <c r="M2226" s="22" cm="1">
        <f ca="1" t="array" ref="M2226">SUMPRODUCT(--(WEEKDAY(ROW(INDIRECT(INT(F2226)&amp;":"&amp;INT(I2226))),2)&gt;5))</f>
        <v>0</v>
      </c>
      <c r="N2226" s="22">
        <f ca="1" t="shared" si="173"/>
        <v>0.166666666686069</v>
      </c>
      <c r="O2226" s="22" t="str">
        <f ca="1" t="shared" si="174"/>
        <v>Within SLA</v>
      </c>
      <c r="P2226" s="26" t="s">
        <v>8649</v>
      </c>
      <c r="Q2226" s="24" t="s">
        <v>37</v>
      </c>
      <c r="R2226" s="25"/>
      <c r="S2226" s="25"/>
    </row>
    <row r="2227" ht="27" customHeight="1" spans="1:19">
      <c r="A2227" s="19" t="s">
        <v>8652</v>
      </c>
      <c r="B2227" s="20" t="s">
        <v>30</v>
      </c>
      <c r="C2227" s="20" t="s">
        <v>4889</v>
      </c>
      <c r="D2227" s="20" t="s">
        <v>32</v>
      </c>
      <c r="E2227" s="21" t="s">
        <v>8645</v>
      </c>
      <c r="F2227" s="21" t="s">
        <v>8653</v>
      </c>
      <c r="G2227" s="20" t="s">
        <v>35</v>
      </c>
      <c r="H2227" s="20" t="s">
        <v>25</v>
      </c>
      <c r="I2227" s="21" t="s">
        <v>8654</v>
      </c>
      <c r="J2227" s="22">
        <f t="shared" si="170"/>
        <v>0.896527777775191</v>
      </c>
      <c r="K2227" s="22">
        <f t="shared" si="171"/>
        <v>21.5166666666046</v>
      </c>
      <c r="L2227" s="22">
        <f t="shared" si="172"/>
        <v>5.51666666660458</v>
      </c>
      <c r="M2227" s="22" cm="1">
        <f ca="1" t="array" ref="M2227">SUMPRODUCT(--(WEEKDAY(ROW(INDIRECT(INT(F2227)&amp;":"&amp;INT(I2227))),2)&gt;5))</f>
        <v>0</v>
      </c>
      <c r="N2227" s="22">
        <f ca="1" t="shared" si="173"/>
        <v>5.51666666660458</v>
      </c>
      <c r="O2227" s="22" t="str">
        <f ca="1" t="shared" si="174"/>
        <v>Within SLA</v>
      </c>
      <c r="P2227" s="26" t="s">
        <v>8652</v>
      </c>
      <c r="Q2227" s="24" t="s">
        <v>37</v>
      </c>
      <c r="R2227" s="25"/>
      <c r="S2227" s="25"/>
    </row>
    <row r="2228" ht="27" customHeight="1" spans="1:19">
      <c r="A2228" s="19" t="s">
        <v>8655</v>
      </c>
      <c r="B2228" s="20" t="s">
        <v>30</v>
      </c>
      <c r="C2228" s="20" t="s">
        <v>31</v>
      </c>
      <c r="D2228" s="20" t="s">
        <v>115</v>
      </c>
      <c r="E2228" s="21" t="s">
        <v>8645</v>
      </c>
      <c r="F2228" s="21" t="s">
        <v>8656</v>
      </c>
      <c r="G2228" s="20" t="s">
        <v>35</v>
      </c>
      <c r="H2228" s="20" t="s">
        <v>25</v>
      </c>
      <c r="I2228" s="21" t="s">
        <v>8657</v>
      </c>
      <c r="J2228" s="22">
        <f t="shared" si="170"/>
        <v>10.683333333327</v>
      </c>
      <c r="K2228" s="22">
        <f t="shared" si="171"/>
        <v>256.399999999849</v>
      </c>
      <c r="L2228" s="22">
        <f t="shared" si="172"/>
        <v>80.3999999998487</v>
      </c>
      <c r="M2228" s="22" cm="1">
        <f ca="1" t="array" ref="M2228">SUMPRODUCT(--(WEEKDAY(ROW(INDIRECT(INT(F2228)&amp;":"&amp;INT(I2228))),2)&gt;5))</f>
        <v>3</v>
      </c>
      <c r="N2228" s="22">
        <f ca="1" t="shared" si="173"/>
        <v>56.3999999998487</v>
      </c>
      <c r="O2228" s="22" t="str">
        <f ca="1" t="shared" si="174"/>
        <v>SLA Violated</v>
      </c>
      <c r="P2228" s="23" t="s">
        <v>8658</v>
      </c>
      <c r="Q2228" s="24" t="s">
        <v>28</v>
      </c>
      <c r="R2228" s="25"/>
      <c r="S2228" s="25"/>
    </row>
    <row r="2229" ht="27" customHeight="1" spans="1:19">
      <c r="A2229" s="19" t="s">
        <v>8659</v>
      </c>
      <c r="B2229" s="20" t="s">
        <v>30</v>
      </c>
      <c r="C2229" s="20" t="s">
        <v>4889</v>
      </c>
      <c r="D2229" s="20" t="s">
        <v>32</v>
      </c>
      <c r="E2229" s="21" t="s">
        <v>8660</v>
      </c>
      <c r="F2229" s="21" t="s">
        <v>8661</v>
      </c>
      <c r="G2229" s="20" t="s">
        <v>35</v>
      </c>
      <c r="H2229" s="20" t="s">
        <v>25</v>
      </c>
      <c r="I2229" s="21" t="s">
        <v>8662</v>
      </c>
      <c r="J2229" s="22">
        <f t="shared" si="170"/>
        <v>0.879861111112405</v>
      </c>
      <c r="K2229" s="22">
        <f t="shared" si="171"/>
        <v>21.1166666666977</v>
      </c>
      <c r="L2229" s="22">
        <f t="shared" si="172"/>
        <v>5.11666666669771</v>
      </c>
      <c r="M2229" s="22" cm="1">
        <f ca="1" t="array" ref="M2229">SUMPRODUCT(--(WEEKDAY(ROW(INDIRECT(INT(F2229)&amp;":"&amp;INT(I2229))),2)&gt;5))</f>
        <v>0</v>
      </c>
      <c r="N2229" s="22">
        <f ca="1" t="shared" si="173"/>
        <v>5.11666666669771</v>
      </c>
      <c r="O2229" s="22" t="str">
        <f ca="1" t="shared" si="174"/>
        <v>Within SLA</v>
      </c>
      <c r="P2229" s="26" t="s">
        <v>8659</v>
      </c>
      <c r="Q2229" s="24" t="s">
        <v>37</v>
      </c>
      <c r="R2229" s="25"/>
      <c r="S2229" s="25"/>
    </row>
    <row r="2230" ht="27" customHeight="1" spans="1:19">
      <c r="A2230" s="19" t="s">
        <v>8663</v>
      </c>
      <c r="B2230" s="20" t="s">
        <v>30</v>
      </c>
      <c r="C2230" s="20" t="s">
        <v>4889</v>
      </c>
      <c r="D2230" s="20" t="s">
        <v>32</v>
      </c>
      <c r="E2230" s="21" t="s">
        <v>8664</v>
      </c>
      <c r="F2230" s="21" t="s">
        <v>8665</v>
      </c>
      <c r="G2230" s="20" t="s">
        <v>35</v>
      </c>
      <c r="H2230" s="20" t="s">
        <v>25</v>
      </c>
      <c r="I2230" s="21" t="s">
        <v>8666</v>
      </c>
      <c r="J2230" s="22">
        <f t="shared" si="170"/>
        <v>0.853472222224809</v>
      </c>
      <c r="K2230" s="22">
        <f t="shared" si="171"/>
        <v>20.4833333333954</v>
      </c>
      <c r="L2230" s="22">
        <f t="shared" si="172"/>
        <v>4.48333333339542</v>
      </c>
      <c r="M2230" s="22" cm="1">
        <f ca="1" t="array" ref="M2230">SUMPRODUCT(--(WEEKDAY(ROW(INDIRECT(INT(F2230)&amp;":"&amp;INT(I2230))),2)&gt;5))</f>
        <v>0</v>
      </c>
      <c r="N2230" s="22">
        <f ca="1" t="shared" si="173"/>
        <v>4.48333333339542</v>
      </c>
      <c r="O2230" s="22" t="str">
        <f ca="1" t="shared" si="174"/>
        <v>Within SLA</v>
      </c>
      <c r="P2230" s="26" t="s">
        <v>8663</v>
      </c>
      <c r="Q2230" s="24" t="s">
        <v>37</v>
      </c>
      <c r="R2230" s="25"/>
      <c r="S2230" s="25"/>
    </row>
    <row r="2231" ht="27" customHeight="1" spans="1:19">
      <c r="A2231" s="19" t="s">
        <v>8667</v>
      </c>
      <c r="B2231" s="20" t="s">
        <v>30</v>
      </c>
      <c r="C2231" s="20" t="s">
        <v>4889</v>
      </c>
      <c r="D2231" s="20" t="s">
        <v>32</v>
      </c>
      <c r="E2231" s="21" t="s">
        <v>8668</v>
      </c>
      <c r="F2231" s="21" t="s">
        <v>8669</v>
      </c>
      <c r="G2231" s="20" t="s">
        <v>35</v>
      </c>
      <c r="H2231" s="20" t="s">
        <v>25</v>
      </c>
      <c r="I2231" s="21" t="s">
        <v>8670</v>
      </c>
      <c r="J2231" s="22">
        <f t="shared" si="170"/>
        <v>1.01249999999709</v>
      </c>
      <c r="K2231" s="22">
        <f t="shared" si="171"/>
        <v>24.2999999999302</v>
      </c>
      <c r="L2231" s="22">
        <f t="shared" si="172"/>
        <v>8.29999999993015</v>
      </c>
      <c r="M2231" s="22" cm="1">
        <f ca="1" t="array" ref="M2231">SUMPRODUCT(--(WEEKDAY(ROW(INDIRECT(INT(F2231)&amp;":"&amp;INT(I2231))),2)&gt;5))</f>
        <v>0</v>
      </c>
      <c r="N2231" s="22">
        <f ca="1" t="shared" si="173"/>
        <v>8.29999999993015</v>
      </c>
      <c r="O2231" s="22" t="str">
        <f ca="1" t="shared" si="174"/>
        <v>Within SLA</v>
      </c>
      <c r="P2231" s="26" t="s">
        <v>8667</v>
      </c>
      <c r="Q2231" s="24" t="s">
        <v>37</v>
      </c>
      <c r="R2231" s="25"/>
      <c r="S2231" s="25"/>
    </row>
    <row r="2232" ht="39" customHeight="1" spans="1:19">
      <c r="A2232" s="19" t="s">
        <v>8671</v>
      </c>
      <c r="B2232" s="20" t="s">
        <v>19</v>
      </c>
      <c r="C2232" s="20" t="s">
        <v>20</v>
      </c>
      <c r="D2232" s="20" t="s">
        <v>32</v>
      </c>
      <c r="E2232" s="21" t="s">
        <v>8672</v>
      </c>
      <c r="F2232" s="21" t="s">
        <v>8673</v>
      </c>
      <c r="G2232" s="20" t="s">
        <v>35</v>
      </c>
      <c r="H2232" s="20" t="s">
        <v>25</v>
      </c>
      <c r="I2232" s="21" t="s">
        <v>8674</v>
      </c>
      <c r="J2232" s="22">
        <f t="shared" si="170"/>
        <v>5.02847222222044</v>
      </c>
      <c r="K2232" s="22">
        <f t="shared" si="171"/>
        <v>120.683333333291</v>
      </c>
      <c r="L2232" s="22">
        <f t="shared" si="172"/>
        <v>40.6833333332906</v>
      </c>
      <c r="M2232" s="22" cm="1">
        <f ca="1" t="array" ref="M2232">SUMPRODUCT(--(WEEKDAY(ROW(INDIRECT(INT(F2232)&amp;":"&amp;INT(I2232))),2)&gt;5))</f>
        <v>2</v>
      </c>
      <c r="N2232" s="22">
        <f ca="1" t="shared" si="173"/>
        <v>24.6833333332906</v>
      </c>
      <c r="O2232" s="22" t="str">
        <f ca="1" t="shared" si="174"/>
        <v>SLA Violated</v>
      </c>
      <c r="P2232" s="23" t="s">
        <v>8675</v>
      </c>
      <c r="Q2232" s="24" t="s">
        <v>28</v>
      </c>
      <c r="R2232" s="25"/>
      <c r="S2232" s="25"/>
    </row>
    <row r="2233" ht="27" customHeight="1" spans="1:19">
      <c r="A2233" s="19" t="s">
        <v>8676</v>
      </c>
      <c r="B2233" s="20" t="s">
        <v>30</v>
      </c>
      <c r="C2233" s="20" t="s">
        <v>4889</v>
      </c>
      <c r="D2233" s="20" t="s">
        <v>32</v>
      </c>
      <c r="E2233" s="21" t="s">
        <v>8677</v>
      </c>
      <c r="F2233" s="21" t="s">
        <v>8678</v>
      </c>
      <c r="G2233" s="20" t="s">
        <v>35</v>
      </c>
      <c r="H2233" s="20" t="s">
        <v>25</v>
      </c>
      <c r="I2233" s="21" t="s">
        <v>8674</v>
      </c>
      <c r="J2233" s="22">
        <f t="shared" si="170"/>
        <v>1.00833333333139</v>
      </c>
      <c r="K2233" s="22">
        <f t="shared" si="171"/>
        <v>24.1999999999534</v>
      </c>
      <c r="L2233" s="22">
        <f t="shared" si="172"/>
        <v>8.19999999995343</v>
      </c>
      <c r="M2233" s="22" cm="1">
        <f ca="1" t="array" ref="M2233">SUMPRODUCT(--(WEEKDAY(ROW(INDIRECT(INT(F2233)&amp;":"&amp;INT(I2233))),2)&gt;5))</f>
        <v>0</v>
      </c>
      <c r="N2233" s="22">
        <f ca="1" t="shared" si="173"/>
        <v>8.19999999995343</v>
      </c>
      <c r="O2233" s="22" t="str">
        <f ca="1" t="shared" si="174"/>
        <v>Within SLA</v>
      </c>
      <c r="P2233" s="26" t="s">
        <v>8676</v>
      </c>
      <c r="Q2233" s="24" t="s">
        <v>37</v>
      </c>
      <c r="R2233" s="25"/>
      <c r="S2233" s="25"/>
    </row>
    <row r="2234" ht="27" customHeight="1" spans="1:19">
      <c r="A2234" s="19" t="s">
        <v>8679</v>
      </c>
      <c r="B2234" s="20" t="s">
        <v>30</v>
      </c>
      <c r="C2234" s="20" t="s">
        <v>4889</v>
      </c>
      <c r="D2234" s="20" t="s">
        <v>32</v>
      </c>
      <c r="E2234" s="21" t="s">
        <v>8680</v>
      </c>
      <c r="F2234" s="21" t="s">
        <v>8681</v>
      </c>
      <c r="G2234" s="20" t="s">
        <v>35</v>
      </c>
      <c r="H2234" s="20" t="s">
        <v>25</v>
      </c>
      <c r="I2234" s="21" t="s">
        <v>8682</v>
      </c>
      <c r="J2234" s="22">
        <f t="shared" si="170"/>
        <v>5.09236111111386</v>
      </c>
      <c r="K2234" s="22">
        <f t="shared" si="171"/>
        <v>122.216666666733</v>
      </c>
      <c r="L2234" s="22">
        <f t="shared" si="172"/>
        <v>42.2166666667326</v>
      </c>
      <c r="M2234" s="22" cm="1">
        <f ca="1" t="array" ref="M2234">SUMPRODUCT(--(WEEKDAY(ROW(INDIRECT(INT(F2234)&amp;":"&amp;INT(I2234))),2)&gt;5))</f>
        <v>2</v>
      </c>
      <c r="N2234" s="22">
        <f ca="1" t="shared" si="173"/>
        <v>26.2166666667326</v>
      </c>
      <c r="O2234" s="22" t="str">
        <f ca="1" t="shared" si="174"/>
        <v>SLA Violated</v>
      </c>
      <c r="P2234" s="23" t="s">
        <v>8683</v>
      </c>
      <c r="Q2234" s="24" t="s">
        <v>28</v>
      </c>
      <c r="R2234" s="25"/>
      <c r="S2234" s="25"/>
    </row>
    <row r="2235" ht="27" customHeight="1" spans="1:19">
      <c r="A2235" s="19" t="s">
        <v>8684</v>
      </c>
      <c r="B2235" s="20" t="s">
        <v>30</v>
      </c>
      <c r="C2235" s="20" t="s">
        <v>31</v>
      </c>
      <c r="D2235" s="20" t="s">
        <v>32</v>
      </c>
      <c r="E2235" s="21" t="s">
        <v>8685</v>
      </c>
      <c r="F2235" s="21" t="s">
        <v>8686</v>
      </c>
      <c r="G2235" s="20" t="s">
        <v>24</v>
      </c>
      <c r="H2235" s="20" t="s">
        <v>25</v>
      </c>
      <c r="I2235" s="21" t="s">
        <v>8687</v>
      </c>
      <c r="J2235" s="22">
        <f t="shared" si="170"/>
        <v>0.175694444442343</v>
      </c>
      <c r="K2235" s="22">
        <f t="shared" si="171"/>
        <v>4.21666666661622</v>
      </c>
      <c r="L2235" s="22">
        <f t="shared" si="172"/>
        <v>4.21666666661622</v>
      </c>
      <c r="M2235" s="22" cm="1">
        <f ca="1" t="array" ref="M2235">SUMPRODUCT(--(WEEKDAY(ROW(INDIRECT(INT(F2235)&amp;":"&amp;INT(I2235))),2)&gt;5))</f>
        <v>0</v>
      </c>
      <c r="N2235" s="22">
        <f ca="1" t="shared" si="173"/>
        <v>4.21666666661622</v>
      </c>
      <c r="O2235" s="22" t="str">
        <f ca="1" t="shared" si="174"/>
        <v>Within SLA</v>
      </c>
      <c r="P2235" s="26" t="s">
        <v>8684</v>
      </c>
      <c r="Q2235" s="24" t="s">
        <v>37</v>
      </c>
      <c r="R2235" s="25"/>
      <c r="S2235" s="25"/>
    </row>
    <row r="2236" ht="39" customHeight="1" spans="1:19">
      <c r="A2236" s="19" t="s">
        <v>8688</v>
      </c>
      <c r="B2236" s="20" t="s">
        <v>196</v>
      </c>
      <c r="C2236" s="20" t="s">
        <v>849</v>
      </c>
      <c r="D2236" s="20" t="s">
        <v>32</v>
      </c>
      <c r="E2236" s="21" t="s">
        <v>8689</v>
      </c>
      <c r="F2236" s="21" t="s">
        <v>8690</v>
      </c>
      <c r="G2236" s="20" t="s">
        <v>35</v>
      </c>
      <c r="H2236" s="20" t="s">
        <v>25</v>
      </c>
      <c r="I2236" s="21" t="s">
        <v>8691</v>
      </c>
      <c r="J2236" s="22">
        <f t="shared" si="170"/>
        <v>0.0944444444394321</v>
      </c>
      <c r="K2236" s="22">
        <f t="shared" si="171"/>
        <v>2.26666666654637</v>
      </c>
      <c r="L2236" s="22">
        <f t="shared" si="172"/>
        <v>2.26666666654637</v>
      </c>
      <c r="M2236" s="22" cm="1">
        <f ca="1" t="array" ref="M2236">SUMPRODUCT(--(WEEKDAY(ROW(INDIRECT(INT(F2236)&amp;":"&amp;INT(I2236))),2)&gt;5))</f>
        <v>0</v>
      </c>
      <c r="N2236" s="22">
        <f ca="1" t="shared" si="173"/>
        <v>2.26666666654637</v>
      </c>
      <c r="O2236" s="22" t="str">
        <f ca="1" t="shared" si="174"/>
        <v>Within SLA</v>
      </c>
      <c r="P2236" s="26" t="s">
        <v>8688</v>
      </c>
      <c r="Q2236" s="24" t="s">
        <v>37</v>
      </c>
      <c r="R2236" s="25"/>
      <c r="S2236" s="25"/>
    </row>
    <row r="2237" ht="39" customHeight="1" spans="1:19">
      <c r="A2237" s="19" t="s">
        <v>8692</v>
      </c>
      <c r="B2237" s="20" t="s">
        <v>725</v>
      </c>
      <c r="C2237" s="20" t="s">
        <v>46</v>
      </c>
      <c r="D2237" s="20" t="s">
        <v>21</v>
      </c>
      <c r="E2237" s="21" t="s">
        <v>8693</v>
      </c>
      <c r="F2237" s="21" t="s">
        <v>8694</v>
      </c>
      <c r="G2237" s="20" t="s">
        <v>35</v>
      </c>
      <c r="H2237" s="20" t="s">
        <v>25</v>
      </c>
      <c r="I2237" s="21" t="s">
        <v>8695</v>
      </c>
      <c r="J2237" s="22">
        <f t="shared" si="170"/>
        <v>0.0291666666671517</v>
      </c>
      <c r="K2237" s="22">
        <f t="shared" si="171"/>
        <v>0.700000000011642</v>
      </c>
      <c r="L2237" s="22">
        <f t="shared" si="172"/>
        <v>0.700000000011642</v>
      </c>
      <c r="M2237" s="22" cm="1">
        <f ca="1" t="array" ref="M2237">SUMPRODUCT(--(WEEKDAY(ROW(INDIRECT(INT(F2237)&amp;":"&amp;INT(I2237))),2)&gt;5))</f>
        <v>0</v>
      </c>
      <c r="N2237" s="22">
        <f ca="1" t="shared" si="173"/>
        <v>0.700000000011642</v>
      </c>
      <c r="O2237" s="22" t="str">
        <f ca="1" t="shared" si="174"/>
        <v>Within SLA</v>
      </c>
      <c r="P2237" s="26" t="s">
        <v>8692</v>
      </c>
      <c r="Q2237" s="24" t="s">
        <v>37</v>
      </c>
      <c r="R2237" s="25"/>
      <c r="S2237" s="25"/>
    </row>
    <row r="2238" ht="39" customHeight="1" spans="1:19">
      <c r="A2238" s="19" t="s">
        <v>8696</v>
      </c>
      <c r="B2238" s="20" t="s">
        <v>196</v>
      </c>
      <c r="C2238" s="20" t="s">
        <v>46</v>
      </c>
      <c r="D2238" s="20" t="s">
        <v>21</v>
      </c>
      <c r="E2238" s="21" t="s">
        <v>8697</v>
      </c>
      <c r="F2238" s="21" t="s">
        <v>8698</v>
      </c>
      <c r="G2238" s="20" t="s">
        <v>35</v>
      </c>
      <c r="H2238" s="20" t="s">
        <v>25</v>
      </c>
      <c r="I2238" s="21" t="s">
        <v>8699</v>
      </c>
      <c r="J2238" s="22">
        <f t="shared" si="170"/>
        <v>0.0229166666686069</v>
      </c>
      <c r="K2238" s="22">
        <f t="shared" si="171"/>
        <v>0.550000000046566</v>
      </c>
      <c r="L2238" s="22">
        <f t="shared" si="172"/>
        <v>0.550000000046566</v>
      </c>
      <c r="M2238" s="22" cm="1">
        <f ca="1" t="array" ref="M2238">SUMPRODUCT(--(WEEKDAY(ROW(INDIRECT(INT(F2238)&amp;":"&amp;INT(I2238))),2)&gt;5))</f>
        <v>0</v>
      </c>
      <c r="N2238" s="22">
        <f ca="1" t="shared" si="173"/>
        <v>0.550000000046566</v>
      </c>
      <c r="O2238" s="22" t="str">
        <f ca="1" t="shared" si="174"/>
        <v>Within SLA</v>
      </c>
      <c r="P2238" s="26" t="s">
        <v>8696</v>
      </c>
      <c r="Q2238" s="24" t="s">
        <v>37</v>
      </c>
      <c r="R2238" s="25"/>
      <c r="S2238" s="25"/>
    </row>
    <row r="2239" ht="39" customHeight="1" spans="1:19">
      <c r="A2239" s="19" t="s">
        <v>8700</v>
      </c>
      <c r="B2239" s="20" t="s">
        <v>19</v>
      </c>
      <c r="C2239" s="20" t="s">
        <v>20</v>
      </c>
      <c r="D2239" s="20" t="s">
        <v>32</v>
      </c>
      <c r="E2239" s="21" t="s">
        <v>8701</v>
      </c>
      <c r="F2239" s="21" t="s">
        <v>7014</v>
      </c>
      <c r="G2239" s="20" t="s">
        <v>24</v>
      </c>
      <c r="H2239" s="20" t="s">
        <v>25</v>
      </c>
      <c r="I2239" s="21" t="s">
        <v>8702</v>
      </c>
      <c r="J2239" s="22">
        <f t="shared" si="170"/>
        <v>48.965277777781</v>
      </c>
      <c r="K2239" s="22">
        <f t="shared" si="171"/>
        <v>1175.16666666674</v>
      </c>
      <c r="L2239" s="22">
        <f t="shared" si="172"/>
        <v>391.166666666744</v>
      </c>
      <c r="M2239" s="22" cm="1">
        <f ca="1" t="array" ref="M2239">SUMPRODUCT(--(WEEKDAY(ROW(INDIRECT(INT(F2239)&amp;":"&amp;INT(I2239))),2)&gt;5))</f>
        <v>14</v>
      </c>
      <c r="N2239" s="22">
        <f ca="1" t="shared" si="173"/>
        <v>279.166666666744</v>
      </c>
      <c r="O2239" s="22" t="str">
        <f ca="1" t="shared" si="174"/>
        <v>SLA Violated</v>
      </c>
      <c r="P2239" s="23" t="s">
        <v>8703</v>
      </c>
      <c r="Q2239" s="24" t="s">
        <v>37</v>
      </c>
      <c r="R2239" s="25" t="s">
        <v>220</v>
      </c>
      <c r="S2239" s="25" t="s">
        <v>39</v>
      </c>
    </row>
    <row r="2240" ht="27" customHeight="1" spans="1:19">
      <c r="A2240" s="19" t="s">
        <v>8704</v>
      </c>
      <c r="B2240" s="20" t="s">
        <v>30</v>
      </c>
      <c r="C2240" s="20" t="s">
        <v>31</v>
      </c>
      <c r="D2240" s="20" t="s">
        <v>115</v>
      </c>
      <c r="E2240" s="21" t="s">
        <v>8705</v>
      </c>
      <c r="F2240" s="21" t="s">
        <v>8473</v>
      </c>
      <c r="G2240" s="20" t="s">
        <v>24</v>
      </c>
      <c r="H2240" s="20" t="s">
        <v>25</v>
      </c>
      <c r="I2240" s="21" t="s">
        <v>8706</v>
      </c>
      <c r="J2240" s="22">
        <f t="shared" si="170"/>
        <v>1.01388888889051</v>
      </c>
      <c r="K2240" s="22">
        <f t="shared" si="171"/>
        <v>24.3333333333721</v>
      </c>
      <c r="L2240" s="22">
        <f t="shared" si="172"/>
        <v>8.33333333337214</v>
      </c>
      <c r="M2240" s="22" cm="1">
        <f ca="1" t="array" ref="M2240">SUMPRODUCT(--(WEEKDAY(ROW(INDIRECT(INT(F2240)&amp;":"&amp;INT(I2240))),2)&gt;5))</f>
        <v>0</v>
      </c>
      <c r="N2240" s="22">
        <f ca="1" t="shared" si="173"/>
        <v>8.33333333337214</v>
      </c>
      <c r="O2240" s="22" t="str">
        <f ca="1" t="shared" si="174"/>
        <v>Within SLA</v>
      </c>
      <c r="P2240" s="26" t="s">
        <v>8704</v>
      </c>
      <c r="Q2240" s="24" t="s">
        <v>37</v>
      </c>
      <c r="R2240" s="25"/>
      <c r="S2240" s="25"/>
    </row>
    <row r="2241" ht="27" customHeight="1" spans="1:19">
      <c r="A2241" s="19" t="s">
        <v>8707</v>
      </c>
      <c r="B2241" s="20" t="s">
        <v>30</v>
      </c>
      <c r="C2241" s="20" t="s">
        <v>31</v>
      </c>
      <c r="D2241" s="20" t="s">
        <v>115</v>
      </c>
      <c r="E2241" s="21" t="s">
        <v>8647</v>
      </c>
      <c r="F2241" s="21" t="s">
        <v>8464</v>
      </c>
      <c r="G2241" s="20" t="s">
        <v>35</v>
      </c>
      <c r="H2241" s="20" t="s">
        <v>25</v>
      </c>
      <c r="I2241" s="21" t="s">
        <v>8708</v>
      </c>
      <c r="J2241" s="22">
        <f t="shared" si="170"/>
        <v>13.1770833333285</v>
      </c>
      <c r="K2241" s="22">
        <f t="shared" si="171"/>
        <v>316.249999999884</v>
      </c>
      <c r="L2241" s="22">
        <f t="shared" si="172"/>
        <v>108.249999999884</v>
      </c>
      <c r="M2241" s="22" cm="1">
        <f ca="1" t="array" ref="M2241">SUMPRODUCT(--(WEEKDAY(ROW(INDIRECT(INT(F2241)&amp;":"&amp;INT(I2241))),2)&gt;5))</f>
        <v>4</v>
      </c>
      <c r="N2241" s="22">
        <f ca="1" t="shared" si="173"/>
        <v>76.249999999884</v>
      </c>
      <c r="O2241" s="22" t="str">
        <f ca="1" t="shared" si="174"/>
        <v>SLA Violated</v>
      </c>
      <c r="P2241" s="23" t="s">
        <v>8709</v>
      </c>
      <c r="Q2241" s="24" t="s">
        <v>28</v>
      </c>
      <c r="R2241" s="25"/>
      <c r="S2241" s="25"/>
    </row>
    <row r="2242" ht="39" customHeight="1" spans="1:19">
      <c r="A2242" s="19" t="s">
        <v>8710</v>
      </c>
      <c r="B2242" s="20" t="s">
        <v>19</v>
      </c>
      <c r="C2242" s="20" t="s">
        <v>20</v>
      </c>
      <c r="D2242" s="20" t="s">
        <v>32</v>
      </c>
      <c r="E2242" s="21" t="s">
        <v>8635</v>
      </c>
      <c r="F2242" s="21" t="s">
        <v>8711</v>
      </c>
      <c r="G2242" s="20" t="s">
        <v>35</v>
      </c>
      <c r="H2242" s="20" t="s">
        <v>25</v>
      </c>
      <c r="I2242" s="21" t="s">
        <v>8712</v>
      </c>
      <c r="J2242" s="22">
        <f t="shared" si="170"/>
        <v>2.12361111111386</v>
      </c>
      <c r="K2242" s="22">
        <f t="shared" si="171"/>
        <v>50.9666666667326</v>
      </c>
      <c r="L2242" s="22">
        <f t="shared" si="172"/>
        <v>18.9666666667326</v>
      </c>
      <c r="M2242" s="22" cm="1">
        <f ca="1" t="array" ref="M2242">SUMPRODUCT(--(WEEKDAY(ROW(INDIRECT(INT(F2242)&amp;":"&amp;INT(I2242))),2)&gt;5))</f>
        <v>0</v>
      </c>
      <c r="N2242" s="22">
        <f ca="1" t="shared" si="173"/>
        <v>18.9666666667326</v>
      </c>
      <c r="O2242" s="22" t="str">
        <f ca="1" t="shared" si="174"/>
        <v>SLA Violated</v>
      </c>
      <c r="P2242" s="23" t="s">
        <v>8713</v>
      </c>
      <c r="Q2242" s="24" t="s">
        <v>37</v>
      </c>
      <c r="R2242" s="25" t="s">
        <v>38</v>
      </c>
      <c r="S2242" s="25" t="s">
        <v>39</v>
      </c>
    </row>
    <row r="2243" ht="39" customHeight="1" spans="1:19">
      <c r="A2243" s="19" t="s">
        <v>8714</v>
      </c>
      <c r="B2243" s="20" t="s">
        <v>19</v>
      </c>
      <c r="C2243" s="20" t="s">
        <v>20</v>
      </c>
      <c r="D2243" s="20" t="s">
        <v>32</v>
      </c>
      <c r="E2243" s="21" t="s">
        <v>8715</v>
      </c>
      <c r="F2243" s="21" t="s">
        <v>8716</v>
      </c>
      <c r="G2243" s="20" t="s">
        <v>35</v>
      </c>
      <c r="H2243" s="20" t="s">
        <v>25</v>
      </c>
      <c r="I2243" s="21" t="s">
        <v>8717</v>
      </c>
      <c r="J2243" s="22">
        <f t="shared" ref="J2243:J2306" si="175">F2243-I2243</f>
        <v>0.00347222221898846</v>
      </c>
      <c r="K2243" s="22">
        <f t="shared" ref="K2243:K2306" si="176">J2243*24</f>
        <v>0.0833333332557231</v>
      </c>
      <c r="L2243" s="22">
        <f t="shared" ref="L2243:L2306" si="177">IF(_xlfn.DAYS(F2243,I2243)&gt;0,K2243-IF(FLOOR(J2243,1)=0,1,_xlfn.DAYS(F2243,I2243))*16,K2243)</f>
        <v>0.0833333332557231</v>
      </c>
      <c r="M2243" s="22" cm="1">
        <f ca="1" t="array" ref="M2243">SUMPRODUCT(--(WEEKDAY(ROW(INDIRECT(INT(F2243)&amp;":"&amp;INT(I2243))),2)&gt;5))</f>
        <v>0</v>
      </c>
      <c r="N2243" s="22">
        <f ca="1" t="shared" ref="N2243:N2306" si="178">IF(IF(M2243&gt;0,L2243-M2243*8,L2243)&lt;0,0,IF(M2243&gt;0,L2243-M2243*8,L2243))</f>
        <v>0.0833333332557231</v>
      </c>
      <c r="O2243" s="22" t="str">
        <f ca="1" t="shared" ref="O2243:O2306" si="179">IF(OR(AND(D2243="P1",N2243&lt;=3),AND(D2243="P2",N2243&lt;=6),AND(D2243="P3",N2243&lt;=9),AND(D2243="P4",N2243&lt;=12)),"Within SLA","SLA Violated")</f>
        <v>Within SLA</v>
      </c>
      <c r="P2243" s="26" t="s">
        <v>8714</v>
      </c>
      <c r="Q2243" s="24" t="s">
        <v>37</v>
      </c>
      <c r="R2243" s="25"/>
      <c r="S2243" s="25"/>
    </row>
    <row r="2244" ht="27" customHeight="1" spans="1:19">
      <c r="A2244" s="19" t="s">
        <v>8718</v>
      </c>
      <c r="B2244" s="20" t="s">
        <v>30</v>
      </c>
      <c r="C2244" s="20" t="s">
        <v>31</v>
      </c>
      <c r="D2244" s="20" t="s">
        <v>21</v>
      </c>
      <c r="E2244" s="21" t="s">
        <v>8715</v>
      </c>
      <c r="F2244" s="21" t="s">
        <v>8719</v>
      </c>
      <c r="G2244" s="20" t="s">
        <v>35</v>
      </c>
      <c r="H2244" s="20" t="s">
        <v>25</v>
      </c>
      <c r="I2244" s="21" t="s">
        <v>8712</v>
      </c>
      <c r="J2244" s="22">
        <f t="shared" si="175"/>
        <v>9.08680555555475</v>
      </c>
      <c r="K2244" s="22">
        <f t="shared" si="176"/>
        <v>218.083333333314</v>
      </c>
      <c r="L2244" s="22">
        <f t="shared" si="177"/>
        <v>74.0833333333139</v>
      </c>
      <c r="M2244" s="22" cm="1">
        <f ca="1" t="array" ref="M2244">SUMPRODUCT(--(WEEKDAY(ROW(INDIRECT(INT(F2244)&amp;":"&amp;INT(I2244))),2)&gt;5))</f>
        <v>2</v>
      </c>
      <c r="N2244" s="22">
        <f ca="1" t="shared" si="178"/>
        <v>58.0833333333139</v>
      </c>
      <c r="O2244" s="22" t="str">
        <f ca="1" t="shared" si="179"/>
        <v>SLA Violated</v>
      </c>
      <c r="P2244" s="23" t="s">
        <v>8720</v>
      </c>
      <c r="Q2244" s="24" t="s">
        <v>28</v>
      </c>
      <c r="R2244" s="25"/>
      <c r="S2244" s="25"/>
    </row>
    <row r="2245" ht="27" customHeight="1" spans="1:19">
      <c r="A2245" s="19" t="s">
        <v>8721</v>
      </c>
      <c r="B2245" s="20" t="s">
        <v>30</v>
      </c>
      <c r="C2245" s="20" t="s">
        <v>4889</v>
      </c>
      <c r="D2245" s="20" t="s">
        <v>32</v>
      </c>
      <c r="E2245" s="21" t="s">
        <v>8722</v>
      </c>
      <c r="F2245" s="21" t="s">
        <v>8723</v>
      </c>
      <c r="G2245" s="20" t="s">
        <v>35</v>
      </c>
      <c r="H2245" s="20" t="s">
        <v>25</v>
      </c>
      <c r="I2245" s="21" t="s">
        <v>8724</v>
      </c>
      <c r="J2245" s="22">
        <f t="shared" si="175"/>
        <v>0.947222222217533</v>
      </c>
      <c r="K2245" s="22">
        <f t="shared" si="176"/>
        <v>22.7333333332208</v>
      </c>
      <c r="L2245" s="22">
        <f t="shared" si="177"/>
        <v>6.7333333332208</v>
      </c>
      <c r="M2245" s="22" cm="1">
        <f ca="1" t="array" ref="M2245">SUMPRODUCT(--(WEEKDAY(ROW(INDIRECT(INT(F2245)&amp;":"&amp;INT(I2245))),2)&gt;5))</f>
        <v>0</v>
      </c>
      <c r="N2245" s="22">
        <f ca="1" t="shared" si="178"/>
        <v>6.7333333332208</v>
      </c>
      <c r="O2245" s="22" t="str">
        <f ca="1" t="shared" si="179"/>
        <v>Within SLA</v>
      </c>
      <c r="P2245" s="26" t="s">
        <v>8721</v>
      </c>
      <c r="Q2245" s="24" t="s">
        <v>37</v>
      </c>
      <c r="R2245" s="25"/>
      <c r="S2245" s="25"/>
    </row>
    <row r="2246" ht="39" customHeight="1" spans="1:19">
      <c r="A2246" s="19" t="s">
        <v>8725</v>
      </c>
      <c r="B2246" s="20" t="s">
        <v>19</v>
      </c>
      <c r="C2246" s="20" t="s">
        <v>20</v>
      </c>
      <c r="D2246" s="20" t="s">
        <v>32</v>
      </c>
      <c r="E2246" s="21" t="s">
        <v>8726</v>
      </c>
      <c r="F2246" s="21" t="s">
        <v>8727</v>
      </c>
      <c r="G2246" s="20" t="s">
        <v>35</v>
      </c>
      <c r="H2246" s="20" t="s">
        <v>25</v>
      </c>
      <c r="I2246" s="21" t="s">
        <v>8728</v>
      </c>
      <c r="J2246" s="22">
        <f t="shared" si="175"/>
        <v>0.161111111112405</v>
      </c>
      <c r="K2246" s="22">
        <f t="shared" si="176"/>
        <v>3.86666666669771</v>
      </c>
      <c r="L2246" s="22">
        <f t="shared" si="177"/>
        <v>3.86666666669771</v>
      </c>
      <c r="M2246" s="22" cm="1">
        <f ca="1" t="array" ref="M2246">SUMPRODUCT(--(WEEKDAY(ROW(INDIRECT(INT(F2246)&amp;":"&amp;INT(I2246))),2)&gt;5))</f>
        <v>0</v>
      </c>
      <c r="N2246" s="22">
        <f ca="1" t="shared" si="178"/>
        <v>3.86666666669771</v>
      </c>
      <c r="O2246" s="22" t="str">
        <f ca="1" t="shared" si="179"/>
        <v>Within SLA</v>
      </c>
      <c r="P2246" s="26" t="s">
        <v>8725</v>
      </c>
      <c r="Q2246" s="24" t="s">
        <v>37</v>
      </c>
      <c r="R2246" s="25"/>
      <c r="S2246" s="25"/>
    </row>
    <row r="2247" ht="39" customHeight="1" spans="1:19">
      <c r="A2247" s="19" t="s">
        <v>8729</v>
      </c>
      <c r="B2247" s="20" t="s">
        <v>19</v>
      </c>
      <c r="C2247" s="20" t="s">
        <v>20</v>
      </c>
      <c r="D2247" s="20" t="s">
        <v>32</v>
      </c>
      <c r="E2247" s="21" t="s">
        <v>8730</v>
      </c>
      <c r="F2247" s="21" t="s">
        <v>8731</v>
      </c>
      <c r="G2247" s="20" t="s">
        <v>24</v>
      </c>
      <c r="H2247" s="20" t="s">
        <v>25</v>
      </c>
      <c r="I2247" s="21" t="s">
        <v>8732</v>
      </c>
      <c r="J2247" s="22">
        <f t="shared" si="175"/>
        <v>8.21944444444671</v>
      </c>
      <c r="K2247" s="22">
        <f t="shared" si="176"/>
        <v>197.266666666721</v>
      </c>
      <c r="L2247" s="22">
        <f t="shared" si="177"/>
        <v>69.266666666721</v>
      </c>
      <c r="M2247" s="22" cm="1">
        <f ca="1" t="array" ref="M2247">SUMPRODUCT(--(WEEKDAY(ROW(INDIRECT(INT(F2247)&amp;":"&amp;INT(I2247))),2)&gt;5))</f>
        <v>2</v>
      </c>
      <c r="N2247" s="22">
        <f ca="1" t="shared" si="178"/>
        <v>53.266666666721</v>
      </c>
      <c r="O2247" s="22" t="str">
        <f ca="1" t="shared" si="179"/>
        <v>SLA Violated</v>
      </c>
      <c r="P2247" s="23" t="s">
        <v>8733</v>
      </c>
      <c r="Q2247" s="24" t="s">
        <v>28</v>
      </c>
      <c r="R2247" s="25"/>
      <c r="S2247" s="25"/>
    </row>
    <row r="2248" ht="39" customHeight="1" spans="1:19">
      <c r="A2248" s="19" t="s">
        <v>8734</v>
      </c>
      <c r="B2248" s="20" t="s">
        <v>19</v>
      </c>
      <c r="C2248" s="20" t="s">
        <v>20</v>
      </c>
      <c r="D2248" s="20" t="s">
        <v>32</v>
      </c>
      <c r="E2248" s="21" t="s">
        <v>8735</v>
      </c>
      <c r="F2248" s="21" t="s">
        <v>8736</v>
      </c>
      <c r="G2248" s="20" t="s">
        <v>24</v>
      </c>
      <c r="H2248" s="20" t="s">
        <v>25</v>
      </c>
      <c r="I2248" s="21" t="s">
        <v>8737</v>
      </c>
      <c r="J2248" s="22">
        <f t="shared" si="175"/>
        <v>0.0979166666656965</v>
      </c>
      <c r="K2248" s="22">
        <f t="shared" si="176"/>
        <v>2.34999999997672</v>
      </c>
      <c r="L2248" s="22">
        <f t="shared" si="177"/>
        <v>2.34999999997672</v>
      </c>
      <c r="M2248" s="22" cm="1">
        <f ca="1" t="array" ref="M2248">SUMPRODUCT(--(WEEKDAY(ROW(INDIRECT(INT(F2248)&amp;":"&amp;INT(I2248))),2)&gt;5))</f>
        <v>0</v>
      </c>
      <c r="N2248" s="22">
        <f ca="1" t="shared" si="178"/>
        <v>2.34999999997672</v>
      </c>
      <c r="O2248" s="22" t="str">
        <f ca="1" t="shared" si="179"/>
        <v>Within SLA</v>
      </c>
      <c r="P2248" s="26" t="s">
        <v>8734</v>
      </c>
      <c r="Q2248" s="24" t="s">
        <v>37</v>
      </c>
      <c r="R2248" s="25"/>
      <c r="S2248" s="25"/>
    </row>
    <row r="2249" ht="16" customHeight="1" spans="1:19">
      <c r="A2249" s="19" t="s">
        <v>8738</v>
      </c>
      <c r="B2249" s="20" t="s">
        <v>100</v>
      </c>
      <c r="C2249" s="20" t="s">
        <v>101</v>
      </c>
      <c r="D2249" s="20" t="s">
        <v>32</v>
      </c>
      <c r="E2249" s="21" t="s">
        <v>8739</v>
      </c>
      <c r="F2249" s="21" t="s">
        <v>8740</v>
      </c>
      <c r="G2249" s="20" t="s">
        <v>35</v>
      </c>
      <c r="H2249" s="20" t="s">
        <v>25</v>
      </c>
      <c r="I2249" s="21" t="s">
        <v>8741</v>
      </c>
      <c r="J2249" s="22">
        <f t="shared" si="175"/>
        <v>2.11527777777519</v>
      </c>
      <c r="K2249" s="22">
        <f t="shared" si="176"/>
        <v>50.7666666666046</v>
      </c>
      <c r="L2249" s="22">
        <f t="shared" si="177"/>
        <v>18.7666666666046</v>
      </c>
      <c r="M2249" s="22" cm="1">
        <f ca="1" t="array" ref="M2249">SUMPRODUCT(--(WEEKDAY(ROW(INDIRECT(INT(F2249)&amp;":"&amp;INT(I2249))),2)&gt;5))</f>
        <v>0</v>
      </c>
      <c r="N2249" s="22">
        <f ca="1" t="shared" si="178"/>
        <v>18.7666666666046</v>
      </c>
      <c r="O2249" s="22" t="str">
        <f ca="1" t="shared" si="179"/>
        <v>SLA Violated</v>
      </c>
      <c r="P2249" s="23" t="s">
        <v>8742</v>
      </c>
      <c r="Q2249" s="24" t="s">
        <v>28</v>
      </c>
      <c r="R2249" s="25"/>
      <c r="S2249" s="25"/>
    </row>
    <row r="2250" ht="27" customHeight="1" spans="1:19">
      <c r="A2250" s="19" t="s">
        <v>8743</v>
      </c>
      <c r="B2250" s="20" t="s">
        <v>30</v>
      </c>
      <c r="C2250" s="20" t="s">
        <v>31</v>
      </c>
      <c r="D2250" s="20" t="s">
        <v>105</v>
      </c>
      <c r="E2250" s="21" t="s">
        <v>8744</v>
      </c>
      <c r="F2250" s="21" t="s">
        <v>8745</v>
      </c>
      <c r="G2250" s="20" t="s">
        <v>35</v>
      </c>
      <c r="H2250" s="20" t="s">
        <v>25</v>
      </c>
      <c r="I2250" s="21" t="s">
        <v>8746</v>
      </c>
      <c r="J2250" s="22">
        <f t="shared" si="175"/>
        <v>4.75694444444525</v>
      </c>
      <c r="K2250" s="22">
        <f t="shared" si="176"/>
        <v>114.166666666686</v>
      </c>
      <c r="L2250" s="22">
        <f t="shared" si="177"/>
        <v>34.1666666666861</v>
      </c>
      <c r="M2250" s="22" cm="1">
        <f ca="1" t="array" ref="M2250">SUMPRODUCT(--(WEEKDAY(ROW(INDIRECT(INT(F2250)&amp;":"&amp;INT(I2250))),2)&gt;5))</f>
        <v>2</v>
      </c>
      <c r="N2250" s="22">
        <f ca="1" t="shared" si="178"/>
        <v>18.1666666666861</v>
      </c>
      <c r="O2250" s="22" t="str">
        <f ca="1" t="shared" si="179"/>
        <v>SLA Violated</v>
      </c>
      <c r="P2250" s="23" t="s">
        <v>8747</v>
      </c>
      <c r="Q2250" s="24" t="s">
        <v>37</v>
      </c>
      <c r="R2250" s="25" t="s">
        <v>6838</v>
      </c>
      <c r="S2250" s="25" t="s">
        <v>39</v>
      </c>
    </row>
    <row r="2251" ht="39" customHeight="1" spans="1:19">
      <c r="A2251" s="19" t="s">
        <v>8748</v>
      </c>
      <c r="B2251" s="20" t="s">
        <v>19</v>
      </c>
      <c r="C2251" s="20" t="s">
        <v>20</v>
      </c>
      <c r="D2251" s="20" t="s">
        <v>32</v>
      </c>
      <c r="E2251" s="21" t="s">
        <v>8749</v>
      </c>
      <c r="F2251" s="21" t="s">
        <v>8750</v>
      </c>
      <c r="G2251" s="20" t="s">
        <v>24</v>
      </c>
      <c r="H2251" s="20" t="s">
        <v>25</v>
      </c>
      <c r="I2251" s="21" t="s">
        <v>8751</v>
      </c>
      <c r="J2251" s="22">
        <f t="shared" si="175"/>
        <v>8.13680555555766</v>
      </c>
      <c r="K2251" s="22">
        <f t="shared" si="176"/>
        <v>195.283333333384</v>
      </c>
      <c r="L2251" s="22">
        <f t="shared" si="177"/>
        <v>67.2833333333838</v>
      </c>
      <c r="M2251" s="22" cm="1">
        <f ca="1" t="array" ref="M2251">SUMPRODUCT(--(WEEKDAY(ROW(INDIRECT(INT(F2251)&amp;":"&amp;INT(I2251))),2)&gt;5))</f>
        <v>2</v>
      </c>
      <c r="N2251" s="22">
        <f ca="1" t="shared" si="178"/>
        <v>51.2833333333838</v>
      </c>
      <c r="O2251" s="22" t="str">
        <f ca="1" t="shared" si="179"/>
        <v>SLA Violated</v>
      </c>
      <c r="P2251" s="23" t="s">
        <v>8752</v>
      </c>
      <c r="Q2251" s="24" t="s">
        <v>37</v>
      </c>
      <c r="R2251" s="25" t="s">
        <v>4407</v>
      </c>
      <c r="S2251" s="25" t="s">
        <v>39</v>
      </c>
    </row>
    <row r="2252" ht="27" customHeight="1" spans="1:19">
      <c r="A2252" s="19" t="s">
        <v>8753</v>
      </c>
      <c r="B2252" s="20" t="s">
        <v>30</v>
      </c>
      <c r="C2252" s="20" t="s">
        <v>4889</v>
      </c>
      <c r="D2252" s="20" t="s">
        <v>32</v>
      </c>
      <c r="E2252" s="21" t="s">
        <v>8754</v>
      </c>
      <c r="F2252" s="21" t="s">
        <v>8755</v>
      </c>
      <c r="G2252" s="20" t="s">
        <v>35</v>
      </c>
      <c r="H2252" s="20" t="s">
        <v>25</v>
      </c>
      <c r="I2252" s="21" t="s">
        <v>8756</v>
      </c>
      <c r="J2252" s="22">
        <f t="shared" si="175"/>
        <v>0.0576388888875954</v>
      </c>
      <c r="K2252" s="22">
        <f t="shared" si="176"/>
        <v>1.38333333330229</v>
      </c>
      <c r="L2252" s="22">
        <f t="shared" si="177"/>
        <v>1.38333333330229</v>
      </c>
      <c r="M2252" s="22" cm="1">
        <f ca="1" t="array" ref="M2252">SUMPRODUCT(--(WEEKDAY(ROW(INDIRECT(INT(F2252)&amp;":"&amp;INT(I2252))),2)&gt;5))</f>
        <v>0</v>
      </c>
      <c r="N2252" s="22">
        <f ca="1" t="shared" si="178"/>
        <v>1.38333333330229</v>
      </c>
      <c r="O2252" s="22" t="str">
        <f ca="1" t="shared" si="179"/>
        <v>Within SLA</v>
      </c>
      <c r="P2252" s="26" t="s">
        <v>8753</v>
      </c>
      <c r="Q2252" s="24" t="s">
        <v>37</v>
      </c>
      <c r="R2252" s="25"/>
      <c r="S2252" s="25"/>
    </row>
    <row r="2253" ht="27" customHeight="1" spans="1:19">
      <c r="A2253" s="19" t="s">
        <v>8757</v>
      </c>
      <c r="B2253" s="20" t="s">
        <v>30</v>
      </c>
      <c r="C2253" s="20" t="s">
        <v>31</v>
      </c>
      <c r="D2253" s="20" t="s">
        <v>32</v>
      </c>
      <c r="E2253" s="21" t="s">
        <v>8758</v>
      </c>
      <c r="F2253" s="21" t="s">
        <v>8759</v>
      </c>
      <c r="G2253" s="20" t="s">
        <v>35</v>
      </c>
      <c r="H2253" s="20" t="s">
        <v>25</v>
      </c>
      <c r="I2253" s="21" t="s">
        <v>8760</v>
      </c>
      <c r="J2253" s="22">
        <f t="shared" si="175"/>
        <v>0.054166666661331</v>
      </c>
      <c r="K2253" s="22">
        <f t="shared" si="176"/>
        <v>1.29999999987194</v>
      </c>
      <c r="L2253" s="22">
        <f t="shared" si="177"/>
        <v>1.29999999987194</v>
      </c>
      <c r="M2253" s="22" cm="1">
        <f ca="1" t="array" ref="M2253">SUMPRODUCT(--(WEEKDAY(ROW(INDIRECT(INT(F2253)&amp;":"&amp;INT(I2253))),2)&gt;5))</f>
        <v>0</v>
      </c>
      <c r="N2253" s="22">
        <f ca="1" t="shared" si="178"/>
        <v>1.29999999987194</v>
      </c>
      <c r="O2253" s="22" t="str">
        <f ca="1" t="shared" si="179"/>
        <v>Within SLA</v>
      </c>
      <c r="P2253" s="26" t="s">
        <v>8757</v>
      </c>
      <c r="Q2253" s="24" t="s">
        <v>37</v>
      </c>
      <c r="R2253" s="25"/>
      <c r="S2253" s="25"/>
    </row>
    <row r="2254" ht="27" customHeight="1" spans="1:19">
      <c r="A2254" s="19" t="s">
        <v>8761</v>
      </c>
      <c r="B2254" s="20" t="s">
        <v>30</v>
      </c>
      <c r="C2254" s="20" t="s">
        <v>31</v>
      </c>
      <c r="D2254" s="20" t="s">
        <v>32</v>
      </c>
      <c r="E2254" s="21" t="s">
        <v>8762</v>
      </c>
      <c r="F2254" s="21" t="s">
        <v>8763</v>
      </c>
      <c r="G2254" s="20" t="s">
        <v>35</v>
      </c>
      <c r="H2254" s="20" t="s">
        <v>25</v>
      </c>
      <c r="I2254" s="21" t="s">
        <v>8764</v>
      </c>
      <c r="J2254" s="22">
        <f t="shared" si="175"/>
        <v>9.91805555555038</v>
      </c>
      <c r="K2254" s="22">
        <f t="shared" si="176"/>
        <v>238.033333333209</v>
      </c>
      <c r="L2254" s="22">
        <f t="shared" si="177"/>
        <v>78.0333333332092</v>
      </c>
      <c r="M2254" s="22" cm="1">
        <f ca="1" t="array" ref="M2254">SUMPRODUCT(--(WEEKDAY(ROW(INDIRECT(INT(F2254)&amp;":"&amp;INT(I2254))),2)&gt;5))</f>
        <v>3</v>
      </c>
      <c r="N2254" s="22">
        <f ca="1" t="shared" si="178"/>
        <v>54.0333333332092</v>
      </c>
      <c r="O2254" s="22" t="str">
        <f ca="1" t="shared" si="179"/>
        <v>SLA Violated</v>
      </c>
      <c r="P2254" s="26" t="s">
        <v>8761</v>
      </c>
      <c r="Q2254" s="24" t="s">
        <v>28</v>
      </c>
      <c r="R2254" s="25"/>
      <c r="S2254" s="25"/>
    </row>
    <row r="2255" ht="27" customHeight="1" spans="1:19">
      <c r="A2255" s="19" t="s">
        <v>8765</v>
      </c>
      <c r="B2255" s="20" t="s">
        <v>30</v>
      </c>
      <c r="C2255" s="20" t="s">
        <v>4889</v>
      </c>
      <c r="D2255" s="20" t="s">
        <v>32</v>
      </c>
      <c r="E2255" s="21" t="s">
        <v>8766</v>
      </c>
      <c r="F2255" s="21" t="s">
        <v>8767</v>
      </c>
      <c r="G2255" s="20" t="s">
        <v>35</v>
      </c>
      <c r="H2255" s="20" t="s">
        <v>25</v>
      </c>
      <c r="I2255" s="21" t="s">
        <v>8768</v>
      </c>
      <c r="J2255" s="22">
        <f t="shared" si="175"/>
        <v>0.0368055555518367</v>
      </c>
      <c r="K2255" s="22">
        <f t="shared" si="176"/>
        <v>0.883333333244082</v>
      </c>
      <c r="L2255" s="22">
        <f t="shared" si="177"/>
        <v>0.883333333244082</v>
      </c>
      <c r="M2255" s="22" cm="1">
        <f ca="1" t="array" ref="M2255">SUMPRODUCT(--(WEEKDAY(ROW(INDIRECT(INT(F2255)&amp;":"&amp;INT(I2255))),2)&gt;5))</f>
        <v>0</v>
      </c>
      <c r="N2255" s="22">
        <f ca="1" t="shared" si="178"/>
        <v>0.883333333244082</v>
      </c>
      <c r="O2255" s="22" t="str">
        <f ca="1" t="shared" si="179"/>
        <v>Within SLA</v>
      </c>
      <c r="P2255" s="26" t="s">
        <v>8765</v>
      </c>
      <c r="Q2255" s="24" t="s">
        <v>37</v>
      </c>
      <c r="R2255" s="25"/>
      <c r="S2255" s="25"/>
    </row>
    <row r="2256" ht="27" customHeight="1" spans="1:19">
      <c r="A2256" s="19" t="s">
        <v>8769</v>
      </c>
      <c r="B2256" s="20" t="s">
        <v>30</v>
      </c>
      <c r="C2256" s="20" t="s">
        <v>4889</v>
      </c>
      <c r="D2256" s="20" t="s">
        <v>32</v>
      </c>
      <c r="E2256" s="21" t="s">
        <v>8770</v>
      </c>
      <c r="F2256" s="21" t="s">
        <v>8771</v>
      </c>
      <c r="G2256" s="20" t="s">
        <v>35</v>
      </c>
      <c r="H2256" s="20" t="s">
        <v>25</v>
      </c>
      <c r="I2256" s="21" t="s">
        <v>8772</v>
      </c>
      <c r="J2256" s="22">
        <f t="shared" si="175"/>
        <v>0.84375</v>
      </c>
      <c r="K2256" s="22">
        <f t="shared" si="176"/>
        <v>20.25</v>
      </c>
      <c r="L2256" s="22">
        <f t="shared" si="177"/>
        <v>4.25</v>
      </c>
      <c r="M2256" s="22" cm="1">
        <f ca="1" t="array" ref="M2256">SUMPRODUCT(--(WEEKDAY(ROW(INDIRECT(INT(F2256)&amp;":"&amp;INT(I2256))),2)&gt;5))</f>
        <v>0</v>
      </c>
      <c r="N2256" s="22">
        <f ca="1" t="shared" si="178"/>
        <v>4.25</v>
      </c>
      <c r="O2256" s="22" t="str">
        <f ca="1" t="shared" si="179"/>
        <v>Within SLA</v>
      </c>
      <c r="P2256" s="26" t="s">
        <v>8769</v>
      </c>
      <c r="Q2256" s="24" t="s">
        <v>37</v>
      </c>
      <c r="R2256" s="25"/>
      <c r="S2256" s="25"/>
    </row>
    <row r="2257" ht="39" customHeight="1" spans="1:19">
      <c r="A2257" s="19" t="s">
        <v>8773</v>
      </c>
      <c r="B2257" s="20" t="s">
        <v>19</v>
      </c>
      <c r="C2257" s="20" t="s">
        <v>20</v>
      </c>
      <c r="D2257" s="20" t="s">
        <v>32</v>
      </c>
      <c r="E2257" s="21" t="s">
        <v>8774</v>
      </c>
      <c r="F2257" s="21" t="s">
        <v>8775</v>
      </c>
      <c r="G2257" s="20" t="s">
        <v>24</v>
      </c>
      <c r="H2257" s="20" t="s">
        <v>25</v>
      </c>
      <c r="I2257" s="21" t="s">
        <v>8776</v>
      </c>
      <c r="J2257" s="22">
        <f t="shared" si="175"/>
        <v>8.12361111111386</v>
      </c>
      <c r="K2257" s="22">
        <f t="shared" si="176"/>
        <v>194.966666666733</v>
      </c>
      <c r="L2257" s="22">
        <f t="shared" si="177"/>
        <v>66.9666666667326</v>
      </c>
      <c r="M2257" s="22" cm="1">
        <f ca="1" t="array" ref="M2257">SUMPRODUCT(--(WEEKDAY(ROW(INDIRECT(INT(F2257)&amp;":"&amp;INT(I2257))),2)&gt;5))</f>
        <v>2</v>
      </c>
      <c r="N2257" s="22">
        <f ca="1" t="shared" si="178"/>
        <v>50.9666666667326</v>
      </c>
      <c r="O2257" s="22" t="str">
        <f ca="1" t="shared" si="179"/>
        <v>SLA Violated</v>
      </c>
      <c r="P2257" s="23" t="s">
        <v>8777</v>
      </c>
      <c r="Q2257" s="24" t="s">
        <v>28</v>
      </c>
      <c r="R2257" s="25"/>
      <c r="S2257" s="25"/>
    </row>
    <row r="2258" ht="27" customHeight="1" spans="1:19">
      <c r="A2258" s="19" t="s">
        <v>8778</v>
      </c>
      <c r="B2258" s="20" t="s">
        <v>30</v>
      </c>
      <c r="C2258" s="20" t="s">
        <v>4889</v>
      </c>
      <c r="D2258" s="20" t="s">
        <v>32</v>
      </c>
      <c r="E2258" s="21" t="s">
        <v>8774</v>
      </c>
      <c r="F2258" s="21" t="s">
        <v>8779</v>
      </c>
      <c r="G2258" s="20" t="s">
        <v>35</v>
      </c>
      <c r="H2258" s="20" t="s">
        <v>25</v>
      </c>
      <c r="I2258" s="21" t="s">
        <v>8780</v>
      </c>
      <c r="J2258" s="22">
        <f t="shared" si="175"/>
        <v>0.840972222220444</v>
      </c>
      <c r="K2258" s="22">
        <f t="shared" si="176"/>
        <v>20.1833333332906</v>
      </c>
      <c r="L2258" s="22">
        <f t="shared" si="177"/>
        <v>4.18333333329065</v>
      </c>
      <c r="M2258" s="22" cm="1">
        <f ca="1" t="array" ref="M2258">SUMPRODUCT(--(WEEKDAY(ROW(INDIRECT(INT(F2258)&amp;":"&amp;INT(I2258))),2)&gt;5))</f>
        <v>0</v>
      </c>
      <c r="N2258" s="22">
        <f ca="1" t="shared" si="178"/>
        <v>4.18333333329065</v>
      </c>
      <c r="O2258" s="22" t="str">
        <f ca="1" t="shared" si="179"/>
        <v>Within SLA</v>
      </c>
      <c r="P2258" s="26" t="s">
        <v>8778</v>
      </c>
      <c r="Q2258" s="24" t="s">
        <v>37</v>
      </c>
      <c r="R2258" s="25"/>
      <c r="S2258" s="25"/>
    </row>
    <row r="2259" ht="39" customHeight="1" spans="1:19">
      <c r="A2259" s="19" t="s">
        <v>8781</v>
      </c>
      <c r="B2259" s="20" t="s">
        <v>19</v>
      </c>
      <c r="C2259" s="20" t="s">
        <v>20</v>
      </c>
      <c r="D2259" s="20" t="s">
        <v>32</v>
      </c>
      <c r="E2259" s="21" t="s">
        <v>8782</v>
      </c>
      <c r="F2259" s="21" t="s">
        <v>8783</v>
      </c>
      <c r="G2259" s="20" t="s">
        <v>35</v>
      </c>
      <c r="H2259" s="20" t="s">
        <v>25</v>
      </c>
      <c r="I2259" s="21" t="s">
        <v>8784</v>
      </c>
      <c r="J2259" s="22">
        <f t="shared" si="175"/>
        <v>4.84652777777956</v>
      </c>
      <c r="K2259" s="22">
        <f t="shared" si="176"/>
        <v>116.316666666709</v>
      </c>
      <c r="L2259" s="22">
        <f t="shared" si="177"/>
        <v>36.3166666667094</v>
      </c>
      <c r="M2259" s="22" cm="1">
        <f ca="1" t="array" ref="M2259">SUMPRODUCT(--(WEEKDAY(ROW(INDIRECT(INT(F2259)&amp;":"&amp;INT(I2259))),2)&gt;5))</f>
        <v>2</v>
      </c>
      <c r="N2259" s="22">
        <f ca="1" t="shared" si="178"/>
        <v>20.3166666667094</v>
      </c>
      <c r="O2259" s="22" t="str">
        <f ca="1" t="shared" si="179"/>
        <v>SLA Violated</v>
      </c>
      <c r="P2259" s="23" t="s">
        <v>8785</v>
      </c>
      <c r="Q2259" s="24" t="s">
        <v>28</v>
      </c>
      <c r="R2259" s="25"/>
      <c r="S2259" s="25"/>
    </row>
    <row r="2260" ht="16" customHeight="1" spans="1:19">
      <c r="A2260" s="19" t="s">
        <v>8786</v>
      </c>
      <c r="B2260" s="20" t="s">
        <v>100</v>
      </c>
      <c r="C2260" s="20" t="s">
        <v>101</v>
      </c>
      <c r="D2260" s="20" t="s">
        <v>32</v>
      </c>
      <c r="E2260" s="21" t="s">
        <v>8787</v>
      </c>
      <c r="F2260" s="21" t="s">
        <v>8788</v>
      </c>
      <c r="G2260" s="20" t="s">
        <v>35</v>
      </c>
      <c r="H2260" s="20" t="s">
        <v>25</v>
      </c>
      <c r="I2260" s="21" t="s">
        <v>8789</v>
      </c>
      <c r="J2260" s="22">
        <f t="shared" si="175"/>
        <v>18.7993055555562</v>
      </c>
      <c r="K2260" s="22">
        <f t="shared" si="176"/>
        <v>451.183333333349</v>
      </c>
      <c r="L2260" s="22">
        <f t="shared" si="177"/>
        <v>147.183333333349</v>
      </c>
      <c r="M2260" s="22" cm="1">
        <f ca="1" t="array" ref="M2260">SUMPRODUCT(--(WEEKDAY(ROW(INDIRECT(INT(F2260)&amp;":"&amp;INT(I2260))),2)&gt;5))</f>
        <v>6</v>
      </c>
      <c r="N2260" s="22">
        <f ca="1" t="shared" si="178"/>
        <v>99.183333333349</v>
      </c>
      <c r="O2260" s="22" t="str">
        <f ca="1" t="shared" si="179"/>
        <v>SLA Violated</v>
      </c>
      <c r="P2260" s="23" t="s">
        <v>8790</v>
      </c>
      <c r="Q2260" s="24" t="s">
        <v>28</v>
      </c>
      <c r="R2260" s="25"/>
      <c r="S2260" s="25"/>
    </row>
    <row r="2261" ht="39" customHeight="1" spans="1:19">
      <c r="A2261" s="19" t="s">
        <v>8791</v>
      </c>
      <c r="B2261" s="20" t="s">
        <v>19</v>
      </c>
      <c r="C2261" s="20" t="s">
        <v>20</v>
      </c>
      <c r="D2261" s="20" t="s">
        <v>32</v>
      </c>
      <c r="E2261" s="21" t="s">
        <v>8787</v>
      </c>
      <c r="F2261" s="21" t="s">
        <v>8792</v>
      </c>
      <c r="G2261" s="20" t="s">
        <v>35</v>
      </c>
      <c r="H2261" s="20" t="s">
        <v>25</v>
      </c>
      <c r="I2261" s="21" t="s">
        <v>8789</v>
      </c>
      <c r="J2261" s="22">
        <f t="shared" si="175"/>
        <v>0.00277777777955635</v>
      </c>
      <c r="K2261" s="22">
        <f t="shared" si="176"/>
        <v>0.0666666667093523</v>
      </c>
      <c r="L2261" s="22">
        <f t="shared" si="177"/>
        <v>0.0666666667093523</v>
      </c>
      <c r="M2261" s="22" cm="1">
        <f ca="1" t="array" ref="M2261">SUMPRODUCT(--(WEEKDAY(ROW(INDIRECT(INT(F2261)&amp;":"&amp;INT(I2261))),2)&gt;5))</f>
        <v>0</v>
      </c>
      <c r="N2261" s="22">
        <f ca="1" t="shared" si="178"/>
        <v>0.0666666667093523</v>
      </c>
      <c r="O2261" s="22" t="str">
        <f ca="1" t="shared" si="179"/>
        <v>Within SLA</v>
      </c>
      <c r="P2261" s="26" t="s">
        <v>8791</v>
      </c>
      <c r="Q2261" s="24" t="s">
        <v>37</v>
      </c>
      <c r="R2261" s="25"/>
      <c r="S2261" s="25"/>
    </row>
    <row r="2262" ht="39" customHeight="1" spans="1:19">
      <c r="A2262" s="19" t="s">
        <v>8793</v>
      </c>
      <c r="B2262" s="20" t="s">
        <v>19</v>
      </c>
      <c r="C2262" s="20" t="s">
        <v>20</v>
      </c>
      <c r="D2262" s="20" t="s">
        <v>32</v>
      </c>
      <c r="E2262" s="21" t="s">
        <v>8792</v>
      </c>
      <c r="F2262" s="21" t="s">
        <v>8794</v>
      </c>
      <c r="G2262" s="20" t="s">
        <v>24</v>
      </c>
      <c r="H2262" s="20" t="s">
        <v>25</v>
      </c>
      <c r="I2262" s="21" t="s">
        <v>8795</v>
      </c>
      <c r="J2262" s="22">
        <f t="shared" si="175"/>
        <v>8.08611111110804</v>
      </c>
      <c r="K2262" s="22">
        <f t="shared" si="176"/>
        <v>194.066666666593</v>
      </c>
      <c r="L2262" s="22">
        <f t="shared" si="177"/>
        <v>66.0666666665929</v>
      </c>
      <c r="M2262" s="22" cm="1">
        <f ca="1" t="array" ref="M2262">SUMPRODUCT(--(WEEKDAY(ROW(INDIRECT(INT(F2262)&amp;":"&amp;INT(I2262))),2)&gt;5))</f>
        <v>2</v>
      </c>
      <c r="N2262" s="22">
        <f ca="1" t="shared" si="178"/>
        <v>50.0666666665929</v>
      </c>
      <c r="O2262" s="22" t="str">
        <f ca="1" t="shared" si="179"/>
        <v>SLA Violated</v>
      </c>
      <c r="P2262" s="23" t="s">
        <v>8796</v>
      </c>
      <c r="Q2262" s="24" t="s">
        <v>37</v>
      </c>
      <c r="R2262" s="25" t="s">
        <v>749</v>
      </c>
      <c r="S2262" s="25" t="s">
        <v>39</v>
      </c>
    </row>
    <row r="2263" ht="27" customHeight="1" spans="1:19">
      <c r="A2263" s="19" t="s">
        <v>8797</v>
      </c>
      <c r="B2263" s="20" t="s">
        <v>30</v>
      </c>
      <c r="C2263" s="20" t="s">
        <v>4889</v>
      </c>
      <c r="D2263" s="20" t="s">
        <v>32</v>
      </c>
      <c r="E2263" s="21" t="s">
        <v>8798</v>
      </c>
      <c r="F2263" s="21" t="s">
        <v>8799</v>
      </c>
      <c r="G2263" s="20" t="s">
        <v>35</v>
      </c>
      <c r="H2263" s="20" t="s">
        <v>25</v>
      </c>
      <c r="I2263" s="21" t="s">
        <v>8795</v>
      </c>
      <c r="J2263" s="22">
        <f t="shared" si="175"/>
        <v>4.8527777777781</v>
      </c>
      <c r="K2263" s="22">
        <f t="shared" si="176"/>
        <v>116.466666666674</v>
      </c>
      <c r="L2263" s="22">
        <f t="shared" si="177"/>
        <v>36.4666666666744</v>
      </c>
      <c r="M2263" s="22" cm="1">
        <f ca="1" t="array" ref="M2263">SUMPRODUCT(--(WEEKDAY(ROW(INDIRECT(INT(F2263)&amp;":"&amp;INT(I2263))),2)&gt;5))</f>
        <v>2</v>
      </c>
      <c r="N2263" s="22">
        <f ca="1" t="shared" si="178"/>
        <v>20.4666666666744</v>
      </c>
      <c r="O2263" s="22" t="str">
        <f ca="1" t="shared" si="179"/>
        <v>SLA Violated</v>
      </c>
      <c r="P2263" s="23" t="s">
        <v>8800</v>
      </c>
      <c r="Q2263" s="24" t="s">
        <v>28</v>
      </c>
      <c r="R2263" s="25"/>
      <c r="S2263" s="25"/>
    </row>
    <row r="2264" ht="39" customHeight="1" spans="1:19">
      <c r="A2264" s="19" t="s">
        <v>8801</v>
      </c>
      <c r="B2264" s="20" t="s">
        <v>19</v>
      </c>
      <c r="C2264" s="20" t="s">
        <v>20</v>
      </c>
      <c r="D2264" s="20" t="s">
        <v>32</v>
      </c>
      <c r="E2264" s="21" t="s">
        <v>3399</v>
      </c>
      <c r="F2264" s="21" t="s">
        <v>8802</v>
      </c>
      <c r="G2264" s="20" t="s">
        <v>35</v>
      </c>
      <c r="H2264" s="20" t="s">
        <v>25</v>
      </c>
      <c r="I2264" s="21" t="s">
        <v>8803</v>
      </c>
      <c r="J2264" s="22">
        <f t="shared" si="175"/>
        <v>0.00833333333866904</v>
      </c>
      <c r="K2264" s="22">
        <f t="shared" si="176"/>
        <v>0.200000000128057</v>
      </c>
      <c r="L2264" s="22">
        <f t="shared" si="177"/>
        <v>0.200000000128057</v>
      </c>
      <c r="M2264" s="22" cm="1">
        <f ca="1" t="array" ref="M2264">SUMPRODUCT(--(WEEKDAY(ROW(INDIRECT(INT(F2264)&amp;":"&amp;INT(I2264))),2)&gt;5))</f>
        <v>0</v>
      </c>
      <c r="N2264" s="22">
        <f ca="1" t="shared" si="178"/>
        <v>0.200000000128057</v>
      </c>
      <c r="O2264" s="22" t="str">
        <f ca="1" t="shared" si="179"/>
        <v>Within SLA</v>
      </c>
      <c r="P2264" s="26" t="s">
        <v>8801</v>
      </c>
      <c r="Q2264" s="24" t="s">
        <v>37</v>
      </c>
      <c r="R2264" s="25"/>
      <c r="S2264" s="25"/>
    </row>
    <row r="2265" ht="27" customHeight="1" spans="1:19">
      <c r="A2265" s="19" t="s">
        <v>8804</v>
      </c>
      <c r="B2265" s="20" t="s">
        <v>30</v>
      </c>
      <c r="C2265" s="20" t="s">
        <v>31</v>
      </c>
      <c r="D2265" s="20" t="s">
        <v>32</v>
      </c>
      <c r="E2265" s="21" t="s">
        <v>8805</v>
      </c>
      <c r="F2265" s="21" t="s">
        <v>8806</v>
      </c>
      <c r="G2265" s="20" t="s">
        <v>35</v>
      </c>
      <c r="H2265" s="20" t="s">
        <v>25</v>
      </c>
      <c r="I2265" s="21" t="s">
        <v>8807</v>
      </c>
      <c r="J2265" s="22">
        <f t="shared" si="175"/>
        <v>8.67430555554893</v>
      </c>
      <c r="K2265" s="22">
        <f t="shared" si="176"/>
        <v>208.183333333174</v>
      </c>
      <c r="L2265" s="22">
        <f t="shared" si="177"/>
        <v>64.1833333331742</v>
      </c>
      <c r="M2265" s="22" cm="1">
        <f ca="1" t="array" ref="M2265">SUMPRODUCT(--(WEEKDAY(ROW(INDIRECT(INT(F2265)&amp;":"&amp;INT(I2265))),2)&gt;5))</f>
        <v>2</v>
      </c>
      <c r="N2265" s="22">
        <f ca="1" t="shared" si="178"/>
        <v>48.1833333331742</v>
      </c>
      <c r="O2265" s="22" t="str">
        <f ca="1" t="shared" si="179"/>
        <v>SLA Violated</v>
      </c>
      <c r="P2265" s="26" t="s">
        <v>8804</v>
      </c>
      <c r="Q2265" s="24" t="s">
        <v>28</v>
      </c>
      <c r="R2265" s="25"/>
      <c r="S2265" s="25"/>
    </row>
    <row r="2266" ht="27" customHeight="1" spans="1:19">
      <c r="A2266" s="19" t="s">
        <v>8808</v>
      </c>
      <c r="B2266" s="20" t="s">
        <v>30</v>
      </c>
      <c r="C2266" s="20" t="s">
        <v>31</v>
      </c>
      <c r="D2266" s="20" t="s">
        <v>32</v>
      </c>
      <c r="E2266" s="21" t="s">
        <v>8809</v>
      </c>
      <c r="F2266" s="21" t="s">
        <v>8810</v>
      </c>
      <c r="G2266" s="20" t="s">
        <v>35</v>
      </c>
      <c r="H2266" s="20" t="s">
        <v>25</v>
      </c>
      <c r="I2266" s="21" t="s">
        <v>8811</v>
      </c>
      <c r="J2266" s="22">
        <f t="shared" si="175"/>
        <v>9.85069444443798</v>
      </c>
      <c r="K2266" s="22">
        <f t="shared" si="176"/>
        <v>236.416666666511</v>
      </c>
      <c r="L2266" s="22">
        <f t="shared" si="177"/>
        <v>76.4166666665114</v>
      </c>
      <c r="M2266" s="22" cm="1">
        <f ca="1" t="array" ref="M2266">SUMPRODUCT(--(WEEKDAY(ROW(INDIRECT(INT(F2266)&amp;":"&amp;INT(I2266))),2)&gt;5))</f>
        <v>3</v>
      </c>
      <c r="N2266" s="22">
        <f ca="1" t="shared" si="178"/>
        <v>52.4166666665114</v>
      </c>
      <c r="O2266" s="22" t="str">
        <f ca="1" t="shared" si="179"/>
        <v>SLA Violated</v>
      </c>
      <c r="P2266" s="26" t="s">
        <v>8808</v>
      </c>
      <c r="Q2266" s="24" t="s">
        <v>28</v>
      </c>
      <c r="R2266" s="25"/>
      <c r="S2266" s="25"/>
    </row>
    <row r="2267" ht="27" customHeight="1" spans="1:19">
      <c r="A2267" s="19" t="s">
        <v>8812</v>
      </c>
      <c r="B2267" s="20" t="s">
        <v>30</v>
      </c>
      <c r="C2267" s="20" t="s">
        <v>31</v>
      </c>
      <c r="D2267" s="20" t="s">
        <v>21</v>
      </c>
      <c r="E2267" s="21" t="s">
        <v>8813</v>
      </c>
      <c r="F2267" s="21" t="s">
        <v>8814</v>
      </c>
      <c r="G2267" s="20" t="s">
        <v>35</v>
      </c>
      <c r="H2267" s="20" t="s">
        <v>25</v>
      </c>
      <c r="I2267" s="21" t="s">
        <v>8815</v>
      </c>
      <c r="J2267" s="22">
        <f t="shared" si="175"/>
        <v>18.0993055555518</v>
      </c>
      <c r="K2267" s="22">
        <f t="shared" si="176"/>
        <v>434.383333333244</v>
      </c>
      <c r="L2267" s="22">
        <f t="shared" si="177"/>
        <v>146.383333333244</v>
      </c>
      <c r="M2267" s="22" cm="1">
        <f ca="1" t="array" ref="M2267">SUMPRODUCT(--(WEEKDAY(ROW(INDIRECT(INT(F2267)&amp;":"&amp;INT(I2267))),2)&gt;5))</f>
        <v>6</v>
      </c>
      <c r="N2267" s="22">
        <f ca="1" t="shared" si="178"/>
        <v>98.383333333244</v>
      </c>
      <c r="O2267" s="22" t="str">
        <f ca="1" t="shared" si="179"/>
        <v>SLA Violated</v>
      </c>
      <c r="P2267" s="23" t="s">
        <v>8816</v>
      </c>
      <c r="Q2267" s="24" t="s">
        <v>28</v>
      </c>
      <c r="R2267" s="25"/>
      <c r="S2267" s="25"/>
    </row>
    <row r="2268" ht="39" customHeight="1" spans="1:19">
      <c r="A2268" s="19" t="s">
        <v>8817</v>
      </c>
      <c r="B2268" s="20" t="s">
        <v>19</v>
      </c>
      <c r="C2268" s="20" t="s">
        <v>20</v>
      </c>
      <c r="D2268" s="20" t="s">
        <v>32</v>
      </c>
      <c r="E2268" s="21" t="s">
        <v>8818</v>
      </c>
      <c r="F2268" s="21" t="s">
        <v>8819</v>
      </c>
      <c r="G2268" s="20" t="s">
        <v>35</v>
      </c>
      <c r="H2268" s="20" t="s">
        <v>25</v>
      </c>
      <c r="I2268" s="21" t="s">
        <v>8820</v>
      </c>
      <c r="J2268" s="22">
        <f t="shared" si="175"/>
        <v>0.73611111111677</v>
      </c>
      <c r="K2268" s="22">
        <f t="shared" si="176"/>
        <v>17.6666666668025</v>
      </c>
      <c r="L2268" s="22">
        <f t="shared" si="177"/>
        <v>1.66666666680248</v>
      </c>
      <c r="M2268" s="22" cm="1">
        <f ca="1" t="array" ref="M2268">SUMPRODUCT(--(WEEKDAY(ROW(INDIRECT(INT(F2268)&amp;":"&amp;INT(I2268))),2)&gt;5))</f>
        <v>0</v>
      </c>
      <c r="N2268" s="22">
        <f ca="1" t="shared" si="178"/>
        <v>1.66666666680248</v>
      </c>
      <c r="O2268" s="22" t="str">
        <f ca="1" t="shared" si="179"/>
        <v>Within SLA</v>
      </c>
      <c r="P2268" s="26" t="s">
        <v>8817</v>
      </c>
      <c r="Q2268" s="24" t="s">
        <v>37</v>
      </c>
      <c r="R2268" s="25"/>
      <c r="S2268" s="25"/>
    </row>
    <row r="2269" ht="39" customHeight="1" spans="1:19">
      <c r="A2269" s="19" t="s">
        <v>8821</v>
      </c>
      <c r="B2269" s="20" t="s">
        <v>19</v>
      </c>
      <c r="C2269" s="20" t="s">
        <v>20</v>
      </c>
      <c r="D2269" s="20" t="s">
        <v>32</v>
      </c>
      <c r="E2269" s="21" t="s">
        <v>8822</v>
      </c>
      <c r="F2269" s="21" t="s">
        <v>8823</v>
      </c>
      <c r="G2269" s="20" t="s">
        <v>35</v>
      </c>
      <c r="H2269" s="20" t="s">
        <v>25</v>
      </c>
      <c r="I2269" s="21" t="s">
        <v>8824</v>
      </c>
      <c r="J2269" s="22">
        <f t="shared" si="175"/>
        <v>0.656944444446708</v>
      </c>
      <c r="K2269" s="22">
        <f t="shared" si="176"/>
        <v>15.766666666721</v>
      </c>
      <c r="L2269" s="22">
        <f t="shared" si="177"/>
        <v>-0.233333333279006</v>
      </c>
      <c r="M2269" s="22" cm="1">
        <f ca="1" t="array" ref="M2269">SUMPRODUCT(--(WEEKDAY(ROW(INDIRECT(INT(F2269)&amp;":"&amp;INT(I2269))),2)&gt;5))</f>
        <v>0</v>
      </c>
      <c r="N2269" s="22">
        <f ca="1" t="shared" si="178"/>
        <v>0</v>
      </c>
      <c r="O2269" s="22" t="str">
        <f ca="1" t="shared" si="179"/>
        <v>Within SLA</v>
      </c>
      <c r="P2269" s="26" t="s">
        <v>8821</v>
      </c>
      <c r="Q2269" s="24" t="s">
        <v>37</v>
      </c>
      <c r="R2269" s="25"/>
      <c r="S2269" s="25"/>
    </row>
    <row r="2270" ht="39" customHeight="1" spans="1:19">
      <c r="A2270" s="19" t="s">
        <v>8825</v>
      </c>
      <c r="B2270" s="20" t="s">
        <v>19</v>
      </c>
      <c r="C2270" s="20" t="s">
        <v>20</v>
      </c>
      <c r="D2270" s="20" t="s">
        <v>32</v>
      </c>
      <c r="E2270" s="21" t="s">
        <v>8509</v>
      </c>
      <c r="F2270" s="21" t="s">
        <v>8826</v>
      </c>
      <c r="G2270" s="20" t="s">
        <v>35</v>
      </c>
      <c r="H2270" s="20" t="s">
        <v>25</v>
      </c>
      <c r="I2270" s="21" t="s">
        <v>8827</v>
      </c>
      <c r="J2270" s="22">
        <f t="shared" si="175"/>
        <v>0.00347222221898846</v>
      </c>
      <c r="K2270" s="22">
        <f t="shared" si="176"/>
        <v>0.0833333332557231</v>
      </c>
      <c r="L2270" s="22">
        <f t="shared" si="177"/>
        <v>0.0833333332557231</v>
      </c>
      <c r="M2270" s="22" cm="1">
        <f ca="1" t="array" ref="M2270">SUMPRODUCT(--(WEEKDAY(ROW(INDIRECT(INT(F2270)&amp;":"&amp;INT(I2270))),2)&gt;5))</f>
        <v>0</v>
      </c>
      <c r="N2270" s="22">
        <f ca="1" t="shared" si="178"/>
        <v>0.0833333332557231</v>
      </c>
      <c r="O2270" s="22" t="str">
        <f ca="1" t="shared" si="179"/>
        <v>Within SLA</v>
      </c>
      <c r="P2270" s="26" t="s">
        <v>8825</v>
      </c>
      <c r="Q2270" s="24" t="s">
        <v>37</v>
      </c>
      <c r="R2270" s="25"/>
      <c r="S2270" s="25"/>
    </row>
    <row r="2271" ht="27" customHeight="1" spans="1:19">
      <c r="A2271" s="19" t="s">
        <v>8828</v>
      </c>
      <c r="B2271" s="20" t="s">
        <v>30</v>
      </c>
      <c r="C2271" s="20" t="s">
        <v>31</v>
      </c>
      <c r="D2271" s="20" t="s">
        <v>105</v>
      </c>
      <c r="E2271" s="21" t="s">
        <v>8122</v>
      </c>
      <c r="F2271" s="21" t="s">
        <v>8829</v>
      </c>
      <c r="G2271" s="20" t="s">
        <v>35</v>
      </c>
      <c r="H2271" s="20" t="s">
        <v>25</v>
      </c>
      <c r="I2271" s="21" t="s">
        <v>8830</v>
      </c>
      <c r="J2271" s="22">
        <f t="shared" si="175"/>
        <v>8.01041666666424</v>
      </c>
      <c r="K2271" s="22">
        <f t="shared" si="176"/>
        <v>192.249999999942</v>
      </c>
      <c r="L2271" s="22">
        <f t="shared" si="177"/>
        <v>64.2499999999418</v>
      </c>
      <c r="M2271" s="22" cm="1">
        <f ca="1" t="array" ref="M2271">SUMPRODUCT(--(WEEKDAY(ROW(INDIRECT(INT(F2271)&amp;":"&amp;INT(I2271))),2)&gt;5))</f>
        <v>2</v>
      </c>
      <c r="N2271" s="22">
        <f ca="1" t="shared" si="178"/>
        <v>48.2499999999418</v>
      </c>
      <c r="O2271" s="22" t="str">
        <f ca="1" t="shared" si="179"/>
        <v>SLA Violated</v>
      </c>
      <c r="P2271" s="23" t="s">
        <v>8831</v>
      </c>
      <c r="Q2271" s="24" t="s">
        <v>28</v>
      </c>
      <c r="R2271" s="25"/>
      <c r="S2271" s="25"/>
    </row>
    <row r="2272" ht="16" customHeight="1" spans="1:19">
      <c r="A2272" s="19" t="s">
        <v>8832</v>
      </c>
      <c r="B2272" s="20" t="s">
        <v>100</v>
      </c>
      <c r="C2272" s="20" t="s">
        <v>2057</v>
      </c>
      <c r="D2272" s="20" t="s">
        <v>32</v>
      </c>
      <c r="E2272" s="21" t="s">
        <v>8833</v>
      </c>
      <c r="F2272" s="21" t="s">
        <v>8834</v>
      </c>
      <c r="G2272" s="20" t="s">
        <v>35</v>
      </c>
      <c r="H2272" s="20" t="s">
        <v>25</v>
      </c>
      <c r="I2272" s="21" t="s">
        <v>8835</v>
      </c>
      <c r="J2272" s="22">
        <f t="shared" si="175"/>
        <v>28.0041666666657</v>
      </c>
      <c r="K2272" s="22">
        <f t="shared" si="176"/>
        <v>672.099999999977</v>
      </c>
      <c r="L2272" s="22">
        <f t="shared" si="177"/>
        <v>224.099999999977</v>
      </c>
      <c r="M2272" s="22" cm="1">
        <f ca="1" t="array" ref="M2272">SUMPRODUCT(--(WEEKDAY(ROW(INDIRECT(INT(F2272)&amp;":"&amp;INT(I2272))),2)&gt;5))</f>
        <v>8</v>
      </c>
      <c r="N2272" s="22">
        <f ca="1" t="shared" si="178"/>
        <v>160.099999999977</v>
      </c>
      <c r="O2272" s="22" t="str">
        <f ca="1" t="shared" si="179"/>
        <v>SLA Violated</v>
      </c>
      <c r="P2272" s="23" t="s">
        <v>8836</v>
      </c>
      <c r="Q2272" s="24" t="s">
        <v>28</v>
      </c>
      <c r="R2272" s="25"/>
      <c r="S2272" s="25"/>
    </row>
    <row r="2273" ht="27" customHeight="1" spans="1:19">
      <c r="A2273" s="19" t="s">
        <v>8837</v>
      </c>
      <c r="B2273" s="20" t="s">
        <v>30</v>
      </c>
      <c r="C2273" s="20" t="s">
        <v>4889</v>
      </c>
      <c r="D2273" s="20" t="s">
        <v>32</v>
      </c>
      <c r="E2273" s="21" t="s">
        <v>8838</v>
      </c>
      <c r="F2273" s="21" t="s">
        <v>8839</v>
      </c>
      <c r="G2273" s="20" t="s">
        <v>35</v>
      </c>
      <c r="H2273" s="20" t="s">
        <v>25</v>
      </c>
      <c r="I2273" s="21" t="s">
        <v>8840</v>
      </c>
      <c r="J2273" s="22">
        <f t="shared" si="175"/>
        <v>4.75208333334012</v>
      </c>
      <c r="K2273" s="22">
        <f t="shared" si="176"/>
        <v>114.050000000163</v>
      </c>
      <c r="L2273" s="22">
        <f t="shared" si="177"/>
        <v>34.050000000163</v>
      </c>
      <c r="M2273" s="22" cm="1">
        <f ca="1" t="array" ref="M2273">SUMPRODUCT(--(WEEKDAY(ROW(INDIRECT(INT(F2273)&amp;":"&amp;INT(I2273))),2)&gt;5))</f>
        <v>2</v>
      </c>
      <c r="N2273" s="22">
        <f ca="1" t="shared" si="178"/>
        <v>18.050000000163</v>
      </c>
      <c r="O2273" s="22" t="str">
        <f ca="1" t="shared" si="179"/>
        <v>SLA Violated</v>
      </c>
      <c r="P2273" s="23" t="s">
        <v>8841</v>
      </c>
      <c r="Q2273" s="24" t="s">
        <v>28</v>
      </c>
      <c r="R2273" s="25"/>
      <c r="S2273" s="25"/>
    </row>
    <row r="2274" ht="27" customHeight="1" spans="1:19">
      <c r="A2274" s="19" t="s">
        <v>8842</v>
      </c>
      <c r="B2274" s="20" t="s">
        <v>30</v>
      </c>
      <c r="C2274" s="20" t="s">
        <v>4889</v>
      </c>
      <c r="D2274" s="20" t="s">
        <v>32</v>
      </c>
      <c r="E2274" s="21" t="s">
        <v>8843</v>
      </c>
      <c r="F2274" s="21" t="s">
        <v>8844</v>
      </c>
      <c r="G2274" s="20" t="s">
        <v>35</v>
      </c>
      <c r="H2274" s="20" t="s">
        <v>25</v>
      </c>
      <c r="I2274" s="21" t="s">
        <v>8845</v>
      </c>
      <c r="J2274" s="22">
        <f t="shared" si="175"/>
        <v>4.74027777777519</v>
      </c>
      <c r="K2274" s="22">
        <f t="shared" si="176"/>
        <v>113.766666666605</v>
      </c>
      <c r="L2274" s="22">
        <f t="shared" si="177"/>
        <v>33.7666666666046</v>
      </c>
      <c r="M2274" s="22" cm="1">
        <f ca="1" t="array" ref="M2274">SUMPRODUCT(--(WEEKDAY(ROW(INDIRECT(INT(F2274)&amp;":"&amp;INT(I2274))),2)&gt;5))</f>
        <v>2</v>
      </c>
      <c r="N2274" s="22">
        <f ca="1" t="shared" si="178"/>
        <v>17.7666666666046</v>
      </c>
      <c r="O2274" s="22" t="str">
        <f ca="1" t="shared" si="179"/>
        <v>SLA Violated</v>
      </c>
      <c r="P2274" s="23" t="s">
        <v>8846</v>
      </c>
      <c r="Q2274" s="24" t="s">
        <v>28</v>
      </c>
      <c r="R2274" s="25"/>
      <c r="S2274" s="25"/>
    </row>
    <row r="2275" ht="16" customHeight="1" spans="1:19">
      <c r="A2275" s="19" t="s">
        <v>8847</v>
      </c>
      <c r="B2275" s="20" t="s">
        <v>100</v>
      </c>
      <c r="C2275" s="20" t="s">
        <v>101</v>
      </c>
      <c r="D2275" s="20" t="s">
        <v>32</v>
      </c>
      <c r="E2275" s="21" t="s">
        <v>8848</v>
      </c>
      <c r="F2275" s="21" t="s">
        <v>8849</v>
      </c>
      <c r="G2275" s="20" t="s">
        <v>35</v>
      </c>
      <c r="H2275" s="20" t="s">
        <v>25</v>
      </c>
      <c r="I2275" s="21" t="s">
        <v>8824</v>
      </c>
      <c r="J2275" s="22">
        <f t="shared" si="175"/>
        <v>5.66388888888469</v>
      </c>
      <c r="K2275" s="22">
        <f t="shared" si="176"/>
        <v>135.933333333232</v>
      </c>
      <c r="L2275" s="22">
        <f t="shared" si="177"/>
        <v>39.9333333332324</v>
      </c>
      <c r="M2275" s="22" cm="1">
        <f ca="1" t="array" ref="M2275">SUMPRODUCT(--(WEEKDAY(ROW(INDIRECT(INT(F2275)&amp;":"&amp;INT(I2275))),2)&gt;5))</f>
        <v>2</v>
      </c>
      <c r="N2275" s="22">
        <f ca="1" t="shared" si="178"/>
        <v>23.9333333332324</v>
      </c>
      <c r="O2275" s="22" t="str">
        <f ca="1" t="shared" si="179"/>
        <v>SLA Violated</v>
      </c>
      <c r="P2275" s="23" t="s">
        <v>8850</v>
      </c>
      <c r="Q2275" s="24" t="s">
        <v>28</v>
      </c>
      <c r="R2275" s="25"/>
      <c r="S2275" s="25"/>
    </row>
    <row r="2276" ht="39" customHeight="1" spans="1:19">
      <c r="A2276" s="19" t="s">
        <v>8851</v>
      </c>
      <c r="B2276" s="20" t="s">
        <v>19</v>
      </c>
      <c r="C2276" s="20" t="s">
        <v>20</v>
      </c>
      <c r="D2276" s="20" t="s">
        <v>32</v>
      </c>
      <c r="E2276" s="21" t="s">
        <v>8824</v>
      </c>
      <c r="F2276" s="21" t="s">
        <v>8852</v>
      </c>
      <c r="G2276" s="20" t="s">
        <v>35</v>
      </c>
      <c r="H2276" s="20" t="s">
        <v>25</v>
      </c>
      <c r="I2276" s="21" t="s">
        <v>8853</v>
      </c>
      <c r="J2276" s="22">
        <f t="shared" si="175"/>
        <v>0.0111111111109494</v>
      </c>
      <c r="K2276" s="22">
        <f t="shared" si="176"/>
        <v>0.266666666662786</v>
      </c>
      <c r="L2276" s="22">
        <f t="shared" si="177"/>
        <v>0.266666666662786</v>
      </c>
      <c r="M2276" s="22" cm="1">
        <f ca="1" t="array" ref="M2276">SUMPRODUCT(--(WEEKDAY(ROW(INDIRECT(INT(F2276)&amp;":"&amp;INT(I2276))),2)&gt;5))</f>
        <v>0</v>
      </c>
      <c r="N2276" s="22">
        <f ca="1" t="shared" si="178"/>
        <v>0.266666666662786</v>
      </c>
      <c r="O2276" s="22" t="str">
        <f ca="1" t="shared" si="179"/>
        <v>Within SLA</v>
      </c>
      <c r="P2276" s="26" t="s">
        <v>8851</v>
      </c>
      <c r="Q2276" s="24" t="s">
        <v>37</v>
      </c>
      <c r="R2276" s="25"/>
      <c r="S2276" s="25"/>
    </row>
    <row r="2277" ht="27" customHeight="1" spans="1:19">
      <c r="A2277" s="19" t="s">
        <v>8854</v>
      </c>
      <c r="B2277" s="20" t="s">
        <v>30</v>
      </c>
      <c r="C2277" s="20" t="s">
        <v>31</v>
      </c>
      <c r="D2277" s="20" t="s">
        <v>32</v>
      </c>
      <c r="E2277" s="21" t="s">
        <v>8855</v>
      </c>
      <c r="F2277" s="21" t="s">
        <v>8856</v>
      </c>
      <c r="G2277" s="20" t="s">
        <v>35</v>
      </c>
      <c r="H2277" s="20" t="s">
        <v>25</v>
      </c>
      <c r="I2277" s="21" t="s">
        <v>8857</v>
      </c>
      <c r="J2277" s="22">
        <f t="shared" si="175"/>
        <v>7.96805555555329</v>
      </c>
      <c r="K2277" s="22">
        <f t="shared" si="176"/>
        <v>191.233333333279</v>
      </c>
      <c r="L2277" s="22">
        <f t="shared" si="177"/>
        <v>63.233333333279</v>
      </c>
      <c r="M2277" s="22" cm="1">
        <f ca="1" t="array" ref="M2277">SUMPRODUCT(--(WEEKDAY(ROW(INDIRECT(INT(F2277)&amp;":"&amp;INT(I2277))),2)&gt;5))</f>
        <v>2</v>
      </c>
      <c r="N2277" s="22">
        <f ca="1" t="shared" si="178"/>
        <v>47.233333333279</v>
      </c>
      <c r="O2277" s="22" t="str">
        <f ca="1" t="shared" si="179"/>
        <v>SLA Violated</v>
      </c>
      <c r="P2277" s="26" t="s">
        <v>8854</v>
      </c>
      <c r="Q2277" s="24" t="s">
        <v>28</v>
      </c>
      <c r="R2277" s="25"/>
      <c r="S2277" s="25"/>
    </row>
    <row r="2278" ht="39" customHeight="1" spans="1:19">
      <c r="A2278" s="19" t="s">
        <v>8858</v>
      </c>
      <c r="B2278" s="20" t="s">
        <v>19</v>
      </c>
      <c r="C2278" s="20" t="s">
        <v>20</v>
      </c>
      <c r="D2278" s="20" t="s">
        <v>32</v>
      </c>
      <c r="E2278" s="21" t="s">
        <v>8859</v>
      </c>
      <c r="F2278" s="21" t="s">
        <v>8860</v>
      </c>
      <c r="G2278" s="20" t="s">
        <v>35</v>
      </c>
      <c r="H2278" s="20" t="s">
        <v>25</v>
      </c>
      <c r="I2278" s="21" t="s">
        <v>8861</v>
      </c>
      <c r="J2278" s="22">
        <f t="shared" si="175"/>
        <v>4.00972222222481</v>
      </c>
      <c r="K2278" s="22">
        <f t="shared" si="176"/>
        <v>96.2333333333954</v>
      </c>
      <c r="L2278" s="22">
        <f t="shared" si="177"/>
        <v>32.2333333333954</v>
      </c>
      <c r="M2278" s="22" cm="1">
        <f ca="1" t="array" ref="M2278">SUMPRODUCT(--(WEEKDAY(ROW(INDIRECT(INT(F2278)&amp;":"&amp;INT(I2278))),2)&gt;5))</f>
        <v>2</v>
      </c>
      <c r="N2278" s="22">
        <f ca="1" t="shared" si="178"/>
        <v>16.2333333333954</v>
      </c>
      <c r="O2278" s="22" t="str">
        <f ca="1" t="shared" si="179"/>
        <v>SLA Violated</v>
      </c>
      <c r="P2278" s="23" t="s">
        <v>8862</v>
      </c>
      <c r="Q2278" s="24" t="s">
        <v>28</v>
      </c>
      <c r="R2278" s="25"/>
      <c r="S2278" s="25"/>
    </row>
    <row r="2279" ht="27" customHeight="1" spans="1:19">
      <c r="A2279" s="19" t="s">
        <v>8863</v>
      </c>
      <c r="B2279" s="20" t="s">
        <v>30</v>
      </c>
      <c r="C2279" s="20" t="s">
        <v>31</v>
      </c>
      <c r="D2279" s="20" t="s">
        <v>21</v>
      </c>
      <c r="E2279" s="21" t="s">
        <v>8864</v>
      </c>
      <c r="F2279" s="21" t="s">
        <v>8865</v>
      </c>
      <c r="G2279" s="20" t="s">
        <v>35</v>
      </c>
      <c r="H2279" s="20" t="s">
        <v>25</v>
      </c>
      <c r="I2279" s="21" t="s">
        <v>8866</v>
      </c>
      <c r="J2279" s="22">
        <f t="shared" si="175"/>
        <v>5.96805555555329</v>
      </c>
      <c r="K2279" s="22">
        <f t="shared" si="176"/>
        <v>143.233333333279</v>
      </c>
      <c r="L2279" s="22">
        <f t="shared" si="177"/>
        <v>47.233333333279</v>
      </c>
      <c r="M2279" s="22" cm="1">
        <f ca="1" t="array" ref="M2279">SUMPRODUCT(--(WEEKDAY(ROW(INDIRECT(INT(F2279)&amp;":"&amp;INT(I2279))),2)&gt;5))</f>
        <v>2</v>
      </c>
      <c r="N2279" s="22">
        <f ca="1" t="shared" si="178"/>
        <v>31.233333333279</v>
      </c>
      <c r="O2279" s="22" t="str">
        <f ca="1" t="shared" si="179"/>
        <v>SLA Violated</v>
      </c>
      <c r="P2279" s="23" t="s">
        <v>8867</v>
      </c>
      <c r="Q2279" s="24" t="s">
        <v>28</v>
      </c>
      <c r="R2279" s="25"/>
      <c r="S2279" s="25"/>
    </row>
    <row r="2280" ht="39" customHeight="1" spans="1:19">
      <c r="A2280" s="19" t="s">
        <v>8868</v>
      </c>
      <c r="B2280" s="20" t="s">
        <v>19</v>
      </c>
      <c r="C2280" s="20" t="s">
        <v>20</v>
      </c>
      <c r="D2280" s="20" t="s">
        <v>32</v>
      </c>
      <c r="E2280" s="21" t="s">
        <v>8779</v>
      </c>
      <c r="F2280" s="21" t="s">
        <v>8869</v>
      </c>
      <c r="G2280" s="20" t="s">
        <v>35</v>
      </c>
      <c r="H2280" s="20" t="s">
        <v>25</v>
      </c>
      <c r="I2280" s="21" t="s">
        <v>8870</v>
      </c>
      <c r="J2280" s="22">
        <f t="shared" si="175"/>
        <v>0.0173611111094942</v>
      </c>
      <c r="K2280" s="22">
        <f t="shared" si="176"/>
        <v>0.416666666627862</v>
      </c>
      <c r="L2280" s="22">
        <f t="shared" si="177"/>
        <v>0.416666666627862</v>
      </c>
      <c r="M2280" s="22" cm="1">
        <f ca="1" t="array" ref="M2280">SUMPRODUCT(--(WEEKDAY(ROW(INDIRECT(INT(F2280)&amp;":"&amp;INT(I2280))),2)&gt;5))</f>
        <v>0</v>
      </c>
      <c r="N2280" s="22">
        <f ca="1" t="shared" si="178"/>
        <v>0.416666666627862</v>
      </c>
      <c r="O2280" s="22" t="str">
        <f ca="1" t="shared" si="179"/>
        <v>Within SLA</v>
      </c>
      <c r="P2280" s="26" t="s">
        <v>8868</v>
      </c>
      <c r="Q2280" s="24" t="s">
        <v>37</v>
      </c>
      <c r="R2280" s="25"/>
      <c r="S2280" s="25"/>
    </row>
    <row r="2281" ht="27" customHeight="1" spans="1:19">
      <c r="A2281" s="19" t="s">
        <v>8871</v>
      </c>
      <c r="B2281" s="20" t="s">
        <v>121</v>
      </c>
      <c r="C2281" s="20" t="s">
        <v>849</v>
      </c>
      <c r="D2281" s="20" t="s">
        <v>32</v>
      </c>
      <c r="E2281" s="21" t="s">
        <v>8852</v>
      </c>
      <c r="F2281" s="21" t="s">
        <v>8872</v>
      </c>
      <c r="G2281" s="20" t="s">
        <v>35</v>
      </c>
      <c r="H2281" s="20" t="s">
        <v>25</v>
      </c>
      <c r="I2281" s="21" t="s">
        <v>8873</v>
      </c>
      <c r="J2281" s="22">
        <f t="shared" si="175"/>
        <v>8.01111111111095</v>
      </c>
      <c r="K2281" s="22">
        <f t="shared" si="176"/>
        <v>192.266666666663</v>
      </c>
      <c r="L2281" s="22">
        <f t="shared" si="177"/>
        <v>64.2666666666628</v>
      </c>
      <c r="M2281" s="22" cm="1">
        <f ca="1" t="array" ref="M2281">SUMPRODUCT(--(WEEKDAY(ROW(INDIRECT(INT(F2281)&amp;":"&amp;INT(I2281))),2)&gt;5))</f>
        <v>2</v>
      </c>
      <c r="N2281" s="22">
        <f ca="1" t="shared" si="178"/>
        <v>48.2666666666628</v>
      </c>
      <c r="O2281" s="22" t="str">
        <f ca="1" t="shared" si="179"/>
        <v>SLA Violated</v>
      </c>
      <c r="P2281" s="23" t="s">
        <v>8874</v>
      </c>
      <c r="Q2281" s="24" t="s">
        <v>28</v>
      </c>
      <c r="R2281" s="25"/>
      <c r="S2281" s="25"/>
    </row>
    <row r="2282" ht="39" customHeight="1" spans="1:19">
      <c r="A2282" s="19" t="s">
        <v>8875</v>
      </c>
      <c r="B2282" s="20" t="s">
        <v>19</v>
      </c>
      <c r="C2282" s="20" t="s">
        <v>20</v>
      </c>
      <c r="D2282" s="20" t="s">
        <v>32</v>
      </c>
      <c r="E2282" s="21" t="s">
        <v>8852</v>
      </c>
      <c r="F2282" s="21" t="s">
        <v>8861</v>
      </c>
      <c r="G2282" s="20" t="s">
        <v>35</v>
      </c>
      <c r="H2282" s="20" t="s">
        <v>25</v>
      </c>
      <c r="I2282" s="21" t="s">
        <v>8723</v>
      </c>
      <c r="J2282" s="22">
        <f t="shared" si="175"/>
        <v>0.0118055555576575</v>
      </c>
      <c r="K2282" s="22">
        <f t="shared" si="176"/>
        <v>0.28333333338378</v>
      </c>
      <c r="L2282" s="22">
        <f t="shared" si="177"/>
        <v>0.28333333338378</v>
      </c>
      <c r="M2282" s="22" cm="1">
        <f ca="1" t="array" ref="M2282">SUMPRODUCT(--(WEEKDAY(ROW(INDIRECT(INT(F2282)&amp;":"&amp;INT(I2282))),2)&gt;5))</f>
        <v>0</v>
      </c>
      <c r="N2282" s="22">
        <f ca="1" t="shared" si="178"/>
        <v>0.28333333338378</v>
      </c>
      <c r="O2282" s="22" t="str">
        <f ca="1" t="shared" si="179"/>
        <v>Within SLA</v>
      </c>
      <c r="P2282" s="26" t="s">
        <v>8875</v>
      </c>
      <c r="Q2282" s="24" t="s">
        <v>37</v>
      </c>
      <c r="R2282" s="25"/>
      <c r="S2282" s="25"/>
    </row>
    <row r="2283" ht="27" customHeight="1" spans="1:19">
      <c r="A2283" s="19" t="s">
        <v>8876</v>
      </c>
      <c r="B2283" s="20" t="s">
        <v>30</v>
      </c>
      <c r="C2283" s="20" t="s">
        <v>31</v>
      </c>
      <c r="D2283" s="20" t="s">
        <v>32</v>
      </c>
      <c r="E2283" s="21" t="s">
        <v>8669</v>
      </c>
      <c r="F2283" s="21" t="s">
        <v>8877</v>
      </c>
      <c r="G2283" s="20" t="s">
        <v>35</v>
      </c>
      <c r="H2283" s="20" t="s">
        <v>25</v>
      </c>
      <c r="I2283" s="21" t="s">
        <v>8878</v>
      </c>
      <c r="J2283" s="22">
        <f t="shared" si="175"/>
        <v>6.97986111111823</v>
      </c>
      <c r="K2283" s="22">
        <f t="shared" si="176"/>
        <v>167.516666666837</v>
      </c>
      <c r="L2283" s="22">
        <f t="shared" si="177"/>
        <v>55.5166666668374</v>
      </c>
      <c r="M2283" s="22" cm="1">
        <f ca="1" t="array" ref="M2283">SUMPRODUCT(--(WEEKDAY(ROW(INDIRECT(INT(F2283)&amp;":"&amp;INT(I2283))),2)&gt;5))</f>
        <v>2</v>
      </c>
      <c r="N2283" s="22">
        <f ca="1" t="shared" si="178"/>
        <v>39.5166666668374</v>
      </c>
      <c r="O2283" s="22" t="str">
        <f ca="1" t="shared" si="179"/>
        <v>SLA Violated</v>
      </c>
      <c r="P2283" s="26" t="s">
        <v>8876</v>
      </c>
      <c r="Q2283" s="24" t="s">
        <v>28</v>
      </c>
      <c r="R2283" s="25"/>
      <c r="S2283" s="25"/>
    </row>
    <row r="2284" ht="39" customHeight="1" spans="1:19">
      <c r="A2284" s="19" t="s">
        <v>8879</v>
      </c>
      <c r="B2284" s="20" t="s">
        <v>19</v>
      </c>
      <c r="C2284" s="20" t="s">
        <v>20</v>
      </c>
      <c r="D2284" s="20" t="s">
        <v>32</v>
      </c>
      <c r="E2284" s="21" t="s">
        <v>8609</v>
      </c>
      <c r="F2284" s="21" t="s">
        <v>8880</v>
      </c>
      <c r="G2284" s="20" t="s">
        <v>35</v>
      </c>
      <c r="H2284" s="20" t="s">
        <v>25</v>
      </c>
      <c r="I2284" s="21" t="s">
        <v>8881</v>
      </c>
      <c r="J2284" s="22">
        <f t="shared" si="175"/>
        <v>0.00694444444525288</v>
      </c>
      <c r="K2284" s="22">
        <f t="shared" si="176"/>
        <v>0.166666666686069</v>
      </c>
      <c r="L2284" s="22">
        <f t="shared" si="177"/>
        <v>0.166666666686069</v>
      </c>
      <c r="M2284" s="22" cm="1">
        <f ca="1" t="array" ref="M2284">SUMPRODUCT(--(WEEKDAY(ROW(INDIRECT(INT(F2284)&amp;":"&amp;INT(I2284))),2)&gt;5))</f>
        <v>0</v>
      </c>
      <c r="N2284" s="22">
        <f ca="1" t="shared" si="178"/>
        <v>0.166666666686069</v>
      </c>
      <c r="O2284" s="22" t="str">
        <f ca="1" t="shared" si="179"/>
        <v>Within SLA</v>
      </c>
      <c r="P2284" s="26" t="s">
        <v>8879</v>
      </c>
      <c r="Q2284" s="24" t="s">
        <v>37</v>
      </c>
      <c r="R2284" s="25"/>
      <c r="S2284" s="25"/>
    </row>
    <row r="2285" ht="27" customHeight="1" spans="1:19">
      <c r="A2285" s="19" t="s">
        <v>8882</v>
      </c>
      <c r="B2285" s="20" t="s">
        <v>121</v>
      </c>
      <c r="C2285" s="20" t="s">
        <v>101</v>
      </c>
      <c r="D2285" s="20" t="s">
        <v>21</v>
      </c>
      <c r="E2285" s="21" t="s">
        <v>8880</v>
      </c>
      <c r="F2285" s="21" t="s">
        <v>8883</v>
      </c>
      <c r="G2285" s="20" t="s">
        <v>35</v>
      </c>
      <c r="H2285" s="20" t="s">
        <v>25</v>
      </c>
      <c r="I2285" s="21" t="s">
        <v>8884</v>
      </c>
      <c r="J2285" s="22">
        <f t="shared" si="175"/>
        <v>17.9861111111168</v>
      </c>
      <c r="K2285" s="22">
        <f t="shared" si="176"/>
        <v>431.666666666802</v>
      </c>
      <c r="L2285" s="22">
        <f t="shared" si="177"/>
        <v>143.666666666802</v>
      </c>
      <c r="M2285" s="22" cm="1">
        <f ca="1" t="array" ref="M2285">SUMPRODUCT(--(WEEKDAY(ROW(INDIRECT(INT(F2285)&amp;":"&amp;INT(I2285))),2)&gt;5))</f>
        <v>6</v>
      </c>
      <c r="N2285" s="22">
        <f ca="1" t="shared" si="178"/>
        <v>95.666666666802</v>
      </c>
      <c r="O2285" s="22" t="str">
        <f ca="1" t="shared" si="179"/>
        <v>SLA Violated</v>
      </c>
      <c r="P2285" s="23" t="s">
        <v>8885</v>
      </c>
      <c r="Q2285" s="24" t="s">
        <v>37</v>
      </c>
      <c r="R2285" s="25" t="s">
        <v>1020</v>
      </c>
      <c r="S2285" s="25" t="s">
        <v>39</v>
      </c>
    </row>
    <row r="2286" ht="27" customHeight="1" spans="1:19">
      <c r="A2286" s="19" t="s">
        <v>8886</v>
      </c>
      <c r="B2286" s="20" t="s">
        <v>30</v>
      </c>
      <c r="C2286" s="20" t="s">
        <v>31</v>
      </c>
      <c r="D2286" s="20" t="s">
        <v>32</v>
      </c>
      <c r="E2286" s="21" t="s">
        <v>8880</v>
      </c>
      <c r="F2286" s="21" t="s">
        <v>8887</v>
      </c>
      <c r="G2286" s="20" t="s">
        <v>35</v>
      </c>
      <c r="H2286" s="20" t="s">
        <v>25</v>
      </c>
      <c r="I2286" s="21" t="s">
        <v>8888</v>
      </c>
      <c r="J2286" s="22">
        <f t="shared" si="175"/>
        <v>18.1201388888876</v>
      </c>
      <c r="K2286" s="22">
        <f t="shared" si="176"/>
        <v>434.883333333302</v>
      </c>
      <c r="L2286" s="22">
        <f t="shared" si="177"/>
        <v>146.883333333302</v>
      </c>
      <c r="M2286" s="22" cm="1">
        <f ca="1" t="array" ref="M2286">SUMPRODUCT(--(WEEKDAY(ROW(INDIRECT(INT(F2286)&amp;":"&amp;INT(I2286))),2)&gt;5))</f>
        <v>6</v>
      </c>
      <c r="N2286" s="22">
        <f ca="1" t="shared" si="178"/>
        <v>98.883333333302</v>
      </c>
      <c r="O2286" s="22" t="str">
        <f ca="1" t="shared" si="179"/>
        <v>SLA Violated</v>
      </c>
      <c r="P2286" s="26" t="s">
        <v>8886</v>
      </c>
      <c r="Q2286" s="24" t="s">
        <v>28</v>
      </c>
      <c r="R2286" s="25"/>
      <c r="S2286" s="25"/>
    </row>
    <row r="2287" ht="27" customHeight="1" spans="1:19">
      <c r="A2287" s="19" t="s">
        <v>8889</v>
      </c>
      <c r="B2287" s="20" t="s">
        <v>139</v>
      </c>
      <c r="C2287" s="20" t="s">
        <v>46</v>
      </c>
      <c r="D2287" s="20" t="s">
        <v>32</v>
      </c>
      <c r="E2287" s="21" t="s">
        <v>8880</v>
      </c>
      <c r="F2287" s="21" t="s">
        <v>8890</v>
      </c>
      <c r="G2287" s="20" t="s">
        <v>35</v>
      </c>
      <c r="H2287" s="20" t="s">
        <v>25</v>
      </c>
      <c r="I2287" s="21" t="s">
        <v>8891</v>
      </c>
      <c r="J2287" s="22">
        <f t="shared" si="175"/>
        <v>0.00902777777810115</v>
      </c>
      <c r="K2287" s="22">
        <f t="shared" si="176"/>
        <v>0.216666666674428</v>
      </c>
      <c r="L2287" s="22">
        <f t="shared" si="177"/>
        <v>0.216666666674428</v>
      </c>
      <c r="M2287" s="22" cm="1">
        <f ca="1" t="array" ref="M2287">SUMPRODUCT(--(WEEKDAY(ROW(INDIRECT(INT(F2287)&amp;":"&amp;INT(I2287))),2)&gt;5))</f>
        <v>0</v>
      </c>
      <c r="N2287" s="22">
        <f ca="1" t="shared" si="178"/>
        <v>0.216666666674428</v>
      </c>
      <c r="O2287" s="22" t="str">
        <f ca="1" t="shared" si="179"/>
        <v>Within SLA</v>
      </c>
      <c r="P2287" s="26" t="s">
        <v>8889</v>
      </c>
      <c r="Q2287" s="24" t="s">
        <v>37</v>
      </c>
      <c r="R2287" s="25"/>
      <c r="S2287" s="25"/>
    </row>
    <row r="2288" ht="39" customHeight="1" spans="1:19">
      <c r="A2288" s="19" t="s">
        <v>8892</v>
      </c>
      <c r="B2288" s="20" t="s">
        <v>19</v>
      </c>
      <c r="C2288" s="20" t="s">
        <v>20</v>
      </c>
      <c r="D2288" s="20" t="s">
        <v>32</v>
      </c>
      <c r="E2288" s="21" t="s">
        <v>8893</v>
      </c>
      <c r="F2288" s="21" t="s">
        <v>8894</v>
      </c>
      <c r="G2288" s="20" t="s">
        <v>35</v>
      </c>
      <c r="H2288" s="20" t="s">
        <v>25</v>
      </c>
      <c r="I2288" s="21" t="s">
        <v>8895</v>
      </c>
      <c r="J2288" s="22">
        <f t="shared" si="175"/>
        <v>0.0319444444467081</v>
      </c>
      <c r="K2288" s="22">
        <f t="shared" si="176"/>
        <v>0.766666666720994</v>
      </c>
      <c r="L2288" s="22">
        <f t="shared" si="177"/>
        <v>0.766666666720994</v>
      </c>
      <c r="M2288" s="22" cm="1">
        <f ca="1" t="array" ref="M2288">SUMPRODUCT(--(WEEKDAY(ROW(INDIRECT(INT(F2288)&amp;":"&amp;INT(I2288))),2)&gt;5))</f>
        <v>0</v>
      </c>
      <c r="N2288" s="22">
        <f ca="1" t="shared" si="178"/>
        <v>0.766666666720994</v>
      </c>
      <c r="O2288" s="22" t="str">
        <f ca="1" t="shared" si="179"/>
        <v>Within SLA</v>
      </c>
      <c r="P2288" s="26" t="s">
        <v>8892</v>
      </c>
      <c r="Q2288" s="24" t="s">
        <v>37</v>
      </c>
      <c r="R2288" s="25"/>
      <c r="S2288" s="25"/>
    </row>
    <row r="2289" ht="39" customHeight="1" spans="1:19">
      <c r="A2289" s="19" t="s">
        <v>8896</v>
      </c>
      <c r="B2289" s="20" t="s">
        <v>19</v>
      </c>
      <c r="C2289" s="20" t="s">
        <v>20</v>
      </c>
      <c r="D2289" s="20" t="s">
        <v>32</v>
      </c>
      <c r="E2289" s="21" t="s">
        <v>8895</v>
      </c>
      <c r="F2289" s="21" t="s">
        <v>8897</v>
      </c>
      <c r="G2289" s="20" t="s">
        <v>35</v>
      </c>
      <c r="H2289" s="20" t="s">
        <v>25</v>
      </c>
      <c r="I2289" s="21" t="s">
        <v>8898</v>
      </c>
      <c r="J2289" s="22">
        <f t="shared" si="175"/>
        <v>0.0326388888861402</v>
      </c>
      <c r="K2289" s="22">
        <f t="shared" si="176"/>
        <v>0.783333333267365</v>
      </c>
      <c r="L2289" s="22">
        <f t="shared" si="177"/>
        <v>0.783333333267365</v>
      </c>
      <c r="M2289" s="22" cm="1">
        <f ca="1" t="array" ref="M2289">SUMPRODUCT(--(WEEKDAY(ROW(INDIRECT(INT(F2289)&amp;":"&amp;INT(I2289))),2)&gt;5))</f>
        <v>0</v>
      </c>
      <c r="N2289" s="22">
        <f ca="1" t="shared" si="178"/>
        <v>0.783333333267365</v>
      </c>
      <c r="O2289" s="22" t="str">
        <f ca="1" t="shared" si="179"/>
        <v>Within SLA</v>
      </c>
      <c r="P2289" s="26" t="s">
        <v>8896</v>
      </c>
      <c r="Q2289" s="24" t="s">
        <v>37</v>
      </c>
      <c r="R2289" s="25"/>
      <c r="S2289" s="25"/>
    </row>
    <row r="2290" ht="27" customHeight="1" spans="1:19">
      <c r="A2290" s="19" t="s">
        <v>8899</v>
      </c>
      <c r="B2290" s="20" t="s">
        <v>30</v>
      </c>
      <c r="C2290" s="20" t="s">
        <v>4889</v>
      </c>
      <c r="D2290" s="20" t="s">
        <v>115</v>
      </c>
      <c r="E2290" s="21" t="s">
        <v>8891</v>
      </c>
      <c r="F2290" s="21" t="s">
        <v>8900</v>
      </c>
      <c r="G2290" s="20" t="s">
        <v>35</v>
      </c>
      <c r="H2290" s="20" t="s">
        <v>25</v>
      </c>
      <c r="I2290" s="21" t="s">
        <v>8481</v>
      </c>
      <c r="J2290" s="22">
        <f t="shared" si="175"/>
        <v>4.18402777778101</v>
      </c>
      <c r="K2290" s="22">
        <f t="shared" si="176"/>
        <v>100.416666666744</v>
      </c>
      <c r="L2290" s="22">
        <f t="shared" si="177"/>
        <v>36.4166666667443</v>
      </c>
      <c r="M2290" s="22" cm="1">
        <f ca="1" t="array" ref="M2290">SUMPRODUCT(--(WEEKDAY(ROW(INDIRECT(INT(F2290)&amp;":"&amp;INT(I2290))),2)&gt;5))</f>
        <v>2</v>
      </c>
      <c r="N2290" s="22">
        <f ca="1" t="shared" si="178"/>
        <v>20.4166666667443</v>
      </c>
      <c r="O2290" s="22" t="str">
        <f ca="1" t="shared" si="179"/>
        <v>SLA Violated</v>
      </c>
      <c r="P2290" s="23" t="s">
        <v>8901</v>
      </c>
      <c r="Q2290" s="24" t="s">
        <v>28</v>
      </c>
      <c r="R2290" s="25"/>
      <c r="S2290" s="25"/>
    </row>
    <row r="2291" ht="27" customHeight="1" spans="1:19">
      <c r="A2291" s="19" t="s">
        <v>8902</v>
      </c>
      <c r="B2291" s="20" t="s">
        <v>30</v>
      </c>
      <c r="C2291" s="20" t="s">
        <v>101</v>
      </c>
      <c r="D2291" s="20" t="s">
        <v>32</v>
      </c>
      <c r="E2291" s="21" t="s">
        <v>8903</v>
      </c>
      <c r="F2291" s="21" t="s">
        <v>8904</v>
      </c>
      <c r="G2291" s="20" t="s">
        <v>35</v>
      </c>
      <c r="H2291" s="20" t="s">
        <v>25</v>
      </c>
      <c r="I2291" s="21" t="s">
        <v>8905</v>
      </c>
      <c r="J2291" s="22">
        <f t="shared" si="175"/>
        <v>0.24861111111386</v>
      </c>
      <c r="K2291" s="22">
        <f t="shared" si="176"/>
        <v>5.96666666673264</v>
      </c>
      <c r="L2291" s="22">
        <f t="shared" si="177"/>
        <v>5.96666666673264</v>
      </c>
      <c r="M2291" s="22" cm="1">
        <f ca="1" t="array" ref="M2291">SUMPRODUCT(--(WEEKDAY(ROW(INDIRECT(INT(F2291)&amp;":"&amp;INT(I2291))),2)&gt;5))</f>
        <v>0</v>
      </c>
      <c r="N2291" s="22">
        <f ca="1" t="shared" si="178"/>
        <v>5.96666666673264</v>
      </c>
      <c r="O2291" s="22" t="str">
        <f ca="1" t="shared" si="179"/>
        <v>Within SLA</v>
      </c>
      <c r="P2291" s="26" t="s">
        <v>8902</v>
      </c>
      <c r="Q2291" s="24" t="s">
        <v>37</v>
      </c>
      <c r="R2291" s="25"/>
      <c r="S2291" s="25"/>
    </row>
    <row r="2292" ht="39" customHeight="1" spans="1:19">
      <c r="A2292" s="19" t="s">
        <v>8906</v>
      </c>
      <c r="B2292" s="20" t="s">
        <v>19</v>
      </c>
      <c r="C2292" s="20" t="s">
        <v>20</v>
      </c>
      <c r="D2292" s="20" t="s">
        <v>105</v>
      </c>
      <c r="E2292" s="21" t="s">
        <v>8907</v>
      </c>
      <c r="F2292" s="21" t="s">
        <v>8908</v>
      </c>
      <c r="G2292" s="20" t="s">
        <v>35</v>
      </c>
      <c r="H2292" s="20" t="s">
        <v>25</v>
      </c>
      <c r="I2292" s="21" t="s">
        <v>8909</v>
      </c>
      <c r="J2292" s="22">
        <f t="shared" si="175"/>
        <v>0.949305555557657</v>
      </c>
      <c r="K2292" s="22">
        <f t="shared" si="176"/>
        <v>22.7833333333838</v>
      </c>
      <c r="L2292" s="22">
        <f t="shared" si="177"/>
        <v>6.78333333338378</v>
      </c>
      <c r="M2292" s="22" cm="1">
        <f ca="1" t="array" ref="M2292">SUMPRODUCT(--(WEEKDAY(ROW(INDIRECT(INT(F2292)&amp;":"&amp;INT(I2292))),2)&gt;5))</f>
        <v>0</v>
      </c>
      <c r="N2292" s="22">
        <f ca="1" t="shared" si="178"/>
        <v>6.78333333338378</v>
      </c>
      <c r="O2292" s="22" t="str">
        <f ca="1" t="shared" si="179"/>
        <v>SLA Violated</v>
      </c>
      <c r="P2292" s="23" t="s">
        <v>8910</v>
      </c>
      <c r="Q2292" s="24" t="s">
        <v>28</v>
      </c>
      <c r="R2292" s="25"/>
      <c r="S2292" s="25"/>
    </row>
    <row r="2293" ht="27" customHeight="1" spans="1:19">
      <c r="A2293" s="19" t="s">
        <v>8911</v>
      </c>
      <c r="B2293" s="20" t="s">
        <v>30</v>
      </c>
      <c r="C2293" s="20" t="s">
        <v>31</v>
      </c>
      <c r="D2293" s="20" t="s">
        <v>32</v>
      </c>
      <c r="E2293" s="21" t="s">
        <v>8912</v>
      </c>
      <c r="F2293" s="21" t="s">
        <v>8913</v>
      </c>
      <c r="G2293" s="20" t="s">
        <v>35</v>
      </c>
      <c r="H2293" s="20" t="s">
        <v>25</v>
      </c>
      <c r="I2293" s="21" t="s">
        <v>8914</v>
      </c>
      <c r="J2293" s="22">
        <f t="shared" si="175"/>
        <v>8.91388888889196</v>
      </c>
      <c r="K2293" s="22">
        <f t="shared" si="176"/>
        <v>213.933333333407</v>
      </c>
      <c r="L2293" s="22">
        <f t="shared" si="177"/>
        <v>69.9333333334071</v>
      </c>
      <c r="M2293" s="22" cm="1">
        <f ca="1" t="array" ref="M2293">SUMPRODUCT(--(WEEKDAY(ROW(INDIRECT(INT(F2293)&amp;":"&amp;INT(I2293))),2)&gt;5))</f>
        <v>3</v>
      </c>
      <c r="N2293" s="22">
        <f ca="1" t="shared" si="178"/>
        <v>45.9333333334071</v>
      </c>
      <c r="O2293" s="22" t="str">
        <f ca="1" t="shared" si="179"/>
        <v>SLA Violated</v>
      </c>
      <c r="P2293" s="26" t="s">
        <v>8911</v>
      </c>
      <c r="Q2293" s="24" t="s">
        <v>28</v>
      </c>
      <c r="R2293" s="25"/>
      <c r="S2293" s="25"/>
    </row>
    <row r="2294" ht="27" customHeight="1" spans="1:19">
      <c r="A2294" s="19" t="s">
        <v>8915</v>
      </c>
      <c r="B2294" s="20" t="s">
        <v>30</v>
      </c>
      <c r="C2294" s="20" t="s">
        <v>31</v>
      </c>
      <c r="D2294" s="20" t="s">
        <v>32</v>
      </c>
      <c r="E2294" s="21" t="s">
        <v>8916</v>
      </c>
      <c r="F2294" s="21" t="s">
        <v>8917</v>
      </c>
      <c r="G2294" s="20" t="s">
        <v>35</v>
      </c>
      <c r="H2294" s="20" t="s">
        <v>25</v>
      </c>
      <c r="I2294" s="21" t="s">
        <v>8918</v>
      </c>
      <c r="J2294" s="22">
        <f t="shared" si="175"/>
        <v>0.0180555555562023</v>
      </c>
      <c r="K2294" s="22">
        <f t="shared" si="176"/>
        <v>0.433333333348855</v>
      </c>
      <c r="L2294" s="22">
        <f t="shared" si="177"/>
        <v>0.433333333348855</v>
      </c>
      <c r="M2294" s="22" cm="1">
        <f ca="1" t="array" ref="M2294">SUMPRODUCT(--(WEEKDAY(ROW(INDIRECT(INT(F2294)&amp;":"&amp;INT(I2294))),2)&gt;5))</f>
        <v>0</v>
      </c>
      <c r="N2294" s="22">
        <f ca="1" t="shared" si="178"/>
        <v>0.433333333348855</v>
      </c>
      <c r="O2294" s="22" t="str">
        <f ca="1" t="shared" si="179"/>
        <v>Within SLA</v>
      </c>
      <c r="P2294" s="26" t="s">
        <v>8915</v>
      </c>
      <c r="Q2294" s="24" t="s">
        <v>37</v>
      </c>
      <c r="R2294" s="25"/>
      <c r="S2294" s="25"/>
    </row>
    <row r="2295" ht="39" customHeight="1" spans="1:19">
      <c r="A2295" s="19" t="s">
        <v>8919</v>
      </c>
      <c r="B2295" s="20" t="s">
        <v>19</v>
      </c>
      <c r="C2295" s="20" t="s">
        <v>20</v>
      </c>
      <c r="D2295" s="20" t="s">
        <v>32</v>
      </c>
      <c r="E2295" s="21" t="s">
        <v>8920</v>
      </c>
      <c r="F2295" s="21" t="s">
        <v>8921</v>
      </c>
      <c r="G2295" s="20" t="s">
        <v>35</v>
      </c>
      <c r="H2295" s="20" t="s">
        <v>25</v>
      </c>
      <c r="I2295" s="21" t="s">
        <v>8922</v>
      </c>
      <c r="J2295" s="22">
        <f t="shared" si="175"/>
        <v>0.101388888891961</v>
      </c>
      <c r="K2295" s="22">
        <f t="shared" si="176"/>
        <v>2.43333333340706</v>
      </c>
      <c r="L2295" s="22">
        <f t="shared" si="177"/>
        <v>2.43333333340706</v>
      </c>
      <c r="M2295" s="22" cm="1">
        <f ca="1" t="array" ref="M2295">SUMPRODUCT(--(WEEKDAY(ROW(INDIRECT(INT(F2295)&amp;":"&amp;INT(I2295))),2)&gt;5))</f>
        <v>0</v>
      </c>
      <c r="N2295" s="22">
        <f ca="1" t="shared" si="178"/>
        <v>2.43333333340706</v>
      </c>
      <c r="O2295" s="22" t="str">
        <f ca="1" t="shared" si="179"/>
        <v>Within SLA</v>
      </c>
      <c r="P2295" s="26" t="s">
        <v>8919</v>
      </c>
      <c r="Q2295" s="24" t="s">
        <v>37</v>
      </c>
      <c r="R2295" s="25"/>
      <c r="S2295" s="25"/>
    </row>
    <row r="2296" ht="27" customHeight="1" spans="1:19">
      <c r="A2296" s="19" t="s">
        <v>8923</v>
      </c>
      <c r="B2296" s="20" t="s">
        <v>30</v>
      </c>
      <c r="C2296" s="20" t="s">
        <v>4889</v>
      </c>
      <c r="D2296" s="20" t="s">
        <v>32</v>
      </c>
      <c r="E2296" s="21" t="s">
        <v>8924</v>
      </c>
      <c r="F2296" s="21" t="s">
        <v>8925</v>
      </c>
      <c r="G2296" s="20" t="s">
        <v>35</v>
      </c>
      <c r="H2296" s="20" t="s">
        <v>25</v>
      </c>
      <c r="I2296" s="21" t="s">
        <v>8926</v>
      </c>
      <c r="J2296" s="22">
        <f t="shared" si="175"/>
        <v>1.08750000000146</v>
      </c>
      <c r="K2296" s="22">
        <f t="shared" si="176"/>
        <v>26.1000000000349</v>
      </c>
      <c r="L2296" s="22">
        <f t="shared" si="177"/>
        <v>10.1000000000349</v>
      </c>
      <c r="M2296" s="22" cm="1">
        <f ca="1" t="array" ref="M2296">SUMPRODUCT(--(WEEKDAY(ROW(INDIRECT(INT(F2296)&amp;":"&amp;INT(I2296))),2)&gt;5))</f>
        <v>0</v>
      </c>
      <c r="N2296" s="22">
        <f ca="1" t="shared" si="178"/>
        <v>10.1000000000349</v>
      </c>
      <c r="O2296" s="22" t="str">
        <f ca="1" t="shared" si="179"/>
        <v>Within SLA</v>
      </c>
      <c r="P2296" s="26" t="s">
        <v>8923</v>
      </c>
      <c r="Q2296" s="24" t="s">
        <v>37</v>
      </c>
      <c r="R2296" s="25"/>
      <c r="S2296" s="25"/>
    </row>
    <row r="2297" ht="27" customHeight="1" spans="1:19">
      <c r="A2297" s="19" t="s">
        <v>8927</v>
      </c>
      <c r="B2297" s="20" t="s">
        <v>30</v>
      </c>
      <c r="C2297" s="20" t="s">
        <v>31</v>
      </c>
      <c r="D2297" s="20" t="s">
        <v>21</v>
      </c>
      <c r="E2297" s="21" t="s">
        <v>8926</v>
      </c>
      <c r="F2297" s="21" t="s">
        <v>8928</v>
      </c>
      <c r="G2297" s="20" t="s">
        <v>35</v>
      </c>
      <c r="H2297" s="20" t="s">
        <v>25</v>
      </c>
      <c r="I2297" s="21" t="s">
        <v>8929</v>
      </c>
      <c r="J2297" s="22">
        <f t="shared" si="175"/>
        <v>5.82083333333139</v>
      </c>
      <c r="K2297" s="22">
        <f t="shared" si="176"/>
        <v>139.699999999953</v>
      </c>
      <c r="L2297" s="22">
        <f t="shared" si="177"/>
        <v>43.6999999999534</v>
      </c>
      <c r="M2297" s="22" cm="1">
        <f ca="1" t="array" ref="M2297">SUMPRODUCT(--(WEEKDAY(ROW(INDIRECT(INT(F2297)&amp;":"&amp;INT(I2297))),2)&gt;5))</f>
        <v>2</v>
      </c>
      <c r="N2297" s="22">
        <f ca="1" t="shared" si="178"/>
        <v>27.6999999999534</v>
      </c>
      <c r="O2297" s="22" t="str">
        <f ca="1" t="shared" si="179"/>
        <v>SLA Violated</v>
      </c>
      <c r="P2297" s="23" t="s">
        <v>8930</v>
      </c>
      <c r="Q2297" s="24" t="s">
        <v>28</v>
      </c>
      <c r="R2297" s="25"/>
      <c r="S2297" s="25"/>
    </row>
    <row r="2298" ht="27" customHeight="1" spans="1:19">
      <c r="A2298" s="19" t="s">
        <v>8931</v>
      </c>
      <c r="B2298" s="20" t="s">
        <v>30</v>
      </c>
      <c r="C2298" s="20" t="s">
        <v>4889</v>
      </c>
      <c r="D2298" s="20" t="s">
        <v>32</v>
      </c>
      <c r="E2298" s="21" t="s">
        <v>8926</v>
      </c>
      <c r="F2298" s="21" t="s">
        <v>8932</v>
      </c>
      <c r="G2298" s="20" t="s">
        <v>35</v>
      </c>
      <c r="H2298" s="20" t="s">
        <v>25</v>
      </c>
      <c r="I2298" s="21" t="s">
        <v>8933</v>
      </c>
      <c r="J2298" s="22">
        <f t="shared" si="175"/>
        <v>0.94999999999709</v>
      </c>
      <c r="K2298" s="22">
        <f t="shared" si="176"/>
        <v>22.7999999999302</v>
      </c>
      <c r="L2298" s="22">
        <f t="shared" si="177"/>
        <v>6.79999999993015</v>
      </c>
      <c r="M2298" s="22" cm="1">
        <f ca="1" t="array" ref="M2298">SUMPRODUCT(--(WEEKDAY(ROW(INDIRECT(INT(F2298)&amp;":"&amp;INT(I2298))),2)&gt;5))</f>
        <v>0</v>
      </c>
      <c r="N2298" s="22">
        <f ca="1" t="shared" si="178"/>
        <v>6.79999999993015</v>
      </c>
      <c r="O2298" s="22" t="str">
        <f ca="1" t="shared" si="179"/>
        <v>Within SLA</v>
      </c>
      <c r="P2298" s="26" t="s">
        <v>8931</v>
      </c>
      <c r="Q2298" s="24" t="s">
        <v>37</v>
      </c>
      <c r="R2298" s="25"/>
      <c r="S2298" s="25"/>
    </row>
    <row r="2299" ht="27" customHeight="1" spans="1:19">
      <c r="A2299" s="19" t="s">
        <v>8934</v>
      </c>
      <c r="B2299" s="20" t="s">
        <v>30</v>
      </c>
      <c r="C2299" s="20" t="s">
        <v>849</v>
      </c>
      <c r="D2299" s="20" t="s">
        <v>32</v>
      </c>
      <c r="E2299" s="21" t="s">
        <v>8935</v>
      </c>
      <c r="F2299" s="21" t="s">
        <v>8936</v>
      </c>
      <c r="G2299" s="20" t="s">
        <v>35</v>
      </c>
      <c r="H2299" s="20" t="s">
        <v>25</v>
      </c>
      <c r="I2299" s="21" t="s">
        <v>8937</v>
      </c>
      <c r="J2299" s="22">
        <f t="shared" si="175"/>
        <v>7.02847222222044</v>
      </c>
      <c r="K2299" s="22">
        <f t="shared" si="176"/>
        <v>168.683333333291</v>
      </c>
      <c r="L2299" s="22">
        <f t="shared" si="177"/>
        <v>56.6833333332906</v>
      </c>
      <c r="M2299" s="22" cm="1">
        <f ca="1" t="array" ref="M2299">SUMPRODUCT(--(WEEKDAY(ROW(INDIRECT(INT(F2299)&amp;":"&amp;INT(I2299))),2)&gt;5))</f>
        <v>2</v>
      </c>
      <c r="N2299" s="22">
        <f ca="1" t="shared" si="178"/>
        <v>40.6833333332906</v>
      </c>
      <c r="O2299" s="22" t="str">
        <f ca="1" t="shared" si="179"/>
        <v>SLA Violated</v>
      </c>
      <c r="P2299" s="23" t="s">
        <v>8938</v>
      </c>
      <c r="Q2299" s="24" t="s">
        <v>37</v>
      </c>
      <c r="R2299" s="25" t="s">
        <v>749</v>
      </c>
      <c r="S2299" s="25" t="s">
        <v>39</v>
      </c>
    </row>
    <row r="2300" ht="39" customHeight="1" spans="1:19">
      <c r="A2300" s="19" t="s">
        <v>8939</v>
      </c>
      <c r="B2300" s="20" t="s">
        <v>19</v>
      </c>
      <c r="C2300" s="20" t="s">
        <v>20</v>
      </c>
      <c r="D2300" s="20" t="s">
        <v>32</v>
      </c>
      <c r="E2300" s="21" t="s">
        <v>8940</v>
      </c>
      <c r="F2300" s="21" t="s">
        <v>8941</v>
      </c>
      <c r="G2300" s="20" t="s">
        <v>35</v>
      </c>
      <c r="H2300" s="20" t="s">
        <v>25</v>
      </c>
      <c r="I2300" s="21" t="s">
        <v>8942</v>
      </c>
      <c r="J2300" s="22">
        <f t="shared" si="175"/>
        <v>19.0729166666642</v>
      </c>
      <c r="K2300" s="22">
        <f t="shared" si="176"/>
        <v>457.749999999942</v>
      </c>
      <c r="L2300" s="22">
        <f t="shared" si="177"/>
        <v>153.749999999942</v>
      </c>
      <c r="M2300" s="22" cm="1">
        <f ca="1" t="array" ref="M2300">SUMPRODUCT(--(WEEKDAY(ROW(INDIRECT(INT(F2300)&amp;":"&amp;INT(I2300))),2)&gt;5))</f>
        <v>6</v>
      </c>
      <c r="N2300" s="22">
        <f ca="1" t="shared" si="178"/>
        <v>105.749999999942</v>
      </c>
      <c r="O2300" s="22" t="str">
        <f ca="1" t="shared" si="179"/>
        <v>SLA Violated</v>
      </c>
      <c r="P2300" s="23" t="s">
        <v>8943</v>
      </c>
      <c r="Q2300" s="24" t="s">
        <v>28</v>
      </c>
      <c r="R2300" s="25"/>
      <c r="S2300" s="25"/>
    </row>
    <row r="2301" ht="39" customHeight="1" spans="1:19">
      <c r="A2301" s="19" t="s">
        <v>8944</v>
      </c>
      <c r="B2301" s="20" t="s">
        <v>19</v>
      </c>
      <c r="C2301" s="20" t="s">
        <v>20</v>
      </c>
      <c r="D2301" s="20" t="s">
        <v>32</v>
      </c>
      <c r="E2301" s="21" t="s">
        <v>8945</v>
      </c>
      <c r="F2301" s="21" t="s">
        <v>8946</v>
      </c>
      <c r="G2301" s="20" t="s">
        <v>35</v>
      </c>
      <c r="H2301" s="20" t="s">
        <v>25</v>
      </c>
      <c r="I2301" s="21" t="s">
        <v>8947</v>
      </c>
      <c r="J2301" s="22">
        <f t="shared" si="175"/>
        <v>0.120833333334303</v>
      </c>
      <c r="K2301" s="22">
        <f t="shared" si="176"/>
        <v>2.90000000002328</v>
      </c>
      <c r="L2301" s="22">
        <f t="shared" si="177"/>
        <v>2.90000000002328</v>
      </c>
      <c r="M2301" s="22" cm="1">
        <f ca="1" t="array" ref="M2301">SUMPRODUCT(--(WEEKDAY(ROW(INDIRECT(INT(F2301)&amp;":"&amp;INT(I2301))),2)&gt;5))</f>
        <v>0</v>
      </c>
      <c r="N2301" s="22">
        <f ca="1" t="shared" si="178"/>
        <v>2.90000000002328</v>
      </c>
      <c r="O2301" s="22" t="str">
        <f ca="1" t="shared" si="179"/>
        <v>Within SLA</v>
      </c>
      <c r="P2301" s="26" t="s">
        <v>8944</v>
      </c>
      <c r="Q2301" s="24" t="s">
        <v>37</v>
      </c>
      <c r="R2301" s="25"/>
      <c r="S2301" s="25"/>
    </row>
    <row r="2302" ht="27" customHeight="1" spans="1:19">
      <c r="A2302" s="19" t="s">
        <v>8948</v>
      </c>
      <c r="B2302" s="20" t="s">
        <v>30</v>
      </c>
      <c r="C2302" s="20" t="s">
        <v>4889</v>
      </c>
      <c r="D2302" s="20" t="s">
        <v>32</v>
      </c>
      <c r="E2302" s="21" t="s">
        <v>8937</v>
      </c>
      <c r="F2302" s="21" t="s">
        <v>8949</v>
      </c>
      <c r="G2302" s="20" t="s">
        <v>35</v>
      </c>
      <c r="H2302" s="20" t="s">
        <v>25</v>
      </c>
      <c r="I2302" s="21" t="s">
        <v>8950</v>
      </c>
      <c r="J2302" s="22">
        <f t="shared" si="175"/>
        <v>3.89583333333576</v>
      </c>
      <c r="K2302" s="22">
        <f t="shared" si="176"/>
        <v>93.5000000000582</v>
      </c>
      <c r="L2302" s="22">
        <f t="shared" si="177"/>
        <v>29.5000000000582</v>
      </c>
      <c r="M2302" s="22" cm="1">
        <f ca="1" t="array" ref="M2302">SUMPRODUCT(--(WEEKDAY(ROW(INDIRECT(INT(F2302)&amp;":"&amp;INT(I2302))),2)&gt;5))</f>
        <v>2</v>
      </c>
      <c r="N2302" s="22">
        <f ca="1" t="shared" si="178"/>
        <v>13.5000000000582</v>
      </c>
      <c r="O2302" s="22" t="str">
        <f ca="1" t="shared" si="179"/>
        <v>SLA Violated</v>
      </c>
      <c r="P2302" s="23" t="s">
        <v>8951</v>
      </c>
      <c r="Q2302" s="24" t="s">
        <v>28</v>
      </c>
      <c r="R2302" s="25"/>
      <c r="S2302" s="25"/>
    </row>
    <row r="2303" ht="27" customHeight="1" spans="1:19">
      <c r="A2303" s="19" t="s">
        <v>8952</v>
      </c>
      <c r="B2303" s="20" t="s">
        <v>30</v>
      </c>
      <c r="C2303" s="20" t="s">
        <v>31</v>
      </c>
      <c r="D2303" s="20" t="s">
        <v>32</v>
      </c>
      <c r="E2303" s="21" t="s">
        <v>8953</v>
      </c>
      <c r="F2303" s="21" t="s">
        <v>8954</v>
      </c>
      <c r="G2303" s="20" t="s">
        <v>35</v>
      </c>
      <c r="H2303" s="20" t="s">
        <v>25</v>
      </c>
      <c r="I2303" s="21" t="s">
        <v>8955</v>
      </c>
      <c r="J2303" s="22">
        <f t="shared" si="175"/>
        <v>1.03263888888614</v>
      </c>
      <c r="K2303" s="22">
        <f t="shared" si="176"/>
        <v>24.7833333332674</v>
      </c>
      <c r="L2303" s="22">
        <f t="shared" si="177"/>
        <v>8.78333333326736</v>
      </c>
      <c r="M2303" s="22" cm="1">
        <f ca="1" t="array" ref="M2303">SUMPRODUCT(--(WEEKDAY(ROW(INDIRECT(INT(F2303)&amp;":"&amp;INT(I2303))),2)&gt;5))</f>
        <v>0</v>
      </c>
      <c r="N2303" s="22">
        <f ca="1" t="shared" si="178"/>
        <v>8.78333333326736</v>
      </c>
      <c r="O2303" s="22" t="str">
        <f ca="1" t="shared" si="179"/>
        <v>Within SLA</v>
      </c>
      <c r="P2303" s="26" t="s">
        <v>8952</v>
      </c>
      <c r="Q2303" s="24" t="s">
        <v>37</v>
      </c>
      <c r="R2303" s="25"/>
      <c r="S2303" s="25"/>
    </row>
    <row r="2304" ht="39" customHeight="1" spans="1:19">
      <c r="A2304" s="19" t="s">
        <v>8956</v>
      </c>
      <c r="B2304" s="20" t="s">
        <v>19</v>
      </c>
      <c r="C2304" s="20" t="s">
        <v>20</v>
      </c>
      <c r="D2304" s="20" t="s">
        <v>32</v>
      </c>
      <c r="E2304" s="21" t="s">
        <v>8957</v>
      </c>
      <c r="F2304" s="21" t="s">
        <v>8958</v>
      </c>
      <c r="G2304" s="20" t="s">
        <v>35</v>
      </c>
      <c r="H2304" s="20" t="s">
        <v>25</v>
      </c>
      <c r="I2304" s="21" t="s">
        <v>8959</v>
      </c>
      <c r="J2304" s="22">
        <f t="shared" si="175"/>
        <v>7.1118055555562</v>
      </c>
      <c r="K2304" s="22">
        <f t="shared" si="176"/>
        <v>170.683333333349</v>
      </c>
      <c r="L2304" s="22">
        <f t="shared" si="177"/>
        <v>58.6833333333489</v>
      </c>
      <c r="M2304" s="22" cm="1">
        <f ca="1" t="array" ref="M2304">SUMPRODUCT(--(WEEKDAY(ROW(INDIRECT(INT(F2304)&amp;":"&amp;INT(I2304))),2)&gt;5))</f>
        <v>2</v>
      </c>
      <c r="N2304" s="22">
        <f ca="1" t="shared" si="178"/>
        <v>42.6833333333489</v>
      </c>
      <c r="O2304" s="22" t="str">
        <f ca="1" t="shared" si="179"/>
        <v>SLA Violated</v>
      </c>
      <c r="P2304" s="23" t="s">
        <v>8960</v>
      </c>
      <c r="Q2304" s="24" t="s">
        <v>37</v>
      </c>
      <c r="R2304" s="25" t="s">
        <v>8961</v>
      </c>
      <c r="S2304" s="25" t="s">
        <v>39</v>
      </c>
    </row>
    <row r="2305" ht="39" customHeight="1" spans="1:19">
      <c r="A2305" s="19" t="s">
        <v>8962</v>
      </c>
      <c r="B2305" s="20" t="s">
        <v>196</v>
      </c>
      <c r="C2305" s="20" t="s">
        <v>4889</v>
      </c>
      <c r="D2305" s="20" t="s">
        <v>32</v>
      </c>
      <c r="E2305" s="21" t="s">
        <v>8963</v>
      </c>
      <c r="F2305" s="21" t="s">
        <v>8964</v>
      </c>
      <c r="G2305" s="20" t="s">
        <v>35</v>
      </c>
      <c r="H2305" s="20" t="s">
        <v>25</v>
      </c>
      <c r="I2305" s="21" t="s">
        <v>8965</v>
      </c>
      <c r="J2305" s="22">
        <f t="shared" si="175"/>
        <v>0.859027777776646</v>
      </c>
      <c r="K2305" s="22">
        <f t="shared" si="176"/>
        <v>20.6166666666395</v>
      </c>
      <c r="L2305" s="22">
        <f t="shared" si="177"/>
        <v>4.6166666666395</v>
      </c>
      <c r="M2305" s="22" cm="1">
        <f ca="1" t="array" ref="M2305">SUMPRODUCT(--(WEEKDAY(ROW(INDIRECT(INT(F2305)&amp;":"&amp;INT(I2305))),2)&gt;5))</f>
        <v>0</v>
      </c>
      <c r="N2305" s="22">
        <f ca="1" t="shared" si="178"/>
        <v>4.6166666666395</v>
      </c>
      <c r="O2305" s="22" t="str">
        <f ca="1" t="shared" si="179"/>
        <v>Within SLA</v>
      </c>
      <c r="P2305" s="26" t="s">
        <v>8962</v>
      </c>
      <c r="Q2305" s="24" t="s">
        <v>37</v>
      </c>
      <c r="R2305" s="25"/>
      <c r="S2305" s="25"/>
    </row>
    <row r="2306" ht="39" customHeight="1" spans="1:19">
      <c r="A2306" s="19" t="s">
        <v>8966</v>
      </c>
      <c r="B2306" s="20" t="s">
        <v>196</v>
      </c>
      <c r="C2306" s="20" t="s">
        <v>4889</v>
      </c>
      <c r="D2306" s="20" t="s">
        <v>32</v>
      </c>
      <c r="E2306" s="21" t="s">
        <v>8967</v>
      </c>
      <c r="F2306" s="21" t="s">
        <v>8968</v>
      </c>
      <c r="G2306" s="20" t="s">
        <v>35</v>
      </c>
      <c r="H2306" s="20" t="s">
        <v>25</v>
      </c>
      <c r="I2306" s="21" t="s">
        <v>8969</v>
      </c>
      <c r="J2306" s="22">
        <f t="shared" si="175"/>
        <v>0.840972222220444</v>
      </c>
      <c r="K2306" s="22">
        <f t="shared" si="176"/>
        <v>20.1833333332906</v>
      </c>
      <c r="L2306" s="22">
        <f t="shared" si="177"/>
        <v>4.18333333329065</v>
      </c>
      <c r="M2306" s="22" cm="1">
        <f ca="1" t="array" ref="M2306">SUMPRODUCT(--(WEEKDAY(ROW(INDIRECT(INT(F2306)&amp;":"&amp;INT(I2306))),2)&gt;5))</f>
        <v>0</v>
      </c>
      <c r="N2306" s="22">
        <f ca="1" t="shared" si="178"/>
        <v>4.18333333329065</v>
      </c>
      <c r="O2306" s="22" t="str">
        <f ca="1" t="shared" si="179"/>
        <v>Within SLA</v>
      </c>
      <c r="P2306" s="26" t="s">
        <v>8966</v>
      </c>
      <c r="Q2306" s="24" t="s">
        <v>37</v>
      </c>
      <c r="R2306" s="25"/>
      <c r="S2306" s="25"/>
    </row>
    <row r="2307" ht="39" customHeight="1" spans="1:19">
      <c r="A2307" s="19" t="s">
        <v>8970</v>
      </c>
      <c r="B2307" s="20" t="s">
        <v>19</v>
      </c>
      <c r="C2307" s="20" t="s">
        <v>20</v>
      </c>
      <c r="D2307" s="20" t="s">
        <v>32</v>
      </c>
      <c r="E2307" s="21" t="s">
        <v>8967</v>
      </c>
      <c r="F2307" s="21" t="s">
        <v>8971</v>
      </c>
      <c r="G2307" s="20" t="s">
        <v>24</v>
      </c>
      <c r="H2307" s="20" t="s">
        <v>25</v>
      </c>
      <c r="I2307" s="21" t="s">
        <v>8972</v>
      </c>
      <c r="J2307" s="22">
        <f t="shared" ref="J2307:J2370" si="180">F2307-I2307</f>
        <v>7.0888888888876</v>
      </c>
      <c r="K2307" s="22">
        <f t="shared" ref="K2307:K2370" si="181">J2307*24</f>
        <v>170.133333333302</v>
      </c>
      <c r="L2307" s="22">
        <f t="shared" ref="L2307:L2370" si="182">IF(_xlfn.DAYS(F2307,I2307)&gt;0,K2307-IF(FLOOR(J2307,1)=0,1,_xlfn.DAYS(F2307,I2307))*16,K2307)</f>
        <v>58.1333333333023</v>
      </c>
      <c r="M2307" s="22" cm="1">
        <f ca="1" t="array" ref="M2307">SUMPRODUCT(--(WEEKDAY(ROW(INDIRECT(INT(F2307)&amp;":"&amp;INT(I2307))),2)&gt;5))</f>
        <v>2</v>
      </c>
      <c r="N2307" s="22">
        <f ca="1" t="shared" ref="N2307:N2370" si="183">IF(IF(M2307&gt;0,L2307-M2307*8,L2307)&lt;0,0,IF(M2307&gt;0,L2307-M2307*8,L2307))</f>
        <v>42.1333333333023</v>
      </c>
      <c r="O2307" s="22" t="str">
        <f ca="1" t="shared" ref="O2307:O2370" si="184">IF(OR(AND(D2307="P1",N2307&lt;=3),AND(D2307="P2",N2307&lt;=6),AND(D2307="P3",N2307&lt;=9),AND(D2307="P4",N2307&lt;=12)),"Within SLA","SLA Violated")</f>
        <v>SLA Violated</v>
      </c>
      <c r="P2307" s="23" t="s">
        <v>8973</v>
      </c>
      <c r="Q2307" s="24" t="s">
        <v>28</v>
      </c>
      <c r="R2307" s="25"/>
      <c r="S2307" s="25"/>
    </row>
    <row r="2308" ht="27" customHeight="1" spans="1:19">
      <c r="A2308" s="19" t="s">
        <v>8974</v>
      </c>
      <c r="B2308" s="20" t="s">
        <v>30</v>
      </c>
      <c r="C2308" s="20" t="s">
        <v>4889</v>
      </c>
      <c r="D2308" s="20" t="s">
        <v>32</v>
      </c>
      <c r="E2308" s="21" t="s">
        <v>8967</v>
      </c>
      <c r="F2308" s="21" t="s">
        <v>8975</v>
      </c>
      <c r="G2308" s="20" t="s">
        <v>35</v>
      </c>
      <c r="H2308" s="20" t="s">
        <v>25</v>
      </c>
      <c r="I2308" s="21" t="s">
        <v>8976</v>
      </c>
      <c r="J2308" s="22">
        <f t="shared" si="180"/>
        <v>0.838888888887595</v>
      </c>
      <c r="K2308" s="22">
        <f t="shared" si="181"/>
        <v>20.1333333333023</v>
      </c>
      <c r="L2308" s="22">
        <f t="shared" si="182"/>
        <v>4.13333333330229</v>
      </c>
      <c r="M2308" s="22" cm="1">
        <f ca="1" t="array" ref="M2308">SUMPRODUCT(--(WEEKDAY(ROW(INDIRECT(INT(F2308)&amp;":"&amp;INT(I2308))),2)&gt;5))</f>
        <v>0</v>
      </c>
      <c r="N2308" s="22">
        <f ca="1" t="shared" si="183"/>
        <v>4.13333333330229</v>
      </c>
      <c r="O2308" s="22" t="str">
        <f ca="1" t="shared" si="184"/>
        <v>Within SLA</v>
      </c>
      <c r="P2308" s="26" t="s">
        <v>8974</v>
      </c>
      <c r="Q2308" s="24" t="s">
        <v>37</v>
      </c>
      <c r="R2308" s="25"/>
      <c r="S2308" s="25"/>
    </row>
    <row r="2309" ht="39" customHeight="1" spans="1:19">
      <c r="A2309" s="19" t="s">
        <v>8977</v>
      </c>
      <c r="B2309" s="20" t="s">
        <v>196</v>
      </c>
      <c r="C2309" s="20" t="s">
        <v>4889</v>
      </c>
      <c r="D2309" s="20" t="s">
        <v>32</v>
      </c>
      <c r="E2309" s="21" t="s">
        <v>8969</v>
      </c>
      <c r="F2309" s="21" t="s">
        <v>8978</v>
      </c>
      <c r="G2309" s="20" t="s">
        <v>35</v>
      </c>
      <c r="H2309" s="20" t="s">
        <v>25</v>
      </c>
      <c r="I2309" s="21" t="s">
        <v>8979</v>
      </c>
      <c r="J2309" s="22">
        <f t="shared" si="180"/>
        <v>11.1097222222234</v>
      </c>
      <c r="K2309" s="22">
        <f t="shared" si="181"/>
        <v>266.63333333336</v>
      </c>
      <c r="L2309" s="22">
        <f t="shared" si="182"/>
        <v>90.6333333333605</v>
      </c>
      <c r="M2309" s="22" cm="1">
        <f ca="1" t="array" ref="M2309">SUMPRODUCT(--(WEEKDAY(ROW(INDIRECT(INT(F2309)&amp;":"&amp;INT(I2309))),2)&gt;5))</f>
        <v>4</v>
      </c>
      <c r="N2309" s="22">
        <f ca="1" t="shared" si="183"/>
        <v>58.6333333333605</v>
      </c>
      <c r="O2309" s="22" t="str">
        <f ca="1" t="shared" si="184"/>
        <v>SLA Violated</v>
      </c>
      <c r="P2309" s="23" t="s">
        <v>8980</v>
      </c>
      <c r="Q2309" s="24" t="s">
        <v>28</v>
      </c>
      <c r="R2309" s="25"/>
      <c r="S2309" s="25"/>
    </row>
    <row r="2310" ht="27" customHeight="1" spans="1:19">
      <c r="A2310" s="19" t="s">
        <v>8981</v>
      </c>
      <c r="B2310" s="20" t="s">
        <v>30</v>
      </c>
      <c r="C2310" s="20" t="s">
        <v>31</v>
      </c>
      <c r="D2310" s="20" t="s">
        <v>32</v>
      </c>
      <c r="E2310" s="21" t="s">
        <v>8982</v>
      </c>
      <c r="F2310" s="21" t="s">
        <v>8983</v>
      </c>
      <c r="G2310" s="20" t="s">
        <v>35</v>
      </c>
      <c r="H2310" s="20" t="s">
        <v>25</v>
      </c>
      <c r="I2310" s="21" t="s">
        <v>8984</v>
      </c>
      <c r="J2310" s="22">
        <f t="shared" si="180"/>
        <v>10.9347222222204</v>
      </c>
      <c r="K2310" s="22">
        <f t="shared" si="181"/>
        <v>262.433333333291</v>
      </c>
      <c r="L2310" s="22">
        <f t="shared" si="182"/>
        <v>86.4333333332906</v>
      </c>
      <c r="M2310" s="22" cm="1">
        <f ca="1" t="array" ref="M2310">SUMPRODUCT(--(WEEKDAY(ROW(INDIRECT(INT(F2310)&amp;":"&amp;INT(I2310))),2)&gt;5))</f>
        <v>4</v>
      </c>
      <c r="N2310" s="22">
        <f ca="1" t="shared" si="183"/>
        <v>54.4333333332906</v>
      </c>
      <c r="O2310" s="22" t="str">
        <f ca="1" t="shared" si="184"/>
        <v>SLA Violated</v>
      </c>
      <c r="P2310" s="26" t="s">
        <v>8981</v>
      </c>
      <c r="Q2310" s="24" t="s">
        <v>28</v>
      </c>
      <c r="R2310" s="25"/>
      <c r="S2310" s="25"/>
    </row>
    <row r="2311" ht="39" customHeight="1" spans="1:19">
      <c r="A2311" s="19" t="s">
        <v>8985</v>
      </c>
      <c r="B2311" s="20" t="s">
        <v>19</v>
      </c>
      <c r="C2311" s="20" t="s">
        <v>20</v>
      </c>
      <c r="D2311" s="20" t="s">
        <v>32</v>
      </c>
      <c r="E2311" s="21" t="s">
        <v>8986</v>
      </c>
      <c r="F2311" s="21" t="s">
        <v>8364</v>
      </c>
      <c r="G2311" s="20" t="s">
        <v>24</v>
      </c>
      <c r="H2311" s="20" t="s">
        <v>25</v>
      </c>
      <c r="I2311" s="21" t="s">
        <v>8987</v>
      </c>
      <c r="J2311" s="22">
        <f t="shared" si="180"/>
        <v>6.75347222222626</v>
      </c>
      <c r="K2311" s="22">
        <f t="shared" si="181"/>
        <v>162.08333333343</v>
      </c>
      <c r="L2311" s="22">
        <f t="shared" si="182"/>
        <v>50.0833333334303</v>
      </c>
      <c r="M2311" s="22" cm="1">
        <f ca="1" t="array" ref="M2311">SUMPRODUCT(--(WEEKDAY(ROW(INDIRECT(INT(F2311)&amp;":"&amp;INT(I2311))),2)&gt;5))</f>
        <v>2</v>
      </c>
      <c r="N2311" s="22">
        <f ca="1" t="shared" si="183"/>
        <v>34.0833333334303</v>
      </c>
      <c r="O2311" s="22" t="str">
        <f ca="1" t="shared" si="184"/>
        <v>SLA Violated</v>
      </c>
      <c r="P2311" s="23" t="s">
        <v>8988</v>
      </c>
      <c r="Q2311" s="24" t="s">
        <v>28</v>
      </c>
      <c r="R2311" s="25"/>
      <c r="S2311" s="25"/>
    </row>
    <row r="2312" ht="39" customHeight="1" spans="1:19">
      <c r="A2312" s="19" t="s">
        <v>8989</v>
      </c>
      <c r="B2312" s="20" t="s">
        <v>19</v>
      </c>
      <c r="C2312" s="20" t="s">
        <v>20</v>
      </c>
      <c r="D2312" s="20" t="s">
        <v>32</v>
      </c>
      <c r="E2312" s="21" t="s">
        <v>8986</v>
      </c>
      <c r="F2312" s="21" t="s">
        <v>8990</v>
      </c>
      <c r="G2312" s="20" t="s">
        <v>35</v>
      </c>
      <c r="H2312" s="20" t="s">
        <v>25</v>
      </c>
      <c r="I2312" s="21" t="s">
        <v>8991</v>
      </c>
      <c r="J2312" s="22">
        <f t="shared" si="180"/>
        <v>0.00902777777810115</v>
      </c>
      <c r="K2312" s="22">
        <f t="shared" si="181"/>
        <v>0.216666666674428</v>
      </c>
      <c r="L2312" s="22">
        <f t="shared" si="182"/>
        <v>0.216666666674428</v>
      </c>
      <c r="M2312" s="22" cm="1">
        <f ca="1" t="array" ref="M2312">SUMPRODUCT(--(WEEKDAY(ROW(INDIRECT(INT(F2312)&amp;":"&amp;INT(I2312))),2)&gt;5))</f>
        <v>0</v>
      </c>
      <c r="N2312" s="22">
        <f ca="1" t="shared" si="183"/>
        <v>0.216666666674428</v>
      </c>
      <c r="O2312" s="22" t="str">
        <f ca="1" t="shared" si="184"/>
        <v>Within SLA</v>
      </c>
      <c r="P2312" s="26" t="s">
        <v>8989</v>
      </c>
      <c r="Q2312" s="24" t="s">
        <v>37</v>
      </c>
      <c r="R2312" s="25"/>
      <c r="S2312" s="25"/>
    </row>
    <row r="2313" ht="27" customHeight="1" spans="1:19">
      <c r="A2313" s="19" t="s">
        <v>8992</v>
      </c>
      <c r="B2313" s="20" t="s">
        <v>30</v>
      </c>
      <c r="C2313" s="20" t="s">
        <v>31</v>
      </c>
      <c r="D2313" s="20" t="s">
        <v>32</v>
      </c>
      <c r="E2313" s="21" t="s">
        <v>8986</v>
      </c>
      <c r="F2313" s="21" t="s">
        <v>8993</v>
      </c>
      <c r="G2313" s="20" t="s">
        <v>35</v>
      </c>
      <c r="H2313" s="20" t="s">
        <v>25</v>
      </c>
      <c r="I2313" s="21" t="s">
        <v>8994</v>
      </c>
      <c r="J2313" s="22">
        <f t="shared" si="180"/>
        <v>10.9895833333285</v>
      </c>
      <c r="K2313" s="22">
        <f t="shared" si="181"/>
        <v>263.749999999884</v>
      </c>
      <c r="L2313" s="22">
        <f t="shared" si="182"/>
        <v>87.7499999998836</v>
      </c>
      <c r="M2313" s="22" cm="1">
        <f ca="1" t="array" ref="M2313">SUMPRODUCT(--(WEEKDAY(ROW(INDIRECT(INT(F2313)&amp;":"&amp;INT(I2313))),2)&gt;5))</f>
        <v>4</v>
      </c>
      <c r="N2313" s="22">
        <f ca="1" t="shared" si="183"/>
        <v>55.7499999998836</v>
      </c>
      <c r="O2313" s="22" t="str">
        <f ca="1" t="shared" si="184"/>
        <v>SLA Violated</v>
      </c>
      <c r="P2313" s="26" t="s">
        <v>8992</v>
      </c>
      <c r="Q2313" s="24" t="s">
        <v>28</v>
      </c>
      <c r="R2313" s="25"/>
      <c r="S2313" s="25"/>
    </row>
    <row r="2314" ht="39" customHeight="1" spans="1:19">
      <c r="A2314" s="19" t="s">
        <v>8995</v>
      </c>
      <c r="B2314" s="20" t="s">
        <v>196</v>
      </c>
      <c r="C2314" s="20" t="s">
        <v>46</v>
      </c>
      <c r="D2314" s="20" t="s">
        <v>21</v>
      </c>
      <c r="E2314" s="21" t="s">
        <v>8990</v>
      </c>
      <c r="F2314" s="21" t="s">
        <v>8996</v>
      </c>
      <c r="G2314" s="20" t="s">
        <v>35</v>
      </c>
      <c r="H2314" s="20" t="s">
        <v>25</v>
      </c>
      <c r="I2314" s="21" t="s">
        <v>8997</v>
      </c>
      <c r="J2314" s="22">
        <f t="shared" si="180"/>
        <v>0.0194444444423425</v>
      </c>
      <c r="K2314" s="22">
        <f t="shared" si="181"/>
        <v>0.46666666661622</v>
      </c>
      <c r="L2314" s="22">
        <f t="shared" si="182"/>
        <v>0.46666666661622</v>
      </c>
      <c r="M2314" s="22" cm="1">
        <f ca="1" t="array" ref="M2314">SUMPRODUCT(--(WEEKDAY(ROW(INDIRECT(INT(F2314)&amp;":"&amp;INT(I2314))),2)&gt;5))</f>
        <v>0</v>
      </c>
      <c r="N2314" s="22">
        <f ca="1" t="shared" si="183"/>
        <v>0.46666666661622</v>
      </c>
      <c r="O2314" s="22" t="str">
        <f ca="1" t="shared" si="184"/>
        <v>Within SLA</v>
      </c>
      <c r="P2314" s="26" t="s">
        <v>8995</v>
      </c>
      <c r="Q2314" s="24" t="s">
        <v>37</v>
      </c>
      <c r="R2314" s="25"/>
      <c r="S2314" s="25"/>
    </row>
    <row r="2315" ht="39" customHeight="1" spans="1:19">
      <c r="A2315" s="19" t="s">
        <v>8998</v>
      </c>
      <c r="B2315" s="20" t="s">
        <v>19</v>
      </c>
      <c r="C2315" s="20" t="s">
        <v>20</v>
      </c>
      <c r="D2315" s="20" t="s">
        <v>32</v>
      </c>
      <c r="E2315" s="21" t="s">
        <v>8999</v>
      </c>
      <c r="F2315" s="21" t="s">
        <v>9000</v>
      </c>
      <c r="G2315" s="20" t="s">
        <v>35</v>
      </c>
      <c r="H2315" s="20" t="s">
        <v>25</v>
      </c>
      <c r="I2315" s="21" t="s">
        <v>9001</v>
      </c>
      <c r="J2315" s="22">
        <f t="shared" si="180"/>
        <v>0.00694444443797693</v>
      </c>
      <c r="K2315" s="22">
        <f t="shared" si="181"/>
        <v>0.166666666511446</v>
      </c>
      <c r="L2315" s="22">
        <f t="shared" si="182"/>
        <v>0.166666666511446</v>
      </c>
      <c r="M2315" s="22" cm="1">
        <f ca="1" t="array" ref="M2315">SUMPRODUCT(--(WEEKDAY(ROW(INDIRECT(INT(F2315)&amp;":"&amp;INT(I2315))),2)&gt;5))</f>
        <v>0</v>
      </c>
      <c r="N2315" s="22">
        <f ca="1" t="shared" si="183"/>
        <v>0.166666666511446</v>
      </c>
      <c r="O2315" s="22" t="str">
        <f ca="1" t="shared" si="184"/>
        <v>Within SLA</v>
      </c>
      <c r="P2315" s="26" t="s">
        <v>8998</v>
      </c>
      <c r="Q2315" s="24" t="s">
        <v>37</v>
      </c>
      <c r="R2315" s="25"/>
      <c r="S2315" s="25"/>
    </row>
    <row r="2316" ht="39" customHeight="1" spans="1:19">
      <c r="A2316" s="19" t="s">
        <v>9002</v>
      </c>
      <c r="B2316" s="20" t="s">
        <v>196</v>
      </c>
      <c r="C2316" s="20" t="s">
        <v>4889</v>
      </c>
      <c r="D2316" s="20" t="s">
        <v>21</v>
      </c>
      <c r="E2316" s="21" t="s">
        <v>9003</v>
      </c>
      <c r="F2316" s="21" t="s">
        <v>9004</v>
      </c>
      <c r="G2316" s="20" t="s">
        <v>35</v>
      </c>
      <c r="H2316" s="20" t="s">
        <v>25</v>
      </c>
      <c r="I2316" s="21" t="s">
        <v>9005</v>
      </c>
      <c r="J2316" s="22">
        <f t="shared" si="180"/>
        <v>20.9333333333343</v>
      </c>
      <c r="K2316" s="22">
        <f t="shared" si="181"/>
        <v>502.400000000023</v>
      </c>
      <c r="L2316" s="22">
        <f t="shared" si="182"/>
        <v>166.400000000023</v>
      </c>
      <c r="M2316" s="22" cm="1">
        <f ca="1" t="array" ref="M2316">SUMPRODUCT(--(WEEKDAY(ROW(INDIRECT(INT(F2316)&amp;":"&amp;INT(I2316))),2)&gt;5))</f>
        <v>6</v>
      </c>
      <c r="N2316" s="22">
        <f ca="1" t="shared" si="183"/>
        <v>118.400000000023</v>
      </c>
      <c r="O2316" s="22" t="str">
        <f ca="1" t="shared" si="184"/>
        <v>SLA Violated</v>
      </c>
      <c r="P2316" s="23" t="s">
        <v>9006</v>
      </c>
      <c r="Q2316" s="24" t="s">
        <v>28</v>
      </c>
      <c r="R2316" s="25"/>
      <c r="S2316" s="25"/>
    </row>
    <row r="2317" ht="39" customHeight="1" spans="1:19">
      <c r="A2317" s="19" t="s">
        <v>9007</v>
      </c>
      <c r="B2317" s="20" t="s">
        <v>19</v>
      </c>
      <c r="C2317" s="20" t="s">
        <v>20</v>
      </c>
      <c r="D2317" s="20" t="s">
        <v>32</v>
      </c>
      <c r="E2317" s="21" t="s">
        <v>9008</v>
      </c>
      <c r="F2317" s="21" t="s">
        <v>6455</v>
      </c>
      <c r="G2317" s="20" t="s">
        <v>24</v>
      </c>
      <c r="H2317" s="20" t="s">
        <v>25</v>
      </c>
      <c r="I2317" s="21" t="s">
        <v>9009</v>
      </c>
      <c r="J2317" s="22">
        <f t="shared" si="180"/>
        <v>47.7256944444453</v>
      </c>
      <c r="K2317" s="22">
        <f t="shared" si="181"/>
        <v>1145.41666666669</v>
      </c>
      <c r="L2317" s="22">
        <f t="shared" si="182"/>
        <v>377.416666666686</v>
      </c>
      <c r="M2317" s="22" cm="1">
        <f ca="1" t="array" ref="M2317">SUMPRODUCT(--(WEEKDAY(ROW(INDIRECT(INT(F2317)&amp;":"&amp;INT(I2317))),2)&gt;5))</f>
        <v>14</v>
      </c>
      <c r="N2317" s="22">
        <f ca="1" t="shared" si="183"/>
        <v>265.416666666686</v>
      </c>
      <c r="O2317" s="22" t="str">
        <f ca="1" t="shared" si="184"/>
        <v>SLA Violated</v>
      </c>
      <c r="P2317" s="23" t="s">
        <v>9010</v>
      </c>
      <c r="Q2317" s="24" t="s">
        <v>37</v>
      </c>
      <c r="R2317" s="25" t="s">
        <v>38</v>
      </c>
      <c r="S2317" s="25" t="s">
        <v>39</v>
      </c>
    </row>
    <row r="2318" ht="39" customHeight="1" spans="1:19">
      <c r="A2318" s="19" t="s">
        <v>9011</v>
      </c>
      <c r="B2318" s="20" t="s">
        <v>19</v>
      </c>
      <c r="C2318" s="20" t="s">
        <v>20</v>
      </c>
      <c r="D2318" s="20" t="s">
        <v>32</v>
      </c>
      <c r="E2318" s="21" t="s">
        <v>9012</v>
      </c>
      <c r="F2318" s="21" t="s">
        <v>9013</v>
      </c>
      <c r="G2318" s="20" t="s">
        <v>35</v>
      </c>
      <c r="H2318" s="20" t="s">
        <v>25</v>
      </c>
      <c r="I2318" s="21" t="s">
        <v>9014</v>
      </c>
      <c r="J2318" s="22">
        <f t="shared" si="180"/>
        <v>0.0118055555503815</v>
      </c>
      <c r="K2318" s="22">
        <f t="shared" si="181"/>
        <v>0.283333333209157</v>
      </c>
      <c r="L2318" s="22">
        <f t="shared" si="182"/>
        <v>0.283333333209157</v>
      </c>
      <c r="M2318" s="22" cm="1">
        <f ca="1" t="array" ref="M2318">SUMPRODUCT(--(WEEKDAY(ROW(INDIRECT(INT(F2318)&amp;":"&amp;INT(I2318))),2)&gt;5))</f>
        <v>0</v>
      </c>
      <c r="N2318" s="22">
        <f ca="1" t="shared" si="183"/>
        <v>0.283333333209157</v>
      </c>
      <c r="O2318" s="22" t="str">
        <f ca="1" t="shared" si="184"/>
        <v>Within SLA</v>
      </c>
      <c r="P2318" s="26" t="s">
        <v>9011</v>
      </c>
      <c r="Q2318" s="24" t="s">
        <v>37</v>
      </c>
      <c r="R2318" s="25"/>
      <c r="S2318" s="25"/>
    </row>
    <row r="2319" ht="27" customHeight="1" spans="1:19">
      <c r="A2319" s="19" t="s">
        <v>9015</v>
      </c>
      <c r="B2319" s="20" t="s">
        <v>30</v>
      </c>
      <c r="C2319" s="20" t="s">
        <v>31</v>
      </c>
      <c r="D2319" s="20" t="s">
        <v>32</v>
      </c>
      <c r="E2319" s="21" t="s">
        <v>9012</v>
      </c>
      <c r="F2319" s="21" t="s">
        <v>9016</v>
      </c>
      <c r="G2319" s="20" t="s">
        <v>35</v>
      </c>
      <c r="H2319" s="20" t="s">
        <v>25</v>
      </c>
      <c r="I2319" s="21" t="s">
        <v>9017</v>
      </c>
      <c r="J2319" s="22">
        <f t="shared" si="180"/>
        <v>0.313888888893416</v>
      </c>
      <c r="K2319" s="22">
        <f t="shared" si="181"/>
        <v>7.53333333344199</v>
      </c>
      <c r="L2319" s="22">
        <f t="shared" si="182"/>
        <v>7.53333333344199</v>
      </c>
      <c r="M2319" s="22" cm="1">
        <f ca="1" t="array" ref="M2319">SUMPRODUCT(--(WEEKDAY(ROW(INDIRECT(INT(F2319)&amp;":"&amp;INT(I2319))),2)&gt;5))</f>
        <v>1</v>
      </c>
      <c r="N2319" s="22">
        <f ca="1" t="shared" si="183"/>
        <v>0</v>
      </c>
      <c r="O2319" s="22" t="str">
        <f ca="1" t="shared" si="184"/>
        <v>Within SLA</v>
      </c>
      <c r="P2319" s="26" t="s">
        <v>9015</v>
      </c>
      <c r="Q2319" s="24" t="s">
        <v>37</v>
      </c>
      <c r="R2319" s="25"/>
      <c r="S2319" s="25"/>
    </row>
    <row r="2320" ht="27" customHeight="1" spans="1:19">
      <c r="A2320" s="19" t="s">
        <v>9018</v>
      </c>
      <c r="B2320" s="20" t="s">
        <v>139</v>
      </c>
      <c r="C2320" s="20" t="s">
        <v>1935</v>
      </c>
      <c r="D2320" s="20" t="s">
        <v>32</v>
      </c>
      <c r="E2320" s="21" t="s">
        <v>9019</v>
      </c>
      <c r="F2320" s="21" t="s">
        <v>9020</v>
      </c>
      <c r="G2320" s="20" t="s">
        <v>35</v>
      </c>
      <c r="H2320" s="20" t="s">
        <v>25</v>
      </c>
      <c r="I2320" s="21" t="s">
        <v>9021</v>
      </c>
      <c r="J2320" s="22">
        <f t="shared" si="180"/>
        <v>0.0881944444481633</v>
      </c>
      <c r="K2320" s="22">
        <f t="shared" si="181"/>
        <v>2.11666666675592</v>
      </c>
      <c r="L2320" s="22">
        <f t="shared" si="182"/>
        <v>2.11666666675592</v>
      </c>
      <c r="M2320" s="22" cm="1">
        <f ca="1" t="array" ref="M2320">SUMPRODUCT(--(WEEKDAY(ROW(INDIRECT(INT(F2320)&amp;":"&amp;INT(I2320))),2)&gt;5))</f>
        <v>0</v>
      </c>
      <c r="N2320" s="22">
        <f ca="1" t="shared" si="183"/>
        <v>2.11666666675592</v>
      </c>
      <c r="O2320" s="22" t="str">
        <f ca="1" t="shared" si="184"/>
        <v>Within SLA</v>
      </c>
      <c r="P2320" s="26" t="s">
        <v>9018</v>
      </c>
      <c r="Q2320" s="24" t="s">
        <v>37</v>
      </c>
      <c r="R2320" s="25"/>
      <c r="S2320" s="25"/>
    </row>
    <row r="2321" ht="27" customHeight="1" spans="1:19">
      <c r="A2321" s="19" t="s">
        <v>9022</v>
      </c>
      <c r="B2321" s="20" t="s">
        <v>30</v>
      </c>
      <c r="C2321" s="20" t="s">
        <v>31</v>
      </c>
      <c r="D2321" s="20" t="s">
        <v>32</v>
      </c>
      <c r="E2321" s="21" t="s">
        <v>9023</v>
      </c>
      <c r="F2321" s="21" t="s">
        <v>9024</v>
      </c>
      <c r="G2321" s="20" t="s">
        <v>24</v>
      </c>
      <c r="H2321" s="20" t="s">
        <v>25</v>
      </c>
      <c r="I2321" s="21" t="s">
        <v>9025</v>
      </c>
      <c r="J2321" s="22">
        <f t="shared" si="180"/>
        <v>47.7118055555547</v>
      </c>
      <c r="K2321" s="22">
        <f t="shared" si="181"/>
        <v>1145.08333333331</v>
      </c>
      <c r="L2321" s="22">
        <f t="shared" si="182"/>
        <v>377.083333333314</v>
      </c>
      <c r="M2321" s="22" cm="1">
        <f ca="1" t="array" ref="M2321">SUMPRODUCT(--(WEEKDAY(ROW(INDIRECT(INT(F2321)&amp;":"&amp;INT(I2321))),2)&gt;5))</f>
        <v>14</v>
      </c>
      <c r="N2321" s="22">
        <f ca="1" t="shared" si="183"/>
        <v>265.083333333314</v>
      </c>
      <c r="O2321" s="22" t="str">
        <f ca="1" t="shared" si="184"/>
        <v>SLA Violated</v>
      </c>
      <c r="P2321" s="26" t="s">
        <v>9022</v>
      </c>
      <c r="Q2321" s="24" t="s">
        <v>28</v>
      </c>
      <c r="R2321" s="25"/>
      <c r="S2321" s="25"/>
    </row>
    <row r="2322" ht="27" customHeight="1" spans="1:19">
      <c r="A2322" s="19" t="s">
        <v>9026</v>
      </c>
      <c r="B2322" s="20" t="s">
        <v>30</v>
      </c>
      <c r="C2322" s="20" t="s">
        <v>4889</v>
      </c>
      <c r="D2322" s="20" t="s">
        <v>105</v>
      </c>
      <c r="E2322" s="21" t="s">
        <v>9023</v>
      </c>
      <c r="F2322" s="21" t="s">
        <v>9027</v>
      </c>
      <c r="G2322" s="20" t="s">
        <v>35</v>
      </c>
      <c r="H2322" s="20" t="s">
        <v>25</v>
      </c>
      <c r="I2322" s="21" t="s">
        <v>9028</v>
      </c>
      <c r="J2322" s="22">
        <f t="shared" si="180"/>
        <v>17.8472222222263</v>
      </c>
      <c r="K2322" s="22">
        <f t="shared" si="181"/>
        <v>428.33333333343</v>
      </c>
      <c r="L2322" s="22">
        <f t="shared" si="182"/>
        <v>140.33333333343</v>
      </c>
      <c r="M2322" s="22" cm="1">
        <f ca="1" t="array" ref="M2322">SUMPRODUCT(--(WEEKDAY(ROW(INDIRECT(INT(F2322)&amp;":"&amp;INT(I2322))),2)&gt;5))</f>
        <v>6</v>
      </c>
      <c r="N2322" s="22">
        <f ca="1" t="shared" si="183"/>
        <v>92.33333333343</v>
      </c>
      <c r="O2322" s="22" t="str">
        <f ca="1" t="shared" si="184"/>
        <v>SLA Violated</v>
      </c>
      <c r="P2322" s="23" t="s">
        <v>9029</v>
      </c>
      <c r="Q2322" s="24" t="s">
        <v>28</v>
      </c>
      <c r="R2322" s="25"/>
      <c r="S2322" s="25"/>
    </row>
    <row r="2323" ht="27" customHeight="1" spans="1:19">
      <c r="A2323" s="19" t="s">
        <v>9030</v>
      </c>
      <c r="B2323" s="20" t="s">
        <v>30</v>
      </c>
      <c r="C2323" s="20" t="s">
        <v>31</v>
      </c>
      <c r="D2323" s="20" t="s">
        <v>32</v>
      </c>
      <c r="E2323" s="21" t="s">
        <v>9031</v>
      </c>
      <c r="F2323" s="21" t="s">
        <v>9032</v>
      </c>
      <c r="G2323" s="20" t="s">
        <v>35</v>
      </c>
      <c r="H2323" s="20" t="s">
        <v>25</v>
      </c>
      <c r="I2323" s="21" t="s">
        <v>9033</v>
      </c>
      <c r="J2323" s="22">
        <f t="shared" si="180"/>
        <v>0.781944444446708</v>
      </c>
      <c r="K2323" s="22">
        <f t="shared" si="181"/>
        <v>18.766666666721</v>
      </c>
      <c r="L2323" s="22">
        <f t="shared" si="182"/>
        <v>2.76666666672099</v>
      </c>
      <c r="M2323" s="22" cm="1">
        <f ca="1" t="array" ref="M2323">SUMPRODUCT(--(WEEKDAY(ROW(INDIRECT(INT(F2323)&amp;":"&amp;INT(I2323))),2)&gt;5))</f>
        <v>0</v>
      </c>
      <c r="N2323" s="22">
        <f ca="1" t="shared" si="183"/>
        <v>2.76666666672099</v>
      </c>
      <c r="O2323" s="22" t="str">
        <f ca="1" t="shared" si="184"/>
        <v>Within SLA</v>
      </c>
      <c r="P2323" s="26" t="s">
        <v>9030</v>
      </c>
      <c r="Q2323" s="24" t="s">
        <v>37</v>
      </c>
      <c r="R2323" s="25"/>
      <c r="S2323" s="25"/>
    </row>
    <row r="2324" ht="27" customHeight="1" spans="1:19">
      <c r="A2324" s="19" t="s">
        <v>9034</v>
      </c>
      <c r="B2324" s="20" t="s">
        <v>139</v>
      </c>
      <c r="C2324" s="20" t="s">
        <v>2057</v>
      </c>
      <c r="D2324" s="20" t="s">
        <v>32</v>
      </c>
      <c r="E2324" s="21" t="s">
        <v>9035</v>
      </c>
      <c r="F2324" s="21" t="s">
        <v>9036</v>
      </c>
      <c r="G2324" s="20" t="s">
        <v>35</v>
      </c>
      <c r="H2324" s="20" t="s">
        <v>25</v>
      </c>
      <c r="I2324" s="21" t="s">
        <v>9037</v>
      </c>
      <c r="J2324" s="22">
        <f t="shared" si="180"/>
        <v>20.7756944444482</v>
      </c>
      <c r="K2324" s="22">
        <f t="shared" si="181"/>
        <v>498.616666666756</v>
      </c>
      <c r="L2324" s="22">
        <f t="shared" si="182"/>
        <v>162.616666666756</v>
      </c>
      <c r="M2324" s="22" cm="1">
        <f ca="1" t="array" ref="M2324">SUMPRODUCT(--(WEEKDAY(ROW(INDIRECT(INT(F2324)&amp;":"&amp;INT(I2324))),2)&gt;5))</f>
        <v>6</v>
      </c>
      <c r="N2324" s="22">
        <f ca="1" t="shared" si="183"/>
        <v>114.616666666756</v>
      </c>
      <c r="O2324" s="22" t="str">
        <f ca="1" t="shared" si="184"/>
        <v>SLA Violated</v>
      </c>
      <c r="P2324" s="23" t="s">
        <v>9038</v>
      </c>
      <c r="Q2324" s="24" t="s">
        <v>28</v>
      </c>
      <c r="R2324" s="25"/>
      <c r="S2324" s="25"/>
    </row>
    <row r="2325" ht="27" customHeight="1" spans="1:19">
      <c r="A2325" s="19" t="s">
        <v>9039</v>
      </c>
      <c r="B2325" s="20" t="s">
        <v>30</v>
      </c>
      <c r="C2325" s="20" t="s">
        <v>849</v>
      </c>
      <c r="D2325" s="20" t="s">
        <v>32</v>
      </c>
      <c r="E2325" s="21" t="s">
        <v>9040</v>
      </c>
      <c r="F2325" s="21" t="s">
        <v>9041</v>
      </c>
      <c r="G2325" s="20" t="s">
        <v>35</v>
      </c>
      <c r="H2325" s="20" t="s">
        <v>25</v>
      </c>
      <c r="I2325" s="21" t="s">
        <v>9042</v>
      </c>
      <c r="J2325" s="22">
        <f t="shared" si="180"/>
        <v>0.00138888888614019</v>
      </c>
      <c r="K2325" s="22">
        <f t="shared" si="181"/>
        <v>0.0333333332673647</v>
      </c>
      <c r="L2325" s="22">
        <f t="shared" si="182"/>
        <v>0.0333333332673647</v>
      </c>
      <c r="M2325" s="22" cm="1">
        <f ca="1" t="array" ref="M2325">SUMPRODUCT(--(WEEKDAY(ROW(INDIRECT(INT(F2325)&amp;":"&amp;INT(I2325))),2)&gt;5))</f>
        <v>0</v>
      </c>
      <c r="N2325" s="22">
        <f ca="1" t="shared" si="183"/>
        <v>0.0333333332673647</v>
      </c>
      <c r="O2325" s="22" t="str">
        <f ca="1" t="shared" si="184"/>
        <v>Within SLA</v>
      </c>
      <c r="P2325" s="26" t="s">
        <v>9039</v>
      </c>
      <c r="Q2325" s="24" t="s">
        <v>37</v>
      </c>
      <c r="R2325" s="25"/>
      <c r="S2325" s="25"/>
    </row>
    <row r="2326" ht="27" customHeight="1" spans="1:19">
      <c r="A2326" s="19" t="s">
        <v>9043</v>
      </c>
      <c r="B2326" s="20" t="s">
        <v>30</v>
      </c>
      <c r="C2326" s="20" t="s">
        <v>31</v>
      </c>
      <c r="D2326" s="20" t="s">
        <v>32</v>
      </c>
      <c r="E2326" s="21" t="s">
        <v>9044</v>
      </c>
      <c r="F2326" s="21" t="s">
        <v>9045</v>
      </c>
      <c r="G2326" s="20" t="s">
        <v>35</v>
      </c>
      <c r="H2326" s="20" t="s">
        <v>25</v>
      </c>
      <c r="I2326" s="21" t="s">
        <v>9046</v>
      </c>
      <c r="J2326" s="22">
        <f t="shared" si="180"/>
        <v>0.756944444445253</v>
      </c>
      <c r="K2326" s="22">
        <f t="shared" si="181"/>
        <v>18.1666666666861</v>
      </c>
      <c r="L2326" s="22">
        <f t="shared" si="182"/>
        <v>2.16666666668607</v>
      </c>
      <c r="M2326" s="22" cm="1">
        <f ca="1" t="array" ref="M2326">SUMPRODUCT(--(WEEKDAY(ROW(INDIRECT(INT(F2326)&amp;":"&amp;INT(I2326))),2)&gt;5))</f>
        <v>0</v>
      </c>
      <c r="N2326" s="22">
        <f ca="1" t="shared" si="183"/>
        <v>2.16666666668607</v>
      </c>
      <c r="O2326" s="22" t="str">
        <f ca="1" t="shared" si="184"/>
        <v>Within SLA</v>
      </c>
      <c r="P2326" s="26" t="s">
        <v>9043</v>
      </c>
      <c r="Q2326" s="24" t="s">
        <v>37</v>
      </c>
      <c r="R2326" s="25"/>
      <c r="S2326" s="25"/>
    </row>
    <row r="2327" ht="27" customHeight="1" spans="1:19">
      <c r="A2327" s="19" t="s">
        <v>9047</v>
      </c>
      <c r="B2327" s="20" t="s">
        <v>30</v>
      </c>
      <c r="C2327" s="20" t="s">
        <v>4889</v>
      </c>
      <c r="D2327" s="20" t="s">
        <v>32</v>
      </c>
      <c r="E2327" s="21" t="s">
        <v>9048</v>
      </c>
      <c r="F2327" s="21" t="s">
        <v>9042</v>
      </c>
      <c r="G2327" s="20" t="s">
        <v>35</v>
      </c>
      <c r="H2327" s="20" t="s">
        <v>25</v>
      </c>
      <c r="I2327" s="21" t="s">
        <v>9049</v>
      </c>
      <c r="J2327" s="22">
        <f t="shared" si="180"/>
        <v>0.722916666672972</v>
      </c>
      <c r="K2327" s="22">
        <f t="shared" si="181"/>
        <v>17.3500000001513</v>
      </c>
      <c r="L2327" s="22">
        <f t="shared" si="182"/>
        <v>1.35000000015134</v>
      </c>
      <c r="M2327" s="22" cm="1">
        <f ca="1" t="array" ref="M2327">SUMPRODUCT(--(WEEKDAY(ROW(INDIRECT(INT(F2327)&amp;":"&amp;INT(I2327))),2)&gt;5))</f>
        <v>0</v>
      </c>
      <c r="N2327" s="22">
        <f ca="1" t="shared" si="183"/>
        <v>1.35000000015134</v>
      </c>
      <c r="O2327" s="22" t="str">
        <f ca="1" t="shared" si="184"/>
        <v>Within SLA</v>
      </c>
      <c r="P2327" s="26" t="s">
        <v>9047</v>
      </c>
      <c r="Q2327" s="24" t="s">
        <v>37</v>
      </c>
      <c r="R2327" s="25"/>
      <c r="S2327" s="25"/>
    </row>
    <row r="2328" ht="39" customHeight="1" spans="1:19">
      <c r="A2328" s="19" t="s">
        <v>9050</v>
      </c>
      <c r="B2328" s="20" t="s">
        <v>19</v>
      </c>
      <c r="C2328" s="20" t="s">
        <v>20</v>
      </c>
      <c r="D2328" s="20" t="s">
        <v>32</v>
      </c>
      <c r="E2328" s="21" t="s">
        <v>9049</v>
      </c>
      <c r="F2328" s="21" t="s">
        <v>9051</v>
      </c>
      <c r="G2328" s="20" t="s">
        <v>35</v>
      </c>
      <c r="H2328" s="20" t="s">
        <v>25</v>
      </c>
      <c r="I2328" s="21" t="s">
        <v>9052</v>
      </c>
      <c r="J2328" s="22">
        <f t="shared" si="180"/>
        <v>0.688888888893416</v>
      </c>
      <c r="K2328" s="22">
        <f t="shared" si="181"/>
        <v>16.533333333442</v>
      </c>
      <c r="L2328" s="22">
        <f t="shared" si="182"/>
        <v>0.533333333441988</v>
      </c>
      <c r="M2328" s="22" cm="1">
        <f ca="1" t="array" ref="M2328">SUMPRODUCT(--(WEEKDAY(ROW(INDIRECT(INT(F2328)&amp;":"&amp;INT(I2328))),2)&gt;5))</f>
        <v>0</v>
      </c>
      <c r="N2328" s="22">
        <f ca="1" t="shared" si="183"/>
        <v>0.533333333441988</v>
      </c>
      <c r="O2328" s="22" t="str">
        <f ca="1" t="shared" si="184"/>
        <v>Within SLA</v>
      </c>
      <c r="P2328" s="26" t="s">
        <v>9050</v>
      </c>
      <c r="Q2328" s="24" t="s">
        <v>37</v>
      </c>
      <c r="R2328" s="25"/>
      <c r="S2328" s="25"/>
    </row>
    <row r="2329" ht="27" customHeight="1" spans="1:19">
      <c r="A2329" s="19" t="s">
        <v>9053</v>
      </c>
      <c r="B2329" s="20" t="s">
        <v>30</v>
      </c>
      <c r="C2329" s="20" t="s">
        <v>31</v>
      </c>
      <c r="D2329" s="20" t="s">
        <v>32</v>
      </c>
      <c r="E2329" s="21" t="s">
        <v>9054</v>
      </c>
      <c r="F2329" s="21" t="s">
        <v>9055</v>
      </c>
      <c r="G2329" s="20" t="s">
        <v>24</v>
      </c>
      <c r="H2329" s="20" t="s">
        <v>25</v>
      </c>
      <c r="I2329" s="21" t="s">
        <v>9056</v>
      </c>
      <c r="J2329" s="22">
        <f t="shared" si="180"/>
        <v>2.94583333333139</v>
      </c>
      <c r="K2329" s="22">
        <f t="shared" si="181"/>
        <v>70.6999999999534</v>
      </c>
      <c r="L2329" s="22">
        <f t="shared" si="182"/>
        <v>22.6999999999534</v>
      </c>
      <c r="M2329" s="22" cm="1">
        <f ca="1" t="array" ref="M2329">SUMPRODUCT(--(WEEKDAY(ROW(INDIRECT(INT(F2329)&amp;":"&amp;INT(I2329))),2)&gt;5))</f>
        <v>2</v>
      </c>
      <c r="N2329" s="22">
        <f ca="1" t="shared" si="183"/>
        <v>6.6999999999534</v>
      </c>
      <c r="O2329" s="22" t="str">
        <f ca="1" t="shared" si="184"/>
        <v>Within SLA</v>
      </c>
      <c r="P2329" s="26" t="s">
        <v>9053</v>
      </c>
      <c r="Q2329" s="24" t="s">
        <v>37</v>
      </c>
      <c r="R2329" s="25"/>
      <c r="S2329" s="25"/>
    </row>
    <row r="2330" ht="27" customHeight="1" spans="1:19">
      <c r="A2330" s="19" t="s">
        <v>9057</v>
      </c>
      <c r="B2330" s="20" t="s">
        <v>30</v>
      </c>
      <c r="C2330" s="20" t="s">
        <v>31</v>
      </c>
      <c r="D2330" s="20" t="s">
        <v>21</v>
      </c>
      <c r="E2330" s="21" t="s">
        <v>9058</v>
      </c>
      <c r="F2330" s="21" t="s">
        <v>9059</v>
      </c>
      <c r="G2330" s="20" t="s">
        <v>35</v>
      </c>
      <c r="H2330" s="20" t="s">
        <v>25</v>
      </c>
      <c r="I2330" s="21" t="s">
        <v>9060</v>
      </c>
      <c r="J2330" s="22">
        <f t="shared" si="180"/>
        <v>17.1979166666642</v>
      </c>
      <c r="K2330" s="22">
        <f t="shared" si="181"/>
        <v>412.749999999942</v>
      </c>
      <c r="L2330" s="22">
        <f t="shared" si="182"/>
        <v>140.749999999942</v>
      </c>
      <c r="M2330" s="22" cm="1">
        <f ca="1" t="array" ref="M2330">SUMPRODUCT(--(WEEKDAY(ROW(INDIRECT(INT(F2330)&amp;":"&amp;INT(I2330))),2)&gt;5))</f>
        <v>6</v>
      </c>
      <c r="N2330" s="22">
        <f ca="1" t="shared" si="183"/>
        <v>92.749999999942</v>
      </c>
      <c r="O2330" s="22" t="str">
        <f ca="1" t="shared" si="184"/>
        <v>SLA Violated</v>
      </c>
      <c r="P2330" s="23" t="s">
        <v>9061</v>
      </c>
      <c r="Q2330" s="24" t="s">
        <v>28</v>
      </c>
      <c r="R2330" s="25"/>
      <c r="S2330" s="25"/>
    </row>
    <row r="2331" ht="27" customHeight="1" spans="1:19">
      <c r="A2331" s="19" t="s">
        <v>9062</v>
      </c>
      <c r="B2331" s="20" t="s">
        <v>30</v>
      </c>
      <c r="C2331" s="20" t="s">
        <v>31</v>
      </c>
      <c r="D2331" s="20" t="s">
        <v>21</v>
      </c>
      <c r="E2331" s="21" t="s">
        <v>9063</v>
      </c>
      <c r="F2331" s="21" t="s">
        <v>9064</v>
      </c>
      <c r="G2331" s="20" t="s">
        <v>35</v>
      </c>
      <c r="H2331" s="20" t="s">
        <v>25</v>
      </c>
      <c r="I2331" s="21" t="s">
        <v>9065</v>
      </c>
      <c r="J2331" s="22">
        <f t="shared" si="180"/>
        <v>4.96180555555475</v>
      </c>
      <c r="K2331" s="22">
        <f t="shared" si="181"/>
        <v>119.083333333314</v>
      </c>
      <c r="L2331" s="22">
        <f t="shared" si="182"/>
        <v>39.0833333333139</v>
      </c>
      <c r="M2331" s="22" cm="1">
        <f ca="1" t="array" ref="M2331">SUMPRODUCT(--(WEEKDAY(ROW(INDIRECT(INT(F2331)&amp;":"&amp;INT(I2331))),2)&gt;5))</f>
        <v>2</v>
      </c>
      <c r="N2331" s="22">
        <f ca="1" t="shared" si="183"/>
        <v>23.0833333333139</v>
      </c>
      <c r="O2331" s="22" t="str">
        <f ca="1" t="shared" si="184"/>
        <v>SLA Violated</v>
      </c>
      <c r="P2331" s="23" t="s">
        <v>9066</v>
      </c>
      <c r="Q2331" s="24" t="s">
        <v>28</v>
      </c>
      <c r="R2331" s="25"/>
      <c r="S2331" s="25"/>
    </row>
    <row r="2332" ht="27" customHeight="1" spans="1:19">
      <c r="A2332" s="19" t="s">
        <v>9067</v>
      </c>
      <c r="B2332" s="20" t="s">
        <v>30</v>
      </c>
      <c r="C2332" s="20" t="s">
        <v>31</v>
      </c>
      <c r="D2332" s="20" t="s">
        <v>32</v>
      </c>
      <c r="E2332" s="21" t="s">
        <v>9068</v>
      </c>
      <c r="F2332" s="21" t="s">
        <v>9069</v>
      </c>
      <c r="G2332" s="20" t="s">
        <v>24</v>
      </c>
      <c r="H2332" s="20" t="s">
        <v>25</v>
      </c>
      <c r="I2332" s="21" t="s">
        <v>9070</v>
      </c>
      <c r="J2332" s="22">
        <f t="shared" si="180"/>
        <v>46.8249999999971</v>
      </c>
      <c r="K2332" s="22">
        <f t="shared" si="181"/>
        <v>1123.79999999993</v>
      </c>
      <c r="L2332" s="22">
        <f t="shared" si="182"/>
        <v>371.79999999993</v>
      </c>
      <c r="M2332" s="22" cm="1">
        <f ca="1" t="array" ref="M2332">SUMPRODUCT(--(WEEKDAY(ROW(INDIRECT(INT(F2332)&amp;":"&amp;INT(I2332))),2)&gt;5))</f>
        <v>14</v>
      </c>
      <c r="N2332" s="22">
        <f ca="1" t="shared" si="183"/>
        <v>259.79999999993</v>
      </c>
      <c r="O2332" s="22" t="str">
        <f ca="1" t="shared" si="184"/>
        <v>SLA Violated</v>
      </c>
      <c r="P2332" s="26" t="s">
        <v>9067</v>
      </c>
      <c r="Q2332" s="24" t="s">
        <v>28</v>
      </c>
      <c r="R2332" s="25"/>
      <c r="S2332" s="25"/>
    </row>
    <row r="2333" ht="27" customHeight="1" spans="1:19">
      <c r="A2333" s="19" t="s">
        <v>9071</v>
      </c>
      <c r="B2333" s="20" t="s">
        <v>30</v>
      </c>
      <c r="C2333" s="20" t="s">
        <v>31</v>
      </c>
      <c r="D2333" s="20" t="s">
        <v>105</v>
      </c>
      <c r="E2333" s="21" t="s">
        <v>9072</v>
      </c>
      <c r="F2333" s="21" t="s">
        <v>7189</v>
      </c>
      <c r="G2333" s="20" t="s">
        <v>35</v>
      </c>
      <c r="H2333" s="20" t="s">
        <v>25</v>
      </c>
      <c r="I2333" s="21" t="s">
        <v>9073</v>
      </c>
      <c r="J2333" s="22">
        <f t="shared" si="180"/>
        <v>12.1666666666642</v>
      </c>
      <c r="K2333" s="22">
        <f t="shared" si="181"/>
        <v>291.999999999942</v>
      </c>
      <c r="L2333" s="22">
        <f t="shared" si="182"/>
        <v>99.9999999999418</v>
      </c>
      <c r="M2333" s="22" cm="1">
        <f ca="1" t="array" ref="M2333">SUMPRODUCT(--(WEEKDAY(ROW(INDIRECT(INT(F2333)&amp;":"&amp;INT(I2333))),2)&gt;5))</f>
        <v>4</v>
      </c>
      <c r="N2333" s="22">
        <f ca="1" t="shared" si="183"/>
        <v>67.9999999999418</v>
      </c>
      <c r="O2333" s="22" t="str">
        <f ca="1" t="shared" si="184"/>
        <v>SLA Violated</v>
      </c>
      <c r="P2333" s="23" t="s">
        <v>9074</v>
      </c>
      <c r="Q2333" s="24" t="s">
        <v>28</v>
      </c>
      <c r="R2333" s="25"/>
      <c r="S2333" s="25"/>
    </row>
    <row r="2334" ht="27" customHeight="1" spans="1:19">
      <c r="A2334" s="19" t="s">
        <v>9075</v>
      </c>
      <c r="B2334" s="20" t="s">
        <v>30</v>
      </c>
      <c r="C2334" s="20" t="s">
        <v>4889</v>
      </c>
      <c r="D2334" s="20" t="s">
        <v>32</v>
      </c>
      <c r="E2334" s="21" t="s">
        <v>9076</v>
      </c>
      <c r="F2334" s="21" t="s">
        <v>9077</v>
      </c>
      <c r="G2334" s="20" t="s">
        <v>35</v>
      </c>
      <c r="H2334" s="20" t="s">
        <v>25</v>
      </c>
      <c r="I2334" s="21" t="s">
        <v>9078</v>
      </c>
      <c r="J2334" s="22">
        <f t="shared" si="180"/>
        <v>3.01944444444234</v>
      </c>
      <c r="K2334" s="22">
        <f t="shared" si="181"/>
        <v>72.4666666666162</v>
      </c>
      <c r="L2334" s="22">
        <f t="shared" si="182"/>
        <v>24.4666666666162</v>
      </c>
      <c r="M2334" s="22" cm="1">
        <f ca="1" t="array" ref="M2334">SUMPRODUCT(--(WEEKDAY(ROW(INDIRECT(INT(F2334)&amp;":"&amp;INT(I2334))),2)&gt;5))</f>
        <v>2</v>
      </c>
      <c r="N2334" s="22">
        <f ca="1" t="shared" si="183"/>
        <v>8.4666666666162</v>
      </c>
      <c r="O2334" s="22" t="str">
        <f ca="1" t="shared" si="184"/>
        <v>Within SLA</v>
      </c>
      <c r="P2334" s="26" t="s">
        <v>9075</v>
      </c>
      <c r="Q2334" s="24" t="s">
        <v>37</v>
      </c>
      <c r="R2334" s="25"/>
      <c r="S2334" s="25"/>
    </row>
    <row r="2335" ht="27" customHeight="1" spans="1:19">
      <c r="A2335" s="19" t="s">
        <v>9079</v>
      </c>
      <c r="B2335" s="20" t="s">
        <v>30</v>
      </c>
      <c r="C2335" s="20" t="s">
        <v>4889</v>
      </c>
      <c r="D2335" s="20" t="s">
        <v>32</v>
      </c>
      <c r="E2335" s="21" t="s">
        <v>9080</v>
      </c>
      <c r="F2335" s="21" t="s">
        <v>9081</v>
      </c>
      <c r="G2335" s="20" t="s">
        <v>35</v>
      </c>
      <c r="H2335" s="20" t="s">
        <v>25</v>
      </c>
      <c r="I2335" s="21" t="s">
        <v>9078</v>
      </c>
      <c r="J2335" s="22">
        <f t="shared" si="180"/>
        <v>3.02083333333576</v>
      </c>
      <c r="K2335" s="22">
        <f t="shared" si="181"/>
        <v>72.5000000000582</v>
      </c>
      <c r="L2335" s="22">
        <f t="shared" si="182"/>
        <v>24.5000000000582</v>
      </c>
      <c r="M2335" s="22" cm="1">
        <f ca="1" t="array" ref="M2335">SUMPRODUCT(--(WEEKDAY(ROW(INDIRECT(INT(F2335)&amp;":"&amp;INT(I2335))),2)&gt;5))</f>
        <v>2</v>
      </c>
      <c r="N2335" s="22">
        <f ca="1" t="shared" si="183"/>
        <v>8.5000000000582</v>
      </c>
      <c r="O2335" s="22" t="str">
        <f ca="1" t="shared" si="184"/>
        <v>Within SLA</v>
      </c>
      <c r="P2335" s="26" t="s">
        <v>9079</v>
      </c>
      <c r="Q2335" s="24" t="s">
        <v>37</v>
      </c>
      <c r="R2335" s="25"/>
      <c r="S2335" s="25"/>
    </row>
    <row r="2336" ht="27" customHeight="1" spans="1:19">
      <c r="A2336" s="19" t="s">
        <v>9082</v>
      </c>
      <c r="B2336" s="20" t="s">
        <v>30</v>
      </c>
      <c r="C2336" s="20" t="s">
        <v>4889</v>
      </c>
      <c r="D2336" s="20" t="s">
        <v>32</v>
      </c>
      <c r="E2336" s="21" t="s">
        <v>9083</v>
      </c>
      <c r="F2336" s="21" t="s">
        <v>9084</v>
      </c>
      <c r="G2336" s="20" t="s">
        <v>35</v>
      </c>
      <c r="H2336" s="20" t="s">
        <v>25</v>
      </c>
      <c r="I2336" s="21" t="s">
        <v>9085</v>
      </c>
      <c r="J2336" s="22">
        <f t="shared" si="180"/>
        <v>3.23749999999563</v>
      </c>
      <c r="K2336" s="22">
        <f t="shared" si="181"/>
        <v>77.6999999998952</v>
      </c>
      <c r="L2336" s="22">
        <f t="shared" si="182"/>
        <v>29.6999999998952</v>
      </c>
      <c r="M2336" s="22" cm="1">
        <f ca="1" t="array" ref="M2336">SUMPRODUCT(--(WEEKDAY(ROW(INDIRECT(INT(F2336)&amp;":"&amp;INT(I2336))),2)&gt;5))</f>
        <v>2</v>
      </c>
      <c r="N2336" s="22">
        <f ca="1" t="shared" si="183"/>
        <v>13.6999999998952</v>
      </c>
      <c r="O2336" s="22" t="str">
        <f ca="1" t="shared" si="184"/>
        <v>SLA Violated</v>
      </c>
      <c r="P2336" s="23" t="s">
        <v>9086</v>
      </c>
      <c r="Q2336" s="24" t="s">
        <v>28</v>
      </c>
      <c r="R2336" s="25"/>
      <c r="S2336" s="25"/>
    </row>
    <row r="2337" ht="27" customHeight="1" spans="1:19">
      <c r="A2337" s="19" t="s">
        <v>9087</v>
      </c>
      <c r="B2337" s="20" t="s">
        <v>30</v>
      </c>
      <c r="C2337" s="20" t="s">
        <v>31</v>
      </c>
      <c r="D2337" s="20" t="s">
        <v>32</v>
      </c>
      <c r="E2337" s="21" t="s">
        <v>9088</v>
      </c>
      <c r="F2337" s="21" t="s">
        <v>9089</v>
      </c>
      <c r="G2337" s="20" t="s">
        <v>35</v>
      </c>
      <c r="H2337" s="20" t="s">
        <v>25</v>
      </c>
      <c r="I2337" s="21" t="s">
        <v>9090</v>
      </c>
      <c r="J2337" s="22">
        <f t="shared" si="180"/>
        <v>11.0027777777796</v>
      </c>
      <c r="K2337" s="22">
        <f t="shared" si="181"/>
        <v>264.066666666709</v>
      </c>
      <c r="L2337" s="22">
        <f t="shared" si="182"/>
        <v>88.0666666667094</v>
      </c>
      <c r="M2337" s="22" cm="1">
        <f ca="1" t="array" ref="M2337">SUMPRODUCT(--(WEEKDAY(ROW(INDIRECT(INT(F2337)&amp;":"&amp;INT(I2337))),2)&gt;5))</f>
        <v>4</v>
      </c>
      <c r="N2337" s="22">
        <f ca="1" t="shared" si="183"/>
        <v>56.0666666667094</v>
      </c>
      <c r="O2337" s="22" t="str">
        <f ca="1" t="shared" si="184"/>
        <v>SLA Violated</v>
      </c>
      <c r="P2337" s="26" t="s">
        <v>9087</v>
      </c>
      <c r="Q2337" s="24" t="s">
        <v>28</v>
      </c>
      <c r="R2337" s="25"/>
      <c r="S2337" s="25"/>
    </row>
    <row r="2338" ht="27" customHeight="1" spans="1:19">
      <c r="A2338" s="19" t="s">
        <v>9091</v>
      </c>
      <c r="B2338" s="20" t="s">
        <v>30</v>
      </c>
      <c r="C2338" s="20" t="s">
        <v>31</v>
      </c>
      <c r="D2338" s="20" t="s">
        <v>32</v>
      </c>
      <c r="E2338" s="21" t="s">
        <v>9092</v>
      </c>
      <c r="F2338" s="21" t="s">
        <v>9093</v>
      </c>
      <c r="G2338" s="20" t="s">
        <v>35</v>
      </c>
      <c r="H2338" s="20" t="s">
        <v>25</v>
      </c>
      <c r="I2338" s="21" t="s">
        <v>9094</v>
      </c>
      <c r="J2338" s="22">
        <f t="shared" si="180"/>
        <v>11.0048611111124</v>
      </c>
      <c r="K2338" s="22">
        <f t="shared" si="181"/>
        <v>264.116666666698</v>
      </c>
      <c r="L2338" s="22">
        <f t="shared" si="182"/>
        <v>88.1166666666977</v>
      </c>
      <c r="M2338" s="22" cm="1">
        <f ca="1" t="array" ref="M2338">SUMPRODUCT(--(WEEKDAY(ROW(INDIRECT(INT(F2338)&amp;":"&amp;INT(I2338))),2)&gt;5))</f>
        <v>4</v>
      </c>
      <c r="N2338" s="22">
        <f ca="1" t="shared" si="183"/>
        <v>56.1166666666977</v>
      </c>
      <c r="O2338" s="22" t="str">
        <f ca="1" t="shared" si="184"/>
        <v>SLA Violated</v>
      </c>
      <c r="P2338" s="26" t="s">
        <v>9091</v>
      </c>
      <c r="Q2338" s="24" t="s">
        <v>28</v>
      </c>
      <c r="R2338" s="25"/>
      <c r="S2338" s="25"/>
    </row>
    <row r="2339" ht="27" customHeight="1" spans="1:19">
      <c r="A2339" s="19" t="s">
        <v>9095</v>
      </c>
      <c r="B2339" s="20" t="s">
        <v>30</v>
      </c>
      <c r="C2339" s="20" t="s">
        <v>31</v>
      </c>
      <c r="D2339" s="20" t="s">
        <v>32</v>
      </c>
      <c r="E2339" s="21" t="s">
        <v>9096</v>
      </c>
      <c r="F2339" s="21" t="s">
        <v>8262</v>
      </c>
      <c r="G2339" s="20" t="s">
        <v>35</v>
      </c>
      <c r="H2339" s="20" t="s">
        <v>25</v>
      </c>
      <c r="I2339" s="21" t="s">
        <v>9097</v>
      </c>
      <c r="J2339" s="22">
        <f t="shared" si="180"/>
        <v>12.15625</v>
      </c>
      <c r="K2339" s="22">
        <f t="shared" si="181"/>
        <v>291.75</v>
      </c>
      <c r="L2339" s="22">
        <f t="shared" si="182"/>
        <v>99.75</v>
      </c>
      <c r="M2339" s="22" cm="1">
        <f ca="1" t="array" ref="M2339">SUMPRODUCT(--(WEEKDAY(ROW(INDIRECT(INT(F2339)&amp;":"&amp;INT(I2339))),2)&gt;5))</f>
        <v>4</v>
      </c>
      <c r="N2339" s="22">
        <f ca="1" t="shared" si="183"/>
        <v>67.75</v>
      </c>
      <c r="O2339" s="22" t="str">
        <f ca="1" t="shared" si="184"/>
        <v>SLA Violated</v>
      </c>
      <c r="P2339" s="26" t="s">
        <v>9095</v>
      </c>
      <c r="Q2339" s="24" t="s">
        <v>28</v>
      </c>
      <c r="R2339" s="25"/>
      <c r="S2339" s="25"/>
    </row>
    <row r="2340" ht="27" customHeight="1" spans="1:19">
      <c r="A2340" s="19" t="s">
        <v>9098</v>
      </c>
      <c r="B2340" s="20" t="s">
        <v>30</v>
      </c>
      <c r="C2340" s="20" t="s">
        <v>31</v>
      </c>
      <c r="D2340" s="20" t="s">
        <v>32</v>
      </c>
      <c r="E2340" s="21" t="s">
        <v>9078</v>
      </c>
      <c r="F2340" s="21" t="s">
        <v>8810</v>
      </c>
      <c r="G2340" s="20" t="s">
        <v>35</v>
      </c>
      <c r="H2340" s="20" t="s">
        <v>25</v>
      </c>
      <c r="I2340" s="21" t="s">
        <v>9099</v>
      </c>
      <c r="J2340" s="22">
        <f t="shared" si="180"/>
        <v>8.09513888888614</v>
      </c>
      <c r="K2340" s="22">
        <f t="shared" si="181"/>
        <v>194.283333333267</v>
      </c>
      <c r="L2340" s="22">
        <f t="shared" si="182"/>
        <v>66.2833333332674</v>
      </c>
      <c r="M2340" s="22" cm="1">
        <f ca="1" t="array" ref="M2340">SUMPRODUCT(--(WEEKDAY(ROW(INDIRECT(INT(F2340)&amp;":"&amp;INT(I2340))),2)&gt;5))</f>
        <v>3</v>
      </c>
      <c r="N2340" s="22">
        <f ca="1" t="shared" si="183"/>
        <v>42.2833333332674</v>
      </c>
      <c r="O2340" s="22" t="str">
        <f ca="1" t="shared" si="184"/>
        <v>SLA Violated</v>
      </c>
      <c r="P2340" s="26" t="s">
        <v>9098</v>
      </c>
      <c r="Q2340" s="24" t="s">
        <v>28</v>
      </c>
      <c r="R2340" s="25"/>
      <c r="S2340" s="25"/>
    </row>
    <row r="2341" ht="27" customHeight="1" spans="1:19">
      <c r="A2341" s="19" t="s">
        <v>9100</v>
      </c>
      <c r="B2341" s="20" t="s">
        <v>30</v>
      </c>
      <c r="C2341" s="20" t="s">
        <v>31</v>
      </c>
      <c r="D2341" s="20" t="s">
        <v>32</v>
      </c>
      <c r="E2341" s="21" t="s">
        <v>9099</v>
      </c>
      <c r="F2341" s="21" t="s">
        <v>9101</v>
      </c>
      <c r="G2341" s="20" t="s">
        <v>35</v>
      </c>
      <c r="H2341" s="20" t="s">
        <v>25</v>
      </c>
      <c r="I2341" s="21" t="s">
        <v>9102</v>
      </c>
      <c r="J2341" s="22">
        <f t="shared" si="180"/>
        <v>0.015277777776646</v>
      </c>
      <c r="K2341" s="22">
        <f t="shared" si="181"/>
        <v>0.366666666639503</v>
      </c>
      <c r="L2341" s="22">
        <f t="shared" si="182"/>
        <v>0.366666666639503</v>
      </c>
      <c r="M2341" s="22" cm="1">
        <f ca="1" t="array" ref="M2341">SUMPRODUCT(--(WEEKDAY(ROW(INDIRECT(INT(F2341)&amp;":"&amp;INT(I2341))),2)&gt;5))</f>
        <v>0</v>
      </c>
      <c r="N2341" s="22">
        <f ca="1" t="shared" si="183"/>
        <v>0.366666666639503</v>
      </c>
      <c r="O2341" s="22" t="str">
        <f ca="1" t="shared" si="184"/>
        <v>Within SLA</v>
      </c>
      <c r="P2341" s="26" t="s">
        <v>9100</v>
      </c>
      <c r="Q2341" s="24" t="s">
        <v>37</v>
      </c>
      <c r="R2341" s="25"/>
      <c r="S2341" s="25"/>
    </row>
    <row r="2342" ht="27" customHeight="1" spans="1:19">
      <c r="A2342" s="19" t="s">
        <v>9103</v>
      </c>
      <c r="B2342" s="20" t="s">
        <v>139</v>
      </c>
      <c r="C2342" s="20" t="s">
        <v>2057</v>
      </c>
      <c r="D2342" s="20" t="s">
        <v>32</v>
      </c>
      <c r="E2342" s="21" t="s">
        <v>9104</v>
      </c>
      <c r="F2342" s="21" t="s">
        <v>9105</v>
      </c>
      <c r="G2342" s="20" t="s">
        <v>35</v>
      </c>
      <c r="H2342" s="20" t="s">
        <v>25</v>
      </c>
      <c r="I2342" s="21" t="s">
        <v>9106</v>
      </c>
      <c r="J2342" s="22">
        <f t="shared" si="180"/>
        <v>16.9840277777766</v>
      </c>
      <c r="K2342" s="22">
        <f t="shared" si="181"/>
        <v>407.61666666664</v>
      </c>
      <c r="L2342" s="22">
        <f t="shared" si="182"/>
        <v>135.61666666664</v>
      </c>
      <c r="M2342" s="22" cm="1">
        <f ca="1" t="array" ref="M2342">SUMPRODUCT(--(WEEKDAY(ROW(INDIRECT(INT(F2342)&amp;":"&amp;INT(I2342))),2)&gt;5))</f>
        <v>6</v>
      </c>
      <c r="N2342" s="22">
        <f ca="1" t="shared" si="183"/>
        <v>87.61666666664</v>
      </c>
      <c r="O2342" s="22" t="str">
        <f ca="1" t="shared" si="184"/>
        <v>SLA Violated</v>
      </c>
      <c r="P2342" s="23" t="s">
        <v>9107</v>
      </c>
      <c r="Q2342" s="24" t="s">
        <v>37</v>
      </c>
      <c r="R2342" s="25" t="s">
        <v>4039</v>
      </c>
      <c r="S2342" s="25" t="s">
        <v>39</v>
      </c>
    </row>
    <row r="2343" ht="27" customHeight="1" spans="1:19">
      <c r="A2343" s="19" t="s">
        <v>9108</v>
      </c>
      <c r="B2343" s="20" t="s">
        <v>30</v>
      </c>
      <c r="C2343" s="20" t="s">
        <v>31</v>
      </c>
      <c r="D2343" s="20" t="s">
        <v>32</v>
      </c>
      <c r="E2343" s="21" t="s">
        <v>9109</v>
      </c>
      <c r="F2343" s="21" t="s">
        <v>9110</v>
      </c>
      <c r="G2343" s="20" t="s">
        <v>35</v>
      </c>
      <c r="H2343" s="20" t="s">
        <v>25</v>
      </c>
      <c r="I2343" s="21" t="s">
        <v>9111</v>
      </c>
      <c r="J2343" s="22">
        <f t="shared" si="180"/>
        <v>10.9958333333343</v>
      </c>
      <c r="K2343" s="22">
        <f t="shared" si="181"/>
        <v>263.900000000023</v>
      </c>
      <c r="L2343" s="22">
        <f t="shared" si="182"/>
        <v>87.9000000000233</v>
      </c>
      <c r="M2343" s="22" cm="1">
        <f ca="1" t="array" ref="M2343">SUMPRODUCT(--(WEEKDAY(ROW(INDIRECT(INT(F2343)&amp;":"&amp;INT(I2343))),2)&gt;5))</f>
        <v>4</v>
      </c>
      <c r="N2343" s="22">
        <f ca="1" t="shared" si="183"/>
        <v>55.9000000000233</v>
      </c>
      <c r="O2343" s="22" t="str">
        <f ca="1" t="shared" si="184"/>
        <v>SLA Violated</v>
      </c>
      <c r="P2343" s="26" t="s">
        <v>9108</v>
      </c>
      <c r="Q2343" s="24" t="s">
        <v>28</v>
      </c>
      <c r="R2343" s="25"/>
      <c r="S2343" s="25"/>
    </row>
    <row r="2344" ht="39" customHeight="1" spans="1:19">
      <c r="A2344" s="19" t="s">
        <v>9112</v>
      </c>
      <c r="B2344" s="20" t="s">
        <v>19</v>
      </c>
      <c r="C2344" s="20" t="s">
        <v>20</v>
      </c>
      <c r="D2344" s="20" t="s">
        <v>32</v>
      </c>
      <c r="E2344" s="21" t="s">
        <v>9113</v>
      </c>
      <c r="F2344" s="21" t="s">
        <v>9114</v>
      </c>
      <c r="G2344" s="20" t="s">
        <v>35</v>
      </c>
      <c r="H2344" s="20" t="s">
        <v>25</v>
      </c>
      <c r="I2344" s="21" t="s">
        <v>9115</v>
      </c>
      <c r="J2344" s="22">
        <f t="shared" si="180"/>
        <v>0.015972222223354</v>
      </c>
      <c r="K2344" s="22">
        <f t="shared" si="181"/>
        <v>0.383333333360497</v>
      </c>
      <c r="L2344" s="22">
        <f t="shared" si="182"/>
        <v>0.383333333360497</v>
      </c>
      <c r="M2344" s="22" cm="1">
        <f ca="1" t="array" ref="M2344">SUMPRODUCT(--(WEEKDAY(ROW(INDIRECT(INT(F2344)&amp;":"&amp;INT(I2344))),2)&gt;5))</f>
        <v>0</v>
      </c>
      <c r="N2344" s="22">
        <f ca="1" t="shared" si="183"/>
        <v>0.383333333360497</v>
      </c>
      <c r="O2344" s="22" t="str">
        <f ca="1" t="shared" si="184"/>
        <v>Within SLA</v>
      </c>
      <c r="P2344" s="26" t="s">
        <v>9112</v>
      </c>
      <c r="Q2344" s="24" t="s">
        <v>37</v>
      </c>
      <c r="R2344" s="25"/>
      <c r="S2344" s="25"/>
    </row>
    <row r="2345" ht="27" customHeight="1" spans="1:19">
      <c r="A2345" s="19" t="s">
        <v>9116</v>
      </c>
      <c r="B2345" s="20" t="s">
        <v>30</v>
      </c>
      <c r="C2345" s="20" t="s">
        <v>31</v>
      </c>
      <c r="D2345" s="20" t="s">
        <v>32</v>
      </c>
      <c r="E2345" s="21" t="s">
        <v>9117</v>
      </c>
      <c r="F2345" s="21" t="s">
        <v>9118</v>
      </c>
      <c r="G2345" s="20" t="s">
        <v>35</v>
      </c>
      <c r="H2345" s="20" t="s">
        <v>25</v>
      </c>
      <c r="I2345" s="21" t="s">
        <v>9119</v>
      </c>
      <c r="J2345" s="22">
        <f t="shared" si="180"/>
        <v>5.4111111111124</v>
      </c>
      <c r="K2345" s="22">
        <f t="shared" si="181"/>
        <v>129.866666666698</v>
      </c>
      <c r="L2345" s="22">
        <f t="shared" si="182"/>
        <v>49.8666666666977</v>
      </c>
      <c r="M2345" s="22" cm="1">
        <f ca="1" t="array" ref="M2345">SUMPRODUCT(--(WEEKDAY(ROW(INDIRECT(INT(F2345)&amp;":"&amp;INT(I2345))),2)&gt;5))</f>
        <v>2</v>
      </c>
      <c r="N2345" s="22">
        <f ca="1" t="shared" si="183"/>
        <v>33.8666666666977</v>
      </c>
      <c r="O2345" s="22" t="str">
        <f ca="1" t="shared" si="184"/>
        <v>SLA Violated</v>
      </c>
      <c r="P2345" s="26" t="s">
        <v>9116</v>
      </c>
      <c r="Q2345" s="24" t="s">
        <v>28</v>
      </c>
      <c r="R2345" s="25"/>
      <c r="S2345" s="25"/>
    </row>
    <row r="2346" ht="27" customHeight="1" spans="1:19">
      <c r="A2346" s="19" t="s">
        <v>9120</v>
      </c>
      <c r="B2346" s="20" t="s">
        <v>30</v>
      </c>
      <c r="C2346" s="20" t="s">
        <v>4889</v>
      </c>
      <c r="D2346" s="20" t="s">
        <v>32</v>
      </c>
      <c r="E2346" s="21" t="s">
        <v>9121</v>
      </c>
      <c r="F2346" s="21" t="s">
        <v>8464</v>
      </c>
      <c r="G2346" s="20" t="s">
        <v>35</v>
      </c>
      <c r="H2346" s="20" t="s">
        <v>25</v>
      </c>
      <c r="I2346" s="21" t="s">
        <v>9122</v>
      </c>
      <c r="J2346" s="22">
        <f t="shared" si="180"/>
        <v>8.0715277777781</v>
      </c>
      <c r="K2346" s="22">
        <f t="shared" si="181"/>
        <v>193.716666666674</v>
      </c>
      <c r="L2346" s="22">
        <f t="shared" si="182"/>
        <v>65.7166666666744</v>
      </c>
      <c r="M2346" s="22" cm="1">
        <f ca="1" t="array" ref="M2346">SUMPRODUCT(--(WEEKDAY(ROW(INDIRECT(INT(F2346)&amp;":"&amp;INT(I2346))),2)&gt;5))</f>
        <v>2</v>
      </c>
      <c r="N2346" s="22">
        <f ca="1" t="shared" si="183"/>
        <v>49.7166666666744</v>
      </c>
      <c r="O2346" s="22" t="str">
        <f ca="1" t="shared" si="184"/>
        <v>SLA Violated</v>
      </c>
      <c r="P2346" s="23" t="s">
        <v>9123</v>
      </c>
      <c r="Q2346" s="24" t="s">
        <v>28</v>
      </c>
      <c r="R2346" s="25"/>
      <c r="S2346" s="25"/>
    </row>
    <row r="2347" ht="39" customHeight="1" spans="1:19">
      <c r="A2347" s="19" t="s">
        <v>9124</v>
      </c>
      <c r="B2347" s="20" t="s">
        <v>19</v>
      </c>
      <c r="C2347" s="20" t="s">
        <v>20</v>
      </c>
      <c r="D2347" s="20" t="s">
        <v>32</v>
      </c>
      <c r="E2347" s="21" t="s">
        <v>9121</v>
      </c>
      <c r="F2347" s="21" t="s">
        <v>8860</v>
      </c>
      <c r="G2347" s="20" t="s">
        <v>35</v>
      </c>
      <c r="H2347" s="20" t="s">
        <v>25</v>
      </c>
      <c r="I2347" s="21" t="s">
        <v>9125</v>
      </c>
      <c r="J2347" s="22">
        <f t="shared" si="180"/>
        <v>2.96805555556057</v>
      </c>
      <c r="K2347" s="22">
        <f t="shared" si="181"/>
        <v>71.2333333334536</v>
      </c>
      <c r="L2347" s="22">
        <f t="shared" si="182"/>
        <v>23.2333333334536</v>
      </c>
      <c r="M2347" s="22" cm="1">
        <f ca="1" t="array" ref="M2347">SUMPRODUCT(--(WEEKDAY(ROW(INDIRECT(INT(F2347)&amp;":"&amp;INT(I2347))),2)&gt;5))</f>
        <v>2</v>
      </c>
      <c r="N2347" s="22">
        <f ca="1" t="shared" si="183"/>
        <v>7.2333333334536</v>
      </c>
      <c r="O2347" s="22" t="str">
        <f ca="1" t="shared" si="184"/>
        <v>Within SLA</v>
      </c>
      <c r="P2347" s="26" t="s">
        <v>9124</v>
      </c>
      <c r="Q2347" s="24" t="s">
        <v>37</v>
      </c>
      <c r="R2347" s="25"/>
      <c r="S2347" s="25"/>
    </row>
    <row r="2348" ht="27" customHeight="1" spans="1:19">
      <c r="A2348" s="19" t="s">
        <v>9126</v>
      </c>
      <c r="B2348" s="20" t="s">
        <v>30</v>
      </c>
      <c r="C2348" s="20" t="s">
        <v>31</v>
      </c>
      <c r="D2348" s="20" t="s">
        <v>32</v>
      </c>
      <c r="E2348" s="21" t="s">
        <v>8439</v>
      </c>
      <c r="F2348" s="21" t="s">
        <v>9127</v>
      </c>
      <c r="G2348" s="20" t="s">
        <v>35</v>
      </c>
      <c r="H2348" s="20" t="s">
        <v>25</v>
      </c>
      <c r="I2348" s="21" t="s">
        <v>9128</v>
      </c>
      <c r="J2348" s="22">
        <f t="shared" si="180"/>
        <v>1.96527777777374</v>
      </c>
      <c r="K2348" s="22">
        <f t="shared" si="181"/>
        <v>47.1666666665697</v>
      </c>
      <c r="L2348" s="22">
        <f t="shared" si="182"/>
        <v>15.1666666665697</v>
      </c>
      <c r="M2348" s="22" cm="1">
        <f ca="1" t="array" ref="M2348">SUMPRODUCT(--(WEEKDAY(ROW(INDIRECT(INT(F2348)&amp;":"&amp;INT(I2348))),2)&gt;5))</f>
        <v>0</v>
      </c>
      <c r="N2348" s="22">
        <f ca="1" t="shared" si="183"/>
        <v>15.1666666665697</v>
      </c>
      <c r="O2348" s="22" t="str">
        <f ca="1" t="shared" si="184"/>
        <v>SLA Violated</v>
      </c>
      <c r="P2348" s="26" t="s">
        <v>9126</v>
      </c>
      <c r="Q2348" s="24" t="s">
        <v>28</v>
      </c>
      <c r="R2348" s="25"/>
      <c r="S2348" s="25"/>
    </row>
    <row r="2349" ht="39" customHeight="1" spans="1:19">
      <c r="A2349" s="19" t="s">
        <v>9129</v>
      </c>
      <c r="B2349" s="20" t="s">
        <v>19</v>
      </c>
      <c r="C2349" s="20" t="s">
        <v>20</v>
      </c>
      <c r="D2349" s="20" t="s">
        <v>32</v>
      </c>
      <c r="E2349" s="21" t="s">
        <v>9125</v>
      </c>
      <c r="F2349" s="21" t="s">
        <v>9130</v>
      </c>
      <c r="G2349" s="20" t="s">
        <v>35</v>
      </c>
      <c r="H2349" s="20" t="s">
        <v>25</v>
      </c>
      <c r="I2349" s="21" t="s">
        <v>9131</v>
      </c>
      <c r="J2349" s="22">
        <f t="shared" si="180"/>
        <v>6.22152777777956</v>
      </c>
      <c r="K2349" s="22">
        <f t="shared" si="181"/>
        <v>149.316666666709</v>
      </c>
      <c r="L2349" s="22">
        <f t="shared" si="182"/>
        <v>53.3166666667094</v>
      </c>
      <c r="M2349" s="22" cm="1">
        <f ca="1" t="array" ref="M2349">SUMPRODUCT(--(WEEKDAY(ROW(INDIRECT(INT(F2349)&amp;":"&amp;INT(I2349))),2)&gt;5))</f>
        <v>2</v>
      </c>
      <c r="N2349" s="22">
        <f ca="1" t="shared" si="183"/>
        <v>37.3166666667094</v>
      </c>
      <c r="O2349" s="22" t="str">
        <f ca="1" t="shared" si="184"/>
        <v>SLA Violated</v>
      </c>
      <c r="P2349" s="23" t="s">
        <v>9132</v>
      </c>
      <c r="Q2349" s="24" t="s">
        <v>28</v>
      </c>
      <c r="R2349" s="25"/>
      <c r="S2349" s="25"/>
    </row>
    <row r="2350" ht="39" customHeight="1" spans="1:19">
      <c r="A2350" s="19" t="s">
        <v>9133</v>
      </c>
      <c r="B2350" s="20" t="s">
        <v>19</v>
      </c>
      <c r="C2350" s="20" t="s">
        <v>20</v>
      </c>
      <c r="D2350" s="20" t="s">
        <v>32</v>
      </c>
      <c r="E2350" s="21" t="s">
        <v>9125</v>
      </c>
      <c r="F2350" s="21" t="s">
        <v>9134</v>
      </c>
      <c r="G2350" s="20" t="s">
        <v>35</v>
      </c>
      <c r="H2350" s="20" t="s">
        <v>25</v>
      </c>
      <c r="I2350" s="21" t="s">
        <v>9134</v>
      </c>
      <c r="J2350" s="22">
        <f t="shared" si="180"/>
        <v>0</v>
      </c>
      <c r="K2350" s="22">
        <f t="shared" si="181"/>
        <v>0</v>
      </c>
      <c r="L2350" s="22">
        <f t="shared" si="182"/>
        <v>0</v>
      </c>
      <c r="M2350" s="22" cm="1">
        <f ca="1" t="array" ref="M2350">SUMPRODUCT(--(WEEKDAY(ROW(INDIRECT(INT(F2350)&amp;":"&amp;INT(I2350))),2)&gt;5))</f>
        <v>0</v>
      </c>
      <c r="N2350" s="22">
        <f ca="1" t="shared" si="183"/>
        <v>0</v>
      </c>
      <c r="O2350" s="22" t="str">
        <f ca="1" t="shared" si="184"/>
        <v>Within SLA</v>
      </c>
      <c r="P2350" s="26" t="s">
        <v>9133</v>
      </c>
      <c r="Q2350" s="24" t="s">
        <v>37</v>
      </c>
      <c r="R2350" s="25"/>
      <c r="S2350" s="25"/>
    </row>
    <row r="2351" ht="27" customHeight="1" spans="1:19">
      <c r="A2351" s="19" t="s">
        <v>9135</v>
      </c>
      <c r="B2351" s="20" t="s">
        <v>30</v>
      </c>
      <c r="C2351" s="20" t="s">
        <v>31</v>
      </c>
      <c r="D2351" s="20" t="s">
        <v>32</v>
      </c>
      <c r="E2351" s="21" t="s">
        <v>9136</v>
      </c>
      <c r="F2351" s="21" t="s">
        <v>9137</v>
      </c>
      <c r="G2351" s="20" t="s">
        <v>35</v>
      </c>
      <c r="H2351" s="20" t="s">
        <v>25</v>
      </c>
      <c r="I2351" s="21" t="s">
        <v>9138</v>
      </c>
      <c r="J2351" s="22">
        <f t="shared" si="180"/>
        <v>6.82291666666424</v>
      </c>
      <c r="K2351" s="22">
        <f t="shared" si="181"/>
        <v>163.749999999942</v>
      </c>
      <c r="L2351" s="22">
        <f t="shared" si="182"/>
        <v>51.7499999999418</v>
      </c>
      <c r="M2351" s="22" cm="1">
        <f ca="1" t="array" ref="M2351">SUMPRODUCT(--(WEEKDAY(ROW(INDIRECT(INT(F2351)&amp;":"&amp;INT(I2351))),2)&gt;5))</f>
        <v>2</v>
      </c>
      <c r="N2351" s="22">
        <f ca="1" t="shared" si="183"/>
        <v>35.7499999999418</v>
      </c>
      <c r="O2351" s="22" t="str">
        <f ca="1" t="shared" si="184"/>
        <v>SLA Violated</v>
      </c>
      <c r="P2351" s="26" t="s">
        <v>9135</v>
      </c>
      <c r="Q2351" s="24" t="s">
        <v>28</v>
      </c>
      <c r="R2351" s="25"/>
      <c r="S2351" s="25"/>
    </row>
    <row r="2352" ht="27" customHeight="1" spans="1:19">
      <c r="A2352" s="19" t="s">
        <v>9139</v>
      </c>
      <c r="B2352" s="20" t="s">
        <v>30</v>
      </c>
      <c r="C2352" s="20" t="s">
        <v>4889</v>
      </c>
      <c r="D2352" s="20" t="s">
        <v>21</v>
      </c>
      <c r="E2352" s="21" t="s">
        <v>9140</v>
      </c>
      <c r="F2352" s="21" t="s">
        <v>9141</v>
      </c>
      <c r="G2352" s="20" t="s">
        <v>35</v>
      </c>
      <c r="H2352" s="20" t="s">
        <v>25</v>
      </c>
      <c r="I2352" s="21" t="s">
        <v>9142</v>
      </c>
      <c r="J2352" s="22">
        <f t="shared" si="180"/>
        <v>3.13472222222481</v>
      </c>
      <c r="K2352" s="22">
        <f t="shared" si="181"/>
        <v>75.2333333333954</v>
      </c>
      <c r="L2352" s="22">
        <f t="shared" si="182"/>
        <v>27.2333333333954</v>
      </c>
      <c r="M2352" s="22" cm="1">
        <f ca="1" t="array" ref="M2352">SUMPRODUCT(--(WEEKDAY(ROW(INDIRECT(INT(F2352)&amp;":"&amp;INT(I2352))),2)&gt;5))</f>
        <v>2</v>
      </c>
      <c r="N2352" s="22">
        <f ca="1" t="shared" si="183"/>
        <v>11.2333333333954</v>
      </c>
      <c r="O2352" s="22" t="str">
        <f ca="1" t="shared" si="184"/>
        <v>SLA Violated</v>
      </c>
      <c r="P2352" s="23" t="s">
        <v>9143</v>
      </c>
      <c r="Q2352" s="24" t="s">
        <v>28</v>
      </c>
      <c r="R2352" s="25"/>
      <c r="S2352" s="25"/>
    </row>
    <row r="2353" ht="27" customHeight="1" spans="1:19">
      <c r="A2353" s="19" t="s">
        <v>9144</v>
      </c>
      <c r="B2353" s="20" t="s">
        <v>30</v>
      </c>
      <c r="C2353" s="20" t="s">
        <v>31</v>
      </c>
      <c r="D2353" s="20" t="s">
        <v>32</v>
      </c>
      <c r="E2353" s="21" t="s">
        <v>9145</v>
      </c>
      <c r="F2353" s="21" t="s">
        <v>9146</v>
      </c>
      <c r="G2353" s="20" t="s">
        <v>35</v>
      </c>
      <c r="H2353" s="20" t="s">
        <v>25</v>
      </c>
      <c r="I2353" s="21" t="s">
        <v>9147</v>
      </c>
      <c r="J2353" s="22">
        <f t="shared" si="180"/>
        <v>4.1159722222219</v>
      </c>
      <c r="K2353" s="22">
        <f t="shared" si="181"/>
        <v>98.7833333333256</v>
      </c>
      <c r="L2353" s="22">
        <f t="shared" si="182"/>
        <v>34.7833333333256</v>
      </c>
      <c r="M2353" s="22" cm="1">
        <f ca="1" t="array" ref="M2353">SUMPRODUCT(--(WEEKDAY(ROW(INDIRECT(INT(F2353)&amp;":"&amp;INT(I2353))),2)&gt;5))</f>
        <v>2</v>
      </c>
      <c r="N2353" s="22">
        <f ca="1" t="shared" si="183"/>
        <v>18.7833333333256</v>
      </c>
      <c r="O2353" s="22" t="str">
        <f ca="1" t="shared" si="184"/>
        <v>SLA Violated</v>
      </c>
      <c r="P2353" s="26" t="s">
        <v>9144</v>
      </c>
      <c r="Q2353" s="24" t="s">
        <v>28</v>
      </c>
      <c r="R2353" s="25"/>
      <c r="S2353" s="25"/>
    </row>
    <row r="2354" ht="27" customHeight="1" spans="1:19">
      <c r="A2354" s="19" t="s">
        <v>9148</v>
      </c>
      <c r="B2354" s="20" t="s">
        <v>30</v>
      </c>
      <c r="C2354" s="20" t="s">
        <v>31</v>
      </c>
      <c r="D2354" s="20" t="s">
        <v>115</v>
      </c>
      <c r="E2354" s="21" t="s">
        <v>9149</v>
      </c>
      <c r="F2354" s="21" t="s">
        <v>9150</v>
      </c>
      <c r="G2354" s="20" t="s">
        <v>35</v>
      </c>
      <c r="H2354" s="20" t="s">
        <v>25</v>
      </c>
      <c r="I2354" s="21" t="s">
        <v>9151</v>
      </c>
      <c r="J2354" s="22">
        <f t="shared" si="180"/>
        <v>1.82777777777665</v>
      </c>
      <c r="K2354" s="22">
        <f t="shared" si="181"/>
        <v>43.8666666666395</v>
      </c>
      <c r="L2354" s="22">
        <f t="shared" si="182"/>
        <v>11.8666666666395</v>
      </c>
      <c r="M2354" s="22" cm="1">
        <f ca="1" t="array" ref="M2354">SUMPRODUCT(--(WEEKDAY(ROW(INDIRECT(INT(F2354)&amp;":"&amp;INT(I2354))),2)&gt;5))</f>
        <v>0</v>
      </c>
      <c r="N2354" s="22">
        <f ca="1" t="shared" si="183"/>
        <v>11.8666666666395</v>
      </c>
      <c r="O2354" s="22" t="str">
        <f ca="1" t="shared" si="184"/>
        <v>SLA Violated</v>
      </c>
      <c r="P2354" s="23" t="s">
        <v>9152</v>
      </c>
      <c r="Q2354" s="24" t="s">
        <v>37</v>
      </c>
      <c r="R2354" s="25" t="s">
        <v>749</v>
      </c>
      <c r="S2354" s="25" t="s">
        <v>39</v>
      </c>
    </row>
    <row r="2355" ht="27" customHeight="1" spans="1:19">
      <c r="A2355" s="19" t="s">
        <v>9153</v>
      </c>
      <c r="B2355" s="20" t="s">
        <v>121</v>
      </c>
      <c r="C2355" s="20" t="s">
        <v>46</v>
      </c>
      <c r="D2355" s="20" t="s">
        <v>32</v>
      </c>
      <c r="E2355" s="21" t="s">
        <v>9154</v>
      </c>
      <c r="F2355" s="21" t="s">
        <v>9155</v>
      </c>
      <c r="G2355" s="20" t="s">
        <v>35</v>
      </c>
      <c r="H2355" s="20" t="s">
        <v>25</v>
      </c>
      <c r="I2355" s="21" t="s">
        <v>9156</v>
      </c>
      <c r="J2355" s="22">
        <f t="shared" si="180"/>
        <v>0.148611111115315</v>
      </c>
      <c r="K2355" s="22">
        <f t="shared" si="181"/>
        <v>3.56666666676756</v>
      </c>
      <c r="L2355" s="22">
        <f t="shared" si="182"/>
        <v>3.56666666676756</v>
      </c>
      <c r="M2355" s="22" cm="1">
        <f ca="1" t="array" ref="M2355">SUMPRODUCT(--(WEEKDAY(ROW(INDIRECT(INT(F2355)&amp;":"&amp;INT(I2355))),2)&gt;5))</f>
        <v>0</v>
      </c>
      <c r="N2355" s="22">
        <f ca="1" t="shared" si="183"/>
        <v>3.56666666676756</v>
      </c>
      <c r="O2355" s="22" t="str">
        <f ca="1" t="shared" si="184"/>
        <v>Within SLA</v>
      </c>
      <c r="P2355" s="26" t="s">
        <v>9153</v>
      </c>
      <c r="Q2355" s="24" t="s">
        <v>37</v>
      </c>
      <c r="R2355" s="25"/>
      <c r="S2355" s="25"/>
    </row>
    <row r="2356" ht="27" customHeight="1" spans="1:19">
      <c r="A2356" s="19" t="s">
        <v>9157</v>
      </c>
      <c r="B2356" s="20" t="s">
        <v>121</v>
      </c>
      <c r="C2356" s="20" t="s">
        <v>2235</v>
      </c>
      <c r="D2356" s="20" t="s">
        <v>32</v>
      </c>
      <c r="E2356" s="21" t="s">
        <v>9154</v>
      </c>
      <c r="F2356" s="21" t="s">
        <v>9158</v>
      </c>
      <c r="G2356" s="20" t="s">
        <v>35</v>
      </c>
      <c r="H2356" s="20" t="s">
        <v>25</v>
      </c>
      <c r="I2356" s="21" t="s">
        <v>9159</v>
      </c>
      <c r="J2356" s="22">
        <f t="shared" si="180"/>
        <v>0.0333333333328483</v>
      </c>
      <c r="K2356" s="22">
        <f t="shared" si="181"/>
        <v>0.799999999988358</v>
      </c>
      <c r="L2356" s="22">
        <f t="shared" si="182"/>
        <v>0.799999999988358</v>
      </c>
      <c r="M2356" s="22" cm="1">
        <f ca="1" t="array" ref="M2356">SUMPRODUCT(--(WEEKDAY(ROW(INDIRECT(INT(F2356)&amp;":"&amp;INT(I2356))),2)&gt;5))</f>
        <v>0</v>
      </c>
      <c r="N2356" s="22">
        <f ca="1" t="shared" si="183"/>
        <v>0.799999999988358</v>
      </c>
      <c r="O2356" s="22" t="str">
        <f ca="1" t="shared" si="184"/>
        <v>Within SLA</v>
      </c>
      <c r="P2356" s="26" t="s">
        <v>9157</v>
      </c>
      <c r="Q2356" s="24" t="s">
        <v>37</v>
      </c>
      <c r="R2356" s="25"/>
      <c r="S2356" s="25"/>
    </row>
    <row r="2357" ht="27" customHeight="1" spans="1:19">
      <c r="A2357" s="19" t="s">
        <v>9160</v>
      </c>
      <c r="B2357" s="20" t="s">
        <v>121</v>
      </c>
      <c r="C2357" s="20" t="s">
        <v>4889</v>
      </c>
      <c r="D2357" s="20" t="s">
        <v>32</v>
      </c>
      <c r="E2357" s="21" t="s">
        <v>9161</v>
      </c>
      <c r="F2357" s="21" t="s">
        <v>9162</v>
      </c>
      <c r="G2357" s="20" t="s">
        <v>35</v>
      </c>
      <c r="H2357" s="20" t="s">
        <v>25</v>
      </c>
      <c r="I2357" s="21" t="s">
        <v>9163</v>
      </c>
      <c r="J2357" s="22">
        <f t="shared" si="180"/>
        <v>2.86736111110804</v>
      </c>
      <c r="K2357" s="22">
        <f t="shared" si="181"/>
        <v>68.8166666665929</v>
      </c>
      <c r="L2357" s="22">
        <f t="shared" si="182"/>
        <v>20.8166666665929</v>
      </c>
      <c r="M2357" s="22" cm="1">
        <f ca="1" t="array" ref="M2357">SUMPRODUCT(--(WEEKDAY(ROW(INDIRECT(INT(F2357)&amp;":"&amp;INT(I2357))),2)&gt;5))</f>
        <v>2</v>
      </c>
      <c r="N2357" s="22">
        <f ca="1" t="shared" si="183"/>
        <v>4.8166666665929</v>
      </c>
      <c r="O2357" s="22" t="str">
        <f ca="1" t="shared" si="184"/>
        <v>Within SLA</v>
      </c>
      <c r="P2357" s="26" t="s">
        <v>9160</v>
      </c>
      <c r="Q2357" s="24" t="s">
        <v>37</v>
      </c>
      <c r="R2357" s="25"/>
      <c r="S2357" s="25"/>
    </row>
    <row r="2358" ht="27" customHeight="1" spans="1:19">
      <c r="A2358" s="19" t="s">
        <v>9164</v>
      </c>
      <c r="B2358" s="20" t="s">
        <v>121</v>
      </c>
      <c r="C2358" s="20" t="s">
        <v>849</v>
      </c>
      <c r="D2358" s="20" t="s">
        <v>32</v>
      </c>
      <c r="E2358" s="21" t="s">
        <v>9165</v>
      </c>
      <c r="F2358" s="21" t="s">
        <v>9166</v>
      </c>
      <c r="G2358" s="20" t="s">
        <v>35</v>
      </c>
      <c r="H2358" s="20" t="s">
        <v>25</v>
      </c>
      <c r="I2358" s="21" t="s">
        <v>9167</v>
      </c>
      <c r="J2358" s="22">
        <f t="shared" si="180"/>
        <v>19.9770833333387</v>
      </c>
      <c r="K2358" s="22">
        <f t="shared" si="181"/>
        <v>479.450000000128</v>
      </c>
      <c r="L2358" s="22">
        <f t="shared" si="182"/>
        <v>159.450000000128</v>
      </c>
      <c r="M2358" s="22" cm="1">
        <f ca="1" t="array" ref="M2358">SUMPRODUCT(--(WEEKDAY(ROW(INDIRECT(INT(F2358)&amp;":"&amp;INT(I2358))),2)&gt;5))</f>
        <v>6</v>
      </c>
      <c r="N2358" s="22">
        <f ca="1" t="shared" si="183"/>
        <v>111.450000000128</v>
      </c>
      <c r="O2358" s="22" t="str">
        <f ca="1" t="shared" si="184"/>
        <v>SLA Violated</v>
      </c>
      <c r="P2358" s="23" t="s">
        <v>9168</v>
      </c>
      <c r="Q2358" s="24" t="s">
        <v>28</v>
      </c>
      <c r="R2358" s="25"/>
      <c r="S2358" s="25"/>
    </row>
    <row r="2359" ht="39" customHeight="1" spans="1:19">
      <c r="A2359" s="19" t="s">
        <v>9169</v>
      </c>
      <c r="B2359" s="20" t="s">
        <v>19</v>
      </c>
      <c r="C2359" s="20" t="s">
        <v>167</v>
      </c>
      <c r="D2359" s="20" t="s">
        <v>32</v>
      </c>
      <c r="E2359" s="21" t="s">
        <v>9165</v>
      </c>
      <c r="F2359" s="21" t="s">
        <v>9170</v>
      </c>
      <c r="G2359" s="20" t="s">
        <v>35</v>
      </c>
      <c r="H2359" s="20" t="s">
        <v>25</v>
      </c>
      <c r="I2359" s="21" t="s">
        <v>9171</v>
      </c>
      <c r="J2359" s="22">
        <f t="shared" si="180"/>
        <v>0.0437500000043656</v>
      </c>
      <c r="K2359" s="22">
        <f t="shared" si="181"/>
        <v>1.05000000010477</v>
      </c>
      <c r="L2359" s="22">
        <f t="shared" si="182"/>
        <v>1.05000000010477</v>
      </c>
      <c r="M2359" s="22" cm="1">
        <f ca="1" t="array" ref="M2359">SUMPRODUCT(--(WEEKDAY(ROW(INDIRECT(INT(F2359)&amp;":"&amp;INT(I2359))),2)&gt;5))</f>
        <v>0</v>
      </c>
      <c r="N2359" s="22">
        <f ca="1" t="shared" si="183"/>
        <v>1.05000000010477</v>
      </c>
      <c r="O2359" s="22" t="str">
        <f ca="1" t="shared" si="184"/>
        <v>Within SLA</v>
      </c>
      <c r="P2359" s="26" t="s">
        <v>9169</v>
      </c>
      <c r="Q2359" s="24" t="s">
        <v>37</v>
      </c>
      <c r="R2359" s="25"/>
      <c r="S2359" s="25"/>
    </row>
    <row r="2360" ht="39" customHeight="1" spans="1:19">
      <c r="A2360" s="19" t="s">
        <v>9172</v>
      </c>
      <c r="B2360" s="20" t="s">
        <v>196</v>
      </c>
      <c r="C2360" s="20" t="s">
        <v>46</v>
      </c>
      <c r="D2360" s="20" t="s">
        <v>21</v>
      </c>
      <c r="E2360" s="21" t="s">
        <v>9165</v>
      </c>
      <c r="F2360" s="21" t="s">
        <v>9173</v>
      </c>
      <c r="G2360" s="20" t="s">
        <v>35</v>
      </c>
      <c r="H2360" s="20" t="s">
        <v>25</v>
      </c>
      <c r="I2360" s="21" t="s">
        <v>9171</v>
      </c>
      <c r="J2360" s="22">
        <f t="shared" si="180"/>
        <v>4.17291666667006</v>
      </c>
      <c r="K2360" s="22">
        <f t="shared" si="181"/>
        <v>100.150000000081</v>
      </c>
      <c r="L2360" s="22">
        <f t="shared" si="182"/>
        <v>36.1500000000815</v>
      </c>
      <c r="M2360" s="22" cm="1">
        <f ca="1" t="array" ref="M2360">SUMPRODUCT(--(WEEKDAY(ROW(INDIRECT(INT(F2360)&amp;":"&amp;INT(I2360))),2)&gt;5))</f>
        <v>2</v>
      </c>
      <c r="N2360" s="22">
        <f ca="1" t="shared" si="183"/>
        <v>20.1500000000815</v>
      </c>
      <c r="O2360" s="22" t="str">
        <f ca="1" t="shared" si="184"/>
        <v>SLA Violated</v>
      </c>
      <c r="P2360" s="23" t="s">
        <v>9174</v>
      </c>
      <c r="Q2360" s="24" t="s">
        <v>37</v>
      </c>
      <c r="R2360" s="25" t="s">
        <v>3769</v>
      </c>
      <c r="S2360" s="25" t="s">
        <v>3770</v>
      </c>
    </row>
    <row r="2361" ht="39" customHeight="1" spans="1:19">
      <c r="A2361" s="19" t="s">
        <v>9175</v>
      </c>
      <c r="B2361" s="20" t="s">
        <v>196</v>
      </c>
      <c r="C2361" s="20" t="s">
        <v>46</v>
      </c>
      <c r="D2361" s="20" t="s">
        <v>21</v>
      </c>
      <c r="E2361" s="21" t="s">
        <v>9176</v>
      </c>
      <c r="F2361" s="21" t="s">
        <v>9177</v>
      </c>
      <c r="G2361" s="20" t="s">
        <v>35</v>
      </c>
      <c r="H2361" s="20" t="s">
        <v>25</v>
      </c>
      <c r="I2361" s="21" t="s">
        <v>9178</v>
      </c>
      <c r="J2361" s="22">
        <f t="shared" si="180"/>
        <v>0.0631944444467081</v>
      </c>
      <c r="K2361" s="22">
        <f t="shared" si="181"/>
        <v>1.51666666672099</v>
      </c>
      <c r="L2361" s="22">
        <f t="shared" si="182"/>
        <v>1.51666666672099</v>
      </c>
      <c r="M2361" s="22" cm="1">
        <f ca="1" t="array" ref="M2361">SUMPRODUCT(--(WEEKDAY(ROW(INDIRECT(INT(F2361)&amp;":"&amp;INT(I2361))),2)&gt;5))</f>
        <v>0</v>
      </c>
      <c r="N2361" s="22">
        <f ca="1" t="shared" si="183"/>
        <v>1.51666666672099</v>
      </c>
      <c r="O2361" s="22" t="str">
        <f ca="1" t="shared" si="184"/>
        <v>Within SLA</v>
      </c>
      <c r="P2361" s="26" t="s">
        <v>9175</v>
      </c>
      <c r="Q2361" s="24" t="s">
        <v>37</v>
      </c>
      <c r="R2361" s="25"/>
      <c r="S2361" s="25"/>
    </row>
    <row r="2362" ht="27" customHeight="1" spans="1:19">
      <c r="A2362" s="19" t="s">
        <v>9179</v>
      </c>
      <c r="B2362" s="20" t="s">
        <v>30</v>
      </c>
      <c r="C2362" s="20" t="s">
        <v>31</v>
      </c>
      <c r="D2362" s="20" t="s">
        <v>32</v>
      </c>
      <c r="E2362" s="21" t="s">
        <v>9180</v>
      </c>
      <c r="F2362" s="21" t="s">
        <v>9181</v>
      </c>
      <c r="G2362" s="20" t="s">
        <v>24</v>
      </c>
      <c r="H2362" s="20" t="s">
        <v>25</v>
      </c>
      <c r="I2362" s="21" t="s">
        <v>9182</v>
      </c>
      <c r="J2362" s="22">
        <f t="shared" si="180"/>
        <v>2.84999999999854</v>
      </c>
      <c r="K2362" s="22">
        <f t="shared" si="181"/>
        <v>68.3999999999651</v>
      </c>
      <c r="L2362" s="22">
        <f t="shared" si="182"/>
        <v>20.3999999999651</v>
      </c>
      <c r="M2362" s="22" cm="1">
        <f ca="1" t="array" ref="M2362">SUMPRODUCT(--(WEEKDAY(ROW(INDIRECT(INT(F2362)&amp;":"&amp;INT(I2362))),2)&gt;5))</f>
        <v>2</v>
      </c>
      <c r="N2362" s="22">
        <f ca="1" t="shared" si="183"/>
        <v>4.3999999999651</v>
      </c>
      <c r="O2362" s="22" t="str">
        <f ca="1" t="shared" si="184"/>
        <v>Within SLA</v>
      </c>
      <c r="P2362" s="26" t="s">
        <v>9179</v>
      </c>
      <c r="Q2362" s="24" t="s">
        <v>37</v>
      </c>
      <c r="R2362" s="25"/>
      <c r="S2362" s="25"/>
    </row>
    <row r="2363" ht="39" customHeight="1" spans="1:19">
      <c r="A2363" s="19" t="s">
        <v>9183</v>
      </c>
      <c r="B2363" s="20" t="s">
        <v>19</v>
      </c>
      <c r="C2363" s="20" t="s">
        <v>20</v>
      </c>
      <c r="D2363" s="20" t="s">
        <v>32</v>
      </c>
      <c r="E2363" s="21" t="s">
        <v>9184</v>
      </c>
      <c r="F2363" s="21" t="s">
        <v>9185</v>
      </c>
      <c r="G2363" s="20" t="s">
        <v>35</v>
      </c>
      <c r="H2363" s="20" t="s">
        <v>25</v>
      </c>
      <c r="I2363" s="21" t="s">
        <v>9186</v>
      </c>
      <c r="J2363" s="22">
        <f t="shared" si="180"/>
        <v>-0.0527777777824667</v>
      </c>
      <c r="K2363" s="22">
        <f t="shared" si="181"/>
        <v>-1.2666666667792</v>
      </c>
      <c r="L2363" s="22">
        <f t="shared" si="182"/>
        <v>-1.2666666667792</v>
      </c>
      <c r="M2363" s="22" cm="1">
        <f ca="1" t="array" ref="M2363">SUMPRODUCT(--(WEEKDAY(ROW(INDIRECT(INT(F2363)&amp;":"&amp;INT(I2363))),2)&gt;5))</f>
        <v>0</v>
      </c>
      <c r="N2363" s="22">
        <f ca="1" t="shared" si="183"/>
        <v>0</v>
      </c>
      <c r="O2363" s="22" t="str">
        <f ca="1" t="shared" si="184"/>
        <v>Within SLA</v>
      </c>
      <c r="P2363" s="26" t="s">
        <v>9183</v>
      </c>
      <c r="Q2363" s="24" t="s">
        <v>37</v>
      </c>
      <c r="R2363" s="25"/>
      <c r="S2363" s="25"/>
    </row>
    <row r="2364" ht="39" customHeight="1" spans="1:19">
      <c r="A2364" s="19" t="s">
        <v>9187</v>
      </c>
      <c r="B2364" s="20" t="s">
        <v>196</v>
      </c>
      <c r="C2364" s="20" t="s">
        <v>46</v>
      </c>
      <c r="D2364" s="20" t="s">
        <v>21</v>
      </c>
      <c r="E2364" s="21" t="s">
        <v>9188</v>
      </c>
      <c r="F2364" s="21" t="s">
        <v>9189</v>
      </c>
      <c r="G2364" s="20" t="s">
        <v>35</v>
      </c>
      <c r="H2364" s="20" t="s">
        <v>25</v>
      </c>
      <c r="I2364" s="21" t="s">
        <v>9190</v>
      </c>
      <c r="J2364" s="22">
        <f t="shared" si="180"/>
        <v>0.0458333333299379</v>
      </c>
      <c r="K2364" s="22">
        <f t="shared" si="181"/>
        <v>1.09999999991851</v>
      </c>
      <c r="L2364" s="22">
        <f t="shared" si="182"/>
        <v>1.09999999991851</v>
      </c>
      <c r="M2364" s="22" cm="1">
        <f ca="1" t="array" ref="M2364">SUMPRODUCT(--(WEEKDAY(ROW(INDIRECT(INT(F2364)&amp;":"&amp;INT(I2364))),2)&gt;5))</f>
        <v>0</v>
      </c>
      <c r="N2364" s="22">
        <f ca="1" t="shared" si="183"/>
        <v>1.09999999991851</v>
      </c>
      <c r="O2364" s="22" t="str">
        <f ca="1" t="shared" si="184"/>
        <v>Within SLA</v>
      </c>
      <c r="P2364" s="26" t="s">
        <v>9187</v>
      </c>
      <c r="Q2364" s="24" t="s">
        <v>37</v>
      </c>
      <c r="R2364" s="25"/>
      <c r="S2364" s="25"/>
    </row>
    <row r="2365" ht="39" customHeight="1" spans="1:19">
      <c r="A2365" s="28" t="s">
        <v>9191</v>
      </c>
      <c r="B2365" s="20" t="s">
        <v>19</v>
      </c>
      <c r="C2365" s="20" t="s">
        <v>20</v>
      </c>
      <c r="D2365" s="20" t="s">
        <v>21</v>
      </c>
      <c r="E2365" s="21" t="s">
        <v>9192</v>
      </c>
      <c r="F2365" s="21" t="s">
        <v>9193</v>
      </c>
      <c r="G2365" s="20" t="s">
        <v>35</v>
      </c>
      <c r="H2365" s="20" t="s">
        <v>25</v>
      </c>
      <c r="I2365" s="21" t="s">
        <v>9194</v>
      </c>
      <c r="J2365" s="22">
        <f t="shared" si="180"/>
        <v>2.93055555555475</v>
      </c>
      <c r="K2365" s="22">
        <f t="shared" si="181"/>
        <v>70.3333333333139</v>
      </c>
      <c r="L2365" s="22">
        <f t="shared" si="182"/>
        <v>22.3333333333139</v>
      </c>
      <c r="M2365" s="22" cm="1">
        <f ca="1" t="array" ref="M2365">SUMPRODUCT(--(WEEKDAY(ROW(INDIRECT(INT(F2365)&amp;":"&amp;INT(I2365))),2)&gt;5))</f>
        <v>2</v>
      </c>
      <c r="N2365" s="22">
        <f ca="1" t="shared" si="183"/>
        <v>6.3333333333139</v>
      </c>
      <c r="O2365" s="22" t="str">
        <f ca="1" t="shared" si="184"/>
        <v>SLA Violated</v>
      </c>
      <c r="P2365" s="26" t="s">
        <v>9195</v>
      </c>
      <c r="Q2365" s="24" t="s">
        <v>28</v>
      </c>
      <c r="R2365" s="25"/>
      <c r="S2365" s="25"/>
    </row>
    <row r="2366" ht="50" customHeight="1" spans="1:19">
      <c r="A2366" s="19" t="s">
        <v>9196</v>
      </c>
      <c r="B2366" s="20" t="s">
        <v>369</v>
      </c>
      <c r="C2366" s="20" t="s">
        <v>46</v>
      </c>
      <c r="D2366" s="20" t="s">
        <v>32</v>
      </c>
      <c r="E2366" s="21" t="s">
        <v>9197</v>
      </c>
      <c r="F2366" s="21" t="s">
        <v>9198</v>
      </c>
      <c r="G2366" s="20" t="s">
        <v>35</v>
      </c>
      <c r="H2366" s="20" t="s">
        <v>25</v>
      </c>
      <c r="I2366" s="21" t="s">
        <v>9199</v>
      </c>
      <c r="J2366" s="22">
        <f t="shared" si="180"/>
        <v>0.015277777776646</v>
      </c>
      <c r="K2366" s="22">
        <f t="shared" si="181"/>
        <v>0.366666666639503</v>
      </c>
      <c r="L2366" s="22">
        <f t="shared" si="182"/>
        <v>0.366666666639503</v>
      </c>
      <c r="M2366" s="22" cm="1">
        <f ca="1" t="array" ref="M2366">SUMPRODUCT(--(WEEKDAY(ROW(INDIRECT(INT(F2366)&amp;":"&amp;INT(I2366))),2)&gt;5))</f>
        <v>0</v>
      </c>
      <c r="N2366" s="22">
        <f ca="1" t="shared" si="183"/>
        <v>0.366666666639503</v>
      </c>
      <c r="O2366" s="22" t="str">
        <f ca="1" t="shared" si="184"/>
        <v>Within SLA</v>
      </c>
      <c r="P2366" s="26" t="s">
        <v>9196</v>
      </c>
      <c r="Q2366" s="24" t="s">
        <v>37</v>
      </c>
      <c r="R2366" s="25"/>
      <c r="S2366" s="25"/>
    </row>
    <row r="2367" ht="39" customHeight="1" spans="1:19">
      <c r="A2367" s="19" t="s">
        <v>9200</v>
      </c>
      <c r="B2367" s="20" t="s">
        <v>19</v>
      </c>
      <c r="C2367" s="20" t="s">
        <v>20</v>
      </c>
      <c r="D2367" s="20" t="s">
        <v>32</v>
      </c>
      <c r="E2367" s="21" t="s">
        <v>9201</v>
      </c>
      <c r="F2367" s="21" t="s">
        <v>9202</v>
      </c>
      <c r="G2367" s="20" t="s">
        <v>35</v>
      </c>
      <c r="H2367" s="20" t="s">
        <v>25</v>
      </c>
      <c r="I2367" s="21" t="s">
        <v>9203</v>
      </c>
      <c r="J2367" s="22">
        <f t="shared" si="180"/>
        <v>18.007638888892</v>
      </c>
      <c r="K2367" s="22">
        <f t="shared" si="181"/>
        <v>432.183333333407</v>
      </c>
      <c r="L2367" s="22">
        <f t="shared" si="182"/>
        <v>144.183333333407</v>
      </c>
      <c r="M2367" s="22" cm="1">
        <f ca="1" t="array" ref="M2367">SUMPRODUCT(--(WEEKDAY(ROW(INDIRECT(INT(F2367)&amp;":"&amp;INT(I2367))),2)&gt;5))</f>
        <v>6</v>
      </c>
      <c r="N2367" s="22">
        <f ca="1" t="shared" si="183"/>
        <v>96.183333333407</v>
      </c>
      <c r="O2367" s="22" t="str">
        <f ca="1" t="shared" si="184"/>
        <v>SLA Violated</v>
      </c>
      <c r="P2367" s="23" t="s">
        <v>9204</v>
      </c>
      <c r="Q2367" s="24" t="s">
        <v>28</v>
      </c>
      <c r="R2367" s="25"/>
      <c r="S2367" s="25"/>
    </row>
    <row r="2368" ht="27" customHeight="1" spans="1:19">
      <c r="A2368" s="19" t="s">
        <v>9205</v>
      </c>
      <c r="B2368" s="20" t="s">
        <v>139</v>
      </c>
      <c r="C2368" s="20" t="s">
        <v>2057</v>
      </c>
      <c r="D2368" s="20" t="s">
        <v>32</v>
      </c>
      <c r="E2368" s="21" t="s">
        <v>9206</v>
      </c>
      <c r="F2368" s="21" t="s">
        <v>9207</v>
      </c>
      <c r="G2368" s="20" t="s">
        <v>35</v>
      </c>
      <c r="H2368" s="20" t="s">
        <v>25</v>
      </c>
      <c r="I2368" s="21" t="s">
        <v>9208</v>
      </c>
      <c r="J2368" s="22">
        <f t="shared" si="180"/>
        <v>20.0590277777737</v>
      </c>
      <c r="K2368" s="22">
        <f t="shared" si="181"/>
        <v>481.41666666657</v>
      </c>
      <c r="L2368" s="22">
        <f t="shared" si="182"/>
        <v>161.41666666657</v>
      </c>
      <c r="M2368" s="22" cm="1">
        <f ca="1" t="array" ref="M2368">SUMPRODUCT(--(WEEKDAY(ROW(INDIRECT(INT(F2368)&amp;":"&amp;INT(I2368))),2)&gt;5))</f>
        <v>6</v>
      </c>
      <c r="N2368" s="22">
        <f ca="1" t="shared" si="183"/>
        <v>113.41666666657</v>
      </c>
      <c r="O2368" s="22" t="str">
        <f ca="1" t="shared" si="184"/>
        <v>SLA Violated</v>
      </c>
      <c r="P2368" s="23" t="s">
        <v>9209</v>
      </c>
      <c r="Q2368" s="24" t="s">
        <v>28</v>
      </c>
      <c r="R2368" s="25"/>
      <c r="S2368" s="25"/>
    </row>
    <row r="2369" ht="39" customHeight="1" spans="1:19">
      <c r="A2369" s="19" t="s">
        <v>9210</v>
      </c>
      <c r="B2369" s="20" t="s">
        <v>19</v>
      </c>
      <c r="C2369" s="20" t="s">
        <v>20</v>
      </c>
      <c r="D2369" s="20" t="s">
        <v>32</v>
      </c>
      <c r="E2369" s="21" t="s">
        <v>9211</v>
      </c>
      <c r="F2369" s="21" t="s">
        <v>9212</v>
      </c>
      <c r="G2369" s="20" t="s">
        <v>35</v>
      </c>
      <c r="H2369" s="20" t="s">
        <v>25</v>
      </c>
      <c r="I2369" s="21" t="s">
        <v>9203</v>
      </c>
      <c r="J2369" s="22">
        <f t="shared" si="180"/>
        <v>0.0458333333372138</v>
      </c>
      <c r="K2369" s="22">
        <f t="shared" si="181"/>
        <v>1.10000000009313</v>
      </c>
      <c r="L2369" s="22">
        <f t="shared" si="182"/>
        <v>1.10000000009313</v>
      </c>
      <c r="M2369" s="22" cm="1">
        <f ca="1" t="array" ref="M2369">SUMPRODUCT(--(WEEKDAY(ROW(INDIRECT(INT(F2369)&amp;":"&amp;INT(I2369))),2)&gt;5))</f>
        <v>0</v>
      </c>
      <c r="N2369" s="22">
        <f ca="1" t="shared" si="183"/>
        <v>1.10000000009313</v>
      </c>
      <c r="O2369" s="22" t="str">
        <f ca="1" t="shared" si="184"/>
        <v>Within SLA</v>
      </c>
      <c r="P2369" s="26" t="s">
        <v>9210</v>
      </c>
      <c r="Q2369" s="24" t="s">
        <v>37</v>
      </c>
      <c r="R2369" s="25"/>
      <c r="S2369" s="25"/>
    </row>
    <row r="2370" ht="27" customHeight="1" spans="1:19">
      <c r="A2370" s="19" t="s">
        <v>9213</v>
      </c>
      <c r="B2370" s="20" t="s">
        <v>30</v>
      </c>
      <c r="C2370" s="20" t="s">
        <v>31</v>
      </c>
      <c r="D2370" s="20" t="s">
        <v>115</v>
      </c>
      <c r="E2370" s="21" t="s">
        <v>9214</v>
      </c>
      <c r="F2370" s="21" t="s">
        <v>9215</v>
      </c>
      <c r="G2370" s="20" t="s">
        <v>35</v>
      </c>
      <c r="H2370" s="20" t="s">
        <v>25</v>
      </c>
      <c r="I2370" s="21" t="s">
        <v>9216</v>
      </c>
      <c r="J2370" s="22">
        <f t="shared" si="180"/>
        <v>8.17152777777665</v>
      </c>
      <c r="K2370" s="22">
        <f t="shared" si="181"/>
        <v>196.11666666664</v>
      </c>
      <c r="L2370" s="22">
        <f t="shared" si="182"/>
        <v>68.1166666666395</v>
      </c>
      <c r="M2370" s="22" cm="1">
        <f ca="1" t="array" ref="M2370">SUMPRODUCT(--(WEEKDAY(ROW(INDIRECT(INT(F2370)&amp;":"&amp;INT(I2370))),2)&gt;5))</f>
        <v>3</v>
      </c>
      <c r="N2370" s="22">
        <f ca="1" t="shared" si="183"/>
        <v>44.1166666666395</v>
      </c>
      <c r="O2370" s="22" t="str">
        <f ca="1" t="shared" si="184"/>
        <v>SLA Violated</v>
      </c>
      <c r="P2370" s="23" t="s">
        <v>9217</v>
      </c>
      <c r="Q2370" s="24" t="s">
        <v>28</v>
      </c>
      <c r="R2370" s="25"/>
      <c r="S2370" s="25"/>
    </row>
    <row r="2371" ht="27" customHeight="1" spans="1:19">
      <c r="A2371" s="19" t="s">
        <v>9218</v>
      </c>
      <c r="B2371" s="20" t="s">
        <v>30</v>
      </c>
      <c r="C2371" s="20" t="s">
        <v>31</v>
      </c>
      <c r="D2371" s="20" t="s">
        <v>32</v>
      </c>
      <c r="E2371" s="21" t="s">
        <v>9208</v>
      </c>
      <c r="F2371" s="21" t="s">
        <v>9219</v>
      </c>
      <c r="G2371" s="20" t="s">
        <v>35</v>
      </c>
      <c r="H2371" s="20" t="s">
        <v>25</v>
      </c>
      <c r="I2371" s="21" t="s">
        <v>9220</v>
      </c>
      <c r="J2371" s="22">
        <f t="shared" ref="J2371:J2434" si="185">F2371-I2371</f>
        <v>6.88124999999854</v>
      </c>
      <c r="K2371" s="22">
        <f t="shared" ref="K2371:K2434" si="186">J2371*24</f>
        <v>165.149999999965</v>
      </c>
      <c r="L2371" s="22">
        <f t="shared" ref="L2371:L2434" si="187">IF(_xlfn.DAYS(F2371,I2371)&gt;0,K2371-IF(FLOOR(J2371,1)=0,1,_xlfn.DAYS(F2371,I2371))*16,K2371)</f>
        <v>53.1499999999651</v>
      </c>
      <c r="M2371" s="22" cm="1">
        <f ca="1" t="array" ref="M2371">SUMPRODUCT(--(WEEKDAY(ROW(INDIRECT(INT(F2371)&amp;":"&amp;INT(I2371))),2)&gt;5))</f>
        <v>2</v>
      </c>
      <c r="N2371" s="22">
        <f ca="1" t="shared" ref="N2371:N2434" si="188">IF(IF(M2371&gt;0,L2371-M2371*8,L2371)&lt;0,0,IF(M2371&gt;0,L2371-M2371*8,L2371))</f>
        <v>37.1499999999651</v>
      </c>
      <c r="O2371" s="22" t="str">
        <f ca="1" t="shared" ref="O2371:O2434" si="189">IF(OR(AND(D2371="P1",N2371&lt;=3),AND(D2371="P2",N2371&lt;=6),AND(D2371="P3",N2371&lt;=9),AND(D2371="P4",N2371&lt;=12)),"Within SLA","SLA Violated")</f>
        <v>SLA Violated</v>
      </c>
      <c r="P2371" s="26" t="s">
        <v>9218</v>
      </c>
      <c r="Q2371" s="24" t="s">
        <v>28</v>
      </c>
      <c r="R2371" s="25"/>
      <c r="S2371" s="25"/>
    </row>
    <row r="2372" ht="39" customHeight="1" spans="1:19">
      <c r="A2372" s="19" t="s">
        <v>9221</v>
      </c>
      <c r="B2372" s="20" t="s">
        <v>19</v>
      </c>
      <c r="C2372" s="20" t="s">
        <v>20</v>
      </c>
      <c r="D2372" s="20" t="s">
        <v>32</v>
      </c>
      <c r="E2372" s="21" t="s">
        <v>9222</v>
      </c>
      <c r="F2372" s="21" t="s">
        <v>9223</v>
      </c>
      <c r="G2372" s="20" t="s">
        <v>35</v>
      </c>
      <c r="H2372" s="20" t="s">
        <v>25</v>
      </c>
      <c r="I2372" s="21" t="s">
        <v>9224</v>
      </c>
      <c r="J2372" s="22">
        <f t="shared" si="185"/>
        <v>2.7541666666657</v>
      </c>
      <c r="K2372" s="22">
        <f t="shared" si="186"/>
        <v>66.0999999999767</v>
      </c>
      <c r="L2372" s="22">
        <f t="shared" si="187"/>
        <v>18.0999999999767</v>
      </c>
      <c r="M2372" s="22" cm="1">
        <f ca="1" t="array" ref="M2372">SUMPRODUCT(--(WEEKDAY(ROW(INDIRECT(INT(F2372)&amp;":"&amp;INT(I2372))),2)&gt;5))</f>
        <v>2</v>
      </c>
      <c r="N2372" s="22">
        <f ca="1" t="shared" si="188"/>
        <v>2.0999999999767</v>
      </c>
      <c r="O2372" s="22" t="str">
        <f ca="1" t="shared" si="189"/>
        <v>Within SLA</v>
      </c>
      <c r="P2372" s="26" t="s">
        <v>9221</v>
      </c>
      <c r="Q2372" s="24" t="s">
        <v>37</v>
      </c>
      <c r="R2372" s="25"/>
      <c r="S2372" s="25"/>
    </row>
    <row r="2373" ht="27" customHeight="1" spans="1:19">
      <c r="A2373" s="19" t="s">
        <v>9225</v>
      </c>
      <c r="B2373" s="20" t="s">
        <v>30</v>
      </c>
      <c r="C2373" s="20" t="s">
        <v>849</v>
      </c>
      <c r="D2373" s="20" t="s">
        <v>32</v>
      </c>
      <c r="E2373" s="21" t="s">
        <v>9226</v>
      </c>
      <c r="F2373" s="21" t="s">
        <v>9227</v>
      </c>
      <c r="G2373" s="20" t="s">
        <v>35</v>
      </c>
      <c r="H2373" s="20" t="s">
        <v>25</v>
      </c>
      <c r="I2373" s="21" t="s">
        <v>9228</v>
      </c>
      <c r="J2373" s="22">
        <f t="shared" si="185"/>
        <v>0.000694444446708076</v>
      </c>
      <c r="K2373" s="22">
        <f t="shared" si="186"/>
        <v>0.0166666667209938</v>
      </c>
      <c r="L2373" s="22">
        <f t="shared" si="187"/>
        <v>0.0166666667209938</v>
      </c>
      <c r="M2373" s="22" cm="1">
        <f ca="1" t="array" ref="M2373">SUMPRODUCT(--(WEEKDAY(ROW(INDIRECT(INT(F2373)&amp;":"&amp;INT(I2373))),2)&gt;5))</f>
        <v>0</v>
      </c>
      <c r="N2373" s="22">
        <f ca="1" t="shared" si="188"/>
        <v>0.0166666667209938</v>
      </c>
      <c r="O2373" s="22" t="str">
        <f ca="1" t="shared" si="189"/>
        <v>Within SLA</v>
      </c>
      <c r="P2373" s="26" t="s">
        <v>9225</v>
      </c>
      <c r="Q2373" s="24" t="s">
        <v>37</v>
      </c>
      <c r="R2373" s="25"/>
      <c r="S2373" s="25"/>
    </row>
    <row r="2374" ht="27" customHeight="1" spans="1:19">
      <c r="A2374" s="19" t="s">
        <v>9229</v>
      </c>
      <c r="B2374" s="20" t="s">
        <v>30</v>
      </c>
      <c r="C2374" s="20" t="s">
        <v>31</v>
      </c>
      <c r="D2374" s="20" t="s">
        <v>32</v>
      </c>
      <c r="E2374" s="21" t="s">
        <v>9226</v>
      </c>
      <c r="F2374" s="21" t="s">
        <v>9230</v>
      </c>
      <c r="G2374" s="20" t="s">
        <v>35</v>
      </c>
      <c r="H2374" s="20" t="s">
        <v>25</v>
      </c>
      <c r="I2374" s="21" t="s">
        <v>9231</v>
      </c>
      <c r="J2374" s="22">
        <f t="shared" si="185"/>
        <v>2.77152777777519</v>
      </c>
      <c r="K2374" s="22">
        <f t="shared" si="186"/>
        <v>66.5166666666046</v>
      </c>
      <c r="L2374" s="22">
        <f t="shared" si="187"/>
        <v>18.5166666666046</v>
      </c>
      <c r="M2374" s="22" cm="1">
        <f ca="1" t="array" ref="M2374">SUMPRODUCT(--(WEEKDAY(ROW(INDIRECT(INT(F2374)&amp;":"&amp;INT(I2374))),2)&gt;5))</f>
        <v>2</v>
      </c>
      <c r="N2374" s="22">
        <f ca="1" t="shared" si="188"/>
        <v>2.5166666666046</v>
      </c>
      <c r="O2374" s="22" t="str">
        <f ca="1" t="shared" si="189"/>
        <v>Within SLA</v>
      </c>
      <c r="P2374" s="26" t="s">
        <v>9229</v>
      </c>
      <c r="Q2374" s="24" t="s">
        <v>37</v>
      </c>
      <c r="R2374" s="25"/>
      <c r="S2374" s="25"/>
    </row>
    <row r="2375" ht="27" customHeight="1" spans="1:19">
      <c r="A2375" s="19" t="s">
        <v>9232</v>
      </c>
      <c r="B2375" s="20" t="s">
        <v>30</v>
      </c>
      <c r="C2375" s="20" t="s">
        <v>31</v>
      </c>
      <c r="D2375" s="20" t="s">
        <v>21</v>
      </c>
      <c r="E2375" s="21" t="s">
        <v>9233</v>
      </c>
      <c r="F2375" s="21" t="s">
        <v>9234</v>
      </c>
      <c r="G2375" s="20" t="s">
        <v>35</v>
      </c>
      <c r="H2375" s="20" t="s">
        <v>25</v>
      </c>
      <c r="I2375" s="21" t="s">
        <v>9235</v>
      </c>
      <c r="J2375" s="22">
        <f t="shared" si="185"/>
        <v>3.02569444444089</v>
      </c>
      <c r="K2375" s="22">
        <f t="shared" si="186"/>
        <v>72.6166666665813</v>
      </c>
      <c r="L2375" s="22">
        <f t="shared" si="187"/>
        <v>24.6166666665813</v>
      </c>
      <c r="M2375" s="22" cm="1">
        <f ca="1" t="array" ref="M2375">SUMPRODUCT(--(WEEKDAY(ROW(INDIRECT(INT(F2375)&amp;":"&amp;INT(I2375))),2)&gt;5))</f>
        <v>1</v>
      </c>
      <c r="N2375" s="22">
        <f ca="1" t="shared" si="188"/>
        <v>16.6166666665813</v>
      </c>
      <c r="O2375" s="22" t="str">
        <f ca="1" t="shared" si="189"/>
        <v>SLA Violated</v>
      </c>
      <c r="P2375" s="23" t="s">
        <v>9236</v>
      </c>
      <c r="Q2375" s="24" t="s">
        <v>28</v>
      </c>
      <c r="R2375" s="25"/>
      <c r="S2375" s="25"/>
    </row>
    <row r="2376" ht="39" customHeight="1" spans="1:19">
      <c r="A2376" s="19" t="s">
        <v>9237</v>
      </c>
      <c r="B2376" s="20" t="s">
        <v>19</v>
      </c>
      <c r="C2376" s="20" t="s">
        <v>20</v>
      </c>
      <c r="D2376" s="20" t="s">
        <v>32</v>
      </c>
      <c r="E2376" s="21" t="s">
        <v>9238</v>
      </c>
      <c r="F2376" s="21" t="s">
        <v>9239</v>
      </c>
      <c r="G2376" s="20" t="s">
        <v>35</v>
      </c>
      <c r="H2376" s="20" t="s">
        <v>25</v>
      </c>
      <c r="I2376" s="21" t="s">
        <v>9240</v>
      </c>
      <c r="J2376" s="22">
        <f t="shared" si="185"/>
        <v>2.70000000000437</v>
      </c>
      <c r="K2376" s="22">
        <f t="shared" si="186"/>
        <v>64.8000000001048</v>
      </c>
      <c r="L2376" s="22">
        <f t="shared" si="187"/>
        <v>16.8000000001048</v>
      </c>
      <c r="M2376" s="22" cm="1">
        <f ca="1" t="array" ref="M2376">SUMPRODUCT(--(WEEKDAY(ROW(INDIRECT(INT(F2376)&amp;":"&amp;INT(I2376))),2)&gt;5))</f>
        <v>2</v>
      </c>
      <c r="N2376" s="22">
        <f ca="1" t="shared" si="188"/>
        <v>0.800000000104799</v>
      </c>
      <c r="O2376" s="22" t="str">
        <f ca="1" t="shared" si="189"/>
        <v>Within SLA</v>
      </c>
      <c r="P2376" s="26" t="s">
        <v>9237</v>
      </c>
      <c r="Q2376" s="24" t="s">
        <v>37</v>
      </c>
      <c r="R2376" s="25"/>
      <c r="S2376" s="25"/>
    </row>
    <row r="2377" ht="27" customHeight="1" spans="1:19">
      <c r="A2377" s="19" t="s">
        <v>9241</v>
      </c>
      <c r="B2377" s="20" t="s">
        <v>30</v>
      </c>
      <c r="C2377" s="20" t="s">
        <v>4889</v>
      </c>
      <c r="D2377" s="20" t="s">
        <v>32</v>
      </c>
      <c r="E2377" s="21" t="s">
        <v>9242</v>
      </c>
      <c r="F2377" s="21" t="s">
        <v>9243</v>
      </c>
      <c r="G2377" s="20" t="s">
        <v>35</v>
      </c>
      <c r="H2377" s="20" t="s">
        <v>25</v>
      </c>
      <c r="I2377" s="21" t="s">
        <v>9244</v>
      </c>
      <c r="J2377" s="22">
        <f t="shared" si="185"/>
        <v>0.0430555555576575</v>
      </c>
      <c r="K2377" s="22">
        <f t="shared" si="186"/>
        <v>1.03333333338378</v>
      </c>
      <c r="L2377" s="22">
        <f t="shared" si="187"/>
        <v>1.03333333338378</v>
      </c>
      <c r="M2377" s="22" cm="1">
        <f ca="1" t="array" ref="M2377">SUMPRODUCT(--(WEEKDAY(ROW(INDIRECT(INT(F2377)&amp;":"&amp;INT(I2377))),2)&gt;5))</f>
        <v>0</v>
      </c>
      <c r="N2377" s="22">
        <f ca="1" t="shared" si="188"/>
        <v>1.03333333338378</v>
      </c>
      <c r="O2377" s="22" t="str">
        <f ca="1" t="shared" si="189"/>
        <v>Within SLA</v>
      </c>
      <c r="P2377" s="26" t="s">
        <v>9241</v>
      </c>
      <c r="Q2377" s="24" t="s">
        <v>37</v>
      </c>
      <c r="R2377" s="25"/>
      <c r="S2377" s="25"/>
    </row>
    <row r="2378" ht="27" customHeight="1" spans="1:19">
      <c r="A2378" s="19" t="s">
        <v>9245</v>
      </c>
      <c r="B2378" s="20" t="s">
        <v>30</v>
      </c>
      <c r="C2378" s="20" t="s">
        <v>31</v>
      </c>
      <c r="D2378" s="20" t="s">
        <v>32</v>
      </c>
      <c r="E2378" s="21" t="s">
        <v>9246</v>
      </c>
      <c r="F2378" s="21" t="s">
        <v>9247</v>
      </c>
      <c r="G2378" s="20" t="s">
        <v>35</v>
      </c>
      <c r="H2378" s="20" t="s">
        <v>25</v>
      </c>
      <c r="I2378" s="21" t="s">
        <v>9248</v>
      </c>
      <c r="J2378" s="22">
        <f t="shared" si="185"/>
        <v>2.95416666667006</v>
      </c>
      <c r="K2378" s="22">
        <f t="shared" si="186"/>
        <v>70.9000000000815</v>
      </c>
      <c r="L2378" s="22">
        <f t="shared" si="187"/>
        <v>22.9000000000815</v>
      </c>
      <c r="M2378" s="22" cm="1">
        <f ca="1" t="array" ref="M2378">SUMPRODUCT(--(WEEKDAY(ROW(INDIRECT(INT(F2378)&amp;":"&amp;INT(I2378))),2)&gt;5))</f>
        <v>0</v>
      </c>
      <c r="N2378" s="22">
        <f ca="1" t="shared" si="188"/>
        <v>22.9000000000815</v>
      </c>
      <c r="O2378" s="22" t="str">
        <f ca="1" t="shared" si="189"/>
        <v>SLA Violated</v>
      </c>
      <c r="P2378" s="26" t="s">
        <v>9245</v>
      </c>
      <c r="Q2378" s="24" t="s">
        <v>28</v>
      </c>
      <c r="R2378" s="25"/>
      <c r="S2378" s="25"/>
    </row>
    <row r="2379" ht="27" customHeight="1" spans="1:19">
      <c r="A2379" s="19" t="s">
        <v>9249</v>
      </c>
      <c r="B2379" s="20" t="s">
        <v>121</v>
      </c>
      <c r="C2379" s="20" t="s">
        <v>849</v>
      </c>
      <c r="D2379" s="20" t="s">
        <v>32</v>
      </c>
      <c r="E2379" s="21" t="s">
        <v>9250</v>
      </c>
      <c r="F2379" s="21" t="s">
        <v>9251</v>
      </c>
      <c r="G2379" s="20" t="s">
        <v>35</v>
      </c>
      <c r="H2379" s="20" t="s">
        <v>25</v>
      </c>
      <c r="I2379" s="21" t="s">
        <v>9252</v>
      </c>
      <c r="J2379" s="22">
        <f t="shared" si="185"/>
        <v>1.06180555555329</v>
      </c>
      <c r="K2379" s="22">
        <f t="shared" si="186"/>
        <v>25.483333333279</v>
      </c>
      <c r="L2379" s="22">
        <f t="shared" si="187"/>
        <v>9.48333333327901</v>
      </c>
      <c r="M2379" s="22" cm="1">
        <f ca="1" t="array" ref="M2379">SUMPRODUCT(--(WEEKDAY(ROW(INDIRECT(INT(F2379)&amp;":"&amp;INT(I2379))),2)&gt;5))</f>
        <v>0</v>
      </c>
      <c r="N2379" s="22">
        <f ca="1" t="shared" si="188"/>
        <v>9.48333333327901</v>
      </c>
      <c r="O2379" s="22" t="str">
        <f ca="1" t="shared" si="189"/>
        <v>Within SLA</v>
      </c>
      <c r="P2379" s="26" t="s">
        <v>9249</v>
      </c>
      <c r="Q2379" s="24" t="s">
        <v>37</v>
      </c>
      <c r="R2379" s="25"/>
      <c r="S2379" s="25"/>
    </row>
    <row r="2380" ht="39" customHeight="1" spans="1:19">
      <c r="A2380" s="19" t="s">
        <v>9253</v>
      </c>
      <c r="B2380" s="20" t="s">
        <v>19</v>
      </c>
      <c r="C2380" s="20" t="s">
        <v>20</v>
      </c>
      <c r="D2380" s="20" t="s">
        <v>32</v>
      </c>
      <c r="E2380" s="21" t="s">
        <v>9254</v>
      </c>
      <c r="F2380" s="21" t="s">
        <v>9255</v>
      </c>
      <c r="G2380" s="20" t="s">
        <v>35</v>
      </c>
      <c r="H2380" s="20" t="s">
        <v>25</v>
      </c>
      <c r="I2380" s="21" t="s">
        <v>9256</v>
      </c>
      <c r="J2380" s="22">
        <f t="shared" si="185"/>
        <v>0.00694444444525288</v>
      </c>
      <c r="K2380" s="22">
        <f t="shared" si="186"/>
        <v>0.166666666686069</v>
      </c>
      <c r="L2380" s="22">
        <f t="shared" si="187"/>
        <v>0.166666666686069</v>
      </c>
      <c r="M2380" s="22" cm="1">
        <f ca="1" t="array" ref="M2380">SUMPRODUCT(--(WEEKDAY(ROW(INDIRECT(INT(F2380)&amp;":"&amp;INT(I2380))),2)&gt;5))</f>
        <v>0</v>
      </c>
      <c r="N2380" s="22">
        <f ca="1" t="shared" si="188"/>
        <v>0.166666666686069</v>
      </c>
      <c r="O2380" s="22" t="str">
        <f ca="1" t="shared" si="189"/>
        <v>Within SLA</v>
      </c>
      <c r="P2380" s="26" t="s">
        <v>9253</v>
      </c>
      <c r="Q2380" s="24" t="s">
        <v>37</v>
      </c>
      <c r="R2380" s="25"/>
      <c r="S2380" s="25"/>
    </row>
    <row r="2381" ht="39" customHeight="1" spans="1:19">
      <c r="A2381" s="19" t="s">
        <v>9257</v>
      </c>
      <c r="B2381" s="20" t="s">
        <v>4167</v>
      </c>
      <c r="C2381" s="20" t="s">
        <v>101</v>
      </c>
      <c r="D2381" s="20" t="s">
        <v>32</v>
      </c>
      <c r="E2381" s="21" t="s">
        <v>9258</v>
      </c>
      <c r="F2381" s="21" t="s">
        <v>9259</v>
      </c>
      <c r="G2381" s="20" t="s">
        <v>35</v>
      </c>
      <c r="H2381" s="20" t="s">
        <v>25</v>
      </c>
      <c r="I2381" s="21" t="s">
        <v>9260</v>
      </c>
      <c r="J2381" s="22">
        <f t="shared" si="185"/>
        <v>0.0187499999956344</v>
      </c>
      <c r="K2381" s="22">
        <f t="shared" si="186"/>
        <v>0.449999999895226</v>
      </c>
      <c r="L2381" s="22">
        <f t="shared" si="187"/>
        <v>0.449999999895226</v>
      </c>
      <c r="M2381" s="22" cm="1">
        <f ca="1" t="array" ref="M2381">SUMPRODUCT(--(WEEKDAY(ROW(INDIRECT(INT(F2381)&amp;":"&amp;INT(I2381))),2)&gt;5))</f>
        <v>0</v>
      </c>
      <c r="N2381" s="22">
        <f ca="1" t="shared" si="188"/>
        <v>0.449999999895226</v>
      </c>
      <c r="O2381" s="22" t="str">
        <f ca="1" t="shared" si="189"/>
        <v>Within SLA</v>
      </c>
      <c r="P2381" s="26" t="s">
        <v>9257</v>
      </c>
      <c r="Q2381" s="24" t="s">
        <v>37</v>
      </c>
      <c r="R2381" s="25"/>
      <c r="S2381" s="25"/>
    </row>
    <row r="2382" ht="27" customHeight="1" spans="1:19">
      <c r="A2382" s="19" t="s">
        <v>9261</v>
      </c>
      <c r="B2382" s="20" t="s">
        <v>30</v>
      </c>
      <c r="C2382" s="20" t="s">
        <v>31</v>
      </c>
      <c r="D2382" s="20" t="s">
        <v>32</v>
      </c>
      <c r="E2382" s="21" t="s">
        <v>9260</v>
      </c>
      <c r="F2382" s="21" t="s">
        <v>9262</v>
      </c>
      <c r="G2382" s="20" t="s">
        <v>35</v>
      </c>
      <c r="H2382" s="20" t="s">
        <v>25</v>
      </c>
      <c r="I2382" s="21" t="s">
        <v>9263</v>
      </c>
      <c r="J2382" s="22">
        <f t="shared" si="185"/>
        <v>1.87152777778101</v>
      </c>
      <c r="K2382" s="22">
        <f t="shared" si="186"/>
        <v>44.9166666667443</v>
      </c>
      <c r="L2382" s="22">
        <f t="shared" si="187"/>
        <v>12.9166666667443</v>
      </c>
      <c r="M2382" s="22" cm="1">
        <f ca="1" t="array" ref="M2382">SUMPRODUCT(--(WEEKDAY(ROW(INDIRECT(INT(F2382)&amp;":"&amp;INT(I2382))),2)&gt;5))</f>
        <v>0</v>
      </c>
      <c r="N2382" s="22">
        <f ca="1" t="shared" si="188"/>
        <v>12.9166666667443</v>
      </c>
      <c r="O2382" s="22" t="str">
        <f ca="1" t="shared" si="189"/>
        <v>SLA Violated</v>
      </c>
      <c r="P2382" s="26" t="s">
        <v>9261</v>
      </c>
      <c r="Q2382" s="24" t="s">
        <v>28</v>
      </c>
      <c r="R2382" s="25"/>
      <c r="S2382" s="25"/>
    </row>
    <row r="2383" ht="50" customHeight="1" spans="1:19">
      <c r="A2383" s="19" t="s">
        <v>9264</v>
      </c>
      <c r="B2383" s="20" t="s">
        <v>369</v>
      </c>
      <c r="C2383" s="20" t="s">
        <v>2057</v>
      </c>
      <c r="D2383" s="20" t="s">
        <v>32</v>
      </c>
      <c r="E2383" s="21" t="s">
        <v>9265</v>
      </c>
      <c r="F2383" s="21" t="s">
        <v>9266</v>
      </c>
      <c r="G2383" s="20" t="s">
        <v>35</v>
      </c>
      <c r="H2383" s="20" t="s">
        <v>25</v>
      </c>
      <c r="I2383" s="21" t="s">
        <v>9267</v>
      </c>
      <c r="J2383" s="22">
        <f t="shared" si="185"/>
        <v>0.122222222220444</v>
      </c>
      <c r="K2383" s="22">
        <f t="shared" si="186"/>
        <v>2.93333333329065</v>
      </c>
      <c r="L2383" s="22">
        <f t="shared" si="187"/>
        <v>2.93333333329065</v>
      </c>
      <c r="M2383" s="22" cm="1">
        <f ca="1" t="array" ref="M2383">SUMPRODUCT(--(WEEKDAY(ROW(INDIRECT(INT(F2383)&amp;":"&amp;INT(I2383))),2)&gt;5))</f>
        <v>0</v>
      </c>
      <c r="N2383" s="22">
        <f ca="1" t="shared" si="188"/>
        <v>2.93333333329065</v>
      </c>
      <c r="O2383" s="22" t="str">
        <f ca="1" t="shared" si="189"/>
        <v>Within SLA</v>
      </c>
      <c r="P2383" s="26" t="s">
        <v>9264</v>
      </c>
      <c r="Q2383" s="24" t="s">
        <v>37</v>
      </c>
      <c r="R2383" s="25"/>
      <c r="S2383" s="25"/>
    </row>
    <row r="2384" ht="27" customHeight="1" spans="1:19">
      <c r="A2384" s="19" t="s">
        <v>9268</v>
      </c>
      <c r="B2384" s="20" t="s">
        <v>30</v>
      </c>
      <c r="C2384" s="20" t="s">
        <v>31</v>
      </c>
      <c r="D2384" s="20" t="s">
        <v>32</v>
      </c>
      <c r="E2384" s="21" t="s">
        <v>9223</v>
      </c>
      <c r="F2384" s="21" t="s">
        <v>9269</v>
      </c>
      <c r="G2384" s="20" t="s">
        <v>35</v>
      </c>
      <c r="H2384" s="20" t="s">
        <v>25</v>
      </c>
      <c r="I2384" s="21" t="s">
        <v>9270</v>
      </c>
      <c r="J2384" s="22">
        <f t="shared" si="185"/>
        <v>10.2229166666657</v>
      </c>
      <c r="K2384" s="22">
        <f t="shared" si="186"/>
        <v>245.349999999977</v>
      </c>
      <c r="L2384" s="22">
        <f t="shared" si="187"/>
        <v>85.3499999999767</v>
      </c>
      <c r="M2384" s="22" cm="1">
        <f ca="1" t="array" ref="M2384">SUMPRODUCT(--(WEEKDAY(ROW(INDIRECT(INT(F2384)&amp;":"&amp;INT(I2384))),2)&gt;5))</f>
        <v>3</v>
      </c>
      <c r="N2384" s="22">
        <f ca="1" t="shared" si="188"/>
        <v>61.3499999999767</v>
      </c>
      <c r="O2384" s="22" t="str">
        <f ca="1" t="shared" si="189"/>
        <v>SLA Violated</v>
      </c>
      <c r="P2384" s="26" t="s">
        <v>9268</v>
      </c>
      <c r="Q2384" s="24" t="s">
        <v>28</v>
      </c>
      <c r="R2384" s="25"/>
      <c r="S2384" s="25"/>
    </row>
    <row r="2385" ht="50" customHeight="1" spans="1:19">
      <c r="A2385" s="19" t="s">
        <v>9271</v>
      </c>
      <c r="B2385" s="20" t="s">
        <v>369</v>
      </c>
      <c r="C2385" s="20" t="s">
        <v>46</v>
      </c>
      <c r="D2385" s="20" t="s">
        <v>32</v>
      </c>
      <c r="E2385" s="21" t="s">
        <v>9272</v>
      </c>
      <c r="F2385" s="21" t="s">
        <v>9273</v>
      </c>
      <c r="G2385" s="20" t="s">
        <v>35</v>
      </c>
      <c r="H2385" s="20" t="s">
        <v>25</v>
      </c>
      <c r="I2385" s="21" t="s">
        <v>9274</v>
      </c>
      <c r="J2385" s="22">
        <f t="shared" si="185"/>
        <v>0.167361111110949</v>
      </c>
      <c r="K2385" s="22">
        <f t="shared" si="186"/>
        <v>4.01666666666279</v>
      </c>
      <c r="L2385" s="22">
        <f t="shared" si="187"/>
        <v>4.01666666666279</v>
      </c>
      <c r="M2385" s="22" cm="1">
        <f ca="1" t="array" ref="M2385">SUMPRODUCT(--(WEEKDAY(ROW(INDIRECT(INT(F2385)&amp;":"&amp;INT(I2385))),2)&gt;5))</f>
        <v>0</v>
      </c>
      <c r="N2385" s="22">
        <f ca="1" t="shared" si="188"/>
        <v>4.01666666666279</v>
      </c>
      <c r="O2385" s="22" t="str">
        <f ca="1" t="shared" si="189"/>
        <v>Within SLA</v>
      </c>
      <c r="P2385" s="26" t="s">
        <v>9271</v>
      </c>
      <c r="Q2385" s="24" t="s">
        <v>37</v>
      </c>
      <c r="R2385" s="25"/>
      <c r="S2385" s="25"/>
    </row>
    <row r="2386" ht="27" customHeight="1" spans="1:19">
      <c r="A2386" s="19" t="s">
        <v>9275</v>
      </c>
      <c r="B2386" s="20" t="s">
        <v>30</v>
      </c>
      <c r="C2386" s="20" t="s">
        <v>31</v>
      </c>
      <c r="D2386" s="20" t="s">
        <v>21</v>
      </c>
      <c r="E2386" s="21" t="s">
        <v>9276</v>
      </c>
      <c r="F2386" s="21" t="s">
        <v>9277</v>
      </c>
      <c r="G2386" s="20" t="s">
        <v>35</v>
      </c>
      <c r="H2386" s="20" t="s">
        <v>25</v>
      </c>
      <c r="I2386" s="21" t="s">
        <v>9278</v>
      </c>
      <c r="J2386" s="22">
        <f t="shared" si="185"/>
        <v>13.9965277777737</v>
      </c>
      <c r="K2386" s="22">
        <f t="shared" si="186"/>
        <v>335.91666666657</v>
      </c>
      <c r="L2386" s="22">
        <f t="shared" si="187"/>
        <v>111.91666666657</v>
      </c>
      <c r="M2386" s="22" cm="1">
        <f ca="1" t="array" ref="M2386">SUMPRODUCT(--(WEEKDAY(ROW(INDIRECT(INT(F2386)&amp;":"&amp;INT(I2386))),2)&gt;5))</f>
        <v>4</v>
      </c>
      <c r="N2386" s="22">
        <f ca="1" t="shared" si="188"/>
        <v>79.91666666657</v>
      </c>
      <c r="O2386" s="22" t="str">
        <f ca="1" t="shared" si="189"/>
        <v>SLA Violated</v>
      </c>
      <c r="P2386" s="23" t="s">
        <v>9279</v>
      </c>
      <c r="Q2386" s="24" t="s">
        <v>28</v>
      </c>
      <c r="R2386" s="25"/>
      <c r="S2386" s="25"/>
    </row>
    <row r="2387" ht="27" customHeight="1" spans="1:19">
      <c r="A2387" s="19" t="s">
        <v>9280</v>
      </c>
      <c r="B2387" s="20" t="s">
        <v>30</v>
      </c>
      <c r="C2387" s="20" t="s">
        <v>31</v>
      </c>
      <c r="D2387" s="20" t="s">
        <v>32</v>
      </c>
      <c r="E2387" s="21" t="s">
        <v>9281</v>
      </c>
      <c r="F2387" s="21" t="s">
        <v>9282</v>
      </c>
      <c r="G2387" s="20" t="s">
        <v>35</v>
      </c>
      <c r="H2387" s="20" t="s">
        <v>25</v>
      </c>
      <c r="I2387" s="21" t="s">
        <v>9283</v>
      </c>
      <c r="J2387" s="22">
        <f t="shared" si="185"/>
        <v>9.07013888888468</v>
      </c>
      <c r="K2387" s="22">
        <f t="shared" si="186"/>
        <v>217.683333333232</v>
      </c>
      <c r="L2387" s="22">
        <f t="shared" si="187"/>
        <v>73.6833333332324</v>
      </c>
      <c r="M2387" s="22" cm="1">
        <f ca="1" t="array" ref="M2387">SUMPRODUCT(--(WEEKDAY(ROW(INDIRECT(INT(F2387)&amp;":"&amp;INT(I2387))),2)&gt;5))</f>
        <v>2</v>
      </c>
      <c r="N2387" s="22">
        <f ca="1" t="shared" si="188"/>
        <v>57.6833333332324</v>
      </c>
      <c r="O2387" s="22" t="str">
        <f ca="1" t="shared" si="189"/>
        <v>SLA Violated</v>
      </c>
      <c r="P2387" s="26" t="s">
        <v>9280</v>
      </c>
      <c r="Q2387" s="24" t="s">
        <v>28</v>
      </c>
      <c r="R2387" s="25"/>
      <c r="S2387" s="25"/>
    </row>
    <row r="2388" ht="27" customHeight="1" spans="1:19">
      <c r="A2388" s="19" t="s">
        <v>9284</v>
      </c>
      <c r="B2388" s="20" t="s">
        <v>30</v>
      </c>
      <c r="C2388" s="20" t="s">
        <v>31</v>
      </c>
      <c r="D2388" s="20" t="s">
        <v>21</v>
      </c>
      <c r="E2388" s="21" t="s">
        <v>9285</v>
      </c>
      <c r="F2388" s="21" t="s">
        <v>9286</v>
      </c>
      <c r="G2388" s="20" t="s">
        <v>35</v>
      </c>
      <c r="H2388" s="20" t="s">
        <v>25</v>
      </c>
      <c r="I2388" s="21" t="s">
        <v>9287</v>
      </c>
      <c r="J2388" s="22">
        <f t="shared" si="185"/>
        <v>14.0777777777839</v>
      </c>
      <c r="K2388" s="22">
        <f t="shared" si="186"/>
        <v>337.866666666814</v>
      </c>
      <c r="L2388" s="22">
        <f t="shared" si="187"/>
        <v>113.866666666814</v>
      </c>
      <c r="M2388" s="22" cm="1">
        <f ca="1" t="array" ref="M2388">SUMPRODUCT(--(WEEKDAY(ROW(INDIRECT(INT(F2388)&amp;":"&amp;INT(I2388))),2)&gt;5))</f>
        <v>4</v>
      </c>
      <c r="N2388" s="22">
        <f ca="1" t="shared" si="188"/>
        <v>81.866666666814</v>
      </c>
      <c r="O2388" s="22" t="str">
        <f ca="1" t="shared" si="189"/>
        <v>SLA Violated</v>
      </c>
      <c r="P2388" s="23" t="s">
        <v>9288</v>
      </c>
      <c r="Q2388" s="24" t="s">
        <v>28</v>
      </c>
      <c r="R2388" s="25"/>
      <c r="S2388" s="25"/>
    </row>
    <row r="2389" ht="27" customHeight="1" spans="1:19">
      <c r="A2389" s="19" t="s">
        <v>9289</v>
      </c>
      <c r="B2389" s="20" t="s">
        <v>30</v>
      </c>
      <c r="C2389" s="20" t="s">
        <v>31</v>
      </c>
      <c r="D2389" s="20" t="s">
        <v>21</v>
      </c>
      <c r="E2389" s="21" t="s">
        <v>9290</v>
      </c>
      <c r="F2389" s="21" t="s">
        <v>9291</v>
      </c>
      <c r="G2389" s="20" t="s">
        <v>35</v>
      </c>
      <c r="H2389" s="20" t="s">
        <v>25</v>
      </c>
      <c r="I2389" s="21" t="s">
        <v>9292</v>
      </c>
      <c r="J2389" s="22">
        <f t="shared" si="185"/>
        <v>4.04652777777665</v>
      </c>
      <c r="K2389" s="22">
        <f t="shared" si="186"/>
        <v>97.1166666666395</v>
      </c>
      <c r="L2389" s="22">
        <f t="shared" si="187"/>
        <v>33.1166666666395</v>
      </c>
      <c r="M2389" s="22" cm="1">
        <f ca="1" t="array" ref="M2389">SUMPRODUCT(--(WEEKDAY(ROW(INDIRECT(INT(F2389)&amp;":"&amp;INT(I2389))),2)&gt;5))</f>
        <v>0</v>
      </c>
      <c r="N2389" s="22">
        <f ca="1" t="shared" si="188"/>
        <v>33.1166666666395</v>
      </c>
      <c r="O2389" s="22" t="str">
        <f ca="1" t="shared" si="189"/>
        <v>SLA Violated</v>
      </c>
      <c r="P2389" s="23" t="s">
        <v>9293</v>
      </c>
      <c r="Q2389" s="24" t="s">
        <v>28</v>
      </c>
      <c r="R2389" s="25"/>
      <c r="S2389" s="25"/>
    </row>
    <row r="2390" ht="39" customHeight="1" spans="1:19">
      <c r="A2390" s="19" t="s">
        <v>9294</v>
      </c>
      <c r="B2390" s="20" t="s">
        <v>19</v>
      </c>
      <c r="C2390" s="20" t="s">
        <v>20</v>
      </c>
      <c r="D2390" s="20" t="s">
        <v>21</v>
      </c>
      <c r="E2390" s="21" t="s">
        <v>9295</v>
      </c>
      <c r="F2390" s="21" t="s">
        <v>9296</v>
      </c>
      <c r="G2390" s="20" t="s">
        <v>35</v>
      </c>
      <c r="H2390" s="20" t="s">
        <v>25</v>
      </c>
      <c r="I2390" s="21" t="s">
        <v>9297</v>
      </c>
      <c r="J2390" s="22">
        <f t="shared" si="185"/>
        <v>0.0479166666700621</v>
      </c>
      <c r="K2390" s="22">
        <f t="shared" si="186"/>
        <v>1.15000000008149</v>
      </c>
      <c r="L2390" s="22">
        <f t="shared" si="187"/>
        <v>1.15000000008149</v>
      </c>
      <c r="M2390" s="22" cm="1">
        <f ca="1" t="array" ref="M2390">SUMPRODUCT(--(WEEKDAY(ROW(INDIRECT(INT(F2390)&amp;":"&amp;INT(I2390))),2)&gt;5))</f>
        <v>0</v>
      </c>
      <c r="N2390" s="22">
        <f ca="1" t="shared" si="188"/>
        <v>1.15000000008149</v>
      </c>
      <c r="O2390" s="22" t="str">
        <f ca="1" t="shared" si="189"/>
        <v>Within SLA</v>
      </c>
      <c r="P2390" s="26" t="s">
        <v>9294</v>
      </c>
      <c r="Q2390" s="24" t="s">
        <v>37</v>
      </c>
      <c r="R2390" s="25"/>
      <c r="S2390" s="25"/>
    </row>
    <row r="2391" ht="39" customHeight="1" spans="1:19">
      <c r="A2391" s="19" t="s">
        <v>9298</v>
      </c>
      <c r="B2391" s="20" t="s">
        <v>196</v>
      </c>
      <c r="C2391" s="20" t="s">
        <v>4889</v>
      </c>
      <c r="D2391" s="20" t="s">
        <v>21</v>
      </c>
      <c r="E2391" s="21" t="s">
        <v>9299</v>
      </c>
      <c r="F2391" s="21" t="s">
        <v>9300</v>
      </c>
      <c r="G2391" s="20" t="s">
        <v>35</v>
      </c>
      <c r="H2391" s="20" t="s">
        <v>25</v>
      </c>
      <c r="I2391" s="21" t="s">
        <v>9301</v>
      </c>
      <c r="J2391" s="22">
        <f t="shared" si="185"/>
        <v>17.0361111111051</v>
      </c>
      <c r="K2391" s="22">
        <f t="shared" si="186"/>
        <v>408.866666666523</v>
      </c>
      <c r="L2391" s="22">
        <f t="shared" si="187"/>
        <v>136.866666666523</v>
      </c>
      <c r="M2391" s="22" cm="1">
        <f ca="1" t="array" ref="M2391">SUMPRODUCT(--(WEEKDAY(ROW(INDIRECT(INT(F2391)&amp;":"&amp;INT(I2391))),2)&gt;5))</f>
        <v>4</v>
      </c>
      <c r="N2391" s="22">
        <f ca="1" t="shared" si="188"/>
        <v>104.866666666523</v>
      </c>
      <c r="O2391" s="22" t="str">
        <f ca="1" t="shared" si="189"/>
        <v>SLA Violated</v>
      </c>
      <c r="P2391" s="23" t="s">
        <v>9302</v>
      </c>
      <c r="Q2391" s="24" t="s">
        <v>28</v>
      </c>
      <c r="R2391" s="25"/>
      <c r="S2391" s="25"/>
    </row>
    <row r="2392" ht="27" customHeight="1" spans="1:19">
      <c r="A2392" s="19" t="s">
        <v>9303</v>
      </c>
      <c r="B2392" s="20" t="s">
        <v>30</v>
      </c>
      <c r="C2392" s="20" t="s">
        <v>4889</v>
      </c>
      <c r="D2392" s="20" t="s">
        <v>32</v>
      </c>
      <c r="E2392" s="21" t="s">
        <v>9304</v>
      </c>
      <c r="F2392" s="21" t="s">
        <v>9305</v>
      </c>
      <c r="G2392" s="20" t="s">
        <v>35</v>
      </c>
      <c r="H2392" s="20" t="s">
        <v>25</v>
      </c>
      <c r="I2392" s="21" t="s">
        <v>9306</v>
      </c>
      <c r="J2392" s="22">
        <f t="shared" si="185"/>
        <v>1.00069444444671</v>
      </c>
      <c r="K2392" s="22">
        <f t="shared" si="186"/>
        <v>24.016666666721</v>
      </c>
      <c r="L2392" s="22">
        <f t="shared" si="187"/>
        <v>8.01666666672099</v>
      </c>
      <c r="M2392" s="22" cm="1">
        <f ca="1" t="array" ref="M2392">SUMPRODUCT(--(WEEKDAY(ROW(INDIRECT(INT(F2392)&amp;":"&amp;INT(I2392))),2)&gt;5))</f>
        <v>0</v>
      </c>
      <c r="N2392" s="22">
        <f ca="1" t="shared" si="188"/>
        <v>8.01666666672099</v>
      </c>
      <c r="O2392" s="22" t="str">
        <f ca="1" t="shared" si="189"/>
        <v>Within SLA</v>
      </c>
      <c r="P2392" s="26" t="s">
        <v>9303</v>
      </c>
      <c r="Q2392" s="24" t="s">
        <v>37</v>
      </c>
      <c r="R2392" s="25"/>
      <c r="S2392" s="25"/>
    </row>
    <row r="2393" ht="27" customHeight="1" spans="1:19">
      <c r="A2393" s="19" t="s">
        <v>9307</v>
      </c>
      <c r="B2393" s="20" t="s">
        <v>30</v>
      </c>
      <c r="C2393" s="20" t="s">
        <v>4889</v>
      </c>
      <c r="D2393" s="20" t="s">
        <v>32</v>
      </c>
      <c r="E2393" s="21" t="s">
        <v>9308</v>
      </c>
      <c r="F2393" s="21" t="s">
        <v>9309</v>
      </c>
      <c r="G2393" s="20" t="s">
        <v>35</v>
      </c>
      <c r="H2393" s="20" t="s">
        <v>25</v>
      </c>
      <c r="I2393" s="21" t="s">
        <v>9310</v>
      </c>
      <c r="J2393" s="22">
        <f t="shared" si="185"/>
        <v>1.92569444444234</v>
      </c>
      <c r="K2393" s="22">
        <f t="shared" si="186"/>
        <v>46.2166666666162</v>
      </c>
      <c r="L2393" s="22">
        <f t="shared" si="187"/>
        <v>14.2166666666162</v>
      </c>
      <c r="M2393" s="22" cm="1">
        <f ca="1" t="array" ref="M2393">SUMPRODUCT(--(WEEKDAY(ROW(INDIRECT(INT(F2393)&amp;":"&amp;INT(I2393))),2)&gt;5))</f>
        <v>0</v>
      </c>
      <c r="N2393" s="22">
        <f ca="1" t="shared" si="188"/>
        <v>14.2166666666162</v>
      </c>
      <c r="O2393" s="22" t="str">
        <f ca="1" t="shared" si="189"/>
        <v>SLA Violated</v>
      </c>
      <c r="P2393" s="23" t="s">
        <v>9311</v>
      </c>
      <c r="Q2393" s="24" t="s">
        <v>28</v>
      </c>
      <c r="R2393" s="25"/>
      <c r="S2393" s="25"/>
    </row>
    <row r="2394" ht="39" customHeight="1" spans="1:19">
      <c r="A2394" s="19" t="s">
        <v>9312</v>
      </c>
      <c r="B2394" s="20" t="s">
        <v>19</v>
      </c>
      <c r="C2394" s="20" t="s">
        <v>20</v>
      </c>
      <c r="D2394" s="20" t="s">
        <v>32</v>
      </c>
      <c r="E2394" s="21" t="s">
        <v>9313</v>
      </c>
      <c r="F2394" s="21" t="s">
        <v>9314</v>
      </c>
      <c r="G2394" s="20" t="s">
        <v>35</v>
      </c>
      <c r="H2394" s="20" t="s">
        <v>25</v>
      </c>
      <c r="I2394" s="21" t="s">
        <v>9315</v>
      </c>
      <c r="J2394" s="22">
        <f t="shared" si="185"/>
        <v>0.00902777777810115</v>
      </c>
      <c r="K2394" s="22">
        <f t="shared" si="186"/>
        <v>0.216666666674428</v>
      </c>
      <c r="L2394" s="22">
        <f t="shared" si="187"/>
        <v>0.216666666674428</v>
      </c>
      <c r="M2394" s="22" cm="1">
        <f ca="1" t="array" ref="M2394">SUMPRODUCT(--(WEEKDAY(ROW(INDIRECT(INT(F2394)&amp;":"&amp;INT(I2394))),2)&gt;5))</f>
        <v>0</v>
      </c>
      <c r="N2394" s="22">
        <f ca="1" t="shared" si="188"/>
        <v>0.216666666674428</v>
      </c>
      <c r="O2394" s="22" t="str">
        <f ca="1" t="shared" si="189"/>
        <v>Within SLA</v>
      </c>
      <c r="P2394" s="26" t="s">
        <v>9312</v>
      </c>
      <c r="Q2394" s="24" t="s">
        <v>37</v>
      </c>
      <c r="R2394" s="25"/>
      <c r="S2394" s="25"/>
    </row>
    <row r="2395" ht="27" customHeight="1" spans="1:19">
      <c r="A2395" s="19" t="s">
        <v>9316</v>
      </c>
      <c r="B2395" s="20" t="s">
        <v>30</v>
      </c>
      <c r="C2395" s="20" t="s">
        <v>31</v>
      </c>
      <c r="D2395" s="20" t="s">
        <v>32</v>
      </c>
      <c r="E2395" s="21" t="s">
        <v>9317</v>
      </c>
      <c r="F2395" s="21" t="s">
        <v>5931</v>
      </c>
      <c r="G2395" s="20" t="s">
        <v>24</v>
      </c>
      <c r="H2395" s="20" t="s">
        <v>25</v>
      </c>
      <c r="I2395" s="21" t="s">
        <v>9315</v>
      </c>
      <c r="J2395" s="22">
        <f t="shared" si="185"/>
        <v>43.8381944444409</v>
      </c>
      <c r="K2395" s="22">
        <f t="shared" si="186"/>
        <v>1052.11666666658</v>
      </c>
      <c r="L2395" s="22">
        <f t="shared" si="187"/>
        <v>348.116666666581</v>
      </c>
      <c r="M2395" s="22" cm="1">
        <f ca="1" t="array" ref="M2395">SUMPRODUCT(--(WEEKDAY(ROW(INDIRECT(INT(F2395)&amp;":"&amp;INT(I2395))),2)&gt;5))</f>
        <v>12</v>
      </c>
      <c r="N2395" s="22">
        <f ca="1" t="shared" si="188"/>
        <v>252.116666666581</v>
      </c>
      <c r="O2395" s="22" t="str">
        <f ca="1" t="shared" si="189"/>
        <v>SLA Violated</v>
      </c>
      <c r="P2395" s="26" t="s">
        <v>9316</v>
      </c>
      <c r="Q2395" s="24" t="s">
        <v>28</v>
      </c>
      <c r="R2395" s="25"/>
      <c r="S2395" s="25"/>
    </row>
    <row r="2396" ht="27" customHeight="1" spans="1:19">
      <c r="A2396" s="19" t="s">
        <v>9318</v>
      </c>
      <c r="B2396" s="20" t="s">
        <v>30</v>
      </c>
      <c r="C2396" s="20" t="s">
        <v>31</v>
      </c>
      <c r="D2396" s="20" t="s">
        <v>21</v>
      </c>
      <c r="E2396" s="21" t="s">
        <v>9319</v>
      </c>
      <c r="F2396" s="21" t="s">
        <v>9320</v>
      </c>
      <c r="G2396" s="20" t="s">
        <v>35</v>
      </c>
      <c r="H2396" s="20" t="s">
        <v>25</v>
      </c>
      <c r="I2396" s="21" t="s">
        <v>9321</v>
      </c>
      <c r="J2396" s="22">
        <f t="shared" si="185"/>
        <v>0.0354166666656965</v>
      </c>
      <c r="K2396" s="22">
        <f t="shared" si="186"/>
        <v>0.849999999976717</v>
      </c>
      <c r="L2396" s="22">
        <f t="shared" si="187"/>
        <v>0.849999999976717</v>
      </c>
      <c r="M2396" s="22" cm="1">
        <f ca="1" t="array" ref="M2396">SUMPRODUCT(--(WEEKDAY(ROW(INDIRECT(INT(F2396)&amp;":"&amp;INT(I2396))),2)&gt;5))</f>
        <v>0</v>
      </c>
      <c r="N2396" s="22">
        <f ca="1" t="shared" si="188"/>
        <v>0.849999999976717</v>
      </c>
      <c r="O2396" s="22" t="str">
        <f ca="1" t="shared" si="189"/>
        <v>Within SLA</v>
      </c>
      <c r="P2396" s="26" t="s">
        <v>9318</v>
      </c>
      <c r="Q2396" s="24" t="s">
        <v>37</v>
      </c>
      <c r="R2396" s="25"/>
      <c r="S2396" s="25"/>
    </row>
    <row r="2397" ht="39" customHeight="1" spans="1:19">
      <c r="A2397" s="19" t="s">
        <v>9322</v>
      </c>
      <c r="B2397" s="20" t="s">
        <v>19</v>
      </c>
      <c r="C2397" s="20" t="s">
        <v>46</v>
      </c>
      <c r="D2397" s="20" t="s">
        <v>32</v>
      </c>
      <c r="E2397" s="21" t="s">
        <v>9319</v>
      </c>
      <c r="F2397" s="21" t="s">
        <v>9323</v>
      </c>
      <c r="G2397" s="20" t="s">
        <v>35</v>
      </c>
      <c r="H2397" s="20" t="s">
        <v>25</v>
      </c>
      <c r="I2397" s="21" t="s">
        <v>9321</v>
      </c>
      <c r="J2397" s="22">
        <f t="shared" si="185"/>
        <v>0.848611111105129</v>
      </c>
      <c r="K2397" s="22">
        <f t="shared" si="186"/>
        <v>20.3666666665231</v>
      </c>
      <c r="L2397" s="22">
        <f t="shared" si="187"/>
        <v>4.36666666652309</v>
      </c>
      <c r="M2397" s="22" cm="1">
        <f ca="1" t="array" ref="M2397">SUMPRODUCT(--(WEEKDAY(ROW(INDIRECT(INT(F2397)&amp;":"&amp;INT(I2397))),2)&gt;5))</f>
        <v>0</v>
      </c>
      <c r="N2397" s="22">
        <f ca="1" t="shared" si="188"/>
        <v>4.36666666652309</v>
      </c>
      <c r="O2397" s="22" t="str">
        <f ca="1" t="shared" si="189"/>
        <v>Within SLA</v>
      </c>
      <c r="P2397" s="26" t="s">
        <v>9322</v>
      </c>
      <c r="Q2397" s="24" t="s">
        <v>37</v>
      </c>
      <c r="R2397" s="25"/>
      <c r="S2397" s="25"/>
    </row>
    <row r="2398" ht="27" customHeight="1" spans="1:19">
      <c r="A2398" s="19" t="s">
        <v>9324</v>
      </c>
      <c r="B2398" s="20" t="s">
        <v>30</v>
      </c>
      <c r="C2398" s="20" t="s">
        <v>31</v>
      </c>
      <c r="D2398" s="20" t="s">
        <v>115</v>
      </c>
      <c r="E2398" s="21" t="s">
        <v>9325</v>
      </c>
      <c r="F2398" s="21" t="s">
        <v>9326</v>
      </c>
      <c r="G2398" s="20" t="s">
        <v>35</v>
      </c>
      <c r="H2398" s="20" t="s">
        <v>25</v>
      </c>
      <c r="I2398" s="21" t="s">
        <v>9327</v>
      </c>
      <c r="J2398" s="22">
        <f t="shared" si="185"/>
        <v>8.07638888888323</v>
      </c>
      <c r="K2398" s="22">
        <f t="shared" si="186"/>
        <v>193.833333333198</v>
      </c>
      <c r="L2398" s="22">
        <f t="shared" si="187"/>
        <v>65.8333333331975</v>
      </c>
      <c r="M2398" s="22" cm="1">
        <f ca="1" t="array" ref="M2398">SUMPRODUCT(--(WEEKDAY(ROW(INDIRECT(INT(F2398)&amp;":"&amp;INT(I2398))),2)&gt;5))</f>
        <v>2</v>
      </c>
      <c r="N2398" s="22">
        <f ca="1" t="shared" si="188"/>
        <v>49.8333333331975</v>
      </c>
      <c r="O2398" s="22" t="str">
        <f ca="1" t="shared" si="189"/>
        <v>SLA Violated</v>
      </c>
      <c r="P2398" s="23" t="s">
        <v>9328</v>
      </c>
      <c r="Q2398" s="24" t="s">
        <v>28</v>
      </c>
      <c r="R2398" s="25"/>
      <c r="S2398" s="25"/>
    </row>
    <row r="2399" ht="39" customHeight="1" spans="1:19">
      <c r="A2399" s="19" t="s">
        <v>9329</v>
      </c>
      <c r="B2399" s="20" t="s">
        <v>19</v>
      </c>
      <c r="C2399" s="20" t="s">
        <v>20</v>
      </c>
      <c r="D2399" s="20" t="s">
        <v>32</v>
      </c>
      <c r="E2399" s="21" t="s">
        <v>9330</v>
      </c>
      <c r="F2399" s="21" t="s">
        <v>9331</v>
      </c>
      <c r="G2399" s="20" t="s">
        <v>24</v>
      </c>
      <c r="H2399" s="20" t="s">
        <v>25</v>
      </c>
      <c r="I2399" s="21" t="s">
        <v>9332</v>
      </c>
      <c r="J2399" s="22">
        <f t="shared" si="185"/>
        <v>0.877083333332848</v>
      </c>
      <c r="K2399" s="22">
        <f t="shared" si="186"/>
        <v>21.0499999999884</v>
      </c>
      <c r="L2399" s="22">
        <f t="shared" si="187"/>
        <v>5.04999999998836</v>
      </c>
      <c r="M2399" s="22" cm="1">
        <f ca="1" t="array" ref="M2399">SUMPRODUCT(--(WEEKDAY(ROW(INDIRECT(INT(F2399)&amp;":"&amp;INT(I2399))),2)&gt;5))</f>
        <v>0</v>
      </c>
      <c r="N2399" s="22">
        <f ca="1" t="shared" si="188"/>
        <v>5.04999999998836</v>
      </c>
      <c r="O2399" s="22" t="str">
        <f ca="1" t="shared" si="189"/>
        <v>Within SLA</v>
      </c>
      <c r="P2399" s="26" t="s">
        <v>9329</v>
      </c>
      <c r="Q2399" s="24" t="s">
        <v>37</v>
      </c>
      <c r="R2399" s="25"/>
      <c r="S2399" s="25"/>
    </row>
    <row r="2400" ht="39" customHeight="1" spans="1:19">
      <c r="A2400" s="19" t="s">
        <v>9333</v>
      </c>
      <c r="B2400" s="20" t="s">
        <v>19</v>
      </c>
      <c r="C2400" s="20" t="s">
        <v>20</v>
      </c>
      <c r="D2400" s="20" t="s">
        <v>32</v>
      </c>
      <c r="E2400" s="21" t="s">
        <v>9334</v>
      </c>
      <c r="F2400" s="21" t="s">
        <v>9335</v>
      </c>
      <c r="G2400" s="20" t="s">
        <v>35</v>
      </c>
      <c r="H2400" s="20" t="s">
        <v>25</v>
      </c>
      <c r="I2400" s="21" t="s">
        <v>9336</v>
      </c>
      <c r="J2400" s="22">
        <f t="shared" si="185"/>
        <v>0.810416666667152</v>
      </c>
      <c r="K2400" s="22">
        <f t="shared" si="186"/>
        <v>19.4500000000116</v>
      </c>
      <c r="L2400" s="22">
        <f t="shared" si="187"/>
        <v>3.45000000001164</v>
      </c>
      <c r="M2400" s="22" cm="1">
        <f ca="1" t="array" ref="M2400">SUMPRODUCT(--(WEEKDAY(ROW(INDIRECT(INT(F2400)&amp;":"&amp;INT(I2400))),2)&gt;5))</f>
        <v>0</v>
      </c>
      <c r="N2400" s="22">
        <f ca="1" t="shared" si="188"/>
        <v>3.45000000001164</v>
      </c>
      <c r="O2400" s="22" t="str">
        <f ca="1" t="shared" si="189"/>
        <v>Within SLA</v>
      </c>
      <c r="P2400" s="26" t="s">
        <v>9333</v>
      </c>
      <c r="Q2400" s="24" t="s">
        <v>37</v>
      </c>
      <c r="R2400" s="25"/>
      <c r="S2400" s="25"/>
    </row>
    <row r="2401" ht="39" customHeight="1" spans="1:19">
      <c r="A2401" s="19" t="s">
        <v>9337</v>
      </c>
      <c r="B2401" s="20" t="s">
        <v>19</v>
      </c>
      <c r="C2401" s="20" t="s">
        <v>20</v>
      </c>
      <c r="D2401" s="20" t="s">
        <v>32</v>
      </c>
      <c r="E2401" s="21" t="s">
        <v>9338</v>
      </c>
      <c r="F2401" s="21" t="s">
        <v>9339</v>
      </c>
      <c r="G2401" s="20" t="s">
        <v>35</v>
      </c>
      <c r="H2401" s="20" t="s">
        <v>25</v>
      </c>
      <c r="I2401" s="21" t="s">
        <v>9340</v>
      </c>
      <c r="J2401" s="22">
        <f t="shared" si="185"/>
        <v>0.007638888884685</v>
      </c>
      <c r="K2401" s="22">
        <f t="shared" si="186"/>
        <v>0.18333333323244</v>
      </c>
      <c r="L2401" s="22">
        <f t="shared" si="187"/>
        <v>0.18333333323244</v>
      </c>
      <c r="M2401" s="22" cm="1">
        <f ca="1" t="array" ref="M2401">SUMPRODUCT(--(WEEKDAY(ROW(INDIRECT(INT(F2401)&amp;":"&amp;INT(I2401))),2)&gt;5))</f>
        <v>0</v>
      </c>
      <c r="N2401" s="22">
        <f ca="1" t="shared" si="188"/>
        <v>0.18333333323244</v>
      </c>
      <c r="O2401" s="22" t="str">
        <f ca="1" t="shared" si="189"/>
        <v>Within SLA</v>
      </c>
      <c r="P2401" s="26" t="s">
        <v>9337</v>
      </c>
      <c r="Q2401" s="24" t="s">
        <v>37</v>
      </c>
      <c r="R2401" s="25"/>
      <c r="S2401" s="25"/>
    </row>
    <row r="2402" ht="50" customHeight="1" spans="1:19">
      <c r="A2402" s="19" t="s">
        <v>9341</v>
      </c>
      <c r="B2402" s="20" t="s">
        <v>369</v>
      </c>
      <c r="C2402" s="20" t="s">
        <v>46</v>
      </c>
      <c r="D2402" s="20" t="s">
        <v>32</v>
      </c>
      <c r="E2402" s="21" t="s">
        <v>9338</v>
      </c>
      <c r="F2402" s="21" t="s">
        <v>9342</v>
      </c>
      <c r="G2402" s="20" t="s">
        <v>35</v>
      </c>
      <c r="H2402" s="20" t="s">
        <v>25</v>
      </c>
      <c r="I2402" s="21" t="s">
        <v>9343</v>
      </c>
      <c r="J2402" s="22">
        <f t="shared" si="185"/>
        <v>0.765277777776646</v>
      </c>
      <c r="K2402" s="22">
        <f t="shared" si="186"/>
        <v>18.3666666666395</v>
      </c>
      <c r="L2402" s="22">
        <f t="shared" si="187"/>
        <v>2.3666666666395</v>
      </c>
      <c r="M2402" s="22" cm="1">
        <f ca="1" t="array" ref="M2402">SUMPRODUCT(--(WEEKDAY(ROW(INDIRECT(INT(F2402)&amp;":"&amp;INT(I2402))),2)&gt;5))</f>
        <v>0</v>
      </c>
      <c r="N2402" s="22">
        <f ca="1" t="shared" si="188"/>
        <v>2.3666666666395</v>
      </c>
      <c r="O2402" s="22" t="str">
        <f ca="1" t="shared" si="189"/>
        <v>Within SLA</v>
      </c>
      <c r="P2402" s="26" t="s">
        <v>9341</v>
      </c>
      <c r="Q2402" s="24" t="s">
        <v>37</v>
      </c>
      <c r="R2402" s="25"/>
      <c r="S2402" s="25"/>
    </row>
    <row r="2403" ht="39" customHeight="1" spans="1:19">
      <c r="A2403" s="19" t="s">
        <v>9344</v>
      </c>
      <c r="B2403" s="20" t="s">
        <v>19</v>
      </c>
      <c r="C2403" s="20" t="s">
        <v>20</v>
      </c>
      <c r="D2403" s="20" t="s">
        <v>32</v>
      </c>
      <c r="E2403" s="21" t="s">
        <v>9345</v>
      </c>
      <c r="F2403" s="21" t="s">
        <v>9346</v>
      </c>
      <c r="G2403" s="20" t="s">
        <v>35</v>
      </c>
      <c r="H2403" s="20" t="s">
        <v>25</v>
      </c>
      <c r="I2403" s="21" t="s">
        <v>9347</v>
      </c>
      <c r="J2403" s="22">
        <f t="shared" si="185"/>
        <v>0.0291666666671517</v>
      </c>
      <c r="K2403" s="22">
        <f t="shared" si="186"/>
        <v>0.700000000011642</v>
      </c>
      <c r="L2403" s="22">
        <f t="shared" si="187"/>
        <v>0.700000000011642</v>
      </c>
      <c r="M2403" s="22" cm="1">
        <f ca="1" t="array" ref="M2403">SUMPRODUCT(--(WEEKDAY(ROW(INDIRECT(INT(F2403)&amp;":"&amp;INT(I2403))),2)&gt;5))</f>
        <v>0</v>
      </c>
      <c r="N2403" s="22">
        <f ca="1" t="shared" si="188"/>
        <v>0.700000000011642</v>
      </c>
      <c r="O2403" s="22" t="str">
        <f ca="1" t="shared" si="189"/>
        <v>Within SLA</v>
      </c>
      <c r="P2403" s="26" t="s">
        <v>9344</v>
      </c>
      <c r="Q2403" s="24" t="s">
        <v>37</v>
      </c>
      <c r="R2403" s="25"/>
      <c r="S2403" s="25"/>
    </row>
    <row r="2404" ht="27" customHeight="1" spans="1:19">
      <c r="A2404" s="19" t="s">
        <v>9348</v>
      </c>
      <c r="B2404" s="20" t="s">
        <v>30</v>
      </c>
      <c r="C2404" s="20" t="s">
        <v>4889</v>
      </c>
      <c r="D2404" s="20" t="s">
        <v>32</v>
      </c>
      <c r="E2404" s="21" t="s">
        <v>9349</v>
      </c>
      <c r="F2404" s="21" t="s">
        <v>9350</v>
      </c>
      <c r="G2404" s="20" t="s">
        <v>35</v>
      </c>
      <c r="H2404" s="20" t="s">
        <v>25</v>
      </c>
      <c r="I2404" s="21" t="s">
        <v>9351</v>
      </c>
      <c r="J2404" s="22">
        <f t="shared" si="185"/>
        <v>2.06874999999854</v>
      </c>
      <c r="K2404" s="22">
        <f t="shared" si="186"/>
        <v>49.6499999999651</v>
      </c>
      <c r="L2404" s="22">
        <f t="shared" si="187"/>
        <v>17.6499999999651</v>
      </c>
      <c r="M2404" s="22" cm="1">
        <f ca="1" t="array" ref="M2404">SUMPRODUCT(--(WEEKDAY(ROW(INDIRECT(INT(F2404)&amp;":"&amp;INT(I2404))),2)&gt;5))</f>
        <v>0</v>
      </c>
      <c r="N2404" s="22">
        <f ca="1" t="shared" si="188"/>
        <v>17.6499999999651</v>
      </c>
      <c r="O2404" s="22" t="str">
        <f ca="1" t="shared" si="189"/>
        <v>SLA Violated</v>
      </c>
      <c r="P2404" s="23" t="s">
        <v>9352</v>
      </c>
      <c r="Q2404" s="24" t="s">
        <v>37</v>
      </c>
      <c r="R2404" s="25" t="s">
        <v>1020</v>
      </c>
      <c r="S2404" s="25" t="s">
        <v>39</v>
      </c>
    </row>
    <row r="2405" ht="27" customHeight="1" spans="1:19">
      <c r="A2405" s="19" t="s">
        <v>9353</v>
      </c>
      <c r="B2405" s="20" t="s">
        <v>30</v>
      </c>
      <c r="C2405" s="20" t="s">
        <v>4889</v>
      </c>
      <c r="D2405" s="20" t="s">
        <v>32</v>
      </c>
      <c r="E2405" s="21" t="s">
        <v>9349</v>
      </c>
      <c r="F2405" s="21" t="s">
        <v>9354</v>
      </c>
      <c r="G2405" s="20" t="s">
        <v>35</v>
      </c>
      <c r="H2405" s="20" t="s">
        <v>25</v>
      </c>
      <c r="I2405" s="21" t="s">
        <v>9355</v>
      </c>
      <c r="J2405" s="22">
        <f t="shared" si="185"/>
        <v>0.920138888890506</v>
      </c>
      <c r="K2405" s="22">
        <f t="shared" si="186"/>
        <v>22.0833333333721</v>
      </c>
      <c r="L2405" s="22">
        <f t="shared" si="187"/>
        <v>6.08333333337214</v>
      </c>
      <c r="M2405" s="22" cm="1">
        <f ca="1" t="array" ref="M2405">SUMPRODUCT(--(WEEKDAY(ROW(INDIRECT(INT(F2405)&amp;":"&amp;INT(I2405))),2)&gt;5))</f>
        <v>0</v>
      </c>
      <c r="N2405" s="22">
        <f ca="1" t="shared" si="188"/>
        <v>6.08333333337214</v>
      </c>
      <c r="O2405" s="22" t="str">
        <f ca="1" t="shared" si="189"/>
        <v>Within SLA</v>
      </c>
      <c r="P2405" s="26" t="s">
        <v>9353</v>
      </c>
      <c r="Q2405" s="24" t="s">
        <v>37</v>
      </c>
      <c r="R2405" s="25"/>
      <c r="S2405" s="25"/>
    </row>
    <row r="2406" ht="39" customHeight="1" spans="1:19">
      <c r="A2406" s="19" t="s">
        <v>9356</v>
      </c>
      <c r="B2406" s="20" t="s">
        <v>19</v>
      </c>
      <c r="C2406" s="20" t="s">
        <v>20</v>
      </c>
      <c r="D2406" s="20" t="s">
        <v>32</v>
      </c>
      <c r="E2406" s="21" t="s">
        <v>9349</v>
      </c>
      <c r="F2406" s="21" t="s">
        <v>9357</v>
      </c>
      <c r="G2406" s="20" t="s">
        <v>35</v>
      </c>
      <c r="H2406" s="20" t="s">
        <v>25</v>
      </c>
      <c r="I2406" s="21" t="s">
        <v>9084</v>
      </c>
      <c r="J2406" s="22">
        <f t="shared" si="185"/>
        <v>0.0118055555576575</v>
      </c>
      <c r="K2406" s="22">
        <f t="shared" si="186"/>
        <v>0.28333333338378</v>
      </c>
      <c r="L2406" s="22">
        <f t="shared" si="187"/>
        <v>0.28333333338378</v>
      </c>
      <c r="M2406" s="22" cm="1">
        <f ca="1" t="array" ref="M2406">SUMPRODUCT(--(WEEKDAY(ROW(INDIRECT(INT(F2406)&amp;":"&amp;INT(I2406))),2)&gt;5))</f>
        <v>0</v>
      </c>
      <c r="N2406" s="22">
        <f ca="1" t="shared" si="188"/>
        <v>0.28333333338378</v>
      </c>
      <c r="O2406" s="22" t="str">
        <f ca="1" t="shared" si="189"/>
        <v>Within SLA</v>
      </c>
      <c r="P2406" s="26" t="s">
        <v>9356</v>
      </c>
      <c r="Q2406" s="24" t="s">
        <v>37</v>
      </c>
      <c r="R2406" s="25"/>
      <c r="S2406" s="25"/>
    </row>
    <row r="2407" ht="39" customHeight="1" spans="1:19">
      <c r="A2407" s="19" t="s">
        <v>9358</v>
      </c>
      <c r="B2407" s="20" t="s">
        <v>19</v>
      </c>
      <c r="C2407" s="20" t="s">
        <v>20</v>
      </c>
      <c r="D2407" s="20" t="s">
        <v>32</v>
      </c>
      <c r="E2407" s="21" t="s">
        <v>8900</v>
      </c>
      <c r="F2407" s="21" t="s">
        <v>9359</v>
      </c>
      <c r="G2407" s="20" t="s">
        <v>35</v>
      </c>
      <c r="H2407" s="20" t="s">
        <v>25</v>
      </c>
      <c r="I2407" s="21" t="s">
        <v>9360</v>
      </c>
      <c r="J2407" s="22">
        <f t="shared" si="185"/>
        <v>0.798611111109494</v>
      </c>
      <c r="K2407" s="22">
        <f t="shared" si="186"/>
        <v>19.1666666666279</v>
      </c>
      <c r="L2407" s="22">
        <f t="shared" si="187"/>
        <v>3.16666666662786</v>
      </c>
      <c r="M2407" s="22" cm="1">
        <f ca="1" t="array" ref="M2407">SUMPRODUCT(--(WEEKDAY(ROW(INDIRECT(INT(F2407)&amp;":"&amp;INT(I2407))),2)&gt;5))</f>
        <v>0</v>
      </c>
      <c r="N2407" s="22">
        <f ca="1" t="shared" si="188"/>
        <v>3.16666666662786</v>
      </c>
      <c r="O2407" s="22" t="str">
        <f ca="1" t="shared" si="189"/>
        <v>Within SLA</v>
      </c>
      <c r="P2407" s="26" t="s">
        <v>9358</v>
      </c>
      <c r="Q2407" s="24" t="s">
        <v>37</v>
      </c>
      <c r="R2407" s="25"/>
      <c r="S2407" s="25"/>
    </row>
    <row r="2408" ht="39" customHeight="1" spans="1:19">
      <c r="A2408" s="19" t="s">
        <v>9361</v>
      </c>
      <c r="B2408" s="20" t="s">
        <v>19</v>
      </c>
      <c r="C2408" s="20" t="s">
        <v>20</v>
      </c>
      <c r="D2408" s="20" t="s">
        <v>32</v>
      </c>
      <c r="E2408" s="21" t="s">
        <v>9084</v>
      </c>
      <c r="F2408" s="21" t="s">
        <v>9362</v>
      </c>
      <c r="G2408" s="20" t="s">
        <v>35</v>
      </c>
      <c r="H2408" s="20" t="s">
        <v>25</v>
      </c>
      <c r="I2408" s="21" t="s">
        <v>9363</v>
      </c>
      <c r="J2408" s="22">
        <f t="shared" si="185"/>
        <v>0.007638888884685</v>
      </c>
      <c r="K2408" s="22">
        <f t="shared" si="186"/>
        <v>0.18333333323244</v>
      </c>
      <c r="L2408" s="22">
        <f t="shared" si="187"/>
        <v>0.18333333323244</v>
      </c>
      <c r="M2408" s="22" cm="1">
        <f ca="1" t="array" ref="M2408">SUMPRODUCT(--(WEEKDAY(ROW(INDIRECT(INT(F2408)&amp;":"&amp;INT(I2408))),2)&gt;5))</f>
        <v>0</v>
      </c>
      <c r="N2408" s="22">
        <f ca="1" t="shared" si="188"/>
        <v>0.18333333323244</v>
      </c>
      <c r="O2408" s="22" t="str">
        <f ca="1" t="shared" si="189"/>
        <v>Within SLA</v>
      </c>
      <c r="P2408" s="26" t="s">
        <v>9361</v>
      </c>
      <c r="Q2408" s="24" t="s">
        <v>37</v>
      </c>
      <c r="R2408" s="25"/>
      <c r="S2408" s="25"/>
    </row>
    <row r="2409" ht="39" customHeight="1" spans="1:19">
      <c r="A2409" s="19" t="s">
        <v>9364</v>
      </c>
      <c r="B2409" s="20" t="s">
        <v>19</v>
      </c>
      <c r="C2409" s="20" t="s">
        <v>20</v>
      </c>
      <c r="D2409" s="20" t="s">
        <v>21</v>
      </c>
      <c r="E2409" s="21" t="s">
        <v>9365</v>
      </c>
      <c r="F2409" s="21" t="s">
        <v>9366</v>
      </c>
      <c r="G2409" s="20" t="s">
        <v>35</v>
      </c>
      <c r="H2409" s="20" t="s">
        <v>25</v>
      </c>
      <c r="I2409" s="21" t="s">
        <v>9367</v>
      </c>
      <c r="J2409" s="22">
        <f t="shared" si="185"/>
        <v>0.00277777777955635</v>
      </c>
      <c r="K2409" s="22">
        <f t="shared" si="186"/>
        <v>0.0666666667093523</v>
      </c>
      <c r="L2409" s="22">
        <f t="shared" si="187"/>
        <v>0.0666666667093523</v>
      </c>
      <c r="M2409" s="22" cm="1">
        <f ca="1" t="array" ref="M2409">SUMPRODUCT(--(WEEKDAY(ROW(INDIRECT(INT(F2409)&amp;":"&amp;INT(I2409))),2)&gt;5))</f>
        <v>0</v>
      </c>
      <c r="N2409" s="22">
        <f ca="1" t="shared" si="188"/>
        <v>0.0666666667093523</v>
      </c>
      <c r="O2409" s="22" t="str">
        <f ca="1" t="shared" si="189"/>
        <v>Within SLA</v>
      </c>
      <c r="P2409" s="26" t="s">
        <v>9364</v>
      </c>
      <c r="Q2409" s="24" t="s">
        <v>37</v>
      </c>
      <c r="R2409" s="25"/>
      <c r="S2409" s="25"/>
    </row>
    <row r="2410" ht="39" customHeight="1" spans="1:19">
      <c r="A2410" s="19" t="s">
        <v>9368</v>
      </c>
      <c r="B2410" s="20" t="s">
        <v>19</v>
      </c>
      <c r="C2410" s="20" t="s">
        <v>20</v>
      </c>
      <c r="D2410" s="20" t="s">
        <v>32</v>
      </c>
      <c r="E2410" s="21" t="s">
        <v>9367</v>
      </c>
      <c r="F2410" s="21" t="s">
        <v>9369</v>
      </c>
      <c r="G2410" s="20" t="s">
        <v>35</v>
      </c>
      <c r="H2410" s="20" t="s">
        <v>25</v>
      </c>
      <c r="I2410" s="21" t="s">
        <v>9370</v>
      </c>
      <c r="J2410" s="22">
        <f t="shared" si="185"/>
        <v>0.826388888890506</v>
      </c>
      <c r="K2410" s="22">
        <f t="shared" si="186"/>
        <v>19.8333333333721</v>
      </c>
      <c r="L2410" s="22">
        <f t="shared" si="187"/>
        <v>3.83333333337214</v>
      </c>
      <c r="M2410" s="22" cm="1">
        <f ca="1" t="array" ref="M2410">SUMPRODUCT(--(WEEKDAY(ROW(INDIRECT(INT(F2410)&amp;":"&amp;INT(I2410))),2)&gt;5))</f>
        <v>0</v>
      </c>
      <c r="N2410" s="22">
        <f ca="1" t="shared" si="188"/>
        <v>3.83333333337214</v>
      </c>
      <c r="O2410" s="22" t="str">
        <f ca="1" t="shared" si="189"/>
        <v>Within SLA</v>
      </c>
      <c r="P2410" s="26" t="s">
        <v>9368</v>
      </c>
      <c r="Q2410" s="24" t="s">
        <v>37</v>
      </c>
      <c r="R2410" s="25"/>
      <c r="S2410" s="25"/>
    </row>
    <row r="2411" ht="39" customHeight="1" spans="1:19">
      <c r="A2411" s="19" t="s">
        <v>9371</v>
      </c>
      <c r="B2411" s="20" t="s">
        <v>19</v>
      </c>
      <c r="C2411" s="20" t="s">
        <v>20</v>
      </c>
      <c r="D2411" s="20" t="s">
        <v>32</v>
      </c>
      <c r="E2411" s="21" t="s">
        <v>9372</v>
      </c>
      <c r="F2411" s="21" t="s">
        <v>9373</v>
      </c>
      <c r="G2411" s="20" t="s">
        <v>35</v>
      </c>
      <c r="H2411" s="20" t="s">
        <v>25</v>
      </c>
      <c r="I2411" s="21" t="s">
        <v>8351</v>
      </c>
      <c r="J2411" s="22">
        <f t="shared" si="185"/>
        <v>0.00763888889196096</v>
      </c>
      <c r="K2411" s="22">
        <f t="shared" si="186"/>
        <v>0.183333333407063</v>
      </c>
      <c r="L2411" s="22">
        <f t="shared" si="187"/>
        <v>0.183333333407063</v>
      </c>
      <c r="M2411" s="22" cm="1">
        <f ca="1" t="array" ref="M2411">SUMPRODUCT(--(WEEKDAY(ROW(INDIRECT(INT(F2411)&amp;":"&amp;INT(I2411))),2)&gt;5))</f>
        <v>0</v>
      </c>
      <c r="N2411" s="22">
        <f ca="1" t="shared" si="188"/>
        <v>0.183333333407063</v>
      </c>
      <c r="O2411" s="22" t="str">
        <f ca="1" t="shared" si="189"/>
        <v>Within SLA</v>
      </c>
      <c r="P2411" s="26" t="s">
        <v>9371</v>
      </c>
      <c r="Q2411" s="24" t="s">
        <v>37</v>
      </c>
      <c r="R2411" s="25"/>
      <c r="S2411" s="25"/>
    </row>
    <row r="2412" ht="39" customHeight="1" spans="1:19">
      <c r="A2412" s="19" t="s">
        <v>9374</v>
      </c>
      <c r="B2412" s="20" t="s">
        <v>19</v>
      </c>
      <c r="C2412" s="20" t="s">
        <v>20</v>
      </c>
      <c r="D2412" s="20" t="s">
        <v>32</v>
      </c>
      <c r="E2412" s="21" t="s">
        <v>9372</v>
      </c>
      <c r="F2412" s="21" t="s">
        <v>7745</v>
      </c>
      <c r="G2412" s="20" t="s">
        <v>35</v>
      </c>
      <c r="H2412" s="20" t="s">
        <v>25</v>
      </c>
      <c r="I2412" s="21" t="s">
        <v>8277</v>
      </c>
      <c r="J2412" s="22">
        <f t="shared" si="185"/>
        <v>0.007638888884685</v>
      </c>
      <c r="K2412" s="22">
        <f t="shared" si="186"/>
        <v>0.18333333323244</v>
      </c>
      <c r="L2412" s="22">
        <f t="shared" si="187"/>
        <v>0.18333333323244</v>
      </c>
      <c r="M2412" s="22" cm="1">
        <f ca="1" t="array" ref="M2412">SUMPRODUCT(--(WEEKDAY(ROW(INDIRECT(INT(F2412)&amp;":"&amp;INT(I2412))),2)&gt;5))</f>
        <v>0</v>
      </c>
      <c r="N2412" s="22">
        <f ca="1" t="shared" si="188"/>
        <v>0.18333333323244</v>
      </c>
      <c r="O2412" s="22" t="str">
        <f ca="1" t="shared" si="189"/>
        <v>Within SLA</v>
      </c>
      <c r="P2412" s="26" t="s">
        <v>9374</v>
      </c>
      <c r="Q2412" s="24" t="s">
        <v>37</v>
      </c>
      <c r="R2412" s="25"/>
      <c r="S2412" s="25"/>
    </row>
    <row r="2413" ht="27" customHeight="1" spans="1:19">
      <c r="A2413" s="19" t="s">
        <v>9375</v>
      </c>
      <c r="B2413" s="20" t="s">
        <v>30</v>
      </c>
      <c r="C2413" s="20" t="s">
        <v>4889</v>
      </c>
      <c r="D2413" s="20" t="s">
        <v>21</v>
      </c>
      <c r="E2413" s="21" t="s">
        <v>9376</v>
      </c>
      <c r="F2413" s="21" t="s">
        <v>9377</v>
      </c>
      <c r="G2413" s="20" t="s">
        <v>35</v>
      </c>
      <c r="H2413" s="20" t="s">
        <v>25</v>
      </c>
      <c r="I2413" s="21" t="s">
        <v>9378</v>
      </c>
      <c r="J2413" s="22">
        <f t="shared" si="185"/>
        <v>0.895833333328483</v>
      </c>
      <c r="K2413" s="22">
        <f t="shared" si="186"/>
        <v>21.4999999998836</v>
      </c>
      <c r="L2413" s="22">
        <f t="shared" si="187"/>
        <v>5.49999999988358</v>
      </c>
      <c r="M2413" s="22" cm="1">
        <f ca="1" t="array" ref="M2413">SUMPRODUCT(--(WEEKDAY(ROW(INDIRECT(INT(F2413)&amp;":"&amp;INT(I2413))),2)&gt;5))</f>
        <v>0</v>
      </c>
      <c r="N2413" s="22">
        <f ca="1" t="shared" si="188"/>
        <v>5.49999999988358</v>
      </c>
      <c r="O2413" s="22" t="str">
        <f ca="1" t="shared" si="189"/>
        <v>SLA Violated</v>
      </c>
      <c r="P2413" s="23" t="s">
        <v>9379</v>
      </c>
      <c r="Q2413" s="24" t="s">
        <v>28</v>
      </c>
      <c r="R2413" s="25"/>
      <c r="S2413" s="25"/>
    </row>
    <row r="2414" ht="39" customHeight="1" spans="1:19">
      <c r="A2414" s="19" t="s">
        <v>9380</v>
      </c>
      <c r="B2414" s="20" t="s">
        <v>19</v>
      </c>
      <c r="C2414" s="20" t="s">
        <v>20</v>
      </c>
      <c r="D2414" s="20" t="s">
        <v>32</v>
      </c>
      <c r="E2414" s="21" t="s">
        <v>9376</v>
      </c>
      <c r="F2414" s="21" t="s">
        <v>9381</v>
      </c>
      <c r="G2414" s="20" t="s">
        <v>35</v>
      </c>
      <c r="H2414" s="20" t="s">
        <v>25</v>
      </c>
      <c r="I2414" s="21" t="s">
        <v>9382</v>
      </c>
      <c r="J2414" s="22">
        <f t="shared" si="185"/>
        <v>0.00833333333866904</v>
      </c>
      <c r="K2414" s="22">
        <f t="shared" si="186"/>
        <v>0.200000000128057</v>
      </c>
      <c r="L2414" s="22">
        <f t="shared" si="187"/>
        <v>0.200000000128057</v>
      </c>
      <c r="M2414" s="22" cm="1">
        <f ca="1" t="array" ref="M2414">SUMPRODUCT(--(WEEKDAY(ROW(INDIRECT(INT(F2414)&amp;":"&amp;INT(I2414))),2)&gt;5))</f>
        <v>0</v>
      </c>
      <c r="N2414" s="22">
        <f ca="1" t="shared" si="188"/>
        <v>0.200000000128057</v>
      </c>
      <c r="O2414" s="22" t="str">
        <f ca="1" t="shared" si="189"/>
        <v>Within SLA</v>
      </c>
      <c r="P2414" s="26" t="s">
        <v>9380</v>
      </c>
      <c r="Q2414" s="24" t="s">
        <v>37</v>
      </c>
      <c r="R2414" s="25"/>
      <c r="S2414" s="25"/>
    </row>
    <row r="2415" ht="39" customHeight="1" spans="1:19">
      <c r="A2415" s="19" t="s">
        <v>9383</v>
      </c>
      <c r="B2415" s="20" t="s">
        <v>19</v>
      </c>
      <c r="C2415" s="20" t="s">
        <v>20</v>
      </c>
      <c r="D2415" s="20" t="s">
        <v>32</v>
      </c>
      <c r="E2415" s="21" t="s">
        <v>9384</v>
      </c>
      <c r="F2415" s="21" t="s">
        <v>9385</v>
      </c>
      <c r="G2415" s="20" t="s">
        <v>35</v>
      </c>
      <c r="H2415" s="20" t="s">
        <v>25</v>
      </c>
      <c r="I2415" s="21" t="s">
        <v>9386</v>
      </c>
      <c r="J2415" s="22">
        <f t="shared" si="185"/>
        <v>0.0118055555503815</v>
      </c>
      <c r="K2415" s="22">
        <f t="shared" si="186"/>
        <v>0.283333333209157</v>
      </c>
      <c r="L2415" s="22">
        <f t="shared" si="187"/>
        <v>0.283333333209157</v>
      </c>
      <c r="M2415" s="22" cm="1">
        <f ca="1" t="array" ref="M2415">SUMPRODUCT(--(WEEKDAY(ROW(INDIRECT(INT(F2415)&amp;":"&amp;INT(I2415))),2)&gt;5))</f>
        <v>0</v>
      </c>
      <c r="N2415" s="22">
        <f ca="1" t="shared" si="188"/>
        <v>0.283333333209157</v>
      </c>
      <c r="O2415" s="22" t="str">
        <f ca="1" t="shared" si="189"/>
        <v>Within SLA</v>
      </c>
      <c r="P2415" s="26" t="s">
        <v>9383</v>
      </c>
      <c r="Q2415" s="24" t="s">
        <v>37</v>
      </c>
      <c r="R2415" s="25"/>
      <c r="S2415" s="25"/>
    </row>
    <row r="2416" ht="27" customHeight="1" spans="1:19">
      <c r="A2416" s="19" t="s">
        <v>9387</v>
      </c>
      <c r="B2416" s="20" t="s">
        <v>30</v>
      </c>
      <c r="C2416" s="20" t="s">
        <v>4889</v>
      </c>
      <c r="D2416" s="20" t="s">
        <v>32</v>
      </c>
      <c r="E2416" s="21" t="s">
        <v>9388</v>
      </c>
      <c r="F2416" s="21" t="s">
        <v>9389</v>
      </c>
      <c r="G2416" s="20" t="s">
        <v>35</v>
      </c>
      <c r="H2416" s="20" t="s">
        <v>25</v>
      </c>
      <c r="I2416" s="21" t="s">
        <v>9390</v>
      </c>
      <c r="J2416" s="22">
        <f t="shared" si="185"/>
        <v>0.745833333334303</v>
      </c>
      <c r="K2416" s="22">
        <f t="shared" si="186"/>
        <v>17.9000000000233</v>
      </c>
      <c r="L2416" s="22">
        <f t="shared" si="187"/>
        <v>1.90000000002328</v>
      </c>
      <c r="M2416" s="22" cm="1">
        <f ca="1" t="array" ref="M2416">SUMPRODUCT(--(WEEKDAY(ROW(INDIRECT(INT(F2416)&amp;":"&amp;INT(I2416))),2)&gt;5))</f>
        <v>0</v>
      </c>
      <c r="N2416" s="22">
        <f ca="1" t="shared" si="188"/>
        <v>1.90000000002328</v>
      </c>
      <c r="O2416" s="22" t="str">
        <f ca="1" t="shared" si="189"/>
        <v>Within SLA</v>
      </c>
      <c r="P2416" s="26" t="s">
        <v>9387</v>
      </c>
      <c r="Q2416" s="24" t="s">
        <v>37</v>
      </c>
      <c r="R2416" s="25"/>
      <c r="S2416" s="25"/>
    </row>
    <row r="2417" ht="27" customHeight="1" spans="1:19">
      <c r="A2417" s="19" t="s">
        <v>9391</v>
      </c>
      <c r="B2417" s="20" t="s">
        <v>30</v>
      </c>
      <c r="C2417" s="20" t="s">
        <v>31</v>
      </c>
      <c r="D2417" s="20" t="s">
        <v>21</v>
      </c>
      <c r="E2417" s="21" t="s">
        <v>9388</v>
      </c>
      <c r="F2417" s="21" t="s">
        <v>9392</v>
      </c>
      <c r="G2417" s="20" t="s">
        <v>35</v>
      </c>
      <c r="H2417" s="20" t="s">
        <v>25</v>
      </c>
      <c r="I2417" s="21" t="s">
        <v>9393</v>
      </c>
      <c r="J2417" s="22">
        <f t="shared" si="185"/>
        <v>13.2138888888876</v>
      </c>
      <c r="K2417" s="22">
        <f t="shared" si="186"/>
        <v>317.133333333302</v>
      </c>
      <c r="L2417" s="22">
        <f t="shared" si="187"/>
        <v>109.133333333302</v>
      </c>
      <c r="M2417" s="22" cm="1">
        <f ca="1" t="array" ref="M2417">SUMPRODUCT(--(WEEKDAY(ROW(INDIRECT(INT(F2417)&amp;":"&amp;INT(I2417))),2)&gt;5))</f>
        <v>4</v>
      </c>
      <c r="N2417" s="22">
        <f ca="1" t="shared" si="188"/>
        <v>77.133333333302</v>
      </c>
      <c r="O2417" s="22" t="str">
        <f ca="1" t="shared" si="189"/>
        <v>SLA Violated</v>
      </c>
      <c r="P2417" s="23" t="s">
        <v>9394</v>
      </c>
      <c r="Q2417" s="24" t="s">
        <v>28</v>
      </c>
      <c r="R2417" s="25"/>
      <c r="S2417" s="25"/>
    </row>
    <row r="2418" ht="39" customHeight="1" spans="1:19">
      <c r="A2418" s="19" t="s">
        <v>9395</v>
      </c>
      <c r="B2418" s="20" t="s">
        <v>19</v>
      </c>
      <c r="C2418" s="20" t="s">
        <v>20</v>
      </c>
      <c r="D2418" s="20" t="s">
        <v>32</v>
      </c>
      <c r="E2418" s="21" t="s">
        <v>9396</v>
      </c>
      <c r="F2418" s="21" t="s">
        <v>9397</v>
      </c>
      <c r="G2418" s="20" t="s">
        <v>35</v>
      </c>
      <c r="H2418" s="20" t="s">
        <v>25</v>
      </c>
      <c r="I2418" s="21" t="s">
        <v>9398</v>
      </c>
      <c r="J2418" s="22">
        <f t="shared" si="185"/>
        <v>0.222916666672972</v>
      </c>
      <c r="K2418" s="22">
        <f t="shared" si="186"/>
        <v>5.35000000015134</v>
      </c>
      <c r="L2418" s="22">
        <f t="shared" si="187"/>
        <v>5.35000000015134</v>
      </c>
      <c r="M2418" s="22" cm="1">
        <f ca="1" t="array" ref="M2418">SUMPRODUCT(--(WEEKDAY(ROW(INDIRECT(INT(F2418)&amp;":"&amp;INT(I2418))),2)&gt;5))</f>
        <v>0</v>
      </c>
      <c r="N2418" s="22">
        <f ca="1" t="shared" si="188"/>
        <v>5.35000000015134</v>
      </c>
      <c r="O2418" s="22" t="str">
        <f ca="1" t="shared" si="189"/>
        <v>Within SLA</v>
      </c>
      <c r="P2418" s="26" t="s">
        <v>9395</v>
      </c>
      <c r="Q2418" s="24" t="s">
        <v>37</v>
      </c>
      <c r="R2418" s="25"/>
      <c r="S2418" s="25"/>
    </row>
    <row r="2419" ht="39" customHeight="1" spans="1:19">
      <c r="A2419" s="19" t="s">
        <v>9399</v>
      </c>
      <c r="B2419" s="20" t="s">
        <v>19</v>
      </c>
      <c r="C2419" s="20" t="s">
        <v>20</v>
      </c>
      <c r="D2419" s="20" t="s">
        <v>32</v>
      </c>
      <c r="E2419" s="21" t="s">
        <v>9396</v>
      </c>
      <c r="F2419" s="21" t="s">
        <v>9400</v>
      </c>
      <c r="G2419" s="20" t="s">
        <v>35</v>
      </c>
      <c r="H2419" s="20" t="s">
        <v>25</v>
      </c>
      <c r="I2419" s="21" t="s">
        <v>9401</v>
      </c>
      <c r="J2419" s="22">
        <f t="shared" si="185"/>
        <v>0.0118055555576575</v>
      </c>
      <c r="K2419" s="22">
        <f t="shared" si="186"/>
        <v>0.28333333338378</v>
      </c>
      <c r="L2419" s="22">
        <f t="shared" si="187"/>
        <v>0.28333333338378</v>
      </c>
      <c r="M2419" s="22" cm="1">
        <f ca="1" t="array" ref="M2419">SUMPRODUCT(--(WEEKDAY(ROW(INDIRECT(INT(F2419)&amp;":"&amp;INT(I2419))),2)&gt;5))</f>
        <v>0</v>
      </c>
      <c r="N2419" s="22">
        <f ca="1" t="shared" si="188"/>
        <v>0.28333333338378</v>
      </c>
      <c r="O2419" s="22" t="str">
        <f ca="1" t="shared" si="189"/>
        <v>Within SLA</v>
      </c>
      <c r="P2419" s="26" t="s">
        <v>9399</v>
      </c>
      <c r="Q2419" s="24" t="s">
        <v>37</v>
      </c>
      <c r="R2419" s="25"/>
      <c r="S2419" s="25"/>
    </row>
    <row r="2420" ht="27" customHeight="1" spans="1:19">
      <c r="A2420" s="19" t="s">
        <v>9402</v>
      </c>
      <c r="B2420" s="20" t="s">
        <v>30</v>
      </c>
      <c r="C2420" s="20" t="s">
        <v>31</v>
      </c>
      <c r="D2420" s="20" t="s">
        <v>32</v>
      </c>
      <c r="E2420" s="21" t="s">
        <v>6789</v>
      </c>
      <c r="F2420" s="21" t="s">
        <v>9403</v>
      </c>
      <c r="G2420" s="20" t="s">
        <v>35</v>
      </c>
      <c r="H2420" s="20" t="s">
        <v>25</v>
      </c>
      <c r="I2420" s="21" t="s">
        <v>9404</v>
      </c>
      <c r="J2420" s="22">
        <f t="shared" si="185"/>
        <v>6.93055555556202</v>
      </c>
      <c r="K2420" s="22">
        <f t="shared" si="186"/>
        <v>166.333333333489</v>
      </c>
      <c r="L2420" s="22">
        <f t="shared" si="187"/>
        <v>54.3333333334886</v>
      </c>
      <c r="M2420" s="22" cm="1">
        <f ca="1" t="array" ref="M2420">SUMPRODUCT(--(WEEKDAY(ROW(INDIRECT(INT(F2420)&amp;":"&amp;INT(I2420))),2)&gt;5))</f>
        <v>2</v>
      </c>
      <c r="N2420" s="22">
        <f ca="1" t="shared" si="188"/>
        <v>38.3333333334886</v>
      </c>
      <c r="O2420" s="22" t="str">
        <f ca="1" t="shared" si="189"/>
        <v>SLA Violated</v>
      </c>
      <c r="P2420" s="26" t="s">
        <v>9402</v>
      </c>
      <c r="Q2420" s="24" t="s">
        <v>28</v>
      </c>
      <c r="R2420" s="25"/>
      <c r="S2420" s="25"/>
    </row>
    <row r="2421" ht="39" customHeight="1" spans="1:19">
      <c r="A2421" s="19" t="s">
        <v>9405</v>
      </c>
      <c r="B2421" s="20" t="s">
        <v>19</v>
      </c>
      <c r="C2421" s="20" t="s">
        <v>20</v>
      </c>
      <c r="D2421" s="20" t="s">
        <v>32</v>
      </c>
      <c r="E2421" s="21" t="s">
        <v>9406</v>
      </c>
      <c r="F2421" s="21" t="s">
        <v>9407</v>
      </c>
      <c r="G2421" s="20" t="s">
        <v>35</v>
      </c>
      <c r="H2421" s="20" t="s">
        <v>25</v>
      </c>
      <c r="I2421" s="21" t="s">
        <v>9408</v>
      </c>
      <c r="J2421" s="22">
        <f t="shared" si="185"/>
        <v>0.0124999999970896</v>
      </c>
      <c r="K2421" s="22">
        <f t="shared" si="186"/>
        <v>0.299999999930151</v>
      </c>
      <c r="L2421" s="22">
        <f t="shared" si="187"/>
        <v>0.299999999930151</v>
      </c>
      <c r="M2421" s="22" cm="1">
        <f ca="1" t="array" ref="M2421">SUMPRODUCT(--(WEEKDAY(ROW(INDIRECT(INT(F2421)&amp;":"&amp;INT(I2421))),2)&gt;5))</f>
        <v>0</v>
      </c>
      <c r="N2421" s="22">
        <f ca="1" t="shared" si="188"/>
        <v>0.299999999930151</v>
      </c>
      <c r="O2421" s="22" t="str">
        <f ca="1" t="shared" si="189"/>
        <v>Within SLA</v>
      </c>
      <c r="P2421" s="26" t="s">
        <v>9405</v>
      </c>
      <c r="Q2421" s="24" t="s">
        <v>37</v>
      </c>
      <c r="R2421" s="25"/>
      <c r="S2421" s="25"/>
    </row>
    <row r="2422" ht="39" customHeight="1" spans="1:19">
      <c r="A2422" s="19" t="s">
        <v>9409</v>
      </c>
      <c r="B2422" s="20" t="s">
        <v>19</v>
      </c>
      <c r="C2422" s="20" t="s">
        <v>20</v>
      </c>
      <c r="D2422" s="20" t="s">
        <v>32</v>
      </c>
      <c r="E2422" s="21" t="s">
        <v>9410</v>
      </c>
      <c r="F2422" s="21" t="s">
        <v>9411</v>
      </c>
      <c r="G2422" s="20" t="s">
        <v>35</v>
      </c>
      <c r="H2422" s="20" t="s">
        <v>25</v>
      </c>
      <c r="I2422" s="21" t="s">
        <v>9412</v>
      </c>
      <c r="J2422" s="22">
        <f t="shared" si="185"/>
        <v>0.0166666666627862</v>
      </c>
      <c r="K2422" s="22">
        <f t="shared" si="186"/>
        <v>0.399999999906868</v>
      </c>
      <c r="L2422" s="22">
        <f t="shared" si="187"/>
        <v>0.399999999906868</v>
      </c>
      <c r="M2422" s="22" cm="1">
        <f ca="1" t="array" ref="M2422">SUMPRODUCT(--(WEEKDAY(ROW(INDIRECT(INT(F2422)&amp;":"&amp;INT(I2422))),2)&gt;5))</f>
        <v>0</v>
      </c>
      <c r="N2422" s="22">
        <f ca="1" t="shared" si="188"/>
        <v>0.399999999906868</v>
      </c>
      <c r="O2422" s="22" t="str">
        <f ca="1" t="shared" si="189"/>
        <v>Within SLA</v>
      </c>
      <c r="P2422" s="26" t="s">
        <v>9409</v>
      </c>
      <c r="Q2422" s="24" t="s">
        <v>37</v>
      </c>
      <c r="R2422" s="25"/>
      <c r="S2422" s="25"/>
    </row>
    <row r="2423" ht="39" customHeight="1" spans="1:19">
      <c r="A2423" s="19" t="s">
        <v>9413</v>
      </c>
      <c r="B2423" s="20" t="s">
        <v>19</v>
      </c>
      <c r="C2423" s="20" t="s">
        <v>20</v>
      </c>
      <c r="D2423" s="20" t="s">
        <v>32</v>
      </c>
      <c r="E2423" s="21" t="s">
        <v>9414</v>
      </c>
      <c r="F2423" s="21" t="s">
        <v>9415</v>
      </c>
      <c r="G2423" s="20" t="s">
        <v>35</v>
      </c>
      <c r="H2423" s="20" t="s">
        <v>25</v>
      </c>
      <c r="I2423" s="21" t="s">
        <v>9416</v>
      </c>
      <c r="J2423" s="22">
        <f t="shared" si="185"/>
        <v>0.674305555556202</v>
      </c>
      <c r="K2423" s="22">
        <f t="shared" si="186"/>
        <v>16.1833333333489</v>
      </c>
      <c r="L2423" s="22">
        <f t="shared" si="187"/>
        <v>0.183333333348855</v>
      </c>
      <c r="M2423" s="22" cm="1">
        <f ca="1" t="array" ref="M2423">SUMPRODUCT(--(WEEKDAY(ROW(INDIRECT(INT(F2423)&amp;":"&amp;INT(I2423))),2)&gt;5))</f>
        <v>0</v>
      </c>
      <c r="N2423" s="22">
        <f ca="1" t="shared" si="188"/>
        <v>0.183333333348855</v>
      </c>
      <c r="O2423" s="22" t="str">
        <f ca="1" t="shared" si="189"/>
        <v>Within SLA</v>
      </c>
      <c r="P2423" s="26" t="s">
        <v>9413</v>
      </c>
      <c r="Q2423" s="24" t="s">
        <v>37</v>
      </c>
      <c r="R2423" s="25"/>
      <c r="S2423" s="25"/>
    </row>
    <row r="2424" ht="39" customHeight="1" spans="1:19">
      <c r="A2424" s="19" t="s">
        <v>9417</v>
      </c>
      <c r="B2424" s="20" t="s">
        <v>19</v>
      </c>
      <c r="C2424" s="20" t="s">
        <v>20</v>
      </c>
      <c r="D2424" s="20" t="s">
        <v>32</v>
      </c>
      <c r="E2424" s="21" t="s">
        <v>9418</v>
      </c>
      <c r="F2424" s="21" t="s">
        <v>9419</v>
      </c>
      <c r="G2424" s="20" t="s">
        <v>35</v>
      </c>
      <c r="H2424" s="20" t="s">
        <v>25</v>
      </c>
      <c r="I2424" s="21" t="s">
        <v>9420</v>
      </c>
      <c r="J2424" s="22">
        <f t="shared" si="185"/>
        <v>0.0166666666627862</v>
      </c>
      <c r="K2424" s="22">
        <f t="shared" si="186"/>
        <v>0.399999999906868</v>
      </c>
      <c r="L2424" s="22">
        <f t="shared" si="187"/>
        <v>0.399999999906868</v>
      </c>
      <c r="M2424" s="22" cm="1">
        <f ca="1" t="array" ref="M2424">SUMPRODUCT(--(WEEKDAY(ROW(INDIRECT(INT(F2424)&amp;":"&amp;INT(I2424))),2)&gt;5))</f>
        <v>0</v>
      </c>
      <c r="N2424" s="22">
        <f ca="1" t="shared" si="188"/>
        <v>0.399999999906868</v>
      </c>
      <c r="O2424" s="22" t="str">
        <f ca="1" t="shared" si="189"/>
        <v>Within SLA</v>
      </c>
      <c r="P2424" s="26" t="s">
        <v>9417</v>
      </c>
      <c r="Q2424" s="24" t="s">
        <v>37</v>
      </c>
      <c r="R2424" s="25"/>
      <c r="S2424" s="25"/>
    </row>
    <row r="2425" ht="39" customHeight="1" spans="1:19">
      <c r="A2425" s="19" t="s">
        <v>9421</v>
      </c>
      <c r="B2425" s="20" t="s">
        <v>19</v>
      </c>
      <c r="C2425" s="20" t="s">
        <v>20</v>
      </c>
      <c r="D2425" s="20" t="s">
        <v>32</v>
      </c>
      <c r="E2425" s="21" t="s">
        <v>9418</v>
      </c>
      <c r="F2425" s="21" t="s">
        <v>9422</v>
      </c>
      <c r="G2425" s="20" t="s">
        <v>24</v>
      </c>
      <c r="H2425" s="20" t="s">
        <v>25</v>
      </c>
      <c r="I2425" s="21" t="s">
        <v>9423</v>
      </c>
      <c r="J2425" s="22">
        <f t="shared" si="185"/>
        <v>0.747222222220444</v>
      </c>
      <c r="K2425" s="22">
        <f t="shared" si="186"/>
        <v>17.9333333332906</v>
      </c>
      <c r="L2425" s="22">
        <f t="shared" si="187"/>
        <v>1.93333333329065</v>
      </c>
      <c r="M2425" s="22" cm="1">
        <f ca="1" t="array" ref="M2425">SUMPRODUCT(--(WEEKDAY(ROW(INDIRECT(INT(F2425)&amp;":"&amp;INT(I2425))),2)&gt;5))</f>
        <v>0</v>
      </c>
      <c r="N2425" s="22">
        <f ca="1" t="shared" si="188"/>
        <v>1.93333333329065</v>
      </c>
      <c r="O2425" s="22" t="str">
        <f ca="1" t="shared" si="189"/>
        <v>Within SLA</v>
      </c>
      <c r="P2425" s="26" t="s">
        <v>9421</v>
      </c>
      <c r="Q2425" s="24" t="s">
        <v>37</v>
      </c>
      <c r="R2425" s="25"/>
      <c r="S2425" s="25"/>
    </row>
    <row r="2426" ht="27" customHeight="1" spans="1:19">
      <c r="A2426" s="19" t="s">
        <v>9424</v>
      </c>
      <c r="B2426" s="20" t="s">
        <v>30</v>
      </c>
      <c r="C2426" s="20" t="s">
        <v>31</v>
      </c>
      <c r="D2426" s="20" t="s">
        <v>32</v>
      </c>
      <c r="E2426" s="21" t="s">
        <v>9425</v>
      </c>
      <c r="F2426" s="21" t="s">
        <v>9426</v>
      </c>
      <c r="G2426" s="20" t="s">
        <v>35</v>
      </c>
      <c r="H2426" s="20" t="s">
        <v>25</v>
      </c>
      <c r="I2426" s="21" t="s">
        <v>9426</v>
      </c>
      <c r="J2426" s="22">
        <f t="shared" si="185"/>
        <v>0</v>
      </c>
      <c r="K2426" s="22">
        <f t="shared" si="186"/>
        <v>0</v>
      </c>
      <c r="L2426" s="22">
        <f t="shared" si="187"/>
        <v>0</v>
      </c>
      <c r="M2426" s="22" cm="1">
        <f ca="1" t="array" ref="M2426">SUMPRODUCT(--(WEEKDAY(ROW(INDIRECT(INT(F2426)&amp;":"&amp;INT(I2426))),2)&gt;5))</f>
        <v>0</v>
      </c>
      <c r="N2426" s="22">
        <f ca="1" t="shared" si="188"/>
        <v>0</v>
      </c>
      <c r="O2426" s="22" t="str">
        <f ca="1" t="shared" si="189"/>
        <v>Within SLA</v>
      </c>
      <c r="P2426" s="26" t="s">
        <v>9424</v>
      </c>
      <c r="Q2426" s="24" t="s">
        <v>37</v>
      </c>
      <c r="R2426" s="25"/>
      <c r="S2426" s="25"/>
    </row>
    <row r="2427" ht="39" customHeight="1" spans="1:19">
      <c r="A2427" s="19" t="s">
        <v>9427</v>
      </c>
      <c r="B2427" s="20" t="s">
        <v>19</v>
      </c>
      <c r="C2427" s="20" t="s">
        <v>20</v>
      </c>
      <c r="D2427" s="20" t="s">
        <v>32</v>
      </c>
      <c r="E2427" s="21" t="s">
        <v>9425</v>
      </c>
      <c r="F2427" s="21" t="s">
        <v>9428</v>
      </c>
      <c r="G2427" s="20" t="s">
        <v>35</v>
      </c>
      <c r="H2427" s="20" t="s">
        <v>25</v>
      </c>
      <c r="I2427" s="21" t="s">
        <v>9429</v>
      </c>
      <c r="J2427" s="22">
        <f t="shared" si="185"/>
        <v>0.672916666662786</v>
      </c>
      <c r="K2427" s="22">
        <f t="shared" si="186"/>
        <v>16.1499999999069</v>
      </c>
      <c r="L2427" s="22">
        <f t="shared" si="187"/>
        <v>0.149999999906868</v>
      </c>
      <c r="M2427" s="22" cm="1">
        <f ca="1" t="array" ref="M2427">SUMPRODUCT(--(WEEKDAY(ROW(INDIRECT(INT(F2427)&amp;":"&amp;INT(I2427))),2)&gt;5))</f>
        <v>0</v>
      </c>
      <c r="N2427" s="22">
        <f ca="1" t="shared" si="188"/>
        <v>0.149999999906868</v>
      </c>
      <c r="O2427" s="22" t="str">
        <f ca="1" t="shared" si="189"/>
        <v>Within SLA</v>
      </c>
      <c r="P2427" s="26" t="s">
        <v>9427</v>
      </c>
      <c r="Q2427" s="24" t="s">
        <v>37</v>
      </c>
      <c r="R2427" s="25"/>
      <c r="S2427" s="25"/>
    </row>
    <row r="2428" ht="39" customHeight="1" spans="1:19">
      <c r="A2428" s="19" t="s">
        <v>9430</v>
      </c>
      <c r="B2428" s="20" t="s">
        <v>19</v>
      </c>
      <c r="C2428" s="20" t="s">
        <v>20</v>
      </c>
      <c r="D2428" s="20" t="s">
        <v>32</v>
      </c>
      <c r="E2428" s="21" t="s">
        <v>9431</v>
      </c>
      <c r="F2428" s="21" t="s">
        <v>9432</v>
      </c>
      <c r="G2428" s="20" t="s">
        <v>35</v>
      </c>
      <c r="H2428" s="20" t="s">
        <v>25</v>
      </c>
      <c r="I2428" s="21" t="s">
        <v>9433</v>
      </c>
      <c r="J2428" s="22">
        <f t="shared" si="185"/>
        <v>0.0194444444423425</v>
      </c>
      <c r="K2428" s="22">
        <f t="shared" si="186"/>
        <v>0.46666666661622</v>
      </c>
      <c r="L2428" s="22">
        <f t="shared" si="187"/>
        <v>0.46666666661622</v>
      </c>
      <c r="M2428" s="22" cm="1">
        <f ca="1" t="array" ref="M2428">SUMPRODUCT(--(WEEKDAY(ROW(INDIRECT(INT(F2428)&amp;":"&amp;INT(I2428))),2)&gt;5))</f>
        <v>0</v>
      </c>
      <c r="N2428" s="22">
        <f ca="1" t="shared" si="188"/>
        <v>0.46666666661622</v>
      </c>
      <c r="O2428" s="22" t="str">
        <f ca="1" t="shared" si="189"/>
        <v>Within SLA</v>
      </c>
      <c r="P2428" s="26" t="s">
        <v>9430</v>
      </c>
      <c r="Q2428" s="24" t="s">
        <v>37</v>
      </c>
      <c r="R2428" s="25"/>
      <c r="S2428" s="25"/>
    </row>
    <row r="2429" ht="39" customHeight="1" spans="1:19">
      <c r="A2429" s="19" t="s">
        <v>9434</v>
      </c>
      <c r="B2429" s="20" t="s">
        <v>19</v>
      </c>
      <c r="C2429" s="20" t="s">
        <v>20</v>
      </c>
      <c r="D2429" s="20" t="s">
        <v>32</v>
      </c>
      <c r="E2429" s="21" t="s">
        <v>9435</v>
      </c>
      <c r="F2429" s="21" t="s">
        <v>9436</v>
      </c>
      <c r="G2429" s="20" t="s">
        <v>35</v>
      </c>
      <c r="H2429" s="20" t="s">
        <v>25</v>
      </c>
      <c r="I2429" s="21" t="s">
        <v>9437</v>
      </c>
      <c r="J2429" s="22">
        <f t="shared" si="185"/>
        <v>6.06458333334012</v>
      </c>
      <c r="K2429" s="22">
        <f t="shared" si="186"/>
        <v>145.550000000163</v>
      </c>
      <c r="L2429" s="22">
        <f t="shared" si="187"/>
        <v>49.550000000163</v>
      </c>
      <c r="M2429" s="22" cm="1">
        <f ca="1" t="array" ref="M2429">SUMPRODUCT(--(WEEKDAY(ROW(INDIRECT(INT(F2429)&amp;":"&amp;INT(I2429))),2)&gt;5))</f>
        <v>2</v>
      </c>
      <c r="N2429" s="22">
        <f ca="1" t="shared" si="188"/>
        <v>33.550000000163</v>
      </c>
      <c r="O2429" s="22" t="str">
        <f ca="1" t="shared" si="189"/>
        <v>SLA Violated</v>
      </c>
      <c r="P2429" s="23" t="s">
        <v>9438</v>
      </c>
      <c r="Q2429" s="24" t="s">
        <v>37</v>
      </c>
      <c r="R2429" s="25"/>
      <c r="S2429" s="25" t="s">
        <v>97</v>
      </c>
    </row>
    <row r="2430" ht="27" customHeight="1" spans="1:19">
      <c r="A2430" s="19" t="s">
        <v>9439</v>
      </c>
      <c r="B2430" s="20" t="s">
        <v>30</v>
      </c>
      <c r="C2430" s="20" t="s">
        <v>4889</v>
      </c>
      <c r="D2430" s="20" t="s">
        <v>32</v>
      </c>
      <c r="E2430" s="21" t="s">
        <v>9433</v>
      </c>
      <c r="F2430" s="21" t="s">
        <v>9440</v>
      </c>
      <c r="G2430" s="20" t="s">
        <v>35</v>
      </c>
      <c r="H2430" s="20" t="s">
        <v>25</v>
      </c>
      <c r="I2430" s="21" t="s">
        <v>9441</v>
      </c>
      <c r="J2430" s="22">
        <f t="shared" si="185"/>
        <v>0.301388888889051</v>
      </c>
      <c r="K2430" s="22">
        <f t="shared" si="186"/>
        <v>7.23333333333721</v>
      </c>
      <c r="L2430" s="22">
        <f t="shared" si="187"/>
        <v>7.23333333333721</v>
      </c>
      <c r="M2430" s="22" cm="1">
        <f ca="1" t="array" ref="M2430">SUMPRODUCT(--(WEEKDAY(ROW(INDIRECT(INT(F2430)&amp;":"&amp;INT(I2430))),2)&gt;5))</f>
        <v>0</v>
      </c>
      <c r="N2430" s="22">
        <f ca="1" t="shared" si="188"/>
        <v>7.23333333333721</v>
      </c>
      <c r="O2430" s="22" t="str">
        <f ca="1" t="shared" si="189"/>
        <v>Within SLA</v>
      </c>
      <c r="P2430" s="26" t="s">
        <v>9439</v>
      </c>
      <c r="Q2430" s="24" t="s">
        <v>37</v>
      </c>
      <c r="R2430" s="25"/>
      <c r="S2430" s="25"/>
    </row>
    <row r="2431" ht="27" customHeight="1" spans="1:19">
      <c r="A2431" s="19" t="s">
        <v>9442</v>
      </c>
      <c r="B2431" s="20" t="s">
        <v>30</v>
      </c>
      <c r="C2431" s="20" t="s">
        <v>4889</v>
      </c>
      <c r="D2431" s="20" t="s">
        <v>32</v>
      </c>
      <c r="E2431" s="21" t="s">
        <v>9433</v>
      </c>
      <c r="F2431" s="21" t="s">
        <v>9443</v>
      </c>
      <c r="G2431" s="20" t="s">
        <v>35</v>
      </c>
      <c r="H2431" s="20" t="s">
        <v>25</v>
      </c>
      <c r="I2431" s="21" t="s">
        <v>9444</v>
      </c>
      <c r="J2431" s="22">
        <f t="shared" si="185"/>
        <v>0.974305555559113</v>
      </c>
      <c r="K2431" s="22">
        <f t="shared" si="186"/>
        <v>23.3833333334187</v>
      </c>
      <c r="L2431" s="22">
        <f t="shared" si="187"/>
        <v>7.3833333334187</v>
      </c>
      <c r="M2431" s="22" cm="1">
        <f ca="1" t="array" ref="M2431">SUMPRODUCT(--(WEEKDAY(ROW(INDIRECT(INT(F2431)&amp;":"&amp;INT(I2431))),2)&gt;5))</f>
        <v>0</v>
      </c>
      <c r="N2431" s="22">
        <f ca="1" t="shared" si="188"/>
        <v>7.3833333334187</v>
      </c>
      <c r="O2431" s="22" t="str">
        <f ca="1" t="shared" si="189"/>
        <v>Within SLA</v>
      </c>
      <c r="P2431" s="26" t="s">
        <v>9442</v>
      </c>
      <c r="Q2431" s="24" t="s">
        <v>37</v>
      </c>
      <c r="R2431" s="25"/>
      <c r="S2431" s="25"/>
    </row>
    <row r="2432" ht="39" customHeight="1" spans="1:19">
      <c r="A2432" s="19" t="s">
        <v>9445</v>
      </c>
      <c r="B2432" s="20" t="s">
        <v>19</v>
      </c>
      <c r="C2432" s="20" t="s">
        <v>20</v>
      </c>
      <c r="D2432" s="20" t="s">
        <v>32</v>
      </c>
      <c r="E2432" s="21" t="s">
        <v>9446</v>
      </c>
      <c r="F2432" s="21" t="s">
        <v>9447</v>
      </c>
      <c r="G2432" s="20" t="s">
        <v>35</v>
      </c>
      <c r="H2432" s="20" t="s">
        <v>25</v>
      </c>
      <c r="I2432" s="21" t="s">
        <v>9448</v>
      </c>
      <c r="J2432" s="22">
        <f t="shared" si="185"/>
        <v>7.05902777777374</v>
      </c>
      <c r="K2432" s="22">
        <f t="shared" si="186"/>
        <v>169.41666666657</v>
      </c>
      <c r="L2432" s="22">
        <f t="shared" si="187"/>
        <v>57.4166666665697</v>
      </c>
      <c r="M2432" s="22" cm="1">
        <f ca="1" t="array" ref="M2432">SUMPRODUCT(--(WEEKDAY(ROW(INDIRECT(INT(F2432)&amp;":"&amp;INT(I2432))),2)&gt;5))</f>
        <v>2</v>
      </c>
      <c r="N2432" s="22">
        <f ca="1" t="shared" si="188"/>
        <v>41.4166666665697</v>
      </c>
      <c r="O2432" s="22" t="str">
        <f ca="1" t="shared" si="189"/>
        <v>SLA Violated</v>
      </c>
      <c r="P2432" s="23" t="s">
        <v>9449</v>
      </c>
      <c r="Q2432" s="24" t="s">
        <v>37</v>
      </c>
      <c r="R2432" s="25" t="s">
        <v>38</v>
      </c>
      <c r="S2432" s="25" t="s">
        <v>39</v>
      </c>
    </row>
    <row r="2433" ht="39" customHeight="1" spans="1:19">
      <c r="A2433" s="19" t="s">
        <v>9450</v>
      </c>
      <c r="B2433" s="20" t="s">
        <v>19</v>
      </c>
      <c r="C2433" s="20" t="s">
        <v>20</v>
      </c>
      <c r="D2433" s="20" t="s">
        <v>32</v>
      </c>
      <c r="E2433" s="21" t="s">
        <v>9389</v>
      </c>
      <c r="F2433" s="21" t="s">
        <v>9451</v>
      </c>
      <c r="G2433" s="20" t="s">
        <v>35</v>
      </c>
      <c r="H2433" s="20" t="s">
        <v>25</v>
      </c>
      <c r="I2433" s="21" t="s">
        <v>9452</v>
      </c>
      <c r="J2433" s="22">
        <f t="shared" si="185"/>
        <v>1.02013888888905</v>
      </c>
      <c r="K2433" s="22">
        <f t="shared" si="186"/>
        <v>24.4833333333372</v>
      </c>
      <c r="L2433" s="22">
        <f t="shared" si="187"/>
        <v>8.48333333333721</v>
      </c>
      <c r="M2433" s="22" cm="1">
        <f ca="1" t="array" ref="M2433">SUMPRODUCT(--(WEEKDAY(ROW(INDIRECT(INT(F2433)&amp;":"&amp;INT(I2433))),2)&gt;5))</f>
        <v>0</v>
      </c>
      <c r="N2433" s="22">
        <f ca="1" t="shared" si="188"/>
        <v>8.48333333333721</v>
      </c>
      <c r="O2433" s="22" t="str">
        <f ca="1" t="shared" si="189"/>
        <v>Within SLA</v>
      </c>
      <c r="P2433" s="26" t="s">
        <v>9450</v>
      </c>
      <c r="Q2433" s="24" t="s">
        <v>37</v>
      </c>
      <c r="R2433" s="25"/>
      <c r="S2433" s="25"/>
    </row>
    <row r="2434" ht="27" customHeight="1" spans="1:19">
      <c r="A2434" s="19" t="s">
        <v>9453</v>
      </c>
      <c r="B2434" s="20" t="s">
        <v>30</v>
      </c>
      <c r="C2434" s="20" t="s">
        <v>31</v>
      </c>
      <c r="D2434" s="20" t="s">
        <v>32</v>
      </c>
      <c r="E2434" s="21" t="s">
        <v>9454</v>
      </c>
      <c r="F2434" s="21" t="s">
        <v>9455</v>
      </c>
      <c r="G2434" s="20" t="s">
        <v>35</v>
      </c>
      <c r="H2434" s="20" t="s">
        <v>25</v>
      </c>
      <c r="I2434" s="21" t="s">
        <v>9456</v>
      </c>
      <c r="J2434" s="22">
        <f t="shared" si="185"/>
        <v>2.86458333333576</v>
      </c>
      <c r="K2434" s="22">
        <f t="shared" si="186"/>
        <v>68.7500000000582</v>
      </c>
      <c r="L2434" s="22">
        <f t="shared" si="187"/>
        <v>20.7500000000582</v>
      </c>
      <c r="M2434" s="22" cm="1">
        <f ca="1" t="array" ref="M2434">SUMPRODUCT(--(WEEKDAY(ROW(INDIRECT(INT(F2434)&amp;":"&amp;INT(I2434))),2)&gt;5))</f>
        <v>0</v>
      </c>
      <c r="N2434" s="22">
        <f ca="1" t="shared" si="188"/>
        <v>20.7500000000582</v>
      </c>
      <c r="O2434" s="22" t="str">
        <f ca="1" t="shared" si="189"/>
        <v>SLA Violated</v>
      </c>
      <c r="P2434" s="26" t="s">
        <v>9453</v>
      </c>
      <c r="Q2434" s="24" t="s">
        <v>28</v>
      </c>
      <c r="R2434" s="25"/>
      <c r="S2434" s="25"/>
    </row>
    <row r="2435" ht="39" customHeight="1" spans="1:19">
      <c r="A2435" s="19" t="s">
        <v>9457</v>
      </c>
      <c r="B2435" s="20" t="s">
        <v>4167</v>
      </c>
      <c r="C2435" s="20" t="s">
        <v>4889</v>
      </c>
      <c r="D2435" s="20" t="s">
        <v>32</v>
      </c>
      <c r="E2435" s="21" t="s">
        <v>9458</v>
      </c>
      <c r="F2435" s="21" t="s">
        <v>9459</v>
      </c>
      <c r="G2435" s="20" t="s">
        <v>35</v>
      </c>
      <c r="H2435" s="20" t="s">
        <v>25</v>
      </c>
      <c r="I2435" s="21" t="s">
        <v>9460</v>
      </c>
      <c r="J2435" s="22">
        <f t="shared" ref="J2435:J2498" si="190">F2435-I2435</f>
        <v>6.26875000000291</v>
      </c>
      <c r="K2435" s="22">
        <f t="shared" ref="K2435:K2498" si="191">J2435*24</f>
        <v>150.45000000007</v>
      </c>
      <c r="L2435" s="22">
        <f t="shared" ref="L2435:L2498" si="192">IF(_xlfn.DAYS(F2435,I2435)&gt;0,K2435-IF(FLOOR(J2435,1)=0,1,_xlfn.DAYS(F2435,I2435))*16,K2435)</f>
        <v>54.4500000000698</v>
      </c>
      <c r="M2435" s="22" cm="1">
        <f ca="1" t="array" ref="M2435">SUMPRODUCT(--(WEEKDAY(ROW(INDIRECT(INT(F2435)&amp;":"&amp;INT(I2435))),2)&gt;5))</f>
        <v>2</v>
      </c>
      <c r="N2435" s="22">
        <f ca="1" t="shared" ref="N2435:N2498" si="193">IF(IF(M2435&gt;0,L2435-M2435*8,L2435)&lt;0,0,IF(M2435&gt;0,L2435-M2435*8,L2435))</f>
        <v>38.4500000000698</v>
      </c>
      <c r="O2435" s="22" t="str">
        <f ca="1" t="shared" ref="O2435:O2498" si="194">IF(OR(AND(D2435="P1",N2435&lt;=3),AND(D2435="P2",N2435&lt;=6),AND(D2435="P3",N2435&lt;=9),AND(D2435="P4",N2435&lt;=12)),"Within SLA","SLA Violated")</f>
        <v>SLA Violated</v>
      </c>
      <c r="P2435" s="23" t="s">
        <v>9461</v>
      </c>
      <c r="Q2435" s="24" t="s">
        <v>28</v>
      </c>
      <c r="R2435" s="25"/>
      <c r="S2435" s="25"/>
    </row>
    <row r="2436" ht="27" customHeight="1" spans="1:19">
      <c r="A2436" s="19" t="s">
        <v>9462</v>
      </c>
      <c r="B2436" s="20" t="s">
        <v>30</v>
      </c>
      <c r="C2436" s="20" t="s">
        <v>31</v>
      </c>
      <c r="D2436" s="20" t="s">
        <v>115</v>
      </c>
      <c r="E2436" s="21" t="s">
        <v>9463</v>
      </c>
      <c r="F2436" s="21" t="s">
        <v>9464</v>
      </c>
      <c r="G2436" s="20" t="s">
        <v>35</v>
      </c>
      <c r="H2436" s="20" t="s">
        <v>25</v>
      </c>
      <c r="I2436" s="21" t="s">
        <v>9465</v>
      </c>
      <c r="J2436" s="22">
        <f t="shared" si="190"/>
        <v>2.84236111111386</v>
      </c>
      <c r="K2436" s="22">
        <f t="shared" si="191"/>
        <v>68.2166666667326</v>
      </c>
      <c r="L2436" s="22">
        <f t="shared" si="192"/>
        <v>20.2166666667326</v>
      </c>
      <c r="M2436" s="22" cm="1">
        <f ca="1" t="array" ref="M2436">SUMPRODUCT(--(WEEKDAY(ROW(INDIRECT(INT(F2436)&amp;":"&amp;INT(I2436))),2)&gt;5))</f>
        <v>1</v>
      </c>
      <c r="N2436" s="22">
        <f ca="1" t="shared" si="193"/>
        <v>12.2166666667326</v>
      </c>
      <c r="O2436" s="22" t="str">
        <f ca="1" t="shared" si="194"/>
        <v>SLA Violated</v>
      </c>
      <c r="P2436" s="23" t="s">
        <v>9466</v>
      </c>
      <c r="Q2436" s="24" t="s">
        <v>28</v>
      </c>
      <c r="R2436" s="25"/>
      <c r="S2436" s="25"/>
    </row>
    <row r="2437" ht="27" customHeight="1" spans="1:19">
      <c r="A2437" s="19" t="s">
        <v>9467</v>
      </c>
      <c r="B2437" s="20" t="s">
        <v>30</v>
      </c>
      <c r="C2437" s="20" t="s">
        <v>31</v>
      </c>
      <c r="D2437" s="20" t="s">
        <v>21</v>
      </c>
      <c r="E2437" s="21" t="s">
        <v>9468</v>
      </c>
      <c r="F2437" s="21" t="s">
        <v>9469</v>
      </c>
      <c r="G2437" s="20" t="s">
        <v>35</v>
      </c>
      <c r="H2437" s="20" t="s">
        <v>25</v>
      </c>
      <c r="I2437" s="21" t="s">
        <v>9470</v>
      </c>
      <c r="J2437" s="22">
        <f t="shared" si="190"/>
        <v>7.9868055555562</v>
      </c>
      <c r="K2437" s="22">
        <f t="shared" si="191"/>
        <v>191.683333333349</v>
      </c>
      <c r="L2437" s="22">
        <f t="shared" si="192"/>
        <v>63.6833333333489</v>
      </c>
      <c r="M2437" s="22" cm="1">
        <f ca="1" t="array" ref="M2437">SUMPRODUCT(--(WEEKDAY(ROW(INDIRECT(INT(F2437)&amp;":"&amp;INT(I2437))),2)&gt;5))</f>
        <v>2</v>
      </c>
      <c r="N2437" s="22">
        <f ca="1" t="shared" si="193"/>
        <v>47.6833333333489</v>
      </c>
      <c r="O2437" s="22" t="str">
        <f ca="1" t="shared" si="194"/>
        <v>SLA Violated</v>
      </c>
      <c r="P2437" s="23" t="s">
        <v>9471</v>
      </c>
      <c r="Q2437" s="24" t="s">
        <v>28</v>
      </c>
      <c r="R2437" s="25"/>
      <c r="S2437" s="25"/>
    </row>
    <row r="2438" ht="27" customHeight="1" spans="1:19">
      <c r="A2438" s="19" t="s">
        <v>9472</v>
      </c>
      <c r="B2438" s="20" t="s">
        <v>30</v>
      </c>
      <c r="C2438" s="20" t="s">
        <v>4889</v>
      </c>
      <c r="D2438" s="20" t="s">
        <v>32</v>
      </c>
      <c r="E2438" s="21" t="s">
        <v>9473</v>
      </c>
      <c r="F2438" s="21" t="s">
        <v>9474</v>
      </c>
      <c r="G2438" s="20" t="s">
        <v>35</v>
      </c>
      <c r="H2438" s="20" t="s">
        <v>25</v>
      </c>
      <c r="I2438" s="21" t="s">
        <v>9475</v>
      </c>
      <c r="J2438" s="22">
        <f t="shared" si="190"/>
        <v>0.21875</v>
      </c>
      <c r="K2438" s="22">
        <f t="shared" si="191"/>
        <v>5.25</v>
      </c>
      <c r="L2438" s="22">
        <f t="shared" si="192"/>
        <v>5.25</v>
      </c>
      <c r="M2438" s="22" cm="1">
        <f ca="1" t="array" ref="M2438">SUMPRODUCT(--(WEEKDAY(ROW(INDIRECT(INT(F2438)&amp;":"&amp;INT(I2438))),2)&gt;5))</f>
        <v>0</v>
      </c>
      <c r="N2438" s="22">
        <f ca="1" t="shared" si="193"/>
        <v>5.25</v>
      </c>
      <c r="O2438" s="22" t="str">
        <f ca="1" t="shared" si="194"/>
        <v>Within SLA</v>
      </c>
      <c r="P2438" s="26" t="s">
        <v>9472</v>
      </c>
      <c r="Q2438" s="24" t="s">
        <v>37</v>
      </c>
      <c r="R2438" s="25"/>
      <c r="S2438" s="25"/>
    </row>
    <row r="2439" ht="27" customHeight="1" spans="1:19">
      <c r="A2439" s="19" t="s">
        <v>9476</v>
      </c>
      <c r="B2439" s="20" t="s">
        <v>30</v>
      </c>
      <c r="C2439" s="20" t="s">
        <v>31</v>
      </c>
      <c r="D2439" s="20" t="s">
        <v>32</v>
      </c>
      <c r="E2439" s="21" t="s">
        <v>9477</v>
      </c>
      <c r="F2439" s="21" t="s">
        <v>9478</v>
      </c>
      <c r="G2439" s="20" t="s">
        <v>35</v>
      </c>
      <c r="H2439" s="20" t="s">
        <v>25</v>
      </c>
      <c r="I2439" s="21" t="s">
        <v>9479</v>
      </c>
      <c r="J2439" s="22">
        <f t="shared" si="190"/>
        <v>12.9625000000015</v>
      </c>
      <c r="K2439" s="22">
        <f t="shared" si="191"/>
        <v>311.100000000035</v>
      </c>
      <c r="L2439" s="22">
        <f t="shared" si="192"/>
        <v>103.100000000035</v>
      </c>
      <c r="M2439" s="22" cm="1">
        <f ca="1" t="array" ref="M2439">SUMPRODUCT(--(WEEKDAY(ROW(INDIRECT(INT(F2439)&amp;":"&amp;INT(I2439))),2)&gt;5))</f>
        <v>4</v>
      </c>
      <c r="N2439" s="22">
        <f ca="1" t="shared" si="193"/>
        <v>71.100000000035</v>
      </c>
      <c r="O2439" s="22" t="str">
        <f ca="1" t="shared" si="194"/>
        <v>SLA Violated</v>
      </c>
      <c r="P2439" s="26" t="s">
        <v>9476</v>
      </c>
      <c r="Q2439" s="24" t="s">
        <v>28</v>
      </c>
      <c r="R2439" s="25"/>
      <c r="S2439" s="25"/>
    </row>
    <row r="2440" ht="39" customHeight="1" spans="1:19">
      <c r="A2440" s="19" t="s">
        <v>9480</v>
      </c>
      <c r="B2440" s="20" t="s">
        <v>19</v>
      </c>
      <c r="C2440" s="20" t="s">
        <v>20</v>
      </c>
      <c r="D2440" s="20" t="s">
        <v>32</v>
      </c>
      <c r="E2440" s="21" t="s">
        <v>9477</v>
      </c>
      <c r="F2440" s="21" t="s">
        <v>9481</v>
      </c>
      <c r="G2440" s="20" t="s">
        <v>35</v>
      </c>
      <c r="H2440" s="20" t="s">
        <v>25</v>
      </c>
      <c r="I2440" s="21" t="s">
        <v>9482</v>
      </c>
      <c r="J2440" s="22">
        <f t="shared" si="190"/>
        <v>0.0451388888905058</v>
      </c>
      <c r="K2440" s="22">
        <f t="shared" si="191"/>
        <v>1.08333333337214</v>
      </c>
      <c r="L2440" s="22">
        <f t="shared" si="192"/>
        <v>1.08333333337214</v>
      </c>
      <c r="M2440" s="22" cm="1">
        <f ca="1" t="array" ref="M2440">SUMPRODUCT(--(WEEKDAY(ROW(INDIRECT(INT(F2440)&amp;":"&amp;INT(I2440))),2)&gt;5))</f>
        <v>0</v>
      </c>
      <c r="N2440" s="22">
        <f ca="1" t="shared" si="193"/>
        <v>1.08333333337214</v>
      </c>
      <c r="O2440" s="22" t="str">
        <f ca="1" t="shared" si="194"/>
        <v>Within SLA</v>
      </c>
      <c r="P2440" s="26" t="s">
        <v>9480</v>
      </c>
      <c r="Q2440" s="24" t="s">
        <v>37</v>
      </c>
      <c r="R2440" s="25"/>
      <c r="S2440" s="25"/>
    </row>
    <row r="2441" ht="27" customHeight="1" spans="1:19">
      <c r="A2441" s="19" t="s">
        <v>9483</v>
      </c>
      <c r="B2441" s="20" t="s">
        <v>30</v>
      </c>
      <c r="C2441" s="20" t="s">
        <v>31</v>
      </c>
      <c r="D2441" s="20" t="s">
        <v>32</v>
      </c>
      <c r="E2441" s="21" t="s">
        <v>9484</v>
      </c>
      <c r="F2441" s="21" t="s">
        <v>9485</v>
      </c>
      <c r="G2441" s="20" t="s">
        <v>35</v>
      </c>
      <c r="H2441" s="20" t="s">
        <v>25</v>
      </c>
      <c r="I2441" s="21" t="s">
        <v>9486</v>
      </c>
      <c r="J2441" s="22">
        <f t="shared" si="190"/>
        <v>2.79097222221753</v>
      </c>
      <c r="K2441" s="22">
        <f t="shared" si="191"/>
        <v>66.9833333332208</v>
      </c>
      <c r="L2441" s="22">
        <f t="shared" si="192"/>
        <v>18.9833333332208</v>
      </c>
      <c r="M2441" s="22" cm="1">
        <f ca="1" t="array" ref="M2441">SUMPRODUCT(--(WEEKDAY(ROW(INDIRECT(INT(F2441)&amp;":"&amp;INT(I2441))),2)&gt;5))</f>
        <v>0</v>
      </c>
      <c r="N2441" s="22">
        <f ca="1" t="shared" si="193"/>
        <v>18.9833333332208</v>
      </c>
      <c r="O2441" s="22" t="str">
        <f ca="1" t="shared" si="194"/>
        <v>SLA Violated</v>
      </c>
      <c r="P2441" s="26" t="s">
        <v>9483</v>
      </c>
      <c r="Q2441" s="24" t="s">
        <v>28</v>
      </c>
      <c r="R2441" s="25"/>
      <c r="S2441" s="25"/>
    </row>
    <row r="2442" ht="27" customHeight="1" spans="1:19">
      <c r="A2442" s="19" t="s">
        <v>9487</v>
      </c>
      <c r="B2442" s="20" t="s">
        <v>30</v>
      </c>
      <c r="C2442" s="20" t="s">
        <v>31</v>
      </c>
      <c r="D2442" s="20" t="s">
        <v>32</v>
      </c>
      <c r="E2442" s="21" t="s">
        <v>9488</v>
      </c>
      <c r="F2442" s="21" t="s">
        <v>9489</v>
      </c>
      <c r="G2442" s="20" t="s">
        <v>35</v>
      </c>
      <c r="H2442" s="20" t="s">
        <v>25</v>
      </c>
      <c r="I2442" s="21" t="s">
        <v>9490</v>
      </c>
      <c r="J2442" s="22">
        <f t="shared" si="190"/>
        <v>4.17500000000291</v>
      </c>
      <c r="K2442" s="22">
        <f t="shared" si="191"/>
        <v>100.20000000007</v>
      </c>
      <c r="L2442" s="22">
        <f t="shared" si="192"/>
        <v>36.2000000000698</v>
      </c>
      <c r="M2442" s="22" cm="1">
        <f ca="1" t="array" ref="M2442">SUMPRODUCT(--(WEEKDAY(ROW(INDIRECT(INT(F2442)&amp;":"&amp;INT(I2442))),2)&gt;5))</f>
        <v>1</v>
      </c>
      <c r="N2442" s="22">
        <f ca="1" t="shared" si="193"/>
        <v>28.2000000000698</v>
      </c>
      <c r="O2442" s="22" t="str">
        <f ca="1" t="shared" si="194"/>
        <v>SLA Violated</v>
      </c>
      <c r="P2442" s="26" t="s">
        <v>9487</v>
      </c>
      <c r="Q2442" s="24" t="s">
        <v>28</v>
      </c>
      <c r="R2442" s="25"/>
      <c r="S2442" s="25"/>
    </row>
    <row r="2443" ht="27" customHeight="1" spans="1:19">
      <c r="A2443" s="19" t="s">
        <v>9491</v>
      </c>
      <c r="B2443" s="20" t="s">
        <v>30</v>
      </c>
      <c r="C2443" s="20" t="s">
        <v>4889</v>
      </c>
      <c r="D2443" s="20" t="s">
        <v>32</v>
      </c>
      <c r="E2443" s="21" t="s">
        <v>9492</v>
      </c>
      <c r="F2443" s="21" t="s">
        <v>9493</v>
      </c>
      <c r="G2443" s="20" t="s">
        <v>35</v>
      </c>
      <c r="H2443" s="20" t="s">
        <v>25</v>
      </c>
      <c r="I2443" s="21" t="s">
        <v>9494</v>
      </c>
      <c r="J2443" s="22">
        <f t="shared" si="190"/>
        <v>1.87361111110658</v>
      </c>
      <c r="K2443" s="22">
        <f t="shared" si="191"/>
        <v>44.966666666558</v>
      </c>
      <c r="L2443" s="22">
        <f t="shared" si="192"/>
        <v>12.966666666558</v>
      </c>
      <c r="M2443" s="22" cm="1">
        <f ca="1" t="array" ref="M2443">SUMPRODUCT(--(WEEKDAY(ROW(INDIRECT(INT(F2443)&amp;":"&amp;INT(I2443))),2)&gt;5))</f>
        <v>0</v>
      </c>
      <c r="N2443" s="22">
        <f ca="1" t="shared" si="193"/>
        <v>12.966666666558</v>
      </c>
      <c r="O2443" s="22" t="str">
        <f ca="1" t="shared" si="194"/>
        <v>SLA Violated</v>
      </c>
      <c r="P2443" s="23" t="s">
        <v>9495</v>
      </c>
      <c r="Q2443" s="24" t="s">
        <v>28</v>
      </c>
      <c r="R2443" s="25"/>
      <c r="S2443" s="25"/>
    </row>
    <row r="2444" ht="27" customHeight="1" spans="1:19">
      <c r="A2444" s="19" t="s">
        <v>9496</v>
      </c>
      <c r="B2444" s="20" t="s">
        <v>30</v>
      </c>
      <c r="C2444" s="20" t="s">
        <v>31</v>
      </c>
      <c r="D2444" s="20" t="s">
        <v>32</v>
      </c>
      <c r="E2444" s="21" t="s">
        <v>9497</v>
      </c>
      <c r="F2444" s="21" t="s">
        <v>9498</v>
      </c>
      <c r="G2444" s="20" t="s">
        <v>35</v>
      </c>
      <c r="H2444" s="20" t="s">
        <v>25</v>
      </c>
      <c r="I2444" s="21" t="s">
        <v>9499</v>
      </c>
      <c r="J2444" s="22">
        <f t="shared" si="190"/>
        <v>3.90277777778101</v>
      </c>
      <c r="K2444" s="22">
        <f t="shared" si="191"/>
        <v>93.6666666667443</v>
      </c>
      <c r="L2444" s="22">
        <f t="shared" si="192"/>
        <v>29.6666666667443</v>
      </c>
      <c r="M2444" s="22" cm="1">
        <f ca="1" t="array" ref="M2444">SUMPRODUCT(--(WEEKDAY(ROW(INDIRECT(INT(F2444)&amp;":"&amp;INT(I2444))),2)&gt;5))</f>
        <v>1</v>
      </c>
      <c r="N2444" s="22">
        <f ca="1" t="shared" si="193"/>
        <v>21.6666666667443</v>
      </c>
      <c r="O2444" s="22" t="str">
        <f ca="1" t="shared" si="194"/>
        <v>SLA Violated</v>
      </c>
      <c r="P2444" s="26" t="s">
        <v>9496</v>
      </c>
      <c r="Q2444" s="24" t="s">
        <v>28</v>
      </c>
      <c r="R2444" s="25"/>
      <c r="S2444" s="25"/>
    </row>
    <row r="2445" ht="39" customHeight="1" spans="1:19">
      <c r="A2445" s="19" t="s">
        <v>9500</v>
      </c>
      <c r="B2445" s="20" t="s">
        <v>19</v>
      </c>
      <c r="C2445" s="20" t="s">
        <v>20</v>
      </c>
      <c r="D2445" s="20" t="s">
        <v>32</v>
      </c>
      <c r="E2445" s="21" t="s">
        <v>9501</v>
      </c>
      <c r="F2445" s="21" t="s">
        <v>9502</v>
      </c>
      <c r="G2445" s="20" t="s">
        <v>35</v>
      </c>
      <c r="H2445" s="20" t="s">
        <v>25</v>
      </c>
      <c r="I2445" s="21" t="s">
        <v>9503</v>
      </c>
      <c r="J2445" s="22">
        <f t="shared" si="190"/>
        <v>0.00972222222480923</v>
      </c>
      <c r="K2445" s="22">
        <f t="shared" si="191"/>
        <v>0.233333333395422</v>
      </c>
      <c r="L2445" s="22">
        <f t="shared" si="192"/>
        <v>0.233333333395422</v>
      </c>
      <c r="M2445" s="22" cm="1">
        <f ca="1" t="array" ref="M2445">SUMPRODUCT(--(WEEKDAY(ROW(INDIRECT(INT(F2445)&amp;":"&amp;INT(I2445))),2)&gt;5))</f>
        <v>0</v>
      </c>
      <c r="N2445" s="22">
        <f ca="1" t="shared" si="193"/>
        <v>0.233333333395422</v>
      </c>
      <c r="O2445" s="22" t="str">
        <f ca="1" t="shared" si="194"/>
        <v>Within SLA</v>
      </c>
      <c r="P2445" s="26" t="s">
        <v>9500</v>
      </c>
      <c r="Q2445" s="24" t="s">
        <v>37</v>
      </c>
      <c r="R2445" s="25"/>
      <c r="S2445" s="25"/>
    </row>
    <row r="2446" ht="27" customHeight="1" spans="1:19">
      <c r="A2446" s="19" t="s">
        <v>9504</v>
      </c>
      <c r="B2446" s="20" t="s">
        <v>30</v>
      </c>
      <c r="C2446" s="20" t="s">
        <v>31</v>
      </c>
      <c r="D2446" s="20" t="s">
        <v>32</v>
      </c>
      <c r="E2446" s="21" t="s">
        <v>9505</v>
      </c>
      <c r="F2446" s="21" t="s">
        <v>9506</v>
      </c>
      <c r="G2446" s="20" t="s">
        <v>35</v>
      </c>
      <c r="H2446" s="20" t="s">
        <v>25</v>
      </c>
      <c r="I2446" s="21" t="s">
        <v>9507</v>
      </c>
      <c r="J2446" s="22">
        <f t="shared" si="190"/>
        <v>13.0284722222277</v>
      </c>
      <c r="K2446" s="22">
        <f t="shared" si="191"/>
        <v>312.683333333465</v>
      </c>
      <c r="L2446" s="22">
        <f t="shared" si="192"/>
        <v>104.683333333465</v>
      </c>
      <c r="M2446" s="22" cm="1">
        <f ca="1" t="array" ref="M2446">SUMPRODUCT(--(WEEKDAY(ROW(INDIRECT(INT(F2446)&amp;":"&amp;INT(I2446))),2)&gt;5))</f>
        <v>4</v>
      </c>
      <c r="N2446" s="22">
        <f ca="1" t="shared" si="193"/>
        <v>72.683333333465</v>
      </c>
      <c r="O2446" s="22" t="str">
        <f ca="1" t="shared" si="194"/>
        <v>SLA Violated</v>
      </c>
      <c r="P2446" s="26" t="s">
        <v>9504</v>
      </c>
      <c r="Q2446" s="24" t="s">
        <v>28</v>
      </c>
      <c r="R2446" s="25"/>
      <c r="S2446" s="25"/>
    </row>
    <row r="2447" ht="27" customHeight="1" spans="1:19">
      <c r="A2447" s="19" t="s">
        <v>9508</v>
      </c>
      <c r="B2447" s="20" t="s">
        <v>30</v>
      </c>
      <c r="C2447" s="20" t="s">
        <v>4889</v>
      </c>
      <c r="D2447" s="20" t="s">
        <v>32</v>
      </c>
      <c r="E2447" s="21" t="s">
        <v>9505</v>
      </c>
      <c r="F2447" s="21" t="s">
        <v>9509</v>
      </c>
      <c r="G2447" s="20" t="s">
        <v>35</v>
      </c>
      <c r="H2447" s="20" t="s">
        <v>25</v>
      </c>
      <c r="I2447" s="21" t="s">
        <v>9510</v>
      </c>
      <c r="J2447" s="22">
        <f t="shared" si="190"/>
        <v>0.914583333331393</v>
      </c>
      <c r="K2447" s="22">
        <f t="shared" si="191"/>
        <v>21.9499999999534</v>
      </c>
      <c r="L2447" s="22">
        <f t="shared" si="192"/>
        <v>5.94999999995343</v>
      </c>
      <c r="M2447" s="22" cm="1">
        <f ca="1" t="array" ref="M2447">SUMPRODUCT(--(WEEKDAY(ROW(INDIRECT(INT(F2447)&amp;":"&amp;INT(I2447))),2)&gt;5))</f>
        <v>0</v>
      </c>
      <c r="N2447" s="22">
        <f ca="1" t="shared" si="193"/>
        <v>5.94999999995343</v>
      </c>
      <c r="O2447" s="22" t="str">
        <f ca="1" t="shared" si="194"/>
        <v>Within SLA</v>
      </c>
      <c r="P2447" s="26" t="s">
        <v>9508</v>
      </c>
      <c r="Q2447" s="24" t="s">
        <v>37</v>
      </c>
      <c r="R2447" s="25"/>
      <c r="S2447" s="25"/>
    </row>
    <row r="2448" ht="27" customHeight="1" spans="1:19">
      <c r="A2448" s="19" t="s">
        <v>9511</v>
      </c>
      <c r="B2448" s="20" t="s">
        <v>30</v>
      </c>
      <c r="C2448" s="20" t="s">
        <v>31</v>
      </c>
      <c r="D2448" s="20" t="s">
        <v>32</v>
      </c>
      <c r="E2448" s="21" t="s">
        <v>9512</v>
      </c>
      <c r="F2448" s="21" t="s">
        <v>9513</v>
      </c>
      <c r="G2448" s="20" t="s">
        <v>35</v>
      </c>
      <c r="H2448" s="20" t="s">
        <v>25</v>
      </c>
      <c r="I2448" s="21" t="s">
        <v>9514</v>
      </c>
      <c r="J2448" s="22">
        <f t="shared" si="190"/>
        <v>1.02430555555475</v>
      </c>
      <c r="K2448" s="22">
        <f t="shared" si="191"/>
        <v>24.5833333333139</v>
      </c>
      <c r="L2448" s="22">
        <f t="shared" si="192"/>
        <v>8.58333333331393</v>
      </c>
      <c r="M2448" s="22" cm="1">
        <f ca="1" t="array" ref="M2448">SUMPRODUCT(--(WEEKDAY(ROW(INDIRECT(INT(F2448)&amp;":"&amp;INT(I2448))),2)&gt;5))</f>
        <v>0</v>
      </c>
      <c r="N2448" s="22">
        <f ca="1" t="shared" si="193"/>
        <v>8.58333333331393</v>
      </c>
      <c r="O2448" s="22" t="str">
        <f ca="1" t="shared" si="194"/>
        <v>Within SLA</v>
      </c>
      <c r="P2448" s="26" t="s">
        <v>9511</v>
      </c>
      <c r="Q2448" s="24" t="s">
        <v>37</v>
      </c>
      <c r="R2448" s="25"/>
      <c r="S2448" s="25"/>
    </row>
    <row r="2449" ht="27" customHeight="1" spans="1:19">
      <c r="A2449" s="19" t="s">
        <v>9515</v>
      </c>
      <c r="B2449" s="20" t="s">
        <v>30</v>
      </c>
      <c r="C2449" s="20" t="s">
        <v>31</v>
      </c>
      <c r="D2449" s="20" t="s">
        <v>32</v>
      </c>
      <c r="E2449" s="21" t="s">
        <v>9516</v>
      </c>
      <c r="F2449" s="21" t="s">
        <v>9517</v>
      </c>
      <c r="G2449" s="20" t="s">
        <v>35</v>
      </c>
      <c r="H2449" s="20" t="s">
        <v>25</v>
      </c>
      <c r="I2449" s="21" t="s">
        <v>9518</v>
      </c>
      <c r="J2449" s="22">
        <f t="shared" si="190"/>
        <v>13.0638888888934</v>
      </c>
      <c r="K2449" s="22">
        <f t="shared" si="191"/>
        <v>313.533333333442</v>
      </c>
      <c r="L2449" s="22">
        <f t="shared" si="192"/>
        <v>105.533333333442</v>
      </c>
      <c r="M2449" s="22" cm="1">
        <f ca="1" t="array" ref="M2449">SUMPRODUCT(--(WEEKDAY(ROW(INDIRECT(INT(F2449)&amp;":"&amp;INT(I2449))),2)&gt;5))</f>
        <v>4</v>
      </c>
      <c r="N2449" s="22">
        <f ca="1" t="shared" si="193"/>
        <v>73.533333333442</v>
      </c>
      <c r="O2449" s="22" t="str">
        <f ca="1" t="shared" si="194"/>
        <v>SLA Violated</v>
      </c>
      <c r="P2449" s="26" t="s">
        <v>9515</v>
      </c>
      <c r="Q2449" s="24" t="s">
        <v>28</v>
      </c>
      <c r="R2449" s="25"/>
      <c r="S2449" s="25"/>
    </row>
    <row r="2450" ht="39" customHeight="1" spans="1:19">
      <c r="A2450" s="19" t="s">
        <v>9519</v>
      </c>
      <c r="B2450" s="20" t="s">
        <v>19</v>
      </c>
      <c r="C2450" s="20" t="s">
        <v>20</v>
      </c>
      <c r="D2450" s="20" t="s">
        <v>32</v>
      </c>
      <c r="E2450" s="21" t="s">
        <v>9520</v>
      </c>
      <c r="F2450" s="21" t="s">
        <v>9521</v>
      </c>
      <c r="G2450" s="20" t="s">
        <v>35</v>
      </c>
      <c r="H2450" s="20" t="s">
        <v>25</v>
      </c>
      <c r="I2450" s="21" t="s">
        <v>9522</v>
      </c>
      <c r="J2450" s="22">
        <f t="shared" si="190"/>
        <v>0.0819444444423425</v>
      </c>
      <c r="K2450" s="22">
        <f t="shared" si="191"/>
        <v>1.96666666661622</v>
      </c>
      <c r="L2450" s="22">
        <f t="shared" si="192"/>
        <v>1.96666666661622</v>
      </c>
      <c r="M2450" s="22" cm="1">
        <f ca="1" t="array" ref="M2450">SUMPRODUCT(--(WEEKDAY(ROW(INDIRECT(INT(F2450)&amp;":"&amp;INT(I2450))),2)&gt;5))</f>
        <v>0</v>
      </c>
      <c r="N2450" s="22">
        <f ca="1" t="shared" si="193"/>
        <v>1.96666666661622</v>
      </c>
      <c r="O2450" s="22" t="str">
        <f ca="1" t="shared" si="194"/>
        <v>Within SLA</v>
      </c>
      <c r="P2450" s="26" t="s">
        <v>9519</v>
      </c>
      <c r="Q2450" s="24" t="s">
        <v>37</v>
      </c>
      <c r="R2450" s="25"/>
      <c r="S2450" s="25"/>
    </row>
    <row r="2451" ht="39" customHeight="1" spans="1:19">
      <c r="A2451" s="19" t="s">
        <v>9523</v>
      </c>
      <c r="B2451" s="20" t="s">
        <v>19</v>
      </c>
      <c r="C2451" s="20" t="s">
        <v>20</v>
      </c>
      <c r="D2451" s="20" t="s">
        <v>32</v>
      </c>
      <c r="E2451" s="21" t="s">
        <v>9520</v>
      </c>
      <c r="F2451" s="21" t="s">
        <v>9524</v>
      </c>
      <c r="G2451" s="20" t="s">
        <v>35</v>
      </c>
      <c r="H2451" s="20" t="s">
        <v>25</v>
      </c>
      <c r="I2451" s="21" t="s">
        <v>9525</v>
      </c>
      <c r="J2451" s="22">
        <f t="shared" si="190"/>
        <v>1.07222222222481</v>
      </c>
      <c r="K2451" s="22">
        <f t="shared" si="191"/>
        <v>25.7333333333954</v>
      </c>
      <c r="L2451" s="22">
        <f t="shared" si="192"/>
        <v>9.73333333339542</v>
      </c>
      <c r="M2451" s="22" cm="1">
        <f ca="1" t="array" ref="M2451">SUMPRODUCT(--(WEEKDAY(ROW(INDIRECT(INT(F2451)&amp;":"&amp;INT(I2451))),2)&gt;5))</f>
        <v>0</v>
      </c>
      <c r="N2451" s="22">
        <f ca="1" t="shared" si="193"/>
        <v>9.73333333339542</v>
      </c>
      <c r="O2451" s="22" t="str">
        <f ca="1" t="shared" si="194"/>
        <v>Within SLA</v>
      </c>
      <c r="P2451" s="26" t="s">
        <v>9523</v>
      </c>
      <c r="Q2451" s="24" t="s">
        <v>37</v>
      </c>
      <c r="R2451" s="25"/>
      <c r="S2451" s="25"/>
    </row>
    <row r="2452" ht="39" customHeight="1" spans="1:19">
      <c r="A2452" s="19" t="s">
        <v>9526</v>
      </c>
      <c r="B2452" s="20" t="s">
        <v>19</v>
      </c>
      <c r="C2452" s="20" t="s">
        <v>20</v>
      </c>
      <c r="D2452" s="20" t="s">
        <v>32</v>
      </c>
      <c r="E2452" s="21" t="s">
        <v>9527</v>
      </c>
      <c r="F2452" s="21" t="s">
        <v>9528</v>
      </c>
      <c r="G2452" s="20" t="s">
        <v>35</v>
      </c>
      <c r="H2452" s="20" t="s">
        <v>25</v>
      </c>
      <c r="I2452" s="21" t="s">
        <v>9529</v>
      </c>
      <c r="J2452" s="22">
        <f t="shared" si="190"/>
        <v>0.00416666666569654</v>
      </c>
      <c r="K2452" s="22">
        <f t="shared" si="191"/>
        <v>0.0999999999767169</v>
      </c>
      <c r="L2452" s="22">
        <f t="shared" si="192"/>
        <v>0.0999999999767169</v>
      </c>
      <c r="M2452" s="22" cm="1">
        <f ca="1" t="array" ref="M2452">SUMPRODUCT(--(WEEKDAY(ROW(INDIRECT(INT(F2452)&amp;":"&amp;INT(I2452))),2)&gt;5))</f>
        <v>0</v>
      </c>
      <c r="N2452" s="22">
        <f ca="1" t="shared" si="193"/>
        <v>0.0999999999767169</v>
      </c>
      <c r="O2452" s="22" t="str">
        <f ca="1" t="shared" si="194"/>
        <v>Within SLA</v>
      </c>
      <c r="P2452" s="26" t="s">
        <v>9526</v>
      </c>
      <c r="Q2452" s="24" t="s">
        <v>37</v>
      </c>
      <c r="R2452" s="25"/>
      <c r="S2452" s="25"/>
    </row>
    <row r="2453" ht="39" customHeight="1" spans="1:19">
      <c r="A2453" s="19" t="s">
        <v>9530</v>
      </c>
      <c r="B2453" s="20" t="s">
        <v>196</v>
      </c>
      <c r="C2453" s="20" t="s">
        <v>46</v>
      </c>
      <c r="D2453" s="20" t="s">
        <v>21</v>
      </c>
      <c r="E2453" s="21" t="s">
        <v>9531</v>
      </c>
      <c r="F2453" s="21" t="s">
        <v>9532</v>
      </c>
      <c r="G2453" s="20" t="s">
        <v>35</v>
      </c>
      <c r="H2453" s="20" t="s">
        <v>25</v>
      </c>
      <c r="I2453" s="21" t="s">
        <v>9533</v>
      </c>
      <c r="J2453" s="22">
        <f t="shared" si="190"/>
        <v>0.0451388888905058</v>
      </c>
      <c r="K2453" s="22">
        <f t="shared" si="191"/>
        <v>1.08333333337214</v>
      </c>
      <c r="L2453" s="22">
        <f t="shared" si="192"/>
        <v>1.08333333337214</v>
      </c>
      <c r="M2453" s="22" cm="1">
        <f ca="1" t="array" ref="M2453">SUMPRODUCT(--(WEEKDAY(ROW(INDIRECT(INT(F2453)&amp;":"&amp;INT(I2453))),2)&gt;5))</f>
        <v>0</v>
      </c>
      <c r="N2453" s="22">
        <f ca="1" t="shared" si="193"/>
        <v>1.08333333337214</v>
      </c>
      <c r="O2453" s="22" t="str">
        <f ca="1" t="shared" si="194"/>
        <v>Within SLA</v>
      </c>
      <c r="P2453" s="26" t="s">
        <v>9530</v>
      </c>
      <c r="Q2453" s="24" t="s">
        <v>37</v>
      </c>
      <c r="R2453" s="25"/>
      <c r="S2453" s="25"/>
    </row>
    <row r="2454" ht="27" customHeight="1" spans="1:19">
      <c r="A2454" s="19" t="s">
        <v>9534</v>
      </c>
      <c r="B2454" s="20" t="s">
        <v>30</v>
      </c>
      <c r="C2454" s="20" t="s">
        <v>101</v>
      </c>
      <c r="D2454" s="20" t="s">
        <v>32</v>
      </c>
      <c r="E2454" s="21" t="s">
        <v>9531</v>
      </c>
      <c r="F2454" s="21" t="s">
        <v>9535</v>
      </c>
      <c r="G2454" s="20" t="s">
        <v>35</v>
      </c>
      <c r="H2454" s="20" t="s">
        <v>25</v>
      </c>
      <c r="I2454" s="21" t="s">
        <v>9536</v>
      </c>
      <c r="J2454" s="22">
        <f t="shared" si="190"/>
        <v>0.191666666665697</v>
      </c>
      <c r="K2454" s="22">
        <f t="shared" si="191"/>
        <v>4.59999999997672</v>
      </c>
      <c r="L2454" s="22">
        <f t="shared" si="192"/>
        <v>4.59999999997672</v>
      </c>
      <c r="M2454" s="22" cm="1">
        <f ca="1" t="array" ref="M2454">SUMPRODUCT(--(WEEKDAY(ROW(INDIRECT(INT(F2454)&amp;":"&amp;INT(I2454))),2)&gt;5))</f>
        <v>0</v>
      </c>
      <c r="N2454" s="22">
        <f ca="1" t="shared" si="193"/>
        <v>4.59999999997672</v>
      </c>
      <c r="O2454" s="22" t="str">
        <f ca="1" t="shared" si="194"/>
        <v>Within SLA</v>
      </c>
      <c r="P2454" s="26" t="s">
        <v>9534</v>
      </c>
      <c r="Q2454" s="24" t="s">
        <v>37</v>
      </c>
      <c r="R2454" s="25"/>
      <c r="S2454" s="25"/>
    </row>
    <row r="2455" ht="39" customHeight="1" spans="1:19">
      <c r="A2455" s="19" t="s">
        <v>9537</v>
      </c>
      <c r="B2455" s="20" t="s">
        <v>196</v>
      </c>
      <c r="C2455" s="20" t="s">
        <v>46</v>
      </c>
      <c r="D2455" s="20" t="s">
        <v>21</v>
      </c>
      <c r="E2455" s="21" t="s">
        <v>9538</v>
      </c>
      <c r="F2455" s="21" t="s">
        <v>9539</v>
      </c>
      <c r="G2455" s="20" t="s">
        <v>35</v>
      </c>
      <c r="H2455" s="20" t="s">
        <v>25</v>
      </c>
      <c r="I2455" s="21" t="s">
        <v>9540</v>
      </c>
      <c r="J2455" s="22">
        <f t="shared" si="190"/>
        <v>0.0659722222262644</v>
      </c>
      <c r="K2455" s="22">
        <f t="shared" si="191"/>
        <v>1.58333333343035</v>
      </c>
      <c r="L2455" s="22">
        <f t="shared" si="192"/>
        <v>1.58333333343035</v>
      </c>
      <c r="M2455" s="22" cm="1">
        <f ca="1" t="array" ref="M2455">SUMPRODUCT(--(WEEKDAY(ROW(INDIRECT(INT(F2455)&amp;":"&amp;INT(I2455))),2)&gt;5))</f>
        <v>0</v>
      </c>
      <c r="N2455" s="22">
        <f ca="1" t="shared" si="193"/>
        <v>1.58333333343035</v>
      </c>
      <c r="O2455" s="22" t="str">
        <f ca="1" t="shared" si="194"/>
        <v>Within SLA</v>
      </c>
      <c r="P2455" s="26" t="s">
        <v>9537</v>
      </c>
      <c r="Q2455" s="24" t="s">
        <v>37</v>
      </c>
      <c r="R2455" s="25"/>
      <c r="S2455" s="25"/>
    </row>
    <row r="2456" ht="27" customHeight="1" spans="1:19">
      <c r="A2456" s="19" t="s">
        <v>9541</v>
      </c>
      <c r="B2456" s="20" t="s">
        <v>30</v>
      </c>
      <c r="C2456" s="20" t="s">
        <v>4889</v>
      </c>
      <c r="D2456" s="20" t="s">
        <v>32</v>
      </c>
      <c r="E2456" s="21" t="s">
        <v>9542</v>
      </c>
      <c r="F2456" s="21" t="s">
        <v>9543</v>
      </c>
      <c r="G2456" s="20" t="s">
        <v>35</v>
      </c>
      <c r="H2456" s="20" t="s">
        <v>25</v>
      </c>
      <c r="I2456" s="21" t="s">
        <v>9544</v>
      </c>
      <c r="J2456" s="22">
        <f t="shared" si="190"/>
        <v>0.865972222221899</v>
      </c>
      <c r="K2456" s="22">
        <f t="shared" si="191"/>
        <v>20.7833333333256</v>
      </c>
      <c r="L2456" s="22">
        <f t="shared" si="192"/>
        <v>4.78333333332557</v>
      </c>
      <c r="M2456" s="22" cm="1">
        <f ca="1" t="array" ref="M2456">SUMPRODUCT(--(WEEKDAY(ROW(INDIRECT(INT(F2456)&amp;":"&amp;INT(I2456))),2)&gt;5))</f>
        <v>0</v>
      </c>
      <c r="N2456" s="22">
        <f ca="1" t="shared" si="193"/>
        <v>4.78333333332557</v>
      </c>
      <c r="O2456" s="22" t="str">
        <f ca="1" t="shared" si="194"/>
        <v>Within SLA</v>
      </c>
      <c r="P2456" s="26" t="s">
        <v>9541</v>
      </c>
      <c r="Q2456" s="24" t="s">
        <v>37</v>
      </c>
      <c r="R2456" s="25"/>
      <c r="S2456" s="25"/>
    </row>
    <row r="2457" ht="27" customHeight="1" spans="1:19">
      <c r="A2457" s="19" t="s">
        <v>9545</v>
      </c>
      <c r="B2457" s="20" t="s">
        <v>30</v>
      </c>
      <c r="C2457" s="20" t="s">
        <v>31</v>
      </c>
      <c r="D2457" s="20" t="s">
        <v>105</v>
      </c>
      <c r="E2457" s="21" t="s">
        <v>9546</v>
      </c>
      <c r="F2457" s="21" t="s">
        <v>9547</v>
      </c>
      <c r="G2457" s="20" t="s">
        <v>35</v>
      </c>
      <c r="H2457" s="20" t="s">
        <v>25</v>
      </c>
      <c r="I2457" s="21" t="s">
        <v>9548</v>
      </c>
      <c r="J2457" s="22">
        <f t="shared" si="190"/>
        <v>2.66319444444525</v>
      </c>
      <c r="K2457" s="22">
        <f t="shared" si="191"/>
        <v>63.9166666666861</v>
      </c>
      <c r="L2457" s="22">
        <f t="shared" si="192"/>
        <v>15.9166666666861</v>
      </c>
      <c r="M2457" s="22" cm="1">
        <f ca="1" t="array" ref="M2457">SUMPRODUCT(--(WEEKDAY(ROW(INDIRECT(INT(F2457)&amp;":"&amp;INT(I2457))),2)&gt;5))</f>
        <v>0</v>
      </c>
      <c r="N2457" s="22">
        <f ca="1" t="shared" si="193"/>
        <v>15.9166666666861</v>
      </c>
      <c r="O2457" s="22" t="str">
        <f ca="1" t="shared" si="194"/>
        <v>SLA Violated</v>
      </c>
      <c r="P2457" s="23" t="s">
        <v>9549</v>
      </c>
      <c r="Q2457" s="24" t="s">
        <v>28</v>
      </c>
      <c r="R2457" s="25"/>
      <c r="S2457" s="25"/>
    </row>
    <row r="2458" ht="27" customHeight="1" spans="1:19">
      <c r="A2458" s="19" t="s">
        <v>9550</v>
      </c>
      <c r="B2458" s="20" t="s">
        <v>30</v>
      </c>
      <c r="C2458" s="20" t="s">
        <v>4889</v>
      </c>
      <c r="D2458" s="20" t="s">
        <v>32</v>
      </c>
      <c r="E2458" s="21" t="s">
        <v>9551</v>
      </c>
      <c r="F2458" s="21" t="s">
        <v>9552</v>
      </c>
      <c r="G2458" s="20" t="s">
        <v>35</v>
      </c>
      <c r="H2458" s="20" t="s">
        <v>25</v>
      </c>
      <c r="I2458" s="21" t="s">
        <v>9553</v>
      </c>
      <c r="J2458" s="22">
        <f t="shared" si="190"/>
        <v>0.838194444440887</v>
      </c>
      <c r="K2458" s="22">
        <f t="shared" si="191"/>
        <v>20.1166666665813</v>
      </c>
      <c r="L2458" s="22">
        <f t="shared" si="192"/>
        <v>4.1166666665813</v>
      </c>
      <c r="M2458" s="22" cm="1">
        <f ca="1" t="array" ref="M2458">SUMPRODUCT(--(WEEKDAY(ROW(INDIRECT(INT(F2458)&amp;":"&amp;INT(I2458))),2)&gt;5))</f>
        <v>0</v>
      </c>
      <c r="N2458" s="22">
        <f ca="1" t="shared" si="193"/>
        <v>4.1166666665813</v>
      </c>
      <c r="O2458" s="22" t="str">
        <f ca="1" t="shared" si="194"/>
        <v>Within SLA</v>
      </c>
      <c r="P2458" s="26" t="s">
        <v>9550</v>
      </c>
      <c r="Q2458" s="24" t="s">
        <v>37</v>
      </c>
      <c r="R2458" s="25"/>
      <c r="S2458" s="25"/>
    </row>
    <row r="2459" ht="39" customHeight="1" spans="1:19">
      <c r="A2459" s="19" t="s">
        <v>9554</v>
      </c>
      <c r="B2459" s="20" t="s">
        <v>196</v>
      </c>
      <c r="C2459" s="20" t="s">
        <v>46</v>
      </c>
      <c r="D2459" s="20" t="s">
        <v>21</v>
      </c>
      <c r="E2459" s="21" t="s">
        <v>9555</v>
      </c>
      <c r="F2459" s="21" t="s">
        <v>9556</v>
      </c>
      <c r="G2459" s="20" t="s">
        <v>35</v>
      </c>
      <c r="H2459" s="20" t="s">
        <v>25</v>
      </c>
      <c r="I2459" s="21" t="s">
        <v>9557</v>
      </c>
      <c r="J2459" s="22">
        <f t="shared" si="190"/>
        <v>0.0652777777795563</v>
      </c>
      <c r="K2459" s="22">
        <f t="shared" si="191"/>
        <v>1.56666666670935</v>
      </c>
      <c r="L2459" s="22">
        <f t="shared" si="192"/>
        <v>1.56666666670935</v>
      </c>
      <c r="M2459" s="22" cm="1">
        <f ca="1" t="array" ref="M2459">SUMPRODUCT(--(WEEKDAY(ROW(INDIRECT(INT(F2459)&amp;":"&amp;INT(I2459))),2)&gt;5))</f>
        <v>0</v>
      </c>
      <c r="N2459" s="22">
        <f ca="1" t="shared" si="193"/>
        <v>1.56666666670935</v>
      </c>
      <c r="O2459" s="22" t="str">
        <f ca="1" t="shared" si="194"/>
        <v>Within SLA</v>
      </c>
      <c r="P2459" s="26" t="s">
        <v>9554</v>
      </c>
      <c r="Q2459" s="24" t="s">
        <v>37</v>
      </c>
      <c r="R2459" s="25"/>
      <c r="S2459" s="25"/>
    </row>
    <row r="2460" ht="27" customHeight="1" spans="1:19">
      <c r="A2460" s="19" t="s">
        <v>9558</v>
      </c>
      <c r="B2460" s="20" t="s">
        <v>30</v>
      </c>
      <c r="C2460" s="20" t="s">
        <v>31</v>
      </c>
      <c r="D2460" s="20" t="s">
        <v>21</v>
      </c>
      <c r="E2460" s="21" t="s">
        <v>9559</v>
      </c>
      <c r="F2460" s="21" t="s">
        <v>9560</v>
      </c>
      <c r="G2460" s="20" t="s">
        <v>35</v>
      </c>
      <c r="H2460" s="20" t="s">
        <v>25</v>
      </c>
      <c r="I2460" s="21" t="s">
        <v>9561</v>
      </c>
      <c r="J2460" s="22">
        <f t="shared" si="190"/>
        <v>5.85624999999709</v>
      </c>
      <c r="K2460" s="22">
        <f t="shared" si="191"/>
        <v>140.54999999993</v>
      </c>
      <c r="L2460" s="22">
        <f t="shared" si="192"/>
        <v>44.5499999999302</v>
      </c>
      <c r="M2460" s="22" cm="1">
        <f ca="1" t="array" ref="M2460">SUMPRODUCT(--(WEEKDAY(ROW(INDIRECT(INT(F2460)&amp;":"&amp;INT(I2460))),2)&gt;5))</f>
        <v>2</v>
      </c>
      <c r="N2460" s="22">
        <f ca="1" t="shared" si="193"/>
        <v>28.5499999999302</v>
      </c>
      <c r="O2460" s="22" t="str">
        <f ca="1" t="shared" si="194"/>
        <v>SLA Violated</v>
      </c>
      <c r="P2460" s="23" t="s">
        <v>9562</v>
      </c>
      <c r="Q2460" s="24" t="s">
        <v>28</v>
      </c>
      <c r="R2460" s="25"/>
      <c r="S2460" s="25"/>
    </row>
    <row r="2461" ht="27" customHeight="1" spans="1:19">
      <c r="A2461" s="19" t="s">
        <v>9563</v>
      </c>
      <c r="B2461" s="20" t="s">
        <v>30</v>
      </c>
      <c r="C2461" s="20" t="s">
        <v>31</v>
      </c>
      <c r="D2461" s="20" t="s">
        <v>32</v>
      </c>
      <c r="E2461" s="21" t="s">
        <v>9564</v>
      </c>
      <c r="F2461" s="21" t="s">
        <v>8245</v>
      </c>
      <c r="G2461" s="20" t="s">
        <v>35</v>
      </c>
      <c r="H2461" s="20" t="s">
        <v>25</v>
      </c>
      <c r="I2461" s="21" t="s">
        <v>9565</v>
      </c>
      <c r="J2461" s="22">
        <f t="shared" si="190"/>
        <v>13.7520833333328</v>
      </c>
      <c r="K2461" s="22">
        <f t="shared" si="191"/>
        <v>330.049999999988</v>
      </c>
      <c r="L2461" s="22">
        <f t="shared" si="192"/>
        <v>106.049999999988</v>
      </c>
      <c r="M2461" s="22" cm="1">
        <f ca="1" t="array" ref="M2461">SUMPRODUCT(--(WEEKDAY(ROW(INDIRECT(INT(F2461)&amp;":"&amp;INT(I2461))),2)&gt;5))</f>
        <v>4</v>
      </c>
      <c r="N2461" s="22">
        <f ca="1" t="shared" si="193"/>
        <v>74.049999999988</v>
      </c>
      <c r="O2461" s="22" t="str">
        <f ca="1" t="shared" si="194"/>
        <v>SLA Violated</v>
      </c>
      <c r="P2461" s="26" t="s">
        <v>9563</v>
      </c>
      <c r="Q2461" s="24" t="s">
        <v>28</v>
      </c>
      <c r="R2461" s="25"/>
      <c r="S2461" s="25"/>
    </row>
    <row r="2462" ht="39" customHeight="1" spans="1:19">
      <c r="A2462" s="19" t="s">
        <v>9566</v>
      </c>
      <c r="B2462" s="20" t="s">
        <v>196</v>
      </c>
      <c r="C2462" s="20" t="s">
        <v>46</v>
      </c>
      <c r="D2462" s="20" t="s">
        <v>21</v>
      </c>
      <c r="E2462" s="21" t="s">
        <v>9567</v>
      </c>
      <c r="F2462" s="21" t="s">
        <v>9568</v>
      </c>
      <c r="G2462" s="20" t="s">
        <v>35</v>
      </c>
      <c r="H2462" s="20" t="s">
        <v>25</v>
      </c>
      <c r="I2462" s="21" t="s">
        <v>9569</v>
      </c>
      <c r="J2462" s="22">
        <f t="shared" si="190"/>
        <v>0.0715277777781012</v>
      </c>
      <c r="K2462" s="22">
        <f t="shared" si="191"/>
        <v>1.71666666667443</v>
      </c>
      <c r="L2462" s="22">
        <f t="shared" si="192"/>
        <v>1.71666666667443</v>
      </c>
      <c r="M2462" s="22" cm="1">
        <f ca="1" t="array" ref="M2462">SUMPRODUCT(--(WEEKDAY(ROW(INDIRECT(INT(F2462)&amp;":"&amp;INT(I2462))),2)&gt;5))</f>
        <v>0</v>
      </c>
      <c r="N2462" s="22">
        <f ca="1" t="shared" si="193"/>
        <v>1.71666666667443</v>
      </c>
      <c r="O2462" s="22" t="str">
        <f ca="1" t="shared" si="194"/>
        <v>Within SLA</v>
      </c>
      <c r="P2462" s="26" t="s">
        <v>9566</v>
      </c>
      <c r="Q2462" s="24" t="s">
        <v>37</v>
      </c>
      <c r="R2462" s="25"/>
      <c r="S2462" s="25"/>
    </row>
    <row r="2463" ht="39" customHeight="1" spans="1:19">
      <c r="A2463" s="19" t="s">
        <v>9570</v>
      </c>
      <c r="B2463" s="20" t="s">
        <v>19</v>
      </c>
      <c r="C2463" s="20" t="s">
        <v>20</v>
      </c>
      <c r="D2463" s="20" t="s">
        <v>32</v>
      </c>
      <c r="E2463" s="21" t="s">
        <v>9571</v>
      </c>
      <c r="F2463" s="21" t="s">
        <v>9572</v>
      </c>
      <c r="G2463" s="20" t="s">
        <v>35</v>
      </c>
      <c r="H2463" s="20" t="s">
        <v>25</v>
      </c>
      <c r="I2463" s="21" t="s">
        <v>9573</v>
      </c>
      <c r="J2463" s="22">
        <f t="shared" si="190"/>
        <v>1.04305555555038</v>
      </c>
      <c r="K2463" s="22">
        <f t="shared" si="191"/>
        <v>25.0333333332092</v>
      </c>
      <c r="L2463" s="22">
        <f t="shared" si="192"/>
        <v>9.03333333320916</v>
      </c>
      <c r="M2463" s="22" cm="1">
        <f ca="1" t="array" ref="M2463">SUMPRODUCT(--(WEEKDAY(ROW(INDIRECT(INT(F2463)&amp;":"&amp;INT(I2463))),2)&gt;5))</f>
        <v>0</v>
      </c>
      <c r="N2463" s="22">
        <f ca="1" t="shared" si="193"/>
        <v>9.03333333320916</v>
      </c>
      <c r="O2463" s="22" t="str">
        <f ca="1" t="shared" si="194"/>
        <v>Within SLA</v>
      </c>
      <c r="P2463" s="26" t="s">
        <v>9570</v>
      </c>
      <c r="Q2463" s="24" t="s">
        <v>37</v>
      </c>
      <c r="R2463" s="25"/>
      <c r="S2463" s="25"/>
    </row>
    <row r="2464" ht="27" customHeight="1" spans="1:19">
      <c r="A2464" s="19" t="s">
        <v>9574</v>
      </c>
      <c r="B2464" s="20" t="s">
        <v>30</v>
      </c>
      <c r="C2464" s="20" t="s">
        <v>31</v>
      </c>
      <c r="D2464" s="20" t="s">
        <v>21</v>
      </c>
      <c r="E2464" s="21" t="s">
        <v>9561</v>
      </c>
      <c r="F2464" s="21" t="s">
        <v>9575</v>
      </c>
      <c r="G2464" s="20" t="s">
        <v>35</v>
      </c>
      <c r="H2464" s="20" t="s">
        <v>25</v>
      </c>
      <c r="I2464" s="21" t="s">
        <v>9576</v>
      </c>
      <c r="J2464" s="22">
        <f t="shared" si="190"/>
        <v>3.8083333333343</v>
      </c>
      <c r="K2464" s="22">
        <f t="shared" si="191"/>
        <v>91.4000000000233</v>
      </c>
      <c r="L2464" s="22">
        <f t="shared" si="192"/>
        <v>27.4000000000233</v>
      </c>
      <c r="M2464" s="22" cm="1">
        <f ca="1" t="array" ref="M2464">SUMPRODUCT(--(WEEKDAY(ROW(INDIRECT(INT(F2464)&amp;":"&amp;INT(I2464))),2)&gt;5))</f>
        <v>1</v>
      </c>
      <c r="N2464" s="22">
        <f ca="1" t="shared" si="193"/>
        <v>19.4000000000233</v>
      </c>
      <c r="O2464" s="22" t="str">
        <f ca="1" t="shared" si="194"/>
        <v>SLA Violated</v>
      </c>
      <c r="P2464" s="23" t="s">
        <v>9577</v>
      </c>
      <c r="Q2464" s="24" t="s">
        <v>28</v>
      </c>
      <c r="R2464" s="25"/>
      <c r="S2464" s="25"/>
    </row>
    <row r="2465" ht="27" customHeight="1" spans="1:19">
      <c r="A2465" s="19" t="s">
        <v>9578</v>
      </c>
      <c r="B2465" s="20" t="s">
        <v>30</v>
      </c>
      <c r="C2465" s="20" t="s">
        <v>4889</v>
      </c>
      <c r="D2465" s="20" t="s">
        <v>115</v>
      </c>
      <c r="E2465" s="21" t="s">
        <v>9579</v>
      </c>
      <c r="F2465" s="21" t="s">
        <v>9580</v>
      </c>
      <c r="G2465" s="20" t="s">
        <v>35</v>
      </c>
      <c r="H2465" s="20" t="s">
        <v>25</v>
      </c>
      <c r="I2465" s="21" t="s">
        <v>9581</v>
      </c>
      <c r="J2465" s="22">
        <f t="shared" si="190"/>
        <v>0.822916666671517</v>
      </c>
      <c r="K2465" s="22">
        <f t="shared" si="191"/>
        <v>19.7500000001164</v>
      </c>
      <c r="L2465" s="22">
        <f t="shared" si="192"/>
        <v>3.75000000011642</v>
      </c>
      <c r="M2465" s="22" cm="1">
        <f ca="1" t="array" ref="M2465">SUMPRODUCT(--(WEEKDAY(ROW(INDIRECT(INT(F2465)&amp;":"&amp;INT(I2465))),2)&gt;5))</f>
        <v>0</v>
      </c>
      <c r="N2465" s="22">
        <f ca="1" t="shared" si="193"/>
        <v>3.75000000011642</v>
      </c>
      <c r="O2465" s="22" t="str">
        <f ca="1" t="shared" si="194"/>
        <v>Within SLA</v>
      </c>
      <c r="P2465" s="26" t="s">
        <v>9578</v>
      </c>
      <c r="Q2465" s="24" t="s">
        <v>37</v>
      </c>
      <c r="R2465" s="25"/>
      <c r="S2465" s="25"/>
    </row>
    <row r="2466" ht="27" customHeight="1" spans="1:19">
      <c r="A2466" s="19" t="s">
        <v>9582</v>
      </c>
      <c r="B2466" s="20" t="s">
        <v>30</v>
      </c>
      <c r="C2466" s="20" t="s">
        <v>31</v>
      </c>
      <c r="D2466" s="20" t="s">
        <v>21</v>
      </c>
      <c r="E2466" s="21" t="s">
        <v>9583</v>
      </c>
      <c r="F2466" s="21" t="s">
        <v>9584</v>
      </c>
      <c r="G2466" s="20" t="s">
        <v>35</v>
      </c>
      <c r="H2466" s="20" t="s">
        <v>25</v>
      </c>
      <c r="I2466" s="21" t="s">
        <v>9585</v>
      </c>
      <c r="J2466" s="22">
        <f t="shared" si="190"/>
        <v>3.8930555555562</v>
      </c>
      <c r="K2466" s="22">
        <f t="shared" si="191"/>
        <v>93.4333333333489</v>
      </c>
      <c r="L2466" s="22">
        <f t="shared" si="192"/>
        <v>29.4333333333489</v>
      </c>
      <c r="M2466" s="22" cm="1">
        <f ca="1" t="array" ref="M2466">SUMPRODUCT(--(WEEKDAY(ROW(INDIRECT(INT(F2466)&amp;":"&amp;INT(I2466))),2)&gt;5))</f>
        <v>0</v>
      </c>
      <c r="N2466" s="22">
        <f ca="1" t="shared" si="193"/>
        <v>29.4333333333489</v>
      </c>
      <c r="O2466" s="22" t="str">
        <f ca="1" t="shared" si="194"/>
        <v>SLA Violated</v>
      </c>
      <c r="P2466" s="23" t="s">
        <v>9586</v>
      </c>
      <c r="Q2466" s="24" t="s">
        <v>28</v>
      </c>
      <c r="R2466" s="25"/>
      <c r="S2466" s="25"/>
    </row>
    <row r="2467" ht="39" customHeight="1" spans="1:19">
      <c r="A2467" s="19" t="s">
        <v>9587</v>
      </c>
      <c r="B2467" s="20" t="s">
        <v>19</v>
      </c>
      <c r="C2467" s="20" t="s">
        <v>849</v>
      </c>
      <c r="D2467" s="20" t="s">
        <v>32</v>
      </c>
      <c r="E2467" s="21" t="s">
        <v>9588</v>
      </c>
      <c r="F2467" s="21" t="s">
        <v>9589</v>
      </c>
      <c r="G2467" s="20" t="s">
        <v>35</v>
      </c>
      <c r="H2467" s="20" t="s">
        <v>25</v>
      </c>
      <c r="I2467" s="21" t="s">
        <v>9590</v>
      </c>
      <c r="J2467" s="22">
        <f t="shared" si="190"/>
        <v>22.0152777777766</v>
      </c>
      <c r="K2467" s="22">
        <f t="shared" si="191"/>
        <v>528.36666666664</v>
      </c>
      <c r="L2467" s="22">
        <f t="shared" si="192"/>
        <v>176.36666666664</v>
      </c>
      <c r="M2467" s="22" cm="1">
        <f ca="1" t="array" ref="M2467">SUMPRODUCT(--(WEEKDAY(ROW(INDIRECT(INT(F2467)&amp;":"&amp;INT(I2467))),2)&gt;5))</f>
        <v>6</v>
      </c>
      <c r="N2467" s="22">
        <f ca="1" t="shared" si="193"/>
        <v>128.36666666664</v>
      </c>
      <c r="O2467" s="22" t="str">
        <f ca="1" t="shared" si="194"/>
        <v>SLA Violated</v>
      </c>
      <c r="P2467" s="23" t="s">
        <v>9591</v>
      </c>
      <c r="Q2467" s="24" t="s">
        <v>28</v>
      </c>
      <c r="R2467" s="25"/>
      <c r="S2467" s="25"/>
    </row>
    <row r="2468" ht="27" customHeight="1" spans="1:19">
      <c r="A2468" s="19" t="s">
        <v>9592</v>
      </c>
      <c r="B2468" s="20" t="s">
        <v>30</v>
      </c>
      <c r="C2468" s="20" t="s">
        <v>31</v>
      </c>
      <c r="D2468" s="20" t="s">
        <v>32</v>
      </c>
      <c r="E2468" s="21" t="s">
        <v>9593</v>
      </c>
      <c r="F2468" s="21" t="s">
        <v>9594</v>
      </c>
      <c r="G2468" s="20" t="s">
        <v>35</v>
      </c>
      <c r="H2468" s="20" t="s">
        <v>25</v>
      </c>
      <c r="I2468" s="21" t="s">
        <v>9595</v>
      </c>
      <c r="J2468" s="22">
        <f t="shared" si="190"/>
        <v>1.7722222222219</v>
      </c>
      <c r="K2468" s="22">
        <f t="shared" si="191"/>
        <v>42.5333333333256</v>
      </c>
      <c r="L2468" s="22">
        <f t="shared" si="192"/>
        <v>10.5333333333256</v>
      </c>
      <c r="M2468" s="22" cm="1">
        <f ca="1" t="array" ref="M2468">SUMPRODUCT(--(WEEKDAY(ROW(INDIRECT(INT(F2468)&amp;":"&amp;INT(I2468))),2)&gt;5))</f>
        <v>0</v>
      </c>
      <c r="N2468" s="22">
        <f ca="1" t="shared" si="193"/>
        <v>10.5333333333256</v>
      </c>
      <c r="O2468" s="22" t="str">
        <f ca="1" t="shared" si="194"/>
        <v>Within SLA</v>
      </c>
      <c r="P2468" s="26" t="s">
        <v>9592</v>
      </c>
      <c r="Q2468" s="24" t="s">
        <v>37</v>
      </c>
      <c r="R2468" s="25"/>
      <c r="S2468" s="25"/>
    </row>
    <row r="2469" ht="39" customHeight="1" spans="1:19">
      <c r="A2469" s="19" t="s">
        <v>9596</v>
      </c>
      <c r="B2469" s="20" t="s">
        <v>19</v>
      </c>
      <c r="C2469" s="20" t="s">
        <v>20</v>
      </c>
      <c r="D2469" s="20" t="s">
        <v>32</v>
      </c>
      <c r="E2469" s="21" t="s">
        <v>9597</v>
      </c>
      <c r="F2469" s="21" t="s">
        <v>9598</v>
      </c>
      <c r="G2469" s="20" t="s">
        <v>35</v>
      </c>
      <c r="H2469" s="20" t="s">
        <v>25</v>
      </c>
      <c r="I2469" s="21" t="s">
        <v>9599</v>
      </c>
      <c r="J2469" s="22">
        <f t="shared" si="190"/>
        <v>0.0041666666729725</v>
      </c>
      <c r="K2469" s="22">
        <f t="shared" si="191"/>
        <v>0.10000000015134</v>
      </c>
      <c r="L2469" s="22">
        <f t="shared" si="192"/>
        <v>0.10000000015134</v>
      </c>
      <c r="M2469" s="22" cm="1">
        <f ca="1" t="array" ref="M2469">SUMPRODUCT(--(WEEKDAY(ROW(INDIRECT(INT(F2469)&amp;":"&amp;INT(I2469))),2)&gt;5))</f>
        <v>0</v>
      </c>
      <c r="N2469" s="22">
        <f ca="1" t="shared" si="193"/>
        <v>0.10000000015134</v>
      </c>
      <c r="O2469" s="22" t="str">
        <f ca="1" t="shared" si="194"/>
        <v>Within SLA</v>
      </c>
      <c r="P2469" s="26" t="s">
        <v>9596</v>
      </c>
      <c r="Q2469" s="24" t="s">
        <v>37</v>
      </c>
      <c r="R2469" s="25"/>
      <c r="S2469" s="25"/>
    </row>
    <row r="2470" ht="27" customHeight="1" spans="1:19">
      <c r="A2470" s="19" t="s">
        <v>9600</v>
      </c>
      <c r="B2470" s="20" t="s">
        <v>30</v>
      </c>
      <c r="C2470" s="20" t="s">
        <v>4889</v>
      </c>
      <c r="D2470" s="20" t="s">
        <v>21</v>
      </c>
      <c r="E2470" s="21" t="s">
        <v>9597</v>
      </c>
      <c r="F2470" s="21" t="s">
        <v>9601</v>
      </c>
      <c r="G2470" s="20" t="s">
        <v>35</v>
      </c>
      <c r="H2470" s="20" t="s">
        <v>25</v>
      </c>
      <c r="I2470" s="21" t="s">
        <v>9602</v>
      </c>
      <c r="J2470" s="22">
        <f t="shared" si="190"/>
        <v>2.92986111111531</v>
      </c>
      <c r="K2470" s="22">
        <f t="shared" si="191"/>
        <v>70.3166666667676</v>
      </c>
      <c r="L2470" s="22">
        <f t="shared" si="192"/>
        <v>22.3166666667676</v>
      </c>
      <c r="M2470" s="22" cm="1">
        <f ca="1" t="array" ref="M2470">SUMPRODUCT(--(WEEKDAY(ROW(INDIRECT(INT(F2470)&amp;":"&amp;INT(I2470))),2)&gt;5))</f>
        <v>2</v>
      </c>
      <c r="N2470" s="22">
        <f ca="1" t="shared" si="193"/>
        <v>6.3166666667676</v>
      </c>
      <c r="O2470" s="22" t="str">
        <f ca="1" t="shared" si="194"/>
        <v>SLA Violated</v>
      </c>
      <c r="P2470" s="23" t="s">
        <v>9603</v>
      </c>
      <c r="Q2470" s="24" t="s">
        <v>28</v>
      </c>
      <c r="R2470" s="25"/>
      <c r="S2470" s="25"/>
    </row>
    <row r="2471" ht="27" customHeight="1" spans="1:19">
      <c r="A2471" s="19" t="s">
        <v>9604</v>
      </c>
      <c r="B2471" s="20" t="s">
        <v>30</v>
      </c>
      <c r="C2471" s="20" t="s">
        <v>4889</v>
      </c>
      <c r="D2471" s="20" t="s">
        <v>32</v>
      </c>
      <c r="E2471" s="21" t="s">
        <v>9598</v>
      </c>
      <c r="F2471" s="21" t="s">
        <v>9605</v>
      </c>
      <c r="G2471" s="20" t="s">
        <v>35</v>
      </c>
      <c r="H2471" s="20" t="s">
        <v>25</v>
      </c>
      <c r="I2471" s="21" t="s">
        <v>9606</v>
      </c>
      <c r="J2471" s="22">
        <f t="shared" si="190"/>
        <v>0.78125</v>
      </c>
      <c r="K2471" s="22">
        <f t="shared" si="191"/>
        <v>18.75</v>
      </c>
      <c r="L2471" s="22">
        <f t="shared" si="192"/>
        <v>2.75</v>
      </c>
      <c r="M2471" s="22" cm="1">
        <f ca="1" t="array" ref="M2471">SUMPRODUCT(--(WEEKDAY(ROW(INDIRECT(INT(F2471)&amp;":"&amp;INT(I2471))),2)&gt;5))</f>
        <v>0</v>
      </c>
      <c r="N2471" s="22">
        <f ca="1" t="shared" si="193"/>
        <v>2.75</v>
      </c>
      <c r="O2471" s="22" t="str">
        <f ca="1" t="shared" si="194"/>
        <v>Within SLA</v>
      </c>
      <c r="P2471" s="26" t="s">
        <v>9604</v>
      </c>
      <c r="Q2471" s="24" t="s">
        <v>37</v>
      </c>
      <c r="R2471" s="25"/>
      <c r="S2471" s="25"/>
    </row>
    <row r="2472" ht="27" customHeight="1" spans="1:19">
      <c r="A2472" s="19" t="s">
        <v>9607</v>
      </c>
      <c r="B2472" s="20" t="s">
        <v>30</v>
      </c>
      <c r="C2472" s="20" t="s">
        <v>31</v>
      </c>
      <c r="D2472" s="20" t="s">
        <v>21</v>
      </c>
      <c r="E2472" s="21" t="s">
        <v>9608</v>
      </c>
      <c r="F2472" s="21" t="s">
        <v>9609</v>
      </c>
      <c r="G2472" s="20" t="s">
        <v>35</v>
      </c>
      <c r="H2472" s="20" t="s">
        <v>25</v>
      </c>
      <c r="I2472" s="21" t="s">
        <v>9610</v>
      </c>
      <c r="J2472" s="22">
        <f t="shared" si="190"/>
        <v>7.98611111110949</v>
      </c>
      <c r="K2472" s="22">
        <f t="shared" si="191"/>
        <v>191.666666666628</v>
      </c>
      <c r="L2472" s="22">
        <f t="shared" si="192"/>
        <v>63.6666666666279</v>
      </c>
      <c r="M2472" s="22" cm="1">
        <f ca="1" t="array" ref="M2472">SUMPRODUCT(--(WEEKDAY(ROW(INDIRECT(INT(F2472)&amp;":"&amp;INT(I2472))),2)&gt;5))</f>
        <v>2</v>
      </c>
      <c r="N2472" s="22">
        <f ca="1" t="shared" si="193"/>
        <v>47.6666666666279</v>
      </c>
      <c r="O2472" s="22" t="str">
        <f ca="1" t="shared" si="194"/>
        <v>SLA Violated</v>
      </c>
      <c r="P2472" s="23" t="s">
        <v>9611</v>
      </c>
      <c r="Q2472" s="24" t="s">
        <v>28</v>
      </c>
      <c r="R2472" s="25"/>
      <c r="S2472" s="25"/>
    </row>
    <row r="2473" ht="27" customHeight="1" spans="1:19">
      <c r="A2473" s="19" t="s">
        <v>9612</v>
      </c>
      <c r="B2473" s="20" t="s">
        <v>30</v>
      </c>
      <c r="C2473" s="20" t="s">
        <v>4889</v>
      </c>
      <c r="D2473" s="20" t="s">
        <v>32</v>
      </c>
      <c r="E2473" s="21" t="s">
        <v>9610</v>
      </c>
      <c r="F2473" s="21" t="s">
        <v>9613</v>
      </c>
      <c r="G2473" s="20" t="s">
        <v>35</v>
      </c>
      <c r="H2473" s="20" t="s">
        <v>25</v>
      </c>
      <c r="I2473" s="21" t="s">
        <v>9614</v>
      </c>
      <c r="J2473" s="22">
        <f t="shared" si="190"/>
        <v>0.766666666662786</v>
      </c>
      <c r="K2473" s="22">
        <f t="shared" si="191"/>
        <v>18.3999999999069</v>
      </c>
      <c r="L2473" s="22">
        <f t="shared" si="192"/>
        <v>2.39999999990687</v>
      </c>
      <c r="M2473" s="22" cm="1">
        <f ca="1" t="array" ref="M2473">SUMPRODUCT(--(WEEKDAY(ROW(INDIRECT(INT(F2473)&amp;":"&amp;INT(I2473))),2)&gt;5))</f>
        <v>0</v>
      </c>
      <c r="N2473" s="22">
        <f ca="1" t="shared" si="193"/>
        <v>2.39999999990687</v>
      </c>
      <c r="O2473" s="22" t="str">
        <f ca="1" t="shared" si="194"/>
        <v>Within SLA</v>
      </c>
      <c r="P2473" s="26" t="s">
        <v>9612</v>
      </c>
      <c r="Q2473" s="24" t="s">
        <v>37</v>
      </c>
      <c r="R2473" s="25"/>
      <c r="S2473" s="25"/>
    </row>
    <row r="2474" ht="27" customHeight="1" spans="1:19">
      <c r="A2474" s="19" t="s">
        <v>9615</v>
      </c>
      <c r="B2474" s="20" t="s">
        <v>30</v>
      </c>
      <c r="C2474" s="20" t="s">
        <v>31</v>
      </c>
      <c r="D2474" s="20" t="s">
        <v>105</v>
      </c>
      <c r="E2474" s="21" t="s">
        <v>9616</v>
      </c>
      <c r="F2474" s="21" t="s">
        <v>9617</v>
      </c>
      <c r="G2474" s="20" t="s">
        <v>35</v>
      </c>
      <c r="H2474" s="20" t="s">
        <v>25</v>
      </c>
      <c r="I2474" s="21" t="s">
        <v>7309</v>
      </c>
      <c r="J2474" s="22">
        <f t="shared" si="190"/>
        <v>0.986111111109494</v>
      </c>
      <c r="K2474" s="22">
        <f t="shared" si="191"/>
        <v>23.6666666666279</v>
      </c>
      <c r="L2474" s="22">
        <f t="shared" si="192"/>
        <v>7.66666666662786</v>
      </c>
      <c r="M2474" s="22" cm="1">
        <f ca="1" t="array" ref="M2474">SUMPRODUCT(--(WEEKDAY(ROW(INDIRECT(INT(F2474)&amp;":"&amp;INT(I2474))),2)&gt;5))</f>
        <v>0</v>
      </c>
      <c r="N2474" s="22">
        <f ca="1" t="shared" si="193"/>
        <v>7.66666666662786</v>
      </c>
      <c r="O2474" s="22" t="str">
        <f ca="1" t="shared" si="194"/>
        <v>SLA Violated</v>
      </c>
      <c r="P2474" s="23" t="s">
        <v>9618</v>
      </c>
      <c r="Q2474" s="24" t="s">
        <v>28</v>
      </c>
      <c r="R2474" s="25"/>
      <c r="S2474" s="25"/>
    </row>
    <row r="2475" ht="27" customHeight="1" spans="1:19">
      <c r="A2475" s="19" t="s">
        <v>9619</v>
      </c>
      <c r="B2475" s="20" t="s">
        <v>30</v>
      </c>
      <c r="C2475" s="20" t="s">
        <v>4889</v>
      </c>
      <c r="D2475" s="20" t="s">
        <v>32</v>
      </c>
      <c r="E2475" s="21" t="s">
        <v>9620</v>
      </c>
      <c r="F2475" s="21" t="s">
        <v>9621</v>
      </c>
      <c r="G2475" s="20" t="s">
        <v>35</v>
      </c>
      <c r="H2475" s="20" t="s">
        <v>25</v>
      </c>
      <c r="I2475" s="21" t="s">
        <v>9622</v>
      </c>
      <c r="J2475" s="22">
        <f t="shared" si="190"/>
        <v>0.307638888894871</v>
      </c>
      <c r="K2475" s="22">
        <f t="shared" si="191"/>
        <v>7.38333333347691</v>
      </c>
      <c r="L2475" s="22">
        <f t="shared" si="192"/>
        <v>7.38333333347691</v>
      </c>
      <c r="M2475" s="22" cm="1">
        <f ca="1" t="array" ref="M2475">SUMPRODUCT(--(WEEKDAY(ROW(INDIRECT(INT(F2475)&amp;":"&amp;INT(I2475))),2)&gt;5))</f>
        <v>0</v>
      </c>
      <c r="N2475" s="22">
        <f ca="1" t="shared" si="193"/>
        <v>7.38333333347691</v>
      </c>
      <c r="O2475" s="22" t="str">
        <f ca="1" t="shared" si="194"/>
        <v>Within SLA</v>
      </c>
      <c r="P2475" s="26" t="s">
        <v>9619</v>
      </c>
      <c r="Q2475" s="24" t="s">
        <v>37</v>
      </c>
      <c r="R2475" s="25"/>
      <c r="S2475" s="25"/>
    </row>
    <row r="2476" ht="27" customHeight="1" spans="1:19">
      <c r="A2476" s="19" t="s">
        <v>9623</v>
      </c>
      <c r="B2476" s="20" t="s">
        <v>30</v>
      </c>
      <c r="C2476" s="20" t="s">
        <v>31</v>
      </c>
      <c r="D2476" s="20" t="s">
        <v>115</v>
      </c>
      <c r="E2476" s="21" t="s">
        <v>9624</v>
      </c>
      <c r="F2476" s="21" t="s">
        <v>9625</v>
      </c>
      <c r="G2476" s="20" t="s">
        <v>35</v>
      </c>
      <c r="H2476" s="20" t="s">
        <v>25</v>
      </c>
      <c r="I2476" s="21" t="s">
        <v>9626</v>
      </c>
      <c r="J2476" s="22">
        <f t="shared" si="190"/>
        <v>6.03125</v>
      </c>
      <c r="K2476" s="22">
        <f t="shared" si="191"/>
        <v>144.75</v>
      </c>
      <c r="L2476" s="22">
        <f t="shared" si="192"/>
        <v>48.75</v>
      </c>
      <c r="M2476" s="22" cm="1">
        <f ca="1" t="array" ref="M2476">SUMPRODUCT(--(WEEKDAY(ROW(INDIRECT(INT(F2476)&amp;":"&amp;INT(I2476))),2)&gt;5))</f>
        <v>2</v>
      </c>
      <c r="N2476" s="22">
        <f ca="1" t="shared" si="193"/>
        <v>32.75</v>
      </c>
      <c r="O2476" s="22" t="str">
        <f ca="1" t="shared" si="194"/>
        <v>SLA Violated</v>
      </c>
      <c r="P2476" s="23" t="s">
        <v>9627</v>
      </c>
      <c r="Q2476" s="24" t="s">
        <v>28</v>
      </c>
      <c r="R2476" s="25"/>
      <c r="S2476" s="25"/>
    </row>
    <row r="2477" ht="27" customHeight="1" spans="1:19">
      <c r="A2477" s="19" t="s">
        <v>9628</v>
      </c>
      <c r="B2477" s="20" t="s">
        <v>30</v>
      </c>
      <c r="C2477" s="20" t="s">
        <v>31</v>
      </c>
      <c r="D2477" s="20" t="s">
        <v>32</v>
      </c>
      <c r="E2477" s="21" t="s">
        <v>8745</v>
      </c>
      <c r="F2477" s="21" t="s">
        <v>9629</v>
      </c>
      <c r="G2477" s="20" t="s">
        <v>35</v>
      </c>
      <c r="H2477" s="20" t="s">
        <v>25</v>
      </c>
      <c r="I2477" s="21" t="s">
        <v>9630</v>
      </c>
      <c r="J2477" s="22">
        <f t="shared" si="190"/>
        <v>7.16250000000582</v>
      </c>
      <c r="K2477" s="22">
        <f t="shared" si="191"/>
        <v>171.90000000014</v>
      </c>
      <c r="L2477" s="22">
        <f t="shared" si="192"/>
        <v>59.9000000001397</v>
      </c>
      <c r="M2477" s="22" cm="1">
        <f ca="1" t="array" ref="M2477">SUMPRODUCT(--(WEEKDAY(ROW(INDIRECT(INT(F2477)&amp;":"&amp;INT(I2477))),2)&gt;5))</f>
        <v>2</v>
      </c>
      <c r="N2477" s="22">
        <f ca="1" t="shared" si="193"/>
        <v>43.9000000001397</v>
      </c>
      <c r="O2477" s="22" t="str">
        <f ca="1" t="shared" si="194"/>
        <v>SLA Violated</v>
      </c>
      <c r="P2477" s="26" t="s">
        <v>9628</v>
      </c>
      <c r="Q2477" s="24" t="s">
        <v>28</v>
      </c>
      <c r="R2477" s="25"/>
      <c r="S2477" s="25"/>
    </row>
    <row r="2478" ht="27" customHeight="1" spans="1:19">
      <c r="A2478" s="19" t="s">
        <v>9631</v>
      </c>
      <c r="B2478" s="20" t="s">
        <v>30</v>
      </c>
      <c r="C2478" s="20" t="s">
        <v>4889</v>
      </c>
      <c r="D2478" s="20" t="s">
        <v>32</v>
      </c>
      <c r="E2478" s="21" t="s">
        <v>7716</v>
      </c>
      <c r="F2478" s="21" t="s">
        <v>9632</v>
      </c>
      <c r="G2478" s="20" t="s">
        <v>35</v>
      </c>
      <c r="H2478" s="20" t="s">
        <v>25</v>
      </c>
      <c r="I2478" s="21" t="s">
        <v>9633</v>
      </c>
      <c r="J2478" s="22">
        <f t="shared" si="190"/>
        <v>0.302083333335759</v>
      </c>
      <c r="K2478" s="22">
        <f t="shared" si="191"/>
        <v>7.25000000005821</v>
      </c>
      <c r="L2478" s="22">
        <f t="shared" si="192"/>
        <v>7.25000000005821</v>
      </c>
      <c r="M2478" s="22" cm="1">
        <f ca="1" t="array" ref="M2478">SUMPRODUCT(--(WEEKDAY(ROW(INDIRECT(INT(F2478)&amp;":"&amp;INT(I2478))),2)&gt;5))</f>
        <v>0</v>
      </c>
      <c r="N2478" s="22">
        <f ca="1" t="shared" si="193"/>
        <v>7.25000000005821</v>
      </c>
      <c r="O2478" s="22" t="str">
        <f ca="1" t="shared" si="194"/>
        <v>Within SLA</v>
      </c>
      <c r="P2478" s="26" t="s">
        <v>9631</v>
      </c>
      <c r="Q2478" s="24" t="s">
        <v>37</v>
      </c>
      <c r="R2478" s="25"/>
      <c r="S2478" s="25"/>
    </row>
    <row r="2479" ht="39" customHeight="1" spans="1:19">
      <c r="A2479" s="19" t="s">
        <v>9634</v>
      </c>
      <c r="B2479" s="20" t="s">
        <v>19</v>
      </c>
      <c r="C2479" s="20" t="s">
        <v>20</v>
      </c>
      <c r="D2479" s="20" t="s">
        <v>32</v>
      </c>
      <c r="E2479" s="21" t="s">
        <v>9635</v>
      </c>
      <c r="F2479" s="21" t="s">
        <v>9636</v>
      </c>
      <c r="G2479" s="20" t="s">
        <v>35</v>
      </c>
      <c r="H2479" s="20" t="s">
        <v>25</v>
      </c>
      <c r="I2479" s="21" t="s">
        <v>9637</v>
      </c>
      <c r="J2479" s="22">
        <f t="shared" si="190"/>
        <v>0.00902777777810115</v>
      </c>
      <c r="K2479" s="22">
        <f t="shared" si="191"/>
        <v>0.216666666674428</v>
      </c>
      <c r="L2479" s="22">
        <f t="shared" si="192"/>
        <v>0.216666666674428</v>
      </c>
      <c r="M2479" s="22" cm="1">
        <f ca="1" t="array" ref="M2479">SUMPRODUCT(--(WEEKDAY(ROW(INDIRECT(INT(F2479)&amp;":"&amp;INT(I2479))),2)&gt;5))</f>
        <v>0</v>
      </c>
      <c r="N2479" s="22">
        <f ca="1" t="shared" si="193"/>
        <v>0.216666666674428</v>
      </c>
      <c r="O2479" s="22" t="str">
        <f ca="1" t="shared" si="194"/>
        <v>Within SLA</v>
      </c>
      <c r="P2479" s="26" t="s">
        <v>9634</v>
      </c>
      <c r="Q2479" s="24" t="s">
        <v>37</v>
      </c>
      <c r="R2479" s="25"/>
      <c r="S2479" s="25"/>
    </row>
    <row r="2480" ht="50" customHeight="1" spans="1:19">
      <c r="A2480" s="19" t="s">
        <v>9638</v>
      </c>
      <c r="B2480" s="20" t="s">
        <v>369</v>
      </c>
      <c r="C2480" s="20" t="s">
        <v>2057</v>
      </c>
      <c r="D2480" s="20" t="s">
        <v>32</v>
      </c>
      <c r="E2480" s="21" t="s">
        <v>9635</v>
      </c>
      <c r="F2480" s="21" t="s">
        <v>9639</v>
      </c>
      <c r="G2480" s="20" t="s">
        <v>35</v>
      </c>
      <c r="H2480" s="20" t="s">
        <v>25</v>
      </c>
      <c r="I2480" s="21" t="s">
        <v>9640</v>
      </c>
      <c r="J2480" s="22">
        <f t="shared" si="190"/>
        <v>6.32013888889196</v>
      </c>
      <c r="K2480" s="22">
        <f t="shared" si="191"/>
        <v>151.683333333407</v>
      </c>
      <c r="L2480" s="22">
        <f t="shared" si="192"/>
        <v>55.6833333334071</v>
      </c>
      <c r="M2480" s="22" cm="1">
        <f ca="1" t="array" ref="M2480">SUMPRODUCT(--(WEEKDAY(ROW(INDIRECT(INT(F2480)&amp;":"&amp;INT(I2480))),2)&gt;5))</f>
        <v>2</v>
      </c>
      <c r="N2480" s="22">
        <f ca="1" t="shared" si="193"/>
        <v>39.6833333334071</v>
      </c>
      <c r="O2480" s="22" t="str">
        <f ca="1" t="shared" si="194"/>
        <v>SLA Violated</v>
      </c>
      <c r="P2480" s="23" t="s">
        <v>9641</v>
      </c>
      <c r="Q2480" s="24" t="s">
        <v>28</v>
      </c>
      <c r="R2480" s="25"/>
      <c r="S2480" s="25"/>
    </row>
    <row r="2481" ht="39" customHeight="1" spans="1:19">
      <c r="A2481" s="19" t="s">
        <v>9642</v>
      </c>
      <c r="B2481" s="20" t="s">
        <v>19</v>
      </c>
      <c r="C2481" s="20" t="s">
        <v>20</v>
      </c>
      <c r="D2481" s="20" t="s">
        <v>32</v>
      </c>
      <c r="E2481" s="21" t="s">
        <v>9643</v>
      </c>
      <c r="F2481" s="21" t="s">
        <v>9644</v>
      </c>
      <c r="G2481" s="20" t="s">
        <v>24</v>
      </c>
      <c r="H2481" s="20" t="s">
        <v>25</v>
      </c>
      <c r="I2481" s="21" t="s">
        <v>9645</v>
      </c>
      <c r="J2481" s="22">
        <f t="shared" si="190"/>
        <v>14.2972222222234</v>
      </c>
      <c r="K2481" s="22">
        <f t="shared" si="191"/>
        <v>343.13333333336</v>
      </c>
      <c r="L2481" s="22">
        <f t="shared" si="192"/>
        <v>119.13333333336</v>
      </c>
      <c r="M2481" s="22" cm="1">
        <f ca="1" t="array" ref="M2481">SUMPRODUCT(--(WEEKDAY(ROW(INDIRECT(INT(F2481)&amp;":"&amp;INT(I2481))),2)&gt;5))</f>
        <v>4</v>
      </c>
      <c r="N2481" s="22">
        <f ca="1" t="shared" si="193"/>
        <v>87.13333333336</v>
      </c>
      <c r="O2481" s="22" t="str">
        <f ca="1" t="shared" si="194"/>
        <v>SLA Violated</v>
      </c>
      <c r="P2481" s="23" t="s">
        <v>9646</v>
      </c>
      <c r="Q2481" s="24" t="s">
        <v>28</v>
      </c>
      <c r="R2481" s="25"/>
      <c r="S2481" s="25"/>
    </row>
    <row r="2482" ht="27" customHeight="1" spans="1:19">
      <c r="A2482" s="19" t="s">
        <v>9647</v>
      </c>
      <c r="B2482" s="20" t="s">
        <v>30</v>
      </c>
      <c r="C2482" s="20" t="s">
        <v>31</v>
      </c>
      <c r="D2482" s="20" t="s">
        <v>32</v>
      </c>
      <c r="E2482" s="21" t="s">
        <v>9637</v>
      </c>
      <c r="F2482" s="21" t="s">
        <v>9648</v>
      </c>
      <c r="G2482" s="20" t="s">
        <v>35</v>
      </c>
      <c r="H2482" s="20" t="s">
        <v>25</v>
      </c>
      <c r="I2482" s="21" t="s">
        <v>9649</v>
      </c>
      <c r="J2482" s="22">
        <f t="shared" si="190"/>
        <v>12.9861111111168</v>
      </c>
      <c r="K2482" s="22">
        <f t="shared" si="191"/>
        <v>311.666666666802</v>
      </c>
      <c r="L2482" s="22">
        <f t="shared" si="192"/>
        <v>103.666666666802</v>
      </c>
      <c r="M2482" s="22" cm="1">
        <f ca="1" t="array" ref="M2482">SUMPRODUCT(--(WEEKDAY(ROW(INDIRECT(INT(F2482)&amp;":"&amp;INT(I2482))),2)&gt;5))</f>
        <v>4</v>
      </c>
      <c r="N2482" s="22">
        <f ca="1" t="shared" si="193"/>
        <v>71.666666666802</v>
      </c>
      <c r="O2482" s="22" t="str">
        <f ca="1" t="shared" si="194"/>
        <v>SLA Violated</v>
      </c>
      <c r="P2482" s="26" t="s">
        <v>9647</v>
      </c>
      <c r="Q2482" s="24" t="s">
        <v>28</v>
      </c>
      <c r="R2482" s="25"/>
      <c r="S2482" s="25"/>
    </row>
    <row r="2483" ht="39" customHeight="1" spans="1:19">
      <c r="A2483" s="19" t="s">
        <v>9650</v>
      </c>
      <c r="B2483" s="20" t="s">
        <v>19</v>
      </c>
      <c r="C2483" s="20" t="s">
        <v>20</v>
      </c>
      <c r="D2483" s="20" t="s">
        <v>32</v>
      </c>
      <c r="E2483" s="21" t="s">
        <v>9651</v>
      </c>
      <c r="F2483" s="21" t="s">
        <v>9652</v>
      </c>
      <c r="G2483" s="20" t="s">
        <v>24</v>
      </c>
      <c r="H2483" s="20" t="s">
        <v>25</v>
      </c>
      <c r="I2483" s="21" t="s">
        <v>9653</v>
      </c>
      <c r="J2483" s="22">
        <f t="shared" si="190"/>
        <v>13.2798611111139</v>
      </c>
      <c r="K2483" s="22">
        <f t="shared" si="191"/>
        <v>318.716666666733</v>
      </c>
      <c r="L2483" s="22">
        <f t="shared" si="192"/>
        <v>110.716666666733</v>
      </c>
      <c r="M2483" s="22" cm="1">
        <f ca="1" t="array" ref="M2483">SUMPRODUCT(--(WEEKDAY(ROW(INDIRECT(INT(F2483)&amp;":"&amp;INT(I2483))),2)&gt;5))</f>
        <v>4</v>
      </c>
      <c r="N2483" s="22">
        <f ca="1" t="shared" si="193"/>
        <v>78.716666666733</v>
      </c>
      <c r="O2483" s="22" t="str">
        <f ca="1" t="shared" si="194"/>
        <v>SLA Violated</v>
      </c>
      <c r="P2483" s="23" t="s">
        <v>9654</v>
      </c>
      <c r="Q2483" s="24" t="s">
        <v>28</v>
      </c>
      <c r="R2483" s="25"/>
      <c r="S2483" s="25"/>
    </row>
    <row r="2484" ht="39" customHeight="1" spans="1:19">
      <c r="A2484" s="19" t="s">
        <v>9655</v>
      </c>
      <c r="B2484" s="20" t="s">
        <v>19</v>
      </c>
      <c r="C2484" s="20" t="s">
        <v>20</v>
      </c>
      <c r="D2484" s="20" t="s">
        <v>32</v>
      </c>
      <c r="E2484" s="21" t="s">
        <v>9656</v>
      </c>
      <c r="F2484" s="21" t="s">
        <v>9657</v>
      </c>
      <c r="G2484" s="20" t="s">
        <v>24</v>
      </c>
      <c r="H2484" s="20" t="s">
        <v>25</v>
      </c>
      <c r="I2484" s="21" t="s">
        <v>9658</v>
      </c>
      <c r="J2484" s="22">
        <f t="shared" si="190"/>
        <v>0.0749999999970896</v>
      </c>
      <c r="K2484" s="22">
        <f t="shared" si="191"/>
        <v>1.79999999993015</v>
      </c>
      <c r="L2484" s="22">
        <f t="shared" si="192"/>
        <v>1.79999999993015</v>
      </c>
      <c r="M2484" s="22" cm="1">
        <f ca="1" t="array" ref="M2484">SUMPRODUCT(--(WEEKDAY(ROW(INDIRECT(INT(F2484)&amp;":"&amp;INT(I2484))),2)&gt;5))</f>
        <v>0</v>
      </c>
      <c r="N2484" s="22">
        <f ca="1" t="shared" si="193"/>
        <v>1.79999999993015</v>
      </c>
      <c r="O2484" s="22" t="str">
        <f ca="1" t="shared" si="194"/>
        <v>Within SLA</v>
      </c>
      <c r="P2484" s="26" t="s">
        <v>9655</v>
      </c>
      <c r="Q2484" s="24" t="s">
        <v>37</v>
      </c>
      <c r="R2484" s="25"/>
      <c r="S2484" s="25"/>
    </row>
    <row r="2485" ht="39" customHeight="1" spans="1:19">
      <c r="A2485" s="19" t="s">
        <v>9659</v>
      </c>
      <c r="B2485" s="20" t="s">
        <v>19</v>
      </c>
      <c r="C2485" s="20" t="s">
        <v>20</v>
      </c>
      <c r="D2485" s="20" t="s">
        <v>32</v>
      </c>
      <c r="E2485" s="21" t="s">
        <v>9660</v>
      </c>
      <c r="F2485" s="21" t="s">
        <v>9661</v>
      </c>
      <c r="G2485" s="20" t="s">
        <v>35</v>
      </c>
      <c r="H2485" s="20" t="s">
        <v>25</v>
      </c>
      <c r="I2485" s="21" t="s">
        <v>9662</v>
      </c>
      <c r="J2485" s="22">
        <f t="shared" si="190"/>
        <v>0.340277777781012</v>
      </c>
      <c r="K2485" s="22">
        <f t="shared" si="191"/>
        <v>8.16666666674428</v>
      </c>
      <c r="L2485" s="22">
        <f t="shared" si="192"/>
        <v>8.16666666674428</v>
      </c>
      <c r="M2485" s="22" cm="1">
        <f ca="1" t="array" ref="M2485">SUMPRODUCT(--(WEEKDAY(ROW(INDIRECT(INT(F2485)&amp;":"&amp;INT(I2485))),2)&gt;5))</f>
        <v>0</v>
      </c>
      <c r="N2485" s="22">
        <f ca="1" t="shared" si="193"/>
        <v>8.16666666674428</v>
      </c>
      <c r="O2485" s="22" t="str">
        <f ca="1" t="shared" si="194"/>
        <v>Within SLA</v>
      </c>
      <c r="P2485" s="26" t="s">
        <v>9659</v>
      </c>
      <c r="Q2485" s="24" t="s">
        <v>37</v>
      </c>
      <c r="R2485" s="25"/>
      <c r="S2485" s="25"/>
    </row>
    <row r="2486" ht="39" customHeight="1" spans="1:19">
      <c r="A2486" s="19" t="s">
        <v>9663</v>
      </c>
      <c r="B2486" s="20" t="s">
        <v>19</v>
      </c>
      <c r="C2486" s="20" t="s">
        <v>20</v>
      </c>
      <c r="D2486" s="20" t="s">
        <v>32</v>
      </c>
      <c r="E2486" s="21" t="s">
        <v>9664</v>
      </c>
      <c r="F2486" s="21" t="s">
        <v>9665</v>
      </c>
      <c r="G2486" s="20" t="s">
        <v>35</v>
      </c>
      <c r="H2486" s="20" t="s">
        <v>25</v>
      </c>
      <c r="I2486" s="21" t="s">
        <v>9666</v>
      </c>
      <c r="J2486" s="22">
        <f t="shared" si="190"/>
        <v>0.973611111112405</v>
      </c>
      <c r="K2486" s="22">
        <f t="shared" si="191"/>
        <v>23.3666666666977</v>
      </c>
      <c r="L2486" s="22">
        <f t="shared" si="192"/>
        <v>7.36666666669771</v>
      </c>
      <c r="M2486" s="22" cm="1">
        <f ca="1" t="array" ref="M2486">SUMPRODUCT(--(WEEKDAY(ROW(INDIRECT(INT(F2486)&amp;":"&amp;INT(I2486))),2)&gt;5))</f>
        <v>0</v>
      </c>
      <c r="N2486" s="22">
        <f ca="1" t="shared" si="193"/>
        <v>7.36666666669771</v>
      </c>
      <c r="O2486" s="22" t="str">
        <f ca="1" t="shared" si="194"/>
        <v>Within SLA</v>
      </c>
      <c r="P2486" s="26" t="s">
        <v>9663</v>
      </c>
      <c r="Q2486" s="24" t="s">
        <v>37</v>
      </c>
      <c r="R2486" s="25"/>
      <c r="S2486" s="25"/>
    </row>
    <row r="2487" ht="27" customHeight="1" spans="1:19">
      <c r="A2487" s="19" t="s">
        <v>9667</v>
      </c>
      <c r="B2487" s="20" t="s">
        <v>30</v>
      </c>
      <c r="C2487" s="20" t="s">
        <v>31</v>
      </c>
      <c r="D2487" s="20" t="s">
        <v>32</v>
      </c>
      <c r="E2487" s="21" t="s">
        <v>9150</v>
      </c>
      <c r="F2487" s="21" t="s">
        <v>9560</v>
      </c>
      <c r="G2487" s="20" t="s">
        <v>35</v>
      </c>
      <c r="H2487" s="20" t="s">
        <v>25</v>
      </c>
      <c r="I2487" s="21" t="s">
        <v>9668</v>
      </c>
      <c r="J2487" s="22">
        <f t="shared" si="190"/>
        <v>5.07847222222335</v>
      </c>
      <c r="K2487" s="22">
        <f t="shared" si="191"/>
        <v>121.88333333336</v>
      </c>
      <c r="L2487" s="22">
        <f t="shared" si="192"/>
        <v>41.8833333333605</v>
      </c>
      <c r="M2487" s="22" cm="1">
        <f ca="1" t="array" ref="M2487">SUMPRODUCT(--(WEEKDAY(ROW(INDIRECT(INT(F2487)&amp;":"&amp;INT(I2487))),2)&gt;5))</f>
        <v>2</v>
      </c>
      <c r="N2487" s="22">
        <f ca="1" t="shared" si="193"/>
        <v>25.8833333333605</v>
      </c>
      <c r="O2487" s="22" t="str">
        <f ca="1" t="shared" si="194"/>
        <v>SLA Violated</v>
      </c>
      <c r="P2487" s="26" t="s">
        <v>9667</v>
      </c>
      <c r="Q2487" s="24" t="s">
        <v>28</v>
      </c>
      <c r="R2487" s="25"/>
      <c r="S2487" s="25"/>
    </row>
    <row r="2488" ht="39" customHeight="1" spans="1:19">
      <c r="A2488" s="19" t="s">
        <v>9669</v>
      </c>
      <c r="B2488" s="20" t="s">
        <v>19</v>
      </c>
      <c r="C2488" s="20" t="s">
        <v>20</v>
      </c>
      <c r="D2488" s="20" t="s">
        <v>32</v>
      </c>
      <c r="E2488" s="21" t="s">
        <v>9670</v>
      </c>
      <c r="F2488" s="21" t="s">
        <v>9671</v>
      </c>
      <c r="G2488" s="20" t="s">
        <v>35</v>
      </c>
      <c r="H2488" s="20" t="s">
        <v>25</v>
      </c>
      <c r="I2488" s="21" t="s">
        <v>9672</v>
      </c>
      <c r="J2488" s="22">
        <f t="shared" si="190"/>
        <v>0.257638888891961</v>
      </c>
      <c r="K2488" s="22">
        <f t="shared" si="191"/>
        <v>6.18333333340706</v>
      </c>
      <c r="L2488" s="22">
        <f t="shared" si="192"/>
        <v>6.18333333340706</v>
      </c>
      <c r="M2488" s="22" cm="1">
        <f ca="1" t="array" ref="M2488">SUMPRODUCT(--(WEEKDAY(ROW(INDIRECT(INT(F2488)&amp;":"&amp;INT(I2488))),2)&gt;5))</f>
        <v>0</v>
      </c>
      <c r="N2488" s="22">
        <f ca="1" t="shared" si="193"/>
        <v>6.18333333340706</v>
      </c>
      <c r="O2488" s="22" t="str">
        <f ca="1" t="shared" si="194"/>
        <v>Within SLA</v>
      </c>
      <c r="P2488" s="26" t="s">
        <v>9669</v>
      </c>
      <c r="Q2488" s="24" t="s">
        <v>37</v>
      </c>
      <c r="R2488" s="25"/>
      <c r="S2488" s="25"/>
    </row>
    <row r="2489" ht="39" customHeight="1" spans="1:19">
      <c r="A2489" s="19" t="s">
        <v>9673</v>
      </c>
      <c r="B2489" s="20" t="s">
        <v>196</v>
      </c>
      <c r="C2489" s="20" t="s">
        <v>46</v>
      </c>
      <c r="D2489" s="20" t="s">
        <v>21</v>
      </c>
      <c r="E2489" s="21" t="s">
        <v>9674</v>
      </c>
      <c r="F2489" s="21" t="s">
        <v>9675</v>
      </c>
      <c r="G2489" s="20" t="s">
        <v>35</v>
      </c>
      <c r="H2489" s="20" t="s">
        <v>25</v>
      </c>
      <c r="I2489" s="21" t="s">
        <v>9676</v>
      </c>
      <c r="J2489" s="22">
        <f t="shared" si="190"/>
        <v>0.0180555555562023</v>
      </c>
      <c r="K2489" s="22">
        <f t="shared" si="191"/>
        <v>0.433333333348855</v>
      </c>
      <c r="L2489" s="22">
        <f t="shared" si="192"/>
        <v>0.433333333348855</v>
      </c>
      <c r="M2489" s="22" cm="1">
        <f ca="1" t="array" ref="M2489">SUMPRODUCT(--(WEEKDAY(ROW(INDIRECT(INT(F2489)&amp;":"&amp;INT(I2489))),2)&gt;5))</f>
        <v>0</v>
      </c>
      <c r="N2489" s="22">
        <f ca="1" t="shared" si="193"/>
        <v>0.433333333348855</v>
      </c>
      <c r="O2489" s="22" t="str">
        <f ca="1" t="shared" si="194"/>
        <v>Within SLA</v>
      </c>
      <c r="P2489" s="26" t="s">
        <v>9673</v>
      </c>
      <c r="Q2489" s="24" t="s">
        <v>37</v>
      </c>
      <c r="R2489" s="25"/>
      <c r="S2489" s="25"/>
    </row>
    <row r="2490" ht="27" customHeight="1" spans="1:19">
      <c r="A2490" s="19" t="s">
        <v>9677</v>
      </c>
      <c r="B2490" s="20" t="s">
        <v>30</v>
      </c>
      <c r="C2490" s="20" t="s">
        <v>31</v>
      </c>
      <c r="D2490" s="20" t="s">
        <v>32</v>
      </c>
      <c r="E2490" s="21" t="s">
        <v>9678</v>
      </c>
      <c r="F2490" s="21" t="s">
        <v>9679</v>
      </c>
      <c r="G2490" s="20" t="s">
        <v>35</v>
      </c>
      <c r="H2490" s="20" t="s">
        <v>25</v>
      </c>
      <c r="I2490" s="21" t="s">
        <v>9680</v>
      </c>
      <c r="J2490" s="22">
        <f t="shared" si="190"/>
        <v>0.023611111115315</v>
      </c>
      <c r="K2490" s="22">
        <f t="shared" si="191"/>
        <v>0.56666666676756</v>
      </c>
      <c r="L2490" s="22">
        <f t="shared" si="192"/>
        <v>0.56666666676756</v>
      </c>
      <c r="M2490" s="22" cm="1">
        <f ca="1" t="array" ref="M2490">SUMPRODUCT(--(WEEKDAY(ROW(INDIRECT(INT(F2490)&amp;":"&amp;INT(I2490))),2)&gt;5))</f>
        <v>0</v>
      </c>
      <c r="N2490" s="22">
        <f ca="1" t="shared" si="193"/>
        <v>0.56666666676756</v>
      </c>
      <c r="O2490" s="22" t="str">
        <f ca="1" t="shared" si="194"/>
        <v>Within SLA</v>
      </c>
      <c r="P2490" s="26" t="s">
        <v>9677</v>
      </c>
      <c r="Q2490" s="24" t="s">
        <v>37</v>
      </c>
      <c r="R2490" s="25"/>
      <c r="S2490" s="25"/>
    </row>
    <row r="2491" ht="39" customHeight="1" spans="1:19">
      <c r="A2491" s="28" t="s">
        <v>9681</v>
      </c>
      <c r="B2491" s="20" t="s">
        <v>196</v>
      </c>
      <c r="C2491" s="20" t="s">
        <v>46</v>
      </c>
      <c r="D2491" s="20" t="s">
        <v>21</v>
      </c>
      <c r="E2491" s="21" t="s">
        <v>9678</v>
      </c>
      <c r="F2491" s="21" t="s">
        <v>9682</v>
      </c>
      <c r="G2491" s="20" t="s">
        <v>24</v>
      </c>
      <c r="H2491" s="20" t="s">
        <v>25</v>
      </c>
      <c r="I2491" s="21" t="s">
        <v>9683</v>
      </c>
      <c r="J2491" s="22">
        <f t="shared" si="190"/>
        <v>0.189583333340124</v>
      </c>
      <c r="K2491" s="22">
        <f t="shared" si="191"/>
        <v>4.55000000016298</v>
      </c>
      <c r="L2491" s="22">
        <f t="shared" si="192"/>
        <v>4.55000000016298</v>
      </c>
      <c r="M2491" s="22" cm="1">
        <f ca="1" t="array" ref="M2491">SUMPRODUCT(--(WEEKDAY(ROW(INDIRECT(INT(F2491)&amp;":"&amp;INT(I2491))),2)&gt;5))</f>
        <v>0</v>
      </c>
      <c r="N2491" s="22">
        <f ca="1" t="shared" si="193"/>
        <v>4.55000000016298</v>
      </c>
      <c r="O2491" s="22" t="str">
        <f ca="1" t="shared" si="194"/>
        <v>SLA Violated</v>
      </c>
      <c r="P2491" s="23" t="s">
        <v>9681</v>
      </c>
      <c r="Q2491" s="24" t="s">
        <v>37</v>
      </c>
      <c r="R2491" s="25" t="s">
        <v>7339</v>
      </c>
      <c r="S2491" s="25" t="s">
        <v>7340</v>
      </c>
    </row>
    <row r="2492" ht="27" customHeight="1" spans="1:19">
      <c r="A2492" s="19" t="s">
        <v>9684</v>
      </c>
      <c r="B2492" s="20" t="s">
        <v>30</v>
      </c>
      <c r="C2492" s="20" t="s">
        <v>31</v>
      </c>
      <c r="D2492" s="20" t="s">
        <v>21</v>
      </c>
      <c r="E2492" s="21" t="s">
        <v>9685</v>
      </c>
      <c r="F2492" s="21" t="s">
        <v>9686</v>
      </c>
      <c r="G2492" s="20" t="s">
        <v>35</v>
      </c>
      <c r="H2492" s="20" t="s">
        <v>25</v>
      </c>
      <c r="I2492" s="21" t="s">
        <v>9687</v>
      </c>
      <c r="J2492" s="22">
        <f t="shared" si="190"/>
        <v>5.00277777777228</v>
      </c>
      <c r="K2492" s="22">
        <f t="shared" si="191"/>
        <v>120.066666666535</v>
      </c>
      <c r="L2492" s="22">
        <f t="shared" si="192"/>
        <v>40.0666666665347</v>
      </c>
      <c r="M2492" s="22" cm="1">
        <f ca="1" t="array" ref="M2492">SUMPRODUCT(--(WEEKDAY(ROW(INDIRECT(INT(F2492)&amp;":"&amp;INT(I2492))),2)&gt;5))</f>
        <v>2</v>
      </c>
      <c r="N2492" s="22">
        <f ca="1" t="shared" si="193"/>
        <v>24.0666666665347</v>
      </c>
      <c r="O2492" s="22" t="str">
        <f ca="1" t="shared" si="194"/>
        <v>SLA Violated</v>
      </c>
      <c r="P2492" s="26" t="s">
        <v>9684</v>
      </c>
      <c r="Q2492" s="24" t="s">
        <v>28</v>
      </c>
      <c r="R2492" s="25"/>
      <c r="S2492" s="25"/>
    </row>
    <row r="2493" ht="39" customHeight="1" spans="1:19">
      <c r="A2493" s="19" t="s">
        <v>9688</v>
      </c>
      <c r="B2493" s="20" t="s">
        <v>19</v>
      </c>
      <c r="C2493" s="20" t="s">
        <v>20</v>
      </c>
      <c r="D2493" s="20" t="s">
        <v>32</v>
      </c>
      <c r="E2493" s="21" t="s">
        <v>9689</v>
      </c>
      <c r="F2493" s="21" t="s">
        <v>9690</v>
      </c>
      <c r="G2493" s="20" t="s">
        <v>35</v>
      </c>
      <c r="H2493" s="20" t="s">
        <v>25</v>
      </c>
      <c r="I2493" s="21" t="s">
        <v>9691</v>
      </c>
      <c r="J2493" s="22">
        <f t="shared" si="190"/>
        <v>0.0222222222218988</v>
      </c>
      <c r="K2493" s="22">
        <f t="shared" si="191"/>
        <v>0.533333333325572</v>
      </c>
      <c r="L2493" s="22">
        <f t="shared" si="192"/>
        <v>0.533333333325572</v>
      </c>
      <c r="M2493" s="22" cm="1">
        <f ca="1" t="array" ref="M2493">SUMPRODUCT(--(WEEKDAY(ROW(INDIRECT(INT(F2493)&amp;":"&amp;INT(I2493))),2)&gt;5))</f>
        <v>0</v>
      </c>
      <c r="N2493" s="22">
        <f ca="1" t="shared" si="193"/>
        <v>0.533333333325572</v>
      </c>
      <c r="O2493" s="22" t="str">
        <f ca="1" t="shared" si="194"/>
        <v>Within SLA</v>
      </c>
      <c r="P2493" s="26" t="s">
        <v>9688</v>
      </c>
      <c r="Q2493" s="24" t="s">
        <v>37</v>
      </c>
      <c r="R2493" s="25"/>
      <c r="S2493" s="25"/>
    </row>
    <row r="2494" ht="39" customHeight="1" spans="1:19">
      <c r="A2494" s="19" t="s">
        <v>9692</v>
      </c>
      <c r="B2494" s="20" t="s">
        <v>19</v>
      </c>
      <c r="C2494" s="20" t="s">
        <v>20</v>
      </c>
      <c r="D2494" s="20" t="s">
        <v>32</v>
      </c>
      <c r="E2494" s="21" t="s">
        <v>9675</v>
      </c>
      <c r="F2494" s="21" t="s">
        <v>9693</v>
      </c>
      <c r="G2494" s="20" t="s">
        <v>35</v>
      </c>
      <c r="H2494" s="20" t="s">
        <v>25</v>
      </c>
      <c r="I2494" s="21" t="s">
        <v>9694</v>
      </c>
      <c r="J2494" s="22">
        <f t="shared" si="190"/>
        <v>1.17916666666133</v>
      </c>
      <c r="K2494" s="22">
        <f t="shared" si="191"/>
        <v>28.2999999998719</v>
      </c>
      <c r="L2494" s="22">
        <f t="shared" si="192"/>
        <v>12.2999999998719</v>
      </c>
      <c r="M2494" s="22" cm="1">
        <f ca="1" t="array" ref="M2494">SUMPRODUCT(--(WEEKDAY(ROW(INDIRECT(INT(F2494)&amp;":"&amp;INT(I2494))),2)&gt;5))</f>
        <v>0</v>
      </c>
      <c r="N2494" s="22">
        <f ca="1" t="shared" si="193"/>
        <v>12.2999999998719</v>
      </c>
      <c r="O2494" s="22" t="str">
        <f ca="1" t="shared" si="194"/>
        <v>SLA Violated</v>
      </c>
      <c r="P2494" s="23" t="s">
        <v>9695</v>
      </c>
      <c r="Q2494" s="24" t="s">
        <v>28</v>
      </c>
      <c r="R2494" s="25"/>
      <c r="S2494" s="25"/>
    </row>
    <row r="2495" ht="39" customHeight="1" spans="1:19">
      <c r="A2495" s="19" t="s">
        <v>9696</v>
      </c>
      <c r="B2495" s="20" t="s">
        <v>19</v>
      </c>
      <c r="C2495" s="20" t="s">
        <v>46</v>
      </c>
      <c r="D2495" s="20" t="s">
        <v>32</v>
      </c>
      <c r="E2495" s="21" t="s">
        <v>9697</v>
      </c>
      <c r="F2495" s="21" t="s">
        <v>9698</v>
      </c>
      <c r="G2495" s="20" t="s">
        <v>35</v>
      </c>
      <c r="H2495" s="20" t="s">
        <v>25</v>
      </c>
      <c r="I2495" s="21" t="s">
        <v>9699</v>
      </c>
      <c r="J2495" s="22">
        <f t="shared" si="190"/>
        <v>0.17013888888323</v>
      </c>
      <c r="K2495" s="22">
        <f t="shared" si="191"/>
        <v>4.08333333319752</v>
      </c>
      <c r="L2495" s="22">
        <f t="shared" si="192"/>
        <v>4.08333333319752</v>
      </c>
      <c r="M2495" s="22" cm="1">
        <f ca="1" t="array" ref="M2495">SUMPRODUCT(--(WEEKDAY(ROW(INDIRECT(INT(F2495)&amp;":"&amp;INT(I2495))),2)&gt;5))</f>
        <v>0</v>
      </c>
      <c r="N2495" s="22">
        <f ca="1" t="shared" si="193"/>
        <v>4.08333333319752</v>
      </c>
      <c r="O2495" s="22" t="str">
        <f ca="1" t="shared" si="194"/>
        <v>Within SLA</v>
      </c>
      <c r="P2495" s="26" t="s">
        <v>9696</v>
      </c>
      <c r="Q2495" s="24" t="s">
        <v>37</v>
      </c>
      <c r="R2495" s="25"/>
      <c r="S2495" s="25"/>
    </row>
    <row r="2496" ht="27" customHeight="1" spans="1:19">
      <c r="A2496" s="19" t="s">
        <v>9700</v>
      </c>
      <c r="B2496" s="20" t="s">
        <v>30</v>
      </c>
      <c r="C2496" s="20" t="s">
        <v>31</v>
      </c>
      <c r="D2496" s="20" t="s">
        <v>32</v>
      </c>
      <c r="E2496" s="21" t="s">
        <v>9697</v>
      </c>
      <c r="F2496" s="21" t="s">
        <v>9282</v>
      </c>
      <c r="G2496" s="20" t="s">
        <v>35</v>
      </c>
      <c r="H2496" s="20" t="s">
        <v>25</v>
      </c>
      <c r="I2496" s="21" t="s">
        <v>9701</v>
      </c>
      <c r="J2496" s="22">
        <f t="shared" si="190"/>
        <v>7.09513888888614</v>
      </c>
      <c r="K2496" s="22">
        <f t="shared" si="191"/>
        <v>170.283333333267</v>
      </c>
      <c r="L2496" s="22">
        <f t="shared" si="192"/>
        <v>58.2833333332674</v>
      </c>
      <c r="M2496" s="22" cm="1">
        <f ca="1" t="array" ref="M2496">SUMPRODUCT(--(WEEKDAY(ROW(INDIRECT(INT(F2496)&amp;":"&amp;INT(I2496))),2)&gt;5))</f>
        <v>2</v>
      </c>
      <c r="N2496" s="22">
        <f ca="1" t="shared" si="193"/>
        <v>42.2833333332674</v>
      </c>
      <c r="O2496" s="22" t="str">
        <f ca="1" t="shared" si="194"/>
        <v>SLA Violated</v>
      </c>
      <c r="P2496" s="26" t="s">
        <v>9700</v>
      </c>
      <c r="Q2496" s="24" t="s">
        <v>28</v>
      </c>
      <c r="R2496" s="25"/>
      <c r="S2496" s="25"/>
    </row>
    <row r="2497" ht="39" customHeight="1" spans="1:19">
      <c r="A2497" s="19" t="s">
        <v>9702</v>
      </c>
      <c r="B2497" s="20" t="s">
        <v>19</v>
      </c>
      <c r="C2497" s="20" t="s">
        <v>20</v>
      </c>
      <c r="D2497" s="20" t="s">
        <v>32</v>
      </c>
      <c r="E2497" s="21" t="s">
        <v>9703</v>
      </c>
      <c r="F2497" s="21" t="s">
        <v>9704</v>
      </c>
      <c r="G2497" s="20" t="s">
        <v>35</v>
      </c>
      <c r="H2497" s="20" t="s">
        <v>25</v>
      </c>
      <c r="I2497" s="21" t="s">
        <v>9705</v>
      </c>
      <c r="J2497" s="22">
        <f t="shared" si="190"/>
        <v>0.0756944444510736</v>
      </c>
      <c r="K2497" s="22">
        <f t="shared" si="191"/>
        <v>1.81666666682577</v>
      </c>
      <c r="L2497" s="22">
        <f t="shared" si="192"/>
        <v>1.81666666682577</v>
      </c>
      <c r="M2497" s="22" cm="1">
        <f ca="1" t="array" ref="M2497">SUMPRODUCT(--(WEEKDAY(ROW(INDIRECT(INT(F2497)&amp;":"&amp;INT(I2497))),2)&gt;5))</f>
        <v>0</v>
      </c>
      <c r="N2497" s="22">
        <f ca="1" t="shared" si="193"/>
        <v>1.81666666682577</v>
      </c>
      <c r="O2497" s="22" t="str">
        <f ca="1" t="shared" si="194"/>
        <v>Within SLA</v>
      </c>
      <c r="P2497" s="26" t="s">
        <v>9702</v>
      </c>
      <c r="Q2497" s="24" t="s">
        <v>37</v>
      </c>
      <c r="R2497" s="25"/>
      <c r="S2497" s="25"/>
    </row>
    <row r="2498" ht="27" customHeight="1" spans="1:19">
      <c r="A2498" s="19" t="s">
        <v>9706</v>
      </c>
      <c r="B2498" s="20" t="s">
        <v>30</v>
      </c>
      <c r="C2498" s="20" t="s">
        <v>31</v>
      </c>
      <c r="D2498" s="20" t="s">
        <v>32</v>
      </c>
      <c r="E2498" s="21" t="s">
        <v>9707</v>
      </c>
      <c r="F2498" s="21" t="s">
        <v>9708</v>
      </c>
      <c r="G2498" s="20" t="s">
        <v>35</v>
      </c>
      <c r="H2498" s="20" t="s">
        <v>25</v>
      </c>
      <c r="I2498" s="21" t="s">
        <v>9705</v>
      </c>
      <c r="J2498" s="22">
        <f t="shared" si="190"/>
        <v>1.83819444444816</v>
      </c>
      <c r="K2498" s="22">
        <f t="shared" si="191"/>
        <v>44.1166666667559</v>
      </c>
      <c r="L2498" s="22">
        <f t="shared" si="192"/>
        <v>12.1166666667559</v>
      </c>
      <c r="M2498" s="22" cm="1">
        <f ca="1" t="array" ref="M2498">SUMPRODUCT(--(WEEKDAY(ROW(INDIRECT(INT(F2498)&amp;":"&amp;INT(I2498))),2)&gt;5))</f>
        <v>0</v>
      </c>
      <c r="N2498" s="22">
        <f ca="1" t="shared" si="193"/>
        <v>12.1166666667559</v>
      </c>
      <c r="O2498" s="22" t="str">
        <f ca="1" t="shared" si="194"/>
        <v>SLA Violated</v>
      </c>
      <c r="P2498" s="26" t="s">
        <v>9706</v>
      </c>
      <c r="Q2498" s="24" t="s">
        <v>28</v>
      </c>
      <c r="R2498" s="25"/>
      <c r="S2498" s="25"/>
    </row>
    <row r="2499" ht="27" customHeight="1" spans="1:19">
      <c r="A2499" s="19" t="s">
        <v>9709</v>
      </c>
      <c r="B2499" s="20" t="s">
        <v>30</v>
      </c>
      <c r="C2499" s="20" t="s">
        <v>31</v>
      </c>
      <c r="D2499" s="20" t="s">
        <v>32</v>
      </c>
      <c r="E2499" s="21" t="s">
        <v>9707</v>
      </c>
      <c r="F2499" s="21" t="s">
        <v>9710</v>
      </c>
      <c r="G2499" s="20" t="s">
        <v>35</v>
      </c>
      <c r="H2499" s="20" t="s">
        <v>25</v>
      </c>
      <c r="I2499" s="21" t="s">
        <v>9711</v>
      </c>
      <c r="J2499" s="22">
        <f t="shared" ref="J2499:J2562" si="195">F2499-I2499</f>
        <v>12.1333333333314</v>
      </c>
      <c r="K2499" s="22">
        <f t="shared" ref="K2499:K2562" si="196">J2499*24</f>
        <v>291.199999999953</v>
      </c>
      <c r="L2499" s="22">
        <f t="shared" ref="L2499:L2562" si="197">IF(_xlfn.DAYS(F2499,I2499)&gt;0,K2499-IF(FLOOR(J2499,1)=0,1,_xlfn.DAYS(F2499,I2499))*16,K2499)</f>
        <v>99.1999999999534</v>
      </c>
      <c r="M2499" s="22" cm="1">
        <f ca="1" t="array" ref="M2499">SUMPRODUCT(--(WEEKDAY(ROW(INDIRECT(INT(F2499)&amp;":"&amp;INT(I2499))),2)&gt;5))</f>
        <v>4</v>
      </c>
      <c r="N2499" s="22">
        <f ca="1" t="shared" ref="N2499:N2562" si="198">IF(IF(M2499&gt;0,L2499-M2499*8,L2499)&lt;0,0,IF(M2499&gt;0,L2499-M2499*8,L2499))</f>
        <v>67.1999999999534</v>
      </c>
      <c r="O2499" s="22" t="str">
        <f ca="1" t="shared" ref="O2499:O2562" si="199">IF(OR(AND(D2499="P1",N2499&lt;=3),AND(D2499="P2",N2499&lt;=6),AND(D2499="P3",N2499&lt;=9),AND(D2499="P4",N2499&lt;=12)),"Within SLA","SLA Violated")</f>
        <v>SLA Violated</v>
      </c>
      <c r="P2499" s="26" t="s">
        <v>9709</v>
      </c>
      <c r="Q2499" s="24" t="s">
        <v>28</v>
      </c>
      <c r="R2499" s="25"/>
      <c r="S2499" s="25"/>
    </row>
    <row r="2500" ht="39" customHeight="1" spans="1:19">
      <c r="A2500" s="19" t="s">
        <v>9712</v>
      </c>
      <c r="B2500" s="20" t="s">
        <v>19</v>
      </c>
      <c r="C2500" s="20" t="s">
        <v>20</v>
      </c>
      <c r="D2500" s="20" t="s">
        <v>32</v>
      </c>
      <c r="E2500" s="21" t="s">
        <v>9705</v>
      </c>
      <c r="F2500" s="21" t="s">
        <v>9713</v>
      </c>
      <c r="G2500" s="20" t="s">
        <v>35</v>
      </c>
      <c r="H2500" s="20" t="s">
        <v>25</v>
      </c>
      <c r="I2500" s="21" t="s">
        <v>9714</v>
      </c>
      <c r="J2500" s="22">
        <f t="shared" si="195"/>
        <v>19.0958333333328</v>
      </c>
      <c r="K2500" s="22">
        <f t="shared" si="196"/>
        <v>458.299999999988</v>
      </c>
      <c r="L2500" s="22">
        <f t="shared" si="197"/>
        <v>154.299999999988</v>
      </c>
      <c r="M2500" s="22" cm="1">
        <f ca="1" t="array" ref="M2500">SUMPRODUCT(--(WEEKDAY(ROW(INDIRECT(INT(F2500)&amp;":"&amp;INT(I2500))),2)&gt;5))</f>
        <v>6</v>
      </c>
      <c r="N2500" s="22">
        <f ca="1" t="shared" si="198"/>
        <v>106.299999999988</v>
      </c>
      <c r="O2500" s="22" t="str">
        <f ca="1" t="shared" si="199"/>
        <v>SLA Violated</v>
      </c>
      <c r="P2500" s="23" t="s">
        <v>9715</v>
      </c>
      <c r="Q2500" s="24" t="s">
        <v>28</v>
      </c>
      <c r="R2500" s="25"/>
      <c r="S2500" s="25"/>
    </row>
    <row r="2501" ht="27" customHeight="1" spans="1:19">
      <c r="A2501" s="19" t="s">
        <v>9716</v>
      </c>
      <c r="B2501" s="20" t="s">
        <v>30</v>
      </c>
      <c r="C2501" s="20" t="s">
        <v>31</v>
      </c>
      <c r="D2501" s="20" t="s">
        <v>21</v>
      </c>
      <c r="E2501" s="21" t="s">
        <v>9717</v>
      </c>
      <c r="F2501" s="21" t="s">
        <v>9718</v>
      </c>
      <c r="G2501" s="20" t="s">
        <v>35</v>
      </c>
      <c r="H2501" s="20" t="s">
        <v>25</v>
      </c>
      <c r="I2501" s="21" t="s">
        <v>9719</v>
      </c>
      <c r="J2501" s="22">
        <f t="shared" si="195"/>
        <v>13.4034722222204</v>
      </c>
      <c r="K2501" s="22">
        <f t="shared" si="196"/>
        <v>321.683333333291</v>
      </c>
      <c r="L2501" s="22">
        <f t="shared" si="197"/>
        <v>113.683333333291</v>
      </c>
      <c r="M2501" s="22" cm="1">
        <f ca="1" t="array" ref="M2501">SUMPRODUCT(--(WEEKDAY(ROW(INDIRECT(INT(F2501)&amp;":"&amp;INT(I2501))),2)&gt;5))</f>
        <v>4</v>
      </c>
      <c r="N2501" s="22">
        <f ca="1" t="shared" si="198"/>
        <v>81.683333333291</v>
      </c>
      <c r="O2501" s="22" t="str">
        <f ca="1" t="shared" si="199"/>
        <v>SLA Violated</v>
      </c>
      <c r="P2501" s="26" t="s">
        <v>9716</v>
      </c>
      <c r="Q2501" s="24" t="s">
        <v>28</v>
      </c>
      <c r="R2501" s="25"/>
      <c r="S2501" s="25"/>
    </row>
    <row r="2502" ht="27" customHeight="1" spans="1:19">
      <c r="A2502" s="19" t="s">
        <v>9720</v>
      </c>
      <c r="B2502" s="20" t="s">
        <v>30</v>
      </c>
      <c r="C2502" s="20" t="s">
        <v>4889</v>
      </c>
      <c r="D2502" s="20" t="s">
        <v>32</v>
      </c>
      <c r="E2502" s="21" t="s">
        <v>9721</v>
      </c>
      <c r="F2502" s="21" t="s">
        <v>9722</v>
      </c>
      <c r="G2502" s="20" t="s">
        <v>35</v>
      </c>
      <c r="H2502" s="20" t="s">
        <v>25</v>
      </c>
      <c r="I2502" s="21" t="s">
        <v>7972</v>
      </c>
      <c r="J2502" s="22">
        <f t="shared" si="195"/>
        <v>0.0638888888934162</v>
      </c>
      <c r="K2502" s="22">
        <f t="shared" si="196"/>
        <v>1.53333333344199</v>
      </c>
      <c r="L2502" s="22">
        <f t="shared" si="197"/>
        <v>1.53333333344199</v>
      </c>
      <c r="M2502" s="22" cm="1">
        <f ca="1" t="array" ref="M2502">SUMPRODUCT(--(WEEKDAY(ROW(INDIRECT(INT(F2502)&amp;":"&amp;INT(I2502))),2)&gt;5))</f>
        <v>0</v>
      </c>
      <c r="N2502" s="22">
        <f ca="1" t="shared" si="198"/>
        <v>1.53333333344199</v>
      </c>
      <c r="O2502" s="22" t="str">
        <f ca="1" t="shared" si="199"/>
        <v>Within SLA</v>
      </c>
      <c r="P2502" s="26" t="s">
        <v>9720</v>
      </c>
      <c r="Q2502" s="24" t="s">
        <v>37</v>
      </c>
      <c r="R2502" s="25"/>
      <c r="S2502" s="25"/>
    </row>
    <row r="2503" ht="39" customHeight="1" spans="1:19">
      <c r="A2503" s="19" t="s">
        <v>9723</v>
      </c>
      <c r="B2503" s="20" t="s">
        <v>19</v>
      </c>
      <c r="C2503" s="20" t="s">
        <v>20</v>
      </c>
      <c r="D2503" s="20" t="s">
        <v>32</v>
      </c>
      <c r="E2503" s="21" t="s">
        <v>9724</v>
      </c>
      <c r="F2503" s="21" t="s">
        <v>9725</v>
      </c>
      <c r="G2503" s="20" t="s">
        <v>35</v>
      </c>
      <c r="H2503" s="20" t="s">
        <v>25</v>
      </c>
      <c r="I2503" s="21" t="s">
        <v>9726</v>
      </c>
      <c r="J2503" s="22">
        <f t="shared" si="195"/>
        <v>0.100694444445253</v>
      </c>
      <c r="K2503" s="22">
        <f t="shared" si="196"/>
        <v>2.41666666668607</v>
      </c>
      <c r="L2503" s="22">
        <f t="shared" si="197"/>
        <v>2.41666666668607</v>
      </c>
      <c r="M2503" s="22" cm="1">
        <f ca="1" t="array" ref="M2503">SUMPRODUCT(--(WEEKDAY(ROW(INDIRECT(INT(F2503)&amp;":"&amp;INT(I2503))),2)&gt;5))</f>
        <v>0</v>
      </c>
      <c r="N2503" s="22">
        <f ca="1" t="shared" si="198"/>
        <v>2.41666666668607</v>
      </c>
      <c r="O2503" s="22" t="str">
        <f ca="1" t="shared" si="199"/>
        <v>Within SLA</v>
      </c>
      <c r="P2503" s="26" t="s">
        <v>9723</v>
      </c>
      <c r="Q2503" s="24" t="s">
        <v>37</v>
      </c>
      <c r="R2503" s="25"/>
      <c r="S2503" s="25"/>
    </row>
    <row r="2504" ht="27" customHeight="1" spans="1:19">
      <c r="A2504" s="19" t="s">
        <v>9727</v>
      </c>
      <c r="B2504" s="20" t="s">
        <v>30</v>
      </c>
      <c r="C2504" s="20" t="s">
        <v>4889</v>
      </c>
      <c r="D2504" s="20" t="s">
        <v>32</v>
      </c>
      <c r="E2504" s="21" t="s">
        <v>9728</v>
      </c>
      <c r="F2504" s="21" t="s">
        <v>9729</v>
      </c>
      <c r="G2504" s="20" t="s">
        <v>35</v>
      </c>
      <c r="H2504" s="20" t="s">
        <v>25</v>
      </c>
      <c r="I2504" s="21" t="s">
        <v>9730</v>
      </c>
      <c r="J2504" s="22">
        <f t="shared" si="195"/>
        <v>0.150694444440887</v>
      </c>
      <c r="K2504" s="22">
        <f t="shared" si="196"/>
        <v>3.6166666665813</v>
      </c>
      <c r="L2504" s="22">
        <f t="shared" si="197"/>
        <v>3.6166666665813</v>
      </c>
      <c r="M2504" s="22" cm="1">
        <f ca="1" t="array" ref="M2504">SUMPRODUCT(--(WEEKDAY(ROW(INDIRECT(INT(F2504)&amp;":"&amp;INT(I2504))),2)&gt;5))</f>
        <v>0</v>
      </c>
      <c r="N2504" s="22">
        <f ca="1" t="shared" si="198"/>
        <v>3.6166666665813</v>
      </c>
      <c r="O2504" s="22" t="str">
        <f ca="1" t="shared" si="199"/>
        <v>Within SLA</v>
      </c>
      <c r="P2504" s="26" t="s">
        <v>9727</v>
      </c>
      <c r="Q2504" s="24" t="s">
        <v>37</v>
      </c>
      <c r="R2504" s="25"/>
      <c r="S2504" s="25"/>
    </row>
    <row r="2505" ht="50" customHeight="1" spans="1:19">
      <c r="A2505" s="19" t="s">
        <v>9731</v>
      </c>
      <c r="B2505" s="20" t="s">
        <v>369</v>
      </c>
      <c r="C2505" s="20" t="s">
        <v>2057</v>
      </c>
      <c r="D2505" s="20" t="s">
        <v>32</v>
      </c>
      <c r="E2505" s="21" t="s">
        <v>9732</v>
      </c>
      <c r="F2505" s="21" t="s">
        <v>9733</v>
      </c>
      <c r="G2505" s="20" t="s">
        <v>35</v>
      </c>
      <c r="H2505" s="20" t="s">
        <v>25</v>
      </c>
      <c r="I2505" s="21" t="s">
        <v>9734</v>
      </c>
      <c r="J2505" s="22">
        <f t="shared" si="195"/>
        <v>1.17152777777665</v>
      </c>
      <c r="K2505" s="22">
        <f t="shared" si="196"/>
        <v>28.1166666666395</v>
      </c>
      <c r="L2505" s="22">
        <f t="shared" si="197"/>
        <v>12.1166666666395</v>
      </c>
      <c r="M2505" s="22" cm="1">
        <f ca="1" t="array" ref="M2505">SUMPRODUCT(--(WEEKDAY(ROW(INDIRECT(INT(F2505)&amp;":"&amp;INT(I2505))),2)&gt;5))</f>
        <v>0</v>
      </c>
      <c r="N2505" s="22">
        <f ca="1" t="shared" si="198"/>
        <v>12.1166666666395</v>
      </c>
      <c r="O2505" s="22" t="str">
        <f ca="1" t="shared" si="199"/>
        <v>SLA Violated</v>
      </c>
      <c r="P2505" s="23" t="s">
        <v>9735</v>
      </c>
      <c r="Q2505" s="24" t="s">
        <v>28</v>
      </c>
      <c r="R2505" s="25"/>
      <c r="S2505" s="25"/>
    </row>
    <row r="2506" ht="27" customHeight="1" spans="1:19">
      <c r="A2506" s="19" t="s">
        <v>9736</v>
      </c>
      <c r="B2506" s="20" t="s">
        <v>30</v>
      </c>
      <c r="C2506" s="20" t="s">
        <v>20</v>
      </c>
      <c r="D2506" s="20" t="s">
        <v>32</v>
      </c>
      <c r="E2506" s="21" t="s">
        <v>9737</v>
      </c>
      <c r="F2506" s="21" t="s">
        <v>9738</v>
      </c>
      <c r="G2506" s="20" t="s">
        <v>35</v>
      </c>
      <c r="H2506" s="20" t="s">
        <v>25</v>
      </c>
      <c r="I2506" s="21" t="s">
        <v>9739</v>
      </c>
      <c r="J2506" s="22">
        <f t="shared" si="195"/>
        <v>0.143749999995634</v>
      </c>
      <c r="K2506" s="22">
        <f t="shared" si="196"/>
        <v>3.44999999989523</v>
      </c>
      <c r="L2506" s="22">
        <f t="shared" si="197"/>
        <v>3.44999999989523</v>
      </c>
      <c r="M2506" s="22" cm="1">
        <f ca="1" t="array" ref="M2506">SUMPRODUCT(--(WEEKDAY(ROW(INDIRECT(INT(F2506)&amp;":"&amp;INT(I2506))),2)&gt;5))</f>
        <v>0</v>
      </c>
      <c r="N2506" s="22">
        <f ca="1" t="shared" si="198"/>
        <v>3.44999999989523</v>
      </c>
      <c r="O2506" s="22" t="str">
        <f ca="1" t="shared" si="199"/>
        <v>Within SLA</v>
      </c>
      <c r="P2506" s="26" t="s">
        <v>9736</v>
      </c>
      <c r="Q2506" s="24" t="s">
        <v>37</v>
      </c>
      <c r="R2506" s="25"/>
      <c r="S2506" s="25"/>
    </row>
    <row r="2507" ht="27" customHeight="1" spans="1:19">
      <c r="A2507" s="19" t="s">
        <v>9740</v>
      </c>
      <c r="B2507" s="20" t="s">
        <v>30</v>
      </c>
      <c r="C2507" s="20" t="s">
        <v>4889</v>
      </c>
      <c r="D2507" s="20" t="s">
        <v>32</v>
      </c>
      <c r="E2507" s="21" t="s">
        <v>3910</v>
      </c>
      <c r="F2507" s="21" t="s">
        <v>9741</v>
      </c>
      <c r="G2507" s="20" t="s">
        <v>35</v>
      </c>
      <c r="H2507" s="20" t="s">
        <v>25</v>
      </c>
      <c r="I2507" s="21" t="s">
        <v>9742</v>
      </c>
      <c r="J2507" s="22">
        <f t="shared" si="195"/>
        <v>0.12361111111386</v>
      </c>
      <c r="K2507" s="22">
        <f t="shared" si="196"/>
        <v>2.96666666673264</v>
      </c>
      <c r="L2507" s="22">
        <f t="shared" si="197"/>
        <v>2.96666666673264</v>
      </c>
      <c r="M2507" s="22" cm="1">
        <f ca="1" t="array" ref="M2507">SUMPRODUCT(--(WEEKDAY(ROW(INDIRECT(INT(F2507)&amp;":"&amp;INT(I2507))),2)&gt;5))</f>
        <v>0</v>
      </c>
      <c r="N2507" s="22">
        <f ca="1" t="shared" si="198"/>
        <v>2.96666666673264</v>
      </c>
      <c r="O2507" s="22" t="str">
        <f ca="1" t="shared" si="199"/>
        <v>Within SLA</v>
      </c>
      <c r="P2507" s="26" t="s">
        <v>9740</v>
      </c>
      <c r="Q2507" s="24" t="s">
        <v>37</v>
      </c>
      <c r="R2507" s="25"/>
      <c r="S2507" s="25"/>
    </row>
    <row r="2508" ht="27" customHeight="1" spans="1:19">
      <c r="A2508" s="19" t="s">
        <v>9743</v>
      </c>
      <c r="B2508" s="20" t="s">
        <v>30</v>
      </c>
      <c r="C2508" s="20" t="s">
        <v>31</v>
      </c>
      <c r="D2508" s="20" t="s">
        <v>32</v>
      </c>
      <c r="E2508" s="21" t="s">
        <v>9744</v>
      </c>
      <c r="F2508" s="21" t="s">
        <v>9745</v>
      </c>
      <c r="G2508" s="20" t="s">
        <v>35</v>
      </c>
      <c r="H2508" s="20" t="s">
        <v>25</v>
      </c>
      <c r="I2508" s="21" t="s">
        <v>9746</v>
      </c>
      <c r="J2508" s="22">
        <f t="shared" si="195"/>
        <v>0.0729166666642413</v>
      </c>
      <c r="K2508" s="22">
        <f t="shared" si="196"/>
        <v>1.74999999994179</v>
      </c>
      <c r="L2508" s="22">
        <f t="shared" si="197"/>
        <v>1.74999999994179</v>
      </c>
      <c r="M2508" s="22" cm="1">
        <f ca="1" t="array" ref="M2508">SUMPRODUCT(--(WEEKDAY(ROW(INDIRECT(INT(F2508)&amp;":"&amp;INT(I2508))),2)&gt;5))</f>
        <v>0</v>
      </c>
      <c r="N2508" s="22">
        <f ca="1" t="shared" si="198"/>
        <v>1.74999999994179</v>
      </c>
      <c r="O2508" s="22" t="str">
        <f ca="1" t="shared" si="199"/>
        <v>Within SLA</v>
      </c>
      <c r="P2508" s="26" t="s">
        <v>9743</v>
      </c>
      <c r="Q2508" s="24" t="s">
        <v>37</v>
      </c>
      <c r="R2508" s="25"/>
      <c r="S2508" s="25"/>
    </row>
    <row r="2509" ht="27" customHeight="1" spans="1:19">
      <c r="A2509" s="19" t="s">
        <v>9747</v>
      </c>
      <c r="B2509" s="20" t="s">
        <v>30</v>
      </c>
      <c r="C2509" s="20" t="s">
        <v>4889</v>
      </c>
      <c r="D2509" s="20" t="s">
        <v>32</v>
      </c>
      <c r="E2509" s="21" t="s">
        <v>9748</v>
      </c>
      <c r="F2509" s="21" t="s">
        <v>9749</v>
      </c>
      <c r="G2509" s="20" t="s">
        <v>35</v>
      </c>
      <c r="H2509" s="20" t="s">
        <v>25</v>
      </c>
      <c r="I2509" s="21" t="s">
        <v>9750</v>
      </c>
      <c r="J2509" s="22">
        <f t="shared" si="195"/>
        <v>0.0875000000014552</v>
      </c>
      <c r="K2509" s="22">
        <f t="shared" si="196"/>
        <v>2.10000000003492</v>
      </c>
      <c r="L2509" s="22">
        <f t="shared" si="197"/>
        <v>2.10000000003492</v>
      </c>
      <c r="M2509" s="22" cm="1">
        <f ca="1" t="array" ref="M2509">SUMPRODUCT(--(WEEKDAY(ROW(INDIRECT(INT(F2509)&amp;":"&amp;INT(I2509))),2)&gt;5))</f>
        <v>0</v>
      </c>
      <c r="N2509" s="22">
        <f ca="1" t="shared" si="198"/>
        <v>2.10000000003492</v>
      </c>
      <c r="O2509" s="22" t="str">
        <f ca="1" t="shared" si="199"/>
        <v>Within SLA</v>
      </c>
      <c r="P2509" s="26" t="s">
        <v>9747</v>
      </c>
      <c r="Q2509" s="24" t="s">
        <v>37</v>
      </c>
      <c r="R2509" s="25"/>
      <c r="S2509" s="25"/>
    </row>
    <row r="2510" ht="27" customHeight="1" spans="1:19">
      <c r="A2510" s="19" t="s">
        <v>9751</v>
      </c>
      <c r="B2510" s="20" t="s">
        <v>30</v>
      </c>
      <c r="C2510" s="20" t="s">
        <v>101</v>
      </c>
      <c r="D2510" s="20" t="s">
        <v>32</v>
      </c>
      <c r="E2510" s="21" t="s">
        <v>9752</v>
      </c>
      <c r="F2510" s="21" t="s">
        <v>9753</v>
      </c>
      <c r="G2510" s="20" t="s">
        <v>35</v>
      </c>
      <c r="H2510" s="20" t="s">
        <v>25</v>
      </c>
      <c r="I2510" s="21" t="s">
        <v>9754</v>
      </c>
      <c r="J2510" s="22">
        <f t="shared" si="195"/>
        <v>0.00277777777955635</v>
      </c>
      <c r="K2510" s="22">
        <f t="shared" si="196"/>
        <v>0.0666666667093523</v>
      </c>
      <c r="L2510" s="22">
        <f t="shared" si="197"/>
        <v>0.0666666667093523</v>
      </c>
      <c r="M2510" s="22" cm="1">
        <f ca="1" t="array" ref="M2510">SUMPRODUCT(--(WEEKDAY(ROW(INDIRECT(INT(F2510)&amp;":"&amp;INT(I2510))),2)&gt;5))</f>
        <v>0</v>
      </c>
      <c r="N2510" s="22">
        <f ca="1" t="shared" si="198"/>
        <v>0.0666666667093523</v>
      </c>
      <c r="O2510" s="22" t="str">
        <f ca="1" t="shared" si="199"/>
        <v>Within SLA</v>
      </c>
      <c r="P2510" s="26" t="s">
        <v>9751</v>
      </c>
      <c r="Q2510" s="24" t="s">
        <v>37</v>
      </c>
      <c r="R2510" s="25"/>
      <c r="S2510" s="25"/>
    </row>
    <row r="2511" ht="39" customHeight="1" spans="1:19">
      <c r="A2511" s="19" t="s">
        <v>9755</v>
      </c>
      <c r="B2511" s="20" t="s">
        <v>19</v>
      </c>
      <c r="C2511" s="20" t="s">
        <v>20</v>
      </c>
      <c r="D2511" s="20" t="s">
        <v>32</v>
      </c>
      <c r="E2511" s="21" t="s">
        <v>9746</v>
      </c>
      <c r="F2511" s="21" t="s">
        <v>9756</v>
      </c>
      <c r="G2511" s="20" t="s">
        <v>35</v>
      </c>
      <c r="H2511" s="20" t="s">
        <v>25</v>
      </c>
      <c r="I2511" s="21" t="s">
        <v>9757</v>
      </c>
      <c r="J2511" s="22">
        <f t="shared" si="195"/>
        <v>0.0187499999956344</v>
      </c>
      <c r="K2511" s="22">
        <f t="shared" si="196"/>
        <v>0.449999999895226</v>
      </c>
      <c r="L2511" s="22">
        <f t="shared" si="197"/>
        <v>0.449999999895226</v>
      </c>
      <c r="M2511" s="22" cm="1">
        <f ca="1" t="array" ref="M2511">SUMPRODUCT(--(WEEKDAY(ROW(INDIRECT(INT(F2511)&amp;":"&amp;INT(I2511))),2)&gt;5))</f>
        <v>0</v>
      </c>
      <c r="N2511" s="22">
        <f ca="1" t="shared" si="198"/>
        <v>0.449999999895226</v>
      </c>
      <c r="O2511" s="22" t="str">
        <f ca="1" t="shared" si="199"/>
        <v>Within SLA</v>
      </c>
      <c r="P2511" s="26" t="s">
        <v>9755</v>
      </c>
      <c r="Q2511" s="24" t="s">
        <v>37</v>
      </c>
      <c r="R2511" s="25"/>
      <c r="S2511" s="25"/>
    </row>
    <row r="2512" ht="27" customHeight="1" spans="1:19">
      <c r="A2512" s="19" t="s">
        <v>9758</v>
      </c>
      <c r="B2512" s="20" t="s">
        <v>30</v>
      </c>
      <c r="C2512" s="20" t="s">
        <v>31</v>
      </c>
      <c r="D2512" s="20" t="s">
        <v>21</v>
      </c>
      <c r="E2512" s="21" t="s">
        <v>9759</v>
      </c>
      <c r="F2512" s="21" t="s">
        <v>9760</v>
      </c>
      <c r="G2512" s="20" t="s">
        <v>35</v>
      </c>
      <c r="H2512" s="20" t="s">
        <v>25</v>
      </c>
      <c r="I2512" s="21" t="s">
        <v>9761</v>
      </c>
      <c r="J2512" s="22">
        <f t="shared" si="195"/>
        <v>4.9194444444438</v>
      </c>
      <c r="K2512" s="22">
        <f t="shared" si="196"/>
        <v>118.066666666651</v>
      </c>
      <c r="L2512" s="22">
        <f t="shared" si="197"/>
        <v>38.0666666666511</v>
      </c>
      <c r="M2512" s="22" cm="1">
        <f ca="1" t="array" ref="M2512">SUMPRODUCT(--(WEEKDAY(ROW(INDIRECT(INT(F2512)&amp;":"&amp;INT(I2512))),2)&gt;5))</f>
        <v>2</v>
      </c>
      <c r="N2512" s="22">
        <f ca="1" t="shared" si="198"/>
        <v>22.0666666666511</v>
      </c>
      <c r="O2512" s="22" t="str">
        <f ca="1" t="shared" si="199"/>
        <v>SLA Violated</v>
      </c>
      <c r="P2512" s="26" t="s">
        <v>9758</v>
      </c>
      <c r="Q2512" s="24" t="s">
        <v>28</v>
      </c>
      <c r="R2512" s="25"/>
      <c r="S2512" s="25"/>
    </row>
    <row r="2513" ht="39" customHeight="1" spans="1:19">
      <c r="A2513" s="19" t="s">
        <v>9762</v>
      </c>
      <c r="B2513" s="20" t="s">
        <v>196</v>
      </c>
      <c r="C2513" s="20" t="s">
        <v>849</v>
      </c>
      <c r="D2513" s="20" t="s">
        <v>32</v>
      </c>
      <c r="E2513" s="21" t="s">
        <v>9763</v>
      </c>
      <c r="F2513" s="21" t="s">
        <v>9764</v>
      </c>
      <c r="G2513" s="20" t="s">
        <v>35</v>
      </c>
      <c r="H2513" s="20" t="s">
        <v>25</v>
      </c>
      <c r="I2513" s="21" t="s">
        <v>9765</v>
      </c>
      <c r="J2513" s="22">
        <f t="shared" si="195"/>
        <v>5.80694444444816</v>
      </c>
      <c r="K2513" s="22">
        <f t="shared" si="196"/>
        <v>139.366666666756</v>
      </c>
      <c r="L2513" s="22">
        <f t="shared" si="197"/>
        <v>43.3666666667559</v>
      </c>
      <c r="M2513" s="22" cm="1">
        <f ca="1" t="array" ref="M2513">SUMPRODUCT(--(WEEKDAY(ROW(INDIRECT(INT(F2513)&amp;":"&amp;INT(I2513))),2)&gt;5))</f>
        <v>2</v>
      </c>
      <c r="N2513" s="22">
        <f ca="1" t="shared" si="198"/>
        <v>27.3666666667559</v>
      </c>
      <c r="O2513" s="22" t="str">
        <f ca="1" t="shared" si="199"/>
        <v>SLA Violated</v>
      </c>
      <c r="P2513" s="23" t="s">
        <v>9766</v>
      </c>
      <c r="Q2513" s="24" t="s">
        <v>28</v>
      </c>
      <c r="R2513" s="25"/>
      <c r="S2513" s="25"/>
    </row>
    <row r="2514" ht="39" customHeight="1" spans="1:19">
      <c r="A2514" s="19" t="s">
        <v>9767</v>
      </c>
      <c r="B2514" s="20" t="s">
        <v>19</v>
      </c>
      <c r="C2514" s="20" t="s">
        <v>20</v>
      </c>
      <c r="D2514" s="20" t="s">
        <v>32</v>
      </c>
      <c r="E2514" s="21" t="s">
        <v>9768</v>
      </c>
      <c r="F2514" s="21" t="s">
        <v>9769</v>
      </c>
      <c r="G2514" s="20" t="s">
        <v>35</v>
      </c>
      <c r="H2514" s="20" t="s">
        <v>25</v>
      </c>
      <c r="I2514" s="21" t="s">
        <v>9770</v>
      </c>
      <c r="J2514" s="22">
        <f t="shared" si="195"/>
        <v>0.0222222222218988</v>
      </c>
      <c r="K2514" s="22">
        <f t="shared" si="196"/>
        <v>0.533333333325572</v>
      </c>
      <c r="L2514" s="22">
        <f t="shared" si="197"/>
        <v>0.533333333325572</v>
      </c>
      <c r="M2514" s="22" cm="1">
        <f ca="1" t="array" ref="M2514">SUMPRODUCT(--(WEEKDAY(ROW(INDIRECT(INT(F2514)&amp;":"&amp;INT(I2514))),2)&gt;5))</f>
        <v>0</v>
      </c>
      <c r="N2514" s="22">
        <f ca="1" t="shared" si="198"/>
        <v>0.533333333325572</v>
      </c>
      <c r="O2514" s="22" t="str">
        <f ca="1" t="shared" si="199"/>
        <v>Within SLA</v>
      </c>
      <c r="P2514" s="26" t="s">
        <v>9767</v>
      </c>
      <c r="Q2514" s="24" t="s">
        <v>37</v>
      </c>
      <c r="R2514" s="25"/>
      <c r="S2514" s="25"/>
    </row>
    <row r="2515" ht="27" customHeight="1" spans="1:19">
      <c r="A2515" s="19" t="s">
        <v>9771</v>
      </c>
      <c r="B2515" s="20" t="s">
        <v>30</v>
      </c>
      <c r="C2515" s="20" t="s">
        <v>31</v>
      </c>
      <c r="D2515" s="20" t="s">
        <v>21</v>
      </c>
      <c r="E2515" s="21" t="s">
        <v>9772</v>
      </c>
      <c r="F2515" s="21" t="s">
        <v>9773</v>
      </c>
      <c r="G2515" s="20" t="s">
        <v>35</v>
      </c>
      <c r="H2515" s="20" t="s">
        <v>25</v>
      </c>
      <c r="I2515" s="21" t="s">
        <v>9774</v>
      </c>
      <c r="J2515" s="22">
        <f t="shared" si="195"/>
        <v>2.85763888889051</v>
      </c>
      <c r="K2515" s="22">
        <f t="shared" si="196"/>
        <v>68.5833333333721</v>
      </c>
      <c r="L2515" s="22">
        <f t="shared" si="197"/>
        <v>20.5833333333721</v>
      </c>
      <c r="M2515" s="22" cm="1">
        <f ca="1" t="array" ref="M2515">SUMPRODUCT(--(WEEKDAY(ROW(INDIRECT(INT(F2515)&amp;":"&amp;INT(I2515))),2)&gt;5))</f>
        <v>1</v>
      </c>
      <c r="N2515" s="22">
        <f ca="1" t="shared" si="198"/>
        <v>12.5833333333721</v>
      </c>
      <c r="O2515" s="22" t="str">
        <f ca="1" t="shared" si="199"/>
        <v>SLA Violated</v>
      </c>
      <c r="P2515" s="26" t="s">
        <v>9771</v>
      </c>
      <c r="Q2515" s="24" t="s">
        <v>28</v>
      </c>
      <c r="R2515" s="25"/>
      <c r="S2515" s="25"/>
    </row>
    <row r="2516" ht="27" customHeight="1" spans="1:19">
      <c r="A2516" s="19" t="s">
        <v>9775</v>
      </c>
      <c r="B2516" s="20" t="s">
        <v>1047</v>
      </c>
      <c r="C2516" s="20" t="s">
        <v>849</v>
      </c>
      <c r="D2516" s="20" t="s">
        <v>32</v>
      </c>
      <c r="E2516" s="21" t="s">
        <v>9772</v>
      </c>
      <c r="F2516" s="21" t="s">
        <v>9776</v>
      </c>
      <c r="G2516" s="20" t="s">
        <v>35</v>
      </c>
      <c r="H2516" s="20" t="s">
        <v>25</v>
      </c>
      <c r="I2516" s="21" t="s">
        <v>9777</v>
      </c>
      <c r="J2516" s="22">
        <f t="shared" si="195"/>
        <v>12.7666666666628</v>
      </c>
      <c r="K2516" s="22">
        <f t="shared" si="196"/>
        <v>306.399999999907</v>
      </c>
      <c r="L2516" s="22">
        <f t="shared" si="197"/>
        <v>98.3999999999069</v>
      </c>
      <c r="M2516" s="22" cm="1">
        <f ca="1" t="array" ref="M2516">SUMPRODUCT(--(WEEKDAY(ROW(INDIRECT(INT(F2516)&amp;":"&amp;INT(I2516))),2)&gt;5))</f>
        <v>4</v>
      </c>
      <c r="N2516" s="22">
        <f ca="1" t="shared" si="198"/>
        <v>66.3999999999069</v>
      </c>
      <c r="O2516" s="22" t="str">
        <f ca="1" t="shared" si="199"/>
        <v>SLA Violated</v>
      </c>
      <c r="P2516" s="23" t="s">
        <v>9778</v>
      </c>
      <c r="Q2516" s="24" t="s">
        <v>37</v>
      </c>
      <c r="R2516" s="25" t="s">
        <v>4039</v>
      </c>
      <c r="S2516" s="25" t="s">
        <v>39</v>
      </c>
    </row>
    <row r="2517" ht="27" customHeight="1" spans="1:19">
      <c r="A2517" s="19" t="s">
        <v>9779</v>
      </c>
      <c r="B2517" s="20" t="s">
        <v>30</v>
      </c>
      <c r="C2517" s="20" t="s">
        <v>4889</v>
      </c>
      <c r="D2517" s="20" t="s">
        <v>32</v>
      </c>
      <c r="E2517" s="21" t="s">
        <v>9682</v>
      </c>
      <c r="F2517" s="21" t="s">
        <v>9780</v>
      </c>
      <c r="G2517" s="20" t="s">
        <v>35</v>
      </c>
      <c r="H2517" s="20" t="s">
        <v>25</v>
      </c>
      <c r="I2517" s="21" t="s">
        <v>9781</v>
      </c>
      <c r="J2517" s="22">
        <f t="shared" si="195"/>
        <v>0.00138888889341615</v>
      </c>
      <c r="K2517" s="22">
        <f t="shared" si="196"/>
        <v>0.0333333334419876</v>
      </c>
      <c r="L2517" s="22">
        <f t="shared" si="197"/>
        <v>0.0333333334419876</v>
      </c>
      <c r="M2517" s="22" cm="1">
        <f ca="1" t="array" ref="M2517">SUMPRODUCT(--(WEEKDAY(ROW(INDIRECT(INT(F2517)&amp;":"&amp;INT(I2517))),2)&gt;5))</f>
        <v>0</v>
      </c>
      <c r="N2517" s="22">
        <f ca="1" t="shared" si="198"/>
        <v>0.0333333334419876</v>
      </c>
      <c r="O2517" s="22" t="str">
        <f ca="1" t="shared" si="199"/>
        <v>Within SLA</v>
      </c>
      <c r="P2517" s="26" t="s">
        <v>9779</v>
      </c>
      <c r="Q2517" s="24" t="s">
        <v>37</v>
      </c>
      <c r="R2517" s="25"/>
      <c r="S2517" s="25"/>
    </row>
    <row r="2518" ht="27" customHeight="1" spans="1:19">
      <c r="A2518" s="19" t="s">
        <v>9782</v>
      </c>
      <c r="B2518" s="20" t="s">
        <v>30</v>
      </c>
      <c r="C2518" s="20" t="s">
        <v>31</v>
      </c>
      <c r="D2518" s="20" t="s">
        <v>32</v>
      </c>
      <c r="E2518" s="21" t="s">
        <v>9783</v>
      </c>
      <c r="F2518" s="21" t="s">
        <v>9784</v>
      </c>
      <c r="G2518" s="20" t="s">
        <v>35</v>
      </c>
      <c r="H2518" s="20" t="s">
        <v>25</v>
      </c>
      <c r="I2518" s="21" t="s">
        <v>9785</v>
      </c>
      <c r="J2518" s="22">
        <f t="shared" si="195"/>
        <v>4.83125000000291</v>
      </c>
      <c r="K2518" s="22">
        <f t="shared" si="196"/>
        <v>115.95000000007</v>
      </c>
      <c r="L2518" s="22">
        <f t="shared" si="197"/>
        <v>35.9500000000698</v>
      </c>
      <c r="M2518" s="22" cm="1">
        <f ca="1" t="array" ref="M2518">SUMPRODUCT(--(WEEKDAY(ROW(INDIRECT(INT(F2518)&amp;":"&amp;INT(I2518))),2)&gt;5))</f>
        <v>2</v>
      </c>
      <c r="N2518" s="22">
        <f ca="1" t="shared" si="198"/>
        <v>19.9500000000698</v>
      </c>
      <c r="O2518" s="22" t="str">
        <f ca="1" t="shared" si="199"/>
        <v>SLA Violated</v>
      </c>
      <c r="P2518" s="26" t="s">
        <v>9782</v>
      </c>
      <c r="Q2518" s="24" t="s">
        <v>28</v>
      </c>
      <c r="R2518" s="25"/>
      <c r="S2518" s="25"/>
    </row>
    <row r="2519" ht="27" customHeight="1" spans="1:19">
      <c r="A2519" s="19" t="s">
        <v>9786</v>
      </c>
      <c r="B2519" s="20" t="s">
        <v>30</v>
      </c>
      <c r="C2519" s="20" t="s">
        <v>31</v>
      </c>
      <c r="D2519" s="20" t="s">
        <v>32</v>
      </c>
      <c r="E2519" s="21" t="s">
        <v>9787</v>
      </c>
      <c r="F2519" s="21" t="s">
        <v>9708</v>
      </c>
      <c r="G2519" s="20" t="s">
        <v>35</v>
      </c>
      <c r="H2519" s="20" t="s">
        <v>25</v>
      </c>
      <c r="I2519" s="21" t="s">
        <v>9788</v>
      </c>
      <c r="J2519" s="22">
        <f t="shared" si="195"/>
        <v>1.64513888888905</v>
      </c>
      <c r="K2519" s="22">
        <f t="shared" si="196"/>
        <v>39.4833333333372</v>
      </c>
      <c r="L2519" s="22">
        <f t="shared" si="197"/>
        <v>7.48333333333721</v>
      </c>
      <c r="M2519" s="22" cm="1">
        <f ca="1" t="array" ref="M2519">SUMPRODUCT(--(WEEKDAY(ROW(INDIRECT(INT(F2519)&amp;":"&amp;INT(I2519))),2)&gt;5))</f>
        <v>0</v>
      </c>
      <c r="N2519" s="22">
        <f ca="1" t="shared" si="198"/>
        <v>7.48333333333721</v>
      </c>
      <c r="O2519" s="22" t="str">
        <f ca="1" t="shared" si="199"/>
        <v>Within SLA</v>
      </c>
      <c r="P2519" s="26" t="s">
        <v>9786</v>
      </c>
      <c r="Q2519" s="24" t="s">
        <v>37</v>
      </c>
      <c r="R2519" s="25"/>
      <c r="S2519" s="25"/>
    </row>
    <row r="2520" ht="27" customHeight="1" spans="1:19">
      <c r="A2520" s="19" t="s">
        <v>9789</v>
      </c>
      <c r="B2520" s="20" t="s">
        <v>30</v>
      </c>
      <c r="C2520" s="20" t="s">
        <v>849</v>
      </c>
      <c r="D2520" s="20" t="s">
        <v>32</v>
      </c>
      <c r="E2520" s="21" t="s">
        <v>9790</v>
      </c>
      <c r="F2520" s="21" t="s">
        <v>9791</v>
      </c>
      <c r="G2520" s="20" t="s">
        <v>35</v>
      </c>
      <c r="H2520" s="20" t="s">
        <v>25</v>
      </c>
      <c r="I2520" s="21" t="s">
        <v>9792</v>
      </c>
      <c r="J2520" s="22">
        <f t="shared" si="195"/>
        <v>1.62569444444671</v>
      </c>
      <c r="K2520" s="22">
        <f t="shared" si="196"/>
        <v>39.016666666721</v>
      </c>
      <c r="L2520" s="22">
        <f t="shared" si="197"/>
        <v>7.01666666672099</v>
      </c>
      <c r="M2520" s="22" cm="1">
        <f ca="1" t="array" ref="M2520">SUMPRODUCT(--(WEEKDAY(ROW(INDIRECT(INT(F2520)&amp;":"&amp;INT(I2520))),2)&gt;5))</f>
        <v>0</v>
      </c>
      <c r="N2520" s="22">
        <f ca="1" t="shared" si="198"/>
        <v>7.01666666672099</v>
      </c>
      <c r="O2520" s="22" t="str">
        <f ca="1" t="shared" si="199"/>
        <v>Within SLA</v>
      </c>
      <c r="P2520" s="26" t="s">
        <v>9789</v>
      </c>
      <c r="Q2520" s="24" t="s">
        <v>37</v>
      </c>
      <c r="R2520" s="25"/>
      <c r="S2520" s="25"/>
    </row>
    <row r="2521" ht="27" customHeight="1" spans="1:19">
      <c r="A2521" s="19" t="s">
        <v>9793</v>
      </c>
      <c r="B2521" s="20" t="s">
        <v>30</v>
      </c>
      <c r="C2521" s="20" t="s">
        <v>4889</v>
      </c>
      <c r="D2521" s="20" t="s">
        <v>32</v>
      </c>
      <c r="E2521" s="21" t="s">
        <v>9794</v>
      </c>
      <c r="F2521" s="21" t="s">
        <v>9795</v>
      </c>
      <c r="G2521" s="20" t="s">
        <v>35</v>
      </c>
      <c r="H2521" s="20" t="s">
        <v>25</v>
      </c>
      <c r="I2521" s="21" t="s">
        <v>9796</v>
      </c>
      <c r="J2521" s="22">
        <f t="shared" si="195"/>
        <v>1.65277777777374</v>
      </c>
      <c r="K2521" s="22">
        <f t="shared" si="196"/>
        <v>39.6666666665697</v>
      </c>
      <c r="L2521" s="22">
        <f t="shared" si="197"/>
        <v>7.66666666656965</v>
      </c>
      <c r="M2521" s="22" cm="1">
        <f ca="1" t="array" ref="M2521">SUMPRODUCT(--(WEEKDAY(ROW(INDIRECT(INT(F2521)&amp;":"&amp;INT(I2521))),2)&gt;5))</f>
        <v>0</v>
      </c>
      <c r="N2521" s="22">
        <f ca="1" t="shared" si="198"/>
        <v>7.66666666656965</v>
      </c>
      <c r="O2521" s="22" t="str">
        <f ca="1" t="shared" si="199"/>
        <v>Within SLA</v>
      </c>
      <c r="P2521" s="26" t="s">
        <v>9793</v>
      </c>
      <c r="Q2521" s="24" t="s">
        <v>37</v>
      </c>
      <c r="R2521" s="25"/>
      <c r="S2521" s="25"/>
    </row>
    <row r="2522" ht="27" customHeight="1" spans="1:19">
      <c r="A2522" s="19" t="s">
        <v>9797</v>
      </c>
      <c r="B2522" s="20" t="s">
        <v>30</v>
      </c>
      <c r="C2522" s="20" t="s">
        <v>31</v>
      </c>
      <c r="D2522" s="20" t="s">
        <v>115</v>
      </c>
      <c r="E2522" s="21" t="s">
        <v>9749</v>
      </c>
      <c r="F2522" s="21" t="s">
        <v>9798</v>
      </c>
      <c r="G2522" s="20" t="s">
        <v>35</v>
      </c>
      <c r="H2522" s="20" t="s">
        <v>25</v>
      </c>
      <c r="I2522" s="21" t="s">
        <v>9799</v>
      </c>
      <c r="J2522" s="22">
        <f t="shared" si="195"/>
        <v>2.8305555555562</v>
      </c>
      <c r="K2522" s="22">
        <f t="shared" si="196"/>
        <v>67.9333333333489</v>
      </c>
      <c r="L2522" s="22">
        <f t="shared" si="197"/>
        <v>19.9333333333489</v>
      </c>
      <c r="M2522" s="22" cm="1">
        <f ca="1" t="array" ref="M2522">SUMPRODUCT(--(WEEKDAY(ROW(INDIRECT(INT(F2522)&amp;":"&amp;INT(I2522))),2)&gt;5))</f>
        <v>1</v>
      </c>
      <c r="N2522" s="22">
        <f ca="1" t="shared" si="198"/>
        <v>11.9333333333489</v>
      </c>
      <c r="O2522" s="22" t="str">
        <f ca="1" t="shared" si="199"/>
        <v>SLA Violated</v>
      </c>
      <c r="P2522" s="23" t="s">
        <v>9800</v>
      </c>
      <c r="Q2522" s="24" t="s">
        <v>28</v>
      </c>
      <c r="R2522" s="25"/>
      <c r="S2522" s="25"/>
    </row>
    <row r="2523" ht="27" customHeight="1" spans="1:19">
      <c r="A2523" s="19" t="s">
        <v>9801</v>
      </c>
      <c r="B2523" s="20" t="s">
        <v>30</v>
      </c>
      <c r="C2523" s="20" t="s">
        <v>46</v>
      </c>
      <c r="D2523" s="20" t="s">
        <v>32</v>
      </c>
      <c r="E2523" s="21" t="s">
        <v>9749</v>
      </c>
      <c r="F2523" s="21" t="s">
        <v>9802</v>
      </c>
      <c r="G2523" s="20" t="s">
        <v>35</v>
      </c>
      <c r="H2523" s="20" t="s">
        <v>25</v>
      </c>
      <c r="I2523" s="21" t="s">
        <v>9803</v>
      </c>
      <c r="J2523" s="22">
        <f t="shared" si="195"/>
        <v>0.000694444439432118</v>
      </c>
      <c r="K2523" s="22">
        <f t="shared" si="196"/>
        <v>0.0166666665463708</v>
      </c>
      <c r="L2523" s="22">
        <f t="shared" si="197"/>
        <v>0.0166666665463708</v>
      </c>
      <c r="M2523" s="22" cm="1">
        <f ca="1" t="array" ref="M2523">SUMPRODUCT(--(WEEKDAY(ROW(INDIRECT(INT(F2523)&amp;":"&amp;INT(I2523))),2)&gt;5))</f>
        <v>0</v>
      </c>
      <c r="N2523" s="22">
        <f ca="1" t="shared" si="198"/>
        <v>0.0166666665463708</v>
      </c>
      <c r="O2523" s="22" t="str">
        <f ca="1" t="shared" si="199"/>
        <v>Within SLA</v>
      </c>
      <c r="P2523" s="26" t="s">
        <v>9801</v>
      </c>
      <c r="Q2523" s="24" t="s">
        <v>37</v>
      </c>
      <c r="R2523" s="25"/>
      <c r="S2523" s="25"/>
    </row>
    <row r="2524" ht="27" customHeight="1" spans="1:19">
      <c r="A2524" s="19" t="s">
        <v>9804</v>
      </c>
      <c r="B2524" s="20" t="s">
        <v>30</v>
      </c>
      <c r="C2524" s="20" t="s">
        <v>4889</v>
      </c>
      <c r="D2524" s="20" t="s">
        <v>32</v>
      </c>
      <c r="E2524" s="21" t="s">
        <v>9741</v>
      </c>
      <c r="F2524" s="21" t="s">
        <v>9805</v>
      </c>
      <c r="G2524" s="20" t="s">
        <v>35</v>
      </c>
      <c r="H2524" s="20" t="s">
        <v>25</v>
      </c>
      <c r="I2524" s="21" t="s">
        <v>9806</v>
      </c>
      <c r="J2524" s="22">
        <f t="shared" si="195"/>
        <v>1.64027777777665</v>
      </c>
      <c r="K2524" s="22">
        <f t="shared" si="196"/>
        <v>39.3666666666395</v>
      </c>
      <c r="L2524" s="22">
        <f t="shared" si="197"/>
        <v>7.3666666666395</v>
      </c>
      <c r="M2524" s="22" cm="1">
        <f ca="1" t="array" ref="M2524">SUMPRODUCT(--(WEEKDAY(ROW(INDIRECT(INT(F2524)&amp;":"&amp;INT(I2524))),2)&gt;5))</f>
        <v>0</v>
      </c>
      <c r="N2524" s="22">
        <f ca="1" t="shared" si="198"/>
        <v>7.3666666666395</v>
      </c>
      <c r="O2524" s="22" t="str">
        <f ca="1" t="shared" si="199"/>
        <v>Within SLA</v>
      </c>
      <c r="P2524" s="26" t="s">
        <v>9804</v>
      </c>
      <c r="Q2524" s="24" t="s">
        <v>37</v>
      </c>
      <c r="R2524" s="25"/>
      <c r="S2524" s="25"/>
    </row>
    <row r="2525" ht="39" customHeight="1" spans="1:19">
      <c r="A2525" s="19" t="s">
        <v>9807</v>
      </c>
      <c r="B2525" s="20" t="s">
        <v>19</v>
      </c>
      <c r="C2525" s="20" t="s">
        <v>20</v>
      </c>
      <c r="D2525" s="20" t="s">
        <v>32</v>
      </c>
      <c r="E2525" s="21" t="s">
        <v>9729</v>
      </c>
      <c r="F2525" s="21" t="s">
        <v>9808</v>
      </c>
      <c r="G2525" s="20" t="s">
        <v>35</v>
      </c>
      <c r="H2525" s="20" t="s">
        <v>25</v>
      </c>
      <c r="I2525" s="21" t="s">
        <v>9809</v>
      </c>
      <c r="J2525" s="22">
        <f t="shared" si="195"/>
        <v>7.88750000000437</v>
      </c>
      <c r="K2525" s="22">
        <f t="shared" si="196"/>
        <v>189.300000000105</v>
      </c>
      <c r="L2525" s="22">
        <f t="shared" si="197"/>
        <v>61.3000000001048</v>
      </c>
      <c r="M2525" s="22" cm="1">
        <f ca="1" t="array" ref="M2525">SUMPRODUCT(--(WEEKDAY(ROW(INDIRECT(INT(F2525)&amp;":"&amp;INT(I2525))),2)&gt;5))</f>
        <v>2</v>
      </c>
      <c r="N2525" s="22">
        <f ca="1" t="shared" si="198"/>
        <v>45.3000000001048</v>
      </c>
      <c r="O2525" s="22" t="str">
        <f ca="1" t="shared" si="199"/>
        <v>SLA Violated</v>
      </c>
      <c r="P2525" s="23" t="s">
        <v>9810</v>
      </c>
      <c r="Q2525" s="24" t="s">
        <v>28</v>
      </c>
      <c r="R2525" s="25"/>
      <c r="S2525" s="25"/>
    </row>
    <row r="2526" ht="27" customHeight="1" spans="1:19">
      <c r="A2526" s="19" t="s">
        <v>9811</v>
      </c>
      <c r="B2526" s="20" t="s">
        <v>30</v>
      </c>
      <c r="C2526" s="20" t="s">
        <v>31</v>
      </c>
      <c r="D2526" s="20" t="s">
        <v>32</v>
      </c>
      <c r="E2526" s="21" t="s">
        <v>9809</v>
      </c>
      <c r="F2526" s="21" t="s">
        <v>9812</v>
      </c>
      <c r="G2526" s="20" t="s">
        <v>35</v>
      </c>
      <c r="H2526" s="20" t="s">
        <v>25</v>
      </c>
      <c r="I2526" s="21" t="s">
        <v>9813</v>
      </c>
      <c r="J2526" s="22">
        <f t="shared" si="195"/>
        <v>4.76597222222335</v>
      </c>
      <c r="K2526" s="22">
        <f t="shared" si="196"/>
        <v>114.38333333336</v>
      </c>
      <c r="L2526" s="22">
        <f t="shared" si="197"/>
        <v>34.3833333333605</v>
      </c>
      <c r="M2526" s="22" cm="1">
        <f ca="1" t="array" ref="M2526">SUMPRODUCT(--(WEEKDAY(ROW(INDIRECT(INT(F2526)&amp;":"&amp;INT(I2526))),2)&gt;5))</f>
        <v>2</v>
      </c>
      <c r="N2526" s="22">
        <f ca="1" t="shared" si="198"/>
        <v>18.3833333333605</v>
      </c>
      <c r="O2526" s="22" t="str">
        <f ca="1" t="shared" si="199"/>
        <v>SLA Violated</v>
      </c>
      <c r="P2526" s="26" t="s">
        <v>9811</v>
      </c>
      <c r="Q2526" s="24" t="s">
        <v>28</v>
      </c>
      <c r="R2526" s="25"/>
      <c r="S2526" s="25"/>
    </row>
    <row r="2527" ht="39" customHeight="1" spans="1:19">
      <c r="A2527" s="19" t="s">
        <v>9814</v>
      </c>
      <c r="B2527" s="20" t="s">
        <v>19</v>
      </c>
      <c r="C2527" s="20" t="s">
        <v>20</v>
      </c>
      <c r="D2527" s="20" t="s">
        <v>32</v>
      </c>
      <c r="E2527" s="21" t="s">
        <v>9809</v>
      </c>
      <c r="F2527" s="21" t="s">
        <v>9815</v>
      </c>
      <c r="G2527" s="20" t="s">
        <v>24</v>
      </c>
      <c r="H2527" s="20" t="s">
        <v>25</v>
      </c>
      <c r="I2527" s="21" t="s">
        <v>9816</v>
      </c>
      <c r="J2527" s="22">
        <f t="shared" si="195"/>
        <v>0.743055555562023</v>
      </c>
      <c r="K2527" s="22">
        <f t="shared" si="196"/>
        <v>17.8333333334886</v>
      </c>
      <c r="L2527" s="22">
        <f t="shared" si="197"/>
        <v>1.83333333348855</v>
      </c>
      <c r="M2527" s="22" cm="1">
        <f ca="1" t="array" ref="M2527">SUMPRODUCT(--(WEEKDAY(ROW(INDIRECT(INT(F2527)&amp;":"&amp;INT(I2527))),2)&gt;5))</f>
        <v>0</v>
      </c>
      <c r="N2527" s="22">
        <f ca="1" t="shared" si="198"/>
        <v>1.83333333348855</v>
      </c>
      <c r="O2527" s="22" t="str">
        <f ca="1" t="shared" si="199"/>
        <v>Within SLA</v>
      </c>
      <c r="P2527" s="26" t="s">
        <v>9814</v>
      </c>
      <c r="Q2527" s="24" t="s">
        <v>37</v>
      </c>
      <c r="R2527" s="25"/>
      <c r="S2527" s="25"/>
    </row>
    <row r="2528" ht="39" customHeight="1" spans="1:19">
      <c r="A2528" s="19" t="s">
        <v>9817</v>
      </c>
      <c r="B2528" s="20" t="s">
        <v>19</v>
      </c>
      <c r="C2528" s="20" t="s">
        <v>20</v>
      </c>
      <c r="D2528" s="20" t="s">
        <v>32</v>
      </c>
      <c r="E2528" s="21" t="s">
        <v>9818</v>
      </c>
      <c r="F2528" s="21" t="s">
        <v>8877</v>
      </c>
      <c r="G2528" s="20" t="s">
        <v>35</v>
      </c>
      <c r="H2528" s="20" t="s">
        <v>25</v>
      </c>
      <c r="I2528" s="21" t="s">
        <v>9819</v>
      </c>
      <c r="J2528" s="22">
        <f t="shared" si="195"/>
        <v>0.694444444445253</v>
      </c>
      <c r="K2528" s="22">
        <f t="shared" si="196"/>
        <v>16.6666666666861</v>
      </c>
      <c r="L2528" s="22">
        <f t="shared" si="197"/>
        <v>0.666666666686069</v>
      </c>
      <c r="M2528" s="22" cm="1">
        <f ca="1" t="array" ref="M2528">SUMPRODUCT(--(WEEKDAY(ROW(INDIRECT(INT(F2528)&amp;":"&amp;INT(I2528))),2)&gt;5))</f>
        <v>0</v>
      </c>
      <c r="N2528" s="22">
        <f ca="1" t="shared" si="198"/>
        <v>0.666666666686069</v>
      </c>
      <c r="O2528" s="22" t="str">
        <f ca="1" t="shared" si="199"/>
        <v>Within SLA</v>
      </c>
      <c r="P2528" s="26" t="s">
        <v>9817</v>
      </c>
      <c r="Q2528" s="24" t="s">
        <v>37</v>
      </c>
      <c r="R2528" s="25"/>
      <c r="S2528" s="25"/>
    </row>
    <row r="2529" ht="39" customHeight="1" spans="1:19">
      <c r="A2529" s="19" t="s">
        <v>9820</v>
      </c>
      <c r="B2529" s="20" t="s">
        <v>19</v>
      </c>
      <c r="C2529" s="20" t="s">
        <v>20</v>
      </c>
      <c r="D2529" s="20" t="s">
        <v>32</v>
      </c>
      <c r="E2529" s="21" t="s">
        <v>9821</v>
      </c>
      <c r="F2529" s="21" t="s">
        <v>9822</v>
      </c>
      <c r="G2529" s="20" t="s">
        <v>35</v>
      </c>
      <c r="H2529" s="20" t="s">
        <v>25</v>
      </c>
      <c r="I2529" s="21" t="s">
        <v>9823</v>
      </c>
      <c r="J2529" s="22">
        <f t="shared" si="195"/>
        <v>0.761805555557657</v>
      </c>
      <c r="K2529" s="22">
        <f t="shared" si="196"/>
        <v>18.2833333333838</v>
      </c>
      <c r="L2529" s="22">
        <f t="shared" si="197"/>
        <v>2.28333333338378</v>
      </c>
      <c r="M2529" s="22" cm="1">
        <f ca="1" t="array" ref="M2529">SUMPRODUCT(--(WEEKDAY(ROW(INDIRECT(INT(F2529)&amp;":"&amp;INT(I2529))),2)&gt;5))</f>
        <v>0</v>
      </c>
      <c r="N2529" s="22">
        <f ca="1" t="shared" si="198"/>
        <v>2.28333333338378</v>
      </c>
      <c r="O2529" s="22" t="str">
        <f ca="1" t="shared" si="199"/>
        <v>Within SLA</v>
      </c>
      <c r="P2529" s="26" t="s">
        <v>9820</v>
      </c>
      <c r="Q2529" s="24" t="s">
        <v>37</v>
      </c>
      <c r="R2529" s="25"/>
      <c r="S2529" s="25"/>
    </row>
    <row r="2530" ht="39" customHeight="1" spans="1:19">
      <c r="A2530" s="19" t="s">
        <v>9824</v>
      </c>
      <c r="B2530" s="20" t="s">
        <v>19</v>
      </c>
      <c r="C2530" s="20" t="s">
        <v>20</v>
      </c>
      <c r="D2530" s="20" t="s">
        <v>32</v>
      </c>
      <c r="E2530" s="21" t="s">
        <v>9823</v>
      </c>
      <c r="F2530" s="21" t="s">
        <v>9825</v>
      </c>
      <c r="G2530" s="20" t="s">
        <v>35</v>
      </c>
      <c r="H2530" s="20" t="s">
        <v>25</v>
      </c>
      <c r="I2530" s="21" t="s">
        <v>9826</v>
      </c>
      <c r="J2530" s="22">
        <f t="shared" si="195"/>
        <v>0.757638888891961</v>
      </c>
      <c r="K2530" s="22">
        <f t="shared" si="196"/>
        <v>18.1833333334071</v>
      </c>
      <c r="L2530" s="22">
        <f t="shared" si="197"/>
        <v>2.18333333340706</v>
      </c>
      <c r="M2530" s="22" cm="1">
        <f ca="1" t="array" ref="M2530">SUMPRODUCT(--(WEEKDAY(ROW(INDIRECT(INT(F2530)&amp;":"&amp;INT(I2530))),2)&gt;5))</f>
        <v>0</v>
      </c>
      <c r="N2530" s="22">
        <f ca="1" t="shared" si="198"/>
        <v>2.18333333340706</v>
      </c>
      <c r="O2530" s="22" t="str">
        <f ca="1" t="shared" si="199"/>
        <v>Within SLA</v>
      </c>
      <c r="P2530" s="26" t="s">
        <v>9824</v>
      </c>
      <c r="Q2530" s="24" t="s">
        <v>37</v>
      </c>
      <c r="R2530" s="25"/>
      <c r="S2530" s="25"/>
    </row>
    <row r="2531" ht="27" customHeight="1" spans="1:19">
      <c r="A2531" s="19" t="s">
        <v>9827</v>
      </c>
      <c r="B2531" s="20" t="s">
        <v>30</v>
      </c>
      <c r="C2531" s="20" t="s">
        <v>31</v>
      </c>
      <c r="D2531" s="20" t="s">
        <v>32</v>
      </c>
      <c r="E2531" s="21" t="s">
        <v>9823</v>
      </c>
      <c r="F2531" s="21" t="s">
        <v>9828</v>
      </c>
      <c r="G2531" s="20" t="s">
        <v>35</v>
      </c>
      <c r="H2531" s="20" t="s">
        <v>25</v>
      </c>
      <c r="I2531" s="21" t="s">
        <v>9829</v>
      </c>
      <c r="J2531" s="22">
        <f t="shared" si="195"/>
        <v>1.85555555555766</v>
      </c>
      <c r="K2531" s="22">
        <f t="shared" si="196"/>
        <v>44.5333333333838</v>
      </c>
      <c r="L2531" s="22">
        <f t="shared" si="197"/>
        <v>12.5333333333838</v>
      </c>
      <c r="M2531" s="22" cm="1">
        <f ca="1" t="array" ref="M2531">SUMPRODUCT(--(WEEKDAY(ROW(INDIRECT(INT(F2531)&amp;":"&amp;INT(I2531))),2)&gt;5))</f>
        <v>0</v>
      </c>
      <c r="N2531" s="22">
        <f ca="1" t="shared" si="198"/>
        <v>12.5333333333838</v>
      </c>
      <c r="O2531" s="22" t="str">
        <f ca="1" t="shared" si="199"/>
        <v>SLA Violated</v>
      </c>
      <c r="P2531" s="26" t="s">
        <v>9827</v>
      </c>
      <c r="Q2531" s="24" t="s">
        <v>28</v>
      </c>
      <c r="R2531" s="25"/>
      <c r="S2531" s="25"/>
    </row>
    <row r="2532" ht="27" customHeight="1" spans="1:19">
      <c r="A2532" s="19" t="s">
        <v>9830</v>
      </c>
      <c r="B2532" s="20" t="s">
        <v>30</v>
      </c>
      <c r="C2532" s="20" t="s">
        <v>4889</v>
      </c>
      <c r="D2532" s="20" t="s">
        <v>32</v>
      </c>
      <c r="E2532" s="21" t="s">
        <v>9816</v>
      </c>
      <c r="F2532" s="21" t="s">
        <v>9831</v>
      </c>
      <c r="G2532" s="20" t="s">
        <v>35</v>
      </c>
      <c r="H2532" s="20" t="s">
        <v>25</v>
      </c>
      <c r="I2532" s="21" t="s">
        <v>9832</v>
      </c>
      <c r="J2532" s="22">
        <f t="shared" si="195"/>
        <v>1.64374999999563</v>
      </c>
      <c r="K2532" s="22">
        <f t="shared" si="196"/>
        <v>39.4499999998952</v>
      </c>
      <c r="L2532" s="22">
        <f t="shared" si="197"/>
        <v>7.44999999989523</v>
      </c>
      <c r="M2532" s="22" cm="1">
        <f ca="1" t="array" ref="M2532">SUMPRODUCT(--(WEEKDAY(ROW(INDIRECT(INT(F2532)&amp;":"&amp;INT(I2532))),2)&gt;5))</f>
        <v>0</v>
      </c>
      <c r="N2532" s="22">
        <f ca="1" t="shared" si="198"/>
        <v>7.44999999989523</v>
      </c>
      <c r="O2532" s="22" t="str">
        <f ca="1" t="shared" si="199"/>
        <v>Within SLA</v>
      </c>
      <c r="P2532" s="26" t="s">
        <v>9830</v>
      </c>
      <c r="Q2532" s="24" t="s">
        <v>37</v>
      </c>
      <c r="R2532" s="25"/>
      <c r="S2532" s="25"/>
    </row>
    <row r="2533" ht="39" customHeight="1" spans="1:19">
      <c r="A2533" s="19" t="s">
        <v>9833</v>
      </c>
      <c r="B2533" s="20" t="s">
        <v>19</v>
      </c>
      <c r="C2533" s="20" t="s">
        <v>20</v>
      </c>
      <c r="D2533" s="20" t="s">
        <v>32</v>
      </c>
      <c r="E2533" s="21" t="s">
        <v>9816</v>
      </c>
      <c r="F2533" s="21" t="s">
        <v>9834</v>
      </c>
      <c r="G2533" s="20" t="s">
        <v>35</v>
      </c>
      <c r="H2533" s="20" t="s">
        <v>25</v>
      </c>
      <c r="I2533" s="21" t="s">
        <v>9835</v>
      </c>
      <c r="J2533" s="22">
        <f t="shared" si="195"/>
        <v>4.83263888888177</v>
      </c>
      <c r="K2533" s="22">
        <f t="shared" si="196"/>
        <v>115.983333333163</v>
      </c>
      <c r="L2533" s="22">
        <f t="shared" si="197"/>
        <v>35.9833333331626</v>
      </c>
      <c r="M2533" s="22" cm="1">
        <f ca="1" t="array" ref="M2533">SUMPRODUCT(--(WEEKDAY(ROW(INDIRECT(INT(F2533)&amp;":"&amp;INT(I2533))),2)&gt;5))</f>
        <v>2</v>
      </c>
      <c r="N2533" s="22">
        <f ca="1" t="shared" si="198"/>
        <v>19.9833333331626</v>
      </c>
      <c r="O2533" s="22" t="str">
        <f ca="1" t="shared" si="199"/>
        <v>SLA Violated</v>
      </c>
      <c r="P2533" s="23" t="s">
        <v>9836</v>
      </c>
      <c r="Q2533" s="24" t="s">
        <v>37</v>
      </c>
      <c r="R2533" s="25" t="s">
        <v>749</v>
      </c>
      <c r="S2533" s="25" t="s">
        <v>39</v>
      </c>
    </row>
    <row r="2534" ht="27" customHeight="1" spans="1:19">
      <c r="A2534" s="19" t="s">
        <v>9837</v>
      </c>
      <c r="B2534" s="20" t="s">
        <v>30</v>
      </c>
      <c r="C2534" s="20" t="s">
        <v>31</v>
      </c>
      <c r="D2534" s="20" t="s">
        <v>32</v>
      </c>
      <c r="E2534" s="21" t="s">
        <v>9838</v>
      </c>
      <c r="F2534" s="21" t="s">
        <v>9839</v>
      </c>
      <c r="G2534" s="20" t="s">
        <v>35</v>
      </c>
      <c r="H2534" s="20" t="s">
        <v>25</v>
      </c>
      <c r="I2534" s="21" t="s">
        <v>9840</v>
      </c>
      <c r="J2534" s="22">
        <f t="shared" si="195"/>
        <v>2.1916666666657</v>
      </c>
      <c r="K2534" s="22">
        <f t="shared" si="196"/>
        <v>52.5999999999767</v>
      </c>
      <c r="L2534" s="22">
        <f t="shared" si="197"/>
        <v>20.5999999999767</v>
      </c>
      <c r="M2534" s="22" cm="1">
        <f ca="1" t="array" ref="M2534">SUMPRODUCT(--(WEEKDAY(ROW(INDIRECT(INT(F2534)&amp;":"&amp;INT(I2534))),2)&gt;5))</f>
        <v>1</v>
      </c>
      <c r="N2534" s="22">
        <f ca="1" t="shared" si="198"/>
        <v>12.5999999999767</v>
      </c>
      <c r="O2534" s="22" t="str">
        <f ca="1" t="shared" si="199"/>
        <v>SLA Violated</v>
      </c>
      <c r="P2534" s="26" t="s">
        <v>9837</v>
      </c>
      <c r="Q2534" s="24" t="s">
        <v>28</v>
      </c>
      <c r="R2534" s="25"/>
      <c r="S2534" s="25"/>
    </row>
    <row r="2535" ht="39" customHeight="1" spans="1:19">
      <c r="A2535" s="19" t="s">
        <v>9841</v>
      </c>
      <c r="B2535" s="20" t="s">
        <v>19</v>
      </c>
      <c r="C2535" s="20" t="s">
        <v>20</v>
      </c>
      <c r="D2535" s="20" t="s">
        <v>32</v>
      </c>
      <c r="E2535" s="21" t="s">
        <v>9842</v>
      </c>
      <c r="F2535" s="21" t="s">
        <v>9843</v>
      </c>
      <c r="G2535" s="20" t="s">
        <v>35</v>
      </c>
      <c r="H2535" s="20" t="s">
        <v>25</v>
      </c>
      <c r="I2535" s="21" t="s">
        <v>9844</v>
      </c>
      <c r="J2535" s="22">
        <f t="shared" si="195"/>
        <v>0.0187500000029104</v>
      </c>
      <c r="K2535" s="22">
        <f t="shared" si="196"/>
        <v>0.450000000069849</v>
      </c>
      <c r="L2535" s="22">
        <f t="shared" si="197"/>
        <v>0.450000000069849</v>
      </c>
      <c r="M2535" s="22" cm="1">
        <f ca="1" t="array" ref="M2535">SUMPRODUCT(--(WEEKDAY(ROW(INDIRECT(INT(F2535)&amp;":"&amp;INT(I2535))),2)&gt;5))</f>
        <v>0</v>
      </c>
      <c r="N2535" s="22">
        <f ca="1" t="shared" si="198"/>
        <v>0.450000000069849</v>
      </c>
      <c r="O2535" s="22" t="str">
        <f ca="1" t="shared" si="199"/>
        <v>Within SLA</v>
      </c>
      <c r="P2535" s="26" t="s">
        <v>9841</v>
      </c>
      <c r="Q2535" s="24" t="s">
        <v>37</v>
      </c>
      <c r="R2535" s="25"/>
      <c r="S2535" s="25"/>
    </row>
    <row r="2536" ht="27" customHeight="1" spans="1:19">
      <c r="A2536" s="19" t="s">
        <v>9845</v>
      </c>
      <c r="B2536" s="20" t="s">
        <v>121</v>
      </c>
      <c r="C2536" s="20" t="s">
        <v>849</v>
      </c>
      <c r="D2536" s="20" t="s">
        <v>32</v>
      </c>
      <c r="E2536" s="21" t="s">
        <v>9846</v>
      </c>
      <c r="F2536" s="21" t="s">
        <v>9847</v>
      </c>
      <c r="G2536" s="20" t="s">
        <v>35</v>
      </c>
      <c r="H2536" s="20" t="s">
        <v>25</v>
      </c>
      <c r="I2536" s="21" t="s">
        <v>9848</v>
      </c>
      <c r="J2536" s="22">
        <f t="shared" si="195"/>
        <v>1.29722222222335</v>
      </c>
      <c r="K2536" s="22">
        <f t="shared" si="196"/>
        <v>31.1333333333605</v>
      </c>
      <c r="L2536" s="22">
        <f t="shared" si="197"/>
        <v>15.1333333333605</v>
      </c>
      <c r="M2536" s="22" cm="1">
        <f ca="1" t="array" ref="M2536">SUMPRODUCT(--(WEEKDAY(ROW(INDIRECT(INT(F2536)&amp;":"&amp;INT(I2536))),2)&gt;5))</f>
        <v>0</v>
      </c>
      <c r="N2536" s="22">
        <f ca="1" t="shared" si="198"/>
        <v>15.1333333333605</v>
      </c>
      <c r="O2536" s="22" t="str">
        <f ca="1" t="shared" si="199"/>
        <v>SLA Violated</v>
      </c>
      <c r="P2536" s="23" t="s">
        <v>9849</v>
      </c>
      <c r="Q2536" s="24" t="s">
        <v>28</v>
      </c>
      <c r="R2536" s="25"/>
      <c r="S2536" s="25"/>
    </row>
    <row r="2537" ht="27" customHeight="1" spans="1:19">
      <c r="A2537" s="19" t="s">
        <v>9850</v>
      </c>
      <c r="B2537" s="20" t="s">
        <v>30</v>
      </c>
      <c r="C2537" s="20" t="s">
        <v>4889</v>
      </c>
      <c r="D2537" s="20" t="s">
        <v>32</v>
      </c>
      <c r="E2537" s="21" t="s">
        <v>9851</v>
      </c>
      <c r="F2537" s="21" t="s">
        <v>9805</v>
      </c>
      <c r="G2537" s="20" t="s">
        <v>35</v>
      </c>
      <c r="H2537" s="20" t="s">
        <v>25</v>
      </c>
      <c r="I2537" s="21" t="s">
        <v>9247</v>
      </c>
      <c r="J2537" s="22">
        <f t="shared" si="195"/>
        <v>0.9375</v>
      </c>
      <c r="K2537" s="22">
        <f t="shared" si="196"/>
        <v>22.5</v>
      </c>
      <c r="L2537" s="22">
        <f t="shared" si="197"/>
        <v>6.5</v>
      </c>
      <c r="M2537" s="22" cm="1">
        <f ca="1" t="array" ref="M2537">SUMPRODUCT(--(WEEKDAY(ROW(INDIRECT(INT(F2537)&amp;":"&amp;INT(I2537))),2)&gt;5))</f>
        <v>0</v>
      </c>
      <c r="N2537" s="22">
        <f ca="1" t="shared" si="198"/>
        <v>6.5</v>
      </c>
      <c r="O2537" s="22" t="str">
        <f ca="1" t="shared" si="199"/>
        <v>Within SLA</v>
      </c>
      <c r="P2537" s="26" t="s">
        <v>9850</v>
      </c>
      <c r="Q2537" s="24" t="s">
        <v>37</v>
      </c>
      <c r="R2537" s="25"/>
      <c r="S2537" s="25"/>
    </row>
    <row r="2538" ht="39" customHeight="1" spans="1:19">
      <c r="A2538" s="19" t="s">
        <v>9852</v>
      </c>
      <c r="B2538" s="20" t="s">
        <v>19</v>
      </c>
      <c r="C2538" s="20" t="s">
        <v>20</v>
      </c>
      <c r="D2538" s="20" t="s">
        <v>32</v>
      </c>
      <c r="E2538" s="21" t="s">
        <v>9853</v>
      </c>
      <c r="F2538" s="21" t="s">
        <v>9854</v>
      </c>
      <c r="G2538" s="20" t="s">
        <v>35</v>
      </c>
      <c r="H2538" s="20" t="s">
        <v>25</v>
      </c>
      <c r="I2538" s="21" t="s">
        <v>9855</v>
      </c>
      <c r="J2538" s="22">
        <f t="shared" si="195"/>
        <v>0.0798611111094942</v>
      </c>
      <c r="K2538" s="22">
        <f t="shared" si="196"/>
        <v>1.91666666662786</v>
      </c>
      <c r="L2538" s="22">
        <f t="shared" si="197"/>
        <v>1.91666666662786</v>
      </c>
      <c r="M2538" s="22" cm="1">
        <f ca="1" t="array" ref="M2538">SUMPRODUCT(--(WEEKDAY(ROW(INDIRECT(INT(F2538)&amp;":"&amp;INT(I2538))),2)&gt;5))</f>
        <v>0</v>
      </c>
      <c r="N2538" s="22">
        <f ca="1" t="shared" si="198"/>
        <v>1.91666666662786</v>
      </c>
      <c r="O2538" s="22" t="str">
        <f ca="1" t="shared" si="199"/>
        <v>Within SLA</v>
      </c>
      <c r="P2538" s="26" t="s">
        <v>9852</v>
      </c>
      <c r="Q2538" s="24" t="s">
        <v>37</v>
      </c>
      <c r="R2538" s="25"/>
      <c r="S2538" s="25"/>
    </row>
    <row r="2539" ht="27" customHeight="1" spans="1:19">
      <c r="A2539" s="19" t="s">
        <v>9856</v>
      </c>
      <c r="B2539" s="20" t="s">
        <v>30</v>
      </c>
      <c r="C2539" s="20" t="s">
        <v>31</v>
      </c>
      <c r="D2539" s="20" t="s">
        <v>21</v>
      </c>
      <c r="E2539" s="21" t="s">
        <v>7309</v>
      </c>
      <c r="F2539" s="21" t="s">
        <v>9857</v>
      </c>
      <c r="G2539" s="20" t="s">
        <v>35</v>
      </c>
      <c r="H2539" s="20" t="s">
        <v>25</v>
      </c>
      <c r="I2539" s="21" t="s">
        <v>9858</v>
      </c>
      <c r="J2539" s="22">
        <f t="shared" si="195"/>
        <v>1.99444444444089</v>
      </c>
      <c r="K2539" s="22">
        <f t="shared" si="196"/>
        <v>47.8666666665813</v>
      </c>
      <c r="L2539" s="22">
        <f t="shared" si="197"/>
        <v>15.8666666665813</v>
      </c>
      <c r="M2539" s="22" cm="1">
        <f ca="1" t="array" ref="M2539">SUMPRODUCT(--(WEEKDAY(ROW(INDIRECT(INT(F2539)&amp;":"&amp;INT(I2539))),2)&gt;5))</f>
        <v>1</v>
      </c>
      <c r="N2539" s="22">
        <f ca="1" t="shared" si="198"/>
        <v>7.8666666665813</v>
      </c>
      <c r="O2539" s="22" t="str">
        <f ca="1" t="shared" si="199"/>
        <v>SLA Violated</v>
      </c>
      <c r="P2539" s="26" t="s">
        <v>9856</v>
      </c>
      <c r="Q2539" s="24" t="s">
        <v>28</v>
      </c>
      <c r="R2539" s="25"/>
      <c r="S2539" s="25"/>
    </row>
    <row r="2540" ht="27" customHeight="1" spans="1:19">
      <c r="A2540" s="19" t="s">
        <v>9859</v>
      </c>
      <c r="B2540" s="20" t="s">
        <v>30</v>
      </c>
      <c r="C2540" s="20" t="s">
        <v>31</v>
      </c>
      <c r="D2540" s="20" t="s">
        <v>32</v>
      </c>
      <c r="E2540" s="21" t="s">
        <v>9860</v>
      </c>
      <c r="F2540" s="21" t="s">
        <v>7238</v>
      </c>
      <c r="G2540" s="20" t="s">
        <v>35</v>
      </c>
      <c r="H2540" s="20" t="s">
        <v>25</v>
      </c>
      <c r="I2540" s="21" t="s">
        <v>9861</v>
      </c>
      <c r="J2540" s="22">
        <f t="shared" si="195"/>
        <v>3.97499999999854</v>
      </c>
      <c r="K2540" s="22">
        <f t="shared" si="196"/>
        <v>95.3999999999651</v>
      </c>
      <c r="L2540" s="22">
        <f t="shared" si="197"/>
        <v>31.3999999999651</v>
      </c>
      <c r="M2540" s="22" cm="1">
        <f ca="1" t="array" ref="M2540">SUMPRODUCT(--(WEEKDAY(ROW(INDIRECT(INT(F2540)&amp;":"&amp;INT(I2540))),2)&gt;5))</f>
        <v>2</v>
      </c>
      <c r="N2540" s="22">
        <f ca="1" t="shared" si="198"/>
        <v>15.3999999999651</v>
      </c>
      <c r="O2540" s="22" t="str">
        <f ca="1" t="shared" si="199"/>
        <v>SLA Violated</v>
      </c>
      <c r="P2540" s="26" t="s">
        <v>9859</v>
      </c>
      <c r="Q2540" s="24" t="s">
        <v>28</v>
      </c>
      <c r="R2540" s="25"/>
      <c r="S2540" s="25"/>
    </row>
    <row r="2541" ht="27" customHeight="1" spans="1:19">
      <c r="A2541" s="19" t="s">
        <v>9862</v>
      </c>
      <c r="B2541" s="20" t="s">
        <v>30</v>
      </c>
      <c r="C2541" s="20" t="s">
        <v>31</v>
      </c>
      <c r="D2541" s="20" t="s">
        <v>32</v>
      </c>
      <c r="E2541" s="21" t="s">
        <v>9863</v>
      </c>
      <c r="F2541" s="21" t="s">
        <v>9864</v>
      </c>
      <c r="G2541" s="20" t="s">
        <v>35</v>
      </c>
      <c r="H2541" s="20" t="s">
        <v>25</v>
      </c>
      <c r="I2541" s="21" t="s">
        <v>9865</v>
      </c>
      <c r="J2541" s="22">
        <f t="shared" si="195"/>
        <v>0.325000000004366</v>
      </c>
      <c r="K2541" s="22">
        <f t="shared" si="196"/>
        <v>7.80000000010477</v>
      </c>
      <c r="L2541" s="22">
        <f t="shared" si="197"/>
        <v>7.80000000010477</v>
      </c>
      <c r="M2541" s="22" cm="1">
        <f ca="1" t="array" ref="M2541">SUMPRODUCT(--(WEEKDAY(ROW(INDIRECT(INT(F2541)&amp;":"&amp;INT(I2541))),2)&gt;5))</f>
        <v>0</v>
      </c>
      <c r="N2541" s="22">
        <f ca="1" t="shared" si="198"/>
        <v>7.80000000010477</v>
      </c>
      <c r="O2541" s="22" t="str">
        <f ca="1" t="shared" si="199"/>
        <v>Within SLA</v>
      </c>
      <c r="P2541" s="26" t="s">
        <v>9862</v>
      </c>
      <c r="Q2541" s="24" t="s">
        <v>37</v>
      </c>
      <c r="R2541" s="25"/>
      <c r="S2541" s="25"/>
    </row>
    <row r="2542" ht="27" customHeight="1" spans="1:19">
      <c r="A2542" s="19" t="s">
        <v>9866</v>
      </c>
      <c r="B2542" s="20" t="s">
        <v>30</v>
      </c>
      <c r="C2542" s="20" t="s">
        <v>31</v>
      </c>
      <c r="D2542" s="20" t="s">
        <v>32</v>
      </c>
      <c r="E2542" s="21" t="s">
        <v>9867</v>
      </c>
      <c r="F2542" s="21" t="s">
        <v>9868</v>
      </c>
      <c r="G2542" s="20" t="s">
        <v>35</v>
      </c>
      <c r="H2542" s="20" t="s">
        <v>25</v>
      </c>
      <c r="I2542" s="21" t="s">
        <v>9869</v>
      </c>
      <c r="J2542" s="22">
        <f t="shared" si="195"/>
        <v>12.1624999999985</v>
      </c>
      <c r="K2542" s="22">
        <f t="shared" si="196"/>
        <v>291.899999999965</v>
      </c>
      <c r="L2542" s="22">
        <f t="shared" si="197"/>
        <v>99.8999999999651</v>
      </c>
      <c r="M2542" s="22" cm="1">
        <f ca="1" t="array" ref="M2542">SUMPRODUCT(--(WEEKDAY(ROW(INDIRECT(INT(F2542)&amp;":"&amp;INT(I2542))),2)&gt;5))</f>
        <v>4</v>
      </c>
      <c r="N2542" s="22">
        <f ca="1" t="shared" si="198"/>
        <v>67.8999999999651</v>
      </c>
      <c r="O2542" s="22" t="str">
        <f ca="1" t="shared" si="199"/>
        <v>SLA Violated</v>
      </c>
      <c r="P2542" s="26" t="s">
        <v>9866</v>
      </c>
      <c r="Q2542" s="24" t="s">
        <v>28</v>
      </c>
      <c r="R2542" s="25"/>
      <c r="S2542" s="25"/>
    </row>
    <row r="2543" ht="27" customHeight="1" spans="1:19">
      <c r="A2543" s="19" t="s">
        <v>9870</v>
      </c>
      <c r="B2543" s="20" t="s">
        <v>30</v>
      </c>
      <c r="C2543" s="20" t="s">
        <v>31</v>
      </c>
      <c r="D2543" s="20" t="s">
        <v>32</v>
      </c>
      <c r="E2543" s="21" t="s">
        <v>9871</v>
      </c>
      <c r="F2543" s="21" t="s">
        <v>9872</v>
      </c>
      <c r="G2543" s="20" t="s">
        <v>35</v>
      </c>
      <c r="H2543" s="20" t="s">
        <v>25</v>
      </c>
      <c r="I2543" s="21" t="s">
        <v>9873</v>
      </c>
      <c r="J2543" s="22">
        <f t="shared" si="195"/>
        <v>2.19999999999709</v>
      </c>
      <c r="K2543" s="22">
        <f t="shared" si="196"/>
        <v>52.7999999999302</v>
      </c>
      <c r="L2543" s="22">
        <f t="shared" si="197"/>
        <v>20.7999999999302</v>
      </c>
      <c r="M2543" s="22" cm="1">
        <f ca="1" t="array" ref="M2543">SUMPRODUCT(--(WEEKDAY(ROW(INDIRECT(INT(F2543)&amp;":"&amp;INT(I2543))),2)&gt;5))</f>
        <v>1</v>
      </c>
      <c r="N2543" s="22">
        <f ca="1" t="shared" si="198"/>
        <v>12.7999999999302</v>
      </c>
      <c r="O2543" s="22" t="str">
        <f ca="1" t="shared" si="199"/>
        <v>SLA Violated</v>
      </c>
      <c r="P2543" s="26" t="s">
        <v>9870</v>
      </c>
      <c r="Q2543" s="24" t="s">
        <v>28</v>
      </c>
      <c r="R2543" s="25"/>
      <c r="S2543" s="25"/>
    </row>
    <row r="2544" ht="16" customHeight="1" spans="1:19">
      <c r="A2544" s="19" t="s">
        <v>9874</v>
      </c>
      <c r="B2544" s="20" t="s">
        <v>100</v>
      </c>
      <c r="C2544" s="20" t="s">
        <v>101</v>
      </c>
      <c r="D2544" s="20" t="s">
        <v>32</v>
      </c>
      <c r="E2544" s="21" t="s">
        <v>9875</v>
      </c>
      <c r="F2544" s="21" t="s">
        <v>9876</v>
      </c>
      <c r="G2544" s="20" t="s">
        <v>35</v>
      </c>
      <c r="H2544" s="20" t="s">
        <v>25</v>
      </c>
      <c r="I2544" s="21" t="s">
        <v>9877</v>
      </c>
      <c r="J2544" s="22">
        <f t="shared" si="195"/>
        <v>5.06666666667297</v>
      </c>
      <c r="K2544" s="22">
        <f t="shared" si="196"/>
        <v>121.600000000151</v>
      </c>
      <c r="L2544" s="22">
        <f t="shared" si="197"/>
        <v>41.6000000001513</v>
      </c>
      <c r="M2544" s="22" cm="1">
        <f ca="1" t="array" ref="M2544">SUMPRODUCT(--(WEEKDAY(ROW(INDIRECT(INT(F2544)&amp;":"&amp;INT(I2544))),2)&gt;5))</f>
        <v>2</v>
      </c>
      <c r="N2544" s="22">
        <f ca="1" t="shared" si="198"/>
        <v>25.6000000001513</v>
      </c>
      <c r="O2544" s="22" t="str">
        <f ca="1" t="shared" si="199"/>
        <v>SLA Violated</v>
      </c>
      <c r="P2544" s="23" t="s">
        <v>9878</v>
      </c>
      <c r="Q2544" s="24" t="s">
        <v>28</v>
      </c>
      <c r="R2544" s="25"/>
      <c r="S2544" s="25"/>
    </row>
    <row r="2545" ht="39" customHeight="1" spans="1:19">
      <c r="A2545" s="19" t="s">
        <v>9879</v>
      </c>
      <c r="B2545" s="20" t="s">
        <v>4167</v>
      </c>
      <c r="C2545" s="20" t="s">
        <v>4889</v>
      </c>
      <c r="D2545" s="20" t="s">
        <v>32</v>
      </c>
      <c r="E2545" s="21" t="s">
        <v>9875</v>
      </c>
      <c r="F2545" s="21" t="s">
        <v>9880</v>
      </c>
      <c r="G2545" s="20" t="s">
        <v>35</v>
      </c>
      <c r="H2545" s="20" t="s">
        <v>25</v>
      </c>
      <c r="I2545" s="21" t="s">
        <v>9877</v>
      </c>
      <c r="J2545" s="22">
        <f t="shared" si="195"/>
        <v>11.1715277777839</v>
      </c>
      <c r="K2545" s="22">
        <f t="shared" si="196"/>
        <v>268.116666666814</v>
      </c>
      <c r="L2545" s="22">
        <f t="shared" si="197"/>
        <v>92.1166666668141</v>
      </c>
      <c r="M2545" s="22" cm="1">
        <f ca="1" t="array" ref="M2545">SUMPRODUCT(--(WEEKDAY(ROW(INDIRECT(INT(F2545)&amp;":"&amp;INT(I2545))),2)&gt;5))</f>
        <v>4</v>
      </c>
      <c r="N2545" s="22">
        <f ca="1" t="shared" si="198"/>
        <v>60.1166666668141</v>
      </c>
      <c r="O2545" s="22" t="str">
        <f ca="1" t="shared" si="199"/>
        <v>SLA Violated</v>
      </c>
      <c r="P2545" s="23" t="s">
        <v>9881</v>
      </c>
      <c r="Q2545" s="24" t="s">
        <v>28</v>
      </c>
      <c r="R2545" s="25"/>
      <c r="S2545" s="25"/>
    </row>
    <row r="2546" ht="27" customHeight="1" spans="1:19">
      <c r="A2546" s="19" t="s">
        <v>9882</v>
      </c>
      <c r="B2546" s="20" t="s">
        <v>30</v>
      </c>
      <c r="C2546" s="20" t="s">
        <v>31</v>
      </c>
      <c r="D2546" s="20" t="s">
        <v>32</v>
      </c>
      <c r="E2546" s="21" t="s">
        <v>9875</v>
      </c>
      <c r="F2546" s="21" t="s">
        <v>9883</v>
      </c>
      <c r="G2546" s="20" t="s">
        <v>35</v>
      </c>
      <c r="H2546" s="20" t="s">
        <v>25</v>
      </c>
      <c r="I2546" s="21" t="s">
        <v>9884</v>
      </c>
      <c r="J2546" s="22">
        <f t="shared" si="195"/>
        <v>0.848611111112405</v>
      </c>
      <c r="K2546" s="22">
        <f t="shared" si="196"/>
        <v>20.3666666666977</v>
      </c>
      <c r="L2546" s="22">
        <f t="shared" si="197"/>
        <v>4.36666666669771</v>
      </c>
      <c r="M2546" s="22" cm="1">
        <f ca="1" t="array" ref="M2546">SUMPRODUCT(--(WEEKDAY(ROW(INDIRECT(INT(F2546)&amp;":"&amp;INT(I2546))),2)&gt;5))</f>
        <v>0</v>
      </c>
      <c r="N2546" s="22">
        <f ca="1" t="shared" si="198"/>
        <v>4.36666666669771</v>
      </c>
      <c r="O2546" s="22" t="str">
        <f ca="1" t="shared" si="199"/>
        <v>Within SLA</v>
      </c>
      <c r="P2546" s="26" t="s">
        <v>9882</v>
      </c>
      <c r="Q2546" s="24" t="s">
        <v>37</v>
      </c>
      <c r="R2546" s="25"/>
      <c r="S2546" s="25"/>
    </row>
    <row r="2547" ht="39" customHeight="1" spans="1:19">
      <c r="A2547" s="19" t="s">
        <v>9885</v>
      </c>
      <c r="B2547" s="20" t="s">
        <v>19</v>
      </c>
      <c r="C2547" s="20" t="s">
        <v>20</v>
      </c>
      <c r="D2547" s="20" t="s">
        <v>32</v>
      </c>
      <c r="E2547" s="21" t="s">
        <v>9886</v>
      </c>
      <c r="F2547" s="21" t="s">
        <v>9887</v>
      </c>
      <c r="G2547" s="20" t="s">
        <v>35</v>
      </c>
      <c r="H2547" s="20" t="s">
        <v>25</v>
      </c>
      <c r="I2547" s="21" t="s">
        <v>9888</v>
      </c>
      <c r="J2547" s="22">
        <f t="shared" si="195"/>
        <v>0.00763888889196096</v>
      </c>
      <c r="K2547" s="22">
        <f t="shared" si="196"/>
        <v>0.183333333407063</v>
      </c>
      <c r="L2547" s="22">
        <f t="shared" si="197"/>
        <v>0.183333333407063</v>
      </c>
      <c r="M2547" s="22" cm="1">
        <f ca="1" t="array" ref="M2547">SUMPRODUCT(--(WEEKDAY(ROW(INDIRECT(INT(F2547)&amp;":"&amp;INT(I2547))),2)&gt;5))</f>
        <v>0</v>
      </c>
      <c r="N2547" s="22">
        <f ca="1" t="shared" si="198"/>
        <v>0.183333333407063</v>
      </c>
      <c r="O2547" s="22" t="str">
        <f ca="1" t="shared" si="199"/>
        <v>Within SLA</v>
      </c>
      <c r="P2547" s="26" t="s">
        <v>9885</v>
      </c>
      <c r="Q2547" s="24" t="s">
        <v>37</v>
      </c>
      <c r="R2547" s="25"/>
      <c r="S2547" s="25"/>
    </row>
    <row r="2548" ht="39" customHeight="1" spans="1:19">
      <c r="A2548" s="19" t="s">
        <v>9889</v>
      </c>
      <c r="B2548" s="20" t="s">
        <v>19</v>
      </c>
      <c r="C2548" s="20" t="s">
        <v>20</v>
      </c>
      <c r="D2548" s="20" t="s">
        <v>32</v>
      </c>
      <c r="E2548" s="21" t="s">
        <v>9890</v>
      </c>
      <c r="F2548" s="21" t="s">
        <v>9891</v>
      </c>
      <c r="G2548" s="20" t="s">
        <v>35</v>
      </c>
      <c r="H2548" s="20" t="s">
        <v>25</v>
      </c>
      <c r="I2548" s="21" t="s">
        <v>7978</v>
      </c>
      <c r="J2548" s="22">
        <f t="shared" si="195"/>
        <v>0.0131944444510737</v>
      </c>
      <c r="K2548" s="22">
        <f t="shared" si="196"/>
        <v>0.316666666825768</v>
      </c>
      <c r="L2548" s="22">
        <f t="shared" si="197"/>
        <v>0.316666666825768</v>
      </c>
      <c r="M2548" s="22" cm="1">
        <f ca="1" t="array" ref="M2548">SUMPRODUCT(--(WEEKDAY(ROW(INDIRECT(INT(F2548)&amp;":"&amp;INT(I2548))),2)&gt;5))</f>
        <v>0</v>
      </c>
      <c r="N2548" s="22">
        <f ca="1" t="shared" si="198"/>
        <v>0.316666666825768</v>
      </c>
      <c r="O2548" s="22" t="str">
        <f ca="1" t="shared" si="199"/>
        <v>Within SLA</v>
      </c>
      <c r="P2548" s="26" t="s">
        <v>9889</v>
      </c>
      <c r="Q2548" s="24" t="s">
        <v>37</v>
      </c>
      <c r="R2548" s="25"/>
      <c r="S2548" s="25"/>
    </row>
    <row r="2549" ht="39" customHeight="1" spans="1:19">
      <c r="A2549" s="19" t="s">
        <v>9892</v>
      </c>
      <c r="B2549" s="20" t="s">
        <v>19</v>
      </c>
      <c r="C2549" s="20" t="s">
        <v>20</v>
      </c>
      <c r="D2549" s="20" t="s">
        <v>32</v>
      </c>
      <c r="E2549" s="21" t="s">
        <v>9891</v>
      </c>
      <c r="F2549" s="21" t="s">
        <v>9893</v>
      </c>
      <c r="G2549" s="20" t="s">
        <v>35</v>
      </c>
      <c r="H2549" s="20" t="s">
        <v>25</v>
      </c>
      <c r="I2549" s="21" t="s">
        <v>9893</v>
      </c>
      <c r="J2549" s="22">
        <f t="shared" si="195"/>
        <v>0</v>
      </c>
      <c r="K2549" s="22">
        <f t="shared" si="196"/>
        <v>0</v>
      </c>
      <c r="L2549" s="22">
        <f t="shared" si="197"/>
        <v>0</v>
      </c>
      <c r="M2549" s="22" cm="1">
        <f ca="1" t="array" ref="M2549">SUMPRODUCT(--(WEEKDAY(ROW(INDIRECT(INT(F2549)&amp;":"&amp;INT(I2549))),2)&gt;5))</f>
        <v>0</v>
      </c>
      <c r="N2549" s="22">
        <f ca="1" t="shared" si="198"/>
        <v>0</v>
      </c>
      <c r="O2549" s="22" t="str">
        <f ca="1" t="shared" si="199"/>
        <v>Within SLA</v>
      </c>
      <c r="P2549" s="26" t="s">
        <v>9892</v>
      </c>
      <c r="Q2549" s="24" t="s">
        <v>37</v>
      </c>
      <c r="R2549" s="25"/>
      <c r="S2549" s="25"/>
    </row>
    <row r="2550" ht="50" customHeight="1" spans="1:19">
      <c r="A2550" s="19" t="s">
        <v>9894</v>
      </c>
      <c r="B2550" s="20" t="s">
        <v>369</v>
      </c>
      <c r="C2550" s="20" t="s">
        <v>46</v>
      </c>
      <c r="D2550" s="20" t="s">
        <v>32</v>
      </c>
      <c r="E2550" s="21" t="s">
        <v>9825</v>
      </c>
      <c r="F2550" s="21" t="s">
        <v>9895</v>
      </c>
      <c r="G2550" s="20" t="s">
        <v>35</v>
      </c>
      <c r="H2550" s="20" t="s">
        <v>25</v>
      </c>
      <c r="I2550" s="21" t="s">
        <v>9896</v>
      </c>
      <c r="J2550" s="22">
        <f t="shared" si="195"/>
        <v>0.0118055555576575</v>
      </c>
      <c r="K2550" s="22">
        <f t="shared" si="196"/>
        <v>0.28333333338378</v>
      </c>
      <c r="L2550" s="22">
        <f t="shared" si="197"/>
        <v>0.28333333338378</v>
      </c>
      <c r="M2550" s="22" cm="1">
        <f ca="1" t="array" ref="M2550">SUMPRODUCT(--(WEEKDAY(ROW(INDIRECT(INT(F2550)&amp;":"&amp;INT(I2550))),2)&gt;5))</f>
        <v>0</v>
      </c>
      <c r="N2550" s="22">
        <f ca="1" t="shared" si="198"/>
        <v>0.28333333338378</v>
      </c>
      <c r="O2550" s="22" t="str">
        <f ca="1" t="shared" si="199"/>
        <v>Within SLA</v>
      </c>
      <c r="P2550" s="26" t="s">
        <v>9894</v>
      </c>
      <c r="Q2550" s="24" t="s">
        <v>37</v>
      </c>
      <c r="R2550" s="25"/>
      <c r="S2550" s="25"/>
    </row>
    <row r="2551" ht="27" customHeight="1" spans="1:19">
      <c r="A2551" s="19" t="s">
        <v>9897</v>
      </c>
      <c r="B2551" s="20" t="s">
        <v>30</v>
      </c>
      <c r="C2551" s="20" t="s">
        <v>31</v>
      </c>
      <c r="D2551" s="20" t="s">
        <v>32</v>
      </c>
      <c r="E2551" s="21" t="s">
        <v>9898</v>
      </c>
      <c r="F2551" s="21" t="s">
        <v>9899</v>
      </c>
      <c r="G2551" s="20" t="s">
        <v>35</v>
      </c>
      <c r="H2551" s="20" t="s">
        <v>25</v>
      </c>
      <c r="I2551" s="21" t="s">
        <v>9900</v>
      </c>
      <c r="J2551" s="22">
        <f t="shared" si="195"/>
        <v>10.9513888888832</v>
      </c>
      <c r="K2551" s="22">
        <f t="shared" si="196"/>
        <v>262.833333333198</v>
      </c>
      <c r="L2551" s="22">
        <f t="shared" si="197"/>
        <v>86.8333333331975</v>
      </c>
      <c r="M2551" s="22" cm="1">
        <f ca="1" t="array" ref="M2551">SUMPRODUCT(--(WEEKDAY(ROW(INDIRECT(INT(F2551)&amp;":"&amp;INT(I2551))),2)&gt;5))</f>
        <v>4</v>
      </c>
      <c r="N2551" s="22">
        <f ca="1" t="shared" si="198"/>
        <v>54.8333333331975</v>
      </c>
      <c r="O2551" s="22" t="str">
        <f ca="1" t="shared" si="199"/>
        <v>SLA Violated</v>
      </c>
      <c r="P2551" s="26" t="s">
        <v>9897</v>
      </c>
      <c r="Q2551" s="24" t="s">
        <v>28</v>
      </c>
      <c r="R2551" s="25"/>
      <c r="S2551" s="25"/>
    </row>
    <row r="2552" ht="39" customHeight="1" spans="1:19">
      <c r="A2552" s="28" t="s">
        <v>9901</v>
      </c>
      <c r="B2552" s="20" t="s">
        <v>19</v>
      </c>
      <c r="C2552" s="20" t="s">
        <v>20</v>
      </c>
      <c r="D2552" s="20" t="s">
        <v>21</v>
      </c>
      <c r="E2552" s="21" t="s">
        <v>9902</v>
      </c>
      <c r="F2552" s="21" t="s">
        <v>9903</v>
      </c>
      <c r="G2552" s="20" t="s">
        <v>35</v>
      </c>
      <c r="H2552" s="20" t="s">
        <v>25</v>
      </c>
      <c r="I2552" s="21" t="s">
        <v>9904</v>
      </c>
      <c r="J2552" s="22">
        <f t="shared" si="195"/>
        <v>0.945138888891961</v>
      </c>
      <c r="K2552" s="22">
        <f t="shared" si="196"/>
        <v>22.6833333334071</v>
      </c>
      <c r="L2552" s="22">
        <f t="shared" si="197"/>
        <v>6.68333333340706</v>
      </c>
      <c r="M2552" s="22" cm="1">
        <f ca="1" t="array" ref="M2552">SUMPRODUCT(--(WEEKDAY(ROW(INDIRECT(INT(F2552)&amp;":"&amp;INT(I2552))),2)&gt;5))</f>
        <v>0</v>
      </c>
      <c r="N2552" s="22">
        <f ca="1" t="shared" si="198"/>
        <v>6.68333333340706</v>
      </c>
      <c r="O2552" s="22" t="str">
        <f ca="1" t="shared" si="199"/>
        <v>SLA Violated</v>
      </c>
      <c r="P2552" s="26" t="s">
        <v>9905</v>
      </c>
      <c r="Q2552" s="24" t="s">
        <v>28</v>
      </c>
      <c r="R2552" s="25"/>
      <c r="S2552" s="25"/>
    </row>
    <row r="2553" ht="39" customHeight="1" spans="1:19">
      <c r="A2553" s="19" t="s">
        <v>9906</v>
      </c>
      <c r="B2553" s="20" t="s">
        <v>19</v>
      </c>
      <c r="C2553" s="20" t="s">
        <v>20</v>
      </c>
      <c r="D2553" s="20" t="s">
        <v>32</v>
      </c>
      <c r="E2553" s="21" t="s">
        <v>9902</v>
      </c>
      <c r="F2553" s="21" t="s">
        <v>9907</v>
      </c>
      <c r="G2553" s="20" t="s">
        <v>35</v>
      </c>
      <c r="H2553" s="20" t="s">
        <v>25</v>
      </c>
      <c r="I2553" s="21" t="s">
        <v>9908</v>
      </c>
      <c r="J2553" s="22">
        <f t="shared" si="195"/>
        <v>0.0270833333343035</v>
      </c>
      <c r="K2553" s="22">
        <f t="shared" si="196"/>
        <v>0.650000000023283</v>
      </c>
      <c r="L2553" s="22">
        <f t="shared" si="197"/>
        <v>0.650000000023283</v>
      </c>
      <c r="M2553" s="22" cm="1">
        <f ca="1" t="array" ref="M2553">SUMPRODUCT(--(WEEKDAY(ROW(INDIRECT(INT(F2553)&amp;":"&amp;INT(I2553))),2)&gt;5))</f>
        <v>0</v>
      </c>
      <c r="N2553" s="22">
        <f ca="1" t="shared" si="198"/>
        <v>0.650000000023283</v>
      </c>
      <c r="O2553" s="22" t="str">
        <f ca="1" t="shared" si="199"/>
        <v>Within SLA</v>
      </c>
      <c r="P2553" s="26" t="s">
        <v>9906</v>
      </c>
      <c r="Q2553" s="24" t="s">
        <v>37</v>
      </c>
      <c r="R2553" s="25"/>
      <c r="S2553" s="25"/>
    </row>
    <row r="2554" ht="39" customHeight="1" spans="1:19">
      <c r="A2554" s="19" t="s">
        <v>9909</v>
      </c>
      <c r="B2554" s="20" t="s">
        <v>19</v>
      </c>
      <c r="C2554" s="20" t="s">
        <v>20</v>
      </c>
      <c r="D2554" s="20" t="s">
        <v>32</v>
      </c>
      <c r="E2554" s="21" t="s">
        <v>9910</v>
      </c>
      <c r="F2554" s="21" t="s">
        <v>9911</v>
      </c>
      <c r="G2554" s="20" t="s">
        <v>35</v>
      </c>
      <c r="H2554" s="20" t="s">
        <v>25</v>
      </c>
      <c r="I2554" s="21" t="s">
        <v>9912</v>
      </c>
      <c r="J2554" s="22">
        <f t="shared" si="195"/>
        <v>4.22152777777956</v>
      </c>
      <c r="K2554" s="22">
        <f t="shared" si="196"/>
        <v>101.316666666709</v>
      </c>
      <c r="L2554" s="22">
        <f t="shared" si="197"/>
        <v>37.3166666667094</v>
      </c>
      <c r="M2554" s="22" cm="1">
        <f ca="1" t="array" ref="M2554">SUMPRODUCT(--(WEEKDAY(ROW(INDIRECT(INT(F2554)&amp;":"&amp;INT(I2554))),2)&gt;5))</f>
        <v>2</v>
      </c>
      <c r="N2554" s="22">
        <f ca="1" t="shared" si="198"/>
        <v>21.3166666667094</v>
      </c>
      <c r="O2554" s="22" t="str">
        <f ca="1" t="shared" si="199"/>
        <v>SLA Violated</v>
      </c>
      <c r="P2554" s="23" t="s">
        <v>9913</v>
      </c>
      <c r="Q2554" s="24" t="s">
        <v>28</v>
      </c>
      <c r="R2554" s="25"/>
      <c r="S2554" s="25"/>
    </row>
    <row r="2555" ht="39" customHeight="1" spans="1:19">
      <c r="A2555" s="19" t="s">
        <v>9914</v>
      </c>
      <c r="B2555" s="20" t="s">
        <v>196</v>
      </c>
      <c r="C2555" s="20" t="s">
        <v>46</v>
      </c>
      <c r="D2555" s="20" t="s">
        <v>32</v>
      </c>
      <c r="E2555" s="21" t="s">
        <v>9910</v>
      </c>
      <c r="F2555" s="21" t="s">
        <v>9915</v>
      </c>
      <c r="G2555" s="20" t="s">
        <v>35</v>
      </c>
      <c r="H2555" s="20" t="s">
        <v>25</v>
      </c>
      <c r="I2555" s="21" t="s">
        <v>9916</v>
      </c>
      <c r="J2555" s="22">
        <f t="shared" si="195"/>
        <v>4.92638888888905</v>
      </c>
      <c r="K2555" s="22">
        <f t="shared" si="196"/>
        <v>118.233333333337</v>
      </c>
      <c r="L2555" s="22">
        <f t="shared" si="197"/>
        <v>38.2333333333372</v>
      </c>
      <c r="M2555" s="22" cm="1">
        <f ca="1" t="array" ref="M2555">SUMPRODUCT(--(WEEKDAY(ROW(INDIRECT(INT(F2555)&amp;":"&amp;INT(I2555))),2)&gt;5))</f>
        <v>2</v>
      </c>
      <c r="N2555" s="22">
        <f ca="1" t="shared" si="198"/>
        <v>22.2333333333372</v>
      </c>
      <c r="O2555" s="22" t="str">
        <f ca="1" t="shared" si="199"/>
        <v>SLA Violated</v>
      </c>
      <c r="P2555" s="23" t="s">
        <v>9917</v>
      </c>
      <c r="Q2555" s="24" t="s">
        <v>37</v>
      </c>
      <c r="R2555" s="25" t="s">
        <v>2213</v>
      </c>
      <c r="S2555" s="25" t="s">
        <v>39</v>
      </c>
    </row>
    <row r="2556" ht="27" customHeight="1" spans="1:19">
      <c r="A2556" s="19" t="s">
        <v>9918</v>
      </c>
      <c r="B2556" s="20" t="s">
        <v>30</v>
      </c>
      <c r="C2556" s="20" t="s">
        <v>31</v>
      </c>
      <c r="D2556" s="20" t="s">
        <v>32</v>
      </c>
      <c r="E2556" s="21" t="s">
        <v>9910</v>
      </c>
      <c r="F2556" s="21" t="s">
        <v>9919</v>
      </c>
      <c r="G2556" s="20" t="s">
        <v>35</v>
      </c>
      <c r="H2556" s="20" t="s">
        <v>25</v>
      </c>
      <c r="I2556" s="21" t="s">
        <v>9920</v>
      </c>
      <c r="J2556" s="22">
        <f t="shared" si="195"/>
        <v>0.122222222220444</v>
      </c>
      <c r="K2556" s="22">
        <f t="shared" si="196"/>
        <v>2.93333333329065</v>
      </c>
      <c r="L2556" s="22">
        <f t="shared" si="197"/>
        <v>2.93333333329065</v>
      </c>
      <c r="M2556" s="22" cm="1">
        <f ca="1" t="array" ref="M2556">SUMPRODUCT(--(WEEKDAY(ROW(INDIRECT(INT(F2556)&amp;":"&amp;INT(I2556))),2)&gt;5))</f>
        <v>0</v>
      </c>
      <c r="N2556" s="22">
        <f ca="1" t="shared" si="198"/>
        <v>2.93333333329065</v>
      </c>
      <c r="O2556" s="22" t="str">
        <f ca="1" t="shared" si="199"/>
        <v>Within SLA</v>
      </c>
      <c r="P2556" s="26" t="s">
        <v>9918</v>
      </c>
      <c r="Q2556" s="24" t="s">
        <v>37</v>
      </c>
      <c r="R2556" s="25"/>
      <c r="S2556" s="25"/>
    </row>
    <row r="2557" ht="39" customHeight="1" spans="1:19">
      <c r="A2557" s="19" t="s">
        <v>9921</v>
      </c>
      <c r="B2557" s="20" t="s">
        <v>196</v>
      </c>
      <c r="C2557" s="20" t="s">
        <v>4889</v>
      </c>
      <c r="D2557" s="20" t="s">
        <v>105</v>
      </c>
      <c r="E2557" s="21" t="s">
        <v>9922</v>
      </c>
      <c r="F2557" s="21" t="s">
        <v>9923</v>
      </c>
      <c r="G2557" s="20" t="s">
        <v>35</v>
      </c>
      <c r="H2557" s="20" t="s">
        <v>25</v>
      </c>
      <c r="I2557" s="21" t="s">
        <v>9924</v>
      </c>
      <c r="J2557" s="22">
        <f t="shared" si="195"/>
        <v>11.1027777777781</v>
      </c>
      <c r="K2557" s="22">
        <f t="shared" si="196"/>
        <v>266.466666666674</v>
      </c>
      <c r="L2557" s="22">
        <f t="shared" si="197"/>
        <v>90.4666666666744</v>
      </c>
      <c r="M2557" s="22" cm="1">
        <f ca="1" t="array" ref="M2557">SUMPRODUCT(--(WEEKDAY(ROW(INDIRECT(INT(F2557)&amp;":"&amp;INT(I2557))),2)&gt;5))</f>
        <v>4</v>
      </c>
      <c r="N2557" s="22">
        <f ca="1" t="shared" si="198"/>
        <v>58.4666666666744</v>
      </c>
      <c r="O2557" s="22" t="str">
        <f ca="1" t="shared" si="199"/>
        <v>SLA Violated</v>
      </c>
      <c r="P2557" s="23" t="s">
        <v>9925</v>
      </c>
      <c r="Q2557" s="24" t="s">
        <v>28</v>
      </c>
      <c r="R2557" s="25"/>
      <c r="S2557" s="25"/>
    </row>
    <row r="2558" ht="39" customHeight="1" spans="1:19">
      <c r="A2558" s="19" t="s">
        <v>9926</v>
      </c>
      <c r="B2558" s="20" t="s">
        <v>19</v>
      </c>
      <c r="C2558" s="20" t="s">
        <v>20</v>
      </c>
      <c r="D2558" s="20" t="s">
        <v>32</v>
      </c>
      <c r="E2558" s="21" t="s">
        <v>9927</v>
      </c>
      <c r="F2558" s="21" t="s">
        <v>9928</v>
      </c>
      <c r="G2558" s="20" t="s">
        <v>35</v>
      </c>
      <c r="H2558" s="20" t="s">
        <v>25</v>
      </c>
      <c r="I2558" s="21" t="s">
        <v>9929</v>
      </c>
      <c r="J2558" s="22">
        <f t="shared" si="195"/>
        <v>0.0520833333357587</v>
      </c>
      <c r="K2558" s="22">
        <f t="shared" si="196"/>
        <v>1.25000000005821</v>
      </c>
      <c r="L2558" s="22">
        <f t="shared" si="197"/>
        <v>1.25000000005821</v>
      </c>
      <c r="M2558" s="22" cm="1">
        <f ca="1" t="array" ref="M2558">SUMPRODUCT(--(WEEKDAY(ROW(INDIRECT(INT(F2558)&amp;":"&amp;INT(I2558))),2)&gt;5))</f>
        <v>0</v>
      </c>
      <c r="N2558" s="22">
        <f ca="1" t="shared" si="198"/>
        <v>1.25000000005821</v>
      </c>
      <c r="O2558" s="22" t="str">
        <f ca="1" t="shared" si="199"/>
        <v>Within SLA</v>
      </c>
      <c r="P2558" s="26" t="s">
        <v>9926</v>
      </c>
      <c r="Q2558" s="24" t="s">
        <v>37</v>
      </c>
      <c r="R2558" s="25"/>
      <c r="S2558" s="25"/>
    </row>
    <row r="2559" ht="27" customHeight="1" spans="1:19">
      <c r="A2559" s="19" t="s">
        <v>9930</v>
      </c>
      <c r="B2559" s="20" t="s">
        <v>30</v>
      </c>
      <c r="C2559" s="20" t="s">
        <v>31</v>
      </c>
      <c r="D2559" s="20" t="s">
        <v>32</v>
      </c>
      <c r="E2559" s="21" t="s">
        <v>9931</v>
      </c>
      <c r="F2559" s="21" t="s">
        <v>9828</v>
      </c>
      <c r="G2559" s="20" t="s">
        <v>35</v>
      </c>
      <c r="H2559" s="20" t="s">
        <v>25</v>
      </c>
      <c r="I2559" s="21" t="s">
        <v>9932</v>
      </c>
      <c r="J2559" s="22">
        <f t="shared" si="195"/>
        <v>1.03055555555329</v>
      </c>
      <c r="K2559" s="22">
        <f t="shared" si="196"/>
        <v>24.733333333279</v>
      </c>
      <c r="L2559" s="22">
        <f t="shared" si="197"/>
        <v>8.73333333327901</v>
      </c>
      <c r="M2559" s="22" cm="1">
        <f ca="1" t="array" ref="M2559">SUMPRODUCT(--(WEEKDAY(ROW(INDIRECT(INT(F2559)&amp;":"&amp;INT(I2559))),2)&gt;5))</f>
        <v>0</v>
      </c>
      <c r="N2559" s="22">
        <f ca="1" t="shared" si="198"/>
        <v>8.73333333327901</v>
      </c>
      <c r="O2559" s="22" t="str">
        <f ca="1" t="shared" si="199"/>
        <v>Within SLA</v>
      </c>
      <c r="P2559" s="26" t="s">
        <v>9930</v>
      </c>
      <c r="Q2559" s="24" t="s">
        <v>37</v>
      </c>
      <c r="R2559" s="25"/>
      <c r="S2559" s="25"/>
    </row>
    <row r="2560" ht="39" customHeight="1" spans="1:19">
      <c r="A2560" s="19" t="s">
        <v>9933</v>
      </c>
      <c r="B2560" s="20" t="s">
        <v>19</v>
      </c>
      <c r="C2560" s="20" t="s">
        <v>20</v>
      </c>
      <c r="D2560" s="20" t="s">
        <v>32</v>
      </c>
      <c r="E2560" s="21" t="s">
        <v>9931</v>
      </c>
      <c r="F2560" s="21" t="s">
        <v>9934</v>
      </c>
      <c r="G2560" s="20" t="s">
        <v>35</v>
      </c>
      <c r="H2560" s="20" t="s">
        <v>25</v>
      </c>
      <c r="I2560" s="21" t="s">
        <v>9935</v>
      </c>
      <c r="J2560" s="22">
        <f t="shared" si="195"/>
        <v>0.0770833333299379</v>
      </c>
      <c r="K2560" s="22">
        <f t="shared" si="196"/>
        <v>1.84999999991851</v>
      </c>
      <c r="L2560" s="22">
        <f t="shared" si="197"/>
        <v>1.84999999991851</v>
      </c>
      <c r="M2560" s="22" cm="1">
        <f ca="1" t="array" ref="M2560">SUMPRODUCT(--(WEEKDAY(ROW(INDIRECT(INT(F2560)&amp;":"&amp;INT(I2560))),2)&gt;5))</f>
        <v>0</v>
      </c>
      <c r="N2560" s="22">
        <f ca="1" t="shared" si="198"/>
        <v>1.84999999991851</v>
      </c>
      <c r="O2560" s="22" t="str">
        <f ca="1" t="shared" si="199"/>
        <v>Within SLA</v>
      </c>
      <c r="P2560" s="26" t="s">
        <v>9933</v>
      </c>
      <c r="Q2560" s="24" t="s">
        <v>37</v>
      </c>
      <c r="R2560" s="25"/>
      <c r="S2560" s="25"/>
    </row>
    <row r="2561" ht="39" customHeight="1" spans="1:19">
      <c r="A2561" s="19" t="s">
        <v>9936</v>
      </c>
      <c r="B2561" s="20" t="s">
        <v>19</v>
      </c>
      <c r="C2561" s="20" t="s">
        <v>20</v>
      </c>
      <c r="D2561" s="20" t="s">
        <v>32</v>
      </c>
      <c r="E2561" s="21" t="s">
        <v>9937</v>
      </c>
      <c r="F2561" s="21" t="s">
        <v>9938</v>
      </c>
      <c r="G2561" s="20" t="s">
        <v>35</v>
      </c>
      <c r="H2561" s="20" t="s">
        <v>25</v>
      </c>
      <c r="I2561" s="21" t="s">
        <v>9939</v>
      </c>
      <c r="J2561" s="22">
        <f t="shared" si="195"/>
        <v>0.0104166666715173</v>
      </c>
      <c r="K2561" s="22">
        <f t="shared" si="196"/>
        <v>0.250000000116415</v>
      </c>
      <c r="L2561" s="22">
        <f t="shared" si="197"/>
        <v>0.250000000116415</v>
      </c>
      <c r="M2561" s="22" cm="1">
        <f ca="1" t="array" ref="M2561">SUMPRODUCT(--(WEEKDAY(ROW(INDIRECT(INT(F2561)&amp;":"&amp;INT(I2561))),2)&gt;5))</f>
        <v>0</v>
      </c>
      <c r="N2561" s="22">
        <f ca="1" t="shared" si="198"/>
        <v>0.250000000116415</v>
      </c>
      <c r="O2561" s="22" t="str">
        <f ca="1" t="shared" si="199"/>
        <v>Within SLA</v>
      </c>
      <c r="P2561" s="26" t="s">
        <v>9936</v>
      </c>
      <c r="Q2561" s="24" t="s">
        <v>37</v>
      </c>
      <c r="R2561" s="25"/>
      <c r="S2561" s="25"/>
    </row>
    <row r="2562" ht="39" customHeight="1" spans="1:19">
      <c r="A2562" s="19" t="s">
        <v>9940</v>
      </c>
      <c r="B2562" s="20" t="s">
        <v>19</v>
      </c>
      <c r="C2562" s="20" t="s">
        <v>20</v>
      </c>
      <c r="D2562" s="20" t="s">
        <v>32</v>
      </c>
      <c r="E2562" s="21" t="s">
        <v>9941</v>
      </c>
      <c r="F2562" s="21" t="s">
        <v>9942</v>
      </c>
      <c r="G2562" s="20" t="s">
        <v>35</v>
      </c>
      <c r="H2562" s="20" t="s">
        <v>25</v>
      </c>
      <c r="I2562" s="21" t="s">
        <v>9943</v>
      </c>
      <c r="J2562" s="22">
        <f t="shared" si="195"/>
        <v>0.0430555555576575</v>
      </c>
      <c r="K2562" s="22">
        <f t="shared" si="196"/>
        <v>1.03333333338378</v>
      </c>
      <c r="L2562" s="22">
        <f t="shared" si="197"/>
        <v>1.03333333338378</v>
      </c>
      <c r="M2562" s="22" cm="1">
        <f ca="1" t="array" ref="M2562">SUMPRODUCT(--(WEEKDAY(ROW(INDIRECT(INT(F2562)&amp;":"&amp;INT(I2562))),2)&gt;5))</f>
        <v>0</v>
      </c>
      <c r="N2562" s="22">
        <f ca="1" t="shared" si="198"/>
        <v>1.03333333338378</v>
      </c>
      <c r="O2562" s="22" t="str">
        <f ca="1" t="shared" si="199"/>
        <v>Within SLA</v>
      </c>
      <c r="P2562" s="26" t="s">
        <v>9940</v>
      </c>
      <c r="Q2562" s="24" t="s">
        <v>37</v>
      </c>
      <c r="R2562" s="25"/>
      <c r="S2562" s="25"/>
    </row>
    <row r="2563" ht="39" customHeight="1" spans="1:19">
      <c r="A2563" s="19" t="s">
        <v>9944</v>
      </c>
      <c r="B2563" s="20" t="s">
        <v>19</v>
      </c>
      <c r="C2563" s="20" t="s">
        <v>20</v>
      </c>
      <c r="D2563" s="20" t="s">
        <v>32</v>
      </c>
      <c r="E2563" s="21" t="s">
        <v>9945</v>
      </c>
      <c r="F2563" s="21" t="s">
        <v>9946</v>
      </c>
      <c r="G2563" s="20" t="s">
        <v>35</v>
      </c>
      <c r="H2563" s="20" t="s">
        <v>25</v>
      </c>
      <c r="I2563" s="21" t="s">
        <v>9943</v>
      </c>
      <c r="J2563" s="22">
        <f t="shared" ref="J2563:J2626" si="200">F2563-I2563</f>
        <v>0.0437499999970896</v>
      </c>
      <c r="K2563" s="22">
        <f t="shared" ref="K2563:K2626" si="201">J2563*24</f>
        <v>1.04999999993015</v>
      </c>
      <c r="L2563" s="22">
        <f t="shared" ref="L2563:L2626" si="202">IF(_xlfn.DAYS(F2563,I2563)&gt;0,K2563-IF(FLOOR(J2563,1)=0,1,_xlfn.DAYS(F2563,I2563))*16,K2563)</f>
        <v>1.04999999993015</v>
      </c>
      <c r="M2563" s="22" cm="1">
        <f ca="1" t="array" ref="M2563">SUMPRODUCT(--(WEEKDAY(ROW(INDIRECT(INT(F2563)&amp;":"&amp;INT(I2563))),2)&gt;5))</f>
        <v>0</v>
      </c>
      <c r="N2563" s="22">
        <f ca="1" t="shared" ref="N2563:N2626" si="203">IF(IF(M2563&gt;0,L2563-M2563*8,L2563)&lt;0,0,IF(M2563&gt;0,L2563-M2563*8,L2563))</f>
        <v>1.04999999993015</v>
      </c>
      <c r="O2563" s="22" t="str">
        <f ca="1" t="shared" ref="O2563:O2626" si="204">IF(OR(AND(D2563="P1",N2563&lt;=3),AND(D2563="P2",N2563&lt;=6),AND(D2563="P3",N2563&lt;=9),AND(D2563="P4",N2563&lt;=12)),"Within SLA","SLA Violated")</f>
        <v>Within SLA</v>
      </c>
      <c r="P2563" s="26" t="s">
        <v>9944</v>
      </c>
      <c r="Q2563" s="24" t="s">
        <v>37</v>
      </c>
      <c r="R2563" s="25"/>
      <c r="S2563" s="25"/>
    </row>
    <row r="2564" ht="39" customHeight="1" spans="1:19">
      <c r="A2564" s="19" t="s">
        <v>9947</v>
      </c>
      <c r="B2564" s="20" t="s">
        <v>19</v>
      </c>
      <c r="C2564" s="20" t="s">
        <v>20</v>
      </c>
      <c r="D2564" s="20" t="s">
        <v>32</v>
      </c>
      <c r="E2564" s="21" t="s">
        <v>9948</v>
      </c>
      <c r="F2564" s="21" t="s">
        <v>9949</v>
      </c>
      <c r="G2564" s="20" t="s">
        <v>35</v>
      </c>
      <c r="H2564" s="20" t="s">
        <v>25</v>
      </c>
      <c r="I2564" s="21" t="s">
        <v>9950</v>
      </c>
      <c r="J2564" s="22">
        <f t="shared" si="200"/>
        <v>0.111111111109494</v>
      </c>
      <c r="K2564" s="22">
        <f t="shared" si="201"/>
        <v>2.66666666662786</v>
      </c>
      <c r="L2564" s="22">
        <f t="shared" si="202"/>
        <v>2.66666666662786</v>
      </c>
      <c r="M2564" s="22" cm="1">
        <f ca="1" t="array" ref="M2564">SUMPRODUCT(--(WEEKDAY(ROW(INDIRECT(INT(F2564)&amp;":"&amp;INT(I2564))),2)&gt;5))</f>
        <v>0</v>
      </c>
      <c r="N2564" s="22">
        <f ca="1" t="shared" si="203"/>
        <v>2.66666666662786</v>
      </c>
      <c r="O2564" s="22" t="str">
        <f ca="1" t="shared" si="204"/>
        <v>Within SLA</v>
      </c>
      <c r="P2564" s="26" t="s">
        <v>9947</v>
      </c>
      <c r="Q2564" s="24" t="s">
        <v>37</v>
      </c>
      <c r="R2564" s="25"/>
      <c r="S2564" s="25"/>
    </row>
    <row r="2565" ht="27" customHeight="1" spans="1:19">
      <c r="A2565" s="19" t="s">
        <v>9951</v>
      </c>
      <c r="B2565" s="20" t="s">
        <v>30</v>
      </c>
      <c r="C2565" s="20" t="s">
        <v>31</v>
      </c>
      <c r="D2565" s="20" t="s">
        <v>32</v>
      </c>
      <c r="E2565" s="21" t="s">
        <v>9952</v>
      </c>
      <c r="F2565" s="21" t="s">
        <v>9953</v>
      </c>
      <c r="G2565" s="20" t="s">
        <v>35</v>
      </c>
      <c r="H2565" s="20" t="s">
        <v>25</v>
      </c>
      <c r="I2565" s="21" t="s">
        <v>9954</v>
      </c>
      <c r="J2565" s="22">
        <f t="shared" si="200"/>
        <v>4.10763888889051</v>
      </c>
      <c r="K2565" s="22">
        <f t="shared" si="201"/>
        <v>98.5833333333721</v>
      </c>
      <c r="L2565" s="22">
        <f t="shared" si="202"/>
        <v>34.5833333333721</v>
      </c>
      <c r="M2565" s="22" cm="1">
        <f ca="1" t="array" ref="M2565">SUMPRODUCT(--(WEEKDAY(ROW(INDIRECT(INT(F2565)&amp;":"&amp;INT(I2565))),2)&gt;5))</f>
        <v>2</v>
      </c>
      <c r="N2565" s="22">
        <f ca="1" t="shared" si="203"/>
        <v>18.5833333333721</v>
      </c>
      <c r="O2565" s="22" t="str">
        <f ca="1" t="shared" si="204"/>
        <v>SLA Violated</v>
      </c>
      <c r="P2565" s="26" t="s">
        <v>9951</v>
      </c>
      <c r="Q2565" s="24" t="s">
        <v>28</v>
      </c>
      <c r="R2565" s="25"/>
      <c r="S2565" s="25"/>
    </row>
    <row r="2566" ht="16" customHeight="1" spans="1:19">
      <c r="A2566" s="19" t="s">
        <v>9955</v>
      </c>
      <c r="B2566" s="20" t="s">
        <v>100</v>
      </c>
      <c r="C2566" s="20" t="s">
        <v>101</v>
      </c>
      <c r="D2566" s="20" t="s">
        <v>32</v>
      </c>
      <c r="E2566" s="21" t="s">
        <v>9956</v>
      </c>
      <c r="F2566" s="21" t="s">
        <v>9957</v>
      </c>
      <c r="G2566" s="20" t="s">
        <v>35</v>
      </c>
      <c r="H2566" s="20" t="s">
        <v>25</v>
      </c>
      <c r="I2566" s="21" t="s">
        <v>9958</v>
      </c>
      <c r="J2566" s="22">
        <f t="shared" si="200"/>
        <v>13.9888888888891</v>
      </c>
      <c r="K2566" s="22">
        <f t="shared" si="201"/>
        <v>335.733333333337</v>
      </c>
      <c r="L2566" s="22">
        <f t="shared" si="202"/>
        <v>111.733333333337</v>
      </c>
      <c r="M2566" s="22" cm="1">
        <f ca="1" t="array" ref="M2566">SUMPRODUCT(--(WEEKDAY(ROW(INDIRECT(INT(F2566)&amp;":"&amp;INT(I2566))),2)&gt;5))</f>
        <v>4</v>
      </c>
      <c r="N2566" s="22">
        <f ca="1" t="shared" si="203"/>
        <v>79.733333333337</v>
      </c>
      <c r="O2566" s="22" t="str">
        <f ca="1" t="shared" si="204"/>
        <v>SLA Violated</v>
      </c>
      <c r="P2566" s="23" t="s">
        <v>9959</v>
      </c>
      <c r="Q2566" s="24" t="s">
        <v>37</v>
      </c>
      <c r="R2566" s="25" t="s">
        <v>9960</v>
      </c>
      <c r="S2566" s="25" t="s">
        <v>39</v>
      </c>
    </row>
    <row r="2567" ht="27" customHeight="1" spans="1:19">
      <c r="A2567" s="19" t="s">
        <v>9961</v>
      </c>
      <c r="B2567" s="20" t="s">
        <v>30</v>
      </c>
      <c r="C2567" s="20" t="s">
        <v>31</v>
      </c>
      <c r="D2567" s="20" t="s">
        <v>32</v>
      </c>
      <c r="E2567" s="21" t="s">
        <v>9962</v>
      </c>
      <c r="F2567" s="21" t="s">
        <v>9963</v>
      </c>
      <c r="G2567" s="20" t="s">
        <v>35</v>
      </c>
      <c r="H2567" s="20" t="s">
        <v>25</v>
      </c>
      <c r="I2567" s="21" t="s">
        <v>9964</v>
      </c>
      <c r="J2567" s="22">
        <f t="shared" si="200"/>
        <v>11.0479166666628</v>
      </c>
      <c r="K2567" s="22">
        <f t="shared" si="201"/>
        <v>265.149999999907</v>
      </c>
      <c r="L2567" s="22">
        <f t="shared" si="202"/>
        <v>89.1499999999069</v>
      </c>
      <c r="M2567" s="22" cm="1">
        <f ca="1" t="array" ref="M2567">SUMPRODUCT(--(WEEKDAY(ROW(INDIRECT(INT(F2567)&amp;":"&amp;INT(I2567))),2)&gt;5))</f>
        <v>4</v>
      </c>
      <c r="N2567" s="22">
        <f ca="1" t="shared" si="203"/>
        <v>57.1499999999069</v>
      </c>
      <c r="O2567" s="22" t="str">
        <f ca="1" t="shared" si="204"/>
        <v>SLA Violated</v>
      </c>
      <c r="P2567" s="26" t="s">
        <v>9961</v>
      </c>
      <c r="Q2567" s="24" t="s">
        <v>28</v>
      </c>
      <c r="R2567" s="25"/>
      <c r="S2567" s="25"/>
    </row>
    <row r="2568" ht="39" customHeight="1" spans="1:19">
      <c r="A2568" s="28" t="s">
        <v>9965</v>
      </c>
      <c r="B2568" s="20" t="s">
        <v>19</v>
      </c>
      <c r="C2568" s="20" t="s">
        <v>20</v>
      </c>
      <c r="D2568" s="20" t="s">
        <v>21</v>
      </c>
      <c r="E2568" s="21" t="s">
        <v>9942</v>
      </c>
      <c r="F2568" s="21" t="s">
        <v>9966</v>
      </c>
      <c r="G2568" s="20" t="s">
        <v>35</v>
      </c>
      <c r="H2568" s="20" t="s">
        <v>25</v>
      </c>
      <c r="I2568" s="21" t="s">
        <v>9967</v>
      </c>
      <c r="J2568" s="22">
        <f t="shared" si="200"/>
        <v>18.0090277777781</v>
      </c>
      <c r="K2568" s="22">
        <f t="shared" si="201"/>
        <v>432.216666666674</v>
      </c>
      <c r="L2568" s="22">
        <f t="shared" si="202"/>
        <v>144.216666666674</v>
      </c>
      <c r="M2568" s="22" cm="1">
        <f ca="1" t="array" ref="M2568">SUMPRODUCT(--(WEEKDAY(ROW(INDIRECT(INT(F2568)&amp;":"&amp;INT(I2568))),2)&gt;5))</f>
        <v>6</v>
      </c>
      <c r="N2568" s="22">
        <f ca="1" t="shared" si="203"/>
        <v>96.216666666674</v>
      </c>
      <c r="O2568" s="22" t="str">
        <f ca="1" t="shared" si="204"/>
        <v>SLA Violated</v>
      </c>
      <c r="P2568" s="26" t="s">
        <v>9968</v>
      </c>
      <c r="Q2568" s="24" t="s">
        <v>28</v>
      </c>
      <c r="R2568" s="25"/>
      <c r="S2568" s="25"/>
    </row>
    <row r="2569" ht="27" customHeight="1" spans="1:19">
      <c r="A2569" s="28" t="s">
        <v>9969</v>
      </c>
      <c r="B2569" s="20" t="s">
        <v>30</v>
      </c>
      <c r="C2569" s="20" t="s">
        <v>46</v>
      </c>
      <c r="D2569" s="20" t="s">
        <v>21</v>
      </c>
      <c r="E2569" s="21" t="s">
        <v>9970</v>
      </c>
      <c r="F2569" s="21" t="s">
        <v>9971</v>
      </c>
      <c r="G2569" s="20" t="s">
        <v>35</v>
      </c>
      <c r="H2569" s="20" t="s">
        <v>25</v>
      </c>
      <c r="I2569" s="21" t="s">
        <v>9972</v>
      </c>
      <c r="J2569" s="22">
        <f t="shared" si="200"/>
        <v>11.815972222219</v>
      </c>
      <c r="K2569" s="22">
        <f t="shared" si="201"/>
        <v>283.583333333256</v>
      </c>
      <c r="L2569" s="22">
        <f t="shared" si="202"/>
        <v>91.5833333332557</v>
      </c>
      <c r="M2569" s="22" cm="1">
        <f ca="1" t="array" ref="M2569">SUMPRODUCT(--(WEEKDAY(ROW(INDIRECT(INT(F2569)&amp;":"&amp;INT(I2569))),2)&gt;5))</f>
        <v>4</v>
      </c>
      <c r="N2569" s="22">
        <f ca="1" t="shared" si="203"/>
        <v>59.5833333332557</v>
      </c>
      <c r="O2569" s="22" t="str">
        <f ca="1" t="shared" si="204"/>
        <v>SLA Violated</v>
      </c>
      <c r="P2569" s="23" t="s">
        <v>9969</v>
      </c>
      <c r="Q2569" s="24" t="s">
        <v>37</v>
      </c>
      <c r="R2569" s="25" t="s">
        <v>749</v>
      </c>
      <c r="S2569" s="25" t="s">
        <v>39</v>
      </c>
    </row>
    <row r="2570" ht="27" customHeight="1" spans="1:19">
      <c r="A2570" s="19" t="s">
        <v>9973</v>
      </c>
      <c r="B2570" s="20" t="s">
        <v>139</v>
      </c>
      <c r="C2570" s="20" t="s">
        <v>2057</v>
      </c>
      <c r="D2570" s="20" t="s">
        <v>32</v>
      </c>
      <c r="E2570" s="21" t="s">
        <v>9974</v>
      </c>
      <c r="F2570" s="21" t="s">
        <v>9975</v>
      </c>
      <c r="G2570" s="20" t="s">
        <v>35</v>
      </c>
      <c r="H2570" s="20" t="s">
        <v>25</v>
      </c>
      <c r="I2570" s="21" t="s">
        <v>9976</v>
      </c>
      <c r="J2570" s="22">
        <f t="shared" si="200"/>
        <v>0.0506944444423425</v>
      </c>
      <c r="K2570" s="22">
        <f t="shared" si="201"/>
        <v>1.21666666661622</v>
      </c>
      <c r="L2570" s="22">
        <f t="shared" si="202"/>
        <v>1.21666666661622</v>
      </c>
      <c r="M2570" s="22" cm="1">
        <f ca="1" t="array" ref="M2570">SUMPRODUCT(--(WEEKDAY(ROW(INDIRECT(INT(F2570)&amp;":"&amp;INT(I2570))),2)&gt;5))</f>
        <v>0</v>
      </c>
      <c r="N2570" s="22">
        <f ca="1" t="shared" si="203"/>
        <v>1.21666666661622</v>
      </c>
      <c r="O2570" s="22" t="str">
        <f ca="1" t="shared" si="204"/>
        <v>Within SLA</v>
      </c>
      <c r="P2570" s="26" t="s">
        <v>9973</v>
      </c>
      <c r="Q2570" s="24" t="s">
        <v>37</v>
      </c>
      <c r="R2570" s="25"/>
      <c r="S2570" s="25"/>
    </row>
    <row r="2571" ht="39" customHeight="1" spans="1:19">
      <c r="A2571" s="19" t="s">
        <v>9977</v>
      </c>
      <c r="B2571" s="20" t="s">
        <v>19</v>
      </c>
      <c r="C2571" s="20" t="s">
        <v>20</v>
      </c>
      <c r="D2571" s="20" t="s">
        <v>32</v>
      </c>
      <c r="E2571" s="21" t="s">
        <v>9919</v>
      </c>
      <c r="F2571" s="21" t="s">
        <v>9978</v>
      </c>
      <c r="G2571" s="20" t="s">
        <v>35</v>
      </c>
      <c r="H2571" s="20" t="s">
        <v>25</v>
      </c>
      <c r="I2571" s="21" t="s">
        <v>9979</v>
      </c>
      <c r="J2571" s="22">
        <f t="shared" si="200"/>
        <v>0.00902777777810115</v>
      </c>
      <c r="K2571" s="22">
        <f t="shared" si="201"/>
        <v>0.216666666674428</v>
      </c>
      <c r="L2571" s="22">
        <f t="shared" si="202"/>
        <v>0.216666666674428</v>
      </c>
      <c r="M2571" s="22" cm="1">
        <f ca="1" t="array" ref="M2571">SUMPRODUCT(--(WEEKDAY(ROW(INDIRECT(INT(F2571)&amp;":"&amp;INT(I2571))),2)&gt;5))</f>
        <v>0</v>
      </c>
      <c r="N2571" s="22">
        <f ca="1" t="shared" si="203"/>
        <v>0.216666666674428</v>
      </c>
      <c r="O2571" s="22" t="str">
        <f ca="1" t="shared" si="204"/>
        <v>Within SLA</v>
      </c>
      <c r="P2571" s="26" t="s">
        <v>9977</v>
      </c>
      <c r="Q2571" s="24" t="s">
        <v>37</v>
      </c>
      <c r="R2571" s="25"/>
      <c r="S2571" s="25"/>
    </row>
    <row r="2572" ht="39" customHeight="1" spans="1:19">
      <c r="A2572" s="19" t="s">
        <v>9980</v>
      </c>
      <c r="B2572" s="20" t="s">
        <v>19</v>
      </c>
      <c r="C2572" s="20" t="s">
        <v>20</v>
      </c>
      <c r="D2572" s="20" t="s">
        <v>32</v>
      </c>
      <c r="E2572" s="21" t="s">
        <v>9978</v>
      </c>
      <c r="F2572" s="21" t="s">
        <v>8958</v>
      </c>
      <c r="G2572" s="20" t="s">
        <v>35</v>
      </c>
      <c r="H2572" s="20" t="s">
        <v>25</v>
      </c>
      <c r="I2572" s="21" t="s">
        <v>9967</v>
      </c>
      <c r="J2572" s="22">
        <f t="shared" si="200"/>
        <v>0.0124999999970896</v>
      </c>
      <c r="K2572" s="22">
        <f t="shared" si="201"/>
        <v>0.299999999930151</v>
      </c>
      <c r="L2572" s="22">
        <f t="shared" si="202"/>
        <v>0.299999999930151</v>
      </c>
      <c r="M2572" s="22" cm="1">
        <f ca="1" t="array" ref="M2572">SUMPRODUCT(--(WEEKDAY(ROW(INDIRECT(INT(F2572)&amp;":"&amp;INT(I2572))),2)&gt;5))</f>
        <v>0</v>
      </c>
      <c r="N2572" s="22">
        <f ca="1" t="shared" si="203"/>
        <v>0.299999999930151</v>
      </c>
      <c r="O2572" s="22" t="str">
        <f ca="1" t="shared" si="204"/>
        <v>Within SLA</v>
      </c>
      <c r="P2572" s="26" t="s">
        <v>9980</v>
      </c>
      <c r="Q2572" s="24" t="s">
        <v>37</v>
      </c>
      <c r="R2572" s="25"/>
      <c r="S2572" s="25"/>
    </row>
    <row r="2573" ht="27" customHeight="1" spans="1:19">
      <c r="A2573" s="19" t="s">
        <v>9981</v>
      </c>
      <c r="B2573" s="20" t="s">
        <v>30</v>
      </c>
      <c r="C2573" s="20" t="s">
        <v>31</v>
      </c>
      <c r="D2573" s="20" t="s">
        <v>32</v>
      </c>
      <c r="E2573" s="21" t="s">
        <v>9982</v>
      </c>
      <c r="F2573" s="21" t="s">
        <v>9983</v>
      </c>
      <c r="G2573" s="20" t="s">
        <v>35</v>
      </c>
      <c r="H2573" s="20" t="s">
        <v>25</v>
      </c>
      <c r="I2573" s="21" t="s">
        <v>9984</v>
      </c>
      <c r="J2573" s="22">
        <f t="shared" si="200"/>
        <v>1.08263888888905</v>
      </c>
      <c r="K2573" s="22">
        <f t="shared" si="201"/>
        <v>25.9833333333372</v>
      </c>
      <c r="L2573" s="22">
        <f t="shared" si="202"/>
        <v>9.98333333333721</v>
      </c>
      <c r="M2573" s="22" cm="1">
        <f ca="1" t="array" ref="M2573">SUMPRODUCT(--(WEEKDAY(ROW(INDIRECT(INT(F2573)&amp;":"&amp;INT(I2573))),2)&gt;5))</f>
        <v>0</v>
      </c>
      <c r="N2573" s="22">
        <f ca="1" t="shared" si="203"/>
        <v>9.98333333333721</v>
      </c>
      <c r="O2573" s="22" t="str">
        <f ca="1" t="shared" si="204"/>
        <v>Within SLA</v>
      </c>
      <c r="P2573" s="26" t="s">
        <v>9981</v>
      </c>
      <c r="Q2573" s="24" t="s">
        <v>37</v>
      </c>
      <c r="R2573" s="25"/>
      <c r="S2573" s="25"/>
    </row>
    <row r="2574" ht="27" customHeight="1" spans="1:19">
      <c r="A2574" s="19" t="s">
        <v>9985</v>
      </c>
      <c r="B2574" s="20" t="s">
        <v>30</v>
      </c>
      <c r="C2574" s="20" t="s">
        <v>31</v>
      </c>
      <c r="D2574" s="20" t="s">
        <v>32</v>
      </c>
      <c r="E2574" s="21" t="s">
        <v>9986</v>
      </c>
      <c r="F2574" s="21" t="s">
        <v>9987</v>
      </c>
      <c r="G2574" s="20" t="s">
        <v>35</v>
      </c>
      <c r="H2574" s="20" t="s">
        <v>25</v>
      </c>
      <c r="I2574" s="21" t="s">
        <v>9988</v>
      </c>
      <c r="J2574" s="22">
        <f t="shared" si="200"/>
        <v>10.7131944444482</v>
      </c>
      <c r="K2574" s="22">
        <f t="shared" si="201"/>
        <v>257.116666666756</v>
      </c>
      <c r="L2574" s="22">
        <f t="shared" si="202"/>
        <v>81.1166666667559</v>
      </c>
      <c r="M2574" s="22" cm="1">
        <f ca="1" t="array" ref="M2574">SUMPRODUCT(--(WEEKDAY(ROW(INDIRECT(INT(F2574)&amp;":"&amp;INT(I2574))),2)&gt;5))</f>
        <v>4</v>
      </c>
      <c r="N2574" s="22">
        <f ca="1" t="shared" si="203"/>
        <v>49.1166666667559</v>
      </c>
      <c r="O2574" s="22" t="str">
        <f ca="1" t="shared" si="204"/>
        <v>SLA Violated</v>
      </c>
      <c r="P2574" s="26" t="s">
        <v>9985</v>
      </c>
      <c r="Q2574" s="24" t="s">
        <v>28</v>
      </c>
      <c r="R2574" s="25"/>
      <c r="S2574" s="25"/>
    </row>
    <row r="2575" ht="27" customHeight="1" spans="1:19">
      <c r="A2575" s="19" t="s">
        <v>9989</v>
      </c>
      <c r="B2575" s="20" t="s">
        <v>30</v>
      </c>
      <c r="C2575" s="20" t="s">
        <v>31</v>
      </c>
      <c r="D2575" s="20" t="s">
        <v>32</v>
      </c>
      <c r="E2575" s="21" t="s">
        <v>9990</v>
      </c>
      <c r="F2575" s="21" t="s">
        <v>9991</v>
      </c>
      <c r="G2575" s="20" t="s">
        <v>35</v>
      </c>
      <c r="H2575" s="20" t="s">
        <v>25</v>
      </c>
      <c r="I2575" s="21" t="s">
        <v>9992</v>
      </c>
      <c r="J2575" s="22">
        <f t="shared" si="200"/>
        <v>1.77847222222044</v>
      </c>
      <c r="K2575" s="22">
        <f t="shared" si="201"/>
        <v>42.6833333332906</v>
      </c>
      <c r="L2575" s="22">
        <f t="shared" si="202"/>
        <v>10.6833333332906</v>
      </c>
      <c r="M2575" s="22" cm="1">
        <f ca="1" t="array" ref="M2575">SUMPRODUCT(--(WEEKDAY(ROW(INDIRECT(INT(F2575)&amp;":"&amp;INT(I2575))),2)&gt;5))</f>
        <v>1</v>
      </c>
      <c r="N2575" s="22">
        <f ca="1" t="shared" si="203"/>
        <v>2.6833333332906</v>
      </c>
      <c r="O2575" s="22" t="str">
        <f ca="1" t="shared" si="204"/>
        <v>Within SLA</v>
      </c>
      <c r="P2575" s="26" t="s">
        <v>9989</v>
      </c>
      <c r="Q2575" s="24" t="s">
        <v>37</v>
      </c>
      <c r="R2575" s="25"/>
      <c r="S2575" s="25"/>
    </row>
    <row r="2576" ht="27" customHeight="1" spans="1:19">
      <c r="A2576" s="19" t="s">
        <v>9993</v>
      </c>
      <c r="B2576" s="20" t="s">
        <v>139</v>
      </c>
      <c r="C2576" s="20" t="s">
        <v>2057</v>
      </c>
      <c r="D2576" s="20" t="s">
        <v>32</v>
      </c>
      <c r="E2576" s="21" t="s">
        <v>9994</v>
      </c>
      <c r="F2576" s="21" t="s">
        <v>9995</v>
      </c>
      <c r="G2576" s="20" t="s">
        <v>35</v>
      </c>
      <c r="H2576" s="20" t="s">
        <v>25</v>
      </c>
      <c r="I2576" s="21" t="s">
        <v>9996</v>
      </c>
      <c r="J2576" s="22">
        <f t="shared" si="200"/>
        <v>7.3527777777781</v>
      </c>
      <c r="K2576" s="22">
        <f t="shared" si="201"/>
        <v>176.466666666674</v>
      </c>
      <c r="L2576" s="22">
        <f t="shared" si="202"/>
        <v>64.4666666666744</v>
      </c>
      <c r="M2576" s="22" cm="1">
        <f ca="1" t="array" ref="M2576">SUMPRODUCT(--(WEEKDAY(ROW(INDIRECT(INT(F2576)&amp;":"&amp;INT(I2576))),2)&gt;5))</f>
        <v>2</v>
      </c>
      <c r="N2576" s="22">
        <f ca="1" t="shared" si="203"/>
        <v>48.4666666666744</v>
      </c>
      <c r="O2576" s="22" t="str">
        <f ca="1" t="shared" si="204"/>
        <v>SLA Violated</v>
      </c>
      <c r="P2576" s="23" t="s">
        <v>9997</v>
      </c>
      <c r="Q2576" s="24" t="s">
        <v>28</v>
      </c>
      <c r="R2576" s="25"/>
      <c r="S2576" s="25"/>
    </row>
    <row r="2577" ht="27" customHeight="1" spans="1:19">
      <c r="A2577" s="19" t="s">
        <v>9998</v>
      </c>
      <c r="B2577" s="20" t="s">
        <v>30</v>
      </c>
      <c r="C2577" s="20" t="s">
        <v>31</v>
      </c>
      <c r="D2577" s="20" t="s">
        <v>115</v>
      </c>
      <c r="E2577" s="21" t="s">
        <v>9999</v>
      </c>
      <c r="F2577" s="21" t="s">
        <v>10000</v>
      </c>
      <c r="G2577" s="20" t="s">
        <v>35</v>
      </c>
      <c r="H2577" s="20" t="s">
        <v>25</v>
      </c>
      <c r="I2577" s="21" t="s">
        <v>10001</v>
      </c>
      <c r="J2577" s="22">
        <f t="shared" si="200"/>
        <v>1.18888888889342</v>
      </c>
      <c r="K2577" s="22">
        <f t="shared" si="201"/>
        <v>28.533333333442</v>
      </c>
      <c r="L2577" s="22">
        <f t="shared" si="202"/>
        <v>12.533333333442</v>
      </c>
      <c r="M2577" s="22" cm="1">
        <f ca="1" t="array" ref="M2577">SUMPRODUCT(--(WEEKDAY(ROW(INDIRECT(INT(F2577)&amp;":"&amp;INT(I2577))),2)&gt;5))</f>
        <v>1</v>
      </c>
      <c r="N2577" s="22">
        <f ca="1" t="shared" si="203"/>
        <v>4.533333333442</v>
      </c>
      <c r="O2577" s="22" t="str">
        <f ca="1" t="shared" si="204"/>
        <v>Within SLA</v>
      </c>
      <c r="P2577" s="26" t="s">
        <v>9998</v>
      </c>
      <c r="Q2577" s="24" t="s">
        <v>37</v>
      </c>
      <c r="R2577" s="25"/>
      <c r="S2577" s="25"/>
    </row>
    <row r="2578" ht="39" customHeight="1" spans="1:19">
      <c r="A2578" s="19" t="s">
        <v>10002</v>
      </c>
      <c r="B2578" s="20" t="s">
        <v>19</v>
      </c>
      <c r="C2578" s="20" t="s">
        <v>20</v>
      </c>
      <c r="D2578" s="20" t="s">
        <v>32</v>
      </c>
      <c r="E2578" s="21" t="s">
        <v>7119</v>
      </c>
      <c r="F2578" s="21" t="s">
        <v>10003</v>
      </c>
      <c r="G2578" s="20" t="s">
        <v>35</v>
      </c>
      <c r="H2578" s="20" t="s">
        <v>25</v>
      </c>
      <c r="I2578" s="21" t="s">
        <v>10004</v>
      </c>
      <c r="J2578" s="22">
        <f t="shared" si="200"/>
        <v>0.0326388888861402</v>
      </c>
      <c r="K2578" s="22">
        <f t="shared" si="201"/>
        <v>0.783333333267365</v>
      </c>
      <c r="L2578" s="22">
        <f t="shared" si="202"/>
        <v>0.783333333267365</v>
      </c>
      <c r="M2578" s="22" cm="1">
        <f ca="1" t="array" ref="M2578">SUMPRODUCT(--(WEEKDAY(ROW(INDIRECT(INT(F2578)&amp;":"&amp;INT(I2578))),2)&gt;5))</f>
        <v>0</v>
      </c>
      <c r="N2578" s="22">
        <f ca="1" t="shared" si="203"/>
        <v>0.783333333267365</v>
      </c>
      <c r="O2578" s="22" t="str">
        <f ca="1" t="shared" si="204"/>
        <v>Within SLA</v>
      </c>
      <c r="P2578" s="26" t="s">
        <v>10002</v>
      </c>
      <c r="Q2578" s="24" t="s">
        <v>37</v>
      </c>
      <c r="R2578" s="25"/>
      <c r="S2578" s="25"/>
    </row>
    <row r="2579" ht="27" customHeight="1" spans="1:19">
      <c r="A2579" s="19" t="s">
        <v>10005</v>
      </c>
      <c r="B2579" s="20" t="s">
        <v>30</v>
      </c>
      <c r="C2579" s="20" t="s">
        <v>46</v>
      </c>
      <c r="D2579" s="20" t="s">
        <v>32</v>
      </c>
      <c r="E2579" s="21" t="s">
        <v>10006</v>
      </c>
      <c r="F2579" s="21" t="s">
        <v>10007</v>
      </c>
      <c r="G2579" s="20" t="s">
        <v>35</v>
      </c>
      <c r="H2579" s="20" t="s">
        <v>25</v>
      </c>
      <c r="I2579" s="21" t="s">
        <v>10008</v>
      </c>
      <c r="J2579" s="22">
        <f t="shared" si="200"/>
        <v>0.0687499999985448</v>
      </c>
      <c r="K2579" s="22">
        <f t="shared" si="201"/>
        <v>1.64999999996508</v>
      </c>
      <c r="L2579" s="22">
        <f t="shared" si="202"/>
        <v>1.64999999996508</v>
      </c>
      <c r="M2579" s="22" cm="1">
        <f ca="1" t="array" ref="M2579">SUMPRODUCT(--(WEEKDAY(ROW(INDIRECT(INT(F2579)&amp;":"&amp;INT(I2579))),2)&gt;5))</f>
        <v>0</v>
      </c>
      <c r="N2579" s="22">
        <f ca="1" t="shared" si="203"/>
        <v>1.64999999996508</v>
      </c>
      <c r="O2579" s="22" t="str">
        <f ca="1" t="shared" si="204"/>
        <v>Within SLA</v>
      </c>
      <c r="P2579" s="26" t="s">
        <v>10005</v>
      </c>
      <c r="Q2579" s="24" t="s">
        <v>37</v>
      </c>
      <c r="R2579" s="25"/>
      <c r="S2579" s="25"/>
    </row>
    <row r="2580" ht="39" customHeight="1" spans="1:19">
      <c r="A2580" s="19" t="s">
        <v>10009</v>
      </c>
      <c r="B2580" s="20" t="s">
        <v>19</v>
      </c>
      <c r="C2580" s="20" t="s">
        <v>167</v>
      </c>
      <c r="D2580" s="20" t="s">
        <v>32</v>
      </c>
      <c r="E2580" s="21" t="s">
        <v>10010</v>
      </c>
      <c r="F2580" s="21" t="s">
        <v>10011</v>
      </c>
      <c r="G2580" s="20" t="s">
        <v>35</v>
      </c>
      <c r="H2580" s="20" t="s">
        <v>25</v>
      </c>
      <c r="I2580" s="21" t="s">
        <v>10012</v>
      </c>
      <c r="J2580" s="22">
        <f t="shared" si="200"/>
        <v>0.0618055555605679</v>
      </c>
      <c r="K2580" s="22">
        <f t="shared" si="201"/>
        <v>1.48333333345363</v>
      </c>
      <c r="L2580" s="22">
        <f t="shared" si="202"/>
        <v>1.48333333345363</v>
      </c>
      <c r="M2580" s="22" cm="1">
        <f ca="1" t="array" ref="M2580">SUMPRODUCT(--(WEEKDAY(ROW(INDIRECT(INT(F2580)&amp;":"&amp;INT(I2580))),2)&gt;5))</f>
        <v>0</v>
      </c>
      <c r="N2580" s="22">
        <f ca="1" t="shared" si="203"/>
        <v>1.48333333345363</v>
      </c>
      <c r="O2580" s="22" t="str">
        <f ca="1" t="shared" si="204"/>
        <v>Within SLA</v>
      </c>
      <c r="P2580" s="26" t="s">
        <v>10009</v>
      </c>
      <c r="Q2580" s="24" t="s">
        <v>37</v>
      </c>
      <c r="R2580" s="25"/>
      <c r="S2580" s="25"/>
    </row>
    <row r="2581" ht="16" customHeight="1" spans="1:19">
      <c r="A2581" s="19" t="s">
        <v>10013</v>
      </c>
      <c r="B2581" s="20" t="s">
        <v>100</v>
      </c>
      <c r="C2581" s="20" t="s">
        <v>101</v>
      </c>
      <c r="D2581" s="20" t="s">
        <v>32</v>
      </c>
      <c r="E2581" s="21" t="s">
        <v>10014</v>
      </c>
      <c r="F2581" s="21" t="s">
        <v>10015</v>
      </c>
      <c r="G2581" s="20" t="s">
        <v>35</v>
      </c>
      <c r="H2581" s="20" t="s">
        <v>25</v>
      </c>
      <c r="I2581" s="21" t="s">
        <v>10016</v>
      </c>
      <c r="J2581" s="22">
        <f t="shared" si="200"/>
        <v>3.17986111111531</v>
      </c>
      <c r="K2581" s="22">
        <f t="shared" si="201"/>
        <v>76.3166666667676</v>
      </c>
      <c r="L2581" s="22">
        <f t="shared" si="202"/>
        <v>28.3166666667676</v>
      </c>
      <c r="M2581" s="22" cm="1">
        <f ca="1" t="array" ref="M2581">SUMPRODUCT(--(WEEKDAY(ROW(INDIRECT(INT(F2581)&amp;":"&amp;INT(I2581))),2)&gt;5))</f>
        <v>2</v>
      </c>
      <c r="N2581" s="22">
        <f ca="1" t="shared" si="203"/>
        <v>12.3166666667676</v>
      </c>
      <c r="O2581" s="22" t="str">
        <f ca="1" t="shared" si="204"/>
        <v>SLA Violated</v>
      </c>
      <c r="P2581" s="23" t="s">
        <v>10017</v>
      </c>
      <c r="Q2581" s="24" t="s">
        <v>28</v>
      </c>
      <c r="R2581" s="25"/>
      <c r="S2581" s="25"/>
    </row>
    <row r="2582" ht="39" customHeight="1" spans="1:19">
      <c r="A2582" s="19" t="s">
        <v>10018</v>
      </c>
      <c r="B2582" s="20" t="s">
        <v>19</v>
      </c>
      <c r="C2582" s="20" t="s">
        <v>20</v>
      </c>
      <c r="D2582" s="20" t="s">
        <v>32</v>
      </c>
      <c r="E2582" s="21" t="s">
        <v>10019</v>
      </c>
      <c r="F2582" s="21" t="s">
        <v>10020</v>
      </c>
      <c r="G2582" s="20" t="s">
        <v>35</v>
      </c>
      <c r="H2582" s="20" t="s">
        <v>25</v>
      </c>
      <c r="I2582" s="21" t="s">
        <v>10021</v>
      </c>
      <c r="J2582" s="22">
        <f t="shared" si="200"/>
        <v>0.00694444444525288</v>
      </c>
      <c r="K2582" s="22">
        <f t="shared" si="201"/>
        <v>0.166666666686069</v>
      </c>
      <c r="L2582" s="22">
        <f t="shared" si="202"/>
        <v>0.166666666686069</v>
      </c>
      <c r="M2582" s="22" cm="1">
        <f ca="1" t="array" ref="M2582">SUMPRODUCT(--(WEEKDAY(ROW(INDIRECT(INT(F2582)&amp;":"&amp;INT(I2582))),2)&gt;5))</f>
        <v>0</v>
      </c>
      <c r="N2582" s="22">
        <f ca="1" t="shared" si="203"/>
        <v>0.166666666686069</v>
      </c>
      <c r="O2582" s="22" t="str">
        <f ca="1" t="shared" si="204"/>
        <v>Within SLA</v>
      </c>
      <c r="P2582" s="26" t="s">
        <v>10018</v>
      </c>
      <c r="Q2582" s="24" t="s">
        <v>37</v>
      </c>
      <c r="R2582" s="25"/>
      <c r="S2582" s="25"/>
    </row>
    <row r="2583" ht="27" customHeight="1" spans="1:19">
      <c r="A2583" s="19" t="s">
        <v>10022</v>
      </c>
      <c r="B2583" s="20" t="s">
        <v>30</v>
      </c>
      <c r="C2583" s="20" t="s">
        <v>31</v>
      </c>
      <c r="D2583" s="20" t="s">
        <v>32</v>
      </c>
      <c r="E2583" s="21" t="s">
        <v>10023</v>
      </c>
      <c r="F2583" s="21" t="s">
        <v>9710</v>
      </c>
      <c r="G2583" s="20" t="s">
        <v>35</v>
      </c>
      <c r="H2583" s="20" t="s">
        <v>25</v>
      </c>
      <c r="I2583" s="21" t="s">
        <v>10024</v>
      </c>
      <c r="J2583" s="22">
        <f t="shared" si="200"/>
        <v>5.9020833333343</v>
      </c>
      <c r="K2583" s="22">
        <f t="shared" si="201"/>
        <v>141.650000000023</v>
      </c>
      <c r="L2583" s="22">
        <f t="shared" si="202"/>
        <v>45.6500000000233</v>
      </c>
      <c r="M2583" s="22" cm="1">
        <f ca="1" t="array" ref="M2583">SUMPRODUCT(--(WEEKDAY(ROW(INDIRECT(INT(F2583)&amp;":"&amp;INT(I2583))),2)&gt;5))</f>
        <v>2</v>
      </c>
      <c r="N2583" s="22">
        <f ca="1" t="shared" si="203"/>
        <v>29.6500000000233</v>
      </c>
      <c r="O2583" s="22" t="str">
        <f ca="1" t="shared" si="204"/>
        <v>SLA Violated</v>
      </c>
      <c r="P2583" s="26" t="s">
        <v>10022</v>
      </c>
      <c r="Q2583" s="24" t="s">
        <v>28</v>
      </c>
      <c r="R2583" s="25"/>
      <c r="S2583" s="25"/>
    </row>
    <row r="2584" ht="16" customHeight="1" spans="1:19">
      <c r="A2584" s="19" t="s">
        <v>10025</v>
      </c>
      <c r="B2584" s="20" t="s">
        <v>100</v>
      </c>
      <c r="C2584" s="20" t="s">
        <v>101</v>
      </c>
      <c r="D2584" s="20" t="s">
        <v>32</v>
      </c>
      <c r="E2584" s="21" t="s">
        <v>10026</v>
      </c>
      <c r="F2584" s="21" t="s">
        <v>10027</v>
      </c>
      <c r="G2584" s="20" t="s">
        <v>35</v>
      </c>
      <c r="H2584" s="20" t="s">
        <v>25</v>
      </c>
      <c r="I2584" s="21" t="s">
        <v>10028</v>
      </c>
      <c r="J2584" s="22">
        <f t="shared" si="200"/>
        <v>3.14583333333576</v>
      </c>
      <c r="K2584" s="22">
        <f t="shared" si="201"/>
        <v>75.5000000000582</v>
      </c>
      <c r="L2584" s="22">
        <f t="shared" si="202"/>
        <v>27.5000000000582</v>
      </c>
      <c r="M2584" s="22" cm="1">
        <f ca="1" t="array" ref="M2584">SUMPRODUCT(--(WEEKDAY(ROW(INDIRECT(INT(F2584)&amp;":"&amp;INT(I2584))),2)&gt;5))</f>
        <v>2</v>
      </c>
      <c r="N2584" s="22">
        <f ca="1" t="shared" si="203"/>
        <v>11.5000000000582</v>
      </c>
      <c r="O2584" s="22" t="str">
        <f ca="1" t="shared" si="204"/>
        <v>Within SLA</v>
      </c>
      <c r="P2584" s="26" t="s">
        <v>10025</v>
      </c>
      <c r="Q2584" s="24" t="s">
        <v>37</v>
      </c>
      <c r="R2584" s="25"/>
      <c r="S2584" s="25"/>
    </row>
    <row r="2585" ht="39" customHeight="1" spans="1:19">
      <c r="A2585" s="19" t="s">
        <v>10029</v>
      </c>
      <c r="B2585" s="20" t="s">
        <v>196</v>
      </c>
      <c r="C2585" s="20" t="s">
        <v>2057</v>
      </c>
      <c r="D2585" s="20" t="s">
        <v>32</v>
      </c>
      <c r="E2585" s="21" t="s">
        <v>9903</v>
      </c>
      <c r="F2585" s="21" t="s">
        <v>10030</v>
      </c>
      <c r="G2585" s="20" t="s">
        <v>35</v>
      </c>
      <c r="H2585" s="20" t="s">
        <v>25</v>
      </c>
      <c r="I2585" s="21" t="s">
        <v>10031</v>
      </c>
      <c r="J2585" s="22">
        <f t="shared" si="200"/>
        <v>3.28680555555184</v>
      </c>
      <c r="K2585" s="22">
        <f t="shared" si="201"/>
        <v>78.8833333332441</v>
      </c>
      <c r="L2585" s="22">
        <f t="shared" si="202"/>
        <v>30.8833333332441</v>
      </c>
      <c r="M2585" s="22" cm="1">
        <f ca="1" t="array" ref="M2585">SUMPRODUCT(--(WEEKDAY(ROW(INDIRECT(INT(F2585)&amp;":"&amp;INT(I2585))),2)&gt;5))</f>
        <v>2</v>
      </c>
      <c r="N2585" s="22">
        <f ca="1" t="shared" si="203"/>
        <v>14.8833333332441</v>
      </c>
      <c r="O2585" s="22" t="str">
        <f ca="1" t="shared" si="204"/>
        <v>SLA Violated</v>
      </c>
      <c r="P2585" s="23" t="s">
        <v>10032</v>
      </c>
      <c r="Q2585" s="24" t="s">
        <v>28</v>
      </c>
      <c r="R2585" s="25"/>
      <c r="S2585" s="25"/>
    </row>
    <row r="2586" ht="27" customHeight="1" spans="1:19">
      <c r="A2586" s="19" t="s">
        <v>10033</v>
      </c>
      <c r="B2586" s="20" t="s">
        <v>30</v>
      </c>
      <c r="C2586" s="20" t="s">
        <v>31</v>
      </c>
      <c r="D2586" s="20" t="s">
        <v>21</v>
      </c>
      <c r="E2586" s="21" t="s">
        <v>10034</v>
      </c>
      <c r="F2586" s="21" t="s">
        <v>10035</v>
      </c>
      <c r="G2586" s="20" t="s">
        <v>35</v>
      </c>
      <c r="H2586" s="20" t="s">
        <v>25</v>
      </c>
      <c r="I2586" s="21" t="s">
        <v>10036</v>
      </c>
      <c r="J2586" s="22">
        <f t="shared" si="200"/>
        <v>3.23819444444234</v>
      </c>
      <c r="K2586" s="22">
        <f t="shared" si="201"/>
        <v>77.7166666666162</v>
      </c>
      <c r="L2586" s="22">
        <f t="shared" si="202"/>
        <v>29.7166666666162</v>
      </c>
      <c r="M2586" s="22" cm="1">
        <f ca="1" t="array" ref="M2586">SUMPRODUCT(--(WEEKDAY(ROW(INDIRECT(INT(F2586)&amp;":"&amp;INT(I2586))),2)&gt;5))</f>
        <v>2</v>
      </c>
      <c r="N2586" s="22">
        <f ca="1" t="shared" si="203"/>
        <v>13.7166666666162</v>
      </c>
      <c r="O2586" s="22" t="str">
        <f ca="1" t="shared" si="204"/>
        <v>SLA Violated</v>
      </c>
      <c r="P2586" s="26" t="s">
        <v>10033</v>
      </c>
      <c r="Q2586" s="24" t="s">
        <v>28</v>
      </c>
      <c r="R2586" s="25"/>
      <c r="S2586" s="25"/>
    </row>
    <row r="2587" ht="27" customHeight="1" spans="1:19">
      <c r="A2587" s="19" t="s">
        <v>10037</v>
      </c>
      <c r="B2587" s="20" t="s">
        <v>30</v>
      </c>
      <c r="C2587" s="20" t="s">
        <v>31</v>
      </c>
      <c r="D2587" s="20" t="s">
        <v>21</v>
      </c>
      <c r="E2587" s="21" t="s">
        <v>10038</v>
      </c>
      <c r="F2587" s="21" t="s">
        <v>10039</v>
      </c>
      <c r="G2587" s="20" t="s">
        <v>35</v>
      </c>
      <c r="H2587" s="20" t="s">
        <v>25</v>
      </c>
      <c r="I2587" s="21" t="s">
        <v>3257</v>
      </c>
      <c r="J2587" s="22">
        <f t="shared" si="200"/>
        <v>3.21250000000146</v>
      </c>
      <c r="K2587" s="22">
        <f t="shared" si="201"/>
        <v>77.1000000000349</v>
      </c>
      <c r="L2587" s="22">
        <f t="shared" si="202"/>
        <v>29.1000000000349</v>
      </c>
      <c r="M2587" s="22" cm="1">
        <f ca="1" t="array" ref="M2587">SUMPRODUCT(--(WEEKDAY(ROW(INDIRECT(INT(F2587)&amp;":"&amp;INT(I2587))),2)&gt;5))</f>
        <v>2</v>
      </c>
      <c r="N2587" s="22">
        <f ca="1" t="shared" si="203"/>
        <v>13.1000000000349</v>
      </c>
      <c r="O2587" s="22" t="str">
        <f ca="1" t="shared" si="204"/>
        <v>SLA Violated</v>
      </c>
      <c r="P2587" s="26" t="s">
        <v>10037</v>
      </c>
      <c r="Q2587" s="24" t="s">
        <v>28</v>
      </c>
      <c r="R2587" s="25"/>
      <c r="S2587" s="25"/>
    </row>
    <row r="2588" ht="27" customHeight="1" spans="1:19">
      <c r="A2588" s="19" t="s">
        <v>10040</v>
      </c>
      <c r="B2588" s="20" t="s">
        <v>139</v>
      </c>
      <c r="C2588" s="20" t="s">
        <v>2057</v>
      </c>
      <c r="D2588" s="20" t="s">
        <v>32</v>
      </c>
      <c r="E2588" s="21" t="s">
        <v>10041</v>
      </c>
      <c r="F2588" s="21" t="s">
        <v>10042</v>
      </c>
      <c r="G2588" s="20" t="s">
        <v>35</v>
      </c>
      <c r="H2588" s="20" t="s">
        <v>25</v>
      </c>
      <c r="I2588" s="21" t="s">
        <v>10043</v>
      </c>
      <c r="J2588" s="22">
        <f t="shared" si="200"/>
        <v>13.128472222219</v>
      </c>
      <c r="K2588" s="22">
        <f t="shared" si="201"/>
        <v>315.083333333256</v>
      </c>
      <c r="L2588" s="22">
        <f t="shared" si="202"/>
        <v>107.083333333256</v>
      </c>
      <c r="M2588" s="22" cm="1">
        <f ca="1" t="array" ref="M2588">SUMPRODUCT(--(WEEKDAY(ROW(INDIRECT(INT(F2588)&amp;":"&amp;INT(I2588))),2)&gt;5))</f>
        <v>4</v>
      </c>
      <c r="N2588" s="22">
        <f ca="1" t="shared" si="203"/>
        <v>75.083333333256</v>
      </c>
      <c r="O2588" s="22" t="str">
        <f ca="1" t="shared" si="204"/>
        <v>SLA Violated</v>
      </c>
      <c r="P2588" s="23" t="s">
        <v>10044</v>
      </c>
      <c r="Q2588" s="24" t="s">
        <v>28</v>
      </c>
      <c r="R2588" s="25"/>
      <c r="S2588" s="25"/>
    </row>
    <row r="2589" ht="27" customHeight="1" spans="1:19">
      <c r="A2589" s="19" t="s">
        <v>10045</v>
      </c>
      <c r="B2589" s="20" t="s">
        <v>30</v>
      </c>
      <c r="C2589" s="20" t="s">
        <v>31</v>
      </c>
      <c r="D2589" s="20" t="s">
        <v>32</v>
      </c>
      <c r="E2589" s="21" t="s">
        <v>10046</v>
      </c>
      <c r="F2589" s="21" t="s">
        <v>10047</v>
      </c>
      <c r="G2589" s="20" t="s">
        <v>35</v>
      </c>
      <c r="H2589" s="20" t="s">
        <v>25</v>
      </c>
      <c r="I2589" s="21" t="s">
        <v>3616</v>
      </c>
      <c r="J2589" s="22">
        <f t="shared" si="200"/>
        <v>3.92499999999563</v>
      </c>
      <c r="K2589" s="22">
        <f t="shared" si="201"/>
        <v>94.1999999998952</v>
      </c>
      <c r="L2589" s="22">
        <f t="shared" si="202"/>
        <v>30.1999999998952</v>
      </c>
      <c r="M2589" s="22" cm="1">
        <f ca="1" t="array" ref="M2589">SUMPRODUCT(--(WEEKDAY(ROW(INDIRECT(INT(F2589)&amp;":"&amp;INT(I2589))),2)&gt;5))</f>
        <v>2</v>
      </c>
      <c r="N2589" s="22">
        <f ca="1" t="shared" si="203"/>
        <v>14.1999999998952</v>
      </c>
      <c r="O2589" s="22" t="str">
        <f ca="1" t="shared" si="204"/>
        <v>SLA Violated</v>
      </c>
      <c r="P2589" s="26" t="s">
        <v>10045</v>
      </c>
      <c r="Q2589" s="24" t="s">
        <v>28</v>
      </c>
      <c r="R2589" s="25"/>
      <c r="S2589" s="25"/>
    </row>
    <row r="2590" ht="27" customHeight="1" spans="1:19">
      <c r="A2590" s="19" t="s">
        <v>10048</v>
      </c>
      <c r="B2590" s="20" t="s">
        <v>30</v>
      </c>
      <c r="C2590" s="20" t="s">
        <v>31</v>
      </c>
      <c r="D2590" s="20" t="s">
        <v>21</v>
      </c>
      <c r="E2590" s="21" t="s">
        <v>10049</v>
      </c>
      <c r="F2590" s="21" t="s">
        <v>10050</v>
      </c>
      <c r="G2590" s="20" t="s">
        <v>35</v>
      </c>
      <c r="H2590" s="20" t="s">
        <v>25</v>
      </c>
      <c r="I2590" s="21" t="s">
        <v>9219</v>
      </c>
      <c r="J2590" s="22">
        <f t="shared" si="200"/>
        <v>2.8930555555562</v>
      </c>
      <c r="K2590" s="22">
        <f t="shared" si="201"/>
        <v>69.4333333333489</v>
      </c>
      <c r="L2590" s="22">
        <f t="shared" si="202"/>
        <v>21.4333333333489</v>
      </c>
      <c r="M2590" s="22" cm="1">
        <f ca="1" t="array" ref="M2590">SUMPRODUCT(--(WEEKDAY(ROW(INDIRECT(INT(F2590)&amp;":"&amp;INT(I2590))),2)&gt;5))</f>
        <v>2</v>
      </c>
      <c r="N2590" s="22">
        <f ca="1" t="shared" si="203"/>
        <v>5.4333333333489</v>
      </c>
      <c r="O2590" s="22" t="str">
        <f ca="1" t="shared" si="204"/>
        <v>SLA Violated</v>
      </c>
      <c r="P2590" s="26" t="s">
        <v>10048</v>
      </c>
      <c r="Q2590" s="24" t="s">
        <v>28</v>
      </c>
      <c r="R2590" s="25"/>
      <c r="S2590" s="25"/>
    </row>
    <row r="2591" ht="27" customHeight="1" spans="1:19">
      <c r="A2591" s="19" t="s">
        <v>10051</v>
      </c>
      <c r="B2591" s="20" t="s">
        <v>30</v>
      </c>
      <c r="C2591" s="20" t="s">
        <v>31</v>
      </c>
      <c r="D2591" s="20" t="s">
        <v>32</v>
      </c>
      <c r="E2591" s="21" t="s">
        <v>10049</v>
      </c>
      <c r="F2591" s="21" t="s">
        <v>10052</v>
      </c>
      <c r="G2591" s="20" t="s">
        <v>35</v>
      </c>
      <c r="H2591" s="20" t="s">
        <v>25</v>
      </c>
      <c r="I2591" s="21" t="s">
        <v>10053</v>
      </c>
      <c r="J2591" s="22">
        <f t="shared" si="200"/>
        <v>9.91458333333139</v>
      </c>
      <c r="K2591" s="22">
        <f t="shared" si="201"/>
        <v>237.949999999953</v>
      </c>
      <c r="L2591" s="22">
        <f t="shared" si="202"/>
        <v>77.9499999999534</v>
      </c>
      <c r="M2591" s="22" cm="1">
        <f ca="1" t="array" ref="M2591">SUMPRODUCT(--(WEEKDAY(ROW(INDIRECT(INT(F2591)&amp;":"&amp;INT(I2591))),2)&gt;5))</f>
        <v>4</v>
      </c>
      <c r="N2591" s="22">
        <f ca="1" t="shared" si="203"/>
        <v>45.9499999999534</v>
      </c>
      <c r="O2591" s="22" t="str">
        <f ca="1" t="shared" si="204"/>
        <v>SLA Violated</v>
      </c>
      <c r="P2591" s="26" t="s">
        <v>10051</v>
      </c>
      <c r="Q2591" s="24" t="s">
        <v>28</v>
      </c>
      <c r="R2591" s="25"/>
      <c r="S2591" s="25"/>
    </row>
    <row r="2592" ht="27" customHeight="1" spans="1:19">
      <c r="A2592" s="19" t="s">
        <v>10054</v>
      </c>
      <c r="B2592" s="20" t="s">
        <v>30</v>
      </c>
      <c r="C2592" s="20" t="s">
        <v>31</v>
      </c>
      <c r="D2592" s="20" t="s">
        <v>32</v>
      </c>
      <c r="E2592" s="21" t="s">
        <v>7390</v>
      </c>
      <c r="F2592" s="21" t="s">
        <v>10055</v>
      </c>
      <c r="G2592" s="20" t="s">
        <v>35</v>
      </c>
      <c r="H2592" s="20" t="s">
        <v>25</v>
      </c>
      <c r="I2592" s="21" t="s">
        <v>10056</v>
      </c>
      <c r="J2592" s="22">
        <f t="shared" si="200"/>
        <v>3.92708333333576</v>
      </c>
      <c r="K2592" s="22">
        <f t="shared" si="201"/>
        <v>94.2500000000582</v>
      </c>
      <c r="L2592" s="22">
        <f t="shared" si="202"/>
        <v>30.2500000000582</v>
      </c>
      <c r="M2592" s="22" cm="1">
        <f ca="1" t="array" ref="M2592">SUMPRODUCT(--(WEEKDAY(ROW(INDIRECT(INT(F2592)&amp;":"&amp;INT(I2592))),2)&gt;5))</f>
        <v>2</v>
      </c>
      <c r="N2592" s="22">
        <f ca="1" t="shared" si="203"/>
        <v>14.2500000000582</v>
      </c>
      <c r="O2592" s="22" t="str">
        <f ca="1" t="shared" si="204"/>
        <v>SLA Violated</v>
      </c>
      <c r="P2592" s="26" t="s">
        <v>10054</v>
      </c>
      <c r="Q2592" s="24" t="s">
        <v>28</v>
      </c>
      <c r="R2592" s="25"/>
      <c r="S2592" s="25"/>
    </row>
    <row r="2593" ht="27" customHeight="1" spans="1:19">
      <c r="A2593" s="19" t="s">
        <v>10057</v>
      </c>
      <c r="B2593" s="20" t="s">
        <v>30</v>
      </c>
      <c r="C2593" s="20" t="s">
        <v>31</v>
      </c>
      <c r="D2593" s="20" t="s">
        <v>32</v>
      </c>
      <c r="E2593" s="21" t="s">
        <v>10058</v>
      </c>
      <c r="F2593" s="21" t="s">
        <v>9517</v>
      </c>
      <c r="G2593" s="20" t="s">
        <v>35</v>
      </c>
      <c r="H2593" s="20" t="s">
        <v>25</v>
      </c>
      <c r="I2593" s="21" t="s">
        <v>10059</v>
      </c>
      <c r="J2593" s="22">
        <f t="shared" si="200"/>
        <v>10.0965277777796</v>
      </c>
      <c r="K2593" s="22">
        <f t="shared" si="201"/>
        <v>242.316666666709</v>
      </c>
      <c r="L2593" s="22">
        <f t="shared" si="202"/>
        <v>82.3166666667094</v>
      </c>
      <c r="M2593" s="22" cm="1">
        <f ca="1" t="array" ref="M2593">SUMPRODUCT(--(WEEKDAY(ROW(INDIRECT(INT(F2593)&amp;":"&amp;INT(I2593))),2)&gt;5))</f>
        <v>4</v>
      </c>
      <c r="N2593" s="22">
        <f ca="1" t="shared" si="203"/>
        <v>50.3166666667094</v>
      </c>
      <c r="O2593" s="22" t="str">
        <f ca="1" t="shared" si="204"/>
        <v>SLA Violated</v>
      </c>
      <c r="P2593" s="26" t="s">
        <v>10057</v>
      </c>
      <c r="Q2593" s="24" t="s">
        <v>28</v>
      </c>
      <c r="R2593" s="25"/>
      <c r="S2593" s="25"/>
    </row>
    <row r="2594" ht="27" customHeight="1" spans="1:19">
      <c r="A2594" s="19" t="s">
        <v>10060</v>
      </c>
      <c r="B2594" s="20" t="s">
        <v>30</v>
      </c>
      <c r="C2594" s="20" t="s">
        <v>31</v>
      </c>
      <c r="D2594" s="20" t="s">
        <v>21</v>
      </c>
      <c r="E2594" s="21" t="s">
        <v>10061</v>
      </c>
      <c r="F2594" s="21" t="s">
        <v>10062</v>
      </c>
      <c r="G2594" s="20" t="s">
        <v>35</v>
      </c>
      <c r="H2594" s="20" t="s">
        <v>25</v>
      </c>
      <c r="I2594" s="21" t="s">
        <v>10063</v>
      </c>
      <c r="J2594" s="22">
        <f t="shared" si="200"/>
        <v>4.89861111110804</v>
      </c>
      <c r="K2594" s="22">
        <f t="shared" si="201"/>
        <v>117.566666666593</v>
      </c>
      <c r="L2594" s="22">
        <f t="shared" si="202"/>
        <v>37.5666666665929</v>
      </c>
      <c r="M2594" s="22" cm="1">
        <f ca="1" t="array" ref="M2594">SUMPRODUCT(--(WEEKDAY(ROW(INDIRECT(INT(F2594)&amp;":"&amp;INT(I2594))),2)&gt;5))</f>
        <v>2</v>
      </c>
      <c r="N2594" s="22">
        <f ca="1" t="shared" si="203"/>
        <v>21.5666666665929</v>
      </c>
      <c r="O2594" s="22" t="str">
        <f ca="1" t="shared" si="204"/>
        <v>SLA Violated</v>
      </c>
      <c r="P2594" s="26" t="s">
        <v>10060</v>
      </c>
      <c r="Q2594" s="24" t="s">
        <v>28</v>
      </c>
      <c r="R2594" s="25"/>
      <c r="S2594" s="25"/>
    </row>
    <row r="2595" ht="27" customHeight="1" spans="1:19">
      <c r="A2595" s="19" t="s">
        <v>10064</v>
      </c>
      <c r="B2595" s="20" t="s">
        <v>30</v>
      </c>
      <c r="C2595" s="20" t="s">
        <v>31</v>
      </c>
      <c r="D2595" s="20" t="s">
        <v>32</v>
      </c>
      <c r="E2595" s="21" t="s">
        <v>10065</v>
      </c>
      <c r="F2595" s="21" t="s">
        <v>10066</v>
      </c>
      <c r="G2595" s="20" t="s">
        <v>35</v>
      </c>
      <c r="H2595" s="20" t="s">
        <v>25</v>
      </c>
      <c r="I2595" s="21" t="s">
        <v>10067</v>
      </c>
      <c r="J2595" s="22">
        <f t="shared" si="200"/>
        <v>0.136111111110949</v>
      </c>
      <c r="K2595" s="22">
        <f t="shared" si="201"/>
        <v>3.26666666666279</v>
      </c>
      <c r="L2595" s="22">
        <f t="shared" si="202"/>
        <v>3.26666666666279</v>
      </c>
      <c r="M2595" s="22" cm="1">
        <f ca="1" t="array" ref="M2595">SUMPRODUCT(--(WEEKDAY(ROW(INDIRECT(INT(F2595)&amp;":"&amp;INT(I2595))),2)&gt;5))</f>
        <v>0</v>
      </c>
      <c r="N2595" s="22">
        <f ca="1" t="shared" si="203"/>
        <v>3.26666666666279</v>
      </c>
      <c r="O2595" s="22" t="str">
        <f ca="1" t="shared" si="204"/>
        <v>Within SLA</v>
      </c>
      <c r="P2595" s="26" t="s">
        <v>10064</v>
      </c>
      <c r="Q2595" s="24" t="s">
        <v>37</v>
      </c>
      <c r="R2595" s="25"/>
      <c r="S2595" s="25"/>
    </row>
    <row r="2596" ht="39" customHeight="1" spans="1:19">
      <c r="A2596" s="19" t="s">
        <v>10068</v>
      </c>
      <c r="B2596" s="20" t="s">
        <v>196</v>
      </c>
      <c r="C2596" s="20" t="s">
        <v>46</v>
      </c>
      <c r="D2596" s="20" t="s">
        <v>21</v>
      </c>
      <c r="E2596" s="21" t="s">
        <v>10056</v>
      </c>
      <c r="F2596" s="21" t="s">
        <v>10069</v>
      </c>
      <c r="G2596" s="20" t="s">
        <v>35</v>
      </c>
      <c r="H2596" s="20" t="s">
        <v>25</v>
      </c>
      <c r="I2596" s="21" t="s">
        <v>10070</v>
      </c>
      <c r="J2596" s="22">
        <f t="shared" si="200"/>
        <v>0.0583333333343035</v>
      </c>
      <c r="K2596" s="22">
        <f t="shared" si="201"/>
        <v>1.40000000002328</v>
      </c>
      <c r="L2596" s="22">
        <f t="shared" si="202"/>
        <v>1.40000000002328</v>
      </c>
      <c r="M2596" s="22" cm="1">
        <f ca="1" t="array" ref="M2596">SUMPRODUCT(--(WEEKDAY(ROW(INDIRECT(INT(F2596)&amp;":"&amp;INT(I2596))),2)&gt;5))</f>
        <v>0</v>
      </c>
      <c r="N2596" s="22">
        <f ca="1" t="shared" si="203"/>
        <v>1.40000000002328</v>
      </c>
      <c r="O2596" s="22" t="str">
        <f ca="1" t="shared" si="204"/>
        <v>Within SLA</v>
      </c>
      <c r="P2596" s="26" t="s">
        <v>10068</v>
      </c>
      <c r="Q2596" s="24" t="s">
        <v>37</v>
      </c>
      <c r="R2596" s="25"/>
      <c r="S2596" s="25"/>
    </row>
    <row r="2597" ht="39" customHeight="1" spans="1:19">
      <c r="A2597" s="19" t="s">
        <v>10071</v>
      </c>
      <c r="B2597" s="20" t="s">
        <v>19</v>
      </c>
      <c r="C2597" s="20" t="s">
        <v>20</v>
      </c>
      <c r="D2597" s="20" t="s">
        <v>32</v>
      </c>
      <c r="E2597" s="21" t="s">
        <v>10067</v>
      </c>
      <c r="F2597" s="21" t="s">
        <v>10072</v>
      </c>
      <c r="G2597" s="20" t="s">
        <v>35</v>
      </c>
      <c r="H2597" s="20" t="s">
        <v>25</v>
      </c>
      <c r="I2597" s="21" t="s">
        <v>10073</v>
      </c>
      <c r="J2597" s="22">
        <f t="shared" si="200"/>
        <v>0.0513888888890506</v>
      </c>
      <c r="K2597" s="22">
        <f t="shared" si="201"/>
        <v>1.23333333333721</v>
      </c>
      <c r="L2597" s="22">
        <f t="shared" si="202"/>
        <v>1.23333333333721</v>
      </c>
      <c r="M2597" s="22" cm="1">
        <f ca="1" t="array" ref="M2597">SUMPRODUCT(--(WEEKDAY(ROW(INDIRECT(INT(F2597)&amp;":"&amp;INT(I2597))),2)&gt;5))</f>
        <v>0</v>
      </c>
      <c r="N2597" s="22">
        <f ca="1" t="shared" si="203"/>
        <v>1.23333333333721</v>
      </c>
      <c r="O2597" s="22" t="str">
        <f ca="1" t="shared" si="204"/>
        <v>Within SLA</v>
      </c>
      <c r="P2597" s="26" t="s">
        <v>10071</v>
      </c>
      <c r="Q2597" s="24" t="s">
        <v>37</v>
      </c>
      <c r="R2597" s="25"/>
      <c r="S2597" s="25"/>
    </row>
    <row r="2598" ht="27" customHeight="1" spans="1:19">
      <c r="A2598" s="19" t="s">
        <v>10074</v>
      </c>
      <c r="B2598" s="20" t="s">
        <v>30</v>
      </c>
      <c r="C2598" s="20" t="s">
        <v>31</v>
      </c>
      <c r="D2598" s="20" t="s">
        <v>32</v>
      </c>
      <c r="E2598" s="21" t="s">
        <v>10075</v>
      </c>
      <c r="F2598" s="21" t="s">
        <v>9648</v>
      </c>
      <c r="G2598" s="20" t="s">
        <v>35</v>
      </c>
      <c r="H2598" s="20" t="s">
        <v>25</v>
      </c>
      <c r="I2598" s="21" t="s">
        <v>10076</v>
      </c>
      <c r="J2598" s="22">
        <f t="shared" si="200"/>
        <v>10.8250000000044</v>
      </c>
      <c r="K2598" s="22">
        <f t="shared" si="201"/>
        <v>259.800000000105</v>
      </c>
      <c r="L2598" s="22">
        <f t="shared" si="202"/>
        <v>83.8000000001048</v>
      </c>
      <c r="M2598" s="22" cm="1">
        <f ca="1" t="array" ref="M2598">SUMPRODUCT(--(WEEKDAY(ROW(INDIRECT(INT(F2598)&amp;":"&amp;INT(I2598))),2)&gt;5))</f>
        <v>4</v>
      </c>
      <c r="N2598" s="22">
        <f ca="1" t="shared" si="203"/>
        <v>51.8000000001048</v>
      </c>
      <c r="O2598" s="22" t="str">
        <f ca="1" t="shared" si="204"/>
        <v>SLA Violated</v>
      </c>
      <c r="P2598" s="26" t="s">
        <v>10074</v>
      </c>
      <c r="Q2598" s="24" t="s">
        <v>28</v>
      </c>
      <c r="R2598" s="25"/>
      <c r="S2598" s="25"/>
    </row>
    <row r="2599" ht="39" customHeight="1" spans="1:19">
      <c r="A2599" s="19" t="s">
        <v>10077</v>
      </c>
      <c r="B2599" s="20" t="s">
        <v>19</v>
      </c>
      <c r="C2599" s="20" t="s">
        <v>20</v>
      </c>
      <c r="D2599" s="20" t="s">
        <v>32</v>
      </c>
      <c r="E2599" s="21" t="s">
        <v>8494</v>
      </c>
      <c r="F2599" s="21" t="s">
        <v>10078</v>
      </c>
      <c r="G2599" s="20" t="s">
        <v>35</v>
      </c>
      <c r="H2599" s="20" t="s">
        <v>25</v>
      </c>
      <c r="I2599" s="21" t="s">
        <v>10079</v>
      </c>
      <c r="J2599" s="22">
        <f t="shared" si="200"/>
        <v>0.0451388888905058</v>
      </c>
      <c r="K2599" s="22">
        <f t="shared" si="201"/>
        <v>1.08333333337214</v>
      </c>
      <c r="L2599" s="22">
        <f t="shared" si="202"/>
        <v>1.08333333337214</v>
      </c>
      <c r="M2599" s="22" cm="1">
        <f ca="1" t="array" ref="M2599">SUMPRODUCT(--(WEEKDAY(ROW(INDIRECT(INT(F2599)&amp;":"&amp;INT(I2599))),2)&gt;5))</f>
        <v>0</v>
      </c>
      <c r="N2599" s="22">
        <f ca="1" t="shared" si="203"/>
        <v>1.08333333337214</v>
      </c>
      <c r="O2599" s="22" t="str">
        <f ca="1" t="shared" si="204"/>
        <v>Within SLA</v>
      </c>
      <c r="P2599" s="26" t="s">
        <v>10077</v>
      </c>
      <c r="Q2599" s="24" t="s">
        <v>37</v>
      </c>
      <c r="R2599" s="25"/>
      <c r="S2599" s="25"/>
    </row>
    <row r="2600" ht="39" customHeight="1" spans="1:19">
      <c r="A2600" s="19" t="s">
        <v>10080</v>
      </c>
      <c r="B2600" s="20" t="s">
        <v>19</v>
      </c>
      <c r="C2600" s="20" t="s">
        <v>20</v>
      </c>
      <c r="D2600" s="20" t="s">
        <v>32</v>
      </c>
      <c r="E2600" s="21" t="s">
        <v>10081</v>
      </c>
      <c r="F2600" s="21" t="s">
        <v>10082</v>
      </c>
      <c r="G2600" s="20" t="s">
        <v>24</v>
      </c>
      <c r="H2600" s="20" t="s">
        <v>25</v>
      </c>
      <c r="I2600" s="21" t="s">
        <v>9828</v>
      </c>
      <c r="J2600" s="22">
        <f t="shared" si="200"/>
        <v>12.0979166666657</v>
      </c>
      <c r="K2600" s="22">
        <f t="shared" si="201"/>
        <v>290.349999999977</v>
      </c>
      <c r="L2600" s="22">
        <f t="shared" si="202"/>
        <v>98.3499999999767</v>
      </c>
      <c r="M2600" s="22" cm="1">
        <f ca="1" t="array" ref="M2600">SUMPRODUCT(--(WEEKDAY(ROW(INDIRECT(INT(F2600)&amp;":"&amp;INT(I2600))),2)&gt;5))</f>
        <v>4</v>
      </c>
      <c r="N2600" s="22">
        <f ca="1" t="shared" si="203"/>
        <v>66.3499999999767</v>
      </c>
      <c r="O2600" s="22" t="str">
        <f ca="1" t="shared" si="204"/>
        <v>SLA Violated</v>
      </c>
      <c r="P2600" s="23" t="s">
        <v>10083</v>
      </c>
      <c r="Q2600" s="24" t="s">
        <v>28</v>
      </c>
      <c r="R2600" s="25"/>
      <c r="S2600" s="25"/>
    </row>
    <row r="2601" ht="39" customHeight="1" spans="1:19">
      <c r="A2601" s="19" t="s">
        <v>10084</v>
      </c>
      <c r="B2601" s="20" t="s">
        <v>19</v>
      </c>
      <c r="C2601" s="20" t="s">
        <v>20</v>
      </c>
      <c r="D2601" s="20" t="s">
        <v>32</v>
      </c>
      <c r="E2601" s="21" t="s">
        <v>10085</v>
      </c>
      <c r="F2601" s="21" t="s">
        <v>10086</v>
      </c>
      <c r="G2601" s="20" t="s">
        <v>35</v>
      </c>
      <c r="H2601" s="20" t="s">
        <v>25</v>
      </c>
      <c r="I2601" s="21" t="s">
        <v>10087</v>
      </c>
      <c r="J2601" s="22">
        <f t="shared" si="200"/>
        <v>0.007638888884685</v>
      </c>
      <c r="K2601" s="22">
        <f t="shared" si="201"/>
        <v>0.18333333323244</v>
      </c>
      <c r="L2601" s="22">
        <f t="shared" si="202"/>
        <v>0.18333333323244</v>
      </c>
      <c r="M2601" s="22" cm="1">
        <f ca="1" t="array" ref="M2601">SUMPRODUCT(--(WEEKDAY(ROW(INDIRECT(INT(F2601)&amp;":"&amp;INT(I2601))),2)&gt;5))</f>
        <v>0</v>
      </c>
      <c r="N2601" s="22">
        <f ca="1" t="shared" si="203"/>
        <v>0.18333333323244</v>
      </c>
      <c r="O2601" s="22" t="str">
        <f ca="1" t="shared" si="204"/>
        <v>Within SLA</v>
      </c>
      <c r="P2601" s="26" t="s">
        <v>10084</v>
      </c>
      <c r="Q2601" s="24" t="s">
        <v>37</v>
      </c>
      <c r="R2601" s="25"/>
      <c r="S2601" s="25"/>
    </row>
    <row r="2602" ht="27" customHeight="1" spans="1:19">
      <c r="A2602" s="19" t="s">
        <v>10088</v>
      </c>
      <c r="B2602" s="20" t="s">
        <v>30</v>
      </c>
      <c r="C2602" s="20" t="s">
        <v>2057</v>
      </c>
      <c r="D2602" s="20" t="s">
        <v>32</v>
      </c>
      <c r="E2602" s="21" t="s">
        <v>10089</v>
      </c>
      <c r="F2602" s="21" t="s">
        <v>10090</v>
      </c>
      <c r="G2602" s="20" t="s">
        <v>35</v>
      </c>
      <c r="H2602" s="20" t="s">
        <v>25</v>
      </c>
      <c r="I2602" s="21" t="s">
        <v>10091</v>
      </c>
      <c r="J2602" s="22">
        <f t="shared" si="200"/>
        <v>0.00833333333139308</v>
      </c>
      <c r="K2602" s="22">
        <f t="shared" si="201"/>
        <v>0.199999999953434</v>
      </c>
      <c r="L2602" s="22">
        <f t="shared" si="202"/>
        <v>0.199999999953434</v>
      </c>
      <c r="M2602" s="22" cm="1">
        <f ca="1" t="array" ref="M2602">SUMPRODUCT(--(WEEKDAY(ROW(INDIRECT(INT(F2602)&amp;":"&amp;INT(I2602))),2)&gt;5))</f>
        <v>0</v>
      </c>
      <c r="N2602" s="22">
        <f ca="1" t="shared" si="203"/>
        <v>0.199999999953434</v>
      </c>
      <c r="O2602" s="22" t="str">
        <f ca="1" t="shared" si="204"/>
        <v>Within SLA</v>
      </c>
      <c r="P2602" s="26" t="s">
        <v>10088</v>
      </c>
      <c r="Q2602" s="24" t="s">
        <v>37</v>
      </c>
      <c r="R2602" s="25"/>
      <c r="S2602" s="25"/>
    </row>
    <row r="2603" ht="27" customHeight="1" spans="1:19">
      <c r="A2603" s="19" t="s">
        <v>10092</v>
      </c>
      <c r="B2603" s="20" t="s">
        <v>30</v>
      </c>
      <c r="C2603" s="20" t="s">
        <v>31</v>
      </c>
      <c r="D2603" s="20" t="s">
        <v>32</v>
      </c>
      <c r="E2603" s="21" t="s">
        <v>10093</v>
      </c>
      <c r="F2603" s="21" t="s">
        <v>8360</v>
      </c>
      <c r="G2603" s="20" t="s">
        <v>35</v>
      </c>
      <c r="H2603" s="20" t="s">
        <v>25</v>
      </c>
      <c r="I2603" s="21" t="s">
        <v>10094</v>
      </c>
      <c r="J2603" s="22">
        <f t="shared" si="200"/>
        <v>4.96666666666715</v>
      </c>
      <c r="K2603" s="22">
        <f t="shared" si="201"/>
        <v>119.200000000012</v>
      </c>
      <c r="L2603" s="22">
        <f t="shared" si="202"/>
        <v>39.2000000000116</v>
      </c>
      <c r="M2603" s="22" cm="1">
        <f ca="1" t="array" ref="M2603">SUMPRODUCT(--(WEEKDAY(ROW(INDIRECT(INT(F2603)&amp;":"&amp;INT(I2603))),2)&gt;5))</f>
        <v>2</v>
      </c>
      <c r="N2603" s="22">
        <f ca="1" t="shared" si="203"/>
        <v>23.2000000000116</v>
      </c>
      <c r="O2603" s="22" t="str">
        <f ca="1" t="shared" si="204"/>
        <v>SLA Violated</v>
      </c>
      <c r="P2603" s="26" t="s">
        <v>10092</v>
      </c>
      <c r="Q2603" s="24" t="s">
        <v>28</v>
      </c>
      <c r="R2603" s="25"/>
      <c r="S2603" s="25"/>
    </row>
    <row r="2604" ht="39" customHeight="1" spans="1:19">
      <c r="A2604" s="19" t="s">
        <v>10095</v>
      </c>
      <c r="B2604" s="20" t="s">
        <v>19</v>
      </c>
      <c r="C2604" s="20" t="s">
        <v>20</v>
      </c>
      <c r="D2604" s="20" t="s">
        <v>32</v>
      </c>
      <c r="E2604" s="21" t="s">
        <v>10072</v>
      </c>
      <c r="F2604" s="21" t="s">
        <v>10096</v>
      </c>
      <c r="G2604" s="20" t="s">
        <v>35</v>
      </c>
      <c r="H2604" s="20" t="s">
        <v>25</v>
      </c>
      <c r="I2604" s="21" t="s">
        <v>10097</v>
      </c>
      <c r="J2604" s="22">
        <f t="shared" si="200"/>
        <v>11.1229166666672</v>
      </c>
      <c r="K2604" s="22">
        <f t="shared" si="201"/>
        <v>266.950000000012</v>
      </c>
      <c r="L2604" s="22">
        <f t="shared" si="202"/>
        <v>90.9500000000116</v>
      </c>
      <c r="M2604" s="22" cm="1">
        <f ca="1" t="array" ref="M2604">SUMPRODUCT(--(WEEKDAY(ROW(INDIRECT(INT(F2604)&amp;":"&amp;INT(I2604))),2)&gt;5))</f>
        <v>4</v>
      </c>
      <c r="N2604" s="22">
        <f ca="1" t="shared" si="203"/>
        <v>58.9500000000116</v>
      </c>
      <c r="O2604" s="22" t="str">
        <f ca="1" t="shared" si="204"/>
        <v>SLA Violated</v>
      </c>
      <c r="P2604" s="23" t="s">
        <v>10098</v>
      </c>
      <c r="Q2604" s="24" t="s">
        <v>37</v>
      </c>
      <c r="R2604" s="25" t="s">
        <v>38</v>
      </c>
      <c r="S2604" s="25" t="s">
        <v>39</v>
      </c>
    </row>
    <row r="2605" ht="27" customHeight="1" spans="1:19">
      <c r="A2605" s="19" t="s">
        <v>10099</v>
      </c>
      <c r="B2605" s="20" t="s">
        <v>30</v>
      </c>
      <c r="C2605" s="20" t="s">
        <v>31</v>
      </c>
      <c r="D2605" s="20" t="s">
        <v>32</v>
      </c>
      <c r="E2605" s="21" t="s">
        <v>10100</v>
      </c>
      <c r="F2605" s="21" t="s">
        <v>10101</v>
      </c>
      <c r="G2605" s="20" t="s">
        <v>35</v>
      </c>
      <c r="H2605" s="20" t="s">
        <v>25</v>
      </c>
      <c r="I2605" s="21" t="s">
        <v>10102</v>
      </c>
      <c r="J2605" s="22">
        <f t="shared" si="200"/>
        <v>0.979861111110949</v>
      </c>
      <c r="K2605" s="22">
        <f t="shared" si="201"/>
        <v>23.5166666666628</v>
      </c>
      <c r="L2605" s="22">
        <f t="shared" si="202"/>
        <v>7.51666666666279</v>
      </c>
      <c r="M2605" s="22" cm="1">
        <f ca="1" t="array" ref="M2605">SUMPRODUCT(--(WEEKDAY(ROW(INDIRECT(INT(F2605)&amp;":"&amp;INT(I2605))),2)&gt;5))</f>
        <v>1</v>
      </c>
      <c r="N2605" s="22">
        <f ca="1" t="shared" si="203"/>
        <v>0</v>
      </c>
      <c r="O2605" s="22" t="str">
        <f ca="1" t="shared" si="204"/>
        <v>Within SLA</v>
      </c>
      <c r="P2605" s="26" t="s">
        <v>10099</v>
      </c>
      <c r="Q2605" s="24" t="s">
        <v>37</v>
      </c>
      <c r="R2605" s="25"/>
      <c r="S2605" s="25"/>
    </row>
    <row r="2606" ht="27" customHeight="1" spans="1:19">
      <c r="A2606" s="19" t="s">
        <v>10103</v>
      </c>
      <c r="B2606" s="20" t="s">
        <v>30</v>
      </c>
      <c r="C2606" s="20" t="s">
        <v>31</v>
      </c>
      <c r="D2606" s="20" t="s">
        <v>115</v>
      </c>
      <c r="E2606" s="21" t="s">
        <v>10104</v>
      </c>
      <c r="F2606" s="21" t="s">
        <v>10105</v>
      </c>
      <c r="G2606" s="20" t="s">
        <v>35</v>
      </c>
      <c r="H2606" s="20" t="s">
        <v>25</v>
      </c>
      <c r="I2606" s="21" t="s">
        <v>10106</v>
      </c>
      <c r="J2606" s="22">
        <f t="shared" si="200"/>
        <v>9.87152777778101</v>
      </c>
      <c r="K2606" s="22">
        <f t="shared" si="201"/>
        <v>236.916666666744</v>
      </c>
      <c r="L2606" s="22">
        <f t="shared" si="202"/>
        <v>76.9166666667443</v>
      </c>
      <c r="M2606" s="22" cm="1">
        <f ca="1" t="array" ref="M2606">SUMPRODUCT(--(WEEKDAY(ROW(INDIRECT(INT(F2606)&amp;":"&amp;INT(I2606))),2)&gt;5))</f>
        <v>4</v>
      </c>
      <c r="N2606" s="22">
        <f ca="1" t="shared" si="203"/>
        <v>44.9166666667443</v>
      </c>
      <c r="O2606" s="22" t="str">
        <f ca="1" t="shared" si="204"/>
        <v>SLA Violated</v>
      </c>
      <c r="P2606" s="23" t="s">
        <v>10107</v>
      </c>
      <c r="Q2606" s="24" t="s">
        <v>28</v>
      </c>
      <c r="R2606" s="25"/>
      <c r="S2606" s="25"/>
    </row>
    <row r="2607" ht="39" customHeight="1" spans="1:19">
      <c r="A2607" s="19" t="s">
        <v>10108</v>
      </c>
      <c r="B2607" s="20" t="s">
        <v>196</v>
      </c>
      <c r="C2607" s="20" t="s">
        <v>46</v>
      </c>
      <c r="D2607" s="20" t="s">
        <v>21</v>
      </c>
      <c r="E2607" s="21" t="s">
        <v>10109</v>
      </c>
      <c r="F2607" s="21" t="s">
        <v>10110</v>
      </c>
      <c r="G2607" s="20" t="s">
        <v>35</v>
      </c>
      <c r="H2607" s="20" t="s">
        <v>25</v>
      </c>
      <c r="I2607" s="21" t="s">
        <v>10111</v>
      </c>
      <c r="J2607" s="22">
        <f t="shared" si="200"/>
        <v>0.258333333331393</v>
      </c>
      <c r="K2607" s="22">
        <f t="shared" si="201"/>
        <v>6.19999999995343</v>
      </c>
      <c r="L2607" s="22">
        <f t="shared" si="202"/>
        <v>6.19999999995343</v>
      </c>
      <c r="M2607" s="22" cm="1">
        <f ca="1" t="array" ref="M2607">SUMPRODUCT(--(WEEKDAY(ROW(INDIRECT(INT(F2607)&amp;":"&amp;INT(I2607))),2)&gt;5))</f>
        <v>0</v>
      </c>
      <c r="N2607" s="22">
        <f ca="1" t="shared" si="203"/>
        <v>6.19999999995343</v>
      </c>
      <c r="O2607" s="22" t="str">
        <f ca="1" t="shared" si="204"/>
        <v>SLA Violated</v>
      </c>
      <c r="P2607" s="23" t="s">
        <v>10112</v>
      </c>
      <c r="Q2607" s="24" t="s">
        <v>37</v>
      </c>
      <c r="R2607" s="29" t="s">
        <v>10113</v>
      </c>
      <c r="S2607" s="25" t="s">
        <v>39</v>
      </c>
    </row>
    <row r="2608" ht="27" customHeight="1" spans="1:19">
      <c r="A2608" s="19" t="s">
        <v>10114</v>
      </c>
      <c r="B2608" s="20" t="s">
        <v>30</v>
      </c>
      <c r="C2608" s="20" t="s">
        <v>31</v>
      </c>
      <c r="D2608" s="20" t="s">
        <v>32</v>
      </c>
      <c r="E2608" s="21" t="s">
        <v>10115</v>
      </c>
      <c r="F2608" s="21" t="s">
        <v>9517</v>
      </c>
      <c r="G2608" s="20" t="s">
        <v>35</v>
      </c>
      <c r="H2608" s="20" t="s">
        <v>25</v>
      </c>
      <c r="I2608" s="21" t="s">
        <v>10116</v>
      </c>
      <c r="J2608" s="22">
        <f t="shared" si="200"/>
        <v>9.96597222222772</v>
      </c>
      <c r="K2608" s="22">
        <f t="shared" si="201"/>
        <v>239.183333333465</v>
      </c>
      <c r="L2608" s="22">
        <f t="shared" si="202"/>
        <v>79.1833333334653</v>
      </c>
      <c r="M2608" s="22" cm="1">
        <f ca="1" t="array" ref="M2608">SUMPRODUCT(--(WEEKDAY(ROW(INDIRECT(INT(F2608)&amp;":"&amp;INT(I2608))),2)&gt;5))</f>
        <v>4</v>
      </c>
      <c r="N2608" s="22">
        <f ca="1" t="shared" si="203"/>
        <v>47.1833333334653</v>
      </c>
      <c r="O2608" s="22" t="str">
        <f ca="1" t="shared" si="204"/>
        <v>SLA Violated</v>
      </c>
      <c r="P2608" s="26" t="s">
        <v>10114</v>
      </c>
      <c r="Q2608" s="24" t="s">
        <v>28</v>
      </c>
      <c r="R2608" s="25"/>
      <c r="S2608" s="25"/>
    </row>
    <row r="2609" ht="16" customHeight="1" spans="1:19">
      <c r="A2609" s="19" t="s">
        <v>10117</v>
      </c>
      <c r="B2609" s="20" t="s">
        <v>100</v>
      </c>
      <c r="C2609" s="20" t="s">
        <v>101</v>
      </c>
      <c r="D2609" s="20" t="s">
        <v>21</v>
      </c>
      <c r="E2609" s="21" t="s">
        <v>10118</v>
      </c>
      <c r="F2609" s="21" t="s">
        <v>10119</v>
      </c>
      <c r="G2609" s="20" t="s">
        <v>35</v>
      </c>
      <c r="H2609" s="20" t="s">
        <v>25</v>
      </c>
      <c r="I2609" s="21" t="s">
        <v>10120</v>
      </c>
      <c r="J2609" s="22">
        <f t="shared" si="200"/>
        <v>27.9923611111153</v>
      </c>
      <c r="K2609" s="22">
        <f t="shared" si="201"/>
        <v>671.816666666768</v>
      </c>
      <c r="L2609" s="22">
        <f t="shared" si="202"/>
        <v>223.816666666768</v>
      </c>
      <c r="M2609" s="22" cm="1">
        <f ca="1" t="array" ref="M2609">SUMPRODUCT(--(WEEKDAY(ROW(INDIRECT(INT(F2609)&amp;":"&amp;INT(I2609))),2)&gt;5))</f>
        <v>8</v>
      </c>
      <c r="N2609" s="22">
        <f ca="1" t="shared" si="203"/>
        <v>159.816666666768</v>
      </c>
      <c r="O2609" s="22" t="str">
        <f ca="1" t="shared" si="204"/>
        <v>SLA Violated</v>
      </c>
      <c r="P2609" s="23" t="s">
        <v>10121</v>
      </c>
      <c r="Q2609" s="24" t="s">
        <v>37</v>
      </c>
      <c r="R2609" s="25"/>
      <c r="S2609" s="25" t="s">
        <v>236</v>
      </c>
    </row>
    <row r="2610" ht="27" customHeight="1" spans="1:19">
      <c r="A2610" s="19" t="s">
        <v>10122</v>
      </c>
      <c r="B2610" s="20" t="s">
        <v>30</v>
      </c>
      <c r="C2610" s="20" t="s">
        <v>2057</v>
      </c>
      <c r="D2610" s="20" t="s">
        <v>32</v>
      </c>
      <c r="E2610" s="21" t="s">
        <v>10120</v>
      </c>
      <c r="F2610" s="21" t="s">
        <v>10123</v>
      </c>
      <c r="G2610" s="20" t="s">
        <v>35</v>
      </c>
      <c r="H2610" s="20" t="s">
        <v>25</v>
      </c>
      <c r="I2610" s="21" t="s">
        <v>10124</v>
      </c>
      <c r="J2610" s="22">
        <f t="shared" si="200"/>
        <v>0.749305555553292</v>
      </c>
      <c r="K2610" s="22">
        <f t="shared" si="201"/>
        <v>17.983333333279</v>
      </c>
      <c r="L2610" s="22">
        <f t="shared" si="202"/>
        <v>1.98333333327901</v>
      </c>
      <c r="M2610" s="22" cm="1">
        <f ca="1" t="array" ref="M2610">SUMPRODUCT(--(WEEKDAY(ROW(INDIRECT(INT(F2610)&amp;":"&amp;INT(I2610))),2)&gt;5))</f>
        <v>1</v>
      </c>
      <c r="N2610" s="22">
        <f ca="1" t="shared" si="203"/>
        <v>0</v>
      </c>
      <c r="O2610" s="22" t="str">
        <f ca="1" t="shared" si="204"/>
        <v>Within SLA</v>
      </c>
      <c r="P2610" s="26" t="s">
        <v>10122</v>
      </c>
      <c r="Q2610" s="24" t="s">
        <v>37</v>
      </c>
      <c r="R2610" s="25"/>
      <c r="S2610" s="25"/>
    </row>
    <row r="2611" ht="27" customHeight="1" spans="1:19">
      <c r="A2611" s="19" t="s">
        <v>10125</v>
      </c>
      <c r="B2611" s="20" t="s">
        <v>30</v>
      </c>
      <c r="C2611" s="20" t="s">
        <v>31</v>
      </c>
      <c r="D2611" s="20" t="s">
        <v>32</v>
      </c>
      <c r="E2611" s="21" t="s">
        <v>10126</v>
      </c>
      <c r="F2611" s="21" t="s">
        <v>10127</v>
      </c>
      <c r="G2611" s="20" t="s">
        <v>35</v>
      </c>
      <c r="H2611" s="20" t="s">
        <v>25</v>
      </c>
      <c r="I2611" s="21" t="s">
        <v>10128</v>
      </c>
      <c r="J2611" s="22">
        <f t="shared" si="200"/>
        <v>2.98541666666279</v>
      </c>
      <c r="K2611" s="22">
        <f t="shared" si="201"/>
        <v>71.6499999999069</v>
      </c>
      <c r="L2611" s="22">
        <f t="shared" si="202"/>
        <v>23.6499999999069</v>
      </c>
      <c r="M2611" s="22" cm="1">
        <f ca="1" t="array" ref="M2611">SUMPRODUCT(--(WEEKDAY(ROW(INDIRECT(INT(F2611)&amp;":"&amp;INT(I2611))),2)&gt;5))</f>
        <v>2</v>
      </c>
      <c r="N2611" s="22">
        <f ca="1" t="shared" si="203"/>
        <v>7.6499999999069</v>
      </c>
      <c r="O2611" s="22" t="str">
        <f ca="1" t="shared" si="204"/>
        <v>Within SLA</v>
      </c>
      <c r="P2611" s="26" t="s">
        <v>10125</v>
      </c>
      <c r="Q2611" s="24" t="s">
        <v>37</v>
      </c>
      <c r="R2611" s="25"/>
      <c r="S2611" s="25"/>
    </row>
    <row r="2612" ht="27" customHeight="1" spans="1:19">
      <c r="A2612" s="19" t="s">
        <v>10129</v>
      </c>
      <c r="B2612" s="20" t="s">
        <v>30</v>
      </c>
      <c r="C2612" s="20" t="s">
        <v>2057</v>
      </c>
      <c r="D2612" s="20" t="s">
        <v>32</v>
      </c>
      <c r="E2612" s="21" t="s">
        <v>10130</v>
      </c>
      <c r="F2612" s="21" t="s">
        <v>10131</v>
      </c>
      <c r="G2612" s="20" t="s">
        <v>35</v>
      </c>
      <c r="H2612" s="20" t="s">
        <v>25</v>
      </c>
      <c r="I2612" s="21" t="s">
        <v>10132</v>
      </c>
      <c r="J2612" s="22">
        <f t="shared" si="200"/>
        <v>0.723611111112405</v>
      </c>
      <c r="K2612" s="22">
        <f t="shared" si="201"/>
        <v>17.3666666666977</v>
      </c>
      <c r="L2612" s="22">
        <f t="shared" si="202"/>
        <v>1.36666666669771</v>
      </c>
      <c r="M2612" s="22" cm="1">
        <f ca="1" t="array" ref="M2612">SUMPRODUCT(--(WEEKDAY(ROW(INDIRECT(INT(F2612)&amp;":"&amp;INT(I2612))),2)&gt;5))</f>
        <v>1</v>
      </c>
      <c r="N2612" s="22">
        <f ca="1" t="shared" si="203"/>
        <v>0</v>
      </c>
      <c r="O2612" s="22" t="str">
        <f ca="1" t="shared" si="204"/>
        <v>Within SLA</v>
      </c>
      <c r="P2612" s="26" t="s">
        <v>10129</v>
      </c>
      <c r="Q2612" s="24" t="s">
        <v>37</v>
      </c>
      <c r="R2612" s="25"/>
      <c r="S2612" s="25"/>
    </row>
    <row r="2613" ht="39" customHeight="1" spans="1:19">
      <c r="A2613" s="19" t="s">
        <v>10133</v>
      </c>
      <c r="B2613" s="20" t="s">
        <v>19</v>
      </c>
      <c r="C2613" s="20" t="s">
        <v>20</v>
      </c>
      <c r="D2613" s="20" t="s">
        <v>32</v>
      </c>
      <c r="E2613" s="21" t="s">
        <v>7732</v>
      </c>
      <c r="F2613" s="21" t="s">
        <v>10134</v>
      </c>
      <c r="G2613" s="20" t="s">
        <v>35</v>
      </c>
      <c r="H2613" s="20" t="s">
        <v>25</v>
      </c>
      <c r="I2613" s="21" t="s">
        <v>10135</v>
      </c>
      <c r="J2613" s="22">
        <f t="shared" si="200"/>
        <v>2.7451388888876</v>
      </c>
      <c r="K2613" s="22">
        <f t="shared" si="201"/>
        <v>65.8833333333023</v>
      </c>
      <c r="L2613" s="22">
        <f t="shared" si="202"/>
        <v>17.8833333333023</v>
      </c>
      <c r="M2613" s="22" cm="1">
        <f ca="1" t="array" ref="M2613">SUMPRODUCT(--(WEEKDAY(ROW(INDIRECT(INT(F2613)&amp;":"&amp;INT(I2613))),2)&gt;5))</f>
        <v>2</v>
      </c>
      <c r="N2613" s="22">
        <f ca="1" t="shared" si="203"/>
        <v>1.8833333333023</v>
      </c>
      <c r="O2613" s="22" t="str">
        <f ca="1" t="shared" si="204"/>
        <v>Within SLA</v>
      </c>
      <c r="P2613" s="26" t="s">
        <v>10133</v>
      </c>
      <c r="Q2613" s="24" t="s">
        <v>37</v>
      </c>
      <c r="R2613" s="25"/>
      <c r="S2613" s="25"/>
    </row>
    <row r="2614" ht="39" customHeight="1" spans="1:19">
      <c r="A2614" s="19" t="s">
        <v>10136</v>
      </c>
      <c r="B2614" s="20" t="s">
        <v>196</v>
      </c>
      <c r="C2614" s="20" t="s">
        <v>46</v>
      </c>
      <c r="D2614" s="20" t="s">
        <v>21</v>
      </c>
      <c r="E2614" s="21" t="s">
        <v>7732</v>
      </c>
      <c r="F2614" s="21" t="s">
        <v>10137</v>
      </c>
      <c r="G2614" s="20" t="s">
        <v>35</v>
      </c>
      <c r="H2614" s="20" t="s">
        <v>25</v>
      </c>
      <c r="I2614" s="21" t="s">
        <v>10138</v>
      </c>
      <c r="J2614" s="22">
        <f t="shared" si="200"/>
        <v>2.85347222222481</v>
      </c>
      <c r="K2614" s="22">
        <f t="shared" si="201"/>
        <v>68.4833333333954</v>
      </c>
      <c r="L2614" s="22">
        <f t="shared" si="202"/>
        <v>20.4833333333954</v>
      </c>
      <c r="M2614" s="22" cm="1">
        <f ca="1" t="array" ref="M2614">SUMPRODUCT(--(WEEKDAY(ROW(INDIRECT(INT(F2614)&amp;":"&amp;INT(I2614))),2)&gt;5))</f>
        <v>2</v>
      </c>
      <c r="N2614" s="22">
        <f ca="1" t="shared" si="203"/>
        <v>4.4833333333954</v>
      </c>
      <c r="O2614" s="22" t="str">
        <f ca="1" t="shared" si="204"/>
        <v>SLA Violated</v>
      </c>
      <c r="P2614" s="23" t="s">
        <v>10139</v>
      </c>
      <c r="Q2614" s="24" t="s">
        <v>37</v>
      </c>
      <c r="R2614" s="25" t="s">
        <v>618</v>
      </c>
      <c r="S2614" s="25" t="s">
        <v>39</v>
      </c>
    </row>
    <row r="2615" ht="27" customHeight="1" spans="1:19">
      <c r="A2615" s="19" t="s">
        <v>10140</v>
      </c>
      <c r="B2615" s="20" t="s">
        <v>30</v>
      </c>
      <c r="C2615" s="20" t="s">
        <v>31</v>
      </c>
      <c r="D2615" s="20" t="s">
        <v>32</v>
      </c>
      <c r="E2615" s="21" t="s">
        <v>10141</v>
      </c>
      <c r="F2615" s="21" t="s">
        <v>10142</v>
      </c>
      <c r="G2615" s="20" t="s">
        <v>35</v>
      </c>
      <c r="H2615" s="20" t="s">
        <v>25</v>
      </c>
      <c r="I2615" s="21" t="s">
        <v>10143</v>
      </c>
      <c r="J2615" s="22">
        <f t="shared" si="200"/>
        <v>3.86249999999563</v>
      </c>
      <c r="K2615" s="22">
        <f t="shared" si="201"/>
        <v>92.6999999998952</v>
      </c>
      <c r="L2615" s="22">
        <f t="shared" si="202"/>
        <v>28.6999999998952</v>
      </c>
      <c r="M2615" s="22" cm="1">
        <f ca="1" t="array" ref="M2615">SUMPRODUCT(--(WEEKDAY(ROW(INDIRECT(INT(F2615)&amp;":"&amp;INT(I2615))),2)&gt;5))</f>
        <v>2</v>
      </c>
      <c r="N2615" s="22">
        <f ca="1" t="shared" si="203"/>
        <v>12.6999999998952</v>
      </c>
      <c r="O2615" s="22" t="str">
        <f ca="1" t="shared" si="204"/>
        <v>SLA Violated</v>
      </c>
      <c r="P2615" s="26" t="s">
        <v>10140</v>
      </c>
      <c r="Q2615" s="24" t="s">
        <v>28</v>
      </c>
      <c r="R2615" s="25"/>
      <c r="S2615" s="25"/>
    </row>
    <row r="2616" ht="27" customHeight="1" spans="1:19">
      <c r="A2616" s="19" t="s">
        <v>10144</v>
      </c>
      <c r="B2616" s="20" t="s">
        <v>30</v>
      </c>
      <c r="C2616" s="20" t="s">
        <v>2057</v>
      </c>
      <c r="D2616" s="20" t="s">
        <v>32</v>
      </c>
      <c r="E2616" s="21" t="s">
        <v>10132</v>
      </c>
      <c r="F2616" s="21" t="s">
        <v>10123</v>
      </c>
      <c r="G2616" s="20" t="s">
        <v>35</v>
      </c>
      <c r="H2616" s="20" t="s">
        <v>25</v>
      </c>
      <c r="I2616" s="21" t="s">
        <v>10145</v>
      </c>
      <c r="J2616" s="22">
        <f t="shared" si="200"/>
        <v>0.718055555553292</v>
      </c>
      <c r="K2616" s="22">
        <f t="shared" si="201"/>
        <v>17.233333333279</v>
      </c>
      <c r="L2616" s="22">
        <f t="shared" si="202"/>
        <v>1.23333333327901</v>
      </c>
      <c r="M2616" s="22" cm="1">
        <f ca="1" t="array" ref="M2616">SUMPRODUCT(--(WEEKDAY(ROW(INDIRECT(INT(F2616)&amp;":"&amp;INT(I2616))),2)&gt;5))</f>
        <v>1</v>
      </c>
      <c r="N2616" s="22">
        <f ca="1" t="shared" si="203"/>
        <v>0</v>
      </c>
      <c r="O2616" s="22" t="str">
        <f ca="1" t="shared" si="204"/>
        <v>Within SLA</v>
      </c>
      <c r="P2616" s="26" t="s">
        <v>10144</v>
      </c>
      <c r="Q2616" s="24" t="s">
        <v>37</v>
      </c>
      <c r="R2616" s="25"/>
      <c r="S2616" s="25"/>
    </row>
    <row r="2617" ht="27" customHeight="1" spans="1:19">
      <c r="A2617" s="19" t="s">
        <v>10146</v>
      </c>
      <c r="B2617" s="20" t="s">
        <v>30</v>
      </c>
      <c r="C2617" s="20" t="s">
        <v>2057</v>
      </c>
      <c r="D2617" s="20" t="s">
        <v>32</v>
      </c>
      <c r="E2617" s="21" t="s">
        <v>10147</v>
      </c>
      <c r="F2617" s="21" t="s">
        <v>10148</v>
      </c>
      <c r="G2617" s="20" t="s">
        <v>35</v>
      </c>
      <c r="H2617" s="20" t="s">
        <v>25</v>
      </c>
      <c r="I2617" s="21" t="s">
        <v>10149</v>
      </c>
      <c r="J2617" s="22">
        <f t="shared" si="200"/>
        <v>0.713888888887595</v>
      </c>
      <c r="K2617" s="22">
        <f t="shared" si="201"/>
        <v>17.1333333333023</v>
      </c>
      <c r="L2617" s="22">
        <f t="shared" si="202"/>
        <v>1.13333333330229</v>
      </c>
      <c r="M2617" s="22" cm="1">
        <f ca="1" t="array" ref="M2617">SUMPRODUCT(--(WEEKDAY(ROW(INDIRECT(INT(F2617)&amp;":"&amp;INT(I2617))),2)&gt;5))</f>
        <v>1</v>
      </c>
      <c r="N2617" s="22">
        <f ca="1" t="shared" si="203"/>
        <v>0</v>
      </c>
      <c r="O2617" s="22" t="str">
        <f ca="1" t="shared" si="204"/>
        <v>Within SLA</v>
      </c>
      <c r="P2617" s="26" t="s">
        <v>10146</v>
      </c>
      <c r="Q2617" s="24" t="s">
        <v>37</v>
      </c>
      <c r="R2617" s="25"/>
      <c r="S2617" s="25"/>
    </row>
    <row r="2618" ht="39" customHeight="1" spans="1:19">
      <c r="A2618" s="19" t="s">
        <v>10150</v>
      </c>
      <c r="B2618" s="20" t="s">
        <v>19</v>
      </c>
      <c r="C2618" s="20" t="s">
        <v>20</v>
      </c>
      <c r="D2618" s="20" t="s">
        <v>32</v>
      </c>
      <c r="E2618" s="21" t="s">
        <v>10151</v>
      </c>
      <c r="F2618" s="21" t="s">
        <v>10152</v>
      </c>
      <c r="G2618" s="20" t="s">
        <v>35</v>
      </c>
      <c r="H2618" s="20" t="s">
        <v>25</v>
      </c>
      <c r="I2618" s="21" t="s">
        <v>10153</v>
      </c>
      <c r="J2618" s="22">
        <f t="shared" si="200"/>
        <v>0.00555555555911269</v>
      </c>
      <c r="K2618" s="22">
        <f t="shared" si="201"/>
        <v>0.133333333418705</v>
      </c>
      <c r="L2618" s="22">
        <f t="shared" si="202"/>
        <v>0.133333333418705</v>
      </c>
      <c r="M2618" s="22" cm="1">
        <f ca="1" t="array" ref="M2618">SUMPRODUCT(--(WEEKDAY(ROW(INDIRECT(INT(F2618)&amp;":"&amp;INT(I2618))),2)&gt;5))</f>
        <v>0</v>
      </c>
      <c r="N2618" s="22">
        <f ca="1" t="shared" si="203"/>
        <v>0.133333333418705</v>
      </c>
      <c r="O2618" s="22" t="str">
        <f ca="1" t="shared" si="204"/>
        <v>Within SLA</v>
      </c>
      <c r="P2618" s="26" t="s">
        <v>10150</v>
      </c>
      <c r="Q2618" s="24" t="s">
        <v>37</v>
      </c>
      <c r="R2618" s="25"/>
      <c r="S2618" s="25"/>
    </row>
    <row r="2619" ht="27" customHeight="1" spans="1:19">
      <c r="A2619" s="19" t="s">
        <v>10154</v>
      </c>
      <c r="B2619" s="20" t="s">
        <v>30</v>
      </c>
      <c r="C2619" s="20" t="s">
        <v>31</v>
      </c>
      <c r="D2619" s="20" t="s">
        <v>32</v>
      </c>
      <c r="E2619" s="21" t="s">
        <v>10155</v>
      </c>
      <c r="F2619" s="21" t="s">
        <v>10156</v>
      </c>
      <c r="G2619" s="20" t="s">
        <v>35</v>
      </c>
      <c r="H2619" s="20" t="s">
        <v>25</v>
      </c>
      <c r="I2619" s="21" t="s">
        <v>10157</v>
      </c>
      <c r="J2619" s="22">
        <f t="shared" si="200"/>
        <v>2.0583333333343</v>
      </c>
      <c r="K2619" s="22">
        <f t="shared" si="201"/>
        <v>49.4000000000233</v>
      </c>
      <c r="L2619" s="22">
        <f t="shared" si="202"/>
        <v>17.4000000000233</v>
      </c>
      <c r="M2619" s="22" cm="1">
        <f ca="1" t="array" ref="M2619">SUMPRODUCT(--(WEEKDAY(ROW(INDIRECT(INT(F2619)&amp;":"&amp;INT(I2619))),2)&gt;5))</f>
        <v>0</v>
      </c>
      <c r="N2619" s="22">
        <f ca="1" t="shared" si="203"/>
        <v>17.4000000000233</v>
      </c>
      <c r="O2619" s="22" t="str">
        <f ca="1" t="shared" si="204"/>
        <v>SLA Violated</v>
      </c>
      <c r="P2619" s="26" t="s">
        <v>10154</v>
      </c>
      <c r="Q2619" s="24" t="s">
        <v>28</v>
      </c>
      <c r="R2619" s="25"/>
      <c r="S2619" s="25"/>
    </row>
    <row r="2620" ht="27" customHeight="1" spans="1:19">
      <c r="A2620" s="19" t="s">
        <v>10158</v>
      </c>
      <c r="B2620" s="20" t="s">
        <v>30</v>
      </c>
      <c r="C2620" s="20" t="s">
        <v>31</v>
      </c>
      <c r="D2620" s="20" t="s">
        <v>32</v>
      </c>
      <c r="E2620" s="21" t="s">
        <v>10159</v>
      </c>
      <c r="F2620" s="21" t="s">
        <v>10160</v>
      </c>
      <c r="G2620" s="20" t="s">
        <v>35</v>
      </c>
      <c r="H2620" s="20" t="s">
        <v>25</v>
      </c>
      <c r="I2620" s="21" t="s">
        <v>10161</v>
      </c>
      <c r="J2620" s="22">
        <f t="shared" si="200"/>
        <v>1.16180555555184</v>
      </c>
      <c r="K2620" s="22">
        <f t="shared" si="201"/>
        <v>27.8833333332441</v>
      </c>
      <c r="L2620" s="22">
        <f t="shared" si="202"/>
        <v>11.8833333332441</v>
      </c>
      <c r="M2620" s="22" cm="1">
        <f ca="1" t="array" ref="M2620">SUMPRODUCT(--(WEEKDAY(ROW(INDIRECT(INT(F2620)&amp;":"&amp;INT(I2620))),2)&gt;5))</f>
        <v>0</v>
      </c>
      <c r="N2620" s="22">
        <f ca="1" t="shared" si="203"/>
        <v>11.8833333332441</v>
      </c>
      <c r="O2620" s="22" t="str">
        <f ca="1" t="shared" si="204"/>
        <v>Within SLA</v>
      </c>
      <c r="P2620" s="26" t="s">
        <v>10158</v>
      </c>
      <c r="Q2620" s="24" t="s">
        <v>37</v>
      </c>
      <c r="R2620" s="25"/>
      <c r="S2620" s="25"/>
    </row>
    <row r="2621" ht="27" customHeight="1" spans="1:19">
      <c r="A2621" s="19" t="s">
        <v>10162</v>
      </c>
      <c r="B2621" s="20" t="s">
        <v>30</v>
      </c>
      <c r="C2621" s="20" t="s">
        <v>2057</v>
      </c>
      <c r="D2621" s="20" t="s">
        <v>32</v>
      </c>
      <c r="E2621" s="21" t="s">
        <v>10163</v>
      </c>
      <c r="F2621" s="21" t="s">
        <v>10164</v>
      </c>
      <c r="G2621" s="20" t="s">
        <v>35</v>
      </c>
      <c r="H2621" s="20" t="s">
        <v>25</v>
      </c>
      <c r="I2621" s="21" t="s">
        <v>10165</v>
      </c>
      <c r="J2621" s="22">
        <f t="shared" si="200"/>
        <v>0.326388888890506</v>
      </c>
      <c r="K2621" s="22">
        <f t="shared" si="201"/>
        <v>7.83333333337214</v>
      </c>
      <c r="L2621" s="22">
        <f t="shared" si="202"/>
        <v>7.83333333337214</v>
      </c>
      <c r="M2621" s="22" cm="1">
        <f ca="1" t="array" ref="M2621">SUMPRODUCT(--(WEEKDAY(ROW(INDIRECT(INT(F2621)&amp;":"&amp;INT(I2621))),2)&gt;5))</f>
        <v>0</v>
      </c>
      <c r="N2621" s="22">
        <f ca="1" t="shared" si="203"/>
        <v>7.83333333337214</v>
      </c>
      <c r="O2621" s="22" t="str">
        <f ca="1" t="shared" si="204"/>
        <v>Within SLA</v>
      </c>
      <c r="P2621" s="26" t="s">
        <v>10162</v>
      </c>
      <c r="Q2621" s="24" t="s">
        <v>37</v>
      </c>
      <c r="R2621" s="25"/>
      <c r="S2621" s="25"/>
    </row>
    <row r="2622" ht="27" customHeight="1" spans="1:19">
      <c r="A2622" s="19" t="s">
        <v>10166</v>
      </c>
      <c r="B2622" s="20" t="s">
        <v>30</v>
      </c>
      <c r="C2622" s="20" t="s">
        <v>31</v>
      </c>
      <c r="D2622" s="20" t="s">
        <v>32</v>
      </c>
      <c r="E2622" s="21" t="s">
        <v>8810</v>
      </c>
      <c r="F2622" s="21" t="s">
        <v>10167</v>
      </c>
      <c r="G2622" s="20" t="s">
        <v>35</v>
      </c>
      <c r="H2622" s="20" t="s">
        <v>25</v>
      </c>
      <c r="I2622" s="21" t="s">
        <v>10165</v>
      </c>
      <c r="J2622" s="22">
        <f t="shared" si="200"/>
        <v>2.2854166666657</v>
      </c>
      <c r="K2622" s="22">
        <f t="shared" si="201"/>
        <v>54.8499999999767</v>
      </c>
      <c r="L2622" s="22">
        <f t="shared" si="202"/>
        <v>22.8499999999767</v>
      </c>
      <c r="M2622" s="22" cm="1">
        <f ca="1" t="array" ref="M2622">SUMPRODUCT(--(WEEKDAY(ROW(INDIRECT(INT(F2622)&amp;":"&amp;INT(I2622))),2)&gt;5))</f>
        <v>0</v>
      </c>
      <c r="N2622" s="22">
        <f ca="1" t="shared" si="203"/>
        <v>22.8499999999767</v>
      </c>
      <c r="O2622" s="22" t="str">
        <f ca="1" t="shared" si="204"/>
        <v>SLA Violated</v>
      </c>
      <c r="P2622" s="26" t="s">
        <v>10166</v>
      </c>
      <c r="Q2622" s="24" t="s">
        <v>28</v>
      </c>
      <c r="R2622" s="25"/>
      <c r="S2622" s="25"/>
    </row>
    <row r="2623" ht="27" customHeight="1" spans="1:19">
      <c r="A2623" s="19" t="s">
        <v>10168</v>
      </c>
      <c r="B2623" s="20" t="s">
        <v>30</v>
      </c>
      <c r="C2623" s="20" t="s">
        <v>31</v>
      </c>
      <c r="D2623" s="20" t="s">
        <v>32</v>
      </c>
      <c r="E2623" s="21" t="s">
        <v>9798</v>
      </c>
      <c r="F2623" s="21" t="s">
        <v>10169</v>
      </c>
      <c r="G2623" s="20" t="s">
        <v>35</v>
      </c>
      <c r="H2623" s="20" t="s">
        <v>25</v>
      </c>
      <c r="I2623" s="21" t="s">
        <v>10169</v>
      </c>
      <c r="J2623" s="22">
        <f t="shared" si="200"/>
        <v>0</v>
      </c>
      <c r="K2623" s="22">
        <f t="shared" si="201"/>
        <v>0</v>
      </c>
      <c r="L2623" s="22">
        <f t="shared" si="202"/>
        <v>0</v>
      </c>
      <c r="M2623" s="22" cm="1">
        <f ca="1" t="array" ref="M2623">SUMPRODUCT(--(WEEKDAY(ROW(INDIRECT(INT(F2623)&amp;":"&amp;INT(I2623))),2)&gt;5))</f>
        <v>1</v>
      </c>
      <c r="N2623" s="22">
        <f ca="1" t="shared" si="203"/>
        <v>0</v>
      </c>
      <c r="O2623" s="22" t="str">
        <f ca="1" t="shared" si="204"/>
        <v>Within SLA</v>
      </c>
      <c r="P2623" s="26" t="s">
        <v>10168</v>
      </c>
      <c r="Q2623" s="24" t="s">
        <v>37</v>
      </c>
      <c r="R2623" s="25"/>
      <c r="S2623" s="25"/>
    </row>
    <row r="2624" ht="27" customHeight="1" spans="1:19">
      <c r="A2624" s="19" t="s">
        <v>10170</v>
      </c>
      <c r="B2624" s="20" t="s">
        <v>139</v>
      </c>
      <c r="C2624" s="20" t="s">
        <v>2057</v>
      </c>
      <c r="D2624" s="20" t="s">
        <v>32</v>
      </c>
      <c r="E2624" s="21" t="s">
        <v>10171</v>
      </c>
      <c r="F2624" s="21" t="s">
        <v>10172</v>
      </c>
      <c r="G2624" s="20" t="s">
        <v>35</v>
      </c>
      <c r="H2624" s="20" t="s">
        <v>25</v>
      </c>
      <c r="I2624" s="21" t="s">
        <v>10173</v>
      </c>
      <c r="J2624" s="22">
        <f t="shared" si="200"/>
        <v>8.28333333333285</v>
      </c>
      <c r="K2624" s="22">
        <f t="shared" si="201"/>
        <v>198.799999999988</v>
      </c>
      <c r="L2624" s="22">
        <f t="shared" si="202"/>
        <v>70.7999999999884</v>
      </c>
      <c r="M2624" s="22" cm="1">
        <f ca="1" t="array" ref="M2624">SUMPRODUCT(--(WEEKDAY(ROW(INDIRECT(INT(F2624)&amp;":"&amp;INT(I2624))),2)&gt;5))</f>
        <v>2</v>
      </c>
      <c r="N2624" s="22">
        <f ca="1" t="shared" si="203"/>
        <v>54.7999999999884</v>
      </c>
      <c r="O2624" s="22" t="str">
        <f ca="1" t="shared" si="204"/>
        <v>SLA Violated</v>
      </c>
      <c r="P2624" s="23" t="s">
        <v>10174</v>
      </c>
      <c r="Q2624" s="24" t="s">
        <v>28</v>
      </c>
      <c r="R2624" s="25"/>
      <c r="S2624" s="25"/>
    </row>
    <row r="2625" ht="27" customHeight="1" spans="1:19">
      <c r="A2625" s="19" t="s">
        <v>10175</v>
      </c>
      <c r="B2625" s="20" t="s">
        <v>30</v>
      </c>
      <c r="C2625" s="20" t="s">
        <v>31</v>
      </c>
      <c r="D2625" s="20" t="s">
        <v>105</v>
      </c>
      <c r="E2625" s="21" t="s">
        <v>10176</v>
      </c>
      <c r="F2625" s="21" t="s">
        <v>9478</v>
      </c>
      <c r="G2625" s="20" t="s">
        <v>35</v>
      </c>
      <c r="H2625" s="20" t="s">
        <v>25</v>
      </c>
      <c r="I2625" s="21" t="s">
        <v>10177</v>
      </c>
      <c r="J2625" s="22">
        <f t="shared" si="200"/>
        <v>7.05902777778101</v>
      </c>
      <c r="K2625" s="22">
        <f t="shared" si="201"/>
        <v>169.416666666744</v>
      </c>
      <c r="L2625" s="22">
        <f t="shared" si="202"/>
        <v>57.4166666667443</v>
      </c>
      <c r="M2625" s="22" cm="1">
        <f ca="1" t="array" ref="M2625">SUMPRODUCT(--(WEEKDAY(ROW(INDIRECT(INT(F2625)&amp;":"&amp;INT(I2625))),2)&gt;5))</f>
        <v>2</v>
      </c>
      <c r="N2625" s="22">
        <f ca="1" t="shared" si="203"/>
        <v>41.4166666667443</v>
      </c>
      <c r="O2625" s="22" t="str">
        <f ca="1" t="shared" si="204"/>
        <v>SLA Violated</v>
      </c>
      <c r="P2625" s="23" t="s">
        <v>10178</v>
      </c>
      <c r="Q2625" s="24" t="s">
        <v>28</v>
      </c>
      <c r="R2625" s="25"/>
      <c r="S2625" s="25"/>
    </row>
    <row r="2626" ht="27" customHeight="1" spans="1:19">
      <c r="A2626" s="19" t="s">
        <v>10179</v>
      </c>
      <c r="B2626" s="20" t="s">
        <v>30</v>
      </c>
      <c r="C2626" s="20" t="s">
        <v>2057</v>
      </c>
      <c r="D2626" s="20" t="s">
        <v>32</v>
      </c>
      <c r="E2626" s="21" t="s">
        <v>10180</v>
      </c>
      <c r="F2626" s="21" t="s">
        <v>10181</v>
      </c>
      <c r="G2626" s="20" t="s">
        <v>35</v>
      </c>
      <c r="H2626" s="20" t="s">
        <v>25</v>
      </c>
      <c r="I2626" s="21" t="s">
        <v>10182</v>
      </c>
      <c r="J2626" s="22">
        <f t="shared" si="200"/>
        <v>2.23749999999563</v>
      </c>
      <c r="K2626" s="22">
        <f t="shared" si="201"/>
        <v>53.6999999998952</v>
      </c>
      <c r="L2626" s="22">
        <f t="shared" si="202"/>
        <v>21.6999999998952</v>
      </c>
      <c r="M2626" s="22" cm="1">
        <f ca="1" t="array" ref="M2626">SUMPRODUCT(--(WEEKDAY(ROW(INDIRECT(INT(F2626)&amp;":"&amp;INT(I2626))),2)&gt;5))</f>
        <v>0</v>
      </c>
      <c r="N2626" s="22">
        <f ca="1" t="shared" si="203"/>
        <v>21.6999999998952</v>
      </c>
      <c r="O2626" s="22" t="str">
        <f ca="1" t="shared" si="204"/>
        <v>SLA Violated</v>
      </c>
      <c r="P2626" s="23" t="s">
        <v>10183</v>
      </c>
      <c r="Q2626" s="24" t="s">
        <v>28</v>
      </c>
      <c r="R2626" s="25"/>
      <c r="S2626" s="25"/>
    </row>
    <row r="2627" ht="27" customHeight="1" spans="1:19">
      <c r="A2627" s="19" t="s">
        <v>10184</v>
      </c>
      <c r="B2627" s="20" t="s">
        <v>30</v>
      </c>
      <c r="C2627" s="20" t="s">
        <v>31</v>
      </c>
      <c r="D2627" s="20" t="s">
        <v>32</v>
      </c>
      <c r="E2627" s="21" t="s">
        <v>10185</v>
      </c>
      <c r="F2627" s="21" t="s">
        <v>10186</v>
      </c>
      <c r="G2627" s="20" t="s">
        <v>35</v>
      </c>
      <c r="H2627" s="20" t="s">
        <v>25</v>
      </c>
      <c r="I2627" s="21" t="s">
        <v>10161</v>
      </c>
      <c r="J2627" s="22">
        <f t="shared" ref="J2627:J2690" si="205">F2627-I2627</f>
        <v>0.212499999994179</v>
      </c>
      <c r="K2627" s="22">
        <f t="shared" ref="K2627:K2690" si="206">J2627*24</f>
        <v>5.0999999998603</v>
      </c>
      <c r="L2627" s="22">
        <f t="shared" ref="L2627:L2690" si="207">IF(_xlfn.DAYS(F2627,I2627)&gt;0,K2627-IF(FLOOR(J2627,1)=0,1,_xlfn.DAYS(F2627,I2627))*16,K2627)</f>
        <v>5.0999999998603</v>
      </c>
      <c r="M2627" s="22" cm="1">
        <f ca="1" t="array" ref="M2627">SUMPRODUCT(--(WEEKDAY(ROW(INDIRECT(INT(F2627)&amp;":"&amp;INT(I2627))),2)&gt;5))</f>
        <v>0</v>
      </c>
      <c r="N2627" s="22">
        <f ca="1" t="shared" ref="N2627:N2690" si="208">IF(IF(M2627&gt;0,L2627-M2627*8,L2627)&lt;0,0,IF(M2627&gt;0,L2627-M2627*8,L2627))</f>
        <v>5.0999999998603</v>
      </c>
      <c r="O2627" s="22" t="str">
        <f ca="1" t="shared" ref="O2627:O2690" si="209">IF(OR(AND(D2627="P1",N2627&lt;=3),AND(D2627="P2",N2627&lt;=6),AND(D2627="P3",N2627&lt;=9),AND(D2627="P4",N2627&lt;=12)),"Within SLA","SLA Violated")</f>
        <v>Within SLA</v>
      </c>
      <c r="P2627" s="26" t="s">
        <v>10184</v>
      </c>
      <c r="Q2627" s="24" t="s">
        <v>37</v>
      </c>
      <c r="R2627" s="25"/>
      <c r="S2627" s="25"/>
    </row>
    <row r="2628" ht="39" customHeight="1" spans="1:19">
      <c r="A2628" s="19" t="s">
        <v>10187</v>
      </c>
      <c r="B2628" s="20" t="s">
        <v>19</v>
      </c>
      <c r="C2628" s="20" t="s">
        <v>20</v>
      </c>
      <c r="D2628" s="20" t="s">
        <v>32</v>
      </c>
      <c r="E2628" s="21" t="s">
        <v>10188</v>
      </c>
      <c r="F2628" s="21" t="s">
        <v>10189</v>
      </c>
      <c r="G2628" s="20" t="s">
        <v>35</v>
      </c>
      <c r="H2628" s="20" t="s">
        <v>25</v>
      </c>
      <c r="I2628" s="21" t="s">
        <v>10190</v>
      </c>
      <c r="J2628" s="22">
        <f t="shared" si="205"/>
        <v>0.0124999999970896</v>
      </c>
      <c r="K2628" s="22">
        <f t="shared" si="206"/>
        <v>0.299999999930151</v>
      </c>
      <c r="L2628" s="22">
        <f t="shared" si="207"/>
        <v>0.299999999930151</v>
      </c>
      <c r="M2628" s="22" cm="1">
        <f ca="1" t="array" ref="M2628">SUMPRODUCT(--(WEEKDAY(ROW(INDIRECT(INT(F2628)&amp;":"&amp;INT(I2628))),2)&gt;5))</f>
        <v>0</v>
      </c>
      <c r="N2628" s="22">
        <f ca="1" t="shared" si="208"/>
        <v>0.299999999930151</v>
      </c>
      <c r="O2628" s="22" t="str">
        <f ca="1" t="shared" si="209"/>
        <v>Within SLA</v>
      </c>
      <c r="P2628" s="26" t="s">
        <v>10187</v>
      </c>
      <c r="Q2628" s="24" t="s">
        <v>37</v>
      </c>
      <c r="R2628" s="25"/>
      <c r="S2628" s="25"/>
    </row>
    <row r="2629" ht="39" customHeight="1" spans="1:19">
      <c r="A2629" s="19" t="s">
        <v>10191</v>
      </c>
      <c r="B2629" s="20" t="s">
        <v>19</v>
      </c>
      <c r="C2629" s="20" t="s">
        <v>20</v>
      </c>
      <c r="D2629" s="20" t="s">
        <v>32</v>
      </c>
      <c r="E2629" s="21" t="s">
        <v>10192</v>
      </c>
      <c r="F2629" s="21" t="s">
        <v>10193</v>
      </c>
      <c r="G2629" s="20" t="s">
        <v>35</v>
      </c>
      <c r="H2629" s="20" t="s">
        <v>25</v>
      </c>
      <c r="I2629" s="21" t="s">
        <v>10194</v>
      </c>
      <c r="J2629" s="22">
        <f t="shared" si="205"/>
        <v>0.000694444439432118</v>
      </c>
      <c r="K2629" s="22">
        <f t="shared" si="206"/>
        <v>0.0166666665463708</v>
      </c>
      <c r="L2629" s="22">
        <f t="shared" si="207"/>
        <v>0.0166666665463708</v>
      </c>
      <c r="M2629" s="22" cm="1">
        <f ca="1" t="array" ref="M2629">SUMPRODUCT(--(WEEKDAY(ROW(INDIRECT(INT(F2629)&amp;":"&amp;INT(I2629))),2)&gt;5))</f>
        <v>0</v>
      </c>
      <c r="N2629" s="22">
        <f ca="1" t="shared" si="208"/>
        <v>0.0166666665463708</v>
      </c>
      <c r="O2629" s="22" t="str">
        <f ca="1" t="shared" si="209"/>
        <v>Within SLA</v>
      </c>
      <c r="P2629" s="26" t="s">
        <v>10191</v>
      </c>
      <c r="Q2629" s="24" t="s">
        <v>37</v>
      </c>
      <c r="R2629" s="25"/>
      <c r="S2629" s="25"/>
    </row>
    <row r="2630" ht="27" customHeight="1" spans="1:19">
      <c r="A2630" s="19" t="s">
        <v>10195</v>
      </c>
      <c r="B2630" s="20" t="s">
        <v>30</v>
      </c>
      <c r="C2630" s="20" t="s">
        <v>2057</v>
      </c>
      <c r="D2630" s="20" t="s">
        <v>32</v>
      </c>
      <c r="E2630" s="21" t="s">
        <v>10196</v>
      </c>
      <c r="F2630" s="21" t="s">
        <v>10197</v>
      </c>
      <c r="G2630" s="20" t="s">
        <v>35</v>
      </c>
      <c r="H2630" s="20" t="s">
        <v>25</v>
      </c>
      <c r="I2630" s="21" t="s">
        <v>10198</v>
      </c>
      <c r="J2630" s="22">
        <f t="shared" si="205"/>
        <v>1.02569444444816</v>
      </c>
      <c r="K2630" s="22">
        <f t="shared" si="206"/>
        <v>24.6166666667559</v>
      </c>
      <c r="L2630" s="22">
        <f t="shared" si="207"/>
        <v>8.61666666675592</v>
      </c>
      <c r="M2630" s="22" cm="1">
        <f ca="1" t="array" ref="M2630">SUMPRODUCT(--(WEEKDAY(ROW(INDIRECT(INT(F2630)&amp;":"&amp;INT(I2630))),2)&gt;5))</f>
        <v>0</v>
      </c>
      <c r="N2630" s="22">
        <f ca="1" t="shared" si="208"/>
        <v>8.61666666675592</v>
      </c>
      <c r="O2630" s="22" t="str">
        <f ca="1" t="shared" si="209"/>
        <v>Within SLA</v>
      </c>
      <c r="P2630" s="26" t="s">
        <v>10195</v>
      </c>
      <c r="Q2630" s="24" t="s">
        <v>37</v>
      </c>
      <c r="R2630" s="25"/>
      <c r="S2630" s="25"/>
    </row>
    <row r="2631" ht="39" customHeight="1" spans="1:19">
      <c r="A2631" s="19" t="s">
        <v>10199</v>
      </c>
      <c r="B2631" s="20" t="s">
        <v>19</v>
      </c>
      <c r="C2631" s="20" t="s">
        <v>20</v>
      </c>
      <c r="D2631" s="20" t="s">
        <v>32</v>
      </c>
      <c r="E2631" s="21" t="s">
        <v>10200</v>
      </c>
      <c r="F2631" s="21" t="s">
        <v>10201</v>
      </c>
      <c r="G2631" s="20" t="s">
        <v>35</v>
      </c>
      <c r="H2631" s="20" t="s">
        <v>25</v>
      </c>
      <c r="I2631" s="21" t="s">
        <v>10202</v>
      </c>
      <c r="J2631" s="22">
        <f t="shared" si="205"/>
        <v>0.00347222221898846</v>
      </c>
      <c r="K2631" s="22">
        <f t="shared" si="206"/>
        <v>0.0833333332557231</v>
      </c>
      <c r="L2631" s="22">
        <f t="shared" si="207"/>
        <v>0.0833333332557231</v>
      </c>
      <c r="M2631" s="22" cm="1">
        <f ca="1" t="array" ref="M2631">SUMPRODUCT(--(WEEKDAY(ROW(INDIRECT(INT(F2631)&amp;":"&amp;INT(I2631))),2)&gt;5))</f>
        <v>0</v>
      </c>
      <c r="N2631" s="22">
        <f ca="1" t="shared" si="208"/>
        <v>0.0833333332557231</v>
      </c>
      <c r="O2631" s="22" t="str">
        <f ca="1" t="shared" si="209"/>
        <v>Within SLA</v>
      </c>
      <c r="P2631" s="26" t="s">
        <v>10199</v>
      </c>
      <c r="Q2631" s="24" t="s">
        <v>37</v>
      </c>
      <c r="R2631" s="25"/>
      <c r="S2631" s="25"/>
    </row>
    <row r="2632" ht="39" customHeight="1" spans="1:19">
      <c r="A2632" s="19" t="s">
        <v>10203</v>
      </c>
      <c r="B2632" s="20" t="s">
        <v>19</v>
      </c>
      <c r="C2632" s="20" t="s">
        <v>20</v>
      </c>
      <c r="D2632" s="20" t="s">
        <v>32</v>
      </c>
      <c r="E2632" s="21" t="s">
        <v>10204</v>
      </c>
      <c r="F2632" s="21" t="s">
        <v>10205</v>
      </c>
      <c r="G2632" s="20" t="s">
        <v>35</v>
      </c>
      <c r="H2632" s="20" t="s">
        <v>25</v>
      </c>
      <c r="I2632" s="21" t="s">
        <v>10202</v>
      </c>
      <c r="J2632" s="22">
        <f t="shared" si="205"/>
        <v>24.1812500000015</v>
      </c>
      <c r="K2632" s="22">
        <f t="shared" si="206"/>
        <v>580.350000000035</v>
      </c>
      <c r="L2632" s="22">
        <f t="shared" si="207"/>
        <v>196.350000000035</v>
      </c>
      <c r="M2632" s="22" cm="1">
        <f ca="1" t="array" ref="M2632">SUMPRODUCT(--(WEEKDAY(ROW(INDIRECT(INT(F2632)&amp;":"&amp;INT(I2632))),2)&gt;5))</f>
        <v>6</v>
      </c>
      <c r="N2632" s="22">
        <f ca="1" t="shared" si="208"/>
        <v>148.350000000035</v>
      </c>
      <c r="O2632" s="22" t="str">
        <f ca="1" t="shared" si="209"/>
        <v>SLA Violated</v>
      </c>
      <c r="P2632" s="23" t="s">
        <v>10206</v>
      </c>
      <c r="Q2632" s="24" t="s">
        <v>28</v>
      </c>
      <c r="R2632" s="25"/>
      <c r="S2632" s="25"/>
    </row>
    <row r="2633" ht="27" customHeight="1" spans="1:19">
      <c r="A2633" s="19" t="s">
        <v>10207</v>
      </c>
      <c r="B2633" s="20" t="s">
        <v>30</v>
      </c>
      <c r="C2633" s="20" t="s">
        <v>31</v>
      </c>
      <c r="D2633" s="20" t="s">
        <v>21</v>
      </c>
      <c r="E2633" s="21" t="s">
        <v>10208</v>
      </c>
      <c r="F2633" s="21" t="s">
        <v>10209</v>
      </c>
      <c r="G2633" s="20" t="s">
        <v>35</v>
      </c>
      <c r="H2633" s="20" t="s">
        <v>25</v>
      </c>
      <c r="I2633" s="21" t="s">
        <v>10210</v>
      </c>
      <c r="J2633" s="22">
        <f t="shared" si="205"/>
        <v>0.211111111108039</v>
      </c>
      <c r="K2633" s="22">
        <f t="shared" si="206"/>
        <v>5.06666666659294</v>
      </c>
      <c r="L2633" s="22">
        <f t="shared" si="207"/>
        <v>5.06666666659294</v>
      </c>
      <c r="M2633" s="22" cm="1">
        <f ca="1" t="array" ref="M2633">SUMPRODUCT(--(WEEKDAY(ROW(INDIRECT(INT(F2633)&amp;":"&amp;INT(I2633))),2)&gt;5))</f>
        <v>0</v>
      </c>
      <c r="N2633" s="22">
        <f ca="1" t="shared" si="208"/>
        <v>5.06666666659294</v>
      </c>
      <c r="O2633" s="22" t="str">
        <f ca="1" t="shared" si="209"/>
        <v>SLA Violated</v>
      </c>
      <c r="P2633" s="26" t="s">
        <v>10207</v>
      </c>
      <c r="Q2633" s="24" t="s">
        <v>28</v>
      </c>
      <c r="R2633" s="25"/>
      <c r="S2633" s="25"/>
    </row>
    <row r="2634" ht="27" customHeight="1" spans="1:19">
      <c r="A2634" s="19" t="s">
        <v>10211</v>
      </c>
      <c r="B2634" s="20" t="s">
        <v>30</v>
      </c>
      <c r="C2634" s="20" t="s">
        <v>31</v>
      </c>
      <c r="D2634" s="20" t="s">
        <v>32</v>
      </c>
      <c r="E2634" s="21" t="s">
        <v>10212</v>
      </c>
      <c r="F2634" s="21" t="s">
        <v>10213</v>
      </c>
      <c r="G2634" s="20" t="s">
        <v>35</v>
      </c>
      <c r="H2634" s="20" t="s">
        <v>25</v>
      </c>
      <c r="I2634" s="21" t="s">
        <v>10214</v>
      </c>
      <c r="J2634" s="22">
        <f t="shared" si="205"/>
        <v>1.71180555555475</v>
      </c>
      <c r="K2634" s="22">
        <f t="shared" si="206"/>
        <v>41.0833333333139</v>
      </c>
      <c r="L2634" s="22">
        <f t="shared" si="207"/>
        <v>9.08333333331393</v>
      </c>
      <c r="M2634" s="22" cm="1">
        <f ca="1" t="array" ref="M2634">SUMPRODUCT(--(WEEKDAY(ROW(INDIRECT(INT(F2634)&amp;":"&amp;INT(I2634))),2)&gt;5))</f>
        <v>0</v>
      </c>
      <c r="N2634" s="22">
        <f ca="1" t="shared" si="208"/>
        <v>9.08333333331393</v>
      </c>
      <c r="O2634" s="22" t="str">
        <f ca="1" t="shared" si="209"/>
        <v>Within SLA</v>
      </c>
      <c r="P2634" s="26" t="s">
        <v>10211</v>
      </c>
      <c r="Q2634" s="24" t="s">
        <v>37</v>
      </c>
      <c r="R2634" s="25"/>
      <c r="S2634" s="25"/>
    </row>
    <row r="2635" ht="27" customHeight="1" spans="1:19">
      <c r="A2635" s="19" t="s">
        <v>10215</v>
      </c>
      <c r="B2635" s="20" t="s">
        <v>30</v>
      </c>
      <c r="C2635" s="20" t="s">
        <v>31</v>
      </c>
      <c r="D2635" s="20" t="s">
        <v>32</v>
      </c>
      <c r="E2635" s="21" t="s">
        <v>10212</v>
      </c>
      <c r="F2635" s="21" t="s">
        <v>10216</v>
      </c>
      <c r="G2635" s="20" t="s">
        <v>35</v>
      </c>
      <c r="H2635" s="20" t="s">
        <v>25</v>
      </c>
      <c r="I2635" s="21" t="s">
        <v>10217</v>
      </c>
      <c r="J2635" s="22">
        <f t="shared" si="205"/>
        <v>0.078472222223354</v>
      </c>
      <c r="K2635" s="22">
        <f t="shared" si="206"/>
        <v>1.8833333333605</v>
      </c>
      <c r="L2635" s="22">
        <f t="shared" si="207"/>
        <v>1.8833333333605</v>
      </c>
      <c r="M2635" s="22" cm="1">
        <f ca="1" t="array" ref="M2635">SUMPRODUCT(--(WEEKDAY(ROW(INDIRECT(INT(F2635)&amp;":"&amp;INT(I2635))),2)&gt;5))</f>
        <v>0</v>
      </c>
      <c r="N2635" s="22">
        <f ca="1" t="shared" si="208"/>
        <v>1.8833333333605</v>
      </c>
      <c r="O2635" s="22" t="str">
        <f ca="1" t="shared" si="209"/>
        <v>Within SLA</v>
      </c>
      <c r="P2635" s="26" t="s">
        <v>10215</v>
      </c>
      <c r="Q2635" s="24" t="s">
        <v>37</v>
      </c>
      <c r="R2635" s="25"/>
      <c r="S2635" s="25"/>
    </row>
    <row r="2636" ht="27" customHeight="1" spans="1:19">
      <c r="A2636" s="19" t="s">
        <v>10218</v>
      </c>
      <c r="B2636" s="20" t="s">
        <v>30</v>
      </c>
      <c r="C2636" s="20" t="s">
        <v>31</v>
      </c>
      <c r="D2636" s="20" t="s">
        <v>32</v>
      </c>
      <c r="E2636" s="21" t="s">
        <v>10198</v>
      </c>
      <c r="F2636" s="21" t="s">
        <v>10219</v>
      </c>
      <c r="G2636" s="20" t="s">
        <v>35</v>
      </c>
      <c r="H2636" s="20" t="s">
        <v>25</v>
      </c>
      <c r="I2636" s="21" t="s">
        <v>10220</v>
      </c>
      <c r="J2636" s="22">
        <f t="shared" si="205"/>
        <v>1.97499999999854</v>
      </c>
      <c r="K2636" s="22">
        <f t="shared" si="206"/>
        <v>47.3999999999651</v>
      </c>
      <c r="L2636" s="22">
        <f t="shared" si="207"/>
        <v>15.3999999999651</v>
      </c>
      <c r="M2636" s="22" cm="1">
        <f ca="1" t="array" ref="M2636">SUMPRODUCT(--(WEEKDAY(ROW(INDIRECT(INT(F2636)&amp;":"&amp;INT(I2636))),2)&gt;5))</f>
        <v>0</v>
      </c>
      <c r="N2636" s="22">
        <f ca="1" t="shared" si="208"/>
        <v>15.3999999999651</v>
      </c>
      <c r="O2636" s="22" t="str">
        <f ca="1" t="shared" si="209"/>
        <v>SLA Violated</v>
      </c>
      <c r="P2636" s="26" t="s">
        <v>10218</v>
      </c>
      <c r="Q2636" s="24" t="s">
        <v>28</v>
      </c>
      <c r="R2636" s="25"/>
      <c r="S2636" s="25"/>
    </row>
    <row r="2637" ht="27" customHeight="1" spans="1:19">
      <c r="A2637" s="19" t="s">
        <v>10221</v>
      </c>
      <c r="B2637" s="20" t="s">
        <v>30</v>
      </c>
      <c r="C2637" s="20" t="s">
        <v>31</v>
      </c>
      <c r="D2637" s="20" t="s">
        <v>32</v>
      </c>
      <c r="E2637" s="21" t="s">
        <v>10152</v>
      </c>
      <c r="F2637" s="21" t="s">
        <v>10222</v>
      </c>
      <c r="G2637" s="20" t="s">
        <v>35</v>
      </c>
      <c r="H2637" s="20" t="s">
        <v>25</v>
      </c>
      <c r="I2637" s="21" t="s">
        <v>10223</v>
      </c>
      <c r="J2637" s="22">
        <f t="shared" si="205"/>
        <v>1.1875</v>
      </c>
      <c r="K2637" s="22">
        <f t="shared" si="206"/>
        <v>28.5</v>
      </c>
      <c r="L2637" s="22">
        <f t="shared" si="207"/>
        <v>12.5</v>
      </c>
      <c r="M2637" s="22" cm="1">
        <f ca="1" t="array" ref="M2637">SUMPRODUCT(--(WEEKDAY(ROW(INDIRECT(INT(F2637)&amp;":"&amp;INT(I2637))),2)&gt;5))</f>
        <v>0</v>
      </c>
      <c r="N2637" s="22">
        <f ca="1" t="shared" si="208"/>
        <v>12.5</v>
      </c>
      <c r="O2637" s="22" t="str">
        <f ca="1" t="shared" si="209"/>
        <v>SLA Violated</v>
      </c>
      <c r="P2637" s="26" t="s">
        <v>10221</v>
      </c>
      <c r="Q2637" s="24" t="s">
        <v>28</v>
      </c>
      <c r="R2637" s="25"/>
      <c r="S2637" s="25"/>
    </row>
    <row r="2638" ht="39" customHeight="1" spans="1:19">
      <c r="A2638" s="19" t="s">
        <v>10224</v>
      </c>
      <c r="B2638" s="20" t="s">
        <v>19</v>
      </c>
      <c r="C2638" s="20" t="s">
        <v>20</v>
      </c>
      <c r="D2638" s="20" t="s">
        <v>32</v>
      </c>
      <c r="E2638" s="21" t="s">
        <v>8506</v>
      </c>
      <c r="F2638" s="21" t="s">
        <v>10225</v>
      </c>
      <c r="G2638" s="20" t="s">
        <v>24</v>
      </c>
      <c r="H2638" s="20" t="s">
        <v>25</v>
      </c>
      <c r="I2638" s="21" t="s">
        <v>10226</v>
      </c>
      <c r="J2638" s="22">
        <f t="shared" si="205"/>
        <v>9.94583333333139</v>
      </c>
      <c r="K2638" s="22">
        <f t="shared" si="206"/>
        <v>238.699999999953</v>
      </c>
      <c r="L2638" s="22">
        <f t="shared" si="207"/>
        <v>78.6999999999534</v>
      </c>
      <c r="M2638" s="22" cm="1">
        <f ca="1" t="array" ref="M2638">SUMPRODUCT(--(WEEKDAY(ROW(INDIRECT(INT(F2638)&amp;":"&amp;INT(I2638))),2)&gt;5))</f>
        <v>2</v>
      </c>
      <c r="N2638" s="22">
        <f ca="1" t="shared" si="208"/>
        <v>62.6999999999534</v>
      </c>
      <c r="O2638" s="22" t="str">
        <f ca="1" t="shared" si="209"/>
        <v>SLA Violated</v>
      </c>
      <c r="P2638" s="23" t="s">
        <v>10227</v>
      </c>
      <c r="Q2638" s="24" t="s">
        <v>28</v>
      </c>
      <c r="R2638" s="25"/>
      <c r="S2638" s="25"/>
    </row>
    <row r="2639" ht="27" customHeight="1" spans="1:19">
      <c r="A2639" s="19" t="s">
        <v>10228</v>
      </c>
      <c r="B2639" s="20" t="s">
        <v>30</v>
      </c>
      <c r="C2639" s="20" t="s">
        <v>31</v>
      </c>
      <c r="D2639" s="20" t="s">
        <v>32</v>
      </c>
      <c r="E2639" s="21" t="s">
        <v>10226</v>
      </c>
      <c r="F2639" s="21" t="s">
        <v>10229</v>
      </c>
      <c r="G2639" s="20" t="s">
        <v>35</v>
      </c>
      <c r="H2639" s="20" t="s">
        <v>25</v>
      </c>
      <c r="I2639" s="21" t="s">
        <v>10230</v>
      </c>
      <c r="J2639" s="22">
        <f t="shared" si="205"/>
        <v>7.13263888889196</v>
      </c>
      <c r="K2639" s="22">
        <f t="shared" si="206"/>
        <v>171.183333333407</v>
      </c>
      <c r="L2639" s="22">
        <f t="shared" si="207"/>
        <v>59.1833333334071</v>
      </c>
      <c r="M2639" s="22" cm="1">
        <f ca="1" t="array" ref="M2639">SUMPRODUCT(--(WEEKDAY(ROW(INDIRECT(INT(F2639)&amp;":"&amp;INT(I2639))),2)&gt;5))</f>
        <v>2</v>
      </c>
      <c r="N2639" s="22">
        <f ca="1" t="shared" si="208"/>
        <v>43.1833333334071</v>
      </c>
      <c r="O2639" s="22" t="str">
        <f ca="1" t="shared" si="209"/>
        <v>SLA Violated</v>
      </c>
      <c r="P2639" s="26" t="s">
        <v>10228</v>
      </c>
      <c r="Q2639" s="24" t="s">
        <v>28</v>
      </c>
      <c r="R2639" s="25"/>
      <c r="S2639" s="25"/>
    </row>
    <row r="2640" ht="27" customHeight="1" spans="1:19">
      <c r="A2640" s="19" t="s">
        <v>10231</v>
      </c>
      <c r="B2640" s="20" t="s">
        <v>30</v>
      </c>
      <c r="C2640" s="20" t="s">
        <v>31</v>
      </c>
      <c r="D2640" s="20" t="s">
        <v>32</v>
      </c>
      <c r="E2640" s="21" t="s">
        <v>10232</v>
      </c>
      <c r="F2640" s="21" t="s">
        <v>10233</v>
      </c>
      <c r="G2640" s="20" t="s">
        <v>35</v>
      </c>
      <c r="H2640" s="20" t="s">
        <v>25</v>
      </c>
      <c r="I2640" s="21" t="s">
        <v>10234</v>
      </c>
      <c r="J2640" s="22">
        <f t="shared" si="205"/>
        <v>0.00138888888614019</v>
      </c>
      <c r="K2640" s="22">
        <f t="shared" si="206"/>
        <v>0.0333333332673647</v>
      </c>
      <c r="L2640" s="22">
        <f t="shared" si="207"/>
        <v>0.0333333332673647</v>
      </c>
      <c r="M2640" s="22" cm="1">
        <f ca="1" t="array" ref="M2640">SUMPRODUCT(--(WEEKDAY(ROW(INDIRECT(INT(F2640)&amp;":"&amp;INT(I2640))),2)&gt;5))</f>
        <v>0</v>
      </c>
      <c r="N2640" s="22">
        <f ca="1" t="shared" si="208"/>
        <v>0.0333333332673647</v>
      </c>
      <c r="O2640" s="22" t="str">
        <f ca="1" t="shared" si="209"/>
        <v>Within SLA</v>
      </c>
      <c r="P2640" s="26" t="s">
        <v>10231</v>
      </c>
      <c r="Q2640" s="24" t="s">
        <v>37</v>
      </c>
      <c r="R2640" s="25"/>
      <c r="S2640" s="25"/>
    </row>
    <row r="2641" ht="27" customHeight="1" spans="1:19">
      <c r="A2641" s="19" t="s">
        <v>10235</v>
      </c>
      <c r="B2641" s="20" t="s">
        <v>30</v>
      </c>
      <c r="C2641" s="20" t="s">
        <v>31</v>
      </c>
      <c r="D2641" s="20" t="s">
        <v>32</v>
      </c>
      <c r="E2641" s="21" t="s">
        <v>10236</v>
      </c>
      <c r="F2641" s="21" t="s">
        <v>10237</v>
      </c>
      <c r="G2641" s="20" t="s">
        <v>35</v>
      </c>
      <c r="H2641" s="20" t="s">
        <v>25</v>
      </c>
      <c r="I2641" s="21" t="s">
        <v>10238</v>
      </c>
      <c r="J2641" s="22">
        <f t="shared" si="205"/>
        <v>6.88611111111095</v>
      </c>
      <c r="K2641" s="22">
        <f t="shared" si="206"/>
        <v>165.266666666663</v>
      </c>
      <c r="L2641" s="22">
        <f t="shared" si="207"/>
        <v>53.2666666666628</v>
      </c>
      <c r="M2641" s="22" cm="1">
        <f ca="1" t="array" ref="M2641">SUMPRODUCT(--(WEEKDAY(ROW(INDIRECT(INT(F2641)&amp;":"&amp;INT(I2641))),2)&gt;5))</f>
        <v>2</v>
      </c>
      <c r="N2641" s="22">
        <f ca="1" t="shared" si="208"/>
        <v>37.2666666666628</v>
      </c>
      <c r="O2641" s="22" t="str">
        <f ca="1" t="shared" si="209"/>
        <v>SLA Violated</v>
      </c>
      <c r="P2641" s="26" t="s">
        <v>10235</v>
      </c>
      <c r="Q2641" s="24" t="s">
        <v>28</v>
      </c>
      <c r="R2641" s="25"/>
      <c r="S2641" s="25"/>
    </row>
    <row r="2642" ht="39" customHeight="1" spans="1:19">
      <c r="A2642" s="19" t="s">
        <v>10239</v>
      </c>
      <c r="B2642" s="20" t="s">
        <v>19</v>
      </c>
      <c r="C2642" s="20" t="s">
        <v>20</v>
      </c>
      <c r="D2642" s="20" t="s">
        <v>21</v>
      </c>
      <c r="E2642" s="21" t="s">
        <v>10240</v>
      </c>
      <c r="F2642" s="21" t="s">
        <v>10241</v>
      </c>
      <c r="G2642" s="20" t="s">
        <v>24</v>
      </c>
      <c r="H2642" s="20" t="s">
        <v>25</v>
      </c>
      <c r="I2642" s="21" t="s">
        <v>10242</v>
      </c>
      <c r="J2642" s="22">
        <f t="shared" si="205"/>
        <v>0.680555555562023</v>
      </c>
      <c r="K2642" s="22">
        <f t="shared" si="206"/>
        <v>16.3333333334886</v>
      </c>
      <c r="L2642" s="22">
        <f t="shared" si="207"/>
        <v>0.333333333488554</v>
      </c>
      <c r="M2642" s="22" cm="1">
        <f ca="1" t="array" ref="M2642">SUMPRODUCT(--(WEEKDAY(ROW(INDIRECT(INT(F2642)&amp;":"&amp;INT(I2642))),2)&gt;5))</f>
        <v>0</v>
      </c>
      <c r="N2642" s="22">
        <f ca="1" t="shared" si="208"/>
        <v>0.333333333488554</v>
      </c>
      <c r="O2642" s="22" t="str">
        <f ca="1" t="shared" si="209"/>
        <v>Within SLA</v>
      </c>
      <c r="P2642" s="26" t="s">
        <v>10239</v>
      </c>
      <c r="Q2642" s="24" t="s">
        <v>37</v>
      </c>
      <c r="R2642" s="25"/>
      <c r="S2642" s="25"/>
    </row>
    <row r="2643" ht="27" customHeight="1" spans="1:19">
      <c r="A2643" s="19" t="s">
        <v>10243</v>
      </c>
      <c r="B2643" s="20" t="s">
        <v>30</v>
      </c>
      <c r="C2643" s="20" t="s">
        <v>4889</v>
      </c>
      <c r="D2643" s="20" t="s">
        <v>32</v>
      </c>
      <c r="E2643" s="21" t="s">
        <v>10240</v>
      </c>
      <c r="F2643" s="21" t="s">
        <v>10244</v>
      </c>
      <c r="G2643" s="20" t="s">
        <v>35</v>
      </c>
      <c r="H2643" s="20" t="s">
        <v>25</v>
      </c>
      <c r="I2643" s="21" t="s">
        <v>10245</v>
      </c>
      <c r="J2643" s="22">
        <f t="shared" si="205"/>
        <v>0.889583333329938</v>
      </c>
      <c r="K2643" s="22">
        <f t="shared" si="206"/>
        <v>21.3499999999185</v>
      </c>
      <c r="L2643" s="22">
        <f t="shared" si="207"/>
        <v>5.34999999991851</v>
      </c>
      <c r="M2643" s="22" cm="1">
        <f ca="1" t="array" ref="M2643">SUMPRODUCT(--(WEEKDAY(ROW(INDIRECT(INT(F2643)&amp;":"&amp;INT(I2643))),2)&gt;5))</f>
        <v>0</v>
      </c>
      <c r="N2643" s="22">
        <f ca="1" t="shared" si="208"/>
        <v>5.34999999991851</v>
      </c>
      <c r="O2643" s="22" t="str">
        <f ca="1" t="shared" si="209"/>
        <v>Within SLA</v>
      </c>
      <c r="P2643" s="26" t="s">
        <v>10243</v>
      </c>
      <c r="Q2643" s="24" t="s">
        <v>37</v>
      </c>
      <c r="R2643" s="25"/>
      <c r="S2643" s="25"/>
    </row>
    <row r="2644" ht="39" customHeight="1" spans="1:19">
      <c r="A2644" s="19" t="s">
        <v>10246</v>
      </c>
      <c r="B2644" s="20" t="s">
        <v>19</v>
      </c>
      <c r="C2644" s="20" t="s">
        <v>20</v>
      </c>
      <c r="D2644" s="20" t="s">
        <v>32</v>
      </c>
      <c r="E2644" s="21" t="s">
        <v>10247</v>
      </c>
      <c r="F2644" s="21" t="s">
        <v>10248</v>
      </c>
      <c r="G2644" s="20" t="s">
        <v>35</v>
      </c>
      <c r="H2644" s="20" t="s">
        <v>25</v>
      </c>
      <c r="I2644" s="21" t="s">
        <v>10249</v>
      </c>
      <c r="J2644" s="22">
        <f t="shared" si="205"/>
        <v>0.0270833333343035</v>
      </c>
      <c r="K2644" s="22">
        <f t="shared" si="206"/>
        <v>0.650000000023283</v>
      </c>
      <c r="L2644" s="22">
        <f t="shared" si="207"/>
        <v>0.650000000023283</v>
      </c>
      <c r="M2644" s="22" cm="1">
        <f ca="1" t="array" ref="M2644">SUMPRODUCT(--(WEEKDAY(ROW(INDIRECT(INT(F2644)&amp;":"&amp;INT(I2644))),2)&gt;5))</f>
        <v>0</v>
      </c>
      <c r="N2644" s="22">
        <f ca="1" t="shared" si="208"/>
        <v>0.650000000023283</v>
      </c>
      <c r="O2644" s="22" t="str">
        <f ca="1" t="shared" si="209"/>
        <v>Within SLA</v>
      </c>
      <c r="P2644" s="26" t="s">
        <v>10246</v>
      </c>
      <c r="Q2644" s="24" t="s">
        <v>37</v>
      </c>
      <c r="R2644" s="25"/>
      <c r="S2644" s="25"/>
    </row>
    <row r="2645" ht="27" customHeight="1" spans="1:19">
      <c r="A2645" s="19" t="s">
        <v>10250</v>
      </c>
      <c r="B2645" s="20" t="s">
        <v>121</v>
      </c>
      <c r="C2645" s="20" t="s">
        <v>46</v>
      </c>
      <c r="D2645" s="20" t="s">
        <v>21</v>
      </c>
      <c r="E2645" s="21" t="s">
        <v>10251</v>
      </c>
      <c r="F2645" s="21" t="s">
        <v>10252</v>
      </c>
      <c r="G2645" s="20" t="s">
        <v>35</v>
      </c>
      <c r="H2645" s="20" t="s">
        <v>25</v>
      </c>
      <c r="I2645" s="21" t="s">
        <v>10253</v>
      </c>
      <c r="J2645" s="22">
        <f t="shared" si="205"/>
        <v>0.0208333333284827</v>
      </c>
      <c r="K2645" s="22">
        <f t="shared" si="206"/>
        <v>0.499999999883585</v>
      </c>
      <c r="L2645" s="22">
        <f t="shared" si="207"/>
        <v>0.499999999883585</v>
      </c>
      <c r="M2645" s="22" cm="1">
        <f ca="1" t="array" ref="M2645">SUMPRODUCT(--(WEEKDAY(ROW(INDIRECT(INT(F2645)&amp;":"&amp;INT(I2645))),2)&gt;5))</f>
        <v>0</v>
      </c>
      <c r="N2645" s="22">
        <f ca="1" t="shared" si="208"/>
        <v>0.499999999883585</v>
      </c>
      <c r="O2645" s="22" t="str">
        <f ca="1" t="shared" si="209"/>
        <v>Within SLA</v>
      </c>
      <c r="P2645" s="26" t="s">
        <v>10250</v>
      </c>
      <c r="Q2645" s="24" t="s">
        <v>37</v>
      </c>
      <c r="R2645" s="25"/>
      <c r="S2645" s="25"/>
    </row>
    <row r="2646" ht="27" customHeight="1" spans="1:19">
      <c r="A2646" s="19" t="s">
        <v>10254</v>
      </c>
      <c r="B2646" s="20" t="s">
        <v>30</v>
      </c>
      <c r="C2646" s="20" t="s">
        <v>31</v>
      </c>
      <c r="D2646" s="20" t="s">
        <v>32</v>
      </c>
      <c r="E2646" s="21" t="s">
        <v>10255</v>
      </c>
      <c r="F2646" s="21" t="s">
        <v>10256</v>
      </c>
      <c r="G2646" s="20" t="s">
        <v>35</v>
      </c>
      <c r="H2646" s="20" t="s">
        <v>25</v>
      </c>
      <c r="I2646" s="21" t="s">
        <v>10257</v>
      </c>
      <c r="J2646" s="22">
        <f t="shared" si="205"/>
        <v>0.0423611111109494</v>
      </c>
      <c r="K2646" s="22">
        <f t="shared" si="206"/>
        <v>1.01666666666279</v>
      </c>
      <c r="L2646" s="22">
        <f t="shared" si="207"/>
        <v>1.01666666666279</v>
      </c>
      <c r="M2646" s="22" cm="1">
        <f ca="1" t="array" ref="M2646">SUMPRODUCT(--(WEEKDAY(ROW(INDIRECT(INT(F2646)&amp;":"&amp;INT(I2646))),2)&gt;5))</f>
        <v>0</v>
      </c>
      <c r="N2646" s="22">
        <f ca="1" t="shared" si="208"/>
        <v>1.01666666666279</v>
      </c>
      <c r="O2646" s="22" t="str">
        <f ca="1" t="shared" si="209"/>
        <v>Within SLA</v>
      </c>
      <c r="P2646" s="26" t="s">
        <v>10254</v>
      </c>
      <c r="Q2646" s="24" t="s">
        <v>37</v>
      </c>
      <c r="R2646" s="25"/>
      <c r="S2646" s="25"/>
    </row>
    <row r="2647" ht="27" customHeight="1" spans="1:19">
      <c r="A2647" s="19" t="s">
        <v>10258</v>
      </c>
      <c r="B2647" s="20" t="s">
        <v>30</v>
      </c>
      <c r="C2647" s="20" t="s">
        <v>2057</v>
      </c>
      <c r="D2647" s="20" t="s">
        <v>32</v>
      </c>
      <c r="E2647" s="21" t="s">
        <v>10259</v>
      </c>
      <c r="F2647" s="21" t="s">
        <v>10197</v>
      </c>
      <c r="G2647" s="20" t="s">
        <v>35</v>
      </c>
      <c r="H2647" s="20" t="s">
        <v>25</v>
      </c>
      <c r="I2647" s="21" t="s">
        <v>10260</v>
      </c>
      <c r="J2647" s="22">
        <f t="shared" si="205"/>
        <v>0.840277777781012</v>
      </c>
      <c r="K2647" s="22">
        <f t="shared" si="206"/>
        <v>20.1666666667443</v>
      </c>
      <c r="L2647" s="22">
        <f t="shared" si="207"/>
        <v>4.16666666674428</v>
      </c>
      <c r="M2647" s="22" cm="1">
        <f ca="1" t="array" ref="M2647">SUMPRODUCT(--(WEEKDAY(ROW(INDIRECT(INT(F2647)&amp;":"&amp;INT(I2647))),2)&gt;5))</f>
        <v>0</v>
      </c>
      <c r="N2647" s="22">
        <f ca="1" t="shared" si="208"/>
        <v>4.16666666674428</v>
      </c>
      <c r="O2647" s="22" t="str">
        <f ca="1" t="shared" si="209"/>
        <v>Within SLA</v>
      </c>
      <c r="P2647" s="26" t="s">
        <v>10258</v>
      </c>
      <c r="Q2647" s="24" t="s">
        <v>37</v>
      </c>
      <c r="R2647" s="25"/>
      <c r="S2647" s="25"/>
    </row>
    <row r="2648" ht="39" customHeight="1" spans="1:19">
      <c r="A2648" s="19" t="s">
        <v>10261</v>
      </c>
      <c r="B2648" s="20" t="s">
        <v>19</v>
      </c>
      <c r="C2648" s="20" t="s">
        <v>20</v>
      </c>
      <c r="D2648" s="20" t="s">
        <v>32</v>
      </c>
      <c r="E2648" s="21" t="s">
        <v>10262</v>
      </c>
      <c r="F2648" s="21" t="s">
        <v>10263</v>
      </c>
      <c r="G2648" s="20" t="s">
        <v>35</v>
      </c>
      <c r="H2648" s="20" t="s">
        <v>25</v>
      </c>
      <c r="I2648" s="21" t="s">
        <v>10264</v>
      </c>
      <c r="J2648" s="22">
        <f t="shared" si="205"/>
        <v>0.0409722222248092</v>
      </c>
      <c r="K2648" s="22">
        <f t="shared" si="206"/>
        <v>0.983333333395422</v>
      </c>
      <c r="L2648" s="22">
        <f t="shared" si="207"/>
        <v>0.983333333395422</v>
      </c>
      <c r="M2648" s="22" cm="1">
        <f ca="1" t="array" ref="M2648">SUMPRODUCT(--(WEEKDAY(ROW(INDIRECT(INT(F2648)&amp;":"&amp;INT(I2648))),2)&gt;5))</f>
        <v>0</v>
      </c>
      <c r="N2648" s="22">
        <f ca="1" t="shared" si="208"/>
        <v>0.983333333395422</v>
      </c>
      <c r="O2648" s="22" t="str">
        <f ca="1" t="shared" si="209"/>
        <v>Within SLA</v>
      </c>
      <c r="P2648" s="26" t="s">
        <v>10261</v>
      </c>
      <c r="Q2648" s="24" t="s">
        <v>37</v>
      </c>
      <c r="R2648" s="25"/>
      <c r="S2648" s="25"/>
    </row>
    <row r="2649" ht="39" customHeight="1" spans="1:19">
      <c r="A2649" s="19" t="s">
        <v>10265</v>
      </c>
      <c r="B2649" s="20" t="s">
        <v>725</v>
      </c>
      <c r="C2649" s="20" t="s">
        <v>101</v>
      </c>
      <c r="D2649" s="20" t="s">
        <v>32</v>
      </c>
      <c r="E2649" s="21" t="s">
        <v>10266</v>
      </c>
      <c r="F2649" s="21" t="s">
        <v>10267</v>
      </c>
      <c r="G2649" s="20" t="s">
        <v>35</v>
      </c>
      <c r="H2649" s="20" t="s">
        <v>25</v>
      </c>
      <c r="I2649" s="21" t="s">
        <v>10268</v>
      </c>
      <c r="J2649" s="22">
        <f t="shared" si="205"/>
        <v>0.888888888890506</v>
      </c>
      <c r="K2649" s="22">
        <f t="shared" si="206"/>
        <v>21.3333333333721</v>
      </c>
      <c r="L2649" s="22">
        <f t="shared" si="207"/>
        <v>5.33333333337214</v>
      </c>
      <c r="M2649" s="22" cm="1">
        <f ca="1" t="array" ref="M2649">SUMPRODUCT(--(WEEKDAY(ROW(INDIRECT(INT(F2649)&amp;":"&amp;INT(I2649))),2)&gt;5))</f>
        <v>0</v>
      </c>
      <c r="N2649" s="22">
        <f ca="1" t="shared" si="208"/>
        <v>5.33333333337214</v>
      </c>
      <c r="O2649" s="22" t="str">
        <f ca="1" t="shared" si="209"/>
        <v>Within SLA</v>
      </c>
      <c r="P2649" s="26" t="s">
        <v>10265</v>
      </c>
      <c r="Q2649" s="24" t="s">
        <v>37</v>
      </c>
      <c r="R2649" s="25"/>
      <c r="S2649" s="25"/>
    </row>
    <row r="2650" ht="39" customHeight="1" spans="1:19">
      <c r="A2650" s="19" t="s">
        <v>10269</v>
      </c>
      <c r="B2650" s="20" t="s">
        <v>196</v>
      </c>
      <c r="C2650" s="20" t="s">
        <v>2057</v>
      </c>
      <c r="D2650" s="20" t="s">
        <v>32</v>
      </c>
      <c r="E2650" s="21" t="s">
        <v>10027</v>
      </c>
      <c r="F2650" s="21" t="s">
        <v>10270</v>
      </c>
      <c r="G2650" s="20" t="s">
        <v>35</v>
      </c>
      <c r="H2650" s="20" t="s">
        <v>25</v>
      </c>
      <c r="I2650" s="21" t="s">
        <v>10271</v>
      </c>
      <c r="J2650" s="22">
        <f t="shared" si="205"/>
        <v>7.01249999999709</v>
      </c>
      <c r="K2650" s="22">
        <f t="shared" si="206"/>
        <v>168.29999999993</v>
      </c>
      <c r="L2650" s="22">
        <f t="shared" si="207"/>
        <v>56.2999999999302</v>
      </c>
      <c r="M2650" s="22" cm="1">
        <f ca="1" t="array" ref="M2650">SUMPRODUCT(--(WEEKDAY(ROW(INDIRECT(INT(F2650)&amp;":"&amp;INT(I2650))),2)&gt;5))</f>
        <v>2</v>
      </c>
      <c r="N2650" s="22">
        <f ca="1" t="shared" si="208"/>
        <v>40.2999999999302</v>
      </c>
      <c r="O2650" s="22" t="str">
        <f ca="1" t="shared" si="209"/>
        <v>SLA Violated</v>
      </c>
      <c r="P2650" s="23" t="s">
        <v>10272</v>
      </c>
      <c r="Q2650" s="24" t="s">
        <v>28</v>
      </c>
      <c r="R2650" s="25"/>
      <c r="S2650" s="25"/>
    </row>
    <row r="2651" ht="39" customHeight="1" spans="1:19">
      <c r="A2651" s="19" t="s">
        <v>10273</v>
      </c>
      <c r="B2651" s="20" t="s">
        <v>19</v>
      </c>
      <c r="C2651" s="20" t="s">
        <v>20</v>
      </c>
      <c r="D2651" s="20" t="s">
        <v>32</v>
      </c>
      <c r="E2651" s="21" t="s">
        <v>10274</v>
      </c>
      <c r="F2651" s="21" t="s">
        <v>10275</v>
      </c>
      <c r="G2651" s="20" t="s">
        <v>35</v>
      </c>
      <c r="H2651" s="20" t="s">
        <v>25</v>
      </c>
      <c r="I2651" s="21" t="s">
        <v>10276</v>
      </c>
      <c r="J2651" s="22">
        <f t="shared" si="205"/>
        <v>0.128472222226264</v>
      </c>
      <c r="K2651" s="22">
        <f t="shared" si="206"/>
        <v>3.08333333343035</v>
      </c>
      <c r="L2651" s="22">
        <f t="shared" si="207"/>
        <v>3.08333333343035</v>
      </c>
      <c r="M2651" s="22" cm="1">
        <f ca="1" t="array" ref="M2651">SUMPRODUCT(--(WEEKDAY(ROW(INDIRECT(INT(F2651)&amp;":"&amp;INT(I2651))),2)&gt;5))</f>
        <v>0</v>
      </c>
      <c r="N2651" s="22">
        <f ca="1" t="shared" si="208"/>
        <v>3.08333333343035</v>
      </c>
      <c r="O2651" s="22" t="str">
        <f ca="1" t="shared" si="209"/>
        <v>Within SLA</v>
      </c>
      <c r="P2651" s="26" t="s">
        <v>10273</v>
      </c>
      <c r="Q2651" s="24" t="s">
        <v>37</v>
      </c>
      <c r="R2651" s="25"/>
      <c r="S2651" s="25"/>
    </row>
    <row r="2652" ht="39" customHeight="1" spans="1:19">
      <c r="A2652" s="19" t="s">
        <v>10277</v>
      </c>
      <c r="B2652" s="20" t="s">
        <v>19</v>
      </c>
      <c r="C2652" s="20" t="s">
        <v>20</v>
      </c>
      <c r="D2652" s="20" t="s">
        <v>32</v>
      </c>
      <c r="E2652" s="21" t="s">
        <v>10278</v>
      </c>
      <c r="F2652" s="21" t="s">
        <v>10279</v>
      </c>
      <c r="G2652" s="20" t="s">
        <v>35</v>
      </c>
      <c r="H2652" s="20" t="s">
        <v>25</v>
      </c>
      <c r="I2652" s="21" t="s">
        <v>10280</v>
      </c>
      <c r="J2652" s="22">
        <f t="shared" si="205"/>
        <v>0.0194444444423425</v>
      </c>
      <c r="K2652" s="22">
        <f t="shared" si="206"/>
        <v>0.46666666661622</v>
      </c>
      <c r="L2652" s="22">
        <f t="shared" si="207"/>
        <v>0.46666666661622</v>
      </c>
      <c r="M2652" s="22" cm="1">
        <f ca="1" t="array" ref="M2652">SUMPRODUCT(--(WEEKDAY(ROW(INDIRECT(INT(F2652)&amp;":"&amp;INT(I2652))),2)&gt;5))</f>
        <v>0</v>
      </c>
      <c r="N2652" s="22">
        <f ca="1" t="shared" si="208"/>
        <v>0.46666666661622</v>
      </c>
      <c r="O2652" s="22" t="str">
        <f ca="1" t="shared" si="209"/>
        <v>Within SLA</v>
      </c>
      <c r="P2652" s="26" t="s">
        <v>10277</v>
      </c>
      <c r="Q2652" s="24" t="s">
        <v>37</v>
      </c>
      <c r="R2652" s="25"/>
      <c r="S2652" s="25"/>
    </row>
    <row r="2653" ht="27" customHeight="1" spans="1:19">
      <c r="A2653" s="19" t="s">
        <v>10281</v>
      </c>
      <c r="B2653" s="20" t="s">
        <v>30</v>
      </c>
      <c r="C2653" s="20" t="s">
        <v>31</v>
      </c>
      <c r="D2653" s="20" t="s">
        <v>21</v>
      </c>
      <c r="E2653" s="21" t="s">
        <v>10282</v>
      </c>
      <c r="F2653" s="21" t="s">
        <v>10283</v>
      </c>
      <c r="G2653" s="20" t="s">
        <v>35</v>
      </c>
      <c r="H2653" s="20" t="s">
        <v>25</v>
      </c>
      <c r="I2653" s="21" t="s">
        <v>10284</v>
      </c>
      <c r="J2653" s="22">
        <f t="shared" si="205"/>
        <v>1.97291666667297</v>
      </c>
      <c r="K2653" s="22">
        <f t="shared" si="206"/>
        <v>47.3500000001513</v>
      </c>
      <c r="L2653" s="22">
        <f t="shared" si="207"/>
        <v>15.3500000001513</v>
      </c>
      <c r="M2653" s="22" cm="1">
        <f ca="1" t="array" ref="M2653">SUMPRODUCT(--(WEEKDAY(ROW(INDIRECT(INT(F2653)&amp;":"&amp;INT(I2653))),2)&gt;5))</f>
        <v>0</v>
      </c>
      <c r="N2653" s="22">
        <f ca="1" t="shared" si="208"/>
        <v>15.3500000001513</v>
      </c>
      <c r="O2653" s="22" t="str">
        <f ca="1" t="shared" si="209"/>
        <v>SLA Violated</v>
      </c>
      <c r="P2653" s="26" t="s">
        <v>10281</v>
      </c>
      <c r="Q2653" s="24" t="s">
        <v>28</v>
      </c>
      <c r="R2653" s="25"/>
      <c r="S2653" s="25"/>
    </row>
    <row r="2654" ht="39" customHeight="1" spans="1:19">
      <c r="A2654" s="19" t="s">
        <v>10285</v>
      </c>
      <c r="B2654" s="20" t="s">
        <v>19</v>
      </c>
      <c r="C2654" s="20" t="s">
        <v>167</v>
      </c>
      <c r="D2654" s="20" t="s">
        <v>32</v>
      </c>
      <c r="E2654" s="21" t="s">
        <v>10286</v>
      </c>
      <c r="F2654" s="21" t="s">
        <v>10287</v>
      </c>
      <c r="G2654" s="20" t="s">
        <v>35</v>
      </c>
      <c r="H2654" s="20" t="s">
        <v>25</v>
      </c>
      <c r="I2654" s="21" t="s">
        <v>10288</v>
      </c>
      <c r="J2654" s="22">
        <f t="shared" si="205"/>
        <v>7.81041666666715</v>
      </c>
      <c r="K2654" s="22">
        <f t="shared" si="206"/>
        <v>187.450000000012</v>
      </c>
      <c r="L2654" s="22">
        <f t="shared" si="207"/>
        <v>59.4500000000116</v>
      </c>
      <c r="M2654" s="22" cm="1">
        <f ca="1" t="array" ref="M2654">SUMPRODUCT(--(WEEKDAY(ROW(INDIRECT(INT(F2654)&amp;":"&amp;INT(I2654))),2)&gt;5))</f>
        <v>2</v>
      </c>
      <c r="N2654" s="22">
        <f ca="1" t="shared" si="208"/>
        <v>43.4500000000116</v>
      </c>
      <c r="O2654" s="22" t="str">
        <f ca="1" t="shared" si="209"/>
        <v>SLA Violated</v>
      </c>
      <c r="P2654" s="23" t="s">
        <v>10289</v>
      </c>
      <c r="Q2654" s="24" t="s">
        <v>37</v>
      </c>
      <c r="R2654" s="25"/>
      <c r="S2654" s="25" t="s">
        <v>97</v>
      </c>
    </row>
    <row r="2655" ht="27" customHeight="1" spans="1:19">
      <c r="A2655" s="19" t="s">
        <v>10290</v>
      </c>
      <c r="B2655" s="20" t="s">
        <v>30</v>
      </c>
      <c r="C2655" s="20" t="s">
        <v>2057</v>
      </c>
      <c r="D2655" s="20" t="s">
        <v>32</v>
      </c>
      <c r="E2655" s="21" t="s">
        <v>10291</v>
      </c>
      <c r="F2655" s="21" t="s">
        <v>10292</v>
      </c>
      <c r="G2655" s="20" t="s">
        <v>35</v>
      </c>
      <c r="H2655" s="20" t="s">
        <v>25</v>
      </c>
      <c r="I2655" s="21" t="s">
        <v>10293</v>
      </c>
      <c r="J2655" s="22">
        <f t="shared" si="205"/>
        <v>0.816666666665697</v>
      </c>
      <c r="K2655" s="22">
        <f t="shared" si="206"/>
        <v>19.5999999999767</v>
      </c>
      <c r="L2655" s="22">
        <f t="shared" si="207"/>
        <v>3.59999999997672</v>
      </c>
      <c r="M2655" s="22" cm="1">
        <f ca="1" t="array" ref="M2655">SUMPRODUCT(--(WEEKDAY(ROW(INDIRECT(INT(F2655)&amp;":"&amp;INT(I2655))),2)&gt;5))</f>
        <v>0</v>
      </c>
      <c r="N2655" s="22">
        <f ca="1" t="shared" si="208"/>
        <v>3.59999999997672</v>
      </c>
      <c r="O2655" s="22" t="str">
        <f ca="1" t="shared" si="209"/>
        <v>Within SLA</v>
      </c>
      <c r="P2655" s="26" t="s">
        <v>10290</v>
      </c>
      <c r="Q2655" s="24" t="s">
        <v>37</v>
      </c>
      <c r="R2655" s="25"/>
      <c r="S2655" s="25"/>
    </row>
    <row r="2656" ht="27" customHeight="1" spans="1:19">
      <c r="A2656" s="19" t="s">
        <v>10294</v>
      </c>
      <c r="B2656" s="20" t="s">
        <v>30</v>
      </c>
      <c r="C2656" s="20" t="s">
        <v>31</v>
      </c>
      <c r="D2656" s="20" t="s">
        <v>32</v>
      </c>
      <c r="E2656" s="21" t="s">
        <v>10295</v>
      </c>
      <c r="F2656" s="21" t="s">
        <v>10296</v>
      </c>
      <c r="G2656" s="20" t="s">
        <v>35</v>
      </c>
      <c r="H2656" s="20" t="s">
        <v>25</v>
      </c>
      <c r="I2656" s="21" t="s">
        <v>10297</v>
      </c>
      <c r="J2656" s="22">
        <f t="shared" si="205"/>
        <v>6.10000000000582</v>
      </c>
      <c r="K2656" s="22">
        <f t="shared" si="206"/>
        <v>146.40000000014</v>
      </c>
      <c r="L2656" s="22">
        <f t="shared" si="207"/>
        <v>50.4000000001397</v>
      </c>
      <c r="M2656" s="22" cm="1">
        <f ca="1" t="array" ref="M2656">SUMPRODUCT(--(WEEKDAY(ROW(INDIRECT(INT(F2656)&amp;":"&amp;INT(I2656))),2)&gt;5))</f>
        <v>2</v>
      </c>
      <c r="N2656" s="22">
        <f ca="1" t="shared" si="208"/>
        <v>34.4000000001397</v>
      </c>
      <c r="O2656" s="22" t="str">
        <f ca="1" t="shared" si="209"/>
        <v>SLA Violated</v>
      </c>
      <c r="P2656" s="26" t="s">
        <v>10294</v>
      </c>
      <c r="Q2656" s="24" t="s">
        <v>28</v>
      </c>
      <c r="R2656" s="25"/>
      <c r="S2656" s="25"/>
    </row>
    <row r="2657" ht="39" customHeight="1" spans="1:19">
      <c r="A2657" s="19" t="s">
        <v>10298</v>
      </c>
      <c r="B2657" s="20" t="s">
        <v>19</v>
      </c>
      <c r="C2657" s="20" t="s">
        <v>20</v>
      </c>
      <c r="D2657" s="20" t="s">
        <v>32</v>
      </c>
      <c r="E2657" s="21" t="s">
        <v>10297</v>
      </c>
      <c r="F2657" s="21" t="s">
        <v>10299</v>
      </c>
      <c r="G2657" s="20" t="s">
        <v>35</v>
      </c>
      <c r="H2657" s="20" t="s">
        <v>25</v>
      </c>
      <c r="I2657" s="21" t="s">
        <v>10300</v>
      </c>
      <c r="J2657" s="22">
        <f t="shared" si="205"/>
        <v>0.913194444445253</v>
      </c>
      <c r="K2657" s="22">
        <f t="shared" si="206"/>
        <v>21.9166666666861</v>
      </c>
      <c r="L2657" s="22">
        <f t="shared" si="207"/>
        <v>5.91666666668607</v>
      </c>
      <c r="M2657" s="22" cm="1">
        <f ca="1" t="array" ref="M2657">SUMPRODUCT(--(WEEKDAY(ROW(INDIRECT(INT(F2657)&amp;":"&amp;INT(I2657))),2)&gt;5))</f>
        <v>0</v>
      </c>
      <c r="N2657" s="22">
        <f ca="1" t="shared" si="208"/>
        <v>5.91666666668607</v>
      </c>
      <c r="O2657" s="22" t="str">
        <f ca="1" t="shared" si="209"/>
        <v>Within SLA</v>
      </c>
      <c r="P2657" s="26" t="s">
        <v>10298</v>
      </c>
      <c r="Q2657" s="24" t="s">
        <v>37</v>
      </c>
      <c r="R2657" s="25"/>
      <c r="S2657" s="25"/>
    </row>
    <row r="2658" ht="27" customHeight="1" spans="1:19">
      <c r="A2658" s="19" t="s">
        <v>10301</v>
      </c>
      <c r="B2658" s="20" t="s">
        <v>30</v>
      </c>
      <c r="C2658" s="20" t="s">
        <v>31</v>
      </c>
      <c r="D2658" s="20" t="s">
        <v>32</v>
      </c>
      <c r="E2658" s="21" t="s">
        <v>10302</v>
      </c>
      <c r="F2658" s="21" t="s">
        <v>10303</v>
      </c>
      <c r="G2658" s="20" t="s">
        <v>35</v>
      </c>
      <c r="H2658" s="20" t="s">
        <v>25</v>
      </c>
      <c r="I2658" s="21" t="s">
        <v>10304</v>
      </c>
      <c r="J2658" s="22">
        <f t="shared" si="205"/>
        <v>0.899305555554747</v>
      </c>
      <c r="K2658" s="22">
        <f t="shared" si="206"/>
        <v>21.5833333333139</v>
      </c>
      <c r="L2658" s="22">
        <f t="shared" si="207"/>
        <v>5.58333333331393</v>
      </c>
      <c r="M2658" s="22" cm="1">
        <f ca="1" t="array" ref="M2658">SUMPRODUCT(--(WEEKDAY(ROW(INDIRECT(INT(F2658)&amp;":"&amp;INT(I2658))),2)&gt;5))</f>
        <v>0</v>
      </c>
      <c r="N2658" s="22">
        <f ca="1" t="shared" si="208"/>
        <v>5.58333333331393</v>
      </c>
      <c r="O2658" s="22" t="str">
        <f ca="1" t="shared" si="209"/>
        <v>Within SLA</v>
      </c>
      <c r="P2658" s="26" t="s">
        <v>10301</v>
      </c>
      <c r="Q2658" s="24" t="s">
        <v>37</v>
      </c>
      <c r="R2658" s="25"/>
      <c r="S2658" s="25"/>
    </row>
    <row r="2659" ht="39" customHeight="1" spans="1:19">
      <c r="A2659" s="19" t="s">
        <v>10305</v>
      </c>
      <c r="B2659" s="20" t="s">
        <v>19</v>
      </c>
      <c r="C2659" s="20" t="s">
        <v>20</v>
      </c>
      <c r="D2659" s="20" t="s">
        <v>32</v>
      </c>
      <c r="E2659" s="21" t="s">
        <v>10306</v>
      </c>
      <c r="F2659" s="21" t="s">
        <v>10307</v>
      </c>
      <c r="G2659" s="20" t="s">
        <v>35</v>
      </c>
      <c r="H2659" s="20" t="s">
        <v>25</v>
      </c>
      <c r="I2659" s="21" t="s">
        <v>10308</v>
      </c>
      <c r="J2659" s="22">
        <f t="shared" si="205"/>
        <v>15.996527777781</v>
      </c>
      <c r="K2659" s="22">
        <f t="shared" si="206"/>
        <v>383.916666666744</v>
      </c>
      <c r="L2659" s="22">
        <f t="shared" si="207"/>
        <v>127.916666666744</v>
      </c>
      <c r="M2659" s="22" cm="1">
        <f ca="1" t="array" ref="M2659">SUMPRODUCT(--(WEEKDAY(ROW(INDIRECT(INT(F2659)&amp;":"&amp;INT(I2659))),2)&gt;5))</f>
        <v>4</v>
      </c>
      <c r="N2659" s="22">
        <f ca="1" t="shared" si="208"/>
        <v>95.916666666744</v>
      </c>
      <c r="O2659" s="22" t="str">
        <f ca="1" t="shared" si="209"/>
        <v>SLA Violated</v>
      </c>
      <c r="P2659" s="23" t="s">
        <v>10309</v>
      </c>
      <c r="Q2659" s="24" t="s">
        <v>37</v>
      </c>
      <c r="R2659" s="25" t="s">
        <v>2033</v>
      </c>
      <c r="S2659" s="25" t="s">
        <v>39</v>
      </c>
    </row>
    <row r="2660" ht="39" customHeight="1" spans="1:19">
      <c r="A2660" s="19" t="s">
        <v>10310</v>
      </c>
      <c r="B2660" s="20" t="s">
        <v>196</v>
      </c>
      <c r="C2660" s="20" t="s">
        <v>2057</v>
      </c>
      <c r="D2660" s="20" t="s">
        <v>105</v>
      </c>
      <c r="E2660" s="21" t="s">
        <v>10311</v>
      </c>
      <c r="F2660" s="21" t="s">
        <v>10312</v>
      </c>
      <c r="G2660" s="20" t="s">
        <v>35</v>
      </c>
      <c r="H2660" s="20" t="s">
        <v>25</v>
      </c>
      <c r="I2660" s="21" t="s">
        <v>10313</v>
      </c>
      <c r="J2660" s="22">
        <f t="shared" si="205"/>
        <v>9.9194444444438</v>
      </c>
      <c r="K2660" s="22">
        <f t="shared" si="206"/>
        <v>238.066666666651</v>
      </c>
      <c r="L2660" s="22">
        <f t="shared" si="207"/>
        <v>78.0666666666511</v>
      </c>
      <c r="M2660" s="22" cm="1">
        <f ca="1" t="array" ref="M2660">SUMPRODUCT(--(WEEKDAY(ROW(INDIRECT(INT(F2660)&amp;":"&amp;INT(I2660))),2)&gt;5))</f>
        <v>2</v>
      </c>
      <c r="N2660" s="22">
        <f ca="1" t="shared" si="208"/>
        <v>62.0666666666511</v>
      </c>
      <c r="O2660" s="22" t="str">
        <f ca="1" t="shared" si="209"/>
        <v>SLA Violated</v>
      </c>
      <c r="P2660" s="23" t="s">
        <v>10314</v>
      </c>
      <c r="Q2660" s="24" t="s">
        <v>28</v>
      </c>
      <c r="R2660" s="25"/>
      <c r="S2660" s="25"/>
    </row>
    <row r="2661" ht="39" customHeight="1" spans="1:19">
      <c r="A2661" s="19" t="s">
        <v>10315</v>
      </c>
      <c r="B2661" s="20" t="s">
        <v>196</v>
      </c>
      <c r="C2661" s="20" t="s">
        <v>2057</v>
      </c>
      <c r="D2661" s="20" t="s">
        <v>32</v>
      </c>
      <c r="E2661" s="21" t="s">
        <v>10316</v>
      </c>
      <c r="F2661" s="21" t="s">
        <v>10317</v>
      </c>
      <c r="G2661" s="20" t="s">
        <v>35</v>
      </c>
      <c r="H2661" s="20" t="s">
        <v>25</v>
      </c>
      <c r="I2661" s="21" t="s">
        <v>10318</v>
      </c>
      <c r="J2661" s="22">
        <f t="shared" si="205"/>
        <v>6.89236111110949</v>
      </c>
      <c r="K2661" s="22">
        <f t="shared" si="206"/>
        <v>165.416666666628</v>
      </c>
      <c r="L2661" s="22">
        <f t="shared" si="207"/>
        <v>53.4166666666279</v>
      </c>
      <c r="M2661" s="22" cm="1">
        <f ca="1" t="array" ref="M2661">SUMPRODUCT(--(WEEKDAY(ROW(INDIRECT(INT(F2661)&amp;":"&amp;INT(I2661))),2)&gt;5))</f>
        <v>2</v>
      </c>
      <c r="N2661" s="22">
        <f ca="1" t="shared" si="208"/>
        <v>37.4166666666279</v>
      </c>
      <c r="O2661" s="22" t="str">
        <f ca="1" t="shared" si="209"/>
        <v>SLA Violated</v>
      </c>
      <c r="P2661" s="23" t="s">
        <v>10319</v>
      </c>
      <c r="Q2661" s="24" t="s">
        <v>28</v>
      </c>
      <c r="R2661" s="25"/>
      <c r="S2661" s="25"/>
    </row>
    <row r="2662" ht="27" customHeight="1" spans="1:19">
      <c r="A2662" s="19" t="s">
        <v>10320</v>
      </c>
      <c r="B2662" s="20" t="s">
        <v>30</v>
      </c>
      <c r="C2662" s="20" t="s">
        <v>2057</v>
      </c>
      <c r="D2662" s="20" t="s">
        <v>32</v>
      </c>
      <c r="E2662" s="21" t="s">
        <v>10316</v>
      </c>
      <c r="F2662" s="21" t="s">
        <v>10321</v>
      </c>
      <c r="G2662" s="20" t="s">
        <v>35</v>
      </c>
      <c r="H2662" s="20" t="s">
        <v>25</v>
      </c>
      <c r="I2662" s="21" t="s">
        <v>10322</v>
      </c>
      <c r="J2662" s="22">
        <f t="shared" si="205"/>
        <v>0.740972222221899</v>
      </c>
      <c r="K2662" s="22">
        <f t="shared" si="206"/>
        <v>17.7833333333256</v>
      </c>
      <c r="L2662" s="22">
        <f t="shared" si="207"/>
        <v>1.78333333332557</v>
      </c>
      <c r="M2662" s="22" cm="1">
        <f ca="1" t="array" ref="M2662">SUMPRODUCT(--(WEEKDAY(ROW(INDIRECT(INT(F2662)&amp;":"&amp;INT(I2662))),2)&gt;5))</f>
        <v>0</v>
      </c>
      <c r="N2662" s="22">
        <f ca="1" t="shared" si="208"/>
        <v>1.78333333332557</v>
      </c>
      <c r="O2662" s="22" t="str">
        <f ca="1" t="shared" si="209"/>
        <v>Within SLA</v>
      </c>
      <c r="P2662" s="26" t="s">
        <v>10320</v>
      </c>
      <c r="Q2662" s="24" t="s">
        <v>37</v>
      </c>
      <c r="R2662" s="25"/>
      <c r="S2662" s="25"/>
    </row>
    <row r="2663" ht="27" customHeight="1" spans="1:19">
      <c r="A2663" s="19" t="s">
        <v>10323</v>
      </c>
      <c r="B2663" s="20" t="s">
        <v>30</v>
      </c>
      <c r="C2663" s="20" t="s">
        <v>2057</v>
      </c>
      <c r="D2663" s="20" t="s">
        <v>32</v>
      </c>
      <c r="E2663" s="21" t="s">
        <v>10316</v>
      </c>
      <c r="F2663" s="21" t="s">
        <v>10324</v>
      </c>
      <c r="G2663" s="20" t="s">
        <v>35</v>
      </c>
      <c r="H2663" s="20" t="s">
        <v>25</v>
      </c>
      <c r="I2663" s="21" t="s">
        <v>10322</v>
      </c>
      <c r="J2663" s="22">
        <f t="shared" si="205"/>
        <v>0.749305555553292</v>
      </c>
      <c r="K2663" s="22">
        <f t="shared" si="206"/>
        <v>17.983333333279</v>
      </c>
      <c r="L2663" s="22">
        <f t="shared" si="207"/>
        <v>1.98333333327901</v>
      </c>
      <c r="M2663" s="22" cm="1">
        <f ca="1" t="array" ref="M2663">SUMPRODUCT(--(WEEKDAY(ROW(INDIRECT(INT(F2663)&amp;":"&amp;INT(I2663))),2)&gt;5))</f>
        <v>0</v>
      </c>
      <c r="N2663" s="22">
        <f ca="1" t="shared" si="208"/>
        <v>1.98333333327901</v>
      </c>
      <c r="O2663" s="22" t="str">
        <f ca="1" t="shared" si="209"/>
        <v>Within SLA</v>
      </c>
      <c r="P2663" s="26" t="s">
        <v>10323</v>
      </c>
      <c r="Q2663" s="24" t="s">
        <v>37</v>
      </c>
      <c r="R2663" s="25"/>
      <c r="S2663" s="25"/>
    </row>
    <row r="2664" ht="27" customHeight="1" spans="1:19">
      <c r="A2664" s="19" t="s">
        <v>10325</v>
      </c>
      <c r="B2664" s="20" t="s">
        <v>30</v>
      </c>
      <c r="C2664" s="20" t="s">
        <v>31</v>
      </c>
      <c r="D2664" s="20" t="s">
        <v>32</v>
      </c>
      <c r="E2664" s="21" t="s">
        <v>10326</v>
      </c>
      <c r="F2664" s="21" t="s">
        <v>10327</v>
      </c>
      <c r="G2664" s="20" t="s">
        <v>35</v>
      </c>
      <c r="H2664" s="20" t="s">
        <v>25</v>
      </c>
      <c r="I2664" s="21" t="s">
        <v>10197</v>
      </c>
      <c r="J2664" s="22">
        <f t="shared" si="205"/>
        <v>2.1118055555562</v>
      </c>
      <c r="K2664" s="22">
        <f t="shared" si="206"/>
        <v>50.6833333333489</v>
      </c>
      <c r="L2664" s="22">
        <f t="shared" si="207"/>
        <v>18.6833333333489</v>
      </c>
      <c r="M2664" s="22" cm="1">
        <f ca="1" t="array" ref="M2664">SUMPRODUCT(--(WEEKDAY(ROW(INDIRECT(INT(F2664)&amp;":"&amp;INT(I2664))),2)&gt;5))</f>
        <v>0</v>
      </c>
      <c r="N2664" s="22">
        <f ca="1" t="shared" si="208"/>
        <v>18.6833333333489</v>
      </c>
      <c r="O2664" s="22" t="str">
        <f ca="1" t="shared" si="209"/>
        <v>SLA Violated</v>
      </c>
      <c r="P2664" s="26" t="s">
        <v>10325</v>
      </c>
      <c r="Q2664" s="24" t="s">
        <v>28</v>
      </c>
      <c r="R2664" s="25"/>
      <c r="S2664" s="25"/>
    </row>
    <row r="2665" ht="27" customHeight="1" spans="1:19">
      <c r="A2665" s="19" t="s">
        <v>10328</v>
      </c>
      <c r="B2665" s="20" t="s">
        <v>30</v>
      </c>
      <c r="C2665" s="20" t="s">
        <v>2057</v>
      </c>
      <c r="D2665" s="20" t="s">
        <v>32</v>
      </c>
      <c r="E2665" s="21" t="s">
        <v>10329</v>
      </c>
      <c r="F2665" s="21" t="s">
        <v>10330</v>
      </c>
      <c r="G2665" s="20" t="s">
        <v>35</v>
      </c>
      <c r="H2665" s="20" t="s">
        <v>25</v>
      </c>
      <c r="I2665" s="21" t="s">
        <v>10331</v>
      </c>
      <c r="J2665" s="22">
        <f t="shared" si="205"/>
        <v>1.83333333332848</v>
      </c>
      <c r="K2665" s="22">
        <f t="shared" si="206"/>
        <v>43.9999999998836</v>
      </c>
      <c r="L2665" s="22">
        <f t="shared" si="207"/>
        <v>11.9999999998836</v>
      </c>
      <c r="M2665" s="22" cm="1">
        <f ca="1" t="array" ref="M2665">SUMPRODUCT(--(WEEKDAY(ROW(INDIRECT(INT(F2665)&amp;":"&amp;INT(I2665))),2)&gt;5))</f>
        <v>0</v>
      </c>
      <c r="N2665" s="22">
        <f ca="1" t="shared" si="208"/>
        <v>11.9999999998836</v>
      </c>
      <c r="O2665" s="22" t="str">
        <f ca="1" t="shared" si="209"/>
        <v>Within SLA</v>
      </c>
      <c r="P2665" s="26" t="s">
        <v>10328</v>
      </c>
      <c r="Q2665" s="24" t="s">
        <v>37</v>
      </c>
      <c r="R2665" s="25"/>
      <c r="S2665" s="25"/>
    </row>
    <row r="2666" ht="39" customHeight="1" spans="1:19">
      <c r="A2666" s="19" t="s">
        <v>10332</v>
      </c>
      <c r="B2666" s="20" t="s">
        <v>19</v>
      </c>
      <c r="C2666" s="20" t="s">
        <v>20</v>
      </c>
      <c r="D2666" s="20" t="s">
        <v>32</v>
      </c>
      <c r="E2666" s="21" t="s">
        <v>10039</v>
      </c>
      <c r="F2666" s="21" t="s">
        <v>10082</v>
      </c>
      <c r="G2666" s="20" t="s">
        <v>24</v>
      </c>
      <c r="H2666" s="20" t="s">
        <v>25</v>
      </c>
      <c r="I2666" s="21" t="s">
        <v>10333</v>
      </c>
      <c r="J2666" s="22">
        <f t="shared" si="205"/>
        <v>8.97847222222481</v>
      </c>
      <c r="K2666" s="22">
        <f t="shared" si="206"/>
        <v>215.483333333395</v>
      </c>
      <c r="L2666" s="22">
        <f t="shared" si="207"/>
        <v>71.4833333333954</v>
      </c>
      <c r="M2666" s="22" cm="1">
        <f ca="1" t="array" ref="M2666">SUMPRODUCT(--(WEEKDAY(ROW(INDIRECT(INT(F2666)&amp;":"&amp;INT(I2666))),2)&gt;5))</f>
        <v>2</v>
      </c>
      <c r="N2666" s="22">
        <f ca="1" t="shared" si="208"/>
        <v>55.4833333333954</v>
      </c>
      <c r="O2666" s="22" t="str">
        <f ca="1" t="shared" si="209"/>
        <v>SLA Violated</v>
      </c>
      <c r="P2666" s="23" t="s">
        <v>10334</v>
      </c>
      <c r="Q2666" s="24" t="s">
        <v>37</v>
      </c>
      <c r="R2666" s="25" t="s">
        <v>8961</v>
      </c>
      <c r="S2666" s="25" t="s">
        <v>39</v>
      </c>
    </row>
    <row r="2667" ht="27" customHeight="1" spans="1:19">
      <c r="A2667" s="19" t="s">
        <v>10335</v>
      </c>
      <c r="B2667" s="20" t="s">
        <v>30</v>
      </c>
      <c r="C2667" s="20" t="s">
        <v>31</v>
      </c>
      <c r="D2667" s="20" t="s">
        <v>21</v>
      </c>
      <c r="E2667" s="21" t="s">
        <v>10331</v>
      </c>
      <c r="F2667" s="21" t="s">
        <v>5931</v>
      </c>
      <c r="G2667" s="20" t="s">
        <v>24</v>
      </c>
      <c r="H2667" s="20" t="s">
        <v>25</v>
      </c>
      <c r="I2667" s="21" t="s">
        <v>10336</v>
      </c>
      <c r="J2667" s="22">
        <f t="shared" si="205"/>
        <v>35.9708333333328</v>
      </c>
      <c r="K2667" s="22">
        <f t="shared" si="206"/>
        <v>863.299999999988</v>
      </c>
      <c r="L2667" s="22">
        <f t="shared" si="207"/>
        <v>287.299999999988</v>
      </c>
      <c r="M2667" s="22" cm="1">
        <f ca="1" t="array" ref="M2667">SUMPRODUCT(--(WEEKDAY(ROW(INDIRECT(INT(F2667)&amp;":"&amp;INT(I2667))),2)&gt;5))</f>
        <v>10</v>
      </c>
      <c r="N2667" s="22">
        <f ca="1" t="shared" si="208"/>
        <v>207.299999999988</v>
      </c>
      <c r="O2667" s="22" t="str">
        <f ca="1" t="shared" si="209"/>
        <v>SLA Violated</v>
      </c>
      <c r="P2667" s="26" t="s">
        <v>10335</v>
      </c>
      <c r="Q2667" s="24" t="s">
        <v>28</v>
      </c>
      <c r="R2667" s="25"/>
      <c r="S2667" s="25"/>
    </row>
    <row r="2668" ht="39" customHeight="1" spans="1:19">
      <c r="A2668" s="19" t="s">
        <v>10337</v>
      </c>
      <c r="B2668" s="20" t="s">
        <v>19</v>
      </c>
      <c r="C2668" s="20" t="s">
        <v>46</v>
      </c>
      <c r="D2668" s="20" t="s">
        <v>32</v>
      </c>
      <c r="E2668" s="21" t="s">
        <v>10331</v>
      </c>
      <c r="F2668" s="21" t="s">
        <v>10338</v>
      </c>
      <c r="G2668" s="20" t="s">
        <v>35</v>
      </c>
      <c r="H2668" s="20" t="s">
        <v>25</v>
      </c>
      <c r="I2668" s="21" t="s">
        <v>10339</v>
      </c>
      <c r="J2668" s="22">
        <f t="shared" si="205"/>
        <v>0.0263888888948713</v>
      </c>
      <c r="K2668" s="22">
        <f t="shared" si="206"/>
        <v>0.633333333476912</v>
      </c>
      <c r="L2668" s="22">
        <f t="shared" si="207"/>
        <v>0.633333333476912</v>
      </c>
      <c r="M2668" s="22" cm="1">
        <f ca="1" t="array" ref="M2668">SUMPRODUCT(--(WEEKDAY(ROW(INDIRECT(INT(F2668)&amp;":"&amp;INT(I2668))),2)&gt;5))</f>
        <v>0</v>
      </c>
      <c r="N2668" s="22">
        <f ca="1" t="shared" si="208"/>
        <v>0.633333333476912</v>
      </c>
      <c r="O2668" s="22" t="str">
        <f ca="1" t="shared" si="209"/>
        <v>Within SLA</v>
      </c>
      <c r="P2668" s="26" t="s">
        <v>10337</v>
      </c>
      <c r="Q2668" s="24" t="s">
        <v>37</v>
      </c>
      <c r="R2668" s="25"/>
      <c r="S2668" s="25"/>
    </row>
    <row r="2669" ht="27" customHeight="1" spans="1:19">
      <c r="A2669" s="19" t="s">
        <v>10340</v>
      </c>
      <c r="B2669" s="20" t="s">
        <v>30</v>
      </c>
      <c r="C2669" s="20" t="s">
        <v>31</v>
      </c>
      <c r="D2669" s="20" t="s">
        <v>32</v>
      </c>
      <c r="E2669" s="21" t="s">
        <v>10322</v>
      </c>
      <c r="F2669" s="21" t="s">
        <v>10341</v>
      </c>
      <c r="G2669" s="20" t="s">
        <v>35</v>
      </c>
      <c r="H2669" s="20" t="s">
        <v>25</v>
      </c>
      <c r="I2669" s="21" t="s">
        <v>10336</v>
      </c>
      <c r="J2669" s="22">
        <f t="shared" si="205"/>
        <v>6.17708333333576</v>
      </c>
      <c r="K2669" s="22">
        <f t="shared" si="206"/>
        <v>148.250000000058</v>
      </c>
      <c r="L2669" s="22">
        <f t="shared" si="207"/>
        <v>52.2500000000582</v>
      </c>
      <c r="M2669" s="22" cm="1">
        <f ca="1" t="array" ref="M2669">SUMPRODUCT(--(WEEKDAY(ROW(INDIRECT(INT(F2669)&amp;":"&amp;INT(I2669))),2)&gt;5))</f>
        <v>2</v>
      </c>
      <c r="N2669" s="22">
        <f ca="1" t="shared" si="208"/>
        <v>36.2500000000582</v>
      </c>
      <c r="O2669" s="22" t="str">
        <f ca="1" t="shared" si="209"/>
        <v>SLA Violated</v>
      </c>
      <c r="P2669" s="26" t="s">
        <v>10340</v>
      </c>
      <c r="Q2669" s="24" t="s">
        <v>28</v>
      </c>
      <c r="R2669" s="25"/>
      <c r="S2669" s="25"/>
    </row>
    <row r="2670" ht="27" customHeight="1" spans="1:19">
      <c r="A2670" s="19" t="s">
        <v>10342</v>
      </c>
      <c r="B2670" s="20" t="s">
        <v>30</v>
      </c>
      <c r="C2670" s="20" t="s">
        <v>31</v>
      </c>
      <c r="D2670" s="20" t="s">
        <v>32</v>
      </c>
      <c r="E2670" s="21" t="s">
        <v>10343</v>
      </c>
      <c r="F2670" s="21" t="s">
        <v>10344</v>
      </c>
      <c r="G2670" s="20" t="s">
        <v>35</v>
      </c>
      <c r="H2670" s="20" t="s">
        <v>25</v>
      </c>
      <c r="I2670" s="21" t="s">
        <v>10345</v>
      </c>
      <c r="J2670" s="22">
        <f t="shared" si="205"/>
        <v>0.927083333335759</v>
      </c>
      <c r="K2670" s="22">
        <f t="shared" si="206"/>
        <v>22.2500000000582</v>
      </c>
      <c r="L2670" s="22">
        <f t="shared" si="207"/>
        <v>6.25000000005821</v>
      </c>
      <c r="M2670" s="22" cm="1">
        <f ca="1" t="array" ref="M2670">SUMPRODUCT(--(WEEKDAY(ROW(INDIRECT(INT(F2670)&amp;":"&amp;INT(I2670))),2)&gt;5))</f>
        <v>0</v>
      </c>
      <c r="N2670" s="22">
        <f ca="1" t="shared" si="208"/>
        <v>6.25000000005821</v>
      </c>
      <c r="O2670" s="22" t="str">
        <f ca="1" t="shared" si="209"/>
        <v>Within SLA</v>
      </c>
      <c r="P2670" s="26" t="s">
        <v>10342</v>
      </c>
      <c r="Q2670" s="24" t="s">
        <v>37</v>
      </c>
      <c r="R2670" s="25"/>
      <c r="S2670" s="25"/>
    </row>
    <row r="2671" ht="27" customHeight="1" spans="1:19">
      <c r="A2671" s="19" t="s">
        <v>10346</v>
      </c>
      <c r="B2671" s="20" t="s">
        <v>30</v>
      </c>
      <c r="C2671" s="20" t="s">
        <v>31</v>
      </c>
      <c r="D2671" s="20" t="s">
        <v>21</v>
      </c>
      <c r="E2671" s="21" t="s">
        <v>10345</v>
      </c>
      <c r="F2671" s="21" t="s">
        <v>10347</v>
      </c>
      <c r="G2671" s="20" t="s">
        <v>35</v>
      </c>
      <c r="H2671" s="20" t="s">
        <v>25</v>
      </c>
      <c r="I2671" s="21" t="s">
        <v>10348</v>
      </c>
      <c r="J2671" s="22">
        <f t="shared" si="205"/>
        <v>6.76736111110949</v>
      </c>
      <c r="K2671" s="22">
        <f t="shared" si="206"/>
        <v>162.416666666628</v>
      </c>
      <c r="L2671" s="22">
        <f t="shared" si="207"/>
        <v>50.4166666666279</v>
      </c>
      <c r="M2671" s="22" cm="1">
        <f ca="1" t="array" ref="M2671">SUMPRODUCT(--(WEEKDAY(ROW(INDIRECT(INT(F2671)&amp;":"&amp;INT(I2671))),2)&gt;5))</f>
        <v>2</v>
      </c>
      <c r="N2671" s="22">
        <f ca="1" t="shared" si="208"/>
        <v>34.4166666666279</v>
      </c>
      <c r="O2671" s="22" t="str">
        <f ca="1" t="shared" si="209"/>
        <v>SLA Violated</v>
      </c>
      <c r="P2671" s="26" t="s">
        <v>10346</v>
      </c>
      <c r="Q2671" s="24" t="s">
        <v>28</v>
      </c>
      <c r="R2671" s="25"/>
      <c r="S2671" s="25"/>
    </row>
    <row r="2672" ht="39" customHeight="1" spans="1:19">
      <c r="A2672" s="19" t="s">
        <v>10349</v>
      </c>
      <c r="B2672" s="20" t="s">
        <v>19</v>
      </c>
      <c r="C2672" s="20" t="s">
        <v>20</v>
      </c>
      <c r="D2672" s="20" t="s">
        <v>32</v>
      </c>
      <c r="E2672" s="21" t="s">
        <v>10350</v>
      </c>
      <c r="F2672" s="21" t="s">
        <v>10351</v>
      </c>
      <c r="G2672" s="20" t="s">
        <v>24</v>
      </c>
      <c r="H2672" s="20" t="s">
        <v>25</v>
      </c>
      <c r="I2672" s="21" t="s">
        <v>10352</v>
      </c>
      <c r="J2672" s="22">
        <f t="shared" si="205"/>
        <v>8.9506944444438</v>
      </c>
      <c r="K2672" s="22">
        <f t="shared" si="206"/>
        <v>214.816666666651</v>
      </c>
      <c r="L2672" s="22">
        <f t="shared" si="207"/>
        <v>70.8166666666511</v>
      </c>
      <c r="M2672" s="22" cm="1">
        <f ca="1" t="array" ref="M2672">SUMPRODUCT(--(WEEKDAY(ROW(INDIRECT(INT(F2672)&amp;":"&amp;INT(I2672))),2)&gt;5))</f>
        <v>2</v>
      </c>
      <c r="N2672" s="22">
        <f ca="1" t="shared" si="208"/>
        <v>54.8166666666511</v>
      </c>
      <c r="O2672" s="22" t="str">
        <f ca="1" t="shared" si="209"/>
        <v>SLA Violated</v>
      </c>
      <c r="P2672" s="23" t="s">
        <v>10353</v>
      </c>
      <c r="Q2672" s="24" t="s">
        <v>37</v>
      </c>
      <c r="R2672" s="25" t="s">
        <v>8961</v>
      </c>
      <c r="S2672" s="25" t="s">
        <v>39</v>
      </c>
    </row>
    <row r="2673" ht="39" customHeight="1" spans="1:19">
      <c r="A2673" s="19" t="s">
        <v>10354</v>
      </c>
      <c r="B2673" s="20" t="s">
        <v>19</v>
      </c>
      <c r="C2673" s="20" t="s">
        <v>20</v>
      </c>
      <c r="D2673" s="20" t="s">
        <v>32</v>
      </c>
      <c r="E2673" s="21" t="s">
        <v>10355</v>
      </c>
      <c r="F2673" s="21" t="s">
        <v>10356</v>
      </c>
      <c r="G2673" s="20" t="s">
        <v>35</v>
      </c>
      <c r="H2673" s="20" t="s">
        <v>25</v>
      </c>
      <c r="I2673" s="21" t="s">
        <v>10357</v>
      </c>
      <c r="J2673" s="22">
        <f t="shared" si="205"/>
        <v>0.0201388888890506</v>
      </c>
      <c r="K2673" s="22">
        <f t="shared" si="206"/>
        <v>0.483333333337214</v>
      </c>
      <c r="L2673" s="22">
        <f t="shared" si="207"/>
        <v>0.483333333337214</v>
      </c>
      <c r="M2673" s="22" cm="1">
        <f ca="1" t="array" ref="M2673">SUMPRODUCT(--(WEEKDAY(ROW(INDIRECT(INT(F2673)&amp;":"&amp;INT(I2673))),2)&gt;5))</f>
        <v>0</v>
      </c>
      <c r="N2673" s="22">
        <f ca="1" t="shared" si="208"/>
        <v>0.483333333337214</v>
      </c>
      <c r="O2673" s="22" t="str">
        <f ca="1" t="shared" si="209"/>
        <v>Within SLA</v>
      </c>
      <c r="P2673" s="26" t="s">
        <v>10354</v>
      </c>
      <c r="Q2673" s="24" t="s">
        <v>37</v>
      </c>
      <c r="R2673" s="25"/>
      <c r="S2673" s="25"/>
    </row>
    <row r="2674" ht="27" customHeight="1" spans="1:19">
      <c r="A2674" s="19" t="s">
        <v>10358</v>
      </c>
      <c r="B2674" s="20" t="s">
        <v>30</v>
      </c>
      <c r="C2674" s="20" t="s">
        <v>31</v>
      </c>
      <c r="D2674" s="20" t="s">
        <v>32</v>
      </c>
      <c r="E2674" s="21" t="s">
        <v>10359</v>
      </c>
      <c r="F2674" s="21" t="s">
        <v>10360</v>
      </c>
      <c r="G2674" s="20" t="s">
        <v>35</v>
      </c>
      <c r="H2674" s="20" t="s">
        <v>25</v>
      </c>
      <c r="I2674" s="21" t="s">
        <v>10361</v>
      </c>
      <c r="J2674" s="22">
        <f t="shared" si="205"/>
        <v>0.258333333338669</v>
      </c>
      <c r="K2674" s="22">
        <f t="shared" si="206"/>
        <v>6.20000000012806</v>
      </c>
      <c r="L2674" s="22">
        <f t="shared" si="207"/>
        <v>6.20000000012806</v>
      </c>
      <c r="M2674" s="22" cm="1">
        <f ca="1" t="array" ref="M2674">SUMPRODUCT(--(WEEKDAY(ROW(INDIRECT(INT(F2674)&amp;":"&amp;INT(I2674))),2)&gt;5))</f>
        <v>0</v>
      </c>
      <c r="N2674" s="22">
        <f ca="1" t="shared" si="208"/>
        <v>6.20000000012806</v>
      </c>
      <c r="O2674" s="22" t="str">
        <f ca="1" t="shared" si="209"/>
        <v>Within SLA</v>
      </c>
      <c r="P2674" s="26" t="s">
        <v>10358</v>
      </c>
      <c r="Q2674" s="24" t="s">
        <v>37</v>
      </c>
      <c r="R2674" s="25"/>
      <c r="S2674" s="25"/>
    </row>
    <row r="2675" ht="27" customHeight="1" spans="1:19">
      <c r="A2675" s="19" t="s">
        <v>10362</v>
      </c>
      <c r="B2675" s="20" t="s">
        <v>30</v>
      </c>
      <c r="C2675" s="20" t="s">
        <v>2057</v>
      </c>
      <c r="D2675" s="20" t="s">
        <v>32</v>
      </c>
      <c r="E2675" s="21" t="s">
        <v>10363</v>
      </c>
      <c r="F2675" s="21" t="s">
        <v>10364</v>
      </c>
      <c r="G2675" s="20" t="s">
        <v>35</v>
      </c>
      <c r="H2675" s="20" t="s">
        <v>25</v>
      </c>
      <c r="I2675" s="21" t="s">
        <v>10365</v>
      </c>
      <c r="J2675" s="22">
        <f t="shared" si="205"/>
        <v>0.00694444444525288</v>
      </c>
      <c r="K2675" s="22">
        <f t="shared" si="206"/>
        <v>0.166666666686069</v>
      </c>
      <c r="L2675" s="22">
        <f t="shared" si="207"/>
        <v>0.166666666686069</v>
      </c>
      <c r="M2675" s="22" cm="1">
        <f ca="1" t="array" ref="M2675">SUMPRODUCT(--(WEEKDAY(ROW(INDIRECT(INT(F2675)&amp;":"&amp;INT(I2675))),2)&gt;5))</f>
        <v>0</v>
      </c>
      <c r="N2675" s="22">
        <f ca="1" t="shared" si="208"/>
        <v>0.166666666686069</v>
      </c>
      <c r="O2675" s="22" t="str">
        <f ca="1" t="shared" si="209"/>
        <v>Within SLA</v>
      </c>
      <c r="P2675" s="26" t="s">
        <v>10362</v>
      </c>
      <c r="Q2675" s="24" t="s">
        <v>37</v>
      </c>
      <c r="R2675" s="25"/>
      <c r="S2675" s="25"/>
    </row>
    <row r="2676" ht="27" customHeight="1" spans="1:19">
      <c r="A2676" s="19" t="s">
        <v>10366</v>
      </c>
      <c r="B2676" s="20" t="s">
        <v>30</v>
      </c>
      <c r="C2676" s="20" t="s">
        <v>31</v>
      </c>
      <c r="D2676" s="20" t="s">
        <v>32</v>
      </c>
      <c r="E2676" s="21" t="s">
        <v>10363</v>
      </c>
      <c r="F2676" s="21" t="s">
        <v>10367</v>
      </c>
      <c r="G2676" s="20" t="s">
        <v>35</v>
      </c>
      <c r="H2676" s="20" t="s">
        <v>25</v>
      </c>
      <c r="I2676" s="21" t="s">
        <v>10368</v>
      </c>
      <c r="J2676" s="22">
        <f t="shared" si="205"/>
        <v>0.143055555548926</v>
      </c>
      <c r="K2676" s="22">
        <f t="shared" si="206"/>
        <v>3.43333333317423</v>
      </c>
      <c r="L2676" s="22">
        <f t="shared" si="207"/>
        <v>3.43333333317423</v>
      </c>
      <c r="M2676" s="22" cm="1">
        <f ca="1" t="array" ref="M2676">SUMPRODUCT(--(WEEKDAY(ROW(INDIRECT(INT(F2676)&amp;":"&amp;INT(I2676))),2)&gt;5))</f>
        <v>0</v>
      </c>
      <c r="N2676" s="22">
        <f ca="1" t="shared" si="208"/>
        <v>3.43333333317423</v>
      </c>
      <c r="O2676" s="22" t="str">
        <f ca="1" t="shared" si="209"/>
        <v>Within SLA</v>
      </c>
      <c r="P2676" s="26" t="s">
        <v>10366</v>
      </c>
      <c r="Q2676" s="24" t="s">
        <v>37</v>
      </c>
      <c r="R2676" s="25"/>
      <c r="S2676" s="25"/>
    </row>
    <row r="2677" ht="27" customHeight="1" spans="1:19">
      <c r="A2677" s="19" t="s">
        <v>10369</v>
      </c>
      <c r="B2677" s="20" t="s">
        <v>30</v>
      </c>
      <c r="C2677" s="20" t="s">
        <v>2057</v>
      </c>
      <c r="D2677" s="20" t="s">
        <v>32</v>
      </c>
      <c r="E2677" s="21" t="s">
        <v>10370</v>
      </c>
      <c r="F2677" s="21" t="s">
        <v>10371</v>
      </c>
      <c r="G2677" s="20" t="s">
        <v>35</v>
      </c>
      <c r="H2677" s="20" t="s">
        <v>25</v>
      </c>
      <c r="I2677" s="21" t="s">
        <v>10372</v>
      </c>
      <c r="J2677" s="22">
        <f t="shared" si="205"/>
        <v>1.12708333333285</v>
      </c>
      <c r="K2677" s="22">
        <f t="shared" si="206"/>
        <v>27.0499999999884</v>
      </c>
      <c r="L2677" s="22">
        <f t="shared" si="207"/>
        <v>11.0499999999884</v>
      </c>
      <c r="M2677" s="22" cm="1">
        <f ca="1" t="array" ref="M2677">SUMPRODUCT(--(WEEKDAY(ROW(INDIRECT(INT(F2677)&amp;":"&amp;INT(I2677))),2)&gt;5))</f>
        <v>0</v>
      </c>
      <c r="N2677" s="22">
        <f ca="1" t="shared" si="208"/>
        <v>11.0499999999884</v>
      </c>
      <c r="O2677" s="22" t="str">
        <f ca="1" t="shared" si="209"/>
        <v>Within SLA</v>
      </c>
      <c r="P2677" s="26" t="s">
        <v>10369</v>
      </c>
      <c r="Q2677" s="24" t="s">
        <v>37</v>
      </c>
      <c r="R2677" s="25"/>
      <c r="S2677" s="25"/>
    </row>
    <row r="2678" ht="27" customHeight="1" spans="1:19">
      <c r="A2678" s="19" t="s">
        <v>10373</v>
      </c>
      <c r="B2678" s="20" t="s">
        <v>30</v>
      </c>
      <c r="C2678" s="20" t="s">
        <v>31</v>
      </c>
      <c r="D2678" s="20" t="s">
        <v>32</v>
      </c>
      <c r="E2678" s="21" t="s">
        <v>10374</v>
      </c>
      <c r="F2678" s="21" t="s">
        <v>9517</v>
      </c>
      <c r="G2678" s="20" t="s">
        <v>35</v>
      </c>
      <c r="H2678" s="20" t="s">
        <v>25</v>
      </c>
      <c r="I2678" s="21" t="s">
        <v>10375</v>
      </c>
      <c r="J2678" s="22">
        <f t="shared" si="205"/>
        <v>6.20000000000437</v>
      </c>
      <c r="K2678" s="22">
        <f t="shared" si="206"/>
        <v>148.800000000105</v>
      </c>
      <c r="L2678" s="22">
        <f t="shared" si="207"/>
        <v>52.8000000001048</v>
      </c>
      <c r="M2678" s="22" cm="1">
        <f ca="1" t="array" ref="M2678">SUMPRODUCT(--(WEEKDAY(ROW(INDIRECT(INT(F2678)&amp;":"&amp;INT(I2678))),2)&gt;5))</f>
        <v>2</v>
      </c>
      <c r="N2678" s="22">
        <f ca="1" t="shared" si="208"/>
        <v>36.8000000001048</v>
      </c>
      <c r="O2678" s="22" t="str">
        <f ca="1" t="shared" si="209"/>
        <v>SLA Violated</v>
      </c>
      <c r="P2678" s="26" t="s">
        <v>10373</v>
      </c>
      <c r="Q2678" s="24" t="s">
        <v>28</v>
      </c>
      <c r="R2678" s="25"/>
      <c r="S2678" s="25"/>
    </row>
    <row r="2679" ht="27" customHeight="1" spans="1:19">
      <c r="A2679" s="19" t="s">
        <v>10376</v>
      </c>
      <c r="B2679" s="20" t="s">
        <v>30</v>
      </c>
      <c r="C2679" s="20" t="s">
        <v>31</v>
      </c>
      <c r="D2679" s="20" t="s">
        <v>105</v>
      </c>
      <c r="E2679" s="21" t="s">
        <v>10377</v>
      </c>
      <c r="F2679" s="21" t="s">
        <v>9710</v>
      </c>
      <c r="G2679" s="20" t="s">
        <v>35</v>
      </c>
      <c r="H2679" s="20" t="s">
        <v>25</v>
      </c>
      <c r="I2679" s="21" t="s">
        <v>10378</v>
      </c>
      <c r="J2679" s="22">
        <f t="shared" si="205"/>
        <v>6.14375000000291</v>
      </c>
      <c r="K2679" s="22">
        <f t="shared" si="206"/>
        <v>147.45000000007</v>
      </c>
      <c r="L2679" s="22">
        <f t="shared" si="207"/>
        <v>51.4500000000698</v>
      </c>
      <c r="M2679" s="22" cm="1">
        <f ca="1" t="array" ref="M2679">SUMPRODUCT(--(WEEKDAY(ROW(INDIRECT(INT(F2679)&amp;":"&amp;INT(I2679))),2)&gt;5))</f>
        <v>2</v>
      </c>
      <c r="N2679" s="22">
        <f ca="1" t="shared" si="208"/>
        <v>35.4500000000698</v>
      </c>
      <c r="O2679" s="22" t="str">
        <f ca="1" t="shared" si="209"/>
        <v>SLA Violated</v>
      </c>
      <c r="P2679" s="23" t="s">
        <v>10379</v>
      </c>
      <c r="Q2679" s="24" t="s">
        <v>28</v>
      </c>
      <c r="R2679" s="25"/>
      <c r="S2679" s="25"/>
    </row>
    <row r="2680" ht="27" customHeight="1" spans="1:19">
      <c r="A2680" s="19" t="s">
        <v>10380</v>
      </c>
      <c r="B2680" s="20" t="s">
        <v>30</v>
      </c>
      <c r="C2680" s="20" t="s">
        <v>31</v>
      </c>
      <c r="D2680" s="20" t="s">
        <v>32</v>
      </c>
      <c r="E2680" s="21" t="s">
        <v>10381</v>
      </c>
      <c r="F2680" s="21" t="s">
        <v>10382</v>
      </c>
      <c r="G2680" s="20" t="s">
        <v>35</v>
      </c>
      <c r="H2680" s="20" t="s">
        <v>25</v>
      </c>
      <c r="I2680" s="21" t="s">
        <v>10383</v>
      </c>
      <c r="J2680" s="22">
        <f t="shared" si="205"/>
        <v>0.196527777778101</v>
      </c>
      <c r="K2680" s="22">
        <f t="shared" si="206"/>
        <v>4.71666666667443</v>
      </c>
      <c r="L2680" s="22">
        <f t="shared" si="207"/>
        <v>4.71666666667443</v>
      </c>
      <c r="M2680" s="22" cm="1">
        <f ca="1" t="array" ref="M2680">SUMPRODUCT(--(WEEKDAY(ROW(INDIRECT(INT(F2680)&amp;":"&amp;INT(I2680))),2)&gt;5))</f>
        <v>0</v>
      </c>
      <c r="N2680" s="22">
        <f ca="1" t="shared" si="208"/>
        <v>4.71666666667443</v>
      </c>
      <c r="O2680" s="22" t="str">
        <f ca="1" t="shared" si="209"/>
        <v>Within SLA</v>
      </c>
      <c r="P2680" s="26" t="s">
        <v>10380</v>
      </c>
      <c r="Q2680" s="24" t="s">
        <v>37</v>
      </c>
      <c r="R2680" s="25"/>
      <c r="S2680" s="25"/>
    </row>
    <row r="2681" ht="27" customHeight="1" spans="1:19">
      <c r="A2681" s="19" t="s">
        <v>10384</v>
      </c>
      <c r="B2681" s="20" t="s">
        <v>139</v>
      </c>
      <c r="C2681" s="20" t="s">
        <v>2057</v>
      </c>
      <c r="D2681" s="20" t="s">
        <v>32</v>
      </c>
      <c r="E2681" s="21" t="s">
        <v>10381</v>
      </c>
      <c r="F2681" s="21" t="s">
        <v>10385</v>
      </c>
      <c r="G2681" s="20" t="s">
        <v>35</v>
      </c>
      <c r="H2681" s="20" t="s">
        <v>25</v>
      </c>
      <c r="I2681" s="21" t="s">
        <v>10386</v>
      </c>
      <c r="J2681" s="22">
        <f t="shared" si="205"/>
        <v>2.38333333333139</v>
      </c>
      <c r="K2681" s="22">
        <f t="shared" si="206"/>
        <v>57.1999999999534</v>
      </c>
      <c r="L2681" s="22">
        <f t="shared" si="207"/>
        <v>25.1999999999534</v>
      </c>
      <c r="M2681" s="22" cm="1">
        <f ca="1" t="array" ref="M2681">SUMPRODUCT(--(WEEKDAY(ROW(INDIRECT(INT(F2681)&amp;":"&amp;INT(I2681))),2)&gt;5))</f>
        <v>0</v>
      </c>
      <c r="N2681" s="22">
        <f ca="1" t="shared" si="208"/>
        <v>25.1999999999534</v>
      </c>
      <c r="O2681" s="22" t="str">
        <f ca="1" t="shared" si="209"/>
        <v>SLA Violated</v>
      </c>
      <c r="P2681" s="23" t="s">
        <v>10387</v>
      </c>
      <c r="Q2681" s="24" t="s">
        <v>28</v>
      </c>
      <c r="R2681" s="25"/>
      <c r="S2681" s="25"/>
    </row>
    <row r="2682" ht="27" customHeight="1" spans="1:19">
      <c r="A2682" s="19" t="s">
        <v>10388</v>
      </c>
      <c r="B2682" s="20" t="s">
        <v>121</v>
      </c>
      <c r="C2682" s="20" t="s">
        <v>849</v>
      </c>
      <c r="D2682" s="20" t="s">
        <v>32</v>
      </c>
      <c r="E2682" s="21" t="s">
        <v>10389</v>
      </c>
      <c r="F2682" s="21" t="s">
        <v>10390</v>
      </c>
      <c r="G2682" s="20" t="s">
        <v>35</v>
      </c>
      <c r="H2682" s="20" t="s">
        <v>25</v>
      </c>
      <c r="I2682" s="21" t="s">
        <v>10047</v>
      </c>
      <c r="J2682" s="22">
        <f t="shared" si="205"/>
        <v>17.1347222222248</v>
      </c>
      <c r="K2682" s="22">
        <f t="shared" si="206"/>
        <v>411.233333333395</v>
      </c>
      <c r="L2682" s="22">
        <f t="shared" si="207"/>
        <v>139.233333333395</v>
      </c>
      <c r="M2682" s="22" cm="1">
        <f ca="1" t="array" ref="M2682">SUMPRODUCT(--(WEEKDAY(ROW(INDIRECT(INT(F2682)&amp;":"&amp;INT(I2682))),2)&gt;5))</f>
        <v>4</v>
      </c>
      <c r="N2682" s="22">
        <f ca="1" t="shared" si="208"/>
        <v>107.233333333395</v>
      </c>
      <c r="O2682" s="22" t="str">
        <f ca="1" t="shared" si="209"/>
        <v>SLA Violated</v>
      </c>
      <c r="P2682" s="23" t="s">
        <v>10391</v>
      </c>
      <c r="Q2682" s="24" t="s">
        <v>28</v>
      </c>
      <c r="R2682" s="25"/>
      <c r="S2682" s="25"/>
    </row>
    <row r="2683" ht="27" customHeight="1" spans="1:19">
      <c r="A2683" s="19" t="s">
        <v>10392</v>
      </c>
      <c r="B2683" s="20" t="s">
        <v>30</v>
      </c>
      <c r="C2683" s="20" t="s">
        <v>31</v>
      </c>
      <c r="D2683" s="20" t="s">
        <v>32</v>
      </c>
      <c r="E2683" s="21" t="s">
        <v>10393</v>
      </c>
      <c r="F2683" s="21" t="s">
        <v>9517</v>
      </c>
      <c r="G2683" s="20" t="s">
        <v>35</v>
      </c>
      <c r="H2683" s="20" t="s">
        <v>25</v>
      </c>
      <c r="I2683" s="21" t="s">
        <v>10394</v>
      </c>
      <c r="J2683" s="22">
        <f t="shared" si="205"/>
        <v>6.15833333334012</v>
      </c>
      <c r="K2683" s="22">
        <f t="shared" si="206"/>
        <v>147.800000000163</v>
      </c>
      <c r="L2683" s="22">
        <f t="shared" si="207"/>
        <v>51.800000000163</v>
      </c>
      <c r="M2683" s="22" cm="1">
        <f ca="1" t="array" ref="M2683">SUMPRODUCT(--(WEEKDAY(ROW(INDIRECT(INT(F2683)&amp;":"&amp;INT(I2683))),2)&gt;5))</f>
        <v>2</v>
      </c>
      <c r="N2683" s="22">
        <f ca="1" t="shared" si="208"/>
        <v>35.800000000163</v>
      </c>
      <c r="O2683" s="22" t="str">
        <f ca="1" t="shared" si="209"/>
        <v>SLA Violated</v>
      </c>
      <c r="P2683" s="26" t="s">
        <v>10392</v>
      </c>
      <c r="Q2683" s="24" t="s">
        <v>28</v>
      </c>
      <c r="R2683" s="25"/>
      <c r="S2683" s="25"/>
    </row>
    <row r="2684" ht="27" customHeight="1" spans="1:19">
      <c r="A2684" s="19" t="s">
        <v>10395</v>
      </c>
      <c r="B2684" s="20" t="s">
        <v>30</v>
      </c>
      <c r="C2684" s="20" t="s">
        <v>31</v>
      </c>
      <c r="D2684" s="20" t="s">
        <v>21</v>
      </c>
      <c r="E2684" s="21" t="s">
        <v>10396</v>
      </c>
      <c r="F2684" s="21" t="s">
        <v>10397</v>
      </c>
      <c r="G2684" s="20" t="s">
        <v>24</v>
      </c>
      <c r="H2684" s="20" t="s">
        <v>25</v>
      </c>
      <c r="I2684" s="21" t="s">
        <v>10398</v>
      </c>
      <c r="J2684" s="22">
        <f t="shared" si="205"/>
        <v>6.10763888889051</v>
      </c>
      <c r="K2684" s="22">
        <f t="shared" si="206"/>
        <v>146.583333333372</v>
      </c>
      <c r="L2684" s="22">
        <f t="shared" si="207"/>
        <v>50.5833333333721</v>
      </c>
      <c r="M2684" s="22" cm="1">
        <f ca="1" t="array" ref="M2684">SUMPRODUCT(--(WEEKDAY(ROW(INDIRECT(INT(F2684)&amp;":"&amp;INT(I2684))),2)&gt;5))</f>
        <v>2</v>
      </c>
      <c r="N2684" s="22">
        <f ca="1" t="shared" si="208"/>
        <v>34.5833333333721</v>
      </c>
      <c r="O2684" s="22" t="str">
        <f ca="1" t="shared" si="209"/>
        <v>SLA Violated</v>
      </c>
      <c r="P2684" s="26" t="s">
        <v>10395</v>
      </c>
      <c r="Q2684" s="24" t="s">
        <v>28</v>
      </c>
      <c r="R2684" s="25"/>
      <c r="S2684" s="25"/>
    </row>
    <row r="2685" ht="27" customHeight="1" spans="1:19">
      <c r="A2685" s="19" t="s">
        <v>10399</v>
      </c>
      <c r="B2685" s="20" t="s">
        <v>30</v>
      </c>
      <c r="C2685" s="20" t="s">
        <v>31</v>
      </c>
      <c r="D2685" s="20" t="s">
        <v>32</v>
      </c>
      <c r="E2685" s="21" t="s">
        <v>10396</v>
      </c>
      <c r="F2685" s="21" t="s">
        <v>10400</v>
      </c>
      <c r="G2685" s="20" t="s">
        <v>35</v>
      </c>
      <c r="H2685" s="20" t="s">
        <v>25</v>
      </c>
      <c r="I2685" s="21" t="s">
        <v>10401</v>
      </c>
      <c r="J2685" s="22">
        <f t="shared" si="205"/>
        <v>0.830555555556202</v>
      </c>
      <c r="K2685" s="22">
        <f t="shared" si="206"/>
        <v>19.9333333333489</v>
      </c>
      <c r="L2685" s="22">
        <f t="shared" si="207"/>
        <v>3.93333333334886</v>
      </c>
      <c r="M2685" s="22" cm="1">
        <f ca="1" t="array" ref="M2685">SUMPRODUCT(--(WEEKDAY(ROW(INDIRECT(INT(F2685)&amp;":"&amp;INT(I2685))),2)&gt;5))</f>
        <v>0</v>
      </c>
      <c r="N2685" s="22">
        <f ca="1" t="shared" si="208"/>
        <v>3.93333333334886</v>
      </c>
      <c r="O2685" s="22" t="str">
        <f ca="1" t="shared" si="209"/>
        <v>Within SLA</v>
      </c>
      <c r="P2685" s="26" t="s">
        <v>10399</v>
      </c>
      <c r="Q2685" s="24" t="s">
        <v>37</v>
      </c>
      <c r="R2685" s="25"/>
      <c r="S2685" s="25"/>
    </row>
    <row r="2686" ht="27" customHeight="1" spans="1:19">
      <c r="A2686" s="19" t="s">
        <v>10402</v>
      </c>
      <c r="B2686" s="20" t="s">
        <v>139</v>
      </c>
      <c r="C2686" s="20" t="s">
        <v>2057</v>
      </c>
      <c r="D2686" s="20" t="s">
        <v>32</v>
      </c>
      <c r="E2686" s="21" t="s">
        <v>10403</v>
      </c>
      <c r="F2686" s="21" t="s">
        <v>10404</v>
      </c>
      <c r="G2686" s="20" t="s">
        <v>35</v>
      </c>
      <c r="H2686" s="20" t="s">
        <v>25</v>
      </c>
      <c r="I2686" s="21" t="s">
        <v>10405</v>
      </c>
      <c r="J2686" s="22">
        <f t="shared" si="205"/>
        <v>3.97361111110513</v>
      </c>
      <c r="K2686" s="22">
        <f t="shared" si="206"/>
        <v>95.3666666665231</v>
      </c>
      <c r="L2686" s="22">
        <f t="shared" si="207"/>
        <v>31.3666666665231</v>
      </c>
      <c r="M2686" s="22" cm="1">
        <f ca="1" t="array" ref="M2686">SUMPRODUCT(--(WEEKDAY(ROW(INDIRECT(INT(F2686)&amp;":"&amp;INT(I2686))),2)&gt;5))</f>
        <v>2</v>
      </c>
      <c r="N2686" s="22">
        <f ca="1" t="shared" si="208"/>
        <v>15.3666666665231</v>
      </c>
      <c r="O2686" s="22" t="str">
        <f ca="1" t="shared" si="209"/>
        <v>SLA Violated</v>
      </c>
      <c r="P2686" s="23" t="s">
        <v>10406</v>
      </c>
      <c r="Q2686" s="24" t="s">
        <v>37</v>
      </c>
      <c r="R2686" s="29" t="s">
        <v>10407</v>
      </c>
      <c r="S2686" s="25" t="s">
        <v>39</v>
      </c>
    </row>
    <row r="2687" ht="39" customHeight="1" spans="1:19">
      <c r="A2687" s="19" t="s">
        <v>10408</v>
      </c>
      <c r="B2687" s="20" t="s">
        <v>196</v>
      </c>
      <c r="C2687" s="20" t="s">
        <v>2057</v>
      </c>
      <c r="D2687" s="20" t="s">
        <v>115</v>
      </c>
      <c r="E2687" s="21" t="s">
        <v>10409</v>
      </c>
      <c r="F2687" s="21" t="s">
        <v>10410</v>
      </c>
      <c r="G2687" s="20" t="s">
        <v>35</v>
      </c>
      <c r="H2687" s="20" t="s">
        <v>25</v>
      </c>
      <c r="I2687" s="21" t="s">
        <v>10411</v>
      </c>
      <c r="J2687" s="22">
        <f t="shared" si="205"/>
        <v>16.84375</v>
      </c>
      <c r="K2687" s="22">
        <f t="shared" si="206"/>
        <v>404.25</v>
      </c>
      <c r="L2687" s="22">
        <f t="shared" si="207"/>
        <v>132.25</v>
      </c>
      <c r="M2687" s="22" cm="1">
        <f ca="1" t="array" ref="M2687">SUMPRODUCT(--(WEEKDAY(ROW(INDIRECT(INT(F2687)&amp;":"&amp;INT(I2687))),2)&gt;5))</f>
        <v>4</v>
      </c>
      <c r="N2687" s="22">
        <f ca="1" t="shared" si="208"/>
        <v>100.25</v>
      </c>
      <c r="O2687" s="22" t="str">
        <f ca="1" t="shared" si="209"/>
        <v>SLA Violated</v>
      </c>
      <c r="P2687" s="23" t="s">
        <v>10412</v>
      </c>
      <c r="Q2687" s="24" t="s">
        <v>28</v>
      </c>
      <c r="R2687" s="25"/>
      <c r="S2687" s="25"/>
    </row>
    <row r="2688" ht="27" customHeight="1" spans="1:19">
      <c r="A2688" s="19" t="s">
        <v>10413</v>
      </c>
      <c r="B2688" s="20" t="s">
        <v>30</v>
      </c>
      <c r="C2688" s="20" t="s">
        <v>31</v>
      </c>
      <c r="D2688" s="20" t="s">
        <v>32</v>
      </c>
      <c r="E2688" s="21" t="s">
        <v>10414</v>
      </c>
      <c r="F2688" s="21" t="s">
        <v>10415</v>
      </c>
      <c r="G2688" s="20" t="s">
        <v>35</v>
      </c>
      <c r="H2688" s="20" t="s">
        <v>25</v>
      </c>
      <c r="I2688" s="21" t="s">
        <v>10416</v>
      </c>
      <c r="J2688" s="22">
        <f t="shared" si="205"/>
        <v>1</v>
      </c>
      <c r="K2688" s="22">
        <f t="shared" si="206"/>
        <v>24</v>
      </c>
      <c r="L2688" s="22">
        <f t="shared" si="207"/>
        <v>8</v>
      </c>
      <c r="M2688" s="22" cm="1">
        <f ca="1" t="array" ref="M2688">SUMPRODUCT(--(WEEKDAY(ROW(INDIRECT(INT(F2688)&amp;":"&amp;INT(I2688))),2)&gt;5))</f>
        <v>0</v>
      </c>
      <c r="N2688" s="22">
        <f ca="1" t="shared" si="208"/>
        <v>8</v>
      </c>
      <c r="O2688" s="22" t="str">
        <f ca="1" t="shared" si="209"/>
        <v>Within SLA</v>
      </c>
      <c r="P2688" s="26" t="s">
        <v>10413</v>
      </c>
      <c r="Q2688" s="24" t="s">
        <v>37</v>
      </c>
      <c r="R2688" s="25"/>
      <c r="S2688" s="25"/>
    </row>
    <row r="2689" ht="27" customHeight="1" spans="1:19">
      <c r="A2689" s="19" t="s">
        <v>10417</v>
      </c>
      <c r="B2689" s="20" t="s">
        <v>30</v>
      </c>
      <c r="C2689" s="20" t="s">
        <v>2057</v>
      </c>
      <c r="D2689" s="20" t="s">
        <v>32</v>
      </c>
      <c r="E2689" s="21" t="s">
        <v>10418</v>
      </c>
      <c r="F2689" s="21" t="s">
        <v>10419</v>
      </c>
      <c r="G2689" s="20" t="s">
        <v>35</v>
      </c>
      <c r="H2689" s="20" t="s">
        <v>25</v>
      </c>
      <c r="I2689" s="21" t="s">
        <v>10420</v>
      </c>
      <c r="J2689" s="22">
        <f t="shared" si="205"/>
        <v>0.980555555557657</v>
      </c>
      <c r="K2689" s="22">
        <f t="shared" si="206"/>
        <v>23.5333333333838</v>
      </c>
      <c r="L2689" s="22">
        <f t="shared" si="207"/>
        <v>7.53333333338378</v>
      </c>
      <c r="M2689" s="22" cm="1">
        <f ca="1" t="array" ref="M2689">SUMPRODUCT(--(WEEKDAY(ROW(INDIRECT(INT(F2689)&amp;":"&amp;INT(I2689))),2)&gt;5))</f>
        <v>0</v>
      </c>
      <c r="N2689" s="22">
        <f ca="1" t="shared" si="208"/>
        <v>7.53333333338378</v>
      </c>
      <c r="O2689" s="22" t="str">
        <f ca="1" t="shared" si="209"/>
        <v>Within SLA</v>
      </c>
      <c r="P2689" s="26" t="s">
        <v>10417</v>
      </c>
      <c r="Q2689" s="24" t="s">
        <v>37</v>
      </c>
      <c r="R2689" s="25"/>
      <c r="S2689" s="25"/>
    </row>
    <row r="2690" ht="39" customHeight="1" spans="1:19">
      <c r="A2690" s="19" t="s">
        <v>10421</v>
      </c>
      <c r="B2690" s="20" t="s">
        <v>196</v>
      </c>
      <c r="C2690" s="20" t="s">
        <v>46</v>
      </c>
      <c r="D2690" s="20" t="s">
        <v>21</v>
      </c>
      <c r="E2690" s="21" t="s">
        <v>10422</v>
      </c>
      <c r="F2690" s="21" t="s">
        <v>10423</v>
      </c>
      <c r="G2690" s="20" t="s">
        <v>10424</v>
      </c>
      <c r="H2690" s="20" t="s">
        <v>25</v>
      </c>
      <c r="I2690" s="21" t="s">
        <v>10425</v>
      </c>
      <c r="J2690" s="22" t="e">
        <f t="shared" si="205"/>
        <v>#VALUE!</v>
      </c>
      <c r="K2690" s="22" t="e">
        <f t="shared" si="206"/>
        <v>#VALUE!</v>
      </c>
      <c r="L2690" s="22" t="e">
        <f t="shared" si="207"/>
        <v>#VALUE!</v>
      </c>
      <c r="M2690" s="22" t="e" cm="1">
        <f ca="1" t="array" ref="M2690">SUMPRODUCT(--(WEEKDAY(ROW(INDIRECT(INT(F2690)&amp;":"&amp;INT(I2690))),2)&gt;5))</f>
        <v>#VALUE!</v>
      </c>
      <c r="N2690" s="22" t="e">
        <f ca="1" t="shared" si="208"/>
        <v>#VALUE!</v>
      </c>
      <c r="O2690" s="22" t="e">
        <f ca="1" t="shared" si="209"/>
        <v>#VALUE!</v>
      </c>
      <c r="P2690" s="26" t="s">
        <v>10421</v>
      </c>
      <c r="Q2690" s="24" t="e">
        <v>#VALUE!</v>
      </c>
      <c r="R2690" s="25"/>
      <c r="S2690" s="25"/>
    </row>
    <row r="2691" ht="27" customHeight="1" spans="1:19">
      <c r="A2691" s="19" t="s">
        <v>10426</v>
      </c>
      <c r="B2691" s="20" t="s">
        <v>30</v>
      </c>
      <c r="C2691" s="20" t="s">
        <v>31</v>
      </c>
      <c r="D2691" s="20" t="s">
        <v>32</v>
      </c>
      <c r="E2691" s="21" t="s">
        <v>10427</v>
      </c>
      <c r="F2691" s="21" t="s">
        <v>10428</v>
      </c>
      <c r="G2691" s="20" t="s">
        <v>35</v>
      </c>
      <c r="H2691" s="20" t="s">
        <v>25</v>
      </c>
      <c r="I2691" s="21" t="s">
        <v>10429</v>
      </c>
      <c r="J2691" s="22">
        <f t="shared" ref="J2691:J2754" si="210">F2691-I2691</f>
        <v>0.0958333333328483</v>
      </c>
      <c r="K2691" s="22">
        <f t="shared" ref="K2691:K2754" si="211">J2691*24</f>
        <v>2.29999999998836</v>
      </c>
      <c r="L2691" s="22">
        <f t="shared" ref="L2691:L2754" si="212">IF(_xlfn.DAYS(F2691,I2691)&gt;0,K2691-IF(FLOOR(J2691,1)=0,1,_xlfn.DAYS(F2691,I2691))*16,K2691)</f>
        <v>2.29999999998836</v>
      </c>
      <c r="M2691" s="22" cm="1">
        <f ca="1" t="array" ref="M2691">SUMPRODUCT(--(WEEKDAY(ROW(INDIRECT(INT(F2691)&amp;":"&amp;INT(I2691))),2)&gt;5))</f>
        <v>0</v>
      </c>
      <c r="N2691" s="22">
        <f ca="1" t="shared" ref="N2691:N2754" si="213">IF(IF(M2691&gt;0,L2691-M2691*8,L2691)&lt;0,0,IF(M2691&gt;0,L2691-M2691*8,L2691))</f>
        <v>2.29999999998836</v>
      </c>
      <c r="O2691" s="22" t="str">
        <f ca="1" t="shared" ref="O2691:O2754" si="214">IF(OR(AND(D2691="P1",N2691&lt;=3),AND(D2691="P2",N2691&lt;=6),AND(D2691="P3",N2691&lt;=9),AND(D2691="P4",N2691&lt;=12)),"Within SLA","SLA Violated")</f>
        <v>Within SLA</v>
      </c>
      <c r="P2691" s="26" t="s">
        <v>10426</v>
      </c>
      <c r="Q2691" s="24" t="s">
        <v>37</v>
      </c>
      <c r="R2691" s="25"/>
      <c r="S2691" s="25"/>
    </row>
    <row r="2692" ht="27" customHeight="1" spans="1:19">
      <c r="A2692" s="19" t="s">
        <v>10430</v>
      </c>
      <c r="B2692" s="20" t="s">
        <v>1047</v>
      </c>
      <c r="C2692" s="20" t="s">
        <v>849</v>
      </c>
      <c r="D2692" s="20" t="s">
        <v>32</v>
      </c>
      <c r="E2692" s="21" t="s">
        <v>10431</v>
      </c>
      <c r="F2692" s="21" t="s">
        <v>10432</v>
      </c>
      <c r="G2692" s="20" t="s">
        <v>35</v>
      </c>
      <c r="H2692" s="20" t="s">
        <v>25</v>
      </c>
      <c r="I2692" s="21" t="s">
        <v>10433</v>
      </c>
      <c r="J2692" s="22">
        <f t="shared" si="210"/>
        <v>1.04236111111095</v>
      </c>
      <c r="K2692" s="22">
        <f t="shared" si="211"/>
        <v>25.0166666666628</v>
      </c>
      <c r="L2692" s="22">
        <f t="shared" si="212"/>
        <v>9.01666666666279</v>
      </c>
      <c r="M2692" s="22" cm="1">
        <f ca="1" t="array" ref="M2692">SUMPRODUCT(--(WEEKDAY(ROW(INDIRECT(INT(F2692)&amp;":"&amp;INT(I2692))),2)&gt;5))</f>
        <v>0</v>
      </c>
      <c r="N2692" s="22">
        <f ca="1" t="shared" si="213"/>
        <v>9.01666666666279</v>
      </c>
      <c r="O2692" s="22" t="str">
        <f ca="1" t="shared" si="214"/>
        <v>Within SLA</v>
      </c>
      <c r="P2692" s="26" t="s">
        <v>10430</v>
      </c>
      <c r="Q2692" s="24" t="s">
        <v>37</v>
      </c>
      <c r="R2692" s="25"/>
      <c r="S2692" s="25"/>
    </row>
    <row r="2693" ht="27" customHeight="1" spans="1:19">
      <c r="A2693" s="19" t="s">
        <v>10434</v>
      </c>
      <c r="B2693" s="20" t="s">
        <v>1047</v>
      </c>
      <c r="C2693" s="20" t="s">
        <v>849</v>
      </c>
      <c r="D2693" s="20" t="s">
        <v>32</v>
      </c>
      <c r="E2693" s="21" t="s">
        <v>10431</v>
      </c>
      <c r="F2693" s="21" t="s">
        <v>10435</v>
      </c>
      <c r="G2693" s="20" t="s">
        <v>35</v>
      </c>
      <c r="H2693" s="20" t="s">
        <v>25</v>
      </c>
      <c r="I2693" s="21" t="s">
        <v>10436</v>
      </c>
      <c r="J2693" s="22">
        <f t="shared" si="210"/>
        <v>1.0444444444438</v>
      </c>
      <c r="K2693" s="22">
        <f t="shared" si="211"/>
        <v>25.0666666666511</v>
      </c>
      <c r="L2693" s="22">
        <f t="shared" si="212"/>
        <v>9.06666666665114</v>
      </c>
      <c r="M2693" s="22" cm="1">
        <f ca="1" t="array" ref="M2693">SUMPRODUCT(--(WEEKDAY(ROW(INDIRECT(INT(F2693)&amp;":"&amp;INT(I2693))),2)&gt;5))</f>
        <v>0</v>
      </c>
      <c r="N2693" s="22">
        <f ca="1" t="shared" si="213"/>
        <v>9.06666666665114</v>
      </c>
      <c r="O2693" s="22" t="str">
        <f ca="1" t="shared" si="214"/>
        <v>Within SLA</v>
      </c>
      <c r="P2693" s="26" t="s">
        <v>10434</v>
      </c>
      <c r="Q2693" s="24" t="s">
        <v>37</v>
      </c>
      <c r="R2693" s="25"/>
      <c r="S2693" s="25"/>
    </row>
    <row r="2694" ht="27" customHeight="1" spans="1:19">
      <c r="A2694" s="19" t="s">
        <v>10437</v>
      </c>
      <c r="B2694" s="20" t="s">
        <v>30</v>
      </c>
      <c r="C2694" s="20" t="s">
        <v>31</v>
      </c>
      <c r="D2694" s="20" t="s">
        <v>32</v>
      </c>
      <c r="E2694" s="21" t="s">
        <v>10438</v>
      </c>
      <c r="F2694" s="21" t="s">
        <v>10439</v>
      </c>
      <c r="G2694" s="20" t="s">
        <v>35</v>
      </c>
      <c r="H2694" s="20" t="s">
        <v>25</v>
      </c>
      <c r="I2694" s="21" t="s">
        <v>10440</v>
      </c>
      <c r="J2694" s="22">
        <f t="shared" si="210"/>
        <v>0.775694444448163</v>
      </c>
      <c r="K2694" s="22">
        <f t="shared" si="211"/>
        <v>18.6166666667559</v>
      </c>
      <c r="L2694" s="22">
        <f t="shared" si="212"/>
        <v>2.61666666675592</v>
      </c>
      <c r="M2694" s="22" cm="1">
        <f ca="1" t="array" ref="M2694">SUMPRODUCT(--(WEEKDAY(ROW(INDIRECT(INT(F2694)&amp;":"&amp;INT(I2694))),2)&gt;5))</f>
        <v>0</v>
      </c>
      <c r="N2694" s="22">
        <f ca="1" t="shared" si="213"/>
        <v>2.61666666675592</v>
      </c>
      <c r="O2694" s="22" t="str">
        <f ca="1" t="shared" si="214"/>
        <v>Within SLA</v>
      </c>
      <c r="P2694" s="26" t="s">
        <v>10437</v>
      </c>
      <c r="Q2694" s="24" t="s">
        <v>37</v>
      </c>
      <c r="R2694" s="25"/>
      <c r="S2694" s="25"/>
    </row>
    <row r="2695" ht="27" customHeight="1" spans="1:19">
      <c r="A2695" s="19" t="s">
        <v>10441</v>
      </c>
      <c r="B2695" s="20" t="s">
        <v>139</v>
      </c>
      <c r="C2695" s="20" t="s">
        <v>2057</v>
      </c>
      <c r="D2695" s="20" t="s">
        <v>32</v>
      </c>
      <c r="E2695" s="21" t="s">
        <v>10440</v>
      </c>
      <c r="F2695" s="21" t="s">
        <v>10442</v>
      </c>
      <c r="G2695" s="20" t="s">
        <v>35</v>
      </c>
      <c r="H2695" s="20" t="s">
        <v>25</v>
      </c>
      <c r="I2695" s="21" t="s">
        <v>10443</v>
      </c>
      <c r="J2695" s="22">
        <f t="shared" si="210"/>
        <v>8.12222222222044</v>
      </c>
      <c r="K2695" s="22">
        <f t="shared" si="211"/>
        <v>194.933333333291</v>
      </c>
      <c r="L2695" s="22">
        <f t="shared" si="212"/>
        <v>66.9333333332906</v>
      </c>
      <c r="M2695" s="22" cm="1">
        <f ca="1" t="array" ref="M2695">SUMPRODUCT(--(WEEKDAY(ROW(INDIRECT(INT(F2695)&amp;":"&amp;INT(I2695))),2)&gt;5))</f>
        <v>2</v>
      </c>
      <c r="N2695" s="22">
        <f ca="1" t="shared" si="213"/>
        <v>50.9333333332906</v>
      </c>
      <c r="O2695" s="22" t="str">
        <f ca="1" t="shared" si="214"/>
        <v>SLA Violated</v>
      </c>
      <c r="P2695" s="23" t="s">
        <v>10444</v>
      </c>
      <c r="Q2695" s="24" t="s">
        <v>28</v>
      </c>
      <c r="R2695" s="25"/>
      <c r="S2695" s="25"/>
    </row>
    <row r="2696" ht="50" customHeight="1" spans="1:19">
      <c r="A2696" s="19" t="s">
        <v>10445</v>
      </c>
      <c r="B2696" s="20" t="s">
        <v>369</v>
      </c>
      <c r="C2696" s="20" t="s">
        <v>849</v>
      </c>
      <c r="D2696" s="20" t="s">
        <v>32</v>
      </c>
      <c r="E2696" s="21" t="s">
        <v>10440</v>
      </c>
      <c r="F2696" s="21" t="s">
        <v>10446</v>
      </c>
      <c r="G2696" s="20" t="s">
        <v>35</v>
      </c>
      <c r="H2696" s="20" t="s">
        <v>25</v>
      </c>
      <c r="I2696" s="21" t="s">
        <v>10447</v>
      </c>
      <c r="J2696" s="22">
        <f t="shared" si="210"/>
        <v>19.9479166666642</v>
      </c>
      <c r="K2696" s="22">
        <f t="shared" si="211"/>
        <v>478.749999999942</v>
      </c>
      <c r="L2696" s="22">
        <f t="shared" si="212"/>
        <v>158.749999999942</v>
      </c>
      <c r="M2696" s="22" cm="1">
        <f ca="1" t="array" ref="M2696">SUMPRODUCT(--(WEEKDAY(ROW(INDIRECT(INT(F2696)&amp;":"&amp;INT(I2696))),2)&gt;5))</f>
        <v>6</v>
      </c>
      <c r="N2696" s="22">
        <f ca="1" t="shared" si="213"/>
        <v>110.749999999942</v>
      </c>
      <c r="O2696" s="22" t="str">
        <f ca="1" t="shared" si="214"/>
        <v>SLA Violated</v>
      </c>
      <c r="P2696" s="23" t="s">
        <v>10448</v>
      </c>
      <c r="Q2696" s="24" t="s">
        <v>28</v>
      </c>
      <c r="R2696" s="25"/>
      <c r="S2696" s="25"/>
    </row>
    <row r="2697" ht="27" customHeight="1" spans="1:19">
      <c r="A2697" s="19" t="s">
        <v>10449</v>
      </c>
      <c r="B2697" s="20" t="s">
        <v>30</v>
      </c>
      <c r="C2697" s="20" t="s">
        <v>31</v>
      </c>
      <c r="D2697" s="20" t="s">
        <v>32</v>
      </c>
      <c r="E2697" s="21" t="s">
        <v>10450</v>
      </c>
      <c r="F2697" s="21" t="s">
        <v>10451</v>
      </c>
      <c r="G2697" s="20" t="s">
        <v>35</v>
      </c>
      <c r="H2697" s="20" t="s">
        <v>25</v>
      </c>
      <c r="I2697" s="21" t="s">
        <v>10452</v>
      </c>
      <c r="J2697" s="22">
        <f t="shared" si="210"/>
        <v>3.95208333333721</v>
      </c>
      <c r="K2697" s="22">
        <f t="shared" si="211"/>
        <v>94.8500000000931</v>
      </c>
      <c r="L2697" s="22">
        <f t="shared" si="212"/>
        <v>30.8500000000931</v>
      </c>
      <c r="M2697" s="22" cm="1">
        <f ca="1" t="array" ref="M2697">SUMPRODUCT(--(WEEKDAY(ROW(INDIRECT(INT(F2697)&amp;":"&amp;INT(I2697))),2)&gt;5))</f>
        <v>1</v>
      </c>
      <c r="N2697" s="22">
        <f ca="1" t="shared" si="213"/>
        <v>22.8500000000931</v>
      </c>
      <c r="O2697" s="22" t="str">
        <f ca="1" t="shared" si="214"/>
        <v>SLA Violated</v>
      </c>
      <c r="P2697" s="26" t="s">
        <v>10449</v>
      </c>
      <c r="Q2697" s="24" t="s">
        <v>28</v>
      </c>
      <c r="R2697" s="25"/>
      <c r="S2697" s="25"/>
    </row>
    <row r="2698" ht="27" customHeight="1" spans="1:19">
      <c r="A2698" s="19" t="s">
        <v>10453</v>
      </c>
      <c r="B2698" s="20" t="s">
        <v>30</v>
      </c>
      <c r="C2698" s="20" t="s">
        <v>46</v>
      </c>
      <c r="D2698" s="20" t="s">
        <v>32</v>
      </c>
      <c r="E2698" s="21" t="s">
        <v>10454</v>
      </c>
      <c r="F2698" s="21" t="s">
        <v>10455</v>
      </c>
      <c r="G2698" s="20" t="s">
        <v>35</v>
      </c>
      <c r="H2698" s="20" t="s">
        <v>25</v>
      </c>
      <c r="I2698" s="21" t="s">
        <v>10456</v>
      </c>
      <c r="J2698" s="22">
        <f t="shared" si="210"/>
        <v>0.023611111108039</v>
      </c>
      <c r="K2698" s="22">
        <f t="shared" si="211"/>
        <v>0.566666666592937</v>
      </c>
      <c r="L2698" s="22">
        <f t="shared" si="212"/>
        <v>0.566666666592937</v>
      </c>
      <c r="M2698" s="22" cm="1">
        <f ca="1" t="array" ref="M2698">SUMPRODUCT(--(WEEKDAY(ROW(INDIRECT(INT(F2698)&amp;":"&amp;INT(I2698))),2)&gt;5))</f>
        <v>0</v>
      </c>
      <c r="N2698" s="22">
        <f ca="1" t="shared" si="213"/>
        <v>0.566666666592937</v>
      </c>
      <c r="O2698" s="22" t="str">
        <f ca="1" t="shared" si="214"/>
        <v>Within SLA</v>
      </c>
      <c r="P2698" s="26" t="s">
        <v>10453</v>
      </c>
      <c r="Q2698" s="24" t="s">
        <v>37</v>
      </c>
      <c r="R2698" s="25"/>
      <c r="S2698" s="25"/>
    </row>
    <row r="2699" ht="27" customHeight="1" spans="1:19">
      <c r="A2699" s="19" t="s">
        <v>10457</v>
      </c>
      <c r="B2699" s="20" t="s">
        <v>30</v>
      </c>
      <c r="C2699" s="20" t="s">
        <v>863</v>
      </c>
      <c r="D2699" s="20" t="s">
        <v>32</v>
      </c>
      <c r="E2699" s="21" t="s">
        <v>10458</v>
      </c>
      <c r="F2699" s="21" t="s">
        <v>10459</v>
      </c>
      <c r="G2699" s="20" t="s">
        <v>35</v>
      </c>
      <c r="H2699" s="20" t="s">
        <v>25</v>
      </c>
      <c r="I2699" s="21" t="s">
        <v>10460</v>
      </c>
      <c r="J2699" s="22">
        <f t="shared" si="210"/>
        <v>1.08611111111531</v>
      </c>
      <c r="K2699" s="22">
        <f t="shared" si="211"/>
        <v>26.0666666667676</v>
      </c>
      <c r="L2699" s="22">
        <f t="shared" si="212"/>
        <v>10.0666666667676</v>
      </c>
      <c r="M2699" s="22" cm="1">
        <f ca="1" t="array" ref="M2699">SUMPRODUCT(--(WEEKDAY(ROW(INDIRECT(INT(F2699)&amp;":"&amp;INT(I2699))),2)&gt;5))</f>
        <v>1</v>
      </c>
      <c r="N2699" s="22">
        <f ca="1" t="shared" si="213"/>
        <v>2.0666666667676</v>
      </c>
      <c r="O2699" s="22" t="str">
        <f ca="1" t="shared" si="214"/>
        <v>Within SLA</v>
      </c>
      <c r="P2699" s="26" t="s">
        <v>10457</v>
      </c>
      <c r="Q2699" s="24" t="s">
        <v>37</v>
      </c>
      <c r="R2699" s="25"/>
      <c r="S2699" s="25"/>
    </row>
    <row r="2700" ht="27" customHeight="1" spans="1:19">
      <c r="A2700" s="19" t="s">
        <v>10461</v>
      </c>
      <c r="B2700" s="20" t="s">
        <v>30</v>
      </c>
      <c r="C2700" s="20" t="s">
        <v>31</v>
      </c>
      <c r="D2700" s="20" t="s">
        <v>32</v>
      </c>
      <c r="E2700" s="21" t="s">
        <v>10462</v>
      </c>
      <c r="F2700" s="21" t="s">
        <v>10463</v>
      </c>
      <c r="G2700" s="20" t="s">
        <v>35</v>
      </c>
      <c r="H2700" s="20" t="s">
        <v>25</v>
      </c>
      <c r="I2700" s="21" t="s">
        <v>10464</v>
      </c>
      <c r="J2700" s="22">
        <f t="shared" si="210"/>
        <v>1.8305555555562</v>
      </c>
      <c r="K2700" s="22">
        <f t="shared" si="211"/>
        <v>43.9333333333489</v>
      </c>
      <c r="L2700" s="22">
        <f t="shared" si="212"/>
        <v>11.9333333333489</v>
      </c>
      <c r="M2700" s="22" cm="1">
        <f ca="1" t="array" ref="M2700">SUMPRODUCT(--(WEEKDAY(ROW(INDIRECT(INT(F2700)&amp;":"&amp;INT(I2700))),2)&gt;5))</f>
        <v>0</v>
      </c>
      <c r="N2700" s="22">
        <f ca="1" t="shared" si="213"/>
        <v>11.9333333333489</v>
      </c>
      <c r="O2700" s="22" t="str">
        <f ca="1" t="shared" si="214"/>
        <v>Within SLA</v>
      </c>
      <c r="P2700" s="26" t="s">
        <v>10461</v>
      </c>
      <c r="Q2700" s="24" t="s">
        <v>37</v>
      </c>
      <c r="R2700" s="25"/>
      <c r="S2700" s="25"/>
    </row>
    <row r="2701" ht="27" customHeight="1" spans="1:19">
      <c r="A2701" s="19" t="s">
        <v>10465</v>
      </c>
      <c r="B2701" s="20" t="s">
        <v>30</v>
      </c>
      <c r="C2701" s="20" t="s">
        <v>31</v>
      </c>
      <c r="D2701" s="20" t="s">
        <v>32</v>
      </c>
      <c r="E2701" s="21" t="s">
        <v>10466</v>
      </c>
      <c r="F2701" s="21" t="s">
        <v>10467</v>
      </c>
      <c r="G2701" s="20" t="s">
        <v>35</v>
      </c>
      <c r="H2701" s="20" t="s">
        <v>25</v>
      </c>
      <c r="I2701" s="21" t="s">
        <v>10468</v>
      </c>
      <c r="J2701" s="22">
        <f t="shared" si="210"/>
        <v>0.840277777781012</v>
      </c>
      <c r="K2701" s="22">
        <f t="shared" si="211"/>
        <v>20.1666666667443</v>
      </c>
      <c r="L2701" s="22">
        <f t="shared" si="212"/>
        <v>4.16666666674428</v>
      </c>
      <c r="M2701" s="22" cm="1">
        <f ca="1" t="array" ref="M2701">SUMPRODUCT(--(WEEKDAY(ROW(INDIRECT(INT(F2701)&amp;":"&amp;INT(I2701))),2)&gt;5))</f>
        <v>0</v>
      </c>
      <c r="N2701" s="22">
        <f ca="1" t="shared" si="213"/>
        <v>4.16666666674428</v>
      </c>
      <c r="O2701" s="22" t="str">
        <f ca="1" t="shared" si="214"/>
        <v>Within SLA</v>
      </c>
      <c r="P2701" s="26" t="s">
        <v>10465</v>
      </c>
      <c r="Q2701" s="24" t="s">
        <v>37</v>
      </c>
      <c r="R2701" s="25"/>
      <c r="S2701" s="25"/>
    </row>
    <row r="2702" ht="27" customHeight="1" spans="1:19">
      <c r="A2702" s="19" t="s">
        <v>10469</v>
      </c>
      <c r="B2702" s="20" t="s">
        <v>30</v>
      </c>
      <c r="C2702" s="20" t="s">
        <v>2057</v>
      </c>
      <c r="D2702" s="20" t="s">
        <v>32</v>
      </c>
      <c r="E2702" s="21" t="s">
        <v>10470</v>
      </c>
      <c r="F2702" s="21" t="s">
        <v>10471</v>
      </c>
      <c r="G2702" s="20" t="s">
        <v>35</v>
      </c>
      <c r="H2702" s="20" t="s">
        <v>25</v>
      </c>
      <c r="I2702" s="21" t="s">
        <v>9326</v>
      </c>
      <c r="J2702" s="22">
        <f t="shared" si="210"/>
        <v>0.877777777779556</v>
      </c>
      <c r="K2702" s="22">
        <f t="shared" si="211"/>
        <v>21.0666666667094</v>
      </c>
      <c r="L2702" s="22">
        <f t="shared" si="212"/>
        <v>5.06666666670935</v>
      </c>
      <c r="M2702" s="22" cm="1">
        <f ca="1" t="array" ref="M2702">SUMPRODUCT(--(WEEKDAY(ROW(INDIRECT(INT(F2702)&amp;":"&amp;INT(I2702))),2)&gt;5))</f>
        <v>0</v>
      </c>
      <c r="N2702" s="22">
        <f ca="1" t="shared" si="213"/>
        <v>5.06666666670935</v>
      </c>
      <c r="O2702" s="22" t="str">
        <f ca="1" t="shared" si="214"/>
        <v>Within SLA</v>
      </c>
      <c r="P2702" s="26" t="s">
        <v>10469</v>
      </c>
      <c r="Q2702" s="24" t="s">
        <v>37</v>
      </c>
      <c r="R2702" s="25"/>
      <c r="S2702" s="25"/>
    </row>
    <row r="2703" ht="27" customHeight="1" spans="1:19">
      <c r="A2703" s="19" t="s">
        <v>10472</v>
      </c>
      <c r="B2703" s="20" t="s">
        <v>30</v>
      </c>
      <c r="C2703" s="20" t="s">
        <v>31</v>
      </c>
      <c r="D2703" s="20" t="s">
        <v>32</v>
      </c>
      <c r="E2703" s="21" t="s">
        <v>10473</v>
      </c>
      <c r="F2703" s="21" t="s">
        <v>10474</v>
      </c>
      <c r="G2703" s="20" t="s">
        <v>35</v>
      </c>
      <c r="H2703" s="20" t="s">
        <v>25</v>
      </c>
      <c r="I2703" s="21" t="s">
        <v>10475</v>
      </c>
      <c r="J2703" s="22">
        <f t="shared" si="210"/>
        <v>0.82499999999709</v>
      </c>
      <c r="K2703" s="22">
        <f t="shared" si="211"/>
        <v>19.7999999999302</v>
      </c>
      <c r="L2703" s="22">
        <f t="shared" si="212"/>
        <v>3.79999999993015</v>
      </c>
      <c r="M2703" s="22" cm="1">
        <f ca="1" t="array" ref="M2703">SUMPRODUCT(--(WEEKDAY(ROW(INDIRECT(INT(F2703)&amp;":"&amp;INT(I2703))),2)&gt;5))</f>
        <v>0</v>
      </c>
      <c r="N2703" s="22">
        <f ca="1" t="shared" si="213"/>
        <v>3.79999999993015</v>
      </c>
      <c r="O2703" s="22" t="str">
        <f ca="1" t="shared" si="214"/>
        <v>Within SLA</v>
      </c>
      <c r="P2703" s="26" t="s">
        <v>10472</v>
      </c>
      <c r="Q2703" s="24" t="s">
        <v>37</v>
      </c>
      <c r="R2703" s="25"/>
      <c r="S2703" s="25"/>
    </row>
    <row r="2704" ht="27" customHeight="1" spans="1:19">
      <c r="A2704" s="19" t="s">
        <v>10476</v>
      </c>
      <c r="B2704" s="20" t="s">
        <v>30</v>
      </c>
      <c r="C2704" s="20" t="s">
        <v>101</v>
      </c>
      <c r="D2704" s="20" t="s">
        <v>32</v>
      </c>
      <c r="E2704" s="21" t="s">
        <v>10477</v>
      </c>
      <c r="F2704" s="21" t="s">
        <v>10478</v>
      </c>
      <c r="G2704" s="20" t="s">
        <v>35</v>
      </c>
      <c r="H2704" s="20" t="s">
        <v>25</v>
      </c>
      <c r="I2704" s="21" t="s">
        <v>10479</v>
      </c>
      <c r="J2704" s="22">
        <f t="shared" si="210"/>
        <v>0.00347222222626442</v>
      </c>
      <c r="K2704" s="22">
        <f t="shared" si="211"/>
        <v>0.0833333334303461</v>
      </c>
      <c r="L2704" s="22">
        <f t="shared" si="212"/>
        <v>0.0833333334303461</v>
      </c>
      <c r="M2704" s="22" cm="1">
        <f ca="1" t="array" ref="M2704">SUMPRODUCT(--(WEEKDAY(ROW(INDIRECT(INT(F2704)&amp;":"&amp;INT(I2704))),2)&gt;5))</f>
        <v>0</v>
      </c>
      <c r="N2704" s="22">
        <f ca="1" t="shared" si="213"/>
        <v>0.0833333334303461</v>
      </c>
      <c r="O2704" s="22" t="str">
        <f ca="1" t="shared" si="214"/>
        <v>Within SLA</v>
      </c>
      <c r="P2704" s="26" t="s">
        <v>10476</v>
      </c>
      <c r="Q2704" s="24" t="s">
        <v>37</v>
      </c>
      <c r="R2704" s="25"/>
      <c r="S2704" s="25"/>
    </row>
    <row r="2705" ht="39" customHeight="1" spans="1:19">
      <c r="A2705" s="19" t="s">
        <v>10480</v>
      </c>
      <c r="B2705" s="20" t="s">
        <v>19</v>
      </c>
      <c r="C2705" s="20" t="s">
        <v>20</v>
      </c>
      <c r="D2705" s="20" t="s">
        <v>32</v>
      </c>
      <c r="E2705" s="21" t="s">
        <v>10477</v>
      </c>
      <c r="F2705" s="21" t="s">
        <v>10481</v>
      </c>
      <c r="G2705" s="20" t="s">
        <v>35</v>
      </c>
      <c r="H2705" s="20" t="s">
        <v>25</v>
      </c>
      <c r="I2705" s="21" t="s">
        <v>10482</v>
      </c>
      <c r="J2705" s="22">
        <f t="shared" si="210"/>
        <v>0.0104166666715173</v>
      </c>
      <c r="K2705" s="22">
        <f t="shared" si="211"/>
        <v>0.250000000116415</v>
      </c>
      <c r="L2705" s="22">
        <f t="shared" si="212"/>
        <v>0.250000000116415</v>
      </c>
      <c r="M2705" s="22" cm="1">
        <f ca="1" t="array" ref="M2705">SUMPRODUCT(--(WEEKDAY(ROW(INDIRECT(INT(F2705)&amp;":"&amp;INT(I2705))),2)&gt;5))</f>
        <v>0</v>
      </c>
      <c r="N2705" s="22">
        <f ca="1" t="shared" si="213"/>
        <v>0.250000000116415</v>
      </c>
      <c r="O2705" s="22" t="str">
        <f ca="1" t="shared" si="214"/>
        <v>Within SLA</v>
      </c>
      <c r="P2705" s="26" t="s">
        <v>10480</v>
      </c>
      <c r="Q2705" s="24" t="s">
        <v>37</v>
      </c>
      <c r="R2705" s="25"/>
      <c r="S2705" s="25"/>
    </row>
    <row r="2706" ht="27" customHeight="1" spans="1:19">
      <c r="A2706" s="19" t="s">
        <v>10483</v>
      </c>
      <c r="B2706" s="20" t="s">
        <v>1047</v>
      </c>
      <c r="C2706" s="20" t="s">
        <v>849</v>
      </c>
      <c r="D2706" s="20" t="s">
        <v>32</v>
      </c>
      <c r="E2706" s="21" t="s">
        <v>10484</v>
      </c>
      <c r="F2706" s="21" t="s">
        <v>10485</v>
      </c>
      <c r="G2706" s="20" t="s">
        <v>35</v>
      </c>
      <c r="H2706" s="20" t="s">
        <v>25</v>
      </c>
      <c r="I2706" s="21" t="s">
        <v>10486</v>
      </c>
      <c r="J2706" s="22">
        <f t="shared" si="210"/>
        <v>5.9152777777781</v>
      </c>
      <c r="K2706" s="22">
        <f t="shared" si="211"/>
        <v>141.966666666674</v>
      </c>
      <c r="L2706" s="22">
        <f t="shared" si="212"/>
        <v>45.9666666666744</v>
      </c>
      <c r="M2706" s="22" cm="1">
        <f ca="1" t="array" ref="M2706">SUMPRODUCT(--(WEEKDAY(ROW(INDIRECT(INT(F2706)&amp;":"&amp;INT(I2706))),2)&gt;5))</f>
        <v>2</v>
      </c>
      <c r="N2706" s="22">
        <f ca="1" t="shared" si="213"/>
        <v>29.9666666666744</v>
      </c>
      <c r="O2706" s="22" t="str">
        <f ca="1" t="shared" si="214"/>
        <v>SLA Violated</v>
      </c>
      <c r="P2706" s="23" t="s">
        <v>10487</v>
      </c>
      <c r="Q2706" s="24" t="s">
        <v>28</v>
      </c>
      <c r="R2706" s="25"/>
      <c r="S2706" s="25"/>
    </row>
    <row r="2707" ht="27" customHeight="1" spans="1:19">
      <c r="A2707" s="19" t="s">
        <v>10488</v>
      </c>
      <c r="B2707" s="20" t="s">
        <v>121</v>
      </c>
      <c r="C2707" s="20" t="s">
        <v>849</v>
      </c>
      <c r="D2707" s="20" t="s">
        <v>32</v>
      </c>
      <c r="E2707" s="21" t="s">
        <v>10489</v>
      </c>
      <c r="F2707" s="21" t="s">
        <v>10490</v>
      </c>
      <c r="G2707" s="20" t="s">
        <v>35</v>
      </c>
      <c r="H2707" s="20" t="s">
        <v>25</v>
      </c>
      <c r="I2707" s="21" t="s">
        <v>10491</v>
      </c>
      <c r="J2707" s="22">
        <f t="shared" si="210"/>
        <v>1.74236111110804</v>
      </c>
      <c r="K2707" s="22">
        <f t="shared" si="211"/>
        <v>41.8166666665929</v>
      </c>
      <c r="L2707" s="22">
        <f t="shared" si="212"/>
        <v>9.81666666659294</v>
      </c>
      <c r="M2707" s="22" cm="1">
        <f ca="1" t="array" ref="M2707">SUMPRODUCT(--(WEEKDAY(ROW(INDIRECT(INT(F2707)&amp;":"&amp;INT(I2707))),2)&gt;5))</f>
        <v>0</v>
      </c>
      <c r="N2707" s="22">
        <f ca="1" t="shared" si="213"/>
        <v>9.81666666659294</v>
      </c>
      <c r="O2707" s="22" t="str">
        <f ca="1" t="shared" si="214"/>
        <v>Within SLA</v>
      </c>
      <c r="P2707" s="26" t="s">
        <v>10488</v>
      </c>
      <c r="Q2707" s="24" t="s">
        <v>37</v>
      </c>
      <c r="R2707" s="25"/>
      <c r="S2707" s="25"/>
    </row>
    <row r="2708" ht="27" customHeight="1" spans="1:19">
      <c r="A2708" s="19" t="s">
        <v>10492</v>
      </c>
      <c r="B2708" s="20" t="s">
        <v>30</v>
      </c>
      <c r="C2708" s="20" t="s">
        <v>2057</v>
      </c>
      <c r="D2708" s="20" t="s">
        <v>32</v>
      </c>
      <c r="E2708" s="21" t="s">
        <v>10493</v>
      </c>
      <c r="F2708" s="21" t="s">
        <v>10494</v>
      </c>
      <c r="G2708" s="20" t="s">
        <v>35</v>
      </c>
      <c r="H2708" s="20" t="s">
        <v>25</v>
      </c>
      <c r="I2708" s="21" t="s">
        <v>10495</v>
      </c>
      <c r="J2708" s="22">
        <f t="shared" si="210"/>
        <v>0.855555555550382</v>
      </c>
      <c r="K2708" s="22">
        <f t="shared" si="211"/>
        <v>20.5333333332092</v>
      </c>
      <c r="L2708" s="22">
        <f t="shared" si="212"/>
        <v>4.53333333320916</v>
      </c>
      <c r="M2708" s="22" cm="1">
        <f ca="1" t="array" ref="M2708">SUMPRODUCT(--(WEEKDAY(ROW(INDIRECT(INT(F2708)&amp;":"&amp;INT(I2708))),2)&gt;5))</f>
        <v>0</v>
      </c>
      <c r="N2708" s="22">
        <f ca="1" t="shared" si="213"/>
        <v>4.53333333320916</v>
      </c>
      <c r="O2708" s="22" t="str">
        <f ca="1" t="shared" si="214"/>
        <v>Within SLA</v>
      </c>
      <c r="P2708" s="26" t="s">
        <v>10492</v>
      </c>
      <c r="Q2708" s="24" t="s">
        <v>37</v>
      </c>
      <c r="R2708" s="25"/>
      <c r="S2708" s="25"/>
    </row>
    <row r="2709" ht="27" customHeight="1" spans="1:19">
      <c r="A2709" s="19" t="s">
        <v>10496</v>
      </c>
      <c r="B2709" s="20" t="s">
        <v>30</v>
      </c>
      <c r="C2709" s="20" t="s">
        <v>31</v>
      </c>
      <c r="D2709" s="20" t="s">
        <v>32</v>
      </c>
      <c r="E2709" s="21" t="s">
        <v>10497</v>
      </c>
      <c r="F2709" s="21" t="s">
        <v>10498</v>
      </c>
      <c r="G2709" s="20" t="s">
        <v>35</v>
      </c>
      <c r="H2709" s="20" t="s">
        <v>25</v>
      </c>
      <c r="I2709" s="21" t="s">
        <v>10499</v>
      </c>
      <c r="J2709" s="22">
        <f t="shared" si="210"/>
        <v>0.661805555559113</v>
      </c>
      <c r="K2709" s="22">
        <f t="shared" si="211"/>
        <v>15.8833333334187</v>
      </c>
      <c r="L2709" s="22">
        <f t="shared" si="212"/>
        <v>-0.116666666581295</v>
      </c>
      <c r="M2709" s="22" cm="1">
        <f ca="1" t="array" ref="M2709">SUMPRODUCT(--(WEEKDAY(ROW(INDIRECT(INT(F2709)&amp;":"&amp;INT(I2709))),2)&gt;5))</f>
        <v>0</v>
      </c>
      <c r="N2709" s="22">
        <f ca="1" t="shared" si="213"/>
        <v>0</v>
      </c>
      <c r="O2709" s="22" t="str">
        <f ca="1" t="shared" si="214"/>
        <v>Within SLA</v>
      </c>
      <c r="P2709" s="26" t="s">
        <v>10496</v>
      </c>
      <c r="Q2709" s="24" t="s">
        <v>37</v>
      </c>
      <c r="R2709" s="25"/>
      <c r="S2709" s="25"/>
    </row>
    <row r="2710" ht="27" customHeight="1" spans="1:19">
      <c r="A2710" s="19" t="s">
        <v>10500</v>
      </c>
      <c r="B2710" s="20" t="s">
        <v>30</v>
      </c>
      <c r="C2710" s="20" t="s">
        <v>2057</v>
      </c>
      <c r="D2710" s="20" t="s">
        <v>32</v>
      </c>
      <c r="E2710" s="21" t="s">
        <v>10501</v>
      </c>
      <c r="F2710" s="21" t="s">
        <v>10419</v>
      </c>
      <c r="G2710" s="20" t="s">
        <v>35</v>
      </c>
      <c r="H2710" s="20" t="s">
        <v>25</v>
      </c>
      <c r="I2710" s="21" t="s">
        <v>10502</v>
      </c>
      <c r="J2710" s="22">
        <f t="shared" si="210"/>
        <v>0.177083333335759</v>
      </c>
      <c r="K2710" s="22">
        <f t="shared" si="211"/>
        <v>4.25000000005821</v>
      </c>
      <c r="L2710" s="22">
        <f t="shared" si="212"/>
        <v>4.25000000005821</v>
      </c>
      <c r="M2710" s="22" cm="1">
        <f ca="1" t="array" ref="M2710">SUMPRODUCT(--(WEEKDAY(ROW(INDIRECT(INT(F2710)&amp;":"&amp;INT(I2710))),2)&gt;5))</f>
        <v>0</v>
      </c>
      <c r="N2710" s="22">
        <f ca="1" t="shared" si="213"/>
        <v>4.25000000005821</v>
      </c>
      <c r="O2710" s="22" t="str">
        <f ca="1" t="shared" si="214"/>
        <v>Within SLA</v>
      </c>
      <c r="P2710" s="26" t="s">
        <v>10500</v>
      </c>
      <c r="Q2710" s="24" t="s">
        <v>37</v>
      </c>
      <c r="R2710" s="25"/>
      <c r="S2710" s="25"/>
    </row>
    <row r="2711" ht="27" customHeight="1" spans="1:19">
      <c r="A2711" s="19" t="s">
        <v>10503</v>
      </c>
      <c r="B2711" s="20" t="s">
        <v>30</v>
      </c>
      <c r="C2711" s="20" t="s">
        <v>31</v>
      </c>
      <c r="D2711" s="20" t="s">
        <v>115</v>
      </c>
      <c r="E2711" s="21" t="s">
        <v>10504</v>
      </c>
      <c r="F2711" s="21" t="s">
        <v>10505</v>
      </c>
      <c r="G2711" s="20" t="s">
        <v>35</v>
      </c>
      <c r="H2711" s="20" t="s">
        <v>25</v>
      </c>
      <c r="I2711" s="21" t="s">
        <v>10506</v>
      </c>
      <c r="J2711" s="22">
        <f t="shared" si="210"/>
        <v>1.05277777778247</v>
      </c>
      <c r="K2711" s="22">
        <f t="shared" si="211"/>
        <v>25.2666666667792</v>
      </c>
      <c r="L2711" s="22">
        <f t="shared" si="212"/>
        <v>9.2666666667792</v>
      </c>
      <c r="M2711" s="22" cm="1">
        <f ca="1" t="array" ref="M2711">SUMPRODUCT(--(WEEKDAY(ROW(INDIRECT(INT(F2711)&amp;":"&amp;INT(I2711))),2)&gt;5))</f>
        <v>0</v>
      </c>
      <c r="N2711" s="22">
        <f ca="1" t="shared" si="213"/>
        <v>9.2666666667792</v>
      </c>
      <c r="O2711" s="22" t="str">
        <f ca="1" t="shared" si="214"/>
        <v>SLA Violated</v>
      </c>
      <c r="P2711" s="23" t="s">
        <v>10507</v>
      </c>
      <c r="Q2711" s="24" t="s">
        <v>28</v>
      </c>
      <c r="R2711" s="25"/>
      <c r="S2711" s="25"/>
    </row>
    <row r="2712" ht="39" customHeight="1" spans="1:19">
      <c r="A2712" s="19" t="s">
        <v>10508</v>
      </c>
      <c r="B2712" s="20" t="s">
        <v>196</v>
      </c>
      <c r="C2712" s="20" t="s">
        <v>2057</v>
      </c>
      <c r="D2712" s="20" t="s">
        <v>32</v>
      </c>
      <c r="E2712" s="21" t="s">
        <v>10509</v>
      </c>
      <c r="F2712" s="21" t="s">
        <v>10510</v>
      </c>
      <c r="G2712" s="20" t="s">
        <v>35</v>
      </c>
      <c r="H2712" s="20" t="s">
        <v>25</v>
      </c>
      <c r="I2712" s="21" t="s">
        <v>10511</v>
      </c>
      <c r="J2712" s="22">
        <f t="shared" si="210"/>
        <v>8.14583333333576</v>
      </c>
      <c r="K2712" s="22">
        <f t="shared" si="211"/>
        <v>195.500000000058</v>
      </c>
      <c r="L2712" s="22">
        <f t="shared" si="212"/>
        <v>67.5000000000582</v>
      </c>
      <c r="M2712" s="22" cm="1">
        <f ca="1" t="array" ref="M2712">SUMPRODUCT(--(WEEKDAY(ROW(INDIRECT(INT(F2712)&amp;":"&amp;INT(I2712))),2)&gt;5))</f>
        <v>2</v>
      </c>
      <c r="N2712" s="22">
        <f ca="1" t="shared" si="213"/>
        <v>51.5000000000582</v>
      </c>
      <c r="O2712" s="22" t="str">
        <f ca="1" t="shared" si="214"/>
        <v>SLA Violated</v>
      </c>
      <c r="P2712" s="23" t="s">
        <v>10512</v>
      </c>
      <c r="Q2712" s="24" t="s">
        <v>28</v>
      </c>
      <c r="R2712" s="25"/>
      <c r="S2712" s="25"/>
    </row>
    <row r="2713" ht="39" customHeight="1" spans="1:19">
      <c r="A2713" s="19" t="s">
        <v>10513</v>
      </c>
      <c r="B2713" s="20" t="s">
        <v>19</v>
      </c>
      <c r="C2713" s="20" t="s">
        <v>101</v>
      </c>
      <c r="D2713" s="20" t="s">
        <v>32</v>
      </c>
      <c r="E2713" s="21" t="s">
        <v>10514</v>
      </c>
      <c r="F2713" s="21" t="s">
        <v>10515</v>
      </c>
      <c r="G2713" s="20" t="s">
        <v>35</v>
      </c>
      <c r="H2713" s="20" t="s">
        <v>25</v>
      </c>
      <c r="I2713" s="21" t="s">
        <v>10516</v>
      </c>
      <c r="J2713" s="22">
        <f t="shared" si="210"/>
        <v>0.046527777776646</v>
      </c>
      <c r="K2713" s="22">
        <f t="shared" si="211"/>
        <v>1.1166666666395</v>
      </c>
      <c r="L2713" s="22">
        <f t="shared" si="212"/>
        <v>1.1166666666395</v>
      </c>
      <c r="M2713" s="22" cm="1">
        <f ca="1" t="array" ref="M2713">SUMPRODUCT(--(WEEKDAY(ROW(INDIRECT(INT(F2713)&amp;":"&amp;INT(I2713))),2)&gt;5))</f>
        <v>0</v>
      </c>
      <c r="N2713" s="22">
        <f ca="1" t="shared" si="213"/>
        <v>1.1166666666395</v>
      </c>
      <c r="O2713" s="22" t="str">
        <f ca="1" t="shared" si="214"/>
        <v>Within SLA</v>
      </c>
      <c r="P2713" s="26" t="s">
        <v>10513</v>
      </c>
      <c r="Q2713" s="24" t="s">
        <v>37</v>
      </c>
      <c r="R2713" s="25"/>
      <c r="S2713" s="25"/>
    </row>
    <row r="2714" ht="27" customHeight="1" spans="1:19">
      <c r="A2714" s="19" t="s">
        <v>10517</v>
      </c>
      <c r="B2714" s="20" t="s">
        <v>30</v>
      </c>
      <c r="C2714" s="20" t="s">
        <v>2057</v>
      </c>
      <c r="D2714" s="20" t="s">
        <v>32</v>
      </c>
      <c r="E2714" s="21" t="s">
        <v>10518</v>
      </c>
      <c r="F2714" s="21" t="s">
        <v>9987</v>
      </c>
      <c r="G2714" s="20" t="s">
        <v>35</v>
      </c>
      <c r="H2714" s="20" t="s">
        <v>25</v>
      </c>
      <c r="I2714" s="21" t="s">
        <v>7750</v>
      </c>
      <c r="J2714" s="22">
        <f t="shared" si="210"/>
        <v>4.82222222222481</v>
      </c>
      <c r="K2714" s="22">
        <f t="shared" si="211"/>
        <v>115.733333333395</v>
      </c>
      <c r="L2714" s="22">
        <f t="shared" si="212"/>
        <v>35.7333333333954</v>
      </c>
      <c r="M2714" s="22" cm="1">
        <f ca="1" t="array" ref="M2714">SUMPRODUCT(--(WEEKDAY(ROW(INDIRECT(INT(F2714)&amp;":"&amp;INT(I2714))),2)&gt;5))</f>
        <v>2</v>
      </c>
      <c r="N2714" s="22">
        <f ca="1" t="shared" si="213"/>
        <v>19.7333333333954</v>
      </c>
      <c r="O2714" s="22" t="str">
        <f ca="1" t="shared" si="214"/>
        <v>SLA Violated</v>
      </c>
      <c r="P2714" s="23" t="s">
        <v>10519</v>
      </c>
      <c r="Q2714" s="24" t="s">
        <v>28</v>
      </c>
      <c r="R2714" s="25"/>
      <c r="S2714" s="25"/>
    </row>
    <row r="2715" ht="27" customHeight="1" spans="1:19">
      <c r="A2715" s="19" t="s">
        <v>10520</v>
      </c>
      <c r="B2715" s="20" t="s">
        <v>30</v>
      </c>
      <c r="C2715" s="20" t="s">
        <v>31</v>
      </c>
      <c r="D2715" s="20" t="s">
        <v>32</v>
      </c>
      <c r="E2715" s="21" t="s">
        <v>10521</v>
      </c>
      <c r="F2715" s="21" t="s">
        <v>10522</v>
      </c>
      <c r="G2715" s="20" t="s">
        <v>35</v>
      </c>
      <c r="H2715" s="20" t="s">
        <v>25</v>
      </c>
      <c r="I2715" s="21" t="s">
        <v>10523</v>
      </c>
      <c r="J2715" s="22">
        <f t="shared" si="210"/>
        <v>5.05694444444089</v>
      </c>
      <c r="K2715" s="22">
        <f t="shared" si="211"/>
        <v>121.366666666581</v>
      </c>
      <c r="L2715" s="22">
        <f t="shared" si="212"/>
        <v>41.3666666665813</v>
      </c>
      <c r="M2715" s="22" cm="1">
        <f ca="1" t="array" ref="M2715">SUMPRODUCT(--(WEEKDAY(ROW(INDIRECT(INT(F2715)&amp;":"&amp;INT(I2715))),2)&gt;5))</f>
        <v>2</v>
      </c>
      <c r="N2715" s="22">
        <f ca="1" t="shared" si="213"/>
        <v>25.3666666665813</v>
      </c>
      <c r="O2715" s="22" t="str">
        <f ca="1" t="shared" si="214"/>
        <v>SLA Violated</v>
      </c>
      <c r="P2715" s="26" t="s">
        <v>10520</v>
      </c>
      <c r="Q2715" s="24" t="s">
        <v>28</v>
      </c>
      <c r="R2715" s="25"/>
      <c r="S2715" s="25"/>
    </row>
    <row r="2716" ht="27" customHeight="1" spans="1:19">
      <c r="A2716" s="19" t="s">
        <v>10524</v>
      </c>
      <c r="B2716" s="20" t="s">
        <v>30</v>
      </c>
      <c r="C2716" s="20" t="s">
        <v>31</v>
      </c>
      <c r="D2716" s="20" t="s">
        <v>115</v>
      </c>
      <c r="E2716" s="21" t="s">
        <v>10525</v>
      </c>
      <c r="F2716" s="21" t="s">
        <v>10526</v>
      </c>
      <c r="G2716" s="20" t="s">
        <v>35</v>
      </c>
      <c r="H2716" s="20" t="s">
        <v>25</v>
      </c>
      <c r="I2716" s="21" t="s">
        <v>10527</v>
      </c>
      <c r="J2716" s="22">
        <f t="shared" si="210"/>
        <v>2.79791666667006</v>
      </c>
      <c r="K2716" s="22">
        <f t="shared" si="211"/>
        <v>67.1500000000815</v>
      </c>
      <c r="L2716" s="22">
        <f t="shared" si="212"/>
        <v>19.1500000000815</v>
      </c>
      <c r="M2716" s="22" cm="1">
        <f ca="1" t="array" ref="M2716">SUMPRODUCT(--(WEEKDAY(ROW(INDIRECT(INT(F2716)&amp;":"&amp;INT(I2716))),2)&gt;5))</f>
        <v>1</v>
      </c>
      <c r="N2716" s="22">
        <f ca="1" t="shared" si="213"/>
        <v>11.1500000000815</v>
      </c>
      <c r="O2716" s="22" t="str">
        <f ca="1" t="shared" si="214"/>
        <v>SLA Violated</v>
      </c>
      <c r="P2716" s="23" t="s">
        <v>10528</v>
      </c>
      <c r="Q2716" s="24" t="s">
        <v>28</v>
      </c>
      <c r="R2716" s="25"/>
      <c r="S2716" s="25"/>
    </row>
    <row r="2717" ht="27" customHeight="1" spans="1:19">
      <c r="A2717" s="19" t="s">
        <v>10529</v>
      </c>
      <c r="B2717" s="20" t="s">
        <v>30</v>
      </c>
      <c r="C2717" s="20" t="s">
        <v>31</v>
      </c>
      <c r="D2717" s="20" t="s">
        <v>32</v>
      </c>
      <c r="E2717" s="21" t="s">
        <v>10525</v>
      </c>
      <c r="F2717" s="21" t="s">
        <v>10530</v>
      </c>
      <c r="G2717" s="20" t="s">
        <v>35</v>
      </c>
      <c r="H2717" s="20" t="s">
        <v>25</v>
      </c>
      <c r="I2717" s="21" t="s">
        <v>10531</v>
      </c>
      <c r="J2717" s="22">
        <f t="shared" si="210"/>
        <v>4.85902777777665</v>
      </c>
      <c r="K2717" s="22">
        <f t="shared" si="211"/>
        <v>116.61666666664</v>
      </c>
      <c r="L2717" s="22">
        <f t="shared" si="212"/>
        <v>36.6166666666395</v>
      </c>
      <c r="M2717" s="22" cm="1">
        <f ca="1" t="array" ref="M2717">SUMPRODUCT(--(WEEKDAY(ROW(INDIRECT(INT(F2717)&amp;":"&amp;INT(I2717))),2)&gt;5))</f>
        <v>2</v>
      </c>
      <c r="N2717" s="22">
        <f ca="1" t="shared" si="213"/>
        <v>20.6166666666395</v>
      </c>
      <c r="O2717" s="22" t="str">
        <f ca="1" t="shared" si="214"/>
        <v>SLA Violated</v>
      </c>
      <c r="P2717" s="26" t="s">
        <v>10529</v>
      </c>
      <c r="Q2717" s="24" t="s">
        <v>28</v>
      </c>
      <c r="R2717" s="25"/>
      <c r="S2717" s="25"/>
    </row>
    <row r="2718" ht="39" customHeight="1" spans="1:19">
      <c r="A2718" s="19" t="s">
        <v>10532</v>
      </c>
      <c r="B2718" s="20" t="s">
        <v>19</v>
      </c>
      <c r="C2718" s="20" t="s">
        <v>20</v>
      </c>
      <c r="D2718" s="20" t="s">
        <v>32</v>
      </c>
      <c r="E2718" s="21" t="s">
        <v>10533</v>
      </c>
      <c r="F2718" s="21" t="s">
        <v>10534</v>
      </c>
      <c r="G2718" s="20" t="s">
        <v>35</v>
      </c>
      <c r="H2718" s="20" t="s">
        <v>25</v>
      </c>
      <c r="I2718" s="21" t="s">
        <v>10535</v>
      </c>
      <c r="J2718" s="22">
        <f t="shared" si="210"/>
        <v>5.06805555555911</v>
      </c>
      <c r="K2718" s="22">
        <f t="shared" si="211"/>
        <v>121.633333333419</v>
      </c>
      <c r="L2718" s="22">
        <f t="shared" si="212"/>
        <v>41.6333333334187</v>
      </c>
      <c r="M2718" s="22" cm="1">
        <f ca="1" t="array" ref="M2718">SUMPRODUCT(--(WEEKDAY(ROW(INDIRECT(INT(F2718)&amp;":"&amp;INT(I2718))),2)&gt;5))</f>
        <v>2</v>
      </c>
      <c r="N2718" s="22">
        <f ca="1" t="shared" si="213"/>
        <v>25.6333333334187</v>
      </c>
      <c r="O2718" s="22" t="str">
        <f ca="1" t="shared" si="214"/>
        <v>SLA Violated</v>
      </c>
      <c r="P2718" s="23" t="s">
        <v>10536</v>
      </c>
      <c r="Q2718" s="24" t="s">
        <v>37</v>
      </c>
      <c r="R2718" s="25" t="s">
        <v>2424</v>
      </c>
      <c r="S2718" s="25" t="s">
        <v>39</v>
      </c>
    </row>
    <row r="2719" ht="39" customHeight="1" spans="1:19">
      <c r="A2719" s="19" t="s">
        <v>10537</v>
      </c>
      <c r="B2719" s="20" t="s">
        <v>19</v>
      </c>
      <c r="C2719" s="20" t="s">
        <v>20</v>
      </c>
      <c r="D2719" s="20" t="s">
        <v>32</v>
      </c>
      <c r="E2719" s="21" t="s">
        <v>10538</v>
      </c>
      <c r="F2719" s="21" t="s">
        <v>10539</v>
      </c>
      <c r="G2719" s="20" t="s">
        <v>35</v>
      </c>
      <c r="H2719" s="20" t="s">
        <v>25</v>
      </c>
      <c r="I2719" s="21" t="s">
        <v>10540</v>
      </c>
      <c r="J2719" s="22">
        <f t="shared" si="210"/>
        <v>0.00555555555183673</v>
      </c>
      <c r="K2719" s="22">
        <f t="shared" si="211"/>
        <v>0.133333333244082</v>
      </c>
      <c r="L2719" s="22">
        <f t="shared" si="212"/>
        <v>0.133333333244082</v>
      </c>
      <c r="M2719" s="22" cm="1">
        <f ca="1" t="array" ref="M2719">SUMPRODUCT(--(WEEKDAY(ROW(INDIRECT(INT(F2719)&amp;":"&amp;INT(I2719))),2)&gt;5))</f>
        <v>0</v>
      </c>
      <c r="N2719" s="22">
        <f ca="1" t="shared" si="213"/>
        <v>0.133333333244082</v>
      </c>
      <c r="O2719" s="22" t="str">
        <f ca="1" t="shared" si="214"/>
        <v>Within SLA</v>
      </c>
      <c r="P2719" s="26" t="s">
        <v>10537</v>
      </c>
      <c r="Q2719" s="24" t="s">
        <v>37</v>
      </c>
      <c r="R2719" s="25"/>
      <c r="S2719" s="25"/>
    </row>
    <row r="2720" ht="27" customHeight="1" spans="1:19">
      <c r="A2720" s="19" t="s">
        <v>10541</v>
      </c>
      <c r="B2720" s="20" t="s">
        <v>1047</v>
      </c>
      <c r="C2720" s="20" t="s">
        <v>849</v>
      </c>
      <c r="D2720" s="20" t="s">
        <v>32</v>
      </c>
      <c r="E2720" s="21" t="s">
        <v>10542</v>
      </c>
      <c r="F2720" s="21" t="s">
        <v>10543</v>
      </c>
      <c r="G2720" s="20" t="s">
        <v>35</v>
      </c>
      <c r="H2720" s="20" t="s">
        <v>25</v>
      </c>
      <c r="I2720" s="21" t="s">
        <v>10544</v>
      </c>
      <c r="J2720" s="22">
        <f t="shared" si="210"/>
        <v>3.32638888889051</v>
      </c>
      <c r="K2720" s="22">
        <f t="shared" si="211"/>
        <v>79.8333333333721</v>
      </c>
      <c r="L2720" s="22">
        <f t="shared" si="212"/>
        <v>31.8333333333721</v>
      </c>
      <c r="M2720" s="22" cm="1">
        <f ca="1" t="array" ref="M2720">SUMPRODUCT(--(WEEKDAY(ROW(INDIRECT(INT(F2720)&amp;":"&amp;INT(I2720))),2)&gt;5))</f>
        <v>2</v>
      </c>
      <c r="N2720" s="22">
        <f ca="1" t="shared" si="213"/>
        <v>15.8333333333721</v>
      </c>
      <c r="O2720" s="22" t="str">
        <f ca="1" t="shared" si="214"/>
        <v>SLA Violated</v>
      </c>
      <c r="P2720" s="23" t="s">
        <v>10545</v>
      </c>
      <c r="Q2720" s="24" t="s">
        <v>28</v>
      </c>
      <c r="R2720" s="25"/>
      <c r="S2720" s="25"/>
    </row>
    <row r="2721" ht="39" customHeight="1" spans="1:19">
      <c r="A2721" s="19" t="s">
        <v>10546</v>
      </c>
      <c r="B2721" s="20" t="s">
        <v>196</v>
      </c>
      <c r="C2721" s="20" t="s">
        <v>46</v>
      </c>
      <c r="D2721" s="20" t="s">
        <v>21</v>
      </c>
      <c r="E2721" s="21" t="s">
        <v>10544</v>
      </c>
      <c r="F2721" s="21" t="s">
        <v>10547</v>
      </c>
      <c r="G2721" s="20" t="s">
        <v>35</v>
      </c>
      <c r="H2721" s="20" t="s">
        <v>25</v>
      </c>
      <c r="I2721" s="21" t="s">
        <v>10548</v>
      </c>
      <c r="J2721" s="22">
        <f t="shared" si="210"/>
        <v>0.00902777777810115</v>
      </c>
      <c r="K2721" s="22">
        <f t="shared" si="211"/>
        <v>0.216666666674428</v>
      </c>
      <c r="L2721" s="22">
        <f t="shared" si="212"/>
        <v>0.216666666674428</v>
      </c>
      <c r="M2721" s="22" cm="1">
        <f ca="1" t="array" ref="M2721">SUMPRODUCT(--(WEEKDAY(ROW(INDIRECT(INT(F2721)&amp;":"&amp;INT(I2721))),2)&gt;5))</f>
        <v>0</v>
      </c>
      <c r="N2721" s="22">
        <f ca="1" t="shared" si="213"/>
        <v>0.216666666674428</v>
      </c>
      <c r="O2721" s="22" t="str">
        <f ca="1" t="shared" si="214"/>
        <v>Within SLA</v>
      </c>
      <c r="P2721" s="26" t="s">
        <v>10546</v>
      </c>
      <c r="Q2721" s="24" t="s">
        <v>37</v>
      </c>
      <c r="R2721" s="25"/>
      <c r="S2721" s="25"/>
    </row>
    <row r="2722" ht="27" customHeight="1" spans="1:19">
      <c r="A2722" s="19" t="s">
        <v>10549</v>
      </c>
      <c r="B2722" s="20" t="s">
        <v>30</v>
      </c>
      <c r="C2722" s="20" t="s">
        <v>2057</v>
      </c>
      <c r="D2722" s="20" t="s">
        <v>32</v>
      </c>
      <c r="E2722" s="21" t="s">
        <v>10547</v>
      </c>
      <c r="F2722" s="21" t="s">
        <v>10550</v>
      </c>
      <c r="G2722" s="20" t="s">
        <v>24</v>
      </c>
      <c r="H2722" s="20" t="s">
        <v>25</v>
      </c>
      <c r="I2722" s="21" t="s">
        <v>10551</v>
      </c>
      <c r="J2722" s="22">
        <f t="shared" si="210"/>
        <v>3.9868055555562</v>
      </c>
      <c r="K2722" s="22">
        <f t="shared" si="211"/>
        <v>95.6833333333489</v>
      </c>
      <c r="L2722" s="22">
        <f t="shared" si="212"/>
        <v>31.6833333333489</v>
      </c>
      <c r="M2722" s="22" cm="1">
        <f ca="1" t="array" ref="M2722">SUMPRODUCT(--(WEEKDAY(ROW(INDIRECT(INT(F2722)&amp;":"&amp;INT(I2722))),2)&gt;5))</f>
        <v>2</v>
      </c>
      <c r="N2722" s="22">
        <f ca="1" t="shared" si="213"/>
        <v>15.6833333333489</v>
      </c>
      <c r="O2722" s="22" t="str">
        <f ca="1" t="shared" si="214"/>
        <v>SLA Violated</v>
      </c>
      <c r="P2722" s="23" t="s">
        <v>10552</v>
      </c>
      <c r="Q2722" s="24" t="s">
        <v>37</v>
      </c>
      <c r="R2722" s="29" t="s">
        <v>10553</v>
      </c>
      <c r="S2722" s="25" t="s">
        <v>39</v>
      </c>
    </row>
    <row r="2723" ht="39" customHeight="1" spans="1:19">
      <c r="A2723" s="19" t="s">
        <v>10554</v>
      </c>
      <c r="B2723" s="20" t="s">
        <v>725</v>
      </c>
      <c r="C2723" s="20" t="s">
        <v>101</v>
      </c>
      <c r="D2723" s="20" t="s">
        <v>32</v>
      </c>
      <c r="E2723" s="21" t="s">
        <v>10555</v>
      </c>
      <c r="F2723" s="21" t="s">
        <v>10556</v>
      </c>
      <c r="G2723" s="20" t="s">
        <v>35</v>
      </c>
      <c r="H2723" s="20" t="s">
        <v>25</v>
      </c>
      <c r="I2723" s="21" t="s">
        <v>10557</v>
      </c>
      <c r="J2723" s="22">
        <f t="shared" si="210"/>
        <v>3.95902777777519</v>
      </c>
      <c r="K2723" s="22">
        <f t="shared" si="211"/>
        <v>95.0166666666046</v>
      </c>
      <c r="L2723" s="22">
        <f t="shared" si="212"/>
        <v>31.0166666666046</v>
      </c>
      <c r="M2723" s="22" cm="1">
        <f ca="1" t="array" ref="M2723">SUMPRODUCT(--(WEEKDAY(ROW(INDIRECT(INT(F2723)&amp;":"&amp;INT(I2723))),2)&gt;5))</f>
        <v>2</v>
      </c>
      <c r="N2723" s="22">
        <f ca="1" t="shared" si="213"/>
        <v>15.0166666666046</v>
      </c>
      <c r="O2723" s="22" t="str">
        <f ca="1" t="shared" si="214"/>
        <v>SLA Violated</v>
      </c>
      <c r="P2723" s="23" t="s">
        <v>10558</v>
      </c>
      <c r="Q2723" s="24" t="s">
        <v>37</v>
      </c>
      <c r="R2723" s="29" t="s">
        <v>10559</v>
      </c>
      <c r="S2723" s="25" t="s">
        <v>39</v>
      </c>
    </row>
    <row r="2724" ht="39" customHeight="1" spans="1:19">
      <c r="A2724" s="19" t="s">
        <v>10560</v>
      </c>
      <c r="B2724" s="20" t="s">
        <v>725</v>
      </c>
      <c r="C2724" s="20" t="s">
        <v>101</v>
      </c>
      <c r="D2724" s="20" t="s">
        <v>32</v>
      </c>
      <c r="E2724" s="21" t="s">
        <v>10561</v>
      </c>
      <c r="F2724" s="21" t="s">
        <v>10562</v>
      </c>
      <c r="G2724" s="20" t="s">
        <v>35</v>
      </c>
      <c r="H2724" s="20" t="s">
        <v>25</v>
      </c>
      <c r="I2724" s="21" t="s">
        <v>10563</v>
      </c>
      <c r="J2724" s="22">
        <f t="shared" si="210"/>
        <v>6.0041666666657</v>
      </c>
      <c r="K2724" s="22">
        <f t="shared" si="211"/>
        <v>144.099999999977</v>
      </c>
      <c r="L2724" s="22">
        <f t="shared" si="212"/>
        <v>48.0999999999767</v>
      </c>
      <c r="M2724" s="22" cm="1">
        <f ca="1" t="array" ref="M2724">SUMPRODUCT(--(WEEKDAY(ROW(INDIRECT(INT(F2724)&amp;":"&amp;INT(I2724))),2)&gt;5))</f>
        <v>2</v>
      </c>
      <c r="N2724" s="22">
        <f ca="1" t="shared" si="213"/>
        <v>32.0999999999767</v>
      </c>
      <c r="O2724" s="22" t="str">
        <f ca="1" t="shared" si="214"/>
        <v>SLA Violated</v>
      </c>
      <c r="P2724" s="23" t="s">
        <v>10564</v>
      </c>
      <c r="Q2724" s="24" t="s">
        <v>37</v>
      </c>
      <c r="R2724" s="25" t="s">
        <v>6838</v>
      </c>
      <c r="S2724" s="25" t="s">
        <v>39</v>
      </c>
    </row>
    <row r="2725" ht="27" customHeight="1" spans="1:19">
      <c r="A2725" s="19" t="s">
        <v>10565</v>
      </c>
      <c r="B2725" s="20" t="s">
        <v>30</v>
      </c>
      <c r="C2725" s="20" t="s">
        <v>31</v>
      </c>
      <c r="D2725" s="20" t="s">
        <v>32</v>
      </c>
      <c r="E2725" s="21" t="s">
        <v>10566</v>
      </c>
      <c r="F2725" s="21" t="s">
        <v>10567</v>
      </c>
      <c r="G2725" s="20" t="s">
        <v>35</v>
      </c>
      <c r="H2725" s="20" t="s">
        <v>25</v>
      </c>
      <c r="I2725" s="21" t="s">
        <v>10568</v>
      </c>
      <c r="J2725" s="22">
        <f t="shared" si="210"/>
        <v>4.0361111111124</v>
      </c>
      <c r="K2725" s="22">
        <f t="shared" si="211"/>
        <v>96.8666666666977</v>
      </c>
      <c r="L2725" s="22">
        <f t="shared" si="212"/>
        <v>32.8666666666977</v>
      </c>
      <c r="M2725" s="22" cm="1">
        <f ca="1" t="array" ref="M2725">SUMPRODUCT(--(WEEKDAY(ROW(INDIRECT(INT(F2725)&amp;":"&amp;INT(I2725))),2)&gt;5))</f>
        <v>2</v>
      </c>
      <c r="N2725" s="22">
        <f ca="1" t="shared" si="213"/>
        <v>16.8666666666977</v>
      </c>
      <c r="O2725" s="22" t="str">
        <f ca="1" t="shared" si="214"/>
        <v>SLA Violated</v>
      </c>
      <c r="P2725" s="26" t="s">
        <v>10565</v>
      </c>
      <c r="Q2725" s="24" t="s">
        <v>37</v>
      </c>
      <c r="R2725" s="29" t="s">
        <v>10569</v>
      </c>
      <c r="S2725" s="25" t="s">
        <v>39</v>
      </c>
    </row>
    <row r="2726" ht="27" customHeight="1" spans="1:19">
      <c r="A2726" s="19" t="s">
        <v>10570</v>
      </c>
      <c r="B2726" s="20" t="s">
        <v>30</v>
      </c>
      <c r="C2726" s="20" t="s">
        <v>31</v>
      </c>
      <c r="D2726" s="20" t="s">
        <v>32</v>
      </c>
      <c r="E2726" s="21" t="s">
        <v>10571</v>
      </c>
      <c r="F2726" s="21" t="s">
        <v>10572</v>
      </c>
      <c r="G2726" s="20" t="s">
        <v>35</v>
      </c>
      <c r="H2726" s="20" t="s">
        <v>25</v>
      </c>
      <c r="I2726" s="21" t="s">
        <v>10573</v>
      </c>
      <c r="J2726" s="22">
        <f t="shared" si="210"/>
        <v>3.93402777778101</v>
      </c>
      <c r="K2726" s="22">
        <f t="shared" si="211"/>
        <v>94.4166666667443</v>
      </c>
      <c r="L2726" s="22">
        <f t="shared" si="212"/>
        <v>30.4166666667443</v>
      </c>
      <c r="M2726" s="22" cm="1">
        <f ca="1" t="array" ref="M2726">SUMPRODUCT(--(WEEKDAY(ROW(INDIRECT(INT(F2726)&amp;":"&amp;INT(I2726))),2)&gt;5))</f>
        <v>2</v>
      </c>
      <c r="N2726" s="22">
        <f ca="1" t="shared" si="213"/>
        <v>14.4166666667443</v>
      </c>
      <c r="O2726" s="22" t="str">
        <f ca="1" t="shared" si="214"/>
        <v>SLA Violated</v>
      </c>
      <c r="P2726" s="26" t="s">
        <v>10570</v>
      </c>
      <c r="Q2726" s="24" t="s">
        <v>37</v>
      </c>
      <c r="R2726" s="30" t="s">
        <v>10574</v>
      </c>
      <c r="S2726" s="25" t="s">
        <v>39</v>
      </c>
    </row>
    <row r="2727" ht="27" customHeight="1" spans="1:19">
      <c r="A2727" s="19" t="s">
        <v>10575</v>
      </c>
      <c r="B2727" s="20" t="s">
        <v>30</v>
      </c>
      <c r="C2727" s="20" t="s">
        <v>31</v>
      </c>
      <c r="D2727" s="20" t="s">
        <v>21</v>
      </c>
      <c r="E2727" s="21" t="s">
        <v>10576</v>
      </c>
      <c r="F2727" s="21" t="s">
        <v>6589</v>
      </c>
      <c r="G2727" s="20" t="s">
        <v>35</v>
      </c>
      <c r="H2727" s="20" t="s">
        <v>25</v>
      </c>
      <c r="I2727" s="21" t="s">
        <v>10577</v>
      </c>
      <c r="J2727" s="22">
        <f t="shared" si="210"/>
        <v>4.07777777777665</v>
      </c>
      <c r="K2727" s="22">
        <f t="shared" si="211"/>
        <v>97.8666666666395</v>
      </c>
      <c r="L2727" s="22">
        <f t="shared" si="212"/>
        <v>33.8666666666395</v>
      </c>
      <c r="M2727" s="22" cm="1">
        <f ca="1" t="array" ref="M2727">SUMPRODUCT(--(WEEKDAY(ROW(INDIRECT(INT(F2727)&amp;":"&amp;INT(I2727))),2)&gt;5))</f>
        <v>2</v>
      </c>
      <c r="N2727" s="22">
        <f ca="1" t="shared" si="213"/>
        <v>17.8666666666395</v>
      </c>
      <c r="O2727" s="22" t="str">
        <f ca="1" t="shared" si="214"/>
        <v>SLA Violated</v>
      </c>
      <c r="P2727" s="23" t="s">
        <v>10578</v>
      </c>
      <c r="Q2727" s="24" t="s">
        <v>28</v>
      </c>
      <c r="R2727" s="25"/>
      <c r="S2727" s="25"/>
    </row>
    <row r="2728" ht="39" customHeight="1" spans="1:19">
      <c r="A2728" s="19" t="s">
        <v>10579</v>
      </c>
      <c r="B2728" s="20" t="s">
        <v>19</v>
      </c>
      <c r="C2728" s="20" t="s">
        <v>20</v>
      </c>
      <c r="D2728" s="20" t="s">
        <v>32</v>
      </c>
      <c r="E2728" s="21" t="s">
        <v>10576</v>
      </c>
      <c r="F2728" s="21" t="s">
        <v>10580</v>
      </c>
      <c r="G2728" s="20" t="s">
        <v>35</v>
      </c>
      <c r="H2728" s="20" t="s">
        <v>25</v>
      </c>
      <c r="I2728" s="21" t="s">
        <v>10581</v>
      </c>
      <c r="J2728" s="22">
        <f t="shared" si="210"/>
        <v>0.0201388888890506</v>
      </c>
      <c r="K2728" s="22">
        <f t="shared" si="211"/>
        <v>0.483333333337214</v>
      </c>
      <c r="L2728" s="22">
        <f t="shared" si="212"/>
        <v>0.483333333337214</v>
      </c>
      <c r="M2728" s="22" cm="1">
        <f ca="1" t="array" ref="M2728">SUMPRODUCT(--(WEEKDAY(ROW(INDIRECT(INT(F2728)&amp;":"&amp;INT(I2728))),2)&gt;5))</f>
        <v>0</v>
      </c>
      <c r="N2728" s="22">
        <f ca="1" t="shared" si="213"/>
        <v>0.483333333337214</v>
      </c>
      <c r="O2728" s="22" t="str">
        <f ca="1" t="shared" si="214"/>
        <v>Within SLA</v>
      </c>
      <c r="P2728" s="26" t="s">
        <v>10579</v>
      </c>
      <c r="Q2728" s="24" t="s">
        <v>37</v>
      </c>
      <c r="R2728" s="25"/>
      <c r="S2728" s="25"/>
    </row>
    <row r="2729" ht="27" customHeight="1" spans="1:19">
      <c r="A2729" s="19" t="s">
        <v>10582</v>
      </c>
      <c r="B2729" s="20" t="s">
        <v>30</v>
      </c>
      <c r="C2729" s="20" t="s">
        <v>31</v>
      </c>
      <c r="D2729" s="20" t="s">
        <v>21</v>
      </c>
      <c r="E2729" s="21" t="s">
        <v>10583</v>
      </c>
      <c r="F2729" s="21" t="s">
        <v>10584</v>
      </c>
      <c r="G2729" s="20" t="s">
        <v>35</v>
      </c>
      <c r="H2729" s="20" t="s">
        <v>25</v>
      </c>
      <c r="I2729" s="21" t="s">
        <v>10585</v>
      </c>
      <c r="J2729" s="22">
        <f t="shared" si="210"/>
        <v>3.93194444444089</v>
      </c>
      <c r="K2729" s="22">
        <f t="shared" si="211"/>
        <v>94.3666666665813</v>
      </c>
      <c r="L2729" s="22">
        <f t="shared" si="212"/>
        <v>30.3666666665813</v>
      </c>
      <c r="M2729" s="22" cm="1">
        <f ca="1" t="array" ref="M2729">SUMPRODUCT(--(WEEKDAY(ROW(INDIRECT(INT(F2729)&amp;":"&amp;INT(I2729))),2)&gt;5))</f>
        <v>2</v>
      </c>
      <c r="N2729" s="22">
        <f ca="1" t="shared" si="213"/>
        <v>14.3666666665813</v>
      </c>
      <c r="O2729" s="22" t="str">
        <f ca="1" t="shared" si="214"/>
        <v>SLA Violated</v>
      </c>
      <c r="P2729" s="23" t="s">
        <v>10586</v>
      </c>
      <c r="Q2729" s="24" t="s">
        <v>28</v>
      </c>
      <c r="R2729" s="25"/>
      <c r="S2729" s="25"/>
    </row>
    <row r="2730" ht="27" customHeight="1" spans="1:19">
      <c r="A2730" s="19" t="s">
        <v>10587</v>
      </c>
      <c r="B2730" s="20" t="s">
        <v>30</v>
      </c>
      <c r="C2730" s="20" t="s">
        <v>31</v>
      </c>
      <c r="D2730" s="20" t="s">
        <v>32</v>
      </c>
      <c r="E2730" s="21" t="s">
        <v>10588</v>
      </c>
      <c r="F2730" s="21" t="s">
        <v>10341</v>
      </c>
      <c r="G2730" s="20" t="s">
        <v>35</v>
      </c>
      <c r="H2730" s="20" t="s">
        <v>25</v>
      </c>
      <c r="I2730" s="21" t="s">
        <v>10589</v>
      </c>
      <c r="J2730" s="22">
        <f t="shared" si="210"/>
        <v>4.01111111111095</v>
      </c>
      <c r="K2730" s="22">
        <f t="shared" si="211"/>
        <v>96.2666666666628</v>
      </c>
      <c r="L2730" s="22">
        <f t="shared" si="212"/>
        <v>32.2666666666628</v>
      </c>
      <c r="M2730" s="22" cm="1">
        <f ca="1" t="array" ref="M2730">SUMPRODUCT(--(WEEKDAY(ROW(INDIRECT(INT(F2730)&amp;":"&amp;INT(I2730))),2)&gt;5))</f>
        <v>2</v>
      </c>
      <c r="N2730" s="22">
        <f ca="1" t="shared" si="213"/>
        <v>16.2666666666628</v>
      </c>
      <c r="O2730" s="22" t="str">
        <f ca="1" t="shared" si="214"/>
        <v>SLA Violated</v>
      </c>
      <c r="P2730" s="26" t="s">
        <v>10587</v>
      </c>
      <c r="Q2730" s="24" t="s">
        <v>37</v>
      </c>
      <c r="R2730" s="29" t="s">
        <v>10590</v>
      </c>
      <c r="S2730" s="25" t="s">
        <v>39</v>
      </c>
    </row>
    <row r="2731" ht="39" customHeight="1" spans="1:19">
      <c r="A2731" s="19" t="s">
        <v>10591</v>
      </c>
      <c r="B2731" s="20" t="s">
        <v>196</v>
      </c>
      <c r="C2731" s="20" t="s">
        <v>46</v>
      </c>
      <c r="D2731" s="20" t="s">
        <v>21</v>
      </c>
      <c r="E2731" s="21" t="s">
        <v>10592</v>
      </c>
      <c r="F2731" s="21" t="s">
        <v>10593</v>
      </c>
      <c r="G2731" s="20" t="s">
        <v>35</v>
      </c>
      <c r="H2731" s="20" t="s">
        <v>25</v>
      </c>
      <c r="I2731" s="21" t="s">
        <v>10594</v>
      </c>
      <c r="J2731" s="22">
        <f t="shared" si="210"/>
        <v>0.0145833333372138</v>
      </c>
      <c r="K2731" s="22">
        <f t="shared" si="211"/>
        <v>0.350000000093132</v>
      </c>
      <c r="L2731" s="22">
        <f t="shared" si="212"/>
        <v>0.350000000093132</v>
      </c>
      <c r="M2731" s="22" cm="1">
        <f ca="1" t="array" ref="M2731">SUMPRODUCT(--(WEEKDAY(ROW(INDIRECT(INT(F2731)&amp;":"&amp;INT(I2731))),2)&gt;5))</f>
        <v>0</v>
      </c>
      <c r="N2731" s="22">
        <f ca="1" t="shared" si="213"/>
        <v>0.350000000093132</v>
      </c>
      <c r="O2731" s="22" t="str">
        <f ca="1" t="shared" si="214"/>
        <v>Within SLA</v>
      </c>
      <c r="P2731" s="26" t="s">
        <v>10591</v>
      </c>
      <c r="Q2731" s="24" t="s">
        <v>37</v>
      </c>
      <c r="R2731" s="25"/>
      <c r="S2731" s="25"/>
    </row>
    <row r="2732" ht="27" customHeight="1" spans="1:19">
      <c r="A2732" s="19" t="s">
        <v>10595</v>
      </c>
      <c r="B2732" s="20" t="s">
        <v>30</v>
      </c>
      <c r="C2732" s="20" t="s">
        <v>31</v>
      </c>
      <c r="D2732" s="20" t="s">
        <v>32</v>
      </c>
      <c r="E2732" s="21" t="s">
        <v>10596</v>
      </c>
      <c r="F2732" s="21" t="s">
        <v>10597</v>
      </c>
      <c r="G2732" s="20" t="s">
        <v>35</v>
      </c>
      <c r="H2732" s="20" t="s">
        <v>25</v>
      </c>
      <c r="I2732" s="21" t="s">
        <v>10598</v>
      </c>
      <c r="J2732" s="22">
        <f t="shared" si="210"/>
        <v>3.11041666666279</v>
      </c>
      <c r="K2732" s="22">
        <f t="shared" si="211"/>
        <v>74.6499999999069</v>
      </c>
      <c r="L2732" s="22">
        <f t="shared" si="212"/>
        <v>26.6499999999069</v>
      </c>
      <c r="M2732" s="22" cm="1">
        <f ca="1" t="array" ref="M2732">SUMPRODUCT(--(WEEKDAY(ROW(INDIRECT(INT(F2732)&amp;":"&amp;INT(I2732))),2)&gt;5))</f>
        <v>2</v>
      </c>
      <c r="N2732" s="22">
        <f ca="1" t="shared" si="213"/>
        <v>10.6499999999069</v>
      </c>
      <c r="O2732" s="22" t="str">
        <f ca="1" t="shared" si="214"/>
        <v>Within SLA</v>
      </c>
      <c r="P2732" s="26" t="s">
        <v>10595</v>
      </c>
      <c r="Q2732" s="24" t="s">
        <v>37</v>
      </c>
      <c r="R2732" s="25"/>
      <c r="S2732" s="25"/>
    </row>
    <row r="2733" ht="39" customHeight="1" spans="1:19">
      <c r="A2733" s="19" t="s">
        <v>10599</v>
      </c>
      <c r="B2733" s="20" t="s">
        <v>196</v>
      </c>
      <c r="C2733" s="20" t="s">
        <v>849</v>
      </c>
      <c r="D2733" s="20" t="s">
        <v>32</v>
      </c>
      <c r="E2733" s="21" t="s">
        <v>9808</v>
      </c>
      <c r="F2733" s="21" t="s">
        <v>10600</v>
      </c>
      <c r="G2733" s="20" t="s">
        <v>35</v>
      </c>
      <c r="H2733" s="20" t="s">
        <v>25</v>
      </c>
      <c r="I2733" s="21" t="s">
        <v>10601</v>
      </c>
      <c r="J2733" s="22">
        <f t="shared" si="210"/>
        <v>6.0715277777781</v>
      </c>
      <c r="K2733" s="22">
        <f t="shared" si="211"/>
        <v>145.716666666674</v>
      </c>
      <c r="L2733" s="22">
        <f t="shared" si="212"/>
        <v>49.7166666666744</v>
      </c>
      <c r="M2733" s="22" cm="1">
        <f ca="1" t="array" ref="M2733">SUMPRODUCT(--(WEEKDAY(ROW(INDIRECT(INT(F2733)&amp;":"&amp;INT(I2733))),2)&gt;5))</f>
        <v>2</v>
      </c>
      <c r="N2733" s="22">
        <f ca="1" t="shared" si="213"/>
        <v>33.7166666666744</v>
      </c>
      <c r="O2733" s="22" t="str">
        <f ca="1" t="shared" si="214"/>
        <v>SLA Violated</v>
      </c>
      <c r="P2733" s="23" t="s">
        <v>10602</v>
      </c>
      <c r="Q2733" s="24" t="s">
        <v>28</v>
      </c>
      <c r="R2733" s="25"/>
      <c r="S2733" s="25"/>
    </row>
    <row r="2734" ht="27" customHeight="1" spans="1:19">
      <c r="A2734" s="19" t="s">
        <v>10603</v>
      </c>
      <c r="B2734" s="20" t="s">
        <v>139</v>
      </c>
      <c r="C2734" s="20" t="s">
        <v>2057</v>
      </c>
      <c r="D2734" s="20" t="s">
        <v>32</v>
      </c>
      <c r="E2734" s="21" t="s">
        <v>10604</v>
      </c>
      <c r="F2734" s="21" t="s">
        <v>10605</v>
      </c>
      <c r="G2734" s="20" t="s">
        <v>35</v>
      </c>
      <c r="H2734" s="20" t="s">
        <v>25</v>
      </c>
      <c r="I2734" s="21" t="s">
        <v>10606</v>
      </c>
      <c r="J2734" s="22">
        <f t="shared" si="210"/>
        <v>5.78958333333139</v>
      </c>
      <c r="K2734" s="22">
        <f t="shared" si="211"/>
        <v>138.949999999953</v>
      </c>
      <c r="L2734" s="22">
        <f t="shared" si="212"/>
        <v>42.9499999999534</v>
      </c>
      <c r="M2734" s="22" cm="1">
        <f ca="1" t="array" ref="M2734">SUMPRODUCT(--(WEEKDAY(ROW(INDIRECT(INT(F2734)&amp;":"&amp;INT(I2734))),2)&gt;5))</f>
        <v>2</v>
      </c>
      <c r="N2734" s="22">
        <f ca="1" t="shared" si="213"/>
        <v>26.9499999999534</v>
      </c>
      <c r="O2734" s="22" t="str">
        <f ca="1" t="shared" si="214"/>
        <v>SLA Violated</v>
      </c>
      <c r="P2734" s="23" t="s">
        <v>10607</v>
      </c>
      <c r="Q2734" s="24" t="s">
        <v>28</v>
      </c>
      <c r="R2734" s="25"/>
      <c r="S2734" s="25"/>
    </row>
    <row r="2735" ht="27" customHeight="1" spans="1:19">
      <c r="A2735" s="19" t="s">
        <v>10608</v>
      </c>
      <c r="B2735" s="20" t="s">
        <v>30</v>
      </c>
      <c r="C2735" s="20" t="s">
        <v>31</v>
      </c>
      <c r="D2735" s="20" t="s">
        <v>32</v>
      </c>
      <c r="E2735" s="21" t="s">
        <v>10609</v>
      </c>
      <c r="F2735" s="21" t="s">
        <v>10610</v>
      </c>
      <c r="G2735" s="20" t="s">
        <v>35</v>
      </c>
      <c r="H2735" s="20" t="s">
        <v>25</v>
      </c>
      <c r="I2735" s="21" t="s">
        <v>10611</v>
      </c>
      <c r="J2735" s="22">
        <f t="shared" si="210"/>
        <v>3.73541666666279</v>
      </c>
      <c r="K2735" s="22">
        <f t="shared" si="211"/>
        <v>89.6499999999069</v>
      </c>
      <c r="L2735" s="22">
        <f t="shared" si="212"/>
        <v>25.6499999999069</v>
      </c>
      <c r="M2735" s="22" cm="1">
        <f ca="1" t="array" ref="M2735">SUMPRODUCT(--(WEEKDAY(ROW(INDIRECT(INT(F2735)&amp;":"&amp;INT(I2735))),2)&gt;5))</f>
        <v>2</v>
      </c>
      <c r="N2735" s="22">
        <f ca="1" t="shared" si="213"/>
        <v>9.6499999999069</v>
      </c>
      <c r="O2735" s="22" t="str">
        <f ca="1" t="shared" si="214"/>
        <v>Within SLA</v>
      </c>
      <c r="P2735" s="26" t="s">
        <v>10608</v>
      </c>
      <c r="Q2735" s="24" t="s">
        <v>37</v>
      </c>
      <c r="R2735" s="29" t="s">
        <v>10612</v>
      </c>
      <c r="S2735" s="25" t="s">
        <v>39</v>
      </c>
    </row>
    <row r="2736" ht="27" customHeight="1" spans="1:19">
      <c r="A2736" s="19" t="s">
        <v>10613</v>
      </c>
      <c r="B2736" s="20" t="s">
        <v>139</v>
      </c>
      <c r="C2736" s="20" t="s">
        <v>2057</v>
      </c>
      <c r="D2736" s="20" t="s">
        <v>32</v>
      </c>
      <c r="E2736" s="21" t="s">
        <v>10614</v>
      </c>
      <c r="F2736" s="21" t="s">
        <v>10615</v>
      </c>
      <c r="G2736" s="20" t="s">
        <v>35</v>
      </c>
      <c r="H2736" s="20" t="s">
        <v>25</v>
      </c>
      <c r="I2736" s="21" t="s">
        <v>10616</v>
      </c>
      <c r="J2736" s="22">
        <f t="shared" si="210"/>
        <v>11.2965277777766</v>
      </c>
      <c r="K2736" s="22">
        <f t="shared" si="211"/>
        <v>271.11666666664</v>
      </c>
      <c r="L2736" s="22">
        <f t="shared" si="212"/>
        <v>95.1166666666395</v>
      </c>
      <c r="M2736" s="22" cm="1">
        <f ca="1" t="array" ref="M2736">SUMPRODUCT(--(WEEKDAY(ROW(INDIRECT(INT(F2736)&amp;":"&amp;INT(I2736))),2)&gt;5))</f>
        <v>4</v>
      </c>
      <c r="N2736" s="22">
        <f ca="1" t="shared" si="213"/>
        <v>63.1166666666395</v>
      </c>
      <c r="O2736" s="22" t="str">
        <f ca="1" t="shared" si="214"/>
        <v>SLA Violated</v>
      </c>
      <c r="P2736" s="23" t="s">
        <v>10617</v>
      </c>
      <c r="Q2736" s="24" t="s">
        <v>28</v>
      </c>
      <c r="R2736" s="25"/>
      <c r="S2736" s="25"/>
    </row>
    <row r="2737" ht="39" customHeight="1" spans="1:19">
      <c r="A2737" s="19" t="s">
        <v>10618</v>
      </c>
      <c r="B2737" s="20" t="s">
        <v>19</v>
      </c>
      <c r="C2737" s="20" t="s">
        <v>20</v>
      </c>
      <c r="D2737" s="20" t="s">
        <v>32</v>
      </c>
      <c r="E2737" s="21" t="s">
        <v>10619</v>
      </c>
      <c r="F2737" s="21" t="s">
        <v>10287</v>
      </c>
      <c r="G2737" s="20" t="s">
        <v>24</v>
      </c>
      <c r="H2737" s="20" t="s">
        <v>25</v>
      </c>
      <c r="I2737" s="21" t="s">
        <v>10620</v>
      </c>
      <c r="J2737" s="22">
        <f t="shared" si="210"/>
        <v>4.02569444444089</v>
      </c>
      <c r="K2737" s="22">
        <f t="shared" si="211"/>
        <v>96.6166666665813</v>
      </c>
      <c r="L2737" s="22">
        <f t="shared" si="212"/>
        <v>32.6166666665813</v>
      </c>
      <c r="M2737" s="22" cm="1">
        <f ca="1" t="array" ref="M2737">SUMPRODUCT(--(WEEKDAY(ROW(INDIRECT(INT(F2737)&amp;":"&amp;INT(I2737))),2)&gt;5))</f>
        <v>2</v>
      </c>
      <c r="N2737" s="22">
        <f ca="1" t="shared" si="213"/>
        <v>16.6166666665813</v>
      </c>
      <c r="O2737" s="22" t="str">
        <f ca="1" t="shared" si="214"/>
        <v>SLA Violated</v>
      </c>
      <c r="P2737" s="23" t="s">
        <v>10621</v>
      </c>
      <c r="Q2737" s="24" t="s">
        <v>37</v>
      </c>
      <c r="R2737" s="29" t="s">
        <v>10622</v>
      </c>
      <c r="S2737" s="25" t="s">
        <v>39</v>
      </c>
    </row>
    <row r="2738" ht="39" customHeight="1" spans="1:19">
      <c r="A2738" s="19" t="s">
        <v>10623</v>
      </c>
      <c r="B2738" s="20" t="s">
        <v>19</v>
      </c>
      <c r="C2738" s="20" t="s">
        <v>167</v>
      </c>
      <c r="D2738" s="20" t="s">
        <v>32</v>
      </c>
      <c r="E2738" s="21" t="s">
        <v>10619</v>
      </c>
      <c r="F2738" s="21" t="s">
        <v>10624</v>
      </c>
      <c r="G2738" s="20" t="s">
        <v>35</v>
      </c>
      <c r="H2738" s="20" t="s">
        <v>25</v>
      </c>
      <c r="I2738" s="21" t="s">
        <v>10625</v>
      </c>
      <c r="J2738" s="22">
        <f t="shared" si="210"/>
        <v>17.7249999999985</v>
      </c>
      <c r="K2738" s="22">
        <f t="shared" si="211"/>
        <v>425.399999999965</v>
      </c>
      <c r="L2738" s="22">
        <f t="shared" si="212"/>
        <v>137.399999999965</v>
      </c>
      <c r="M2738" s="22" cm="1">
        <f ca="1" t="array" ref="M2738">SUMPRODUCT(--(WEEKDAY(ROW(INDIRECT(INT(F2738)&amp;":"&amp;INT(I2738))),2)&gt;5))</f>
        <v>6</v>
      </c>
      <c r="N2738" s="22">
        <f ca="1" t="shared" si="213"/>
        <v>89.399999999965</v>
      </c>
      <c r="O2738" s="22" t="str">
        <f ca="1" t="shared" si="214"/>
        <v>SLA Violated</v>
      </c>
      <c r="P2738" s="23" t="s">
        <v>10626</v>
      </c>
      <c r="Q2738" s="24" t="s">
        <v>37</v>
      </c>
      <c r="R2738" s="25" t="s">
        <v>719</v>
      </c>
      <c r="S2738" s="25" t="s">
        <v>39</v>
      </c>
    </row>
    <row r="2739" ht="39" customHeight="1" spans="1:19">
      <c r="A2739" s="19" t="s">
        <v>10627</v>
      </c>
      <c r="B2739" s="20" t="s">
        <v>4167</v>
      </c>
      <c r="C2739" s="20" t="s">
        <v>2057</v>
      </c>
      <c r="D2739" s="20" t="s">
        <v>21</v>
      </c>
      <c r="E2739" s="21" t="s">
        <v>10628</v>
      </c>
      <c r="F2739" s="21" t="s">
        <v>10629</v>
      </c>
      <c r="G2739" s="20" t="s">
        <v>35</v>
      </c>
      <c r="H2739" s="20" t="s">
        <v>25</v>
      </c>
      <c r="I2739" s="21" t="s">
        <v>10620</v>
      </c>
      <c r="J2739" s="22">
        <f t="shared" si="210"/>
        <v>24.2888888888847</v>
      </c>
      <c r="K2739" s="22">
        <f t="shared" si="211"/>
        <v>582.933333333232</v>
      </c>
      <c r="L2739" s="22">
        <f t="shared" si="212"/>
        <v>198.933333333232</v>
      </c>
      <c r="M2739" s="22" cm="1">
        <f ca="1" t="array" ref="M2739">SUMPRODUCT(--(WEEKDAY(ROW(INDIRECT(INT(F2739)&amp;":"&amp;INT(I2739))),2)&gt;5))</f>
        <v>8</v>
      </c>
      <c r="N2739" s="22">
        <f ca="1" t="shared" si="213"/>
        <v>134.933333333232</v>
      </c>
      <c r="O2739" s="22" t="str">
        <f ca="1" t="shared" si="214"/>
        <v>SLA Violated</v>
      </c>
      <c r="P2739" s="23" t="s">
        <v>10630</v>
      </c>
      <c r="Q2739" s="24" t="s">
        <v>28</v>
      </c>
      <c r="R2739" s="25"/>
      <c r="S2739" s="25"/>
    </row>
    <row r="2740" ht="27" customHeight="1" spans="1:19">
      <c r="A2740" s="19" t="s">
        <v>10631</v>
      </c>
      <c r="B2740" s="20" t="s">
        <v>30</v>
      </c>
      <c r="C2740" s="20" t="s">
        <v>31</v>
      </c>
      <c r="D2740" s="20" t="s">
        <v>32</v>
      </c>
      <c r="E2740" s="21" t="s">
        <v>10632</v>
      </c>
      <c r="F2740" s="21" t="s">
        <v>10572</v>
      </c>
      <c r="G2740" s="20" t="s">
        <v>35</v>
      </c>
      <c r="H2740" s="20" t="s">
        <v>25</v>
      </c>
      <c r="I2740" s="21" t="s">
        <v>10633</v>
      </c>
      <c r="J2740" s="22">
        <f t="shared" si="210"/>
        <v>3.05486111111531</v>
      </c>
      <c r="K2740" s="22">
        <f t="shared" si="211"/>
        <v>73.3166666667676</v>
      </c>
      <c r="L2740" s="22">
        <f t="shared" si="212"/>
        <v>25.3166666667676</v>
      </c>
      <c r="M2740" s="22" cm="1">
        <f ca="1" t="array" ref="M2740">SUMPRODUCT(--(WEEKDAY(ROW(INDIRECT(INT(F2740)&amp;":"&amp;INT(I2740))),2)&gt;5))</f>
        <v>2</v>
      </c>
      <c r="N2740" s="22">
        <f ca="1" t="shared" si="213"/>
        <v>9.3166666667676</v>
      </c>
      <c r="O2740" s="22" t="str">
        <f ca="1" t="shared" si="214"/>
        <v>Within SLA</v>
      </c>
      <c r="P2740" s="26" t="s">
        <v>10631</v>
      </c>
      <c r="Q2740" s="24" t="s">
        <v>37</v>
      </c>
      <c r="R2740" s="25"/>
      <c r="S2740" s="25"/>
    </row>
    <row r="2741" ht="27" customHeight="1" spans="1:19">
      <c r="A2741" s="19" t="s">
        <v>10634</v>
      </c>
      <c r="B2741" s="20" t="s">
        <v>30</v>
      </c>
      <c r="C2741" s="20" t="s">
        <v>31</v>
      </c>
      <c r="D2741" s="20" t="s">
        <v>32</v>
      </c>
      <c r="E2741" s="21" t="s">
        <v>10635</v>
      </c>
      <c r="F2741" s="21" t="s">
        <v>10636</v>
      </c>
      <c r="G2741" s="20" t="s">
        <v>35</v>
      </c>
      <c r="H2741" s="20" t="s">
        <v>25</v>
      </c>
      <c r="I2741" s="21" t="s">
        <v>10637</v>
      </c>
      <c r="J2741" s="22">
        <f t="shared" si="210"/>
        <v>2.98541666666279</v>
      </c>
      <c r="K2741" s="22">
        <f t="shared" si="211"/>
        <v>71.6499999999069</v>
      </c>
      <c r="L2741" s="22">
        <f t="shared" si="212"/>
        <v>23.6499999999069</v>
      </c>
      <c r="M2741" s="22" cm="1">
        <f ca="1" t="array" ref="M2741">SUMPRODUCT(--(WEEKDAY(ROW(INDIRECT(INT(F2741)&amp;":"&amp;INT(I2741))),2)&gt;5))</f>
        <v>2</v>
      </c>
      <c r="N2741" s="22">
        <f ca="1" t="shared" si="213"/>
        <v>7.6499999999069</v>
      </c>
      <c r="O2741" s="22" t="str">
        <f ca="1" t="shared" si="214"/>
        <v>Within SLA</v>
      </c>
      <c r="P2741" s="26" t="s">
        <v>10634</v>
      </c>
      <c r="Q2741" s="24" t="s">
        <v>37</v>
      </c>
      <c r="R2741" s="25"/>
      <c r="S2741" s="25"/>
    </row>
    <row r="2742" ht="39" customHeight="1" spans="1:19">
      <c r="A2742" s="19" t="s">
        <v>10638</v>
      </c>
      <c r="B2742" s="20" t="s">
        <v>196</v>
      </c>
      <c r="C2742" s="20" t="s">
        <v>46</v>
      </c>
      <c r="D2742" s="20" t="s">
        <v>32</v>
      </c>
      <c r="E2742" s="21" t="s">
        <v>10639</v>
      </c>
      <c r="F2742" s="21" t="s">
        <v>9277</v>
      </c>
      <c r="G2742" s="20" t="s">
        <v>35</v>
      </c>
      <c r="H2742" s="20" t="s">
        <v>25</v>
      </c>
      <c r="I2742" s="21" t="s">
        <v>10640</v>
      </c>
      <c r="J2742" s="22">
        <f t="shared" si="210"/>
        <v>3.04791666666279</v>
      </c>
      <c r="K2742" s="22">
        <f t="shared" si="211"/>
        <v>73.1499999999069</v>
      </c>
      <c r="L2742" s="22">
        <f t="shared" si="212"/>
        <v>25.1499999999069</v>
      </c>
      <c r="M2742" s="22" cm="1">
        <f ca="1" t="array" ref="M2742">SUMPRODUCT(--(WEEKDAY(ROW(INDIRECT(INT(F2742)&amp;":"&amp;INT(I2742))),2)&gt;5))</f>
        <v>2</v>
      </c>
      <c r="N2742" s="22">
        <f ca="1" t="shared" si="213"/>
        <v>9.1499999999069</v>
      </c>
      <c r="O2742" s="22" t="str">
        <f ca="1" t="shared" si="214"/>
        <v>Within SLA</v>
      </c>
      <c r="P2742" s="26" t="s">
        <v>10638</v>
      </c>
      <c r="Q2742" s="24" t="s">
        <v>37</v>
      </c>
      <c r="R2742" s="25"/>
      <c r="S2742" s="25"/>
    </row>
    <row r="2743" ht="27" customHeight="1" spans="1:19">
      <c r="A2743" s="19" t="s">
        <v>10641</v>
      </c>
      <c r="B2743" s="20" t="s">
        <v>139</v>
      </c>
      <c r="C2743" s="20" t="s">
        <v>2057</v>
      </c>
      <c r="D2743" s="20" t="s">
        <v>32</v>
      </c>
      <c r="E2743" s="21" t="s">
        <v>10642</v>
      </c>
      <c r="F2743" s="21" t="s">
        <v>10643</v>
      </c>
      <c r="G2743" s="20" t="s">
        <v>35</v>
      </c>
      <c r="H2743" s="20" t="s">
        <v>25</v>
      </c>
      <c r="I2743" s="21" t="s">
        <v>10644</v>
      </c>
      <c r="J2743" s="22">
        <f t="shared" si="210"/>
        <v>1.05902777777374</v>
      </c>
      <c r="K2743" s="22">
        <f t="shared" si="211"/>
        <v>25.4166666665697</v>
      </c>
      <c r="L2743" s="22">
        <f t="shared" si="212"/>
        <v>9.41666666656965</v>
      </c>
      <c r="M2743" s="22" cm="1">
        <f ca="1" t="array" ref="M2743">SUMPRODUCT(--(WEEKDAY(ROW(INDIRECT(INT(F2743)&amp;":"&amp;INT(I2743))),2)&gt;5))</f>
        <v>1</v>
      </c>
      <c r="N2743" s="22">
        <f ca="1" t="shared" si="213"/>
        <v>1.41666666656965</v>
      </c>
      <c r="O2743" s="22" t="str">
        <f ca="1" t="shared" si="214"/>
        <v>Within SLA</v>
      </c>
      <c r="P2743" s="26" t="s">
        <v>10641</v>
      </c>
      <c r="Q2743" s="24" t="s">
        <v>37</v>
      </c>
      <c r="R2743" s="25"/>
      <c r="S2743" s="25"/>
    </row>
    <row r="2744" ht="39" customHeight="1" spans="1:19">
      <c r="A2744" s="19" t="s">
        <v>10645</v>
      </c>
      <c r="B2744" s="20" t="s">
        <v>19</v>
      </c>
      <c r="C2744" s="20" t="s">
        <v>20</v>
      </c>
      <c r="D2744" s="20" t="s">
        <v>32</v>
      </c>
      <c r="E2744" s="21" t="s">
        <v>10646</v>
      </c>
      <c r="F2744" s="21" t="s">
        <v>10647</v>
      </c>
      <c r="G2744" s="20" t="s">
        <v>35</v>
      </c>
      <c r="H2744" s="20" t="s">
        <v>25</v>
      </c>
      <c r="I2744" s="21" t="s">
        <v>10648</v>
      </c>
      <c r="J2744" s="22">
        <f t="shared" si="210"/>
        <v>4.0131944444438</v>
      </c>
      <c r="K2744" s="22">
        <f t="shared" si="211"/>
        <v>96.3166666666511</v>
      </c>
      <c r="L2744" s="22">
        <f t="shared" si="212"/>
        <v>32.3166666666511</v>
      </c>
      <c r="M2744" s="22" cm="1">
        <f ca="1" t="array" ref="M2744">SUMPRODUCT(--(WEEKDAY(ROW(INDIRECT(INT(F2744)&amp;":"&amp;INT(I2744))),2)&gt;5))</f>
        <v>2</v>
      </c>
      <c r="N2744" s="22">
        <f ca="1" t="shared" si="213"/>
        <v>16.3166666666511</v>
      </c>
      <c r="O2744" s="22" t="str">
        <f ca="1" t="shared" si="214"/>
        <v>SLA Violated</v>
      </c>
      <c r="P2744" s="23" t="s">
        <v>10649</v>
      </c>
      <c r="Q2744" s="24" t="s">
        <v>37</v>
      </c>
      <c r="R2744" s="29" t="s">
        <v>10650</v>
      </c>
      <c r="S2744" s="25" t="s">
        <v>39</v>
      </c>
    </row>
    <row r="2745" ht="27" customHeight="1" spans="1:19">
      <c r="A2745" s="19" t="s">
        <v>10651</v>
      </c>
      <c r="B2745" s="20" t="s">
        <v>30</v>
      </c>
      <c r="C2745" s="20" t="s">
        <v>31</v>
      </c>
      <c r="D2745" s="20" t="s">
        <v>32</v>
      </c>
      <c r="E2745" s="21" t="s">
        <v>10652</v>
      </c>
      <c r="F2745" s="21" t="s">
        <v>10653</v>
      </c>
      <c r="G2745" s="20" t="s">
        <v>35</v>
      </c>
      <c r="H2745" s="20" t="s">
        <v>25</v>
      </c>
      <c r="I2745" s="21" t="s">
        <v>10648</v>
      </c>
      <c r="J2745" s="22">
        <f t="shared" si="210"/>
        <v>1.27361111110804</v>
      </c>
      <c r="K2745" s="22">
        <f t="shared" si="211"/>
        <v>30.5666666665929</v>
      </c>
      <c r="L2745" s="22">
        <f t="shared" si="212"/>
        <v>14.5666666665929</v>
      </c>
      <c r="M2745" s="22" cm="1">
        <f ca="1" t="array" ref="M2745">SUMPRODUCT(--(WEEKDAY(ROW(INDIRECT(INT(F2745)&amp;":"&amp;INT(I2745))),2)&gt;5))</f>
        <v>1</v>
      </c>
      <c r="N2745" s="22">
        <f ca="1" t="shared" si="213"/>
        <v>6.5666666665929</v>
      </c>
      <c r="O2745" s="22" t="str">
        <f ca="1" t="shared" si="214"/>
        <v>Within SLA</v>
      </c>
      <c r="P2745" s="26" t="s">
        <v>10651</v>
      </c>
      <c r="Q2745" s="24" t="s">
        <v>37</v>
      </c>
      <c r="R2745" s="25"/>
      <c r="S2745" s="25"/>
    </row>
    <row r="2746" ht="39" customHeight="1" spans="1:19">
      <c r="A2746" s="19" t="s">
        <v>10654</v>
      </c>
      <c r="B2746" s="20" t="s">
        <v>196</v>
      </c>
      <c r="C2746" s="20" t="s">
        <v>2057</v>
      </c>
      <c r="D2746" s="20" t="s">
        <v>32</v>
      </c>
      <c r="E2746" s="21" t="s">
        <v>10655</v>
      </c>
      <c r="F2746" s="21" t="s">
        <v>10656</v>
      </c>
      <c r="G2746" s="20" t="s">
        <v>35</v>
      </c>
      <c r="H2746" s="20" t="s">
        <v>25</v>
      </c>
      <c r="I2746" s="21" t="s">
        <v>10657</v>
      </c>
      <c r="J2746" s="22">
        <f t="shared" si="210"/>
        <v>13.9569444444423</v>
      </c>
      <c r="K2746" s="22">
        <f t="shared" si="211"/>
        <v>334.966666666616</v>
      </c>
      <c r="L2746" s="22">
        <f t="shared" si="212"/>
        <v>110.966666666616</v>
      </c>
      <c r="M2746" s="22" cm="1">
        <f ca="1" t="array" ref="M2746">SUMPRODUCT(--(WEEKDAY(ROW(INDIRECT(INT(F2746)&amp;":"&amp;INT(I2746))),2)&gt;5))</f>
        <v>4</v>
      </c>
      <c r="N2746" s="22">
        <f ca="1" t="shared" si="213"/>
        <v>78.966666666616</v>
      </c>
      <c r="O2746" s="22" t="str">
        <f ca="1" t="shared" si="214"/>
        <v>SLA Violated</v>
      </c>
      <c r="P2746" s="23" t="s">
        <v>10658</v>
      </c>
      <c r="Q2746" s="24" t="s">
        <v>28</v>
      </c>
      <c r="R2746" s="25"/>
      <c r="S2746" s="25"/>
    </row>
    <row r="2747" ht="27" customHeight="1" spans="1:19">
      <c r="A2747" s="19" t="s">
        <v>10659</v>
      </c>
      <c r="B2747" s="20" t="s">
        <v>30</v>
      </c>
      <c r="C2747" s="20" t="s">
        <v>31</v>
      </c>
      <c r="D2747" s="20" t="s">
        <v>32</v>
      </c>
      <c r="E2747" s="21" t="s">
        <v>10660</v>
      </c>
      <c r="F2747" s="21" t="s">
        <v>10661</v>
      </c>
      <c r="G2747" s="20" t="s">
        <v>35</v>
      </c>
      <c r="H2747" s="20" t="s">
        <v>25</v>
      </c>
      <c r="I2747" s="21" t="s">
        <v>10662</v>
      </c>
      <c r="J2747" s="22">
        <f t="shared" si="210"/>
        <v>1.0263888888876</v>
      </c>
      <c r="K2747" s="22">
        <f t="shared" si="211"/>
        <v>24.6333333333023</v>
      </c>
      <c r="L2747" s="22">
        <f t="shared" si="212"/>
        <v>8.63333333330229</v>
      </c>
      <c r="M2747" s="22" cm="1">
        <f ca="1" t="array" ref="M2747">SUMPRODUCT(--(WEEKDAY(ROW(INDIRECT(INT(F2747)&amp;":"&amp;INT(I2747))),2)&gt;5))</f>
        <v>0</v>
      </c>
      <c r="N2747" s="22">
        <f ca="1" t="shared" si="213"/>
        <v>8.63333333330229</v>
      </c>
      <c r="O2747" s="22" t="str">
        <f ca="1" t="shared" si="214"/>
        <v>Within SLA</v>
      </c>
      <c r="P2747" s="26" t="s">
        <v>10659</v>
      </c>
      <c r="Q2747" s="24" t="s">
        <v>37</v>
      </c>
      <c r="R2747" s="25"/>
      <c r="S2747" s="25"/>
    </row>
    <row r="2748" ht="27" customHeight="1" spans="1:19">
      <c r="A2748" s="19" t="s">
        <v>10663</v>
      </c>
      <c r="B2748" s="20" t="s">
        <v>30</v>
      </c>
      <c r="C2748" s="20" t="s">
        <v>31</v>
      </c>
      <c r="D2748" s="20" t="s">
        <v>32</v>
      </c>
      <c r="E2748" s="21" t="s">
        <v>10664</v>
      </c>
      <c r="F2748" s="21" t="s">
        <v>10665</v>
      </c>
      <c r="G2748" s="20" t="s">
        <v>35</v>
      </c>
      <c r="H2748" s="20" t="s">
        <v>25</v>
      </c>
      <c r="I2748" s="21" t="s">
        <v>10666</v>
      </c>
      <c r="J2748" s="22">
        <f t="shared" si="210"/>
        <v>0.000694444446708076</v>
      </c>
      <c r="K2748" s="22">
        <f t="shared" si="211"/>
        <v>0.0166666667209938</v>
      </c>
      <c r="L2748" s="22">
        <f t="shared" si="212"/>
        <v>0.0166666667209938</v>
      </c>
      <c r="M2748" s="22" cm="1">
        <f ca="1" t="array" ref="M2748">SUMPRODUCT(--(WEEKDAY(ROW(INDIRECT(INT(F2748)&amp;":"&amp;INT(I2748))),2)&gt;5))</f>
        <v>0</v>
      </c>
      <c r="N2748" s="22">
        <f ca="1" t="shared" si="213"/>
        <v>0.0166666667209938</v>
      </c>
      <c r="O2748" s="22" t="str">
        <f ca="1" t="shared" si="214"/>
        <v>Within SLA</v>
      </c>
      <c r="P2748" s="26" t="s">
        <v>10663</v>
      </c>
      <c r="Q2748" s="24" t="s">
        <v>37</v>
      </c>
      <c r="R2748" s="25"/>
      <c r="S2748" s="25"/>
    </row>
    <row r="2749" ht="27" customHeight="1" spans="1:19">
      <c r="A2749" s="19" t="s">
        <v>10667</v>
      </c>
      <c r="B2749" s="20" t="s">
        <v>30</v>
      </c>
      <c r="C2749" s="20" t="s">
        <v>31</v>
      </c>
      <c r="D2749" s="20" t="s">
        <v>32</v>
      </c>
      <c r="E2749" s="21" t="s">
        <v>10664</v>
      </c>
      <c r="F2749" s="21" t="s">
        <v>10668</v>
      </c>
      <c r="G2749" s="20" t="s">
        <v>35</v>
      </c>
      <c r="H2749" s="20" t="s">
        <v>25</v>
      </c>
      <c r="I2749" s="21" t="s">
        <v>10666</v>
      </c>
      <c r="J2749" s="22">
        <f t="shared" si="210"/>
        <v>0.00138888888614019</v>
      </c>
      <c r="K2749" s="22">
        <f t="shared" si="211"/>
        <v>0.0333333332673647</v>
      </c>
      <c r="L2749" s="22">
        <f t="shared" si="212"/>
        <v>0.0333333332673647</v>
      </c>
      <c r="M2749" s="22" cm="1">
        <f ca="1" t="array" ref="M2749">SUMPRODUCT(--(WEEKDAY(ROW(INDIRECT(INT(F2749)&amp;":"&amp;INT(I2749))),2)&gt;5))</f>
        <v>0</v>
      </c>
      <c r="N2749" s="22">
        <f ca="1" t="shared" si="213"/>
        <v>0.0333333332673647</v>
      </c>
      <c r="O2749" s="22" t="str">
        <f ca="1" t="shared" si="214"/>
        <v>Within SLA</v>
      </c>
      <c r="P2749" s="26" t="s">
        <v>10667</v>
      </c>
      <c r="Q2749" s="24" t="s">
        <v>37</v>
      </c>
      <c r="R2749" s="25"/>
      <c r="S2749" s="25"/>
    </row>
    <row r="2750" ht="39" customHeight="1" spans="1:19">
      <c r="A2750" s="19" t="s">
        <v>10669</v>
      </c>
      <c r="B2750" s="20" t="s">
        <v>19</v>
      </c>
      <c r="C2750" s="20" t="s">
        <v>20</v>
      </c>
      <c r="D2750" s="20" t="s">
        <v>32</v>
      </c>
      <c r="E2750" s="21" t="s">
        <v>10670</v>
      </c>
      <c r="F2750" s="21" t="s">
        <v>10671</v>
      </c>
      <c r="G2750" s="20" t="s">
        <v>35</v>
      </c>
      <c r="H2750" s="20" t="s">
        <v>25</v>
      </c>
      <c r="I2750" s="21" t="s">
        <v>10672</v>
      </c>
      <c r="J2750" s="22">
        <f t="shared" si="210"/>
        <v>0.0527777777824667</v>
      </c>
      <c r="K2750" s="22">
        <f t="shared" si="211"/>
        <v>1.2666666667792</v>
      </c>
      <c r="L2750" s="22">
        <f t="shared" si="212"/>
        <v>1.2666666667792</v>
      </c>
      <c r="M2750" s="22" cm="1">
        <f ca="1" t="array" ref="M2750">SUMPRODUCT(--(WEEKDAY(ROW(INDIRECT(INT(F2750)&amp;":"&amp;INT(I2750))),2)&gt;5))</f>
        <v>0</v>
      </c>
      <c r="N2750" s="22">
        <f ca="1" t="shared" si="213"/>
        <v>1.2666666667792</v>
      </c>
      <c r="O2750" s="22" t="str">
        <f ca="1" t="shared" si="214"/>
        <v>Within SLA</v>
      </c>
      <c r="P2750" s="26" t="s">
        <v>10669</v>
      </c>
      <c r="Q2750" s="24" t="s">
        <v>37</v>
      </c>
      <c r="R2750" s="25"/>
      <c r="S2750" s="25"/>
    </row>
    <row r="2751" ht="27" customHeight="1" spans="1:19">
      <c r="A2751" s="19" t="s">
        <v>10673</v>
      </c>
      <c r="B2751" s="20" t="s">
        <v>30</v>
      </c>
      <c r="C2751" s="20" t="s">
        <v>863</v>
      </c>
      <c r="D2751" s="20" t="s">
        <v>32</v>
      </c>
      <c r="E2751" s="21" t="s">
        <v>10674</v>
      </c>
      <c r="F2751" s="21" t="s">
        <v>10675</v>
      </c>
      <c r="G2751" s="20" t="s">
        <v>35</v>
      </c>
      <c r="H2751" s="20" t="s">
        <v>25</v>
      </c>
      <c r="I2751" s="21" t="s">
        <v>10676</v>
      </c>
      <c r="J2751" s="22">
        <f t="shared" si="210"/>
        <v>1.10416666667152</v>
      </c>
      <c r="K2751" s="22">
        <f t="shared" si="211"/>
        <v>26.5000000001164</v>
      </c>
      <c r="L2751" s="22">
        <f t="shared" si="212"/>
        <v>10.5000000001164</v>
      </c>
      <c r="M2751" s="22" cm="1">
        <f ca="1" t="array" ref="M2751">SUMPRODUCT(--(WEEKDAY(ROW(INDIRECT(INT(F2751)&amp;":"&amp;INT(I2751))),2)&gt;5))</f>
        <v>1</v>
      </c>
      <c r="N2751" s="22">
        <f ca="1" t="shared" si="213"/>
        <v>2.5000000001164</v>
      </c>
      <c r="O2751" s="22" t="str">
        <f ca="1" t="shared" si="214"/>
        <v>Within SLA</v>
      </c>
      <c r="P2751" s="26" t="s">
        <v>10673</v>
      </c>
      <c r="Q2751" s="24" t="s">
        <v>37</v>
      </c>
      <c r="R2751" s="25"/>
      <c r="S2751" s="25"/>
    </row>
    <row r="2752" ht="27" customHeight="1" spans="1:19">
      <c r="A2752" s="19" t="s">
        <v>10677</v>
      </c>
      <c r="B2752" s="20" t="s">
        <v>139</v>
      </c>
      <c r="C2752" s="20" t="s">
        <v>2057</v>
      </c>
      <c r="D2752" s="20" t="s">
        <v>32</v>
      </c>
      <c r="E2752" s="21" t="s">
        <v>10678</v>
      </c>
      <c r="F2752" s="21" t="s">
        <v>10679</v>
      </c>
      <c r="G2752" s="20" t="s">
        <v>35</v>
      </c>
      <c r="H2752" s="20" t="s">
        <v>25</v>
      </c>
      <c r="I2752" s="21" t="s">
        <v>10680</v>
      </c>
      <c r="J2752" s="22">
        <f t="shared" si="210"/>
        <v>3.13472222222481</v>
      </c>
      <c r="K2752" s="22">
        <f t="shared" si="211"/>
        <v>75.2333333333954</v>
      </c>
      <c r="L2752" s="22">
        <f t="shared" si="212"/>
        <v>27.2333333333954</v>
      </c>
      <c r="M2752" s="22" cm="1">
        <f ca="1" t="array" ref="M2752">SUMPRODUCT(--(WEEKDAY(ROW(INDIRECT(INT(F2752)&amp;":"&amp;INT(I2752))),2)&gt;5))</f>
        <v>0</v>
      </c>
      <c r="N2752" s="22">
        <f ca="1" t="shared" si="213"/>
        <v>27.2333333333954</v>
      </c>
      <c r="O2752" s="22" t="str">
        <f ca="1" t="shared" si="214"/>
        <v>SLA Violated</v>
      </c>
      <c r="P2752" s="23" t="s">
        <v>10681</v>
      </c>
      <c r="Q2752" s="24" t="s">
        <v>28</v>
      </c>
      <c r="R2752" s="25"/>
      <c r="S2752" s="25"/>
    </row>
    <row r="2753" ht="27" customHeight="1" spans="1:19">
      <c r="A2753" s="19" t="s">
        <v>10682</v>
      </c>
      <c r="B2753" s="20" t="s">
        <v>30</v>
      </c>
      <c r="C2753" s="20" t="s">
        <v>31</v>
      </c>
      <c r="D2753" s="20" t="s">
        <v>105</v>
      </c>
      <c r="E2753" s="21" t="s">
        <v>10683</v>
      </c>
      <c r="F2753" s="21" t="s">
        <v>10684</v>
      </c>
      <c r="G2753" s="20" t="s">
        <v>35</v>
      </c>
      <c r="H2753" s="20" t="s">
        <v>25</v>
      </c>
      <c r="I2753" s="21" t="s">
        <v>10685</v>
      </c>
      <c r="J2753" s="22">
        <f t="shared" si="210"/>
        <v>4.0805555555562</v>
      </c>
      <c r="K2753" s="22">
        <f t="shared" si="211"/>
        <v>97.9333333333489</v>
      </c>
      <c r="L2753" s="22">
        <f t="shared" si="212"/>
        <v>33.9333333333489</v>
      </c>
      <c r="M2753" s="22" cm="1">
        <f ca="1" t="array" ref="M2753">SUMPRODUCT(--(WEEKDAY(ROW(INDIRECT(INT(F2753)&amp;":"&amp;INT(I2753))),2)&gt;5))</f>
        <v>0</v>
      </c>
      <c r="N2753" s="22">
        <f ca="1" t="shared" si="213"/>
        <v>33.9333333333489</v>
      </c>
      <c r="O2753" s="22" t="str">
        <f ca="1" t="shared" si="214"/>
        <v>SLA Violated</v>
      </c>
      <c r="P2753" s="23" t="s">
        <v>10686</v>
      </c>
      <c r="Q2753" s="24" t="s">
        <v>28</v>
      </c>
      <c r="R2753" s="25"/>
      <c r="S2753" s="25"/>
    </row>
    <row r="2754" ht="27" customHeight="1" spans="1:19">
      <c r="A2754" s="19" t="s">
        <v>10687</v>
      </c>
      <c r="B2754" s="20" t="s">
        <v>30</v>
      </c>
      <c r="C2754" s="20" t="s">
        <v>863</v>
      </c>
      <c r="D2754" s="20" t="s">
        <v>32</v>
      </c>
      <c r="E2754" s="21" t="s">
        <v>10688</v>
      </c>
      <c r="F2754" s="21" t="s">
        <v>10689</v>
      </c>
      <c r="G2754" s="20" t="s">
        <v>35</v>
      </c>
      <c r="H2754" s="20" t="s">
        <v>25</v>
      </c>
      <c r="I2754" s="21" t="s">
        <v>10690</v>
      </c>
      <c r="J2754" s="22">
        <f t="shared" si="210"/>
        <v>1.09444444444671</v>
      </c>
      <c r="K2754" s="22">
        <f t="shared" si="211"/>
        <v>26.266666666721</v>
      </c>
      <c r="L2754" s="22">
        <f t="shared" si="212"/>
        <v>10.266666666721</v>
      </c>
      <c r="M2754" s="22" cm="1">
        <f ca="1" t="array" ref="M2754">SUMPRODUCT(--(WEEKDAY(ROW(INDIRECT(INT(F2754)&amp;":"&amp;INT(I2754))),2)&gt;5))</f>
        <v>1</v>
      </c>
      <c r="N2754" s="22">
        <f ca="1" t="shared" si="213"/>
        <v>2.266666666721</v>
      </c>
      <c r="O2754" s="22" t="str">
        <f ca="1" t="shared" si="214"/>
        <v>Within SLA</v>
      </c>
      <c r="P2754" s="26" t="s">
        <v>10687</v>
      </c>
      <c r="Q2754" s="24" t="s">
        <v>37</v>
      </c>
      <c r="R2754" s="25"/>
      <c r="S2754" s="25"/>
    </row>
    <row r="2755" ht="27" customHeight="1" spans="1:19">
      <c r="A2755" s="19" t="s">
        <v>10691</v>
      </c>
      <c r="B2755" s="20" t="s">
        <v>30</v>
      </c>
      <c r="C2755" s="20" t="s">
        <v>31</v>
      </c>
      <c r="D2755" s="20" t="s">
        <v>21</v>
      </c>
      <c r="E2755" s="21" t="s">
        <v>10692</v>
      </c>
      <c r="F2755" s="21" t="s">
        <v>10693</v>
      </c>
      <c r="G2755" s="20" t="s">
        <v>35</v>
      </c>
      <c r="H2755" s="20" t="s">
        <v>25</v>
      </c>
      <c r="I2755" s="21" t="s">
        <v>10694</v>
      </c>
      <c r="J2755" s="22">
        <f t="shared" ref="J2755:J2818" si="215">F2755-I2755</f>
        <v>0.00763888889196096</v>
      </c>
      <c r="K2755" s="22">
        <f t="shared" ref="K2755:K2818" si="216">J2755*24</f>
        <v>0.183333333407063</v>
      </c>
      <c r="L2755" s="22">
        <f t="shared" ref="L2755:L2818" si="217">IF(_xlfn.DAYS(F2755,I2755)&gt;0,K2755-IF(FLOOR(J2755,1)=0,1,_xlfn.DAYS(F2755,I2755))*16,K2755)</f>
        <v>0.183333333407063</v>
      </c>
      <c r="M2755" s="22" cm="1">
        <f ca="1" t="array" ref="M2755">SUMPRODUCT(--(WEEKDAY(ROW(INDIRECT(INT(F2755)&amp;":"&amp;INT(I2755))),2)&gt;5))</f>
        <v>1</v>
      </c>
      <c r="N2755" s="22">
        <f ca="1" t="shared" ref="N2755:N2818" si="218">IF(IF(M2755&gt;0,L2755-M2755*8,L2755)&lt;0,0,IF(M2755&gt;0,L2755-M2755*8,L2755))</f>
        <v>0</v>
      </c>
      <c r="O2755" s="22" t="str">
        <f ca="1" t="shared" ref="O2755:O2818" si="219">IF(OR(AND(D2755="P1",N2755&lt;=3),AND(D2755="P2",N2755&lt;=6),AND(D2755="P3",N2755&lt;=9),AND(D2755="P4",N2755&lt;=12)),"Within SLA","SLA Violated")</f>
        <v>Within SLA</v>
      </c>
      <c r="P2755" s="26" t="s">
        <v>10691</v>
      </c>
      <c r="Q2755" s="24" t="s">
        <v>37</v>
      </c>
      <c r="R2755" s="25"/>
      <c r="S2755" s="25"/>
    </row>
    <row r="2756" ht="39" customHeight="1" spans="1:19">
      <c r="A2756" s="19" t="s">
        <v>10695</v>
      </c>
      <c r="B2756" s="20" t="s">
        <v>19</v>
      </c>
      <c r="C2756" s="20" t="s">
        <v>20</v>
      </c>
      <c r="D2756" s="20" t="s">
        <v>32</v>
      </c>
      <c r="E2756" s="21" t="s">
        <v>10696</v>
      </c>
      <c r="F2756" s="21" t="s">
        <v>10697</v>
      </c>
      <c r="G2756" s="20" t="s">
        <v>35</v>
      </c>
      <c r="H2756" s="20" t="s">
        <v>25</v>
      </c>
      <c r="I2756" s="21" t="s">
        <v>10698</v>
      </c>
      <c r="J2756" s="22">
        <f t="shared" si="215"/>
        <v>1.00624999999854</v>
      </c>
      <c r="K2756" s="22">
        <f t="shared" si="216"/>
        <v>24.1499999999651</v>
      </c>
      <c r="L2756" s="22">
        <f t="shared" si="217"/>
        <v>8.14999999996508</v>
      </c>
      <c r="M2756" s="22" cm="1">
        <f ca="1" t="array" ref="M2756">SUMPRODUCT(--(WEEKDAY(ROW(INDIRECT(INT(F2756)&amp;":"&amp;INT(I2756))),2)&gt;5))</f>
        <v>0</v>
      </c>
      <c r="N2756" s="22">
        <f ca="1" t="shared" si="218"/>
        <v>8.14999999996508</v>
      </c>
      <c r="O2756" s="22" t="str">
        <f ca="1" t="shared" si="219"/>
        <v>Within SLA</v>
      </c>
      <c r="P2756" s="26" t="s">
        <v>10695</v>
      </c>
      <c r="Q2756" s="24" t="s">
        <v>37</v>
      </c>
      <c r="R2756" s="25"/>
      <c r="S2756" s="25"/>
    </row>
    <row r="2757" ht="27" customHeight="1" spans="1:19">
      <c r="A2757" s="19" t="s">
        <v>10699</v>
      </c>
      <c r="B2757" s="20" t="s">
        <v>30</v>
      </c>
      <c r="C2757" s="20" t="s">
        <v>31</v>
      </c>
      <c r="D2757" s="20" t="s">
        <v>32</v>
      </c>
      <c r="E2757" s="21" t="s">
        <v>10700</v>
      </c>
      <c r="F2757" s="21" t="s">
        <v>10701</v>
      </c>
      <c r="G2757" s="20" t="s">
        <v>35</v>
      </c>
      <c r="H2757" s="20" t="s">
        <v>25</v>
      </c>
      <c r="I2757" s="21" t="s">
        <v>6125</v>
      </c>
      <c r="J2757" s="22">
        <f t="shared" si="215"/>
        <v>0.0493055555562023</v>
      </c>
      <c r="K2757" s="22">
        <f t="shared" si="216"/>
        <v>1.18333333334886</v>
      </c>
      <c r="L2757" s="22">
        <f t="shared" si="217"/>
        <v>1.18333333334886</v>
      </c>
      <c r="M2757" s="22" cm="1">
        <f ca="1" t="array" ref="M2757">SUMPRODUCT(--(WEEKDAY(ROW(INDIRECT(INT(F2757)&amp;":"&amp;INT(I2757))),2)&gt;5))</f>
        <v>0</v>
      </c>
      <c r="N2757" s="22">
        <f ca="1" t="shared" si="218"/>
        <v>1.18333333334886</v>
      </c>
      <c r="O2757" s="22" t="str">
        <f ca="1" t="shared" si="219"/>
        <v>Within SLA</v>
      </c>
      <c r="P2757" s="26" t="s">
        <v>10699</v>
      </c>
      <c r="Q2757" s="24" t="s">
        <v>37</v>
      </c>
      <c r="R2757" s="25"/>
      <c r="S2757" s="25"/>
    </row>
    <row r="2758" ht="27" customHeight="1" spans="1:19">
      <c r="A2758" s="19" t="s">
        <v>10702</v>
      </c>
      <c r="B2758" s="20" t="s">
        <v>1047</v>
      </c>
      <c r="C2758" s="20" t="s">
        <v>863</v>
      </c>
      <c r="D2758" s="20" t="s">
        <v>32</v>
      </c>
      <c r="E2758" s="21" t="s">
        <v>10703</v>
      </c>
      <c r="F2758" s="21" t="s">
        <v>10643</v>
      </c>
      <c r="G2758" s="20" t="s">
        <v>35</v>
      </c>
      <c r="H2758" s="20" t="s">
        <v>25</v>
      </c>
      <c r="I2758" s="21" t="s">
        <v>10704</v>
      </c>
      <c r="J2758" s="22">
        <f t="shared" si="215"/>
        <v>0.988194444442343</v>
      </c>
      <c r="K2758" s="22">
        <f t="shared" si="216"/>
        <v>23.7166666666162</v>
      </c>
      <c r="L2758" s="22">
        <f t="shared" si="217"/>
        <v>7.71666666661622</v>
      </c>
      <c r="M2758" s="22" cm="1">
        <f ca="1" t="array" ref="M2758">SUMPRODUCT(--(WEEKDAY(ROW(INDIRECT(INT(F2758)&amp;":"&amp;INT(I2758))),2)&gt;5))</f>
        <v>1</v>
      </c>
      <c r="N2758" s="22">
        <f ca="1" t="shared" si="218"/>
        <v>0</v>
      </c>
      <c r="O2758" s="22" t="str">
        <f ca="1" t="shared" si="219"/>
        <v>Within SLA</v>
      </c>
      <c r="P2758" s="26" t="s">
        <v>10702</v>
      </c>
      <c r="Q2758" s="24" t="s">
        <v>37</v>
      </c>
      <c r="R2758" s="25"/>
      <c r="S2758" s="25"/>
    </row>
    <row r="2759" ht="27" customHeight="1" spans="1:19">
      <c r="A2759" s="19" t="s">
        <v>10705</v>
      </c>
      <c r="B2759" s="20" t="s">
        <v>139</v>
      </c>
      <c r="C2759" s="20" t="s">
        <v>2057</v>
      </c>
      <c r="D2759" s="20" t="s">
        <v>32</v>
      </c>
      <c r="E2759" s="21" t="s">
        <v>10706</v>
      </c>
      <c r="F2759" s="21" t="s">
        <v>10707</v>
      </c>
      <c r="G2759" s="20" t="s">
        <v>35</v>
      </c>
      <c r="H2759" s="20" t="s">
        <v>25</v>
      </c>
      <c r="I2759" s="21" t="s">
        <v>10708</v>
      </c>
      <c r="J2759" s="22">
        <f t="shared" si="215"/>
        <v>1.2006944444438</v>
      </c>
      <c r="K2759" s="22">
        <f t="shared" si="216"/>
        <v>28.8166666666511</v>
      </c>
      <c r="L2759" s="22">
        <f t="shared" si="217"/>
        <v>12.8166666666511</v>
      </c>
      <c r="M2759" s="22" cm="1">
        <f ca="1" t="array" ref="M2759">SUMPRODUCT(--(WEEKDAY(ROW(INDIRECT(INT(F2759)&amp;":"&amp;INT(I2759))),2)&gt;5))</f>
        <v>0</v>
      </c>
      <c r="N2759" s="22">
        <f ca="1" t="shared" si="218"/>
        <v>12.8166666666511</v>
      </c>
      <c r="O2759" s="22" t="str">
        <f ca="1" t="shared" si="219"/>
        <v>SLA Violated</v>
      </c>
      <c r="P2759" s="23" t="s">
        <v>10709</v>
      </c>
      <c r="Q2759" s="24" t="s">
        <v>28</v>
      </c>
      <c r="R2759" s="25"/>
      <c r="S2759" s="25"/>
    </row>
    <row r="2760" ht="27" customHeight="1" spans="1:19">
      <c r="A2760" s="19" t="s">
        <v>10710</v>
      </c>
      <c r="B2760" s="20" t="s">
        <v>30</v>
      </c>
      <c r="C2760" s="20" t="s">
        <v>31</v>
      </c>
      <c r="D2760" s="20" t="s">
        <v>32</v>
      </c>
      <c r="E2760" s="21" t="s">
        <v>10711</v>
      </c>
      <c r="F2760" s="21" t="s">
        <v>10712</v>
      </c>
      <c r="G2760" s="20" t="s">
        <v>35</v>
      </c>
      <c r="H2760" s="20" t="s">
        <v>25</v>
      </c>
      <c r="I2760" s="21" t="s">
        <v>10712</v>
      </c>
      <c r="J2760" s="22">
        <f t="shared" si="215"/>
        <v>0</v>
      </c>
      <c r="K2760" s="22">
        <f t="shared" si="216"/>
        <v>0</v>
      </c>
      <c r="L2760" s="22">
        <f t="shared" si="217"/>
        <v>0</v>
      </c>
      <c r="M2760" s="22" cm="1">
        <f ca="1" t="array" ref="M2760">SUMPRODUCT(--(WEEKDAY(ROW(INDIRECT(INT(F2760)&amp;":"&amp;INT(I2760))),2)&gt;5))</f>
        <v>1</v>
      </c>
      <c r="N2760" s="22">
        <f ca="1" t="shared" si="218"/>
        <v>0</v>
      </c>
      <c r="O2760" s="22" t="str">
        <f ca="1" t="shared" si="219"/>
        <v>Within SLA</v>
      </c>
      <c r="P2760" s="26" t="s">
        <v>10710</v>
      </c>
      <c r="Q2760" s="24" t="s">
        <v>37</v>
      </c>
      <c r="R2760" s="25"/>
      <c r="S2760" s="25"/>
    </row>
    <row r="2761" ht="16" customHeight="1" spans="1:19">
      <c r="A2761" s="19" t="s">
        <v>10713</v>
      </c>
      <c r="B2761" s="20" t="s">
        <v>100</v>
      </c>
      <c r="C2761" s="20" t="s">
        <v>101</v>
      </c>
      <c r="D2761" s="20" t="s">
        <v>32</v>
      </c>
      <c r="E2761" s="21" t="s">
        <v>10714</v>
      </c>
      <c r="F2761" s="21" t="s">
        <v>10715</v>
      </c>
      <c r="G2761" s="20" t="s">
        <v>35</v>
      </c>
      <c r="H2761" s="20" t="s">
        <v>25</v>
      </c>
      <c r="I2761" s="21" t="s">
        <v>10716</v>
      </c>
      <c r="J2761" s="22">
        <f t="shared" si="215"/>
        <v>3.1201388888876</v>
      </c>
      <c r="K2761" s="22">
        <f t="shared" si="216"/>
        <v>74.8833333333023</v>
      </c>
      <c r="L2761" s="22">
        <f t="shared" si="217"/>
        <v>26.8833333333023</v>
      </c>
      <c r="M2761" s="22" cm="1">
        <f ca="1" t="array" ref="M2761">SUMPRODUCT(--(WEEKDAY(ROW(INDIRECT(INT(F2761)&amp;":"&amp;INT(I2761))),2)&gt;5))</f>
        <v>0</v>
      </c>
      <c r="N2761" s="22">
        <f ca="1" t="shared" si="218"/>
        <v>26.8833333333023</v>
      </c>
      <c r="O2761" s="22" t="str">
        <f ca="1" t="shared" si="219"/>
        <v>SLA Violated</v>
      </c>
      <c r="P2761" s="23" t="s">
        <v>10717</v>
      </c>
      <c r="Q2761" s="24" t="s">
        <v>28</v>
      </c>
      <c r="R2761" s="25"/>
      <c r="S2761" s="25"/>
    </row>
    <row r="2762" ht="27" customHeight="1" spans="1:19">
      <c r="A2762" s="19" t="s">
        <v>10718</v>
      </c>
      <c r="B2762" s="20" t="s">
        <v>139</v>
      </c>
      <c r="C2762" s="20" t="s">
        <v>2057</v>
      </c>
      <c r="D2762" s="20" t="s">
        <v>115</v>
      </c>
      <c r="E2762" s="21" t="s">
        <v>10719</v>
      </c>
      <c r="F2762" s="21" t="s">
        <v>10720</v>
      </c>
      <c r="G2762" s="20" t="s">
        <v>35</v>
      </c>
      <c r="H2762" s="20" t="s">
        <v>25</v>
      </c>
      <c r="I2762" s="21" t="s">
        <v>10721</v>
      </c>
      <c r="J2762" s="22">
        <f t="shared" si="215"/>
        <v>14.3145833333328</v>
      </c>
      <c r="K2762" s="22">
        <f t="shared" si="216"/>
        <v>343.549999999988</v>
      </c>
      <c r="L2762" s="22">
        <f t="shared" si="217"/>
        <v>119.549999999988</v>
      </c>
      <c r="M2762" s="22" cm="1">
        <f ca="1" t="array" ref="M2762">SUMPRODUCT(--(WEEKDAY(ROW(INDIRECT(INT(F2762)&amp;":"&amp;INT(I2762))),2)&gt;5))</f>
        <v>4</v>
      </c>
      <c r="N2762" s="22">
        <f ca="1" t="shared" si="218"/>
        <v>87.549999999988</v>
      </c>
      <c r="O2762" s="22" t="str">
        <f ca="1" t="shared" si="219"/>
        <v>SLA Violated</v>
      </c>
      <c r="P2762" s="23" t="s">
        <v>10722</v>
      </c>
      <c r="Q2762" s="24" t="s">
        <v>28</v>
      </c>
      <c r="R2762" s="25"/>
      <c r="S2762" s="25"/>
    </row>
    <row r="2763" ht="27" customHeight="1" spans="1:19">
      <c r="A2763" s="19" t="s">
        <v>10723</v>
      </c>
      <c r="B2763" s="20" t="s">
        <v>1047</v>
      </c>
      <c r="C2763" s="20" t="s">
        <v>863</v>
      </c>
      <c r="D2763" s="20" t="s">
        <v>32</v>
      </c>
      <c r="E2763" s="21" t="s">
        <v>10724</v>
      </c>
      <c r="F2763" s="21" t="s">
        <v>10725</v>
      </c>
      <c r="G2763" s="20" t="s">
        <v>35</v>
      </c>
      <c r="H2763" s="20" t="s">
        <v>25</v>
      </c>
      <c r="I2763" s="21" t="s">
        <v>10726</v>
      </c>
      <c r="J2763" s="22">
        <f t="shared" si="215"/>
        <v>0.908333333340124</v>
      </c>
      <c r="K2763" s="22">
        <f t="shared" si="216"/>
        <v>21.800000000163</v>
      </c>
      <c r="L2763" s="22">
        <f t="shared" si="217"/>
        <v>5.80000000016298</v>
      </c>
      <c r="M2763" s="22" cm="1">
        <f ca="1" t="array" ref="M2763">SUMPRODUCT(--(WEEKDAY(ROW(INDIRECT(INT(F2763)&amp;":"&amp;INT(I2763))),2)&gt;5))</f>
        <v>1</v>
      </c>
      <c r="N2763" s="22">
        <f ca="1" t="shared" si="218"/>
        <v>0</v>
      </c>
      <c r="O2763" s="22" t="str">
        <f ca="1" t="shared" si="219"/>
        <v>Within SLA</v>
      </c>
      <c r="P2763" s="26" t="s">
        <v>10723</v>
      </c>
      <c r="Q2763" s="24" t="s">
        <v>37</v>
      </c>
      <c r="R2763" s="25"/>
      <c r="S2763" s="25"/>
    </row>
    <row r="2764" ht="39" customHeight="1" spans="1:19">
      <c r="A2764" s="19" t="s">
        <v>10727</v>
      </c>
      <c r="B2764" s="20" t="s">
        <v>19</v>
      </c>
      <c r="C2764" s="20" t="s">
        <v>20</v>
      </c>
      <c r="D2764" s="20" t="s">
        <v>32</v>
      </c>
      <c r="E2764" s="21" t="s">
        <v>10728</v>
      </c>
      <c r="F2764" s="21" t="s">
        <v>10729</v>
      </c>
      <c r="G2764" s="20" t="s">
        <v>24</v>
      </c>
      <c r="H2764" s="20" t="s">
        <v>25</v>
      </c>
      <c r="I2764" s="21" t="s">
        <v>10730</v>
      </c>
      <c r="J2764" s="22">
        <f t="shared" si="215"/>
        <v>0.146527777782467</v>
      </c>
      <c r="K2764" s="22">
        <f t="shared" si="216"/>
        <v>3.5166666667792</v>
      </c>
      <c r="L2764" s="22">
        <f t="shared" si="217"/>
        <v>3.5166666667792</v>
      </c>
      <c r="M2764" s="22" cm="1">
        <f ca="1" t="array" ref="M2764">SUMPRODUCT(--(WEEKDAY(ROW(INDIRECT(INT(F2764)&amp;":"&amp;INT(I2764))),2)&gt;5))</f>
        <v>0</v>
      </c>
      <c r="N2764" s="22">
        <f ca="1" t="shared" si="218"/>
        <v>3.5166666667792</v>
      </c>
      <c r="O2764" s="22" t="str">
        <f ca="1" t="shared" si="219"/>
        <v>Within SLA</v>
      </c>
      <c r="P2764" s="26" t="s">
        <v>10727</v>
      </c>
      <c r="Q2764" s="24" t="s">
        <v>37</v>
      </c>
      <c r="R2764" s="25"/>
      <c r="S2764" s="25"/>
    </row>
    <row r="2765" ht="27" customHeight="1" spans="1:19">
      <c r="A2765" s="19" t="s">
        <v>10731</v>
      </c>
      <c r="B2765" s="20" t="s">
        <v>30</v>
      </c>
      <c r="C2765" s="20" t="s">
        <v>31</v>
      </c>
      <c r="D2765" s="20" t="s">
        <v>32</v>
      </c>
      <c r="E2765" s="21" t="s">
        <v>10732</v>
      </c>
      <c r="F2765" s="21" t="s">
        <v>10341</v>
      </c>
      <c r="G2765" s="20" t="s">
        <v>35</v>
      </c>
      <c r="H2765" s="20" t="s">
        <v>25</v>
      </c>
      <c r="I2765" s="21" t="s">
        <v>10733</v>
      </c>
      <c r="J2765" s="22">
        <f t="shared" si="215"/>
        <v>0.210416666668607</v>
      </c>
      <c r="K2765" s="22">
        <f t="shared" si="216"/>
        <v>5.05000000004657</v>
      </c>
      <c r="L2765" s="22">
        <f t="shared" si="217"/>
        <v>5.05000000004657</v>
      </c>
      <c r="M2765" s="22" cm="1">
        <f ca="1" t="array" ref="M2765">SUMPRODUCT(--(WEEKDAY(ROW(INDIRECT(INT(F2765)&amp;":"&amp;INT(I2765))),2)&gt;5))</f>
        <v>0</v>
      </c>
      <c r="N2765" s="22">
        <f ca="1" t="shared" si="218"/>
        <v>5.05000000004657</v>
      </c>
      <c r="O2765" s="22" t="str">
        <f ca="1" t="shared" si="219"/>
        <v>Within SLA</v>
      </c>
      <c r="P2765" s="26" t="s">
        <v>10731</v>
      </c>
      <c r="Q2765" s="24" t="s">
        <v>37</v>
      </c>
      <c r="R2765" s="25"/>
      <c r="S2765" s="25"/>
    </row>
    <row r="2766" ht="39" customHeight="1" spans="1:19">
      <c r="A2766" s="28" t="s">
        <v>10734</v>
      </c>
      <c r="B2766" s="20" t="s">
        <v>19</v>
      </c>
      <c r="C2766" s="20" t="s">
        <v>167</v>
      </c>
      <c r="D2766" s="20" t="s">
        <v>21</v>
      </c>
      <c r="E2766" s="21" t="s">
        <v>10735</v>
      </c>
      <c r="F2766" s="21" t="s">
        <v>10736</v>
      </c>
      <c r="G2766" s="20" t="s">
        <v>35</v>
      </c>
      <c r="H2766" s="20" t="s">
        <v>25</v>
      </c>
      <c r="I2766" s="21" t="s">
        <v>10737</v>
      </c>
      <c r="J2766" s="22">
        <f t="shared" si="215"/>
        <v>3.02847222222772</v>
      </c>
      <c r="K2766" s="22">
        <f t="shared" si="216"/>
        <v>72.6833333334653</v>
      </c>
      <c r="L2766" s="22">
        <f t="shared" si="217"/>
        <v>24.6833333334653</v>
      </c>
      <c r="M2766" s="22" cm="1">
        <f ca="1" t="array" ref="M2766">SUMPRODUCT(--(WEEKDAY(ROW(INDIRECT(INT(F2766)&amp;":"&amp;INT(I2766))),2)&gt;5))</f>
        <v>2</v>
      </c>
      <c r="N2766" s="22">
        <f ca="1" t="shared" si="218"/>
        <v>8.6833333334653</v>
      </c>
      <c r="O2766" s="22" t="str">
        <f ca="1" t="shared" si="219"/>
        <v>SLA Violated</v>
      </c>
      <c r="P2766" s="26" t="s">
        <v>10738</v>
      </c>
      <c r="Q2766" s="24" t="s">
        <v>28</v>
      </c>
      <c r="R2766" s="25"/>
      <c r="S2766" s="25"/>
    </row>
    <row r="2767" ht="27" customHeight="1" spans="1:19">
      <c r="A2767" s="19" t="s">
        <v>10739</v>
      </c>
      <c r="B2767" s="20" t="s">
        <v>139</v>
      </c>
      <c r="C2767" s="20" t="s">
        <v>2057</v>
      </c>
      <c r="D2767" s="20" t="s">
        <v>32</v>
      </c>
      <c r="E2767" s="21" t="s">
        <v>10740</v>
      </c>
      <c r="F2767" s="21" t="s">
        <v>10741</v>
      </c>
      <c r="G2767" s="20" t="s">
        <v>35</v>
      </c>
      <c r="H2767" s="20" t="s">
        <v>25</v>
      </c>
      <c r="I2767" s="21" t="s">
        <v>10742</v>
      </c>
      <c r="J2767" s="22">
        <f t="shared" si="215"/>
        <v>1.2319444444438</v>
      </c>
      <c r="K2767" s="22">
        <f t="shared" si="216"/>
        <v>29.5666666666511</v>
      </c>
      <c r="L2767" s="22">
        <f t="shared" si="217"/>
        <v>13.5666666666511</v>
      </c>
      <c r="M2767" s="22" cm="1">
        <f ca="1" t="array" ref="M2767">SUMPRODUCT(--(WEEKDAY(ROW(INDIRECT(INT(F2767)&amp;":"&amp;INT(I2767))),2)&gt;5))</f>
        <v>0</v>
      </c>
      <c r="N2767" s="22">
        <f ca="1" t="shared" si="218"/>
        <v>13.5666666666511</v>
      </c>
      <c r="O2767" s="22" t="str">
        <f ca="1" t="shared" si="219"/>
        <v>SLA Violated</v>
      </c>
      <c r="P2767" s="23" t="s">
        <v>10743</v>
      </c>
      <c r="Q2767" s="24" t="s">
        <v>28</v>
      </c>
      <c r="R2767" s="25"/>
      <c r="S2767" s="25"/>
    </row>
    <row r="2768" ht="27" customHeight="1" spans="1:19">
      <c r="A2768" s="19" t="s">
        <v>10744</v>
      </c>
      <c r="B2768" s="20" t="s">
        <v>30</v>
      </c>
      <c r="C2768" s="20" t="s">
        <v>31</v>
      </c>
      <c r="D2768" s="20" t="s">
        <v>32</v>
      </c>
      <c r="E2768" s="21" t="s">
        <v>10745</v>
      </c>
      <c r="F2768" s="21" t="s">
        <v>10746</v>
      </c>
      <c r="G2768" s="20" t="s">
        <v>35</v>
      </c>
      <c r="H2768" s="20" t="s">
        <v>25</v>
      </c>
      <c r="I2768" s="21" t="s">
        <v>10666</v>
      </c>
      <c r="J2768" s="22">
        <f t="shared" si="215"/>
        <v>0.00208333333284827</v>
      </c>
      <c r="K2768" s="22">
        <f t="shared" si="216"/>
        <v>0.0499999999883585</v>
      </c>
      <c r="L2768" s="22">
        <f t="shared" si="217"/>
        <v>0.0499999999883585</v>
      </c>
      <c r="M2768" s="22" cm="1">
        <f ca="1" t="array" ref="M2768">SUMPRODUCT(--(WEEKDAY(ROW(INDIRECT(INT(F2768)&amp;":"&amp;INT(I2768))),2)&gt;5))</f>
        <v>0</v>
      </c>
      <c r="N2768" s="22">
        <f ca="1" t="shared" si="218"/>
        <v>0.0499999999883585</v>
      </c>
      <c r="O2768" s="22" t="str">
        <f ca="1" t="shared" si="219"/>
        <v>Within SLA</v>
      </c>
      <c r="P2768" s="26" t="s">
        <v>10744</v>
      </c>
      <c r="Q2768" s="24" t="s">
        <v>37</v>
      </c>
      <c r="R2768" s="25"/>
      <c r="S2768" s="25"/>
    </row>
    <row r="2769" ht="27" customHeight="1" spans="1:19">
      <c r="A2769" s="19" t="s">
        <v>10747</v>
      </c>
      <c r="B2769" s="20" t="s">
        <v>30</v>
      </c>
      <c r="C2769" s="20" t="s">
        <v>31</v>
      </c>
      <c r="D2769" s="20" t="s">
        <v>32</v>
      </c>
      <c r="E2769" s="21" t="s">
        <v>10748</v>
      </c>
      <c r="F2769" s="21" t="s">
        <v>10749</v>
      </c>
      <c r="G2769" s="20" t="s">
        <v>35</v>
      </c>
      <c r="H2769" s="20" t="s">
        <v>25</v>
      </c>
      <c r="I2769" s="21" t="s">
        <v>10750</v>
      </c>
      <c r="J2769" s="22">
        <f t="shared" si="215"/>
        <v>0.973611111112405</v>
      </c>
      <c r="K2769" s="22">
        <f t="shared" si="216"/>
        <v>23.3666666666977</v>
      </c>
      <c r="L2769" s="22">
        <f t="shared" si="217"/>
        <v>7.36666666669771</v>
      </c>
      <c r="M2769" s="22" cm="1">
        <f ca="1" t="array" ref="M2769">SUMPRODUCT(--(WEEKDAY(ROW(INDIRECT(INT(F2769)&amp;":"&amp;INT(I2769))),2)&gt;5))</f>
        <v>0</v>
      </c>
      <c r="N2769" s="22">
        <f ca="1" t="shared" si="218"/>
        <v>7.36666666669771</v>
      </c>
      <c r="O2769" s="22" t="str">
        <f ca="1" t="shared" si="219"/>
        <v>Within SLA</v>
      </c>
      <c r="P2769" s="26" t="s">
        <v>10747</v>
      </c>
      <c r="Q2769" s="24" t="s">
        <v>37</v>
      </c>
      <c r="R2769" s="25"/>
      <c r="S2769" s="25"/>
    </row>
    <row r="2770" ht="39" customHeight="1" spans="1:19">
      <c r="A2770" s="19" t="s">
        <v>10751</v>
      </c>
      <c r="B2770" s="20" t="s">
        <v>19</v>
      </c>
      <c r="C2770" s="20" t="s">
        <v>20</v>
      </c>
      <c r="D2770" s="20" t="s">
        <v>32</v>
      </c>
      <c r="E2770" s="21" t="s">
        <v>10752</v>
      </c>
      <c r="F2770" s="21" t="s">
        <v>10753</v>
      </c>
      <c r="G2770" s="20" t="s">
        <v>35</v>
      </c>
      <c r="H2770" s="20" t="s">
        <v>25</v>
      </c>
      <c r="I2770" s="21" t="s">
        <v>10754</v>
      </c>
      <c r="J2770" s="22">
        <f t="shared" si="215"/>
        <v>0.990972222221899</v>
      </c>
      <c r="K2770" s="22">
        <f t="shared" si="216"/>
        <v>23.7833333333256</v>
      </c>
      <c r="L2770" s="22">
        <f t="shared" si="217"/>
        <v>7.78333333332557</v>
      </c>
      <c r="M2770" s="22" cm="1">
        <f ca="1" t="array" ref="M2770">SUMPRODUCT(--(WEEKDAY(ROW(INDIRECT(INT(F2770)&amp;":"&amp;INT(I2770))),2)&gt;5))</f>
        <v>0</v>
      </c>
      <c r="N2770" s="22">
        <f ca="1" t="shared" si="218"/>
        <v>7.78333333332557</v>
      </c>
      <c r="O2770" s="22" t="str">
        <f ca="1" t="shared" si="219"/>
        <v>Within SLA</v>
      </c>
      <c r="P2770" s="26" t="s">
        <v>10751</v>
      </c>
      <c r="Q2770" s="24" t="s">
        <v>37</v>
      </c>
      <c r="R2770" s="25"/>
      <c r="S2770" s="25"/>
    </row>
    <row r="2771" ht="27" customHeight="1" spans="1:19">
      <c r="A2771" s="19" t="s">
        <v>10755</v>
      </c>
      <c r="B2771" s="20" t="s">
        <v>30</v>
      </c>
      <c r="C2771" s="20" t="s">
        <v>31</v>
      </c>
      <c r="D2771" s="20" t="s">
        <v>32</v>
      </c>
      <c r="E2771" s="21" t="s">
        <v>10756</v>
      </c>
      <c r="F2771" s="21" t="s">
        <v>10746</v>
      </c>
      <c r="G2771" s="20" t="s">
        <v>35</v>
      </c>
      <c r="H2771" s="20" t="s">
        <v>25</v>
      </c>
      <c r="I2771" s="21" t="s">
        <v>10665</v>
      </c>
      <c r="J2771" s="22">
        <f t="shared" si="215"/>
        <v>0.00138888888614019</v>
      </c>
      <c r="K2771" s="22">
        <f t="shared" si="216"/>
        <v>0.0333333332673647</v>
      </c>
      <c r="L2771" s="22">
        <f t="shared" si="217"/>
        <v>0.0333333332673647</v>
      </c>
      <c r="M2771" s="22" cm="1">
        <f ca="1" t="array" ref="M2771">SUMPRODUCT(--(WEEKDAY(ROW(INDIRECT(INT(F2771)&amp;":"&amp;INT(I2771))),2)&gt;5))</f>
        <v>0</v>
      </c>
      <c r="N2771" s="22">
        <f ca="1" t="shared" si="218"/>
        <v>0.0333333332673647</v>
      </c>
      <c r="O2771" s="22" t="str">
        <f ca="1" t="shared" si="219"/>
        <v>Within SLA</v>
      </c>
      <c r="P2771" s="26" t="s">
        <v>10755</v>
      </c>
      <c r="Q2771" s="24" t="s">
        <v>37</v>
      </c>
      <c r="R2771" s="25"/>
      <c r="S2771" s="25"/>
    </row>
    <row r="2772" ht="39" customHeight="1" spans="1:19">
      <c r="A2772" s="19" t="s">
        <v>10757</v>
      </c>
      <c r="B2772" s="20" t="s">
        <v>19</v>
      </c>
      <c r="C2772" s="20" t="s">
        <v>20</v>
      </c>
      <c r="D2772" s="20" t="s">
        <v>32</v>
      </c>
      <c r="E2772" s="21" t="s">
        <v>10758</v>
      </c>
      <c r="F2772" s="21" t="s">
        <v>10759</v>
      </c>
      <c r="G2772" s="20" t="s">
        <v>35</v>
      </c>
      <c r="H2772" s="20" t="s">
        <v>25</v>
      </c>
      <c r="I2772" s="21" t="s">
        <v>10760</v>
      </c>
      <c r="J2772" s="22">
        <f t="shared" si="215"/>
        <v>0.0444444444437977</v>
      </c>
      <c r="K2772" s="22">
        <f t="shared" si="216"/>
        <v>1.06666666665114</v>
      </c>
      <c r="L2772" s="22">
        <f t="shared" si="217"/>
        <v>1.06666666665114</v>
      </c>
      <c r="M2772" s="22" cm="1">
        <f ca="1" t="array" ref="M2772">SUMPRODUCT(--(WEEKDAY(ROW(INDIRECT(INT(F2772)&amp;":"&amp;INT(I2772))),2)&gt;5))</f>
        <v>0</v>
      </c>
      <c r="N2772" s="22">
        <f ca="1" t="shared" si="218"/>
        <v>1.06666666665114</v>
      </c>
      <c r="O2772" s="22" t="str">
        <f ca="1" t="shared" si="219"/>
        <v>Within SLA</v>
      </c>
      <c r="P2772" s="26" t="s">
        <v>10757</v>
      </c>
      <c r="Q2772" s="24" t="s">
        <v>37</v>
      </c>
      <c r="R2772" s="25"/>
      <c r="S2772" s="25"/>
    </row>
    <row r="2773" ht="39" customHeight="1" spans="1:19">
      <c r="A2773" s="19" t="s">
        <v>10761</v>
      </c>
      <c r="B2773" s="20" t="s">
        <v>19</v>
      </c>
      <c r="C2773" s="20" t="s">
        <v>20</v>
      </c>
      <c r="D2773" s="20" t="s">
        <v>32</v>
      </c>
      <c r="E2773" s="21" t="s">
        <v>10762</v>
      </c>
      <c r="F2773" s="21" t="s">
        <v>10763</v>
      </c>
      <c r="G2773" s="20" t="s">
        <v>35</v>
      </c>
      <c r="H2773" s="20" t="s">
        <v>25</v>
      </c>
      <c r="I2773" s="21" t="s">
        <v>10764</v>
      </c>
      <c r="J2773" s="22">
        <f t="shared" si="215"/>
        <v>0.0750000000043656</v>
      </c>
      <c r="K2773" s="22">
        <f t="shared" si="216"/>
        <v>1.80000000010477</v>
      </c>
      <c r="L2773" s="22">
        <f t="shared" si="217"/>
        <v>1.80000000010477</v>
      </c>
      <c r="M2773" s="22" cm="1">
        <f ca="1" t="array" ref="M2773">SUMPRODUCT(--(WEEKDAY(ROW(INDIRECT(INT(F2773)&amp;":"&amp;INT(I2773))),2)&gt;5))</f>
        <v>0</v>
      </c>
      <c r="N2773" s="22">
        <f ca="1" t="shared" si="218"/>
        <v>1.80000000010477</v>
      </c>
      <c r="O2773" s="22" t="str">
        <f ca="1" t="shared" si="219"/>
        <v>Within SLA</v>
      </c>
      <c r="P2773" s="26" t="s">
        <v>10761</v>
      </c>
      <c r="Q2773" s="24" t="s">
        <v>37</v>
      </c>
      <c r="R2773" s="25"/>
      <c r="S2773" s="25"/>
    </row>
    <row r="2774" ht="39" customHeight="1" spans="1:19">
      <c r="A2774" s="19" t="s">
        <v>10765</v>
      </c>
      <c r="B2774" s="20" t="s">
        <v>19</v>
      </c>
      <c r="C2774" s="20" t="s">
        <v>20</v>
      </c>
      <c r="D2774" s="20" t="s">
        <v>32</v>
      </c>
      <c r="E2774" s="21" t="s">
        <v>10766</v>
      </c>
      <c r="F2774" s="21" t="s">
        <v>10767</v>
      </c>
      <c r="G2774" s="20" t="s">
        <v>24</v>
      </c>
      <c r="H2774" s="20" t="s">
        <v>25</v>
      </c>
      <c r="I2774" s="21" t="s">
        <v>10768</v>
      </c>
      <c r="J2774" s="22">
        <f t="shared" si="215"/>
        <v>0.257638888891961</v>
      </c>
      <c r="K2774" s="22">
        <f t="shared" si="216"/>
        <v>6.18333333340706</v>
      </c>
      <c r="L2774" s="22">
        <f t="shared" si="217"/>
        <v>6.18333333340706</v>
      </c>
      <c r="M2774" s="22" cm="1">
        <f ca="1" t="array" ref="M2774">SUMPRODUCT(--(WEEKDAY(ROW(INDIRECT(INT(F2774)&amp;":"&amp;INT(I2774))),2)&gt;5))</f>
        <v>0</v>
      </c>
      <c r="N2774" s="22">
        <f ca="1" t="shared" si="218"/>
        <v>6.18333333340706</v>
      </c>
      <c r="O2774" s="22" t="str">
        <f ca="1" t="shared" si="219"/>
        <v>Within SLA</v>
      </c>
      <c r="P2774" s="26" t="s">
        <v>10765</v>
      </c>
      <c r="Q2774" s="24" t="s">
        <v>37</v>
      </c>
      <c r="R2774" s="25"/>
      <c r="S2774" s="25"/>
    </row>
    <row r="2775" ht="27" customHeight="1" spans="1:19">
      <c r="A2775" s="19" t="s">
        <v>10769</v>
      </c>
      <c r="B2775" s="20" t="s">
        <v>1047</v>
      </c>
      <c r="C2775" s="20" t="s">
        <v>849</v>
      </c>
      <c r="D2775" s="20" t="s">
        <v>32</v>
      </c>
      <c r="E2775" s="21" t="s">
        <v>10770</v>
      </c>
      <c r="F2775" s="21" t="s">
        <v>9776</v>
      </c>
      <c r="G2775" s="20" t="s">
        <v>35</v>
      </c>
      <c r="H2775" s="20" t="s">
        <v>25</v>
      </c>
      <c r="I2775" s="21" t="s">
        <v>10771</v>
      </c>
      <c r="J2775" s="22">
        <f t="shared" si="215"/>
        <v>1.00347222221899</v>
      </c>
      <c r="K2775" s="22">
        <f t="shared" si="216"/>
        <v>24.0833333332557</v>
      </c>
      <c r="L2775" s="22">
        <f t="shared" si="217"/>
        <v>8.08333333325572</v>
      </c>
      <c r="M2775" s="22" cm="1">
        <f ca="1" t="array" ref="M2775">SUMPRODUCT(--(WEEKDAY(ROW(INDIRECT(INT(F2775)&amp;":"&amp;INT(I2775))),2)&gt;5))</f>
        <v>0</v>
      </c>
      <c r="N2775" s="22">
        <f ca="1" t="shared" si="218"/>
        <v>8.08333333325572</v>
      </c>
      <c r="O2775" s="22" t="str">
        <f ca="1" t="shared" si="219"/>
        <v>Within SLA</v>
      </c>
      <c r="P2775" s="26" t="s">
        <v>10769</v>
      </c>
      <c r="Q2775" s="24" t="s">
        <v>37</v>
      </c>
      <c r="R2775" s="25"/>
      <c r="S2775" s="25"/>
    </row>
    <row r="2776" ht="27" customHeight="1" spans="1:19">
      <c r="A2776" s="19" t="s">
        <v>10772</v>
      </c>
      <c r="B2776" s="20" t="s">
        <v>30</v>
      </c>
      <c r="C2776" s="20" t="s">
        <v>31</v>
      </c>
      <c r="D2776" s="20" t="s">
        <v>32</v>
      </c>
      <c r="E2776" s="21" t="s">
        <v>10773</v>
      </c>
      <c r="F2776" s="21" t="s">
        <v>10774</v>
      </c>
      <c r="G2776" s="20" t="s">
        <v>35</v>
      </c>
      <c r="H2776" s="20" t="s">
        <v>25</v>
      </c>
      <c r="I2776" s="21" t="s">
        <v>10775</v>
      </c>
      <c r="J2776" s="22">
        <f t="shared" si="215"/>
        <v>0.000694444439432118</v>
      </c>
      <c r="K2776" s="22">
        <f t="shared" si="216"/>
        <v>0.0166666665463708</v>
      </c>
      <c r="L2776" s="22">
        <f t="shared" si="217"/>
        <v>0.0166666665463708</v>
      </c>
      <c r="M2776" s="22" cm="1">
        <f ca="1" t="array" ref="M2776">SUMPRODUCT(--(WEEKDAY(ROW(INDIRECT(INT(F2776)&amp;":"&amp;INT(I2776))),2)&gt;5))</f>
        <v>1</v>
      </c>
      <c r="N2776" s="22">
        <f ca="1" t="shared" si="218"/>
        <v>0</v>
      </c>
      <c r="O2776" s="22" t="str">
        <f ca="1" t="shared" si="219"/>
        <v>Within SLA</v>
      </c>
      <c r="P2776" s="26" t="s">
        <v>10772</v>
      </c>
      <c r="Q2776" s="24" t="s">
        <v>37</v>
      </c>
      <c r="R2776" s="25"/>
      <c r="S2776" s="25"/>
    </row>
    <row r="2777" ht="39" customHeight="1" spans="1:19">
      <c r="A2777" s="19" t="s">
        <v>10776</v>
      </c>
      <c r="B2777" s="20" t="s">
        <v>19</v>
      </c>
      <c r="C2777" s="20" t="s">
        <v>20</v>
      </c>
      <c r="D2777" s="20" t="s">
        <v>32</v>
      </c>
      <c r="E2777" s="21" t="s">
        <v>10777</v>
      </c>
      <c r="F2777" s="21" t="s">
        <v>10778</v>
      </c>
      <c r="G2777" s="20" t="s">
        <v>35</v>
      </c>
      <c r="H2777" s="20" t="s">
        <v>25</v>
      </c>
      <c r="I2777" s="21" t="s">
        <v>10779</v>
      </c>
      <c r="J2777" s="22">
        <f t="shared" si="215"/>
        <v>0.0180555555562023</v>
      </c>
      <c r="K2777" s="22">
        <f t="shared" si="216"/>
        <v>0.433333333348855</v>
      </c>
      <c r="L2777" s="22">
        <f t="shared" si="217"/>
        <v>0.433333333348855</v>
      </c>
      <c r="M2777" s="22" cm="1">
        <f ca="1" t="array" ref="M2777">SUMPRODUCT(--(WEEKDAY(ROW(INDIRECT(INT(F2777)&amp;":"&amp;INT(I2777))),2)&gt;5))</f>
        <v>0</v>
      </c>
      <c r="N2777" s="22">
        <f ca="1" t="shared" si="218"/>
        <v>0.433333333348855</v>
      </c>
      <c r="O2777" s="22" t="str">
        <f ca="1" t="shared" si="219"/>
        <v>Within SLA</v>
      </c>
      <c r="P2777" s="26" t="s">
        <v>10776</v>
      </c>
      <c r="Q2777" s="24" t="s">
        <v>37</v>
      </c>
      <c r="R2777" s="25"/>
      <c r="S2777" s="25"/>
    </row>
    <row r="2778" ht="27" customHeight="1" spans="1:19">
      <c r="A2778" s="19" t="s">
        <v>10780</v>
      </c>
      <c r="B2778" s="20" t="s">
        <v>30</v>
      </c>
      <c r="C2778" s="20" t="s">
        <v>31</v>
      </c>
      <c r="D2778" s="20" t="s">
        <v>32</v>
      </c>
      <c r="E2778" s="21" t="s">
        <v>10781</v>
      </c>
      <c r="F2778" s="21" t="s">
        <v>10782</v>
      </c>
      <c r="G2778" s="20" t="s">
        <v>35</v>
      </c>
      <c r="H2778" s="20" t="s">
        <v>25</v>
      </c>
      <c r="I2778" s="21" t="s">
        <v>10782</v>
      </c>
      <c r="J2778" s="22">
        <f t="shared" si="215"/>
        <v>0</v>
      </c>
      <c r="K2778" s="22">
        <f t="shared" si="216"/>
        <v>0</v>
      </c>
      <c r="L2778" s="22">
        <f t="shared" si="217"/>
        <v>0</v>
      </c>
      <c r="M2778" s="22" cm="1">
        <f ca="1" t="array" ref="M2778">SUMPRODUCT(--(WEEKDAY(ROW(INDIRECT(INT(F2778)&amp;":"&amp;INT(I2778))),2)&gt;5))</f>
        <v>0</v>
      </c>
      <c r="N2778" s="22">
        <f ca="1" t="shared" si="218"/>
        <v>0</v>
      </c>
      <c r="O2778" s="22" t="str">
        <f ca="1" t="shared" si="219"/>
        <v>Within SLA</v>
      </c>
      <c r="P2778" s="26" t="s">
        <v>10780</v>
      </c>
      <c r="Q2778" s="24" t="s">
        <v>37</v>
      </c>
      <c r="R2778" s="25"/>
      <c r="S2778" s="25"/>
    </row>
    <row r="2779" ht="39" customHeight="1" spans="1:19">
      <c r="A2779" s="19" t="s">
        <v>10783</v>
      </c>
      <c r="B2779" s="20" t="s">
        <v>196</v>
      </c>
      <c r="C2779" s="20" t="s">
        <v>849</v>
      </c>
      <c r="D2779" s="20" t="s">
        <v>32</v>
      </c>
      <c r="E2779" s="21" t="s">
        <v>10784</v>
      </c>
      <c r="F2779" s="21" t="s">
        <v>10785</v>
      </c>
      <c r="G2779" s="20" t="s">
        <v>35</v>
      </c>
      <c r="H2779" s="20" t="s">
        <v>25</v>
      </c>
      <c r="I2779" s="21" t="s">
        <v>10786</v>
      </c>
      <c r="J2779" s="22">
        <f t="shared" si="215"/>
        <v>3.18472222222044</v>
      </c>
      <c r="K2779" s="22">
        <f t="shared" si="216"/>
        <v>76.4333333332906</v>
      </c>
      <c r="L2779" s="22">
        <f t="shared" si="217"/>
        <v>28.4333333332906</v>
      </c>
      <c r="M2779" s="22" cm="1">
        <f ca="1" t="array" ref="M2779">SUMPRODUCT(--(WEEKDAY(ROW(INDIRECT(INT(F2779)&amp;":"&amp;INT(I2779))),2)&gt;5))</f>
        <v>0</v>
      </c>
      <c r="N2779" s="22">
        <f ca="1" t="shared" si="218"/>
        <v>28.4333333332906</v>
      </c>
      <c r="O2779" s="22" t="str">
        <f ca="1" t="shared" si="219"/>
        <v>SLA Violated</v>
      </c>
      <c r="P2779" s="23" t="s">
        <v>10787</v>
      </c>
      <c r="Q2779" s="24" t="s">
        <v>28</v>
      </c>
      <c r="R2779" s="25"/>
      <c r="S2779" s="25"/>
    </row>
    <row r="2780" ht="27" customHeight="1" spans="1:19">
      <c r="A2780" s="19" t="s">
        <v>10788</v>
      </c>
      <c r="B2780" s="20" t="s">
        <v>30</v>
      </c>
      <c r="C2780" s="20" t="s">
        <v>31</v>
      </c>
      <c r="D2780" s="20" t="s">
        <v>32</v>
      </c>
      <c r="E2780" s="21" t="s">
        <v>10789</v>
      </c>
      <c r="F2780" s="21" t="s">
        <v>10790</v>
      </c>
      <c r="G2780" s="20" t="s">
        <v>35</v>
      </c>
      <c r="H2780" s="20" t="s">
        <v>25</v>
      </c>
      <c r="I2780" s="21" t="s">
        <v>10791</v>
      </c>
      <c r="J2780" s="22">
        <f t="shared" si="215"/>
        <v>0.211805555554747</v>
      </c>
      <c r="K2780" s="22">
        <f t="shared" si="216"/>
        <v>5.08333333331393</v>
      </c>
      <c r="L2780" s="22">
        <f t="shared" si="217"/>
        <v>5.08333333331393</v>
      </c>
      <c r="M2780" s="22" cm="1">
        <f ca="1" t="array" ref="M2780">SUMPRODUCT(--(WEEKDAY(ROW(INDIRECT(INT(F2780)&amp;":"&amp;INT(I2780))),2)&gt;5))</f>
        <v>0</v>
      </c>
      <c r="N2780" s="22">
        <f ca="1" t="shared" si="218"/>
        <v>5.08333333331393</v>
      </c>
      <c r="O2780" s="22" t="str">
        <f ca="1" t="shared" si="219"/>
        <v>Within SLA</v>
      </c>
      <c r="P2780" s="26" t="s">
        <v>10788</v>
      </c>
      <c r="Q2780" s="24" t="s">
        <v>37</v>
      </c>
      <c r="R2780" s="25"/>
      <c r="S2780" s="25"/>
    </row>
    <row r="2781" ht="27" customHeight="1" spans="1:19">
      <c r="A2781" s="19" t="s">
        <v>10792</v>
      </c>
      <c r="B2781" s="20" t="s">
        <v>30</v>
      </c>
      <c r="C2781" s="20" t="s">
        <v>31</v>
      </c>
      <c r="D2781" s="20" t="s">
        <v>32</v>
      </c>
      <c r="E2781" s="21" t="s">
        <v>10793</v>
      </c>
      <c r="F2781" s="21" t="s">
        <v>10794</v>
      </c>
      <c r="G2781" s="20" t="s">
        <v>35</v>
      </c>
      <c r="H2781" s="20" t="s">
        <v>25</v>
      </c>
      <c r="I2781" s="21" t="s">
        <v>10795</v>
      </c>
      <c r="J2781" s="22">
        <f t="shared" si="215"/>
        <v>0.219444444439432</v>
      </c>
      <c r="K2781" s="22">
        <f t="shared" si="216"/>
        <v>5.26666666654637</v>
      </c>
      <c r="L2781" s="22">
        <f t="shared" si="217"/>
        <v>5.26666666654637</v>
      </c>
      <c r="M2781" s="22" cm="1">
        <f ca="1" t="array" ref="M2781">SUMPRODUCT(--(WEEKDAY(ROW(INDIRECT(INT(F2781)&amp;":"&amp;INT(I2781))),2)&gt;5))</f>
        <v>0</v>
      </c>
      <c r="N2781" s="22">
        <f ca="1" t="shared" si="218"/>
        <v>5.26666666654637</v>
      </c>
      <c r="O2781" s="22" t="str">
        <f ca="1" t="shared" si="219"/>
        <v>Within SLA</v>
      </c>
      <c r="P2781" s="26" t="s">
        <v>10792</v>
      </c>
      <c r="Q2781" s="24" t="s">
        <v>37</v>
      </c>
      <c r="R2781" s="25"/>
      <c r="S2781" s="25"/>
    </row>
    <row r="2782" ht="39" customHeight="1" spans="1:19">
      <c r="A2782" s="19" t="s">
        <v>10796</v>
      </c>
      <c r="B2782" s="20" t="s">
        <v>19</v>
      </c>
      <c r="C2782" s="20" t="s">
        <v>20</v>
      </c>
      <c r="D2782" s="20" t="s">
        <v>32</v>
      </c>
      <c r="E2782" s="21" t="s">
        <v>10797</v>
      </c>
      <c r="F2782" s="21" t="s">
        <v>10798</v>
      </c>
      <c r="G2782" s="20" t="s">
        <v>35</v>
      </c>
      <c r="H2782" s="20" t="s">
        <v>25</v>
      </c>
      <c r="I2782" s="21" t="s">
        <v>10795</v>
      </c>
      <c r="J2782" s="22">
        <f t="shared" si="215"/>
        <v>7.03402777777228</v>
      </c>
      <c r="K2782" s="22">
        <f t="shared" si="216"/>
        <v>168.816666666535</v>
      </c>
      <c r="L2782" s="22">
        <f t="shared" si="217"/>
        <v>56.8166666665347</v>
      </c>
      <c r="M2782" s="22" cm="1">
        <f ca="1" t="array" ref="M2782">SUMPRODUCT(--(WEEKDAY(ROW(INDIRECT(INT(F2782)&amp;":"&amp;INT(I2782))),2)&gt;5))</f>
        <v>2</v>
      </c>
      <c r="N2782" s="22">
        <f ca="1" t="shared" si="218"/>
        <v>40.8166666665347</v>
      </c>
      <c r="O2782" s="22" t="str">
        <f ca="1" t="shared" si="219"/>
        <v>SLA Violated</v>
      </c>
      <c r="P2782" s="23" t="s">
        <v>10799</v>
      </c>
      <c r="Q2782" s="24" t="s">
        <v>28</v>
      </c>
      <c r="R2782" s="25"/>
      <c r="S2782" s="25"/>
    </row>
    <row r="2783" ht="39" customHeight="1" spans="1:19">
      <c r="A2783" s="19" t="s">
        <v>10800</v>
      </c>
      <c r="B2783" s="20" t="s">
        <v>19</v>
      </c>
      <c r="C2783" s="20" t="s">
        <v>20</v>
      </c>
      <c r="D2783" s="20" t="s">
        <v>32</v>
      </c>
      <c r="E2783" s="21" t="s">
        <v>10801</v>
      </c>
      <c r="F2783" s="21" t="s">
        <v>10802</v>
      </c>
      <c r="G2783" s="20" t="s">
        <v>35</v>
      </c>
      <c r="H2783" s="20" t="s">
        <v>25</v>
      </c>
      <c r="I2783" s="21" t="s">
        <v>10803</v>
      </c>
      <c r="J2783" s="22">
        <f t="shared" si="215"/>
        <v>1.14444444444234</v>
      </c>
      <c r="K2783" s="22">
        <f t="shared" si="216"/>
        <v>27.4666666666162</v>
      </c>
      <c r="L2783" s="22">
        <f t="shared" si="217"/>
        <v>11.4666666666162</v>
      </c>
      <c r="M2783" s="22" cm="1">
        <f ca="1" t="array" ref="M2783">SUMPRODUCT(--(WEEKDAY(ROW(INDIRECT(INT(F2783)&amp;":"&amp;INT(I2783))),2)&gt;5))</f>
        <v>0</v>
      </c>
      <c r="N2783" s="22">
        <f ca="1" t="shared" si="218"/>
        <v>11.4666666666162</v>
      </c>
      <c r="O2783" s="22" t="str">
        <f ca="1" t="shared" si="219"/>
        <v>Within SLA</v>
      </c>
      <c r="P2783" s="26" t="s">
        <v>10800</v>
      </c>
      <c r="Q2783" s="24" t="s">
        <v>37</v>
      </c>
      <c r="R2783" s="25"/>
      <c r="S2783" s="25"/>
    </row>
    <row r="2784" ht="27" customHeight="1" spans="1:19">
      <c r="A2784" s="19" t="s">
        <v>10804</v>
      </c>
      <c r="B2784" s="20" t="s">
        <v>30</v>
      </c>
      <c r="C2784" s="20" t="s">
        <v>31</v>
      </c>
      <c r="D2784" s="20" t="s">
        <v>32</v>
      </c>
      <c r="E2784" s="21" t="s">
        <v>10805</v>
      </c>
      <c r="F2784" s="21" t="s">
        <v>10806</v>
      </c>
      <c r="G2784" s="20" t="s">
        <v>35</v>
      </c>
      <c r="H2784" s="20" t="s">
        <v>25</v>
      </c>
      <c r="I2784" s="21" t="s">
        <v>10807</v>
      </c>
      <c r="J2784" s="22">
        <f t="shared" si="215"/>
        <v>1.23888888888905</v>
      </c>
      <c r="K2784" s="22">
        <f t="shared" si="216"/>
        <v>29.7333333333372</v>
      </c>
      <c r="L2784" s="22">
        <f t="shared" si="217"/>
        <v>13.7333333333372</v>
      </c>
      <c r="M2784" s="22" cm="1">
        <f ca="1" t="array" ref="M2784">SUMPRODUCT(--(WEEKDAY(ROW(INDIRECT(INT(F2784)&amp;":"&amp;INT(I2784))),2)&gt;5))</f>
        <v>0</v>
      </c>
      <c r="N2784" s="22">
        <f ca="1" t="shared" si="218"/>
        <v>13.7333333333372</v>
      </c>
      <c r="O2784" s="22" t="str">
        <f ca="1" t="shared" si="219"/>
        <v>SLA Violated</v>
      </c>
      <c r="P2784" s="26" t="s">
        <v>10804</v>
      </c>
      <c r="Q2784" s="24" t="s">
        <v>28</v>
      </c>
      <c r="R2784" s="25"/>
      <c r="S2784" s="25"/>
    </row>
    <row r="2785" ht="27" customHeight="1" spans="1:19">
      <c r="A2785" s="19" t="s">
        <v>10808</v>
      </c>
      <c r="B2785" s="20" t="s">
        <v>30</v>
      </c>
      <c r="C2785" s="20" t="s">
        <v>863</v>
      </c>
      <c r="D2785" s="20" t="s">
        <v>32</v>
      </c>
      <c r="E2785" s="21" t="s">
        <v>10809</v>
      </c>
      <c r="F2785" s="21" t="s">
        <v>10810</v>
      </c>
      <c r="G2785" s="20" t="s">
        <v>35</v>
      </c>
      <c r="H2785" s="20" t="s">
        <v>25</v>
      </c>
      <c r="I2785" s="21" t="s">
        <v>10811</v>
      </c>
      <c r="J2785" s="22">
        <f t="shared" si="215"/>
        <v>0.0520833333357587</v>
      </c>
      <c r="K2785" s="22">
        <f t="shared" si="216"/>
        <v>1.25000000005821</v>
      </c>
      <c r="L2785" s="22">
        <f t="shared" si="217"/>
        <v>1.25000000005821</v>
      </c>
      <c r="M2785" s="22" cm="1">
        <f ca="1" t="array" ref="M2785">SUMPRODUCT(--(WEEKDAY(ROW(INDIRECT(INT(F2785)&amp;":"&amp;INT(I2785))),2)&gt;5))</f>
        <v>1</v>
      </c>
      <c r="N2785" s="22">
        <f ca="1" t="shared" si="218"/>
        <v>0</v>
      </c>
      <c r="O2785" s="22" t="str">
        <f ca="1" t="shared" si="219"/>
        <v>Within SLA</v>
      </c>
      <c r="P2785" s="26" t="s">
        <v>10808</v>
      </c>
      <c r="Q2785" s="24" t="s">
        <v>37</v>
      </c>
      <c r="R2785" s="25"/>
      <c r="S2785" s="25"/>
    </row>
    <row r="2786" ht="27" customHeight="1" spans="1:19">
      <c r="A2786" s="19" t="s">
        <v>10812</v>
      </c>
      <c r="B2786" s="20" t="s">
        <v>1047</v>
      </c>
      <c r="C2786" s="20" t="s">
        <v>849</v>
      </c>
      <c r="D2786" s="20" t="s">
        <v>32</v>
      </c>
      <c r="E2786" s="21" t="s">
        <v>10813</v>
      </c>
      <c r="F2786" s="21" t="s">
        <v>9269</v>
      </c>
      <c r="G2786" s="20" t="s">
        <v>35</v>
      </c>
      <c r="H2786" s="20" t="s">
        <v>25</v>
      </c>
      <c r="I2786" s="21" t="s">
        <v>10814</v>
      </c>
      <c r="J2786" s="22">
        <f t="shared" si="215"/>
        <v>-1.7548611111124</v>
      </c>
      <c r="K2786" s="22">
        <f t="shared" si="216"/>
        <v>-42.1166666666977</v>
      </c>
      <c r="L2786" s="22">
        <f t="shared" si="217"/>
        <v>-42.1166666666977</v>
      </c>
      <c r="M2786" s="22" cm="1">
        <f ca="1" t="array" ref="M2786">SUMPRODUCT(--(WEEKDAY(ROW(INDIRECT(INT(F2786)&amp;":"&amp;INT(I2786))),2)&gt;5))</f>
        <v>2</v>
      </c>
      <c r="N2786" s="22">
        <f ca="1" t="shared" si="218"/>
        <v>0</v>
      </c>
      <c r="O2786" s="22" t="str">
        <f ca="1" t="shared" si="219"/>
        <v>Within SLA</v>
      </c>
      <c r="P2786" s="26" t="s">
        <v>10812</v>
      </c>
      <c r="Q2786" s="24" t="s">
        <v>37</v>
      </c>
      <c r="R2786" s="25"/>
      <c r="S2786" s="25"/>
    </row>
    <row r="2787" ht="27" customHeight="1" spans="1:19">
      <c r="A2787" s="19" t="s">
        <v>10815</v>
      </c>
      <c r="B2787" s="20" t="s">
        <v>1047</v>
      </c>
      <c r="C2787" s="20" t="s">
        <v>849</v>
      </c>
      <c r="D2787" s="20" t="s">
        <v>32</v>
      </c>
      <c r="E2787" s="21" t="s">
        <v>10816</v>
      </c>
      <c r="F2787" s="21" t="s">
        <v>10817</v>
      </c>
      <c r="G2787" s="20" t="s">
        <v>35</v>
      </c>
      <c r="H2787" s="20" t="s">
        <v>25</v>
      </c>
      <c r="I2787" s="21" t="s">
        <v>10817</v>
      </c>
      <c r="J2787" s="22">
        <f t="shared" si="215"/>
        <v>0</v>
      </c>
      <c r="K2787" s="22">
        <f t="shared" si="216"/>
        <v>0</v>
      </c>
      <c r="L2787" s="22">
        <f t="shared" si="217"/>
        <v>0</v>
      </c>
      <c r="M2787" s="22" cm="1">
        <f ca="1" t="array" ref="M2787">SUMPRODUCT(--(WEEKDAY(ROW(INDIRECT(INT(F2787)&amp;":"&amp;INT(I2787))),2)&gt;5))</f>
        <v>0</v>
      </c>
      <c r="N2787" s="22">
        <f ca="1" t="shared" si="218"/>
        <v>0</v>
      </c>
      <c r="O2787" s="22" t="str">
        <f ca="1" t="shared" si="219"/>
        <v>Within SLA</v>
      </c>
      <c r="P2787" s="26" t="s">
        <v>10815</v>
      </c>
      <c r="Q2787" s="24" t="s">
        <v>37</v>
      </c>
      <c r="R2787" s="25"/>
      <c r="S2787" s="25"/>
    </row>
    <row r="2788" ht="27" customHeight="1" spans="1:19">
      <c r="A2788" s="19" t="s">
        <v>10818</v>
      </c>
      <c r="B2788" s="20" t="s">
        <v>1047</v>
      </c>
      <c r="C2788" s="20" t="s">
        <v>863</v>
      </c>
      <c r="D2788" s="20" t="s">
        <v>32</v>
      </c>
      <c r="E2788" s="21" t="s">
        <v>10816</v>
      </c>
      <c r="F2788" s="21" t="s">
        <v>10819</v>
      </c>
      <c r="G2788" s="20" t="s">
        <v>35</v>
      </c>
      <c r="H2788" s="20" t="s">
        <v>25</v>
      </c>
      <c r="I2788" s="21" t="s">
        <v>10820</v>
      </c>
      <c r="J2788" s="22">
        <f t="shared" si="215"/>
        <v>0.0249999999941792</v>
      </c>
      <c r="K2788" s="22">
        <f t="shared" si="216"/>
        <v>0.599999999860302</v>
      </c>
      <c r="L2788" s="22">
        <f t="shared" si="217"/>
        <v>0.599999999860302</v>
      </c>
      <c r="M2788" s="22" cm="1">
        <f ca="1" t="array" ref="M2788">SUMPRODUCT(--(WEEKDAY(ROW(INDIRECT(INT(F2788)&amp;":"&amp;INT(I2788))),2)&gt;5))</f>
        <v>1</v>
      </c>
      <c r="N2788" s="22">
        <f ca="1" t="shared" si="218"/>
        <v>0</v>
      </c>
      <c r="O2788" s="22" t="str">
        <f ca="1" t="shared" si="219"/>
        <v>Within SLA</v>
      </c>
      <c r="P2788" s="26" t="s">
        <v>10818</v>
      </c>
      <c r="Q2788" s="24" t="s">
        <v>37</v>
      </c>
      <c r="R2788" s="25"/>
      <c r="S2788" s="25"/>
    </row>
    <row r="2789" ht="27" customHeight="1" spans="1:19">
      <c r="A2789" s="19" t="s">
        <v>10821</v>
      </c>
      <c r="B2789" s="20" t="s">
        <v>30</v>
      </c>
      <c r="C2789" s="20" t="s">
        <v>31</v>
      </c>
      <c r="D2789" s="20" t="s">
        <v>32</v>
      </c>
      <c r="E2789" s="21" t="s">
        <v>10819</v>
      </c>
      <c r="F2789" s="21" t="s">
        <v>10822</v>
      </c>
      <c r="G2789" s="20" t="s">
        <v>35</v>
      </c>
      <c r="H2789" s="20" t="s">
        <v>25</v>
      </c>
      <c r="I2789" s="21" t="s">
        <v>10823</v>
      </c>
      <c r="J2789" s="22">
        <f t="shared" si="215"/>
        <v>0.219444444446708</v>
      </c>
      <c r="K2789" s="22">
        <f t="shared" si="216"/>
        <v>5.26666666672099</v>
      </c>
      <c r="L2789" s="22">
        <f t="shared" si="217"/>
        <v>5.26666666672099</v>
      </c>
      <c r="M2789" s="22" cm="1">
        <f ca="1" t="array" ref="M2789">SUMPRODUCT(--(WEEKDAY(ROW(INDIRECT(INT(F2789)&amp;":"&amp;INT(I2789))),2)&gt;5))</f>
        <v>0</v>
      </c>
      <c r="N2789" s="22">
        <f ca="1" t="shared" si="218"/>
        <v>5.26666666672099</v>
      </c>
      <c r="O2789" s="22" t="str">
        <f ca="1" t="shared" si="219"/>
        <v>Within SLA</v>
      </c>
      <c r="P2789" s="26" t="s">
        <v>10821</v>
      </c>
      <c r="Q2789" s="24" t="s">
        <v>37</v>
      </c>
      <c r="R2789" s="25"/>
      <c r="S2789" s="25"/>
    </row>
    <row r="2790" ht="27" customHeight="1" spans="1:19">
      <c r="A2790" s="19" t="s">
        <v>10824</v>
      </c>
      <c r="B2790" s="20" t="s">
        <v>1047</v>
      </c>
      <c r="C2790" s="20" t="s">
        <v>849</v>
      </c>
      <c r="D2790" s="20" t="s">
        <v>32</v>
      </c>
      <c r="E2790" s="21" t="s">
        <v>10825</v>
      </c>
      <c r="F2790" s="21" t="s">
        <v>10826</v>
      </c>
      <c r="G2790" s="20" t="s">
        <v>35</v>
      </c>
      <c r="H2790" s="20" t="s">
        <v>25</v>
      </c>
      <c r="I2790" s="21" t="s">
        <v>10827</v>
      </c>
      <c r="J2790" s="22">
        <f t="shared" si="215"/>
        <v>-1.70208333332994</v>
      </c>
      <c r="K2790" s="22">
        <f t="shared" si="216"/>
        <v>-40.8499999999185</v>
      </c>
      <c r="L2790" s="22">
        <f t="shared" si="217"/>
        <v>-40.8499999999185</v>
      </c>
      <c r="M2790" s="22" cm="1">
        <f ca="1" t="array" ref="M2790">SUMPRODUCT(--(WEEKDAY(ROW(INDIRECT(INT(F2790)&amp;":"&amp;INT(I2790))),2)&gt;5))</f>
        <v>2</v>
      </c>
      <c r="N2790" s="22">
        <f ca="1" t="shared" si="218"/>
        <v>0</v>
      </c>
      <c r="O2790" s="22" t="str">
        <f ca="1" t="shared" si="219"/>
        <v>Within SLA</v>
      </c>
      <c r="P2790" s="26" t="s">
        <v>10824</v>
      </c>
      <c r="Q2790" s="24" t="s">
        <v>37</v>
      </c>
      <c r="R2790" s="25"/>
      <c r="S2790" s="25"/>
    </row>
    <row r="2791" ht="27" customHeight="1" spans="1:19">
      <c r="A2791" s="19" t="s">
        <v>10828</v>
      </c>
      <c r="B2791" s="20" t="s">
        <v>1047</v>
      </c>
      <c r="C2791" s="20" t="s">
        <v>849</v>
      </c>
      <c r="D2791" s="20" t="s">
        <v>32</v>
      </c>
      <c r="E2791" s="21" t="s">
        <v>10829</v>
      </c>
      <c r="F2791" s="21" t="s">
        <v>10830</v>
      </c>
      <c r="G2791" s="20" t="s">
        <v>35</v>
      </c>
      <c r="H2791" s="20" t="s">
        <v>25</v>
      </c>
      <c r="I2791" s="21" t="s">
        <v>10831</v>
      </c>
      <c r="J2791" s="22">
        <f t="shared" si="215"/>
        <v>-1.73541666666279</v>
      </c>
      <c r="K2791" s="22">
        <f t="shared" si="216"/>
        <v>-41.6499999999069</v>
      </c>
      <c r="L2791" s="22">
        <f t="shared" si="217"/>
        <v>-41.6499999999069</v>
      </c>
      <c r="M2791" s="22" cm="1">
        <f ca="1" t="array" ref="M2791">SUMPRODUCT(--(WEEKDAY(ROW(INDIRECT(INT(F2791)&amp;":"&amp;INT(I2791))),2)&gt;5))</f>
        <v>2</v>
      </c>
      <c r="N2791" s="22">
        <f ca="1" t="shared" si="218"/>
        <v>0</v>
      </c>
      <c r="O2791" s="22" t="str">
        <f ca="1" t="shared" si="219"/>
        <v>Within SLA</v>
      </c>
      <c r="P2791" s="26" t="s">
        <v>10828</v>
      </c>
      <c r="Q2791" s="24" t="s">
        <v>37</v>
      </c>
      <c r="R2791" s="25"/>
      <c r="S2791" s="25"/>
    </row>
    <row r="2792" ht="27" customHeight="1" spans="1:19">
      <c r="A2792" s="19" t="s">
        <v>10832</v>
      </c>
      <c r="B2792" s="20" t="s">
        <v>30</v>
      </c>
      <c r="C2792" s="20" t="s">
        <v>4889</v>
      </c>
      <c r="D2792" s="20" t="s">
        <v>32</v>
      </c>
      <c r="E2792" s="21" t="s">
        <v>10833</v>
      </c>
      <c r="F2792" s="21" t="s">
        <v>10834</v>
      </c>
      <c r="G2792" s="20" t="s">
        <v>35</v>
      </c>
      <c r="H2792" s="20" t="s">
        <v>25</v>
      </c>
      <c r="I2792" s="21" t="s">
        <v>10835</v>
      </c>
      <c r="J2792" s="22">
        <f t="shared" si="215"/>
        <v>0.000694444446708076</v>
      </c>
      <c r="K2792" s="22">
        <f t="shared" si="216"/>
        <v>0.0166666667209938</v>
      </c>
      <c r="L2792" s="22">
        <f t="shared" si="217"/>
        <v>0.0166666667209938</v>
      </c>
      <c r="M2792" s="22" cm="1">
        <f ca="1" t="array" ref="M2792">SUMPRODUCT(--(WEEKDAY(ROW(INDIRECT(INT(F2792)&amp;":"&amp;INT(I2792))),2)&gt;5))</f>
        <v>1</v>
      </c>
      <c r="N2792" s="22">
        <f ca="1" t="shared" si="218"/>
        <v>0</v>
      </c>
      <c r="O2792" s="22" t="str">
        <f ca="1" t="shared" si="219"/>
        <v>Within SLA</v>
      </c>
      <c r="P2792" s="26" t="s">
        <v>10832</v>
      </c>
      <c r="Q2792" s="24" t="s">
        <v>37</v>
      </c>
      <c r="R2792" s="25"/>
      <c r="S2792" s="25"/>
    </row>
    <row r="2793" ht="27" customHeight="1" spans="1:19">
      <c r="A2793" s="19" t="s">
        <v>10836</v>
      </c>
      <c r="B2793" s="20" t="s">
        <v>30</v>
      </c>
      <c r="C2793" s="20" t="s">
        <v>31</v>
      </c>
      <c r="D2793" s="20" t="s">
        <v>32</v>
      </c>
      <c r="E2793" s="21" t="s">
        <v>10837</v>
      </c>
      <c r="F2793" s="21" t="s">
        <v>10838</v>
      </c>
      <c r="G2793" s="20" t="s">
        <v>35</v>
      </c>
      <c r="H2793" s="20" t="s">
        <v>25</v>
      </c>
      <c r="I2793" s="21" t="s">
        <v>10839</v>
      </c>
      <c r="J2793" s="22">
        <f t="shared" si="215"/>
        <v>0.212499999994179</v>
      </c>
      <c r="K2793" s="22">
        <f t="shared" si="216"/>
        <v>5.0999999998603</v>
      </c>
      <c r="L2793" s="22">
        <f t="shared" si="217"/>
        <v>5.0999999998603</v>
      </c>
      <c r="M2793" s="22" cm="1">
        <f ca="1" t="array" ref="M2793">SUMPRODUCT(--(WEEKDAY(ROW(INDIRECT(INT(F2793)&amp;":"&amp;INT(I2793))),2)&gt;5))</f>
        <v>0</v>
      </c>
      <c r="N2793" s="22">
        <f ca="1" t="shared" si="218"/>
        <v>5.0999999998603</v>
      </c>
      <c r="O2793" s="22" t="str">
        <f ca="1" t="shared" si="219"/>
        <v>Within SLA</v>
      </c>
      <c r="P2793" s="26" t="s">
        <v>10836</v>
      </c>
      <c r="Q2793" s="24" t="s">
        <v>37</v>
      </c>
      <c r="R2793" s="25"/>
      <c r="S2793" s="25"/>
    </row>
    <row r="2794" ht="39" customHeight="1" spans="1:19">
      <c r="A2794" s="19" t="s">
        <v>10840</v>
      </c>
      <c r="B2794" s="20" t="s">
        <v>19</v>
      </c>
      <c r="C2794" s="20" t="s">
        <v>20</v>
      </c>
      <c r="D2794" s="20" t="s">
        <v>32</v>
      </c>
      <c r="E2794" s="21" t="s">
        <v>10841</v>
      </c>
      <c r="F2794" s="21" t="s">
        <v>10842</v>
      </c>
      <c r="G2794" s="20" t="s">
        <v>35</v>
      </c>
      <c r="H2794" s="20" t="s">
        <v>25</v>
      </c>
      <c r="I2794" s="21" t="s">
        <v>10843</v>
      </c>
      <c r="J2794" s="22">
        <f t="shared" si="215"/>
        <v>0.0166666666700621</v>
      </c>
      <c r="K2794" s="22">
        <f t="shared" si="216"/>
        <v>0.400000000081491</v>
      </c>
      <c r="L2794" s="22">
        <f t="shared" si="217"/>
        <v>0.400000000081491</v>
      </c>
      <c r="M2794" s="22" cm="1">
        <f ca="1" t="array" ref="M2794">SUMPRODUCT(--(WEEKDAY(ROW(INDIRECT(INT(F2794)&amp;":"&amp;INT(I2794))),2)&gt;5))</f>
        <v>0</v>
      </c>
      <c r="N2794" s="22">
        <f ca="1" t="shared" si="218"/>
        <v>0.400000000081491</v>
      </c>
      <c r="O2794" s="22" t="str">
        <f ca="1" t="shared" si="219"/>
        <v>Within SLA</v>
      </c>
      <c r="P2794" s="26" t="s">
        <v>10840</v>
      </c>
      <c r="Q2794" s="24" t="s">
        <v>37</v>
      </c>
      <c r="R2794" s="25"/>
      <c r="S2794" s="25"/>
    </row>
    <row r="2795" ht="39" customHeight="1" spans="1:19">
      <c r="A2795" s="19" t="s">
        <v>10844</v>
      </c>
      <c r="B2795" s="20" t="s">
        <v>19</v>
      </c>
      <c r="C2795" s="20" t="s">
        <v>20</v>
      </c>
      <c r="D2795" s="20" t="s">
        <v>32</v>
      </c>
      <c r="E2795" s="21" t="s">
        <v>10845</v>
      </c>
      <c r="F2795" s="21" t="s">
        <v>10846</v>
      </c>
      <c r="G2795" s="20" t="s">
        <v>35</v>
      </c>
      <c r="H2795" s="20" t="s">
        <v>25</v>
      </c>
      <c r="I2795" s="21" t="s">
        <v>10847</v>
      </c>
      <c r="J2795" s="22">
        <f t="shared" si="215"/>
        <v>0.00694444444525288</v>
      </c>
      <c r="K2795" s="22">
        <f t="shared" si="216"/>
        <v>0.166666666686069</v>
      </c>
      <c r="L2795" s="22">
        <f t="shared" si="217"/>
        <v>0.166666666686069</v>
      </c>
      <c r="M2795" s="22" cm="1">
        <f ca="1" t="array" ref="M2795">SUMPRODUCT(--(WEEKDAY(ROW(INDIRECT(INT(F2795)&amp;":"&amp;INT(I2795))),2)&gt;5))</f>
        <v>0</v>
      </c>
      <c r="N2795" s="22">
        <f ca="1" t="shared" si="218"/>
        <v>0.166666666686069</v>
      </c>
      <c r="O2795" s="22" t="str">
        <f ca="1" t="shared" si="219"/>
        <v>Within SLA</v>
      </c>
      <c r="P2795" s="26" t="s">
        <v>10844</v>
      </c>
      <c r="Q2795" s="24" t="s">
        <v>37</v>
      </c>
      <c r="R2795" s="25"/>
      <c r="S2795" s="25"/>
    </row>
    <row r="2796" ht="27" customHeight="1" spans="1:19">
      <c r="A2796" s="19" t="s">
        <v>10848</v>
      </c>
      <c r="B2796" s="20" t="s">
        <v>121</v>
      </c>
      <c r="C2796" s="20" t="s">
        <v>849</v>
      </c>
      <c r="D2796" s="20" t="s">
        <v>32</v>
      </c>
      <c r="E2796" s="21" t="s">
        <v>10849</v>
      </c>
      <c r="F2796" s="21" t="s">
        <v>10850</v>
      </c>
      <c r="G2796" s="20" t="s">
        <v>35</v>
      </c>
      <c r="H2796" s="20" t="s">
        <v>25</v>
      </c>
      <c r="I2796" s="21" t="s">
        <v>10851</v>
      </c>
      <c r="J2796" s="22">
        <f t="shared" si="215"/>
        <v>0.13749999999709</v>
      </c>
      <c r="K2796" s="22">
        <f t="shared" si="216"/>
        <v>3.29999999993015</v>
      </c>
      <c r="L2796" s="22">
        <f t="shared" si="217"/>
        <v>3.29999999993015</v>
      </c>
      <c r="M2796" s="22" cm="1">
        <f ca="1" t="array" ref="M2796">SUMPRODUCT(--(WEEKDAY(ROW(INDIRECT(INT(F2796)&amp;":"&amp;INT(I2796))),2)&gt;5))</f>
        <v>0</v>
      </c>
      <c r="N2796" s="22">
        <f ca="1" t="shared" si="218"/>
        <v>3.29999999993015</v>
      </c>
      <c r="O2796" s="22" t="str">
        <f ca="1" t="shared" si="219"/>
        <v>Within SLA</v>
      </c>
      <c r="P2796" s="26" t="s">
        <v>10848</v>
      </c>
      <c r="Q2796" s="24" t="s">
        <v>37</v>
      </c>
      <c r="R2796" s="25"/>
      <c r="S2796" s="25"/>
    </row>
    <row r="2797" ht="27" customHeight="1" spans="1:19">
      <c r="A2797" s="19" t="s">
        <v>10852</v>
      </c>
      <c r="B2797" s="20" t="s">
        <v>30</v>
      </c>
      <c r="C2797" s="20" t="s">
        <v>31</v>
      </c>
      <c r="D2797" s="20" t="s">
        <v>32</v>
      </c>
      <c r="E2797" s="21" t="s">
        <v>10853</v>
      </c>
      <c r="F2797" s="21" t="s">
        <v>10854</v>
      </c>
      <c r="G2797" s="20" t="s">
        <v>35</v>
      </c>
      <c r="H2797" s="20" t="s">
        <v>25</v>
      </c>
      <c r="I2797" s="21" t="s">
        <v>10855</v>
      </c>
      <c r="J2797" s="22">
        <f t="shared" si="215"/>
        <v>0.235416666662786</v>
      </c>
      <c r="K2797" s="22">
        <f t="shared" si="216"/>
        <v>5.64999999990687</v>
      </c>
      <c r="L2797" s="22">
        <f t="shared" si="217"/>
        <v>5.64999999990687</v>
      </c>
      <c r="M2797" s="22" cm="1">
        <f ca="1" t="array" ref="M2797">SUMPRODUCT(--(WEEKDAY(ROW(INDIRECT(INT(F2797)&amp;":"&amp;INT(I2797))),2)&gt;5))</f>
        <v>0</v>
      </c>
      <c r="N2797" s="22">
        <f ca="1" t="shared" si="218"/>
        <v>5.64999999990687</v>
      </c>
      <c r="O2797" s="22" t="str">
        <f ca="1" t="shared" si="219"/>
        <v>Within SLA</v>
      </c>
      <c r="P2797" s="26" t="s">
        <v>10852</v>
      </c>
      <c r="Q2797" s="24" t="s">
        <v>37</v>
      </c>
      <c r="R2797" s="25"/>
      <c r="S2797" s="25"/>
    </row>
    <row r="2798" ht="27" customHeight="1" spans="1:19">
      <c r="A2798" s="19" t="s">
        <v>10856</v>
      </c>
      <c r="B2798" s="20" t="s">
        <v>1047</v>
      </c>
      <c r="C2798" s="20" t="s">
        <v>849</v>
      </c>
      <c r="D2798" s="20" t="s">
        <v>105</v>
      </c>
      <c r="E2798" s="21" t="s">
        <v>10857</v>
      </c>
      <c r="F2798" s="21" t="s">
        <v>10858</v>
      </c>
      <c r="G2798" s="20" t="s">
        <v>35</v>
      </c>
      <c r="H2798" s="20" t="s">
        <v>25</v>
      </c>
      <c r="I2798" s="21" t="s">
        <v>10859</v>
      </c>
      <c r="J2798" s="22">
        <f t="shared" si="215"/>
        <v>0.129861111112405</v>
      </c>
      <c r="K2798" s="22">
        <f t="shared" si="216"/>
        <v>3.11666666669771</v>
      </c>
      <c r="L2798" s="22">
        <f t="shared" si="217"/>
        <v>3.11666666669771</v>
      </c>
      <c r="M2798" s="22" cm="1">
        <f ca="1" t="array" ref="M2798">SUMPRODUCT(--(WEEKDAY(ROW(INDIRECT(INT(F2798)&amp;":"&amp;INT(I2798))),2)&gt;5))</f>
        <v>0</v>
      </c>
      <c r="N2798" s="22">
        <f ca="1" t="shared" si="218"/>
        <v>3.11666666669771</v>
      </c>
      <c r="O2798" s="22" t="str">
        <f ca="1" t="shared" si="219"/>
        <v>Within SLA</v>
      </c>
      <c r="P2798" s="26" t="s">
        <v>10856</v>
      </c>
      <c r="Q2798" s="24" t="s">
        <v>37</v>
      </c>
      <c r="R2798" s="25"/>
      <c r="S2798" s="25"/>
    </row>
    <row r="2799" ht="39" customHeight="1" spans="1:19">
      <c r="A2799" s="19" t="s">
        <v>10860</v>
      </c>
      <c r="B2799" s="20" t="s">
        <v>19</v>
      </c>
      <c r="C2799" s="20" t="s">
        <v>20</v>
      </c>
      <c r="D2799" s="20" t="s">
        <v>32</v>
      </c>
      <c r="E2799" s="21" t="s">
        <v>10857</v>
      </c>
      <c r="F2799" s="21" t="s">
        <v>10861</v>
      </c>
      <c r="G2799" s="20" t="s">
        <v>35</v>
      </c>
      <c r="H2799" s="20" t="s">
        <v>25</v>
      </c>
      <c r="I2799" s="21" t="s">
        <v>10827</v>
      </c>
      <c r="J2799" s="22">
        <f t="shared" si="215"/>
        <v>14.9798611111109</v>
      </c>
      <c r="K2799" s="22">
        <f t="shared" si="216"/>
        <v>359.516666666663</v>
      </c>
      <c r="L2799" s="22">
        <f t="shared" si="217"/>
        <v>119.516666666663</v>
      </c>
      <c r="M2799" s="22" cm="1">
        <f ca="1" t="array" ref="M2799">SUMPRODUCT(--(WEEKDAY(ROW(INDIRECT(INT(F2799)&amp;":"&amp;INT(I2799))),2)&gt;5))</f>
        <v>4</v>
      </c>
      <c r="N2799" s="22">
        <f ca="1" t="shared" si="218"/>
        <v>87.516666666663</v>
      </c>
      <c r="O2799" s="22" t="str">
        <f ca="1" t="shared" si="219"/>
        <v>SLA Violated</v>
      </c>
      <c r="P2799" s="23" t="s">
        <v>10862</v>
      </c>
      <c r="Q2799" s="24" t="s">
        <v>37</v>
      </c>
      <c r="R2799" s="25" t="s">
        <v>719</v>
      </c>
      <c r="S2799" s="25" t="s">
        <v>39</v>
      </c>
    </row>
    <row r="2800" ht="27" customHeight="1" spans="1:19">
      <c r="A2800" s="19" t="s">
        <v>10863</v>
      </c>
      <c r="B2800" s="20" t="s">
        <v>30</v>
      </c>
      <c r="C2800" s="20" t="s">
        <v>31</v>
      </c>
      <c r="D2800" s="20" t="s">
        <v>32</v>
      </c>
      <c r="E2800" s="21" t="s">
        <v>10859</v>
      </c>
      <c r="F2800" s="21" t="s">
        <v>10864</v>
      </c>
      <c r="G2800" s="20" t="s">
        <v>35</v>
      </c>
      <c r="H2800" s="20" t="s">
        <v>25</v>
      </c>
      <c r="I2800" s="21" t="s">
        <v>10865</v>
      </c>
      <c r="J2800" s="22">
        <f t="shared" si="215"/>
        <v>0.178472222221899</v>
      </c>
      <c r="K2800" s="22">
        <f t="shared" si="216"/>
        <v>4.28333333332557</v>
      </c>
      <c r="L2800" s="22">
        <f t="shared" si="217"/>
        <v>4.28333333332557</v>
      </c>
      <c r="M2800" s="22" cm="1">
        <f ca="1" t="array" ref="M2800">SUMPRODUCT(--(WEEKDAY(ROW(INDIRECT(INT(F2800)&amp;":"&amp;INT(I2800))),2)&gt;5))</f>
        <v>0</v>
      </c>
      <c r="N2800" s="22">
        <f ca="1" t="shared" si="218"/>
        <v>4.28333333332557</v>
      </c>
      <c r="O2800" s="22" t="str">
        <f ca="1" t="shared" si="219"/>
        <v>Within SLA</v>
      </c>
      <c r="P2800" s="26" t="s">
        <v>10863</v>
      </c>
      <c r="Q2800" s="24" t="s">
        <v>37</v>
      </c>
      <c r="R2800" s="25"/>
      <c r="S2800" s="25"/>
    </row>
    <row r="2801" ht="27" customHeight="1" spans="1:19">
      <c r="A2801" s="19" t="s">
        <v>10866</v>
      </c>
      <c r="B2801" s="20" t="s">
        <v>30</v>
      </c>
      <c r="C2801" s="20" t="s">
        <v>31</v>
      </c>
      <c r="D2801" s="20" t="s">
        <v>32</v>
      </c>
      <c r="E2801" s="21" t="s">
        <v>10867</v>
      </c>
      <c r="F2801" s="21" t="s">
        <v>10868</v>
      </c>
      <c r="G2801" s="20" t="s">
        <v>35</v>
      </c>
      <c r="H2801" s="20" t="s">
        <v>25</v>
      </c>
      <c r="I2801" s="21" t="s">
        <v>10869</v>
      </c>
      <c r="J2801" s="22">
        <f t="shared" si="215"/>
        <v>0.130555555559113</v>
      </c>
      <c r="K2801" s="22">
        <f t="shared" si="216"/>
        <v>3.1333333334187</v>
      </c>
      <c r="L2801" s="22">
        <f t="shared" si="217"/>
        <v>3.1333333334187</v>
      </c>
      <c r="M2801" s="22" cm="1">
        <f ca="1" t="array" ref="M2801">SUMPRODUCT(--(WEEKDAY(ROW(INDIRECT(INT(F2801)&amp;":"&amp;INT(I2801))),2)&gt;5))</f>
        <v>0</v>
      </c>
      <c r="N2801" s="22">
        <f ca="1" t="shared" si="218"/>
        <v>3.1333333334187</v>
      </c>
      <c r="O2801" s="22" t="str">
        <f ca="1" t="shared" si="219"/>
        <v>Within SLA</v>
      </c>
      <c r="P2801" s="26" t="s">
        <v>10866</v>
      </c>
      <c r="Q2801" s="24" t="s">
        <v>37</v>
      </c>
      <c r="R2801" s="25"/>
      <c r="S2801" s="25"/>
    </row>
    <row r="2802" ht="39" customHeight="1" spans="1:19">
      <c r="A2802" s="19" t="s">
        <v>10870</v>
      </c>
      <c r="B2802" s="20" t="s">
        <v>196</v>
      </c>
      <c r="C2802" s="20" t="s">
        <v>2057</v>
      </c>
      <c r="D2802" s="20" t="s">
        <v>32</v>
      </c>
      <c r="E2802" s="21" t="s">
        <v>10871</v>
      </c>
      <c r="F2802" s="21" t="s">
        <v>10872</v>
      </c>
      <c r="G2802" s="20" t="s">
        <v>35</v>
      </c>
      <c r="H2802" s="20" t="s">
        <v>25</v>
      </c>
      <c r="I2802" s="21" t="s">
        <v>10873</v>
      </c>
      <c r="J2802" s="22">
        <f t="shared" si="215"/>
        <v>7.97222222221899</v>
      </c>
      <c r="K2802" s="22">
        <f t="shared" si="216"/>
        <v>191.333333333256</v>
      </c>
      <c r="L2802" s="22">
        <f t="shared" si="217"/>
        <v>63.3333333332557</v>
      </c>
      <c r="M2802" s="22" cm="1">
        <f ca="1" t="array" ref="M2802">SUMPRODUCT(--(WEEKDAY(ROW(INDIRECT(INT(F2802)&amp;":"&amp;INT(I2802))),2)&gt;5))</f>
        <v>2</v>
      </c>
      <c r="N2802" s="22">
        <f ca="1" t="shared" si="218"/>
        <v>47.3333333332557</v>
      </c>
      <c r="O2802" s="22" t="str">
        <f ca="1" t="shared" si="219"/>
        <v>SLA Violated</v>
      </c>
      <c r="P2802" s="23" t="s">
        <v>10874</v>
      </c>
      <c r="Q2802" s="24" t="s">
        <v>37</v>
      </c>
      <c r="R2802" s="25" t="s">
        <v>10875</v>
      </c>
      <c r="S2802" s="25" t="s">
        <v>39</v>
      </c>
    </row>
    <row r="2803" ht="27" customHeight="1" spans="1:19">
      <c r="A2803" s="19" t="s">
        <v>10876</v>
      </c>
      <c r="B2803" s="20" t="s">
        <v>30</v>
      </c>
      <c r="C2803" s="20" t="s">
        <v>31</v>
      </c>
      <c r="D2803" s="20" t="s">
        <v>32</v>
      </c>
      <c r="E2803" s="21" t="s">
        <v>10871</v>
      </c>
      <c r="F2803" s="21" t="s">
        <v>10877</v>
      </c>
      <c r="G2803" s="20" t="s">
        <v>35</v>
      </c>
      <c r="H2803" s="20" t="s">
        <v>25</v>
      </c>
      <c r="I2803" s="21" t="s">
        <v>10878</v>
      </c>
      <c r="J2803" s="22">
        <f t="shared" si="215"/>
        <v>0.199305555557657</v>
      </c>
      <c r="K2803" s="22">
        <f t="shared" si="216"/>
        <v>4.78333333338378</v>
      </c>
      <c r="L2803" s="22">
        <f t="shared" si="217"/>
        <v>4.78333333338378</v>
      </c>
      <c r="M2803" s="22" cm="1">
        <f ca="1" t="array" ref="M2803">SUMPRODUCT(--(WEEKDAY(ROW(INDIRECT(INT(F2803)&amp;":"&amp;INT(I2803))),2)&gt;5))</f>
        <v>0</v>
      </c>
      <c r="N2803" s="22">
        <f ca="1" t="shared" si="218"/>
        <v>4.78333333338378</v>
      </c>
      <c r="O2803" s="22" t="str">
        <f ca="1" t="shared" si="219"/>
        <v>Within SLA</v>
      </c>
      <c r="P2803" s="26" t="s">
        <v>10876</v>
      </c>
      <c r="Q2803" s="24" t="s">
        <v>37</v>
      </c>
      <c r="R2803" s="25"/>
      <c r="S2803" s="25"/>
    </row>
    <row r="2804" ht="27" customHeight="1" spans="1:19">
      <c r="A2804" s="19" t="s">
        <v>10879</v>
      </c>
      <c r="B2804" s="20" t="s">
        <v>30</v>
      </c>
      <c r="C2804" s="20" t="s">
        <v>31</v>
      </c>
      <c r="D2804" s="20" t="s">
        <v>32</v>
      </c>
      <c r="E2804" s="21" t="s">
        <v>10878</v>
      </c>
      <c r="F2804" s="21" t="s">
        <v>10880</v>
      </c>
      <c r="G2804" s="20" t="s">
        <v>35</v>
      </c>
      <c r="H2804" s="20" t="s">
        <v>25</v>
      </c>
      <c r="I2804" s="21" t="s">
        <v>10881</v>
      </c>
      <c r="J2804" s="22">
        <f t="shared" si="215"/>
        <v>0.771527777775191</v>
      </c>
      <c r="K2804" s="22">
        <f t="shared" si="216"/>
        <v>18.5166666666046</v>
      </c>
      <c r="L2804" s="22">
        <f t="shared" si="217"/>
        <v>2.51666666660458</v>
      </c>
      <c r="M2804" s="22" cm="1">
        <f ca="1" t="array" ref="M2804">SUMPRODUCT(--(WEEKDAY(ROW(INDIRECT(INT(F2804)&amp;":"&amp;INT(I2804))),2)&gt;5))</f>
        <v>0</v>
      </c>
      <c r="N2804" s="22">
        <f ca="1" t="shared" si="218"/>
        <v>2.51666666660458</v>
      </c>
      <c r="O2804" s="22" t="str">
        <f ca="1" t="shared" si="219"/>
        <v>Within SLA</v>
      </c>
      <c r="P2804" s="26" t="s">
        <v>10879</v>
      </c>
      <c r="Q2804" s="24" t="s">
        <v>37</v>
      </c>
      <c r="R2804" s="25"/>
      <c r="S2804" s="25"/>
    </row>
    <row r="2805" ht="39" customHeight="1" spans="1:19">
      <c r="A2805" s="19" t="s">
        <v>10882</v>
      </c>
      <c r="B2805" s="20" t="s">
        <v>196</v>
      </c>
      <c r="C2805" s="20" t="s">
        <v>2057</v>
      </c>
      <c r="D2805" s="20" t="s">
        <v>21</v>
      </c>
      <c r="E2805" s="21" t="s">
        <v>10883</v>
      </c>
      <c r="F2805" s="21" t="s">
        <v>10884</v>
      </c>
      <c r="G2805" s="20" t="s">
        <v>35</v>
      </c>
      <c r="H2805" s="20" t="s">
        <v>25</v>
      </c>
      <c r="I2805" s="21" t="s">
        <v>10885</v>
      </c>
      <c r="J2805" s="22">
        <f t="shared" si="215"/>
        <v>7.96527777777374</v>
      </c>
      <c r="K2805" s="22">
        <f t="shared" si="216"/>
        <v>191.16666666657</v>
      </c>
      <c r="L2805" s="22">
        <f t="shared" si="217"/>
        <v>63.1666666665697</v>
      </c>
      <c r="M2805" s="22" cm="1">
        <f ca="1" t="array" ref="M2805">SUMPRODUCT(--(WEEKDAY(ROW(INDIRECT(INT(F2805)&amp;":"&amp;INT(I2805))),2)&gt;5))</f>
        <v>2</v>
      </c>
      <c r="N2805" s="22">
        <f ca="1" t="shared" si="218"/>
        <v>47.1666666665697</v>
      </c>
      <c r="O2805" s="22" t="str">
        <f ca="1" t="shared" si="219"/>
        <v>SLA Violated</v>
      </c>
      <c r="P2805" s="23" t="s">
        <v>10886</v>
      </c>
      <c r="Q2805" s="24" t="s">
        <v>28</v>
      </c>
      <c r="R2805" s="25"/>
      <c r="S2805" s="25"/>
    </row>
    <row r="2806" ht="27" customHeight="1" spans="1:19">
      <c r="A2806" s="19" t="s">
        <v>10887</v>
      </c>
      <c r="B2806" s="20" t="s">
        <v>30</v>
      </c>
      <c r="C2806" s="20" t="s">
        <v>31</v>
      </c>
      <c r="D2806" s="20" t="s">
        <v>32</v>
      </c>
      <c r="E2806" s="21" t="s">
        <v>10888</v>
      </c>
      <c r="F2806" s="21" t="s">
        <v>10889</v>
      </c>
      <c r="G2806" s="20" t="s">
        <v>35</v>
      </c>
      <c r="H2806" s="20" t="s">
        <v>25</v>
      </c>
      <c r="I2806" s="21" t="s">
        <v>10890</v>
      </c>
      <c r="J2806" s="22">
        <f t="shared" si="215"/>
        <v>0.181250000001455</v>
      </c>
      <c r="K2806" s="22">
        <f t="shared" si="216"/>
        <v>4.35000000003492</v>
      </c>
      <c r="L2806" s="22">
        <f t="shared" si="217"/>
        <v>4.35000000003492</v>
      </c>
      <c r="M2806" s="22" cm="1">
        <f ca="1" t="array" ref="M2806">SUMPRODUCT(--(WEEKDAY(ROW(INDIRECT(INT(F2806)&amp;":"&amp;INT(I2806))),2)&gt;5))</f>
        <v>0</v>
      </c>
      <c r="N2806" s="22">
        <f ca="1" t="shared" si="218"/>
        <v>4.35000000003492</v>
      </c>
      <c r="O2806" s="22" t="str">
        <f ca="1" t="shared" si="219"/>
        <v>Within SLA</v>
      </c>
      <c r="P2806" s="26" t="s">
        <v>10887</v>
      </c>
      <c r="Q2806" s="24" t="s">
        <v>37</v>
      </c>
      <c r="R2806" s="25"/>
      <c r="S2806" s="25"/>
    </row>
    <row r="2807" ht="39" customHeight="1" spans="1:19">
      <c r="A2807" s="19" t="s">
        <v>10891</v>
      </c>
      <c r="B2807" s="20" t="s">
        <v>19</v>
      </c>
      <c r="C2807" s="20" t="s">
        <v>20</v>
      </c>
      <c r="D2807" s="20" t="s">
        <v>32</v>
      </c>
      <c r="E2807" s="21" t="s">
        <v>10347</v>
      </c>
      <c r="F2807" s="21" t="s">
        <v>10892</v>
      </c>
      <c r="G2807" s="20" t="s">
        <v>35</v>
      </c>
      <c r="H2807" s="20" t="s">
        <v>25</v>
      </c>
      <c r="I2807" s="21" t="s">
        <v>10893</v>
      </c>
      <c r="J2807" s="22">
        <f t="shared" si="215"/>
        <v>0.922222222223354</v>
      </c>
      <c r="K2807" s="22">
        <f t="shared" si="216"/>
        <v>22.1333333333605</v>
      </c>
      <c r="L2807" s="22">
        <f t="shared" si="217"/>
        <v>6.1333333333605</v>
      </c>
      <c r="M2807" s="22" cm="1">
        <f ca="1" t="array" ref="M2807">SUMPRODUCT(--(WEEKDAY(ROW(INDIRECT(INT(F2807)&amp;":"&amp;INT(I2807))),2)&gt;5))</f>
        <v>0</v>
      </c>
      <c r="N2807" s="22">
        <f ca="1" t="shared" si="218"/>
        <v>6.1333333333605</v>
      </c>
      <c r="O2807" s="22" t="str">
        <f ca="1" t="shared" si="219"/>
        <v>Within SLA</v>
      </c>
      <c r="P2807" s="26" t="s">
        <v>10891</v>
      </c>
      <c r="Q2807" s="24" t="s">
        <v>37</v>
      </c>
      <c r="R2807" s="25"/>
      <c r="S2807" s="25"/>
    </row>
    <row r="2808" ht="27" customHeight="1" spans="1:19">
      <c r="A2808" s="19" t="s">
        <v>10894</v>
      </c>
      <c r="B2808" s="20" t="s">
        <v>30</v>
      </c>
      <c r="C2808" s="20" t="s">
        <v>31</v>
      </c>
      <c r="D2808" s="20" t="s">
        <v>32</v>
      </c>
      <c r="E2808" s="21" t="s">
        <v>10572</v>
      </c>
      <c r="F2808" s="21" t="s">
        <v>10895</v>
      </c>
      <c r="G2808" s="20" t="s">
        <v>35</v>
      </c>
      <c r="H2808" s="20" t="s">
        <v>25</v>
      </c>
      <c r="I2808" s="21" t="s">
        <v>10893</v>
      </c>
      <c r="J2808" s="22">
        <f t="shared" si="215"/>
        <v>0.245833333334303</v>
      </c>
      <c r="K2808" s="22">
        <f t="shared" si="216"/>
        <v>5.90000000002328</v>
      </c>
      <c r="L2808" s="22">
        <f t="shared" si="217"/>
        <v>5.90000000002328</v>
      </c>
      <c r="M2808" s="22" cm="1">
        <f ca="1" t="array" ref="M2808">SUMPRODUCT(--(WEEKDAY(ROW(INDIRECT(INT(F2808)&amp;":"&amp;INT(I2808))),2)&gt;5))</f>
        <v>0</v>
      </c>
      <c r="N2808" s="22">
        <f ca="1" t="shared" si="218"/>
        <v>5.90000000002328</v>
      </c>
      <c r="O2808" s="22" t="str">
        <f ca="1" t="shared" si="219"/>
        <v>Within SLA</v>
      </c>
      <c r="P2808" s="26" t="s">
        <v>10894</v>
      </c>
      <c r="Q2808" s="24" t="s">
        <v>37</v>
      </c>
      <c r="R2808" s="25"/>
      <c r="S2808" s="25"/>
    </row>
    <row r="2809" ht="27" customHeight="1" spans="1:19">
      <c r="A2809" s="19" t="s">
        <v>10896</v>
      </c>
      <c r="B2809" s="20" t="s">
        <v>30</v>
      </c>
      <c r="C2809" s="20" t="s">
        <v>31</v>
      </c>
      <c r="D2809" s="20" t="s">
        <v>32</v>
      </c>
      <c r="E2809" s="21" t="s">
        <v>10897</v>
      </c>
      <c r="F2809" s="21" t="s">
        <v>10898</v>
      </c>
      <c r="G2809" s="20" t="s">
        <v>35</v>
      </c>
      <c r="H2809" s="20" t="s">
        <v>25</v>
      </c>
      <c r="I2809" s="21" t="s">
        <v>10899</v>
      </c>
      <c r="J2809" s="22">
        <f t="shared" si="215"/>
        <v>0.261111111110949</v>
      </c>
      <c r="K2809" s="22">
        <f t="shared" si="216"/>
        <v>6.26666666666279</v>
      </c>
      <c r="L2809" s="22">
        <f t="shared" si="217"/>
        <v>6.26666666666279</v>
      </c>
      <c r="M2809" s="22" cm="1">
        <f ca="1" t="array" ref="M2809">SUMPRODUCT(--(WEEKDAY(ROW(INDIRECT(INT(F2809)&amp;":"&amp;INT(I2809))),2)&gt;5))</f>
        <v>0</v>
      </c>
      <c r="N2809" s="22">
        <f ca="1" t="shared" si="218"/>
        <v>6.26666666666279</v>
      </c>
      <c r="O2809" s="22" t="str">
        <f ca="1" t="shared" si="219"/>
        <v>Within SLA</v>
      </c>
      <c r="P2809" s="26" t="s">
        <v>10896</v>
      </c>
      <c r="Q2809" s="24" t="s">
        <v>37</v>
      </c>
      <c r="R2809" s="25"/>
      <c r="S2809" s="25"/>
    </row>
    <row r="2810" ht="27" customHeight="1" spans="1:19">
      <c r="A2810" s="19" t="s">
        <v>10900</v>
      </c>
      <c r="B2810" s="20" t="s">
        <v>30</v>
      </c>
      <c r="C2810" s="20" t="s">
        <v>31</v>
      </c>
      <c r="D2810" s="20" t="s">
        <v>32</v>
      </c>
      <c r="E2810" s="21" t="s">
        <v>10901</v>
      </c>
      <c r="F2810" s="21" t="s">
        <v>10902</v>
      </c>
      <c r="G2810" s="20" t="s">
        <v>35</v>
      </c>
      <c r="H2810" s="20" t="s">
        <v>25</v>
      </c>
      <c r="I2810" s="21" t="s">
        <v>10903</v>
      </c>
      <c r="J2810" s="22">
        <f t="shared" si="215"/>
        <v>0.104166666671517</v>
      </c>
      <c r="K2810" s="22">
        <f t="shared" si="216"/>
        <v>2.50000000011642</v>
      </c>
      <c r="L2810" s="22">
        <f t="shared" si="217"/>
        <v>2.50000000011642</v>
      </c>
      <c r="M2810" s="22" cm="1">
        <f ca="1" t="array" ref="M2810">SUMPRODUCT(--(WEEKDAY(ROW(INDIRECT(INT(F2810)&amp;":"&amp;INT(I2810))),2)&gt;5))</f>
        <v>0</v>
      </c>
      <c r="N2810" s="22">
        <f ca="1" t="shared" si="218"/>
        <v>2.50000000011642</v>
      </c>
      <c r="O2810" s="22" t="str">
        <f ca="1" t="shared" si="219"/>
        <v>Within SLA</v>
      </c>
      <c r="P2810" s="26" t="s">
        <v>10900</v>
      </c>
      <c r="Q2810" s="24" t="s">
        <v>37</v>
      </c>
      <c r="R2810" s="25"/>
      <c r="S2810" s="25"/>
    </row>
    <row r="2811" ht="27" customHeight="1" spans="1:19">
      <c r="A2811" s="19" t="s">
        <v>10904</v>
      </c>
      <c r="B2811" s="20" t="s">
        <v>30</v>
      </c>
      <c r="C2811" s="20" t="s">
        <v>31</v>
      </c>
      <c r="D2811" s="20" t="s">
        <v>32</v>
      </c>
      <c r="E2811" s="21" t="s">
        <v>10905</v>
      </c>
      <c r="F2811" s="21" t="s">
        <v>10906</v>
      </c>
      <c r="G2811" s="20" t="s">
        <v>35</v>
      </c>
      <c r="H2811" s="20" t="s">
        <v>25</v>
      </c>
      <c r="I2811" s="21" t="s">
        <v>10907</v>
      </c>
      <c r="J2811" s="22">
        <f t="shared" si="215"/>
        <v>0.0659722222189885</v>
      </c>
      <c r="K2811" s="22">
        <f t="shared" si="216"/>
        <v>1.58333333325572</v>
      </c>
      <c r="L2811" s="22">
        <f t="shared" si="217"/>
        <v>1.58333333325572</v>
      </c>
      <c r="M2811" s="22" cm="1">
        <f ca="1" t="array" ref="M2811">SUMPRODUCT(--(WEEKDAY(ROW(INDIRECT(INT(F2811)&amp;":"&amp;INT(I2811))),2)&gt;5))</f>
        <v>0</v>
      </c>
      <c r="N2811" s="22">
        <f ca="1" t="shared" si="218"/>
        <v>1.58333333325572</v>
      </c>
      <c r="O2811" s="22" t="str">
        <f ca="1" t="shared" si="219"/>
        <v>Within SLA</v>
      </c>
      <c r="P2811" s="26" t="s">
        <v>10904</v>
      </c>
      <c r="Q2811" s="24" t="s">
        <v>37</v>
      </c>
      <c r="R2811" s="25"/>
      <c r="S2811" s="25"/>
    </row>
    <row r="2812" ht="27" customHeight="1" spans="1:19">
      <c r="A2812" s="19" t="s">
        <v>10908</v>
      </c>
      <c r="B2812" s="20" t="s">
        <v>30</v>
      </c>
      <c r="C2812" s="20" t="s">
        <v>31</v>
      </c>
      <c r="D2812" s="20" t="s">
        <v>32</v>
      </c>
      <c r="E2812" s="21" t="s">
        <v>8119</v>
      </c>
      <c r="F2812" s="21" t="s">
        <v>10741</v>
      </c>
      <c r="G2812" s="20" t="s">
        <v>35</v>
      </c>
      <c r="H2812" s="20" t="s">
        <v>25</v>
      </c>
      <c r="I2812" s="21" t="s">
        <v>10909</v>
      </c>
      <c r="J2812" s="22">
        <f t="shared" si="215"/>
        <v>1.1027777777781</v>
      </c>
      <c r="K2812" s="22">
        <f t="shared" si="216"/>
        <v>26.4666666666744</v>
      </c>
      <c r="L2812" s="22">
        <f t="shared" si="217"/>
        <v>10.4666666666744</v>
      </c>
      <c r="M2812" s="22" cm="1">
        <f ca="1" t="array" ref="M2812">SUMPRODUCT(--(WEEKDAY(ROW(INDIRECT(INT(F2812)&amp;":"&amp;INT(I2812))),2)&gt;5))</f>
        <v>0</v>
      </c>
      <c r="N2812" s="22">
        <f ca="1" t="shared" si="218"/>
        <v>10.4666666666744</v>
      </c>
      <c r="O2812" s="22" t="str">
        <f ca="1" t="shared" si="219"/>
        <v>Within SLA</v>
      </c>
      <c r="P2812" s="26" t="s">
        <v>10908</v>
      </c>
      <c r="Q2812" s="24" t="s">
        <v>37</v>
      </c>
      <c r="R2812" s="25"/>
      <c r="S2812" s="25"/>
    </row>
    <row r="2813" ht="27" customHeight="1" spans="1:19">
      <c r="A2813" s="19" t="s">
        <v>10910</v>
      </c>
      <c r="B2813" s="20" t="s">
        <v>1047</v>
      </c>
      <c r="C2813" s="20" t="s">
        <v>849</v>
      </c>
      <c r="D2813" s="20" t="s">
        <v>32</v>
      </c>
      <c r="E2813" s="21" t="s">
        <v>10911</v>
      </c>
      <c r="F2813" s="21" t="s">
        <v>10912</v>
      </c>
      <c r="G2813" s="20" t="s">
        <v>35</v>
      </c>
      <c r="H2813" s="20" t="s">
        <v>25</v>
      </c>
      <c r="I2813" s="21" t="s">
        <v>10913</v>
      </c>
      <c r="J2813" s="22">
        <f t="shared" si="215"/>
        <v>17.9298611111153</v>
      </c>
      <c r="K2813" s="22">
        <f t="shared" si="216"/>
        <v>430.316666666768</v>
      </c>
      <c r="L2813" s="22">
        <f t="shared" si="217"/>
        <v>142.316666666768</v>
      </c>
      <c r="M2813" s="22" cm="1">
        <f ca="1" t="array" ref="M2813">SUMPRODUCT(--(WEEKDAY(ROW(INDIRECT(INT(F2813)&amp;":"&amp;INT(I2813))),2)&gt;5))</f>
        <v>4</v>
      </c>
      <c r="N2813" s="22">
        <f ca="1" t="shared" si="218"/>
        <v>110.316666666768</v>
      </c>
      <c r="O2813" s="22" t="str">
        <f ca="1" t="shared" si="219"/>
        <v>SLA Violated</v>
      </c>
      <c r="P2813" s="23" t="s">
        <v>10914</v>
      </c>
      <c r="Q2813" s="24" t="s">
        <v>28</v>
      </c>
      <c r="R2813" s="25"/>
      <c r="S2813" s="25"/>
    </row>
    <row r="2814" ht="39" customHeight="1" spans="1:19">
      <c r="A2814" s="19" t="s">
        <v>10915</v>
      </c>
      <c r="B2814" s="20" t="s">
        <v>19</v>
      </c>
      <c r="C2814" s="20" t="s">
        <v>20</v>
      </c>
      <c r="D2814" s="20" t="s">
        <v>32</v>
      </c>
      <c r="E2814" s="21" t="s">
        <v>10916</v>
      </c>
      <c r="F2814" s="21" t="s">
        <v>10794</v>
      </c>
      <c r="G2814" s="20" t="s">
        <v>35</v>
      </c>
      <c r="H2814" s="20" t="s">
        <v>25</v>
      </c>
      <c r="I2814" s="21" t="s">
        <v>10917</v>
      </c>
      <c r="J2814" s="22">
        <f t="shared" si="215"/>
        <v>0.0743055555503815</v>
      </c>
      <c r="K2814" s="22">
        <f t="shared" si="216"/>
        <v>1.78333333320916</v>
      </c>
      <c r="L2814" s="22">
        <f t="shared" si="217"/>
        <v>1.78333333320916</v>
      </c>
      <c r="M2814" s="22" cm="1">
        <f ca="1" t="array" ref="M2814">SUMPRODUCT(--(WEEKDAY(ROW(INDIRECT(INT(F2814)&amp;":"&amp;INT(I2814))),2)&gt;5))</f>
        <v>0</v>
      </c>
      <c r="N2814" s="22">
        <f ca="1" t="shared" si="218"/>
        <v>1.78333333320916</v>
      </c>
      <c r="O2814" s="22" t="str">
        <f ca="1" t="shared" si="219"/>
        <v>Within SLA</v>
      </c>
      <c r="P2814" s="26" t="s">
        <v>10915</v>
      </c>
      <c r="Q2814" s="24" t="s">
        <v>37</v>
      </c>
      <c r="R2814" s="25"/>
      <c r="S2814" s="25"/>
    </row>
    <row r="2815" ht="27" customHeight="1" spans="1:19">
      <c r="A2815" s="19" t="s">
        <v>10918</v>
      </c>
      <c r="B2815" s="20" t="s">
        <v>30</v>
      </c>
      <c r="C2815" s="20" t="s">
        <v>31</v>
      </c>
      <c r="D2815" s="20" t="s">
        <v>32</v>
      </c>
      <c r="E2815" s="21" t="s">
        <v>10919</v>
      </c>
      <c r="F2815" s="21" t="s">
        <v>10920</v>
      </c>
      <c r="G2815" s="20" t="s">
        <v>35</v>
      </c>
      <c r="H2815" s="20" t="s">
        <v>25</v>
      </c>
      <c r="I2815" s="21" t="s">
        <v>10921</v>
      </c>
      <c r="J2815" s="22">
        <f t="shared" si="215"/>
        <v>0.0881944444408873</v>
      </c>
      <c r="K2815" s="22">
        <f t="shared" si="216"/>
        <v>2.1166666665813</v>
      </c>
      <c r="L2815" s="22">
        <f t="shared" si="217"/>
        <v>2.1166666665813</v>
      </c>
      <c r="M2815" s="22" cm="1">
        <f ca="1" t="array" ref="M2815">SUMPRODUCT(--(WEEKDAY(ROW(INDIRECT(INT(F2815)&amp;":"&amp;INT(I2815))),2)&gt;5))</f>
        <v>0</v>
      </c>
      <c r="N2815" s="22">
        <f ca="1" t="shared" si="218"/>
        <v>2.1166666665813</v>
      </c>
      <c r="O2815" s="22" t="str">
        <f ca="1" t="shared" si="219"/>
        <v>Within SLA</v>
      </c>
      <c r="P2815" s="26" t="s">
        <v>10918</v>
      </c>
      <c r="Q2815" s="24" t="s">
        <v>37</v>
      </c>
      <c r="R2815" s="25"/>
      <c r="S2815" s="25"/>
    </row>
    <row r="2816" ht="39" customHeight="1" spans="1:19">
      <c r="A2816" s="19" t="s">
        <v>10922</v>
      </c>
      <c r="B2816" s="20" t="s">
        <v>19</v>
      </c>
      <c r="C2816" s="20" t="s">
        <v>20</v>
      </c>
      <c r="D2816" s="20" t="s">
        <v>32</v>
      </c>
      <c r="E2816" s="21" t="s">
        <v>10923</v>
      </c>
      <c r="F2816" s="21" t="s">
        <v>10924</v>
      </c>
      <c r="G2816" s="20" t="s">
        <v>35</v>
      </c>
      <c r="H2816" s="20" t="s">
        <v>25</v>
      </c>
      <c r="I2816" s="21" t="s">
        <v>10925</v>
      </c>
      <c r="J2816" s="22">
        <f t="shared" si="215"/>
        <v>0.0576388888875954</v>
      </c>
      <c r="K2816" s="22">
        <f t="shared" si="216"/>
        <v>1.38333333330229</v>
      </c>
      <c r="L2816" s="22">
        <f t="shared" si="217"/>
        <v>1.38333333330229</v>
      </c>
      <c r="M2816" s="22" cm="1">
        <f ca="1" t="array" ref="M2816">SUMPRODUCT(--(WEEKDAY(ROW(INDIRECT(INT(F2816)&amp;":"&amp;INT(I2816))),2)&gt;5))</f>
        <v>0</v>
      </c>
      <c r="N2816" s="22">
        <f ca="1" t="shared" si="218"/>
        <v>1.38333333330229</v>
      </c>
      <c r="O2816" s="22" t="str">
        <f ca="1" t="shared" si="219"/>
        <v>Within SLA</v>
      </c>
      <c r="P2816" s="26" t="s">
        <v>10922</v>
      </c>
      <c r="Q2816" s="24" t="s">
        <v>37</v>
      </c>
      <c r="R2816" s="25"/>
      <c r="S2816" s="25"/>
    </row>
    <row r="2817" ht="39" customHeight="1" spans="1:19">
      <c r="A2817" s="19" t="s">
        <v>10926</v>
      </c>
      <c r="B2817" s="20" t="s">
        <v>19</v>
      </c>
      <c r="C2817" s="20" t="s">
        <v>20</v>
      </c>
      <c r="D2817" s="20" t="s">
        <v>32</v>
      </c>
      <c r="E2817" s="21" t="s">
        <v>10927</v>
      </c>
      <c r="F2817" s="21" t="s">
        <v>10928</v>
      </c>
      <c r="G2817" s="20" t="s">
        <v>35</v>
      </c>
      <c r="H2817" s="20" t="s">
        <v>25</v>
      </c>
      <c r="I2817" s="21" t="s">
        <v>10929</v>
      </c>
      <c r="J2817" s="22">
        <f t="shared" si="215"/>
        <v>7.96875</v>
      </c>
      <c r="K2817" s="22">
        <f t="shared" si="216"/>
        <v>191.25</v>
      </c>
      <c r="L2817" s="22">
        <f t="shared" si="217"/>
        <v>63.25</v>
      </c>
      <c r="M2817" s="22" cm="1">
        <f ca="1" t="array" ref="M2817">SUMPRODUCT(--(WEEKDAY(ROW(INDIRECT(INT(F2817)&amp;":"&amp;INT(I2817))),2)&gt;5))</f>
        <v>2</v>
      </c>
      <c r="N2817" s="22">
        <f ca="1" t="shared" si="218"/>
        <v>47.25</v>
      </c>
      <c r="O2817" s="22" t="str">
        <f ca="1" t="shared" si="219"/>
        <v>SLA Violated</v>
      </c>
      <c r="P2817" s="23" t="s">
        <v>10930</v>
      </c>
      <c r="Q2817" s="24" t="s">
        <v>37</v>
      </c>
      <c r="R2817" s="25" t="s">
        <v>38</v>
      </c>
      <c r="S2817" s="25" t="s">
        <v>39</v>
      </c>
    </row>
    <row r="2818" ht="39" customHeight="1" spans="1:19">
      <c r="A2818" s="19" t="s">
        <v>10931</v>
      </c>
      <c r="B2818" s="20" t="s">
        <v>196</v>
      </c>
      <c r="C2818" s="20" t="s">
        <v>46</v>
      </c>
      <c r="D2818" s="20" t="s">
        <v>21</v>
      </c>
      <c r="E2818" s="21" t="s">
        <v>9880</v>
      </c>
      <c r="F2818" s="21" t="s">
        <v>10932</v>
      </c>
      <c r="G2818" s="20" t="s">
        <v>35</v>
      </c>
      <c r="H2818" s="20" t="s">
        <v>25</v>
      </c>
      <c r="I2818" s="21" t="s">
        <v>10933</v>
      </c>
      <c r="J2818" s="22">
        <f t="shared" si="215"/>
        <v>0.0409722222175333</v>
      </c>
      <c r="K2818" s="22">
        <f t="shared" si="216"/>
        <v>0.983333333220799</v>
      </c>
      <c r="L2818" s="22">
        <f t="shared" si="217"/>
        <v>0.983333333220799</v>
      </c>
      <c r="M2818" s="22" cm="1">
        <f ca="1" t="array" ref="M2818">SUMPRODUCT(--(WEEKDAY(ROW(INDIRECT(INT(F2818)&amp;":"&amp;INT(I2818))),2)&gt;5))</f>
        <v>0</v>
      </c>
      <c r="N2818" s="22">
        <f ca="1" t="shared" si="218"/>
        <v>0.983333333220799</v>
      </c>
      <c r="O2818" s="22" t="str">
        <f ca="1" t="shared" si="219"/>
        <v>Within SLA</v>
      </c>
      <c r="P2818" s="26" t="s">
        <v>10931</v>
      </c>
      <c r="Q2818" s="24" t="s">
        <v>37</v>
      </c>
      <c r="R2818" s="25"/>
      <c r="S2818" s="25"/>
    </row>
    <row r="2819" ht="27" customHeight="1" spans="1:19">
      <c r="A2819" s="19" t="s">
        <v>10934</v>
      </c>
      <c r="B2819" s="20" t="s">
        <v>30</v>
      </c>
      <c r="C2819" s="20" t="s">
        <v>31</v>
      </c>
      <c r="D2819" s="20" t="s">
        <v>32</v>
      </c>
      <c r="E2819" s="21" t="s">
        <v>10935</v>
      </c>
      <c r="F2819" s="21" t="s">
        <v>10895</v>
      </c>
      <c r="G2819" s="20" t="s">
        <v>35</v>
      </c>
      <c r="H2819" s="20" t="s">
        <v>25</v>
      </c>
      <c r="I2819" s="21" t="s">
        <v>10936</v>
      </c>
      <c r="J2819" s="22">
        <f t="shared" ref="J2819:J2882" si="220">F2819-I2819</f>
        <v>0.114583333335759</v>
      </c>
      <c r="K2819" s="22">
        <f t="shared" ref="K2819:K2882" si="221">J2819*24</f>
        <v>2.75000000005821</v>
      </c>
      <c r="L2819" s="22">
        <f t="shared" ref="L2819:L2882" si="222">IF(_xlfn.DAYS(F2819,I2819)&gt;0,K2819-IF(FLOOR(J2819,1)=0,1,_xlfn.DAYS(F2819,I2819))*16,K2819)</f>
        <v>2.75000000005821</v>
      </c>
      <c r="M2819" s="22" cm="1">
        <f ca="1" t="array" ref="M2819">SUMPRODUCT(--(WEEKDAY(ROW(INDIRECT(INT(F2819)&amp;":"&amp;INT(I2819))),2)&gt;5))</f>
        <v>0</v>
      </c>
      <c r="N2819" s="22">
        <f ca="1" t="shared" ref="N2819:N2882" si="223">IF(IF(M2819&gt;0,L2819-M2819*8,L2819)&lt;0,0,IF(M2819&gt;0,L2819-M2819*8,L2819))</f>
        <v>2.75000000005821</v>
      </c>
      <c r="O2819" s="22" t="str">
        <f ca="1" t="shared" ref="O2819:O2882" si="224">IF(OR(AND(D2819="P1",N2819&lt;=3),AND(D2819="P2",N2819&lt;=6),AND(D2819="P3",N2819&lt;=9),AND(D2819="P4",N2819&lt;=12)),"Within SLA","SLA Violated")</f>
        <v>Within SLA</v>
      </c>
      <c r="P2819" s="26" t="s">
        <v>10934</v>
      </c>
      <c r="Q2819" s="24" t="s">
        <v>37</v>
      </c>
      <c r="R2819" s="25"/>
      <c r="S2819" s="25"/>
    </row>
    <row r="2820" ht="16" customHeight="1" spans="1:19">
      <c r="A2820" s="19" t="s">
        <v>10937</v>
      </c>
      <c r="B2820" s="20" t="s">
        <v>100</v>
      </c>
      <c r="C2820" s="20" t="s">
        <v>849</v>
      </c>
      <c r="D2820" s="20" t="s">
        <v>32</v>
      </c>
      <c r="E2820" s="21" t="s">
        <v>10935</v>
      </c>
      <c r="F2820" s="21" t="s">
        <v>10938</v>
      </c>
      <c r="G2820" s="20" t="s">
        <v>35</v>
      </c>
      <c r="H2820" s="20" t="s">
        <v>25</v>
      </c>
      <c r="I2820" s="21" t="s">
        <v>10939</v>
      </c>
      <c r="J2820" s="22">
        <f t="shared" si="220"/>
        <v>10.8541666666642</v>
      </c>
      <c r="K2820" s="22">
        <f t="shared" si="221"/>
        <v>260.499999999942</v>
      </c>
      <c r="L2820" s="22">
        <f t="shared" si="222"/>
        <v>84.4999999999418</v>
      </c>
      <c r="M2820" s="22" cm="1">
        <f ca="1" t="array" ref="M2820">SUMPRODUCT(--(WEEKDAY(ROW(INDIRECT(INT(F2820)&amp;":"&amp;INT(I2820))),2)&gt;5))</f>
        <v>2</v>
      </c>
      <c r="N2820" s="22">
        <f ca="1" t="shared" si="223"/>
        <v>68.4999999999418</v>
      </c>
      <c r="O2820" s="22" t="str">
        <f ca="1" t="shared" si="224"/>
        <v>SLA Violated</v>
      </c>
      <c r="P2820" s="23" t="s">
        <v>10940</v>
      </c>
      <c r="Q2820" s="24" t="s">
        <v>28</v>
      </c>
      <c r="R2820" s="25"/>
      <c r="S2820" s="25"/>
    </row>
    <row r="2821" ht="39" customHeight="1" spans="1:19">
      <c r="A2821" s="19" t="s">
        <v>10941</v>
      </c>
      <c r="B2821" s="20" t="s">
        <v>19</v>
      </c>
      <c r="C2821" s="20" t="s">
        <v>167</v>
      </c>
      <c r="D2821" s="20" t="s">
        <v>32</v>
      </c>
      <c r="E2821" s="21" t="s">
        <v>10864</v>
      </c>
      <c r="F2821" s="21" t="s">
        <v>10942</v>
      </c>
      <c r="G2821" s="20" t="s">
        <v>35</v>
      </c>
      <c r="H2821" s="20" t="s">
        <v>25</v>
      </c>
      <c r="I2821" s="21" t="s">
        <v>10943</v>
      </c>
      <c r="J2821" s="22">
        <f t="shared" si="220"/>
        <v>0.0854166666686069</v>
      </c>
      <c r="K2821" s="22">
        <f t="shared" si="221"/>
        <v>2.05000000004657</v>
      </c>
      <c r="L2821" s="22">
        <f t="shared" si="222"/>
        <v>2.05000000004657</v>
      </c>
      <c r="M2821" s="22" cm="1">
        <f ca="1" t="array" ref="M2821">SUMPRODUCT(--(WEEKDAY(ROW(INDIRECT(INT(F2821)&amp;":"&amp;INT(I2821))),2)&gt;5))</f>
        <v>0</v>
      </c>
      <c r="N2821" s="22">
        <f ca="1" t="shared" si="223"/>
        <v>2.05000000004657</v>
      </c>
      <c r="O2821" s="22" t="str">
        <f ca="1" t="shared" si="224"/>
        <v>Within SLA</v>
      </c>
      <c r="P2821" s="26" t="s">
        <v>10941</v>
      </c>
      <c r="Q2821" s="24" t="s">
        <v>37</v>
      </c>
      <c r="R2821" s="25"/>
      <c r="S2821" s="25"/>
    </row>
    <row r="2822" ht="27" customHeight="1" spans="1:19">
      <c r="A2822" s="19" t="s">
        <v>10944</v>
      </c>
      <c r="B2822" s="20" t="s">
        <v>139</v>
      </c>
      <c r="C2822" s="20" t="s">
        <v>849</v>
      </c>
      <c r="D2822" s="20" t="s">
        <v>32</v>
      </c>
      <c r="E2822" s="21" t="s">
        <v>10945</v>
      </c>
      <c r="F2822" s="21" t="s">
        <v>10946</v>
      </c>
      <c r="G2822" s="20" t="s">
        <v>35</v>
      </c>
      <c r="H2822" s="20" t="s">
        <v>25</v>
      </c>
      <c r="I2822" s="21" t="s">
        <v>10947</v>
      </c>
      <c r="J2822" s="22">
        <f t="shared" si="220"/>
        <v>17.8458333333328</v>
      </c>
      <c r="K2822" s="22">
        <f t="shared" si="221"/>
        <v>428.299999999988</v>
      </c>
      <c r="L2822" s="22">
        <f t="shared" si="222"/>
        <v>140.299999999988</v>
      </c>
      <c r="M2822" s="22" cm="1">
        <f ca="1" t="array" ref="M2822">SUMPRODUCT(--(WEEKDAY(ROW(INDIRECT(INT(F2822)&amp;":"&amp;INT(I2822))),2)&gt;5))</f>
        <v>4</v>
      </c>
      <c r="N2822" s="22">
        <f ca="1" t="shared" si="223"/>
        <v>108.299999999988</v>
      </c>
      <c r="O2822" s="22" t="str">
        <f ca="1" t="shared" si="224"/>
        <v>SLA Violated</v>
      </c>
      <c r="P2822" s="23" t="s">
        <v>10948</v>
      </c>
      <c r="Q2822" s="24" t="s">
        <v>28</v>
      </c>
      <c r="R2822" s="25"/>
      <c r="S2822" s="25"/>
    </row>
    <row r="2823" ht="27" customHeight="1" spans="1:19">
      <c r="A2823" s="19" t="s">
        <v>10949</v>
      </c>
      <c r="B2823" s="20" t="s">
        <v>30</v>
      </c>
      <c r="C2823" s="20" t="s">
        <v>31</v>
      </c>
      <c r="D2823" s="20" t="s">
        <v>32</v>
      </c>
      <c r="E2823" s="21" t="s">
        <v>10950</v>
      </c>
      <c r="F2823" s="21" t="s">
        <v>10951</v>
      </c>
      <c r="G2823" s="20" t="s">
        <v>35</v>
      </c>
      <c r="H2823" s="20" t="s">
        <v>25</v>
      </c>
      <c r="I2823" s="21" t="s">
        <v>10952</v>
      </c>
      <c r="J2823" s="22">
        <f t="shared" si="220"/>
        <v>0.077777777776646</v>
      </c>
      <c r="K2823" s="22">
        <f t="shared" si="221"/>
        <v>1.8666666666395</v>
      </c>
      <c r="L2823" s="22">
        <f t="shared" si="222"/>
        <v>1.8666666666395</v>
      </c>
      <c r="M2823" s="22" cm="1">
        <f ca="1" t="array" ref="M2823">SUMPRODUCT(--(WEEKDAY(ROW(INDIRECT(INT(F2823)&amp;":"&amp;INT(I2823))),2)&gt;5))</f>
        <v>0</v>
      </c>
      <c r="N2823" s="22">
        <f ca="1" t="shared" si="223"/>
        <v>1.8666666666395</v>
      </c>
      <c r="O2823" s="22" t="str">
        <f ca="1" t="shared" si="224"/>
        <v>Within SLA</v>
      </c>
      <c r="P2823" s="26" t="s">
        <v>10949</v>
      </c>
      <c r="Q2823" s="24" t="s">
        <v>37</v>
      </c>
      <c r="R2823" s="25"/>
      <c r="S2823" s="25"/>
    </row>
    <row r="2824" ht="39" customHeight="1" spans="1:19">
      <c r="A2824" s="19" t="s">
        <v>10953</v>
      </c>
      <c r="B2824" s="20" t="s">
        <v>196</v>
      </c>
      <c r="C2824" s="20" t="s">
        <v>46</v>
      </c>
      <c r="D2824" s="20" t="s">
        <v>21</v>
      </c>
      <c r="E2824" s="21" t="s">
        <v>10954</v>
      </c>
      <c r="F2824" s="21" t="s">
        <v>10955</v>
      </c>
      <c r="G2824" s="20" t="s">
        <v>35</v>
      </c>
      <c r="H2824" s="20" t="s">
        <v>25</v>
      </c>
      <c r="I2824" s="21" t="s">
        <v>10956</v>
      </c>
      <c r="J2824" s="22">
        <f t="shared" si="220"/>
        <v>0.015277777776646</v>
      </c>
      <c r="K2824" s="22">
        <f t="shared" si="221"/>
        <v>0.366666666639503</v>
      </c>
      <c r="L2824" s="22">
        <f t="shared" si="222"/>
        <v>0.366666666639503</v>
      </c>
      <c r="M2824" s="22" cm="1">
        <f ca="1" t="array" ref="M2824">SUMPRODUCT(--(WEEKDAY(ROW(INDIRECT(INT(F2824)&amp;":"&amp;INT(I2824))),2)&gt;5))</f>
        <v>0</v>
      </c>
      <c r="N2824" s="22">
        <f ca="1" t="shared" si="223"/>
        <v>0.366666666639503</v>
      </c>
      <c r="O2824" s="22" t="str">
        <f ca="1" t="shared" si="224"/>
        <v>Within SLA</v>
      </c>
      <c r="P2824" s="26" t="s">
        <v>10953</v>
      </c>
      <c r="Q2824" s="24" t="s">
        <v>37</v>
      </c>
      <c r="R2824" s="25"/>
      <c r="S2824" s="25"/>
    </row>
    <row r="2825" ht="39" customHeight="1" spans="1:19">
      <c r="A2825" s="19" t="s">
        <v>10957</v>
      </c>
      <c r="B2825" s="20" t="s">
        <v>19</v>
      </c>
      <c r="C2825" s="20" t="s">
        <v>20</v>
      </c>
      <c r="D2825" s="20" t="s">
        <v>32</v>
      </c>
      <c r="E2825" s="21" t="s">
        <v>10954</v>
      </c>
      <c r="F2825" s="21" t="s">
        <v>10958</v>
      </c>
      <c r="G2825" s="20" t="s">
        <v>35</v>
      </c>
      <c r="H2825" s="20" t="s">
        <v>25</v>
      </c>
      <c r="I2825" s="21" t="s">
        <v>10959</v>
      </c>
      <c r="J2825" s="22">
        <f t="shared" si="220"/>
        <v>0.00763888889196096</v>
      </c>
      <c r="K2825" s="22">
        <f t="shared" si="221"/>
        <v>0.183333333407063</v>
      </c>
      <c r="L2825" s="22">
        <f t="shared" si="222"/>
        <v>0.183333333407063</v>
      </c>
      <c r="M2825" s="22" cm="1">
        <f ca="1" t="array" ref="M2825">SUMPRODUCT(--(WEEKDAY(ROW(INDIRECT(INT(F2825)&amp;":"&amp;INT(I2825))),2)&gt;5))</f>
        <v>0</v>
      </c>
      <c r="N2825" s="22">
        <f ca="1" t="shared" si="223"/>
        <v>0.183333333407063</v>
      </c>
      <c r="O2825" s="22" t="str">
        <f ca="1" t="shared" si="224"/>
        <v>Within SLA</v>
      </c>
      <c r="P2825" s="26" t="s">
        <v>10957</v>
      </c>
      <c r="Q2825" s="24" t="s">
        <v>37</v>
      </c>
      <c r="R2825" s="25"/>
      <c r="S2825" s="25"/>
    </row>
    <row r="2826" ht="27" customHeight="1" spans="1:19">
      <c r="A2826" s="19" t="s">
        <v>10960</v>
      </c>
      <c r="B2826" s="20" t="s">
        <v>1047</v>
      </c>
      <c r="C2826" s="20" t="s">
        <v>849</v>
      </c>
      <c r="D2826" s="20" t="s">
        <v>105</v>
      </c>
      <c r="E2826" s="21" t="s">
        <v>10961</v>
      </c>
      <c r="F2826" s="21" t="s">
        <v>10962</v>
      </c>
      <c r="G2826" s="20" t="s">
        <v>35</v>
      </c>
      <c r="H2826" s="20" t="s">
        <v>25</v>
      </c>
      <c r="I2826" s="21" t="s">
        <v>10963</v>
      </c>
      <c r="J2826" s="22">
        <f t="shared" si="220"/>
        <v>10.7895833333387</v>
      </c>
      <c r="K2826" s="22">
        <f t="shared" si="221"/>
        <v>258.950000000128</v>
      </c>
      <c r="L2826" s="22">
        <f t="shared" si="222"/>
        <v>82.9500000001281</v>
      </c>
      <c r="M2826" s="22" cm="1">
        <f ca="1" t="array" ref="M2826">SUMPRODUCT(--(WEEKDAY(ROW(INDIRECT(INT(F2826)&amp;":"&amp;INT(I2826))),2)&gt;5))</f>
        <v>2</v>
      </c>
      <c r="N2826" s="22">
        <f ca="1" t="shared" si="223"/>
        <v>66.9500000001281</v>
      </c>
      <c r="O2826" s="22" t="str">
        <f ca="1" t="shared" si="224"/>
        <v>SLA Violated</v>
      </c>
      <c r="P2826" s="23" t="s">
        <v>10964</v>
      </c>
      <c r="Q2826" s="24" t="s">
        <v>28</v>
      </c>
      <c r="R2826" s="25"/>
      <c r="S2826" s="25"/>
    </row>
    <row r="2827" ht="39" customHeight="1" spans="1:19">
      <c r="A2827" s="19" t="s">
        <v>10965</v>
      </c>
      <c r="B2827" s="20" t="s">
        <v>19</v>
      </c>
      <c r="C2827" s="20" t="s">
        <v>20</v>
      </c>
      <c r="D2827" s="20" t="s">
        <v>32</v>
      </c>
      <c r="E2827" s="21" t="s">
        <v>10966</v>
      </c>
      <c r="F2827" s="21" t="s">
        <v>10967</v>
      </c>
      <c r="G2827" s="20" t="s">
        <v>35</v>
      </c>
      <c r="H2827" s="20" t="s">
        <v>25</v>
      </c>
      <c r="I2827" s="21" t="s">
        <v>10968</v>
      </c>
      <c r="J2827" s="22">
        <f t="shared" si="220"/>
        <v>0.00347222221898846</v>
      </c>
      <c r="K2827" s="22">
        <f t="shared" si="221"/>
        <v>0.0833333332557231</v>
      </c>
      <c r="L2827" s="22">
        <f t="shared" si="222"/>
        <v>0.0833333332557231</v>
      </c>
      <c r="M2827" s="22" cm="1">
        <f ca="1" t="array" ref="M2827">SUMPRODUCT(--(WEEKDAY(ROW(INDIRECT(INT(F2827)&amp;":"&amp;INT(I2827))),2)&gt;5))</f>
        <v>0</v>
      </c>
      <c r="N2827" s="22">
        <f ca="1" t="shared" si="223"/>
        <v>0.0833333332557231</v>
      </c>
      <c r="O2827" s="22" t="str">
        <f ca="1" t="shared" si="224"/>
        <v>Within SLA</v>
      </c>
      <c r="P2827" s="26" t="s">
        <v>10965</v>
      </c>
      <c r="Q2827" s="24" t="s">
        <v>37</v>
      </c>
      <c r="R2827" s="25"/>
      <c r="S2827" s="25"/>
    </row>
    <row r="2828" ht="27" customHeight="1" spans="1:19">
      <c r="A2828" s="19" t="s">
        <v>10969</v>
      </c>
      <c r="B2828" s="20" t="s">
        <v>30</v>
      </c>
      <c r="C2828" s="20" t="s">
        <v>31</v>
      </c>
      <c r="D2828" s="20" t="s">
        <v>32</v>
      </c>
      <c r="E2828" s="21" t="s">
        <v>10970</v>
      </c>
      <c r="F2828" s="21" t="s">
        <v>10971</v>
      </c>
      <c r="G2828" s="20" t="s">
        <v>35</v>
      </c>
      <c r="H2828" s="20" t="s">
        <v>25</v>
      </c>
      <c r="I2828" s="21" t="s">
        <v>10972</v>
      </c>
      <c r="J2828" s="22">
        <f t="shared" si="220"/>
        <v>0.0124999999970896</v>
      </c>
      <c r="K2828" s="22">
        <f t="shared" si="221"/>
        <v>0.299999999930151</v>
      </c>
      <c r="L2828" s="22">
        <f t="shared" si="222"/>
        <v>0.299999999930151</v>
      </c>
      <c r="M2828" s="22" cm="1">
        <f ca="1" t="array" ref="M2828">SUMPRODUCT(--(WEEKDAY(ROW(INDIRECT(INT(F2828)&amp;":"&amp;INT(I2828))),2)&gt;5))</f>
        <v>0</v>
      </c>
      <c r="N2828" s="22">
        <f ca="1" t="shared" si="223"/>
        <v>0.299999999930151</v>
      </c>
      <c r="O2828" s="22" t="str">
        <f ca="1" t="shared" si="224"/>
        <v>Within SLA</v>
      </c>
      <c r="P2828" s="26" t="s">
        <v>10969</v>
      </c>
      <c r="Q2828" s="24" t="s">
        <v>37</v>
      </c>
      <c r="R2828" s="25"/>
      <c r="S2828" s="25"/>
    </row>
    <row r="2829" ht="27" customHeight="1" spans="1:19">
      <c r="A2829" s="19" t="s">
        <v>10973</v>
      </c>
      <c r="B2829" s="20" t="s">
        <v>1047</v>
      </c>
      <c r="C2829" s="20" t="s">
        <v>849</v>
      </c>
      <c r="D2829" s="20" t="s">
        <v>32</v>
      </c>
      <c r="E2829" s="21" t="s">
        <v>10974</v>
      </c>
      <c r="F2829" s="21" t="s">
        <v>10975</v>
      </c>
      <c r="G2829" s="20" t="s">
        <v>35</v>
      </c>
      <c r="H2829" s="20" t="s">
        <v>25</v>
      </c>
      <c r="I2829" s="21" t="s">
        <v>10976</v>
      </c>
      <c r="J2829" s="22">
        <f t="shared" si="220"/>
        <v>10.75</v>
      </c>
      <c r="K2829" s="22">
        <f t="shared" si="221"/>
        <v>258</v>
      </c>
      <c r="L2829" s="22">
        <f t="shared" si="222"/>
        <v>82</v>
      </c>
      <c r="M2829" s="22" cm="1">
        <f ca="1" t="array" ref="M2829">SUMPRODUCT(--(WEEKDAY(ROW(INDIRECT(INT(F2829)&amp;":"&amp;INT(I2829))),2)&gt;5))</f>
        <v>2</v>
      </c>
      <c r="N2829" s="22">
        <f ca="1" t="shared" si="223"/>
        <v>66</v>
      </c>
      <c r="O2829" s="22" t="str">
        <f ca="1" t="shared" si="224"/>
        <v>SLA Violated</v>
      </c>
      <c r="P2829" s="23" t="s">
        <v>10977</v>
      </c>
      <c r="Q2829" s="24" t="s">
        <v>28</v>
      </c>
      <c r="R2829" s="25"/>
      <c r="S2829" s="25"/>
    </row>
    <row r="2830" ht="39" customHeight="1" spans="1:19">
      <c r="A2830" s="19" t="s">
        <v>10978</v>
      </c>
      <c r="B2830" s="20" t="s">
        <v>19</v>
      </c>
      <c r="C2830" s="20" t="s">
        <v>20</v>
      </c>
      <c r="D2830" s="20" t="s">
        <v>32</v>
      </c>
      <c r="E2830" s="21" t="s">
        <v>10974</v>
      </c>
      <c r="F2830" s="21" t="s">
        <v>10951</v>
      </c>
      <c r="G2830" s="20" t="s">
        <v>35</v>
      </c>
      <c r="H2830" s="20" t="s">
        <v>25</v>
      </c>
      <c r="I2830" s="21" t="s">
        <v>10979</v>
      </c>
      <c r="J2830" s="22">
        <f t="shared" si="220"/>
        <v>0.00902777777810115</v>
      </c>
      <c r="K2830" s="22">
        <f t="shared" si="221"/>
        <v>0.216666666674428</v>
      </c>
      <c r="L2830" s="22">
        <f t="shared" si="222"/>
        <v>0.216666666674428</v>
      </c>
      <c r="M2830" s="22" cm="1">
        <f ca="1" t="array" ref="M2830">SUMPRODUCT(--(WEEKDAY(ROW(INDIRECT(INT(F2830)&amp;":"&amp;INT(I2830))),2)&gt;5))</f>
        <v>0</v>
      </c>
      <c r="N2830" s="22">
        <f ca="1" t="shared" si="223"/>
        <v>0.216666666674428</v>
      </c>
      <c r="O2830" s="22" t="str">
        <f ca="1" t="shared" si="224"/>
        <v>Within SLA</v>
      </c>
      <c r="P2830" s="26" t="s">
        <v>10978</v>
      </c>
      <c r="Q2830" s="24" t="s">
        <v>37</v>
      </c>
      <c r="R2830" s="25"/>
      <c r="S2830" s="25"/>
    </row>
    <row r="2831" ht="27" customHeight="1" spans="1:19">
      <c r="A2831" s="19" t="s">
        <v>10980</v>
      </c>
      <c r="B2831" s="20" t="s">
        <v>30</v>
      </c>
      <c r="C2831" s="20" t="s">
        <v>31</v>
      </c>
      <c r="D2831" s="20" t="s">
        <v>32</v>
      </c>
      <c r="E2831" s="21" t="s">
        <v>10981</v>
      </c>
      <c r="F2831" s="21" t="s">
        <v>10982</v>
      </c>
      <c r="G2831" s="20" t="s">
        <v>35</v>
      </c>
      <c r="H2831" s="20" t="s">
        <v>25</v>
      </c>
      <c r="I2831" s="21" t="s">
        <v>10983</v>
      </c>
      <c r="J2831" s="22">
        <f t="shared" si="220"/>
        <v>0.302777777775191</v>
      </c>
      <c r="K2831" s="22">
        <f t="shared" si="221"/>
        <v>7.26666666660458</v>
      </c>
      <c r="L2831" s="22">
        <f t="shared" si="222"/>
        <v>7.26666666660458</v>
      </c>
      <c r="M2831" s="22" cm="1">
        <f ca="1" t="array" ref="M2831">SUMPRODUCT(--(WEEKDAY(ROW(INDIRECT(INT(F2831)&amp;":"&amp;INT(I2831))),2)&gt;5))</f>
        <v>0</v>
      </c>
      <c r="N2831" s="22">
        <f ca="1" t="shared" si="223"/>
        <v>7.26666666660458</v>
      </c>
      <c r="O2831" s="22" t="str">
        <f ca="1" t="shared" si="224"/>
        <v>Within SLA</v>
      </c>
      <c r="P2831" s="26" t="s">
        <v>10980</v>
      </c>
      <c r="Q2831" s="24" t="s">
        <v>37</v>
      </c>
      <c r="R2831" s="25"/>
      <c r="S2831" s="25"/>
    </row>
    <row r="2832" ht="39" customHeight="1" spans="1:19">
      <c r="A2832" s="19" t="s">
        <v>10984</v>
      </c>
      <c r="B2832" s="20" t="s">
        <v>19</v>
      </c>
      <c r="C2832" s="20" t="s">
        <v>20</v>
      </c>
      <c r="D2832" s="20" t="s">
        <v>32</v>
      </c>
      <c r="E2832" s="21" t="s">
        <v>10985</v>
      </c>
      <c r="F2832" s="21" t="s">
        <v>10986</v>
      </c>
      <c r="G2832" s="20" t="s">
        <v>24</v>
      </c>
      <c r="H2832" s="20" t="s">
        <v>25</v>
      </c>
      <c r="I2832" s="21" t="s">
        <v>10987</v>
      </c>
      <c r="J2832" s="22">
        <f t="shared" si="220"/>
        <v>21.0187499999956</v>
      </c>
      <c r="K2832" s="22">
        <f t="shared" si="221"/>
        <v>504.449999999895</v>
      </c>
      <c r="L2832" s="22">
        <f t="shared" si="222"/>
        <v>168.449999999895</v>
      </c>
      <c r="M2832" s="22" cm="1">
        <f ca="1" t="array" ref="M2832">SUMPRODUCT(--(WEEKDAY(ROW(INDIRECT(INT(F2832)&amp;":"&amp;INT(I2832))),2)&gt;5))</f>
        <v>6</v>
      </c>
      <c r="N2832" s="22">
        <f ca="1" t="shared" si="223"/>
        <v>120.449999999895</v>
      </c>
      <c r="O2832" s="22" t="str">
        <f ca="1" t="shared" si="224"/>
        <v>SLA Violated</v>
      </c>
      <c r="P2832" s="23" t="s">
        <v>10988</v>
      </c>
      <c r="Q2832" s="24" t="s">
        <v>37</v>
      </c>
      <c r="R2832" s="25" t="s">
        <v>749</v>
      </c>
      <c r="S2832" s="25" t="s">
        <v>39</v>
      </c>
    </row>
    <row r="2833" ht="39" customHeight="1" spans="1:19">
      <c r="A2833" s="19" t="s">
        <v>10989</v>
      </c>
      <c r="B2833" s="20" t="s">
        <v>19</v>
      </c>
      <c r="C2833" s="20" t="s">
        <v>20</v>
      </c>
      <c r="D2833" s="20" t="s">
        <v>32</v>
      </c>
      <c r="E2833" s="21" t="s">
        <v>10990</v>
      </c>
      <c r="F2833" s="21" t="s">
        <v>10991</v>
      </c>
      <c r="G2833" s="20" t="s">
        <v>35</v>
      </c>
      <c r="H2833" s="20" t="s">
        <v>25</v>
      </c>
      <c r="I2833" s="21" t="s">
        <v>10992</v>
      </c>
      <c r="J2833" s="22">
        <f t="shared" si="220"/>
        <v>21.0048611111051</v>
      </c>
      <c r="K2833" s="22">
        <f t="shared" si="221"/>
        <v>504.116666666523</v>
      </c>
      <c r="L2833" s="22">
        <f t="shared" si="222"/>
        <v>168.116666666523</v>
      </c>
      <c r="M2833" s="22" cm="1">
        <f ca="1" t="array" ref="M2833">SUMPRODUCT(--(WEEKDAY(ROW(INDIRECT(INT(F2833)&amp;":"&amp;INT(I2833))),2)&gt;5))</f>
        <v>6</v>
      </c>
      <c r="N2833" s="22">
        <f ca="1" t="shared" si="223"/>
        <v>120.116666666523</v>
      </c>
      <c r="O2833" s="22" t="str">
        <f ca="1" t="shared" si="224"/>
        <v>SLA Violated</v>
      </c>
      <c r="P2833" s="23" t="s">
        <v>10993</v>
      </c>
      <c r="Q2833" s="24" t="s">
        <v>37</v>
      </c>
      <c r="R2833" s="25" t="s">
        <v>749</v>
      </c>
      <c r="S2833" s="25" t="s">
        <v>39</v>
      </c>
    </row>
    <row r="2834" ht="27" customHeight="1" spans="1:19">
      <c r="A2834" s="19" t="s">
        <v>10994</v>
      </c>
      <c r="B2834" s="20" t="s">
        <v>30</v>
      </c>
      <c r="C2834" s="20" t="s">
        <v>31</v>
      </c>
      <c r="D2834" s="20" t="s">
        <v>32</v>
      </c>
      <c r="E2834" s="21" t="s">
        <v>10992</v>
      </c>
      <c r="F2834" s="21" t="s">
        <v>10995</v>
      </c>
      <c r="G2834" s="20" t="s">
        <v>35</v>
      </c>
      <c r="H2834" s="20" t="s">
        <v>25</v>
      </c>
      <c r="I2834" s="21" t="s">
        <v>10996</v>
      </c>
      <c r="J2834" s="22">
        <f t="shared" si="220"/>
        <v>2.89236111110949</v>
      </c>
      <c r="K2834" s="22">
        <f t="shared" si="221"/>
        <v>69.4166666666279</v>
      </c>
      <c r="L2834" s="22">
        <f t="shared" si="222"/>
        <v>21.4166666666279</v>
      </c>
      <c r="M2834" s="22" cm="1">
        <f ca="1" t="array" ref="M2834">SUMPRODUCT(--(WEEKDAY(ROW(INDIRECT(INT(F2834)&amp;":"&amp;INT(I2834))),2)&gt;5))</f>
        <v>0</v>
      </c>
      <c r="N2834" s="22">
        <f ca="1" t="shared" si="223"/>
        <v>21.4166666666279</v>
      </c>
      <c r="O2834" s="22" t="str">
        <f ca="1" t="shared" si="224"/>
        <v>SLA Violated</v>
      </c>
      <c r="P2834" s="23" t="s">
        <v>10997</v>
      </c>
      <c r="Q2834" s="24" t="s">
        <v>28</v>
      </c>
      <c r="R2834" s="25"/>
      <c r="S2834" s="25"/>
    </row>
    <row r="2835" ht="27" customHeight="1" spans="1:19">
      <c r="A2835" s="19" t="s">
        <v>10998</v>
      </c>
      <c r="B2835" s="20" t="s">
        <v>121</v>
      </c>
      <c r="C2835" s="20" t="s">
        <v>46</v>
      </c>
      <c r="D2835" s="20" t="s">
        <v>32</v>
      </c>
      <c r="E2835" s="21" t="s">
        <v>10999</v>
      </c>
      <c r="F2835" s="21" t="s">
        <v>11000</v>
      </c>
      <c r="G2835" s="20" t="s">
        <v>35</v>
      </c>
      <c r="H2835" s="20" t="s">
        <v>25</v>
      </c>
      <c r="I2835" s="21" t="s">
        <v>11001</v>
      </c>
      <c r="J2835" s="22">
        <f t="shared" si="220"/>
        <v>0.00138888888614019</v>
      </c>
      <c r="K2835" s="22">
        <f t="shared" si="221"/>
        <v>0.0333333332673647</v>
      </c>
      <c r="L2835" s="22">
        <f t="shared" si="222"/>
        <v>0.0333333332673647</v>
      </c>
      <c r="M2835" s="22" cm="1">
        <f ca="1" t="array" ref="M2835">SUMPRODUCT(--(WEEKDAY(ROW(INDIRECT(INT(F2835)&amp;":"&amp;INT(I2835))),2)&gt;5))</f>
        <v>0</v>
      </c>
      <c r="N2835" s="22">
        <f ca="1" t="shared" si="223"/>
        <v>0.0333333332673647</v>
      </c>
      <c r="O2835" s="22" t="str">
        <f ca="1" t="shared" si="224"/>
        <v>Within SLA</v>
      </c>
      <c r="P2835" s="26" t="s">
        <v>10998</v>
      </c>
      <c r="Q2835" s="24" t="s">
        <v>37</v>
      </c>
      <c r="R2835" s="25"/>
      <c r="S2835" s="25"/>
    </row>
    <row r="2836" ht="27" customHeight="1" spans="1:19">
      <c r="A2836" s="19" t="s">
        <v>11002</v>
      </c>
      <c r="B2836" s="20" t="s">
        <v>121</v>
      </c>
      <c r="C2836" s="20" t="s">
        <v>849</v>
      </c>
      <c r="D2836" s="20" t="s">
        <v>21</v>
      </c>
      <c r="E2836" s="21" t="s">
        <v>11003</v>
      </c>
      <c r="F2836" s="21" t="s">
        <v>11004</v>
      </c>
      <c r="G2836" s="20" t="s">
        <v>35</v>
      </c>
      <c r="H2836" s="20" t="s">
        <v>25</v>
      </c>
      <c r="I2836" s="21" t="s">
        <v>11005</v>
      </c>
      <c r="J2836" s="22">
        <f t="shared" si="220"/>
        <v>7.18541666665988</v>
      </c>
      <c r="K2836" s="22">
        <f t="shared" si="221"/>
        <v>172.449999999837</v>
      </c>
      <c r="L2836" s="22">
        <f t="shared" si="222"/>
        <v>60.449999999837</v>
      </c>
      <c r="M2836" s="22" cm="1">
        <f ca="1" t="array" ref="M2836">SUMPRODUCT(--(WEEKDAY(ROW(INDIRECT(INT(F2836)&amp;":"&amp;INT(I2836))),2)&gt;5))</f>
        <v>2</v>
      </c>
      <c r="N2836" s="22">
        <f ca="1" t="shared" si="223"/>
        <v>44.449999999837</v>
      </c>
      <c r="O2836" s="22" t="str">
        <f ca="1" t="shared" si="224"/>
        <v>SLA Violated</v>
      </c>
      <c r="P2836" s="23" t="s">
        <v>11006</v>
      </c>
      <c r="Q2836" s="24" t="s">
        <v>28</v>
      </c>
      <c r="R2836" s="25"/>
      <c r="S2836" s="25"/>
    </row>
    <row r="2837" ht="27" customHeight="1" spans="1:19">
      <c r="A2837" s="19" t="s">
        <v>11007</v>
      </c>
      <c r="B2837" s="20" t="s">
        <v>30</v>
      </c>
      <c r="C2837" s="20" t="s">
        <v>31</v>
      </c>
      <c r="D2837" s="20" t="s">
        <v>32</v>
      </c>
      <c r="E2837" s="21" t="s">
        <v>11008</v>
      </c>
      <c r="F2837" s="21" t="s">
        <v>11009</v>
      </c>
      <c r="G2837" s="20" t="s">
        <v>35</v>
      </c>
      <c r="H2837" s="20" t="s">
        <v>25</v>
      </c>
      <c r="I2837" s="21" t="s">
        <v>11010</v>
      </c>
      <c r="J2837" s="22">
        <f t="shared" si="220"/>
        <v>2.17986111110804</v>
      </c>
      <c r="K2837" s="22">
        <f t="shared" si="221"/>
        <v>52.3166666665929</v>
      </c>
      <c r="L2837" s="22">
        <f t="shared" si="222"/>
        <v>20.3166666665929</v>
      </c>
      <c r="M2837" s="22" cm="1">
        <f ca="1" t="array" ref="M2837">SUMPRODUCT(--(WEEKDAY(ROW(INDIRECT(INT(F2837)&amp;":"&amp;INT(I2837))),2)&gt;5))</f>
        <v>0</v>
      </c>
      <c r="N2837" s="22">
        <f ca="1" t="shared" si="223"/>
        <v>20.3166666665929</v>
      </c>
      <c r="O2837" s="22" t="str">
        <f ca="1" t="shared" si="224"/>
        <v>SLA Violated</v>
      </c>
      <c r="P2837" s="23" t="s">
        <v>11011</v>
      </c>
      <c r="Q2837" s="24" t="s">
        <v>37</v>
      </c>
      <c r="R2837" s="25" t="s">
        <v>1020</v>
      </c>
      <c r="S2837" s="25" t="s">
        <v>39</v>
      </c>
    </row>
    <row r="2838" ht="27" customHeight="1" spans="1:19">
      <c r="A2838" s="19" t="s">
        <v>11012</v>
      </c>
      <c r="B2838" s="20" t="s">
        <v>139</v>
      </c>
      <c r="C2838" s="20" t="s">
        <v>849</v>
      </c>
      <c r="D2838" s="20" t="s">
        <v>32</v>
      </c>
      <c r="E2838" s="21" t="s">
        <v>11013</v>
      </c>
      <c r="F2838" s="21" t="s">
        <v>8014</v>
      </c>
      <c r="G2838" s="20" t="s">
        <v>35</v>
      </c>
      <c r="H2838" s="20" t="s">
        <v>25</v>
      </c>
      <c r="I2838" s="21" t="s">
        <v>11014</v>
      </c>
      <c r="J2838" s="22">
        <f t="shared" si="220"/>
        <v>8.1784722222219</v>
      </c>
      <c r="K2838" s="22">
        <f t="shared" si="221"/>
        <v>196.283333333326</v>
      </c>
      <c r="L2838" s="22">
        <f t="shared" si="222"/>
        <v>68.2833333333256</v>
      </c>
      <c r="M2838" s="22" cm="1">
        <f ca="1" t="array" ref="M2838">SUMPRODUCT(--(WEEKDAY(ROW(INDIRECT(INT(F2838)&amp;":"&amp;INT(I2838))),2)&gt;5))</f>
        <v>2</v>
      </c>
      <c r="N2838" s="22">
        <f ca="1" t="shared" si="223"/>
        <v>52.2833333333256</v>
      </c>
      <c r="O2838" s="22" t="str">
        <f ca="1" t="shared" si="224"/>
        <v>SLA Violated</v>
      </c>
      <c r="P2838" s="23" t="s">
        <v>11015</v>
      </c>
      <c r="Q2838" s="24" t="s">
        <v>28</v>
      </c>
      <c r="R2838" s="25"/>
      <c r="S2838" s="25"/>
    </row>
    <row r="2839" ht="27" customHeight="1" spans="1:19">
      <c r="A2839" s="19" t="s">
        <v>11016</v>
      </c>
      <c r="B2839" s="20" t="s">
        <v>30</v>
      </c>
      <c r="C2839" s="20" t="s">
        <v>4889</v>
      </c>
      <c r="D2839" s="20" t="s">
        <v>32</v>
      </c>
      <c r="E2839" s="21" t="s">
        <v>11013</v>
      </c>
      <c r="F2839" s="21" t="s">
        <v>11017</v>
      </c>
      <c r="G2839" s="20" t="s">
        <v>35</v>
      </c>
      <c r="H2839" s="20" t="s">
        <v>25</v>
      </c>
      <c r="I2839" s="21" t="s">
        <v>11018</v>
      </c>
      <c r="J2839" s="22">
        <f t="shared" si="220"/>
        <v>1.92152777777665</v>
      </c>
      <c r="K2839" s="22">
        <f t="shared" si="221"/>
        <v>46.1166666666395</v>
      </c>
      <c r="L2839" s="22">
        <f t="shared" si="222"/>
        <v>14.1166666666395</v>
      </c>
      <c r="M2839" s="22" cm="1">
        <f ca="1" t="array" ref="M2839">SUMPRODUCT(--(WEEKDAY(ROW(INDIRECT(INT(F2839)&amp;":"&amp;INT(I2839))),2)&gt;5))</f>
        <v>0</v>
      </c>
      <c r="N2839" s="22">
        <f ca="1" t="shared" si="223"/>
        <v>14.1166666666395</v>
      </c>
      <c r="O2839" s="22" t="str">
        <f ca="1" t="shared" si="224"/>
        <v>SLA Violated</v>
      </c>
      <c r="P2839" s="23" t="s">
        <v>11019</v>
      </c>
      <c r="Q2839" s="24" t="s">
        <v>28</v>
      </c>
      <c r="R2839" s="25"/>
      <c r="S2839" s="25"/>
    </row>
    <row r="2840" ht="39" customHeight="1" spans="1:19">
      <c r="A2840" s="19" t="s">
        <v>11020</v>
      </c>
      <c r="B2840" s="20" t="s">
        <v>196</v>
      </c>
      <c r="C2840" s="20" t="s">
        <v>101</v>
      </c>
      <c r="D2840" s="20" t="s">
        <v>32</v>
      </c>
      <c r="E2840" s="21" t="s">
        <v>11021</v>
      </c>
      <c r="F2840" s="21" t="s">
        <v>11022</v>
      </c>
      <c r="G2840" s="20" t="s">
        <v>35</v>
      </c>
      <c r="H2840" s="20" t="s">
        <v>25</v>
      </c>
      <c r="I2840" s="21" t="s">
        <v>11023</v>
      </c>
      <c r="J2840" s="22">
        <f t="shared" si="220"/>
        <v>0.144444444442343</v>
      </c>
      <c r="K2840" s="22">
        <f t="shared" si="221"/>
        <v>3.46666666661622</v>
      </c>
      <c r="L2840" s="22">
        <f t="shared" si="222"/>
        <v>3.46666666661622</v>
      </c>
      <c r="M2840" s="22" cm="1">
        <f ca="1" t="array" ref="M2840">SUMPRODUCT(--(WEEKDAY(ROW(INDIRECT(INT(F2840)&amp;":"&amp;INT(I2840))),2)&gt;5))</f>
        <v>0</v>
      </c>
      <c r="N2840" s="22">
        <f ca="1" t="shared" si="223"/>
        <v>3.46666666661622</v>
      </c>
      <c r="O2840" s="22" t="str">
        <f ca="1" t="shared" si="224"/>
        <v>Within SLA</v>
      </c>
      <c r="P2840" s="26" t="s">
        <v>11020</v>
      </c>
      <c r="Q2840" s="24" t="s">
        <v>37</v>
      </c>
      <c r="R2840" s="25"/>
      <c r="S2840" s="25"/>
    </row>
    <row r="2841" ht="27" customHeight="1" spans="1:19">
      <c r="A2841" s="19" t="s">
        <v>11024</v>
      </c>
      <c r="B2841" s="20" t="s">
        <v>30</v>
      </c>
      <c r="C2841" s="20" t="s">
        <v>31</v>
      </c>
      <c r="D2841" s="20" t="s">
        <v>32</v>
      </c>
      <c r="E2841" s="21" t="s">
        <v>11023</v>
      </c>
      <c r="F2841" s="21" t="s">
        <v>11025</v>
      </c>
      <c r="G2841" s="20" t="s">
        <v>35</v>
      </c>
      <c r="H2841" s="20" t="s">
        <v>25</v>
      </c>
      <c r="I2841" s="21" t="s">
        <v>2782</v>
      </c>
      <c r="J2841" s="22">
        <f t="shared" si="220"/>
        <v>2.08125000000291</v>
      </c>
      <c r="K2841" s="22">
        <f t="shared" si="221"/>
        <v>49.9500000000698</v>
      </c>
      <c r="L2841" s="22">
        <f t="shared" si="222"/>
        <v>17.9500000000698</v>
      </c>
      <c r="M2841" s="22" cm="1">
        <f ca="1" t="array" ref="M2841">SUMPRODUCT(--(WEEKDAY(ROW(INDIRECT(INT(F2841)&amp;":"&amp;INT(I2841))),2)&gt;5))</f>
        <v>0</v>
      </c>
      <c r="N2841" s="22">
        <f ca="1" t="shared" si="223"/>
        <v>17.9500000000698</v>
      </c>
      <c r="O2841" s="22" t="str">
        <f ca="1" t="shared" si="224"/>
        <v>SLA Violated</v>
      </c>
      <c r="P2841" s="23" t="s">
        <v>11026</v>
      </c>
      <c r="Q2841" s="24" t="s">
        <v>28</v>
      </c>
      <c r="R2841" s="25"/>
      <c r="S2841" s="25"/>
    </row>
    <row r="2842" ht="27" customHeight="1" spans="1:19">
      <c r="A2842" s="19" t="s">
        <v>11027</v>
      </c>
      <c r="B2842" s="20" t="s">
        <v>30</v>
      </c>
      <c r="C2842" s="20" t="s">
        <v>31</v>
      </c>
      <c r="D2842" s="20" t="s">
        <v>32</v>
      </c>
      <c r="E2842" s="21" t="s">
        <v>11028</v>
      </c>
      <c r="F2842" s="21" t="s">
        <v>11029</v>
      </c>
      <c r="G2842" s="20" t="s">
        <v>35</v>
      </c>
      <c r="H2842" s="20" t="s">
        <v>25</v>
      </c>
      <c r="I2842" s="21" t="s">
        <v>9522</v>
      </c>
      <c r="J2842" s="22">
        <f t="shared" si="220"/>
        <v>0.179861111108039</v>
      </c>
      <c r="K2842" s="22">
        <f t="shared" si="221"/>
        <v>4.31666666659294</v>
      </c>
      <c r="L2842" s="22">
        <f t="shared" si="222"/>
        <v>4.31666666659294</v>
      </c>
      <c r="M2842" s="22" cm="1">
        <f ca="1" t="array" ref="M2842">SUMPRODUCT(--(WEEKDAY(ROW(INDIRECT(INT(F2842)&amp;":"&amp;INT(I2842))),2)&gt;5))</f>
        <v>0</v>
      </c>
      <c r="N2842" s="22">
        <f ca="1" t="shared" si="223"/>
        <v>4.31666666659294</v>
      </c>
      <c r="O2842" s="22" t="str">
        <f ca="1" t="shared" si="224"/>
        <v>Within SLA</v>
      </c>
      <c r="P2842" s="26" t="s">
        <v>11027</v>
      </c>
      <c r="Q2842" s="24" t="s">
        <v>37</v>
      </c>
      <c r="R2842" s="25"/>
      <c r="S2842" s="25"/>
    </row>
    <row r="2843" ht="39" customHeight="1" spans="1:19">
      <c r="A2843" s="19" t="s">
        <v>11030</v>
      </c>
      <c r="B2843" s="20" t="s">
        <v>19</v>
      </c>
      <c r="C2843" s="20" t="s">
        <v>20</v>
      </c>
      <c r="D2843" s="20" t="s">
        <v>21</v>
      </c>
      <c r="E2843" s="21" t="s">
        <v>11028</v>
      </c>
      <c r="F2843" s="21" t="s">
        <v>11031</v>
      </c>
      <c r="G2843" s="20" t="s">
        <v>35</v>
      </c>
      <c r="H2843" s="20" t="s">
        <v>25</v>
      </c>
      <c r="I2843" s="21" t="s">
        <v>11032</v>
      </c>
      <c r="J2843" s="22">
        <f t="shared" si="220"/>
        <v>0.225694444445253</v>
      </c>
      <c r="K2843" s="22">
        <f t="shared" si="221"/>
        <v>5.41666666668607</v>
      </c>
      <c r="L2843" s="22">
        <f t="shared" si="222"/>
        <v>5.41666666668607</v>
      </c>
      <c r="M2843" s="22" cm="1">
        <f ca="1" t="array" ref="M2843">SUMPRODUCT(--(WEEKDAY(ROW(INDIRECT(INT(F2843)&amp;":"&amp;INT(I2843))),2)&gt;5))</f>
        <v>0</v>
      </c>
      <c r="N2843" s="22">
        <f ca="1" t="shared" si="223"/>
        <v>5.41666666668607</v>
      </c>
      <c r="O2843" s="22" t="str">
        <f ca="1" t="shared" si="224"/>
        <v>SLA Violated</v>
      </c>
      <c r="P2843" s="23" t="s">
        <v>11033</v>
      </c>
      <c r="Q2843" s="24" t="s">
        <v>37</v>
      </c>
      <c r="R2843" s="25" t="s">
        <v>719</v>
      </c>
      <c r="S2843" s="25" t="s">
        <v>39</v>
      </c>
    </row>
    <row r="2844" ht="39" customHeight="1" spans="1:19">
      <c r="A2844" s="19" t="s">
        <v>11034</v>
      </c>
      <c r="B2844" s="20" t="s">
        <v>702</v>
      </c>
      <c r="C2844" s="20" t="s">
        <v>46</v>
      </c>
      <c r="D2844" s="20" t="s">
        <v>21</v>
      </c>
      <c r="E2844" s="21" t="s">
        <v>11035</v>
      </c>
      <c r="F2844" s="21" t="s">
        <v>11036</v>
      </c>
      <c r="G2844" s="20" t="s">
        <v>35</v>
      </c>
      <c r="H2844" s="20" t="s">
        <v>25</v>
      </c>
      <c r="I2844" s="21" t="s">
        <v>11037</v>
      </c>
      <c r="J2844" s="22">
        <f t="shared" si="220"/>
        <v>0.0250000000014552</v>
      </c>
      <c r="K2844" s="22">
        <f t="shared" si="221"/>
        <v>0.600000000034925</v>
      </c>
      <c r="L2844" s="22">
        <f t="shared" si="222"/>
        <v>0.600000000034925</v>
      </c>
      <c r="M2844" s="22" cm="1">
        <f ca="1" t="array" ref="M2844">SUMPRODUCT(--(WEEKDAY(ROW(INDIRECT(INT(F2844)&amp;":"&amp;INT(I2844))),2)&gt;5))</f>
        <v>0</v>
      </c>
      <c r="N2844" s="22">
        <f ca="1" t="shared" si="223"/>
        <v>0.600000000034925</v>
      </c>
      <c r="O2844" s="22" t="str">
        <f ca="1" t="shared" si="224"/>
        <v>Within SLA</v>
      </c>
      <c r="P2844" s="26" t="s">
        <v>11034</v>
      </c>
      <c r="Q2844" s="24" t="s">
        <v>37</v>
      </c>
      <c r="R2844" s="25"/>
      <c r="S2844" s="25"/>
    </row>
    <row r="2845" ht="39" customHeight="1" spans="1:19">
      <c r="A2845" s="19" t="s">
        <v>11038</v>
      </c>
      <c r="B2845" s="20" t="s">
        <v>196</v>
      </c>
      <c r="C2845" s="20" t="s">
        <v>46</v>
      </c>
      <c r="D2845" s="20" t="s">
        <v>21</v>
      </c>
      <c r="E2845" s="21" t="s">
        <v>11039</v>
      </c>
      <c r="F2845" s="21" t="s">
        <v>11040</v>
      </c>
      <c r="G2845" s="20" t="s">
        <v>35</v>
      </c>
      <c r="H2845" s="20" t="s">
        <v>25</v>
      </c>
      <c r="I2845" s="21" t="s">
        <v>11040</v>
      </c>
      <c r="J2845" s="22">
        <f t="shared" si="220"/>
        <v>0</v>
      </c>
      <c r="K2845" s="22">
        <f t="shared" si="221"/>
        <v>0</v>
      </c>
      <c r="L2845" s="22">
        <f t="shared" si="222"/>
        <v>0</v>
      </c>
      <c r="M2845" s="22" cm="1">
        <f ca="1" t="array" ref="M2845">SUMPRODUCT(--(WEEKDAY(ROW(INDIRECT(INT(F2845)&amp;":"&amp;INT(I2845))),2)&gt;5))</f>
        <v>0</v>
      </c>
      <c r="N2845" s="22">
        <f ca="1" t="shared" si="223"/>
        <v>0</v>
      </c>
      <c r="O2845" s="22" t="str">
        <f ca="1" t="shared" si="224"/>
        <v>Within SLA</v>
      </c>
      <c r="P2845" s="26" t="s">
        <v>11038</v>
      </c>
      <c r="Q2845" s="24" t="s">
        <v>37</v>
      </c>
      <c r="R2845" s="25"/>
      <c r="S2845" s="25"/>
    </row>
    <row r="2846" ht="27" customHeight="1" spans="1:19">
      <c r="A2846" s="19" t="s">
        <v>11041</v>
      </c>
      <c r="B2846" s="20" t="s">
        <v>30</v>
      </c>
      <c r="C2846" s="20" t="s">
        <v>46</v>
      </c>
      <c r="D2846" s="20" t="s">
        <v>32</v>
      </c>
      <c r="E2846" s="21" t="s">
        <v>11042</v>
      </c>
      <c r="F2846" s="21" t="s">
        <v>11043</v>
      </c>
      <c r="G2846" s="20" t="s">
        <v>35</v>
      </c>
      <c r="H2846" s="20" t="s">
        <v>25</v>
      </c>
      <c r="I2846" s="21" t="s">
        <v>11044</v>
      </c>
      <c r="J2846" s="22">
        <f t="shared" si="220"/>
        <v>0.776388888887595</v>
      </c>
      <c r="K2846" s="22">
        <f t="shared" si="221"/>
        <v>18.6333333333023</v>
      </c>
      <c r="L2846" s="22">
        <f t="shared" si="222"/>
        <v>2.63333333330229</v>
      </c>
      <c r="M2846" s="22" cm="1">
        <f ca="1" t="array" ref="M2846">SUMPRODUCT(--(WEEKDAY(ROW(INDIRECT(INT(F2846)&amp;":"&amp;INT(I2846))),2)&gt;5))</f>
        <v>0</v>
      </c>
      <c r="N2846" s="22">
        <f ca="1" t="shared" si="223"/>
        <v>2.63333333330229</v>
      </c>
      <c r="O2846" s="22" t="str">
        <f ca="1" t="shared" si="224"/>
        <v>Within SLA</v>
      </c>
      <c r="P2846" s="26" t="s">
        <v>11041</v>
      </c>
      <c r="Q2846" s="24" t="s">
        <v>37</v>
      </c>
      <c r="R2846" s="25"/>
      <c r="S2846" s="25"/>
    </row>
    <row r="2847" ht="27" customHeight="1" spans="1:19">
      <c r="A2847" s="19" t="s">
        <v>11045</v>
      </c>
      <c r="B2847" s="20" t="s">
        <v>1047</v>
      </c>
      <c r="C2847" s="20" t="s">
        <v>849</v>
      </c>
      <c r="D2847" s="20" t="s">
        <v>21</v>
      </c>
      <c r="E2847" s="21" t="s">
        <v>11046</v>
      </c>
      <c r="F2847" s="21" t="s">
        <v>11047</v>
      </c>
      <c r="G2847" s="20" t="s">
        <v>35</v>
      </c>
      <c r="H2847" s="20" t="s">
        <v>25</v>
      </c>
      <c r="I2847" s="21" t="s">
        <v>11048</v>
      </c>
      <c r="J2847" s="22">
        <f t="shared" si="220"/>
        <v>0.0638888888861402</v>
      </c>
      <c r="K2847" s="22">
        <f t="shared" si="221"/>
        <v>1.53333333326736</v>
      </c>
      <c r="L2847" s="22">
        <f t="shared" si="222"/>
        <v>1.53333333326736</v>
      </c>
      <c r="M2847" s="22" cm="1">
        <f ca="1" t="array" ref="M2847">SUMPRODUCT(--(WEEKDAY(ROW(INDIRECT(INT(F2847)&amp;":"&amp;INT(I2847))),2)&gt;5))</f>
        <v>0</v>
      </c>
      <c r="N2847" s="22">
        <f ca="1" t="shared" si="223"/>
        <v>1.53333333326736</v>
      </c>
      <c r="O2847" s="22" t="str">
        <f ca="1" t="shared" si="224"/>
        <v>Within SLA</v>
      </c>
      <c r="P2847" s="26" t="s">
        <v>11045</v>
      </c>
      <c r="Q2847" s="24" t="s">
        <v>37</v>
      </c>
      <c r="R2847" s="25"/>
      <c r="S2847" s="25"/>
    </row>
    <row r="2848" ht="27" customHeight="1" spans="1:19">
      <c r="A2848" s="19" t="s">
        <v>11049</v>
      </c>
      <c r="B2848" s="20" t="s">
        <v>139</v>
      </c>
      <c r="C2848" s="20" t="s">
        <v>849</v>
      </c>
      <c r="D2848" s="20" t="s">
        <v>21</v>
      </c>
      <c r="E2848" s="21" t="s">
        <v>11050</v>
      </c>
      <c r="F2848" s="21" t="s">
        <v>11051</v>
      </c>
      <c r="G2848" s="20" t="s">
        <v>35</v>
      </c>
      <c r="H2848" s="20" t="s">
        <v>25</v>
      </c>
      <c r="I2848" s="21" t="s">
        <v>11052</v>
      </c>
      <c r="J2848" s="22">
        <f t="shared" si="220"/>
        <v>8.02291666666861</v>
      </c>
      <c r="K2848" s="22">
        <f t="shared" si="221"/>
        <v>192.550000000047</v>
      </c>
      <c r="L2848" s="22">
        <f t="shared" si="222"/>
        <v>64.5500000000466</v>
      </c>
      <c r="M2848" s="22" cm="1">
        <f ca="1" t="array" ref="M2848">SUMPRODUCT(--(WEEKDAY(ROW(INDIRECT(INT(F2848)&amp;":"&amp;INT(I2848))),2)&gt;5))</f>
        <v>2</v>
      </c>
      <c r="N2848" s="22">
        <f ca="1" t="shared" si="223"/>
        <v>48.5500000000466</v>
      </c>
      <c r="O2848" s="22" t="str">
        <f ca="1" t="shared" si="224"/>
        <v>SLA Violated</v>
      </c>
      <c r="P2848" s="23" t="s">
        <v>11053</v>
      </c>
      <c r="Q2848" s="24" t="s">
        <v>37</v>
      </c>
      <c r="R2848" s="25" t="s">
        <v>4039</v>
      </c>
      <c r="S2848" s="25" t="s">
        <v>39</v>
      </c>
    </row>
    <row r="2849" ht="39" customHeight="1" spans="1:19">
      <c r="A2849" s="19" t="s">
        <v>11054</v>
      </c>
      <c r="B2849" s="20" t="s">
        <v>19</v>
      </c>
      <c r="C2849" s="20" t="s">
        <v>20</v>
      </c>
      <c r="D2849" s="20" t="s">
        <v>32</v>
      </c>
      <c r="E2849" s="21" t="s">
        <v>11055</v>
      </c>
      <c r="F2849" s="21" t="s">
        <v>11056</v>
      </c>
      <c r="G2849" s="20" t="s">
        <v>35</v>
      </c>
      <c r="H2849" s="20" t="s">
        <v>25</v>
      </c>
      <c r="I2849" s="21" t="s">
        <v>11057</v>
      </c>
      <c r="J2849" s="22">
        <f t="shared" si="220"/>
        <v>0.000694444446708076</v>
      </c>
      <c r="K2849" s="22">
        <f t="shared" si="221"/>
        <v>0.0166666667209938</v>
      </c>
      <c r="L2849" s="22">
        <f t="shared" si="222"/>
        <v>0.0166666667209938</v>
      </c>
      <c r="M2849" s="22" cm="1">
        <f ca="1" t="array" ref="M2849">SUMPRODUCT(--(WEEKDAY(ROW(INDIRECT(INT(F2849)&amp;":"&amp;INT(I2849))),2)&gt;5))</f>
        <v>0</v>
      </c>
      <c r="N2849" s="22">
        <f ca="1" t="shared" si="223"/>
        <v>0.0166666667209938</v>
      </c>
      <c r="O2849" s="22" t="str">
        <f ca="1" t="shared" si="224"/>
        <v>Within SLA</v>
      </c>
      <c r="P2849" s="26" t="s">
        <v>11054</v>
      </c>
      <c r="Q2849" s="24" t="s">
        <v>37</v>
      </c>
      <c r="R2849" s="25"/>
      <c r="S2849" s="25"/>
    </row>
    <row r="2850" ht="27" customHeight="1" spans="1:19">
      <c r="A2850" s="19" t="s">
        <v>11058</v>
      </c>
      <c r="B2850" s="20" t="s">
        <v>139</v>
      </c>
      <c r="C2850" s="20" t="s">
        <v>2057</v>
      </c>
      <c r="D2850" s="20" t="s">
        <v>32</v>
      </c>
      <c r="E2850" s="21" t="s">
        <v>11059</v>
      </c>
      <c r="F2850" s="21" t="s">
        <v>11060</v>
      </c>
      <c r="G2850" s="20" t="s">
        <v>35</v>
      </c>
      <c r="H2850" s="20" t="s">
        <v>25</v>
      </c>
      <c r="I2850" s="21" t="s">
        <v>11061</v>
      </c>
      <c r="J2850" s="22">
        <f t="shared" si="220"/>
        <v>0.851388888884685</v>
      </c>
      <c r="K2850" s="22">
        <f t="shared" si="221"/>
        <v>20.4333333332324</v>
      </c>
      <c r="L2850" s="22">
        <f t="shared" si="222"/>
        <v>4.43333333323244</v>
      </c>
      <c r="M2850" s="22" cm="1">
        <f ca="1" t="array" ref="M2850">SUMPRODUCT(--(WEEKDAY(ROW(INDIRECT(INT(F2850)&amp;":"&amp;INT(I2850))),2)&gt;5))</f>
        <v>0</v>
      </c>
      <c r="N2850" s="22">
        <f ca="1" t="shared" si="223"/>
        <v>4.43333333323244</v>
      </c>
      <c r="O2850" s="22" t="str">
        <f ca="1" t="shared" si="224"/>
        <v>Within SLA</v>
      </c>
      <c r="P2850" s="26" t="s">
        <v>11058</v>
      </c>
      <c r="Q2850" s="24" t="s">
        <v>37</v>
      </c>
      <c r="R2850" s="25"/>
      <c r="S2850" s="25"/>
    </row>
    <row r="2851" ht="39" customHeight="1" spans="1:19">
      <c r="A2851" s="19" t="s">
        <v>11062</v>
      </c>
      <c r="B2851" s="20" t="s">
        <v>196</v>
      </c>
      <c r="C2851" s="20" t="s">
        <v>849</v>
      </c>
      <c r="D2851" s="20" t="s">
        <v>32</v>
      </c>
      <c r="E2851" s="21" t="s">
        <v>11063</v>
      </c>
      <c r="F2851" s="21" t="s">
        <v>11064</v>
      </c>
      <c r="G2851" s="20" t="s">
        <v>35</v>
      </c>
      <c r="H2851" s="20" t="s">
        <v>25</v>
      </c>
      <c r="I2851" s="21" t="s">
        <v>11065</v>
      </c>
      <c r="J2851" s="22">
        <f t="shared" si="220"/>
        <v>1.04861111110949</v>
      </c>
      <c r="K2851" s="22">
        <f t="shared" si="221"/>
        <v>25.1666666666279</v>
      </c>
      <c r="L2851" s="22">
        <f t="shared" si="222"/>
        <v>9.16666666662786</v>
      </c>
      <c r="M2851" s="22" cm="1">
        <f ca="1" t="array" ref="M2851">SUMPRODUCT(--(WEEKDAY(ROW(INDIRECT(INT(F2851)&amp;":"&amp;INT(I2851))),2)&gt;5))</f>
        <v>0</v>
      </c>
      <c r="N2851" s="22">
        <f ca="1" t="shared" si="223"/>
        <v>9.16666666662786</v>
      </c>
      <c r="O2851" s="22" t="str">
        <f ca="1" t="shared" si="224"/>
        <v>Within SLA</v>
      </c>
      <c r="P2851" s="26" t="s">
        <v>11062</v>
      </c>
      <c r="Q2851" s="24" t="s">
        <v>37</v>
      </c>
      <c r="R2851" s="25"/>
      <c r="S2851" s="25"/>
    </row>
    <row r="2852" ht="27" customHeight="1" spans="1:19">
      <c r="A2852" s="19" t="s">
        <v>11066</v>
      </c>
      <c r="B2852" s="20" t="s">
        <v>139</v>
      </c>
      <c r="C2852" s="20" t="s">
        <v>2057</v>
      </c>
      <c r="D2852" s="20" t="s">
        <v>32</v>
      </c>
      <c r="E2852" s="21" t="s">
        <v>11067</v>
      </c>
      <c r="F2852" s="21" t="s">
        <v>11068</v>
      </c>
      <c r="G2852" s="20" t="s">
        <v>35</v>
      </c>
      <c r="H2852" s="20" t="s">
        <v>25</v>
      </c>
      <c r="I2852" s="21" t="s">
        <v>11069</v>
      </c>
      <c r="J2852" s="22">
        <f t="shared" si="220"/>
        <v>1.1027777777781</v>
      </c>
      <c r="K2852" s="22">
        <f t="shared" si="221"/>
        <v>26.4666666666744</v>
      </c>
      <c r="L2852" s="22">
        <f t="shared" si="222"/>
        <v>10.4666666666744</v>
      </c>
      <c r="M2852" s="22" cm="1">
        <f ca="1" t="array" ref="M2852">SUMPRODUCT(--(WEEKDAY(ROW(INDIRECT(INT(F2852)&amp;":"&amp;INT(I2852))),2)&gt;5))</f>
        <v>0</v>
      </c>
      <c r="N2852" s="22">
        <f ca="1" t="shared" si="223"/>
        <v>10.4666666666744</v>
      </c>
      <c r="O2852" s="22" t="str">
        <f ca="1" t="shared" si="224"/>
        <v>Within SLA</v>
      </c>
      <c r="P2852" s="26" t="s">
        <v>11066</v>
      </c>
      <c r="Q2852" s="24" t="s">
        <v>37</v>
      </c>
      <c r="R2852" s="25"/>
      <c r="S2852" s="25"/>
    </row>
    <row r="2853" ht="39" customHeight="1" spans="1:19">
      <c r="A2853" s="19" t="s">
        <v>11070</v>
      </c>
      <c r="B2853" s="20" t="s">
        <v>19</v>
      </c>
      <c r="C2853" s="20" t="s">
        <v>20</v>
      </c>
      <c r="D2853" s="20" t="s">
        <v>32</v>
      </c>
      <c r="E2853" s="21" t="s">
        <v>11067</v>
      </c>
      <c r="F2853" s="21" t="s">
        <v>11071</v>
      </c>
      <c r="G2853" s="20" t="s">
        <v>35</v>
      </c>
      <c r="H2853" s="20" t="s">
        <v>25</v>
      </c>
      <c r="I2853" s="21" t="s">
        <v>11072</v>
      </c>
      <c r="J2853" s="22">
        <f t="shared" si="220"/>
        <v>0.015277777776646</v>
      </c>
      <c r="K2853" s="22">
        <f t="shared" si="221"/>
        <v>0.366666666639503</v>
      </c>
      <c r="L2853" s="22">
        <f t="shared" si="222"/>
        <v>0.366666666639503</v>
      </c>
      <c r="M2853" s="22" cm="1">
        <f ca="1" t="array" ref="M2853">SUMPRODUCT(--(WEEKDAY(ROW(INDIRECT(INT(F2853)&amp;":"&amp;INT(I2853))),2)&gt;5))</f>
        <v>0</v>
      </c>
      <c r="N2853" s="22">
        <f ca="1" t="shared" si="223"/>
        <v>0.366666666639503</v>
      </c>
      <c r="O2853" s="22" t="str">
        <f ca="1" t="shared" si="224"/>
        <v>Within SLA</v>
      </c>
      <c r="P2853" s="26" t="s">
        <v>11070</v>
      </c>
      <c r="Q2853" s="24" t="s">
        <v>37</v>
      </c>
      <c r="R2853" s="25"/>
      <c r="S2853" s="25"/>
    </row>
    <row r="2854" ht="27" customHeight="1" spans="1:19">
      <c r="A2854" s="19" t="s">
        <v>11073</v>
      </c>
      <c r="B2854" s="20" t="s">
        <v>1047</v>
      </c>
      <c r="C2854" s="20" t="s">
        <v>849</v>
      </c>
      <c r="D2854" s="20" t="s">
        <v>32</v>
      </c>
      <c r="E2854" s="21" t="s">
        <v>11074</v>
      </c>
      <c r="F2854" s="21" t="s">
        <v>11075</v>
      </c>
      <c r="G2854" s="20" t="s">
        <v>35</v>
      </c>
      <c r="H2854" s="20" t="s">
        <v>25</v>
      </c>
      <c r="I2854" s="21" t="s">
        <v>11076</v>
      </c>
      <c r="J2854" s="22">
        <f t="shared" si="220"/>
        <v>9.84027777778101</v>
      </c>
      <c r="K2854" s="22">
        <f t="shared" si="221"/>
        <v>236.166666666744</v>
      </c>
      <c r="L2854" s="22">
        <f t="shared" si="222"/>
        <v>76.1666666667443</v>
      </c>
      <c r="M2854" s="22" cm="1">
        <f ca="1" t="array" ref="M2854">SUMPRODUCT(--(WEEKDAY(ROW(INDIRECT(INT(F2854)&amp;":"&amp;INT(I2854))),2)&gt;5))</f>
        <v>2</v>
      </c>
      <c r="N2854" s="22">
        <f ca="1" t="shared" si="223"/>
        <v>60.1666666667443</v>
      </c>
      <c r="O2854" s="22" t="str">
        <f ca="1" t="shared" si="224"/>
        <v>SLA Violated</v>
      </c>
      <c r="P2854" s="23" t="s">
        <v>11077</v>
      </c>
      <c r="Q2854" s="24" t="s">
        <v>37</v>
      </c>
      <c r="R2854" s="25" t="s">
        <v>11078</v>
      </c>
      <c r="S2854" s="25" t="s">
        <v>39</v>
      </c>
    </row>
    <row r="2855" ht="27" customHeight="1" spans="1:19">
      <c r="A2855" s="19" t="s">
        <v>11079</v>
      </c>
      <c r="B2855" s="20" t="s">
        <v>139</v>
      </c>
      <c r="C2855" s="20" t="s">
        <v>2057</v>
      </c>
      <c r="D2855" s="20" t="s">
        <v>32</v>
      </c>
      <c r="E2855" s="21" t="s">
        <v>11080</v>
      </c>
      <c r="F2855" s="21" t="s">
        <v>11081</v>
      </c>
      <c r="G2855" s="20" t="s">
        <v>35</v>
      </c>
      <c r="H2855" s="20" t="s">
        <v>25</v>
      </c>
      <c r="I2855" s="21" t="s">
        <v>11082</v>
      </c>
      <c r="J2855" s="22">
        <f t="shared" si="220"/>
        <v>12.9819444444438</v>
      </c>
      <c r="K2855" s="22">
        <f t="shared" si="221"/>
        <v>311.566666666651</v>
      </c>
      <c r="L2855" s="22">
        <f t="shared" si="222"/>
        <v>103.566666666651</v>
      </c>
      <c r="M2855" s="22" cm="1">
        <f ca="1" t="array" ref="M2855">SUMPRODUCT(--(WEEKDAY(ROW(INDIRECT(INT(F2855)&amp;":"&amp;INT(I2855))),2)&gt;5))</f>
        <v>4</v>
      </c>
      <c r="N2855" s="22">
        <f ca="1" t="shared" si="223"/>
        <v>71.566666666651</v>
      </c>
      <c r="O2855" s="22" t="str">
        <f ca="1" t="shared" si="224"/>
        <v>SLA Violated</v>
      </c>
      <c r="P2855" s="23" t="s">
        <v>11083</v>
      </c>
      <c r="Q2855" s="24" t="s">
        <v>37</v>
      </c>
      <c r="R2855" s="25" t="s">
        <v>38</v>
      </c>
      <c r="S2855" s="25" t="s">
        <v>39</v>
      </c>
    </row>
    <row r="2856" ht="39" customHeight="1" spans="1:19">
      <c r="A2856" s="19" t="s">
        <v>11084</v>
      </c>
      <c r="B2856" s="20" t="s">
        <v>196</v>
      </c>
      <c r="C2856" s="20" t="s">
        <v>849</v>
      </c>
      <c r="D2856" s="20" t="s">
        <v>32</v>
      </c>
      <c r="E2856" s="21" t="s">
        <v>11080</v>
      </c>
      <c r="F2856" s="21" t="s">
        <v>11085</v>
      </c>
      <c r="G2856" s="20" t="s">
        <v>35</v>
      </c>
      <c r="H2856" s="20" t="s">
        <v>25</v>
      </c>
      <c r="I2856" s="21" t="s">
        <v>11086</v>
      </c>
      <c r="J2856" s="22">
        <f t="shared" si="220"/>
        <v>6.90277777777374</v>
      </c>
      <c r="K2856" s="22">
        <f t="shared" si="221"/>
        <v>165.66666666657</v>
      </c>
      <c r="L2856" s="22">
        <f t="shared" si="222"/>
        <v>53.6666666665697</v>
      </c>
      <c r="M2856" s="22" cm="1">
        <f ca="1" t="array" ref="M2856">SUMPRODUCT(--(WEEKDAY(ROW(INDIRECT(INT(F2856)&amp;":"&amp;INT(I2856))),2)&gt;5))</f>
        <v>2</v>
      </c>
      <c r="N2856" s="22">
        <f ca="1" t="shared" si="223"/>
        <v>37.6666666665697</v>
      </c>
      <c r="O2856" s="22" t="str">
        <f ca="1" t="shared" si="224"/>
        <v>SLA Violated</v>
      </c>
      <c r="P2856" s="23" t="s">
        <v>11087</v>
      </c>
      <c r="Q2856" s="24" t="s">
        <v>28</v>
      </c>
      <c r="R2856" s="25"/>
      <c r="S2856" s="25"/>
    </row>
    <row r="2857" ht="27" customHeight="1" spans="1:19">
      <c r="A2857" s="19" t="s">
        <v>11088</v>
      </c>
      <c r="B2857" s="20" t="s">
        <v>121</v>
      </c>
      <c r="C2857" s="20" t="s">
        <v>849</v>
      </c>
      <c r="D2857" s="20" t="s">
        <v>21</v>
      </c>
      <c r="E2857" s="21" t="s">
        <v>11089</v>
      </c>
      <c r="F2857" s="21" t="s">
        <v>11090</v>
      </c>
      <c r="G2857" s="20" t="s">
        <v>35</v>
      </c>
      <c r="H2857" s="20" t="s">
        <v>25</v>
      </c>
      <c r="I2857" s="21" t="s">
        <v>11091</v>
      </c>
      <c r="J2857" s="22">
        <f t="shared" si="220"/>
        <v>6.9958333333343</v>
      </c>
      <c r="K2857" s="22">
        <f t="shared" si="221"/>
        <v>167.900000000023</v>
      </c>
      <c r="L2857" s="22">
        <f t="shared" si="222"/>
        <v>55.9000000000233</v>
      </c>
      <c r="M2857" s="22" cm="1">
        <f ca="1" t="array" ref="M2857">SUMPRODUCT(--(WEEKDAY(ROW(INDIRECT(INT(F2857)&amp;":"&amp;INT(I2857))),2)&gt;5))</f>
        <v>2</v>
      </c>
      <c r="N2857" s="22">
        <f ca="1" t="shared" si="223"/>
        <v>39.9000000000233</v>
      </c>
      <c r="O2857" s="22" t="str">
        <f ca="1" t="shared" si="224"/>
        <v>SLA Violated</v>
      </c>
      <c r="P2857" s="23" t="s">
        <v>11092</v>
      </c>
      <c r="Q2857" s="24" t="s">
        <v>28</v>
      </c>
      <c r="R2857" s="25"/>
      <c r="S2857" s="25"/>
    </row>
    <row r="2858" ht="39" customHeight="1" spans="1:19">
      <c r="A2858" s="19" t="s">
        <v>11093</v>
      </c>
      <c r="B2858" s="20" t="s">
        <v>196</v>
      </c>
      <c r="C2858" s="20" t="s">
        <v>2057</v>
      </c>
      <c r="D2858" s="20" t="s">
        <v>105</v>
      </c>
      <c r="E2858" s="21" t="s">
        <v>11091</v>
      </c>
      <c r="F2858" s="21" t="s">
        <v>11094</v>
      </c>
      <c r="G2858" s="20" t="s">
        <v>35</v>
      </c>
      <c r="H2858" s="20" t="s">
        <v>25</v>
      </c>
      <c r="I2858" s="21" t="s">
        <v>11047</v>
      </c>
      <c r="J2858" s="22">
        <f t="shared" si="220"/>
        <v>9.7368055555562</v>
      </c>
      <c r="K2858" s="22">
        <f t="shared" si="221"/>
        <v>233.683333333349</v>
      </c>
      <c r="L2858" s="22">
        <f t="shared" si="222"/>
        <v>73.6833333333489</v>
      </c>
      <c r="M2858" s="22" cm="1">
        <f ca="1" t="array" ref="M2858">SUMPRODUCT(--(WEEKDAY(ROW(INDIRECT(INT(F2858)&amp;":"&amp;INT(I2858))),2)&gt;5))</f>
        <v>2</v>
      </c>
      <c r="N2858" s="22">
        <f ca="1" t="shared" si="223"/>
        <v>57.6833333333489</v>
      </c>
      <c r="O2858" s="22" t="str">
        <f ca="1" t="shared" si="224"/>
        <v>SLA Violated</v>
      </c>
      <c r="P2858" s="23" t="s">
        <v>11095</v>
      </c>
      <c r="Q2858" s="24" t="s">
        <v>37</v>
      </c>
      <c r="R2858" s="25" t="s">
        <v>1690</v>
      </c>
      <c r="S2858" s="25" t="s">
        <v>39</v>
      </c>
    </row>
    <row r="2859" ht="39" customHeight="1" spans="1:19">
      <c r="A2859" s="19" t="s">
        <v>11096</v>
      </c>
      <c r="B2859" s="20" t="s">
        <v>19</v>
      </c>
      <c r="C2859" s="20" t="s">
        <v>20</v>
      </c>
      <c r="D2859" s="20" t="s">
        <v>32</v>
      </c>
      <c r="E2859" s="21" t="s">
        <v>11097</v>
      </c>
      <c r="F2859" s="21" t="s">
        <v>11098</v>
      </c>
      <c r="G2859" s="20" t="s">
        <v>35</v>
      </c>
      <c r="H2859" s="20" t="s">
        <v>25</v>
      </c>
      <c r="I2859" s="21" t="s">
        <v>11099</v>
      </c>
      <c r="J2859" s="22">
        <f t="shared" si="220"/>
        <v>0.00902777777810115</v>
      </c>
      <c r="K2859" s="22">
        <f t="shared" si="221"/>
        <v>0.216666666674428</v>
      </c>
      <c r="L2859" s="22">
        <f t="shared" si="222"/>
        <v>0.216666666674428</v>
      </c>
      <c r="M2859" s="22" cm="1">
        <f ca="1" t="array" ref="M2859">SUMPRODUCT(--(WEEKDAY(ROW(INDIRECT(INT(F2859)&amp;":"&amp;INT(I2859))),2)&gt;5))</f>
        <v>0</v>
      </c>
      <c r="N2859" s="22">
        <f ca="1" t="shared" si="223"/>
        <v>0.216666666674428</v>
      </c>
      <c r="O2859" s="22" t="str">
        <f ca="1" t="shared" si="224"/>
        <v>Within SLA</v>
      </c>
      <c r="P2859" s="26" t="s">
        <v>11096</v>
      </c>
      <c r="Q2859" s="24" t="s">
        <v>37</v>
      </c>
      <c r="R2859" s="25"/>
      <c r="S2859" s="25"/>
    </row>
    <row r="2860" ht="39" customHeight="1" spans="1:19">
      <c r="A2860" s="19" t="s">
        <v>11100</v>
      </c>
      <c r="B2860" s="20" t="s">
        <v>4167</v>
      </c>
      <c r="C2860" s="20" t="s">
        <v>2057</v>
      </c>
      <c r="D2860" s="20" t="s">
        <v>105</v>
      </c>
      <c r="E2860" s="21" t="s">
        <v>11101</v>
      </c>
      <c r="F2860" s="21" t="s">
        <v>11102</v>
      </c>
      <c r="G2860" s="20" t="s">
        <v>35</v>
      </c>
      <c r="H2860" s="20" t="s">
        <v>25</v>
      </c>
      <c r="I2860" s="21" t="s">
        <v>11103</v>
      </c>
      <c r="J2860" s="22">
        <f t="shared" si="220"/>
        <v>14.7472222222204</v>
      </c>
      <c r="K2860" s="22">
        <f t="shared" si="221"/>
        <v>353.933333333291</v>
      </c>
      <c r="L2860" s="22">
        <f t="shared" si="222"/>
        <v>113.933333333291</v>
      </c>
      <c r="M2860" s="22" cm="1">
        <f ca="1" t="array" ref="M2860">SUMPRODUCT(--(WEEKDAY(ROW(INDIRECT(INT(F2860)&amp;":"&amp;INT(I2860))),2)&gt;5))</f>
        <v>4</v>
      </c>
      <c r="N2860" s="22">
        <f ca="1" t="shared" si="223"/>
        <v>81.933333333291</v>
      </c>
      <c r="O2860" s="22" t="str">
        <f ca="1" t="shared" si="224"/>
        <v>SLA Violated</v>
      </c>
      <c r="P2860" s="23" t="s">
        <v>11104</v>
      </c>
      <c r="Q2860" s="24" t="s">
        <v>28</v>
      </c>
      <c r="R2860" s="25"/>
      <c r="S2860" s="25"/>
    </row>
    <row r="2861" ht="39" customHeight="1" spans="1:19">
      <c r="A2861" s="19" t="s">
        <v>11105</v>
      </c>
      <c r="B2861" s="20" t="s">
        <v>19</v>
      </c>
      <c r="C2861" s="20" t="s">
        <v>20</v>
      </c>
      <c r="D2861" s="20" t="s">
        <v>32</v>
      </c>
      <c r="E2861" s="21" t="s">
        <v>11101</v>
      </c>
      <c r="F2861" s="21" t="s">
        <v>11106</v>
      </c>
      <c r="G2861" s="20" t="s">
        <v>24</v>
      </c>
      <c r="H2861" s="20" t="s">
        <v>25</v>
      </c>
      <c r="I2861" s="21" t="s">
        <v>11107</v>
      </c>
      <c r="J2861" s="22">
        <f t="shared" si="220"/>
        <v>23.7798611111139</v>
      </c>
      <c r="K2861" s="22">
        <f t="shared" si="221"/>
        <v>570.716666666733</v>
      </c>
      <c r="L2861" s="22">
        <f t="shared" si="222"/>
        <v>186.716666666733</v>
      </c>
      <c r="M2861" s="22" cm="1">
        <f ca="1" t="array" ref="M2861">SUMPRODUCT(--(WEEKDAY(ROW(INDIRECT(INT(F2861)&amp;":"&amp;INT(I2861))),2)&gt;5))</f>
        <v>6</v>
      </c>
      <c r="N2861" s="22">
        <f ca="1" t="shared" si="223"/>
        <v>138.716666666733</v>
      </c>
      <c r="O2861" s="22" t="str">
        <f ca="1" t="shared" si="224"/>
        <v>SLA Violated</v>
      </c>
      <c r="P2861" s="23" t="s">
        <v>11108</v>
      </c>
      <c r="Q2861" s="24" t="s">
        <v>37</v>
      </c>
      <c r="R2861" s="25" t="s">
        <v>749</v>
      </c>
      <c r="S2861" s="25" t="s">
        <v>39</v>
      </c>
    </row>
    <row r="2862" ht="27" customHeight="1" spans="1:19">
      <c r="A2862" s="19" t="s">
        <v>11109</v>
      </c>
      <c r="B2862" s="20" t="s">
        <v>30</v>
      </c>
      <c r="C2862" s="20" t="s">
        <v>31</v>
      </c>
      <c r="D2862" s="20" t="s">
        <v>32</v>
      </c>
      <c r="E2862" s="21" t="s">
        <v>11110</v>
      </c>
      <c r="F2862" s="21" t="s">
        <v>11111</v>
      </c>
      <c r="G2862" s="20" t="s">
        <v>24</v>
      </c>
      <c r="H2862" s="20" t="s">
        <v>25</v>
      </c>
      <c r="I2862" s="21" t="s">
        <v>11112</v>
      </c>
      <c r="J2862" s="22">
        <f t="shared" si="220"/>
        <v>15.7222222222263</v>
      </c>
      <c r="K2862" s="22">
        <f t="shared" si="221"/>
        <v>377.33333333343</v>
      </c>
      <c r="L2862" s="22">
        <f t="shared" si="222"/>
        <v>121.33333333343</v>
      </c>
      <c r="M2862" s="22" cm="1">
        <f ca="1" t="array" ref="M2862">SUMPRODUCT(--(WEEKDAY(ROW(INDIRECT(INT(F2862)&amp;":"&amp;INT(I2862))),2)&gt;5))</f>
        <v>4</v>
      </c>
      <c r="N2862" s="22">
        <f ca="1" t="shared" si="223"/>
        <v>89.33333333343</v>
      </c>
      <c r="O2862" s="22" t="str">
        <f ca="1" t="shared" si="224"/>
        <v>SLA Violated</v>
      </c>
      <c r="P2862" s="23" t="s">
        <v>11113</v>
      </c>
      <c r="Q2862" s="24" t="s">
        <v>37</v>
      </c>
      <c r="R2862" s="25" t="s">
        <v>38</v>
      </c>
      <c r="S2862" s="25" t="s">
        <v>39</v>
      </c>
    </row>
    <row r="2863" ht="27" customHeight="1" spans="1:19">
      <c r="A2863" s="19" t="s">
        <v>11114</v>
      </c>
      <c r="B2863" s="20" t="s">
        <v>121</v>
      </c>
      <c r="C2863" s="20" t="s">
        <v>849</v>
      </c>
      <c r="D2863" s="20" t="s">
        <v>32</v>
      </c>
      <c r="E2863" s="21" t="s">
        <v>11115</v>
      </c>
      <c r="F2863" s="21" t="s">
        <v>11116</v>
      </c>
      <c r="G2863" s="20" t="s">
        <v>35</v>
      </c>
      <c r="H2863" s="20" t="s">
        <v>25</v>
      </c>
      <c r="I2863" s="21" t="s">
        <v>11117</v>
      </c>
      <c r="J2863" s="22">
        <f t="shared" si="220"/>
        <v>16.7284722222248</v>
      </c>
      <c r="K2863" s="22">
        <f t="shared" si="221"/>
        <v>401.483333333395</v>
      </c>
      <c r="L2863" s="22">
        <f t="shared" si="222"/>
        <v>129.483333333395</v>
      </c>
      <c r="M2863" s="22" cm="1">
        <f ca="1" t="array" ref="M2863">SUMPRODUCT(--(WEEKDAY(ROW(INDIRECT(INT(F2863)&amp;":"&amp;INT(I2863))),2)&gt;5))</f>
        <v>4</v>
      </c>
      <c r="N2863" s="22">
        <f ca="1" t="shared" si="223"/>
        <v>97.483333333395</v>
      </c>
      <c r="O2863" s="22" t="str">
        <f ca="1" t="shared" si="224"/>
        <v>SLA Violated</v>
      </c>
      <c r="P2863" s="23" t="s">
        <v>11118</v>
      </c>
      <c r="Q2863" s="24" t="s">
        <v>28</v>
      </c>
      <c r="R2863" s="25"/>
      <c r="S2863" s="25"/>
    </row>
    <row r="2864" ht="39" customHeight="1" spans="1:19">
      <c r="A2864" s="19" t="s">
        <v>11119</v>
      </c>
      <c r="B2864" s="20" t="s">
        <v>19</v>
      </c>
      <c r="C2864" s="20" t="s">
        <v>20</v>
      </c>
      <c r="D2864" s="20" t="s">
        <v>32</v>
      </c>
      <c r="E2864" s="21" t="s">
        <v>11120</v>
      </c>
      <c r="F2864" s="21" t="s">
        <v>11121</v>
      </c>
      <c r="G2864" s="20" t="s">
        <v>35</v>
      </c>
      <c r="H2864" s="20" t="s">
        <v>25</v>
      </c>
      <c r="I2864" s="21" t="s">
        <v>11122</v>
      </c>
      <c r="J2864" s="22">
        <f t="shared" si="220"/>
        <v>5.33680555555475</v>
      </c>
      <c r="K2864" s="22">
        <f t="shared" si="221"/>
        <v>128.083333333314</v>
      </c>
      <c r="L2864" s="22">
        <f t="shared" si="222"/>
        <v>48.0833333333139</v>
      </c>
      <c r="M2864" s="22" cm="1">
        <f ca="1" t="array" ref="M2864">SUMPRODUCT(--(WEEKDAY(ROW(INDIRECT(INT(F2864)&amp;":"&amp;INT(I2864))),2)&gt;5))</f>
        <v>2</v>
      </c>
      <c r="N2864" s="22">
        <f ca="1" t="shared" si="223"/>
        <v>32.0833333333139</v>
      </c>
      <c r="O2864" s="22" t="str">
        <f ca="1" t="shared" si="224"/>
        <v>SLA Violated</v>
      </c>
      <c r="P2864" s="23" t="s">
        <v>11123</v>
      </c>
      <c r="Q2864" s="24" t="s">
        <v>28</v>
      </c>
      <c r="R2864" s="25"/>
      <c r="S2864" s="25"/>
    </row>
    <row r="2865" ht="39" customHeight="1" spans="1:19">
      <c r="A2865" s="19" t="s">
        <v>11124</v>
      </c>
      <c r="B2865" s="20" t="s">
        <v>19</v>
      </c>
      <c r="C2865" s="20" t="s">
        <v>20</v>
      </c>
      <c r="D2865" s="20" t="s">
        <v>32</v>
      </c>
      <c r="E2865" s="21" t="s">
        <v>11125</v>
      </c>
      <c r="F2865" s="21" t="s">
        <v>11126</v>
      </c>
      <c r="G2865" s="20" t="s">
        <v>35</v>
      </c>
      <c r="H2865" s="20" t="s">
        <v>25</v>
      </c>
      <c r="I2865" s="21" t="s">
        <v>11127</v>
      </c>
      <c r="J2865" s="22">
        <f t="shared" si="220"/>
        <v>6.01805555554893</v>
      </c>
      <c r="K2865" s="22">
        <f t="shared" si="221"/>
        <v>144.433333333174</v>
      </c>
      <c r="L2865" s="22">
        <f t="shared" si="222"/>
        <v>48.4333333331742</v>
      </c>
      <c r="M2865" s="22" cm="1">
        <f ca="1" t="array" ref="M2865">SUMPRODUCT(--(WEEKDAY(ROW(INDIRECT(INT(F2865)&amp;":"&amp;INT(I2865))),2)&gt;5))</f>
        <v>2</v>
      </c>
      <c r="N2865" s="22">
        <f ca="1" t="shared" si="223"/>
        <v>32.4333333331742</v>
      </c>
      <c r="O2865" s="22" t="str">
        <f ca="1" t="shared" si="224"/>
        <v>SLA Violated</v>
      </c>
      <c r="P2865" s="23" t="s">
        <v>11128</v>
      </c>
      <c r="Q2865" s="24" t="s">
        <v>37</v>
      </c>
      <c r="R2865" s="25" t="s">
        <v>129</v>
      </c>
      <c r="S2865" s="25" t="s">
        <v>39</v>
      </c>
    </row>
    <row r="2866" ht="39" customHeight="1" spans="1:19">
      <c r="A2866" s="19" t="s">
        <v>11129</v>
      </c>
      <c r="B2866" s="20" t="s">
        <v>19</v>
      </c>
      <c r="C2866" s="20" t="s">
        <v>20</v>
      </c>
      <c r="D2866" s="20" t="s">
        <v>32</v>
      </c>
      <c r="E2866" s="21" t="s">
        <v>11130</v>
      </c>
      <c r="F2866" s="21" t="s">
        <v>11131</v>
      </c>
      <c r="G2866" s="20" t="s">
        <v>35</v>
      </c>
      <c r="H2866" s="20" t="s">
        <v>25</v>
      </c>
      <c r="I2866" s="21" t="s">
        <v>11132</v>
      </c>
      <c r="J2866" s="22">
        <f t="shared" si="220"/>
        <v>0.101388888891961</v>
      </c>
      <c r="K2866" s="22">
        <f t="shared" si="221"/>
        <v>2.43333333340706</v>
      </c>
      <c r="L2866" s="22">
        <f t="shared" si="222"/>
        <v>2.43333333340706</v>
      </c>
      <c r="M2866" s="22" cm="1">
        <f ca="1" t="array" ref="M2866">SUMPRODUCT(--(WEEKDAY(ROW(INDIRECT(INT(F2866)&amp;":"&amp;INT(I2866))),2)&gt;5))</f>
        <v>0</v>
      </c>
      <c r="N2866" s="22">
        <f ca="1" t="shared" si="223"/>
        <v>2.43333333340706</v>
      </c>
      <c r="O2866" s="22" t="str">
        <f ca="1" t="shared" si="224"/>
        <v>Within SLA</v>
      </c>
      <c r="P2866" s="26" t="s">
        <v>11129</v>
      </c>
      <c r="Q2866" s="24" t="s">
        <v>37</v>
      </c>
      <c r="R2866" s="25"/>
      <c r="S2866" s="25"/>
    </row>
    <row r="2867" ht="27" customHeight="1" spans="1:19">
      <c r="A2867" s="19" t="s">
        <v>11133</v>
      </c>
      <c r="B2867" s="20" t="s">
        <v>30</v>
      </c>
      <c r="C2867" s="20" t="s">
        <v>31</v>
      </c>
      <c r="D2867" s="20" t="s">
        <v>32</v>
      </c>
      <c r="E2867" s="21" t="s">
        <v>11134</v>
      </c>
      <c r="F2867" s="21" t="s">
        <v>11135</v>
      </c>
      <c r="G2867" s="20" t="s">
        <v>35</v>
      </c>
      <c r="H2867" s="20" t="s">
        <v>25</v>
      </c>
      <c r="I2867" s="21" t="s">
        <v>11122</v>
      </c>
      <c r="J2867" s="22">
        <f t="shared" si="220"/>
        <v>26.0479166666628</v>
      </c>
      <c r="K2867" s="22">
        <f t="shared" si="221"/>
        <v>625.149999999907</v>
      </c>
      <c r="L2867" s="22">
        <f t="shared" si="222"/>
        <v>209.149999999907</v>
      </c>
      <c r="M2867" s="22" cm="1">
        <f ca="1" t="array" ref="M2867">SUMPRODUCT(--(WEEKDAY(ROW(INDIRECT(INT(F2867)&amp;":"&amp;INT(I2867))),2)&gt;5))</f>
        <v>8</v>
      </c>
      <c r="N2867" s="22">
        <f ca="1" t="shared" si="223"/>
        <v>145.149999999907</v>
      </c>
      <c r="O2867" s="22" t="str">
        <f ca="1" t="shared" si="224"/>
        <v>SLA Violated</v>
      </c>
      <c r="P2867" s="23" t="s">
        <v>11136</v>
      </c>
      <c r="Q2867" s="24" t="s">
        <v>37</v>
      </c>
      <c r="R2867" s="25" t="s">
        <v>1020</v>
      </c>
      <c r="S2867" s="25" t="s">
        <v>39</v>
      </c>
    </row>
    <row r="2868" ht="39" customHeight="1" spans="1:19">
      <c r="A2868" s="19" t="s">
        <v>11137</v>
      </c>
      <c r="B2868" s="20" t="s">
        <v>19</v>
      </c>
      <c r="C2868" s="20" t="s">
        <v>20</v>
      </c>
      <c r="D2868" s="20" t="s">
        <v>32</v>
      </c>
      <c r="E2868" s="21" t="s">
        <v>11132</v>
      </c>
      <c r="F2868" s="21" t="s">
        <v>11138</v>
      </c>
      <c r="G2868" s="20" t="s">
        <v>35</v>
      </c>
      <c r="H2868" s="20" t="s">
        <v>25</v>
      </c>
      <c r="I2868" s="21" t="s">
        <v>11139</v>
      </c>
      <c r="J2868" s="22">
        <f t="shared" si="220"/>
        <v>0.122916666667152</v>
      </c>
      <c r="K2868" s="22">
        <f t="shared" si="221"/>
        <v>2.95000000001164</v>
      </c>
      <c r="L2868" s="22">
        <f t="shared" si="222"/>
        <v>2.95000000001164</v>
      </c>
      <c r="M2868" s="22" cm="1">
        <f ca="1" t="array" ref="M2868">SUMPRODUCT(--(WEEKDAY(ROW(INDIRECT(INT(F2868)&amp;":"&amp;INT(I2868))),2)&gt;5))</f>
        <v>0</v>
      </c>
      <c r="N2868" s="22">
        <f ca="1" t="shared" si="223"/>
        <v>2.95000000001164</v>
      </c>
      <c r="O2868" s="22" t="str">
        <f ca="1" t="shared" si="224"/>
        <v>Within SLA</v>
      </c>
      <c r="P2868" s="26" t="s">
        <v>11137</v>
      </c>
      <c r="Q2868" s="24" t="s">
        <v>37</v>
      </c>
      <c r="R2868" s="25"/>
      <c r="S2868" s="25"/>
    </row>
    <row r="2869" ht="39" customHeight="1" spans="1:19">
      <c r="A2869" s="19" t="s">
        <v>11140</v>
      </c>
      <c r="B2869" s="20" t="s">
        <v>19</v>
      </c>
      <c r="C2869" s="20" t="s">
        <v>20</v>
      </c>
      <c r="D2869" s="20" t="s">
        <v>32</v>
      </c>
      <c r="E2869" s="21" t="s">
        <v>10943</v>
      </c>
      <c r="F2869" s="21" t="s">
        <v>11141</v>
      </c>
      <c r="G2869" s="20" t="s">
        <v>35</v>
      </c>
      <c r="H2869" s="20" t="s">
        <v>25</v>
      </c>
      <c r="I2869" s="21" t="s">
        <v>11142</v>
      </c>
      <c r="J2869" s="22">
        <f t="shared" si="220"/>
        <v>0.0173611111094942</v>
      </c>
      <c r="K2869" s="22">
        <f t="shared" si="221"/>
        <v>0.416666666627862</v>
      </c>
      <c r="L2869" s="22">
        <f t="shared" si="222"/>
        <v>0.416666666627862</v>
      </c>
      <c r="M2869" s="22" cm="1">
        <f ca="1" t="array" ref="M2869">SUMPRODUCT(--(WEEKDAY(ROW(INDIRECT(INT(F2869)&amp;":"&amp;INT(I2869))),2)&gt;5))</f>
        <v>0</v>
      </c>
      <c r="N2869" s="22">
        <f ca="1" t="shared" si="223"/>
        <v>0.416666666627862</v>
      </c>
      <c r="O2869" s="22" t="str">
        <f ca="1" t="shared" si="224"/>
        <v>Within SLA</v>
      </c>
      <c r="P2869" s="26" t="s">
        <v>11140</v>
      </c>
      <c r="Q2869" s="24" t="s">
        <v>37</v>
      </c>
      <c r="R2869" s="25"/>
      <c r="S2869" s="25"/>
    </row>
    <row r="2870" ht="50" customHeight="1" spans="1:19">
      <c r="A2870" s="19" t="s">
        <v>11143</v>
      </c>
      <c r="B2870" s="20" t="s">
        <v>369</v>
      </c>
      <c r="C2870" s="20" t="s">
        <v>46</v>
      </c>
      <c r="D2870" s="20" t="s">
        <v>32</v>
      </c>
      <c r="E2870" s="21" t="s">
        <v>11144</v>
      </c>
      <c r="F2870" s="21" t="s">
        <v>11145</v>
      </c>
      <c r="G2870" s="20" t="s">
        <v>35</v>
      </c>
      <c r="H2870" s="20" t="s">
        <v>25</v>
      </c>
      <c r="I2870" s="21" t="s">
        <v>11146</v>
      </c>
      <c r="J2870" s="22">
        <f t="shared" si="220"/>
        <v>0.0243055555547471</v>
      </c>
      <c r="K2870" s="22">
        <f t="shared" si="221"/>
        <v>0.583333333313931</v>
      </c>
      <c r="L2870" s="22">
        <f t="shared" si="222"/>
        <v>0.583333333313931</v>
      </c>
      <c r="M2870" s="22" cm="1">
        <f ca="1" t="array" ref="M2870">SUMPRODUCT(--(WEEKDAY(ROW(INDIRECT(INT(F2870)&amp;":"&amp;INT(I2870))),2)&gt;5))</f>
        <v>0</v>
      </c>
      <c r="N2870" s="22">
        <f ca="1" t="shared" si="223"/>
        <v>0.583333333313931</v>
      </c>
      <c r="O2870" s="22" t="str">
        <f ca="1" t="shared" si="224"/>
        <v>Within SLA</v>
      </c>
      <c r="P2870" s="26" t="s">
        <v>11143</v>
      </c>
      <c r="Q2870" s="24" t="s">
        <v>37</v>
      </c>
      <c r="R2870" s="25"/>
      <c r="S2870" s="25"/>
    </row>
    <row r="2871" ht="39" customHeight="1" spans="1:19">
      <c r="A2871" s="19" t="s">
        <v>11147</v>
      </c>
      <c r="B2871" s="20" t="s">
        <v>196</v>
      </c>
      <c r="C2871" s="20" t="s">
        <v>849</v>
      </c>
      <c r="D2871" s="20" t="s">
        <v>21</v>
      </c>
      <c r="E2871" s="21" t="s">
        <v>11148</v>
      </c>
      <c r="F2871" s="21" t="s">
        <v>11149</v>
      </c>
      <c r="G2871" s="20" t="s">
        <v>35</v>
      </c>
      <c r="H2871" s="20" t="s">
        <v>25</v>
      </c>
      <c r="I2871" s="21" t="s">
        <v>11150</v>
      </c>
      <c r="J2871" s="22">
        <f t="shared" si="220"/>
        <v>0.00694444444525288</v>
      </c>
      <c r="K2871" s="22">
        <f t="shared" si="221"/>
        <v>0.166666666686069</v>
      </c>
      <c r="L2871" s="22">
        <f t="shared" si="222"/>
        <v>0.166666666686069</v>
      </c>
      <c r="M2871" s="22" cm="1">
        <f ca="1" t="array" ref="M2871">SUMPRODUCT(--(WEEKDAY(ROW(INDIRECT(INT(F2871)&amp;":"&amp;INT(I2871))),2)&gt;5))</f>
        <v>0</v>
      </c>
      <c r="N2871" s="22">
        <f ca="1" t="shared" si="223"/>
        <v>0.166666666686069</v>
      </c>
      <c r="O2871" s="22" t="str">
        <f ca="1" t="shared" si="224"/>
        <v>Within SLA</v>
      </c>
      <c r="P2871" s="26" t="s">
        <v>11147</v>
      </c>
      <c r="Q2871" s="24" t="s">
        <v>37</v>
      </c>
      <c r="R2871" s="25"/>
      <c r="S2871" s="25"/>
    </row>
    <row r="2872" ht="27" customHeight="1" spans="1:19">
      <c r="A2872" s="19" t="s">
        <v>11151</v>
      </c>
      <c r="B2872" s="20" t="s">
        <v>30</v>
      </c>
      <c r="C2872" s="20" t="s">
        <v>101</v>
      </c>
      <c r="D2872" s="20" t="s">
        <v>32</v>
      </c>
      <c r="E2872" s="21" t="s">
        <v>11152</v>
      </c>
      <c r="F2872" s="21" t="s">
        <v>11153</v>
      </c>
      <c r="G2872" s="20" t="s">
        <v>35</v>
      </c>
      <c r="H2872" s="20" t="s">
        <v>25</v>
      </c>
      <c r="I2872" s="21" t="s">
        <v>11154</v>
      </c>
      <c r="J2872" s="22">
        <f t="shared" si="220"/>
        <v>0.122222222220444</v>
      </c>
      <c r="K2872" s="22">
        <f t="shared" si="221"/>
        <v>2.93333333329065</v>
      </c>
      <c r="L2872" s="22">
        <f t="shared" si="222"/>
        <v>2.93333333329065</v>
      </c>
      <c r="M2872" s="22" cm="1">
        <f ca="1" t="array" ref="M2872">SUMPRODUCT(--(WEEKDAY(ROW(INDIRECT(INT(F2872)&amp;":"&amp;INT(I2872))),2)&gt;5))</f>
        <v>0</v>
      </c>
      <c r="N2872" s="22">
        <f ca="1" t="shared" si="223"/>
        <v>2.93333333329065</v>
      </c>
      <c r="O2872" s="22" t="str">
        <f ca="1" t="shared" si="224"/>
        <v>Within SLA</v>
      </c>
      <c r="P2872" s="26" t="s">
        <v>11151</v>
      </c>
      <c r="Q2872" s="24" t="s">
        <v>37</v>
      </c>
      <c r="R2872" s="25"/>
      <c r="S2872" s="25"/>
    </row>
    <row r="2873" ht="39" customHeight="1" spans="1:19">
      <c r="A2873" s="19" t="s">
        <v>11155</v>
      </c>
      <c r="B2873" s="20" t="s">
        <v>19</v>
      </c>
      <c r="C2873" s="20" t="s">
        <v>20</v>
      </c>
      <c r="D2873" s="20" t="s">
        <v>32</v>
      </c>
      <c r="E2873" s="21" t="s">
        <v>11156</v>
      </c>
      <c r="F2873" s="21" t="s">
        <v>11157</v>
      </c>
      <c r="G2873" s="20" t="s">
        <v>35</v>
      </c>
      <c r="H2873" s="20" t="s">
        <v>25</v>
      </c>
      <c r="I2873" s="21" t="s">
        <v>11158</v>
      </c>
      <c r="J2873" s="22">
        <f t="shared" si="220"/>
        <v>0.0368055555591127</v>
      </c>
      <c r="K2873" s="22">
        <f t="shared" si="221"/>
        <v>0.883333333418705</v>
      </c>
      <c r="L2873" s="22">
        <f t="shared" si="222"/>
        <v>0.883333333418705</v>
      </c>
      <c r="M2873" s="22" cm="1">
        <f ca="1" t="array" ref="M2873">SUMPRODUCT(--(WEEKDAY(ROW(INDIRECT(INT(F2873)&amp;":"&amp;INT(I2873))),2)&gt;5))</f>
        <v>0</v>
      </c>
      <c r="N2873" s="22">
        <f ca="1" t="shared" si="223"/>
        <v>0.883333333418705</v>
      </c>
      <c r="O2873" s="22" t="str">
        <f ca="1" t="shared" si="224"/>
        <v>Within SLA</v>
      </c>
      <c r="P2873" s="26" t="s">
        <v>11155</v>
      </c>
      <c r="Q2873" s="24" t="s">
        <v>37</v>
      </c>
      <c r="R2873" s="25"/>
      <c r="S2873" s="25"/>
    </row>
    <row r="2874" ht="27" customHeight="1" spans="1:19">
      <c r="A2874" s="19" t="s">
        <v>11159</v>
      </c>
      <c r="B2874" s="20" t="s">
        <v>30</v>
      </c>
      <c r="C2874" s="20" t="s">
        <v>31</v>
      </c>
      <c r="D2874" s="20" t="s">
        <v>32</v>
      </c>
      <c r="E2874" s="21" t="s">
        <v>11131</v>
      </c>
      <c r="F2874" s="21" t="s">
        <v>11160</v>
      </c>
      <c r="G2874" s="20" t="s">
        <v>35</v>
      </c>
      <c r="H2874" s="20" t="s">
        <v>25</v>
      </c>
      <c r="I2874" s="21" t="s">
        <v>11161</v>
      </c>
      <c r="J2874" s="22">
        <f t="shared" si="220"/>
        <v>0.086111111108039</v>
      </c>
      <c r="K2874" s="22">
        <f t="shared" si="221"/>
        <v>2.06666666659294</v>
      </c>
      <c r="L2874" s="22">
        <f t="shared" si="222"/>
        <v>2.06666666659294</v>
      </c>
      <c r="M2874" s="22" cm="1">
        <f ca="1" t="array" ref="M2874">SUMPRODUCT(--(WEEKDAY(ROW(INDIRECT(INT(F2874)&amp;":"&amp;INT(I2874))),2)&gt;5))</f>
        <v>0</v>
      </c>
      <c r="N2874" s="22">
        <f ca="1" t="shared" si="223"/>
        <v>2.06666666659294</v>
      </c>
      <c r="O2874" s="22" t="str">
        <f ca="1" t="shared" si="224"/>
        <v>Within SLA</v>
      </c>
      <c r="P2874" s="26" t="s">
        <v>11159</v>
      </c>
      <c r="Q2874" s="24" t="s">
        <v>37</v>
      </c>
      <c r="R2874" s="25"/>
      <c r="S2874" s="25"/>
    </row>
    <row r="2875" ht="39" customHeight="1" spans="1:19">
      <c r="A2875" s="19" t="s">
        <v>11162</v>
      </c>
      <c r="B2875" s="20" t="s">
        <v>19</v>
      </c>
      <c r="C2875" s="20" t="s">
        <v>20</v>
      </c>
      <c r="D2875" s="20" t="s">
        <v>32</v>
      </c>
      <c r="E2875" s="21" t="s">
        <v>11163</v>
      </c>
      <c r="F2875" s="21" t="s">
        <v>11164</v>
      </c>
      <c r="G2875" s="20" t="s">
        <v>35</v>
      </c>
      <c r="H2875" s="20" t="s">
        <v>25</v>
      </c>
      <c r="I2875" s="21" t="s">
        <v>11165</v>
      </c>
      <c r="J2875" s="22">
        <f t="shared" si="220"/>
        <v>0.0124999999970896</v>
      </c>
      <c r="K2875" s="22">
        <f t="shared" si="221"/>
        <v>0.299999999930151</v>
      </c>
      <c r="L2875" s="22">
        <f t="shared" si="222"/>
        <v>0.299999999930151</v>
      </c>
      <c r="M2875" s="22" cm="1">
        <f ca="1" t="array" ref="M2875">SUMPRODUCT(--(WEEKDAY(ROW(INDIRECT(INT(F2875)&amp;":"&amp;INT(I2875))),2)&gt;5))</f>
        <v>0</v>
      </c>
      <c r="N2875" s="22">
        <f ca="1" t="shared" si="223"/>
        <v>0.299999999930151</v>
      </c>
      <c r="O2875" s="22" t="str">
        <f ca="1" t="shared" si="224"/>
        <v>Within SLA</v>
      </c>
      <c r="P2875" s="26" t="s">
        <v>11162</v>
      </c>
      <c r="Q2875" s="24" t="s">
        <v>37</v>
      </c>
      <c r="R2875" s="25"/>
      <c r="S2875" s="25"/>
    </row>
    <row r="2876" ht="39" customHeight="1" spans="1:19">
      <c r="A2876" s="19" t="s">
        <v>11166</v>
      </c>
      <c r="B2876" s="20" t="s">
        <v>19</v>
      </c>
      <c r="C2876" s="20" t="s">
        <v>20</v>
      </c>
      <c r="D2876" s="20" t="s">
        <v>32</v>
      </c>
      <c r="E2876" s="21" t="s">
        <v>11167</v>
      </c>
      <c r="F2876" s="21" t="s">
        <v>11168</v>
      </c>
      <c r="G2876" s="20" t="s">
        <v>35</v>
      </c>
      <c r="H2876" s="20" t="s">
        <v>25</v>
      </c>
      <c r="I2876" s="21" t="s">
        <v>11169</v>
      </c>
      <c r="J2876" s="22">
        <f t="shared" si="220"/>
        <v>4.8701388888876</v>
      </c>
      <c r="K2876" s="22">
        <f t="shared" si="221"/>
        <v>116.883333333302</v>
      </c>
      <c r="L2876" s="22">
        <f t="shared" si="222"/>
        <v>36.8833333333023</v>
      </c>
      <c r="M2876" s="22" cm="1">
        <f ca="1" t="array" ref="M2876">SUMPRODUCT(--(WEEKDAY(ROW(INDIRECT(INT(F2876)&amp;":"&amp;INT(I2876))),2)&gt;5))</f>
        <v>2</v>
      </c>
      <c r="N2876" s="22">
        <f ca="1" t="shared" si="223"/>
        <v>20.8833333333023</v>
      </c>
      <c r="O2876" s="22" t="str">
        <f ca="1" t="shared" si="224"/>
        <v>SLA Violated</v>
      </c>
      <c r="P2876" s="23" t="s">
        <v>11170</v>
      </c>
      <c r="Q2876" s="24" t="s">
        <v>37</v>
      </c>
      <c r="R2876" s="25" t="s">
        <v>38</v>
      </c>
      <c r="S2876" s="25" t="s">
        <v>39</v>
      </c>
    </row>
    <row r="2877" ht="27" customHeight="1" spans="1:19">
      <c r="A2877" s="19" t="s">
        <v>11171</v>
      </c>
      <c r="B2877" s="20" t="s">
        <v>139</v>
      </c>
      <c r="C2877" s="20" t="s">
        <v>2057</v>
      </c>
      <c r="D2877" s="20" t="s">
        <v>21</v>
      </c>
      <c r="E2877" s="21" t="s">
        <v>11172</v>
      </c>
      <c r="F2877" s="21" t="s">
        <v>11173</v>
      </c>
      <c r="G2877" s="20" t="s">
        <v>35</v>
      </c>
      <c r="H2877" s="20" t="s">
        <v>25</v>
      </c>
      <c r="I2877" s="21" t="s">
        <v>11174</v>
      </c>
      <c r="J2877" s="22">
        <f t="shared" si="220"/>
        <v>19.0305555555606</v>
      </c>
      <c r="K2877" s="22">
        <f t="shared" si="221"/>
        <v>456.733333333454</v>
      </c>
      <c r="L2877" s="22">
        <f t="shared" si="222"/>
        <v>152.733333333454</v>
      </c>
      <c r="M2877" s="22" cm="1">
        <f ca="1" t="array" ref="M2877">SUMPRODUCT(--(WEEKDAY(ROW(INDIRECT(INT(F2877)&amp;":"&amp;INT(I2877))),2)&gt;5))</f>
        <v>6</v>
      </c>
      <c r="N2877" s="22">
        <f ca="1" t="shared" si="223"/>
        <v>104.733333333454</v>
      </c>
      <c r="O2877" s="22" t="str">
        <f ca="1" t="shared" si="224"/>
        <v>SLA Violated</v>
      </c>
      <c r="P2877" s="23" t="s">
        <v>11175</v>
      </c>
      <c r="Q2877" s="24" t="s">
        <v>28</v>
      </c>
      <c r="R2877" s="25"/>
      <c r="S2877" s="25"/>
    </row>
    <row r="2878" ht="39" customHeight="1" spans="1:19">
      <c r="A2878" s="19" t="s">
        <v>11176</v>
      </c>
      <c r="B2878" s="20" t="s">
        <v>19</v>
      </c>
      <c r="C2878" s="20" t="s">
        <v>20</v>
      </c>
      <c r="D2878" s="20" t="s">
        <v>32</v>
      </c>
      <c r="E2878" s="21" t="s">
        <v>11172</v>
      </c>
      <c r="F2878" s="21" t="s">
        <v>11177</v>
      </c>
      <c r="G2878" s="20" t="s">
        <v>35</v>
      </c>
      <c r="H2878" s="20" t="s">
        <v>25</v>
      </c>
      <c r="I2878" s="21" t="s">
        <v>11178</v>
      </c>
      <c r="J2878" s="22">
        <f t="shared" si="220"/>
        <v>0.0159722222160781</v>
      </c>
      <c r="K2878" s="22">
        <f t="shared" si="221"/>
        <v>0.383333333185874</v>
      </c>
      <c r="L2878" s="22">
        <f t="shared" si="222"/>
        <v>0.383333333185874</v>
      </c>
      <c r="M2878" s="22" cm="1">
        <f ca="1" t="array" ref="M2878">SUMPRODUCT(--(WEEKDAY(ROW(INDIRECT(INT(F2878)&amp;":"&amp;INT(I2878))),2)&gt;5))</f>
        <v>0</v>
      </c>
      <c r="N2878" s="22">
        <f ca="1" t="shared" si="223"/>
        <v>0.383333333185874</v>
      </c>
      <c r="O2878" s="22" t="str">
        <f ca="1" t="shared" si="224"/>
        <v>Within SLA</v>
      </c>
      <c r="P2878" s="26" t="s">
        <v>11176</v>
      </c>
      <c r="Q2878" s="24" t="s">
        <v>37</v>
      </c>
      <c r="R2878" s="25"/>
      <c r="S2878" s="25"/>
    </row>
    <row r="2879" ht="39" customHeight="1" spans="1:19">
      <c r="A2879" s="19" t="s">
        <v>11179</v>
      </c>
      <c r="B2879" s="20" t="s">
        <v>196</v>
      </c>
      <c r="C2879" s="20" t="s">
        <v>46</v>
      </c>
      <c r="D2879" s="20" t="s">
        <v>21</v>
      </c>
      <c r="E2879" s="21" t="s">
        <v>11180</v>
      </c>
      <c r="F2879" s="21" t="s">
        <v>11181</v>
      </c>
      <c r="G2879" s="20" t="s">
        <v>24</v>
      </c>
      <c r="H2879" s="20" t="s">
        <v>25</v>
      </c>
      <c r="I2879" s="21" t="s">
        <v>11182</v>
      </c>
      <c r="J2879" s="22">
        <f t="shared" si="220"/>
        <v>0.0124999999970896</v>
      </c>
      <c r="K2879" s="22">
        <f t="shared" si="221"/>
        <v>0.299999999930151</v>
      </c>
      <c r="L2879" s="22">
        <f t="shared" si="222"/>
        <v>0.299999999930151</v>
      </c>
      <c r="M2879" s="22" cm="1">
        <f ca="1" t="array" ref="M2879">SUMPRODUCT(--(WEEKDAY(ROW(INDIRECT(INT(F2879)&amp;":"&amp;INT(I2879))),2)&gt;5))</f>
        <v>0</v>
      </c>
      <c r="N2879" s="22">
        <f ca="1" t="shared" si="223"/>
        <v>0.299999999930151</v>
      </c>
      <c r="O2879" s="22" t="str">
        <f ca="1" t="shared" si="224"/>
        <v>Within SLA</v>
      </c>
      <c r="P2879" s="26" t="s">
        <v>11179</v>
      </c>
      <c r="Q2879" s="24" t="s">
        <v>37</v>
      </c>
      <c r="R2879" s="25"/>
      <c r="S2879" s="25"/>
    </row>
    <row r="2880" ht="39" customHeight="1" spans="1:19">
      <c r="A2880" s="19" t="s">
        <v>11183</v>
      </c>
      <c r="B2880" s="20" t="s">
        <v>702</v>
      </c>
      <c r="C2880" s="20" t="s">
        <v>46</v>
      </c>
      <c r="D2880" s="20" t="s">
        <v>32</v>
      </c>
      <c r="E2880" s="21" t="s">
        <v>11184</v>
      </c>
      <c r="F2880" s="21" t="s">
        <v>11185</v>
      </c>
      <c r="G2880" s="20" t="s">
        <v>35</v>
      </c>
      <c r="H2880" s="20" t="s">
        <v>25</v>
      </c>
      <c r="I2880" s="21" t="s">
        <v>11186</v>
      </c>
      <c r="J2880" s="22">
        <f t="shared" si="220"/>
        <v>1.04097222222481</v>
      </c>
      <c r="K2880" s="22">
        <f t="shared" si="221"/>
        <v>24.9833333333954</v>
      </c>
      <c r="L2880" s="22">
        <f t="shared" si="222"/>
        <v>8.98333333339542</v>
      </c>
      <c r="M2880" s="22" cm="1">
        <f ca="1" t="array" ref="M2880">SUMPRODUCT(--(WEEKDAY(ROW(INDIRECT(INT(F2880)&amp;":"&amp;INT(I2880))),2)&gt;5))</f>
        <v>0</v>
      </c>
      <c r="N2880" s="22">
        <f ca="1" t="shared" si="223"/>
        <v>8.98333333339542</v>
      </c>
      <c r="O2880" s="22" t="str">
        <f ca="1" t="shared" si="224"/>
        <v>Within SLA</v>
      </c>
      <c r="P2880" s="26" t="s">
        <v>11183</v>
      </c>
      <c r="Q2880" s="24" t="s">
        <v>37</v>
      </c>
      <c r="R2880" s="25"/>
      <c r="S2880" s="25"/>
    </row>
    <row r="2881" ht="27" customHeight="1" spans="1:19">
      <c r="A2881" s="19" t="s">
        <v>11187</v>
      </c>
      <c r="B2881" s="20" t="s">
        <v>30</v>
      </c>
      <c r="C2881" s="20" t="s">
        <v>849</v>
      </c>
      <c r="D2881" s="20" t="s">
        <v>32</v>
      </c>
      <c r="E2881" s="21" t="s">
        <v>11188</v>
      </c>
      <c r="F2881" s="21" t="s">
        <v>11189</v>
      </c>
      <c r="G2881" s="20" t="s">
        <v>35</v>
      </c>
      <c r="H2881" s="20" t="s">
        <v>25</v>
      </c>
      <c r="I2881" s="21" t="s">
        <v>11190</v>
      </c>
      <c r="J2881" s="22">
        <f t="shared" si="220"/>
        <v>9.11458333333576</v>
      </c>
      <c r="K2881" s="22">
        <f t="shared" si="221"/>
        <v>218.750000000058</v>
      </c>
      <c r="L2881" s="22">
        <f t="shared" si="222"/>
        <v>74.7500000000582</v>
      </c>
      <c r="M2881" s="22" cm="1">
        <f ca="1" t="array" ref="M2881">SUMPRODUCT(--(WEEKDAY(ROW(INDIRECT(INT(F2881)&amp;":"&amp;INT(I2881))),2)&gt;5))</f>
        <v>2</v>
      </c>
      <c r="N2881" s="22">
        <f ca="1" t="shared" si="223"/>
        <v>58.7500000000582</v>
      </c>
      <c r="O2881" s="22" t="str">
        <f ca="1" t="shared" si="224"/>
        <v>SLA Violated</v>
      </c>
      <c r="P2881" s="23" t="s">
        <v>11191</v>
      </c>
      <c r="Q2881" s="24" t="s">
        <v>28</v>
      </c>
      <c r="R2881" s="25"/>
      <c r="S2881" s="25"/>
    </row>
    <row r="2882" ht="27" customHeight="1" spans="1:19">
      <c r="A2882" s="19" t="s">
        <v>11192</v>
      </c>
      <c r="B2882" s="20" t="s">
        <v>121</v>
      </c>
      <c r="C2882" s="20" t="s">
        <v>46</v>
      </c>
      <c r="D2882" s="20" t="s">
        <v>32</v>
      </c>
      <c r="E2882" s="21" t="s">
        <v>11193</v>
      </c>
      <c r="F2882" s="21" t="s">
        <v>11194</v>
      </c>
      <c r="G2882" s="20" t="s">
        <v>35</v>
      </c>
      <c r="H2882" s="20" t="s">
        <v>25</v>
      </c>
      <c r="I2882" s="21" t="s">
        <v>11195</v>
      </c>
      <c r="J2882" s="22">
        <f t="shared" si="220"/>
        <v>0.0118055555503815</v>
      </c>
      <c r="K2882" s="22">
        <f t="shared" si="221"/>
        <v>0.283333333209157</v>
      </c>
      <c r="L2882" s="22">
        <f t="shared" si="222"/>
        <v>0.283333333209157</v>
      </c>
      <c r="M2882" s="22" cm="1">
        <f ca="1" t="array" ref="M2882">SUMPRODUCT(--(WEEKDAY(ROW(INDIRECT(INT(F2882)&amp;":"&amp;INT(I2882))),2)&gt;5))</f>
        <v>0</v>
      </c>
      <c r="N2882" s="22">
        <f ca="1" t="shared" si="223"/>
        <v>0.283333333209157</v>
      </c>
      <c r="O2882" s="22" t="str">
        <f ca="1" t="shared" si="224"/>
        <v>Within SLA</v>
      </c>
      <c r="P2882" s="26" t="s">
        <v>11192</v>
      </c>
      <c r="Q2882" s="24" t="s">
        <v>37</v>
      </c>
      <c r="R2882" s="25"/>
      <c r="S2882" s="25"/>
    </row>
    <row r="2883" ht="39" customHeight="1" spans="1:19">
      <c r="A2883" s="19" t="s">
        <v>11196</v>
      </c>
      <c r="B2883" s="20" t="s">
        <v>702</v>
      </c>
      <c r="C2883" s="20" t="s">
        <v>101</v>
      </c>
      <c r="D2883" s="20" t="s">
        <v>32</v>
      </c>
      <c r="E2883" s="21" t="s">
        <v>11197</v>
      </c>
      <c r="F2883" s="21" t="s">
        <v>11198</v>
      </c>
      <c r="G2883" s="20" t="s">
        <v>24</v>
      </c>
      <c r="H2883" s="20" t="s">
        <v>25</v>
      </c>
      <c r="I2883" s="21" t="s">
        <v>11199</v>
      </c>
      <c r="J2883" s="22">
        <f t="shared" ref="J2883:J2946" si="225">F2883-I2883</f>
        <v>4.92708333333576</v>
      </c>
      <c r="K2883" s="22">
        <f t="shared" ref="K2883:K2946" si="226">J2883*24</f>
        <v>118.250000000058</v>
      </c>
      <c r="L2883" s="22">
        <f t="shared" ref="L2883:L2946" si="227">IF(_xlfn.DAYS(F2883,I2883)&gt;0,K2883-IF(FLOOR(J2883,1)=0,1,_xlfn.DAYS(F2883,I2883))*16,K2883)</f>
        <v>38.2500000000582</v>
      </c>
      <c r="M2883" s="22" cm="1">
        <f ca="1" t="array" ref="M2883">SUMPRODUCT(--(WEEKDAY(ROW(INDIRECT(INT(F2883)&amp;":"&amp;INT(I2883))),2)&gt;5))</f>
        <v>2</v>
      </c>
      <c r="N2883" s="22">
        <f ca="1" t="shared" ref="N2883:N2946" si="228">IF(IF(M2883&gt;0,L2883-M2883*8,L2883)&lt;0,0,IF(M2883&gt;0,L2883-M2883*8,L2883))</f>
        <v>22.2500000000582</v>
      </c>
      <c r="O2883" s="22" t="str">
        <f ca="1" t="shared" ref="O2883:O2946" si="229">IF(OR(AND(D2883="P1",N2883&lt;=3),AND(D2883="P2",N2883&lt;=6),AND(D2883="P3",N2883&lt;=9),AND(D2883="P4",N2883&lt;=12)),"Within SLA","SLA Violated")</f>
        <v>SLA Violated</v>
      </c>
      <c r="P2883" s="23" t="s">
        <v>11200</v>
      </c>
      <c r="Q2883" s="24" t="s">
        <v>28</v>
      </c>
      <c r="R2883" s="25"/>
      <c r="S2883" s="25"/>
    </row>
    <row r="2884" ht="27" customHeight="1" spans="1:19">
      <c r="A2884" s="19" t="s">
        <v>11201</v>
      </c>
      <c r="B2884" s="20" t="s">
        <v>30</v>
      </c>
      <c r="C2884" s="20" t="s">
        <v>31</v>
      </c>
      <c r="D2884" s="20" t="s">
        <v>32</v>
      </c>
      <c r="E2884" s="21" t="s">
        <v>11202</v>
      </c>
      <c r="F2884" s="21" t="s">
        <v>11203</v>
      </c>
      <c r="G2884" s="20" t="s">
        <v>35</v>
      </c>
      <c r="H2884" s="20" t="s">
        <v>25</v>
      </c>
      <c r="I2884" s="21" t="s">
        <v>11204</v>
      </c>
      <c r="J2884" s="22">
        <f t="shared" si="225"/>
        <v>0.190972222226264</v>
      </c>
      <c r="K2884" s="22">
        <f t="shared" si="226"/>
        <v>4.58333333343035</v>
      </c>
      <c r="L2884" s="22">
        <f t="shared" si="227"/>
        <v>4.58333333343035</v>
      </c>
      <c r="M2884" s="22" cm="1">
        <f ca="1" t="array" ref="M2884">SUMPRODUCT(--(WEEKDAY(ROW(INDIRECT(INT(F2884)&amp;":"&amp;INT(I2884))),2)&gt;5))</f>
        <v>0</v>
      </c>
      <c r="N2884" s="22">
        <f ca="1" t="shared" si="228"/>
        <v>4.58333333343035</v>
      </c>
      <c r="O2884" s="22" t="str">
        <f ca="1" t="shared" si="229"/>
        <v>Within SLA</v>
      </c>
      <c r="P2884" s="26" t="s">
        <v>11201</v>
      </c>
      <c r="Q2884" s="24" t="s">
        <v>37</v>
      </c>
      <c r="R2884" s="25"/>
      <c r="S2884" s="25"/>
    </row>
    <row r="2885" ht="39" customHeight="1" spans="1:19">
      <c r="A2885" s="19" t="s">
        <v>11205</v>
      </c>
      <c r="B2885" s="20" t="s">
        <v>19</v>
      </c>
      <c r="C2885" s="20" t="s">
        <v>20</v>
      </c>
      <c r="D2885" s="20" t="s">
        <v>32</v>
      </c>
      <c r="E2885" s="21" t="s">
        <v>11206</v>
      </c>
      <c r="F2885" s="21" t="s">
        <v>11207</v>
      </c>
      <c r="G2885" s="20" t="s">
        <v>35</v>
      </c>
      <c r="H2885" s="20" t="s">
        <v>25</v>
      </c>
      <c r="I2885" s="21" t="s">
        <v>11208</v>
      </c>
      <c r="J2885" s="22">
        <f t="shared" si="225"/>
        <v>0.868750000001455</v>
      </c>
      <c r="K2885" s="22">
        <f t="shared" si="226"/>
        <v>20.8500000000349</v>
      </c>
      <c r="L2885" s="22">
        <f t="shared" si="227"/>
        <v>4.85000000003492</v>
      </c>
      <c r="M2885" s="22" cm="1">
        <f ca="1" t="array" ref="M2885">SUMPRODUCT(--(WEEKDAY(ROW(INDIRECT(INT(F2885)&amp;":"&amp;INT(I2885))),2)&gt;5))</f>
        <v>0</v>
      </c>
      <c r="N2885" s="22">
        <f ca="1" t="shared" si="228"/>
        <v>4.85000000003492</v>
      </c>
      <c r="O2885" s="22" t="str">
        <f ca="1" t="shared" si="229"/>
        <v>Within SLA</v>
      </c>
      <c r="P2885" s="26" t="s">
        <v>11205</v>
      </c>
      <c r="Q2885" s="24" t="s">
        <v>37</v>
      </c>
      <c r="R2885" s="25"/>
      <c r="S2885" s="25"/>
    </row>
    <row r="2886" ht="39" customHeight="1" spans="1:19">
      <c r="A2886" s="19" t="s">
        <v>11209</v>
      </c>
      <c r="B2886" s="20" t="s">
        <v>19</v>
      </c>
      <c r="C2886" s="20" t="s">
        <v>20</v>
      </c>
      <c r="D2886" s="20" t="s">
        <v>32</v>
      </c>
      <c r="E2886" s="21" t="s">
        <v>11210</v>
      </c>
      <c r="F2886" s="21" t="s">
        <v>11211</v>
      </c>
      <c r="G2886" s="20" t="s">
        <v>35</v>
      </c>
      <c r="H2886" s="20" t="s">
        <v>25</v>
      </c>
      <c r="I2886" s="21" t="s">
        <v>11212</v>
      </c>
      <c r="J2886" s="22">
        <f t="shared" si="225"/>
        <v>0.0395833333313931</v>
      </c>
      <c r="K2886" s="22">
        <f t="shared" si="226"/>
        <v>0.949999999953434</v>
      </c>
      <c r="L2886" s="22">
        <f t="shared" si="227"/>
        <v>0.949999999953434</v>
      </c>
      <c r="M2886" s="22" cm="1">
        <f ca="1" t="array" ref="M2886">SUMPRODUCT(--(WEEKDAY(ROW(INDIRECT(INT(F2886)&amp;":"&amp;INT(I2886))),2)&gt;5))</f>
        <v>0</v>
      </c>
      <c r="N2886" s="22">
        <f ca="1" t="shared" si="228"/>
        <v>0.949999999953434</v>
      </c>
      <c r="O2886" s="22" t="str">
        <f ca="1" t="shared" si="229"/>
        <v>Within SLA</v>
      </c>
      <c r="P2886" s="26" t="s">
        <v>11209</v>
      </c>
      <c r="Q2886" s="24" t="s">
        <v>37</v>
      </c>
      <c r="R2886" s="25"/>
      <c r="S2886" s="25"/>
    </row>
    <row r="2887" ht="27" customHeight="1" spans="1:19">
      <c r="A2887" s="19" t="s">
        <v>11213</v>
      </c>
      <c r="B2887" s="20" t="s">
        <v>30</v>
      </c>
      <c r="C2887" s="20" t="s">
        <v>31</v>
      </c>
      <c r="D2887" s="20" t="s">
        <v>32</v>
      </c>
      <c r="E2887" s="21" t="s">
        <v>11214</v>
      </c>
      <c r="F2887" s="21" t="s">
        <v>11215</v>
      </c>
      <c r="G2887" s="20" t="s">
        <v>35</v>
      </c>
      <c r="H2887" s="20" t="s">
        <v>25</v>
      </c>
      <c r="I2887" s="21" t="s">
        <v>11216</v>
      </c>
      <c r="J2887" s="22">
        <f t="shared" si="225"/>
        <v>0.263888888890506</v>
      </c>
      <c r="K2887" s="22">
        <f t="shared" si="226"/>
        <v>6.33333333337214</v>
      </c>
      <c r="L2887" s="22">
        <f t="shared" si="227"/>
        <v>6.33333333337214</v>
      </c>
      <c r="M2887" s="22" cm="1">
        <f ca="1" t="array" ref="M2887">SUMPRODUCT(--(WEEKDAY(ROW(INDIRECT(INT(F2887)&amp;":"&amp;INT(I2887))),2)&gt;5))</f>
        <v>0</v>
      </c>
      <c r="N2887" s="22">
        <f ca="1" t="shared" si="228"/>
        <v>6.33333333337214</v>
      </c>
      <c r="O2887" s="22" t="str">
        <f ca="1" t="shared" si="229"/>
        <v>Within SLA</v>
      </c>
      <c r="P2887" s="26" t="s">
        <v>11213</v>
      </c>
      <c r="Q2887" s="24" t="s">
        <v>37</v>
      </c>
      <c r="R2887" s="25"/>
      <c r="S2887" s="25"/>
    </row>
    <row r="2888" ht="39" customHeight="1" spans="1:19">
      <c r="A2888" s="19" t="s">
        <v>11217</v>
      </c>
      <c r="B2888" s="20" t="s">
        <v>19</v>
      </c>
      <c r="C2888" s="20" t="s">
        <v>20</v>
      </c>
      <c r="D2888" s="20" t="s">
        <v>32</v>
      </c>
      <c r="E2888" s="21" t="s">
        <v>11218</v>
      </c>
      <c r="F2888" s="21" t="s">
        <v>11219</v>
      </c>
      <c r="G2888" s="20" t="s">
        <v>35</v>
      </c>
      <c r="H2888" s="20" t="s">
        <v>25</v>
      </c>
      <c r="I2888" s="21" t="s">
        <v>11220</v>
      </c>
      <c r="J2888" s="22">
        <f t="shared" si="225"/>
        <v>4.02152777777519</v>
      </c>
      <c r="K2888" s="22">
        <f t="shared" si="226"/>
        <v>96.5166666666046</v>
      </c>
      <c r="L2888" s="22">
        <f t="shared" si="227"/>
        <v>32.5166666666046</v>
      </c>
      <c r="M2888" s="22" cm="1">
        <f ca="1" t="array" ref="M2888">SUMPRODUCT(--(WEEKDAY(ROW(INDIRECT(INT(F2888)&amp;":"&amp;INT(I2888))),2)&gt;5))</f>
        <v>2</v>
      </c>
      <c r="N2888" s="22">
        <f ca="1" t="shared" si="228"/>
        <v>16.5166666666046</v>
      </c>
      <c r="O2888" s="22" t="str">
        <f ca="1" t="shared" si="229"/>
        <v>SLA Violated</v>
      </c>
      <c r="P2888" s="23" t="s">
        <v>11221</v>
      </c>
      <c r="Q2888" s="24" t="s">
        <v>37</v>
      </c>
      <c r="R2888" s="29" t="s">
        <v>11222</v>
      </c>
      <c r="S2888" s="25" t="s">
        <v>39</v>
      </c>
    </row>
    <row r="2889" ht="39" customHeight="1" spans="1:19">
      <c r="A2889" s="19" t="s">
        <v>11223</v>
      </c>
      <c r="B2889" s="20" t="s">
        <v>196</v>
      </c>
      <c r="C2889" s="20" t="s">
        <v>46</v>
      </c>
      <c r="D2889" s="20" t="s">
        <v>21</v>
      </c>
      <c r="E2889" s="21" t="s">
        <v>11224</v>
      </c>
      <c r="F2889" s="21" t="s">
        <v>11225</v>
      </c>
      <c r="G2889" s="20" t="s">
        <v>35</v>
      </c>
      <c r="H2889" s="20" t="s">
        <v>25</v>
      </c>
      <c r="I2889" s="21" t="s">
        <v>11226</v>
      </c>
      <c r="J2889" s="22">
        <f t="shared" si="225"/>
        <v>0.00694444444525288</v>
      </c>
      <c r="K2889" s="22">
        <f t="shared" si="226"/>
        <v>0.166666666686069</v>
      </c>
      <c r="L2889" s="22">
        <f t="shared" si="227"/>
        <v>0.166666666686069</v>
      </c>
      <c r="M2889" s="22" cm="1">
        <f ca="1" t="array" ref="M2889">SUMPRODUCT(--(WEEKDAY(ROW(INDIRECT(INT(F2889)&amp;":"&amp;INT(I2889))),2)&gt;5))</f>
        <v>0</v>
      </c>
      <c r="N2889" s="22">
        <f ca="1" t="shared" si="228"/>
        <v>0.166666666686069</v>
      </c>
      <c r="O2889" s="22" t="str">
        <f ca="1" t="shared" si="229"/>
        <v>Within SLA</v>
      </c>
      <c r="P2889" s="26" t="s">
        <v>11223</v>
      </c>
      <c r="Q2889" s="24" t="s">
        <v>37</v>
      </c>
      <c r="R2889" s="25"/>
      <c r="S2889" s="25"/>
    </row>
    <row r="2890" ht="39" customHeight="1" spans="1:19">
      <c r="A2890" s="19" t="s">
        <v>11227</v>
      </c>
      <c r="B2890" s="20" t="s">
        <v>725</v>
      </c>
      <c r="C2890" s="20" t="s">
        <v>101</v>
      </c>
      <c r="D2890" s="20" t="s">
        <v>21</v>
      </c>
      <c r="E2890" s="21" t="s">
        <v>11228</v>
      </c>
      <c r="F2890" s="21" t="s">
        <v>10423</v>
      </c>
      <c r="G2890" s="20" t="s">
        <v>11229</v>
      </c>
      <c r="H2890" s="20" t="s">
        <v>25</v>
      </c>
      <c r="I2890" s="21" t="s">
        <v>11230</v>
      </c>
      <c r="J2890" s="22" t="e">
        <f t="shared" si="225"/>
        <v>#VALUE!</v>
      </c>
      <c r="K2890" s="22" t="e">
        <f t="shared" si="226"/>
        <v>#VALUE!</v>
      </c>
      <c r="L2890" s="22" t="e">
        <f t="shared" si="227"/>
        <v>#VALUE!</v>
      </c>
      <c r="M2890" s="22" t="e" cm="1">
        <f ca="1" t="array" ref="M2890">SUMPRODUCT(--(WEEKDAY(ROW(INDIRECT(INT(F2890)&amp;":"&amp;INT(I2890))),2)&gt;5))</f>
        <v>#VALUE!</v>
      </c>
      <c r="N2890" s="22" t="e">
        <f ca="1" t="shared" si="228"/>
        <v>#VALUE!</v>
      </c>
      <c r="O2890" s="22" t="e">
        <f ca="1" t="shared" si="229"/>
        <v>#VALUE!</v>
      </c>
      <c r="P2890" s="26" t="s">
        <v>11227</v>
      </c>
      <c r="Q2890" s="24" t="e">
        <v>#VALUE!</v>
      </c>
      <c r="R2890" s="25"/>
      <c r="S2890" s="25"/>
    </row>
    <row r="2891" ht="39" customHeight="1" spans="1:19">
      <c r="A2891" s="19" t="s">
        <v>11231</v>
      </c>
      <c r="B2891" s="20" t="s">
        <v>19</v>
      </c>
      <c r="C2891" s="20" t="s">
        <v>20</v>
      </c>
      <c r="D2891" s="20" t="s">
        <v>32</v>
      </c>
      <c r="E2891" s="21" t="s">
        <v>11232</v>
      </c>
      <c r="F2891" s="21" t="s">
        <v>11233</v>
      </c>
      <c r="G2891" s="20" t="s">
        <v>35</v>
      </c>
      <c r="H2891" s="20" t="s">
        <v>25</v>
      </c>
      <c r="I2891" s="21" t="s">
        <v>11234</v>
      </c>
      <c r="J2891" s="22">
        <f t="shared" si="225"/>
        <v>0.172222222223354</v>
      </c>
      <c r="K2891" s="22">
        <f t="shared" si="226"/>
        <v>4.1333333333605</v>
      </c>
      <c r="L2891" s="22">
        <f t="shared" si="227"/>
        <v>4.1333333333605</v>
      </c>
      <c r="M2891" s="22" cm="1">
        <f ca="1" t="array" ref="M2891">SUMPRODUCT(--(WEEKDAY(ROW(INDIRECT(INT(F2891)&amp;":"&amp;INT(I2891))),2)&gt;5))</f>
        <v>0</v>
      </c>
      <c r="N2891" s="22">
        <f ca="1" t="shared" si="228"/>
        <v>4.1333333333605</v>
      </c>
      <c r="O2891" s="22" t="str">
        <f ca="1" t="shared" si="229"/>
        <v>Within SLA</v>
      </c>
      <c r="P2891" s="26" t="s">
        <v>11231</v>
      </c>
      <c r="Q2891" s="24" t="s">
        <v>37</v>
      </c>
      <c r="R2891" s="25"/>
      <c r="S2891" s="25"/>
    </row>
    <row r="2892" ht="39" customHeight="1" spans="1:19">
      <c r="A2892" s="19" t="s">
        <v>11235</v>
      </c>
      <c r="B2892" s="20" t="s">
        <v>19</v>
      </c>
      <c r="C2892" s="20" t="s">
        <v>20</v>
      </c>
      <c r="D2892" s="20" t="s">
        <v>32</v>
      </c>
      <c r="E2892" s="21" t="s">
        <v>11236</v>
      </c>
      <c r="F2892" s="21" t="s">
        <v>11237</v>
      </c>
      <c r="G2892" s="20" t="s">
        <v>35</v>
      </c>
      <c r="H2892" s="20" t="s">
        <v>25</v>
      </c>
      <c r="I2892" s="21" t="s">
        <v>11238</v>
      </c>
      <c r="J2892" s="22">
        <f t="shared" si="225"/>
        <v>0.0319444444467081</v>
      </c>
      <c r="K2892" s="22">
        <f t="shared" si="226"/>
        <v>0.766666666720994</v>
      </c>
      <c r="L2892" s="22">
        <f t="shared" si="227"/>
        <v>0.766666666720994</v>
      </c>
      <c r="M2892" s="22" cm="1">
        <f ca="1" t="array" ref="M2892">SUMPRODUCT(--(WEEKDAY(ROW(INDIRECT(INT(F2892)&amp;":"&amp;INT(I2892))),2)&gt;5))</f>
        <v>0</v>
      </c>
      <c r="N2892" s="22">
        <f ca="1" t="shared" si="228"/>
        <v>0.766666666720994</v>
      </c>
      <c r="O2892" s="22" t="str">
        <f ca="1" t="shared" si="229"/>
        <v>Within SLA</v>
      </c>
      <c r="P2892" s="26" t="s">
        <v>11235</v>
      </c>
      <c r="Q2892" s="24" t="s">
        <v>37</v>
      </c>
      <c r="R2892" s="25"/>
      <c r="S2892" s="25"/>
    </row>
    <row r="2893" ht="27" customHeight="1" spans="1:19">
      <c r="A2893" s="19" t="s">
        <v>11239</v>
      </c>
      <c r="B2893" s="20" t="s">
        <v>30</v>
      </c>
      <c r="C2893" s="20" t="s">
        <v>31</v>
      </c>
      <c r="D2893" s="20" t="s">
        <v>21</v>
      </c>
      <c r="E2893" s="21" t="s">
        <v>11236</v>
      </c>
      <c r="F2893" s="21" t="s">
        <v>11240</v>
      </c>
      <c r="G2893" s="20" t="s">
        <v>35</v>
      </c>
      <c r="H2893" s="20" t="s">
        <v>25</v>
      </c>
      <c r="I2893" s="21" t="s">
        <v>11241</v>
      </c>
      <c r="J2893" s="22">
        <f t="shared" si="225"/>
        <v>13.1270833333328</v>
      </c>
      <c r="K2893" s="22">
        <f t="shared" si="226"/>
        <v>315.049999999988</v>
      </c>
      <c r="L2893" s="22">
        <f t="shared" si="227"/>
        <v>107.049999999988</v>
      </c>
      <c r="M2893" s="22" cm="1">
        <f ca="1" t="array" ref="M2893">SUMPRODUCT(--(WEEKDAY(ROW(INDIRECT(INT(F2893)&amp;":"&amp;INT(I2893))),2)&gt;5))</f>
        <v>4</v>
      </c>
      <c r="N2893" s="22">
        <f ca="1" t="shared" si="228"/>
        <v>75.049999999988</v>
      </c>
      <c r="O2893" s="22" t="str">
        <f ca="1" t="shared" si="229"/>
        <v>SLA Violated</v>
      </c>
      <c r="P2893" s="23" t="s">
        <v>11242</v>
      </c>
      <c r="Q2893" s="24" t="s">
        <v>37</v>
      </c>
      <c r="R2893" s="25" t="s">
        <v>6838</v>
      </c>
      <c r="S2893" s="25" t="s">
        <v>39</v>
      </c>
    </row>
    <row r="2894" ht="39" customHeight="1" spans="1:19">
      <c r="A2894" s="19" t="s">
        <v>11243</v>
      </c>
      <c r="B2894" s="20" t="s">
        <v>19</v>
      </c>
      <c r="C2894" s="20" t="s">
        <v>20</v>
      </c>
      <c r="D2894" s="20" t="s">
        <v>32</v>
      </c>
      <c r="E2894" s="21" t="s">
        <v>11244</v>
      </c>
      <c r="F2894" s="21" t="s">
        <v>11245</v>
      </c>
      <c r="G2894" s="20" t="s">
        <v>35</v>
      </c>
      <c r="H2894" s="20" t="s">
        <v>25</v>
      </c>
      <c r="I2894" s="21" t="s">
        <v>11246</v>
      </c>
      <c r="J2894" s="22">
        <f t="shared" si="225"/>
        <v>0.131944444445253</v>
      </c>
      <c r="K2894" s="22">
        <f t="shared" si="226"/>
        <v>3.16666666668607</v>
      </c>
      <c r="L2894" s="22">
        <f t="shared" si="227"/>
        <v>3.16666666668607</v>
      </c>
      <c r="M2894" s="22" cm="1">
        <f ca="1" t="array" ref="M2894">SUMPRODUCT(--(WEEKDAY(ROW(INDIRECT(INT(F2894)&amp;":"&amp;INT(I2894))),2)&gt;5))</f>
        <v>0</v>
      </c>
      <c r="N2894" s="22">
        <f ca="1" t="shared" si="228"/>
        <v>3.16666666668607</v>
      </c>
      <c r="O2894" s="22" t="str">
        <f ca="1" t="shared" si="229"/>
        <v>Within SLA</v>
      </c>
      <c r="P2894" s="26" t="s">
        <v>11243</v>
      </c>
      <c r="Q2894" s="24" t="s">
        <v>37</v>
      </c>
      <c r="R2894" s="25"/>
      <c r="S2894" s="25"/>
    </row>
    <row r="2895" ht="27" customHeight="1" spans="1:19">
      <c r="A2895" s="19" t="s">
        <v>11247</v>
      </c>
      <c r="B2895" s="20" t="s">
        <v>139</v>
      </c>
      <c r="C2895" s="20" t="s">
        <v>2057</v>
      </c>
      <c r="D2895" s="20" t="s">
        <v>32</v>
      </c>
      <c r="E2895" s="21" t="s">
        <v>11244</v>
      </c>
      <c r="F2895" s="21" t="s">
        <v>11248</v>
      </c>
      <c r="G2895" s="20" t="s">
        <v>35</v>
      </c>
      <c r="H2895" s="20" t="s">
        <v>25</v>
      </c>
      <c r="I2895" s="21" t="s">
        <v>11249</v>
      </c>
      <c r="J2895" s="22">
        <f t="shared" si="225"/>
        <v>0.264583333329938</v>
      </c>
      <c r="K2895" s="22">
        <f t="shared" si="226"/>
        <v>6.34999999991851</v>
      </c>
      <c r="L2895" s="22">
        <f t="shared" si="227"/>
        <v>6.34999999991851</v>
      </c>
      <c r="M2895" s="22" cm="1">
        <f ca="1" t="array" ref="M2895">SUMPRODUCT(--(WEEKDAY(ROW(INDIRECT(INT(F2895)&amp;":"&amp;INT(I2895))),2)&gt;5))</f>
        <v>0</v>
      </c>
      <c r="N2895" s="22">
        <f ca="1" t="shared" si="228"/>
        <v>6.34999999991851</v>
      </c>
      <c r="O2895" s="22" t="str">
        <f ca="1" t="shared" si="229"/>
        <v>Within SLA</v>
      </c>
      <c r="P2895" s="26" t="s">
        <v>11247</v>
      </c>
      <c r="Q2895" s="24" t="s">
        <v>37</v>
      </c>
      <c r="R2895" s="25"/>
      <c r="S2895" s="25"/>
    </row>
    <row r="2896" ht="39" customHeight="1" spans="1:19">
      <c r="A2896" s="19" t="s">
        <v>11250</v>
      </c>
      <c r="B2896" s="20" t="s">
        <v>19</v>
      </c>
      <c r="C2896" s="20" t="s">
        <v>20</v>
      </c>
      <c r="D2896" s="20" t="s">
        <v>32</v>
      </c>
      <c r="E2896" s="21" t="s">
        <v>11251</v>
      </c>
      <c r="F2896" s="21" t="s">
        <v>11252</v>
      </c>
      <c r="G2896" s="20" t="s">
        <v>35</v>
      </c>
      <c r="H2896" s="20" t="s">
        <v>25</v>
      </c>
      <c r="I2896" s="21" t="s">
        <v>11253</v>
      </c>
      <c r="J2896" s="22">
        <f t="shared" si="225"/>
        <v>0.104861111110949</v>
      </c>
      <c r="K2896" s="22">
        <f t="shared" si="226"/>
        <v>2.51666666666279</v>
      </c>
      <c r="L2896" s="22">
        <f t="shared" si="227"/>
        <v>2.51666666666279</v>
      </c>
      <c r="M2896" s="22" cm="1">
        <f ca="1" t="array" ref="M2896">SUMPRODUCT(--(WEEKDAY(ROW(INDIRECT(INT(F2896)&amp;":"&amp;INT(I2896))),2)&gt;5))</f>
        <v>0</v>
      </c>
      <c r="N2896" s="22">
        <f ca="1" t="shared" si="228"/>
        <v>2.51666666666279</v>
      </c>
      <c r="O2896" s="22" t="str">
        <f ca="1" t="shared" si="229"/>
        <v>Within SLA</v>
      </c>
      <c r="P2896" s="26" t="s">
        <v>11250</v>
      </c>
      <c r="Q2896" s="24" t="s">
        <v>37</v>
      </c>
      <c r="R2896" s="25"/>
      <c r="S2896" s="25"/>
    </row>
    <row r="2897" ht="39" customHeight="1" spans="1:19">
      <c r="A2897" s="19" t="s">
        <v>11254</v>
      </c>
      <c r="B2897" s="20" t="s">
        <v>19</v>
      </c>
      <c r="C2897" s="20" t="s">
        <v>20</v>
      </c>
      <c r="D2897" s="20" t="s">
        <v>21</v>
      </c>
      <c r="E2897" s="21" t="s">
        <v>11255</v>
      </c>
      <c r="F2897" s="21" t="s">
        <v>7492</v>
      </c>
      <c r="G2897" s="20" t="s">
        <v>35</v>
      </c>
      <c r="H2897" s="20" t="s">
        <v>25</v>
      </c>
      <c r="I2897" s="21" t="s">
        <v>11256</v>
      </c>
      <c r="J2897" s="22">
        <f t="shared" si="225"/>
        <v>0.0819444444423425</v>
      </c>
      <c r="K2897" s="22">
        <f t="shared" si="226"/>
        <v>1.96666666661622</v>
      </c>
      <c r="L2897" s="22">
        <f t="shared" si="227"/>
        <v>1.96666666661622</v>
      </c>
      <c r="M2897" s="22" cm="1">
        <f ca="1" t="array" ref="M2897">SUMPRODUCT(--(WEEKDAY(ROW(INDIRECT(INT(F2897)&amp;":"&amp;INT(I2897))),2)&gt;5))</f>
        <v>0</v>
      </c>
      <c r="N2897" s="22">
        <f ca="1" t="shared" si="228"/>
        <v>1.96666666661622</v>
      </c>
      <c r="O2897" s="22" t="str">
        <f ca="1" t="shared" si="229"/>
        <v>Within SLA</v>
      </c>
      <c r="P2897" s="26" t="s">
        <v>11254</v>
      </c>
      <c r="Q2897" s="24" t="s">
        <v>37</v>
      </c>
      <c r="R2897" s="25"/>
      <c r="S2897" s="25"/>
    </row>
    <row r="2898" ht="39" customHeight="1" spans="1:19">
      <c r="A2898" s="19" t="s">
        <v>11257</v>
      </c>
      <c r="B2898" s="20" t="s">
        <v>19</v>
      </c>
      <c r="C2898" s="20" t="s">
        <v>20</v>
      </c>
      <c r="D2898" s="20" t="s">
        <v>32</v>
      </c>
      <c r="E2898" s="21" t="s">
        <v>11258</v>
      </c>
      <c r="F2898" s="21" t="s">
        <v>11259</v>
      </c>
      <c r="G2898" s="20" t="s">
        <v>35</v>
      </c>
      <c r="H2898" s="20" t="s">
        <v>25</v>
      </c>
      <c r="I2898" s="21" t="s">
        <v>11260</v>
      </c>
      <c r="J2898" s="22">
        <f t="shared" si="225"/>
        <v>0.0319444444467081</v>
      </c>
      <c r="K2898" s="22">
        <f t="shared" si="226"/>
        <v>0.766666666720994</v>
      </c>
      <c r="L2898" s="22">
        <f t="shared" si="227"/>
        <v>0.766666666720994</v>
      </c>
      <c r="M2898" s="22" cm="1">
        <f ca="1" t="array" ref="M2898">SUMPRODUCT(--(WEEKDAY(ROW(INDIRECT(INT(F2898)&amp;":"&amp;INT(I2898))),2)&gt;5))</f>
        <v>0</v>
      </c>
      <c r="N2898" s="22">
        <f ca="1" t="shared" si="228"/>
        <v>0.766666666720994</v>
      </c>
      <c r="O2898" s="22" t="str">
        <f ca="1" t="shared" si="229"/>
        <v>Within SLA</v>
      </c>
      <c r="P2898" s="26" t="s">
        <v>11257</v>
      </c>
      <c r="Q2898" s="24" t="s">
        <v>37</v>
      </c>
      <c r="R2898" s="25"/>
      <c r="S2898" s="25"/>
    </row>
    <row r="2899" ht="39" customHeight="1" spans="1:19">
      <c r="A2899" s="19" t="s">
        <v>11261</v>
      </c>
      <c r="B2899" s="20" t="s">
        <v>196</v>
      </c>
      <c r="C2899" s="20" t="s">
        <v>46</v>
      </c>
      <c r="D2899" s="20" t="s">
        <v>21</v>
      </c>
      <c r="E2899" s="21" t="s">
        <v>11262</v>
      </c>
      <c r="F2899" s="21" t="s">
        <v>11263</v>
      </c>
      <c r="G2899" s="20" t="s">
        <v>35</v>
      </c>
      <c r="H2899" s="20" t="s">
        <v>25</v>
      </c>
      <c r="I2899" s="21" t="s">
        <v>11263</v>
      </c>
      <c r="J2899" s="22">
        <f t="shared" si="225"/>
        <v>0</v>
      </c>
      <c r="K2899" s="22">
        <f t="shared" si="226"/>
        <v>0</v>
      </c>
      <c r="L2899" s="22">
        <f t="shared" si="227"/>
        <v>0</v>
      </c>
      <c r="M2899" s="22" cm="1">
        <f ca="1" t="array" ref="M2899">SUMPRODUCT(--(WEEKDAY(ROW(INDIRECT(INT(F2899)&amp;":"&amp;INT(I2899))),2)&gt;5))</f>
        <v>0</v>
      </c>
      <c r="N2899" s="22">
        <f ca="1" t="shared" si="228"/>
        <v>0</v>
      </c>
      <c r="O2899" s="22" t="str">
        <f ca="1" t="shared" si="229"/>
        <v>Within SLA</v>
      </c>
      <c r="P2899" s="26" t="s">
        <v>11261</v>
      </c>
      <c r="Q2899" s="24" t="s">
        <v>37</v>
      </c>
      <c r="R2899" s="25"/>
      <c r="S2899" s="25"/>
    </row>
    <row r="2900" ht="39" customHeight="1" spans="1:19">
      <c r="A2900" s="19" t="s">
        <v>11264</v>
      </c>
      <c r="B2900" s="20" t="s">
        <v>196</v>
      </c>
      <c r="C2900" s="20" t="s">
        <v>849</v>
      </c>
      <c r="D2900" s="20" t="s">
        <v>21</v>
      </c>
      <c r="E2900" s="21" t="s">
        <v>11265</v>
      </c>
      <c r="F2900" s="21" t="s">
        <v>11266</v>
      </c>
      <c r="G2900" s="20" t="s">
        <v>35</v>
      </c>
      <c r="H2900" s="20" t="s">
        <v>25</v>
      </c>
      <c r="I2900" s="21" t="s">
        <v>11267</v>
      </c>
      <c r="J2900" s="22">
        <f t="shared" si="225"/>
        <v>0.00347222221898846</v>
      </c>
      <c r="K2900" s="22">
        <f t="shared" si="226"/>
        <v>0.0833333332557231</v>
      </c>
      <c r="L2900" s="22">
        <f t="shared" si="227"/>
        <v>0.0833333332557231</v>
      </c>
      <c r="M2900" s="22" cm="1">
        <f ca="1" t="array" ref="M2900">SUMPRODUCT(--(WEEKDAY(ROW(INDIRECT(INT(F2900)&amp;":"&amp;INT(I2900))),2)&gt;5))</f>
        <v>0</v>
      </c>
      <c r="N2900" s="22">
        <f ca="1" t="shared" si="228"/>
        <v>0.0833333332557231</v>
      </c>
      <c r="O2900" s="22" t="str">
        <f ca="1" t="shared" si="229"/>
        <v>Within SLA</v>
      </c>
      <c r="P2900" s="26" t="s">
        <v>11264</v>
      </c>
      <c r="Q2900" s="24" t="s">
        <v>37</v>
      </c>
      <c r="R2900" s="25"/>
      <c r="S2900" s="25"/>
    </row>
    <row r="2901" ht="39" customHeight="1" spans="1:19">
      <c r="A2901" s="19" t="s">
        <v>11268</v>
      </c>
      <c r="B2901" s="20" t="s">
        <v>19</v>
      </c>
      <c r="C2901" s="20" t="s">
        <v>20</v>
      </c>
      <c r="D2901" s="20" t="s">
        <v>32</v>
      </c>
      <c r="E2901" s="21" t="s">
        <v>11265</v>
      </c>
      <c r="F2901" s="21" t="s">
        <v>11269</v>
      </c>
      <c r="G2901" s="20" t="s">
        <v>35</v>
      </c>
      <c r="H2901" s="20" t="s">
        <v>25</v>
      </c>
      <c r="I2901" s="21" t="s">
        <v>11270</v>
      </c>
      <c r="J2901" s="22">
        <f t="shared" si="225"/>
        <v>0.0361111111124046</v>
      </c>
      <c r="K2901" s="22">
        <f t="shared" si="226"/>
        <v>0.866666666697711</v>
      </c>
      <c r="L2901" s="22">
        <f t="shared" si="227"/>
        <v>0.866666666697711</v>
      </c>
      <c r="M2901" s="22" cm="1">
        <f ca="1" t="array" ref="M2901">SUMPRODUCT(--(WEEKDAY(ROW(INDIRECT(INT(F2901)&amp;":"&amp;INT(I2901))),2)&gt;5))</f>
        <v>0</v>
      </c>
      <c r="N2901" s="22">
        <f ca="1" t="shared" si="228"/>
        <v>0.866666666697711</v>
      </c>
      <c r="O2901" s="22" t="str">
        <f ca="1" t="shared" si="229"/>
        <v>Within SLA</v>
      </c>
      <c r="P2901" s="26" t="s">
        <v>11268</v>
      </c>
      <c r="Q2901" s="24" t="s">
        <v>37</v>
      </c>
      <c r="R2901" s="25"/>
      <c r="S2901" s="25"/>
    </row>
    <row r="2902" ht="39" customHeight="1" spans="1:19">
      <c r="A2902" s="19" t="s">
        <v>11271</v>
      </c>
      <c r="B2902" s="20" t="s">
        <v>19</v>
      </c>
      <c r="C2902" s="20" t="s">
        <v>20</v>
      </c>
      <c r="D2902" s="20" t="s">
        <v>32</v>
      </c>
      <c r="E2902" s="21" t="s">
        <v>11272</v>
      </c>
      <c r="F2902" s="21" t="s">
        <v>11273</v>
      </c>
      <c r="G2902" s="20" t="s">
        <v>35</v>
      </c>
      <c r="H2902" s="20" t="s">
        <v>25</v>
      </c>
      <c r="I2902" s="21" t="s">
        <v>11274</v>
      </c>
      <c r="J2902" s="22">
        <f t="shared" si="225"/>
        <v>0.0111111111109494</v>
      </c>
      <c r="K2902" s="22">
        <f t="shared" si="226"/>
        <v>0.266666666662786</v>
      </c>
      <c r="L2902" s="22">
        <f t="shared" si="227"/>
        <v>0.266666666662786</v>
      </c>
      <c r="M2902" s="22" cm="1">
        <f ca="1" t="array" ref="M2902">SUMPRODUCT(--(WEEKDAY(ROW(INDIRECT(INT(F2902)&amp;":"&amp;INT(I2902))),2)&gt;5))</f>
        <v>0</v>
      </c>
      <c r="N2902" s="22">
        <f ca="1" t="shared" si="228"/>
        <v>0.266666666662786</v>
      </c>
      <c r="O2902" s="22" t="str">
        <f ca="1" t="shared" si="229"/>
        <v>Within SLA</v>
      </c>
      <c r="P2902" s="26" t="s">
        <v>11271</v>
      </c>
      <c r="Q2902" s="24" t="s">
        <v>37</v>
      </c>
      <c r="R2902" s="25"/>
      <c r="S2902" s="25"/>
    </row>
    <row r="2903" ht="27" customHeight="1" spans="1:19">
      <c r="A2903" s="19" t="s">
        <v>11275</v>
      </c>
      <c r="B2903" s="20" t="s">
        <v>30</v>
      </c>
      <c r="C2903" s="20" t="s">
        <v>31</v>
      </c>
      <c r="D2903" s="20" t="s">
        <v>32</v>
      </c>
      <c r="E2903" s="21" t="s">
        <v>11274</v>
      </c>
      <c r="F2903" s="21" t="s">
        <v>11276</v>
      </c>
      <c r="G2903" s="20" t="s">
        <v>35</v>
      </c>
      <c r="H2903" s="20" t="s">
        <v>25</v>
      </c>
      <c r="I2903" s="21" t="s">
        <v>11207</v>
      </c>
      <c r="J2903" s="22">
        <f t="shared" si="225"/>
        <v>6.90069444444089</v>
      </c>
      <c r="K2903" s="22">
        <f t="shared" si="226"/>
        <v>165.616666666581</v>
      </c>
      <c r="L2903" s="22">
        <f t="shared" si="227"/>
        <v>53.6166666665813</v>
      </c>
      <c r="M2903" s="22" cm="1">
        <f ca="1" t="array" ref="M2903">SUMPRODUCT(--(WEEKDAY(ROW(INDIRECT(INT(F2903)&amp;":"&amp;INT(I2903))),2)&gt;5))</f>
        <v>2</v>
      </c>
      <c r="N2903" s="22">
        <f ca="1" t="shared" si="228"/>
        <v>37.6166666665813</v>
      </c>
      <c r="O2903" s="22" t="str">
        <f ca="1" t="shared" si="229"/>
        <v>SLA Violated</v>
      </c>
      <c r="P2903" s="23" t="s">
        <v>11277</v>
      </c>
      <c r="Q2903" s="24" t="s">
        <v>37</v>
      </c>
      <c r="R2903" s="25" t="s">
        <v>38</v>
      </c>
      <c r="S2903" s="25" t="s">
        <v>39</v>
      </c>
    </row>
    <row r="2904" ht="39" customHeight="1" spans="1:19">
      <c r="A2904" s="19" t="s">
        <v>11278</v>
      </c>
      <c r="B2904" s="20" t="s">
        <v>196</v>
      </c>
      <c r="C2904" s="20" t="s">
        <v>46</v>
      </c>
      <c r="D2904" s="20" t="s">
        <v>21</v>
      </c>
      <c r="E2904" s="21" t="s">
        <v>3378</v>
      </c>
      <c r="F2904" s="21" t="s">
        <v>11279</v>
      </c>
      <c r="G2904" s="20" t="s">
        <v>35</v>
      </c>
      <c r="H2904" s="20" t="s">
        <v>25</v>
      </c>
      <c r="I2904" s="21" t="s">
        <v>11280</v>
      </c>
      <c r="J2904" s="22">
        <f t="shared" si="225"/>
        <v>4.81319444444671</v>
      </c>
      <c r="K2904" s="22">
        <f t="shared" si="226"/>
        <v>115.516666666721</v>
      </c>
      <c r="L2904" s="22">
        <f t="shared" si="227"/>
        <v>35.516666666721</v>
      </c>
      <c r="M2904" s="22" cm="1">
        <f ca="1" t="array" ref="M2904">SUMPRODUCT(--(WEEKDAY(ROW(INDIRECT(INT(F2904)&amp;":"&amp;INT(I2904))),2)&gt;5))</f>
        <v>2</v>
      </c>
      <c r="N2904" s="22">
        <f ca="1" t="shared" si="228"/>
        <v>19.516666666721</v>
      </c>
      <c r="O2904" s="22" t="str">
        <f ca="1" t="shared" si="229"/>
        <v>SLA Violated</v>
      </c>
      <c r="P2904" s="23" t="s">
        <v>11281</v>
      </c>
      <c r="Q2904" s="24" t="s">
        <v>37</v>
      </c>
      <c r="R2904" s="25" t="s">
        <v>719</v>
      </c>
      <c r="S2904" s="25" t="s">
        <v>39</v>
      </c>
    </row>
    <row r="2905" ht="39" customHeight="1" spans="1:19">
      <c r="A2905" s="19" t="s">
        <v>11282</v>
      </c>
      <c r="B2905" s="20" t="s">
        <v>196</v>
      </c>
      <c r="C2905" s="20" t="s">
        <v>46</v>
      </c>
      <c r="D2905" s="20" t="s">
        <v>21</v>
      </c>
      <c r="E2905" s="21" t="s">
        <v>11283</v>
      </c>
      <c r="F2905" s="21" t="s">
        <v>11284</v>
      </c>
      <c r="G2905" s="20" t="s">
        <v>35</v>
      </c>
      <c r="H2905" s="20" t="s">
        <v>25</v>
      </c>
      <c r="I2905" s="21" t="s">
        <v>11285</v>
      </c>
      <c r="J2905" s="22">
        <f t="shared" si="225"/>
        <v>0.0256944444481633</v>
      </c>
      <c r="K2905" s="22">
        <f t="shared" si="226"/>
        <v>0.616666666755918</v>
      </c>
      <c r="L2905" s="22">
        <f t="shared" si="227"/>
        <v>0.616666666755918</v>
      </c>
      <c r="M2905" s="22" cm="1">
        <f ca="1" t="array" ref="M2905">SUMPRODUCT(--(WEEKDAY(ROW(INDIRECT(INT(F2905)&amp;":"&amp;INT(I2905))),2)&gt;5))</f>
        <v>0</v>
      </c>
      <c r="N2905" s="22">
        <f ca="1" t="shared" si="228"/>
        <v>0.616666666755918</v>
      </c>
      <c r="O2905" s="22" t="str">
        <f ca="1" t="shared" si="229"/>
        <v>Within SLA</v>
      </c>
      <c r="P2905" s="26" t="s">
        <v>11282</v>
      </c>
      <c r="Q2905" s="24" t="s">
        <v>37</v>
      </c>
      <c r="R2905" s="25"/>
      <c r="S2905" s="25"/>
    </row>
    <row r="2906" ht="39" customHeight="1" spans="1:19">
      <c r="A2906" s="19" t="s">
        <v>11286</v>
      </c>
      <c r="B2906" s="20" t="s">
        <v>19</v>
      </c>
      <c r="C2906" s="20" t="s">
        <v>20</v>
      </c>
      <c r="D2906" s="20" t="s">
        <v>32</v>
      </c>
      <c r="E2906" s="21" t="s">
        <v>11287</v>
      </c>
      <c r="F2906" s="21" t="s">
        <v>11288</v>
      </c>
      <c r="G2906" s="20" t="s">
        <v>35</v>
      </c>
      <c r="H2906" s="20" t="s">
        <v>25</v>
      </c>
      <c r="I2906" s="21" t="s">
        <v>11289</v>
      </c>
      <c r="J2906" s="22">
        <f t="shared" si="225"/>
        <v>4.0979166666657</v>
      </c>
      <c r="K2906" s="22">
        <f t="shared" si="226"/>
        <v>98.3499999999767</v>
      </c>
      <c r="L2906" s="22">
        <f t="shared" si="227"/>
        <v>34.3499999999767</v>
      </c>
      <c r="M2906" s="22" cm="1">
        <f ca="1" t="array" ref="M2906">SUMPRODUCT(--(WEEKDAY(ROW(INDIRECT(INT(F2906)&amp;":"&amp;INT(I2906))),2)&gt;5))</f>
        <v>2</v>
      </c>
      <c r="N2906" s="22">
        <f ca="1" t="shared" si="228"/>
        <v>18.3499999999767</v>
      </c>
      <c r="O2906" s="22" t="str">
        <f ca="1" t="shared" si="229"/>
        <v>SLA Violated</v>
      </c>
      <c r="P2906" s="23" t="s">
        <v>11290</v>
      </c>
      <c r="Q2906" s="24" t="s">
        <v>37</v>
      </c>
      <c r="R2906" s="29" t="s">
        <v>11291</v>
      </c>
      <c r="S2906" s="25" t="s">
        <v>39</v>
      </c>
    </row>
    <row r="2907" ht="39" customHeight="1" spans="1:19">
      <c r="A2907" s="19" t="s">
        <v>11292</v>
      </c>
      <c r="B2907" s="20" t="s">
        <v>196</v>
      </c>
      <c r="C2907" s="20" t="s">
        <v>46</v>
      </c>
      <c r="D2907" s="20" t="s">
        <v>21</v>
      </c>
      <c r="E2907" s="21" t="s">
        <v>11293</v>
      </c>
      <c r="F2907" s="21" t="s">
        <v>11294</v>
      </c>
      <c r="G2907" s="20" t="s">
        <v>35</v>
      </c>
      <c r="H2907" s="20" t="s">
        <v>25</v>
      </c>
      <c r="I2907" s="21" t="s">
        <v>11295</v>
      </c>
      <c r="J2907" s="22">
        <f t="shared" si="225"/>
        <v>0.0291666666671517</v>
      </c>
      <c r="K2907" s="22">
        <f t="shared" si="226"/>
        <v>0.700000000011642</v>
      </c>
      <c r="L2907" s="22">
        <f t="shared" si="227"/>
        <v>0.700000000011642</v>
      </c>
      <c r="M2907" s="22" cm="1">
        <f ca="1" t="array" ref="M2907">SUMPRODUCT(--(WEEKDAY(ROW(INDIRECT(INT(F2907)&amp;":"&amp;INT(I2907))),2)&gt;5))</f>
        <v>0</v>
      </c>
      <c r="N2907" s="22">
        <f ca="1" t="shared" si="228"/>
        <v>0.700000000011642</v>
      </c>
      <c r="O2907" s="22" t="str">
        <f ca="1" t="shared" si="229"/>
        <v>Within SLA</v>
      </c>
      <c r="P2907" s="26" t="s">
        <v>11292</v>
      </c>
      <c r="Q2907" s="24" t="s">
        <v>37</v>
      </c>
      <c r="R2907" s="25"/>
      <c r="S2907" s="25"/>
    </row>
    <row r="2908" ht="27" customHeight="1" spans="1:19">
      <c r="A2908" s="19" t="s">
        <v>11296</v>
      </c>
      <c r="B2908" s="20" t="s">
        <v>139</v>
      </c>
      <c r="C2908" s="20" t="s">
        <v>2057</v>
      </c>
      <c r="D2908" s="20" t="s">
        <v>32</v>
      </c>
      <c r="E2908" s="21" t="s">
        <v>11297</v>
      </c>
      <c r="F2908" s="21" t="s">
        <v>11298</v>
      </c>
      <c r="G2908" s="20" t="s">
        <v>35</v>
      </c>
      <c r="H2908" s="20" t="s">
        <v>25</v>
      </c>
      <c r="I2908" s="21" t="s">
        <v>11299</v>
      </c>
      <c r="J2908" s="22">
        <f t="shared" si="225"/>
        <v>14.9798611111109</v>
      </c>
      <c r="K2908" s="22">
        <f t="shared" si="226"/>
        <v>359.516666666663</v>
      </c>
      <c r="L2908" s="22">
        <f t="shared" si="227"/>
        <v>119.516666666663</v>
      </c>
      <c r="M2908" s="22" cm="1">
        <f ca="1" t="array" ref="M2908">SUMPRODUCT(--(WEEKDAY(ROW(INDIRECT(INT(F2908)&amp;":"&amp;INT(I2908))),2)&gt;5))</f>
        <v>4</v>
      </c>
      <c r="N2908" s="22">
        <f ca="1" t="shared" si="228"/>
        <v>87.516666666663</v>
      </c>
      <c r="O2908" s="22" t="str">
        <f ca="1" t="shared" si="229"/>
        <v>SLA Violated</v>
      </c>
      <c r="P2908" s="23" t="s">
        <v>11300</v>
      </c>
      <c r="Q2908" s="24" t="s">
        <v>28</v>
      </c>
      <c r="R2908" s="25"/>
      <c r="S2908" s="25"/>
    </row>
    <row r="2909" ht="27" customHeight="1" spans="1:19">
      <c r="A2909" s="19" t="s">
        <v>11301</v>
      </c>
      <c r="B2909" s="20" t="s">
        <v>30</v>
      </c>
      <c r="C2909" s="20" t="s">
        <v>31</v>
      </c>
      <c r="D2909" s="20" t="s">
        <v>32</v>
      </c>
      <c r="E2909" s="21" t="s">
        <v>11302</v>
      </c>
      <c r="F2909" s="21" t="s">
        <v>11303</v>
      </c>
      <c r="G2909" s="20" t="s">
        <v>35</v>
      </c>
      <c r="H2909" s="20" t="s">
        <v>25</v>
      </c>
      <c r="I2909" s="21" t="s">
        <v>11304</v>
      </c>
      <c r="J2909" s="22">
        <f t="shared" si="225"/>
        <v>3.85972222222335</v>
      </c>
      <c r="K2909" s="22">
        <f t="shared" si="226"/>
        <v>92.6333333333605</v>
      </c>
      <c r="L2909" s="22">
        <f t="shared" si="227"/>
        <v>28.6333333333605</v>
      </c>
      <c r="M2909" s="22" cm="1">
        <f ca="1" t="array" ref="M2909">SUMPRODUCT(--(WEEKDAY(ROW(INDIRECT(INT(F2909)&amp;":"&amp;INT(I2909))),2)&gt;5))</f>
        <v>2</v>
      </c>
      <c r="N2909" s="22">
        <f ca="1" t="shared" si="228"/>
        <v>12.6333333333605</v>
      </c>
      <c r="O2909" s="22" t="str">
        <f ca="1" t="shared" si="229"/>
        <v>SLA Violated</v>
      </c>
      <c r="P2909" s="23" t="s">
        <v>11305</v>
      </c>
      <c r="Q2909" s="24" t="s">
        <v>37</v>
      </c>
      <c r="R2909" s="29" t="s">
        <v>11306</v>
      </c>
      <c r="S2909" s="25" t="s">
        <v>39</v>
      </c>
    </row>
    <row r="2910" ht="39" customHeight="1" spans="1:19">
      <c r="A2910" s="19" t="s">
        <v>11307</v>
      </c>
      <c r="B2910" s="20" t="s">
        <v>196</v>
      </c>
      <c r="C2910" s="20" t="s">
        <v>46</v>
      </c>
      <c r="D2910" s="20" t="s">
        <v>21</v>
      </c>
      <c r="E2910" s="21" t="s">
        <v>11308</v>
      </c>
      <c r="F2910" s="21" t="s">
        <v>11309</v>
      </c>
      <c r="G2910" s="20" t="s">
        <v>35</v>
      </c>
      <c r="H2910" s="20" t="s">
        <v>25</v>
      </c>
      <c r="I2910" s="21" t="s">
        <v>11310</v>
      </c>
      <c r="J2910" s="22">
        <f t="shared" si="225"/>
        <v>3.73472222222335</v>
      </c>
      <c r="K2910" s="22">
        <f t="shared" si="226"/>
        <v>89.6333333333605</v>
      </c>
      <c r="L2910" s="22">
        <f t="shared" si="227"/>
        <v>25.6333333333605</v>
      </c>
      <c r="M2910" s="22" cm="1">
        <f ca="1" t="array" ref="M2910">SUMPRODUCT(--(WEEKDAY(ROW(INDIRECT(INT(F2910)&amp;":"&amp;INT(I2910))),2)&gt;5))</f>
        <v>2</v>
      </c>
      <c r="N2910" s="22">
        <f ca="1" t="shared" si="228"/>
        <v>9.6333333333605</v>
      </c>
      <c r="O2910" s="22" t="str">
        <f ca="1" t="shared" si="229"/>
        <v>SLA Violated</v>
      </c>
      <c r="P2910" s="23" t="s">
        <v>11311</v>
      </c>
      <c r="Q2910" s="24" t="s">
        <v>37</v>
      </c>
      <c r="R2910" s="29" t="s">
        <v>11312</v>
      </c>
      <c r="S2910" s="25" t="s">
        <v>39</v>
      </c>
    </row>
    <row r="2911" ht="39" customHeight="1" spans="1:19">
      <c r="A2911" s="19" t="s">
        <v>11313</v>
      </c>
      <c r="B2911" s="20" t="s">
        <v>19</v>
      </c>
      <c r="C2911" s="20" t="s">
        <v>20</v>
      </c>
      <c r="D2911" s="20" t="s">
        <v>32</v>
      </c>
      <c r="E2911" s="21" t="s">
        <v>11314</v>
      </c>
      <c r="F2911" s="21" t="s">
        <v>11315</v>
      </c>
      <c r="G2911" s="20" t="s">
        <v>35</v>
      </c>
      <c r="H2911" s="20" t="s">
        <v>25</v>
      </c>
      <c r="I2911" s="21" t="s">
        <v>11316</v>
      </c>
      <c r="J2911" s="22">
        <f t="shared" si="225"/>
        <v>1.67638888888905</v>
      </c>
      <c r="K2911" s="22">
        <f t="shared" si="226"/>
        <v>40.2333333333372</v>
      </c>
      <c r="L2911" s="22">
        <f t="shared" si="227"/>
        <v>8.23333333333721</v>
      </c>
      <c r="M2911" s="22" cm="1">
        <f ca="1" t="array" ref="M2911">SUMPRODUCT(--(WEEKDAY(ROW(INDIRECT(INT(F2911)&amp;":"&amp;INT(I2911))),2)&gt;5))</f>
        <v>1</v>
      </c>
      <c r="N2911" s="22">
        <f ca="1" t="shared" si="228"/>
        <v>0.23333333333721</v>
      </c>
      <c r="O2911" s="22" t="str">
        <f ca="1" t="shared" si="229"/>
        <v>Within SLA</v>
      </c>
      <c r="P2911" s="26" t="s">
        <v>11313</v>
      </c>
      <c r="Q2911" s="24" t="s">
        <v>37</v>
      </c>
      <c r="R2911" s="25"/>
      <c r="S2911" s="25"/>
    </row>
    <row r="2912" ht="39" customHeight="1" spans="1:19">
      <c r="A2912" s="19" t="s">
        <v>11317</v>
      </c>
      <c r="B2912" s="20" t="s">
        <v>19</v>
      </c>
      <c r="C2912" s="20" t="s">
        <v>20</v>
      </c>
      <c r="D2912" s="20" t="s">
        <v>32</v>
      </c>
      <c r="E2912" s="21" t="s">
        <v>11318</v>
      </c>
      <c r="F2912" s="21" t="s">
        <v>11319</v>
      </c>
      <c r="G2912" s="20" t="s">
        <v>35</v>
      </c>
      <c r="H2912" s="20" t="s">
        <v>25</v>
      </c>
      <c r="I2912" s="21" t="s">
        <v>11320</v>
      </c>
      <c r="J2912" s="22">
        <f t="shared" si="225"/>
        <v>0.0305555555532919</v>
      </c>
      <c r="K2912" s="22">
        <f t="shared" si="226"/>
        <v>0.733333333279006</v>
      </c>
      <c r="L2912" s="22">
        <f t="shared" si="227"/>
        <v>0.733333333279006</v>
      </c>
      <c r="M2912" s="22" cm="1">
        <f ca="1" t="array" ref="M2912">SUMPRODUCT(--(WEEKDAY(ROW(INDIRECT(INT(F2912)&amp;":"&amp;INT(I2912))),2)&gt;5))</f>
        <v>0</v>
      </c>
      <c r="N2912" s="22">
        <f ca="1" t="shared" si="228"/>
        <v>0.733333333279006</v>
      </c>
      <c r="O2912" s="22" t="str">
        <f ca="1" t="shared" si="229"/>
        <v>Within SLA</v>
      </c>
      <c r="P2912" s="26" t="s">
        <v>11317</v>
      </c>
      <c r="Q2912" s="24" t="s">
        <v>37</v>
      </c>
      <c r="R2912" s="25"/>
      <c r="S2912" s="25"/>
    </row>
    <row r="2913" ht="39" customHeight="1" spans="1:19">
      <c r="A2913" s="19" t="s">
        <v>11321</v>
      </c>
      <c r="B2913" s="20" t="s">
        <v>19</v>
      </c>
      <c r="C2913" s="20" t="s">
        <v>20</v>
      </c>
      <c r="D2913" s="20" t="s">
        <v>32</v>
      </c>
      <c r="E2913" s="21" t="s">
        <v>11322</v>
      </c>
      <c r="F2913" s="21" t="s">
        <v>11323</v>
      </c>
      <c r="G2913" s="20" t="s">
        <v>35</v>
      </c>
      <c r="H2913" s="20" t="s">
        <v>25</v>
      </c>
      <c r="I2913" s="21" t="s">
        <v>11324</v>
      </c>
      <c r="J2913" s="22">
        <f t="shared" si="225"/>
        <v>0.0305555555605679</v>
      </c>
      <c r="K2913" s="22">
        <f t="shared" si="226"/>
        <v>0.733333333453629</v>
      </c>
      <c r="L2913" s="22">
        <f t="shared" si="227"/>
        <v>0.733333333453629</v>
      </c>
      <c r="M2913" s="22" cm="1">
        <f ca="1" t="array" ref="M2913">SUMPRODUCT(--(WEEKDAY(ROW(INDIRECT(INT(F2913)&amp;":"&amp;INT(I2913))),2)&gt;5))</f>
        <v>0</v>
      </c>
      <c r="N2913" s="22">
        <f ca="1" t="shared" si="228"/>
        <v>0.733333333453629</v>
      </c>
      <c r="O2913" s="22" t="str">
        <f ca="1" t="shared" si="229"/>
        <v>Within SLA</v>
      </c>
      <c r="P2913" s="26" t="s">
        <v>11321</v>
      </c>
      <c r="Q2913" s="24" t="s">
        <v>37</v>
      </c>
      <c r="R2913" s="25"/>
      <c r="S2913" s="25"/>
    </row>
    <row r="2914" ht="27" customHeight="1" spans="1:19">
      <c r="A2914" s="19" t="s">
        <v>11325</v>
      </c>
      <c r="B2914" s="20" t="s">
        <v>121</v>
      </c>
      <c r="C2914" s="20" t="s">
        <v>849</v>
      </c>
      <c r="D2914" s="20" t="s">
        <v>21</v>
      </c>
      <c r="E2914" s="21" t="s">
        <v>11326</v>
      </c>
      <c r="F2914" s="21" t="s">
        <v>11327</v>
      </c>
      <c r="G2914" s="20" t="s">
        <v>35</v>
      </c>
      <c r="H2914" s="20" t="s">
        <v>25</v>
      </c>
      <c r="I2914" s="21" t="s">
        <v>11328</v>
      </c>
      <c r="J2914" s="22">
        <f t="shared" si="225"/>
        <v>1.03888888888469</v>
      </c>
      <c r="K2914" s="22">
        <f t="shared" si="226"/>
        <v>24.9333333332324</v>
      </c>
      <c r="L2914" s="22">
        <f t="shared" si="227"/>
        <v>8.93333333323244</v>
      </c>
      <c r="M2914" s="22" cm="1">
        <f ca="1" t="array" ref="M2914">SUMPRODUCT(--(WEEKDAY(ROW(INDIRECT(INT(F2914)&amp;":"&amp;INT(I2914))),2)&gt;5))</f>
        <v>0</v>
      </c>
      <c r="N2914" s="22">
        <f ca="1" t="shared" si="228"/>
        <v>8.93333333323244</v>
      </c>
      <c r="O2914" s="22" t="str">
        <f ca="1" t="shared" si="229"/>
        <v>SLA Violated</v>
      </c>
      <c r="P2914" s="23" t="s">
        <v>11329</v>
      </c>
      <c r="Q2914" s="24" t="s">
        <v>28</v>
      </c>
      <c r="R2914" s="25"/>
      <c r="S2914" s="25"/>
    </row>
    <row r="2915" ht="16" customHeight="1" spans="1:19">
      <c r="A2915" s="19" t="s">
        <v>11330</v>
      </c>
      <c r="B2915" s="20" t="s">
        <v>100</v>
      </c>
      <c r="C2915" s="20" t="s">
        <v>101</v>
      </c>
      <c r="D2915" s="20" t="s">
        <v>32</v>
      </c>
      <c r="E2915" s="21" t="s">
        <v>11331</v>
      </c>
      <c r="F2915" s="21" t="s">
        <v>11332</v>
      </c>
      <c r="G2915" s="20" t="s">
        <v>35</v>
      </c>
      <c r="H2915" s="20" t="s">
        <v>25</v>
      </c>
      <c r="I2915" s="21" t="s">
        <v>11333</v>
      </c>
      <c r="J2915" s="22">
        <f t="shared" si="225"/>
        <v>10.304861111108</v>
      </c>
      <c r="K2915" s="22">
        <f t="shared" si="226"/>
        <v>247.316666666593</v>
      </c>
      <c r="L2915" s="22">
        <f t="shared" si="227"/>
        <v>87.3166666665929</v>
      </c>
      <c r="M2915" s="22" cm="1">
        <f ca="1" t="array" ref="M2915">SUMPRODUCT(--(WEEKDAY(ROW(INDIRECT(INT(F2915)&amp;":"&amp;INT(I2915))),2)&gt;5))</f>
        <v>2</v>
      </c>
      <c r="N2915" s="22">
        <f ca="1" t="shared" si="228"/>
        <v>71.3166666665929</v>
      </c>
      <c r="O2915" s="22" t="str">
        <f ca="1" t="shared" si="229"/>
        <v>SLA Violated</v>
      </c>
      <c r="P2915" s="23" t="s">
        <v>11334</v>
      </c>
      <c r="Q2915" s="24" t="s">
        <v>28</v>
      </c>
      <c r="R2915" s="25"/>
      <c r="S2915" s="25"/>
    </row>
    <row r="2916" ht="39" customHeight="1" spans="1:19">
      <c r="A2916" s="19" t="s">
        <v>11335</v>
      </c>
      <c r="B2916" s="20" t="s">
        <v>196</v>
      </c>
      <c r="C2916" s="20" t="s">
        <v>849</v>
      </c>
      <c r="D2916" s="20" t="s">
        <v>32</v>
      </c>
      <c r="E2916" s="21" t="s">
        <v>11336</v>
      </c>
      <c r="F2916" s="21" t="s">
        <v>11337</v>
      </c>
      <c r="G2916" s="20" t="s">
        <v>35</v>
      </c>
      <c r="H2916" s="20" t="s">
        <v>25</v>
      </c>
      <c r="I2916" s="21" t="s">
        <v>11333</v>
      </c>
      <c r="J2916" s="22">
        <f t="shared" si="225"/>
        <v>0.0847222222218988</v>
      </c>
      <c r="K2916" s="22">
        <f t="shared" si="226"/>
        <v>2.03333333332557</v>
      </c>
      <c r="L2916" s="22">
        <f t="shared" si="227"/>
        <v>2.03333333332557</v>
      </c>
      <c r="M2916" s="22" cm="1">
        <f ca="1" t="array" ref="M2916">SUMPRODUCT(--(WEEKDAY(ROW(INDIRECT(INT(F2916)&amp;":"&amp;INT(I2916))),2)&gt;5))</f>
        <v>0</v>
      </c>
      <c r="N2916" s="22">
        <f ca="1" t="shared" si="228"/>
        <v>2.03333333332557</v>
      </c>
      <c r="O2916" s="22" t="str">
        <f ca="1" t="shared" si="229"/>
        <v>Within SLA</v>
      </c>
      <c r="P2916" s="26" t="s">
        <v>11335</v>
      </c>
      <c r="Q2916" s="24" t="s">
        <v>37</v>
      </c>
      <c r="R2916" s="25"/>
      <c r="S2916" s="25"/>
    </row>
    <row r="2917" ht="39" customHeight="1" spans="1:19">
      <c r="A2917" s="19" t="s">
        <v>11338</v>
      </c>
      <c r="B2917" s="20" t="s">
        <v>19</v>
      </c>
      <c r="C2917" s="20" t="s">
        <v>20</v>
      </c>
      <c r="D2917" s="20" t="s">
        <v>32</v>
      </c>
      <c r="E2917" s="21" t="s">
        <v>11339</v>
      </c>
      <c r="F2917" s="21" t="s">
        <v>11340</v>
      </c>
      <c r="G2917" s="20" t="s">
        <v>35</v>
      </c>
      <c r="H2917" s="20" t="s">
        <v>25</v>
      </c>
      <c r="I2917" s="21" t="s">
        <v>11341</v>
      </c>
      <c r="J2917" s="22">
        <f t="shared" si="225"/>
        <v>0.0291666666671517</v>
      </c>
      <c r="K2917" s="22">
        <f t="shared" si="226"/>
        <v>0.700000000011642</v>
      </c>
      <c r="L2917" s="22">
        <f t="shared" si="227"/>
        <v>0.700000000011642</v>
      </c>
      <c r="M2917" s="22" cm="1">
        <f ca="1" t="array" ref="M2917">SUMPRODUCT(--(WEEKDAY(ROW(INDIRECT(INT(F2917)&amp;":"&amp;INT(I2917))),2)&gt;5))</f>
        <v>0</v>
      </c>
      <c r="N2917" s="22">
        <f ca="1" t="shared" si="228"/>
        <v>0.700000000011642</v>
      </c>
      <c r="O2917" s="22" t="str">
        <f ca="1" t="shared" si="229"/>
        <v>Within SLA</v>
      </c>
      <c r="P2917" s="26" t="s">
        <v>11338</v>
      </c>
      <c r="Q2917" s="24" t="s">
        <v>37</v>
      </c>
      <c r="R2917" s="25"/>
      <c r="S2917" s="25"/>
    </row>
    <row r="2918" ht="27" customHeight="1" spans="1:19">
      <c r="A2918" s="19" t="s">
        <v>11342</v>
      </c>
      <c r="B2918" s="20" t="s">
        <v>30</v>
      </c>
      <c r="C2918" s="20" t="s">
        <v>46</v>
      </c>
      <c r="D2918" s="20" t="s">
        <v>105</v>
      </c>
      <c r="E2918" s="21" t="s">
        <v>11343</v>
      </c>
      <c r="F2918" s="21" t="s">
        <v>11344</v>
      </c>
      <c r="G2918" s="20" t="s">
        <v>35</v>
      </c>
      <c r="H2918" s="20" t="s">
        <v>25</v>
      </c>
      <c r="I2918" s="21" t="s">
        <v>11341</v>
      </c>
      <c r="J2918" s="22">
        <f t="shared" si="225"/>
        <v>1.02430555555475</v>
      </c>
      <c r="K2918" s="22">
        <f t="shared" si="226"/>
        <v>24.5833333333139</v>
      </c>
      <c r="L2918" s="22">
        <f t="shared" si="227"/>
        <v>8.58333333331393</v>
      </c>
      <c r="M2918" s="22" cm="1">
        <f ca="1" t="array" ref="M2918">SUMPRODUCT(--(WEEKDAY(ROW(INDIRECT(INT(F2918)&amp;":"&amp;INT(I2918))),2)&gt;5))</f>
        <v>0</v>
      </c>
      <c r="N2918" s="22">
        <f ca="1" t="shared" si="228"/>
        <v>8.58333333331393</v>
      </c>
      <c r="O2918" s="22" t="str">
        <f ca="1" t="shared" si="229"/>
        <v>SLA Violated</v>
      </c>
      <c r="P2918" s="23" t="s">
        <v>11345</v>
      </c>
      <c r="Q2918" s="24" t="s">
        <v>28</v>
      </c>
      <c r="R2918" s="25"/>
      <c r="S2918" s="25"/>
    </row>
    <row r="2919" ht="27" customHeight="1" spans="1:19">
      <c r="A2919" s="19" t="s">
        <v>11346</v>
      </c>
      <c r="B2919" s="20" t="s">
        <v>139</v>
      </c>
      <c r="C2919" s="20" t="s">
        <v>2057</v>
      </c>
      <c r="D2919" s="20" t="s">
        <v>32</v>
      </c>
      <c r="E2919" s="21" t="s">
        <v>11347</v>
      </c>
      <c r="F2919" s="21" t="s">
        <v>11348</v>
      </c>
      <c r="G2919" s="20" t="s">
        <v>35</v>
      </c>
      <c r="H2919" s="20" t="s">
        <v>25</v>
      </c>
      <c r="I2919" s="21" t="s">
        <v>11349</v>
      </c>
      <c r="J2919" s="22">
        <f t="shared" si="225"/>
        <v>1.08194444444234</v>
      </c>
      <c r="K2919" s="22">
        <f t="shared" si="226"/>
        <v>25.9666666666162</v>
      </c>
      <c r="L2919" s="22">
        <f t="shared" si="227"/>
        <v>9.96666666661622</v>
      </c>
      <c r="M2919" s="22" cm="1">
        <f ca="1" t="array" ref="M2919">SUMPRODUCT(--(WEEKDAY(ROW(INDIRECT(INT(F2919)&amp;":"&amp;INT(I2919))),2)&gt;5))</f>
        <v>0</v>
      </c>
      <c r="N2919" s="22">
        <f ca="1" t="shared" si="228"/>
        <v>9.96666666661622</v>
      </c>
      <c r="O2919" s="22" t="str">
        <f ca="1" t="shared" si="229"/>
        <v>Within SLA</v>
      </c>
      <c r="P2919" s="26" t="s">
        <v>11346</v>
      </c>
      <c r="Q2919" s="24" t="s">
        <v>37</v>
      </c>
      <c r="R2919" s="25"/>
      <c r="S2919" s="25"/>
    </row>
    <row r="2920" ht="50" customHeight="1" spans="1:19">
      <c r="A2920" s="19" t="s">
        <v>11350</v>
      </c>
      <c r="B2920" s="20" t="s">
        <v>369</v>
      </c>
      <c r="C2920" s="20" t="s">
        <v>1935</v>
      </c>
      <c r="D2920" s="20" t="s">
        <v>32</v>
      </c>
      <c r="E2920" s="21" t="s">
        <v>11351</v>
      </c>
      <c r="F2920" s="21" t="s">
        <v>11352</v>
      </c>
      <c r="G2920" s="20" t="s">
        <v>35</v>
      </c>
      <c r="H2920" s="20" t="s">
        <v>25</v>
      </c>
      <c r="I2920" s="21" t="s">
        <v>11353</v>
      </c>
      <c r="J2920" s="22">
        <f t="shared" si="225"/>
        <v>0.0541666666686069</v>
      </c>
      <c r="K2920" s="22">
        <f t="shared" si="226"/>
        <v>1.30000000004657</v>
      </c>
      <c r="L2920" s="22">
        <f t="shared" si="227"/>
        <v>1.30000000004657</v>
      </c>
      <c r="M2920" s="22" cm="1">
        <f ca="1" t="array" ref="M2920">SUMPRODUCT(--(WEEKDAY(ROW(INDIRECT(INT(F2920)&amp;":"&amp;INT(I2920))),2)&gt;5))</f>
        <v>0</v>
      </c>
      <c r="N2920" s="22">
        <f ca="1" t="shared" si="228"/>
        <v>1.30000000004657</v>
      </c>
      <c r="O2920" s="22" t="str">
        <f ca="1" t="shared" si="229"/>
        <v>Within SLA</v>
      </c>
      <c r="P2920" s="26" t="s">
        <v>11350</v>
      </c>
      <c r="Q2920" s="24" t="s">
        <v>37</v>
      </c>
      <c r="R2920" s="25"/>
      <c r="S2920" s="25"/>
    </row>
    <row r="2921" ht="27" customHeight="1" spans="1:19">
      <c r="A2921" s="19" t="s">
        <v>11354</v>
      </c>
      <c r="B2921" s="20" t="s">
        <v>30</v>
      </c>
      <c r="C2921" s="20" t="s">
        <v>1935</v>
      </c>
      <c r="D2921" s="20" t="s">
        <v>32</v>
      </c>
      <c r="E2921" s="21" t="s">
        <v>11355</v>
      </c>
      <c r="F2921" s="21" t="s">
        <v>10410</v>
      </c>
      <c r="G2921" s="20" t="s">
        <v>35</v>
      </c>
      <c r="H2921" s="20" t="s">
        <v>25</v>
      </c>
      <c r="I2921" s="21" t="s">
        <v>11356</v>
      </c>
      <c r="J2921" s="22">
        <f t="shared" si="225"/>
        <v>4.00624999999854</v>
      </c>
      <c r="K2921" s="22">
        <f t="shared" si="226"/>
        <v>96.1499999999651</v>
      </c>
      <c r="L2921" s="22">
        <f t="shared" si="227"/>
        <v>32.1499999999651</v>
      </c>
      <c r="M2921" s="22" cm="1">
        <f ca="1" t="array" ref="M2921">SUMPRODUCT(--(WEEKDAY(ROW(INDIRECT(INT(F2921)&amp;":"&amp;INT(I2921))),2)&gt;5))</f>
        <v>0</v>
      </c>
      <c r="N2921" s="22">
        <f ca="1" t="shared" si="228"/>
        <v>32.1499999999651</v>
      </c>
      <c r="O2921" s="22" t="str">
        <f ca="1" t="shared" si="229"/>
        <v>SLA Violated</v>
      </c>
      <c r="P2921" s="23" t="s">
        <v>11357</v>
      </c>
      <c r="Q2921" s="24" t="s">
        <v>37</v>
      </c>
      <c r="R2921" s="25" t="s">
        <v>719</v>
      </c>
      <c r="S2921" s="25"/>
    </row>
    <row r="2922" ht="39" customHeight="1" spans="1:19">
      <c r="A2922" s="19" t="s">
        <v>11358</v>
      </c>
      <c r="B2922" s="20" t="s">
        <v>19</v>
      </c>
      <c r="C2922" s="20" t="s">
        <v>20</v>
      </c>
      <c r="D2922" s="20" t="s">
        <v>32</v>
      </c>
      <c r="E2922" s="21" t="s">
        <v>11359</v>
      </c>
      <c r="F2922" s="21" t="s">
        <v>11360</v>
      </c>
      <c r="G2922" s="20" t="s">
        <v>35</v>
      </c>
      <c r="H2922" s="20" t="s">
        <v>25</v>
      </c>
      <c r="I2922" s="21" t="s">
        <v>11361</v>
      </c>
      <c r="J2922" s="22">
        <f t="shared" si="225"/>
        <v>0.0527777777751908</v>
      </c>
      <c r="K2922" s="22">
        <f t="shared" si="226"/>
        <v>1.26666666660458</v>
      </c>
      <c r="L2922" s="22">
        <f t="shared" si="227"/>
        <v>1.26666666660458</v>
      </c>
      <c r="M2922" s="22" cm="1">
        <f ca="1" t="array" ref="M2922">SUMPRODUCT(--(WEEKDAY(ROW(INDIRECT(INT(F2922)&amp;":"&amp;INT(I2922))),2)&gt;5))</f>
        <v>0</v>
      </c>
      <c r="N2922" s="22">
        <f ca="1" t="shared" si="228"/>
        <v>1.26666666660458</v>
      </c>
      <c r="O2922" s="22" t="str">
        <f ca="1" t="shared" si="229"/>
        <v>Within SLA</v>
      </c>
      <c r="P2922" s="26" t="s">
        <v>11358</v>
      </c>
      <c r="Q2922" s="24" t="s">
        <v>37</v>
      </c>
      <c r="R2922" s="25"/>
      <c r="S2922" s="25"/>
    </row>
    <row r="2923" ht="27" customHeight="1" spans="1:19">
      <c r="A2923" s="19" t="s">
        <v>11362</v>
      </c>
      <c r="B2923" s="20" t="s">
        <v>30</v>
      </c>
      <c r="C2923" s="20" t="s">
        <v>101</v>
      </c>
      <c r="D2923" s="20" t="s">
        <v>32</v>
      </c>
      <c r="E2923" s="21" t="s">
        <v>11363</v>
      </c>
      <c r="F2923" s="21" t="s">
        <v>11364</v>
      </c>
      <c r="G2923" s="20" t="s">
        <v>35</v>
      </c>
      <c r="H2923" s="20" t="s">
        <v>25</v>
      </c>
      <c r="I2923" s="21" t="s">
        <v>11365</v>
      </c>
      <c r="J2923" s="22">
        <f t="shared" si="225"/>
        <v>1.04583333332994</v>
      </c>
      <c r="K2923" s="22">
        <f t="shared" si="226"/>
        <v>25.0999999999185</v>
      </c>
      <c r="L2923" s="22">
        <f t="shared" si="227"/>
        <v>9.09999999991851</v>
      </c>
      <c r="M2923" s="22" cm="1">
        <f ca="1" t="array" ref="M2923">SUMPRODUCT(--(WEEKDAY(ROW(INDIRECT(INT(F2923)&amp;":"&amp;INT(I2923))),2)&gt;5))</f>
        <v>0</v>
      </c>
      <c r="N2923" s="22">
        <f ca="1" t="shared" si="228"/>
        <v>9.09999999991851</v>
      </c>
      <c r="O2923" s="22" t="str">
        <f ca="1" t="shared" si="229"/>
        <v>Within SLA</v>
      </c>
      <c r="P2923" s="26" t="s">
        <v>11362</v>
      </c>
      <c r="Q2923" s="24" t="s">
        <v>37</v>
      </c>
      <c r="R2923" s="25"/>
      <c r="S2923" s="25"/>
    </row>
    <row r="2924" ht="27" customHeight="1" spans="1:19">
      <c r="A2924" s="19" t="s">
        <v>11366</v>
      </c>
      <c r="B2924" s="20" t="s">
        <v>30</v>
      </c>
      <c r="C2924" s="20" t="s">
        <v>1935</v>
      </c>
      <c r="D2924" s="20" t="s">
        <v>32</v>
      </c>
      <c r="E2924" s="21" t="s">
        <v>11367</v>
      </c>
      <c r="F2924" s="21" t="s">
        <v>11368</v>
      </c>
      <c r="G2924" s="20" t="s">
        <v>35</v>
      </c>
      <c r="H2924" s="20" t="s">
        <v>25</v>
      </c>
      <c r="I2924" s="21" t="s">
        <v>11365</v>
      </c>
      <c r="J2924" s="22">
        <f t="shared" si="225"/>
        <v>5.9951388888876</v>
      </c>
      <c r="K2924" s="22">
        <f t="shared" si="226"/>
        <v>143.883333333302</v>
      </c>
      <c r="L2924" s="22">
        <f t="shared" si="227"/>
        <v>47.8833333333023</v>
      </c>
      <c r="M2924" s="22" cm="1">
        <f ca="1" t="array" ref="M2924">SUMPRODUCT(--(WEEKDAY(ROW(INDIRECT(INT(F2924)&amp;":"&amp;INT(I2924))),2)&gt;5))</f>
        <v>2</v>
      </c>
      <c r="N2924" s="22">
        <f ca="1" t="shared" si="228"/>
        <v>31.8833333333023</v>
      </c>
      <c r="O2924" s="22" t="str">
        <f ca="1" t="shared" si="229"/>
        <v>SLA Violated</v>
      </c>
      <c r="P2924" s="23" t="s">
        <v>11369</v>
      </c>
      <c r="Q2924" s="24" t="s">
        <v>37</v>
      </c>
      <c r="R2924" s="25" t="s">
        <v>719</v>
      </c>
      <c r="S2924" s="25"/>
    </row>
    <row r="2925" ht="39" customHeight="1" spans="1:19">
      <c r="A2925" s="19" t="s">
        <v>11370</v>
      </c>
      <c r="B2925" s="20" t="s">
        <v>19</v>
      </c>
      <c r="C2925" s="20" t="s">
        <v>20</v>
      </c>
      <c r="D2925" s="20" t="s">
        <v>32</v>
      </c>
      <c r="E2925" s="21" t="s">
        <v>11371</v>
      </c>
      <c r="F2925" s="21" t="s">
        <v>11372</v>
      </c>
      <c r="G2925" s="20" t="s">
        <v>35</v>
      </c>
      <c r="H2925" s="20" t="s">
        <v>25</v>
      </c>
      <c r="I2925" s="21" t="s">
        <v>11373</v>
      </c>
      <c r="J2925" s="22">
        <f t="shared" si="225"/>
        <v>0.0187499999956344</v>
      </c>
      <c r="K2925" s="22">
        <f t="shared" si="226"/>
        <v>0.449999999895226</v>
      </c>
      <c r="L2925" s="22">
        <f t="shared" si="227"/>
        <v>0.449999999895226</v>
      </c>
      <c r="M2925" s="22" cm="1">
        <f ca="1" t="array" ref="M2925">SUMPRODUCT(--(WEEKDAY(ROW(INDIRECT(INT(F2925)&amp;":"&amp;INT(I2925))),2)&gt;5))</f>
        <v>0</v>
      </c>
      <c r="N2925" s="22">
        <f ca="1" t="shared" si="228"/>
        <v>0.449999999895226</v>
      </c>
      <c r="O2925" s="22" t="str">
        <f ca="1" t="shared" si="229"/>
        <v>Within SLA</v>
      </c>
      <c r="P2925" s="26" t="s">
        <v>11370</v>
      </c>
      <c r="Q2925" s="24" t="s">
        <v>37</v>
      </c>
      <c r="R2925" s="25"/>
      <c r="S2925" s="25"/>
    </row>
    <row r="2926" ht="39" customHeight="1" spans="1:19">
      <c r="A2926" s="19" t="s">
        <v>11374</v>
      </c>
      <c r="B2926" s="20" t="s">
        <v>196</v>
      </c>
      <c r="C2926" s="20" t="s">
        <v>849</v>
      </c>
      <c r="D2926" s="20" t="s">
        <v>32</v>
      </c>
      <c r="E2926" s="21" t="s">
        <v>11375</v>
      </c>
      <c r="F2926" s="21" t="s">
        <v>11376</v>
      </c>
      <c r="G2926" s="20" t="s">
        <v>35</v>
      </c>
      <c r="H2926" s="20" t="s">
        <v>25</v>
      </c>
      <c r="I2926" s="21" t="s">
        <v>11377</v>
      </c>
      <c r="J2926" s="22">
        <f t="shared" si="225"/>
        <v>1.95833333333576</v>
      </c>
      <c r="K2926" s="22">
        <f t="shared" si="226"/>
        <v>47.0000000000582</v>
      </c>
      <c r="L2926" s="22">
        <f t="shared" si="227"/>
        <v>15.0000000000582</v>
      </c>
      <c r="M2926" s="22" cm="1">
        <f ca="1" t="array" ref="M2926">SUMPRODUCT(--(WEEKDAY(ROW(INDIRECT(INT(F2926)&amp;":"&amp;INT(I2926))),2)&gt;5))</f>
        <v>0</v>
      </c>
      <c r="N2926" s="22">
        <f ca="1" t="shared" si="228"/>
        <v>15.0000000000582</v>
      </c>
      <c r="O2926" s="22" t="str">
        <f ca="1" t="shared" si="229"/>
        <v>SLA Violated</v>
      </c>
      <c r="P2926" s="23" t="s">
        <v>11378</v>
      </c>
      <c r="Q2926" s="24" t="s">
        <v>28</v>
      </c>
      <c r="R2926" s="25"/>
      <c r="S2926" s="25"/>
    </row>
    <row r="2927" ht="39" customHeight="1" spans="1:19">
      <c r="A2927" s="19" t="s">
        <v>11379</v>
      </c>
      <c r="B2927" s="20" t="s">
        <v>19</v>
      </c>
      <c r="C2927" s="20" t="s">
        <v>20</v>
      </c>
      <c r="D2927" s="20" t="s">
        <v>32</v>
      </c>
      <c r="E2927" s="21" t="s">
        <v>11380</v>
      </c>
      <c r="F2927" s="21" t="s">
        <v>11381</v>
      </c>
      <c r="G2927" s="20" t="s">
        <v>35</v>
      </c>
      <c r="H2927" s="20" t="s">
        <v>25</v>
      </c>
      <c r="I2927" s="21" t="s">
        <v>11382</v>
      </c>
      <c r="J2927" s="22">
        <f t="shared" si="225"/>
        <v>0.00555555555911269</v>
      </c>
      <c r="K2927" s="22">
        <f t="shared" si="226"/>
        <v>0.133333333418705</v>
      </c>
      <c r="L2927" s="22">
        <f t="shared" si="227"/>
        <v>0.133333333418705</v>
      </c>
      <c r="M2927" s="22" cm="1">
        <f ca="1" t="array" ref="M2927">SUMPRODUCT(--(WEEKDAY(ROW(INDIRECT(INT(F2927)&amp;":"&amp;INT(I2927))),2)&gt;5))</f>
        <v>0</v>
      </c>
      <c r="N2927" s="22">
        <f ca="1" t="shared" si="228"/>
        <v>0.133333333418705</v>
      </c>
      <c r="O2927" s="22" t="str">
        <f ca="1" t="shared" si="229"/>
        <v>Within SLA</v>
      </c>
      <c r="P2927" s="26" t="s">
        <v>11379</v>
      </c>
      <c r="Q2927" s="24" t="s">
        <v>37</v>
      </c>
      <c r="R2927" s="25"/>
      <c r="S2927" s="25"/>
    </row>
    <row r="2928" ht="39" customHeight="1" spans="1:19">
      <c r="A2928" s="19" t="s">
        <v>11383</v>
      </c>
      <c r="B2928" s="20" t="s">
        <v>19</v>
      </c>
      <c r="C2928" s="20" t="s">
        <v>20</v>
      </c>
      <c r="D2928" s="20" t="s">
        <v>32</v>
      </c>
      <c r="E2928" s="21" t="s">
        <v>11384</v>
      </c>
      <c r="F2928" s="21" t="s">
        <v>3965</v>
      </c>
      <c r="G2928" s="20" t="s">
        <v>24</v>
      </c>
      <c r="H2928" s="20" t="s">
        <v>25</v>
      </c>
      <c r="I2928" s="21" t="s">
        <v>11385</v>
      </c>
      <c r="J2928" s="22">
        <f t="shared" si="225"/>
        <v>22.9291666666686</v>
      </c>
      <c r="K2928" s="22">
        <f t="shared" si="226"/>
        <v>550.300000000047</v>
      </c>
      <c r="L2928" s="22">
        <f t="shared" si="227"/>
        <v>182.300000000047</v>
      </c>
      <c r="M2928" s="22" cm="1">
        <f ca="1" t="array" ref="M2928">SUMPRODUCT(--(WEEKDAY(ROW(INDIRECT(INT(F2928)&amp;":"&amp;INT(I2928))),2)&gt;5))</f>
        <v>6</v>
      </c>
      <c r="N2928" s="22">
        <f ca="1" t="shared" si="228"/>
        <v>134.300000000047</v>
      </c>
      <c r="O2928" s="22" t="str">
        <f ca="1" t="shared" si="229"/>
        <v>SLA Violated</v>
      </c>
      <c r="P2928" s="23" t="s">
        <v>11386</v>
      </c>
      <c r="Q2928" s="24" t="s">
        <v>37</v>
      </c>
      <c r="R2928" s="25" t="s">
        <v>220</v>
      </c>
      <c r="S2928" s="25" t="s">
        <v>39</v>
      </c>
    </row>
    <row r="2929" ht="39" customHeight="1" spans="1:19">
      <c r="A2929" s="19" t="s">
        <v>11387</v>
      </c>
      <c r="B2929" s="20" t="s">
        <v>702</v>
      </c>
      <c r="C2929" s="20" t="s">
        <v>101</v>
      </c>
      <c r="D2929" s="20" t="s">
        <v>32</v>
      </c>
      <c r="E2929" s="21" t="s">
        <v>11388</v>
      </c>
      <c r="F2929" s="21" t="s">
        <v>11389</v>
      </c>
      <c r="G2929" s="20" t="s">
        <v>35</v>
      </c>
      <c r="H2929" s="20" t="s">
        <v>25</v>
      </c>
      <c r="I2929" s="21" t="s">
        <v>11382</v>
      </c>
      <c r="J2929" s="22">
        <f t="shared" si="225"/>
        <v>0.997916666667152</v>
      </c>
      <c r="K2929" s="22">
        <f t="shared" si="226"/>
        <v>23.9500000000116</v>
      </c>
      <c r="L2929" s="22">
        <f t="shared" si="227"/>
        <v>7.95000000001164</v>
      </c>
      <c r="M2929" s="22" cm="1">
        <f ca="1" t="array" ref="M2929">SUMPRODUCT(--(WEEKDAY(ROW(INDIRECT(INT(F2929)&amp;":"&amp;INT(I2929))),2)&gt;5))</f>
        <v>0</v>
      </c>
      <c r="N2929" s="22">
        <f ca="1" t="shared" si="228"/>
        <v>7.95000000001164</v>
      </c>
      <c r="O2929" s="22" t="str">
        <f ca="1" t="shared" si="229"/>
        <v>Within SLA</v>
      </c>
      <c r="P2929" s="26" t="s">
        <v>11387</v>
      </c>
      <c r="Q2929" s="24" t="s">
        <v>37</v>
      </c>
      <c r="R2929" s="25"/>
      <c r="S2929" s="25"/>
    </row>
    <row r="2930" ht="27" customHeight="1" spans="1:19">
      <c r="A2930" s="19" t="s">
        <v>11390</v>
      </c>
      <c r="B2930" s="20" t="s">
        <v>121</v>
      </c>
      <c r="C2930" s="20" t="s">
        <v>849</v>
      </c>
      <c r="D2930" s="20" t="s">
        <v>32</v>
      </c>
      <c r="E2930" s="21" t="s">
        <v>11391</v>
      </c>
      <c r="F2930" s="21" t="s">
        <v>11392</v>
      </c>
      <c r="G2930" s="20" t="s">
        <v>35</v>
      </c>
      <c r="H2930" s="20" t="s">
        <v>25</v>
      </c>
      <c r="I2930" s="21" t="s">
        <v>11393</v>
      </c>
      <c r="J2930" s="22">
        <f t="shared" si="225"/>
        <v>2.19444444444525</v>
      </c>
      <c r="K2930" s="22">
        <f t="shared" si="226"/>
        <v>52.6666666666861</v>
      </c>
      <c r="L2930" s="22">
        <f t="shared" si="227"/>
        <v>20.6666666666861</v>
      </c>
      <c r="M2930" s="22" cm="1">
        <f ca="1" t="array" ref="M2930">SUMPRODUCT(--(WEEKDAY(ROW(INDIRECT(INT(F2930)&amp;":"&amp;INT(I2930))),2)&gt;5))</f>
        <v>0</v>
      </c>
      <c r="N2930" s="22">
        <f ca="1" t="shared" si="228"/>
        <v>20.6666666666861</v>
      </c>
      <c r="O2930" s="22" t="str">
        <f ca="1" t="shared" si="229"/>
        <v>SLA Violated</v>
      </c>
      <c r="P2930" s="23" t="s">
        <v>11394</v>
      </c>
      <c r="Q2930" s="24" t="s">
        <v>28</v>
      </c>
      <c r="R2930" s="25"/>
      <c r="S2930" s="25"/>
    </row>
    <row r="2931" ht="39" customHeight="1" spans="1:19">
      <c r="A2931" s="19" t="s">
        <v>11395</v>
      </c>
      <c r="B2931" s="20" t="s">
        <v>19</v>
      </c>
      <c r="C2931" s="20" t="s">
        <v>20</v>
      </c>
      <c r="D2931" s="20" t="s">
        <v>32</v>
      </c>
      <c r="E2931" s="21" t="s">
        <v>11396</v>
      </c>
      <c r="F2931" s="21" t="s">
        <v>11397</v>
      </c>
      <c r="G2931" s="20" t="s">
        <v>35</v>
      </c>
      <c r="H2931" s="20" t="s">
        <v>25</v>
      </c>
      <c r="I2931" s="21" t="s">
        <v>11398</v>
      </c>
      <c r="J2931" s="22">
        <f t="shared" si="225"/>
        <v>1.1743055555562</v>
      </c>
      <c r="K2931" s="22">
        <f t="shared" si="226"/>
        <v>28.1833333333489</v>
      </c>
      <c r="L2931" s="22">
        <f t="shared" si="227"/>
        <v>12.1833333333489</v>
      </c>
      <c r="M2931" s="22" cm="1">
        <f ca="1" t="array" ref="M2931">SUMPRODUCT(--(WEEKDAY(ROW(INDIRECT(INT(F2931)&amp;":"&amp;INT(I2931))),2)&gt;5))</f>
        <v>0</v>
      </c>
      <c r="N2931" s="22">
        <f ca="1" t="shared" si="228"/>
        <v>12.1833333333489</v>
      </c>
      <c r="O2931" s="22" t="str">
        <f ca="1" t="shared" si="229"/>
        <v>SLA Violated</v>
      </c>
      <c r="P2931" s="23" t="s">
        <v>11399</v>
      </c>
      <c r="Q2931" s="24" t="s">
        <v>37</v>
      </c>
      <c r="R2931" s="25" t="s">
        <v>38</v>
      </c>
      <c r="S2931" s="25" t="s">
        <v>39</v>
      </c>
    </row>
    <row r="2932" ht="39" customHeight="1" spans="1:19">
      <c r="A2932" s="19" t="s">
        <v>11400</v>
      </c>
      <c r="B2932" s="20" t="s">
        <v>196</v>
      </c>
      <c r="C2932" s="20" t="s">
        <v>849</v>
      </c>
      <c r="D2932" s="20" t="s">
        <v>21</v>
      </c>
      <c r="E2932" s="21" t="s">
        <v>11401</v>
      </c>
      <c r="F2932" s="21" t="s">
        <v>11402</v>
      </c>
      <c r="G2932" s="20" t="s">
        <v>35</v>
      </c>
      <c r="H2932" s="20" t="s">
        <v>25</v>
      </c>
      <c r="I2932" s="21" t="s">
        <v>11323</v>
      </c>
      <c r="J2932" s="22">
        <f t="shared" si="225"/>
        <v>0.0513888888890506</v>
      </c>
      <c r="K2932" s="22">
        <f t="shared" si="226"/>
        <v>1.23333333333721</v>
      </c>
      <c r="L2932" s="22">
        <f t="shared" si="227"/>
        <v>1.23333333333721</v>
      </c>
      <c r="M2932" s="22" cm="1">
        <f ca="1" t="array" ref="M2932">SUMPRODUCT(--(WEEKDAY(ROW(INDIRECT(INT(F2932)&amp;":"&amp;INT(I2932))),2)&gt;5))</f>
        <v>0</v>
      </c>
      <c r="N2932" s="22">
        <f ca="1" t="shared" si="228"/>
        <v>1.23333333333721</v>
      </c>
      <c r="O2932" s="22" t="str">
        <f ca="1" t="shared" si="229"/>
        <v>Within SLA</v>
      </c>
      <c r="P2932" s="26" t="s">
        <v>11400</v>
      </c>
      <c r="Q2932" s="24" t="s">
        <v>37</v>
      </c>
      <c r="R2932" s="25"/>
      <c r="S2932" s="25"/>
    </row>
    <row r="2933" ht="39" customHeight="1" spans="1:19">
      <c r="A2933" s="19" t="s">
        <v>11403</v>
      </c>
      <c r="B2933" s="20" t="s">
        <v>19</v>
      </c>
      <c r="C2933" s="20" t="s">
        <v>20</v>
      </c>
      <c r="D2933" s="20" t="s">
        <v>32</v>
      </c>
      <c r="E2933" s="21" t="s">
        <v>11404</v>
      </c>
      <c r="F2933" s="21" t="s">
        <v>11405</v>
      </c>
      <c r="G2933" s="20" t="s">
        <v>35</v>
      </c>
      <c r="H2933" s="20" t="s">
        <v>25</v>
      </c>
      <c r="I2933" s="21" t="s">
        <v>11406</v>
      </c>
      <c r="J2933" s="22">
        <f t="shared" si="225"/>
        <v>0.00902777777810115</v>
      </c>
      <c r="K2933" s="22">
        <f t="shared" si="226"/>
        <v>0.216666666674428</v>
      </c>
      <c r="L2933" s="22">
        <f t="shared" si="227"/>
        <v>0.216666666674428</v>
      </c>
      <c r="M2933" s="22" cm="1">
        <f ca="1" t="array" ref="M2933">SUMPRODUCT(--(WEEKDAY(ROW(INDIRECT(INT(F2933)&amp;":"&amp;INT(I2933))),2)&gt;5))</f>
        <v>0</v>
      </c>
      <c r="N2933" s="22">
        <f ca="1" t="shared" si="228"/>
        <v>0.216666666674428</v>
      </c>
      <c r="O2933" s="22" t="str">
        <f ca="1" t="shared" si="229"/>
        <v>Within SLA</v>
      </c>
      <c r="P2933" s="26" t="s">
        <v>11403</v>
      </c>
      <c r="Q2933" s="24" t="s">
        <v>37</v>
      </c>
      <c r="R2933" s="25"/>
      <c r="S2933" s="25"/>
    </row>
    <row r="2934" ht="39" customHeight="1" spans="1:19">
      <c r="A2934" s="19" t="s">
        <v>11407</v>
      </c>
      <c r="B2934" s="20" t="s">
        <v>702</v>
      </c>
      <c r="C2934" s="20" t="s">
        <v>101</v>
      </c>
      <c r="D2934" s="20" t="s">
        <v>32</v>
      </c>
      <c r="E2934" s="21" t="s">
        <v>11408</v>
      </c>
      <c r="F2934" s="21" t="s">
        <v>11409</v>
      </c>
      <c r="G2934" s="20" t="s">
        <v>35</v>
      </c>
      <c r="H2934" s="20" t="s">
        <v>25</v>
      </c>
      <c r="I2934" s="21" t="s">
        <v>11406</v>
      </c>
      <c r="J2934" s="22">
        <f t="shared" si="225"/>
        <v>0.0993055555518367</v>
      </c>
      <c r="K2934" s="22">
        <f t="shared" si="226"/>
        <v>2.38333333324408</v>
      </c>
      <c r="L2934" s="22">
        <f t="shared" si="227"/>
        <v>2.38333333324408</v>
      </c>
      <c r="M2934" s="22" cm="1">
        <f ca="1" t="array" ref="M2934">SUMPRODUCT(--(WEEKDAY(ROW(INDIRECT(INT(F2934)&amp;":"&amp;INT(I2934))),2)&gt;5))</f>
        <v>0</v>
      </c>
      <c r="N2934" s="22">
        <f ca="1" t="shared" si="228"/>
        <v>2.38333333324408</v>
      </c>
      <c r="O2934" s="22" t="str">
        <f ca="1" t="shared" si="229"/>
        <v>Within SLA</v>
      </c>
      <c r="P2934" s="26" t="s">
        <v>11407</v>
      </c>
      <c r="Q2934" s="24" t="s">
        <v>37</v>
      </c>
      <c r="R2934" s="25"/>
      <c r="S2934" s="25"/>
    </row>
    <row r="2935" ht="39" customHeight="1" spans="1:19">
      <c r="A2935" s="19" t="s">
        <v>11410</v>
      </c>
      <c r="B2935" s="20" t="s">
        <v>19</v>
      </c>
      <c r="C2935" s="20" t="s">
        <v>167</v>
      </c>
      <c r="D2935" s="20" t="s">
        <v>32</v>
      </c>
      <c r="E2935" s="21" t="s">
        <v>11411</v>
      </c>
      <c r="F2935" s="21" t="s">
        <v>11412</v>
      </c>
      <c r="G2935" s="20" t="s">
        <v>35</v>
      </c>
      <c r="H2935" s="20" t="s">
        <v>25</v>
      </c>
      <c r="I2935" s="21" t="s">
        <v>11413</v>
      </c>
      <c r="J2935" s="22">
        <f t="shared" si="225"/>
        <v>0.17013888888323</v>
      </c>
      <c r="K2935" s="22">
        <f t="shared" si="226"/>
        <v>4.08333333319752</v>
      </c>
      <c r="L2935" s="22">
        <f t="shared" si="227"/>
        <v>4.08333333319752</v>
      </c>
      <c r="M2935" s="22" cm="1">
        <f ca="1" t="array" ref="M2935">SUMPRODUCT(--(WEEKDAY(ROW(INDIRECT(INT(F2935)&amp;":"&amp;INT(I2935))),2)&gt;5))</f>
        <v>0</v>
      </c>
      <c r="N2935" s="22">
        <f ca="1" t="shared" si="228"/>
        <v>4.08333333319752</v>
      </c>
      <c r="O2935" s="22" t="str">
        <f ca="1" t="shared" si="229"/>
        <v>Within SLA</v>
      </c>
      <c r="P2935" s="26" t="s">
        <v>11410</v>
      </c>
      <c r="Q2935" s="24" t="s">
        <v>37</v>
      </c>
      <c r="R2935" s="25"/>
      <c r="S2935" s="25"/>
    </row>
    <row r="2936" ht="27" customHeight="1" spans="1:19">
      <c r="A2936" s="19" t="s">
        <v>11414</v>
      </c>
      <c r="B2936" s="20" t="s">
        <v>121</v>
      </c>
      <c r="C2936" s="20" t="s">
        <v>849</v>
      </c>
      <c r="D2936" s="20" t="s">
        <v>32</v>
      </c>
      <c r="E2936" s="21" t="s">
        <v>11415</v>
      </c>
      <c r="F2936" s="21" t="s">
        <v>11416</v>
      </c>
      <c r="G2936" s="20" t="s">
        <v>35</v>
      </c>
      <c r="H2936" s="20" t="s">
        <v>25</v>
      </c>
      <c r="I2936" s="21" t="s">
        <v>11417</v>
      </c>
      <c r="J2936" s="22">
        <f t="shared" si="225"/>
        <v>9.1604166666657</v>
      </c>
      <c r="K2936" s="22">
        <f t="shared" si="226"/>
        <v>219.849999999977</v>
      </c>
      <c r="L2936" s="22">
        <f t="shared" si="227"/>
        <v>75.8499999999767</v>
      </c>
      <c r="M2936" s="22" cm="1">
        <f ca="1" t="array" ref="M2936">SUMPRODUCT(--(WEEKDAY(ROW(INDIRECT(INT(F2936)&amp;":"&amp;INT(I2936))),2)&gt;5))</f>
        <v>2</v>
      </c>
      <c r="N2936" s="22">
        <f ca="1" t="shared" si="228"/>
        <v>59.8499999999767</v>
      </c>
      <c r="O2936" s="22" t="str">
        <f ca="1" t="shared" si="229"/>
        <v>SLA Violated</v>
      </c>
      <c r="P2936" s="23" t="s">
        <v>11418</v>
      </c>
      <c r="Q2936" s="24" t="s">
        <v>28</v>
      </c>
      <c r="R2936" s="25"/>
      <c r="S2936" s="25"/>
    </row>
    <row r="2937" ht="27" customHeight="1" spans="1:19">
      <c r="A2937" s="19" t="s">
        <v>11419</v>
      </c>
      <c r="B2937" s="20" t="s">
        <v>139</v>
      </c>
      <c r="C2937" s="20" t="s">
        <v>46</v>
      </c>
      <c r="D2937" s="20" t="s">
        <v>32</v>
      </c>
      <c r="E2937" s="21" t="s">
        <v>11420</v>
      </c>
      <c r="F2937" s="21" t="s">
        <v>11421</v>
      </c>
      <c r="G2937" s="20" t="s">
        <v>35</v>
      </c>
      <c r="H2937" s="20" t="s">
        <v>25</v>
      </c>
      <c r="I2937" s="21" t="s">
        <v>11422</v>
      </c>
      <c r="J2937" s="22">
        <f t="shared" si="225"/>
        <v>0.148611111108039</v>
      </c>
      <c r="K2937" s="22">
        <f t="shared" si="226"/>
        <v>3.56666666659294</v>
      </c>
      <c r="L2937" s="22">
        <f t="shared" si="227"/>
        <v>3.56666666659294</v>
      </c>
      <c r="M2937" s="22" cm="1">
        <f ca="1" t="array" ref="M2937">SUMPRODUCT(--(WEEKDAY(ROW(INDIRECT(INT(F2937)&amp;":"&amp;INT(I2937))),2)&gt;5))</f>
        <v>0</v>
      </c>
      <c r="N2937" s="22">
        <f ca="1" t="shared" si="228"/>
        <v>3.56666666659294</v>
      </c>
      <c r="O2937" s="22" t="str">
        <f ca="1" t="shared" si="229"/>
        <v>Within SLA</v>
      </c>
      <c r="P2937" s="26" t="s">
        <v>11419</v>
      </c>
      <c r="Q2937" s="24" t="s">
        <v>37</v>
      </c>
      <c r="R2937" s="25"/>
      <c r="S2937" s="25"/>
    </row>
    <row r="2938" ht="39" customHeight="1" spans="1:19">
      <c r="A2938" s="28" t="s">
        <v>11423</v>
      </c>
      <c r="B2938" s="20" t="s">
        <v>196</v>
      </c>
      <c r="C2938" s="20" t="s">
        <v>46</v>
      </c>
      <c r="D2938" s="20" t="s">
        <v>21</v>
      </c>
      <c r="E2938" s="21" t="s">
        <v>11420</v>
      </c>
      <c r="F2938" s="21" t="s">
        <v>11424</v>
      </c>
      <c r="G2938" s="20" t="s">
        <v>35</v>
      </c>
      <c r="H2938" s="20" t="s">
        <v>25</v>
      </c>
      <c r="I2938" s="21" t="s">
        <v>11425</v>
      </c>
      <c r="J2938" s="22">
        <f t="shared" si="225"/>
        <v>0.135416666664241</v>
      </c>
      <c r="K2938" s="22">
        <f t="shared" si="226"/>
        <v>3.24999999994179</v>
      </c>
      <c r="L2938" s="22">
        <f t="shared" si="227"/>
        <v>3.24999999994179</v>
      </c>
      <c r="M2938" s="22" cm="1">
        <f ca="1" t="array" ref="M2938">SUMPRODUCT(--(WEEKDAY(ROW(INDIRECT(INT(F2938)&amp;":"&amp;INT(I2938))),2)&gt;5))</f>
        <v>0</v>
      </c>
      <c r="N2938" s="22">
        <f ca="1" t="shared" si="228"/>
        <v>3.24999999994179</v>
      </c>
      <c r="O2938" s="22" t="str">
        <f ca="1" t="shared" si="229"/>
        <v>SLA Violated</v>
      </c>
      <c r="P2938" s="23" t="s">
        <v>11423</v>
      </c>
      <c r="Q2938" s="24" t="s">
        <v>37</v>
      </c>
      <c r="R2938" s="25" t="s">
        <v>7339</v>
      </c>
      <c r="S2938" s="25" t="s">
        <v>7340</v>
      </c>
    </row>
    <row r="2939" ht="39" customHeight="1" spans="1:19">
      <c r="A2939" s="19" t="s">
        <v>11426</v>
      </c>
      <c r="B2939" s="20" t="s">
        <v>196</v>
      </c>
      <c r="C2939" s="20" t="s">
        <v>2057</v>
      </c>
      <c r="D2939" s="20" t="s">
        <v>32</v>
      </c>
      <c r="E2939" s="21" t="s">
        <v>11427</v>
      </c>
      <c r="F2939" s="21" t="s">
        <v>11428</v>
      </c>
      <c r="G2939" s="20" t="s">
        <v>35</v>
      </c>
      <c r="H2939" s="20" t="s">
        <v>25</v>
      </c>
      <c r="I2939" s="21" t="s">
        <v>11429</v>
      </c>
      <c r="J2939" s="22">
        <f t="shared" si="225"/>
        <v>3.90902777777228</v>
      </c>
      <c r="K2939" s="22">
        <f t="shared" si="226"/>
        <v>93.8166666665347</v>
      </c>
      <c r="L2939" s="22">
        <f t="shared" si="227"/>
        <v>29.8166666665347</v>
      </c>
      <c r="M2939" s="22" cm="1">
        <f ca="1" t="array" ref="M2939">SUMPRODUCT(--(WEEKDAY(ROW(INDIRECT(INT(F2939)&amp;":"&amp;INT(I2939))),2)&gt;5))</f>
        <v>0</v>
      </c>
      <c r="N2939" s="22">
        <f ca="1" t="shared" si="228"/>
        <v>29.8166666665347</v>
      </c>
      <c r="O2939" s="22" t="str">
        <f ca="1" t="shared" si="229"/>
        <v>SLA Violated</v>
      </c>
      <c r="P2939" s="23" t="s">
        <v>11430</v>
      </c>
      <c r="Q2939" s="24" t="s">
        <v>28</v>
      </c>
      <c r="R2939" s="25"/>
      <c r="S2939" s="25"/>
    </row>
    <row r="2940" ht="27" customHeight="1" spans="1:19">
      <c r="A2940" s="19" t="s">
        <v>11431</v>
      </c>
      <c r="B2940" s="20" t="s">
        <v>121</v>
      </c>
      <c r="C2940" s="20" t="s">
        <v>849</v>
      </c>
      <c r="D2940" s="20" t="s">
        <v>32</v>
      </c>
      <c r="E2940" s="21" t="s">
        <v>11432</v>
      </c>
      <c r="F2940" s="21" t="s">
        <v>11433</v>
      </c>
      <c r="G2940" s="20" t="s">
        <v>35</v>
      </c>
      <c r="H2940" s="20" t="s">
        <v>25</v>
      </c>
      <c r="I2940" s="21" t="s">
        <v>11434</v>
      </c>
      <c r="J2940" s="22">
        <f t="shared" si="225"/>
        <v>3.95208333332994</v>
      </c>
      <c r="K2940" s="22">
        <f t="shared" si="226"/>
        <v>94.8499999999185</v>
      </c>
      <c r="L2940" s="22">
        <f t="shared" si="227"/>
        <v>30.8499999999185</v>
      </c>
      <c r="M2940" s="22" cm="1">
        <f ca="1" t="array" ref="M2940">SUMPRODUCT(--(WEEKDAY(ROW(INDIRECT(INT(F2940)&amp;":"&amp;INT(I2940))),2)&gt;5))</f>
        <v>0</v>
      </c>
      <c r="N2940" s="22">
        <f ca="1" t="shared" si="228"/>
        <v>30.8499999999185</v>
      </c>
      <c r="O2940" s="22" t="str">
        <f ca="1" t="shared" si="229"/>
        <v>SLA Violated</v>
      </c>
      <c r="P2940" s="23" t="s">
        <v>11435</v>
      </c>
      <c r="Q2940" s="24" t="s">
        <v>28</v>
      </c>
      <c r="R2940" s="25"/>
      <c r="S2940" s="25"/>
    </row>
    <row r="2941" ht="39" customHeight="1" spans="1:19">
      <c r="A2941" s="19" t="s">
        <v>11436</v>
      </c>
      <c r="B2941" s="20" t="s">
        <v>19</v>
      </c>
      <c r="C2941" s="20" t="s">
        <v>20</v>
      </c>
      <c r="D2941" s="20" t="s">
        <v>32</v>
      </c>
      <c r="E2941" s="21" t="s">
        <v>11437</v>
      </c>
      <c r="F2941" s="21" t="s">
        <v>11438</v>
      </c>
      <c r="G2941" s="20" t="s">
        <v>35</v>
      </c>
      <c r="H2941" s="20" t="s">
        <v>25</v>
      </c>
      <c r="I2941" s="21" t="s">
        <v>11439</v>
      </c>
      <c r="J2941" s="22">
        <f t="shared" si="225"/>
        <v>2.19861111111095</v>
      </c>
      <c r="K2941" s="22">
        <f t="shared" si="226"/>
        <v>52.7666666666628</v>
      </c>
      <c r="L2941" s="22">
        <f t="shared" si="227"/>
        <v>20.7666666666628</v>
      </c>
      <c r="M2941" s="22" cm="1">
        <f ca="1" t="array" ref="M2941">SUMPRODUCT(--(WEEKDAY(ROW(INDIRECT(INT(F2941)&amp;":"&amp;INT(I2941))),2)&gt;5))</f>
        <v>0</v>
      </c>
      <c r="N2941" s="22">
        <f ca="1" t="shared" si="228"/>
        <v>20.7666666666628</v>
      </c>
      <c r="O2941" s="22" t="str">
        <f ca="1" t="shared" si="229"/>
        <v>SLA Violated</v>
      </c>
      <c r="P2941" s="23" t="s">
        <v>11440</v>
      </c>
      <c r="Q2941" s="24" t="s">
        <v>37</v>
      </c>
      <c r="R2941" s="25" t="s">
        <v>618</v>
      </c>
      <c r="S2941" s="25" t="s">
        <v>39</v>
      </c>
    </row>
    <row r="2942" ht="39" customHeight="1" spans="1:19">
      <c r="A2942" s="19" t="s">
        <v>11441</v>
      </c>
      <c r="B2942" s="20" t="s">
        <v>702</v>
      </c>
      <c r="C2942" s="20" t="s">
        <v>101</v>
      </c>
      <c r="D2942" s="20" t="s">
        <v>32</v>
      </c>
      <c r="E2942" s="21" t="s">
        <v>11442</v>
      </c>
      <c r="F2942" s="21" t="s">
        <v>11443</v>
      </c>
      <c r="G2942" s="20" t="s">
        <v>35</v>
      </c>
      <c r="H2942" s="20" t="s">
        <v>25</v>
      </c>
      <c r="I2942" s="21" t="s">
        <v>11444</v>
      </c>
      <c r="J2942" s="22">
        <f t="shared" si="225"/>
        <v>0.897916666668607</v>
      </c>
      <c r="K2942" s="22">
        <f t="shared" si="226"/>
        <v>21.5500000000466</v>
      </c>
      <c r="L2942" s="22">
        <f t="shared" si="227"/>
        <v>5.55000000004657</v>
      </c>
      <c r="M2942" s="22" cm="1">
        <f ca="1" t="array" ref="M2942">SUMPRODUCT(--(WEEKDAY(ROW(INDIRECT(INT(F2942)&amp;":"&amp;INT(I2942))),2)&gt;5))</f>
        <v>0</v>
      </c>
      <c r="N2942" s="22">
        <f ca="1" t="shared" si="228"/>
        <v>5.55000000004657</v>
      </c>
      <c r="O2942" s="22" t="str">
        <f ca="1" t="shared" si="229"/>
        <v>Within SLA</v>
      </c>
      <c r="P2942" s="26" t="s">
        <v>11441</v>
      </c>
      <c r="Q2942" s="24" t="s">
        <v>37</v>
      </c>
      <c r="R2942" s="25"/>
      <c r="S2942" s="25"/>
    </row>
    <row r="2943" ht="39" customHeight="1" spans="1:19">
      <c r="A2943" s="19" t="s">
        <v>11445</v>
      </c>
      <c r="B2943" s="20" t="s">
        <v>196</v>
      </c>
      <c r="C2943" s="20" t="s">
        <v>2057</v>
      </c>
      <c r="D2943" s="20" t="s">
        <v>32</v>
      </c>
      <c r="E2943" s="21" t="s">
        <v>11446</v>
      </c>
      <c r="F2943" s="21" t="s">
        <v>11447</v>
      </c>
      <c r="G2943" s="20" t="s">
        <v>35</v>
      </c>
      <c r="H2943" s="20" t="s">
        <v>25</v>
      </c>
      <c r="I2943" s="21" t="s">
        <v>11448</v>
      </c>
      <c r="J2943" s="22">
        <f t="shared" si="225"/>
        <v>3.85625000000437</v>
      </c>
      <c r="K2943" s="22">
        <f t="shared" si="226"/>
        <v>92.5500000001048</v>
      </c>
      <c r="L2943" s="22">
        <f t="shared" si="227"/>
        <v>28.5500000001048</v>
      </c>
      <c r="M2943" s="22" cm="1">
        <f ca="1" t="array" ref="M2943">SUMPRODUCT(--(WEEKDAY(ROW(INDIRECT(INT(F2943)&amp;":"&amp;INT(I2943))),2)&gt;5))</f>
        <v>0</v>
      </c>
      <c r="N2943" s="22">
        <f ca="1" t="shared" si="228"/>
        <v>28.5500000001048</v>
      </c>
      <c r="O2943" s="22" t="str">
        <f ca="1" t="shared" si="229"/>
        <v>SLA Violated</v>
      </c>
      <c r="P2943" s="23" t="s">
        <v>11449</v>
      </c>
      <c r="Q2943" s="24" t="s">
        <v>28</v>
      </c>
      <c r="R2943" s="25"/>
      <c r="S2943" s="25"/>
    </row>
    <row r="2944" ht="39" customHeight="1" spans="1:19">
      <c r="A2944" s="19" t="s">
        <v>11450</v>
      </c>
      <c r="B2944" s="20" t="s">
        <v>196</v>
      </c>
      <c r="C2944" s="20" t="s">
        <v>2057</v>
      </c>
      <c r="D2944" s="20" t="s">
        <v>32</v>
      </c>
      <c r="E2944" s="21" t="s">
        <v>11451</v>
      </c>
      <c r="F2944" s="21" t="s">
        <v>11452</v>
      </c>
      <c r="G2944" s="20" t="s">
        <v>35</v>
      </c>
      <c r="H2944" s="20" t="s">
        <v>25</v>
      </c>
      <c r="I2944" s="21" t="s">
        <v>11448</v>
      </c>
      <c r="J2944" s="22">
        <f t="shared" si="225"/>
        <v>8.16250000000582</v>
      </c>
      <c r="K2944" s="22">
        <f t="shared" si="226"/>
        <v>195.90000000014</v>
      </c>
      <c r="L2944" s="22">
        <f t="shared" si="227"/>
        <v>67.9000000001397</v>
      </c>
      <c r="M2944" s="22" cm="1">
        <f ca="1" t="array" ref="M2944">SUMPRODUCT(--(WEEKDAY(ROW(INDIRECT(INT(F2944)&amp;":"&amp;INT(I2944))),2)&gt;5))</f>
        <v>2</v>
      </c>
      <c r="N2944" s="22">
        <f ca="1" t="shared" si="228"/>
        <v>51.9000000001397</v>
      </c>
      <c r="O2944" s="22" t="str">
        <f ca="1" t="shared" si="229"/>
        <v>SLA Violated</v>
      </c>
      <c r="P2944" s="23" t="s">
        <v>11453</v>
      </c>
      <c r="Q2944" s="24" t="s">
        <v>28</v>
      </c>
      <c r="R2944" s="25"/>
      <c r="S2944" s="25"/>
    </row>
    <row r="2945" ht="39" customHeight="1" spans="1:19">
      <c r="A2945" s="19" t="s">
        <v>11454</v>
      </c>
      <c r="B2945" s="20" t="s">
        <v>19</v>
      </c>
      <c r="C2945" s="20" t="s">
        <v>20</v>
      </c>
      <c r="D2945" s="20" t="s">
        <v>32</v>
      </c>
      <c r="E2945" s="21" t="s">
        <v>11455</v>
      </c>
      <c r="F2945" s="21" t="s">
        <v>11456</v>
      </c>
      <c r="G2945" s="20" t="s">
        <v>24</v>
      </c>
      <c r="H2945" s="20" t="s">
        <v>25</v>
      </c>
      <c r="I2945" s="21" t="s">
        <v>11457</v>
      </c>
      <c r="J2945" s="22">
        <f t="shared" si="225"/>
        <v>0.179166666668607</v>
      </c>
      <c r="K2945" s="22">
        <f t="shared" si="226"/>
        <v>4.30000000004657</v>
      </c>
      <c r="L2945" s="22">
        <f t="shared" si="227"/>
        <v>4.30000000004657</v>
      </c>
      <c r="M2945" s="22" cm="1">
        <f ca="1" t="array" ref="M2945">SUMPRODUCT(--(WEEKDAY(ROW(INDIRECT(INT(F2945)&amp;":"&amp;INT(I2945))),2)&gt;5))</f>
        <v>0</v>
      </c>
      <c r="N2945" s="22">
        <f ca="1" t="shared" si="228"/>
        <v>4.30000000004657</v>
      </c>
      <c r="O2945" s="22" t="str">
        <f ca="1" t="shared" si="229"/>
        <v>Within SLA</v>
      </c>
      <c r="P2945" s="26" t="s">
        <v>11454</v>
      </c>
      <c r="Q2945" s="24" t="s">
        <v>37</v>
      </c>
      <c r="R2945" s="25"/>
      <c r="S2945" s="25"/>
    </row>
    <row r="2946" ht="39" customHeight="1" spans="1:19">
      <c r="A2946" s="19" t="s">
        <v>11458</v>
      </c>
      <c r="B2946" s="20" t="s">
        <v>196</v>
      </c>
      <c r="C2946" s="20" t="s">
        <v>849</v>
      </c>
      <c r="D2946" s="20" t="s">
        <v>32</v>
      </c>
      <c r="E2946" s="21" t="s">
        <v>11455</v>
      </c>
      <c r="F2946" s="21" t="s">
        <v>11459</v>
      </c>
      <c r="G2946" s="20" t="s">
        <v>35</v>
      </c>
      <c r="H2946" s="20" t="s">
        <v>25</v>
      </c>
      <c r="I2946" s="21" t="s">
        <v>11460</v>
      </c>
      <c r="J2946" s="22">
        <f t="shared" si="225"/>
        <v>1.83402777777519</v>
      </c>
      <c r="K2946" s="22">
        <f t="shared" si="226"/>
        <v>44.0166666666046</v>
      </c>
      <c r="L2946" s="22">
        <f t="shared" si="227"/>
        <v>12.0166666666046</v>
      </c>
      <c r="M2946" s="22" cm="1">
        <f ca="1" t="array" ref="M2946">SUMPRODUCT(--(WEEKDAY(ROW(INDIRECT(INT(F2946)&amp;":"&amp;INT(I2946))),2)&gt;5))</f>
        <v>0</v>
      </c>
      <c r="N2946" s="22">
        <f ca="1" t="shared" si="228"/>
        <v>12.0166666666046</v>
      </c>
      <c r="O2946" s="22" t="str">
        <f ca="1" t="shared" si="229"/>
        <v>SLA Violated</v>
      </c>
      <c r="P2946" s="23" t="s">
        <v>11461</v>
      </c>
      <c r="Q2946" s="24" t="s">
        <v>28</v>
      </c>
      <c r="R2946" s="25"/>
      <c r="S2946" s="25"/>
    </row>
    <row r="2947" ht="39" customHeight="1" spans="1:19">
      <c r="A2947" s="19" t="s">
        <v>11462</v>
      </c>
      <c r="B2947" s="20" t="s">
        <v>19</v>
      </c>
      <c r="C2947" s="20" t="s">
        <v>167</v>
      </c>
      <c r="D2947" s="20" t="s">
        <v>32</v>
      </c>
      <c r="E2947" s="21" t="s">
        <v>11463</v>
      </c>
      <c r="F2947" s="21" t="s">
        <v>11464</v>
      </c>
      <c r="G2947" s="20" t="s">
        <v>24</v>
      </c>
      <c r="H2947" s="20" t="s">
        <v>25</v>
      </c>
      <c r="I2947" s="21" t="s">
        <v>11465</v>
      </c>
      <c r="J2947" s="22">
        <f t="shared" ref="J2947:J3010" si="230">F2947-I2947</f>
        <v>-0.000694444439432118</v>
      </c>
      <c r="K2947" s="22">
        <f t="shared" ref="K2947:K3010" si="231">J2947*24</f>
        <v>-0.0166666665463708</v>
      </c>
      <c r="L2947" s="22">
        <f t="shared" ref="L2947:L3010" si="232">IF(_xlfn.DAYS(F2947,I2947)&gt;0,K2947-IF(FLOOR(J2947,1)=0,1,_xlfn.DAYS(F2947,I2947))*16,K2947)</f>
        <v>-0.0166666665463708</v>
      </c>
      <c r="M2947" s="22" cm="1">
        <f ca="1" t="array" ref="M2947">SUMPRODUCT(--(WEEKDAY(ROW(INDIRECT(INT(F2947)&amp;":"&amp;INT(I2947))),2)&gt;5))</f>
        <v>0</v>
      </c>
      <c r="N2947" s="22">
        <f ca="1" t="shared" ref="N2947:N3010" si="233">IF(IF(M2947&gt;0,L2947-M2947*8,L2947)&lt;0,0,IF(M2947&gt;0,L2947-M2947*8,L2947))</f>
        <v>0</v>
      </c>
      <c r="O2947" s="22" t="str">
        <f ca="1" t="shared" ref="O2947:O3010" si="234">IF(OR(AND(D2947="P1",N2947&lt;=3),AND(D2947="P2",N2947&lt;=6),AND(D2947="P3",N2947&lt;=9),AND(D2947="P4",N2947&lt;=12)),"Within SLA","SLA Violated")</f>
        <v>Within SLA</v>
      </c>
      <c r="P2947" s="26" t="s">
        <v>11462</v>
      </c>
      <c r="Q2947" s="24" t="s">
        <v>37</v>
      </c>
      <c r="R2947" s="25"/>
      <c r="S2947" s="25"/>
    </row>
    <row r="2948" ht="27" customHeight="1" spans="1:19">
      <c r="A2948" s="19" t="s">
        <v>11466</v>
      </c>
      <c r="B2948" s="20" t="s">
        <v>30</v>
      </c>
      <c r="C2948" s="20" t="s">
        <v>46</v>
      </c>
      <c r="D2948" s="20" t="s">
        <v>32</v>
      </c>
      <c r="E2948" s="21" t="s">
        <v>11467</v>
      </c>
      <c r="F2948" s="21" t="s">
        <v>11468</v>
      </c>
      <c r="G2948" s="20" t="s">
        <v>35</v>
      </c>
      <c r="H2948" s="20" t="s">
        <v>25</v>
      </c>
      <c r="I2948" s="21" t="s">
        <v>11469</v>
      </c>
      <c r="J2948" s="22">
        <f t="shared" si="230"/>
        <v>0.0597222222204437</v>
      </c>
      <c r="K2948" s="22">
        <f t="shared" si="231"/>
        <v>1.43333333329065</v>
      </c>
      <c r="L2948" s="22">
        <f t="shared" si="232"/>
        <v>1.43333333329065</v>
      </c>
      <c r="M2948" s="22" cm="1">
        <f ca="1" t="array" ref="M2948">SUMPRODUCT(--(WEEKDAY(ROW(INDIRECT(INT(F2948)&amp;":"&amp;INT(I2948))),2)&gt;5))</f>
        <v>0</v>
      </c>
      <c r="N2948" s="22">
        <f ca="1" t="shared" si="233"/>
        <v>1.43333333329065</v>
      </c>
      <c r="O2948" s="22" t="str">
        <f ca="1" t="shared" si="234"/>
        <v>Within SLA</v>
      </c>
      <c r="P2948" s="26" t="s">
        <v>11466</v>
      </c>
      <c r="Q2948" s="24" t="s">
        <v>37</v>
      </c>
      <c r="R2948" s="25"/>
      <c r="S2948" s="25"/>
    </row>
    <row r="2949" ht="27" customHeight="1" spans="1:19">
      <c r="A2949" s="19" t="s">
        <v>11470</v>
      </c>
      <c r="B2949" s="20" t="s">
        <v>139</v>
      </c>
      <c r="C2949" s="20" t="s">
        <v>2057</v>
      </c>
      <c r="D2949" s="20" t="s">
        <v>32</v>
      </c>
      <c r="E2949" s="21" t="s">
        <v>11471</v>
      </c>
      <c r="F2949" s="21" t="s">
        <v>11472</v>
      </c>
      <c r="G2949" s="20" t="s">
        <v>35</v>
      </c>
      <c r="H2949" s="20" t="s">
        <v>25</v>
      </c>
      <c r="I2949" s="21" t="s">
        <v>11473</v>
      </c>
      <c r="J2949" s="22">
        <f t="shared" si="230"/>
        <v>0.10624999999709</v>
      </c>
      <c r="K2949" s="22">
        <f t="shared" si="231"/>
        <v>2.54999999993015</v>
      </c>
      <c r="L2949" s="22">
        <f t="shared" si="232"/>
        <v>2.54999999993015</v>
      </c>
      <c r="M2949" s="22" cm="1">
        <f ca="1" t="array" ref="M2949">SUMPRODUCT(--(WEEKDAY(ROW(INDIRECT(INT(F2949)&amp;":"&amp;INT(I2949))),2)&gt;5))</f>
        <v>0</v>
      </c>
      <c r="N2949" s="22">
        <f ca="1" t="shared" si="233"/>
        <v>2.54999999993015</v>
      </c>
      <c r="O2949" s="22" t="str">
        <f ca="1" t="shared" si="234"/>
        <v>Within SLA</v>
      </c>
      <c r="P2949" s="26" t="s">
        <v>11470</v>
      </c>
      <c r="Q2949" s="24" t="s">
        <v>37</v>
      </c>
      <c r="R2949" s="25"/>
      <c r="S2949" s="25"/>
    </row>
    <row r="2950" ht="27" customHeight="1" spans="1:19">
      <c r="A2950" s="19" t="s">
        <v>11474</v>
      </c>
      <c r="B2950" s="20" t="s">
        <v>121</v>
      </c>
      <c r="C2950" s="20" t="s">
        <v>849</v>
      </c>
      <c r="D2950" s="20" t="s">
        <v>21</v>
      </c>
      <c r="E2950" s="21" t="s">
        <v>11475</v>
      </c>
      <c r="F2950" s="21" t="s">
        <v>11476</v>
      </c>
      <c r="G2950" s="20" t="s">
        <v>35</v>
      </c>
      <c r="H2950" s="20" t="s">
        <v>25</v>
      </c>
      <c r="I2950" s="21" t="s">
        <v>11477</v>
      </c>
      <c r="J2950" s="22">
        <f t="shared" si="230"/>
        <v>2.05625000000146</v>
      </c>
      <c r="K2950" s="22">
        <f t="shared" si="231"/>
        <v>49.3500000000349</v>
      </c>
      <c r="L2950" s="22">
        <f t="shared" si="232"/>
        <v>17.3500000000349</v>
      </c>
      <c r="M2950" s="22" cm="1">
        <f ca="1" t="array" ref="M2950">SUMPRODUCT(--(WEEKDAY(ROW(INDIRECT(INT(F2950)&amp;":"&amp;INT(I2950))),2)&gt;5))</f>
        <v>0</v>
      </c>
      <c r="N2950" s="22">
        <f ca="1" t="shared" si="233"/>
        <v>17.3500000000349</v>
      </c>
      <c r="O2950" s="22" t="str">
        <f ca="1" t="shared" si="234"/>
        <v>SLA Violated</v>
      </c>
      <c r="P2950" s="23" t="s">
        <v>11478</v>
      </c>
      <c r="Q2950" s="24" t="s">
        <v>28</v>
      </c>
      <c r="R2950" s="25"/>
      <c r="S2950" s="25"/>
    </row>
    <row r="2951" ht="39" customHeight="1" spans="1:19">
      <c r="A2951" s="19" t="s">
        <v>11479</v>
      </c>
      <c r="B2951" s="20" t="s">
        <v>196</v>
      </c>
      <c r="C2951" s="20" t="s">
        <v>849</v>
      </c>
      <c r="D2951" s="20" t="s">
        <v>21</v>
      </c>
      <c r="E2951" s="21" t="s">
        <v>11475</v>
      </c>
      <c r="F2951" s="21" t="s">
        <v>11480</v>
      </c>
      <c r="G2951" s="20" t="s">
        <v>35</v>
      </c>
      <c r="H2951" s="20" t="s">
        <v>25</v>
      </c>
      <c r="I2951" s="21" t="s">
        <v>11481</v>
      </c>
      <c r="J2951" s="22">
        <f t="shared" si="230"/>
        <v>1.06388888889342</v>
      </c>
      <c r="K2951" s="22">
        <f t="shared" si="231"/>
        <v>25.533333333442</v>
      </c>
      <c r="L2951" s="22">
        <f t="shared" si="232"/>
        <v>9.53333333344199</v>
      </c>
      <c r="M2951" s="22" cm="1">
        <f ca="1" t="array" ref="M2951">SUMPRODUCT(--(WEEKDAY(ROW(INDIRECT(INT(F2951)&amp;":"&amp;INT(I2951))),2)&gt;5))</f>
        <v>0</v>
      </c>
      <c r="N2951" s="22">
        <f ca="1" t="shared" si="233"/>
        <v>9.53333333344199</v>
      </c>
      <c r="O2951" s="22" t="str">
        <f ca="1" t="shared" si="234"/>
        <v>SLA Violated</v>
      </c>
      <c r="P2951" s="23" t="s">
        <v>11482</v>
      </c>
      <c r="Q2951" s="24" t="s">
        <v>37</v>
      </c>
      <c r="R2951" s="25" t="s">
        <v>1020</v>
      </c>
      <c r="S2951" s="25" t="s">
        <v>39</v>
      </c>
    </row>
    <row r="2952" ht="39" customHeight="1" spans="1:19">
      <c r="A2952" s="19" t="s">
        <v>11483</v>
      </c>
      <c r="B2952" s="20" t="s">
        <v>19</v>
      </c>
      <c r="C2952" s="20" t="s">
        <v>20</v>
      </c>
      <c r="D2952" s="20" t="s">
        <v>32</v>
      </c>
      <c r="E2952" s="21" t="s">
        <v>11484</v>
      </c>
      <c r="F2952" s="21" t="s">
        <v>11485</v>
      </c>
      <c r="G2952" s="20" t="s">
        <v>35</v>
      </c>
      <c r="H2952" s="20" t="s">
        <v>25</v>
      </c>
      <c r="I2952" s="21" t="s">
        <v>11486</v>
      </c>
      <c r="J2952" s="22">
        <f t="shared" si="230"/>
        <v>0.00277777777955635</v>
      </c>
      <c r="K2952" s="22">
        <f t="shared" si="231"/>
        <v>0.0666666667093523</v>
      </c>
      <c r="L2952" s="22">
        <f t="shared" si="232"/>
        <v>0.0666666667093523</v>
      </c>
      <c r="M2952" s="22" cm="1">
        <f ca="1" t="array" ref="M2952">SUMPRODUCT(--(WEEKDAY(ROW(INDIRECT(INT(F2952)&amp;":"&amp;INT(I2952))),2)&gt;5))</f>
        <v>0</v>
      </c>
      <c r="N2952" s="22">
        <f ca="1" t="shared" si="233"/>
        <v>0.0666666667093523</v>
      </c>
      <c r="O2952" s="22" t="str">
        <f ca="1" t="shared" si="234"/>
        <v>Within SLA</v>
      </c>
      <c r="P2952" s="26" t="s">
        <v>11483</v>
      </c>
      <c r="Q2952" s="24" t="s">
        <v>37</v>
      </c>
      <c r="R2952" s="25"/>
      <c r="S2952" s="25"/>
    </row>
    <row r="2953" ht="39" customHeight="1" spans="1:19">
      <c r="A2953" s="19" t="s">
        <v>11487</v>
      </c>
      <c r="B2953" s="20" t="s">
        <v>19</v>
      </c>
      <c r="C2953" s="20" t="s">
        <v>20</v>
      </c>
      <c r="D2953" s="20" t="s">
        <v>32</v>
      </c>
      <c r="E2953" s="21" t="s">
        <v>11486</v>
      </c>
      <c r="F2953" s="21" t="s">
        <v>11488</v>
      </c>
      <c r="G2953" s="20" t="s">
        <v>35</v>
      </c>
      <c r="H2953" s="20" t="s">
        <v>25</v>
      </c>
      <c r="I2953" s="21" t="s">
        <v>11489</v>
      </c>
      <c r="J2953" s="22">
        <f t="shared" si="230"/>
        <v>0.00972222222480923</v>
      </c>
      <c r="K2953" s="22">
        <f t="shared" si="231"/>
        <v>0.233333333395422</v>
      </c>
      <c r="L2953" s="22">
        <f t="shared" si="232"/>
        <v>0.233333333395422</v>
      </c>
      <c r="M2953" s="22" cm="1">
        <f ca="1" t="array" ref="M2953">SUMPRODUCT(--(WEEKDAY(ROW(INDIRECT(INT(F2953)&amp;":"&amp;INT(I2953))),2)&gt;5))</f>
        <v>0</v>
      </c>
      <c r="N2953" s="22">
        <f ca="1" t="shared" si="233"/>
        <v>0.233333333395422</v>
      </c>
      <c r="O2953" s="22" t="str">
        <f ca="1" t="shared" si="234"/>
        <v>Within SLA</v>
      </c>
      <c r="P2953" s="26" t="s">
        <v>11487</v>
      </c>
      <c r="Q2953" s="24" t="s">
        <v>37</v>
      </c>
      <c r="R2953" s="25"/>
      <c r="S2953" s="25"/>
    </row>
    <row r="2954" ht="39" customHeight="1" spans="1:19">
      <c r="A2954" s="19" t="s">
        <v>11490</v>
      </c>
      <c r="B2954" s="20" t="s">
        <v>19</v>
      </c>
      <c r="C2954" s="20" t="s">
        <v>20</v>
      </c>
      <c r="D2954" s="20" t="s">
        <v>32</v>
      </c>
      <c r="E2954" s="21" t="s">
        <v>11491</v>
      </c>
      <c r="F2954" s="21" t="s">
        <v>11492</v>
      </c>
      <c r="G2954" s="20" t="s">
        <v>35</v>
      </c>
      <c r="H2954" s="20" t="s">
        <v>25</v>
      </c>
      <c r="I2954" s="21" t="s">
        <v>11493</v>
      </c>
      <c r="J2954" s="22">
        <f t="shared" si="230"/>
        <v>0.0152777777839219</v>
      </c>
      <c r="K2954" s="22">
        <f t="shared" si="231"/>
        <v>0.366666666814126</v>
      </c>
      <c r="L2954" s="22">
        <f t="shared" si="232"/>
        <v>0.366666666814126</v>
      </c>
      <c r="M2954" s="22" cm="1">
        <f ca="1" t="array" ref="M2954">SUMPRODUCT(--(WEEKDAY(ROW(INDIRECT(INT(F2954)&amp;":"&amp;INT(I2954))),2)&gt;5))</f>
        <v>0</v>
      </c>
      <c r="N2954" s="22">
        <f ca="1" t="shared" si="233"/>
        <v>0.366666666814126</v>
      </c>
      <c r="O2954" s="22" t="str">
        <f ca="1" t="shared" si="234"/>
        <v>Within SLA</v>
      </c>
      <c r="P2954" s="26" t="s">
        <v>11490</v>
      </c>
      <c r="Q2954" s="24" t="s">
        <v>37</v>
      </c>
      <c r="R2954" s="25"/>
      <c r="S2954" s="25"/>
    </row>
    <row r="2955" ht="39" customHeight="1" spans="1:19">
      <c r="A2955" s="19" t="s">
        <v>11494</v>
      </c>
      <c r="B2955" s="20" t="s">
        <v>19</v>
      </c>
      <c r="C2955" s="20" t="s">
        <v>20</v>
      </c>
      <c r="D2955" s="20" t="s">
        <v>32</v>
      </c>
      <c r="E2955" s="21" t="s">
        <v>11495</v>
      </c>
      <c r="F2955" s="21" t="s">
        <v>11496</v>
      </c>
      <c r="G2955" s="20" t="s">
        <v>35</v>
      </c>
      <c r="H2955" s="20" t="s">
        <v>25</v>
      </c>
      <c r="I2955" s="21" t="s">
        <v>11497</v>
      </c>
      <c r="J2955" s="22">
        <f t="shared" si="230"/>
        <v>0.015972222223354</v>
      </c>
      <c r="K2955" s="22">
        <f t="shared" si="231"/>
        <v>0.383333333360497</v>
      </c>
      <c r="L2955" s="22">
        <f t="shared" si="232"/>
        <v>0.383333333360497</v>
      </c>
      <c r="M2955" s="22" cm="1">
        <f ca="1" t="array" ref="M2955">SUMPRODUCT(--(WEEKDAY(ROW(INDIRECT(INT(F2955)&amp;":"&amp;INT(I2955))),2)&gt;5))</f>
        <v>0</v>
      </c>
      <c r="N2955" s="22">
        <f ca="1" t="shared" si="233"/>
        <v>0.383333333360497</v>
      </c>
      <c r="O2955" s="22" t="str">
        <f ca="1" t="shared" si="234"/>
        <v>Within SLA</v>
      </c>
      <c r="P2955" s="26" t="s">
        <v>11494</v>
      </c>
      <c r="Q2955" s="24" t="s">
        <v>37</v>
      </c>
      <c r="R2955" s="25"/>
      <c r="S2955" s="25"/>
    </row>
    <row r="2956" ht="39" customHeight="1" spans="1:19">
      <c r="A2956" s="19" t="s">
        <v>11498</v>
      </c>
      <c r="B2956" s="20" t="s">
        <v>19</v>
      </c>
      <c r="C2956" s="20" t="s">
        <v>20</v>
      </c>
      <c r="D2956" s="20" t="s">
        <v>32</v>
      </c>
      <c r="E2956" s="21" t="s">
        <v>11499</v>
      </c>
      <c r="F2956" s="21" t="s">
        <v>11500</v>
      </c>
      <c r="G2956" s="20" t="s">
        <v>35</v>
      </c>
      <c r="H2956" s="20" t="s">
        <v>25</v>
      </c>
      <c r="I2956" s="21" t="s">
        <v>11501</v>
      </c>
      <c r="J2956" s="22">
        <f t="shared" si="230"/>
        <v>0.0131944444437977</v>
      </c>
      <c r="K2956" s="22">
        <f t="shared" si="231"/>
        <v>0.316666666651145</v>
      </c>
      <c r="L2956" s="22">
        <f t="shared" si="232"/>
        <v>0.316666666651145</v>
      </c>
      <c r="M2956" s="22" cm="1">
        <f ca="1" t="array" ref="M2956">SUMPRODUCT(--(WEEKDAY(ROW(INDIRECT(INT(F2956)&amp;":"&amp;INT(I2956))),2)&gt;5))</f>
        <v>0</v>
      </c>
      <c r="N2956" s="22">
        <f ca="1" t="shared" si="233"/>
        <v>0.316666666651145</v>
      </c>
      <c r="O2956" s="22" t="str">
        <f ca="1" t="shared" si="234"/>
        <v>Within SLA</v>
      </c>
      <c r="P2956" s="26" t="s">
        <v>11498</v>
      </c>
      <c r="Q2956" s="24" t="s">
        <v>37</v>
      </c>
      <c r="R2956" s="25"/>
      <c r="S2956" s="25"/>
    </row>
    <row r="2957" ht="39" customHeight="1" spans="1:19">
      <c r="A2957" s="19" t="s">
        <v>11502</v>
      </c>
      <c r="B2957" s="20" t="s">
        <v>19</v>
      </c>
      <c r="C2957" s="20" t="s">
        <v>20</v>
      </c>
      <c r="D2957" s="20" t="s">
        <v>32</v>
      </c>
      <c r="E2957" s="21" t="s">
        <v>11503</v>
      </c>
      <c r="F2957" s="21" t="s">
        <v>11504</v>
      </c>
      <c r="G2957" s="20" t="s">
        <v>35</v>
      </c>
      <c r="H2957" s="20" t="s">
        <v>25</v>
      </c>
      <c r="I2957" s="21" t="s">
        <v>11505</v>
      </c>
      <c r="J2957" s="22">
        <f t="shared" si="230"/>
        <v>0.015277777776646</v>
      </c>
      <c r="K2957" s="22">
        <f t="shared" si="231"/>
        <v>0.366666666639503</v>
      </c>
      <c r="L2957" s="22">
        <f t="shared" si="232"/>
        <v>0.366666666639503</v>
      </c>
      <c r="M2957" s="22" cm="1">
        <f ca="1" t="array" ref="M2957">SUMPRODUCT(--(WEEKDAY(ROW(INDIRECT(INT(F2957)&amp;":"&amp;INT(I2957))),2)&gt;5))</f>
        <v>0</v>
      </c>
      <c r="N2957" s="22">
        <f ca="1" t="shared" si="233"/>
        <v>0.366666666639503</v>
      </c>
      <c r="O2957" s="22" t="str">
        <f ca="1" t="shared" si="234"/>
        <v>Within SLA</v>
      </c>
      <c r="P2957" s="26" t="s">
        <v>11502</v>
      </c>
      <c r="Q2957" s="24" t="s">
        <v>37</v>
      </c>
      <c r="R2957" s="25"/>
      <c r="S2957" s="25"/>
    </row>
    <row r="2958" ht="39" customHeight="1" spans="1:19">
      <c r="A2958" s="19" t="s">
        <v>11506</v>
      </c>
      <c r="B2958" s="20" t="s">
        <v>19</v>
      </c>
      <c r="C2958" s="20" t="s">
        <v>20</v>
      </c>
      <c r="D2958" s="20" t="s">
        <v>32</v>
      </c>
      <c r="E2958" s="21" t="s">
        <v>11507</v>
      </c>
      <c r="F2958" s="21" t="s">
        <v>11508</v>
      </c>
      <c r="G2958" s="20" t="s">
        <v>35</v>
      </c>
      <c r="H2958" s="20" t="s">
        <v>25</v>
      </c>
      <c r="I2958" s="21" t="s">
        <v>11505</v>
      </c>
      <c r="J2958" s="22">
        <f t="shared" si="230"/>
        <v>7.21041666666861</v>
      </c>
      <c r="K2958" s="22">
        <f t="shared" si="231"/>
        <v>173.050000000047</v>
      </c>
      <c r="L2958" s="22">
        <f t="shared" si="232"/>
        <v>61.0500000000466</v>
      </c>
      <c r="M2958" s="22" cm="1">
        <f ca="1" t="array" ref="M2958">SUMPRODUCT(--(WEEKDAY(ROW(INDIRECT(INT(F2958)&amp;":"&amp;INT(I2958))),2)&gt;5))</f>
        <v>2</v>
      </c>
      <c r="N2958" s="22">
        <f ca="1" t="shared" si="233"/>
        <v>45.0500000000466</v>
      </c>
      <c r="O2958" s="22" t="str">
        <f ca="1" t="shared" si="234"/>
        <v>SLA Violated</v>
      </c>
      <c r="P2958" s="23" t="s">
        <v>11509</v>
      </c>
      <c r="Q2958" s="24" t="s">
        <v>37</v>
      </c>
      <c r="R2958" s="25" t="s">
        <v>38</v>
      </c>
      <c r="S2958" s="25" t="s">
        <v>39</v>
      </c>
    </row>
    <row r="2959" ht="39" customHeight="1" spans="1:19">
      <c r="A2959" s="19" t="s">
        <v>11510</v>
      </c>
      <c r="B2959" s="20" t="s">
        <v>19</v>
      </c>
      <c r="C2959" s="20" t="s">
        <v>20</v>
      </c>
      <c r="D2959" s="20" t="s">
        <v>21</v>
      </c>
      <c r="E2959" s="21" t="s">
        <v>11511</v>
      </c>
      <c r="F2959" s="21" t="s">
        <v>11512</v>
      </c>
      <c r="G2959" s="20" t="s">
        <v>35</v>
      </c>
      <c r="H2959" s="20" t="s">
        <v>25</v>
      </c>
      <c r="I2959" s="21" t="s">
        <v>11513</v>
      </c>
      <c r="J2959" s="22">
        <f t="shared" si="230"/>
        <v>20.0256944444482</v>
      </c>
      <c r="K2959" s="22">
        <f t="shared" si="231"/>
        <v>480.616666666756</v>
      </c>
      <c r="L2959" s="22">
        <f t="shared" si="232"/>
        <v>160.616666666756</v>
      </c>
      <c r="M2959" s="22" cm="1">
        <f ca="1" t="array" ref="M2959">SUMPRODUCT(--(WEEKDAY(ROW(INDIRECT(INT(F2959)&amp;":"&amp;INT(I2959))),2)&gt;5))</f>
        <v>6</v>
      </c>
      <c r="N2959" s="22">
        <f ca="1" t="shared" si="233"/>
        <v>112.616666666756</v>
      </c>
      <c r="O2959" s="22" t="str">
        <f ca="1" t="shared" si="234"/>
        <v>SLA Violated</v>
      </c>
      <c r="P2959" s="23" t="s">
        <v>11514</v>
      </c>
      <c r="Q2959" s="24" t="s">
        <v>37</v>
      </c>
      <c r="R2959" s="25" t="s">
        <v>1020</v>
      </c>
      <c r="S2959" s="25" t="s">
        <v>39</v>
      </c>
    </row>
    <row r="2960" ht="39" customHeight="1" spans="1:19">
      <c r="A2960" s="19" t="s">
        <v>11515</v>
      </c>
      <c r="B2960" s="20" t="s">
        <v>19</v>
      </c>
      <c r="C2960" s="20" t="s">
        <v>20</v>
      </c>
      <c r="D2960" s="20" t="s">
        <v>32</v>
      </c>
      <c r="E2960" s="21" t="s">
        <v>11516</v>
      </c>
      <c r="F2960" s="21" t="s">
        <v>11517</v>
      </c>
      <c r="G2960" s="20" t="s">
        <v>35</v>
      </c>
      <c r="H2960" s="20" t="s">
        <v>25</v>
      </c>
      <c r="I2960" s="21" t="s">
        <v>11518</v>
      </c>
      <c r="J2960" s="22">
        <f t="shared" si="230"/>
        <v>0.00833333333139308</v>
      </c>
      <c r="K2960" s="22">
        <f t="shared" si="231"/>
        <v>0.199999999953434</v>
      </c>
      <c r="L2960" s="22">
        <f t="shared" si="232"/>
        <v>0.199999999953434</v>
      </c>
      <c r="M2960" s="22" cm="1">
        <f ca="1" t="array" ref="M2960">SUMPRODUCT(--(WEEKDAY(ROW(INDIRECT(INT(F2960)&amp;":"&amp;INT(I2960))),2)&gt;5))</f>
        <v>0</v>
      </c>
      <c r="N2960" s="22">
        <f ca="1" t="shared" si="233"/>
        <v>0.199999999953434</v>
      </c>
      <c r="O2960" s="22" t="str">
        <f ca="1" t="shared" si="234"/>
        <v>Within SLA</v>
      </c>
      <c r="P2960" s="26" t="s">
        <v>11515</v>
      </c>
      <c r="Q2960" s="24" t="s">
        <v>37</v>
      </c>
      <c r="R2960" s="25"/>
      <c r="S2960" s="25"/>
    </row>
    <row r="2961" ht="27" customHeight="1" spans="1:19">
      <c r="A2961" s="19" t="s">
        <v>11519</v>
      </c>
      <c r="B2961" s="20" t="s">
        <v>121</v>
      </c>
      <c r="C2961" s="20" t="s">
        <v>46</v>
      </c>
      <c r="D2961" s="20" t="s">
        <v>21</v>
      </c>
      <c r="E2961" s="21" t="s">
        <v>11520</v>
      </c>
      <c r="F2961" s="21" t="s">
        <v>11521</v>
      </c>
      <c r="G2961" s="20" t="s">
        <v>35</v>
      </c>
      <c r="H2961" s="20" t="s">
        <v>25</v>
      </c>
      <c r="I2961" s="21" t="s">
        <v>11344</v>
      </c>
      <c r="J2961" s="22">
        <f t="shared" si="230"/>
        <v>0.0222222222218988</v>
      </c>
      <c r="K2961" s="22">
        <f t="shared" si="231"/>
        <v>0.533333333325572</v>
      </c>
      <c r="L2961" s="22">
        <f t="shared" si="232"/>
        <v>0.533333333325572</v>
      </c>
      <c r="M2961" s="22" cm="1">
        <f ca="1" t="array" ref="M2961">SUMPRODUCT(--(WEEKDAY(ROW(INDIRECT(INT(F2961)&amp;":"&amp;INT(I2961))),2)&gt;5))</f>
        <v>0</v>
      </c>
      <c r="N2961" s="22">
        <f ca="1" t="shared" si="233"/>
        <v>0.533333333325572</v>
      </c>
      <c r="O2961" s="22" t="str">
        <f ca="1" t="shared" si="234"/>
        <v>Within SLA</v>
      </c>
      <c r="P2961" s="26" t="s">
        <v>11519</v>
      </c>
      <c r="Q2961" s="24" t="s">
        <v>37</v>
      </c>
      <c r="R2961" s="25"/>
      <c r="S2961" s="25"/>
    </row>
    <row r="2962" ht="39" customHeight="1" spans="1:19">
      <c r="A2962" s="19" t="s">
        <v>11522</v>
      </c>
      <c r="B2962" s="20" t="s">
        <v>196</v>
      </c>
      <c r="C2962" s="20" t="s">
        <v>46</v>
      </c>
      <c r="D2962" s="20" t="s">
        <v>21</v>
      </c>
      <c r="E2962" s="21" t="s">
        <v>11523</v>
      </c>
      <c r="F2962" s="21" t="s">
        <v>11524</v>
      </c>
      <c r="G2962" s="20" t="s">
        <v>35</v>
      </c>
      <c r="H2962" s="20" t="s">
        <v>25</v>
      </c>
      <c r="I2962" s="21" t="s">
        <v>11525</v>
      </c>
      <c r="J2962" s="22">
        <f t="shared" si="230"/>
        <v>0.0284722222277196</v>
      </c>
      <c r="K2962" s="22">
        <f t="shared" si="231"/>
        <v>0.683333333465271</v>
      </c>
      <c r="L2962" s="22">
        <f t="shared" si="232"/>
        <v>0.683333333465271</v>
      </c>
      <c r="M2962" s="22" cm="1">
        <f ca="1" t="array" ref="M2962">SUMPRODUCT(--(WEEKDAY(ROW(INDIRECT(INT(F2962)&amp;":"&amp;INT(I2962))),2)&gt;5))</f>
        <v>0</v>
      </c>
      <c r="N2962" s="22">
        <f ca="1" t="shared" si="233"/>
        <v>0.683333333465271</v>
      </c>
      <c r="O2962" s="22" t="str">
        <f ca="1" t="shared" si="234"/>
        <v>Within SLA</v>
      </c>
      <c r="P2962" s="26" t="s">
        <v>11522</v>
      </c>
      <c r="Q2962" s="24" t="s">
        <v>37</v>
      </c>
      <c r="R2962" s="25"/>
      <c r="S2962" s="25"/>
    </row>
    <row r="2963" ht="27" customHeight="1" spans="1:19">
      <c r="A2963" s="19" t="s">
        <v>11526</v>
      </c>
      <c r="B2963" s="20" t="s">
        <v>121</v>
      </c>
      <c r="C2963" s="20" t="s">
        <v>849</v>
      </c>
      <c r="D2963" s="20" t="s">
        <v>115</v>
      </c>
      <c r="E2963" s="21" t="s">
        <v>11527</v>
      </c>
      <c r="F2963" s="21" t="s">
        <v>11528</v>
      </c>
      <c r="G2963" s="20" t="s">
        <v>35</v>
      </c>
      <c r="H2963" s="20" t="s">
        <v>25</v>
      </c>
      <c r="I2963" s="21" t="s">
        <v>11529</v>
      </c>
      <c r="J2963" s="22">
        <f t="shared" si="230"/>
        <v>0.734027777776646</v>
      </c>
      <c r="K2963" s="22">
        <f t="shared" si="231"/>
        <v>17.6166666666395</v>
      </c>
      <c r="L2963" s="22">
        <f t="shared" si="232"/>
        <v>1.6166666666395</v>
      </c>
      <c r="M2963" s="22" cm="1">
        <f ca="1" t="array" ref="M2963">SUMPRODUCT(--(WEEKDAY(ROW(INDIRECT(INT(F2963)&amp;":"&amp;INT(I2963))),2)&gt;5))</f>
        <v>0</v>
      </c>
      <c r="N2963" s="22">
        <f ca="1" t="shared" si="233"/>
        <v>1.6166666666395</v>
      </c>
      <c r="O2963" s="22" t="str">
        <f ca="1" t="shared" si="234"/>
        <v>Within SLA</v>
      </c>
      <c r="P2963" s="26" t="s">
        <v>11526</v>
      </c>
      <c r="Q2963" s="24" t="s">
        <v>37</v>
      </c>
      <c r="R2963" s="25"/>
      <c r="S2963" s="25"/>
    </row>
    <row r="2964" ht="27" customHeight="1" spans="1:19">
      <c r="A2964" s="19" t="s">
        <v>11530</v>
      </c>
      <c r="B2964" s="20" t="s">
        <v>30</v>
      </c>
      <c r="C2964" s="20" t="s">
        <v>31</v>
      </c>
      <c r="D2964" s="20" t="s">
        <v>32</v>
      </c>
      <c r="E2964" s="21" t="s">
        <v>11531</v>
      </c>
      <c r="F2964" s="21" t="s">
        <v>11532</v>
      </c>
      <c r="G2964" s="20" t="s">
        <v>35</v>
      </c>
      <c r="H2964" s="20" t="s">
        <v>25</v>
      </c>
      <c r="I2964" s="21" t="s">
        <v>11533</v>
      </c>
      <c r="J2964" s="22">
        <f t="shared" si="230"/>
        <v>14.0249999999942</v>
      </c>
      <c r="K2964" s="22">
        <f t="shared" si="231"/>
        <v>336.59999999986</v>
      </c>
      <c r="L2964" s="22">
        <f t="shared" si="232"/>
        <v>112.59999999986</v>
      </c>
      <c r="M2964" s="22" cm="1">
        <f ca="1" t="array" ref="M2964">SUMPRODUCT(--(WEEKDAY(ROW(INDIRECT(INT(F2964)&amp;":"&amp;INT(I2964))),2)&gt;5))</f>
        <v>4</v>
      </c>
      <c r="N2964" s="22">
        <f ca="1" t="shared" si="233"/>
        <v>80.59999999986</v>
      </c>
      <c r="O2964" s="22" t="str">
        <f ca="1" t="shared" si="234"/>
        <v>SLA Violated</v>
      </c>
      <c r="P2964" s="23" t="s">
        <v>11534</v>
      </c>
      <c r="Q2964" s="24" t="s">
        <v>37</v>
      </c>
      <c r="R2964" s="25" t="s">
        <v>749</v>
      </c>
      <c r="S2964" s="25" t="s">
        <v>39</v>
      </c>
    </row>
    <row r="2965" ht="39" customHeight="1" spans="1:19">
      <c r="A2965" s="19" t="s">
        <v>11535</v>
      </c>
      <c r="B2965" s="20" t="s">
        <v>19</v>
      </c>
      <c r="C2965" s="20" t="s">
        <v>20</v>
      </c>
      <c r="D2965" s="20" t="s">
        <v>32</v>
      </c>
      <c r="E2965" s="21" t="s">
        <v>10872</v>
      </c>
      <c r="F2965" s="21" t="s">
        <v>11536</v>
      </c>
      <c r="G2965" s="20" t="s">
        <v>35</v>
      </c>
      <c r="H2965" s="20" t="s">
        <v>25</v>
      </c>
      <c r="I2965" s="21" t="s">
        <v>11537</v>
      </c>
      <c r="J2965" s="22">
        <f t="shared" si="230"/>
        <v>0.00555555555911269</v>
      </c>
      <c r="K2965" s="22">
        <f t="shared" si="231"/>
        <v>0.133333333418705</v>
      </c>
      <c r="L2965" s="22">
        <f t="shared" si="232"/>
        <v>0.133333333418705</v>
      </c>
      <c r="M2965" s="22" cm="1">
        <f ca="1" t="array" ref="M2965">SUMPRODUCT(--(WEEKDAY(ROW(INDIRECT(INT(F2965)&amp;":"&amp;INT(I2965))),2)&gt;5))</f>
        <v>0</v>
      </c>
      <c r="N2965" s="22">
        <f ca="1" t="shared" si="233"/>
        <v>0.133333333418705</v>
      </c>
      <c r="O2965" s="22" t="str">
        <f ca="1" t="shared" si="234"/>
        <v>Within SLA</v>
      </c>
      <c r="P2965" s="26" t="s">
        <v>11535</v>
      </c>
      <c r="Q2965" s="24" t="s">
        <v>37</v>
      </c>
      <c r="R2965" s="25"/>
      <c r="S2965" s="25"/>
    </row>
    <row r="2966" ht="27" customHeight="1" spans="1:19">
      <c r="A2966" s="19" t="s">
        <v>11538</v>
      </c>
      <c r="B2966" s="20" t="s">
        <v>139</v>
      </c>
      <c r="C2966" s="20" t="s">
        <v>46</v>
      </c>
      <c r="D2966" s="20" t="s">
        <v>21</v>
      </c>
      <c r="E2966" s="21" t="s">
        <v>11539</v>
      </c>
      <c r="F2966" s="21" t="s">
        <v>11540</v>
      </c>
      <c r="G2966" s="20" t="s">
        <v>35</v>
      </c>
      <c r="H2966" s="20" t="s">
        <v>25</v>
      </c>
      <c r="I2966" s="21" t="s">
        <v>11541</v>
      </c>
      <c r="J2966" s="22">
        <f t="shared" si="230"/>
        <v>0.0374999999985448</v>
      </c>
      <c r="K2966" s="22">
        <f t="shared" si="231"/>
        <v>0.899999999965075</v>
      </c>
      <c r="L2966" s="22">
        <f t="shared" si="232"/>
        <v>0.899999999965075</v>
      </c>
      <c r="M2966" s="22" cm="1">
        <f ca="1" t="array" ref="M2966">SUMPRODUCT(--(WEEKDAY(ROW(INDIRECT(INT(F2966)&amp;":"&amp;INT(I2966))),2)&gt;5))</f>
        <v>0</v>
      </c>
      <c r="N2966" s="22">
        <f ca="1" t="shared" si="233"/>
        <v>0.899999999965075</v>
      </c>
      <c r="O2966" s="22" t="str">
        <f ca="1" t="shared" si="234"/>
        <v>Within SLA</v>
      </c>
      <c r="P2966" s="26" t="s">
        <v>11538</v>
      </c>
      <c r="Q2966" s="24" t="s">
        <v>37</v>
      </c>
      <c r="R2966" s="25"/>
      <c r="S2966" s="25"/>
    </row>
    <row r="2967" ht="39" customHeight="1" spans="1:19">
      <c r="A2967" s="19" t="s">
        <v>11542</v>
      </c>
      <c r="B2967" s="20" t="s">
        <v>19</v>
      </c>
      <c r="C2967" s="20" t="s">
        <v>20</v>
      </c>
      <c r="D2967" s="20" t="s">
        <v>32</v>
      </c>
      <c r="E2967" s="21" t="s">
        <v>5502</v>
      </c>
      <c r="F2967" s="21" t="s">
        <v>11543</v>
      </c>
      <c r="G2967" s="20" t="s">
        <v>35</v>
      </c>
      <c r="H2967" s="20" t="s">
        <v>25</v>
      </c>
      <c r="I2967" s="21" t="s">
        <v>11544</v>
      </c>
      <c r="J2967" s="22">
        <f t="shared" si="230"/>
        <v>0.0409722222248092</v>
      </c>
      <c r="K2967" s="22">
        <f t="shared" si="231"/>
        <v>0.983333333395422</v>
      </c>
      <c r="L2967" s="22">
        <f t="shared" si="232"/>
        <v>0.983333333395422</v>
      </c>
      <c r="M2967" s="22" cm="1">
        <f ca="1" t="array" ref="M2967">SUMPRODUCT(--(WEEKDAY(ROW(INDIRECT(INT(F2967)&amp;":"&amp;INT(I2967))),2)&gt;5))</f>
        <v>0</v>
      </c>
      <c r="N2967" s="22">
        <f ca="1" t="shared" si="233"/>
        <v>0.983333333395422</v>
      </c>
      <c r="O2967" s="22" t="str">
        <f ca="1" t="shared" si="234"/>
        <v>Within SLA</v>
      </c>
      <c r="P2967" s="26" t="s">
        <v>11542</v>
      </c>
      <c r="Q2967" s="24" t="s">
        <v>37</v>
      </c>
      <c r="R2967" s="25"/>
      <c r="S2967" s="25"/>
    </row>
    <row r="2968" ht="27" customHeight="1" spans="1:19">
      <c r="A2968" s="19" t="s">
        <v>11545</v>
      </c>
      <c r="B2968" s="20" t="s">
        <v>139</v>
      </c>
      <c r="C2968" s="20" t="s">
        <v>2057</v>
      </c>
      <c r="D2968" s="20" t="s">
        <v>32</v>
      </c>
      <c r="E2968" s="21" t="s">
        <v>11546</v>
      </c>
      <c r="F2968" s="21" t="s">
        <v>11547</v>
      </c>
      <c r="G2968" s="20" t="s">
        <v>35</v>
      </c>
      <c r="H2968" s="20" t="s">
        <v>25</v>
      </c>
      <c r="I2968" s="21" t="s">
        <v>11548</v>
      </c>
      <c r="J2968" s="22">
        <f t="shared" si="230"/>
        <v>3.07361111111095</v>
      </c>
      <c r="K2968" s="22">
        <f t="shared" si="231"/>
        <v>73.7666666666628</v>
      </c>
      <c r="L2968" s="22">
        <f t="shared" si="232"/>
        <v>25.7666666666628</v>
      </c>
      <c r="M2968" s="22" cm="1">
        <f ca="1" t="array" ref="M2968">SUMPRODUCT(--(WEEKDAY(ROW(INDIRECT(INT(F2968)&amp;":"&amp;INT(I2968))),2)&gt;5))</f>
        <v>0</v>
      </c>
      <c r="N2968" s="22">
        <f ca="1" t="shared" si="233"/>
        <v>25.7666666666628</v>
      </c>
      <c r="O2968" s="22" t="str">
        <f ca="1" t="shared" si="234"/>
        <v>SLA Violated</v>
      </c>
      <c r="P2968" s="23" t="s">
        <v>11549</v>
      </c>
      <c r="Q2968" s="24" t="s">
        <v>37</v>
      </c>
      <c r="R2968" s="25" t="s">
        <v>38</v>
      </c>
      <c r="S2968" s="25" t="s">
        <v>39</v>
      </c>
    </row>
    <row r="2969" ht="39" customHeight="1" spans="1:19">
      <c r="A2969" s="19" t="s">
        <v>11550</v>
      </c>
      <c r="B2969" s="20" t="s">
        <v>19</v>
      </c>
      <c r="C2969" s="20" t="s">
        <v>20</v>
      </c>
      <c r="D2969" s="20" t="s">
        <v>32</v>
      </c>
      <c r="E2969" s="21" t="s">
        <v>11546</v>
      </c>
      <c r="F2969" s="21" t="s">
        <v>11551</v>
      </c>
      <c r="G2969" s="20" t="s">
        <v>35</v>
      </c>
      <c r="H2969" s="20" t="s">
        <v>25</v>
      </c>
      <c r="I2969" s="21" t="s">
        <v>11552</v>
      </c>
      <c r="J2969" s="22">
        <f t="shared" si="230"/>
        <v>0.0840277777751908</v>
      </c>
      <c r="K2969" s="22">
        <f t="shared" si="231"/>
        <v>2.01666666660458</v>
      </c>
      <c r="L2969" s="22">
        <f t="shared" si="232"/>
        <v>2.01666666660458</v>
      </c>
      <c r="M2969" s="22" cm="1">
        <f ca="1" t="array" ref="M2969">SUMPRODUCT(--(WEEKDAY(ROW(INDIRECT(INT(F2969)&amp;":"&amp;INT(I2969))),2)&gt;5))</f>
        <v>0</v>
      </c>
      <c r="N2969" s="22">
        <f ca="1" t="shared" si="233"/>
        <v>2.01666666660458</v>
      </c>
      <c r="O2969" s="22" t="str">
        <f ca="1" t="shared" si="234"/>
        <v>Within SLA</v>
      </c>
      <c r="P2969" s="26" t="s">
        <v>11550</v>
      </c>
      <c r="Q2969" s="24" t="s">
        <v>37</v>
      </c>
      <c r="R2969" s="25"/>
      <c r="S2969" s="25"/>
    </row>
    <row r="2970" ht="39" customHeight="1" spans="1:19">
      <c r="A2970" s="19" t="s">
        <v>11553</v>
      </c>
      <c r="B2970" s="20" t="s">
        <v>19</v>
      </c>
      <c r="C2970" s="20" t="s">
        <v>20</v>
      </c>
      <c r="D2970" s="20" t="s">
        <v>32</v>
      </c>
      <c r="E2970" s="21" t="s">
        <v>11554</v>
      </c>
      <c r="F2970" s="21" t="s">
        <v>11555</v>
      </c>
      <c r="G2970" s="20" t="s">
        <v>35</v>
      </c>
      <c r="H2970" s="20" t="s">
        <v>25</v>
      </c>
      <c r="I2970" s="21" t="s">
        <v>11552</v>
      </c>
      <c r="J2970" s="22">
        <f t="shared" si="230"/>
        <v>0.0791666666627862</v>
      </c>
      <c r="K2970" s="22">
        <f t="shared" si="231"/>
        <v>1.89999999990687</v>
      </c>
      <c r="L2970" s="22">
        <f t="shared" si="232"/>
        <v>1.89999999990687</v>
      </c>
      <c r="M2970" s="22" cm="1">
        <f ca="1" t="array" ref="M2970">SUMPRODUCT(--(WEEKDAY(ROW(INDIRECT(INT(F2970)&amp;":"&amp;INT(I2970))),2)&gt;5))</f>
        <v>0</v>
      </c>
      <c r="N2970" s="22">
        <f ca="1" t="shared" si="233"/>
        <v>1.89999999990687</v>
      </c>
      <c r="O2970" s="22" t="str">
        <f ca="1" t="shared" si="234"/>
        <v>Within SLA</v>
      </c>
      <c r="P2970" s="26" t="s">
        <v>11553</v>
      </c>
      <c r="Q2970" s="24" t="s">
        <v>37</v>
      </c>
      <c r="R2970" s="25"/>
      <c r="S2970" s="25"/>
    </row>
    <row r="2971" ht="39" customHeight="1" spans="1:19">
      <c r="A2971" s="19" t="s">
        <v>11556</v>
      </c>
      <c r="B2971" s="20" t="s">
        <v>196</v>
      </c>
      <c r="C2971" s="20" t="s">
        <v>2057</v>
      </c>
      <c r="D2971" s="20" t="s">
        <v>32</v>
      </c>
      <c r="E2971" s="21" t="s">
        <v>11557</v>
      </c>
      <c r="F2971" s="21" t="s">
        <v>11558</v>
      </c>
      <c r="G2971" s="20" t="s">
        <v>35</v>
      </c>
      <c r="H2971" s="20" t="s">
        <v>25</v>
      </c>
      <c r="I2971" s="21" t="s">
        <v>11559</v>
      </c>
      <c r="J2971" s="22">
        <f t="shared" si="230"/>
        <v>2.8618055555562</v>
      </c>
      <c r="K2971" s="22">
        <f t="shared" si="231"/>
        <v>68.6833333333489</v>
      </c>
      <c r="L2971" s="22">
        <f t="shared" si="232"/>
        <v>20.6833333333489</v>
      </c>
      <c r="M2971" s="22" cm="1">
        <f ca="1" t="array" ref="M2971">SUMPRODUCT(--(WEEKDAY(ROW(INDIRECT(INT(F2971)&amp;":"&amp;INT(I2971))),2)&gt;5))</f>
        <v>0</v>
      </c>
      <c r="N2971" s="22">
        <f ca="1" t="shared" si="233"/>
        <v>20.6833333333489</v>
      </c>
      <c r="O2971" s="22" t="str">
        <f ca="1" t="shared" si="234"/>
        <v>SLA Violated</v>
      </c>
      <c r="P2971" s="23" t="s">
        <v>11560</v>
      </c>
      <c r="Q2971" s="24" t="s">
        <v>28</v>
      </c>
      <c r="R2971" s="25"/>
      <c r="S2971" s="25"/>
    </row>
    <row r="2972" ht="27" customHeight="1" spans="1:19">
      <c r="A2972" s="19" t="s">
        <v>11561</v>
      </c>
      <c r="B2972" s="20" t="s">
        <v>139</v>
      </c>
      <c r="C2972" s="20" t="s">
        <v>2057</v>
      </c>
      <c r="D2972" s="20" t="s">
        <v>32</v>
      </c>
      <c r="E2972" s="21" t="s">
        <v>11562</v>
      </c>
      <c r="F2972" s="21" t="s">
        <v>11563</v>
      </c>
      <c r="G2972" s="20" t="s">
        <v>35</v>
      </c>
      <c r="H2972" s="20" t="s">
        <v>25</v>
      </c>
      <c r="I2972" s="21" t="s">
        <v>11564</v>
      </c>
      <c r="J2972" s="22">
        <f t="shared" si="230"/>
        <v>0.12638888888614</v>
      </c>
      <c r="K2972" s="22">
        <f t="shared" si="231"/>
        <v>3.03333333326736</v>
      </c>
      <c r="L2972" s="22">
        <f t="shared" si="232"/>
        <v>3.03333333326736</v>
      </c>
      <c r="M2972" s="22" cm="1">
        <f ca="1" t="array" ref="M2972">SUMPRODUCT(--(WEEKDAY(ROW(INDIRECT(INT(F2972)&amp;":"&amp;INT(I2972))),2)&gt;5))</f>
        <v>0</v>
      </c>
      <c r="N2972" s="22">
        <f ca="1" t="shared" si="233"/>
        <v>3.03333333326736</v>
      </c>
      <c r="O2972" s="22" t="str">
        <f ca="1" t="shared" si="234"/>
        <v>Within SLA</v>
      </c>
      <c r="P2972" s="26" t="s">
        <v>11561</v>
      </c>
      <c r="Q2972" s="24" t="s">
        <v>37</v>
      </c>
      <c r="R2972" s="25"/>
      <c r="S2972" s="25"/>
    </row>
    <row r="2973" ht="39" customHeight="1" spans="1:19">
      <c r="A2973" s="19" t="s">
        <v>11565</v>
      </c>
      <c r="B2973" s="20" t="s">
        <v>1076</v>
      </c>
      <c r="C2973" s="20" t="s">
        <v>46</v>
      </c>
      <c r="D2973" s="20" t="s">
        <v>32</v>
      </c>
      <c r="E2973" s="21" t="s">
        <v>11566</v>
      </c>
      <c r="F2973" s="21" t="s">
        <v>11567</v>
      </c>
      <c r="G2973" s="20" t="s">
        <v>35</v>
      </c>
      <c r="H2973" s="20" t="s">
        <v>25</v>
      </c>
      <c r="I2973" s="21" t="s">
        <v>11568</v>
      </c>
      <c r="J2973" s="22">
        <f t="shared" si="230"/>
        <v>0.0104166666642413</v>
      </c>
      <c r="K2973" s="22">
        <f t="shared" si="231"/>
        <v>0.249999999941792</v>
      </c>
      <c r="L2973" s="22">
        <f t="shared" si="232"/>
        <v>0.249999999941792</v>
      </c>
      <c r="M2973" s="22" cm="1">
        <f ca="1" t="array" ref="M2973">SUMPRODUCT(--(WEEKDAY(ROW(INDIRECT(INT(F2973)&amp;":"&amp;INT(I2973))),2)&gt;5))</f>
        <v>0</v>
      </c>
      <c r="N2973" s="22">
        <f ca="1" t="shared" si="233"/>
        <v>0.249999999941792</v>
      </c>
      <c r="O2973" s="22" t="str">
        <f ca="1" t="shared" si="234"/>
        <v>Within SLA</v>
      </c>
      <c r="P2973" s="26" t="s">
        <v>11565</v>
      </c>
      <c r="Q2973" s="24" t="s">
        <v>37</v>
      </c>
      <c r="R2973" s="25"/>
      <c r="S2973" s="25"/>
    </row>
    <row r="2974" ht="39" customHeight="1" spans="1:19">
      <c r="A2974" s="19" t="s">
        <v>11569</v>
      </c>
      <c r="B2974" s="20" t="s">
        <v>19</v>
      </c>
      <c r="C2974" s="20" t="s">
        <v>20</v>
      </c>
      <c r="D2974" s="20" t="s">
        <v>32</v>
      </c>
      <c r="E2974" s="21" t="s">
        <v>11570</v>
      </c>
      <c r="F2974" s="21" t="s">
        <v>11571</v>
      </c>
      <c r="G2974" s="20" t="s">
        <v>35</v>
      </c>
      <c r="H2974" s="20" t="s">
        <v>25</v>
      </c>
      <c r="I2974" s="21" t="s">
        <v>11572</v>
      </c>
      <c r="J2974" s="22">
        <f t="shared" si="230"/>
        <v>0.150000000001455</v>
      </c>
      <c r="K2974" s="22">
        <f t="shared" si="231"/>
        <v>3.60000000003492</v>
      </c>
      <c r="L2974" s="22">
        <f t="shared" si="232"/>
        <v>3.60000000003492</v>
      </c>
      <c r="M2974" s="22" cm="1">
        <f ca="1" t="array" ref="M2974">SUMPRODUCT(--(WEEKDAY(ROW(INDIRECT(INT(F2974)&amp;":"&amp;INT(I2974))),2)&gt;5))</f>
        <v>0</v>
      </c>
      <c r="N2974" s="22">
        <f ca="1" t="shared" si="233"/>
        <v>3.60000000003492</v>
      </c>
      <c r="O2974" s="22" t="str">
        <f ca="1" t="shared" si="234"/>
        <v>Within SLA</v>
      </c>
      <c r="P2974" s="26" t="s">
        <v>11569</v>
      </c>
      <c r="Q2974" s="24" t="s">
        <v>37</v>
      </c>
      <c r="R2974" s="25"/>
      <c r="S2974" s="25"/>
    </row>
    <row r="2975" ht="27" customHeight="1" spans="1:19">
      <c r="A2975" s="19" t="s">
        <v>11573</v>
      </c>
      <c r="B2975" s="20" t="s">
        <v>30</v>
      </c>
      <c r="C2975" s="20" t="s">
        <v>31</v>
      </c>
      <c r="D2975" s="20" t="s">
        <v>32</v>
      </c>
      <c r="E2975" s="21" t="s">
        <v>11574</v>
      </c>
      <c r="F2975" s="21" t="s">
        <v>11575</v>
      </c>
      <c r="G2975" s="20" t="s">
        <v>35</v>
      </c>
      <c r="H2975" s="20" t="s">
        <v>25</v>
      </c>
      <c r="I2975" s="21" t="s">
        <v>11576</v>
      </c>
      <c r="J2975" s="22">
        <f t="shared" si="230"/>
        <v>1.84375</v>
      </c>
      <c r="K2975" s="22">
        <f t="shared" si="231"/>
        <v>44.25</v>
      </c>
      <c r="L2975" s="22">
        <f t="shared" si="232"/>
        <v>12.25</v>
      </c>
      <c r="M2975" s="22" cm="1">
        <f ca="1" t="array" ref="M2975">SUMPRODUCT(--(WEEKDAY(ROW(INDIRECT(INT(F2975)&amp;":"&amp;INT(I2975))),2)&gt;5))</f>
        <v>0</v>
      </c>
      <c r="N2975" s="22">
        <f ca="1" t="shared" si="233"/>
        <v>12.25</v>
      </c>
      <c r="O2975" s="22" t="str">
        <f ca="1" t="shared" si="234"/>
        <v>SLA Violated</v>
      </c>
      <c r="P2975" s="23" t="s">
        <v>11577</v>
      </c>
      <c r="Q2975" s="24" t="s">
        <v>28</v>
      </c>
      <c r="R2975" s="25"/>
      <c r="S2975" s="25"/>
    </row>
    <row r="2976" ht="27" customHeight="1" spans="1:19">
      <c r="A2976" s="19" t="s">
        <v>11578</v>
      </c>
      <c r="B2976" s="20" t="s">
        <v>30</v>
      </c>
      <c r="C2976" s="20" t="s">
        <v>31</v>
      </c>
      <c r="D2976" s="20" t="s">
        <v>32</v>
      </c>
      <c r="E2976" s="21" t="s">
        <v>11579</v>
      </c>
      <c r="F2976" s="21" t="s">
        <v>11580</v>
      </c>
      <c r="G2976" s="20" t="s">
        <v>35</v>
      </c>
      <c r="H2976" s="20" t="s">
        <v>25</v>
      </c>
      <c r="I2976" s="21" t="s">
        <v>11581</v>
      </c>
      <c r="J2976" s="22">
        <f t="shared" si="230"/>
        <v>0.00555555555911269</v>
      </c>
      <c r="K2976" s="22">
        <f t="shared" si="231"/>
        <v>0.133333333418705</v>
      </c>
      <c r="L2976" s="22">
        <f t="shared" si="232"/>
        <v>0.133333333418705</v>
      </c>
      <c r="M2976" s="22" cm="1">
        <f ca="1" t="array" ref="M2976">SUMPRODUCT(--(WEEKDAY(ROW(INDIRECT(INT(F2976)&amp;":"&amp;INT(I2976))),2)&gt;5))</f>
        <v>0</v>
      </c>
      <c r="N2976" s="22">
        <f ca="1" t="shared" si="233"/>
        <v>0.133333333418705</v>
      </c>
      <c r="O2976" s="22" t="str">
        <f ca="1" t="shared" si="234"/>
        <v>Within SLA</v>
      </c>
      <c r="P2976" s="26" t="s">
        <v>11578</v>
      </c>
      <c r="Q2976" s="24" t="s">
        <v>37</v>
      </c>
      <c r="R2976" s="25"/>
      <c r="S2976" s="25"/>
    </row>
    <row r="2977" ht="16" customHeight="1" spans="1:19">
      <c r="A2977" s="19" t="s">
        <v>11582</v>
      </c>
      <c r="B2977" s="20" t="s">
        <v>100</v>
      </c>
      <c r="C2977" s="20" t="s">
        <v>101</v>
      </c>
      <c r="D2977" s="20" t="s">
        <v>32</v>
      </c>
      <c r="E2977" s="21" t="s">
        <v>11583</v>
      </c>
      <c r="F2977" s="21" t="s">
        <v>11584</v>
      </c>
      <c r="G2977" s="20" t="s">
        <v>35</v>
      </c>
      <c r="H2977" s="20" t="s">
        <v>25</v>
      </c>
      <c r="I2977" s="21" t="s">
        <v>11585</v>
      </c>
      <c r="J2977" s="22">
        <f t="shared" si="230"/>
        <v>2.75069444444671</v>
      </c>
      <c r="K2977" s="22">
        <f t="shared" si="231"/>
        <v>66.016666666721</v>
      </c>
      <c r="L2977" s="22">
        <f t="shared" si="232"/>
        <v>18.016666666721</v>
      </c>
      <c r="M2977" s="22" cm="1">
        <f ca="1" t="array" ref="M2977">SUMPRODUCT(--(WEEKDAY(ROW(INDIRECT(INT(F2977)&amp;":"&amp;INT(I2977))),2)&gt;5))</f>
        <v>0</v>
      </c>
      <c r="N2977" s="22">
        <f ca="1" t="shared" si="233"/>
        <v>18.016666666721</v>
      </c>
      <c r="O2977" s="22" t="str">
        <f ca="1" t="shared" si="234"/>
        <v>SLA Violated</v>
      </c>
      <c r="P2977" s="23" t="s">
        <v>11586</v>
      </c>
      <c r="Q2977" s="24" t="s">
        <v>28</v>
      </c>
      <c r="R2977" s="25"/>
      <c r="S2977" s="25"/>
    </row>
    <row r="2978" ht="39" customHeight="1" spans="1:19">
      <c r="A2978" s="19" t="s">
        <v>11587</v>
      </c>
      <c r="B2978" s="20" t="s">
        <v>19</v>
      </c>
      <c r="C2978" s="20" t="s">
        <v>20</v>
      </c>
      <c r="D2978" s="20" t="s">
        <v>32</v>
      </c>
      <c r="E2978" s="21" t="s">
        <v>11588</v>
      </c>
      <c r="F2978" s="21" t="s">
        <v>11589</v>
      </c>
      <c r="G2978" s="20" t="s">
        <v>35</v>
      </c>
      <c r="H2978" s="20" t="s">
        <v>25</v>
      </c>
      <c r="I2978" s="21" t="s">
        <v>11590</v>
      </c>
      <c r="J2978" s="22">
        <f t="shared" si="230"/>
        <v>0.00555555555183673</v>
      </c>
      <c r="K2978" s="22">
        <f t="shared" si="231"/>
        <v>0.133333333244082</v>
      </c>
      <c r="L2978" s="22">
        <f t="shared" si="232"/>
        <v>0.133333333244082</v>
      </c>
      <c r="M2978" s="22" cm="1">
        <f ca="1" t="array" ref="M2978">SUMPRODUCT(--(WEEKDAY(ROW(INDIRECT(INT(F2978)&amp;":"&amp;INT(I2978))),2)&gt;5))</f>
        <v>0</v>
      </c>
      <c r="N2978" s="22">
        <f ca="1" t="shared" si="233"/>
        <v>0.133333333244082</v>
      </c>
      <c r="O2978" s="22" t="str">
        <f ca="1" t="shared" si="234"/>
        <v>Within SLA</v>
      </c>
      <c r="P2978" s="26" t="s">
        <v>11587</v>
      </c>
      <c r="Q2978" s="24" t="s">
        <v>37</v>
      </c>
      <c r="R2978" s="25"/>
      <c r="S2978" s="25"/>
    </row>
    <row r="2979" ht="39" customHeight="1" spans="1:19">
      <c r="A2979" s="19" t="s">
        <v>11591</v>
      </c>
      <c r="B2979" s="20" t="s">
        <v>19</v>
      </c>
      <c r="C2979" s="20" t="s">
        <v>20</v>
      </c>
      <c r="D2979" s="20" t="s">
        <v>32</v>
      </c>
      <c r="E2979" s="21" t="s">
        <v>11592</v>
      </c>
      <c r="F2979" s="21" t="s">
        <v>11593</v>
      </c>
      <c r="G2979" s="20" t="s">
        <v>35</v>
      </c>
      <c r="H2979" s="20" t="s">
        <v>25</v>
      </c>
      <c r="I2979" s="21" t="s">
        <v>11594</v>
      </c>
      <c r="J2979" s="22">
        <f t="shared" si="230"/>
        <v>0.0208333333357587</v>
      </c>
      <c r="K2979" s="22">
        <f t="shared" si="231"/>
        <v>0.500000000058208</v>
      </c>
      <c r="L2979" s="22">
        <f t="shared" si="232"/>
        <v>0.500000000058208</v>
      </c>
      <c r="M2979" s="22" cm="1">
        <f ca="1" t="array" ref="M2979">SUMPRODUCT(--(WEEKDAY(ROW(INDIRECT(INT(F2979)&amp;":"&amp;INT(I2979))),2)&gt;5))</f>
        <v>0</v>
      </c>
      <c r="N2979" s="22">
        <f ca="1" t="shared" si="233"/>
        <v>0.500000000058208</v>
      </c>
      <c r="O2979" s="22" t="str">
        <f ca="1" t="shared" si="234"/>
        <v>Within SLA</v>
      </c>
      <c r="P2979" s="26" t="s">
        <v>11591</v>
      </c>
      <c r="Q2979" s="24" t="s">
        <v>37</v>
      </c>
      <c r="R2979" s="25"/>
      <c r="S2979" s="25"/>
    </row>
    <row r="2980" ht="27" customHeight="1" spans="1:19">
      <c r="A2980" s="19" t="s">
        <v>11595</v>
      </c>
      <c r="B2980" s="20" t="s">
        <v>121</v>
      </c>
      <c r="C2980" s="20" t="s">
        <v>849</v>
      </c>
      <c r="D2980" s="20" t="s">
        <v>32</v>
      </c>
      <c r="E2980" s="21" t="s">
        <v>11596</v>
      </c>
      <c r="F2980" s="21" t="s">
        <v>11597</v>
      </c>
      <c r="G2980" s="20" t="s">
        <v>35</v>
      </c>
      <c r="H2980" s="20" t="s">
        <v>25</v>
      </c>
      <c r="I2980" s="21" t="s">
        <v>11598</v>
      </c>
      <c r="J2980" s="22">
        <f t="shared" si="230"/>
        <v>0.87638888888614</v>
      </c>
      <c r="K2980" s="22">
        <f t="shared" si="231"/>
        <v>21.0333333332674</v>
      </c>
      <c r="L2980" s="22">
        <f t="shared" si="232"/>
        <v>5.03333333326736</v>
      </c>
      <c r="M2980" s="22" cm="1">
        <f ca="1" t="array" ref="M2980">SUMPRODUCT(--(WEEKDAY(ROW(INDIRECT(INT(F2980)&amp;":"&amp;INT(I2980))),2)&gt;5))</f>
        <v>0</v>
      </c>
      <c r="N2980" s="22">
        <f ca="1" t="shared" si="233"/>
        <v>5.03333333326736</v>
      </c>
      <c r="O2980" s="22" t="str">
        <f ca="1" t="shared" si="234"/>
        <v>Within SLA</v>
      </c>
      <c r="P2980" s="26" t="s">
        <v>11595</v>
      </c>
      <c r="Q2980" s="24" t="s">
        <v>37</v>
      </c>
      <c r="R2980" s="25"/>
      <c r="S2980" s="25"/>
    </row>
    <row r="2981" ht="50" customHeight="1" spans="1:19">
      <c r="A2981" s="19" t="s">
        <v>11599</v>
      </c>
      <c r="B2981" s="20" t="s">
        <v>369</v>
      </c>
      <c r="C2981" s="20" t="s">
        <v>101</v>
      </c>
      <c r="D2981" s="20" t="s">
        <v>32</v>
      </c>
      <c r="E2981" s="21" t="s">
        <v>11600</v>
      </c>
      <c r="F2981" s="21" t="s">
        <v>11601</v>
      </c>
      <c r="G2981" s="20" t="s">
        <v>35</v>
      </c>
      <c r="H2981" s="20" t="s">
        <v>25</v>
      </c>
      <c r="I2981" s="21" t="s">
        <v>11602</v>
      </c>
      <c r="J2981" s="22">
        <f t="shared" si="230"/>
        <v>0.00138888889341615</v>
      </c>
      <c r="K2981" s="22">
        <f t="shared" si="231"/>
        <v>0.0333333334419876</v>
      </c>
      <c r="L2981" s="22">
        <f t="shared" si="232"/>
        <v>0.0333333334419876</v>
      </c>
      <c r="M2981" s="22" cm="1">
        <f ca="1" t="array" ref="M2981">SUMPRODUCT(--(WEEKDAY(ROW(INDIRECT(INT(F2981)&amp;":"&amp;INT(I2981))),2)&gt;5))</f>
        <v>0</v>
      </c>
      <c r="N2981" s="22">
        <f ca="1" t="shared" si="233"/>
        <v>0.0333333334419876</v>
      </c>
      <c r="O2981" s="22" t="str">
        <f ca="1" t="shared" si="234"/>
        <v>Within SLA</v>
      </c>
      <c r="P2981" s="26" t="s">
        <v>11599</v>
      </c>
      <c r="Q2981" s="24" t="s">
        <v>37</v>
      </c>
      <c r="R2981" s="25"/>
      <c r="S2981" s="25"/>
    </row>
    <row r="2982" ht="39" customHeight="1" spans="1:19">
      <c r="A2982" s="19" t="s">
        <v>11603</v>
      </c>
      <c r="B2982" s="20" t="s">
        <v>19</v>
      </c>
      <c r="C2982" s="20" t="s">
        <v>20</v>
      </c>
      <c r="D2982" s="20" t="s">
        <v>32</v>
      </c>
      <c r="E2982" s="21" t="s">
        <v>11601</v>
      </c>
      <c r="F2982" s="21" t="s">
        <v>11604</v>
      </c>
      <c r="G2982" s="20" t="s">
        <v>35</v>
      </c>
      <c r="H2982" s="20" t="s">
        <v>25</v>
      </c>
      <c r="I2982" s="21" t="s">
        <v>11605</v>
      </c>
      <c r="J2982" s="22">
        <f t="shared" si="230"/>
        <v>0.00694444444525288</v>
      </c>
      <c r="K2982" s="22">
        <f t="shared" si="231"/>
        <v>0.166666666686069</v>
      </c>
      <c r="L2982" s="22">
        <f t="shared" si="232"/>
        <v>0.166666666686069</v>
      </c>
      <c r="M2982" s="22" cm="1">
        <f ca="1" t="array" ref="M2982">SUMPRODUCT(--(WEEKDAY(ROW(INDIRECT(INT(F2982)&amp;":"&amp;INT(I2982))),2)&gt;5))</f>
        <v>0</v>
      </c>
      <c r="N2982" s="22">
        <f ca="1" t="shared" si="233"/>
        <v>0.166666666686069</v>
      </c>
      <c r="O2982" s="22" t="str">
        <f ca="1" t="shared" si="234"/>
        <v>Within SLA</v>
      </c>
      <c r="P2982" s="26" t="s">
        <v>11603</v>
      </c>
      <c r="Q2982" s="24" t="s">
        <v>37</v>
      </c>
      <c r="R2982" s="25"/>
      <c r="S2982" s="25"/>
    </row>
    <row r="2983" ht="39" customHeight="1" spans="1:19">
      <c r="A2983" s="19" t="s">
        <v>11606</v>
      </c>
      <c r="B2983" s="20" t="s">
        <v>19</v>
      </c>
      <c r="C2983" s="20" t="s">
        <v>20</v>
      </c>
      <c r="D2983" s="20" t="s">
        <v>32</v>
      </c>
      <c r="E2983" s="21" t="s">
        <v>11607</v>
      </c>
      <c r="F2983" s="21" t="s">
        <v>11608</v>
      </c>
      <c r="G2983" s="20" t="s">
        <v>35</v>
      </c>
      <c r="H2983" s="20" t="s">
        <v>25</v>
      </c>
      <c r="I2983" s="21" t="s">
        <v>11609</v>
      </c>
      <c r="J2983" s="22">
        <f t="shared" si="230"/>
        <v>0.0625</v>
      </c>
      <c r="K2983" s="22">
        <f t="shared" si="231"/>
        <v>1.5</v>
      </c>
      <c r="L2983" s="22">
        <f t="shared" si="232"/>
        <v>1.5</v>
      </c>
      <c r="M2983" s="22" cm="1">
        <f ca="1" t="array" ref="M2983">SUMPRODUCT(--(WEEKDAY(ROW(INDIRECT(INT(F2983)&amp;":"&amp;INT(I2983))),2)&gt;5))</f>
        <v>0</v>
      </c>
      <c r="N2983" s="22">
        <f ca="1" t="shared" si="233"/>
        <v>1.5</v>
      </c>
      <c r="O2983" s="22" t="str">
        <f ca="1" t="shared" si="234"/>
        <v>Within SLA</v>
      </c>
      <c r="P2983" s="26" t="s">
        <v>11606</v>
      </c>
      <c r="Q2983" s="24" t="s">
        <v>37</v>
      </c>
      <c r="R2983" s="25"/>
      <c r="S2983" s="25"/>
    </row>
    <row r="2984" ht="39" customHeight="1" spans="1:19">
      <c r="A2984" s="19" t="s">
        <v>11610</v>
      </c>
      <c r="B2984" s="20" t="s">
        <v>19</v>
      </c>
      <c r="C2984" s="20" t="s">
        <v>20</v>
      </c>
      <c r="D2984" s="20" t="s">
        <v>32</v>
      </c>
      <c r="E2984" s="21" t="s">
        <v>11611</v>
      </c>
      <c r="F2984" s="21" t="s">
        <v>11612</v>
      </c>
      <c r="G2984" s="20" t="s">
        <v>35</v>
      </c>
      <c r="H2984" s="20" t="s">
        <v>25</v>
      </c>
      <c r="I2984" s="21" t="s">
        <v>11613</v>
      </c>
      <c r="J2984" s="22">
        <f t="shared" si="230"/>
        <v>0.0631944444467081</v>
      </c>
      <c r="K2984" s="22">
        <f t="shared" si="231"/>
        <v>1.51666666672099</v>
      </c>
      <c r="L2984" s="22">
        <f t="shared" si="232"/>
        <v>1.51666666672099</v>
      </c>
      <c r="M2984" s="22" cm="1">
        <f ca="1" t="array" ref="M2984">SUMPRODUCT(--(WEEKDAY(ROW(INDIRECT(INT(F2984)&amp;":"&amp;INT(I2984))),2)&gt;5))</f>
        <v>0</v>
      </c>
      <c r="N2984" s="22">
        <f ca="1" t="shared" si="233"/>
        <v>1.51666666672099</v>
      </c>
      <c r="O2984" s="22" t="str">
        <f ca="1" t="shared" si="234"/>
        <v>Within SLA</v>
      </c>
      <c r="P2984" s="26" t="s">
        <v>11610</v>
      </c>
      <c r="Q2984" s="24" t="s">
        <v>37</v>
      </c>
      <c r="R2984" s="25"/>
      <c r="S2984" s="25"/>
    </row>
    <row r="2985" ht="27" customHeight="1" spans="1:19">
      <c r="A2985" s="19" t="s">
        <v>11614</v>
      </c>
      <c r="B2985" s="20" t="s">
        <v>30</v>
      </c>
      <c r="C2985" s="20" t="s">
        <v>31</v>
      </c>
      <c r="D2985" s="20" t="s">
        <v>32</v>
      </c>
      <c r="E2985" s="21" t="s">
        <v>11615</v>
      </c>
      <c r="F2985" s="21" t="s">
        <v>11616</v>
      </c>
      <c r="G2985" s="20" t="s">
        <v>35</v>
      </c>
      <c r="H2985" s="20" t="s">
        <v>25</v>
      </c>
      <c r="I2985" s="21" t="s">
        <v>11617</v>
      </c>
      <c r="J2985" s="22">
        <f t="shared" si="230"/>
        <v>27.9312500000015</v>
      </c>
      <c r="K2985" s="22">
        <f t="shared" si="231"/>
        <v>670.350000000035</v>
      </c>
      <c r="L2985" s="22">
        <f t="shared" si="232"/>
        <v>222.350000000035</v>
      </c>
      <c r="M2985" s="22" cm="1">
        <f ca="1" t="array" ref="M2985">SUMPRODUCT(--(WEEKDAY(ROW(INDIRECT(INT(F2985)&amp;":"&amp;INT(I2985))),2)&gt;5))</f>
        <v>8</v>
      </c>
      <c r="N2985" s="22">
        <f ca="1" t="shared" si="233"/>
        <v>158.350000000035</v>
      </c>
      <c r="O2985" s="22" t="str">
        <f ca="1" t="shared" si="234"/>
        <v>SLA Violated</v>
      </c>
      <c r="P2985" s="23" t="s">
        <v>11618</v>
      </c>
      <c r="Q2985" s="24" t="s">
        <v>37</v>
      </c>
      <c r="R2985" s="25" t="s">
        <v>749</v>
      </c>
      <c r="S2985" s="25" t="s">
        <v>39</v>
      </c>
    </row>
    <row r="2986" ht="27" customHeight="1" spans="1:19">
      <c r="A2986" s="19" t="s">
        <v>11619</v>
      </c>
      <c r="B2986" s="20" t="s">
        <v>121</v>
      </c>
      <c r="C2986" s="20" t="s">
        <v>46</v>
      </c>
      <c r="D2986" s="20" t="s">
        <v>21</v>
      </c>
      <c r="E2986" s="21" t="s">
        <v>11612</v>
      </c>
      <c r="F2986" s="21" t="s">
        <v>11620</v>
      </c>
      <c r="G2986" s="20" t="s">
        <v>35</v>
      </c>
      <c r="H2986" s="20" t="s">
        <v>25</v>
      </c>
      <c r="I2986" s="21" t="s">
        <v>11621</v>
      </c>
      <c r="J2986" s="22">
        <f t="shared" si="230"/>
        <v>0.0277777777737356</v>
      </c>
      <c r="K2986" s="22">
        <f t="shared" si="231"/>
        <v>0.666666666569654</v>
      </c>
      <c r="L2986" s="22">
        <f t="shared" si="232"/>
        <v>0.666666666569654</v>
      </c>
      <c r="M2986" s="22" cm="1">
        <f ca="1" t="array" ref="M2986">SUMPRODUCT(--(WEEKDAY(ROW(INDIRECT(INT(F2986)&amp;":"&amp;INT(I2986))),2)&gt;5))</f>
        <v>0</v>
      </c>
      <c r="N2986" s="22">
        <f ca="1" t="shared" si="233"/>
        <v>0.666666666569654</v>
      </c>
      <c r="O2986" s="22" t="str">
        <f ca="1" t="shared" si="234"/>
        <v>Within SLA</v>
      </c>
      <c r="P2986" s="26" t="s">
        <v>11619</v>
      </c>
      <c r="Q2986" s="24" t="s">
        <v>37</v>
      </c>
      <c r="R2986" s="25"/>
      <c r="S2986" s="25"/>
    </row>
    <row r="2987" ht="39" customHeight="1" spans="1:19">
      <c r="A2987" s="19" t="s">
        <v>11622</v>
      </c>
      <c r="B2987" s="20" t="s">
        <v>19</v>
      </c>
      <c r="C2987" s="20" t="s">
        <v>20</v>
      </c>
      <c r="D2987" s="20" t="s">
        <v>32</v>
      </c>
      <c r="E2987" s="21" t="s">
        <v>11623</v>
      </c>
      <c r="F2987" s="21" t="s">
        <v>11624</v>
      </c>
      <c r="G2987" s="20" t="s">
        <v>35</v>
      </c>
      <c r="H2987" s="20" t="s">
        <v>25</v>
      </c>
      <c r="I2987" s="21" t="s">
        <v>11625</v>
      </c>
      <c r="J2987" s="22">
        <f t="shared" si="230"/>
        <v>0.0131944444437977</v>
      </c>
      <c r="K2987" s="22">
        <f t="shared" si="231"/>
        <v>0.316666666651145</v>
      </c>
      <c r="L2987" s="22">
        <f t="shared" si="232"/>
        <v>0.316666666651145</v>
      </c>
      <c r="M2987" s="22" cm="1">
        <f ca="1" t="array" ref="M2987">SUMPRODUCT(--(WEEKDAY(ROW(INDIRECT(INT(F2987)&amp;":"&amp;INT(I2987))),2)&gt;5))</f>
        <v>0</v>
      </c>
      <c r="N2987" s="22">
        <f ca="1" t="shared" si="233"/>
        <v>0.316666666651145</v>
      </c>
      <c r="O2987" s="22" t="str">
        <f ca="1" t="shared" si="234"/>
        <v>Within SLA</v>
      </c>
      <c r="P2987" s="26" t="s">
        <v>11622</v>
      </c>
      <c r="Q2987" s="24" t="s">
        <v>37</v>
      </c>
      <c r="R2987" s="25"/>
      <c r="S2987" s="25"/>
    </row>
    <row r="2988" ht="27" customHeight="1" spans="1:19">
      <c r="A2988" s="19" t="s">
        <v>11626</v>
      </c>
      <c r="B2988" s="20" t="s">
        <v>139</v>
      </c>
      <c r="C2988" s="20" t="s">
        <v>46</v>
      </c>
      <c r="D2988" s="20" t="s">
        <v>21</v>
      </c>
      <c r="E2988" s="21" t="s">
        <v>11627</v>
      </c>
      <c r="F2988" s="21" t="s">
        <v>11628</v>
      </c>
      <c r="G2988" s="20" t="s">
        <v>35</v>
      </c>
      <c r="H2988" s="20" t="s">
        <v>25</v>
      </c>
      <c r="I2988" s="21" t="s">
        <v>11438</v>
      </c>
      <c r="J2988" s="22">
        <f t="shared" si="230"/>
        <v>0.0138888888832298</v>
      </c>
      <c r="K2988" s="22">
        <f t="shared" si="231"/>
        <v>0.333333333197515</v>
      </c>
      <c r="L2988" s="22">
        <f t="shared" si="232"/>
        <v>0.333333333197515</v>
      </c>
      <c r="M2988" s="22" cm="1">
        <f ca="1" t="array" ref="M2988">SUMPRODUCT(--(WEEKDAY(ROW(INDIRECT(INT(F2988)&amp;":"&amp;INT(I2988))),2)&gt;5))</f>
        <v>0</v>
      </c>
      <c r="N2988" s="22">
        <f ca="1" t="shared" si="233"/>
        <v>0.333333333197515</v>
      </c>
      <c r="O2988" s="22" t="str">
        <f ca="1" t="shared" si="234"/>
        <v>Within SLA</v>
      </c>
      <c r="P2988" s="26" t="s">
        <v>11626</v>
      </c>
      <c r="Q2988" s="24" t="s">
        <v>37</v>
      </c>
      <c r="R2988" s="25"/>
      <c r="S2988" s="25"/>
    </row>
    <row r="2989" ht="27" customHeight="1" spans="1:19">
      <c r="A2989" s="19" t="s">
        <v>11629</v>
      </c>
      <c r="B2989" s="20" t="s">
        <v>1047</v>
      </c>
      <c r="C2989" s="20" t="s">
        <v>101</v>
      </c>
      <c r="D2989" s="20" t="s">
        <v>32</v>
      </c>
      <c r="E2989" s="21" t="s">
        <v>11630</v>
      </c>
      <c r="F2989" s="21" t="s">
        <v>11631</v>
      </c>
      <c r="G2989" s="20" t="s">
        <v>35</v>
      </c>
      <c r="H2989" s="20" t="s">
        <v>25</v>
      </c>
      <c r="I2989" s="21" t="s">
        <v>11632</v>
      </c>
      <c r="J2989" s="22">
        <f t="shared" si="230"/>
        <v>0.883333333331393</v>
      </c>
      <c r="K2989" s="22">
        <f t="shared" si="231"/>
        <v>21.1999999999534</v>
      </c>
      <c r="L2989" s="22">
        <f t="shared" si="232"/>
        <v>5.19999999995343</v>
      </c>
      <c r="M2989" s="22" cm="1">
        <f ca="1" t="array" ref="M2989">SUMPRODUCT(--(WEEKDAY(ROW(INDIRECT(INT(F2989)&amp;":"&amp;INT(I2989))),2)&gt;5))</f>
        <v>0</v>
      </c>
      <c r="N2989" s="22">
        <f ca="1" t="shared" si="233"/>
        <v>5.19999999995343</v>
      </c>
      <c r="O2989" s="22" t="str">
        <f ca="1" t="shared" si="234"/>
        <v>Within SLA</v>
      </c>
      <c r="P2989" s="26" t="s">
        <v>11629</v>
      </c>
      <c r="Q2989" s="24" t="s">
        <v>37</v>
      </c>
      <c r="R2989" s="25"/>
      <c r="S2989" s="25"/>
    </row>
    <row r="2990" ht="39" customHeight="1" spans="1:19">
      <c r="A2990" s="19" t="s">
        <v>11633</v>
      </c>
      <c r="B2990" s="20" t="s">
        <v>196</v>
      </c>
      <c r="C2990" s="20" t="s">
        <v>31</v>
      </c>
      <c r="D2990" s="20" t="s">
        <v>32</v>
      </c>
      <c r="E2990" s="21" t="s">
        <v>11634</v>
      </c>
      <c r="F2990" s="21" t="s">
        <v>11635</v>
      </c>
      <c r="G2990" s="20" t="s">
        <v>35</v>
      </c>
      <c r="H2990" s="20" t="s">
        <v>25</v>
      </c>
      <c r="I2990" s="21" t="s">
        <v>11636</v>
      </c>
      <c r="J2990" s="22">
        <f t="shared" si="230"/>
        <v>0.00694444444525288</v>
      </c>
      <c r="K2990" s="22">
        <f t="shared" si="231"/>
        <v>0.166666666686069</v>
      </c>
      <c r="L2990" s="22">
        <f t="shared" si="232"/>
        <v>0.166666666686069</v>
      </c>
      <c r="M2990" s="22" cm="1">
        <f ca="1" t="array" ref="M2990">SUMPRODUCT(--(WEEKDAY(ROW(INDIRECT(INT(F2990)&amp;":"&amp;INT(I2990))),2)&gt;5))</f>
        <v>0</v>
      </c>
      <c r="N2990" s="22">
        <f ca="1" t="shared" si="233"/>
        <v>0.166666666686069</v>
      </c>
      <c r="O2990" s="22" t="str">
        <f ca="1" t="shared" si="234"/>
        <v>Within SLA</v>
      </c>
      <c r="P2990" s="26" t="s">
        <v>11633</v>
      </c>
      <c r="Q2990" s="24" t="s">
        <v>37</v>
      </c>
      <c r="R2990" s="25"/>
      <c r="S2990" s="25"/>
    </row>
    <row r="2991" ht="50" customHeight="1" spans="1:19">
      <c r="A2991" s="19" t="s">
        <v>11637</v>
      </c>
      <c r="B2991" s="20" t="s">
        <v>369</v>
      </c>
      <c r="C2991" s="20" t="s">
        <v>849</v>
      </c>
      <c r="D2991" s="20" t="s">
        <v>32</v>
      </c>
      <c r="E2991" s="21" t="s">
        <v>11638</v>
      </c>
      <c r="F2991" s="21" t="s">
        <v>11639</v>
      </c>
      <c r="G2991" s="20" t="s">
        <v>35</v>
      </c>
      <c r="H2991" s="20" t="s">
        <v>25</v>
      </c>
      <c r="I2991" s="21" t="s">
        <v>11640</v>
      </c>
      <c r="J2991" s="22">
        <f t="shared" si="230"/>
        <v>0.195138888884685</v>
      </c>
      <c r="K2991" s="22">
        <f t="shared" si="231"/>
        <v>4.68333333323244</v>
      </c>
      <c r="L2991" s="22">
        <f t="shared" si="232"/>
        <v>4.68333333323244</v>
      </c>
      <c r="M2991" s="22" cm="1">
        <f ca="1" t="array" ref="M2991">SUMPRODUCT(--(WEEKDAY(ROW(INDIRECT(INT(F2991)&amp;":"&amp;INT(I2991))),2)&gt;5))</f>
        <v>0</v>
      </c>
      <c r="N2991" s="22">
        <f ca="1" t="shared" si="233"/>
        <v>4.68333333323244</v>
      </c>
      <c r="O2991" s="22" t="str">
        <f ca="1" t="shared" si="234"/>
        <v>Within SLA</v>
      </c>
      <c r="P2991" s="26" t="s">
        <v>11637</v>
      </c>
      <c r="Q2991" s="24" t="s">
        <v>37</v>
      </c>
      <c r="R2991" s="25"/>
      <c r="S2991" s="25"/>
    </row>
    <row r="2992" ht="39" customHeight="1" spans="1:19">
      <c r="A2992" s="19" t="s">
        <v>11641</v>
      </c>
      <c r="B2992" s="20" t="s">
        <v>196</v>
      </c>
      <c r="C2992" s="20" t="s">
        <v>849</v>
      </c>
      <c r="D2992" s="20" t="s">
        <v>21</v>
      </c>
      <c r="E2992" s="21" t="s">
        <v>11638</v>
      </c>
      <c r="F2992" s="21" t="s">
        <v>11642</v>
      </c>
      <c r="G2992" s="20" t="s">
        <v>35</v>
      </c>
      <c r="H2992" s="20" t="s">
        <v>25</v>
      </c>
      <c r="I2992" s="21" t="s">
        <v>11643</v>
      </c>
      <c r="J2992" s="22">
        <f t="shared" si="230"/>
        <v>4.3034722222219</v>
      </c>
      <c r="K2992" s="22">
        <f t="shared" si="231"/>
        <v>103.283333333326</v>
      </c>
      <c r="L2992" s="22">
        <f t="shared" si="232"/>
        <v>39.2833333333256</v>
      </c>
      <c r="M2992" s="22" cm="1">
        <f ca="1" t="array" ref="M2992">SUMPRODUCT(--(WEEKDAY(ROW(INDIRECT(INT(F2992)&amp;":"&amp;INT(I2992))),2)&gt;5))</f>
        <v>2</v>
      </c>
      <c r="N2992" s="22">
        <f ca="1" t="shared" si="233"/>
        <v>23.2833333333256</v>
      </c>
      <c r="O2992" s="22" t="str">
        <f ca="1" t="shared" si="234"/>
        <v>SLA Violated</v>
      </c>
      <c r="P2992" s="23" t="s">
        <v>11644</v>
      </c>
      <c r="Q2992" s="24" t="s">
        <v>28</v>
      </c>
      <c r="R2992" s="25"/>
      <c r="S2992" s="25"/>
    </row>
    <row r="2993" ht="39" customHeight="1" spans="1:19">
      <c r="A2993" s="19" t="s">
        <v>11645</v>
      </c>
      <c r="B2993" s="20" t="s">
        <v>19</v>
      </c>
      <c r="C2993" s="20" t="s">
        <v>20</v>
      </c>
      <c r="D2993" s="20" t="s">
        <v>32</v>
      </c>
      <c r="E2993" s="21" t="s">
        <v>11646</v>
      </c>
      <c r="F2993" s="21" t="s">
        <v>11647</v>
      </c>
      <c r="G2993" s="20" t="s">
        <v>35</v>
      </c>
      <c r="H2993" s="20" t="s">
        <v>25</v>
      </c>
      <c r="I2993" s="21" t="s">
        <v>11648</v>
      </c>
      <c r="J2993" s="22">
        <f t="shared" si="230"/>
        <v>0.00555555555911269</v>
      </c>
      <c r="K2993" s="22">
        <f t="shared" si="231"/>
        <v>0.133333333418705</v>
      </c>
      <c r="L2993" s="22">
        <f t="shared" si="232"/>
        <v>0.133333333418705</v>
      </c>
      <c r="M2993" s="22" cm="1">
        <f ca="1" t="array" ref="M2993">SUMPRODUCT(--(WEEKDAY(ROW(INDIRECT(INT(F2993)&amp;":"&amp;INT(I2993))),2)&gt;5))</f>
        <v>0</v>
      </c>
      <c r="N2993" s="22">
        <f ca="1" t="shared" si="233"/>
        <v>0.133333333418705</v>
      </c>
      <c r="O2993" s="22" t="str">
        <f ca="1" t="shared" si="234"/>
        <v>Within SLA</v>
      </c>
      <c r="P2993" s="26" t="s">
        <v>11645</v>
      </c>
      <c r="Q2993" s="24" t="s">
        <v>37</v>
      </c>
      <c r="R2993" s="25"/>
      <c r="S2993" s="25"/>
    </row>
    <row r="2994" ht="16" customHeight="1" spans="1:19">
      <c r="A2994" s="19" t="s">
        <v>11649</v>
      </c>
      <c r="B2994" s="20" t="s">
        <v>100</v>
      </c>
      <c r="C2994" s="20" t="s">
        <v>101</v>
      </c>
      <c r="D2994" s="20" t="s">
        <v>32</v>
      </c>
      <c r="E2994" s="21" t="s">
        <v>11650</v>
      </c>
      <c r="F2994" s="21" t="s">
        <v>11651</v>
      </c>
      <c r="G2994" s="20" t="s">
        <v>35</v>
      </c>
      <c r="H2994" s="20" t="s">
        <v>25</v>
      </c>
      <c r="I2994" s="21" t="s">
        <v>11652</v>
      </c>
      <c r="J2994" s="22">
        <f t="shared" si="230"/>
        <v>0.972222222218988</v>
      </c>
      <c r="K2994" s="22">
        <f t="shared" si="231"/>
        <v>23.3333333332557</v>
      </c>
      <c r="L2994" s="22">
        <f t="shared" si="232"/>
        <v>7.33333333325572</v>
      </c>
      <c r="M2994" s="22" cm="1">
        <f ca="1" t="array" ref="M2994">SUMPRODUCT(--(WEEKDAY(ROW(INDIRECT(INT(F2994)&amp;":"&amp;INT(I2994))),2)&gt;5))</f>
        <v>0</v>
      </c>
      <c r="N2994" s="22">
        <f ca="1" t="shared" si="233"/>
        <v>7.33333333325572</v>
      </c>
      <c r="O2994" s="22" t="str">
        <f ca="1" t="shared" si="234"/>
        <v>Within SLA</v>
      </c>
      <c r="P2994" s="26" t="s">
        <v>11649</v>
      </c>
      <c r="Q2994" s="24" t="s">
        <v>37</v>
      </c>
      <c r="R2994" s="25"/>
      <c r="S2994" s="25"/>
    </row>
    <row r="2995" ht="39" customHeight="1" spans="1:19">
      <c r="A2995" s="19" t="s">
        <v>11653</v>
      </c>
      <c r="B2995" s="20" t="s">
        <v>19</v>
      </c>
      <c r="C2995" s="20" t="s">
        <v>20</v>
      </c>
      <c r="D2995" s="20" t="s">
        <v>32</v>
      </c>
      <c r="E2995" s="21" t="s">
        <v>11654</v>
      </c>
      <c r="F2995" s="21" t="s">
        <v>11655</v>
      </c>
      <c r="G2995" s="20" t="s">
        <v>35</v>
      </c>
      <c r="H2995" s="20" t="s">
        <v>25</v>
      </c>
      <c r="I2995" s="21" t="s">
        <v>11656</v>
      </c>
      <c r="J2995" s="22">
        <f t="shared" si="230"/>
        <v>0.00486111110512866</v>
      </c>
      <c r="K2995" s="22">
        <f t="shared" si="231"/>
        <v>0.116666666523088</v>
      </c>
      <c r="L2995" s="22">
        <f t="shared" si="232"/>
        <v>0.116666666523088</v>
      </c>
      <c r="M2995" s="22" cm="1">
        <f ca="1" t="array" ref="M2995">SUMPRODUCT(--(WEEKDAY(ROW(INDIRECT(INT(F2995)&amp;":"&amp;INT(I2995))),2)&gt;5))</f>
        <v>0</v>
      </c>
      <c r="N2995" s="22">
        <f ca="1" t="shared" si="233"/>
        <v>0.116666666523088</v>
      </c>
      <c r="O2995" s="22" t="str">
        <f ca="1" t="shared" si="234"/>
        <v>Within SLA</v>
      </c>
      <c r="P2995" s="26" t="s">
        <v>11653</v>
      </c>
      <c r="Q2995" s="24" t="s">
        <v>37</v>
      </c>
      <c r="R2995" s="25"/>
      <c r="S2995" s="25"/>
    </row>
    <row r="2996" ht="39" customHeight="1" spans="1:19">
      <c r="A2996" s="19" t="s">
        <v>11657</v>
      </c>
      <c r="B2996" s="20" t="s">
        <v>19</v>
      </c>
      <c r="C2996" s="20" t="s">
        <v>20</v>
      </c>
      <c r="D2996" s="20" t="s">
        <v>32</v>
      </c>
      <c r="E2996" s="21" t="s">
        <v>11658</v>
      </c>
      <c r="F2996" s="21" t="s">
        <v>11659</v>
      </c>
      <c r="G2996" s="20" t="s">
        <v>35</v>
      </c>
      <c r="H2996" s="20" t="s">
        <v>25</v>
      </c>
      <c r="I2996" s="21" t="s">
        <v>11660</v>
      </c>
      <c r="J2996" s="22">
        <f t="shared" si="230"/>
        <v>0.0631944444394321</v>
      </c>
      <c r="K2996" s="22">
        <f t="shared" si="231"/>
        <v>1.51666666654637</v>
      </c>
      <c r="L2996" s="22">
        <f t="shared" si="232"/>
        <v>1.51666666654637</v>
      </c>
      <c r="M2996" s="22" cm="1">
        <f ca="1" t="array" ref="M2996">SUMPRODUCT(--(WEEKDAY(ROW(INDIRECT(INT(F2996)&amp;":"&amp;INT(I2996))),2)&gt;5))</f>
        <v>0</v>
      </c>
      <c r="N2996" s="22">
        <f ca="1" t="shared" si="233"/>
        <v>1.51666666654637</v>
      </c>
      <c r="O2996" s="22" t="str">
        <f ca="1" t="shared" si="234"/>
        <v>Within SLA</v>
      </c>
      <c r="P2996" s="26" t="s">
        <v>11657</v>
      </c>
      <c r="Q2996" s="24" t="s">
        <v>37</v>
      </c>
      <c r="R2996" s="25"/>
      <c r="S2996" s="25"/>
    </row>
    <row r="2997" ht="27" customHeight="1" spans="1:19">
      <c r="A2997" s="19" t="s">
        <v>11661</v>
      </c>
      <c r="B2997" s="20" t="s">
        <v>139</v>
      </c>
      <c r="C2997" s="20" t="s">
        <v>2057</v>
      </c>
      <c r="D2997" s="20" t="s">
        <v>32</v>
      </c>
      <c r="E2997" s="21" t="s">
        <v>11662</v>
      </c>
      <c r="F2997" s="21" t="s">
        <v>11663</v>
      </c>
      <c r="G2997" s="20" t="s">
        <v>24</v>
      </c>
      <c r="H2997" s="20" t="s">
        <v>25</v>
      </c>
      <c r="I2997" s="21" t="s">
        <v>11664</v>
      </c>
      <c r="J2997" s="22">
        <f t="shared" si="230"/>
        <v>18.0618055555606</v>
      </c>
      <c r="K2997" s="22">
        <f t="shared" si="231"/>
        <v>433.483333333454</v>
      </c>
      <c r="L2997" s="22">
        <f t="shared" si="232"/>
        <v>145.483333333454</v>
      </c>
      <c r="M2997" s="22" cm="1">
        <f ca="1" t="array" ref="M2997">SUMPRODUCT(--(WEEKDAY(ROW(INDIRECT(INT(F2997)&amp;":"&amp;INT(I2997))),2)&gt;5))</f>
        <v>6</v>
      </c>
      <c r="N2997" s="22">
        <f ca="1" t="shared" si="233"/>
        <v>97.483333333454</v>
      </c>
      <c r="O2997" s="22" t="str">
        <f ca="1" t="shared" si="234"/>
        <v>SLA Violated</v>
      </c>
      <c r="P2997" s="23" t="s">
        <v>11665</v>
      </c>
      <c r="Q2997" s="24" t="s">
        <v>28</v>
      </c>
      <c r="R2997" s="25"/>
      <c r="S2997" s="25"/>
    </row>
    <row r="2998" ht="27" customHeight="1" spans="1:19">
      <c r="A2998" s="19" t="s">
        <v>11666</v>
      </c>
      <c r="B2998" s="20" t="s">
        <v>30</v>
      </c>
      <c r="C2998" s="20" t="s">
        <v>849</v>
      </c>
      <c r="D2998" s="20" t="s">
        <v>21</v>
      </c>
      <c r="E2998" s="21" t="s">
        <v>11667</v>
      </c>
      <c r="F2998" s="21" t="s">
        <v>11668</v>
      </c>
      <c r="G2998" s="20" t="s">
        <v>35</v>
      </c>
      <c r="H2998" s="20" t="s">
        <v>25</v>
      </c>
      <c r="I2998" s="21" t="s">
        <v>11669</v>
      </c>
      <c r="J2998" s="22">
        <f t="shared" si="230"/>
        <v>0.0125000000043656</v>
      </c>
      <c r="K2998" s="22">
        <f t="shared" si="231"/>
        <v>0.300000000104774</v>
      </c>
      <c r="L2998" s="22">
        <f t="shared" si="232"/>
        <v>0.300000000104774</v>
      </c>
      <c r="M2998" s="22" cm="1">
        <f ca="1" t="array" ref="M2998">SUMPRODUCT(--(WEEKDAY(ROW(INDIRECT(INT(F2998)&amp;":"&amp;INT(I2998))),2)&gt;5))</f>
        <v>0</v>
      </c>
      <c r="N2998" s="22">
        <f ca="1" t="shared" si="233"/>
        <v>0.300000000104774</v>
      </c>
      <c r="O2998" s="22" t="str">
        <f ca="1" t="shared" si="234"/>
        <v>Within SLA</v>
      </c>
      <c r="P2998" s="26" t="s">
        <v>11666</v>
      </c>
      <c r="Q2998" s="24" t="s">
        <v>37</v>
      </c>
      <c r="R2998" s="25"/>
      <c r="S2998" s="25"/>
    </row>
    <row r="2999" ht="27" customHeight="1" spans="1:19">
      <c r="A2999" s="19" t="s">
        <v>11670</v>
      </c>
      <c r="B2999" s="20" t="s">
        <v>139</v>
      </c>
      <c r="C2999" s="20" t="s">
        <v>2057</v>
      </c>
      <c r="D2999" s="20" t="s">
        <v>32</v>
      </c>
      <c r="E2999" s="21" t="s">
        <v>11671</v>
      </c>
      <c r="F2999" s="21" t="s">
        <v>11672</v>
      </c>
      <c r="G2999" s="20" t="s">
        <v>35</v>
      </c>
      <c r="H2999" s="20" t="s">
        <v>25</v>
      </c>
      <c r="I2999" s="21" t="s">
        <v>11673</v>
      </c>
      <c r="J2999" s="22">
        <f t="shared" si="230"/>
        <v>0.0881944444481633</v>
      </c>
      <c r="K2999" s="22">
        <f t="shared" si="231"/>
        <v>2.11666666675592</v>
      </c>
      <c r="L2999" s="22">
        <f t="shared" si="232"/>
        <v>2.11666666675592</v>
      </c>
      <c r="M2999" s="22" cm="1">
        <f ca="1" t="array" ref="M2999">SUMPRODUCT(--(WEEKDAY(ROW(INDIRECT(INT(F2999)&amp;":"&amp;INT(I2999))),2)&gt;5))</f>
        <v>0</v>
      </c>
      <c r="N2999" s="22">
        <f ca="1" t="shared" si="233"/>
        <v>2.11666666675592</v>
      </c>
      <c r="O2999" s="22" t="str">
        <f ca="1" t="shared" si="234"/>
        <v>Within SLA</v>
      </c>
      <c r="P2999" s="26" t="s">
        <v>11670</v>
      </c>
      <c r="Q2999" s="24" t="s">
        <v>37</v>
      </c>
      <c r="R2999" s="25"/>
      <c r="S2999" s="25"/>
    </row>
    <row r="3000" ht="39" customHeight="1" spans="1:19">
      <c r="A3000" s="19" t="s">
        <v>11674</v>
      </c>
      <c r="B3000" s="20" t="s">
        <v>19</v>
      </c>
      <c r="C3000" s="20" t="s">
        <v>20</v>
      </c>
      <c r="D3000" s="20" t="s">
        <v>32</v>
      </c>
      <c r="E3000" s="21" t="s">
        <v>11675</v>
      </c>
      <c r="F3000" s="21" t="s">
        <v>11676</v>
      </c>
      <c r="G3000" s="20" t="s">
        <v>35</v>
      </c>
      <c r="H3000" s="20" t="s">
        <v>25</v>
      </c>
      <c r="I3000" s="21" t="s">
        <v>11676</v>
      </c>
      <c r="J3000" s="22">
        <f t="shared" si="230"/>
        <v>0</v>
      </c>
      <c r="K3000" s="22">
        <f t="shared" si="231"/>
        <v>0</v>
      </c>
      <c r="L3000" s="22">
        <f t="shared" si="232"/>
        <v>0</v>
      </c>
      <c r="M3000" s="22" cm="1">
        <f ca="1" t="array" ref="M3000">SUMPRODUCT(--(WEEKDAY(ROW(INDIRECT(INT(F3000)&amp;":"&amp;INT(I3000))),2)&gt;5))</f>
        <v>0</v>
      </c>
      <c r="N3000" s="22">
        <f ca="1" t="shared" si="233"/>
        <v>0</v>
      </c>
      <c r="O3000" s="22" t="str">
        <f ca="1" t="shared" si="234"/>
        <v>Within SLA</v>
      </c>
      <c r="P3000" s="26" t="s">
        <v>11674</v>
      </c>
      <c r="Q3000" s="24" t="s">
        <v>37</v>
      </c>
      <c r="R3000" s="25"/>
      <c r="S3000" s="25"/>
    </row>
    <row r="3001" ht="50" customHeight="1" spans="1:19">
      <c r="A3001" s="19" t="s">
        <v>11677</v>
      </c>
      <c r="B3001" s="20" t="s">
        <v>369</v>
      </c>
      <c r="C3001" s="20" t="s">
        <v>2057</v>
      </c>
      <c r="D3001" s="20" t="s">
        <v>32</v>
      </c>
      <c r="E3001" s="21" t="s">
        <v>11678</v>
      </c>
      <c r="F3001" s="21" t="s">
        <v>11679</v>
      </c>
      <c r="G3001" s="20" t="s">
        <v>35</v>
      </c>
      <c r="H3001" s="20" t="s">
        <v>25</v>
      </c>
      <c r="I3001" s="21" t="s">
        <v>11680</v>
      </c>
      <c r="J3001" s="22">
        <f t="shared" si="230"/>
        <v>0.84375</v>
      </c>
      <c r="K3001" s="22">
        <f t="shared" si="231"/>
        <v>20.25</v>
      </c>
      <c r="L3001" s="22">
        <f t="shared" si="232"/>
        <v>4.25</v>
      </c>
      <c r="M3001" s="22" cm="1">
        <f ca="1" t="array" ref="M3001">SUMPRODUCT(--(WEEKDAY(ROW(INDIRECT(INT(F3001)&amp;":"&amp;INT(I3001))),2)&gt;5))</f>
        <v>0</v>
      </c>
      <c r="N3001" s="22">
        <f ca="1" t="shared" si="233"/>
        <v>4.25</v>
      </c>
      <c r="O3001" s="22" t="str">
        <f ca="1" t="shared" si="234"/>
        <v>Within SLA</v>
      </c>
      <c r="P3001" s="26" t="s">
        <v>11677</v>
      </c>
      <c r="Q3001" s="24" t="s">
        <v>37</v>
      </c>
      <c r="R3001" s="25"/>
      <c r="S3001" s="25"/>
    </row>
    <row r="3002" ht="39" customHeight="1" spans="1:19">
      <c r="A3002" s="19" t="s">
        <v>11681</v>
      </c>
      <c r="B3002" s="20" t="s">
        <v>19</v>
      </c>
      <c r="C3002" s="20" t="s">
        <v>20</v>
      </c>
      <c r="D3002" s="20" t="s">
        <v>21</v>
      </c>
      <c r="E3002" s="21" t="s">
        <v>11682</v>
      </c>
      <c r="F3002" s="21" t="s">
        <v>11683</v>
      </c>
      <c r="G3002" s="20" t="s">
        <v>35</v>
      </c>
      <c r="H3002" s="20" t="s">
        <v>25</v>
      </c>
      <c r="I3002" s="21" t="s">
        <v>11684</v>
      </c>
      <c r="J3002" s="22">
        <f t="shared" si="230"/>
        <v>0.900694444440887</v>
      </c>
      <c r="K3002" s="22">
        <f t="shared" si="231"/>
        <v>21.6166666665813</v>
      </c>
      <c r="L3002" s="22">
        <f t="shared" si="232"/>
        <v>5.6166666665813</v>
      </c>
      <c r="M3002" s="22" cm="1">
        <f ca="1" t="array" ref="M3002">SUMPRODUCT(--(WEEKDAY(ROW(INDIRECT(INT(F3002)&amp;":"&amp;INT(I3002))),2)&gt;5))</f>
        <v>0</v>
      </c>
      <c r="N3002" s="22">
        <f ca="1" t="shared" si="233"/>
        <v>5.6166666665813</v>
      </c>
      <c r="O3002" s="22" t="str">
        <f ca="1" t="shared" si="234"/>
        <v>SLA Violated</v>
      </c>
      <c r="P3002" s="23" t="s">
        <v>11685</v>
      </c>
      <c r="Q3002" s="24" t="s">
        <v>37</v>
      </c>
      <c r="R3002" s="25" t="s">
        <v>38</v>
      </c>
      <c r="S3002" s="25" t="s">
        <v>39</v>
      </c>
    </row>
    <row r="3003" ht="27" customHeight="1" spans="1:19">
      <c r="A3003" s="19" t="s">
        <v>11686</v>
      </c>
      <c r="B3003" s="20" t="s">
        <v>30</v>
      </c>
      <c r="C3003" s="20" t="s">
        <v>31</v>
      </c>
      <c r="D3003" s="20" t="s">
        <v>32</v>
      </c>
      <c r="E3003" s="21" t="s">
        <v>11687</v>
      </c>
      <c r="F3003" s="21" t="s">
        <v>10423</v>
      </c>
      <c r="G3003" s="20" t="s">
        <v>11688</v>
      </c>
      <c r="H3003" s="20" t="s">
        <v>25</v>
      </c>
      <c r="I3003" s="21" t="s">
        <v>11689</v>
      </c>
      <c r="J3003" s="22" t="e">
        <f t="shared" si="230"/>
        <v>#VALUE!</v>
      </c>
      <c r="K3003" s="22" t="e">
        <f t="shared" si="231"/>
        <v>#VALUE!</v>
      </c>
      <c r="L3003" s="22" t="e">
        <f t="shared" si="232"/>
        <v>#VALUE!</v>
      </c>
      <c r="M3003" s="22" t="e" cm="1">
        <f ca="1" t="array" ref="M3003">SUMPRODUCT(--(WEEKDAY(ROW(INDIRECT(INT(F3003)&amp;":"&amp;INT(I3003))),2)&gt;5))</f>
        <v>#VALUE!</v>
      </c>
      <c r="N3003" s="22" t="e">
        <f ca="1" t="shared" si="233"/>
        <v>#VALUE!</v>
      </c>
      <c r="O3003" s="22" t="e">
        <f ca="1" t="shared" si="234"/>
        <v>#VALUE!</v>
      </c>
      <c r="P3003" s="26" t="s">
        <v>11686</v>
      </c>
      <c r="Q3003" s="24" t="e">
        <v>#VALUE!</v>
      </c>
      <c r="R3003" s="25"/>
      <c r="S3003" s="25"/>
    </row>
    <row r="3004" ht="27" customHeight="1" spans="1:19">
      <c r="A3004" s="19" t="s">
        <v>11690</v>
      </c>
      <c r="B3004" s="20" t="s">
        <v>30</v>
      </c>
      <c r="C3004" s="20" t="s">
        <v>31</v>
      </c>
      <c r="D3004" s="20" t="s">
        <v>21</v>
      </c>
      <c r="E3004" s="21" t="s">
        <v>11691</v>
      </c>
      <c r="F3004" s="21" t="s">
        <v>10423</v>
      </c>
      <c r="G3004" s="20" t="s">
        <v>11229</v>
      </c>
      <c r="H3004" s="20" t="s">
        <v>25</v>
      </c>
      <c r="I3004" s="21" t="s">
        <v>11692</v>
      </c>
      <c r="J3004" s="22" t="e">
        <f t="shared" si="230"/>
        <v>#VALUE!</v>
      </c>
      <c r="K3004" s="22" t="e">
        <f t="shared" si="231"/>
        <v>#VALUE!</v>
      </c>
      <c r="L3004" s="22" t="e">
        <f t="shared" si="232"/>
        <v>#VALUE!</v>
      </c>
      <c r="M3004" s="22" t="e" cm="1">
        <f ca="1" t="array" ref="M3004">SUMPRODUCT(--(WEEKDAY(ROW(INDIRECT(INT(F3004)&amp;":"&amp;INT(I3004))),2)&gt;5))</f>
        <v>#VALUE!</v>
      </c>
      <c r="N3004" s="22" t="e">
        <f ca="1" t="shared" si="233"/>
        <v>#VALUE!</v>
      </c>
      <c r="O3004" s="22" t="e">
        <f ca="1" t="shared" si="234"/>
        <v>#VALUE!</v>
      </c>
      <c r="P3004" s="26" t="s">
        <v>11690</v>
      </c>
      <c r="Q3004" s="24" t="e">
        <v>#VALUE!</v>
      </c>
      <c r="R3004" s="25"/>
      <c r="S3004" s="25"/>
    </row>
    <row r="3005" ht="27" customHeight="1" spans="1:19">
      <c r="A3005" s="19" t="s">
        <v>11693</v>
      </c>
      <c r="B3005" s="20" t="s">
        <v>30</v>
      </c>
      <c r="C3005" s="20" t="s">
        <v>31</v>
      </c>
      <c r="D3005" s="20" t="s">
        <v>32</v>
      </c>
      <c r="E3005" s="21" t="s">
        <v>11694</v>
      </c>
      <c r="F3005" s="21" t="s">
        <v>11695</v>
      </c>
      <c r="G3005" s="20" t="s">
        <v>35</v>
      </c>
      <c r="H3005" s="20" t="s">
        <v>25</v>
      </c>
      <c r="I3005" s="21" t="s">
        <v>11696</v>
      </c>
      <c r="J3005" s="22">
        <f t="shared" si="230"/>
        <v>0.0638888888861402</v>
      </c>
      <c r="K3005" s="22">
        <f t="shared" si="231"/>
        <v>1.53333333326736</v>
      </c>
      <c r="L3005" s="22">
        <f t="shared" si="232"/>
        <v>1.53333333326736</v>
      </c>
      <c r="M3005" s="22" cm="1">
        <f ca="1" t="array" ref="M3005">SUMPRODUCT(--(WEEKDAY(ROW(INDIRECT(INT(F3005)&amp;":"&amp;INT(I3005))),2)&gt;5))</f>
        <v>0</v>
      </c>
      <c r="N3005" s="22">
        <f ca="1" t="shared" si="233"/>
        <v>1.53333333326736</v>
      </c>
      <c r="O3005" s="22" t="str">
        <f ca="1" t="shared" si="234"/>
        <v>Within SLA</v>
      </c>
      <c r="P3005" s="26" t="s">
        <v>11693</v>
      </c>
      <c r="Q3005" s="24" t="s">
        <v>37</v>
      </c>
      <c r="R3005" s="25"/>
      <c r="S3005" s="25"/>
    </row>
    <row r="3006" ht="27" customHeight="1" spans="1:19">
      <c r="A3006" s="19" t="s">
        <v>11697</v>
      </c>
      <c r="B3006" s="20" t="s">
        <v>121</v>
      </c>
      <c r="C3006" s="20" t="s">
        <v>849</v>
      </c>
      <c r="D3006" s="20" t="s">
        <v>32</v>
      </c>
      <c r="E3006" s="21" t="s">
        <v>11698</v>
      </c>
      <c r="F3006" s="21" t="s">
        <v>11699</v>
      </c>
      <c r="G3006" s="20" t="s">
        <v>35</v>
      </c>
      <c r="H3006" s="20" t="s">
        <v>25</v>
      </c>
      <c r="I3006" s="21" t="s">
        <v>11700</v>
      </c>
      <c r="J3006" s="22">
        <f t="shared" si="230"/>
        <v>0.00625000000582077</v>
      </c>
      <c r="K3006" s="22">
        <f t="shared" si="231"/>
        <v>0.150000000139698</v>
      </c>
      <c r="L3006" s="22">
        <f t="shared" si="232"/>
        <v>0.150000000139698</v>
      </c>
      <c r="M3006" s="22" cm="1">
        <f ca="1" t="array" ref="M3006">SUMPRODUCT(--(WEEKDAY(ROW(INDIRECT(INT(F3006)&amp;":"&amp;INT(I3006))),2)&gt;5))</f>
        <v>0</v>
      </c>
      <c r="N3006" s="22">
        <f ca="1" t="shared" si="233"/>
        <v>0.150000000139698</v>
      </c>
      <c r="O3006" s="22" t="str">
        <f ca="1" t="shared" si="234"/>
        <v>Within SLA</v>
      </c>
      <c r="P3006" s="26" t="s">
        <v>11697</v>
      </c>
      <c r="Q3006" s="24" t="s">
        <v>37</v>
      </c>
      <c r="R3006" s="25"/>
      <c r="S3006" s="25"/>
    </row>
    <row r="3007" ht="27" customHeight="1" spans="1:19">
      <c r="A3007" s="19" t="s">
        <v>11701</v>
      </c>
      <c r="B3007" s="20" t="s">
        <v>30</v>
      </c>
      <c r="C3007" s="20" t="s">
        <v>31</v>
      </c>
      <c r="D3007" s="20" t="s">
        <v>32</v>
      </c>
      <c r="E3007" s="21" t="s">
        <v>11702</v>
      </c>
      <c r="F3007" s="21" t="s">
        <v>11703</v>
      </c>
      <c r="G3007" s="20" t="s">
        <v>35</v>
      </c>
      <c r="H3007" s="20" t="s">
        <v>25</v>
      </c>
      <c r="I3007" s="21" t="s">
        <v>11704</v>
      </c>
      <c r="J3007" s="22">
        <f t="shared" si="230"/>
        <v>4.12777777777956</v>
      </c>
      <c r="K3007" s="22">
        <f t="shared" si="231"/>
        <v>99.0666666667094</v>
      </c>
      <c r="L3007" s="22">
        <f t="shared" si="232"/>
        <v>35.0666666667094</v>
      </c>
      <c r="M3007" s="22" cm="1">
        <f ca="1" t="array" ref="M3007">SUMPRODUCT(--(WEEKDAY(ROW(INDIRECT(INT(F3007)&amp;":"&amp;INT(I3007))),2)&gt;5))</f>
        <v>2</v>
      </c>
      <c r="N3007" s="22">
        <f ca="1" t="shared" si="233"/>
        <v>19.0666666667094</v>
      </c>
      <c r="O3007" s="22" t="str">
        <f ca="1" t="shared" si="234"/>
        <v>SLA Violated</v>
      </c>
      <c r="P3007" s="23" t="s">
        <v>11705</v>
      </c>
      <c r="Q3007" s="24" t="s">
        <v>37</v>
      </c>
      <c r="R3007" s="25" t="s">
        <v>1020</v>
      </c>
      <c r="S3007" s="25" t="s">
        <v>39</v>
      </c>
    </row>
    <row r="3008" ht="39" customHeight="1" spans="1:19">
      <c r="A3008" s="19" t="s">
        <v>11706</v>
      </c>
      <c r="B3008" s="20" t="s">
        <v>19</v>
      </c>
      <c r="C3008" s="20" t="s">
        <v>20</v>
      </c>
      <c r="D3008" s="20" t="s">
        <v>32</v>
      </c>
      <c r="E3008" s="21" t="s">
        <v>11707</v>
      </c>
      <c r="F3008" s="21" t="s">
        <v>11708</v>
      </c>
      <c r="G3008" s="20" t="s">
        <v>35</v>
      </c>
      <c r="H3008" s="20" t="s">
        <v>25</v>
      </c>
      <c r="I3008" s="21" t="s">
        <v>11709</v>
      </c>
      <c r="J3008" s="22">
        <f t="shared" si="230"/>
        <v>0.0909722222204437</v>
      </c>
      <c r="K3008" s="22">
        <f t="shared" si="231"/>
        <v>2.18333333329065</v>
      </c>
      <c r="L3008" s="22">
        <f t="shared" si="232"/>
        <v>2.18333333329065</v>
      </c>
      <c r="M3008" s="22" cm="1">
        <f ca="1" t="array" ref="M3008">SUMPRODUCT(--(WEEKDAY(ROW(INDIRECT(INT(F3008)&amp;":"&amp;INT(I3008))),2)&gt;5))</f>
        <v>0</v>
      </c>
      <c r="N3008" s="22">
        <f ca="1" t="shared" si="233"/>
        <v>2.18333333329065</v>
      </c>
      <c r="O3008" s="22" t="str">
        <f ca="1" t="shared" si="234"/>
        <v>Within SLA</v>
      </c>
      <c r="P3008" s="26" t="s">
        <v>11706</v>
      </c>
      <c r="Q3008" s="24" t="s">
        <v>37</v>
      </c>
      <c r="R3008" s="25"/>
      <c r="S3008" s="25"/>
    </row>
    <row r="3009" ht="39" customHeight="1" spans="1:19">
      <c r="A3009" s="19" t="s">
        <v>11710</v>
      </c>
      <c r="B3009" s="20" t="s">
        <v>19</v>
      </c>
      <c r="C3009" s="20" t="s">
        <v>20</v>
      </c>
      <c r="D3009" s="20" t="s">
        <v>32</v>
      </c>
      <c r="E3009" s="21" t="s">
        <v>11711</v>
      </c>
      <c r="F3009" s="21" t="s">
        <v>11712</v>
      </c>
      <c r="G3009" s="20" t="s">
        <v>35</v>
      </c>
      <c r="H3009" s="20" t="s">
        <v>25</v>
      </c>
      <c r="I3009" s="21" t="s">
        <v>11709</v>
      </c>
      <c r="J3009" s="22">
        <f t="shared" si="230"/>
        <v>0.0569444444408873</v>
      </c>
      <c r="K3009" s="22">
        <f t="shared" si="231"/>
        <v>1.3666666665813</v>
      </c>
      <c r="L3009" s="22">
        <f t="shared" si="232"/>
        <v>1.3666666665813</v>
      </c>
      <c r="M3009" s="22" cm="1">
        <f ca="1" t="array" ref="M3009">SUMPRODUCT(--(WEEKDAY(ROW(INDIRECT(INT(F3009)&amp;":"&amp;INT(I3009))),2)&gt;5))</f>
        <v>0</v>
      </c>
      <c r="N3009" s="22">
        <f ca="1" t="shared" si="233"/>
        <v>1.3666666665813</v>
      </c>
      <c r="O3009" s="22" t="str">
        <f ca="1" t="shared" si="234"/>
        <v>Within SLA</v>
      </c>
      <c r="P3009" s="26" t="s">
        <v>11710</v>
      </c>
      <c r="Q3009" s="24" t="s">
        <v>37</v>
      </c>
      <c r="R3009" s="25"/>
      <c r="S3009" s="25"/>
    </row>
    <row r="3010" ht="39" customHeight="1" spans="1:19">
      <c r="A3010" s="19" t="s">
        <v>11713</v>
      </c>
      <c r="B3010" s="20" t="s">
        <v>19</v>
      </c>
      <c r="C3010" s="20" t="s">
        <v>20</v>
      </c>
      <c r="D3010" s="20" t="s">
        <v>32</v>
      </c>
      <c r="E3010" s="21" t="s">
        <v>11714</v>
      </c>
      <c r="F3010" s="21" t="s">
        <v>11715</v>
      </c>
      <c r="G3010" s="20" t="s">
        <v>35</v>
      </c>
      <c r="H3010" s="20" t="s">
        <v>25</v>
      </c>
      <c r="I3010" s="21" t="s">
        <v>11716</v>
      </c>
      <c r="J3010" s="22">
        <f t="shared" si="230"/>
        <v>0.0416666666642413</v>
      </c>
      <c r="K3010" s="22">
        <f t="shared" si="231"/>
        <v>0.999999999941792</v>
      </c>
      <c r="L3010" s="22">
        <f t="shared" si="232"/>
        <v>0.999999999941792</v>
      </c>
      <c r="M3010" s="22" cm="1">
        <f ca="1" t="array" ref="M3010">SUMPRODUCT(--(WEEKDAY(ROW(INDIRECT(INT(F3010)&amp;":"&amp;INT(I3010))),2)&gt;5))</f>
        <v>0</v>
      </c>
      <c r="N3010" s="22">
        <f ca="1" t="shared" si="233"/>
        <v>0.999999999941792</v>
      </c>
      <c r="O3010" s="22" t="str">
        <f ca="1" t="shared" si="234"/>
        <v>Within SLA</v>
      </c>
      <c r="P3010" s="26" t="s">
        <v>11713</v>
      </c>
      <c r="Q3010" s="24" t="s">
        <v>37</v>
      </c>
      <c r="R3010" s="25"/>
      <c r="S3010" s="25"/>
    </row>
    <row r="3011" ht="27" customHeight="1" spans="1:19">
      <c r="A3011" s="19" t="s">
        <v>11717</v>
      </c>
      <c r="B3011" s="20" t="s">
        <v>30</v>
      </c>
      <c r="C3011" s="20" t="s">
        <v>31</v>
      </c>
      <c r="D3011" s="20" t="s">
        <v>32</v>
      </c>
      <c r="E3011" s="21" t="s">
        <v>11718</v>
      </c>
      <c r="F3011" s="21" t="s">
        <v>11719</v>
      </c>
      <c r="G3011" s="20" t="s">
        <v>35</v>
      </c>
      <c r="H3011" s="20" t="s">
        <v>25</v>
      </c>
      <c r="I3011" s="21" t="s">
        <v>11720</v>
      </c>
      <c r="J3011" s="22">
        <f t="shared" ref="J3011:J3074" si="235">F3011-I3011</f>
        <v>13.0465277777839</v>
      </c>
      <c r="K3011" s="22">
        <f t="shared" ref="K3011:K3074" si="236">J3011*24</f>
        <v>313.116666666814</v>
      </c>
      <c r="L3011" s="22">
        <f t="shared" ref="L3011:L3074" si="237">IF(_xlfn.DAYS(F3011,I3011)&gt;0,K3011-IF(FLOOR(J3011,1)=0,1,_xlfn.DAYS(F3011,I3011))*16,K3011)</f>
        <v>105.116666666814</v>
      </c>
      <c r="M3011" s="22" cm="1">
        <f ca="1" t="array" ref="M3011">SUMPRODUCT(--(WEEKDAY(ROW(INDIRECT(INT(F3011)&amp;":"&amp;INT(I3011))),2)&gt;5))</f>
        <v>4</v>
      </c>
      <c r="N3011" s="22">
        <f ca="1" t="shared" ref="N3011:N3074" si="238">IF(IF(M3011&gt;0,L3011-M3011*8,L3011)&lt;0,0,IF(M3011&gt;0,L3011-M3011*8,L3011))</f>
        <v>73.116666666814</v>
      </c>
      <c r="O3011" s="22" t="str">
        <f ca="1" t="shared" ref="O3011:O3074" si="239">IF(OR(AND(D3011="P1",N3011&lt;=3),AND(D3011="P2",N3011&lt;=6),AND(D3011="P3",N3011&lt;=9),AND(D3011="P4",N3011&lt;=12)),"Within SLA","SLA Violated")</f>
        <v>SLA Violated</v>
      </c>
      <c r="P3011" s="23" t="s">
        <v>11721</v>
      </c>
      <c r="Q3011" s="24" t="s">
        <v>28</v>
      </c>
      <c r="R3011" s="25"/>
      <c r="S3011" s="25"/>
    </row>
    <row r="3012" ht="39" customHeight="1" spans="1:19">
      <c r="A3012" s="19" t="s">
        <v>11722</v>
      </c>
      <c r="B3012" s="20" t="s">
        <v>19</v>
      </c>
      <c r="C3012" s="20" t="s">
        <v>20</v>
      </c>
      <c r="D3012" s="20" t="s">
        <v>32</v>
      </c>
      <c r="E3012" s="21" t="s">
        <v>11723</v>
      </c>
      <c r="F3012" s="21" t="s">
        <v>11724</v>
      </c>
      <c r="G3012" s="20" t="s">
        <v>35</v>
      </c>
      <c r="H3012" s="20" t="s">
        <v>25</v>
      </c>
      <c r="I3012" s="21" t="s">
        <v>11725</v>
      </c>
      <c r="J3012" s="22">
        <f t="shared" si="235"/>
        <v>0.0194444444496185</v>
      </c>
      <c r="K3012" s="22">
        <f t="shared" si="236"/>
        <v>0.466666666790843</v>
      </c>
      <c r="L3012" s="22">
        <f t="shared" si="237"/>
        <v>0.466666666790843</v>
      </c>
      <c r="M3012" s="22" cm="1">
        <f ca="1" t="array" ref="M3012">SUMPRODUCT(--(WEEKDAY(ROW(INDIRECT(INT(F3012)&amp;":"&amp;INT(I3012))),2)&gt;5))</f>
        <v>0</v>
      </c>
      <c r="N3012" s="22">
        <f ca="1" t="shared" si="238"/>
        <v>0.466666666790843</v>
      </c>
      <c r="O3012" s="22" t="str">
        <f ca="1" t="shared" si="239"/>
        <v>Within SLA</v>
      </c>
      <c r="P3012" s="26" t="s">
        <v>11722</v>
      </c>
      <c r="Q3012" s="24" t="s">
        <v>37</v>
      </c>
      <c r="R3012" s="25"/>
      <c r="S3012" s="25"/>
    </row>
    <row r="3013" ht="39" customHeight="1" spans="1:19">
      <c r="A3013" s="19" t="s">
        <v>11726</v>
      </c>
      <c r="B3013" s="20" t="s">
        <v>725</v>
      </c>
      <c r="C3013" s="20" t="s">
        <v>101</v>
      </c>
      <c r="D3013" s="20" t="s">
        <v>32</v>
      </c>
      <c r="E3013" s="21" t="s">
        <v>11727</v>
      </c>
      <c r="F3013" s="21" t="s">
        <v>10423</v>
      </c>
      <c r="G3013" s="20" t="s">
        <v>11688</v>
      </c>
      <c r="H3013" s="20" t="s">
        <v>25</v>
      </c>
      <c r="I3013" s="21" t="s">
        <v>11728</v>
      </c>
      <c r="J3013" s="22" t="e">
        <f t="shared" si="235"/>
        <v>#VALUE!</v>
      </c>
      <c r="K3013" s="22" t="e">
        <f t="shared" si="236"/>
        <v>#VALUE!</v>
      </c>
      <c r="L3013" s="22" t="e">
        <f t="shared" si="237"/>
        <v>#VALUE!</v>
      </c>
      <c r="M3013" s="22" t="e" cm="1">
        <f ca="1" t="array" ref="M3013">SUMPRODUCT(--(WEEKDAY(ROW(INDIRECT(INT(F3013)&amp;":"&amp;INT(I3013))),2)&gt;5))</f>
        <v>#VALUE!</v>
      </c>
      <c r="N3013" s="22" t="e">
        <f ca="1" t="shared" si="238"/>
        <v>#VALUE!</v>
      </c>
      <c r="O3013" s="22" t="e">
        <f ca="1" t="shared" si="239"/>
        <v>#VALUE!</v>
      </c>
      <c r="P3013" s="26" t="s">
        <v>11726</v>
      </c>
      <c r="Q3013" s="24" t="e">
        <v>#VALUE!</v>
      </c>
      <c r="R3013" s="25"/>
      <c r="S3013" s="25"/>
    </row>
    <row r="3014" ht="39" customHeight="1" spans="1:19">
      <c r="A3014" s="19" t="s">
        <v>11729</v>
      </c>
      <c r="B3014" s="20" t="s">
        <v>702</v>
      </c>
      <c r="C3014" s="20" t="s">
        <v>46</v>
      </c>
      <c r="D3014" s="20" t="s">
        <v>32</v>
      </c>
      <c r="E3014" s="21" t="s">
        <v>11730</v>
      </c>
      <c r="F3014" s="21" t="s">
        <v>11731</v>
      </c>
      <c r="G3014" s="20" t="s">
        <v>35</v>
      </c>
      <c r="H3014" s="20" t="s">
        <v>25</v>
      </c>
      <c r="I3014" s="21" t="s">
        <v>11732</v>
      </c>
      <c r="J3014" s="22">
        <f t="shared" si="235"/>
        <v>0.0215277777751908</v>
      </c>
      <c r="K3014" s="22">
        <f t="shared" si="236"/>
        <v>0.516666666604578</v>
      </c>
      <c r="L3014" s="22">
        <f t="shared" si="237"/>
        <v>0.516666666604578</v>
      </c>
      <c r="M3014" s="22" cm="1">
        <f ca="1" t="array" ref="M3014">SUMPRODUCT(--(WEEKDAY(ROW(INDIRECT(INT(F3014)&amp;":"&amp;INT(I3014))),2)&gt;5))</f>
        <v>0</v>
      </c>
      <c r="N3014" s="22">
        <f ca="1" t="shared" si="238"/>
        <v>0.516666666604578</v>
      </c>
      <c r="O3014" s="22" t="str">
        <f ca="1" t="shared" si="239"/>
        <v>Within SLA</v>
      </c>
      <c r="P3014" s="26" t="s">
        <v>11729</v>
      </c>
      <c r="Q3014" s="24" t="s">
        <v>37</v>
      </c>
      <c r="R3014" s="25"/>
      <c r="S3014" s="25"/>
    </row>
    <row r="3015" ht="39" customHeight="1" spans="1:19">
      <c r="A3015" s="19" t="s">
        <v>11733</v>
      </c>
      <c r="B3015" s="20" t="s">
        <v>196</v>
      </c>
      <c r="C3015" s="20" t="s">
        <v>849</v>
      </c>
      <c r="D3015" s="20" t="s">
        <v>21</v>
      </c>
      <c r="E3015" s="21" t="s">
        <v>11734</v>
      </c>
      <c r="F3015" s="21" t="s">
        <v>11735</v>
      </c>
      <c r="G3015" s="20" t="s">
        <v>35</v>
      </c>
      <c r="H3015" s="20" t="s">
        <v>25</v>
      </c>
      <c r="I3015" s="21" t="s">
        <v>11736</v>
      </c>
      <c r="J3015" s="22">
        <f t="shared" si="235"/>
        <v>2.78055555555329</v>
      </c>
      <c r="K3015" s="22">
        <f t="shared" si="236"/>
        <v>66.733333333279</v>
      </c>
      <c r="L3015" s="22">
        <f t="shared" si="237"/>
        <v>18.733333333279</v>
      </c>
      <c r="M3015" s="22" cm="1">
        <f ca="1" t="array" ref="M3015">SUMPRODUCT(--(WEEKDAY(ROW(INDIRECT(INT(F3015)&amp;":"&amp;INT(I3015))),2)&gt;5))</f>
        <v>2</v>
      </c>
      <c r="N3015" s="22">
        <f ca="1" t="shared" si="238"/>
        <v>2.733333333279</v>
      </c>
      <c r="O3015" s="22" t="str">
        <f ca="1" t="shared" si="239"/>
        <v>Within SLA</v>
      </c>
      <c r="P3015" s="26" t="s">
        <v>11733</v>
      </c>
      <c r="Q3015" s="24" t="s">
        <v>37</v>
      </c>
      <c r="R3015" s="25"/>
      <c r="S3015" s="25"/>
    </row>
    <row r="3016" ht="39" customHeight="1" spans="1:19">
      <c r="A3016" s="19" t="s">
        <v>11737</v>
      </c>
      <c r="B3016" s="20" t="s">
        <v>196</v>
      </c>
      <c r="C3016" s="20" t="s">
        <v>46</v>
      </c>
      <c r="D3016" s="20" t="s">
        <v>21</v>
      </c>
      <c r="E3016" s="21" t="s">
        <v>11738</v>
      </c>
      <c r="F3016" s="21" t="s">
        <v>11739</v>
      </c>
      <c r="G3016" s="20" t="s">
        <v>35</v>
      </c>
      <c r="H3016" s="20" t="s">
        <v>25</v>
      </c>
      <c r="I3016" s="21" t="s">
        <v>11731</v>
      </c>
      <c r="J3016" s="22">
        <f t="shared" si="235"/>
        <v>0.00902777777810115</v>
      </c>
      <c r="K3016" s="22">
        <f t="shared" si="236"/>
        <v>0.216666666674428</v>
      </c>
      <c r="L3016" s="22">
        <f t="shared" si="237"/>
        <v>0.216666666674428</v>
      </c>
      <c r="M3016" s="22" cm="1">
        <f ca="1" t="array" ref="M3016">SUMPRODUCT(--(WEEKDAY(ROW(INDIRECT(INT(F3016)&amp;":"&amp;INT(I3016))),2)&gt;5))</f>
        <v>0</v>
      </c>
      <c r="N3016" s="22">
        <f ca="1" t="shared" si="238"/>
        <v>0.216666666674428</v>
      </c>
      <c r="O3016" s="22" t="str">
        <f ca="1" t="shared" si="239"/>
        <v>Within SLA</v>
      </c>
      <c r="P3016" s="26" t="s">
        <v>11737</v>
      </c>
      <c r="Q3016" s="24" t="s">
        <v>37</v>
      </c>
      <c r="R3016" s="25"/>
      <c r="S3016" s="25"/>
    </row>
    <row r="3017" ht="27" customHeight="1" spans="1:19">
      <c r="A3017" s="19" t="s">
        <v>11740</v>
      </c>
      <c r="B3017" s="20" t="s">
        <v>30</v>
      </c>
      <c r="C3017" s="20" t="s">
        <v>46</v>
      </c>
      <c r="D3017" s="20" t="s">
        <v>32</v>
      </c>
      <c r="E3017" s="21" t="s">
        <v>11741</v>
      </c>
      <c r="F3017" s="21" t="s">
        <v>11742</v>
      </c>
      <c r="G3017" s="20" t="s">
        <v>35</v>
      </c>
      <c r="H3017" s="20" t="s">
        <v>25</v>
      </c>
      <c r="I3017" s="21" t="s">
        <v>11743</v>
      </c>
      <c r="J3017" s="22">
        <f t="shared" si="235"/>
        <v>0.03125</v>
      </c>
      <c r="K3017" s="22">
        <f t="shared" si="236"/>
        <v>0.75</v>
      </c>
      <c r="L3017" s="22">
        <f t="shared" si="237"/>
        <v>0.75</v>
      </c>
      <c r="M3017" s="22" cm="1">
        <f ca="1" t="array" ref="M3017">SUMPRODUCT(--(WEEKDAY(ROW(INDIRECT(INT(F3017)&amp;":"&amp;INT(I3017))),2)&gt;5))</f>
        <v>0</v>
      </c>
      <c r="N3017" s="22">
        <f ca="1" t="shared" si="238"/>
        <v>0.75</v>
      </c>
      <c r="O3017" s="22" t="str">
        <f ca="1" t="shared" si="239"/>
        <v>Within SLA</v>
      </c>
      <c r="P3017" s="26" t="s">
        <v>11740</v>
      </c>
      <c r="Q3017" s="24" t="s">
        <v>37</v>
      </c>
      <c r="R3017" s="25"/>
      <c r="S3017" s="25"/>
    </row>
    <row r="3018" ht="39" customHeight="1" spans="1:19">
      <c r="A3018" s="19" t="s">
        <v>11744</v>
      </c>
      <c r="B3018" s="20" t="s">
        <v>702</v>
      </c>
      <c r="C3018" s="20" t="s">
        <v>46</v>
      </c>
      <c r="D3018" s="20" t="s">
        <v>32</v>
      </c>
      <c r="E3018" s="21" t="s">
        <v>11743</v>
      </c>
      <c r="F3018" s="21" t="s">
        <v>11745</v>
      </c>
      <c r="G3018" s="20" t="s">
        <v>35</v>
      </c>
      <c r="H3018" s="20" t="s">
        <v>25</v>
      </c>
      <c r="I3018" s="21" t="s">
        <v>11746</v>
      </c>
      <c r="J3018" s="22">
        <f t="shared" si="235"/>
        <v>0.015277777776646</v>
      </c>
      <c r="K3018" s="22">
        <f t="shared" si="236"/>
        <v>0.366666666639503</v>
      </c>
      <c r="L3018" s="22">
        <f t="shared" si="237"/>
        <v>0.366666666639503</v>
      </c>
      <c r="M3018" s="22" cm="1">
        <f ca="1" t="array" ref="M3018">SUMPRODUCT(--(WEEKDAY(ROW(INDIRECT(INT(F3018)&amp;":"&amp;INT(I3018))),2)&gt;5))</f>
        <v>0</v>
      </c>
      <c r="N3018" s="22">
        <f ca="1" t="shared" si="238"/>
        <v>0.366666666639503</v>
      </c>
      <c r="O3018" s="22" t="str">
        <f ca="1" t="shared" si="239"/>
        <v>Within SLA</v>
      </c>
      <c r="P3018" s="26" t="s">
        <v>11744</v>
      </c>
      <c r="Q3018" s="24" t="s">
        <v>37</v>
      </c>
      <c r="R3018" s="25"/>
      <c r="S3018" s="25"/>
    </row>
    <row r="3019" ht="50" customHeight="1" spans="1:19">
      <c r="A3019" s="19" t="s">
        <v>11747</v>
      </c>
      <c r="B3019" s="20" t="s">
        <v>369</v>
      </c>
      <c r="C3019" s="20" t="s">
        <v>46</v>
      </c>
      <c r="D3019" s="20" t="s">
        <v>32</v>
      </c>
      <c r="E3019" s="21" t="s">
        <v>11743</v>
      </c>
      <c r="F3019" s="21" t="s">
        <v>11748</v>
      </c>
      <c r="G3019" s="20" t="s">
        <v>35</v>
      </c>
      <c r="H3019" s="20" t="s">
        <v>25</v>
      </c>
      <c r="I3019" s="21" t="s">
        <v>11749</v>
      </c>
      <c r="J3019" s="22">
        <f t="shared" si="235"/>
        <v>0.00833333333139308</v>
      </c>
      <c r="K3019" s="22">
        <f t="shared" si="236"/>
        <v>0.199999999953434</v>
      </c>
      <c r="L3019" s="22">
        <f t="shared" si="237"/>
        <v>0.199999999953434</v>
      </c>
      <c r="M3019" s="22" cm="1">
        <f ca="1" t="array" ref="M3019">SUMPRODUCT(--(WEEKDAY(ROW(INDIRECT(INT(F3019)&amp;":"&amp;INT(I3019))),2)&gt;5))</f>
        <v>0</v>
      </c>
      <c r="N3019" s="22">
        <f ca="1" t="shared" si="238"/>
        <v>0.199999999953434</v>
      </c>
      <c r="O3019" s="22" t="str">
        <f ca="1" t="shared" si="239"/>
        <v>Within SLA</v>
      </c>
      <c r="P3019" s="26" t="s">
        <v>11747</v>
      </c>
      <c r="Q3019" s="24" t="s">
        <v>37</v>
      </c>
      <c r="R3019" s="25"/>
      <c r="S3019" s="25"/>
    </row>
    <row r="3020" ht="27" customHeight="1" spans="1:19">
      <c r="A3020" s="19" t="s">
        <v>11750</v>
      </c>
      <c r="B3020" s="20" t="s">
        <v>139</v>
      </c>
      <c r="C3020" s="20" t="s">
        <v>2057</v>
      </c>
      <c r="D3020" s="20" t="s">
        <v>32</v>
      </c>
      <c r="E3020" s="21" t="s">
        <v>11751</v>
      </c>
      <c r="F3020" s="21" t="s">
        <v>11752</v>
      </c>
      <c r="G3020" s="20" t="s">
        <v>35</v>
      </c>
      <c r="H3020" s="20" t="s">
        <v>25</v>
      </c>
      <c r="I3020" s="21" t="s">
        <v>11753</v>
      </c>
      <c r="J3020" s="22">
        <f t="shared" si="235"/>
        <v>4.88194444444525</v>
      </c>
      <c r="K3020" s="22">
        <f t="shared" si="236"/>
        <v>117.166666666686</v>
      </c>
      <c r="L3020" s="22">
        <f t="shared" si="237"/>
        <v>37.1666666666861</v>
      </c>
      <c r="M3020" s="22" cm="1">
        <f ca="1" t="array" ref="M3020">SUMPRODUCT(--(WEEKDAY(ROW(INDIRECT(INT(F3020)&amp;":"&amp;INT(I3020))),2)&gt;5))</f>
        <v>2</v>
      </c>
      <c r="N3020" s="22">
        <f ca="1" t="shared" si="238"/>
        <v>21.1666666666861</v>
      </c>
      <c r="O3020" s="22" t="str">
        <f ca="1" t="shared" si="239"/>
        <v>SLA Violated</v>
      </c>
      <c r="P3020" s="23" t="s">
        <v>11754</v>
      </c>
      <c r="Q3020" s="24" t="s">
        <v>28</v>
      </c>
      <c r="R3020" s="25"/>
      <c r="S3020" s="25"/>
    </row>
    <row r="3021" ht="27" customHeight="1" spans="1:19">
      <c r="A3021" s="19" t="s">
        <v>11755</v>
      </c>
      <c r="B3021" s="20" t="s">
        <v>121</v>
      </c>
      <c r="C3021" s="20" t="s">
        <v>31</v>
      </c>
      <c r="D3021" s="20" t="s">
        <v>32</v>
      </c>
      <c r="E3021" s="21" t="s">
        <v>11756</v>
      </c>
      <c r="F3021" s="21" t="s">
        <v>11757</v>
      </c>
      <c r="G3021" s="20" t="s">
        <v>35</v>
      </c>
      <c r="H3021" s="20" t="s">
        <v>25</v>
      </c>
      <c r="I3021" s="21" t="s">
        <v>11758</v>
      </c>
      <c r="J3021" s="22">
        <f t="shared" si="235"/>
        <v>3.86249999999563</v>
      </c>
      <c r="K3021" s="22">
        <f t="shared" si="236"/>
        <v>92.6999999998952</v>
      </c>
      <c r="L3021" s="22">
        <f t="shared" si="237"/>
        <v>28.6999999998952</v>
      </c>
      <c r="M3021" s="22" cm="1">
        <f ca="1" t="array" ref="M3021">SUMPRODUCT(--(WEEKDAY(ROW(INDIRECT(INT(F3021)&amp;":"&amp;INT(I3021))),2)&gt;5))</f>
        <v>2</v>
      </c>
      <c r="N3021" s="22">
        <f ca="1" t="shared" si="238"/>
        <v>12.6999999998952</v>
      </c>
      <c r="O3021" s="22" t="str">
        <f ca="1" t="shared" si="239"/>
        <v>SLA Violated</v>
      </c>
      <c r="P3021" s="23" t="s">
        <v>11759</v>
      </c>
      <c r="Q3021" s="24" t="s">
        <v>28</v>
      </c>
      <c r="R3021" s="25"/>
      <c r="S3021" s="25"/>
    </row>
    <row r="3022" ht="39" customHeight="1" spans="1:19">
      <c r="A3022" s="19" t="s">
        <v>11760</v>
      </c>
      <c r="B3022" s="20" t="s">
        <v>196</v>
      </c>
      <c r="C3022" s="20" t="s">
        <v>849</v>
      </c>
      <c r="D3022" s="20" t="s">
        <v>32</v>
      </c>
      <c r="E3022" s="21" t="s">
        <v>11761</v>
      </c>
      <c r="F3022" s="21" t="s">
        <v>11762</v>
      </c>
      <c r="G3022" s="20" t="s">
        <v>35</v>
      </c>
      <c r="H3022" s="20" t="s">
        <v>25</v>
      </c>
      <c r="I3022" s="21" t="s">
        <v>11763</v>
      </c>
      <c r="J3022" s="22">
        <f t="shared" si="235"/>
        <v>0.0215277777751908</v>
      </c>
      <c r="K3022" s="22">
        <f t="shared" si="236"/>
        <v>0.516666666604578</v>
      </c>
      <c r="L3022" s="22">
        <f t="shared" si="237"/>
        <v>0.516666666604578</v>
      </c>
      <c r="M3022" s="22" cm="1">
        <f ca="1" t="array" ref="M3022">SUMPRODUCT(--(WEEKDAY(ROW(INDIRECT(INT(F3022)&amp;":"&amp;INT(I3022))),2)&gt;5))</f>
        <v>0</v>
      </c>
      <c r="N3022" s="22">
        <f ca="1" t="shared" si="238"/>
        <v>0.516666666604578</v>
      </c>
      <c r="O3022" s="22" t="str">
        <f ca="1" t="shared" si="239"/>
        <v>Within SLA</v>
      </c>
      <c r="P3022" s="26" t="s">
        <v>11760</v>
      </c>
      <c r="Q3022" s="24" t="s">
        <v>37</v>
      </c>
      <c r="R3022" s="25"/>
      <c r="S3022" s="25"/>
    </row>
    <row r="3023" ht="27" customHeight="1" spans="1:19">
      <c r="A3023" s="19" t="s">
        <v>11764</v>
      </c>
      <c r="B3023" s="20" t="s">
        <v>121</v>
      </c>
      <c r="C3023" s="20" t="s">
        <v>46</v>
      </c>
      <c r="D3023" s="20" t="s">
        <v>32</v>
      </c>
      <c r="E3023" s="21" t="s">
        <v>11765</v>
      </c>
      <c r="F3023" s="21" t="s">
        <v>11766</v>
      </c>
      <c r="G3023" s="20" t="s">
        <v>35</v>
      </c>
      <c r="H3023" s="20" t="s">
        <v>25</v>
      </c>
      <c r="I3023" s="21" t="s">
        <v>11767</v>
      </c>
      <c r="J3023" s="22">
        <f t="shared" si="235"/>
        <v>0.0291666666671517</v>
      </c>
      <c r="K3023" s="22">
        <f t="shared" si="236"/>
        <v>0.700000000011642</v>
      </c>
      <c r="L3023" s="22">
        <f t="shared" si="237"/>
        <v>0.700000000011642</v>
      </c>
      <c r="M3023" s="22" cm="1">
        <f ca="1" t="array" ref="M3023">SUMPRODUCT(--(WEEKDAY(ROW(INDIRECT(INT(F3023)&amp;":"&amp;INT(I3023))),2)&gt;5))</f>
        <v>0</v>
      </c>
      <c r="N3023" s="22">
        <f ca="1" t="shared" si="238"/>
        <v>0.700000000011642</v>
      </c>
      <c r="O3023" s="22" t="str">
        <f ca="1" t="shared" si="239"/>
        <v>Within SLA</v>
      </c>
      <c r="P3023" s="26" t="s">
        <v>11764</v>
      </c>
      <c r="Q3023" s="24" t="s">
        <v>37</v>
      </c>
      <c r="R3023" s="25"/>
      <c r="S3023" s="25"/>
    </row>
    <row r="3024" ht="39" customHeight="1" spans="1:19">
      <c r="A3024" s="19" t="s">
        <v>11768</v>
      </c>
      <c r="B3024" s="20" t="s">
        <v>19</v>
      </c>
      <c r="C3024" s="20" t="s">
        <v>20</v>
      </c>
      <c r="D3024" s="20" t="s">
        <v>32</v>
      </c>
      <c r="E3024" s="21" t="s">
        <v>11769</v>
      </c>
      <c r="F3024" s="21" t="s">
        <v>11770</v>
      </c>
      <c r="G3024" s="20" t="s">
        <v>35</v>
      </c>
      <c r="H3024" s="20" t="s">
        <v>25</v>
      </c>
      <c r="I3024" s="21" t="s">
        <v>11771</v>
      </c>
      <c r="J3024" s="22">
        <f t="shared" si="235"/>
        <v>0.00624999999854481</v>
      </c>
      <c r="K3024" s="22">
        <f t="shared" si="236"/>
        <v>0.149999999965075</v>
      </c>
      <c r="L3024" s="22">
        <f t="shared" si="237"/>
        <v>0.149999999965075</v>
      </c>
      <c r="M3024" s="22" cm="1">
        <f ca="1" t="array" ref="M3024">SUMPRODUCT(--(WEEKDAY(ROW(INDIRECT(INT(F3024)&amp;":"&amp;INT(I3024))),2)&gt;5))</f>
        <v>0</v>
      </c>
      <c r="N3024" s="22">
        <f ca="1" t="shared" si="238"/>
        <v>0.149999999965075</v>
      </c>
      <c r="O3024" s="22" t="str">
        <f ca="1" t="shared" si="239"/>
        <v>Within SLA</v>
      </c>
      <c r="P3024" s="26" t="s">
        <v>11768</v>
      </c>
      <c r="Q3024" s="24" t="s">
        <v>37</v>
      </c>
      <c r="R3024" s="25"/>
      <c r="S3024" s="25"/>
    </row>
    <row r="3025" ht="39" customHeight="1" spans="1:19">
      <c r="A3025" s="19" t="s">
        <v>11772</v>
      </c>
      <c r="B3025" s="20" t="s">
        <v>19</v>
      </c>
      <c r="C3025" s="20" t="s">
        <v>20</v>
      </c>
      <c r="D3025" s="20" t="s">
        <v>32</v>
      </c>
      <c r="E3025" s="21" t="s">
        <v>11773</v>
      </c>
      <c r="F3025" s="21" t="s">
        <v>11774</v>
      </c>
      <c r="G3025" s="20" t="s">
        <v>35</v>
      </c>
      <c r="H3025" s="20" t="s">
        <v>25</v>
      </c>
      <c r="I3025" s="21" t="s">
        <v>11775</v>
      </c>
      <c r="J3025" s="22">
        <f t="shared" si="235"/>
        <v>0.00347222222626442</v>
      </c>
      <c r="K3025" s="22">
        <f t="shared" si="236"/>
        <v>0.0833333334303461</v>
      </c>
      <c r="L3025" s="22">
        <f t="shared" si="237"/>
        <v>0.0833333334303461</v>
      </c>
      <c r="M3025" s="22" cm="1">
        <f ca="1" t="array" ref="M3025">SUMPRODUCT(--(WEEKDAY(ROW(INDIRECT(INT(F3025)&amp;":"&amp;INT(I3025))),2)&gt;5))</f>
        <v>0</v>
      </c>
      <c r="N3025" s="22">
        <f ca="1" t="shared" si="238"/>
        <v>0.0833333334303461</v>
      </c>
      <c r="O3025" s="22" t="str">
        <f ca="1" t="shared" si="239"/>
        <v>Within SLA</v>
      </c>
      <c r="P3025" s="26" t="s">
        <v>11772</v>
      </c>
      <c r="Q3025" s="24" t="s">
        <v>37</v>
      </c>
      <c r="R3025" s="25"/>
      <c r="S3025" s="25"/>
    </row>
    <row r="3026" ht="39" customHeight="1" spans="1:19">
      <c r="A3026" s="19" t="s">
        <v>11776</v>
      </c>
      <c r="B3026" s="20" t="s">
        <v>19</v>
      </c>
      <c r="C3026" s="20" t="s">
        <v>20</v>
      </c>
      <c r="D3026" s="20" t="s">
        <v>32</v>
      </c>
      <c r="E3026" s="21" t="s">
        <v>11777</v>
      </c>
      <c r="F3026" s="21" t="s">
        <v>11778</v>
      </c>
      <c r="G3026" s="20" t="s">
        <v>35</v>
      </c>
      <c r="H3026" s="20" t="s">
        <v>25</v>
      </c>
      <c r="I3026" s="21" t="s">
        <v>11779</v>
      </c>
      <c r="J3026" s="22">
        <f t="shared" si="235"/>
        <v>0.00694444444525288</v>
      </c>
      <c r="K3026" s="22">
        <f t="shared" si="236"/>
        <v>0.166666666686069</v>
      </c>
      <c r="L3026" s="22">
        <f t="shared" si="237"/>
        <v>0.166666666686069</v>
      </c>
      <c r="M3026" s="22" cm="1">
        <f ca="1" t="array" ref="M3026">SUMPRODUCT(--(WEEKDAY(ROW(INDIRECT(INT(F3026)&amp;":"&amp;INT(I3026))),2)&gt;5))</f>
        <v>0</v>
      </c>
      <c r="N3026" s="22">
        <f ca="1" t="shared" si="238"/>
        <v>0.166666666686069</v>
      </c>
      <c r="O3026" s="22" t="str">
        <f ca="1" t="shared" si="239"/>
        <v>Within SLA</v>
      </c>
      <c r="P3026" s="26" t="s">
        <v>11776</v>
      </c>
      <c r="Q3026" s="24" t="s">
        <v>37</v>
      </c>
      <c r="R3026" s="25"/>
      <c r="S3026" s="25"/>
    </row>
    <row r="3027" ht="27" customHeight="1" spans="1:19">
      <c r="A3027" s="19" t="s">
        <v>11780</v>
      </c>
      <c r="B3027" s="20" t="s">
        <v>121</v>
      </c>
      <c r="C3027" s="20" t="s">
        <v>849</v>
      </c>
      <c r="D3027" s="20" t="s">
        <v>32</v>
      </c>
      <c r="E3027" s="21" t="s">
        <v>11781</v>
      </c>
      <c r="F3027" s="21" t="s">
        <v>11782</v>
      </c>
      <c r="G3027" s="20" t="s">
        <v>35</v>
      </c>
      <c r="H3027" s="20" t="s">
        <v>25</v>
      </c>
      <c r="I3027" s="21" t="s">
        <v>11779</v>
      </c>
      <c r="J3027" s="22">
        <f t="shared" si="235"/>
        <v>0.296527777776646</v>
      </c>
      <c r="K3027" s="22">
        <f t="shared" si="236"/>
        <v>7.1166666666395</v>
      </c>
      <c r="L3027" s="22">
        <f t="shared" si="237"/>
        <v>7.1166666666395</v>
      </c>
      <c r="M3027" s="22" cm="1">
        <f ca="1" t="array" ref="M3027">SUMPRODUCT(--(WEEKDAY(ROW(INDIRECT(INT(F3027)&amp;":"&amp;INT(I3027))),2)&gt;5))</f>
        <v>0</v>
      </c>
      <c r="N3027" s="22">
        <f ca="1" t="shared" si="238"/>
        <v>7.1166666666395</v>
      </c>
      <c r="O3027" s="22" t="str">
        <f ca="1" t="shared" si="239"/>
        <v>Within SLA</v>
      </c>
      <c r="P3027" s="26" t="s">
        <v>11780</v>
      </c>
      <c r="Q3027" s="24" t="s">
        <v>37</v>
      </c>
      <c r="R3027" s="25"/>
      <c r="S3027" s="25"/>
    </row>
    <row r="3028" ht="50" customHeight="1" spans="1:19">
      <c r="A3028" s="19" t="s">
        <v>11783</v>
      </c>
      <c r="B3028" s="20" t="s">
        <v>369</v>
      </c>
      <c r="C3028" s="20" t="s">
        <v>2057</v>
      </c>
      <c r="D3028" s="20" t="s">
        <v>32</v>
      </c>
      <c r="E3028" s="21" t="s">
        <v>11784</v>
      </c>
      <c r="F3028" s="21" t="s">
        <v>11785</v>
      </c>
      <c r="G3028" s="20" t="s">
        <v>35</v>
      </c>
      <c r="H3028" s="20" t="s">
        <v>25</v>
      </c>
      <c r="I3028" s="21" t="s">
        <v>11786</v>
      </c>
      <c r="J3028" s="22">
        <f t="shared" si="235"/>
        <v>0.177777777782467</v>
      </c>
      <c r="K3028" s="22">
        <f t="shared" si="236"/>
        <v>4.2666666667792</v>
      </c>
      <c r="L3028" s="22">
        <f t="shared" si="237"/>
        <v>4.2666666667792</v>
      </c>
      <c r="M3028" s="22" cm="1">
        <f ca="1" t="array" ref="M3028">SUMPRODUCT(--(WEEKDAY(ROW(INDIRECT(INT(F3028)&amp;":"&amp;INT(I3028))),2)&gt;5))</f>
        <v>0</v>
      </c>
      <c r="N3028" s="22">
        <f ca="1" t="shared" si="238"/>
        <v>4.2666666667792</v>
      </c>
      <c r="O3028" s="22" t="str">
        <f ca="1" t="shared" si="239"/>
        <v>Within SLA</v>
      </c>
      <c r="P3028" s="26" t="s">
        <v>11783</v>
      </c>
      <c r="Q3028" s="24" t="s">
        <v>37</v>
      </c>
      <c r="R3028" s="25"/>
      <c r="S3028" s="25"/>
    </row>
    <row r="3029" ht="39" customHeight="1" spans="1:19">
      <c r="A3029" s="19" t="s">
        <v>11787</v>
      </c>
      <c r="B3029" s="20" t="s">
        <v>4167</v>
      </c>
      <c r="C3029" s="20" t="s">
        <v>2057</v>
      </c>
      <c r="D3029" s="20" t="s">
        <v>32</v>
      </c>
      <c r="E3029" s="21" t="s">
        <v>11788</v>
      </c>
      <c r="F3029" s="21" t="s">
        <v>11789</v>
      </c>
      <c r="G3029" s="20" t="s">
        <v>35</v>
      </c>
      <c r="H3029" s="20" t="s">
        <v>25</v>
      </c>
      <c r="I3029" s="21" t="s">
        <v>11790</v>
      </c>
      <c r="J3029" s="22">
        <f t="shared" si="235"/>
        <v>2.30486111110804</v>
      </c>
      <c r="K3029" s="22">
        <f t="shared" si="236"/>
        <v>55.3166666665929</v>
      </c>
      <c r="L3029" s="22">
        <f t="shared" si="237"/>
        <v>23.3166666665929</v>
      </c>
      <c r="M3029" s="22" cm="1">
        <f ca="1" t="array" ref="M3029">SUMPRODUCT(--(WEEKDAY(ROW(INDIRECT(INT(F3029)&amp;":"&amp;INT(I3029))),2)&gt;5))</f>
        <v>0</v>
      </c>
      <c r="N3029" s="22">
        <f ca="1" t="shared" si="238"/>
        <v>23.3166666665929</v>
      </c>
      <c r="O3029" s="22" t="str">
        <f ca="1" t="shared" si="239"/>
        <v>SLA Violated</v>
      </c>
      <c r="P3029" s="23" t="s">
        <v>11791</v>
      </c>
      <c r="Q3029" s="24" t="s">
        <v>28</v>
      </c>
      <c r="R3029" s="25"/>
      <c r="S3029" s="25"/>
    </row>
    <row r="3030" ht="39" customHeight="1" spans="1:19">
      <c r="A3030" s="19" t="s">
        <v>11792</v>
      </c>
      <c r="B3030" s="20" t="s">
        <v>19</v>
      </c>
      <c r="C3030" s="20" t="s">
        <v>20</v>
      </c>
      <c r="D3030" s="20" t="s">
        <v>32</v>
      </c>
      <c r="E3030" s="21" t="s">
        <v>11793</v>
      </c>
      <c r="F3030" s="21" t="s">
        <v>11794</v>
      </c>
      <c r="G3030" s="20" t="s">
        <v>35</v>
      </c>
      <c r="H3030" s="20" t="s">
        <v>25</v>
      </c>
      <c r="I3030" s="21" t="s">
        <v>11795</v>
      </c>
      <c r="J3030" s="22">
        <f t="shared" si="235"/>
        <v>0.0215277777751908</v>
      </c>
      <c r="K3030" s="22">
        <f t="shared" si="236"/>
        <v>0.516666666604578</v>
      </c>
      <c r="L3030" s="22">
        <f t="shared" si="237"/>
        <v>0.516666666604578</v>
      </c>
      <c r="M3030" s="22" cm="1">
        <f ca="1" t="array" ref="M3030">SUMPRODUCT(--(WEEKDAY(ROW(INDIRECT(INT(F3030)&amp;":"&amp;INT(I3030))),2)&gt;5))</f>
        <v>0</v>
      </c>
      <c r="N3030" s="22">
        <f ca="1" t="shared" si="238"/>
        <v>0.516666666604578</v>
      </c>
      <c r="O3030" s="22" t="str">
        <f ca="1" t="shared" si="239"/>
        <v>Within SLA</v>
      </c>
      <c r="P3030" s="26" t="s">
        <v>11792</v>
      </c>
      <c r="Q3030" s="24" t="s">
        <v>37</v>
      </c>
      <c r="R3030" s="25"/>
      <c r="S3030" s="25"/>
    </row>
    <row r="3031" ht="27" customHeight="1" spans="1:19">
      <c r="A3031" s="19" t="s">
        <v>11796</v>
      </c>
      <c r="B3031" s="20" t="s">
        <v>30</v>
      </c>
      <c r="C3031" s="20" t="s">
        <v>849</v>
      </c>
      <c r="D3031" s="20" t="s">
        <v>32</v>
      </c>
      <c r="E3031" s="21" t="s">
        <v>11797</v>
      </c>
      <c r="F3031" s="21" t="s">
        <v>11798</v>
      </c>
      <c r="G3031" s="20" t="s">
        <v>35</v>
      </c>
      <c r="H3031" s="20" t="s">
        <v>25</v>
      </c>
      <c r="I3031" s="21" t="s">
        <v>11799</v>
      </c>
      <c r="J3031" s="22">
        <f t="shared" si="235"/>
        <v>0.0986111111124046</v>
      </c>
      <c r="K3031" s="22">
        <f t="shared" si="236"/>
        <v>2.36666666669771</v>
      </c>
      <c r="L3031" s="22">
        <f t="shared" si="237"/>
        <v>2.36666666669771</v>
      </c>
      <c r="M3031" s="22" cm="1">
        <f ca="1" t="array" ref="M3031">SUMPRODUCT(--(WEEKDAY(ROW(INDIRECT(INT(F3031)&amp;":"&amp;INT(I3031))),2)&gt;5))</f>
        <v>0</v>
      </c>
      <c r="N3031" s="22">
        <f ca="1" t="shared" si="238"/>
        <v>2.36666666669771</v>
      </c>
      <c r="O3031" s="22" t="str">
        <f ca="1" t="shared" si="239"/>
        <v>Within SLA</v>
      </c>
      <c r="P3031" s="26" t="s">
        <v>11796</v>
      </c>
      <c r="Q3031" s="24" t="s">
        <v>37</v>
      </c>
      <c r="R3031" s="25"/>
      <c r="S3031" s="25"/>
    </row>
    <row r="3032" ht="27" customHeight="1" spans="1:19">
      <c r="A3032" s="19" t="s">
        <v>11800</v>
      </c>
      <c r="B3032" s="20" t="s">
        <v>139</v>
      </c>
      <c r="C3032" s="20" t="s">
        <v>2057</v>
      </c>
      <c r="D3032" s="20" t="s">
        <v>32</v>
      </c>
      <c r="E3032" s="21" t="s">
        <v>11801</v>
      </c>
      <c r="F3032" s="21" t="s">
        <v>11802</v>
      </c>
      <c r="G3032" s="20" t="s">
        <v>35</v>
      </c>
      <c r="H3032" s="20" t="s">
        <v>25</v>
      </c>
      <c r="I3032" s="21" t="s">
        <v>11803</v>
      </c>
      <c r="J3032" s="22">
        <f t="shared" si="235"/>
        <v>2.30208333333576</v>
      </c>
      <c r="K3032" s="22">
        <f t="shared" si="236"/>
        <v>55.2500000000582</v>
      </c>
      <c r="L3032" s="22">
        <f t="shared" si="237"/>
        <v>23.2500000000582</v>
      </c>
      <c r="M3032" s="22" cm="1">
        <f ca="1" t="array" ref="M3032">SUMPRODUCT(--(WEEKDAY(ROW(INDIRECT(INT(F3032)&amp;":"&amp;INT(I3032))),2)&gt;5))</f>
        <v>0</v>
      </c>
      <c r="N3032" s="22">
        <f ca="1" t="shared" si="238"/>
        <v>23.2500000000582</v>
      </c>
      <c r="O3032" s="22" t="str">
        <f ca="1" t="shared" si="239"/>
        <v>SLA Violated</v>
      </c>
      <c r="P3032" s="23" t="s">
        <v>11804</v>
      </c>
      <c r="Q3032" s="24" t="s">
        <v>28</v>
      </c>
      <c r="R3032" s="25"/>
      <c r="S3032" s="25"/>
    </row>
    <row r="3033" ht="27" customHeight="1" spans="1:19">
      <c r="A3033" s="19" t="s">
        <v>11805</v>
      </c>
      <c r="B3033" s="20" t="s">
        <v>30</v>
      </c>
      <c r="C3033" s="20" t="s">
        <v>46</v>
      </c>
      <c r="D3033" s="20" t="s">
        <v>32</v>
      </c>
      <c r="E3033" s="21" t="s">
        <v>11806</v>
      </c>
      <c r="F3033" s="21" t="s">
        <v>11807</v>
      </c>
      <c r="G3033" s="20" t="s">
        <v>35</v>
      </c>
      <c r="H3033" s="20" t="s">
        <v>25</v>
      </c>
      <c r="I3033" s="21" t="s">
        <v>11808</v>
      </c>
      <c r="J3033" s="22">
        <f t="shared" si="235"/>
        <v>0.423611111109494</v>
      </c>
      <c r="K3033" s="22">
        <f t="shared" si="236"/>
        <v>10.1666666666279</v>
      </c>
      <c r="L3033" s="22">
        <f t="shared" si="237"/>
        <v>10.1666666666279</v>
      </c>
      <c r="M3033" s="22" cm="1">
        <f ca="1" t="array" ref="M3033">SUMPRODUCT(--(WEEKDAY(ROW(INDIRECT(INT(F3033)&amp;":"&amp;INT(I3033))),2)&gt;5))</f>
        <v>0</v>
      </c>
      <c r="N3033" s="22">
        <f ca="1" t="shared" si="238"/>
        <v>10.1666666666279</v>
      </c>
      <c r="O3033" s="22" t="str">
        <f ca="1" t="shared" si="239"/>
        <v>Within SLA</v>
      </c>
      <c r="P3033" s="26" t="s">
        <v>11805</v>
      </c>
      <c r="Q3033" s="24" t="s">
        <v>37</v>
      </c>
      <c r="R3033" s="25"/>
      <c r="S3033" s="25"/>
    </row>
    <row r="3034" ht="39" customHeight="1" spans="1:19">
      <c r="A3034" s="19" t="s">
        <v>11809</v>
      </c>
      <c r="B3034" s="20" t="s">
        <v>19</v>
      </c>
      <c r="C3034" s="20" t="s">
        <v>20</v>
      </c>
      <c r="D3034" s="20" t="s">
        <v>32</v>
      </c>
      <c r="E3034" s="21" t="s">
        <v>11810</v>
      </c>
      <c r="F3034" s="21" t="s">
        <v>11811</v>
      </c>
      <c r="G3034" s="20" t="s">
        <v>35</v>
      </c>
      <c r="H3034" s="20" t="s">
        <v>25</v>
      </c>
      <c r="I3034" s="21" t="s">
        <v>11812</v>
      </c>
      <c r="J3034" s="22">
        <f t="shared" si="235"/>
        <v>0.141666666670062</v>
      </c>
      <c r="K3034" s="22">
        <f t="shared" si="236"/>
        <v>3.40000000008149</v>
      </c>
      <c r="L3034" s="22">
        <f t="shared" si="237"/>
        <v>3.40000000008149</v>
      </c>
      <c r="M3034" s="22" cm="1">
        <f ca="1" t="array" ref="M3034">SUMPRODUCT(--(WEEKDAY(ROW(INDIRECT(INT(F3034)&amp;":"&amp;INT(I3034))),2)&gt;5))</f>
        <v>0</v>
      </c>
      <c r="N3034" s="22">
        <f ca="1" t="shared" si="238"/>
        <v>3.40000000008149</v>
      </c>
      <c r="O3034" s="22" t="str">
        <f ca="1" t="shared" si="239"/>
        <v>Within SLA</v>
      </c>
      <c r="P3034" s="26" t="s">
        <v>11809</v>
      </c>
      <c r="Q3034" s="24" t="s">
        <v>37</v>
      </c>
      <c r="R3034" s="25"/>
      <c r="S3034" s="25"/>
    </row>
    <row r="3035" ht="27" customHeight="1" spans="1:19">
      <c r="A3035" s="19" t="s">
        <v>11813</v>
      </c>
      <c r="B3035" s="20" t="s">
        <v>121</v>
      </c>
      <c r="C3035" s="20" t="s">
        <v>849</v>
      </c>
      <c r="D3035" s="20" t="s">
        <v>21</v>
      </c>
      <c r="E3035" s="21" t="s">
        <v>11814</v>
      </c>
      <c r="F3035" s="21" t="s">
        <v>11815</v>
      </c>
      <c r="G3035" s="20" t="s">
        <v>35</v>
      </c>
      <c r="H3035" s="20" t="s">
        <v>25</v>
      </c>
      <c r="I3035" s="21" t="s">
        <v>11816</v>
      </c>
      <c r="J3035" s="22">
        <f t="shared" si="235"/>
        <v>3.03958333333867</v>
      </c>
      <c r="K3035" s="22">
        <f t="shared" si="236"/>
        <v>72.9500000001281</v>
      </c>
      <c r="L3035" s="22">
        <f t="shared" si="237"/>
        <v>24.9500000001281</v>
      </c>
      <c r="M3035" s="22" cm="1">
        <f ca="1" t="array" ref="M3035">SUMPRODUCT(--(WEEKDAY(ROW(INDIRECT(INT(F3035)&amp;":"&amp;INT(I3035))),2)&gt;5))</f>
        <v>0</v>
      </c>
      <c r="N3035" s="22">
        <f ca="1" t="shared" si="238"/>
        <v>24.9500000001281</v>
      </c>
      <c r="O3035" s="22" t="str">
        <f ca="1" t="shared" si="239"/>
        <v>SLA Violated</v>
      </c>
      <c r="P3035" s="23" t="s">
        <v>11817</v>
      </c>
      <c r="Q3035" s="24" t="s">
        <v>28</v>
      </c>
      <c r="R3035" s="25"/>
      <c r="S3035" s="25"/>
    </row>
    <row r="3036" ht="39" customHeight="1" spans="1:19">
      <c r="A3036" s="19" t="s">
        <v>11818</v>
      </c>
      <c r="B3036" s="20" t="s">
        <v>19</v>
      </c>
      <c r="C3036" s="20" t="s">
        <v>20</v>
      </c>
      <c r="D3036" s="20" t="s">
        <v>32</v>
      </c>
      <c r="E3036" s="21" t="s">
        <v>11819</v>
      </c>
      <c r="F3036" s="21" t="s">
        <v>11820</v>
      </c>
      <c r="G3036" s="20" t="s">
        <v>35</v>
      </c>
      <c r="H3036" s="20" t="s">
        <v>25</v>
      </c>
      <c r="I3036" s="21" t="s">
        <v>11821</v>
      </c>
      <c r="J3036" s="22">
        <f t="shared" si="235"/>
        <v>0.0284722222204437</v>
      </c>
      <c r="K3036" s="22">
        <f t="shared" si="236"/>
        <v>0.683333333290648</v>
      </c>
      <c r="L3036" s="22">
        <f t="shared" si="237"/>
        <v>0.683333333290648</v>
      </c>
      <c r="M3036" s="22" cm="1">
        <f ca="1" t="array" ref="M3036">SUMPRODUCT(--(WEEKDAY(ROW(INDIRECT(INT(F3036)&amp;":"&amp;INT(I3036))),2)&gt;5))</f>
        <v>0</v>
      </c>
      <c r="N3036" s="22">
        <f ca="1" t="shared" si="238"/>
        <v>0.683333333290648</v>
      </c>
      <c r="O3036" s="22" t="str">
        <f ca="1" t="shared" si="239"/>
        <v>Within SLA</v>
      </c>
      <c r="P3036" s="26" t="s">
        <v>11818</v>
      </c>
      <c r="Q3036" s="24" t="s">
        <v>37</v>
      </c>
      <c r="R3036" s="25"/>
      <c r="S3036" s="25"/>
    </row>
    <row r="3037" ht="39" customHeight="1" spans="1:19">
      <c r="A3037" s="19" t="s">
        <v>11822</v>
      </c>
      <c r="B3037" s="20" t="s">
        <v>196</v>
      </c>
      <c r="C3037" s="20" t="s">
        <v>849</v>
      </c>
      <c r="D3037" s="20" t="s">
        <v>32</v>
      </c>
      <c r="E3037" s="21" t="s">
        <v>11823</v>
      </c>
      <c r="F3037" s="21" t="s">
        <v>11824</v>
      </c>
      <c r="G3037" s="20" t="s">
        <v>35</v>
      </c>
      <c r="H3037" s="20" t="s">
        <v>25</v>
      </c>
      <c r="I3037" s="21" t="s">
        <v>11825</v>
      </c>
      <c r="J3037" s="22">
        <f t="shared" si="235"/>
        <v>0.0826388888890506</v>
      </c>
      <c r="K3037" s="22">
        <f t="shared" si="236"/>
        <v>1.98333333333721</v>
      </c>
      <c r="L3037" s="22">
        <f t="shared" si="237"/>
        <v>1.98333333333721</v>
      </c>
      <c r="M3037" s="22" cm="1">
        <f ca="1" t="array" ref="M3037">SUMPRODUCT(--(WEEKDAY(ROW(INDIRECT(INT(F3037)&amp;":"&amp;INT(I3037))),2)&gt;5))</f>
        <v>0</v>
      </c>
      <c r="N3037" s="22">
        <f ca="1" t="shared" si="238"/>
        <v>1.98333333333721</v>
      </c>
      <c r="O3037" s="22" t="str">
        <f ca="1" t="shared" si="239"/>
        <v>Within SLA</v>
      </c>
      <c r="P3037" s="26" t="s">
        <v>11822</v>
      </c>
      <c r="Q3037" s="24" t="s">
        <v>37</v>
      </c>
      <c r="R3037" s="25"/>
      <c r="S3037" s="25"/>
    </row>
    <row r="3038" ht="39" customHeight="1" spans="1:19">
      <c r="A3038" s="19" t="s">
        <v>11826</v>
      </c>
      <c r="B3038" s="20" t="s">
        <v>19</v>
      </c>
      <c r="C3038" s="20" t="s">
        <v>20</v>
      </c>
      <c r="D3038" s="20" t="s">
        <v>32</v>
      </c>
      <c r="E3038" s="21" t="s">
        <v>11827</v>
      </c>
      <c r="F3038" s="21" t="s">
        <v>11828</v>
      </c>
      <c r="G3038" s="20" t="s">
        <v>35</v>
      </c>
      <c r="H3038" s="20" t="s">
        <v>25</v>
      </c>
      <c r="I3038" s="21" t="s">
        <v>11829</v>
      </c>
      <c r="J3038" s="22">
        <f t="shared" si="235"/>
        <v>0.215277777773736</v>
      </c>
      <c r="K3038" s="22">
        <f t="shared" si="236"/>
        <v>5.16666666656965</v>
      </c>
      <c r="L3038" s="22">
        <f t="shared" si="237"/>
        <v>5.16666666656965</v>
      </c>
      <c r="M3038" s="22" cm="1">
        <f ca="1" t="array" ref="M3038">SUMPRODUCT(--(WEEKDAY(ROW(INDIRECT(INT(F3038)&amp;":"&amp;INT(I3038))),2)&gt;5))</f>
        <v>0</v>
      </c>
      <c r="N3038" s="22">
        <f ca="1" t="shared" si="238"/>
        <v>5.16666666656965</v>
      </c>
      <c r="O3038" s="22" t="str">
        <f ca="1" t="shared" si="239"/>
        <v>Within SLA</v>
      </c>
      <c r="P3038" s="26" t="s">
        <v>11826</v>
      </c>
      <c r="Q3038" s="24" t="s">
        <v>37</v>
      </c>
      <c r="R3038" s="25"/>
      <c r="S3038" s="25"/>
    </row>
    <row r="3039" ht="39" customHeight="1" spans="1:19">
      <c r="A3039" s="19" t="s">
        <v>11830</v>
      </c>
      <c r="B3039" s="20" t="s">
        <v>19</v>
      </c>
      <c r="C3039" s="20" t="s">
        <v>20</v>
      </c>
      <c r="D3039" s="20" t="s">
        <v>32</v>
      </c>
      <c r="E3039" s="21" t="s">
        <v>11829</v>
      </c>
      <c r="F3039" s="21" t="s">
        <v>11831</v>
      </c>
      <c r="G3039" s="20" t="s">
        <v>35</v>
      </c>
      <c r="H3039" s="20" t="s">
        <v>25</v>
      </c>
      <c r="I3039" s="21" t="s">
        <v>11832</v>
      </c>
      <c r="J3039" s="22">
        <f t="shared" si="235"/>
        <v>6.1513888888876</v>
      </c>
      <c r="K3039" s="22">
        <f t="shared" si="236"/>
        <v>147.633333333302</v>
      </c>
      <c r="L3039" s="22">
        <f t="shared" si="237"/>
        <v>51.6333333333023</v>
      </c>
      <c r="M3039" s="22" cm="1">
        <f ca="1" t="array" ref="M3039">SUMPRODUCT(--(WEEKDAY(ROW(INDIRECT(INT(F3039)&amp;":"&amp;INT(I3039))),2)&gt;5))</f>
        <v>2</v>
      </c>
      <c r="N3039" s="22">
        <f ca="1" t="shared" si="238"/>
        <v>35.6333333333023</v>
      </c>
      <c r="O3039" s="22" t="str">
        <f ca="1" t="shared" si="239"/>
        <v>SLA Violated</v>
      </c>
      <c r="P3039" s="23" t="s">
        <v>11833</v>
      </c>
      <c r="Q3039" s="24" t="s">
        <v>37</v>
      </c>
      <c r="R3039" s="25" t="s">
        <v>38</v>
      </c>
      <c r="S3039" s="25" t="s">
        <v>39</v>
      </c>
    </row>
    <row r="3040" ht="39" customHeight="1" spans="1:19">
      <c r="A3040" s="19" t="s">
        <v>11834</v>
      </c>
      <c r="B3040" s="20" t="s">
        <v>196</v>
      </c>
      <c r="C3040" s="20" t="s">
        <v>101</v>
      </c>
      <c r="D3040" s="20" t="s">
        <v>32</v>
      </c>
      <c r="E3040" s="21" t="s">
        <v>11835</v>
      </c>
      <c r="F3040" s="21" t="s">
        <v>11836</v>
      </c>
      <c r="G3040" s="20" t="s">
        <v>35</v>
      </c>
      <c r="H3040" s="20" t="s">
        <v>25</v>
      </c>
      <c r="I3040" s="21" t="s">
        <v>11837</v>
      </c>
      <c r="J3040" s="22">
        <f t="shared" si="235"/>
        <v>1.2145833333343</v>
      </c>
      <c r="K3040" s="22">
        <f t="shared" si="236"/>
        <v>29.1500000000233</v>
      </c>
      <c r="L3040" s="22">
        <f t="shared" si="237"/>
        <v>13.1500000000233</v>
      </c>
      <c r="M3040" s="22" cm="1">
        <f ca="1" t="array" ref="M3040">SUMPRODUCT(--(WEEKDAY(ROW(INDIRECT(INT(F3040)&amp;":"&amp;INT(I3040))),2)&gt;5))</f>
        <v>0</v>
      </c>
      <c r="N3040" s="22">
        <f ca="1" t="shared" si="238"/>
        <v>13.1500000000233</v>
      </c>
      <c r="O3040" s="22" t="str">
        <f ca="1" t="shared" si="239"/>
        <v>SLA Violated</v>
      </c>
      <c r="P3040" s="23" t="s">
        <v>11838</v>
      </c>
      <c r="Q3040" s="24" t="s">
        <v>28</v>
      </c>
      <c r="R3040" s="25"/>
      <c r="S3040" s="25"/>
    </row>
    <row r="3041" ht="39" customHeight="1" spans="1:19">
      <c r="A3041" s="19" t="s">
        <v>11839</v>
      </c>
      <c r="B3041" s="20" t="s">
        <v>19</v>
      </c>
      <c r="C3041" s="20" t="s">
        <v>20</v>
      </c>
      <c r="D3041" s="20" t="s">
        <v>32</v>
      </c>
      <c r="E3041" s="21" t="s">
        <v>11840</v>
      </c>
      <c r="F3041" s="21" t="s">
        <v>11841</v>
      </c>
      <c r="G3041" s="20" t="s">
        <v>35</v>
      </c>
      <c r="H3041" s="20" t="s">
        <v>25</v>
      </c>
      <c r="I3041" s="21" t="s">
        <v>11842</v>
      </c>
      <c r="J3041" s="22">
        <f t="shared" si="235"/>
        <v>0.353472222224809</v>
      </c>
      <c r="K3041" s="22">
        <f t="shared" si="236"/>
        <v>8.48333333339542</v>
      </c>
      <c r="L3041" s="22">
        <f t="shared" si="237"/>
        <v>8.48333333339542</v>
      </c>
      <c r="M3041" s="22" cm="1">
        <f ca="1" t="array" ref="M3041">SUMPRODUCT(--(WEEKDAY(ROW(INDIRECT(INT(F3041)&amp;":"&amp;INT(I3041))),2)&gt;5))</f>
        <v>0</v>
      </c>
      <c r="N3041" s="22">
        <f ca="1" t="shared" si="238"/>
        <v>8.48333333339542</v>
      </c>
      <c r="O3041" s="22" t="str">
        <f ca="1" t="shared" si="239"/>
        <v>Within SLA</v>
      </c>
      <c r="P3041" s="26" t="s">
        <v>11839</v>
      </c>
      <c r="Q3041" s="24" t="s">
        <v>37</v>
      </c>
      <c r="R3041" s="25"/>
      <c r="S3041" s="25"/>
    </row>
    <row r="3042" ht="39" customHeight="1" spans="1:19">
      <c r="A3042" s="19" t="s">
        <v>11843</v>
      </c>
      <c r="B3042" s="20" t="s">
        <v>19</v>
      </c>
      <c r="C3042" s="20" t="s">
        <v>20</v>
      </c>
      <c r="D3042" s="20" t="s">
        <v>32</v>
      </c>
      <c r="E3042" s="21" t="s">
        <v>11840</v>
      </c>
      <c r="F3042" s="21" t="s">
        <v>11844</v>
      </c>
      <c r="G3042" s="20" t="s">
        <v>35</v>
      </c>
      <c r="H3042" s="20" t="s">
        <v>25</v>
      </c>
      <c r="I3042" s="21" t="s">
        <v>11845</v>
      </c>
      <c r="J3042" s="22">
        <f t="shared" si="235"/>
        <v>0.160416666665697</v>
      </c>
      <c r="K3042" s="22">
        <f t="shared" si="236"/>
        <v>3.84999999997672</v>
      </c>
      <c r="L3042" s="22">
        <f t="shared" si="237"/>
        <v>3.84999999997672</v>
      </c>
      <c r="M3042" s="22" cm="1">
        <f ca="1" t="array" ref="M3042">SUMPRODUCT(--(WEEKDAY(ROW(INDIRECT(INT(F3042)&amp;":"&amp;INT(I3042))),2)&gt;5))</f>
        <v>0</v>
      </c>
      <c r="N3042" s="22">
        <f ca="1" t="shared" si="238"/>
        <v>3.84999999997672</v>
      </c>
      <c r="O3042" s="22" t="str">
        <f ca="1" t="shared" si="239"/>
        <v>Within SLA</v>
      </c>
      <c r="P3042" s="26" t="s">
        <v>11843</v>
      </c>
      <c r="Q3042" s="24" t="s">
        <v>37</v>
      </c>
      <c r="R3042" s="25"/>
      <c r="S3042" s="25"/>
    </row>
    <row r="3043" ht="39" customHeight="1" spans="1:19">
      <c r="A3043" s="19" t="s">
        <v>11846</v>
      </c>
      <c r="B3043" s="20" t="s">
        <v>19</v>
      </c>
      <c r="C3043" s="20" t="s">
        <v>20</v>
      </c>
      <c r="D3043" s="20" t="s">
        <v>32</v>
      </c>
      <c r="E3043" s="21" t="s">
        <v>11847</v>
      </c>
      <c r="F3043" s="21" t="s">
        <v>11848</v>
      </c>
      <c r="G3043" s="20" t="s">
        <v>35</v>
      </c>
      <c r="H3043" s="20" t="s">
        <v>25</v>
      </c>
      <c r="I3043" s="21" t="s">
        <v>11849</v>
      </c>
      <c r="J3043" s="22">
        <f t="shared" si="235"/>
        <v>0.0576388888875954</v>
      </c>
      <c r="K3043" s="22">
        <f t="shared" si="236"/>
        <v>1.38333333330229</v>
      </c>
      <c r="L3043" s="22">
        <f t="shared" si="237"/>
        <v>1.38333333330229</v>
      </c>
      <c r="M3043" s="22" cm="1">
        <f ca="1" t="array" ref="M3043">SUMPRODUCT(--(WEEKDAY(ROW(INDIRECT(INT(F3043)&amp;":"&amp;INT(I3043))),2)&gt;5))</f>
        <v>0</v>
      </c>
      <c r="N3043" s="22">
        <f ca="1" t="shared" si="238"/>
        <v>1.38333333330229</v>
      </c>
      <c r="O3043" s="22" t="str">
        <f ca="1" t="shared" si="239"/>
        <v>Within SLA</v>
      </c>
      <c r="P3043" s="26" t="s">
        <v>11846</v>
      </c>
      <c r="Q3043" s="24" t="s">
        <v>37</v>
      </c>
      <c r="R3043" s="25"/>
      <c r="S3043" s="25"/>
    </row>
    <row r="3044" ht="27" customHeight="1" spans="1:19">
      <c r="A3044" s="19" t="s">
        <v>11850</v>
      </c>
      <c r="B3044" s="20" t="s">
        <v>30</v>
      </c>
      <c r="C3044" s="20" t="s">
        <v>31</v>
      </c>
      <c r="D3044" s="20" t="s">
        <v>32</v>
      </c>
      <c r="E3044" s="21" t="s">
        <v>11845</v>
      </c>
      <c r="F3044" s="21" t="s">
        <v>11851</v>
      </c>
      <c r="G3044" s="20" t="s">
        <v>35</v>
      </c>
      <c r="H3044" s="20" t="s">
        <v>25</v>
      </c>
      <c r="I3044" s="21" t="s">
        <v>11852</v>
      </c>
      <c r="J3044" s="22">
        <f t="shared" si="235"/>
        <v>0.103472222224809</v>
      </c>
      <c r="K3044" s="22">
        <f t="shared" si="236"/>
        <v>2.48333333339542</v>
      </c>
      <c r="L3044" s="22">
        <f t="shared" si="237"/>
        <v>2.48333333339542</v>
      </c>
      <c r="M3044" s="22" cm="1">
        <f ca="1" t="array" ref="M3044">SUMPRODUCT(--(WEEKDAY(ROW(INDIRECT(INT(F3044)&amp;":"&amp;INT(I3044))),2)&gt;5))</f>
        <v>0</v>
      </c>
      <c r="N3044" s="22">
        <f ca="1" t="shared" si="238"/>
        <v>2.48333333339542</v>
      </c>
      <c r="O3044" s="22" t="str">
        <f ca="1" t="shared" si="239"/>
        <v>Within SLA</v>
      </c>
      <c r="P3044" s="26" t="s">
        <v>11850</v>
      </c>
      <c r="Q3044" s="24" t="s">
        <v>37</v>
      </c>
      <c r="R3044" s="25"/>
      <c r="S3044" s="25"/>
    </row>
    <row r="3045" ht="27" customHeight="1" spans="1:19">
      <c r="A3045" s="19" t="s">
        <v>11853</v>
      </c>
      <c r="B3045" s="20" t="s">
        <v>30</v>
      </c>
      <c r="C3045" s="20" t="s">
        <v>31</v>
      </c>
      <c r="D3045" s="20" t="s">
        <v>32</v>
      </c>
      <c r="E3045" s="21" t="s">
        <v>11854</v>
      </c>
      <c r="F3045" s="21" t="s">
        <v>11855</v>
      </c>
      <c r="G3045" s="20" t="s">
        <v>35</v>
      </c>
      <c r="H3045" s="20" t="s">
        <v>25</v>
      </c>
      <c r="I3045" s="21" t="s">
        <v>11856</v>
      </c>
      <c r="J3045" s="22">
        <f t="shared" si="235"/>
        <v>0.186805555560568</v>
      </c>
      <c r="K3045" s="22">
        <f t="shared" si="236"/>
        <v>4.48333333345363</v>
      </c>
      <c r="L3045" s="22">
        <f t="shared" si="237"/>
        <v>4.48333333345363</v>
      </c>
      <c r="M3045" s="22" cm="1">
        <f ca="1" t="array" ref="M3045">SUMPRODUCT(--(WEEKDAY(ROW(INDIRECT(INT(F3045)&amp;":"&amp;INT(I3045))),2)&gt;5))</f>
        <v>0</v>
      </c>
      <c r="N3045" s="22">
        <f ca="1" t="shared" si="238"/>
        <v>4.48333333345363</v>
      </c>
      <c r="O3045" s="22" t="str">
        <f ca="1" t="shared" si="239"/>
        <v>Within SLA</v>
      </c>
      <c r="P3045" s="26" t="s">
        <v>11853</v>
      </c>
      <c r="Q3045" s="24" t="s">
        <v>37</v>
      </c>
      <c r="R3045" s="25"/>
      <c r="S3045" s="25"/>
    </row>
    <row r="3046" ht="39" customHeight="1" spans="1:19">
      <c r="A3046" s="19" t="s">
        <v>11857</v>
      </c>
      <c r="B3046" s="20" t="s">
        <v>19</v>
      </c>
      <c r="C3046" s="20" t="s">
        <v>20</v>
      </c>
      <c r="D3046" s="20" t="s">
        <v>32</v>
      </c>
      <c r="E3046" s="21" t="s">
        <v>11858</v>
      </c>
      <c r="F3046" s="21" t="s">
        <v>11859</v>
      </c>
      <c r="G3046" s="20" t="s">
        <v>35</v>
      </c>
      <c r="H3046" s="20" t="s">
        <v>25</v>
      </c>
      <c r="I3046" s="21" t="s">
        <v>11860</v>
      </c>
      <c r="J3046" s="22">
        <f t="shared" si="235"/>
        <v>0.00763888889196096</v>
      </c>
      <c r="K3046" s="22">
        <f t="shared" si="236"/>
        <v>0.183333333407063</v>
      </c>
      <c r="L3046" s="22">
        <f t="shared" si="237"/>
        <v>0.183333333407063</v>
      </c>
      <c r="M3046" s="22" cm="1">
        <f ca="1" t="array" ref="M3046">SUMPRODUCT(--(WEEKDAY(ROW(INDIRECT(INT(F3046)&amp;":"&amp;INT(I3046))),2)&gt;5))</f>
        <v>0</v>
      </c>
      <c r="N3046" s="22">
        <f ca="1" t="shared" si="238"/>
        <v>0.183333333407063</v>
      </c>
      <c r="O3046" s="22" t="str">
        <f ca="1" t="shared" si="239"/>
        <v>Within SLA</v>
      </c>
      <c r="P3046" s="26" t="s">
        <v>11857</v>
      </c>
      <c r="Q3046" s="24" t="s">
        <v>37</v>
      </c>
      <c r="R3046" s="25"/>
      <c r="S3046" s="25"/>
    </row>
    <row r="3047" ht="27" customHeight="1" spans="1:19">
      <c r="A3047" s="19" t="s">
        <v>11861</v>
      </c>
      <c r="B3047" s="20" t="s">
        <v>30</v>
      </c>
      <c r="C3047" s="20" t="s">
        <v>46</v>
      </c>
      <c r="D3047" s="20" t="s">
        <v>32</v>
      </c>
      <c r="E3047" s="21" t="s">
        <v>11862</v>
      </c>
      <c r="F3047" s="21" t="s">
        <v>11863</v>
      </c>
      <c r="G3047" s="20" t="s">
        <v>35</v>
      </c>
      <c r="H3047" s="20" t="s">
        <v>25</v>
      </c>
      <c r="I3047" s="21" t="s">
        <v>11864</v>
      </c>
      <c r="J3047" s="22">
        <f t="shared" si="235"/>
        <v>-0.000694444446708076</v>
      </c>
      <c r="K3047" s="22">
        <f t="shared" si="236"/>
        <v>-0.0166666667209938</v>
      </c>
      <c r="L3047" s="22">
        <f t="shared" si="237"/>
        <v>-0.0166666667209938</v>
      </c>
      <c r="M3047" s="22" cm="1">
        <f ca="1" t="array" ref="M3047">SUMPRODUCT(--(WEEKDAY(ROW(INDIRECT(INT(F3047)&amp;":"&amp;INT(I3047))),2)&gt;5))</f>
        <v>0</v>
      </c>
      <c r="N3047" s="22">
        <f ca="1" t="shared" si="238"/>
        <v>0</v>
      </c>
      <c r="O3047" s="22" t="str">
        <f ca="1" t="shared" si="239"/>
        <v>Within SLA</v>
      </c>
      <c r="P3047" s="26" t="s">
        <v>11861</v>
      </c>
      <c r="Q3047" s="24" t="s">
        <v>37</v>
      </c>
      <c r="R3047" s="25"/>
      <c r="S3047" s="25"/>
    </row>
    <row r="3048" ht="39" customHeight="1" spans="1:19">
      <c r="A3048" s="19" t="s">
        <v>11865</v>
      </c>
      <c r="B3048" s="20" t="s">
        <v>19</v>
      </c>
      <c r="C3048" s="20" t="s">
        <v>20</v>
      </c>
      <c r="D3048" s="20" t="s">
        <v>32</v>
      </c>
      <c r="E3048" s="21" t="s">
        <v>11866</v>
      </c>
      <c r="F3048" s="21" t="s">
        <v>3792</v>
      </c>
      <c r="G3048" s="20" t="s">
        <v>24</v>
      </c>
      <c r="H3048" s="20" t="s">
        <v>25</v>
      </c>
      <c r="I3048" s="21" t="s">
        <v>11867</v>
      </c>
      <c r="J3048" s="22">
        <f t="shared" si="235"/>
        <v>14.8472222222263</v>
      </c>
      <c r="K3048" s="22">
        <f t="shared" si="236"/>
        <v>356.33333333343</v>
      </c>
      <c r="L3048" s="22">
        <f t="shared" si="237"/>
        <v>116.33333333343</v>
      </c>
      <c r="M3048" s="22" cm="1">
        <f ca="1" t="array" ref="M3048">SUMPRODUCT(--(WEEKDAY(ROW(INDIRECT(INT(F3048)&amp;":"&amp;INT(I3048))),2)&gt;5))</f>
        <v>4</v>
      </c>
      <c r="N3048" s="22">
        <f ca="1" t="shared" si="238"/>
        <v>84.33333333343</v>
      </c>
      <c r="O3048" s="22" t="str">
        <f ca="1" t="shared" si="239"/>
        <v>SLA Violated</v>
      </c>
      <c r="P3048" s="23" t="s">
        <v>11868</v>
      </c>
      <c r="Q3048" s="24" t="s">
        <v>37</v>
      </c>
      <c r="R3048" s="25" t="s">
        <v>220</v>
      </c>
      <c r="S3048" s="25" t="s">
        <v>39</v>
      </c>
    </row>
    <row r="3049" ht="39" customHeight="1" spans="1:19">
      <c r="A3049" s="19" t="s">
        <v>11869</v>
      </c>
      <c r="B3049" s="20" t="s">
        <v>196</v>
      </c>
      <c r="C3049" s="20" t="s">
        <v>849</v>
      </c>
      <c r="D3049" s="20" t="s">
        <v>32</v>
      </c>
      <c r="E3049" s="21" t="s">
        <v>11870</v>
      </c>
      <c r="F3049" s="21" t="s">
        <v>11871</v>
      </c>
      <c r="G3049" s="20" t="s">
        <v>35</v>
      </c>
      <c r="H3049" s="20" t="s">
        <v>25</v>
      </c>
      <c r="I3049" s="21" t="s">
        <v>11872</v>
      </c>
      <c r="J3049" s="22">
        <f t="shared" si="235"/>
        <v>0.0562500000014552</v>
      </c>
      <c r="K3049" s="22">
        <f t="shared" si="236"/>
        <v>1.35000000003492</v>
      </c>
      <c r="L3049" s="22">
        <f t="shared" si="237"/>
        <v>1.35000000003492</v>
      </c>
      <c r="M3049" s="22" cm="1">
        <f ca="1" t="array" ref="M3049">SUMPRODUCT(--(WEEKDAY(ROW(INDIRECT(INT(F3049)&amp;":"&amp;INT(I3049))),2)&gt;5))</f>
        <v>0</v>
      </c>
      <c r="N3049" s="22">
        <f ca="1" t="shared" si="238"/>
        <v>1.35000000003492</v>
      </c>
      <c r="O3049" s="22" t="str">
        <f ca="1" t="shared" si="239"/>
        <v>Within SLA</v>
      </c>
      <c r="P3049" s="26" t="s">
        <v>11869</v>
      </c>
      <c r="Q3049" s="24" t="s">
        <v>37</v>
      </c>
      <c r="R3049" s="25"/>
      <c r="S3049" s="25"/>
    </row>
    <row r="3050" ht="39" customHeight="1" spans="1:19">
      <c r="A3050" s="19" t="s">
        <v>11873</v>
      </c>
      <c r="B3050" s="20" t="s">
        <v>196</v>
      </c>
      <c r="C3050" s="20" t="s">
        <v>31</v>
      </c>
      <c r="D3050" s="20" t="s">
        <v>32</v>
      </c>
      <c r="E3050" s="21" t="s">
        <v>11870</v>
      </c>
      <c r="F3050" s="21" t="s">
        <v>11874</v>
      </c>
      <c r="G3050" s="20" t="s">
        <v>35</v>
      </c>
      <c r="H3050" s="20" t="s">
        <v>25</v>
      </c>
      <c r="I3050" s="21" t="s">
        <v>11875</v>
      </c>
      <c r="J3050" s="22">
        <f t="shared" si="235"/>
        <v>0.047222222223354</v>
      </c>
      <c r="K3050" s="22">
        <f t="shared" si="236"/>
        <v>1.1333333333605</v>
      </c>
      <c r="L3050" s="22">
        <f t="shared" si="237"/>
        <v>1.1333333333605</v>
      </c>
      <c r="M3050" s="22" cm="1">
        <f ca="1" t="array" ref="M3050">SUMPRODUCT(--(WEEKDAY(ROW(INDIRECT(INT(F3050)&amp;":"&amp;INT(I3050))),2)&gt;5))</f>
        <v>0</v>
      </c>
      <c r="N3050" s="22">
        <f ca="1" t="shared" si="238"/>
        <v>1.1333333333605</v>
      </c>
      <c r="O3050" s="22" t="str">
        <f ca="1" t="shared" si="239"/>
        <v>Within SLA</v>
      </c>
      <c r="P3050" s="26" t="s">
        <v>11873</v>
      </c>
      <c r="Q3050" s="24" t="s">
        <v>37</v>
      </c>
      <c r="R3050" s="25"/>
      <c r="S3050" s="25"/>
    </row>
    <row r="3051" ht="27" customHeight="1" spans="1:19">
      <c r="A3051" s="19" t="s">
        <v>11876</v>
      </c>
      <c r="B3051" s="20" t="s">
        <v>30</v>
      </c>
      <c r="C3051" s="20" t="s">
        <v>849</v>
      </c>
      <c r="D3051" s="20" t="s">
        <v>32</v>
      </c>
      <c r="E3051" s="21" t="s">
        <v>11877</v>
      </c>
      <c r="F3051" s="21" t="s">
        <v>11878</v>
      </c>
      <c r="G3051" s="20" t="s">
        <v>35</v>
      </c>
      <c r="H3051" s="20" t="s">
        <v>25</v>
      </c>
      <c r="I3051" s="21" t="s">
        <v>11879</v>
      </c>
      <c r="J3051" s="22">
        <f t="shared" si="235"/>
        <v>1.01875000000291</v>
      </c>
      <c r="K3051" s="22">
        <f t="shared" si="236"/>
        <v>24.4500000000698</v>
      </c>
      <c r="L3051" s="22">
        <f t="shared" si="237"/>
        <v>8.45000000006985</v>
      </c>
      <c r="M3051" s="22" cm="1">
        <f ca="1" t="array" ref="M3051">SUMPRODUCT(--(WEEKDAY(ROW(INDIRECT(INT(F3051)&amp;":"&amp;INT(I3051))),2)&gt;5))</f>
        <v>0</v>
      </c>
      <c r="N3051" s="22">
        <f ca="1" t="shared" si="238"/>
        <v>8.45000000006985</v>
      </c>
      <c r="O3051" s="22" t="str">
        <f ca="1" t="shared" si="239"/>
        <v>Within SLA</v>
      </c>
      <c r="P3051" s="26" t="s">
        <v>11876</v>
      </c>
      <c r="Q3051" s="24" t="s">
        <v>37</v>
      </c>
      <c r="R3051" s="25"/>
      <c r="S3051" s="25"/>
    </row>
    <row r="3052" ht="39" customHeight="1" spans="1:19">
      <c r="A3052" s="19" t="s">
        <v>11880</v>
      </c>
      <c r="B3052" s="20" t="s">
        <v>19</v>
      </c>
      <c r="C3052" s="20" t="s">
        <v>20</v>
      </c>
      <c r="D3052" s="20" t="s">
        <v>32</v>
      </c>
      <c r="E3052" s="21" t="s">
        <v>11881</v>
      </c>
      <c r="F3052" s="21" t="s">
        <v>11882</v>
      </c>
      <c r="G3052" s="20" t="s">
        <v>35</v>
      </c>
      <c r="H3052" s="20" t="s">
        <v>25</v>
      </c>
      <c r="I3052" s="21" t="s">
        <v>11883</v>
      </c>
      <c r="J3052" s="22">
        <f t="shared" si="235"/>
        <v>5.78263888889342</v>
      </c>
      <c r="K3052" s="22">
        <f t="shared" si="236"/>
        <v>138.783333333442</v>
      </c>
      <c r="L3052" s="22">
        <f t="shared" si="237"/>
        <v>42.783333333442</v>
      </c>
      <c r="M3052" s="22" cm="1">
        <f ca="1" t="array" ref="M3052">SUMPRODUCT(--(WEEKDAY(ROW(INDIRECT(INT(F3052)&amp;":"&amp;INT(I3052))),2)&gt;5))</f>
        <v>2</v>
      </c>
      <c r="N3052" s="22">
        <f ca="1" t="shared" si="238"/>
        <v>26.783333333442</v>
      </c>
      <c r="O3052" s="22" t="str">
        <f ca="1" t="shared" si="239"/>
        <v>SLA Violated</v>
      </c>
      <c r="P3052" s="23" t="s">
        <v>11884</v>
      </c>
      <c r="Q3052" s="24" t="s">
        <v>37</v>
      </c>
      <c r="R3052" s="25" t="s">
        <v>38</v>
      </c>
      <c r="S3052" s="25" t="s">
        <v>39</v>
      </c>
    </row>
    <row r="3053" ht="39" customHeight="1" spans="1:19">
      <c r="A3053" s="19" t="s">
        <v>11885</v>
      </c>
      <c r="B3053" s="20" t="s">
        <v>196</v>
      </c>
      <c r="C3053" s="20" t="s">
        <v>849</v>
      </c>
      <c r="D3053" s="20" t="s">
        <v>32</v>
      </c>
      <c r="E3053" s="21" t="s">
        <v>11886</v>
      </c>
      <c r="F3053" s="21" t="s">
        <v>11887</v>
      </c>
      <c r="G3053" s="20" t="s">
        <v>35</v>
      </c>
      <c r="H3053" s="20" t="s">
        <v>25</v>
      </c>
      <c r="I3053" s="21" t="s">
        <v>11888</v>
      </c>
      <c r="J3053" s="22">
        <f t="shared" si="235"/>
        <v>0.950694444443798</v>
      </c>
      <c r="K3053" s="22">
        <f t="shared" si="236"/>
        <v>22.8166666666511</v>
      </c>
      <c r="L3053" s="22">
        <f t="shared" si="237"/>
        <v>6.81666666665114</v>
      </c>
      <c r="M3053" s="22" cm="1">
        <f ca="1" t="array" ref="M3053">SUMPRODUCT(--(WEEKDAY(ROW(INDIRECT(INT(F3053)&amp;":"&amp;INT(I3053))),2)&gt;5))</f>
        <v>0</v>
      </c>
      <c r="N3053" s="22">
        <f ca="1" t="shared" si="238"/>
        <v>6.81666666665114</v>
      </c>
      <c r="O3053" s="22" t="str">
        <f ca="1" t="shared" si="239"/>
        <v>Within SLA</v>
      </c>
      <c r="P3053" s="26" t="s">
        <v>11885</v>
      </c>
      <c r="Q3053" s="24" t="s">
        <v>37</v>
      </c>
      <c r="R3053" s="25"/>
      <c r="S3053" s="25"/>
    </row>
    <row r="3054" ht="27" customHeight="1" spans="1:19">
      <c r="A3054" s="19" t="s">
        <v>11889</v>
      </c>
      <c r="B3054" s="20" t="s">
        <v>30</v>
      </c>
      <c r="C3054" s="20" t="s">
        <v>46</v>
      </c>
      <c r="D3054" s="20" t="s">
        <v>32</v>
      </c>
      <c r="E3054" s="21" t="s">
        <v>11508</v>
      </c>
      <c r="F3054" s="21" t="s">
        <v>11890</v>
      </c>
      <c r="G3054" s="20" t="s">
        <v>35</v>
      </c>
      <c r="H3054" s="20" t="s">
        <v>25</v>
      </c>
      <c r="I3054" s="21" t="s">
        <v>11891</v>
      </c>
      <c r="J3054" s="22">
        <f t="shared" si="235"/>
        <v>0.0104166666642413</v>
      </c>
      <c r="K3054" s="22">
        <f t="shared" si="236"/>
        <v>0.249999999941792</v>
      </c>
      <c r="L3054" s="22">
        <f t="shared" si="237"/>
        <v>0.249999999941792</v>
      </c>
      <c r="M3054" s="22" cm="1">
        <f ca="1" t="array" ref="M3054">SUMPRODUCT(--(WEEKDAY(ROW(INDIRECT(INT(F3054)&amp;":"&amp;INT(I3054))),2)&gt;5))</f>
        <v>0</v>
      </c>
      <c r="N3054" s="22">
        <f ca="1" t="shared" si="238"/>
        <v>0.249999999941792</v>
      </c>
      <c r="O3054" s="22" t="str">
        <f ca="1" t="shared" si="239"/>
        <v>Within SLA</v>
      </c>
      <c r="P3054" s="26" t="s">
        <v>11889</v>
      </c>
      <c r="Q3054" s="24" t="s">
        <v>37</v>
      </c>
      <c r="R3054" s="25"/>
      <c r="S3054" s="25"/>
    </row>
    <row r="3055" ht="39" customHeight="1" spans="1:19">
      <c r="A3055" s="19" t="s">
        <v>11892</v>
      </c>
      <c r="B3055" s="20" t="s">
        <v>19</v>
      </c>
      <c r="C3055" s="20" t="s">
        <v>20</v>
      </c>
      <c r="D3055" s="20" t="s">
        <v>32</v>
      </c>
      <c r="E3055" s="21" t="s">
        <v>11893</v>
      </c>
      <c r="F3055" s="21" t="s">
        <v>11894</v>
      </c>
      <c r="G3055" s="20" t="s">
        <v>35</v>
      </c>
      <c r="H3055" s="20" t="s">
        <v>25</v>
      </c>
      <c r="I3055" s="21" t="s">
        <v>11895</v>
      </c>
      <c r="J3055" s="22">
        <f t="shared" si="235"/>
        <v>0.0479166666700621</v>
      </c>
      <c r="K3055" s="22">
        <f t="shared" si="236"/>
        <v>1.15000000008149</v>
      </c>
      <c r="L3055" s="22">
        <f t="shared" si="237"/>
        <v>1.15000000008149</v>
      </c>
      <c r="M3055" s="22" cm="1">
        <f ca="1" t="array" ref="M3055">SUMPRODUCT(--(WEEKDAY(ROW(INDIRECT(INT(F3055)&amp;":"&amp;INT(I3055))),2)&gt;5))</f>
        <v>0</v>
      </c>
      <c r="N3055" s="22">
        <f ca="1" t="shared" si="238"/>
        <v>1.15000000008149</v>
      </c>
      <c r="O3055" s="22" t="str">
        <f ca="1" t="shared" si="239"/>
        <v>Within SLA</v>
      </c>
      <c r="P3055" s="26" t="s">
        <v>11892</v>
      </c>
      <c r="Q3055" s="24" t="s">
        <v>37</v>
      </c>
      <c r="R3055" s="25"/>
      <c r="S3055" s="25"/>
    </row>
    <row r="3056" ht="39" customHeight="1" spans="1:19">
      <c r="A3056" s="19" t="s">
        <v>11896</v>
      </c>
      <c r="B3056" s="20" t="s">
        <v>19</v>
      </c>
      <c r="C3056" s="20" t="s">
        <v>20</v>
      </c>
      <c r="D3056" s="20" t="s">
        <v>32</v>
      </c>
      <c r="E3056" s="21" t="s">
        <v>11897</v>
      </c>
      <c r="F3056" s="21" t="s">
        <v>11898</v>
      </c>
      <c r="G3056" s="20" t="s">
        <v>35</v>
      </c>
      <c r="H3056" s="20" t="s">
        <v>25</v>
      </c>
      <c r="I3056" s="21" t="s">
        <v>11899</v>
      </c>
      <c r="J3056" s="22">
        <f t="shared" si="235"/>
        <v>6.7236111111124</v>
      </c>
      <c r="K3056" s="22">
        <f t="shared" si="236"/>
        <v>161.366666666698</v>
      </c>
      <c r="L3056" s="22">
        <f t="shared" si="237"/>
        <v>49.3666666666977</v>
      </c>
      <c r="M3056" s="22" cm="1">
        <f ca="1" t="array" ref="M3056">SUMPRODUCT(--(WEEKDAY(ROW(INDIRECT(INT(F3056)&amp;":"&amp;INT(I3056))),2)&gt;5))</f>
        <v>2</v>
      </c>
      <c r="N3056" s="22">
        <f ca="1" t="shared" si="238"/>
        <v>33.3666666666977</v>
      </c>
      <c r="O3056" s="22" t="str">
        <f ca="1" t="shared" si="239"/>
        <v>SLA Violated</v>
      </c>
      <c r="P3056" s="23" t="s">
        <v>11900</v>
      </c>
      <c r="Q3056" s="24" t="s">
        <v>37</v>
      </c>
      <c r="R3056" s="25" t="s">
        <v>719</v>
      </c>
      <c r="S3056" s="25" t="s">
        <v>39</v>
      </c>
    </row>
    <row r="3057" ht="39" customHeight="1" spans="1:19">
      <c r="A3057" s="19" t="s">
        <v>11901</v>
      </c>
      <c r="B3057" s="20" t="s">
        <v>19</v>
      </c>
      <c r="C3057" s="20" t="s">
        <v>20</v>
      </c>
      <c r="D3057" s="20" t="s">
        <v>32</v>
      </c>
      <c r="E3057" s="21" t="s">
        <v>11828</v>
      </c>
      <c r="F3057" s="21" t="s">
        <v>11902</v>
      </c>
      <c r="G3057" s="20" t="s">
        <v>35</v>
      </c>
      <c r="H3057" s="20" t="s">
        <v>25</v>
      </c>
      <c r="I3057" s="21" t="s">
        <v>11855</v>
      </c>
      <c r="J3057" s="22">
        <f t="shared" si="235"/>
        <v>0.0138888888832298</v>
      </c>
      <c r="K3057" s="22">
        <f t="shared" si="236"/>
        <v>0.333333333197515</v>
      </c>
      <c r="L3057" s="22">
        <f t="shared" si="237"/>
        <v>0.333333333197515</v>
      </c>
      <c r="M3057" s="22" cm="1">
        <f ca="1" t="array" ref="M3057">SUMPRODUCT(--(WEEKDAY(ROW(INDIRECT(INT(F3057)&amp;":"&amp;INT(I3057))),2)&gt;5))</f>
        <v>0</v>
      </c>
      <c r="N3057" s="22">
        <f ca="1" t="shared" si="238"/>
        <v>0.333333333197515</v>
      </c>
      <c r="O3057" s="22" t="str">
        <f ca="1" t="shared" si="239"/>
        <v>Within SLA</v>
      </c>
      <c r="P3057" s="26" t="s">
        <v>11901</v>
      </c>
      <c r="Q3057" s="24" t="s">
        <v>37</v>
      </c>
      <c r="R3057" s="25"/>
      <c r="S3057" s="25"/>
    </row>
    <row r="3058" ht="27" customHeight="1" spans="1:19">
      <c r="A3058" s="19" t="s">
        <v>11903</v>
      </c>
      <c r="B3058" s="20" t="s">
        <v>139</v>
      </c>
      <c r="C3058" s="20" t="s">
        <v>2057</v>
      </c>
      <c r="D3058" s="20" t="s">
        <v>115</v>
      </c>
      <c r="E3058" s="21" t="s">
        <v>11828</v>
      </c>
      <c r="F3058" s="21" t="s">
        <v>11904</v>
      </c>
      <c r="G3058" s="20" t="s">
        <v>35</v>
      </c>
      <c r="H3058" s="20" t="s">
        <v>25</v>
      </c>
      <c r="I3058" s="21" t="s">
        <v>11905</v>
      </c>
      <c r="J3058" s="22">
        <f t="shared" si="235"/>
        <v>2.02500000000146</v>
      </c>
      <c r="K3058" s="22">
        <f t="shared" si="236"/>
        <v>48.6000000000349</v>
      </c>
      <c r="L3058" s="22">
        <f t="shared" si="237"/>
        <v>16.6000000000349</v>
      </c>
      <c r="M3058" s="22" cm="1">
        <f ca="1" t="array" ref="M3058">SUMPRODUCT(--(WEEKDAY(ROW(INDIRECT(INT(F3058)&amp;":"&amp;INT(I3058))),2)&gt;5))</f>
        <v>0</v>
      </c>
      <c r="N3058" s="22">
        <f ca="1" t="shared" si="238"/>
        <v>16.6000000000349</v>
      </c>
      <c r="O3058" s="22" t="str">
        <f ca="1" t="shared" si="239"/>
        <v>SLA Violated</v>
      </c>
      <c r="P3058" s="23" t="s">
        <v>11906</v>
      </c>
      <c r="Q3058" s="24" t="s">
        <v>28</v>
      </c>
      <c r="R3058" s="25"/>
      <c r="S3058" s="25"/>
    </row>
    <row r="3059" ht="39" customHeight="1" spans="1:19">
      <c r="A3059" s="19" t="s">
        <v>11907</v>
      </c>
      <c r="B3059" s="20" t="s">
        <v>19</v>
      </c>
      <c r="C3059" s="20" t="s">
        <v>20</v>
      </c>
      <c r="D3059" s="20" t="s">
        <v>32</v>
      </c>
      <c r="E3059" s="21" t="s">
        <v>11902</v>
      </c>
      <c r="F3059" s="21" t="s">
        <v>11908</v>
      </c>
      <c r="G3059" s="20" t="s">
        <v>35</v>
      </c>
      <c r="H3059" s="20" t="s">
        <v>25</v>
      </c>
      <c r="I3059" s="21" t="s">
        <v>11909</v>
      </c>
      <c r="J3059" s="22">
        <f t="shared" si="235"/>
        <v>0.0340277777795563</v>
      </c>
      <c r="K3059" s="22">
        <f t="shared" si="236"/>
        <v>0.816666666709352</v>
      </c>
      <c r="L3059" s="22">
        <f t="shared" si="237"/>
        <v>0.816666666709352</v>
      </c>
      <c r="M3059" s="22" cm="1">
        <f ca="1" t="array" ref="M3059">SUMPRODUCT(--(WEEKDAY(ROW(INDIRECT(INT(F3059)&amp;":"&amp;INT(I3059))),2)&gt;5))</f>
        <v>0</v>
      </c>
      <c r="N3059" s="22">
        <f ca="1" t="shared" si="238"/>
        <v>0.816666666709352</v>
      </c>
      <c r="O3059" s="22" t="str">
        <f ca="1" t="shared" si="239"/>
        <v>Within SLA</v>
      </c>
      <c r="P3059" s="26" t="s">
        <v>11907</v>
      </c>
      <c r="Q3059" s="24" t="s">
        <v>37</v>
      </c>
      <c r="R3059" s="25"/>
      <c r="S3059" s="25"/>
    </row>
    <row r="3060" ht="39" customHeight="1" spans="1:19">
      <c r="A3060" s="19" t="s">
        <v>11910</v>
      </c>
      <c r="B3060" s="20" t="s">
        <v>19</v>
      </c>
      <c r="C3060" s="20" t="s">
        <v>20</v>
      </c>
      <c r="D3060" s="20" t="s">
        <v>32</v>
      </c>
      <c r="E3060" s="21" t="s">
        <v>11911</v>
      </c>
      <c r="F3060" s="21" t="s">
        <v>11912</v>
      </c>
      <c r="G3060" s="20" t="s">
        <v>35</v>
      </c>
      <c r="H3060" s="20" t="s">
        <v>25</v>
      </c>
      <c r="I3060" s="21" t="s">
        <v>11913</v>
      </c>
      <c r="J3060" s="22">
        <f t="shared" si="235"/>
        <v>0.750694444439432</v>
      </c>
      <c r="K3060" s="22">
        <f t="shared" si="236"/>
        <v>18.0166666665464</v>
      </c>
      <c r="L3060" s="22">
        <f t="shared" si="237"/>
        <v>2.01666666654637</v>
      </c>
      <c r="M3060" s="22" cm="1">
        <f ca="1" t="array" ref="M3060">SUMPRODUCT(--(WEEKDAY(ROW(INDIRECT(INT(F3060)&amp;":"&amp;INT(I3060))),2)&gt;5))</f>
        <v>0</v>
      </c>
      <c r="N3060" s="22">
        <f ca="1" t="shared" si="238"/>
        <v>2.01666666654637</v>
      </c>
      <c r="O3060" s="22" t="str">
        <f ca="1" t="shared" si="239"/>
        <v>Within SLA</v>
      </c>
      <c r="P3060" s="26" t="s">
        <v>11910</v>
      </c>
      <c r="Q3060" s="24" t="s">
        <v>37</v>
      </c>
      <c r="R3060" s="25"/>
      <c r="S3060" s="25"/>
    </row>
    <row r="3061" ht="39" customHeight="1" spans="1:19">
      <c r="A3061" s="19" t="s">
        <v>11914</v>
      </c>
      <c r="B3061" s="20" t="s">
        <v>19</v>
      </c>
      <c r="C3061" s="20" t="s">
        <v>20</v>
      </c>
      <c r="D3061" s="20" t="s">
        <v>32</v>
      </c>
      <c r="E3061" s="21" t="s">
        <v>11915</v>
      </c>
      <c r="F3061" s="21" t="s">
        <v>11916</v>
      </c>
      <c r="G3061" s="20" t="s">
        <v>35</v>
      </c>
      <c r="H3061" s="20" t="s">
        <v>25</v>
      </c>
      <c r="I3061" s="21" t="s">
        <v>11917</v>
      </c>
      <c r="J3061" s="22">
        <f t="shared" si="235"/>
        <v>0.015277777776646</v>
      </c>
      <c r="K3061" s="22">
        <f t="shared" si="236"/>
        <v>0.366666666639503</v>
      </c>
      <c r="L3061" s="22">
        <f t="shared" si="237"/>
        <v>0.366666666639503</v>
      </c>
      <c r="M3061" s="22" cm="1">
        <f ca="1" t="array" ref="M3061">SUMPRODUCT(--(WEEKDAY(ROW(INDIRECT(INT(F3061)&amp;":"&amp;INT(I3061))),2)&gt;5))</f>
        <v>0</v>
      </c>
      <c r="N3061" s="22">
        <f ca="1" t="shared" si="238"/>
        <v>0.366666666639503</v>
      </c>
      <c r="O3061" s="22" t="str">
        <f ca="1" t="shared" si="239"/>
        <v>Within SLA</v>
      </c>
      <c r="P3061" s="26" t="s">
        <v>11914</v>
      </c>
      <c r="Q3061" s="24" t="s">
        <v>37</v>
      </c>
      <c r="R3061" s="25"/>
      <c r="S3061" s="25"/>
    </row>
    <row r="3062" ht="39" customHeight="1" spans="1:19">
      <c r="A3062" s="19" t="s">
        <v>11918</v>
      </c>
      <c r="B3062" s="20" t="s">
        <v>19</v>
      </c>
      <c r="C3062" s="20" t="s">
        <v>20</v>
      </c>
      <c r="D3062" s="20" t="s">
        <v>32</v>
      </c>
      <c r="E3062" s="21" t="s">
        <v>11919</v>
      </c>
      <c r="F3062" s="21" t="s">
        <v>11920</v>
      </c>
      <c r="G3062" s="20" t="s">
        <v>35</v>
      </c>
      <c r="H3062" s="20" t="s">
        <v>25</v>
      </c>
      <c r="I3062" s="21" t="s">
        <v>11921</v>
      </c>
      <c r="J3062" s="22">
        <f t="shared" si="235"/>
        <v>0.0805555555489263</v>
      </c>
      <c r="K3062" s="22">
        <f t="shared" si="236"/>
        <v>1.93333333317423</v>
      </c>
      <c r="L3062" s="22">
        <f t="shared" si="237"/>
        <v>1.93333333317423</v>
      </c>
      <c r="M3062" s="22" cm="1">
        <f ca="1" t="array" ref="M3062">SUMPRODUCT(--(WEEKDAY(ROW(INDIRECT(INT(F3062)&amp;":"&amp;INT(I3062))),2)&gt;5))</f>
        <v>0</v>
      </c>
      <c r="N3062" s="22">
        <f ca="1" t="shared" si="238"/>
        <v>1.93333333317423</v>
      </c>
      <c r="O3062" s="22" t="str">
        <f ca="1" t="shared" si="239"/>
        <v>Within SLA</v>
      </c>
      <c r="P3062" s="26" t="s">
        <v>11918</v>
      </c>
      <c r="Q3062" s="24" t="s">
        <v>37</v>
      </c>
      <c r="R3062" s="25"/>
      <c r="S3062" s="25"/>
    </row>
    <row r="3063" ht="39" customHeight="1" spans="1:19">
      <c r="A3063" s="19" t="s">
        <v>11922</v>
      </c>
      <c r="B3063" s="20" t="s">
        <v>196</v>
      </c>
      <c r="C3063" s="20" t="s">
        <v>849</v>
      </c>
      <c r="D3063" s="20" t="s">
        <v>32</v>
      </c>
      <c r="E3063" s="21" t="s">
        <v>11923</v>
      </c>
      <c r="F3063" s="21" t="s">
        <v>11924</v>
      </c>
      <c r="G3063" s="20" t="s">
        <v>35</v>
      </c>
      <c r="H3063" s="20" t="s">
        <v>25</v>
      </c>
      <c r="I3063" s="21" t="s">
        <v>11925</v>
      </c>
      <c r="J3063" s="22">
        <f t="shared" si="235"/>
        <v>0.007638888884685</v>
      </c>
      <c r="K3063" s="22">
        <f t="shared" si="236"/>
        <v>0.18333333323244</v>
      </c>
      <c r="L3063" s="22">
        <f t="shared" si="237"/>
        <v>0.18333333323244</v>
      </c>
      <c r="M3063" s="22" cm="1">
        <f ca="1" t="array" ref="M3063">SUMPRODUCT(--(WEEKDAY(ROW(INDIRECT(INT(F3063)&amp;":"&amp;INT(I3063))),2)&gt;5))</f>
        <v>0</v>
      </c>
      <c r="N3063" s="22">
        <f ca="1" t="shared" si="238"/>
        <v>0.18333333323244</v>
      </c>
      <c r="O3063" s="22" t="str">
        <f ca="1" t="shared" si="239"/>
        <v>Within SLA</v>
      </c>
      <c r="P3063" s="26" t="s">
        <v>11922</v>
      </c>
      <c r="Q3063" s="24" t="s">
        <v>37</v>
      </c>
      <c r="R3063" s="25"/>
      <c r="S3063" s="25"/>
    </row>
    <row r="3064" ht="39" customHeight="1" spans="1:19">
      <c r="A3064" s="19" t="s">
        <v>11926</v>
      </c>
      <c r="B3064" s="20" t="s">
        <v>19</v>
      </c>
      <c r="C3064" s="20" t="s">
        <v>20</v>
      </c>
      <c r="D3064" s="20" t="s">
        <v>32</v>
      </c>
      <c r="E3064" s="21" t="s">
        <v>11927</v>
      </c>
      <c r="F3064" s="21" t="s">
        <v>11928</v>
      </c>
      <c r="G3064" s="20" t="s">
        <v>35</v>
      </c>
      <c r="H3064" s="20" t="s">
        <v>25</v>
      </c>
      <c r="I3064" s="21" t="s">
        <v>11929</v>
      </c>
      <c r="J3064" s="22">
        <f t="shared" si="235"/>
        <v>0.00902777777810115</v>
      </c>
      <c r="K3064" s="22">
        <f t="shared" si="236"/>
        <v>0.216666666674428</v>
      </c>
      <c r="L3064" s="22">
        <f t="shared" si="237"/>
        <v>0.216666666674428</v>
      </c>
      <c r="M3064" s="22" cm="1">
        <f ca="1" t="array" ref="M3064">SUMPRODUCT(--(WEEKDAY(ROW(INDIRECT(INT(F3064)&amp;":"&amp;INT(I3064))),2)&gt;5))</f>
        <v>0</v>
      </c>
      <c r="N3064" s="22">
        <f ca="1" t="shared" si="238"/>
        <v>0.216666666674428</v>
      </c>
      <c r="O3064" s="22" t="str">
        <f ca="1" t="shared" si="239"/>
        <v>Within SLA</v>
      </c>
      <c r="P3064" s="26" t="s">
        <v>11926</v>
      </c>
      <c r="Q3064" s="24" t="s">
        <v>37</v>
      </c>
      <c r="R3064" s="25"/>
      <c r="S3064" s="25"/>
    </row>
    <row r="3065" ht="39" customHeight="1" spans="1:19">
      <c r="A3065" s="19" t="s">
        <v>11930</v>
      </c>
      <c r="B3065" s="20" t="s">
        <v>19</v>
      </c>
      <c r="C3065" s="20" t="s">
        <v>20</v>
      </c>
      <c r="D3065" s="20" t="s">
        <v>32</v>
      </c>
      <c r="E3065" s="21" t="s">
        <v>11931</v>
      </c>
      <c r="F3065" s="21" t="s">
        <v>11932</v>
      </c>
      <c r="G3065" s="20" t="s">
        <v>35</v>
      </c>
      <c r="H3065" s="20" t="s">
        <v>25</v>
      </c>
      <c r="I3065" s="21" t="s">
        <v>11933</v>
      </c>
      <c r="J3065" s="22">
        <f t="shared" si="235"/>
        <v>0.0652777777795563</v>
      </c>
      <c r="K3065" s="22">
        <f t="shared" si="236"/>
        <v>1.56666666670935</v>
      </c>
      <c r="L3065" s="22">
        <f t="shared" si="237"/>
        <v>1.56666666670935</v>
      </c>
      <c r="M3065" s="22" cm="1">
        <f ca="1" t="array" ref="M3065">SUMPRODUCT(--(WEEKDAY(ROW(INDIRECT(INT(F3065)&amp;":"&amp;INT(I3065))),2)&gt;5))</f>
        <v>0</v>
      </c>
      <c r="N3065" s="22">
        <f ca="1" t="shared" si="238"/>
        <v>1.56666666670935</v>
      </c>
      <c r="O3065" s="22" t="str">
        <f ca="1" t="shared" si="239"/>
        <v>Within SLA</v>
      </c>
      <c r="P3065" s="26" t="s">
        <v>11930</v>
      </c>
      <c r="Q3065" s="24" t="s">
        <v>37</v>
      </c>
      <c r="R3065" s="25"/>
      <c r="S3065" s="25"/>
    </row>
    <row r="3066" ht="39" customHeight="1" spans="1:19">
      <c r="A3066" s="19" t="s">
        <v>11934</v>
      </c>
      <c r="B3066" s="20" t="s">
        <v>196</v>
      </c>
      <c r="C3066" s="20" t="s">
        <v>101</v>
      </c>
      <c r="D3066" s="20" t="s">
        <v>32</v>
      </c>
      <c r="E3066" s="21" t="s">
        <v>11935</v>
      </c>
      <c r="F3066" s="21" t="s">
        <v>11936</v>
      </c>
      <c r="G3066" s="20" t="s">
        <v>35</v>
      </c>
      <c r="H3066" s="20" t="s">
        <v>25</v>
      </c>
      <c r="I3066" s="21" t="s">
        <v>11937</v>
      </c>
      <c r="J3066" s="22">
        <f t="shared" si="235"/>
        <v>0.0243055555620231</v>
      </c>
      <c r="K3066" s="22">
        <f t="shared" si="236"/>
        <v>0.583333333488554</v>
      </c>
      <c r="L3066" s="22">
        <f t="shared" si="237"/>
        <v>0.583333333488554</v>
      </c>
      <c r="M3066" s="22" cm="1">
        <f ca="1" t="array" ref="M3066">SUMPRODUCT(--(WEEKDAY(ROW(INDIRECT(INT(F3066)&amp;":"&amp;INT(I3066))),2)&gt;5))</f>
        <v>0</v>
      </c>
      <c r="N3066" s="22">
        <f ca="1" t="shared" si="238"/>
        <v>0.583333333488554</v>
      </c>
      <c r="O3066" s="22" t="str">
        <f ca="1" t="shared" si="239"/>
        <v>Within SLA</v>
      </c>
      <c r="P3066" s="26" t="s">
        <v>11934</v>
      </c>
      <c r="Q3066" s="24" t="s">
        <v>37</v>
      </c>
      <c r="R3066" s="25"/>
      <c r="S3066" s="25"/>
    </row>
    <row r="3067" ht="27" customHeight="1" spans="1:19">
      <c r="A3067" s="19" t="s">
        <v>11938</v>
      </c>
      <c r="B3067" s="20" t="s">
        <v>139</v>
      </c>
      <c r="C3067" s="20" t="s">
        <v>2057</v>
      </c>
      <c r="D3067" s="20" t="s">
        <v>21</v>
      </c>
      <c r="E3067" s="21" t="s">
        <v>11939</v>
      </c>
      <c r="F3067" s="21" t="s">
        <v>11940</v>
      </c>
      <c r="G3067" s="20" t="s">
        <v>35</v>
      </c>
      <c r="H3067" s="20" t="s">
        <v>25</v>
      </c>
      <c r="I3067" s="21" t="s">
        <v>11941</v>
      </c>
      <c r="J3067" s="22">
        <f t="shared" si="235"/>
        <v>18.9659722222277</v>
      </c>
      <c r="K3067" s="22">
        <f t="shared" si="236"/>
        <v>455.183333333465</v>
      </c>
      <c r="L3067" s="22">
        <f t="shared" si="237"/>
        <v>151.183333333465</v>
      </c>
      <c r="M3067" s="22" cm="1">
        <f ca="1" t="array" ref="M3067">SUMPRODUCT(--(WEEKDAY(ROW(INDIRECT(INT(F3067)&amp;":"&amp;INT(I3067))),2)&gt;5))</f>
        <v>6</v>
      </c>
      <c r="N3067" s="22">
        <f ca="1" t="shared" si="238"/>
        <v>103.183333333465</v>
      </c>
      <c r="O3067" s="22" t="str">
        <f ca="1" t="shared" si="239"/>
        <v>SLA Violated</v>
      </c>
      <c r="P3067" s="23" t="s">
        <v>11942</v>
      </c>
      <c r="Q3067" s="24" t="s">
        <v>37</v>
      </c>
      <c r="R3067" s="25" t="s">
        <v>1020</v>
      </c>
      <c r="S3067" s="25" t="s">
        <v>39</v>
      </c>
    </row>
    <row r="3068" ht="27" customHeight="1" spans="1:19">
      <c r="A3068" s="19" t="s">
        <v>11943</v>
      </c>
      <c r="B3068" s="20" t="s">
        <v>30</v>
      </c>
      <c r="C3068" s="20" t="s">
        <v>31</v>
      </c>
      <c r="D3068" s="20" t="s">
        <v>32</v>
      </c>
      <c r="E3068" s="21" t="s">
        <v>11944</v>
      </c>
      <c r="F3068" s="21" t="s">
        <v>11945</v>
      </c>
      <c r="G3068" s="20" t="s">
        <v>35</v>
      </c>
      <c r="H3068" s="20" t="s">
        <v>25</v>
      </c>
      <c r="I3068" s="21" t="s">
        <v>11946</v>
      </c>
      <c r="J3068" s="22">
        <f t="shared" si="235"/>
        <v>0.119444444448163</v>
      </c>
      <c r="K3068" s="22">
        <f t="shared" si="236"/>
        <v>2.86666666675592</v>
      </c>
      <c r="L3068" s="22">
        <f t="shared" si="237"/>
        <v>2.86666666675592</v>
      </c>
      <c r="M3068" s="22" cm="1">
        <f ca="1" t="array" ref="M3068">SUMPRODUCT(--(WEEKDAY(ROW(INDIRECT(INT(F3068)&amp;":"&amp;INT(I3068))),2)&gt;5))</f>
        <v>0</v>
      </c>
      <c r="N3068" s="22">
        <f ca="1" t="shared" si="238"/>
        <v>2.86666666675592</v>
      </c>
      <c r="O3068" s="22" t="str">
        <f ca="1" t="shared" si="239"/>
        <v>Within SLA</v>
      </c>
      <c r="P3068" s="26" t="s">
        <v>11943</v>
      </c>
      <c r="Q3068" s="24" t="s">
        <v>37</v>
      </c>
      <c r="R3068" s="25"/>
      <c r="S3068" s="25"/>
    </row>
    <row r="3069" ht="39" customHeight="1" spans="1:19">
      <c r="A3069" s="19" t="s">
        <v>11947</v>
      </c>
      <c r="B3069" s="20" t="s">
        <v>19</v>
      </c>
      <c r="C3069" s="20" t="s">
        <v>20</v>
      </c>
      <c r="D3069" s="20" t="s">
        <v>32</v>
      </c>
      <c r="E3069" s="21" t="s">
        <v>11944</v>
      </c>
      <c r="F3069" s="21" t="s">
        <v>11948</v>
      </c>
      <c r="G3069" s="20" t="s">
        <v>35</v>
      </c>
      <c r="H3069" s="20" t="s">
        <v>25</v>
      </c>
      <c r="I3069" s="21" t="s">
        <v>11949</v>
      </c>
      <c r="J3069" s="22">
        <f t="shared" si="235"/>
        <v>0.0166666666627862</v>
      </c>
      <c r="K3069" s="22">
        <f t="shared" si="236"/>
        <v>0.399999999906868</v>
      </c>
      <c r="L3069" s="22">
        <f t="shared" si="237"/>
        <v>0.399999999906868</v>
      </c>
      <c r="M3069" s="22" cm="1">
        <f ca="1" t="array" ref="M3069">SUMPRODUCT(--(WEEKDAY(ROW(INDIRECT(INT(F3069)&amp;":"&amp;INT(I3069))),2)&gt;5))</f>
        <v>0</v>
      </c>
      <c r="N3069" s="22">
        <f ca="1" t="shared" si="238"/>
        <v>0.399999999906868</v>
      </c>
      <c r="O3069" s="22" t="str">
        <f ca="1" t="shared" si="239"/>
        <v>Within SLA</v>
      </c>
      <c r="P3069" s="26" t="s">
        <v>11947</v>
      </c>
      <c r="Q3069" s="24" t="s">
        <v>37</v>
      </c>
      <c r="R3069" s="25"/>
      <c r="S3069" s="25"/>
    </row>
    <row r="3070" ht="39" customHeight="1" spans="1:19">
      <c r="A3070" s="19" t="s">
        <v>11950</v>
      </c>
      <c r="B3070" s="20" t="s">
        <v>19</v>
      </c>
      <c r="C3070" s="20" t="s">
        <v>20</v>
      </c>
      <c r="D3070" s="20" t="s">
        <v>32</v>
      </c>
      <c r="E3070" s="21" t="s">
        <v>11951</v>
      </c>
      <c r="F3070" s="21" t="s">
        <v>11952</v>
      </c>
      <c r="G3070" s="20" t="s">
        <v>35</v>
      </c>
      <c r="H3070" s="20" t="s">
        <v>25</v>
      </c>
      <c r="I3070" s="21" t="s">
        <v>11953</v>
      </c>
      <c r="J3070" s="22">
        <f t="shared" si="235"/>
        <v>0.000694444439432118</v>
      </c>
      <c r="K3070" s="22">
        <f t="shared" si="236"/>
        <v>0.0166666665463708</v>
      </c>
      <c r="L3070" s="22">
        <f t="shared" si="237"/>
        <v>0.0166666665463708</v>
      </c>
      <c r="M3070" s="22" cm="1">
        <f ca="1" t="array" ref="M3070">SUMPRODUCT(--(WEEKDAY(ROW(INDIRECT(INT(F3070)&amp;":"&amp;INT(I3070))),2)&gt;5))</f>
        <v>0</v>
      </c>
      <c r="N3070" s="22">
        <f ca="1" t="shared" si="238"/>
        <v>0.0166666665463708</v>
      </c>
      <c r="O3070" s="22" t="str">
        <f ca="1" t="shared" si="239"/>
        <v>Within SLA</v>
      </c>
      <c r="P3070" s="26" t="s">
        <v>11950</v>
      </c>
      <c r="Q3070" s="24" t="s">
        <v>37</v>
      </c>
      <c r="R3070" s="25"/>
      <c r="S3070" s="25"/>
    </row>
    <row r="3071" ht="39" customHeight="1" spans="1:19">
      <c r="A3071" s="19" t="s">
        <v>11954</v>
      </c>
      <c r="B3071" s="20" t="s">
        <v>19</v>
      </c>
      <c r="C3071" s="20" t="s">
        <v>20</v>
      </c>
      <c r="D3071" s="20" t="s">
        <v>32</v>
      </c>
      <c r="E3071" s="21" t="s">
        <v>11955</v>
      </c>
      <c r="F3071" s="21" t="s">
        <v>11956</v>
      </c>
      <c r="G3071" s="20" t="s">
        <v>35</v>
      </c>
      <c r="H3071" s="20" t="s">
        <v>25</v>
      </c>
      <c r="I3071" s="21" t="s">
        <v>11957</v>
      </c>
      <c r="J3071" s="22">
        <f t="shared" si="235"/>
        <v>0.243750000001455</v>
      </c>
      <c r="K3071" s="22">
        <f t="shared" si="236"/>
        <v>5.85000000003492</v>
      </c>
      <c r="L3071" s="22">
        <f t="shared" si="237"/>
        <v>5.85000000003492</v>
      </c>
      <c r="M3071" s="22" cm="1">
        <f ca="1" t="array" ref="M3071">SUMPRODUCT(--(WEEKDAY(ROW(INDIRECT(INT(F3071)&amp;":"&amp;INT(I3071))),2)&gt;5))</f>
        <v>0</v>
      </c>
      <c r="N3071" s="22">
        <f ca="1" t="shared" si="238"/>
        <v>5.85000000003492</v>
      </c>
      <c r="O3071" s="22" t="str">
        <f ca="1" t="shared" si="239"/>
        <v>Within SLA</v>
      </c>
      <c r="P3071" s="26" t="s">
        <v>11954</v>
      </c>
      <c r="Q3071" s="24" t="s">
        <v>37</v>
      </c>
      <c r="R3071" s="25"/>
      <c r="S3071" s="25"/>
    </row>
    <row r="3072" ht="39" customHeight="1" spans="1:19">
      <c r="A3072" s="19" t="s">
        <v>11958</v>
      </c>
      <c r="B3072" s="20" t="s">
        <v>4167</v>
      </c>
      <c r="C3072" s="20" t="s">
        <v>849</v>
      </c>
      <c r="D3072" s="20" t="s">
        <v>32</v>
      </c>
      <c r="E3072" s="21" t="s">
        <v>11959</v>
      </c>
      <c r="F3072" s="21" t="s">
        <v>11960</v>
      </c>
      <c r="G3072" s="20" t="s">
        <v>35</v>
      </c>
      <c r="H3072" s="20" t="s">
        <v>25</v>
      </c>
      <c r="I3072" s="21" t="s">
        <v>11961</v>
      </c>
      <c r="J3072" s="22">
        <f t="shared" si="235"/>
        <v>0.899999999994179</v>
      </c>
      <c r="K3072" s="22">
        <f t="shared" si="236"/>
        <v>21.5999999998603</v>
      </c>
      <c r="L3072" s="22">
        <f t="shared" si="237"/>
        <v>5.5999999998603</v>
      </c>
      <c r="M3072" s="22" cm="1">
        <f ca="1" t="array" ref="M3072">SUMPRODUCT(--(WEEKDAY(ROW(INDIRECT(INT(F3072)&amp;":"&amp;INT(I3072))),2)&gt;5))</f>
        <v>0</v>
      </c>
      <c r="N3072" s="22">
        <f ca="1" t="shared" si="238"/>
        <v>5.5999999998603</v>
      </c>
      <c r="O3072" s="22" t="str">
        <f ca="1" t="shared" si="239"/>
        <v>Within SLA</v>
      </c>
      <c r="P3072" s="26" t="s">
        <v>11958</v>
      </c>
      <c r="Q3072" s="24" t="s">
        <v>37</v>
      </c>
      <c r="R3072" s="25"/>
      <c r="S3072" s="25"/>
    </row>
    <row r="3073" ht="39" customHeight="1" spans="1:19">
      <c r="A3073" s="19" t="s">
        <v>11962</v>
      </c>
      <c r="B3073" s="20" t="s">
        <v>19</v>
      </c>
      <c r="C3073" s="20" t="s">
        <v>20</v>
      </c>
      <c r="D3073" s="20" t="s">
        <v>32</v>
      </c>
      <c r="E3073" s="21" t="s">
        <v>11963</v>
      </c>
      <c r="F3073" s="21" t="s">
        <v>11964</v>
      </c>
      <c r="G3073" s="20" t="s">
        <v>35</v>
      </c>
      <c r="H3073" s="20" t="s">
        <v>25</v>
      </c>
      <c r="I3073" s="21" t="s">
        <v>11965</v>
      </c>
      <c r="J3073" s="22">
        <f t="shared" si="235"/>
        <v>-0.000694444446708076</v>
      </c>
      <c r="K3073" s="22">
        <f t="shared" si="236"/>
        <v>-0.0166666667209938</v>
      </c>
      <c r="L3073" s="22">
        <f t="shared" si="237"/>
        <v>-0.0166666667209938</v>
      </c>
      <c r="M3073" s="22" cm="1">
        <f ca="1" t="array" ref="M3073">SUMPRODUCT(--(WEEKDAY(ROW(INDIRECT(INT(F3073)&amp;":"&amp;INT(I3073))),2)&gt;5))</f>
        <v>0</v>
      </c>
      <c r="N3073" s="22">
        <f ca="1" t="shared" si="238"/>
        <v>0</v>
      </c>
      <c r="O3073" s="22" t="str">
        <f ca="1" t="shared" si="239"/>
        <v>Within SLA</v>
      </c>
      <c r="P3073" s="26" t="s">
        <v>11962</v>
      </c>
      <c r="Q3073" s="24" t="s">
        <v>37</v>
      </c>
      <c r="R3073" s="25"/>
      <c r="S3073" s="25"/>
    </row>
    <row r="3074" ht="39" customHeight="1" spans="1:19">
      <c r="A3074" s="19" t="s">
        <v>11966</v>
      </c>
      <c r="B3074" s="20" t="s">
        <v>196</v>
      </c>
      <c r="C3074" s="20" t="s">
        <v>849</v>
      </c>
      <c r="D3074" s="20" t="s">
        <v>32</v>
      </c>
      <c r="E3074" s="21" t="s">
        <v>11967</v>
      </c>
      <c r="F3074" s="21" t="s">
        <v>11968</v>
      </c>
      <c r="G3074" s="20" t="s">
        <v>35</v>
      </c>
      <c r="H3074" s="20" t="s">
        <v>25</v>
      </c>
      <c r="I3074" s="21" t="s">
        <v>11969</v>
      </c>
      <c r="J3074" s="22">
        <f t="shared" si="235"/>
        <v>4.05833333332703</v>
      </c>
      <c r="K3074" s="22">
        <f t="shared" si="236"/>
        <v>97.3999999998487</v>
      </c>
      <c r="L3074" s="22">
        <f t="shared" si="237"/>
        <v>33.3999999998487</v>
      </c>
      <c r="M3074" s="22" cm="1">
        <f ca="1" t="array" ref="M3074">SUMPRODUCT(--(WEEKDAY(ROW(INDIRECT(INT(F3074)&amp;":"&amp;INT(I3074))),2)&gt;5))</f>
        <v>2</v>
      </c>
      <c r="N3074" s="22">
        <f ca="1" t="shared" si="238"/>
        <v>17.3999999998487</v>
      </c>
      <c r="O3074" s="22" t="str">
        <f ca="1" t="shared" si="239"/>
        <v>SLA Violated</v>
      </c>
      <c r="P3074" s="23" t="s">
        <v>11970</v>
      </c>
      <c r="Q3074" s="24" t="s">
        <v>28</v>
      </c>
      <c r="R3074" s="25"/>
      <c r="S3074" s="25"/>
    </row>
    <row r="3075" ht="39" customHeight="1" spans="1:19">
      <c r="A3075" s="19" t="s">
        <v>11971</v>
      </c>
      <c r="B3075" s="20" t="s">
        <v>19</v>
      </c>
      <c r="C3075" s="20" t="s">
        <v>20</v>
      </c>
      <c r="D3075" s="20" t="s">
        <v>32</v>
      </c>
      <c r="E3075" s="21" t="s">
        <v>11752</v>
      </c>
      <c r="F3075" s="21" t="s">
        <v>11972</v>
      </c>
      <c r="G3075" s="20" t="s">
        <v>35</v>
      </c>
      <c r="H3075" s="20" t="s">
        <v>25</v>
      </c>
      <c r="I3075" s="21" t="s">
        <v>11973</v>
      </c>
      <c r="J3075" s="22">
        <f t="shared" ref="J3075:J3138" si="240">F3075-I3075</f>
        <v>1.03888888889196</v>
      </c>
      <c r="K3075" s="22">
        <f t="shared" ref="K3075:K3138" si="241">J3075*24</f>
        <v>24.9333333334071</v>
      </c>
      <c r="L3075" s="22">
        <f t="shared" ref="L3075:L3138" si="242">IF(_xlfn.DAYS(F3075,I3075)&gt;0,K3075-IF(FLOOR(J3075,1)=0,1,_xlfn.DAYS(F3075,I3075))*16,K3075)</f>
        <v>8.93333333340706</v>
      </c>
      <c r="M3075" s="22" cm="1">
        <f ca="1" t="array" ref="M3075">SUMPRODUCT(--(WEEKDAY(ROW(INDIRECT(INT(F3075)&amp;":"&amp;INT(I3075))),2)&gt;5))</f>
        <v>0</v>
      </c>
      <c r="N3075" s="22">
        <f ca="1" t="shared" ref="N3075:N3138" si="243">IF(IF(M3075&gt;0,L3075-M3075*8,L3075)&lt;0,0,IF(M3075&gt;0,L3075-M3075*8,L3075))</f>
        <v>8.93333333340706</v>
      </c>
      <c r="O3075" s="22" t="str">
        <f ca="1" t="shared" ref="O3075:O3138" si="244">IF(OR(AND(D3075="P1",N3075&lt;=3),AND(D3075="P2",N3075&lt;=6),AND(D3075="P3",N3075&lt;=9),AND(D3075="P4",N3075&lt;=12)),"Within SLA","SLA Violated")</f>
        <v>Within SLA</v>
      </c>
      <c r="P3075" s="26" t="s">
        <v>11971</v>
      </c>
      <c r="Q3075" s="24" t="s">
        <v>37</v>
      </c>
      <c r="R3075" s="25"/>
      <c r="S3075" s="25"/>
    </row>
    <row r="3076" ht="39" customHeight="1" spans="1:19">
      <c r="A3076" s="19" t="s">
        <v>11974</v>
      </c>
      <c r="B3076" s="20" t="s">
        <v>19</v>
      </c>
      <c r="C3076" s="20" t="s">
        <v>20</v>
      </c>
      <c r="D3076" s="20" t="s">
        <v>21</v>
      </c>
      <c r="E3076" s="21" t="s">
        <v>11975</v>
      </c>
      <c r="F3076" s="21" t="s">
        <v>11976</v>
      </c>
      <c r="G3076" s="20" t="s">
        <v>35</v>
      </c>
      <c r="H3076" s="20" t="s">
        <v>25</v>
      </c>
      <c r="I3076" s="21" t="s">
        <v>11977</v>
      </c>
      <c r="J3076" s="22">
        <f t="shared" si="240"/>
        <v>0.0854166666686069</v>
      </c>
      <c r="K3076" s="22">
        <f t="shared" si="241"/>
        <v>2.05000000004657</v>
      </c>
      <c r="L3076" s="22">
        <f t="shared" si="242"/>
        <v>2.05000000004657</v>
      </c>
      <c r="M3076" s="22" cm="1">
        <f ca="1" t="array" ref="M3076">SUMPRODUCT(--(WEEKDAY(ROW(INDIRECT(INT(F3076)&amp;":"&amp;INT(I3076))),2)&gt;5))</f>
        <v>0</v>
      </c>
      <c r="N3076" s="22">
        <f ca="1" t="shared" si="243"/>
        <v>2.05000000004657</v>
      </c>
      <c r="O3076" s="22" t="str">
        <f ca="1" t="shared" si="244"/>
        <v>Within SLA</v>
      </c>
      <c r="P3076" s="26" t="s">
        <v>11974</v>
      </c>
      <c r="Q3076" s="24" t="s">
        <v>37</v>
      </c>
      <c r="R3076" s="25"/>
      <c r="S3076" s="25"/>
    </row>
    <row r="3077" ht="39" customHeight="1" spans="1:19">
      <c r="A3077" s="19" t="s">
        <v>11978</v>
      </c>
      <c r="B3077" s="20" t="s">
        <v>19</v>
      </c>
      <c r="C3077" s="20" t="s">
        <v>20</v>
      </c>
      <c r="D3077" s="20" t="s">
        <v>32</v>
      </c>
      <c r="E3077" s="21" t="s">
        <v>11979</v>
      </c>
      <c r="F3077" s="21" t="s">
        <v>11980</v>
      </c>
      <c r="G3077" s="20" t="s">
        <v>35</v>
      </c>
      <c r="H3077" s="20" t="s">
        <v>25</v>
      </c>
      <c r="I3077" s="21" t="s">
        <v>11981</v>
      </c>
      <c r="J3077" s="22">
        <f t="shared" si="240"/>
        <v>0.015972222223354</v>
      </c>
      <c r="K3077" s="22">
        <f t="shared" si="241"/>
        <v>0.383333333360497</v>
      </c>
      <c r="L3077" s="22">
        <f t="shared" si="242"/>
        <v>0.383333333360497</v>
      </c>
      <c r="M3077" s="22" cm="1">
        <f ca="1" t="array" ref="M3077">SUMPRODUCT(--(WEEKDAY(ROW(INDIRECT(INT(F3077)&amp;":"&amp;INT(I3077))),2)&gt;5))</f>
        <v>0</v>
      </c>
      <c r="N3077" s="22">
        <f ca="1" t="shared" si="243"/>
        <v>0.383333333360497</v>
      </c>
      <c r="O3077" s="22" t="str">
        <f ca="1" t="shared" si="244"/>
        <v>Within SLA</v>
      </c>
      <c r="P3077" s="26" t="s">
        <v>11978</v>
      </c>
      <c r="Q3077" s="24" t="s">
        <v>37</v>
      </c>
      <c r="R3077" s="25"/>
      <c r="S3077" s="25"/>
    </row>
    <row r="3078" ht="39" customHeight="1" spans="1:19">
      <c r="A3078" s="19" t="s">
        <v>11982</v>
      </c>
      <c r="B3078" s="20" t="s">
        <v>19</v>
      </c>
      <c r="C3078" s="20" t="s">
        <v>20</v>
      </c>
      <c r="D3078" s="20" t="s">
        <v>32</v>
      </c>
      <c r="E3078" s="21" t="s">
        <v>11979</v>
      </c>
      <c r="F3078" s="21" t="s">
        <v>11983</v>
      </c>
      <c r="G3078" s="20" t="s">
        <v>35</v>
      </c>
      <c r="H3078" s="20" t="s">
        <v>25</v>
      </c>
      <c r="I3078" s="21" t="s">
        <v>11984</v>
      </c>
      <c r="J3078" s="22">
        <f t="shared" si="240"/>
        <v>4.94374999999854</v>
      </c>
      <c r="K3078" s="22">
        <f t="shared" si="241"/>
        <v>118.649999999965</v>
      </c>
      <c r="L3078" s="22">
        <f t="shared" si="242"/>
        <v>38.6499999999651</v>
      </c>
      <c r="M3078" s="22" cm="1">
        <f ca="1" t="array" ref="M3078">SUMPRODUCT(--(WEEKDAY(ROW(INDIRECT(INT(F3078)&amp;":"&amp;INT(I3078))),2)&gt;5))</f>
        <v>2</v>
      </c>
      <c r="N3078" s="22">
        <f ca="1" t="shared" si="243"/>
        <v>22.6499999999651</v>
      </c>
      <c r="O3078" s="22" t="str">
        <f ca="1" t="shared" si="244"/>
        <v>SLA Violated</v>
      </c>
      <c r="P3078" s="23" t="s">
        <v>11985</v>
      </c>
      <c r="Q3078" s="24" t="s">
        <v>37</v>
      </c>
      <c r="R3078" s="25" t="s">
        <v>11986</v>
      </c>
      <c r="S3078" s="25" t="s">
        <v>39</v>
      </c>
    </row>
    <row r="3079" ht="39" customHeight="1" spans="1:19">
      <c r="A3079" s="19" t="s">
        <v>11987</v>
      </c>
      <c r="B3079" s="20" t="s">
        <v>19</v>
      </c>
      <c r="C3079" s="20" t="s">
        <v>20</v>
      </c>
      <c r="D3079" s="20" t="s">
        <v>32</v>
      </c>
      <c r="E3079" s="21" t="s">
        <v>11988</v>
      </c>
      <c r="F3079" s="21" t="s">
        <v>11989</v>
      </c>
      <c r="G3079" s="20" t="s">
        <v>35</v>
      </c>
      <c r="H3079" s="20" t="s">
        <v>25</v>
      </c>
      <c r="I3079" s="21" t="s">
        <v>11990</v>
      </c>
      <c r="J3079" s="22">
        <f t="shared" si="240"/>
        <v>0.0326388888861402</v>
      </c>
      <c r="K3079" s="22">
        <f t="shared" si="241"/>
        <v>0.783333333267365</v>
      </c>
      <c r="L3079" s="22">
        <f t="shared" si="242"/>
        <v>0.783333333267365</v>
      </c>
      <c r="M3079" s="22" cm="1">
        <f ca="1" t="array" ref="M3079">SUMPRODUCT(--(WEEKDAY(ROW(INDIRECT(INT(F3079)&amp;":"&amp;INT(I3079))),2)&gt;5))</f>
        <v>0</v>
      </c>
      <c r="N3079" s="22">
        <f ca="1" t="shared" si="243"/>
        <v>0.783333333267365</v>
      </c>
      <c r="O3079" s="22" t="str">
        <f ca="1" t="shared" si="244"/>
        <v>Within SLA</v>
      </c>
      <c r="P3079" s="26" t="s">
        <v>11987</v>
      </c>
      <c r="Q3079" s="24" t="s">
        <v>37</v>
      </c>
      <c r="R3079" s="25"/>
      <c r="S3079" s="25"/>
    </row>
    <row r="3080" ht="27" customHeight="1" spans="1:19">
      <c r="A3080" s="19" t="s">
        <v>11991</v>
      </c>
      <c r="B3080" s="20" t="s">
        <v>139</v>
      </c>
      <c r="C3080" s="20" t="s">
        <v>2057</v>
      </c>
      <c r="D3080" s="20" t="s">
        <v>32</v>
      </c>
      <c r="E3080" s="21" t="s">
        <v>11992</v>
      </c>
      <c r="F3080" s="21" t="s">
        <v>11993</v>
      </c>
      <c r="G3080" s="20" t="s">
        <v>35</v>
      </c>
      <c r="H3080" s="20" t="s">
        <v>25</v>
      </c>
      <c r="I3080" s="21" t="s">
        <v>11994</v>
      </c>
      <c r="J3080" s="22">
        <f t="shared" si="240"/>
        <v>1.77013888888905</v>
      </c>
      <c r="K3080" s="22">
        <f t="shared" si="241"/>
        <v>42.4833333333372</v>
      </c>
      <c r="L3080" s="22">
        <f t="shared" si="242"/>
        <v>10.4833333333372</v>
      </c>
      <c r="M3080" s="22" cm="1">
        <f ca="1" t="array" ref="M3080">SUMPRODUCT(--(WEEKDAY(ROW(INDIRECT(INT(F3080)&amp;":"&amp;INT(I3080))),2)&gt;5))</f>
        <v>0</v>
      </c>
      <c r="N3080" s="22">
        <f ca="1" t="shared" si="243"/>
        <v>10.4833333333372</v>
      </c>
      <c r="O3080" s="22" t="str">
        <f ca="1" t="shared" si="244"/>
        <v>Within SLA</v>
      </c>
      <c r="P3080" s="26" t="s">
        <v>11991</v>
      </c>
      <c r="Q3080" s="24" t="s">
        <v>37</v>
      </c>
      <c r="R3080" s="25"/>
      <c r="S3080" s="25"/>
    </row>
    <row r="3081" ht="39" customHeight="1" spans="1:19">
      <c r="A3081" s="19" t="s">
        <v>11995</v>
      </c>
      <c r="B3081" s="20" t="s">
        <v>19</v>
      </c>
      <c r="C3081" s="20" t="s">
        <v>20</v>
      </c>
      <c r="D3081" s="20" t="s">
        <v>32</v>
      </c>
      <c r="E3081" s="21" t="s">
        <v>11996</v>
      </c>
      <c r="F3081" s="21" t="s">
        <v>11997</v>
      </c>
      <c r="G3081" s="20" t="s">
        <v>35</v>
      </c>
      <c r="H3081" s="20" t="s">
        <v>25</v>
      </c>
      <c r="I3081" s="21" t="s">
        <v>11998</v>
      </c>
      <c r="J3081" s="22">
        <f t="shared" si="240"/>
        <v>0.0333333333328483</v>
      </c>
      <c r="K3081" s="22">
        <f t="shared" si="241"/>
        <v>0.799999999988358</v>
      </c>
      <c r="L3081" s="22">
        <f t="shared" si="242"/>
        <v>0.799999999988358</v>
      </c>
      <c r="M3081" s="22" cm="1">
        <f ca="1" t="array" ref="M3081">SUMPRODUCT(--(WEEKDAY(ROW(INDIRECT(INT(F3081)&amp;":"&amp;INT(I3081))),2)&gt;5))</f>
        <v>0</v>
      </c>
      <c r="N3081" s="22">
        <f ca="1" t="shared" si="243"/>
        <v>0.799999999988358</v>
      </c>
      <c r="O3081" s="22" t="str">
        <f ca="1" t="shared" si="244"/>
        <v>Within SLA</v>
      </c>
      <c r="P3081" s="26" t="s">
        <v>11995</v>
      </c>
      <c r="Q3081" s="24" t="s">
        <v>37</v>
      </c>
      <c r="R3081" s="25"/>
      <c r="S3081" s="25"/>
    </row>
    <row r="3082" ht="39" customHeight="1" spans="1:19">
      <c r="A3082" s="19" t="s">
        <v>11999</v>
      </c>
      <c r="B3082" s="20" t="s">
        <v>19</v>
      </c>
      <c r="C3082" s="20" t="s">
        <v>20</v>
      </c>
      <c r="D3082" s="20" t="s">
        <v>32</v>
      </c>
      <c r="E3082" s="21" t="s">
        <v>12000</v>
      </c>
      <c r="F3082" s="21" t="s">
        <v>12001</v>
      </c>
      <c r="G3082" s="20" t="s">
        <v>35</v>
      </c>
      <c r="H3082" s="20" t="s">
        <v>25</v>
      </c>
      <c r="I3082" s="21" t="s">
        <v>12002</v>
      </c>
      <c r="J3082" s="22">
        <f t="shared" si="240"/>
        <v>0.745833333334303</v>
      </c>
      <c r="K3082" s="22">
        <f t="shared" si="241"/>
        <v>17.9000000000233</v>
      </c>
      <c r="L3082" s="22">
        <f t="shared" si="242"/>
        <v>1.90000000002328</v>
      </c>
      <c r="M3082" s="22" cm="1">
        <f ca="1" t="array" ref="M3082">SUMPRODUCT(--(WEEKDAY(ROW(INDIRECT(INT(F3082)&amp;":"&amp;INT(I3082))),2)&gt;5))</f>
        <v>0</v>
      </c>
      <c r="N3082" s="22">
        <f ca="1" t="shared" si="243"/>
        <v>1.90000000002328</v>
      </c>
      <c r="O3082" s="22" t="str">
        <f ca="1" t="shared" si="244"/>
        <v>Within SLA</v>
      </c>
      <c r="P3082" s="26" t="s">
        <v>11999</v>
      </c>
      <c r="Q3082" s="24" t="s">
        <v>37</v>
      </c>
      <c r="R3082" s="25"/>
      <c r="S3082" s="25"/>
    </row>
    <row r="3083" ht="39" customHeight="1" spans="1:19">
      <c r="A3083" s="19" t="s">
        <v>12003</v>
      </c>
      <c r="B3083" s="20" t="s">
        <v>19</v>
      </c>
      <c r="C3083" s="20" t="s">
        <v>20</v>
      </c>
      <c r="D3083" s="20" t="s">
        <v>32</v>
      </c>
      <c r="E3083" s="21" t="s">
        <v>12000</v>
      </c>
      <c r="F3083" s="21" t="s">
        <v>12004</v>
      </c>
      <c r="G3083" s="20" t="s">
        <v>35</v>
      </c>
      <c r="H3083" s="20" t="s">
        <v>25</v>
      </c>
      <c r="I3083" s="21" t="s">
        <v>12005</v>
      </c>
      <c r="J3083" s="22">
        <f t="shared" si="240"/>
        <v>0.0340277777795563</v>
      </c>
      <c r="K3083" s="22">
        <f t="shared" si="241"/>
        <v>0.816666666709352</v>
      </c>
      <c r="L3083" s="22">
        <f t="shared" si="242"/>
        <v>0.816666666709352</v>
      </c>
      <c r="M3083" s="22" cm="1">
        <f ca="1" t="array" ref="M3083">SUMPRODUCT(--(WEEKDAY(ROW(INDIRECT(INT(F3083)&amp;":"&amp;INT(I3083))),2)&gt;5))</f>
        <v>0</v>
      </c>
      <c r="N3083" s="22">
        <f ca="1" t="shared" si="243"/>
        <v>0.816666666709352</v>
      </c>
      <c r="O3083" s="22" t="str">
        <f ca="1" t="shared" si="244"/>
        <v>Within SLA</v>
      </c>
      <c r="P3083" s="26" t="s">
        <v>12003</v>
      </c>
      <c r="Q3083" s="24" t="s">
        <v>37</v>
      </c>
      <c r="R3083" s="25"/>
      <c r="S3083" s="25"/>
    </row>
    <row r="3084" ht="27" customHeight="1" spans="1:19">
      <c r="A3084" s="19" t="s">
        <v>12006</v>
      </c>
      <c r="B3084" s="20" t="s">
        <v>121</v>
      </c>
      <c r="C3084" s="20" t="s">
        <v>849</v>
      </c>
      <c r="D3084" s="20" t="s">
        <v>105</v>
      </c>
      <c r="E3084" s="21" t="s">
        <v>12007</v>
      </c>
      <c r="F3084" s="21" t="s">
        <v>12008</v>
      </c>
      <c r="G3084" s="20" t="s">
        <v>35</v>
      </c>
      <c r="H3084" s="20" t="s">
        <v>25</v>
      </c>
      <c r="I3084" s="21" t="s">
        <v>12009</v>
      </c>
      <c r="J3084" s="22">
        <f t="shared" si="240"/>
        <v>4.30416666666861</v>
      </c>
      <c r="K3084" s="22">
        <f t="shared" si="241"/>
        <v>103.300000000047</v>
      </c>
      <c r="L3084" s="22">
        <f t="shared" si="242"/>
        <v>39.3000000000466</v>
      </c>
      <c r="M3084" s="22" cm="1">
        <f ca="1" t="array" ref="M3084">SUMPRODUCT(--(WEEKDAY(ROW(INDIRECT(INT(F3084)&amp;":"&amp;INT(I3084))),2)&gt;5))</f>
        <v>2</v>
      </c>
      <c r="N3084" s="22">
        <f ca="1" t="shared" si="243"/>
        <v>23.3000000000466</v>
      </c>
      <c r="O3084" s="22" t="str">
        <f ca="1" t="shared" si="244"/>
        <v>SLA Violated</v>
      </c>
      <c r="P3084" s="23" t="s">
        <v>12010</v>
      </c>
      <c r="Q3084" s="24" t="s">
        <v>28</v>
      </c>
      <c r="R3084" s="25"/>
      <c r="S3084" s="25"/>
    </row>
    <row r="3085" ht="39" customHeight="1" spans="1:19">
      <c r="A3085" s="19" t="s">
        <v>12011</v>
      </c>
      <c r="B3085" s="20" t="s">
        <v>19</v>
      </c>
      <c r="C3085" s="20" t="s">
        <v>20</v>
      </c>
      <c r="D3085" s="20" t="s">
        <v>32</v>
      </c>
      <c r="E3085" s="21" t="s">
        <v>12007</v>
      </c>
      <c r="F3085" s="21" t="s">
        <v>12012</v>
      </c>
      <c r="G3085" s="20" t="s">
        <v>35</v>
      </c>
      <c r="H3085" s="20" t="s">
        <v>25</v>
      </c>
      <c r="I3085" s="21" t="s">
        <v>12013</v>
      </c>
      <c r="J3085" s="22">
        <f t="shared" si="240"/>
        <v>0.168055555557657</v>
      </c>
      <c r="K3085" s="22">
        <f t="shared" si="241"/>
        <v>4.03333333338378</v>
      </c>
      <c r="L3085" s="22">
        <f t="shared" si="242"/>
        <v>4.03333333338378</v>
      </c>
      <c r="M3085" s="22" cm="1">
        <f ca="1" t="array" ref="M3085">SUMPRODUCT(--(WEEKDAY(ROW(INDIRECT(INT(F3085)&amp;":"&amp;INT(I3085))),2)&gt;5))</f>
        <v>0</v>
      </c>
      <c r="N3085" s="22">
        <f ca="1" t="shared" si="243"/>
        <v>4.03333333338378</v>
      </c>
      <c r="O3085" s="22" t="str">
        <f ca="1" t="shared" si="244"/>
        <v>Within SLA</v>
      </c>
      <c r="P3085" s="26" t="s">
        <v>12011</v>
      </c>
      <c r="Q3085" s="24" t="s">
        <v>37</v>
      </c>
      <c r="R3085" s="25"/>
      <c r="S3085" s="25"/>
    </row>
    <row r="3086" ht="27" customHeight="1" spans="1:19">
      <c r="A3086" s="19" t="s">
        <v>12014</v>
      </c>
      <c r="B3086" s="20" t="s">
        <v>30</v>
      </c>
      <c r="C3086" s="20" t="s">
        <v>31</v>
      </c>
      <c r="D3086" s="20" t="s">
        <v>105</v>
      </c>
      <c r="E3086" s="21" t="s">
        <v>12015</v>
      </c>
      <c r="F3086" s="21" t="s">
        <v>12016</v>
      </c>
      <c r="G3086" s="20" t="s">
        <v>35</v>
      </c>
      <c r="H3086" s="20" t="s">
        <v>25</v>
      </c>
      <c r="I3086" s="21" t="s">
        <v>12017</v>
      </c>
      <c r="J3086" s="22">
        <f t="shared" si="240"/>
        <v>1.00277777777228</v>
      </c>
      <c r="K3086" s="22">
        <f t="shared" si="241"/>
        <v>24.0666666665347</v>
      </c>
      <c r="L3086" s="22">
        <f t="shared" si="242"/>
        <v>8.06666666653473</v>
      </c>
      <c r="M3086" s="22" cm="1">
        <f ca="1" t="array" ref="M3086">SUMPRODUCT(--(WEEKDAY(ROW(INDIRECT(INT(F3086)&amp;":"&amp;INT(I3086))),2)&gt;5))</f>
        <v>0</v>
      </c>
      <c r="N3086" s="22">
        <f ca="1" t="shared" si="243"/>
        <v>8.06666666653473</v>
      </c>
      <c r="O3086" s="22" t="str">
        <f ca="1" t="shared" si="244"/>
        <v>SLA Violated</v>
      </c>
      <c r="P3086" s="23" t="s">
        <v>12018</v>
      </c>
      <c r="Q3086" s="24" t="s">
        <v>37</v>
      </c>
      <c r="R3086" s="25" t="s">
        <v>109</v>
      </c>
      <c r="S3086" s="25" t="s">
        <v>39</v>
      </c>
    </row>
    <row r="3087" ht="39" customHeight="1" spans="1:19">
      <c r="A3087" s="19" t="s">
        <v>12019</v>
      </c>
      <c r="B3087" s="20" t="s">
        <v>19</v>
      </c>
      <c r="C3087" s="20" t="s">
        <v>20</v>
      </c>
      <c r="D3087" s="20" t="s">
        <v>32</v>
      </c>
      <c r="E3087" s="21" t="s">
        <v>12020</v>
      </c>
      <c r="F3087" s="21" t="s">
        <v>12021</v>
      </c>
      <c r="G3087" s="20" t="s">
        <v>35</v>
      </c>
      <c r="H3087" s="20" t="s">
        <v>25</v>
      </c>
      <c r="I3087" s="21" t="s">
        <v>12022</v>
      </c>
      <c r="J3087" s="22">
        <f t="shared" si="240"/>
        <v>3.72222222221899</v>
      </c>
      <c r="K3087" s="22">
        <f t="shared" si="241"/>
        <v>89.3333333332557</v>
      </c>
      <c r="L3087" s="22">
        <f t="shared" si="242"/>
        <v>25.3333333332557</v>
      </c>
      <c r="M3087" s="22" cm="1">
        <f ca="1" t="array" ref="M3087">SUMPRODUCT(--(WEEKDAY(ROW(INDIRECT(INT(F3087)&amp;":"&amp;INT(I3087))),2)&gt;5))</f>
        <v>2</v>
      </c>
      <c r="N3087" s="22">
        <f ca="1" t="shared" si="243"/>
        <v>9.3333333332557</v>
      </c>
      <c r="O3087" s="22" t="str">
        <f ca="1" t="shared" si="244"/>
        <v>Within SLA</v>
      </c>
      <c r="P3087" s="26" t="s">
        <v>12019</v>
      </c>
      <c r="Q3087" s="24" t="s">
        <v>37</v>
      </c>
      <c r="R3087" s="25"/>
      <c r="S3087" s="25"/>
    </row>
    <row r="3088" ht="39" customHeight="1" spans="1:19">
      <c r="A3088" s="19" t="s">
        <v>12023</v>
      </c>
      <c r="B3088" s="20" t="s">
        <v>19</v>
      </c>
      <c r="C3088" s="20" t="s">
        <v>20</v>
      </c>
      <c r="D3088" s="20" t="s">
        <v>32</v>
      </c>
      <c r="E3088" s="21" t="s">
        <v>12024</v>
      </c>
      <c r="F3088" s="21" t="s">
        <v>12025</v>
      </c>
      <c r="G3088" s="20" t="s">
        <v>35</v>
      </c>
      <c r="H3088" s="20" t="s">
        <v>25</v>
      </c>
      <c r="I3088" s="21" t="s">
        <v>12026</v>
      </c>
      <c r="J3088" s="22">
        <f t="shared" si="240"/>
        <v>0.0173611111094942</v>
      </c>
      <c r="K3088" s="22">
        <f t="shared" si="241"/>
        <v>0.416666666627862</v>
      </c>
      <c r="L3088" s="22">
        <f t="shared" si="242"/>
        <v>0.416666666627862</v>
      </c>
      <c r="M3088" s="22" cm="1">
        <f ca="1" t="array" ref="M3088">SUMPRODUCT(--(WEEKDAY(ROW(INDIRECT(INT(F3088)&amp;":"&amp;INT(I3088))),2)&gt;5))</f>
        <v>0</v>
      </c>
      <c r="N3088" s="22">
        <f ca="1" t="shared" si="243"/>
        <v>0.416666666627862</v>
      </c>
      <c r="O3088" s="22" t="str">
        <f ca="1" t="shared" si="244"/>
        <v>Within SLA</v>
      </c>
      <c r="P3088" s="26" t="s">
        <v>12023</v>
      </c>
      <c r="Q3088" s="24" t="s">
        <v>37</v>
      </c>
      <c r="R3088" s="25"/>
      <c r="S3088" s="25"/>
    </row>
    <row r="3089" ht="27" customHeight="1" spans="1:19">
      <c r="A3089" s="19" t="s">
        <v>12027</v>
      </c>
      <c r="B3089" s="20" t="s">
        <v>139</v>
      </c>
      <c r="C3089" s="20" t="s">
        <v>2057</v>
      </c>
      <c r="D3089" s="20" t="s">
        <v>32</v>
      </c>
      <c r="E3089" s="21" t="s">
        <v>12028</v>
      </c>
      <c r="F3089" s="21" t="s">
        <v>12029</v>
      </c>
      <c r="G3089" s="20" t="s">
        <v>35</v>
      </c>
      <c r="H3089" s="20" t="s">
        <v>25</v>
      </c>
      <c r="I3089" s="21" t="s">
        <v>12030</v>
      </c>
      <c r="J3089" s="22">
        <f t="shared" si="240"/>
        <v>1.06597222222626</v>
      </c>
      <c r="K3089" s="22">
        <f t="shared" si="241"/>
        <v>25.5833333334303</v>
      </c>
      <c r="L3089" s="22">
        <f t="shared" si="242"/>
        <v>9.58333333343035</v>
      </c>
      <c r="M3089" s="22" cm="1">
        <f ca="1" t="array" ref="M3089">SUMPRODUCT(--(WEEKDAY(ROW(INDIRECT(INT(F3089)&amp;":"&amp;INT(I3089))),2)&gt;5))</f>
        <v>0</v>
      </c>
      <c r="N3089" s="22">
        <f ca="1" t="shared" si="243"/>
        <v>9.58333333343035</v>
      </c>
      <c r="O3089" s="22" t="str">
        <f ca="1" t="shared" si="244"/>
        <v>Within SLA</v>
      </c>
      <c r="P3089" s="26" t="s">
        <v>12027</v>
      </c>
      <c r="Q3089" s="24" t="s">
        <v>37</v>
      </c>
      <c r="R3089" s="25"/>
      <c r="S3089" s="25"/>
    </row>
    <row r="3090" ht="39" customHeight="1" spans="1:19">
      <c r="A3090" s="19" t="s">
        <v>12031</v>
      </c>
      <c r="B3090" s="20" t="s">
        <v>19</v>
      </c>
      <c r="C3090" s="20" t="s">
        <v>20</v>
      </c>
      <c r="D3090" s="20" t="s">
        <v>32</v>
      </c>
      <c r="E3090" s="21" t="s">
        <v>12032</v>
      </c>
      <c r="F3090" s="21" t="s">
        <v>12033</v>
      </c>
      <c r="G3090" s="20" t="s">
        <v>35</v>
      </c>
      <c r="H3090" s="20" t="s">
        <v>25</v>
      </c>
      <c r="I3090" s="21" t="s">
        <v>12034</v>
      </c>
      <c r="J3090" s="22">
        <f t="shared" si="240"/>
        <v>3.9555555555562</v>
      </c>
      <c r="K3090" s="22">
        <f t="shared" si="241"/>
        <v>94.9333333333489</v>
      </c>
      <c r="L3090" s="22">
        <f t="shared" si="242"/>
        <v>30.9333333333489</v>
      </c>
      <c r="M3090" s="22" cm="1">
        <f ca="1" t="array" ref="M3090">SUMPRODUCT(--(WEEKDAY(ROW(INDIRECT(INT(F3090)&amp;":"&amp;INT(I3090))),2)&gt;5))</f>
        <v>2</v>
      </c>
      <c r="N3090" s="22">
        <f ca="1" t="shared" si="243"/>
        <v>14.9333333333489</v>
      </c>
      <c r="O3090" s="22" t="str">
        <f ca="1" t="shared" si="244"/>
        <v>SLA Violated</v>
      </c>
      <c r="P3090" s="23" t="s">
        <v>12035</v>
      </c>
      <c r="Q3090" s="24" t="s">
        <v>37</v>
      </c>
      <c r="R3090" s="25" t="s">
        <v>8961</v>
      </c>
      <c r="S3090" s="25" t="s">
        <v>39</v>
      </c>
    </row>
    <row r="3091" ht="39" customHeight="1" spans="1:19">
      <c r="A3091" s="19" t="s">
        <v>12036</v>
      </c>
      <c r="B3091" s="20" t="s">
        <v>19</v>
      </c>
      <c r="C3091" s="20" t="s">
        <v>20</v>
      </c>
      <c r="D3091" s="20" t="s">
        <v>32</v>
      </c>
      <c r="E3091" s="21" t="s">
        <v>12037</v>
      </c>
      <c r="F3091" s="21" t="s">
        <v>12038</v>
      </c>
      <c r="G3091" s="20" t="s">
        <v>35</v>
      </c>
      <c r="H3091" s="20" t="s">
        <v>25</v>
      </c>
      <c r="I3091" s="21" t="s">
        <v>12038</v>
      </c>
      <c r="J3091" s="22">
        <f t="shared" si="240"/>
        <v>0</v>
      </c>
      <c r="K3091" s="22">
        <f t="shared" si="241"/>
        <v>0</v>
      </c>
      <c r="L3091" s="22">
        <f t="shared" si="242"/>
        <v>0</v>
      </c>
      <c r="M3091" s="22" cm="1">
        <f ca="1" t="array" ref="M3091">SUMPRODUCT(--(WEEKDAY(ROW(INDIRECT(INT(F3091)&amp;":"&amp;INT(I3091))),2)&gt;5))</f>
        <v>0</v>
      </c>
      <c r="N3091" s="22">
        <f ca="1" t="shared" si="243"/>
        <v>0</v>
      </c>
      <c r="O3091" s="22" t="str">
        <f ca="1" t="shared" si="244"/>
        <v>Within SLA</v>
      </c>
      <c r="P3091" s="26" t="s">
        <v>12036</v>
      </c>
      <c r="Q3091" s="24" t="s">
        <v>37</v>
      </c>
      <c r="R3091" s="25"/>
      <c r="S3091" s="25"/>
    </row>
    <row r="3092" ht="39" customHeight="1" spans="1:19">
      <c r="A3092" s="19" t="s">
        <v>12039</v>
      </c>
      <c r="B3092" s="20" t="s">
        <v>19</v>
      </c>
      <c r="C3092" s="20" t="s">
        <v>20</v>
      </c>
      <c r="D3092" s="20" t="s">
        <v>32</v>
      </c>
      <c r="E3092" s="21" t="s">
        <v>12037</v>
      </c>
      <c r="F3092" s="21" t="s">
        <v>12040</v>
      </c>
      <c r="G3092" s="20" t="s">
        <v>35</v>
      </c>
      <c r="H3092" s="20" t="s">
        <v>25</v>
      </c>
      <c r="I3092" s="21" t="s">
        <v>12041</v>
      </c>
      <c r="J3092" s="22">
        <f t="shared" si="240"/>
        <v>0.000694444446708076</v>
      </c>
      <c r="K3092" s="22">
        <f t="shared" si="241"/>
        <v>0.0166666667209938</v>
      </c>
      <c r="L3092" s="22">
        <f t="shared" si="242"/>
        <v>0.0166666667209938</v>
      </c>
      <c r="M3092" s="22" cm="1">
        <f ca="1" t="array" ref="M3092">SUMPRODUCT(--(WEEKDAY(ROW(INDIRECT(INT(F3092)&amp;":"&amp;INT(I3092))),2)&gt;5))</f>
        <v>0</v>
      </c>
      <c r="N3092" s="22">
        <f ca="1" t="shared" si="243"/>
        <v>0.0166666667209938</v>
      </c>
      <c r="O3092" s="22" t="str">
        <f ca="1" t="shared" si="244"/>
        <v>Within SLA</v>
      </c>
      <c r="P3092" s="26" t="s">
        <v>12039</v>
      </c>
      <c r="Q3092" s="24" t="s">
        <v>37</v>
      </c>
      <c r="R3092" s="25"/>
      <c r="S3092" s="25"/>
    </row>
    <row r="3093" ht="27" customHeight="1" spans="1:19">
      <c r="A3093" s="19" t="s">
        <v>12042</v>
      </c>
      <c r="B3093" s="20" t="s">
        <v>30</v>
      </c>
      <c r="C3093" s="20" t="s">
        <v>31</v>
      </c>
      <c r="D3093" s="20" t="s">
        <v>105</v>
      </c>
      <c r="E3093" s="21" t="s">
        <v>12043</v>
      </c>
      <c r="F3093" s="21" t="s">
        <v>12044</v>
      </c>
      <c r="G3093" s="20" t="s">
        <v>35</v>
      </c>
      <c r="H3093" s="20" t="s">
        <v>25</v>
      </c>
      <c r="I3093" s="21" t="s">
        <v>12045</v>
      </c>
      <c r="J3093" s="22">
        <f t="shared" si="240"/>
        <v>3.97152777777228</v>
      </c>
      <c r="K3093" s="22">
        <f t="shared" si="241"/>
        <v>95.3166666665347</v>
      </c>
      <c r="L3093" s="22">
        <f t="shared" si="242"/>
        <v>31.3166666665347</v>
      </c>
      <c r="M3093" s="22" cm="1">
        <f ca="1" t="array" ref="M3093">SUMPRODUCT(--(WEEKDAY(ROW(INDIRECT(INT(F3093)&amp;":"&amp;INT(I3093))),2)&gt;5))</f>
        <v>2</v>
      </c>
      <c r="N3093" s="22">
        <f ca="1" t="shared" si="243"/>
        <v>15.3166666665347</v>
      </c>
      <c r="O3093" s="22" t="str">
        <f ca="1" t="shared" si="244"/>
        <v>SLA Violated</v>
      </c>
      <c r="P3093" s="23" t="s">
        <v>12046</v>
      </c>
      <c r="Q3093" s="24" t="s">
        <v>28</v>
      </c>
      <c r="R3093" s="25"/>
      <c r="S3093" s="25"/>
    </row>
    <row r="3094" ht="39" customHeight="1" spans="1:19">
      <c r="A3094" s="19" t="s">
        <v>12047</v>
      </c>
      <c r="B3094" s="20" t="s">
        <v>19</v>
      </c>
      <c r="C3094" s="20" t="s">
        <v>20</v>
      </c>
      <c r="D3094" s="20" t="s">
        <v>32</v>
      </c>
      <c r="E3094" s="21" t="s">
        <v>12048</v>
      </c>
      <c r="F3094" s="21" t="s">
        <v>12049</v>
      </c>
      <c r="G3094" s="20" t="s">
        <v>35</v>
      </c>
      <c r="H3094" s="20" t="s">
        <v>25</v>
      </c>
      <c r="I3094" s="21" t="s">
        <v>12050</v>
      </c>
      <c r="J3094" s="22">
        <f t="shared" si="240"/>
        <v>1.02916666666715</v>
      </c>
      <c r="K3094" s="22">
        <f t="shared" si="241"/>
        <v>24.7000000000116</v>
      </c>
      <c r="L3094" s="22">
        <f t="shared" si="242"/>
        <v>8.70000000001164</v>
      </c>
      <c r="M3094" s="22" cm="1">
        <f ca="1" t="array" ref="M3094">SUMPRODUCT(--(WEEKDAY(ROW(INDIRECT(INT(F3094)&amp;":"&amp;INT(I3094))),2)&gt;5))</f>
        <v>0</v>
      </c>
      <c r="N3094" s="22">
        <f ca="1" t="shared" si="243"/>
        <v>8.70000000001164</v>
      </c>
      <c r="O3094" s="22" t="str">
        <f ca="1" t="shared" si="244"/>
        <v>Within SLA</v>
      </c>
      <c r="P3094" s="26" t="s">
        <v>12047</v>
      </c>
      <c r="Q3094" s="24" t="s">
        <v>37</v>
      </c>
      <c r="R3094" s="25"/>
      <c r="S3094" s="25"/>
    </row>
    <row r="3095" ht="39" customHeight="1" spans="1:19">
      <c r="A3095" s="19" t="s">
        <v>12051</v>
      </c>
      <c r="B3095" s="20" t="s">
        <v>19</v>
      </c>
      <c r="C3095" s="20" t="s">
        <v>20</v>
      </c>
      <c r="D3095" s="20" t="s">
        <v>32</v>
      </c>
      <c r="E3095" s="21" t="s">
        <v>12052</v>
      </c>
      <c r="F3095" s="21" t="s">
        <v>12053</v>
      </c>
      <c r="G3095" s="20" t="s">
        <v>35</v>
      </c>
      <c r="H3095" s="20" t="s">
        <v>25</v>
      </c>
      <c r="I3095" s="21" t="s">
        <v>12054</v>
      </c>
      <c r="J3095" s="22">
        <f t="shared" si="240"/>
        <v>1.0805555555562</v>
      </c>
      <c r="K3095" s="22">
        <f t="shared" si="241"/>
        <v>25.9333333333489</v>
      </c>
      <c r="L3095" s="22">
        <f t="shared" si="242"/>
        <v>9.93333333334886</v>
      </c>
      <c r="M3095" s="22" cm="1">
        <f ca="1" t="array" ref="M3095">SUMPRODUCT(--(WEEKDAY(ROW(INDIRECT(INT(F3095)&amp;":"&amp;INT(I3095))),2)&gt;5))</f>
        <v>0</v>
      </c>
      <c r="N3095" s="22">
        <f ca="1" t="shared" si="243"/>
        <v>9.93333333334886</v>
      </c>
      <c r="O3095" s="22" t="str">
        <f ca="1" t="shared" si="244"/>
        <v>Within SLA</v>
      </c>
      <c r="P3095" s="26" t="s">
        <v>12051</v>
      </c>
      <c r="Q3095" s="24" t="s">
        <v>37</v>
      </c>
      <c r="R3095" s="25"/>
      <c r="S3095" s="25"/>
    </row>
    <row r="3096" ht="39" customHeight="1" spans="1:19">
      <c r="A3096" s="19" t="s">
        <v>12055</v>
      </c>
      <c r="B3096" s="20" t="s">
        <v>196</v>
      </c>
      <c r="C3096" s="20" t="s">
        <v>849</v>
      </c>
      <c r="D3096" s="20" t="s">
        <v>32</v>
      </c>
      <c r="E3096" s="21" t="s">
        <v>12056</v>
      </c>
      <c r="F3096" s="21" t="s">
        <v>12057</v>
      </c>
      <c r="G3096" s="20" t="s">
        <v>35</v>
      </c>
      <c r="H3096" s="20" t="s">
        <v>25</v>
      </c>
      <c r="I3096" s="21" t="s">
        <v>12058</v>
      </c>
      <c r="J3096" s="22">
        <f t="shared" si="240"/>
        <v>0.858333333337214</v>
      </c>
      <c r="K3096" s="22">
        <f t="shared" si="241"/>
        <v>20.6000000000931</v>
      </c>
      <c r="L3096" s="22">
        <f t="shared" si="242"/>
        <v>4.60000000009313</v>
      </c>
      <c r="M3096" s="22" cm="1">
        <f ca="1" t="array" ref="M3096">SUMPRODUCT(--(WEEKDAY(ROW(INDIRECT(INT(F3096)&amp;":"&amp;INT(I3096))),2)&gt;5))</f>
        <v>0</v>
      </c>
      <c r="N3096" s="22">
        <f ca="1" t="shared" si="243"/>
        <v>4.60000000009313</v>
      </c>
      <c r="O3096" s="22" t="str">
        <f ca="1" t="shared" si="244"/>
        <v>Within SLA</v>
      </c>
      <c r="P3096" s="26" t="s">
        <v>12055</v>
      </c>
      <c r="Q3096" s="24" t="s">
        <v>37</v>
      </c>
      <c r="R3096" s="25"/>
      <c r="S3096" s="25"/>
    </row>
    <row r="3097" ht="27" customHeight="1" spans="1:19">
      <c r="A3097" s="19" t="s">
        <v>12059</v>
      </c>
      <c r="B3097" s="20" t="s">
        <v>121</v>
      </c>
      <c r="C3097" s="20" t="s">
        <v>1935</v>
      </c>
      <c r="D3097" s="20" t="s">
        <v>32</v>
      </c>
      <c r="E3097" s="21" t="s">
        <v>12060</v>
      </c>
      <c r="F3097" s="21" t="s">
        <v>12061</v>
      </c>
      <c r="G3097" s="20" t="s">
        <v>35</v>
      </c>
      <c r="H3097" s="20" t="s">
        <v>25</v>
      </c>
      <c r="I3097" s="21" t="s">
        <v>12062</v>
      </c>
      <c r="J3097" s="22">
        <f t="shared" si="240"/>
        <v>0.0875000000014552</v>
      </c>
      <c r="K3097" s="22">
        <f t="shared" si="241"/>
        <v>2.10000000003492</v>
      </c>
      <c r="L3097" s="22">
        <f t="shared" si="242"/>
        <v>2.10000000003492</v>
      </c>
      <c r="M3097" s="22" cm="1">
        <f ca="1" t="array" ref="M3097">SUMPRODUCT(--(WEEKDAY(ROW(INDIRECT(INT(F3097)&amp;":"&amp;INT(I3097))),2)&gt;5))</f>
        <v>0</v>
      </c>
      <c r="N3097" s="22">
        <f ca="1" t="shared" si="243"/>
        <v>2.10000000003492</v>
      </c>
      <c r="O3097" s="22" t="str">
        <f ca="1" t="shared" si="244"/>
        <v>Within SLA</v>
      </c>
      <c r="P3097" s="26" t="s">
        <v>12059</v>
      </c>
      <c r="Q3097" s="24" t="s">
        <v>37</v>
      </c>
      <c r="R3097" s="25"/>
      <c r="S3097" s="25"/>
    </row>
    <row r="3098" ht="39" customHeight="1" spans="1:19">
      <c r="A3098" s="19" t="s">
        <v>12063</v>
      </c>
      <c r="B3098" s="20" t="s">
        <v>19</v>
      </c>
      <c r="C3098" s="20" t="s">
        <v>20</v>
      </c>
      <c r="D3098" s="20" t="s">
        <v>32</v>
      </c>
      <c r="E3098" s="21" t="s">
        <v>12064</v>
      </c>
      <c r="F3098" s="21" t="s">
        <v>12065</v>
      </c>
      <c r="G3098" s="20" t="s">
        <v>35</v>
      </c>
      <c r="H3098" s="20" t="s">
        <v>25</v>
      </c>
      <c r="I3098" s="21" t="s">
        <v>12066</v>
      </c>
      <c r="J3098" s="22">
        <f t="shared" si="240"/>
        <v>0.0194444444496185</v>
      </c>
      <c r="K3098" s="22">
        <f t="shared" si="241"/>
        <v>0.466666666790843</v>
      </c>
      <c r="L3098" s="22">
        <f t="shared" si="242"/>
        <v>0.466666666790843</v>
      </c>
      <c r="M3098" s="22" cm="1">
        <f ca="1" t="array" ref="M3098">SUMPRODUCT(--(WEEKDAY(ROW(INDIRECT(INT(F3098)&amp;":"&amp;INT(I3098))),2)&gt;5))</f>
        <v>0</v>
      </c>
      <c r="N3098" s="22">
        <f ca="1" t="shared" si="243"/>
        <v>0.466666666790843</v>
      </c>
      <c r="O3098" s="22" t="str">
        <f ca="1" t="shared" si="244"/>
        <v>Within SLA</v>
      </c>
      <c r="P3098" s="26" t="s">
        <v>12063</v>
      </c>
      <c r="Q3098" s="24" t="s">
        <v>37</v>
      </c>
      <c r="R3098" s="25"/>
      <c r="S3098" s="25"/>
    </row>
    <row r="3099" ht="27" customHeight="1" spans="1:19">
      <c r="A3099" s="19" t="s">
        <v>12067</v>
      </c>
      <c r="B3099" s="20" t="s">
        <v>30</v>
      </c>
      <c r="C3099" s="20" t="s">
        <v>46</v>
      </c>
      <c r="D3099" s="20" t="s">
        <v>32</v>
      </c>
      <c r="E3099" s="21" t="s">
        <v>12068</v>
      </c>
      <c r="F3099" s="21" t="s">
        <v>12069</v>
      </c>
      <c r="G3099" s="20" t="s">
        <v>35</v>
      </c>
      <c r="H3099" s="20" t="s">
        <v>25</v>
      </c>
      <c r="I3099" s="21" t="s">
        <v>12070</v>
      </c>
      <c r="J3099" s="22">
        <f t="shared" si="240"/>
        <v>3.9638888888876</v>
      </c>
      <c r="K3099" s="22">
        <f t="shared" si="241"/>
        <v>95.1333333333023</v>
      </c>
      <c r="L3099" s="22">
        <f t="shared" si="242"/>
        <v>31.1333333333023</v>
      </c>
      <c r="M3099" s="22" cm="1">
        <f ca="1" t="array" ref="M3099">SUMPRODUCT(--(WEEKDAY(ROW(INDIRECT(INT(F3099)&amp;":"&amp;INT(I3099))),2)&gt;5))</f>
        <v>2</v>
      </c>
      <c r="N3099" s="22">
        <f ca="1" t="shared" si="243"/>
        <v>15.1333333333023</v>
      </c>
      <c r="O3099" s="22" t="str">
        <f ca="1" t="shared" si="244"/>
        <v>SLA Violated</v>
      </c>
      <c r="P3099" s="23" t="s">
        <v>12071</v>
      </c>
      <c r="Q3099" s="24" t="s">
        <v>37</v>
      </c>
      <c r="R3099" s="25" t="s">
        <v>719</v>
      </c>
      <c r="S3099" s="25"/>
    </row>
    <row r="3100" ht="39" customHeight="1" spans="1:19">
      <c r="A3100" s="19" t="s">
        <v>12072</v>
      </c>
      <c r="B3100" s="20" t="s">
        <v>19</v>
      </c>
      <c r="C3100" s="20" t="s">
        <v>20</v>
      </c>
      <c r="D3100" s="20" t="s">
        <v>32</v>
      </c>
      <c r="E3100" s="21" t="s">
        <v>12073</v>
      </c>
      <c r="F3100" s="21" t="s">
        <v>12074</v>
      </c>
      <c r="G3100" s="20" t="s">
        <v>35</v>
      </c>
      <c r="H3100" s="20" t="s">
        <v>25</v>
      </c>
      <c r="I3100" s="21" t="s">
        <v>12075</v>
      </c>
      <c r="J3100" s="22">
        <f t="shared" si="240"/>
        <v>0.0375000000058208</v>
      </c>
      <c r="K3100" s="22">
        <f t="shared" si="241"/>
        <v>0.900000000139698</v>
      </c>
      <c r="L3100" s="22">
        <f t="shared" si="242"/>
        <v>0.900000000139698</v>
      </c>
      <c r="M3100" s="22" cm="1">
        <f ca="1" t="array" ref="M3100">SUMPRODUCT(--(WEEKDAY(ROW(INDIRECT(INT(F3100)&amp;":"&amp;INT(I3100))),2)&gt;5))</f>
        <v>0</v>
      </c>
      <c r="N3100" s="22">
        <f ca="1" t="shared" si="243"/>
        <v>0.900000000139698</v>
      </c>
      <c r="O3100" s="22" t="str">
        <f ca="1" t="shared" si="244"/>
        <v>Within SLA</v>
      </c>
      <c r="P3100" s="26" t="s">
        <v>12072</v>
      </c>
      <c r="Q3100" s="24" t="s">
        <v>37</v>
      </c>
      <c r="R3100" s="25"/>
      <c r="S3100" s="25"/>
    </row>
    <row r="3101" ht="39" customHeight="1" spans="1:19">
      <c r="A3101" s="19" t="s">
        <v>12076</v>
      </c>
      <c r="B3101" s="20" t="s">
        <v>4167</v>
      </c>
      <c r="C3101" s="20" t="s">
        <v>101</v>
      </c>
      <c r="D3101" s="20" t="s">
        <v>32</v>
      </c>
      <c r="E3101" s="21" t="s">
        <v>12077</v>
      </c>
      <c r="F3101" s="21" t="s">
        <v>12078</v>
      </c>
      <c r="G3101" s="20" t="s">
        <v>35</v>
      </c>
      <c r="H3101" s="20" t="s">
        <v>25</v>
      </c>
      <c r="I3101" s="21" t="s">
        <v>12079</v>
      </c>
      <c r="J3101" s="22">
        <f t="shared" si="240"/>
        <v>1.03263888888614</v>
      </c>
      <c r="K3101" s="22">
        <f t="shared" si="241"/>
        <v>24.7833333332674</v>
      </c>
      <c r="L3101" s="22">
        <f t="shared" si="242"/>
        <v>8.78333333326736</v>
      </c>
      <c r="M3101" s="22" cm="1">
        <f ca="1" t="array" ref="M3101">SUMPRODUCT(--(WEEKDAY(ROW(INDIRECT(INT(F3101)&amp;":"&amp;INT(I3101))),2)&gt;5))</f>
        <v>0</v>
      </c>
      <c r="N3101" s="22">
        <f ca="1" t="shared" si="243"/>
        <v>8.78333333326736</v>
      </c>
      <c r="O3101" s="22" t="str">
        <f ca="1" t="shared" si="244"/>
        <v>Within SLA</v>
      </c>
      <c r="P3101" s="26" t="s">
        <v>12076</v>
      </c>
      <c r="Q3101" s="24" t="s">
        <v>37</v>
      </c>
      <c r="R3101" s="25"/>
      <c r="S3101" s="25"/>
    </row>
    <row r="3102" ht="39" customHeight="1" spans="1:19">
      <c r="A3102" s="19" t="s">
        <v>12080</v>
      </c>
      <c r="B3102" s="20" t="s">
        <v>196</v>
      </c>
      <c r="C3102" s="20" t="s">
        <v>849</v>
      </c>
      <c r="D3102" s="20" t="s">
        <v>32</v>
      </c>
      <c r="E3102" s="21" t="s">
        <v>12081</v>
      </c>
      <c r="F3102" s="21" t="s">
        <v>12082</v>
      </c>
      <c r="G3102" s="20" t="s">
        <v>35</v>
      </c>
      <c r="H3102" s="20" t="s">
        <v>25</v>
      </c>
      <c r="I3102" s="21" t="s">
        <v>12083</v>
      </c>
      <c r="J3102" s="22">
        <f t="shared" si="240"/>
        <v>0.753472222218988</v>
      </c>
      <c r="K3102" s="22">
        <f t="shared" si="241"/>
        <v>18.0833333332557</v>
      </c>
      <c r="L3102" s="22">
        <f t="shared" si="242"/>
        <v>2.08333333325572</v>
      </c>
      <c r="M3102" s="22" cm="1">
        <f ca="1" t="array" ref="M3102">SUMPRODUCT(--(WEEKDAY(ROW(INDIRECT(INT(F3102)&amp;":"&amp;INT(I3102))),2)&gt;5))</f>
        <v>0</v>
      </c>
      <c r="N3102" s="22">
        <f ca="1" t="shared" si="243"/>
        <v>2.08333333325572</v>
      </c>
      <c r="O3102" s="22" t="str">
        <f ca="1" t="shared" si="244"/>
        <v>Within SLA</v>
      </c>
      <c r="P3102" s="26" t="s">
        <v>12080</v>
      </c>
      <c r="Q3102" s="24" t="s">
        <v>37</v>
      </c>
      <c r="R3102" s="25"/>
      <c r="S3102" s="25"/>
    </row>
    <row r="3103" ht="39" customHeight="1" spans="1:19">
      <c r="A3103" s="19" t="s">
        <v>12084</v>
      </c>
      <c r="B3103" s="20" t="s">
        <v>19</v>
      </c>
      <c r="C3103" s="20" t="s">
        <v>20</v>
      </c>
      <c r="D3103" s="20" t="s">
        <v>32</v>
      </c>
      <c r="E3103" s="21" t="s">
        <v>12085</v>
      </c>
      <c r="F3103" s="21" t="s">
        <v>12086</v>
      </c>
      <c r="G3103" s="20" t="s">
        <v>35</v>
      </c>
      <c r="H3103" s="20" t="s">
        <v>25</v>
      </c>
      <c r="I3103" s="21" t="s">
        <v>12087</v>
      </c>
      <c r="J3103" s="22">
        <f t="shared" si="240"/>
        <v>0.0145833333372138</v>
      </c>
      <c r="K3103" s="22">
        <f t="shared" si="241"/>
        <v>0.350000000093132</v>
      </c>
      <c r="L3103" s="22">
        <f t="shared" si="242"/>
        <v>0.350000000093132</v>
      </c>
      <c r="M3103" s="22" cm="1">
        <f ca="1" t="array" ref="M3103">SUMPRODUCT(--(WEEKDAY(ROW(INDIRECT(INT(F3103)&amp;":"&amp;INT(I3103))),2)&gt;5))</f>
        <v>0</v>
      </c>
      <c r="N3103" s="22">
        <f ca="1" t="shared" si="243"/>
        <v>0.350000000093132</v>
      </c>
      <c r="O3103" s="22" t="str">
        <f ca="1" t="shared" si="244"/>
        <v>Within SLA</v>
      </c>
      <c r="P3103" s="26" t="s">
        <v>12084</v>
      </c>
      <c r="Q3103" s="24" t="s">
        <v>37</v>
      </c>
      <c r="R3103" s="25"/>
      <c r="S3103" s="25"/>
    </row>
    <row r="3104" ht="39" customHeight="1" spans="1:19">
      <c r="A3104" s="19" t="s">
        <v>12088</v>
      </c>
      <c r="B3104" s="20" t="s">
        <v>19</v>
      </c>
      <c r="C3104" s="20" t="s">
        <v>20</v>
      </c>
      <c r="D3104" s="20" t="s">
        <v>32</v>
      </c>
      <c r="E3104" s="21" t="s">
        <v>12089</v>
      </c>
      <c r="F3104" s="21" t="s">
        <v>3792</v>
      </c>
      <c r="G3104" s="20" t="s">
        <v>24</v>
      </c>
      <c r="H3104" s="20" t="s">
        <v>25</v>
      </c>
      <c r="I3104" s="21" t="s">
        <v>12090</v>
      </c>
      <c r="J3104" s="22">
        <f t="shared" si="240"/>
        <v>12.7145833333343</v>
      </c>
      <c r="K3104" s="22">
        <f t="shared" si="241"/>
        <v>305.150000000023</v>
      </c>
      <c r="L3104" s="22">
        <f t="shared" si="242"/>
        <v>97.1500000000233</v>
      </c>
      <c r="M3104" s="22" cm="1">
        <f ca="1" t="array" ref="M3104">SUMPRODUCT(--(WEEKDAY(ROW(INDIRECT(INT(F3104)&amp;":"&amp;INT(I3104))),2)&gt;5))</f>
        <v>4</v>
      </c>
      <c r="N3104" s="22">
        <f ca="1" t="shared" si="243"/>
        <v>65.1500000000233</v>
      </c>
      <c r="O3104" s="22" t="str">
        <f ca="1" t="shared" si="244"/>
        <v>SLA Violated</v>
      </c>
      <c r="P3104" s="23" t="s">
        <v>12091</v>
      </c>
      <c r="Q3104" s="24" t="s">
        <v>37</v>
      </c>
      <c r="R3104" s="25" t="s">
        <v>220</v>
      </c>
      <c r="S3104" s="25" t="s">
        <v>39</v>
      </c>
    </row>
    <row r="3105" ht="39" customHeight="1" spans="1:19">
      <c r="A3105" s="19" t="s">
        <v>12092</v>
      </c>
      <c r="B3105" s="20" t="s">
        <v>4167</v>
      </c>
      <c r="C3105" s="20" t="s">
        <v>849</v>
      </c>
      <c r="D3105" s="20" t="s">
        <v>32</v>
      </c>
      <c r="E3105" s="21" t="s">
        <v>12093</v>
      </c>
      <c r="F3105" s="21" t="s">
        <v>12094</v>
      </c>
      <c r="G3105" s="20" t="s">
        <v>35</v>
      </c>
      <c r="H3105" s="20" t="s">
        <v>25</v>
      </c>
      <c r="I3105" s="21" t="s">
        <v>12095</v>
      </c>
      <c r="J3105" s="22">
        <f t="shared" si="240"/>
        <v>1.0090277777781</v>
      </c>
      <c r="K3105" s="22">
        <f t="shared" si="241"/>
        <v>24.2166666666744</v>
      </c>
      <c r="L3105" s="22">
        <f t="shared" si="242"/>
        <v>8.21666666667443</v>
      </c>
      <c r="M3105" s="22" cm="1">
        <f ca="1" t="array" ref="M3105">SUMPRODUCT(--(WEEKDAY(ROW(INDIRECT(INT(F3105)&amp;":"&amp;INT(I3105))),2)&gt;5))</f>
        <v>0</v>
      </c>
      <c r="N3105" s="22">
        <f ca="1" t="shared" si="243"/>
        <v>8.21666666667443</v>
      </c>
      <c r="O3105" s="22" t="str">
        <f ca="1" t="shared" si="244"/>
        <v>Within SLA</v>
      </c>
      <c r="P3105" s="26" t="s">
        <v>12092</v>
      </c>
      <c r="Q3105" s="24" t="s">
        <v>37</v>
      </c>
      <c r="R3105" s="25"/>
      <c r="S3105" s="25"/>
    </row>
    <row r="3106" ht="39" customHeight="1" spans="1:19">
      <c r="A3106" s="19" t="s">
        <v>12096</v>
      </c>
      <c r="B3106" s="20" t="s">
        <v>19</v>
      </c>
      <c r="C3106" s="20" t="s">
        <v>20</v>
      </c>
      <c r="D3106" s="20" t="s">
        <v>32</v>
      </c>
      <c r="E3106" s="21" t="s">
        <v>12097</v>
      </c>
      <c r="F3106" s="21" t="s">
        <v>12098</v>
      </c>
      <c r="G3106" s="20" t="s">
        <v>35</v>
      </c>
      <c r="H3106" s="20" t="s">
        <v>25</v>
      </c>
      <c r="I3106" s="21" t="s">
        <v>12098</v>
      </c>
      <c r="J3106" s="22">
        <f t="shared" si="240"/>
        <v>0</v>
      </c>
      <c r="K3106" s="22">
        <f t="shared" si="241"/>
        <v>0</v>
      </c>
      <c r="L3106" s="22">
        <f t="shared" si="242"/>
        <v>0</v>
      </c>
      <c r="M3106" s="22" cm="1">
        <f ca="1" t="array" ref="M3106">SUMPRODUCT(--(WEEKDAY(ROW(INDIRECT(INT(F3106)&amp;":"&amp;INT(I3106))),2)&gt;5))</f>
        <v>0</v>
      </c>
      <c r="N3106" s="22">
        <f ca="1" t="shared" si="243"/>
        <v>0</v>
      </c>
      <c r="O3106" s="22" t="str">
        <f ca="1" t="shared" si="244"/>
        <v>Within SLA</v>
      </c>
      <c r="P3106" s="26" t="s">
        <v>12096</v>
      </c>
      <c r="Q3106" s="24" t="s">
        <v>37</v>
      </c>
      <c r="R3106" s="25"/>
      <c r="S3106" s="25"/>
    </row>
    <row r="3107" ht="39" customHeight="1" spans="1:19">
      <c r="A3107" s="19" t="s">
        <v>12099</v>
      </c>
      <c r="B3107" s="20" t="s">
        <v>19</v>
      </c>
      <c r="C3107" s="20" t="s">
        <v>20</v>
      </c>
      <c r="D3107" s="20" t="s">
        <v>32</v>
      </c>
      <c r="E3107" s="21" t="s">
        <v>12098</v>
      </c>
      <c r="F3107" s="21" t="s">
        <v>12100</v>
      </c>
      <c r="G3107" s="20" t="s">
        <v>35</v>
      </c>
      <c r="H3107" s="20" t="s">
        <v>25</v>
      </c>
      <c r="I3107" s="21" t="s">
        <v>12101</v>
      </c>
      <c r="J3107" s="22">
        <f t="shared" si="240"/>
        <v>3.7590277777781</v>
      </c>
      <c r="K3107" s="22">
        <f t="shared" si="241"/>
        <v>90.2166666666744</v>
      </c>
      <c r="L3107" s="22">
        <f t="shared" si="242"/>
        <v>26.2166666666744</v>
      </c>
      <c r="M3107" s="22" cm="1">
        <f ca="1" t="array" ref="M3107">SUMPRODUCT(--(WEEKDAY(ROW(INDIRECT(INT(F3107)&amp;":"&amp;INT(I3107))),2)&gt;5))</f>
        <v>2</v>
      </c>
      <c r="N3107" s="22">
        <f ca="1" t="shared" si="243"/>
        <v>10.2166666666744</v>
      </c>
      <c r="O3107" s="22" t="str">
        <f ca="1" t="shared" si="244"/>
        <v>Within SLA</v>
      </c>
      <c r="P3107" s="26" t="s">
        <v>12099</v>
      </c>
      <c r="Q3107" s="24" t="s">
        <v>37</v>
      </c>
      <c r="R3107" s="25"/>
      <c r="S3107" s="25"/>
    </row>
    <row r="3108" ht="39" customHeight="1" spans="1:19">
      <c r="A3108" s="19" t="s">
        <v>12102</v>
      </c>
      <c r="B3108" s="20" t="s">
        <v>19</v>
      </c>
      <c r="C3108" s="20" t="s">
        <v>20</v>
      </c>
      <c r="D3108" s="20" t="s">
        <v>32</v>
      </c>
      <c r="E3108" s="21" t="s">
        <v>12086</v>
      </c>
      <c r="F3108" s="21" t="s">
        <v>12103</v>
      </c>
      <c r="G3108" s="20" t="s">
        <v>35</v>
      </c>
      <c r="H3108" s="20" t="s">
        <v>25</v>
      </c>
      <c r="I3108" s="21" t="s">
        <v>12104</v>
      </c>
      <c r="J3108" s="22">
        <f t="shared" si="240"/>
        <v>3.7548611111124</v>
      </c>
      <c r="K3108" s="22">
        <f t="shared" si="241"/>
        <v>90.1166666666977</v>
      </c>
      <c r="L3108" s="22">
        <f t="shared" si="242"/>
        <v>26.1166666666977</v>
      </c>
      <c r="M3108" s="22" cm="1">
        <f ca="1" t="array" ref="M3108">SUMPRODUCT(--(WEEKDAY(ROW(INDIRECT(INT(F3108)&amp;":"&amp;INT(I3108))),2)&gt;5))</f>
        <v>2</v>
      </c>
      <c r="N3108" s="22">
        <f ca="1" t="shared" si="243"/>
        <v>10.1166666666977</v>
      </c>
      <c r="O3108" s="22" t="str">
        <f ca="1" t="shared" si="244"/>
        <v>Within SLA</v>
      </c>
      <c r="P3108" s="26" t="s">
        <v>12102</v>
      </c>
      <c r="Q3108" s="24" t="s">
        <v>37</v>
      </c>
      <c r="R3108" s="25"/>
      <c r="S3108" s="25"/>
    </row>
    <row r="3109" ht="39" customHeight="1" spans="1:19">
      <c r="A3109" s="19" t="s">
        <v>12105</v>
      </c>
      <c r="B3109" s="20" t="s">
        <v>19</v>
      </c>
      <c r="C3109" s="20" t="s">
        <v>20</v>
      </c>
      <c r="D3109" s="20" t="s">
        <v>32</v>
      </c>
      <c r="E3109" s="21" t="s">
        <v>12106</v>
      </c>
      <c r="F3109" s="21" t="s">
        <v>12107</v>
      </c>
      <c r="G3109" s="20" t="s">
        <v>35</v>
      </c>
      <c r="H3109" s="20" t="s">
        <v>25</v>
      </c>
      <c r="I3109" s="21" t="s">
        <v>12108</v>
      </c>
      <c r="J3109" s="22">
        <f t="shared" si="240"/>
        <v>0.772222222221899</v>
      </c>
      <c r="K3109" s="22">
        <f t="shared" si="241"/>
        <v>18.5333333333256</v>
      </c>
      <c r="L3109" s="22">
        <f t="shared" si="242"/>
        <v>2.53333333332557</v>
      </c>
      <c r="M3109" s="22" cm="1">
        <f ca="1" t="array" ref="M3109">SUMPRODUCT(--(WEEKDAY(ROW(INDIRECT(INT(F3109)&amp;":"&amp;INT(I3109))),2)&gt;5))</f>
        <v>0</v>
      </c>
      <c r="N3109" s="22">
        <f ca="1" t="shared" si="243"/>
        <v>2.53333333332557</v>
      </c>
      <c r="O3109" s="22" t="str">
        <f ca="1" t="shared" si="244"/>
        <v>Within SLA</v>
      </c>
      <c r="P3109" s="26" t="s">
        <v>12105</v>
      </c>
      <c r="Q3109" s="24" t="s">
        <v>37</v>
      </c>
      <c r="R3109" s="25"/>
      <c r="S3109" s="25"/>
    </row>
    <row r="3110" ht="39" customHeight="1" spans="1:19">
      <c r="A3110" s="19" t="s">
        <v>12109</v>
      </c>
      <c r="B3110" s="20" t="s">
        <v>19</v>
      </c>
      <c r="C3110" s="20" t="s">
        <v>20</v>
      </c>
      <c r="D3110" s="20" t="s">
        <v>32</v>
      </c>
      <c r="E3110" s="21" t="s">
        <v>12110</v>
      </c>
      <c r="F3110" s="21" t="s">
        <v>12111</v>
      </c>
      <c r="G3110" s="20" t="s">
        <v>35</v>
      </c>
      <c r="H3110" s="20" t="s">
        <v>25</v>
      </c>
      <c r="I3110" s="21" t="s">
        <v>12112</v>
      </c>
      <c r="J3110" s="22">
        <f t="shared" si="240"/>
        <v>0.0145833333372138</v>
      </c>
      <c r="K3110" s="22">
        <f t="shared" si="241"/>
        <v>0.350000000093132</v>
      </c>
      <c r="L3110" s="22">
        <f t="shared" si="242"/>
        <v>0.350000000093132</v>
      </c>
      <c r="M3110" s="22" cm="1">
        <f ca="1" t="array" ref="M3110">SUMPRODUCT(--(WEEKDAY(ROW(INDIRECT(INT(F3110)&amp;":"&amp;INT(I3110))),2)&gt;5))</f>
        <v>0</v>
      </c>
      <c r="N3110" s="22">
        <f ca="1" t="shared" si="243"/>
        <v>0.350000000093132</v>
      </c>
      <c r="O3110" s="22" t="str">
        <f ca="1" t="shared" si="244"/>
        <v>Within SLA</v>
      </c>
      <c r="P3110" s="26" t="s">
        <v>12109</v>
      </c>
      <c r="Q3110" s="24" t="s">
        <v>37</v>
      </c>
      <c r="R3110" s="25"/>
      <c r="S3110" s="25"/>
    </row>
    <row r="3111" ht="39" customHeight="1" spans="1:19">
      <c r="A3111" s="19" t="s">
        <v>12113</v>
      </c>
      <c r="B3111" s="20" t="s">
        <v>196</v>
      </c>
      <c r="C3111" s="20" t="s">
        <v>849</v>
      </c>
      <c r="D3111" s="20" t="s">
        <v>32</v>
      </c>
      <c r="E3111" s="21" t="s">
        <v>12114</v>
      </c>
      <c r="F3111" s="21" t="s">
        <v>12115</v>
      </c>
      <c r="G3111" s="20" t="s">
        <v>35</v>
      </c>
      <c r="H3111" s="20" t="s">
        <v>25</v>
      </c>
      <c r="I3111" s="21" t="s">
        <v>12116</v>
      </c>
      <c r="J3111" s="22">
        <f t="shared" si="240"/>
        <v>4.0131944444438</v>
      </c>
      <c r="K3111" s="22">
        <f t="shared" si="241"/>
        <v>96.3166666666511</v>
      </c>
      <c r="L3111" s="22">
        <f t="shared" si="242"/>
        <v>32.3166666666511</v>
      </c>
      <c r="M3111" s="22" cm="1">
        <f ca="1" t="array" ref="M3111">SUMPRODUCT(--(WEEKDAY(ROW(INDIRECT(INT(F3111)&amp;":"&amp;INT(I3111))),2)&gt;5))</f>
        <v>2</v>
      </c>
      <c r="N3111" s="22">
        <f ca="1" t="shared" si="243"/>
        <v>16.3166666666511</v>
      </c>
      <c r="O3111" s="22" t="str">
        <f ca="1" t="shared" si="244"/>
        <v>SLA Violated</v>
      </c>
      <c r="P3111" s="23" t="s">
        <v>12117</v>
      </c>
      <c r="Q3111" s="24" t="s">
        <v>37</v>
      </c>
      <c r="R3111" s="25" t="s">
        <v>1690</v>
      </c>
      <c r="S3111" s="25" t="s">
        <v>39</v>
      </c>
    </row>
    <row r="3112" ht="39" customHeight="1" spans="1:19">
      <c r="A3112" s="19" t="s">
        <v>12118</v>
      </c>
      <c r="B3112" s="20" t="s">
        <v>19</v>
      </c>
      <c r="C3112" s="20" t="s">
        <v>20</v>
      </c>
      <c r="D3112" s="20" t="s">
        <v>32</v>
      </c>
      <c r="E3112" s="21" t="s">
        <v>12119</v>
      </c>
      <c r="F3112" s="21" t="s">
        <v>12120</v>
      </c>
      <c r="G3112" s="20" t="s">
        <v>35</v>
      </c>
      <c r="H3112" s="20" t="s">
        <v>25</v>
      </c>
      <c r="I3112" s="21" t="s">
        <v>12121</v>
      </c>
      <c r="J3112" s="22">
        <f t="shared" si="240"/>
        <v>0.00694444444525288</v>
      </c>
      <c r="K3112" s="22">
        <f t="shared" si="241"/>
        <v>0.166666666686069</v>
      </c>
      <c r="L3112" s="22">
        <f t="shared" si="242"/>
        <v>0.166666666686069</v>
      </c>
      <c r="M3112" s="22" cm="1">
        <f ca="1" t="array" ref="M3112">SUMPRODUCT(--(WEEKDAY(ROW(INDIRECT(INT(F3112)&amp;":"&amp;INT(I3112))),2)&gt;5))</f>
        <v>0</v>
      </c>
      <c r="N3112" s="22">
        <f ca="1" t="shared" si="243"/>
        <v>0.166666666686069</v>
      </c>
      <c r="O3112" s="22" t="str">
        <f ca="1" t="shared" si="244"/>
        <v>Within SLA</v>
      </c>
      <c r="P3112" s="26" t="s">
        <v>12118</v>
      </c>
      <c r="Q3112" s="24" t="s">
        <v>37</v>
      </c>
      <c r="R3112" s="25"/>
      <c r="S3112" s="25"/>
    </row>
    <row r="3113" ht="27" customHeight="1" spans="1:19">
      <c r="A3113" s="19" t="s">
        <v>12122</v>
      </c>
      <c r="B3113" s="20" t="s">
        <v>30</v>
      </c>
      <c r="C3113" s="20" t="s">
        <v>849</v>
      </c>
      <c r="D3113" s="20" t="s">
        <v>32</v>
      </c>
      <c r="E3113" s="21" t="s">
        <v>12123</v>
      </c>
      <c r="F3113" s="21" t="s">
        <v>12124</v>
      </c>
      <c r="G3113" s="20" t="s">
        <v>35</v>
      </c>
      <c r="H3113" s="20" t="s">
        <v>25</v>
      </c>
      <c r="I3113" s="21" t="s">
        <v>12125</v>
      </c>
      <c r="J3113" s="22">
        <f t="shared" si="240"/>
        <v>0.112499999995634</v>
      </c>
      <c r="K3113" s="22">
        <f t="shared" si="241"/>
        <v>2.69999999989523</v>
      </c>
      <c r="L3113" s="22">
        <f t="shared" si="242"/>
        <v>2.69999999989523</v>
      </c>
      <c r="M3113" s="22" cm="1">
        <f ca="1" t="array" ref="M3113">SUMPRODUCT(--(WEEKDAY(ROW(INDIRECT(INT(F3113)&amp;":"&amp;INT(I3113))),2)&gt;5))</f>
        <v>0</v>
      </c>
      <c r="N3113" s="22">
        <f ca="1" t="shared" si="243"/>
        <v>2.69999999989523</v>
      </c>
      <c r="O3113" s="22" t="str">
        <f ca="1" t="shared" si="244"/>
        <v>Within SLA</v>
      </c>
      <c r="P3113" s="26" t="s">
        <v>12122</v>
      </c>
      <c r="Q3113" s="24" t="s">
        <v>37</v>
      </c>
      <c r="R3113" s="25"/>
      <c r="S3113" s="25"/>
    </row>
    <row r="3114" ht="27" customHeight="1" spans="1:19">
      <c r="A3114" s="19" t="s">
        <v>12126</v>
      </c>
      <c r="B3114" s="20" t="s">
        <v>30</v>
      </c>
      <c r="C3114" s="20" t="s">
        <v>31</v>
      </c>
      <c r="D3114" s="20" t="s">
        <v>32</v>
      </c>
      <c r="E3114" s="21" t="s">
        <v>12127</v>
      </c>
      <c r="F3114" s="21" t="s">
        <v>12128</v>
      </c>
      <c r="G3114" s="20" t="s">
        <v>35</v>
      </c>
      <c r="H3114" s="20" t="s">
        <v>25</v>
      </c>
      <c r="I3114" s="21" t="s">
        <v>12129</v>
      </c>
      <c r="J3114" s="22">
        <f t="shared" si="240"/>
        <v>0.29374999999709</v>
      </c>
      <c r="K3114" s="22">
        <f t="shared" si="241"/>
        <v>7.04999999993015</v>
      </c>
      <c r="L3114" s="22">
        <f t="shared" si="242"/>
        <v>7.04999999993015</v>
      </c>
      <c r="M3114" s="22" cm="1">
        <f ca="1" t="array" ref="M3114">SUMPRODUCT(--(WEEKDAY(ROW(INDIRECT(INT(F3114)&amp;":"&amp;INT(I3114))),2)&gt;5))</f>
        <v>0</v>
      </c>
      <c r="N3114" s="22">
        <f ca="1" t="shared" si="243"/>
        <v>7.04999999993015</v>
      </c>
      <c r="O3114" s="22" t="str">
        <f ca="1" t="shared" si="244"/>
        <v>Within SLA</v>
      </c>
      <c r="P3114" s="26" t="s">
        <v>12126</v>
      </c>
      <c r="Q3114" s="24" t="s">
        <v>37</v>
      </c>
      <c r="R3114" s="25"/>
      <c r="S3114" s="25"/>
    </row>
    <row r="3115" ht="27" customHeight="1" spans="1:19">
      <c r="A3115" s="19" t="s">
        <v>12130</v>
      </c>
      <c r="B3115" s="20" t="s">
        <v>30</v>
      </c>
      <c r="C3115" s="20" t="s">
        <v>31</v>
      </c>
      <c r="D3115" s="20" t="s">
        <v>32</v>
      </c>
      <c r="E3115" s="21" t="s">
        <v>12131</v>
      </c>
      <c r="F3115" s="21" t="s">
        <v>12132</v>
      </c>
      <c r="G3115" s="20" t="s">
        <v>35</v>
      </c>
      <c r="H3115" s="20" t="s">
        <v>25</v>
      </c>
      <c r="I3115" s="21" t="s">
        <v>12133</v>
      </c>
      <c r="J3115" s="22">
        <f t="shared" si="240"/>
        <v>3.14027777777665</v>
      </c>
      <c r="K3115" s="22">
        <f t="shared" si="241"/>
        <v>75.3666666666395</v>
      </c>
      <c r="L3115" s="22">
        <f t="shared" si="242"/>
        <v>27.3666666666395</v>
      </c>
      <c r="M3115" s="22" cm="1">
        <f ca="1" t="array" ref="M3115">SUMPRODUCT(--(WEEKDAY(ROW(INDIRECT(INT(F3115)&amp;":"&amp;INT(I3115))),2)&gt;5))</f>
        <v>2</v>
      </c>
      <c r="N3115" s="22">
        <f ca="1" t="shared" si="243"/>
        <v>11.3666666666395</v>
      </c>
      <c r="O3115" s="22" t="str">
        <f ca="1" t="shared" si="244"/>
        <v>Within SLA</v>
      </c>
      <c r="P3115" s="26" t="s">
        <v>12130</v>
      </c>
      <c r="Q3115" s="24" t="s">
        <v>37</v>
      </c>
      <c r="R3115" s="25"/>
      <c r="S3115" s="25"/>
    </row>
    <row r="3116" ht="27" customHeight="1" spans="1:19">
      <c r="A3116" s="19" t="s">
        <v>12134</v>
      </c>
      <c r="B3116" s="20" t="s">
        <v>30</v>
      </c>
      <c r="C3116" s="20" t="s">
        <v>31</v>
      </c>
      <c r="D3116" s="20" t="s">
        <v>32</v>
      </c>
      <c r="E3116" s="21" t="s">
        <v>12135</v>
      </c>
      <c r="F3116" s="21" t="s">
        <v>12136</v>
      </c>
      <c r="G3116" s="20" t="s">
        <v>35</v>
      </c>
      <c r="H3116" s="20" t="s">
        <v>25</v>
      </c>
      <c r="I3116" s="21" t="s">
        <v>12137</v>
      </c>
      <c r="J3116" s="22">
        <f t="shared" si="240"/>
        <v>2.94374999999854</v>
      </c>
      <c r="K3116" s="22">
        <f t="shared" si="241"/>
        <v>70.6499999999651</v>
      </c>
      <c r="L3116" s="22">
        <f t="shared" si="242"/>
        <v>22.6499999999651</v>
      </c>
      <c r="M3116" s="22" cm="1">
        <f ca="1" t="array" ref="M3116">SUMPRODUCT(--(WEEKDAY(ROW(INDIRECT(INT(F3116)&amp;":"&amp;INT(I3116))),2)&gt;5))</f>
        <v>2</v>
      </c>
      <c r="N3116" s="22">
        <f ca="1" t="shared" si="243"/>
        <v>6.6499999999651</v>
      </c>
      <c r="O3116" s="22" t="str">
        <f ca="1" t="shared" si="244"/>
        <v>Within SLA</v>
      </c>
      <c r="P3116" s="26" t="s">
        <v>12134</v>
      </c>
      <c r="Q3116" s="24" t="s">
        <v>37</v>
      </c>
      <c r="R3116" s="25"/>
      <c r="S3116" s="25"/>
    </row>
    <row r="3117" ht="39" customHeight="1" spans="1:19">
      <c r="A3117" s="19" t="s">
        <v>12138</v>
      </c>
      <c r="B3117" s="20" t="s">
        <v>19</v>
      </c>
      <c r="C3117" s="20" t="s">
        <v>20</v>
      </c>
      <c r="D3117" s="20" t="s">
        <v>32</v>
      </c>
      <c r="E3117" s="21" t="s">
        <v>12139</v>
      </c>
      <c r="F3117" s="21" t="s">
        <v>12140</v>
      </c>
      <c r="G3117" s="20" t="s">
        <v>35</v>
      </c>
      <c r="H3117" s="20" t="s">
        <v>25</v>
      </c>
      <c r="I3117" s="21" t="s">
        <v>12141</v>
      </c>
      <c r="J3117" s="22">
        <f t="shared" si="240"/>
        <v>0.00694444444525288</v>
      </c>
      <c r="K3117" s="22">
        <f t="shared" si="241"/>
        <v>0.166666666686069</v>
      </c>
      <c r="L3117" s="22">
        <f t="shared" si="242"/>
        <v>0.166666666686069</v>
      </c>
      <c r="M3117" s="22" cm="1">
        <f ca="1" t="array" ref="M3117">SUMPRODUCT(--(WEEKDAY(ROW(INDIRECT(INT(F3117)&amp;":"&amp;INT(I3117))),2)&gt;5))</f>
        <v>0</v>
      </c>
      <c r="N3117" s="22">
        <f ca="1" t="shared" si="243"/>
        <v>0.166666666686069</v>
      </c>
      <c r="O3117" s="22" t="str">
        <f ca="1" t="shared" si="244"/>
        <v>Within SLA</v>
      </c>
      <c r="P3117" s="26" t="s">
        <v>12138</v>
      </c>
      <c r="Q3117" s="24" t="s">
        <v>37</v>
      </c>
      <c r="R3117" s="25"/>
      <c r="S3117" s="25"/>
    </row>
    <row r="3118" ht="39" customHeight="1" spans="1:19">
      <c r="A3118" s="19" t="s">
        <v>12142</v>
      </c>
      <c r="B3118" s="20" t="s">
        <v>19</v>
      </c>
      <c r="C3118" s="20" t="s">
        <v>20</v>
      </c>
      <c r="D3118" s="20" t="s">
        <v>32</v>
      </c>
      <c r="E3118" s="21" t="s">
        <v>12143</v>
      </c>
      <c r="F3118" s="21" t="s">
        <v>12144</v>
      </c>
      <c r="G3118" s="20" t="s">
        <v>35</v>
      </c>
      <c r="H3118" s="20" t="s">
        <v>25</v>
      </c>
      <c r="I3118" s="21" t="s">
        <v>12145</v>
      </c>
      <c r="J3118" s="22">
        <f t="shared" si="240"/>
        <v>0.0118055555503815</v>
      </c>
      <c r="K3118" s="22">
        <f t="shared" si="241"/>
        <v>0.283333333209157</v>
      </c>
      <c r="L3118" s="22">
        <f t="shared" si="242"/>
        <v>0.283333333209157</v>
      </c>
      <c r="M3118" s="22" cm="1">
        <f ca="1" t="array" ref="M3118">SUMPRODUCT(--(WEEKDAY(ROW(INDIRECT(INT(F3118)&amp;":"&amp;INT(I3118))),2)&gt;5))</f>
        <v>0</v>
      </c>
      <c r="N3118" s="22">
        <f ca="1" t="shared" si="243"/>
        <v>0.283333333209157</v>
      </c>
      <c r="O3118" s="22" t="str">
        <f ca="1" t="shared" si="244"/>
        <v>Within SLA</v>
      </c>
      <c r="P3118" s="26" t="s">
        <v>12142</v>
      </c>
      <c r="Q3118" s="24" t="s">
        <v>37</v>
      </c>
      <c r="R3118" s="25"/>
      <c r="S3118" s="25"/>
    </row>
    <row r="3119" ht="39" customHeight="1" spans="1:19">
      <c r="A3119" s="19" t="s">
        <v>12146</v>
      </c>
      <c r="B3119" s="20" t="s">
        <v>19</v>
      </c>
      <c r="C3119" s="20" t="s">
        <v>20</v>
      </c>
      <c r="D3119" s="20" t="s">
        <v>32</v>
      </c>
      <c r="E3119" s="21" t="s">
        <v>12147</v>
      </c>
      <c r="F3119" s="21" t="s">
        <v>10423</v>
      </c>
      <c r="G3119" s="20" t="s">
        <v>10424</v>
      </c>
      <c r="H3119" s="20" t="s">
        <v>25</v>
      </c>
      <c r="I3119" s="21" t="s">
        <v>12148</v>
      </c>
      <c r="J3119" s="22" t="e">
        <f t="shared" si="240"/>
        <v>#VALUE!</v>
      </c>
      <c r="K3119" s="22" t="e">
        <f t="shared" si="241"/>
        <v>#VALUE!</v>
      </c>
      <c r="L3119" s="22" t="e">
        <f t="shared" si="242"/>
        <v>#VALUE!</v>
      </c>
      <c r="M3119" s="22" t="e" cm="1">
        <f ca="1" t="array" ref="M3119">SUMPRODUCT(--(WEEKDAY(ROW(INDIRECT(INT(F3119)&amp;":"&amp;INT(I3119))),2)&gt;5))</f>
        <v>#VALUE!</v>
      </c>
      <c r="N3119" s="22" t="e">
        <f ca="1" t="shared" si="243"/>
        <v>#VALUE!</v>
      </c>
      <c r="O3119" s="22" t="e">
        <f ca="1" t="shared" si="244"/>
        <v>#VALUE!</v>
      </c>
      <c r="P3119" s="26" t="s">
        <v>12146</v>
      </c>
      <c r="Q3119" s="24" t="e">
        <v>#VALUE!</v>
      </c>
      <c r="R3119" s="25"/>
      <c r="S3119" s="25"/>
    </row>
    <row r="3120" ht="39" customHeight="1" spans="1:19">
      <c r="A3120" s="19" t="s">
        <v>12149</v>
      </c>
      <c r="B3120" s="20" t="s">
        <v>19</v>
      </c>
      <c r="C3120" s="20" t="s">
        <v>20</v>
      </c>
      <c r="D3120" s="20" t="s">
        <v>32</v>
      </c>
      <c r="E3120" s="21" t="s">
        <v>12150</v>
      </c>
      <c r="F3120" s="21" t="s">
        <v>12151</v>
      </c>
      <c r="G3120" s="20" t="s">
        <v>35</v>
      </c>
      <c r="H3120" s="20" t="s">
        <v>25</v>
      </c>
      <c r="I3120" s="21" t="s">
        <v>12152</v>
      </c>
      <c r="J3120" s="22">
        <f t="shared" si="240"/>
        <v>0.103472222224809</v>
      </c>
      <c r="K3120" s="22">
        <f t="shared" si="241"/>
        <v>2.48333333339542</v>
      </c>
      <c r="L3120" s="22">
        <f t="shared" si="242"/>
        <v>2.48333333339542</v>
      </c>
      <c r="M3120" s="22" cm="1">
        <f ca="1" t="array" ref="M3120">SUMPRODUCT(--(WEEKDAY(ROW(INDIRECT(INT(F3120)&amp;":"&amp;INT(I3120))),2)&gt;5))</f>
        <v>0</v>
      </c>
      <c r="N3120" s="22">
        <f ca="1" t="shared" si="243"/>
        <v>2.48333333339542</v>
      </c>
      <c r="O3120" s="22" t="str">
        <f ca="1" t="shared" si="244"/>
        <v>Within SLA</v>
      </c>
      <c r="P3120" s="26" t="s">
        <v>12149</v>
      </c>
      <c r="Q3120" s="24" t="s">
        <v>37</v>
      </c>
      <c r="R3120" s="25"/>
      <c r="S3120" s="25"/>
    </row>
    <row r="3121" ht="39" customHeight="1" spans="1:19">
      <c r="A3121" s="19" t="s">
        <v>12153</v>
      </c>
      <c r="B3121" s="20" t="s">
        <v>19</v>
      </c>
      <c r="C3121" s="20" t="s">
        <v>20</v>
      </c>
      <c r="D3121" s="20" t="s">
        <v>32</v>
      </c>
      <c r="E3121" s="21" t="s">
        <v>12154</v>
      </c>
      <c r="F3121" s="21" t="s">
        <v>12155</v>
      </c>
      <c r="G3121" s="20" t="s">
        <v>35</v>
      </c>
      <c r="H3121" s="20" t="s">
        <v>25</v>
      </c>
      <c r="I3121" s="21" t="s">
        <v>12156</v>
      </c>
      <c r="J3121" s="22">
        <f t="shared" si="240"/>
        <v>0.0298611111138598</v>
      </c>
      <c r="K3121" s="22">
        <f t="shared" si="241"/>
        <v>0.716666666732635</v>
      </c>
      <c r="L3121" s="22">
        <f t="shared" si="242"/>
        <v>0.716666666732635</v>
      </c>
      <c r="M3121" s="22" cm="1">
        <f ca="1" t="array" ref="M3121">SUMPRODUCT(--(WEEKDAY(ROW(INDIRECT(INT(F3121)&amp;":"&amp;INT(I3121))),2)&gt;5))</f>
        <v>0</v>
      </c>
      <c r="N3121" s="22">
        <f ca="1" t="shared" si="243"/>
        <v>0.716666666732635</v>
      </c>
      <c r="O3121" s="22" t="str">
        <f ca="1" t="shared" si="244"/>
        <v>Within SLA</v>
      </c>
      <c r="P3121" s="26" t="s">
        <v>12153</v>
      </c>
      <c r="Q3121" s="24" t="s">
        <v>37</v>
      </c>
      <c r="R3121" s="25"/>
      <c r="S3121" s="25"/>
    </row>
    <row r="3122" ht="39" customHeight="1" spans="1:19">
      <c r="A3122" s="19" t="s">
        <v>12157</v>
      </c>
      <c r="B3122" s="20" t="s">
        <v>19</v>
      </c>
      <c r="C3122" s="20" t="s">
        <v>20</v>
      </c>
      <c r="D3122" s="20" t="s">
        <v>32</v>
      </c>
      <c r="E3122" s="21" t="s">
        <v>12158</v>
      </c>
      <c r="F3122" s="21" t="s">
        <v>10423</v>
      </c>
      <c r="G3122" s="20" t="s">
        <v>12159</v>
      </c>
      <c r="H3122" s="20" t="s">
        <v>25</v>
      </c>
      <c r="I3122" s="21" t="s">
        <v>12160</v>
      </c>
      <c r="J3122" s="22" t="e">
        <f t="shared" si="240"/>
        <v>#VALUE!</v>
      </c>
      <c r="K3122" s="22" t="e">
        <f t="shared" si="241"/>
        <v>#VALUE!</v>
      </c>
      <c r="L3122" s="22" t="e">
        <f t="shared" si="242"/>
        <v>#VALUE!</v>
      </c>
      <c r="M3122" s="22" t="e" cm="1">
        <f ca="1" t="array" ref="M3122">SUMPRODUCT(--(WEEKDAY(ROW(INDIRECT(INT(F3122)&amp;":"&amp;INT(I3122))),2)&gt;5))</f>
        <v>#VALUE!</v>
      </c>
      <c r="N3122" s="22" t="e">
        <f ca="1" t="shared" si="243"/>
        <v>#VALUE!</v>
      </c>
      <c r="O3122" s="22" t="e">
        <f ca="1" t="shared" si="244"/>
        <v>#VALUE!</v>
      </c>
      <c r="P3122" s="26" t="s">
        <v>12157</v>
      </c>
      <c r="Q3122" s="24" t="e">
        <v>#VALUE!</v>
      </c>
      <c r="R3122" s="25"/>
      <c r="S3122" s="25"/>
    </row>
    <row r="3123" ht="27" customHeight="1" spans="1:19">
      <c r="A3123" s="19" t="s">
        <v>12161</v>
      </c>
      <c r="B3123" s="20" t="s">
        <v>30</v>
      </c>
      <c r="C3123" s="20" t="s">
        <v>101</v>
      </c>
      <c r="D3123" s="20" t="s">
        <v>32</v>
      </c>
      <c r="E3123" s="21" t="s">
        <v>12162</v>
      </c>
      <c r="F3123" s="21" t="s">
        <v>12163</v>
      </c>
      <c r="G3123" s="20" t="s">
        <v>35</v>
      </c>
      <c r="H3123" s="20" t="s">
        <v>25</v>
      </c>
      <c r="I3123" s="21" t="s">
        <v>12164</v>
      </c>
      <c r="J3123" s="22">
        <f t="shared" si="240"/>
        <v>0.0534722222218988</v>
      </c>
      <c r="K3123" s="22">
        <f t="shared" si="241"/>
        <v>1.28333333332557</v>
      </c>
      <c r="L3123" s="22">
        <f t="shared" si="242"/>
        <v>1.28333333332557</v>
      </c>
      <c r="M3123" s="22" cm="1">
        <f ca="1" t="array" ref="M3123">SUMPRODUCT(--(WEEKDAY(ROW(INDIRECT(INT(F3123)&amp;":"&amp;INT(I3123))),2)&gt;5))</f>
        <v>0</v>
      </c>
      <c r="N3123" s="22">
        <f ca="1" t="shared" si="243"/>
        <v>1.28333333332557</v>
      </c>
      <c r="O3123" s="22" t="str">
        <f ca="1" t="shared" si="244"/>
        <v>Within SLA</v>
      </c>
      <c r="P3123" s="26" t="s">
        <v>12161</v>
      </c>
      <c r="Q3123" s="24" t="s">
        <v>37</v>
      </c>
      <c r="R3123" s="25"/>
      <c r="S3123" s="25"/>
    </row>
    <row r="3124" ht="39" customHeight="1" spans="1:19">
      <c r="A3124" s="19" t="s">
        <v>12165</v>
      </c>
      <c r="B3124" s="20" t="s">
        <v>19</v>
      </c>
      <c r="C3124" s="20" t="s">
        <v>20</v>
      </c>
      <c r="D3124" s="20" t="s">
        <v>32</v>
      </c>
      <c r="E3124" s="21" t="s">
        <v>12166</v>
      </c>
      <c r="F3124" s="21" t="s">
        <v>12167</v>
      </c>
      <c r="G3124" s="20" t="s">
        <v>35</v>
      </c>
      <c r="H3124" s="20" t="s">
        <v>25</v>
      </c>
      <c r="I3124" s="21" t="s">
        <v>12168</v>
      </c>
      <c r="J3124" s="22">
        <f t="shared" si="240"/>
        <v>0.0173611111094942</v>
      </c>
      <c r="K3124" s="22">
        <f t="shared" si="241"/>
        <v>0.416666666627862</v>
      </c>
      <c r="L3124" s="22">
        <f t="shared" si="242"/>
        <v>0.416666666627862</v>
      </c>
      <c r="M3124" s="22" cm="1">
        <f ca="1" t="array" ref="M3124">SUMPRODUCT(--(WEEKDAY(ROW(INDIRECT(INT(F3124)&amp;":"&amp;INT(I3124))),2)&gt;5))</f>
        <v>0</v>
      </c>
      <c r="N3124" s="22">
        <f ca="1" t="shared" si="243"/>
        <v>0.416666666627862</v>
      </c>
      <c r="O3124" s="22" t="str">
        <f ca="1" t="shared" si="244"/>
        <v>Within SLA</v>
      </c>
      <c r="P3124" s="26" t="s">
        <v>12165</v>
      </c>
      <c r="Q3124" s="24" t="s">
        <v>37</v>
      </c>
      <c r="R3124" s="25"/>
      <c r="S3124" s="25"/>
    </row>
    <row r="3125" ht="39" customHeight="1" spans="1:19">
      <c r="A3125" s="19" t="s">
        <v>12169</v>
      </c>
      <c r="B3125" s="20" t="s">
        <v>19</v>
      </c>
      <c r="C3125" s="20" t="s">
        <v>20</v>
      </c>
      <c r="D3125" s="20" t="s">
        <v>32</v>
      </c>
      <c r="E3125" s="21" t="s">
        <v>12170</v>
      </c>
      <c r="F3125" s="21" t="s">
        <v>12171</v>
      </c>
      <c r="G3125" s="20" t="s">
        <v>35</v>
      </c>
      <c r="H3125" s="20" t="s">
        <v>25</v>
      </c>
      <c r="I3125" s="21" t="s">
        <v>12172</v>
      </c>
      <c r="J3125" s="22">
        <f t="shared" si="240"/>
        <v>0.159027777779556</v>
      </c>
      <c r="K3125" s="22">
        <f t="shared" si="241"/>
        <v>3.81666666670935</v>
      </c>
      <c r="L3125" s="22">
        <f t="shared" si="242"/>
        <v>3.81666666670935</v>
      </c>
      <c r="M3125" s="22" cm="1">
        <f ca="1" t="array" ref="M3125">SUMPRODUCT(--(WEEKDAY(ROW(INDIRECT(INT(F3125)&amp;":"&amp;INT(I3125))),2)&gt;5))</f>
        <v>0</v>
      </c>
      <c r="N3125" s="22">
        <f ca="1" t="shared" si="243"/>
        <v>3.81666666670935</v>
      </c>
      <c r="O3125" s="22" t="str">
        <f ca="1" t="shared" si="244"/>
        <v>Within SLA</v>
      </c>
      <c r="P3125" s="26" t="s">
        <v>12169</v>
      </c>
      <c r="Q3125" s="24" t="s">
        <v>37</v>
      </c>
      <c r="R3125" s="25"/>
      <c r="S3125" s="25"/>
    </row>
    <row r="3126" ht="27" customHeight="1" spans="1:19">
      <c r="A3126" s="19" t="s">
        <v>12173</v>
      </c>
      <c r="B3126" s="20" t="s">
        <v>139</v>
      </c>
      <c r="C3126" s="20" t="s">
        <v>2057</v>
      </c>
      <c r="D3126" s="20" t="s">
        <v>32</v>
      </c>
      <c r="E3126" s="21" t="s">
        <v>12174</v>
      </c>
      <c r="F3126" s="21" t="s">
        <v>12175</v>
      </c>
      <c r="G3126" s="20" t="s">
        <v>35</v>
      </c>
      <c r="H3126" s="20" t="s">
        <v>25</v>
      </c>
      <c r="I3126" s="21" t="s">
        <v>12176</v>
      </c>
      <c r="J3126" s="22">
        <f t="shared" si="240"/>
        <v>0.0979166666729725</v>
      </c>
      <c r="K3126" s="22">
        <f t="shared" si="241"/>
        <v>2.35000000015134</v>
      </c>
      <c r="L3126" s="22">
        <f t="shared" si="242"/>
        <v>2.35000000015134</v>
      </c>
      <c r="M3126" s="22" cm="1">
        <f ca="1" t="array" ref="M3126">SUMPRODUCT(--(WEEKDAY(ROW(INDIRECT(INT(F3126)&amp;":"&amp;INT(I3126))),2)&gt;5))</f>
        <v>0</v>
      </c>
      <c r="N3126" s="22">
        <f ca="1" t="shared" si="243"/>
        <v>2.35000000015134</v>
      </c>
      <c r="O3126" s="22" t="str">
        <f ca="1" t="shared" si="244"/>
        <v>Within SLA</v>
      </c>
      <c r="P3126" s="26" t="s">
        <v>12173</v>
      </c>
      <c r="Q3126" s="24" t="s">
        <v>37</v>
      </c>
      <c r="R3126" s="25"/>
      <c r="S3126" s="25"/>
    </row>
    <row r="3127" ht="39" customHeight="1" spans="1:19">
      <c r="A3127" s="19" t="s">
        <v>12177</v>
      </c>
      <c r="B3127" s="20" t="s">
        <v>19</v>
      </c>
      <c r="C3127" s="20" t="s">
        <v>20</v>
      </c>
      <c r="D3127" s="20" t="s">
        <v>32</v>
      </c>
      <c r="E3127" s="21" t="s">
        <v>12178</v>
      </c>
      <c r="F3127" s="21" t="s">
        <v>12179</v>
      </c>
      <c r="G3127" s="20" t="s">
        <v>35</v>
      </c>
      <c r="H3127" s="20" t="s">
        <v>25</v>
      </c>
      <c r="I3127" s="21" t="s">
        <v>12180</v>
      </c>
      <c r="J3127" s="22">
        <f t="shared" si="240"/>
        <v>0.0125000000043656</v>
      </c>
      <c r="K3127" s="22">
        <f t="shared" si="241"/>
        <v>0.300000000104774</v>
      </c>
      <c r="L3127" s="22">
        <f t="shared" si="242"/>
        <v>0.300000000104774</v>
      </c>
      <c r="M3127" s="22" cm="1">
        <f ca="1" t="array" ref="M3127">SUMPRODUCT(--(WEEKDAY(ROW(INDIRECT(INT(F3127)&amp;":"&amp;INT(I3127))),2)&gt;5))</f>
        <v>0</v>
      </c>
      <c r="N3127" s="22">
        <f ca="1" t="shared" si="243"/>
        <v>0.300000000104774</v>
      </c>
      <c r="O3127" s="22" t="str">
        <f ca="1" t="shared" si="244"/>
        <v>Within SLA</v>
      </c>
      <c r="P3127" s="26" t="s">
        <v>12177</v>
      </c>
      <c r="Q3127" s="24" t="s">
        <v>37</v>
      </c>
      <c r="R3127" s="25"/>
      <c r="S3127" s="25"/>
    </row>
    <row r="3128" ht="39" customHeight="1" spans="1:19">
      <c r="A3128" s="19" t="s">
        <v>12181</v>
      </c>
      <c r="B3128" s="20" t="s">
        <v>19</v>
      </c>
      <c r="C3128" s="20" t="s">
        <v>20</v>
      </c>
      <c r="D3128" s="20" t="s">
        <v>32</v>
      </c>
      <c r="E3128" s="21" t="s">
        <v>12182</v>
      </c>
      <c r="F3128" s="21" t="s">
        <v>12183</v>
      </c>
      <c r="G3128" s="20" t="s">
        <v>35</v>
      </c>
      <c r="H3128" s="20" t="s">
        <v>25</v>
      </c>
      <c r="I3128" s="21" t="s">
        <v>12184</v>
      </c>
      <c r="J3128" s="22">
        <f t="shared" si="240"/>
        <v>0.00486111111240461</v>
      </c>
      <c r="K3128" s="22">
        <f t="shared" si="241"/>
        <v>0.116666666697711</v>
      </c>
      <c r="L3128" s="22">
        <f t="shared" si="242"/>
        <v>0.116666666697711</v>
      </c>
      <c r="M3128" s="22" cm="1">
        <f ca="1" t="array" ref="M3128">SUMPRODUCT(--(WEEKDAY(ROW(INDIRECT(INT(F3128)&amp;":"&amp;INT(I3128))),2)&gt;5))</f>
        <v>0</v>
      </c>
      <c r="N3128" s="22">
        <f ca="1" t="shared" si="243"/>
        <v>0.116666666697711</v>
      </c>
      <c r="O3128" s="22" t="str">
        <f ca="1" t="shared" si="244"/>
        <v>Within SLA</v>
      </c>
      <c r="P3128" s="26" t="s">
        <v>12181</v>
      </c>
      <c r="Q3128" s="24" t="s">
        <v>37</v>
      </c>
      <c r="R3128" s="25"/>
      <c r="S3128" s="25"/>
    </row>
    <row r="3129" ht="39" customHeight="1" spans="1:19">
      <c r="A3129" s="19" t="s">
        <v>12185</v>
      </c>
      <c r="B3129" s="20" t="s">
        <v>19</v>
      </c>
      <c r="C3129" s="20" t="s">
        <v>20</v>
      </c>
      <c r="D3129" s="20" t="s">
        <v>32</v>
      </c>
      <c r="E3129" s="21" t="s">
        <v>12186</v>
      </c>
      <c r="F3129" s="21" t="s">
        <v>12187</v>
      </c>
      <c r="G3129" s="20" t="s">
        <v>35</v>
      </c>
      <c r="H3129" s="20" t="s">
        <v>25</v>
      </c>
      <c r="I3129" s="21" t="s">
        <v>12187</v>
      </c>
      <c r="J3129" s="22">
        <f t="shared" si="240"/>
        <v>0</v>
      </c>
      <c r="K3129" s="22">
        <f t="shared" si="241"/>
        <v>0</v>
      </c>
      <c r="L3129" s="22">
        <f t="shared" si="242"/>
        <v>0</v>
      </c>
      <c r="M3129" s="22" cm="1">
        <f ca="1" t="array" ref="M3129">SUMPRODUCT(--(WEEKDAY(ROW(INDIRECT(INT(F3129)&amp;":"&amp;INT(I3129))),2)&gt;5))</f>
        <v>0</v>
      </c>
      <c r="N3129" s="22">
        <f ca="1" t="shared" si="243"/>
        <v>0</v>
      </c>
      <c r="O3129" s="22" t="str">
        <f ca="1" t="shared" si="244"/>
        <v>Within SLA</v>
      </c>
      <c r="P3129" s="26" t="s">
        <v>12185</v>
      </c>
      <c r="Q3129" s="24" t="s">
        <v>37</v>
      </c>
      <c r="R3129" s="25"/>
      <c r="S3129" s="25"/>
    </row>
    <row r="3130" ht="39" customHeight="1" spans="1:19">
      <c r="A3130" s="19" t="s">
        <v>12188</v>
      </c>
      <c r="B3130" s="20" t="s">
        <v>19</v>
      </c>
      <c r="C3130" s="20" t="s">
        <v>20</v>
      </c>
      <c r="D3130" s="20" t="s">
        <v>32</v>
      </c>
      <c r="E3130" s="21" t="s">
        <v>12189</v>
      </c>
      <c r="F3130" s="21" t="s">
        <v>12190</v>
      </c>
      <c r="G3130" s="20" t="s">
        <v>35</v>
      </c>
      <c r="H3130" s="20" t="s">
        <v>25</v>
      </c>
      <c r="I3130" s="21" t="s">
        <v>12190</v>
      </c>
      <c r="J3130" s="22">
        <f t="shared" si="240"/>
        <v>0</v>
      </c>
      <c r="K3130" s="22">
        <f t="shared" si="241"/>
        <v>0</v>
      </c>
      <c r="L3130" s="22">
        <f t="shared" si="242"/>
        <v>0</v>
      </c>
      <c r="M3130" s="22" cm="1">
        <f ca="1" t="array" ref="M3130">SUMPRODUCT(--(WEEKDAY(ROW(INDIRECT(INT(F3130)&amp;":"&amp;INT(I3130))),2)&gt;5))</f>
        <v>0</v>
      </c>
      <c r="N3130" s="22">
        <f ca="1" t="shared" si="243"/>
        <v>0</v>
      </c>
      <c r="O3130" s="22" t="str">
        <f ca="1" t="shared" si="244"/>
        <v>Within SLA</v>
      </c>
      <c r="P3130" s="26" t="s">
        <v>12188</v>
      </c>
      <c r="Q3130" s="24" t="s">
        <v>37</v>
      </c>
      <c r="R3130" s="25"/>
      <c r="S3130" s="25"/>
    </row>
    <row r="3131" ht="39" customHeight="1" spans="1:19">
      <c r="A3131" s="19" t="s">
        <v>12191</v>
      </c>
      <c r="B3131" s="20" t="s">
        <v>725</v>
      </c>
      <c r="C3131" s="20" t="s">
        <v>101</v>
      </c>
      <c r="D3131" s="20" t="s">
        <v>32</v>
      </c>
      <c r="E3131" s="21" t="s">
        <v>12192</v>
      </c>
      <c r="F3131" s="21" t="s">
        <v>12193</v>
      </c>
      <c r="G3131" s="20" t="s">
        <v>35</v>
      </c>
      <c r="H3131" s="20" t="s">
        <v>25</v>
      </c>
      <c r="I3131" s="21" t="s">
        <v>12194</v>
      </c>
      <c r="J3131" s="22">
        <f t="shared" si="240"/>
        <v>2.1340277777781</v>
      </c>
      <c r="K3131" s="22">
        <f t="shared" si="241"/>
        <v>51.2166666666744</v>
      </c>
      <c r="L3131" s="22">
        <f t="shared" si="242"/>
        <v>19.2166666666744</v>
      </c>
      <c r="M3131" s="22" cm="1">
        <f ca="1" t="array" ref="M3131">SUMPRODUCT(--(WEEKDAY(ROW(INDIRECT(INT(F3131)&amp;":"&amp;INT(I3131))),2)&gt;5))</f>
        <v>0</v>
      </c>
      <c r="N3131" s="22">
        <f ca="1" t="shared" si="243"/>
        <v>19.2166666666744</v>
      </c>
      <c r="O3131" s="22" t="str">
        <f ca="1" t="shared" si="244"/>
        <v>SLA Violated</v>
      </c>
      <c r="P3131" s="23" t="s">
        <v>12195</v>
      </c>
      <c r="Q3131" s="24" t="s">
        <v>28</v>
      </c>
      <c r="R3131" s="25"/>
      <c r="S3131" s="25"/>
    </row>
    <row r="3132" ht="39" customHeight="1" spans="1:19">
      <c r="A3132" s="19" t="s">
        <v>12196</v>
      </c>
      <c r="B3132" s="20" t="s">
        <v>19</v>
      </c>
      <c r="C3132" s="20" t="s">
        <v>20</v>
      </c>
      <c r="D3132" s="20" t="s">
        <v>32</v>
      </c>
      <c r="E3132" s="21" t="s">
        <v>12197</v>
      </c>
      <c r="F3132" s="21" t="s">
        <v>12198</v>
      </c>
      <c r="G3132" s="20" t="s">
        <v>35</v>
      </c>
      <c r="H3132" s="20" t="s">
        <v>25</v>
      </c>
      <c r="I3132" s="21" t="s">
        <v>12199</v>
      </c>
      <c r="J3132" s="22">
        <f t="shared" si="240"/>
        <v>0.144444444442343</v>
      </c>
      <c r="K3132" s="22">
        <f t="shared" si="241"/>
        <v>3.46666666661622</v>
      </c>
      <c r="L3132" s="22">
        <f t="shared" si="242"/>
        <v>3.46666666661622</v>
      </c>
      <c r="M3132" s="22" cm="1">
        <f ca="1" t="array" ref="M3132">SUMPRODUCT(--(WEEKDAY(ROW(INDIRECT(INT(F3132)&amp;":"&amp;INT(I3132))),2)&gt;5))</f>
        <v>0</v>
      </c>
      <c r="N3132" s="22">
        <f ca="1" t="shared" si="243"/>
        <v>3.46666666661622</v>
      </c>
      <c r="O3132" s="22" t="str">
        <f ca="1" t="shared" si="244"/>
        <v>Within SLA</v>
      </c>
      <c r="P3132" s="26" t="s">
        <v>12196</v>
      </c>
      <c r="Q3132" s="24" t="s">
        <v>37</v>
      </c>
      <c r="R3132" s="25"/>
      <c r="S3132" s="25"/>
    </row>
    <row r="3133" ht="39" customHeight="1" spans="1:19">
      <c r="A3133" s="19" t="s">
        <v>12200</v>
      </c>
      <c r="B3133" s="20" t="s">
        <v>19</v>
      </c>
      <c r="C3133" s="20" t="s">
        <v>20</v>
      </c>
      <c r="D3133" s="20" t="s">
        <v>32</v>
      </c>
      <c r="E3133" s="21" t="s">
        <v>12201</v>
      </c>
      <c r="F3133" s="21" t="s">
        <v>12202</v>
      </c>
      <c r="G3133" s="20" t="s">
        <v>35</v>
      </c>
      <c r="H3133" s="20" t="s">
        <v>25</v>
      </c>
      <c r="I3133" s="21" t="s">
        <v>12203</v>
      </c>
      <c r="J3133" s="22">
        <f t="shared" si="240"/>
        <v>0.0583333333343035</v>
      </c>
      <c r="K3133" s="22">
        <f t="shared" si="241"/>
        <v>1.40000000002328</v>
      </c>
      <c r="L3133" s="22">
        <f t="shared" si="242"/>
        <v>1.40000000002328</v>
      </c>
      <c r="M3133" s="22" cm="1">
        <f ca="1" t="array" ref="M3133">SUMPRODUCT(--(WEEKDAY(ROW(INDIRECT(INT(F3133)&amp;":"&amp;INT(I3133))),2)&gt;5))</f>
        <v>0</v>
      </c>
      <c r="N3133" s="22">
        <f ca="1" t="shared" si="243"/>
        <v>1.40000000002328</v>
      </c>
      <c r="O3133" s="22" t="str">
        <f ca="1" t="shared" si="244"/>
        <v>Within SLA</v>
      </c>
      <c r="P3133" s="26" t="s">
        <v>12200</v>
      </c>
      <c r="Q3133" s="24" t="s">
        <v>37</v>
      </c>
      <c r="R3133" s="25"/>
      <c r="S3133" s="25"/>
    </row>
    <row r="3134" ht="39" customHeight="1" spans="1:19">
      <c r="A3134" s="19" t="s">
        <v>12204</v>
      </c>
      <c r="B3134" s="20" t="s">
        <v>19</v>
      </c>
      <c r="C3134" s="20" t="s">
        <v>20</v>
      </c>
      <c r="D3134" s="20" t="s">
        <v>32</v>
      </c>
      <c r="E3134" s="21" t="s">
        <v>12205</v>
      </c>
      <c r="F3134" s="21" t="s">
        <v>12206</v>
      </c>
      <c r="G3134" s="20" t="s">
        <v>35</v>
      </c>
      <c r="H3134" s="20" t="s">
        <v>25</v>
      </c>
      <c r="I3134" s="21" t="s">
        <v>12207</v>
      </c>
      <c r="J3134" s="22">
        <f t="shared" si="240"/>
        <v>1.05000000000291</v>
      </c>
      <c r="K3134" s="22">
        <f t="shared" si="241"/>
        <v>25.2000000000698</v>
      </c>
      <c r="L3134" s="22">
        <f t="shared" si="242"/>
        <v>9.20000000006985</v>
      </c>
      <c r="M3134" s="22" cm="1">
        <f ca="1" t="array" ref="M3134">SUMPRODUCT(--(WEEKDAY(ROW(INDIRECT(INT(F3134)&amp;":"&amp;INT(I3134))),2)&gt;5))</f>
        <v>0</v>
      </c>
      <c r="N3134" s="22">
        <f ca="1" t="shared" si="243"/>
        <v>9.20000000006985</v>
      </c>
      <c r="O3134" s="22" t="str">
        <f ca="1" t="shared" si="244"/>
        <v>Within SLA</v>
      </c>
      <c r="P3134" s="26" t="s">
        <v>12204</v>
      </c>
      <c r="Q3134" s="24" t="s">
        <v>37</v>
      </c>
      <c r="R3134" s="25"/>
      <c r="S3134" s="25"/>
    </row>
    <row r="3135" ht="39" customHeight="1" spans="1:19">
      <c r="A3135" s="19" t="s">
        <v>12208</v>
      </c>
      <c r="B3135" s="20" t="s">
        <v>19</v>
      </c>
      <c r="C3135" s="20" t="s">
        <v>20</v>
      </c>
      <c r="D3135" s="20" t="s">
        <v>32</v>
      </c>
      <c r="E3135" s="21" t="s">
        <v>12209</v>
      </c>
      <c r="F3135" s="21" t="s">
        <v>12210</v>
      </c>
      <c r="G3135" s="20" t="s">
        <v>35</v>
      </c>
      <c r="H3135" s="20" t="s">
        <v>25</v>
      </c>
      <c r="I3135" s="21" t="s">
        <v>12211</v>
      </c>
      <c r="J3135" s="22">
        <f t="shared" si="240"/>
        <v>1.0270833333343</v>
      </c>
      <c r="K3135" s="22">
        <f t="shared" si="241"/>
        <v>24.6500000000233</v>
      </c>
      <c r="L3135" s="22">
        <f t="shared" si="242"/>
        <v>8.65000000002328</v>
      </c>
      <c r="M3135" s="22" cm="1">
        <f ca="1" t="array" ref="M3135">SUMPRODUCT(--(WEEKDAY(ROW(INDIRECT(INT(F3135)&amp;":"&amp;INT(I3135))),2)&gt;5))</f>
        <v>0</v>
      </c>
      <c r="N3135" s="22">
        <f ca="1" t="shared" si="243"/>
        <v>8.65000000002328</v>
      </c>
      <c r="O3135" s="22" t="str">
        <f ca="1" t="shared" si="244"/>
        <v>Within SLA</v>
      </c>
      <c r="P3135" s="26" t="s">
        <v>12208</v>
      </c>
      <c r="Q3135" s="24" t="s">
        <v>37</v>
      </c>
      <c r="R3135" s="25"/>
      <c r="S3135" s="25"/>
    </row>
    <row r="3136" ht="39" customHeight="1" spans="1:19">
      <c r="A3136" s="19" t="s">
        <v>12212</v>
      </c>
      <c r="B3136" s="20" t="s">
        <v>19</v>
      </c>
      <c r="C3136" s="20" t="s">
        <v>20</v>
      </c>
      <c r="D3136" s="20" t="s">
        <v>32</v>
      </c>
      <c r="E3136" s="21" t="s">
        <v>12213</v>
      </c>
      <c r="F3136" s="21" t="s">
        <v>12214</v>
      </c>
      <c r="G3136" s="20" t="s">
        <v>35</v>
      </c>
      <c r="H3136" s="20" t="s">
        <v>25</v>
      </c>
      <c r="I3136" s="21" t="s">
        <v>12207</v>
      </c>
      <c r="J3136" s="22">
        <f t="shared" si="240"/>
        <v>1.1875</v>
      </c>
      <c r="K3136" s="22">
        <f t="shared" si="241"/>
        <v>28.5</v>
      </c>
      <c r="L3136" s="22">
        <f t="shared" si="242"/>
        <v>12.5</v>
      </c>
      <c r="M3136" s="22" cm="1">
        <f ca="1" t="array" ref="M3136">SUMPRODUCT(--(WEEKDAY(ROW(INDIRECT(INT(F3136)&amp;":"&amp;INT(I3136))),2)&gt;5))</f>
        <v>0</v>
      </c>
      <c r="N3136" s="22">
        <f ca="1" t="shared" si="243"/>
        <v>12.5</v>
      </c>
      <c r="O3136" s="22" t="str">
        <f ca="1" t="shared" si="244"/>
        <v>SLA Violated</v>
      </c>
      <c r="P3136" s="23" t="s">
        <v>12215</v>
      </c>
      <c r="Q3136" s="24" t="s">
        <v>28</v>
      </c>
      <c r="R3136" s="25"/>
      <c r="S3136" s="25"/>
    </row>
    <row r="3137" ht="39" customHeight="1" spans="1:19">
      <c r="A3137" s="19" t="s">
        <v>12216</v>
      </c>
      <c r="B3137" s="20" t="s">
        <v>19</v>
      </c>
      <c r="C3137" s="20" t="s">
        <v>20</v>
      </c>
      <c r="D3137" s="20" t="s">
        <v>32</v>
      </c>
      <c r="E3137" s="21" t="s">
        <v>12217</v>
      </c>
      <c r="F3137" s="21" t="s">
        <v>12218</v>
      </c>
      <c r="G3137" s="20" t="s">
        <v>35</v>
      </c>
      <c r="H3137" s="20" t="s">
        <v>25</v>
      </c>
      <c r="I3137" s="21" t="s">
        <v>12219</v>
      </c>
      <c r="J3137" s="22">
        <f t="shared" si="240"/>
        <v>1.1916666666657</v>
      </c>
      <c r="K3137" s="22">
        <f t="shared" si="241"/>
        <v>28.5999999999767</v>
      </c>
      <c r="L3137" s="22">
        <f t="shared" si="242"/>
        <v>12.5999999999767</v>
      </c>
      <c r="M3137" s="22" cm="1">
        <f ca="1" t="array" ref="M3137">SUMPRODUCT(--(WEEKDAY(ROW(INDIRECT(INT(F3137)&amp;":"&amp;INT(I3137))),2)&gt;5))</f>
        <v>0</v>
      </c>
      <c r="N3137" s="22">
        <f ca="1" t="shared" si="243"/>
        <v>12.5999999999767</v>
      </c>
      <c r="O3137" s="22" t="str">
        <f ca="1" t="shared" si="244"/>
        <v>SLA Violated</v>
      </c>
      <c r="P3137" s="23" t="s">
        <v>12220</v>
      </c>
      <c r="Q3137" s="24" t="s">
        <v>37</v>
      </c>
      <c r="R3137" s="25" t="s">
        <v>220</v>
      </c>
      <c r="S3137" s="25" t="s">
        <v>39</v>
      </c>
    </row>
    <row r="3138" ht="27" customHeight="1" spans="1:19">
      <c r="A3138" s="19" t="s">
        <v>12221</v>
      </c>
      <c r="B3138" s="20" t="s">
        <v>30</v>
      </c>
      <c r="C3138" s="20" t="s">
        <v>31</v>
      </c>
      <c r="D3138" s="20" t="s">
        <v>32</v>
      </c>
      <c r="E3138" s="21" t="s">
        <v>12222</v>
      </c>
      <c r="F3138" s="21" t="s">
        <v>12223</v>
      </c>
      <c r="G3138" s="20" t="s">
        <v>35</v>
      </c>
      <c r="H3138" s="20" t="s">
        <v>25</v>
      </c>
      <c r="I3138" s="21" t="s">
        <v>12224</v>
      </c>
      <c r="J3138" s="22">
        <f t="shared" si="240"/>
        <v>0.0347222222262644</v>
      </c>
      <c r="K3138" s="22">
        <f t="shared" si="241"/>
        <v>0.833333333430346</v>
      </c>
      <c r="L3138" s="22">
        <f t="shared" si="242"/>
        <v>0.833333333430346</v>
      </c>
      <c r="M3138" s="22" cm="1">
        <f ca="1" t="array" ref="M3138">SUMPRODUCT(--(WEEKDAY(ROW(INDIRECT(INT(F3138)&amp;":"&amp;INT(I3138))),2)&gt;5))</f>
        <v>0</v>
      </c>
      <c r="N3138" s="22">
        <f ca="1" t="shared" si="243"/>
        <v>0.833333333430346</v>
      </c>
      <c r="O3138" s="22" t="str">
        <f ca="1" t="shared" si="244"/>
        <v>Within SLA</v>
      </c>
      <c r="P3138" s="26" t="s">
        <v>12221</v>
      </c>
      <c r="Q3138" s="24" t="s">
        <v>37</v>
      </c>
      <c r="R3138" s="25"/>
      <c r="S3138" s="25"/>
    </row>
    <row r="3139" ht="39" customHeight="1" spans="1:19">
      <c r="A3139" s="19" t="s">
        <v>12225</v>
      </c>
      <c r="B3139" s="20" t="s">
        <v>19</v>
      </c>
      <c r="C3139" s="20" t="s">
        <v>20</v>
      </c>
      <c r="D3139" s="20" t="s">
        <v>32</v>
      </c>
      <c r="E3139" s="21" t="s">
        <v>12226</v>
      </c>
      <c r="F3139" s="21" t="s">
        <v>10423</v>
      </c>
      <c r="G3139" s="20" t="s">
        <v>11229</v>
      </c>
      <c r="H3139" s="20" t="s">
        <v>25</v>
      </c>
      <c r="I3139" s="21" t="s">
        <v>12227</v>
      </c>
      <c r="J3139" s="22" t="e">
        <f t="shared" ref="J3139:J3202" si="245">F3139-I3139</f>
        <v>#VALUE!</v>
      </c>
      <c r="K3139" s="22" t="e">
        <f t="shared" ref="K3139:K3202" si="246">J3139*24</f>
        <v>#VALUE!</v>
      </c>
      <c r="L3139" s="22" t="e">
        <f t="shared" ref="L3139:L3202" si="247">IF(_xlfn.DAYS(F3139,I3139)&gt;0,K3139-IF(FLOOR(J3139,1)=0,1,_xlfn.DAYS(F3139,I3139))*16,K3139)</f>
        <v>#VALUE!</v>
      </c>
      <c r="M3139" s="22" t="e" cm="1">
        <f ca="1" t="array" ref="M3139">SUMPRODUCT(--(WEEKDAY(ROW(INDIRECT(INT(F3139)&amp;":"&amp;INT(I3139))),2)&gt;5))</f>
        <v>#VALUE!</v>
      </c>
      <c r="N3139" s="22" t="e">
        <f ca="1" t="shared" ref="N3139:N3202" si="248">IF(IF(M3139&gt;0,L3139-M3139*8,L3139)&lt;0,0,IF(M3139&gt;0,L3139-M3139*8,L3139))</f>
        <v>#VALUE!</v>
      </c>
      <c r="O3139" s="22" t="e">
        <f ca="1" t="shared" ref="O3139:O3202" si="249">IF(OR(AND(D3139="P1",N3139&lt;=3),AND(D3139="P2",N3139&lt;=6),AND(D3139="P3",N3139&lt;=9),AND(D3139="P4",N3139&lt;=12)),"Within SLA","SLA Violated")</f>
        <v>#VALUE!</v>
      </c>
      <c r="P3139" s="26" t="s">
        <v>12225</v>
      </c>
      <c r="Q3139" s="24" t="e">
        <v>#VALUE!</v>
      </c>
      <c r="R3139" s="25"/>
      <c r="S3139" s="25"/>
    </row>
    <row r="3140" ht="39" customHeight="1" spans="1:19">
      <c r="A3140" s="19" t="s">
        <v>12228</v>
      </c>
      <c r="B3140" s="20" t="s">
        <v>19</v>
      </c>
      <c r="C3140" s="20" t="s">
        <v>20</v>
      </c>
      <c r="D3140" s="20" t="s">
        <v>32</v>
      </c>
      <c r="E3140" s="21" t="s">
        <v>12229</v>
      </c>
      <c r="F3140" s="21" t="s">
        <v>12230</v>
      </c>
      <c r="G3140" s="20" t="s">
        <v>35</v>
      </c>
      <c r="H3140" s="20" t="s">
        <v>25</v>
      </c>
      <c r="I3140" s="21" t="s">
        <v>12230</v>
      </c>
      <c r="J3140" s="22">
        <f t="shared" si="245"/>
        <v>0</v>
      </c>
      <c r="K3140" s="22">
        <f t="shared" si="246"/>
        <v>0</v>
      </c>
      <c r="L3140" s="22">
        <f t="shared" si="247"/>
        <v>0</v>
      </c>
      <c r="M3140" s="22" cm="1">
        <f ca="1" t="array" ref="M3140">SUMPRODUCT(--(WEEKDAY(ROW(INDIRECT(INT(F3140)&amp;":"&amp;INT(I3140))),2)&gt;5))</f>
        <v>0</v>
      </c>
      <c r="N3140" s="22">
        <f ca="1" t="shared" si="248"/>
        <v>0</v>
      </c>
      <c r="O3140" s="22" t="str">
        <f ca="1" t="shared" si="249"/>
        <v>Within SLA</v>
      </c>
      <c r="P3140" s="26" t="s">
        <v>12228</v>
      </c>
      <c r="Q3140" s="24" t="s">
        <v>37</v>
      </c>
      <c r="R3140" s="25"/>
      <c r="S3140" s="25"/>
    </row>
    <row r="3141" ht="39" customHeight="1" spans="1:19">
      <c r="A3141" s="19" t="s">
        <v>12231</v>
      </c>
      <c r="B3141" s="20" t="s">
        <v>196</v>
      </c>
      <c r="C3141" s="20" t="s">
        <v>849</v>
      </c>
      <c r="D3141" s="20" t="s">
        <v>32</v>
      </c>
      <c r="E3141" s="21" t="s">
        <v>12232</v>
      </c>
      <c r="F3141" s="21" t="s">
        <v>12233</v>
      </c>
      <c r="G3141" s="20" t="s">
        <v>35</v>
      </c>
      <c r="H3141" s="20" t="s">
        <v>25</v>
      </c>
      <c r="I3141" s="21" t="s">
        <v>12234</v>
      </c>
      <c r="J3141" s="22">
        <f t="shared" si="245"/>
        <v>0.0562500000014552</v>
      </c>
      <c r="K3141" s="22">
        <f t="shared" si="246"/>
        <v>1.35000000003492</v>
      </c>
      <c r="L3141" s="22">
        <f t="shared" si="247"/>
        <v>1.35000000003492</v>
      </c>
      <c r="M3141" s="22" cm="1">
        <f ca="1" t="array" ref="M3141">SUMPRODUCT(--(WEEKDAY(ROW(INDIRECT(INT(F3141)&amp;":"&amp;INT(I3141))),2)&gt;5))</f>
        <v>0</v>
      </c>
      <c r="N3141" s="22">
        <f ca="1" t="shared" si="248"/>
        <v>1.35000000003492</v>
      </c>
      <c r="O3141" s="22" t="str">
        <f ca="1" t="shared" si="249"/>
        <v>Within SLA</v>
      </c>
      <c r="P3141" s="26" t="s">
        <v>12231</v>
      </c>
      <c r="Q3141" s="24" t="s">
        <v>37</v>
      </c>
      <c r="R3141" s="25"/>
      <c r="S3141" s="25"/>
    </row>
    <row r="3142" ht="39" customHeight="1" spans="1:19">
      <c r="A3142" s="19" t="s">
        <v>12235</v>
      </c>
      <c r="B3142" s="20" t="s">
        <v>19</v>
      </c>
      <c r="C3142" s="20" t="s">
        <v>20</v>
      </c>
      <c r="D3142" s="20" t="s">
        <v>32</v>
      </c>
      <c r="E3142" s="21" t="s">
        <v>12236</v>
      </c>
      <c r="F3142" s="21" t="s">
        <v>12237</v>
      </c>
      <c r="G3142" s="20" t="s">
        <v>35</v>
      </c>
      <c r="H3142" s="20" t="s">
        <v>25</v>
      </c>
      <c r="I3142" s="21" t="s">
        <v>12238</v>
      </c>
      <c r="J3142" s="22">
        <f t="shared" si="245"/>
        <v>0.257638888891961</v>
      </c>
      <c r="K3142" s="22">
        <f t="shared" si="246"/>
        <v>6.18333333340706</v>
      </c>
      <c r="L3142" s="22">
        <f t="shared" si="247"/>
        <v>6.18333333340706</v>
      </c>
      <c r="M3142" s="22" cm="1">
        <f ca="1" t="array" ref="M3142">SUMPRODUCT(--(WEEKDAY(ROW(INDIRECT(INT(F3142)&amp;":"&amp;INT(I3142))),2)&gt;5))</f>
        <v>0</v>
      </c>
      <c r="N3142" s="22">
        <f ca="1" t="shared" si="248"/>
        <v>6.18333333340706</v>
      </c>
      <c r="O3142" s="22" t="str">
        <f ca="1" t="shared" si="249"/>
        <v>Within SLA</v>
      </c>
      <c r="P3142" s="26" t="s">
        <v>12235</v>
      </c>
      <c r="Q3142" s="24" t="s">
        <v>37</v>
      </c>
      <c r="R3142" s="25"/>
      <c r="S3142" s="25"/>
    </row>
    <row r="3143" ht="39" customHeight="1" spans="1:19">
      <c r="A3143" s="19" t="s">
        <v>12239</v>
      </c>
      <c r="B3143" s="20" t="s">
        <v>19</v>
      </c>
      <c r="C3143" s="20" t="s">
        <v>20</v>
      </c>
      <c r="D3143" s="20" t="s">
        <v>32</v>
      </c>
      <c r="E3143" s="21" t="s">
        <v>12240</v>
      </c>
      <c r="F3143" s="21" t="s">
        <v>12241</v>
      </c>
      <c r="G3143" s="20" t="s">
        <v>35</v>
      </c>
      <c r="H3143" s="20" t="s">
        <v>25</v>
      </c>
      <c r="I3143" s="21" t="s">
        <v>12242</v>
      </c>
      <c r="J3143" s="22">
        <f t="shared" si="245"/>
        <v>0.119444444440887</v>
      </c>
      <c r="K3143" s="22">
        <f t="shared" si="246"/>
        <v>2.8666666665813</v>
      </c>
      <c r="L3143" s="22">
        <f t="shared" si="247"/>
        <v>2.8666666665813</v>
      </c>
      <c r="M3143" s="22" cm="1">
        <f ca="1" t="array" ref="M3143">SUMPRODUCT(--(WEEKDAY(ROW(INDIRECT(INT(F3143)&amp;":"&amp;INT(I3143))),2)&gt;5))</f>
        <v>0</v>
      </c>
      <c r="N3143" s="22">
        <f ca="1" t="shared" si="248"/>
        <v>2.8666666665813</v>
      </c>
      <c r="O3143" s="22" t="str">
        <f ca="1" t="shared" si="249"/>
        <v>Within SLA</v>
      </c>
      <c r="P3143" s="26" t="s">
        <v>12239</v>
      </c>
      <c r="Q3143" s="24" t="s">
        <v>37</v>
      </c>
      <c r="R3143" s="25"/>
      <c r="S3143" s="25"/>
    </row>
    <row r="3144" ht="39" customHeight="1" spans="1:19">
      <c r="A3144" s="19" t="s">
        <v>12243</v>
      </c>
      <c r="B3144" s="20" t="s">
        <v>19</v>
      </c>
      <c r="C3144" s="20" t="s">
        <v>20</v>
      </c>
      <c r="D3144" s="20" t="s">
        <v>32</v>
      </c>
      <c r="E3144" s="21" t="s">
        <v>12244</v>
      </c>
      <c r="F3144" s="21" t="s">
        <v>911</v>
      </c>
      <c r="G3144" s="20" t="s">
        <v>24</v>
      </c>
      <c r="H3144" s="20" t="s">
        <v>25</v>
      </c>
      <c r="I3144" s="21" t="s">
        <v>12245</v>
      </c>
      <c r="J3144" s="22">
        <f t="shared" si="245"/>
        <v>8.84583333333285</v>
      </c>
      <c r="K3144" s="22">
        <f t="shared" si="246"/>
        <v>212.299999999988</v>
      </c>
      <c r="L3144" s="22">
        <f t="shared" si="247"/>
        <v>68.2999999999884</v>
      </c>
      <c r="M3144" s="22" cm="1">
        <f ca="1" t="array" ref="M3144">SUMPRODUCT(--(WEEKDAY(ROW(INDIRECT(INT(F3144)&amp;":"&amp;INT(I3144))),2)&gt;5))</f>
        <v>2</v>
      </c>
      <c r="N3144" s="22">
        <f ca="1" t="shared" si="248"/>
        <v>52.2999999999884</v>
      </c>
      <c r="O3144" s="22" t="str">
        <f ca="1" t="shared" si="249"/>
        <v>SLA Violated</v>
      </c>
      <c r="P3144" s="23" t="s">
        <v>12246</v>
      </c>
      <c r="Q3144" s="24" t="s">
        <v>28</v>
      </c>
      <c r="R3144" s="25"/>
      <c r="S3144" s="25"/>
    </row>
    <row r="3145" ht="39" customHeight="1" spans="1:19">
      <c r="A3145" s="19" t="s">
        <v>12247</v>
      </c>
      <c r="B3145" s="20" t="s">
        <v>196</v>
      </c>
      <c r="C3145" s="20" t="s">
        <v>849</v>
      </c>
      <c r="D3145" s="20" t="s">
        <v>32</v>
      </c>
      <c r="E3145" s="21" t="s">
        <v>12248</v>
      </c>
      <c r="F3145" s="21" t="s">
        <v>12249</v>
      </c>
      <c r="G3145" s="20" t="s">
        <v>35</v>
      </c>
      <c r="H3145" s="20" t="s">
        <v>25</v>
      </c>
      <c r="I3145" s="21" t="s">
        <v>12250</v>
      </c>
      <c r="J3145" s="22">
        <f t="shared" si="245"/>
        <v>0.0763888888905058</v>
      </c>
      <c r="K3145" s="22">
        <f t="shared" si="246"/>
        <v>1.83333333337214</v>
      </c>
      <c r="L3145" s="22">
        <f t="shared" si="247"/>
        <v>1.83333333337214</v>
      </c>
      <c r="M3145" s="22" cm="1">
        <f ca="1" t="array" ref="M3145">SUMPRODUCT(--(WEEKDAY(ROW(INDIRECT(INT(F3145)&amp;":"&amp;INT(I3145))),2)&gt;5))</f>
        <v>0</v>
      </c>
      <c r="N3145" s="22">
        <f ca="1" t="shared" si="248"/>
        <v>1.83333333337214</v>
      </c>
      <c r="O3145" s="22" t="str">
        <f ca="1" t="shared" si="249"/>
        <v>Within SLA</v>
      </c>
      <c r="P3145" s="26" t="s">
        <v>12247</v>
      </c>
      <c r="Q3145" s="24" t="s">
        <v>37</v>
      </c>
      <c r="R3145" s="25"/>
      <c r="S3145" s="25"/>
    </row>
    <row r="3146" ht="16" customHeight="1" spans="1:19">
      <c r="A3146" s="19" t="s">
        <v>12251</v>
      </c>
      <c r="B3146" s="20" t="s">
        <v>100</v>
      </c>
      <c r="C3146" s="20" t="s">
        <v>101</v>
      </c>
      <c r="D3146" s="20" t="s">
        <v>32</v>
      </c>
      <c r="E3146" s="21" t="s">
        <v>12252</v>
      </c>
      <c r="F3146" s="21" t="s">
        <v>12253</v>
      </c>
      <c r="G3146" s="20" t="s">
        <v>35</v>
      </c>
      <c r="H3146" s="20" t="s">
        <v>25</v>
      </c>
      <c r="I3146" s="21" t="s">
        <v>12254</v>
      </c>
      <c r="J3146" s="22">
        <f t="shared" si="245"/>
        <v>0.000694444446708076</v>
      </c>
      <c r="K3146" s="22">
        <f t="shared" si="246"/>
        <v>0.0166666667209938</v>
      </c>
      <c r="L3146" s="22">
        <f t="shared" si="247"/>
        <v>0.0166666667209938</v>
      </c>
      <c r="M3146" s="22" cm="1">
        <f ca="1" t="array" ref="M3146">SUMPRODUCT(--(WEEKDAY(ROW(INDIRECT(INT(F3146)&amp;":"&amp;INT(I3146))),2)&gt;5))</f>
        <v>0</v>
      </c>
      <c r="N3146" s="22">
        <f ca="1" t="shared" si="248"/>
        <v>0.0166666667209938</v>
      </c>
      <c r="O3146" s="22" t="str">
        <f ca="1" t="shared" si="249"/>
        <v>Within SLA</v>
      </c>
      <c r="P3146" s="26" t="s">
        <v>12251</v>
      </c>
      <c r="Q3146" s="24" t="s">
        <v>37</v>
      </c>
      <c r="R3146" s="25"/>
      <c r="S3146" s="25"/>
    </row>
    <row r="3147" ht="39" customHeight="1" spans="1:19">
      <c r="A3147" s="19" t="s">
        <v>12255</v>
      </c>
      <c r="B3147" s="20" t="s">
        <v>196</v>
      </c>
      <c r="C3147" s="20" t="s">
        <v>849</v>
      </c>
      <c r="D3147" s="20" t="s">
        <v>32</v>
      </c>
      <c r="E3147" s="21" t="s">
        <v>12256</v>
      </c>
      <c r="F3147" s="21" t="s">
        <v>12257</v>
      </c>
      <c r="G3147" s="20" t="s">
        <v>35</v>
      </c>
      <c r="H3147" s="20" t="s">
        <v>25</v>
      </c>
      <c r="I3147" s="21" t="s">
        <v>12258</v>
      </c>
      <c r="J3147" s="22">
        <f t="shared" si="245"/>
        <v>1.79861111110949</v>
      </c>
      <c r="K3147" s="22">
        <f t="shared" si="246"/>
        <v>43.1666666666279</v>
      </c>
      <c r="L3147" s="22">
        <f t="shared" si="247"/>
        <v>11.1666666666279</v>
      </c>
      <c r="M3147" s="22" cm="1">
        <f ca="1" t="array" ref="M3147">SUMPRODUCT(--(WEEKDAY(ROW(INDIRECT(INT(F3147)&amp;":"&amp;INT(I3147))),2)&gt;5))</f>
        <v>0</v>
      </c>
      <c r="N3147" s="22">
        <f ca="1" t="shared" si="248"/>
        <v>11.1666666666279</v>
      </c>
      <c r="O3147" s="22" t="str">
        <f ca="1" t="shared" si="249"/>
        <v>Within SLA</v>
      </c>
      <c r="P3147" s="26" t="s">
        <v>12255</v>
      </c>
      <c r="Q3147" s="24" t="s">
        <v>37</v>
      </c>
      <c r="R3147" s="25"/>
      <c r="S3147" s="25"/>
    </row>
    <row r="3148" ht="16" customHeight="1" spans="1:19">
      <c r="A3148" s="19" t="s">
        <v>12259</v>
      </c>
      <c r="B3148" s="20" t="s">
        <v>100</v>
      </c>
      <c r="C3148" s="20" t="s">
        <v>101</v>
      </c>
      <c r="D3148" s="20" t="s">
        <v>32</v>
      </c>
      <c r="E3148" s="21" t="s">
        <v>12260</v>
      </c>
      <c r="F3148" s="21" t="s">
        <v>12261</v>
      </c>
      <c r="G3148" s="20" t="s">
        <v>35</v>
      </c>
      <c r="H3148" s="20" t="s">
        <v>25</v>
      </c>
      <c r="I3148" s="21" t="s">
        <v>12262</v>
      </c>
      <c r="J3148" s="22">
        <f t="shared" si="245"/>
        <v>2.8347222222219</v>
      </c>
      <c r="K3148" s="22">
        <f t="shared" si="246"/>
        <v>68.0333333333256</v>
      </c>
      <c r="L3148" s="22">
        <f t="shared" si="247"/>
        <v>20.0333333333256</v>
      </c>
      <c r="M3148" s="22" cm="1">
        <f ca="1" t="array" ref="M3148">SUMPRODUCT(--(WEEKDAY(ROW(INDIRECT(INT(F3148)&amp;":"&amp;INT(I3148))),2)&gt;5))</f>
        <v>0</v>
      </c>
      <c r="N3148" s="22">
        <f ca="1" t="shared" si="248"/>
        <v>20.0333333333256</v>
      </c>
      <c r="O3148" s="22" t="str">
        <f ca="1" t="shared" si="249"/>
        <v>SLA Violated</v>
      </c>
      <c r="P3148" s="23" t="s">
        <v>12263</v>
      </c>
      <c r="Q3148" s="24" t="s">
        <v>28</v>
      </c>
      <c r="R3148" s="25"/>
      <c r="S3148" s="25"/>
    </row>
    <row r="3149" ht="27" customHeight="1" spans="1:19">
      <c r="A3149" s="19" t="s">
        <v>12264</v>
      </c>
      <c r="B3149" s="20" t="s">
        <v>30</v>
      </c>
      <c r="C3149" s="20" t="s">
        <v>31</v>
      </c>
      <c r="D3149" s="20" t="s">
        <v>32</v>
      </c>
      <c r="E3149" s="21" t="s">
        <v>12265</v>
      </c>
      <c r="F3149" s="21" t="s">
        <v>12266</v>
      </c>
      <c r="G3149" s="20" t="s">
        <v>35</v>
      </c>
      <c r="H3149" s="20" t="s">
        <v>25</v>
      </c>
      <c r="I3149" s="21" t="s">
        <v>12267</v>
      </c>
      <c r="J3149" s="22">
        <f t="shared" si="245"/>
        <v>0.207638888889051</v>
      </c>
      <c r="K3149" s="22">
        <f t="shared" si="246"/>
        <v>4.98333333333721</v>
      </c>
      <c r="L3149" s="22">
        <f t="shared" si="247"/>
        <v>4.98333333333721</v>
      </c>
      <c r="M3149" s="22" cm="1">
        <f ca="1" t="array" ref="M3149">SUMPRODUCT(--(WEEKDAY(ROW(INDIRECT(INT(F3149)&amp;":"&amp;INT(I3149))),2)&gt;5))</f>
        <v>0</v>
      </c>
      <c r="N3149" s="22">
        <f ca="1" t="shared" si="248"/>
        <v>4.98333333333721</v>
      </c>
      <c r="O3149" s="22" t="str">
        <f ca="1" t="shared" si="249"/>
        <v>Within SLA</v>
      </c>
      <c r="P3149" s="26" t="s">
        <v>12264</v>
      </c>
      <c r="Q3149" s="24" t="s">
        <v>37</v>
      </c>
      <c r="R3149" s="25"/>
      <c r="S3149" s="25"/>
    </row>
    <row r="3150" ht="39" customHeight="1" spans="1:19">
      <c r="A3150" s="19" t="s">
        <v>12268</v>
      </c>
      <c r="B3150" s="20" t="s">
        <v>19</v>
      </c>
      <c r="C3150" s="20" t="s">
        <v>20</v>
      </c>
      <c r="D3150" s="20" t="s">
        <v>32</v>
      </c>
      <c r="E3150" s="21" t="s">
        <v>12269</v>
      </c>
      <c r="F3150" s="21" t="s">
        <v>12270</v>
      </c>
      <c r="G3150" s="20" t="s">
        <v>35</v>
      </c>
      <c r="H3150" s="20" t="s">
        <v>25</v>
      </c>
      <c r="I3150" s="21" t="s">
        <v>12271</v>
      </c>
      <c r="J3150" s="22">
        <f t="shared" si="245"/>
        <v>0.023611111108039</v>
      </c>
      <c r="K3150" s="22">
        <f t="shared" si="246"/>
        <v>0.566666666592937</v>
      </c>
      <c r="L3150" s="22">
        <f t="shared" si="247"/>
        <v>0.566666666592937</v>
      </c>
      <c r="M3150" s="22" cm="1">
        <f ca="1" t="array" ref="M3150">SUMPRODUCT(--(WEEKDAY(ROW(INDIRECT(INT(F3150)&amp;":"&amp;INT(I3150))),2)&gt;5))</f>
        <v>0</v>
      </c>
      <c r="N3150" s="22">
        <f ca="1" t="shared" si="248"/>
        <v>0.566666666592937</v>
      </c>
      <c r="O3150" s="22" t="str">
        <f ca="1" t="shared" si="249"/>
        <v>Within SLA</v>
      </c>
      <c r="P3150" s="26" t="s">
        <v>12268</v>
      </c>
      <c r="Q3150" s="24" t="s">
        <v>37</v>
      </c>
      <c r="R3150" s="25"/>
      <c r="S3150" s="25"/>
    </row>
    <row r="3151" ht="16" customHeight="1" spans="1:19">
      <c r="A3151" s="19" t="s">
        <v>12272</v>
      </c>
      <c r="B3151" s="20" t="s">
        <v>100</v>
      </c>
      <c r="C3151" s="20" t="s">
        <v>101</v>
      </c>
      <c r="D3151" s="20" t="s">
        <v>32</v>
      </c>
      <c r="E3151" s="21" t="s">
        <v>12273</v>
      </c>
      <c r="F3151" s="21" t="s">
        <v>12274</v>
      </c>
      <c r="G3151" s="20" t="s">
        <v>35</v>
      </c>
      <c r="H3151" s="20" t="s">
        <v>25</v>
      </c>
      <c r="I3151" s="21" t="s">
        <v>12275</v>
      </c>
      <c r="J3151" s="22">
        <f t="shared" si="245"/>
        <v>6.9736111111124</v>
      </c>
      <c r="K3151" s="22">
        <f t="shared" si="246"/>
        <v>167.366666666698</v>
      </c>
      <c r="L3151" s="22">
        <f t="shared" si="247"/>
        <v>55.3666666666977</v>
      </c>
      <c r="M3151" s="22" cm="1">
        <f ca="1" t="array" ref="M3151">SUMPRODUCT(--(WEEKDAY(ROW(INDIRECT(INT(F3151)&amp;":"&amp;INT(I3151))),2)&gt;5))</f>
        <v>2</v>
      </c>
      <c r="N3151" s="22">
        <f ca="1" t="shared" si="248"/>
        <v>39.3666666666977</v>
      </c>
      <c r="O3151" s="22" t="str">
        <f ca="1" t="shared" si="249"/>
        <v>SLA Violated</v>
      </c>
      <c r="P3151" s="23" t="s">
        <v>12276</v>
      </c>
      <c r="Q3151" s="24" t="s">
        <v>28</v>
      </c>
      <c r="R3151" s="25"/>
      <c r="S3151" s="25"/>
    </row>
    <row r="3152" ht="16" customHeight="1" spans="1:19">
      <c r="A3152" s="19" t="s">
        <v>12277</v>
      </c>
      <c r="B3152" s="20" t="s">
        <v>100</v>
      </c>
      <c r="C3152" s="20" t="s">
        <v>101</v>
      </c>
      <c r="D3152" s="20" t="s">
        <v>32</v>
      </c>
      <c r="E3152" s="21" t="s">
        <v>12278</v>
      </c>
      <c r="F3152" s="21" t="s">
        <v>12279</v>
      </c>
      <c r="G3152" s="20" t="s">
        <v>35</v>
      </c>
      <c r="H3152" s="20" t="s">
        <v>25</v>
      </c>
      <c r="I3152" s="21" t="s">
        <v>12280</v>
      </c>
      <c r="J3152" s="22">
        <f t="shared" si="245"/>
        <v>8.95138888889051</v>
      </c>
      <c r="K3152" s="22">
        <f t="shared" si="246"/>
        <v>214.833333333372</v>
      </c>
      <c r="L3152" s="22">
        <f t="shared" si="247"/>
        <v>70.8333333333721</v>
      </c>
      <c r="M3152" s="22" cm="1">
        <f ca="1" t="array" ref="M3152">SUMPRODUCT(--(WEEKDAY(ROW(INDIRECT(INT(F3152)&amp;":"&amp;INT(I3152))),2)&gt;5))</f>
        <v>2</v>
      </c>
      <c r="N3152" s="22">
        <f ca="1" t="shared" si="248"/>
        <v>54.8333333333721</v>
      </c>
      <c r="O3152" s="22" t="str">
        <f ca="1" t="shared" si="249"/>
        <v>SLA Violated</v>
      </c>
      <c r="P3152" s="23" t="s">
        <v>12281</v>
      </c>
      <c r="Q3152" s="24" t="s">
        <v>28</v>
      </c>
      <c r="R3152" s="25"/>
      <c r="S3152" s="25"/>
    </row>
    <row r="3153" ht="27" customHeight="1" spans="1:19">
      <c r="A3153" s="19" t="s">
        <v>12282</v>
      </c>
      <c r="B3153" s="20" t="s">
        <v>139</v>
      </c>
      <c r="C3153" s="20" t="s">
        <v>2057</v>
      </c>
      <c r="D3153" s="20" t="s">
        <v>32</v>
      </c>
      <c r="E3153" s="21" t="s">
        <v>12283</v>
      </c>
      <c r="F3153" s="21" t="s">
        <v>12284</v>
      </c>
      <c r="G3153" s="20" t="s">
        <v>35</v>
      </c>
      <c r="H3153" s="20" t="s">
        <v>25</v>
      </c>
      <c r="I3153" s="21" t="s">
        <v>12285</v>
      </c>
      <c r="J3153" s="22">
        <f t="shared" si="245"/>
        <v>0.170138888890506</v>
      </c>
      <c r="K3153" s="22">
        <f t="shared" si="246"/>
        <v>4.08333333337214</v>
      </c>
      <c r="L3153" s="22">
        <f t="shared" si="247"/>
        <v>4.08333333337214</v>
      </c>
      <c r="M3153" s="22" cm="1">
        <f ca="1" t="array" ref="M3153">SUMPRODUCT(--(WEEKDAY(ROW(INDIRECT(INT(F3153)&amp;":"&amp;INT(I3153))),2)&gt;5))</f>
        <v>0</v>
      </c>
      <c r="N3153" s="22">
        <f ca="1" t="shared" si="248"/>
        <v>4.08333333337214</v>
      </c>
      <c r="O3153" s="22" t="str">
        <f ca="1" t="shared" si="249"/>
        <v>Within SLA</v>
      </c>
      <c r="P3153" s="26" t="s">
        <v>12282</v>
      </c>
      <c r="Q3153" s="24" t="s">
        <v>37</v>
      </c>
      <c r="R3153" s="25"/>
      <c r="S3153" s="25"/>
    </row>
    <row r="3154" ht="27" customHeight="1" spans="1:19">
      <c r="A3154" s="19" t="s">
        <v>12286</v>
      </c>
      <c r="B3154" s="20" t="s">
        <v>30</v>
      </c>
      <c r="C3154" s="20" t="s">
        <v>849</v>
      </c>
      <c r="D3154" s="20" t="s">
        <v>32</v>
      </c>
      <c r="E3154" s="21" t="s">
        <v>12287</v>
      </c>
      <c r="F3154" s="21" t="s">
        <v>12288</v>
      </c>
      <c r="G3154" s="20" t="s">
        <v>35</v>
      </c>
      <c r="H3154" s="20" t="s">
        <v>25</v>
      </c>
      <c r="I3154" s="21" t="s">
        <v>12289</v>
      </c>
      <c r="J3154" s="22">
        <f t="shared" si="245"/>
        <v>0.210416666668607</v>
      </c>
      <c r="K3154" s="22">
        <f t="shared" si="246"/>
        <v>5.05000000004657</v>
      </c>
      <c r="L3154" s="22">
        <f t="shared" si="247"/>
        <v>5.05000000004657</v>
      </c>
      <c r="M3154" s="22" cm="1">
        <f ca="1" t="array" ref="M3154">SUMPRODUCT(--(WEEKDAY(ROW(INDIRECT(INT(F3154)&amp;":"&amp;INT(I3154))),2)&gt;5))</f>
        <v>0</v>
      </c>
      <c r="N3154" s="22">
        <f ca="1" t="shared" si="248"/>
        <v>5.05000000004657</v>
      </c>
      <c r="O3154" s="22" t="str">
        <f ca="1" t="shared" si="249"/>
        <v>Within SLA</v>
      </c>
      <c r="P3154" s="26" t="s">
        <v>12286</v>
      </c>
      <c r="Q3154" s="24" t="s">
        <v>37</v>
      </c>
      <c r="R3154" s="25"/>
      <c r="S3154" s="25"/>
    </row>
    <row r="3155" ht="39" customHeight="1" spans="1:19">
      <c r="A3155" s="19" t="s">
        <v>12290</v>
      </c>
      <c r="B3155" s="20" t="s">
        <v>196</v>
      </c>
      <c r="C3155" s="20" t="s">
        <v>849</v>
      </c>
      <c r="D3155" s="20" t="s">
        <v>105</v>
      </c>
      <c r="E3155" s="21" t="s">
        <v>12291</v>
      </c>
      <c r="F3155" s="21" t="s">
        <v>12292</v>
      </c>
      <c r="G3155" s="20" t="s">
        <v>35</v>
      </c>
      <c r="H3155" s="20" t="s">
        <v>25</v>
      </c>
      <c r="I3155" s="21" t="s">
        <v>12293</v>
      </c>
      <c r="J3155" s="22">
        <f t="shared" si="245"/>
        <v>7.19513888889196</v>
      </c>
      <c r="K3155" s="22">
        <f t="shared" si="246"/>
        <v>172.683333333407</v>
      </c>
      <c r="L3155" s="22">
        <f t="shared" si="247"/>
        <v>60.6833333334071</v>
      </c>
      <c r="M3155" s="22" cm="1">
        <f ca="1" t="array" ref="M3155">SUMPRODUCT(--(WEEKDAY(ROW(INDIRECT(INT(F3155)&amp;":"&amp;INT(I3155))),2)&gt;5))</f>
        <v>2</v>
      </c>
      <c r="N3155" s="22">
        <f ca="1" t="shared" si="248"/>
        <v>44.6833333334071</v>
      </c>
      <c r="O3155" s="22" t="str">
        <f ca="1" t="shared" si="249"/>
        <v>SLA Violated</v>
      </c>
      <c r="P3155" s="23" t="s">
        <v>12294</v>
      </c>
      <c r="Q3155" s="24" t="s">
        <v>28</v>
      </c>
      <c r="R3155" s="25"/>
      <c r="S3155" s="25"/>
    </row>
    <row r="3156" ht="39" customHeight="1" spans="1:19">
      <c r="A3156" s="19" t="s">
        <v>12295</v>
      </c>
      <c r="B3156" s="20" t="s">
        <v>19</v>
      </c>
      <c r="C3156" s="20" t="s">
        <v>20</v>
      </c>
      <c r="D3156" s="20" t="s">
        <v>32</v>
      </c>
      <c r="E3156" s="21" t="s">
        <v>12296</v>
      </c>
      <c r="F3156" s="21" t="s">
        <v>12297</v>
      </c>
      <c r="G3156" s="20" t="s">
        <v>35</v>
      </c>
      <c r="H3156" s="20" t="s">
        <v>25</v>
      </c>
      <c r="I3156" s="21" t="s">
        <v>12298</v>
      </c>
      <c r="J3156" s="22">
        <f t="shared" si="245"/>
        <v>0.140277777776646</v>
      </c>
      <c r="K3156" s="22">
        <f t="shared" si="246"/>
        <v>3.3666666666395</v>
      </c>
      <c r="L3156" s="22">
        <f t="shared" si="247"/>
        <v>3.3666666666395</v>
      </c>
      <c r="M3156" s="22" cm="1">
        <f ca="1" t="array" ref="M3156">SUMPRODUCT(--(WEEKDAY(ROW(INDIRECT(INT(F3156)&amp;":"&amp;INT(I3156))),2)&gt;5))</f>
        <v>0</v>
      </c>
      <c r="N3156" s="22">
        <f ca="1" t="shared" si="248"/>
        <v>3.3666666666395</v>
      </c>
      <c r="O3156" s="22" t="str">
        <f ca="1" t="shared" si="249"/>
        <v>Within SLA</v>
      </c>
      <c r="P3156" s="26" t="s">
        <v>12295</v>
      </c>
      <c r="Q3156" s="24" t="s">
        <v>37</v>
      </c>
      <c r="R3156" s="25"/>
      <c r="S3156" s="25"/>
    </row>
    <row r="3157" ht="27" customHeight="1" spans="1:19">
      <c r="A3157" s="19" t="s">
        <v>12299</v>
      </c>
      <c r="B3157" s="20" t="s">
        <v>30</v>
      </c>
      <c r="C3157" s="20" t="s">
        <v>31</v>
      </c>
      <c r="D3157" s="20" t="s">
        <v>32</v>
      </c>
      <c r="E3157" s="21" t="s">
        <v>12300</v>
      </c>
      <c r="F3157" s="21" t="s">
        <v>12301</v>
      </c>
      <c r="G3157" s="20" t="s">
        <v>35</v>
      </c>
      <c r="H3157" s="20" t="s">
        <v>25</v>
      </c>
      <c r="I3157" s="21" t="s">
        <v>12302</v>
      </c>
      <c r="J3157" s="22">
        <f t="shared" si="245"/>
        <v>14.9847222222161</v>
      </c>
      <c r="K3157" s="22">
        <f t="shared" si="246"/>
        <v>359.633333333186</v>
      </c>
      <c r="L3157" s="22">
        <f t="shared" si="247"/>
        <v>119.633333333186</v>
      </c>
      <c r="M3157" s="22" cm="1">
        <f ca="1" t="array" ref="M3157">SUMPRODUCT(--(WEEKDAY(ROW(INDIRECT(INT(F3157)&amp;":"&amp;INT(I3157))),2)&gt;5))</f>
        <v>4</v>
      </c>
      <c r="N3157" s="22">
        <f ca="1" t="shared" si="248"/>
        <v>87.633333333186</v>
      </c>
      <c r="O3157" s="22" t="str">
        <f ca="1" t="shared" si="249"/>
        <v>SLA Violated</v>
      </c>
      <c r="P3157" s="23" t="s">
        <v>12303</v>
      </c>
      <c r="Q3157" s="24" t="s">
        <v>37</v>
      </c>
      <c r="R3157" s="25" t="s">
        <v>38</v>
      </c>
      <c r="S3157" s="25" t="s">
        <v>39</v>
      </c>
    </row>
    <row r="3158" ht="39" customHeight="1" spans="1:19">
      <c r="A3158" s="19" t="s">
        <v>12304</v>
      </c>
      <c r="B3158" s="20" t="s">
        <v>4167</v>
      </c>
      <c r="C3158" s="20" t="s">
        <v>101</v>
      </c>
      <c r="D3158" s="20" t="s">
        <v>32</v>
      </c>
      <c r="E3158" s="21" t="s">
        <v>12305</v>
      </c>
      <c r="F3158" s="21" t="s">
        <v>12306</v>
      </c>
      <c r="G3158" s="20" t="s">
        <v>35</v>
      </c>
      <c r="H3158" s="20" t="s">
        <v>25</v>
      </c>
      <c r="I3158" s="21" t="s">
        <v>12307</v>
      </c>
      <c r="J3158" s="22">
        <f t="shared" si="245"/>
        <v>0.00555555555911269</v>
      </c>
      <c r="K3158" s="22">
        <f t="shared" si="246"/>
        <v>0.133333333418705</v>
      </c>
      <c r="L3158" s="22">
        <f t="shared" si="247"/>
        <v>0.133333333418705</v>
      </c>
      <c r="M3158" s="22" cm="1">
        <f ca="1" t="array" ref="M3158">SUMPRODUCT(--(WEEKDAY(ROW(INDIRECT(INT(F3158)&amp;":"&amp;INT(I3158))),2)&gt;5))</f>
        <v>0</v>
      </c>
      <c r="N3158" s="22">
        <f ca="1" t="shared" si="248"/>
        <v>0.133333333418705</v>
      </c>
      <c r="O3158" s="22" t="str">
        <f ca="1" t="shared" si="249"/>
        <v>Within SLA</v>
      </c>
      <c r="P3158" s="26" t="s">
        <v>12304</v>
      </c>
      <c r="Q3158" s="24" t="s">
        <v>37</v>
      </c>
      <c r="R3158" s="25"/>
      <c r="S3158" s="25"/>
    </row>
    <row r="3159" ht="39" customHeight="1" spans="1:19">
      <c r="A3159" s="19" t="s">
        <v>12308</v>
      </c>
      <c r="B3159" s="20" t="s">
        <v>19</v>
      </c>
      <c r="C3159" s="20" t="s">
        <v>20</v>
      </c>
      <c r="D3159" s="20" t="s">
        <v>32</v>
      </c>
      <c r="E3159" s="21" t="s">
        <v>12309</v>
      </c>
      <c r="F3159" s="21" t="s">
        <v>12310</v>
      </c>
      <c r="G3159" s="20" t="s">
        <v>35</v>
      </c>
      <c r="H3159" s="20" t="s">
        <v>25</v>
      </c>
      <c r="I3159" s="21" t="s">
        <v>12311</v>
      </c>
      <c r="J3159" s="22">
        <f t="shared" si="245"/>
        <v>0.125</v>
      </c>
      <c r="K3159" s="22">
        <f t="shared" si="246"/>
        <v>3</v>
      </c>
      <c r="L3159" s="22">
        <f t="shared" si="247"/>
        <v>3</v>
      </c>
      <c r="M3159" s="22" cm="1">
        <f ca="1" t="array" ref="M3159">SUMPRODUCT(--(WEEKDAY(ROW(INDIRECT(INT(F3159)&amp;":"&amp;INT(I3159))),2)&gt;5))</f>
        <v>0</v>
      </c>
      <c r="N3159" s="22">
        <f ca="1" t="shared" si="248"/>
        <v>3</v>
      </c>
      <c r="O3159" s="22" t="str">
        <f ca="1" t="shared" si="249"/>
        <v>Within SLA</v>
      </c>
      <c r="P3159" s="26" t="s">
        <v>12308</v>
      </c>
      <c r="Q3159" s="24" t="s">
        <v>37</v>
      </c>
      <c r="R3159" s="25"/>
      <c r="S3159" s="25"/>
    </row>
    <row r="3160" ht="16" customHeight="1" spans="1:19">
      <c r="A3160" s="19" t="s">
        <v>12312</v>
      </c>
      <c r="B3160" s="20" t="s">
        <v>100</v>
      </c>
      <c r="C3160" s="20" t="s">
        <v>101</v>
      </c>
      <c r="D3160" s="20" t="s">
        <v>21</v>
      </c>
      <c r="E3160" s="21" t="s">
        <v>12313</v>
      </c>
      <c r="F3160" s="21" t="s">
        <v>12314</v>
      </c>
      <c r="G3160" s="20" t="s">
        <v>35</v>
      </c>
      <c r="H3160" s="20" t="s">
        <v>25</v>
      </c>
      <c r="I3160" s="21" t="s">
        <v>12315</v>
      </c>
      <c r="J3160" s="22">
        <f t="shared" si="245"/>
        <v>1.03333333333285</v>
      </c>
      <c r="K3160" s="22">
        <f t="shared" si="246"/>
        <v>24.7999999999884</v>
      </c>
      <c r="L3160" s="22">
        <f t="shared" si="247"/>
        <v>8.79999999998836</v>
      </c>
      <c r="M3160" s="22" cm="1">
        <f ca="1" t="array" ref="M3160">SUMPRODUCT(--(WEEKDAY(ROW(INDIRECT(INT(F3160)&amp;":"&amp;INT(I3160))),2)&gt;5))</f>
        <v>0</v>
      </c>
      <c r="N3160" s="22">
        <f ca="1" t="shared" si="248"/>
        <v>8.79999999998836</v>
      </c>
      <c r="O3160" s="22" t="str">
        <f ca="1" t="shared" si="249"/>
        <v>SLA Violated</v>
      </c>
      <c r="P3160" s="23" t="s">
        <v>12316</v>
      </c>
      <c r="Q3160" s="24" t="s">
        <v>28</v>
      </c>
      <c r="R3160" s="25"/>
      <c r="S3160" s="25"/>
    </row>
    <row r="3161" ht="27" customHeight="1" spans="1:19">
      <c r="A3161" s="19" t="s">
        <v>12317</v>
      </c>
      <c r="B3161" s="20" t="s">
        <v>121</v>
      </c>
      <c r="C3161" s="20" t="s">
        <v>849</v>
      </c>
      <c r="D3161" s="20" t="s">
        <v>105</v>
      </c>
      <c r="E3161" s="21" t="s">
        <v>12318</v>
      </c>
      <c r="F3161" s="21" t="s">
        <v>12319</v>
      </c>
      <c r="G3161" s="20" t="s">
        <v>35</v>
      </c>
      <c r="H3161" s="20" t="s">
        <v>25</v>
      </c>
      <c r="I3161" s="21" t="s">
        <v>12320</v>
      </c>
      <c r="J3161" s="22">
        <f t="shared" si="245"/>
        <v>0.265972222223354</v>
      </c>
      <c r="K3161" s="22">
        <f t="shared" si="246"/>
        <v>6.3833333333605</v>
      </c>
      <c r="L3161" s="22">
        <f t="shared" si="247"/>
        <v>6.3833333333605</v>
      </c>
      <c r="M3161" s="22" cm="1">
        <f ca="1" t="array" ref="M3161">SUMPRODUCT(--(WEEKDAY(ROW(INDIRECT(INT(F3161)&amp;":"&amp;INT(I3161))),2)&gt;5))</f>
        <v>0</v>
      </c>
      <c r="N3161" s="22">
        <f ca="1" t="shared" si="248"/>
        <v>6.3833333333605</v>
      </c>
      <c r="O3161" s="22" t="str">
        <f ca="1" t="shared" si="249"/>
        <v>SLA Violated</v>
      </c>
      <c r="P3161" s="23" t="s">
        <v>12321</v>
      </c>
      <c r="Q3161" s="24" t="s">
        <v>37</v>
      </c>
      <c r="R3161" s="25" t="s">
        <v>109</v>
      </c>
      <c r="S3161" s="25" t="s">
        <v>39</v>
      </c>
    </row>
    <row r="3162" ht="39" customHeight="1" spans="1:19">
      <c r="A3162" s="19" t="s">
        <v>12322</v>
      </c>
      <c r="B3162" s="20" t="s">
        <v>4167</v>
      </c>
      <c r="C3162" s="20" t="s">
        <v>101</v>
      </c>
      <c r="D3162" s="20" t="s">
        <v>32</v>
      </c>
      <c r="E3162" s="21" t="s">
        <v>12323</v>
      </c>
      <c r="F3162" s="21" t="s">
        <v>12324</v>
      </c>
      <c r="G3162" s="20" t="s">
        <v>35</v>
      </c>
      <c r="H3162" s="20" t="s">
        <v>25</v>
      </c>
      <c r="I3162" s="21" t="s">
        <v>12325</v>
      </c>
      <c r="J3162" s="22">
        <f t="shared" si="245"/>
        <v>0.00624999999854481</v>
      </c>
      <c r="K3162" s="22">
        <f t="shared" si="246"/>
        <v>0.149999999965075</v>
      </c>
      <c r="L3162" s="22">
        <f t="shared" si="247"/>
        <v>0.149999999965075</v>
      </c>
      <c r="M3162" s="22" cm="1">
        <f ca="1" t="array" ref="M3162">SUMPRODUCT(--(WEEKDAY(ROW(INDIRECT(INT(F3162)&amp;":"&amp;INT(I3162))),2)&gt;5))</f>
        <v>0</v>
      </c>
      <c r="N3162" s="22">
        <f ca="1" t="shared" si="248"/>
        <v>0.149999999965075</v>
      </c>
      <c r="O3162" s="22" t="str">
        <f ca="1" t="shared" si="249"/>
        <v>Within SLA</v>
      </c>
      <c r="P3162" s="26" t="s">
        <v>12322</v>
      </c>
      <c r="Q3162" s="24" t="s">
        <v>37</v>
      </c>
      <c r="R3162" s="25"/>
      <c r="S3162" s="25"/>
    </row>
    <row r="3163" ht="27" customHeight="1" spans="1:19">
      <c r="A3163" s="19" t="s">
        <v>12326</v>
      </c>
      <c r="B3163" s="20" t="s">
        <v>30</v>
      </c>
      <c r="C3163" s="20" t="s">
        <v>46</v>
      </c>
      <c r="D3163" s="20" t="s">
        <v>32</v>
      </c>
      <c r="E3163" s="21" t="s">
        <v>12327</v>
      </c>
      <c r="F3163" s="21" t="s">
        <v>12328</v>
      </c>
      <c r="G3163" s="20" t="s">
        <v>35</v>
      </c>
      <c r="H3163" s="20" t="s">
        <v>25</v>
      </c>
      <c r="I3163" s="21" t="s">
        <v>12329</v>
      </c>
      <c r="J3163" s="22">
        <f t="shared" si="245"/>
        <v>0.0576388888875954</v>
      </c>
      <c r="K3163" s="22">
        <f t="shared" si="246"/>
        <v>1.38333333330229</v>
      </c>
      <c r="L3163" s="22">
        <f t="shared" si="247"/>
        <v>1.38333333330229</v>
      </c>
      <c r="M3163" s="22" cm="1">
        <f ca="1" t="array" ref="M3163">SUMPRODUCT(--(WEEKDAY(ROW(INDIRECT(INT(F3163)&amp;":"&amp;INT(I3163))),2)&gt;5))</f>
        <v>0</v>
      </c>
      <c r="N3163" s="22">
        <f ca="1" t="shared" si="248"/>
        <v>1.38333333330229</v>
      </c>
      <c r="O3163" s="22" t="str">
        <f ca="1" t="shared" si="249"/>
        <v>Within SLA</v>
      </c>
      <c r="P3163" s="26" t="s">
        <v>12326</v>
      </c>
      <c r="Q3163" s="24" t="s">
        <v>37</v>
      </c>
      <c r="R3163" s="25"/>
      <c r="S3163" s="25"/>
    </row>
    <row r="3164" ht="39" customHeight="1" spans="1:19">
      <c r="A3164" s="19" t="s">
        <v>12330</v>
      </c>
      <c r="B3164" s="20" t="s">
        <v>19</v>
      </c>
      <c r="C3164" s="20" t="s">
        <v>20</v>
      </c>
      <c r="D3164" s="20" t="s">
        <v>32</v>
      </c>
      <c r="E3164" s="21" t="s">
        <v>12331</v>
      </c>
      <c r="F3164" s="21" t="s">
        <v>12332</v>
      </c>
      <c r="G3164" s="20" t="s">
        <v>35</v>
      </c>
      <c r="H3164" s="20" t="s">
        <v>25</v>
      </c>
      <c r="I3164" s="21" t="s">
        <v>12333</v>
      </c>
      <c r="J3164" s="22">
        <f t="shared" si="245"/>
        <v>0.0597222222204437</v>
      </c>
      <c r="K3164" s="22">
        <f t="shared" si="246"/>
        <v>1.43333333329065</v>
      </c>
      <c r="L3164" s="22">
        <f t="shared" si="247"/>
        <v>1.43333333329065</v>
      </c>
      <c r="M3164" s="22" cm="1">
        <f ca="1" t="array" ref="M3164">SUMPRODUCT(--(WEEKDAY(ROW(INDIRECT(INT(F3164)&amp;":"&amp;INT(I3164))),2)&gt;5))</f>
        <v>0</v>
      </c>
      <c r="N3164" s="22">
        <f ca="1" t="shared" si="248"/>
        <v>1.43333333329065</v>
      </c>
      <c r="O3164" s="22" t="str">
        <f ca="1" t="shared" si="249"/>
        <v>Within SLA</v>
      </c>
      <c r="P3164" s="26" t="s">
        <v>12330</v>
      </c>
      <c r="Q3164" s="24" t="s">
        <v>37</v>
      </c>
      <c r="R3164" s="25"/>
      <c r="S3164" s="25"/>
    </row>
    <row r="3165" ht="27" customHeight="1" spans="1:19">
      <c r="A3165" s="19" t="s">
        <v>12334</v>
      </c>
      <c r="B3165" s="20" t="s">
        <v>121</v>
      </c>
      <c r="C3165" s="20" t="s">
        <v>849</v>
      </c>
      <c r="D3165" s="20" t="s">
        <v>32</v>
      </c>
      <c r="E3165" s="21" t="s">
        <v>12335</v>
      </c>
      <c r="F3165" s="21" t="s">
        <v>12336</v>
      </c>
      <c r="G3165" s="20" t="s">
        <v>35</v>
      </c>
      <c r="H3165" s="20" t="s">
        <v>25</v>
      </c>
      <c r="I3165" s="21" t="s">
        <v>12337</v>
      </c>
      <c r="J3165" s="22">
        <f t="shared" si="245"/>
        <v>6.93194444444816</v>
      </c>
      <c r="K3165" s="22">
        <f t="shared" si="246"/>
        <v>166.366666666756</v>
      </c>
      <c r="L3165" s="22">
        <f t="shared" si="247"/>
        <v>54.3666666667559</v>
      </c>
      <c r="M3165" s="22" cm="1">
        <f ca="1" t="array" ref="M3165">SUMPRODUCT(--(WEEKDAY(ROW(INDIRECT(INT(F3165)&amp;":"&amp;INT(I3165))),2)&gt;5))</f>
        <v>2</v>
      </c>
      <c r="N3165" s="22">
        <f ca="1" t="shared" si="248"/>
        <v>38.3666666667559</v>
      </c>
      <c r="O3165" s="22" t="str">
        <f ca="1" t="shared" si="249"/>
        <v>SLA Violated</v>
      </c>
      <c r="P3165" s="23" t="s">
        <v>12338</v>
      </c>
      <c r="Q3165" s="24" t="s">
        <v>28</v>
      </c>
      <c r="R3165" s="25"/>
      <c r="S3165" s="25"/>
    </row>
    <row r="3166" ht="39" customHeight="1" spans="1:19">
      <c r="A3166" s="19" t="s">
        <v>12339</v>
      </c>
      <c r="B3166" s="20" t="s">
        <v>19</v>
      </c>
      <c r="C3166" s="20" t="s">
        <v>20</v>
      </c>
      <c r="D3166" s="20" t="s">
        <v>32</v>
      </c>
      <c r="E3166" s="21" t="s">
        <v>12335</v>
      </c>
      <c r="F3166" s="21" t="s">
        <v>12340</v>
      </c>
      <c r="G3166" s="20" t="s">
        <v>35</v>
      </c>
      <c r="H3166" s="20" t="s">
        <v>25</v>
      </c>
      <c r="I3166" s="21" t="s">
        <v>12341</v>
      </c>
      <c r="J3166" s="22">
        <f t="shared" si="245"/>
        <v>0.120833333334303</v>
      </c>
      <c r="K3166" s="22">
        <f t="shared" si="246"/>
        <v>2.90000000002328</v>
      </c>
      <c r="L3166" s="22">
        <f t="shared" si="247"/>
        <v>2.90000000002328</v>
      </c>
      <c r="M3166" s="22" cm="1">
        <f ca="1" t="array" ref="M3166">SUMPRODUCT(--(WEEKDAY(ROW(INDIRECT(INT(F3166)&amp;":"&amp;INT(I3166))),2)&gt;5))</f>
        <v>0</v>
      </c>
      <c r="N3166" s="22">
        <f ca="1" t="shared" si="248"/>
        <v>2.90000000002328</v>
      </c>
      <c r="O3166" s="22" t="str">
        <f ca="1" t="shared" si="249"/>
        <v>Within SLA</v>
      </c>
      <c r="P3166" s="26" t="s">
        <v>12339</v>
      </c>
      <c r="Q3166" s="24" t="s">
        <v>37</v>
      </c>
      <c r="R3166" s="25"/>
      <c r="S3166" s="25"/>
    </row>
    <row r="3167" ht="39" customHeight="1" spans="1:19">
      <c r="A3167" s="19" t="s">
        <v>12342</v>
      </c>
      <c r="B3167" s="20" t="s">
        <v>19</v>
      </c>
      <c r="C3167" s="20" t="s">
        <v>20</v>
      </c>
      <c r="D3167" s="20" t="s">
        <v>32</v>
      </c>
      <c r="E3167" s="21" t="s">
        <v>12343</v>
      </c>
      <c r="F3167" s="21" t="s">
        <v>12344</v>
      </c>
      <c r="G3167" s="20" t="s">
        <v>35</v>
      </c>
      <c r="H3167" s="20" t="s">
        <v>25</v>
      </c>
      <c r="I3167" s="21" t="s">
        <v>12345</v>
      </c>
      <c r="J3167" s="22">
        <f t="shared" si="245"/>
        <v>0.046527777776646</v>
      </c>
      <c r="K3167" s="22">
        <f t="shared" si="246"/>
        <v>1.1166666666395</v>
      </c>
      <c r="L3167" s="22">
        <f t="shared" si="247"/>
        <v>1.1166666666395</v>
      </c>
      <c r="M3167" s="22" cm="1">
        <f ca="1" t="array" ref="M3167">SUMPRODUCT(--(WEEKDAY(ROW(INDIRECT(INT(F3167)&amp;":"&amp;INT(I3167))),2)&gt;5))</f>
        <v>0</v>
      </c>
      <c r="N3167" s="22">
        <f ca="1" t="shared" si="248"/>
        <v>1.1166666666395</v>
      </c>
      <c r="O3167" s="22" t="str">
        <f ca="1" t="shared" si="249"/>
        <v>Within SLA</v>
      </c>
      <c r="P3167" s="26" t="s">
        <v>12342</v>
      </c>
      <c r="Q3167" s="24" t="s">
        <v>37</v>
      </c>
      <c r="R3167" s="25"/>
      <c r="S3167" s="25"/>
    </row>
    <row r="3168" ht="39" customHeight="1" spans="1:19">
      <c r="A3168" s="19" t="s">
        <v>12346</v>
      </c>
      <c r="B3168" s="20" t="s">
        <v>19</v>
      </c>
      <c r="C3168" s="20" t="s">
        <v>20</v>
      </c>
      <c r="D3168" s="20" t="s">
        <v>32</v>
      </c>
      <c r="E3168" s="21" t="s">
        <v>12347</v>
      </c>
      <c r="F3168" s="21" t="s">
        <v>12348</v>
      </c>
      <c r="G3168" s="20" t="s">
        <v>35</v>
      </c>
      <c r="H3168" s="20" t="s">
        <v>25</v>
      </c>
      <c r="I3168" s="21" t="s">
        <v>12349</v>
      </c>
      <c r="J3168" s="22">
        <f t="shared" si="245"/>
        <v>0.0437500000043656</v>
      </c>
      <c r="K3168" s="22">
        <f t="shared" si="246"/>
        <v>1.05000000010477</v>
      </c>
      <c r="L3168" s="22">
        <f t="shared" si="247"/>
        <v>1.05000000010477</v>
      </c>
      <c r="M3168" s="22" cm="1">
        <f ca="1" t="array" ref="M3168">SUMPRODUCT(--(WEEKDAY(ROW(INDIRECT(INT(F3168)&amp;":"&amp;INT(I3168))),2)&gt;5))</f>
        <v>0</v>
      </c>
      <c r="N3168" s="22">
        <f ca="1" t="shared" si="248"/>
        <v>1.05000000010477</v>
      </c>
      <c r="O3168" s="22" t="str">
        <f ca="1" t="shared" si="249"/>
        <v>Within SLA</v>
      </c>
      <c r="P3168" s="26" t="s">
        <v>12346</v>
      </c>
      <c r="Q3168" s="24" t="s">
        <v>37</v>
      </c>
      <c r="R3168" s="25"/>
      <c r="S3168" s="25"/>
    </row>
    <row r="3169" ht="39" customHeight="1" spans="1:19">
      <c r="A3169" s="19" t="s">
        <v>12350</v>
      </c>
      <c r="B3169" s="20" t="s">
        <v>19</v>
      </c>
      <c r="C3169" s="20" t="s">
        <v>20</v>
      </c>
      <c r="D3169" s="20" t="s">
        <v>32</v>
      </c>
      <c r="E3169" s="21" t="s">
        <v>12351</v>
      </c>
      <c r="F3169" s="21" t="s">
        <v>12352</v>
      </c>
      <c r="G3169" s="20" t="s">
        <v>24</v>
      </c>
      <c r="H3169" s="20" t="s">
        <v>25</v>
      </c>
      <c r="I3169" s="21" t="s">
        <v>12353</v>
      </c>
      <c r="J3169" s="22">
        <f t="shared" si="245"/>
        <v>0.0361111111124046</v>
      </c>
      <c r="K3169" s="22">
        <f t="shared" si="246"/>
        <v>0.866666666697711</v>
      </c>
      <c r="L3169" s="22">
        <f t="shared" si="247"/>
        <v>0.866666666697711</v>
      </c>
      <c r="M3169" s="22" cm="1">
        <f ca="1" t="array" ref="M3169">SUMPRODUCT(--(WEEKDAY(ROW(INDIRECT(INT(F3169)&amp;":"&amp;INT(I3169))),2)&gt;5))</f>
        <v>0</v>
      </c>
      <c r="N3169" s="22">
        <f ca="1" t="shared" si="248"/>
        <v>0.866666666697711</v>
      </c>
      <c r="O3169" s="22" t="str">
        <f ca="1" t="shared" si="249"/>
        <v>Within SLA</v>
      </c>
      <c r="P3169" s="26" t="s">
        <v>12350</v>
      </c>
      <c r="Q3169" s="24" t="s">
        <v>37</v>
      </c>
      <c r="R3169" s="25"/>
      <c r="S3169" s="25"/>
    </row>
    <row r="3170" ht="39" customHeight="1" spans="1:19">
      <c r="A3170" s="19" t="s">
        <v>12354</v>
      </c>
      <c r="B3170" s="20" t="s">
        <v>19</v>
      </c>
      <c r="C3170" s="20" t="s">
        <v>20</v>
      </c>
      <c r="D3170" s="20" t="s">
        <v>32</v>
      </c>
      <c r="E3170" s="21" t="s">
        <v>12355</v>
      </c>
      <c r="F3170" s="21" t="s">
        <v>12356</v>
      </c>
      <c r="G3170" s="20" t="s">
        <v>35</v>
      </c>
      <c r="H3170" s="20" t="s">
        <v>25</v>
      </c>
      <c r="I3170" s="21" t="s">
        <v>12357</v>
      </c>
      <c r="J3170" s="22">
        <f t="shared" si="245"/>
        <v>0.723611111112405</v>
      </c>
      <c r="K3170" s="22">
        <f t="shared" si="246"/>
        <v>17.3666666666977</v>
      </c>
      <c r="L3170" s="22">
        <f t="shared" si="247"/>
        <v>1.36666666669771</v>
      </c>
      <c r="M3170" s="22" cm="1">
        <f ca="1" t="array" ref="M3170">SUMPRODUCT(--(WEEKDAY(ROW(INDIRECT(INT(F3170)&amp;":"&amp;INT(I3170))),2)&gt;5))</f>
        <v>0</v>
      </c>
      <c r="N3170" s="22">
        <f ca="1" t="shared" si="248"/>
        <v>1.36666666669771</v>
      </c>
      <c r="O3170" s="22" t="str">
        <f ca="1" t="shared" si="249"/>
        <v>Within SLA</v>
      </c>
      <c r="P3170" s="26" t="s">
        <v>12354</v>
      </c>
      <c r="Q3170" s="24" t="s">
        <v>37</v>
      </c>
      <c r="R3170" s="25"/>
      <c r="S3170" s="25"/>
    </row>
    <row r="3171" ht="39" customHeight="1" spans="1:19">
      <c r="A3171" s="19" t="s">
        <v>12358</v>
      </c>
      <c r="B3171" s="20" t="s">
        <v>19</v>
      </c>
      <c r="C3171" s="20" t="s">
        <v>20</v>
      </c>
      <c r="D3171" s="20" t="s">
        <v>32</v>
      </c>
      <c r="E3171" s="21" t="s">
        <v>12359</v>
      </c>
      <c r="F3171" s="21" t="s">
        <v>12360</v>
      </c>
      <c r="G3171" s="20" t="s">
        <v>35</v>
      </c>
      <c r="H3171" s="20" t="s">
        <v>25</v>
      </c>
      <c r="I3171" s="21" t="s">
        <v>12361</v>
      </c>
      <c r="J3171" s="22">
        <f t="shared" si="245"/>
        <v>0.0124999999970896</v>
      </c>
      <c r="K3171" s="22">
        <f t="shared" si="246"/>
        <v>0.299999999930151</v>
      </c>
      <c r="L3171" s="22">
        <f t="shared" si="247"/>
        <v>0.299999999930151</v>
      </c>
      <c r="M3171" s="22" cm="1">
        <f ca="1" t="array" ref="M3171">SUMPRODUCT(--(WEEKDAY(ROW(INDIRECT(INT(F3171)&amp;":"&amp;INT(I3171))),2)&gt;5))</f>
        <v>0</v>
      </c>
      <c r="N3171" s="22">
        <f ca="1" t="shared" si="248"/>
        <v>0.299999999930151</v>
      </c>
      <c r="O3171" s="22" t="str">
        <f ca="1" t="shared" si="249"/>
        <v>Within SLA</v>
      </c>
      <c r="P3171" s="26" t="s">
        <v>12358</v>
      </c>
      <c r="Q3171" s="24" t="s">
        <v>37</v>
      </c>
      <c r="R3171" s="25"/>
      <c r="S3171" s="25"/>
    </row>
    <row r="3172" ht="39" customHeight="1" spans="1:19">
      <c r="A3172" s="19" t="s">
        <v>12362</v>
      </c>
      <c r="B3172" s="20" t="s">
        <v>4167</v>
      </c>
      <c r="C3172" s="20" t="s">
        <v>849</v>
      </c>
      <c r="D3172" s="20" t="s">
        <v>32</v>
      </c>
      <c r="E3172" s="21" t="s">
        <v>12363</v>
      </c>
      <c r="F3172" s="21" t="s">
        <v>12364</v>
      </c>
      <c r="G3172" s="20" t="s">
        <v>35</v>
      </c>
      <c r="H3172" s="20" t="s">
        <v>25</v>
      </c>
      <c r="I3172" s="21" t="s">
        <v>12365</v>
      </c>
      <c r="J3172" s="22">
        <f t="shared" si="245"/>
        <v>0.0645833333328483</v>
      </c>
      <c r="K3172" s="22">
        <f t="shared" si="246"/>
        <v>1.54999999998836</v>
      </c>
      <c r="L3172" s="22">
        <f t="shared" si="247"/>
        <v>1.54999999998836</v>
      </c>
      <c r="M3172" s="22" cm="1">
        <f ca="1" t="array" ref="M3172">SUMPRODUCT(--(WEEKDAY(ROW(INDIRECT(INT(F3172)&amp;":"&amp;INT(I3172))),2)&gt;5))</f>
        <v>0</v>
      </c>
      <c r="N3172" s="22">
        <f ca="1" t="shared" si="248"/>
        <v>1.54999999998836</v>
      </c>
      <c r="O3172" s="22" t="str">
        <f ca="1" t="shared" si="249"/>
        <v>Within SLA</v>
      </c>
      <c r="P3172" s="26" t="s">
        <v>12362</v>
      </c>
      <c r="Q3172" s="24" t="s">
        <v>37</v>
      </c>
      <c r="R3172" s="25"/>
      <c r="S3172" s="25"/>
    </row>
    <row r="3173" ht="16" customHeight="1" spans="1:19">
      <c r="A3173" s="19" t="s">
        <v>12366</v>
      </c>
      <c r="B3173" s="20" t="s">
        <v>100</v>
      </c>
      <c r="C3173" s="20" t="s">
        <v>101</v>
      </c>
      <c r="D3173" s="20" t="s">
        <v>32</v>
      </c>
      <c r="E3173" s="21" t="s">
        <v>12367</v>
      </c>
      <c r="F3173" s="21" t="s">
        <v>12368</v>
      </c>
      <c r="G3173" s="20" t="s">
        <v>35</v>
      </c>
      <c r="H3173" s="20" t="s">
        <v>25</v>
      </c>
      <c r="I3173" s="21" t="s">
        <v>12369</v>
      </c>
      <c r="J3173" s="22">
        <f t="shared" si="245"/>
        <v>0.0291666666671517</v>
      </c>
      <c r="K3173" s="22">
        <f t="shared" si="246"/>
        <v>0.700000000011642</v>
      </c>
      <c r="L3173" s="22">
        <f t="shared" si="247"/>
        <v>0.700000000011642</v>
      </c>
      <c r="M3173" s="22" cm="1">
        <f ca="1" t="array" ref="M3173">SUMPRODUCT(--(WEEKDAY(ROW(INDIRECT(INT(F3173)&amp;":"&amp;INT(I3173))),2)&gt;5))</f>
        <v>0</v>
      </c>
      <c r="N3173" s="22">
        <f ca="1" t="shared" si="248"/>
        <v>0.700000000011642</v>
      </c>
      <c r="O3173" s="22" t="str">
        <f ca="1" t="shared" si="249"/>
        <v>Within SLA</v>
      </c>
      <c r="P3173" s="26" t="s">
        <v>12366</v>
      </c>
      <c r="Q3173" s="24" t="s">
        <v>37</v>
      </c>
      <c r="R3173" s="25"/>
      <c r="S3173" s="25"/>
    </row>
    <row r="3174" ht="39" customHeight="1" spans="1:19">
      <c r="A3174" s="19" t="s">
        <v>12370</v>
      </c>
      <c r="B3174" s="20" t="s">
        <v>19</v>
      </c>
      <c r="C3174" s="20" t="s">
        <v>20</v>
      </c>
      <c r="D3174" s="20" t="s">
        <v>32</v>
      </c>
      <c r="E3174" s="21" t="s">
        <v>12371</v>
      </c>
      <c r="F3174" s="21" t="s">
        <v>12372</v>
      </c>
      <c r="G3174" s="20" t="s">
        <v>35</v>
      </c>
      <c r="H3174" s="20" t="s">
        <v>25</v>
      </c>
      <c r="I3174" s="21" t="s">
        <v>12373</v>
      </c>
      <c r="J3174" s="22">
        <f t="shared" si="245"/>
        <v>0.898611111108039</v>
      </c>
      <c r="K3174" s="22">
        <f t="shared" si="246"/>
        <v>21.5666666665929</v>
      </c>
      <c r="L3174" s="22">
        <f t="shared" si="247"/>
        <v>5.56666666659294</v>
      </c>
      <c r="M3174" s="22" cm="1">
        <f ca="1" t="array" ref="M3174">SUMPRODUCT(--(WEEKDAY(ROW(INDIRECT(INT(F3174)&amp;":"&amp;INT(I3174))),2)&gt;5))</f>
        <v>0</v>
      </c>
      <c r="N3174" s="22">
        <f ca="1" t="shared" si="248"/>
        <v>5.56666666659294</v>
      </c>
      <c r="O3174" s="22" t="str">
        <f ca="1" t="shared" si="249"/>
        <v>Within SLA</v>
      </c>
      <c r="P3174" s="26" t="s">
        <v>12370</v>
      </c>
      <c r="Q3174" s="24" t="s">
        <v>37</v>
      </c>
      <c r="R3174" s="25"/>
      <c r="S3174" s="25"/>
    </row>
    <row r="3175" ht="27" customHeight="1" spans="1:19">
      <c r="A3175" s="19" t="s">
        <v>12374</v>
      </c>
      <c r="B3175" s="20" t="s">
        <v>30</v>
      </c>
      <c r="C3175" s="20" t="s">
        <v>46</v>
      </c>
      <c r="D3175" s="20" t="s">
        <v>32</v>
      </c>
      <c r="E3175" s="21" t="s">
        <v>12375</v>
      </c>
      <c r="F3175" s="21" t="s">
        <v>12376</v>
      </c>
      <c r="G3175" s="20" t="s">
        <v>35</v>
      </c>
      <c r="H3175" s="20" t="s">
        <v>25</v>
      </c>
      <c r="I3175" s="21" t="s">
        <v>12377</v>
      </c>
      <c r="J3175" s="22">
        <f t="shared" si="245"/>
        <v>0.102777777778101</v>
      </c>
      <c r="K3175" s="22">
        <f t="shared" si="246"/>
        <v>2.46666666667443</v>
      </c>
      <c r="L3175" s="22">
        <f t="shared" si="247"/>
        <v>2.46666666667443</v>
      </c>
      <c r="M3175" s="22" cm="1">
        <f ca="1" t="array" ref="M3175">SUMPRODUCT(--(WEEKDAY(ROW(INDIRECT(INT(F3175)&amp;":"&amp;INT(I3175))),2)&gt;5))</f>
        <v>0</v>
      </c>
      <c r="N3175" s="22">
        <f ca="1" t="shared" si="248"/>
        <v>2.46666666667443</v>
      </c>
      <c r="O3175" s="22" t="str">
        <f ca="1" t="shared" si="249"/>
        <v>Within SLA</v>
      </c>
      <c r="P3175" s="26" t="s">
        <v>12374</v>
      </c>
      <c r="Q3175" s="24" t="s">
        <v>37</v>
      </c>
      <c r="R3175" s="25"/>
      <c r="S3175" s="25"/>
    </row>
    <row r="3176" ht="39" customHeight="1" spans="1:19">
      <c r="A3176" s="19" t="s">
        <v>12378</v>
      </c>
      <c r="B3176" s="20" t="s">
        <v>19</v>
      </c>
      <c r="C3176" s="20" t="s">
        <v>20</v>
      </c>
      <c r="D3176" s="20" t="s">
        <v>32</v>
      </c>
      <c r="E3176" s="21" t="s">
        <v>12379</v>
      </c>
      <c r="F3176" s="21" t="s">
        <v>12356</v>
      </c>
      <c r="G3176" s="20" t="s">
        <v>35</v>
      </c>
      <c r="H3176" s="20" t="s">
        <v>25</v>
      </c>
      <c r="I3176" s="21" t="s">
        <v>12380</v>
      </c>
      <c r="J3176" s="22">
        <f t="shared" si="245"/>
        <v>0.00694444444525288</v>
      </c>
      <c r="K3176" s="22">
        <f t="shared" si="246"/>
        <v>0.166666666686069</v>
      </c>
      <c r="L3176" s="22">
        <f t="shared" si="247"/>
        <v>0.166666666686069</v>
      </c>
      <c r="M3176" s="22" cm="1">
        <f ca="1" t="array" ref="M3176">SUMPRODUCT(--(WEEKDAY(ROW(INDIRECT(INT(F3176)&amp;":"&amp;INT(I3176))),2)&gt;5))</f>
        <v>0</v>
      </c>
      <c r="N3176" s="22">
        <f ca="1" t="shared" si="248"/>
        <v>0.166666666686069</v>
      </c>
      <c r="O3176" s="22" t="str">
        <f ca="1" t="shared" si="249"/>
        <v>Within SLA</v>
      </c>
      <c r="P3176" s="26" t="s">
        <v>12378</v>
      </c>
      <c r="Q3176" s="24" t="s">
        <v>37</v>
      </c>
      <c r="R3176" s="25"/>
      <c r="S3176" s="25"/>
    </row>
    <row r="3177" ht="39" customHeight="1" spans="1:19">
      <c r="A3177" s="19" t="s">
        <v>12381</v>
      </c>
      <c r="B3177" s="20" t="s">
        <v>196</v>
      </c>
      <c r="C3177" s="20" t="s">
        <v>46</v>
      </c>
      <c r="D3177" s="20" t="s">
        <v>21</v>
      </c>
      <c r="E3177" s="21" t="s">
        <v>12382</v>
      </c>
      <c r="F3177" s="21" t="s">
        <v>12383</v>
      </c>
      <c r="G3177" s="20" t="s">
        <v>35</v>
      </c>
      <c r="H3177" s="20" t="s">
        <v>25</v>
      </c>
      <c r="I3177" s="21" t="s">
        <v>12384</v>
      </c>
      <c r="J3177" s="22">
        <f t="shared" si="245"/>
        <v>0.00972222222480923</v>
      </c>
      <c r="K3177" s="22">
        <f t="shared" si="246"/>
        <v>0.233333333395422</v>
      </c>
      <c r="L3177" s="22">
        <f t="shared" si="247"/>
        <v>0.233333333395422</v>
      </c>
      <c r="M3177" s="22" cm="1">
        <f ca="1" t="array" ref="M3177">SUMPRODUCT(--(WEEKDAY(ROW(INDIRECT(INT(F3177)&amp;":"&amp;INT(I3177))),2)&gt;5))</f>
        <v>0</v>
      </c>
      <c r="N3177" s="22">
        <f ca="1" t="shared" si="248"/>
        <v>0.233333333395422</v>
      </c>
      <c r="O3177" s="22" t="str">
        <f ca="1" t="shared" si="249"/>
        <v>Within SLA</v>
      </c>
      <c r="P3177" s="26" t="s">
        <v>12381</v>
      </c>
      <c r="Q3177" s="24" t="s">
        <v>37</v>
      </c>
      <c r="R3177" s="25"/>
      <c r="S3177" s="25"/>
    </row>
    <row r="3178" ht="39" customHeight="1" spans="1:19">
      <c r="A3178" s="19" t="s">
        <v>12385</v>
      </c>
      <c r="B3178" s="20" t="s">
        <v>4167</v>
      </c>
      <c r="C3178" s="20" t="s">
        <v>849</v>
      </c>
      <c r="D3178" s="20" t="s">
        <v>32</v>
      </c>
      <c r="E3178" s="21" t="s">
        <v>12382</v>
      </c>
      <c r="F3178" s="21" t="s">
        <v>12386</v>
      </c>
      <c r="G3178" s="20" t="s">
        <v>35</v>
      </c>
      <c r="H3178" s="20" t="s">
        <v>25</v>
      </c>
      <c r="I3178" s="21" t="s">
        <v>12387</v>
      </c>
      <c r="J3178" s="22">
        <f t="shared" si="245"/>
        <v>0.0840277777751908</v>
      </c>
      <c r="K3178" s="22">
        <f t="shared" si="246"/>
        <v>2.01666666660458</v>
      </c>
      <c r="L3178" s="22">
        <f t="shared" si="247"/>
        <v>2.01666666660458</v>
      </c>
      <c r="M3178" s="22" cm="1">
        <f ca="1" t="array" ref="M3178">SUMPRODUCT(--(WEEKDAY(ROW(INDIRECT(INT(F3178)&amp;":"&amp;INT(I3178))),2)&gt;5))</f>
        <v>0</v>
      </c>
      <c r="N3178" s="22">
        <f ca="1" t="shared" si="248"/>
        <v>2.01666666660458</v>
      </c>
      <c r="O3178" s="22" t="str">
        <f ca="1" t="shared" si="249"/>
        <v>Within SLA</v>
      </c>
      <c r="P3178" s="26" t="s">
        <v>12385</v>
      </c>
      <c r="Q3178" s="24" t="s">
        <v>37</v>
      </c>
      <c r="R3178" s="25"/>
      <c r="S3178" s="25"/>
    </row>
    <row r="3179" ht="39" customHeight="1" spans="1:19">
      <c r="A3179" s="19" t="s">
        <v>12388</v>
      </c>
      <c r="B3179" s="20" t="s">
        <v>196</v>
      </c>
      <c r="C3179" s="20" t="s">
        <v>849</v>
      </c>
      <c r="D3179" s="20" t="s">
        <v>32</v>
      </c>
      <c r="E3179" s="21" t="s">
        <v>12384</v>
      </c>
      <c r="F3179" s="21" t="s">
        <v>12389</v>
      </c>
      <c r="G3179" s="20" t="s">
        <v>35</v>
      </c>
      <c r="H3179" s="20" t="s">
        <v>25</v>
      </c>
      <c r="I3179" s="21" t="s">
        <v>12390</v>
      </c>
      <c r="J3179" s="22">
        <f t="shared" si="245"/>
        <v>0.00347222222626442</v>
      </c>
      <c r="K3179" s="22">
        <f t="shared" si="246"/>
        <v>0.0833333334303461</v>
      </c>
      <c r="L3179" s="22">
        <f t="shared" si="247"/>
        <v>0.0833333334303461</v>
      </c>
      <c r="M3179" s="22" cm="1">
        <f ca="1" t="array" ref="M3179">SUMPRODUCT(--(WEEKDAY(ROW(INDIRECT(INT(F3179)&amp;":"&amp;INT(I3179))),2)&gt;5))</f>
        <v>0</v>
      </c>
      <c r="N3179" s="22">
        <f ca="1" t="shared" si="248"/>
        <v>0.0833333334303461</v>
      </c>
      <c r="O3179" s="22" t="str">
        <f ca="1" t="shared" si="249"/>
        <v>Within SLA</v>
      </c>
      <c r="P3179" s="26" t="s">
        <v>12388</v>
      </c>
      <c r="Q3179" s="24" t="s">
        <v>37</v>
      </c>
      <c r="R3179" s="25"/>
      <c r="S3179" s="25"/>
    </row>
    <row r="3180" ht="27" customHeight="1" spans="1:19">
      <c r="A3180" s="19" t="s">
        <v>12391</v>
      </c>
      <c r="B3180" s="20" t="s">
        <v>30</v>
      </c>
      <c r="C3180" s="20" t="s">
        <v>31</v>
      </c>
      <c r="D3180" s="20" t="s">
        <v>32</v>
      </c>
      <c r="E3180" s="21" t="s">
        <v>12392</v>
      </c>
      <c r="F3180" s="21" t="s">
        <v>12393</v>
      </c>
      <c r="G3180" s="20" t="s">
        <v>35</v>
      </c>
      <c r="H3180" s="20" t="s">
        <v>25</v>
      </c>
      <c r="I3180" s="21" t="s">
        <v>12394</v>
      </c>
      <c r="J3180" s="22">
        <f t="shared" si="245"/>
        <v>1.18819444444671</v>
      </c>
      <c r="K3180" s="22">
        <f t="shared" si="246"/>
        <v>28.516666666721</v>
      </c>
      <c r="L3180" s="22">
        <f t="shared" si="247"/>
        <v>12.516666666721</v>
      </c>
      <c r="M3180" s="22" cm="1">
        <f ca="1" t="array" ref="M3180">SUMPRODUCT(--(WEEKDAY(ROW(INDIRECT(INT(F3180)&amp;":"&amp;INT(I3180))),2)&gt;5))</f>
        <v>0</v>
      </c>
      <c r="N3180" s="22">
        <f ca="1" t="shared" si="248"/>
        <v>12.516666666721</v>
      </c>
      <c r="O3180" s="22" t="str">
        <f ca="1" t="shared" si="249"/>
        <v>SLA Violated</v>
      </c>
      <c r="P3180" s="23" t="s">
        <v>12395</v>
      </c>
      <c r="Q3180" s="24" t="s">
        <v>28</v>
      </c>
      <c r="R3180" s="25"/>
      <c r="S3180" s="25"/>
    </row>
    <row r="3181" ht="39" customHeight="1" spans="1:19">
      <c r="A3181" s="19" t="s">
        <v>12396</v>
      </c>
      <c r="B3181" s="20" t="s">
        <v>19</v>
      </c>
      <c r="C3181" s="20" t="s">
        <v>20</v>
      </c>
      <c r="D3181" s="20" t="s">
        <v>32</v>
      </c>
      <c r="E3181" s="21" t="s">
        <v>12394</v>
      </c>
      <c r="F3181" s="21" t="s">
        <v>11864</v>
      </c>
      <c r="G3181" s="20" t="s">
        <v>35</v>
      </c>
      <c r="H3181" s="20" t="s">
        <v>25</v>
      </c>
      <c r="I3181" s="21" t="s">
        <v>12397</v>
      </c>
      <c r="J3181" s="22">
        <f t="shared" si="245"/>
        <v>0.0173611111094942</v>
      </c>
      <c r="K3181" s="22">
        <f t="shared" si="246"/>
        <v>0.416666666627862</v>
      </c>
      <c r="L3181" s="22">
        <f t="shared" si="247"/>
        <v>0.416666666627862</v>
      </c>
      <c r="M3181" s="22" cm="1">
        <f ca="1" t="array" ref="M3181">SUMPRODUCT(--(WEEKDAY(ROW(INDIRECT(INT(F3181)&amp;":"&amp;INT(I3181))),2)&gt;5))</f>
        <v>0</v>
      </c>
      <c r="N3181" s="22">
        <f ca="1" t="shared" si="248"/>
        <v>0.416666666627862</v>
      </c>
      <c r="O3181" s="22" t="str">
        <f ca="1" t="shared" si="249"/>
        <v>Within SLA</v>
      </c>
      <c r="P3181" s="26" t="s">
        <v>12396</v>
      </c>
      <c r="Q3181" s="24" t="s">
        <v>37</v>
      </c>
      <c r="R3181" s="25"/>
      <c r="S3181" s="25"/>
    </row>
    <row r="3182" ht="27" customHeight="1" spans="1:19">
      <c r="A3182" s="19" t="s">
        <v>12398</v>
      </c>
      <c r="B3182" s="20" t="s">
        <v>30</v>
      </c>
      <c r="C3182" s="20" t="s">
        <v>101</v>
      </c>
      <c r="D3182" s="20" t="s">
        <v>32</v>
      </c>
      <c r="E3182" s="21" t="s">
        <v>12399</v>
      </c>
      <c r="F3182" s="21" t="s">
        <v>12400</v>
      </c>
      <c r="G3182" s="20" t="s">
        <v>35</v>
      </c>
      <c r="H3182" s="20" t="s">
        <v>25</v>
      </c>
      <c r="I3182" s="21" t="s">
        <v>12401</v>
      </c>
      <c r="J3182" s="22">
        <f t="shared" si="245"/>
        <v>0.03125</v>
      </c>
      <c r="K3182" s="22">
        <f t="shared" si="246"/>
        <v>0.75</v>
      </c>
      <c r="L3182" s="22">
        <f t="shared" si="247"/>
        <v>0.75</v>
      </c>
      <c r="M3182" s="22" cm="1">
        <f ca="1" t="array" ref="M3182">SUMPRODUCT(--(WEEKDAY(ROW(INDIRECT(INT(F3182)&amp;":"&amp;INT(I3182))),2)&gt;5))</f>
        <v>0</v>
      </c>
      <c r="N3182" s="22">
        <f ca="1" t="shared" si="248"/>
        <v>0.75</v>
      </c>
      <c r="O3182" s="22" t="str">
        <f ca="1" t="shared" si="249"/>
        <v>Within SLA</v>
      </c>
      <c r="P3182" s="26" t="s">
        <v>12398</v>
      </c>
      <c r="Q3182" s="24" t="s">
        <v>37</v>
      </c>
      <c r="R3182" s="25"/>
      <c r="S3182" s="25"/>
    </row>
    <row r="3183" ht="39" customHeight="1" spans="1:19">
      <c r="A3183" s="19" t="s">
        <v>12402</v>
      </c>
      <c r="B3183" s="20" t="s">
        <v>19</v>
      </c>
      <c r="C3183" s="20" t="s">
        <v>20</v>
      </c>
      <c r="D3183" s="20" t="s">
        <v>32</v>
      </c>
      <c r="E3183" s="21" t="s">
        <v>12403</v>
      </c>
      <c r="F3183" s="21" t="s">
        <v>12404</v>
      </c>
      <c r="G3183" s="20" t="s">
        <v>35</v>
      </c>
      <c r="H3183" s="20" t="s">
        <v>25</v>
      </c>
      <c r="I3183" s="21" t="s">
        <v>12405</v>
      </c>
      <c r="J3183" s="22">
        <f t="shared" si="245"/>
        <v>0.0194444444423425</v>
      </c>
      <c r="K3183" s="22">
        <f t="shared" si="246"/>
        <v>0.46666666661622</v>
      </c>
      <c r="L3183" s="22">
        <f t="shared" si="247"/>
        <v>0.46666666661622</v>
      </c>
      <c r="M3183" s="22" cm="1">
        <f ca="1" t="array" ref="M3183">SUMPRODUCT(--(WEEKDAY(ROW(INDIRECT(INT(F3183)&amp;":"&amp;INT(I3183))),2)&gt;5))</f>
        <v>0</v>
      </c>
      <c r="N3183" s="22">
        <f ca="1" t="shared" si="248"/>
        <v>0.46666666661622</v>
      </c>
      <c r="O3183" s="22" t="str">
        <f ca="1" t="shared" si="249"/>
        <v>Within SLA</v>
      </c>
      <c r="P3183" s="26" t="s">
        <v>12402</v>
      </c>
      <c r="Q3183" s="24" t="s">
        <v>37</v>
      </c>
      <c r="R3183" s="25"/>
      <c r="S3183" s="25"/>
    </row>
    <row r="3184" ht="39" customHeight="1" spans="1:19">
      <c r="A3184" s="19" t="s">
        <v>12406</v>
      </c>
      <c r="B3184" s="20" t="s">
        <v>19</v>
      </c>
      <c r="C3184" s="20" t="s">
        <v>20</v>
      </c>
      <c r="D3184" s="20" t="s">
        <v>32</v>
      </c>
      <c r="E3184" s="21" t="s">
        <v>12403</v>
      </c>
      <c r="F3184" s="21" t="s">
        <v>12407</v>
      </c>
      <c r="G3184" s="20" t="s">
        <v>35</v>
      </c>
      <c r="H3184" s="20" t="s">
        <v>25</v>
      </c>
      <c r="I3184" s="21" t="s">
        <v>12408</v>
      </c>
      <c r="J3184" s="22">
        <f t="shared" si="245"/>
        <v>0.0208333333284827</v>
      </c>
      <c r="K3184" s="22">
        <f t="shared" si="246"/>
        <v>0.499999999883585</v>
      </c>
      <c r="L3184" s="22">
        <f t="shared" si="247"/>
        <v>0.499999999883585</v>
      </c>
      <c r="M3184" s="22" cm="1">
        <f ca="1" t="array" ref="M3184">SUMPRODUCT(--(WEEKDAY(ROW(INDIRECT(INT(F3184)&amp;":"&amp;INT(I3184))),2)&gt;5))</f>
        <v>0</v>
      </c>
      <c r="N3184" s="22">
        <f ca="1" t="shared" si="248"/>
        <v>0.499999999883585</v>
      </c>
      <c r="O3184" s="22" t="str">
        <f ca="1" t="shared" si="249"/>
        <v>Within SLA</v>
      </c>
      <c r="P3184" s="26" t="s">
        <v>12406</v>
      </c>
      <c r="Q3184" s="24" t="s">
        <v>37</v>
      </c>
      <c r="R3184" s="25"/>
      <c r="S3184" s="25"/>
    </row>
    <row r="3185" ht="39" customHeight="1" spans="1:19">
      <c r="A3185" s="19" t="s">
        <v>12409</v>
      </c>
      <c r="B3185" s="20" t="s">
        <v>196</v>
      </c>
      <c r="C3185" s="20" t="s">
        <v>12410</v>
      </c>
      <c r="D3185" s="20" t="s">
        <v>32</v>
      </c>
      <c r="E3185" s="21" t="s">
        <v>12411</v>
      </c>
      <c r="F3185" s="21" t="s">
        <v>12412</v>
      </c>
      <c r="G3185" s="20" t="s">
        <v>35</v>
      </c>
      <c r="H3185" s="20" t="s">
        <v>25</v>
      </c>
      <c r="I3185" s="21" t="s">
        <v>12413</v>
      </c>
      <c r="J3185" s="22">
        <f t="shared" si="245"/>
        <v>0.0125000000043656</v>
      </c>
      <c r="K3185" s="22">
        <f t="shared" si="246"/>
        <v>0.300000000104774</v>
      </c>
      <c r="L3185" s="22">
        <f t="shared" si="247"/>
        <v>0.300000000104774</v>
      </c>
      <c r="M3185" s="22" cm="1">
        <f ca="1" t="array" ref="M3185">SUMPRODUCT(--(WEEKDAY(ROW(INDIRECT(INT(F3185)&amp;":"&amp;INT(I3185))),2)&gt;5))</f>
        <v>0</v>
      </c>
      <c r="N3185" s="22">
        <f ca="1" t="shared" si="248"/>
        <v>0.300000000104774</v>
      </c>
      <c r="O3185" s="22" t="str">
        <f ca="1" t="shared" si="249"/>
        <v>Within SLA</v>
      </c>
      <c r="P3185" s="26" t="s">
        <v>12409</v>
      </c>
      <c r="Q3185" s="24" t="s">
        <v>37</v>
      </c>
      <c r="R3185" s="25"/>
      <c r="S3185" s="25"/>
    </row>
    <row r="3186" ht="27" customHeight="1" spans="1:19">
      <c r="A3186" s="19" t="s">
        <v>12414</v>
      </c>
      <c r="B3186" s="20" t="s">
        <v>30</v>
      </c>
      <c r="C3186" s="20" t="s">
        <v>31</v>
      </c>
      <c r="D3186" s="20" t="s">
        <v>32</v>
      </c>
      <c r="E3186" s="21" t="s">
        <v>12415</v>
      </c>
      <c r="F3186" s="21" t="s">
        <v>12416</v>
      </c>
      <c r="G3186" s="20" t="s">
        <v>35</v>
      </c>
      <c r="H3186" s="20" t="s">
        <v>25</v>
      </c>
      <c r="I3186" s="21" t="s">
        <v>12417</v>
      </c>
      <c r="J3186" s="22">
        <f t="shared" si="245"/>
        <v>0.0256944444481633</v>
      </c>
      <c r="K3186" s="22">
        <f t="shared" si="246"/>
        <v>0.616666666755918</v>
      </c>
      <c r="L3186" s="22">
        <f t="shared" si="247"/>
        <v>0.616666666755918</v>
      </c>
      <c r="M3186" s="22" cm="1">
        <f ca="1" t="array" ref="M3186">SUMPRODUCT(--(WEEKDAY(ROW(INDIRECT(INT(F3186)&amp;":"&amp;INT(I3186))),2)&gt;5))</f>
        <v>0</v>
      </c>
      <c r="N3186" s="22">
        <f ca="1" t="shared" si="248"/>
        <v>0.616666666755918</v>
      </c>
      <c r="O3186" s="22" t="str">
        <f ca="1" t="shared" si="249"/>
        <v>Within SLA</v>
      </c>
      <c r="P3186" s="26" t="s">
        <v>12414</v>
      </c>
      <c r="Q3186" s="24" t="s">
        <v>37</v>
      </c>
      <c r="R3186" s="25"/>
      <c r="S3186" s="25"/>
    </row>
    <row r="3187" ht="39" customHeight="1" spans="1:19">
      <c r="A3187" s="19" t="s">
        <v>12418</v>
      </c>
      <c r="B3187" s="20" t="s">
        <v>19</v>
      </c>
      <c r="C3187" s="20" t="s">
        <v>20</v>
      </c>
      <c r="D3187" s="20" t="s">
        <v>32</v>
      </c>
      <c r="E3187" s="21" t="s">
        <v>12419</v>
      </c>
      <c r="F3187" s="21" t="s">
        <v>12420</v>
      </c>
      <c r="G3187" s="20" t="s">
        <v>35</v>
      </c>
      <c r="H3187" s="20" t="s">
        <v>25</v>
      </c>
      <c r="I3187" s="21" t="s">
        <v>12421</v>
      </c>
      <c r="J3187" s="22">
        <f t="shared" si="245"/>
        <v>0.0173611111094942</v>
      </c>
      <c r="K3187" s="22">
        <f t="shared" si="246"/>
        <v>0.416666666627862</v>
      </c>
      <c r="L3187" s="22">
        <f t="shared" si="247"/>
        <v>0.416666666627862</v>
      </c>
      <c r="M3187" s="22" cm="1">
        <f ca="1" t="array" ref="M3187">SUMPRODUCT(--(WEEKDAY(ROW(INDIRECT(INT(F3187)&amp;":"&amp;INT(I3187))),2)&gt;5))</f>
        <v>0</v>
      </c>
      <c r="N3187" s="22">
        <f ca="1" t="shared" si="248"/>
        <v>0.416666666627862</v>
      </c>
      <c r="O3187" s="22" t="str">
        <f ca="1" t="shared" si="249"/>
        <v>Within SLA</v>
      </c>
      <c r="P3187" s="26" t="s">
        <v>12418</v>
      </c>
      <c r="Q3187" s="24" t="s">
        <v>37</v>
      </c>
      <c r="R3187" s="25"/>
      <c r="S3187" s="25"/>
    </row>
    <row r="3188" ht="39" customHeight="1" spans="1:19">
      <c r="A3188" s="19" t="s">
        <v>12422</v>
      </c>
      <c r="B3188" s="20" t="s">
        <v>19</v>
      </c>
      <c r="C3188" s="20" t="s">
        <v>20</v>
      </c>
      <c r="D3188" s="20" t="s">
        <v>32</v>
      </c>
      <c r="E3188" s="21" t="s">
        <v>12423</v>
      </c>
      <c r="F3188" s="21" t="s">
        <v>12424</v>
      </c>
      <c r="G3188" s="20" t="s">
        <v>35</v>
      </c>
      <c r="H3188" s="20" t="s">
        <v>25</v>
      </c>
      <c r="I3188" s="21" t="s">
        <v>12425</v>
      </c>
      <c r="J3188" s="22">
        <f t="shared" si="245"/>
        <v>0.101388888891961</v>
      </c>
      <c r="K3188" s="22">
        <f t="shared" si="246"/>
        <v>2.43333333340706</v>
      </c>
      <c r="L3188" s="22">
        <f t="shared" si="247"/>
        <v>2.43333333340706</v>
      </c>
      <c r="M3188" s="22" cm="1">
        <f ca="1" t="array" ref="M3188">SUMPRODUCT(--(WEEKDAY(ROW(INDIRECT(INT(F3188)&amp;":"&amp;INT(I3188))),2)&gt;5))</f>
        <v>0</v>
      </c>
      <c r="N3188" s="22">
        <f ca="1" t="shared" si="248"/>
        <v>2.43333333340706</v>
      </c>
      <c r="O3188" s="22" t="str">
        <f ca="1" t="shared" si="249"/>
        <v>Within SLA</v>
      </c>
      <c r="P3188" s="26" t="s">
        <v>12422</v>
      </c>
      <c r="Q3188" s="24" t="s">
        <v>37</v>
      </c>
      <c r="R3188" s="25"/>
      <c r="S3188" s="25"/>
    </row>
    <row r="3189" ht="27" customHeight="1" spans="1:19">
      <c r="A3189" s="19" t="s">
        <v>12426</v>
      </c>
      <c r="B3189" s="20" t="s">
        <v>30</v>
      </c>
      <c r="C3189" s="20" t="s">
        <v>101</v>
      </c>
      <c r="D3189" s="20" t="s">
        <v>32</v>
      </c>
      <c r="E3189" s="21" t="s">
        <v>12427</v>
      </c>
      <c r="F3189" s="21" t="s">
        <v>12428</v>
      </c>
      <c r="G3189" s="20" t="s">
        <v>35</v>
      </c>
      <c r="H3189" s="20" t="s">
        <v>25</v>
      </c>
      <c r="I3189" s="21" t="s">
        <v>12429</v>
      </c>
      <c r="J3189" s="22">
        <f t="shared" si="245"/>
        <v>0.0409722222248092</v>
      </c>
      <c r="K3189" s="22">
        <f t="shared" si="246"/>
        <v>0.983333333395422</v>
      </c>
      <c r="L3189" s="22">
        <f t="shared" si="247"/>
        <v>0.983333333395422</v>
      </c>
      <c r="M3189" s="22" cm="1">
        <f ca="1" t="array" ref="M3189">SUMPRODUCT(--(WEEKDAY(ROW(INDIRECT(INT(F3189)&amp;":"&amp;INT(I3189))),2)&gt;5))</f>
        <v>0</v>
      </c>
      <c r="N3189" s="22">
        <f ca="1" t="shared" si="248"/>
        <v>0.983333333395422</v>
      </c>
      <c r="O3189" s="22" t="str">
        <f ca="1" t="shared" si="249"/>
        <v>Within SLA</v>
      </c>
      <c r="P3189" s="26" t="s">
        <v>12426</v>
      </c>
      <c r="Q3189" s="24" t="s">
        <v>37</v>
      </c>
      <c r="R3189" s="25"/>
      <c r="S3189" s="25"/>
    </row>
    <row r="3190" ht="39" customHeight="1" spans="1:19">
      <c r="A3190" s="19" t="s">
        <v>12430</v>
      </c>
      <c r="B3190" s="20" t="s">
        <v>19</v>
      </c>
      <c r="C3190" s="20" t="s">
        <v>20</v>
      </c>
      <c r="D3190" s="20" t="s">
        <v>32</v>
      </c>
      <c r="E3190" s="21" t="s">
        <v>12431</v>
      </c>
      <c r="F3190" s="21" t="s">
        <v>12432</v>
      </c>
      <c r="G3190" s="20" t="s">
        <v>24</v>
      </c>
      <c r="H3190" s="20" t="s">
        <v>25</v>
      </c>
      <c r="I3190" s="21" t="s">
        <v>12433</v>
      </c>
      <c r="J3190" s="22">
        <f t="shared" si="245"/>
        <v>0.000694444446708076</v>
      </c>
      <c r="K3190" s="22">
        <f t="shared" si="246"/>
        <v>0.0166666667209938</v>
      </c>
      <c r="L3190" s="22">
        <f t="shared" si="247"/>
        <v>0.0166666667209938</v>
      </c>
      <c r="M3190" s="22" cm="1">
        <f ca="1" t="array" ref="M3190">SUMPRODUCT(--(WEEKDAY(ROW(INDIRECT(INT(F3190)&amp;":"&amp;INT(I3190))),2)&gt;5))</f>
        <v>0</v>
      </c>
      <c r="N3190" s="22">
        <f ca="1" t="shared" si="248"/>
        <v>0.0166666667209938</v>
      </c>
      <c r="O3190" s="22" t="str">
        <f ca="1" t="shared" si="249"/>
        <v>Within SLA</v>
      </c>
      <c r="P3190" s="26" t="s">
        <v>12430</v>
      </c>
      <c r="Q3190" s="24" t="s">
        <v>37</v>
      </c>
      <c r="R3190" s="25"/>
      <c r="S3190" s="25"/>
    </row>
    <row r="3191" ht="39" customHeight="1" spans="1:19">
      <c r="A3191" s="19" t="s">
        <v>12434</v>
      </c>
      <c r="B3191" s="20" t="s">
        <v>196</v>
      </c>
      <c r="C3191" s="20" t="s">
        <v>12410</v>
      </c>
      <c r="D3191" s="20" t="s">
        <v>32</v>
      </c>
      <c r="E3191" s="21" t="s">
        <v>12435</v>
      </c>
      <c r="F3191" s="21" t="s">
        <v>12436</v>
      </c>
      <c r="G3191" s="20" t="s">
        <v>35</v>
      </c>
      <c r="H3191" s="20" t="s">
        <v>25</v>
      </c>
      <c r="I3191" s="21" t="s">
        <v>12437</v>
      </c>
      <c r="J3191" s="22">
        <f t="shared" si="245"/>
        <v>0.0430555555576575</v>
      </c>
      <c r="K3191" s="22">
        <f t="shared" si="246"/>
        <v>1.03333333338378</v>
      </c>
      <c r="L3191" s="22">
        <f t="shared" si="247"/>
        <v>1.03333333338378</v>
      </c>
      <c r="M3191" s="22" cm="1">
        <f ca="1" t="array" ref="M3191">SUMPRODUCT(--(WEEKDAY(ROW(INDIRECT(INT(F3191)&amp;":"&amp;INT(I3191))),2)&gt;5))</f>
        <v>0</v>
      </c>
      <c r="N3191" s="22">
        <f ca="1" t="shared" si="248"/>
        <v>1.03333333338378</v>
      </c>
      <c r="O3191" s="22" t="str">
        <f ca="1" t="shared" si="249"/>
        <v>Within SLA</v>
      </c>
      <c r="P3191" s="26" t="s">
        <v>12434</v>
      </c>
      <c r="Q3191" s="24" t="s">
        <v>37</v>
      </c>
      <c r="R3191" s="25"/>
      <c r="S3191" s="25"/>
    </row>
    <row r="3192" ht="39" customHeight="1" spans="1:19">
      <c r="A3192" s="19" t="s">
        <v>12438</v>
      </c>
      <c r="B3192" s="20" t="s">
        <v>19</v>
      </c>
      <c r="C3192" s="20" t="s">
        <v>20</v>
      </c>
      <c r="D3192" s="20" t="s">
        <v>32</v>
      </c>
      <c r="E3192" s="21" t="s">
        <v>12437</v>
      </c>
      <c r="F3192" s="21" t="s">
        <v>12439</v>
      </c>
      <c r="G3192" s="20" t="s">
        <v>24</v>
      </c>
      <c r="H3192" s="20" t="s">
        <v>25</v>
      </c>
      <c r="I3192" s="21" t="s">
        <v>12440</v>
      </c>
      <c r="J3192" s="22">
        <f t="shared" si="245"/>
        <v>7.20347222222335</v>
      </c>
      <c r="K3192" s="22">
        <f t="shared" si="246"/>
        <v>172.88333333336</v>
      </c>
      <c r="L3192" s="22">
        <f t="shared" si="247"/>
        <v>60.8833333333605</v>
      </c>
      <c r="M3192" s="22" cm="1">
        <f ca="1" t="array" ref="M3192">SUMPRODUCT(--(WEEKDAY(ROW(INDIRECT(INT(F3192)&amp;":"&amp;INT(I3192))),2)&gt;5))</f>
        <v>2</v>
      </c>
      <c r="N3192" s="22">
        <f ca="1" t="shared" si="248"/>
        <v>44.8833333333605</v>
      </c>
      <c r="O3192" s="22" t="str">
        <f ca="1" t="shared" si="249"/>
        <v>SLA Violated</v>
      </c>
      <c r="P3192" s="23" t="s">
        <v>12441</v>
      </c>
      <c r="Q3192" s="24" t="s">
        <v>37</v>
      </c>
      <c r="R3192" s="25" t="s">
        <v>1020</v>
      </c>
      <c r="S3192" s="25" t="s">
        <v>39</v>
      </c>
    </row>
    <row r="3193" ht="39" customHeight="1" spans="1:19">
      <c r="A3193" s="19" t="s">
        <v>12442</v>
      </c>
      <c r="B3193" s="20" t="s">
        <v>19</v>
      </c>
      <c r="C3193" s="20" t="s">
        <v>20</v>
      </c>
      <c r="D3193" s="20" t="s">
        <v>32</v>
      </c>
      <c r="E3193" s="21" t="s">
        <v>12443</v>
      </c>
      <c r="F3193" s="21" t="s">
        <v>12444</v>
      </c>
      <c r="G3193" s="20" t="s">
        <v>35</v>
      </c>
      <c r="H3193" s="20" t="s">
        <v>25</v>
      </c>
      <c r="I3193" s="21" t="s">
        <v>12445</v>
      </c>
      <c r="J3193" s="22">
        <f t="shared" si="245"/>
        <v>0.159027777779556</v>
      </c>
      <c r="K3193" s="22">
        <f t="shared" si="246"/>
        <v>3.81666666670935</v>
      </c>
      <c r="L3193" s="22">
        <f t="shared" si="247"/>
        <v>3.81666666670935</v>
      </c>
      <c r="M3193" s="22" cm="1">
        <f ca="1" t="array" ref="M3193">SUMPRODUCT(--(WEEKDAY(ROW(INDIRECT(INT(F3193)&amp;":"&amp;INT(I3193))),2)&gt;5))</f>
        <v>0</v>
      </c>
      <c r="N3193" s="22">
        <f ca="1" t="shared" si="248"/>
        <v>3.81666666670935</v>
      </c>
      <c r="O3193" s="22" t="str">
        <f ca="1" t="shared" si="249"/>
        <v>Within SLA</v>
      </c>
      <c r="P3193" s="26" t="s">
        <v>12442</v>
      </c>
      <c r="Q3193" s="24" t="s">
        <v>37</v>
      </c>
      <c r="R3193" s="25"/>
      <c r="S3193" s="25"/>
    </row>
    <row r="3194" ht="39" customHeight="1" spans="1:19">
      <c r="A3194" s="19" t="s">
        <v>12446</v>
      </c>
      <c r="B3194" s="20" t="s">
        <v>19</v>
      </c>
      <c r="C3194" s="20" t="s">
        <v>20</v>
      </c>
      <c r="D3194" s="20" t="s">
        <v>32</v>
      </c>
      <c r="E3194" s="21" t="s">
        <v>12447</v>
      </c>
      <c r="F3194" s="21" t="s">
        <v>12448</v>
      </c>
      <c r="G3194" s="20" t="s">
        <v>35</v>
      </c>
      <c r="H3194" s="20" t="s">
        <v>25</v>
      </c>
      <c r="I3194" s="21" t="s">
        <v>12449</v>
      </c>
      <c r="J3194" s="22">
        <f t="shared" si="245"/>
        <v>0.00763888889196096</v>
      </c>
      <c r="K3194" s="22">
        <f t="shared" si="246"/>
        <v>0.183333333407063</v>
      </c>
      <c r="L3194" s="22">
        <f t="shared" si="247"/>
        <v>0.183333333407063</v>
      </c>
      <c r="M3194" s="22" cm="1">
        <f ca="1" t="array" ref="M3194">SUMPRODUCT(--(WEEKDAY(ROW(INDIRECT(INT(F3194)&amp;":"&amp;INT(I3194))),2)&gt;5))</f>
        <v>0</v>
      </c>
      <c r="N3194" s="22">
        <f ca="1" t="shared" si="248"/>
        <v>0.183333333407063</v>
      </c>
      <c r="O3194" s="22" t="str">
        <f ca="1" t="shared" si="249"/>
        <v>Within SLA</v>
      </c>
      <c r="P3194" s="26" t="s">
        <v>12446</v>
      </c>
      <c r="Q3194" s="24" t="s">
        <v>37</v>
      </c>
      <c r="R3194" s="25"/>
      <c r="S3194" s="25"/>
    </row>
    <row r="3195" ht="39" customHeight="1" spans="1:19">
      <c r="A3195" s="28" t="s">
        <v>12450</v>
      </c>
      <c r="B3195" s="20" t="s">
        <v>1076</v>
      </c>
      <c r="C3195" s="20" t="s">
        <v>12410</v>
      </c>
      <c r="D3195" s="20" t="s">
        <v>32</v>
      </c>
      <c r="E3195" s="21" t="s">
        <v>12451</v>
      </c>
      <c r="F3195" s="21" t="s">
        <v>12452</v>
      </c>
      <c r="G3195" s="20" t="s">
        <v>35</v>
      </c>
      <c r="H3195" s="20" t="s">
        <v>25</v>
      </c>
      <c r="I3195" s="21" t="s">
        <v>12453</v>
      </c>
      <c r="J3195" s="22">
        <f t="shared" si="245"/>
        <v>12.2673611111095</v>
      </c>
      <c r="K3195" s="22">
        <f t="shared" si="246"/>
        <v>294.416666666628</v>
      </c>
      <c r="L3195" s="22">
        <f t="shared" si="247"/>
        <v>102.416666666628</v>
      </c>
      <c r="M3195" s="22" cm="1">
        <f ca="1" t="array" ref="M3195">SUMPRODUCT(--(WEEKDAY(ROW(INDIRECT(INT(F3195)&amp;":"&amp;INT(I3195))),2)&gt;5))</f>
        <v>4</v>
      </c>
      <c r="N3195" s="22">
        <f ca="1" t="shared" si="248"/>
        <v>70.416666666628</v>
      </c>
      <c r="O3195" s="22" t="str">
        <f ca="1" t="shared" si="249"/>
        <v>SLA Violated</v>
      </c>
      <c r="P3195" s="23" t="s">
        <v>12450</v>
      </c>
      <c r="Q3195" s="24" t="s">
        <v>28</v>
      </c>
      <c r="R3195" s="25"/>
      <c r="S3195" s="25"/>
    </row>
    <row r="3196" ht="39" customHeight="1" spans="1:19">
      <c r="A3196" s="19" t="s">
        <v>12454</v>
      </c>
      <c r="B3196" s="20" t="s">
        <v>19</v>
      </c>
      <c r="C3196" s="20" t="s">
        <v>20</v>
      </c>
      <c r="D3196" s="20" t="s">
        <v>32</v>
      </c>
      <c r="E3196" s="21" t="s">
        <v>12453</v>
      </c>
      <c r="F3196" s="21" t="s">
        <v>12455</v>
      </c>
      <c r="G3196" s="20" t="s">
        <v>35</v>
      </c>
      <c r="H3196" s="20" t="s">
        <v>25</v>
      </c>
      <c r="I3196" s="21" t="s">
        <v>12456</v>
      </c>
      <c r="J3196" s="22">
        <f t="shared" si="245"/>
        <v>0.00902777777810115</v>
      </c>
      <c r="K3196" s="22">
        <f t="shared" si="246"/>
        <v>0.216666666674428</v>
      </c>
      <c r="L3196" s="22">
        <f t="shared" si="247"/>
        <v>0.216666666674428</v>
      </c>
      <c r="M3196" s="22" cm="1">
        <f ca="1" t="array" ref="M3196">SUMPRODUCT(--(WEEKDAY(ROW(INDIRECT(INT(F3196)&amp;":"&amp;INT(I3196))),2)&gt;5))</f>
        <v>0</v>
      </c>
      <c r="N3196" s="22">
        <f ca="1" t="shared" si="248"/>
        <v>0.216666666674428</v>
      </c>
      <c r="O3196" s="22" t="str">
        <f ca="1" t="shared" si="249"/>
        <v>Within SLA</v>
      </c>
      <c r="P3196" s="26" t="s">
        <v>12454</v>
      </c>
      <c r="Q3196" s="24" t="s">
        <v>37</v>
      </c>
      <c r="R3196" s="25"/>
      <c r="S3196" s="25"/>
    </row>
    <row r="3197" ht="27" customHeight="1" spans="1:19">
      <c r="A3197" s="19" t="s">
        <v>12457</v>
      </c>
      <c r="B3197" s="20" t="s">
        <v>139</v>
      </c>
      <c r="C3197" s="20" t="s">
        <v>12458</v>
      </c>
      <c r="D3197" s="20" t="s">
        <v>32</v>
      </c>
      <c r="E3197" s="21" t="s">
        <v>12459</v>
      </c>
      <c r="F3197" s="21" t="s">
        <v>12460</v>
      </c>
      <c r="G3197" s="20" t="s">
        <v>35</v>
      </c>
      <c r="H3197" s="20" t="s">
        <v>25</v>
      </c>
      <c r="I3197" s="21" t="s">
        <v>12461</v>
      </c>
      <c r="J3197" s="22">
        <f t="shared" si="245"/>
        <v>0.0513888888890506</v>
      </c>
      <c r="K3197" s="22">
        <f t="shared" si="246"/>
        <v>1.23333333333721</v>
      </c>
      <c r="L3197" s="22">
        <f t="shared" si="247"/>
        <v>1.23333333333721</v>
      </c>
      <c r="M3197" s="22" cm="1">
        <f ca="1" t="array" ref="M3197">SUMPRODUCT(--(WEEKDAY(ROW(INDIRECT(INT(F3197)&amp;":"&amp;INT(I3197))),2)&gt;5))</f>
        <v>0</v>
      </c>
      <c r="N3197" s="22">
        <f ca="1" t="shared" si="248"/>
        <v>1.23333333333721</v>
      </c>
      <c r="O3197" s="22" t="str">
        <f ca="1" t="shared" si="249"/>
        <v>Within SLA</v>
      </c>
      <c r="P3197" s="26" t="s">
        <v>12457</v>
      </c>
      <c r="Q3197" s="24" t="s">
        <v>37</v>
      </c>
      <c r="R3197" s="25"/>
      <c r="S3197" s="25"/>
    </row>
    <row r="3198" ht="39" customHeight="1" spans="1:19">
      <c r="A3198" s="19" t="s">
        <v>12462</v>
      </c>
      <c r="B3198" s="20" t="s">
        <v>725</v>
      </c>
      <c r="C3198" s="20" t="s">
        <v>101</v>
      </c>
      <c r="D3198" s="20" t="s">
        <v>32</v>
      </c>
      <c r="E3198" s="21" t="s">
        <v>12455</v>
      </c>
      <c r="F3198" s="21" t="s">
        <v>12463</v>
      </c>
      <c r="G3198" s="20" t="s">
        <v>35</v>
      </c>
      <c r="H3198" s="20" t="s">
        <v>25</v>
      </c>
      <c r="I3198" s="21" t="s">
        <v>12464</v>
      </c>
      <c r="J3198" s="22">
        <f t="shared" si="245"/>
        <v>0.0298611111065838</v>
      </c>
      <c r="K3198" s="22">
        <f t="shared" si="246"/>
        <v>0.716666666558012</v>
      </c>
      <c r="L3198" s="22">
        <f t="shared" si="247"/>
        <v>0.716666666558012</v>
      </c>
      <c r="M3198" s="22" cm="1">
        <f ca="1" t="array" ref="M3198">SUMPRODUCT(--(WEEKDAY(ROW(INDIRECT(INT(F3198)&amp;":"&amp;INT(I3198))),2)&gt;5))</f>
        <v>0</v>
      </c>
      <c r="N3198" s="22">
        <f ca="1" t="shared" si="248"/>
        <v>0.716666666558012</v>
      </c>
      <c r="O3198" s="22" t="str">
        <f ca="1" t="shared" si="249"/>
        <v>Within SLA</v>
      </c>
      <c r="P3198" s="26" t="s">
        <v>12462</v>
      </c>
      <c r="Q3198" s="24" t="s">
        <v>37</v>
      </c>
      <c r="R3198" s="25"/>
      <c r="S3198" s="25"/>
    </row>
    <row r="3199" ht="50" customHeight="1" spans="1:19">
      <c r="A3199" s="19" t="s">
        <v>12465</v>
      </c>
      <c r="B3199" s="20" t="s">
        <v>369</v>
      </c>
      <c r="C3199" s="20" t="s">
        <v>101</v>
      </c>
      <c r="D3199" s="20" t="s">
        <v>32</v>
      </c>
      <c r="E3199" s="21" t="s">
        <v>12466</v>
      </c>
      <c r="F3199" s="21" t="s">
        <v>12467</v>
      </c>
      <c r="G3199" s="20" t="s">
        <v>35</v>
      </c>
      <c r="H3199" s="20" t="s">
        <v>25</v>
      </c>
      <c r="I3199" s="21" t="s">
        <v>12468</v>
      </c>
      <c r="J3199" s="22">
        <f t="shared" si="245"/>
        <v>0.0131944444510737</v>
      </c>
      <c r="K3199" s="22">
        <f t="shared" si="246"/>
        <v>0.316666666825768</v>
      </c>
      <c r="L3199" s="22">
        <f t="shared" si="247"/>
        <v>0.316666666825768</v>
      </c>
      <c r="M3199" s="22" cm="1">
        <f ca="1" t="array" ref="M3199">SUMPRODUCT(--(WEEKDAY(ROW(INDIRECT(INT(F3199)&amp;":"&amp;INT(I3199))),2)&gt;5))</f>
        <v>0</v>
      </c>
      <c r="N3199" s="22">
        <f ca="1" t="shared" si="248"/>
        <v>0.316666666825768</v>
      </c>
      <c r="O3199" s="22" t="str">
        <f ca="1" t="shared" si="249"/>
        <v>Within SLA</v>
      </c>
      <c r="P3199" s="26" t="s">
        <v>12465</v>
      </c>
      <c r="Q3199" s="24" t="s">
        <v>37</v>
      </c>
      <c r="R3199" s="25"/>
      <c r="S3199" s="25"/>
    </row>
    <row r="3200" ht="39" customHeight="1" spans="1:19">
      <c r="A3200" s="19" t="s">
        <v>12469</v>
      </c>
      <c r="B3200" s="20" t="s">
        <v>196</v>
      </c>
      <c r="C3200" s="20" t="s">
        <v>46</v>
      </c>
      <c r="D3200" s="20" t="s">
        <v>21</v>
      </c>
      <c r="E3200" s="21" t="s">
        <v>12470</v>
      </c>
      <c r="F3200" s="21" t="s">
        <v>12471</v>
      </c>
      <c r="G3200" s="20" t="s">
        <v>35</v>
      </c>
      <c r="H3200" s="20" t="s">
        <v>25</v>
      </c>
      <c r="I3200" s="21" t="s">
        <v>12472</v>
      </c>
      <c r="J3200" s="22">
        <f t="shared" si="245"/>
        <v>0.000694444446708076</v>
      </c>
      <c r="K3200" s="22">
        <f t="shared" si="246"/>
        <v>0.0166666667209938</v>
      </c>
      <c r="L3200" s="22">
        <f t="shared" si="247"/>
        <v>0.0166666667209938</v>
      </c>
      <c r="M3200" s="22" cm="1">
        <f ca="1" t="array" ref="M3200">SUMPRODUCT(--(WEEKDAY(ROW(INDIRECT(INT(F3200)&amp;":"&amp;INT(I3200))),2)&gt;5))</f>
        <v>0</v>
      </c>
      <c r="N3200" s="22">
        <f ca="1" t="shared" si="248"/>
        <v>0.0166666667209938</v>
      </c>
      <c r="O3200" s="22" t="str">
        <f ca="1" t="shared" si="249"/>
        <v>Within SLA</v>
      </c>
      <c r="P3200" s="26" t="s">
        <v>12469</v>
      </c>
      <c r="Q3200" s="24" t="s">
        <v>37</v>
      </c>
      <c r="R3200" s="25"/>
      <c r="S3200" s="25"/>
    </row>
    <row r="3201" ht="39" customHeight="1" spans="1:19">
      <c r="A3201" s="19" t="s">
        <v>12473</v>
      </c>
      <c r="B3201" s="20" t="s">
        <v>196</v>
      </c>
      <c r="C3201" s="20" t="s">
        <v>12410</v>
      </c>
      <c r="D3201" s="20" t="s">
        <v>32</v>
      </c>
      <c r="E3201" s="21" t="s">
        <v>12474</v>
      </c>
      <c r="F3201" s="21" t="s">
        <v>12475</v>
      </c>
      <c r="G3201" s="20" t="s">
        <v>35</v>
      </c>
      <c r="H3201" s="20" t="s">
        <v>25</v>
      </c>
      <c r="I3201" s="21" t="s">
        <v>12476</v>
      </c>
      <c r="J3201" s="22">
        <f t="shared" si="245"/>
        <v>0.0118055555576575</v>
      </c>
      <c r="K3201" s="22">
        <f t="shared" si="246"/>
        <v>0.28333333338378</v>
      </c>
      <c r="L3201" s="22">
        <f t="shared" si="247"/>
        <v>0.28333333338378</v>
      </c>
      <c r="M3201" s="22" cm="1">
        <f ca="1" t="array" ref="M3201">SUMPRODUCT(--(WEEKDAY(ROW(INDIRECT(INT(F3201)&amp;":"&amp;INT(I3201))),2)&gt;5))</f>
        <v>0</v>
      </c>
      <c r="N3201" s="22">
        <f ca="1" t="shared" si="248"/>
        <v>0.28333333338378</v>
      </c>
      <c r="O3201" s="22" t="str">
        <f ca="1" t="shared" si="249"/>
        <v>Within SLA</v>
      </c>
      <c r="P3201" s="26" t="s">
        <v>12473</v>
      </c>
      <c r="Q3201" s="24" t="s">
        <v>37</v>
      </c>
      <c r="R3201" s="25"/>
      <c r="S3201" s="25"/>
    </row>
    <row r="3202" ht="39" customHeight="1" spans="1:19">
      <c r="A3202" s="19" t="s">
        <v>12477</v>
      </c>
      <c r="B3202" s="20" t="s">
        <v>196</v>
      </c>
      <c r="C3202" s="20" t="s">
        <v>12410</v>
      </c>
      <c r="D3202" s="20" t="s">
        <v>32</v>
      </c>
      <c r="E3202" s="21" t="s">
        <v>12474</v>
      </c>
      <c r="F3202" s="21" t="s">
        <v>12478</v>
      </c>
      <c r="G3202" s="20" t="s">
        <v>35</v>
      </c>
      <c r="H3202" s="20" t="s">
        <v>25</v>
      </c>
      <c r="I3202" s="21" t="s">
        <v>12479</v>
      </c>
      <c r="J3202" s="22">
        <f t="shared" si="245"/>
        <v>0.0118055555503815</v>
      </c>
      <c r="K3202" s="22">
        <f t="shared" si="246"/>
        <v>0.283333333209157</v>
      </c>
      <c r="L3202" s="22">
        <f t="shared" si="247"/>
        <v>0.283333333209157</v>
      </c>
      <c r="M3202" s="22" cm="1">
        <f ca="1" t="array" ref="M3202">SUMPRODUCT(--(WEEKDAY(ROW(INDIRECT(INT(F3202)&amp;":"&amp;INT(I3202))),2)&gt;5))</f>
        <v>0</v>
      </c>
      <c r="N3202" s="22">
        <f ca="1" t="shared" si="248"/>
        <v>0.283333333209157</v>
      </c>
      <c r="O3202" s="22" t="str">
        <f ca="1" t="shared" si="249"/>
        <v>Within SLA</v>
      </c>
      <c r="P3202" s="26" t="s">
        <v>12477</v>
      </c>
      <c r="Q3202" s="24" t="s">
        <v>37</v>
      </c>
      <c r="R3202" s="25"/>
      <c r="S3202" s="25"/>
    </row>
    <row r="3203" ht="27" customHeight="1" spans="1:19">
      <c r="A3203" s="19" t="s">
        <v>12480</v>
      </c>
      <c r="B3203" s="20" t="s">
        <v>30</v>
      </c>
      <c r="C3203" s="20" t="s">
        <v>31</v>
      </c>
      <c r="D3203" s="20" t="s">
        <v>32</v>
      </c>
      <c r="E3203" s="21" t="s">
        <v>12481</v>
      </c>
      <c r="F3203" s="21" t="s">
        <v>12482</v>
      </c>
      <c r="G3203" s="20" t="s">
        <v>35</v>
      </c>
      <c r="H3203" s="20" t="s">
        <v>25</v>
      </c>
      <c r="I3203" s="21" t="s">
        <v>12483</v>
      </c>
      <c r="J3203" s="22">
        <f t="shared" ref="J3203:J3266" si="250">F3203-I3203</f>
        <v>0.0145833333372138</v>
      </c>
      <c r="K3203" s="22">
        <f t="shared" ref="K3203:K3266" si="251">J3203*24</f>
        <v>0.350000000093132</v>
      </c>
      <c r="L3203" s="22">
        <f t="shared" ref="L3203:L3266" si="252">IF(_xlfn.DAYS(F3203,I3203)&gt;0,K3203-IF(FLOOR(J3203,1)=0,1,_xlfn.DAYS(F3203,I3203))*16,K3203)</f>
        <v>0.350000000093132</v>
      </c>
      <c r="M3203" s="22" cm="1">
        <f ca="1" t="array" ref="M3203">SUMPRODUCT(--(WEEKDAY(ROW(INDIRECT(INT(F3203)&amp;":"&amp;INT(I3203))),2)&gt;5))</f>
        <v>0</v>
      </c>
      <c r="N3203" s="22">
        <f ca="1" t="shared" ref="N3203:N3266" si="253">IF(IF(M3203&gt;0,L3203-M3203*8,L3203)&lt;0,0,IF(M3203&gt;0,L3203-M3203*8,L3203))</f>
        <v>0.350000000093132</v>
      </c>
      <c r="O3203" s="22" t="str">
        <f ca="1" t="shared" ref="O3203:O3266" si="254">IF(OR(AND(D3203="P1",N3203&lt;=3),AND(D3203="P2",N3203&lt;=6),AND(D3203="P3",N3203&lt;=9),AND(D3203="P4",N3203&lt;=12)),"Within SLA","SLA Violated")</f>
        <v>Within SLA</v>
      </c>
      <c r="P3203" s="26" t="s">
        <v>12480</v>
      </c>
      <c r="Q3203" s="24" t="s">
        <v>37</v>
      </c>
      <c r="R3203" s="25"/>
      <c r="S3203" s="25"/>
    </row>
    <row r="3204" ht="27" customHeight="1" spans="1:19">
      <c r="A3204" s="19" t="s">
        <v>12484</v>
      </c>
      <c r="B3204" s="20" t="s">
        <v>139</v>
      </c>
      <c r="C3204" s="20" t="s">
        <v>2057</v>
      </c>
      <c r="D3204" s="20" t="s">
        <v>32</v>
      </c>
      <c r="E3204" s="21" t="s">
        <v>12485</v>
      </c>
      <c r="F3204" s="21" t="s">
        <v>12486</v>
      </c>
      <c r="G3204" s="20" t="s">
        <v>35</v>
      </c>
      <c r="H3204" s="20" t="s">
        <v>25</v>
      </c>
      <c r="I3204" s="21" t="s">
        <v>12487</v>
      </c>
      <c r="J3204" s="22">
        <f t="shared" si="250"/>
        <v>0.03125</v>
      </c>
      <c r="K3204" s="22">
        <f t="shared" si="251"/>
        <v>0.75</v>
      </c>
      <c r="L3204" s="22">
        <f t="shared" si="252"/>
        <v>0.75</v>
      </c>
      <c r="M3204" s="22" cm="1">
        <f ca="1" t="array" ref="M3204">SUMPRODUCT(--(WEEKDAY(ROW(INDIRECT(INT(F3204)&amp;":"&amp;INT(I3204))),2)&gt;5))</f>
        <v>0</v>
      </c>
      <c r="N3204" s="22">
        <f ca="1" t="shared" si="253"/>
        <v>0.75</v>
      </c>
      <c r="O3204" s="22" t="str">
        <f ca="1" t="shared" si="254"/>
        <v>Within SLA</v>
      </c>
      <c r="P3204" s="26" t="s">
        <v>12484</v>
      </c>
      <c r="Q3204" s="24" t="s">
        <v>37</v>
      </c>
      <c r="R3204" s="25"/>
      <c r="S3204" s="25"/>
    </row>
    <row r="3205" ht="39" customHeight="1" spans="1:19">
      <c r="A3205" s="19" t="s">
        <v>12488</v>
      </c>
      <c r="B3205" s="20" t="s">
        <v>19</v>
      </c>
      <c r="C3205" s="20" t="s">
        <v>20</v>
      </c>
      <c r="D3205" s="20" t="s">
        <v>32</v>
      </c>
      <c r="E3205" s="21" t="s">
        <v>12489</v>
      </c>
      <c r="F3205" s="21" t="s">
        <v>10423</v>
      </c>
      <c r="G3205" s="20" t="s">
        <v>11229</v>
      </c>
      <c r="H3205" s="20" t="s">
        <v>25</v>
      </c>
      <c r="I3205" s="21" t="s">
        <v>12490</v>
      </c>
      <c r="J3205" s="22" t="e">
        <f t="shared" si="250"/>
        <v>#VALUE!</v>
      </c>
      <c r="K3205" s="22" t="e">
        <f t="shared" si="251"/>
        <v>#VALUE!</v>
      </c>
      <c r="L3205" s="22" t="e">
        <f t="shared" si="252"/>
        <v>#VALUE!</v>
      </c>
      <c r="M3205" s="22" t="e" cm="1">
        <f ca="1" t="array" ref="M3205">SUMPRODUCT(--(WEEKDAY(ROW(INDIRECT(INT(F3205)&amp;":"&amp;INT(I3205))),2)&gt;5))</f>
        <v>#VALUE!</v>
      </c>
      <c r="N3205" s="22" t="e">
        <f ca="1" t="shared" si="253"/>
        <v>#VALUE!</v>
      </c>
      <c r="O3205" s="22" t="e">
        <f ca="1" t="shared" si="254"/>
        <v>#VALUE!</v>
      </c>
      <c r="P3205" s="26" t="s">
        <v>12488</v>
      </c>
      <c r="Q3205" s="24" t="e">
        <v>#VALUE!</v>
      </c>
      <c r="R3205" s="25"/>
      <c r="S3205" s="25"/>
    </row>
    <row r="3206" ht="27" customHeight="1" spans="1:19">
      <c r="A3206" s="19" t="s">
        <v>12491</v>
      </c>
      <c r="B3206" s="20" t="s">
        <v>30</v>
      </c>
      <c r="C3206" s="20" t="s">
        <v>101</v>
      </c>
      <c r="D3206" s="20" t="s">
        <v>32</v>
      </c>
      <c r="E3206" s="21" t="s">
        <v>12492</v>
      </c>
      <c r="F3206" s="21" t="s">
        <v>12493</v>
      </c>
      <c r="G3206" s="20" t="s">
        <v>35</v>
      </c>
      <c r="H3206" s="20" t="s">
        <v>25</v>
      </c>
      <c r="I3206" s="21" t="s">
        <v>12494</v>
      </c>
      <c r="J3206" s="22">
        <f t="shared" si="250"/>
        <v>0.0208333333357587</v>
      </c>
      <c r="K3206" s="22">
        <f t="shared" si="251"/>
        <v>0.500000000058208</v>
      </c>
      <c r="L3206" s="22">
        <f t="shared" si="252"/>
        <v>0.500000000058208</v>
      </c>
      <c r="M3206" s="22" cm="1">
        <f ca="1" t="array" ref="M3206">SUMPRODUCT(--(WEEKDAY(ROW(INDIRECT(INT(F3206)&amp;":"&amp;INT(I3206))),2)&gt;5))</f>
        <v>0</v>
      </c>
      <c r="N3206" s="22">
        <f ca="1" t="shared" si="253"/>
        <v>0.500000000058208</v>
      </c>
      <c r="O3206" s="22" t="str">
        <f ca="1" t="shared" si="254"/>
        <v>Within SLA</v>
      </c>
      <c r="P3206" s="26" t="s">
        <v>12491</v>
      </c>
      <c r="Q3206" s="24" t="s">
        <v>37</v>
      </c>
      <c r="R3206" s="25"/>
      <c r="S3206" s="25"/>
    </row>
    <row r="3207" ht="39" customHeight="1" spans="1:19">
      <c r="A3207" s="19" t="s">
        <v>12495</v>
      </c>
      <c r="B3207" s="20" t="s">
        <v>19</v>
      </c>
      <c r="C3207" s="20" t="s">
        <v>20</v>
      </c>
      <c r="D3207" s="20" t="s">
        <v>32</v>
      </c>
      <c r="E3207" s="21" t="s">
        <v>12496</v>
      </c>
      <c r="F3207" s="21" t="s">
        <v>12497</v>
      </c>
      <c r="G3207" s="20" t="s">
        <v>35</v>
      </c>
      <c r="H3207" s="20" t="s">
        <v>25</v>
      </c>
      <c r="I3207" s="21" t="s">
        <v>12498</v>
      </c>
      <c r="J3207" s="22">
        <f t="shared" si="250"/>
        <v>0.211805555554747</v>
      </c>
      <c r="K3207" s="22">
        <f t="shared" si="251"/>
        <v>5.08333333331393</v>
      </c>
      <c r="L3207" s="22">
        <f t="shared" si="252"/>
        <v>5.08333333331393</v>
      </c>
      <c r="M3207" s="22" cm="1">
        <f ca="1" t="array" ref="M3207">SUMPRODUCT(--(WEEKDAY(ROW(INDIRECT(INT(F3207)&amp;":"&amp;INT(I3207))),2)&gt;5))</f>
        <v>0</v>
      </c>
      <c r="N3207" s="22">
        <f ca="1" t="shared" si="253"/>
        <v>5.08333333331393</v>
      </c>
      <c r="O3207" s="22" t="str">
        <f ca="1" t="shared" si="254"/>
        <v>Within SLA</v>
      </c>
      <c r="P3207" s="26" t="s">
        <v>12495</v>
      </c>
      <c r="Q3207" s="24" t="s">
        <v>37</v>
      </c>
      <c r="R3207" s="25"/>
      <c r="S3207" s="25"/>
    </row>
    <row r="3208" ht="39" customHeight="1" spans="1:19">
      <c r="A3208" s="19" t="s">
        <v>12499</v>
      </c>
      <c r="B3208" s="20" t="s">
        <v>19</v>
      </c>
      <c r="C3208" s="20" t="s">
        <v>20</v>
      </c>
      <c r="D3208" s="20" t="s">
        <v>32</v>
      </c>
      <c r="E3208" s="21" t="s">
        <v>12500</v>
      </c>
      <c r="F3208" s="21" t="s">
        <v>12501</v>
      </c>
      <c r="G3208" s="20" t="s">
        <v>35</v>
      </c>
      <c r="H3208" s="20" t="s">
        <v>25</v>
      </c>
      <c r="I3208" s="21" t="s">
        <v>12502</v>
      </c>
      <c r="J3208" s="22">
        <f t="shared" si="250"/>
        <v>0.00208333334012423</v>
      </c>
      <c r="K3208" s="22">
        <f t="shared" si="251"/>
        <v>0.0500000001629815</v>
      </c>
      <c r="L3208" s="22">
        <f t="shared" si="252"/>
        <v>0.0500000001629815</v>
      </c>
      <c r="M3208" s="22" cm="1">
        <f ca="1" t="array" ref="M3208">SUMPRODUCT(--(WEEKDAY(ROW(INDIRECT(INT(F3208)&amp;":"&amp;INT(I3208))),2)&gt;5))</f>
        <v>0</v>
      </c>
      <c r="N3208" s="22">
        <f ca="1" t="shared" si="253"/>
        <v>0.0500000001629815</v>
      </c>
      <c r="O3208" s="22" t="str">
        <f ca="1" t="shared" si="254"/>
        <v>Within SLA</v>
      </c>
      <c r="P3208" s="26" t="s">
        <v>12499</v>
      </c>
      <c r="Q3208" s="24" t="s">
        <v>37</v>
      </c>
      <c r="R3208" s="25"/>
      <c r="S3208" s="25"/>
    </row>
    <row r="3209" ht="39" customHeight="1" spans="1:19">
      <c r="A3209" s="19" t="s">
        <v>12503</v>
      </c>
      <c r="B3209" s="20" t="s">
        <v>4167</v>
      </c>
      <c r="C3209" s="20" t="s">
        <v>101</v>
      </c>
      <c r="D3209" s="20" t="s">
        <v>32</v>
      </c>
      <c r="E3209" s="21" t="s">
        <v>12504</v>
      </c>
      <c r="F3209" s="21" t="s">
        <v>12505</v>
      </c>
      <c r="G3209" s="20" t="s">
        <v>35</v>
      </c>
      <c r="H3209" s="20" t="s">
        <v>25</v>
      </c>
      <c r="I3209" s="21" t="s">
        <v>12506</v>
      </c>
      <c r="J3209" s="22">
        <f t="shared" si="250"/>
        <v>0.0145833333372138</v>
      </c>
      <c r="K3209" s="22">
        <f t="shared" si="251"/>
        <v>0.350000000093132</v>
      </c>
      <c r="L3209" s="22">
        <f t="shared" si="252"/>
        <v>0.350000000093132</v>
      </c>
      <c r="M3209" s="22" cm="1">
        <f ca="1" t="array" ref="M3209">SUMPRODUCT(--(WEEKDAY(ROW(INDIRECT(INT(F3209)&amp;":"&amp;INT(I3209))),2)&gt;5))</f>
        <v>0</v>
      </c>
      <c r="N3209" s="22">
        <f ca="1" t="shared" si="253"/>
        <v>0.350000000093132</v>
      </c>
      <c r="O3209" s="22" t="str">
        <f ca="1" t="shared" si="254"/>
        <v>Within SLA</v>
      </c>
      <c r="P3209" s="26" t="s">
        <v>12503</v>
      </c>
      <c r="Q3209" s="24" t="s">
        <v>37</v>
      </c>
      <c r="R3209" s="25"/>
      <c r="S3209" s="25"/>
    </row>
    <row r="3210" ht="39" customHeight="1" spans="1:19">
      <c r="A3210" s="19" t="s">
        <v>12507</v>
      </c>
      <c r="B3210" s="20" t="s">
        <v>19</v>
      </c>
      <c r="C3210" s="20" t="s">
        <v>20</v>
      </c>
      <c r="D3210" s="20" t="s">
        <v>32</v>
      </c>
      <c r="E3210" s="21" t="s">
        <v>12508</v>
      </c>
      <c r="F3210" s="21" t="s">
        <v>12509</v>
      </c>
      <c r="G3210" s="20" t="s">
        <v>35</v>
      </c>
      <c r="H3210" s="20" t="s">
        <v>25</v>
      </c>
      <c r="I3210" s="21" t="s">
        <v>12510</v>
      </c>
      <c r="J3210" s="22">
        <f t="shared" si="250"/>
        <v>0.0118055555576575</v>
      </c>
      <c r="K3210" s="22">
        <f t="shared" si="251"/>
        <v>0.28333333338378</v>
      </c>
      <c r="L3210" s="22">
        <f t="shared" si="252"/>
        <v>0.28333333338378</v>
      </c>
      <c r="M3210" s="22" cm="1">
        <f ca="1" t="array" ref="M3210">SUMPRODUCT(--(WEEKDAY(ROW(INDIRECT(INT(F3210)&amp;":"&amp;INT(I3210))),2)&gt;5))</f>
        <v>0</v>
      </c>
      <c r="N3210" s="22">
        <f ca="1" t="shared" si="253"/>
        <v>0.28333333338378</v>
      </c>
      <c r="O3210" s="22" t="str">
        <f ca="1" t="shared" si="254"/>
        <v>Within SLA</v>
      </c>
      <c r="P3210" s="26" t="s">
        <v>12507</v>
      </c>
      <c r="Q3210" s="24" t="s">
        <v>37</v>
      </c>
      <c r="R3210" s="25"/>
      <c r="S3210" s="25"/>
    </row>
    <row r="3211" ht="39" customHeight="1" spans="1:19">
      <c r="A3211" s="19" t="s">
        <v>12511</v>
      </c>
      <c r="B3211" s="20" t="s">
        <v>19</v>
      </c>
      <c r="C3211" s="20" t="s">
        <v>20</v>
      </c>
      <c r="D3211" s="20" t="s">
        <v>32</v>
      </c>
      <c r="E3211" s="21" t="s">
        <v>12508</v>
      </c>
      <c r="F3211" s="21" t="s">
        <v>12512</v>
      </c>
      <c r="G3211" s="20" t="s">
        <v>35</v>
      </c>
      <c r="H3211" s="20" t="s">
        <v>25</v>
      </c>
      <c r="I3211" s="21" t="s">
        <v>12513</v>
      </c>
      <c r="J3211" s="22">
        <f t="shared" si="250"/>
        <v>0.0118055555576575</v>
      </c>
      <c r="K3211" s="22">
        <f t="shared" si="251"/>
        <v>0.28333333338378</v>
      </c>
      <c r="L3211" s="22">
        <f t="shared" si="252"/>
        <v>0.28333333338378</v>
      </c>
      <c r="M3211" s="22" cm="1">
        <f ca="1" t="array" ref="M3211">SUMPRODUCT(--(WEEKDAY(ROW(INDIRECT(INT(F3211)&amp;":"&amp;INT(I3211))),2)&gt;5))</f>
        <v>0</v>
      </c>
      <c r="N3211" s="22">
        <f ca="1" t="shared" si="253"/>
        <v>0.28333333338378</v>
      </c>
      <c r="O3211" s="22" t="str">
        <f ca="1" t="shared" si="254"/>
        <v>Within SLA</v>
      </c>
      <c r="P3211" s="26" t="s">
        <v>12511</v>
      </c>
      <c r="Q3211" s="24" t="s">
        <v>37</v>
      </c>
      <c r="R3211" s="25"/>
      <c r="S3211" s="25"/>
    </row>
    <row r="3212" ht="39" customHeight="1" spans="1:19">
      <c r="A3212" s="19" t="s">
        <v>12514</v>
      </c>
      <c r="B3212" s="20" t="s">
        <v>19</v>
      </c>
      <c r="C3212" s="20" t="s">
        <v>20</v>
      </c>
      <c r="D3212" s="20" t="s">
        <v>32</v>
      </c>
      <c r="E3212" s="21" t="s">
        <v>12515</v>
      </c>
      <c r="F3212" s="21" t="s">
        <v>10423</v>
      </c>
      <c r="G3212" s="20" t="s">
        <v>12159</v>
      </c>
      <c r="H3212" s="20" t="s">
        <v>25</v>
      </c>
      <c r="I3212" s="21" t="s">
        <v>12516</v>
      </c>
      <c r="J3212" s="22" t="e">
        <f t="shared" si="250"/>
        <v>#VALUE!</v>
      </c>
      <c r="K3212" s="22" t="e">
        <f t="shared" si="251"/>
        <v>#VALUE!</v>
      </c>
      <c r="L3212" s="22" t="e">
        <f t="shared" si="252"/>
        <v>#VALUE!</v>
      </c>
      <c r="M3212" s="22" t="e" cm="1">
        <f ca="1" t="array" ref="M3212">SUMPRODUCT(--(WEEKDAY(ROW(INDIRECT(INT(F3212)&amp;":"&amp;INT(I3212))),2)&gt;5))</f>
        <v>#VALUE!</v>
      </c>
      <c r="N3212" s="22" t="e">
        <f ca="1" t="shared" si="253"/>
        <v>#VALUE!</v>
      </c>
      <c r="O3212" s="22" t="e">
        <f ca="1" t="shared" si="254"/>
        <v>#VALUE!</v>
      </c>
      <c r="P3212" s="26" t="s">
        <v>12514</v>
      </c>
      <c r="Q3212" s="24" t="e">
        <v>#VALUE!</v>
      </c>
      <c r="R3212" s="25"/>
      <c r="S3212" s="25"/>
    </row>
    <row r="3213" ht="39" customHeight="1" spans="1:19">
      <c r="A3213" s="19" t="s">
        <v>12517</v>
      </c>
      <c r="B3213" s="20" t="s">
        <v>196</v>
      </c>
      <c r="C3213" s="20" t="s">
        <v>101</v>
      </c>
      <c r="D3213" s="20" t="s">
        <v>32</v>
      </c>
      <c r="E3213" s="21" t="s">
        <v>12518</v>
      </c>
      <c r="F3213" s="21" t="s">
        <v>12519</v>
      </c>
      <c r="G3213" s="20" t="s">
        <v>35</v>
      </c>
      <c r="H3213" s="20" t="s">
        <v>25</v>
      </c>
      <c r="I3213" s="21" t="s">
        <v>12199</v>
      </c>
      <c r="J3213" s="22">
        <f t="shared" si="250"/>
        <v>0.0118055555503815</v>
      </c>
      <c r="K3213" s="22">
        <f t="shared" si="251"/>
        <v>0.283333333209157</v>
      </c>
      <c r="L3213" s="22">
        <f t="shared" si="252"/>
        <v>0.283333333209157</v>
      </c>
      <c r="M3213" s="22" cm="1">
        <f ca="1" t="array" ref="M3213">SUMPRODUCT(--(WEEKDAY(ROW(INDIRECT(INT(F3213)&amp;":"&amp;INT(I3213))),2)&gt;5))</f>
        <v>0</v>
      </c>
      <c r="N3213" s="22">
        <f ca="1" t="shared" si="253"/>
        <v>0.283333333209157</v>
      </c>
      <c r="O3213" s="22" t="str">
        <f ca="1" t="shared" si="254"/>
        <v>Within SLA</v>
      </c>
      <c r="P3213" s="26" t="s">
        <v>12517</v>
      </c>
      <c r="Q3213" s="24" t="s">
        <v>37</v>
      </c>
      <c r="R3213" s="25"/>
      <c r="S3213" s="25"/>
    </row>
    <row r="3214" ht="27" customHeight="1" spans="1:19">
      <c r="A3214" s="19" t="s">
        <v>12520</v>
      </c>
      <c r="B3214" s="20" t="s">
        <v>139</v>
      </c>
      <c r="C3214" s="20" t="s">
        <v>12458</v>
      </c>
      <c r="D3214" s="20" t="s">
        <v>32</v>
      </c>
      <c r="E3214" s="21" t="s">
        <v>12521</v>
      </c>
      <c r="F3214" s="21" t="s">
        <v>12522</v>
      </c>
      <c r="G3214" s="20" t="s">
        <v>35</v>
      </c>
      <c r="H3214" s="20" t="s">
        <v>25</v>
      </c>
      <c r="I3214" s="21" t="s">
        <v>12523</v>
      </c>
      <c r="J3214" s="22">
        <f t="shared" si="250"/>
        <v>0.0201388888890506</v>
      </c>
      <c r="K3214" s="22">
        <f t="shared" si="251"/>
        <v>0.483333333337214</v>
      </c>
      <c r="L3214" s="22">
        <f t="shared" si="252"/>
        <v>0.483333333337214</v>
      </c>
      <c r="M3214" s="22" cm="1">
        <f ca="1" t="array" ref="M3214">SUMPRODUCT(--(WEEKDAY(ROW(INDIRECT(INT(F3214)&amp;":"&amp;INT(I3214))),2)&gt;5))</f>
        <v>0</v>
      </c>
      <c r="N3214" s="22">
        <f ca="1" t="shared" si="253"/>
        <v>0.483333333337214</v>
      </c>
      <c r="O3214" s="22" t="str">
        <f ca="1" t="shared" si="254"/>
        <v>Within SLA</v>
      </c>
      <c r="P3214" s="26" t="s">
        <v>12520</v>
      </c>
      <c r="Q3214" s="24" t="s">
        <v>37</v>
      </c>
      <c r="R3214" s="25"/>
      <c r="S3214" s="25"/>
    </row>
    <row r="3215" ht="50" customHeight="1" spans="1:19">
      <c r="A3215" s="19" t="s">
        <v>12524</v>
      </c>
      <c r="B3215" s="20" t="s">
        <v>369</v>
      </c>
      <c r="C3215" s="20" t="s">
        <v>46</v>
      </c>
      <c r="D3215" s="20" t="s">
        <v>32</v>
      </c>
      <c r="E3215" s="21" t="s">
        <v>12525</v>
      </c>
      <c r="F3215" s="21" t="s">
        <v>12526</v>
      </c>
      <c r="G3215" s="20" t="s">
        <v>35</v>
      </c>
      <c r="H3215" s="20" t="s">
        <v>25</v>
      </c>
      <c r="I3215" s="21" t="s">
        <v>12527</v>
      </c>
      <c r="J3215" s="22">
        <f t="shared" si="250"/>
        <v>0.0124999999970896</v>
      </c>
      <c r="K3215" s="22">
        <f t="shared" si="251"/>
        <v>0.299999999930151</v>
      </c>
      <c r="L3215" s="22">
        <f t="shared" si="252"/>
        <v>0.299999999930151</v>
      </c>
      <c r="M3215" s="22" cm="1">
        <f ca="1" t="array" ref="M3215">SUMPRODUCT(--(WEEKDAY(ROW(INDIRECT(INT(F3215)&amp;":"&amp;INT(I3215))),2)&gt;5))</f>
        <v>0</v>
      </c>
      <c r="N3215" s="22">
        <f ca="1" t="shared" si="253"/>
        <v>0.299999999930151</v>
      </c>
      <c r="O3215" s="22" t="str">
        <f ca="1" t="shared" si="254"/>
        <v>Within SLA</v>
      </c>
      <c r="P3215" s="26" t="s">
        <v>12524</v>
      </c>
      <c r="Q3215" s="24" t="s">
        <v>37</v>
      </c>
      <c r="R3215" s="25"/>
      <c r="S3215" s="25"/>
    </row>
    <row r="3216" ht="39" customHeight="1" spans="1:19">
      <c r="A3216" s="19" t="s">
        <v>12528</v>
      </c>
      <c r="B3216" s="20" t="s">
        <v>196</v>
      </c>
      <c r="C3216" s="20" t="s">
        <v>12410</v>
      </c>
      <c r="D3216" s="20" t="s">
        <v>32</v>
      </c>
      <c r="E3216" s="21" t="s">
        <v>12529</v>
      </c>
      <c r="F3216" s="21" t="s">
        <v>12530</v>
      </c>
      <c r="G3216" s="20" t="s">
        <v>35</v>
      </c>
      <c r="H3216" s="20" t="s">
        <v>25</v>
      </c>
      <c r="I3216" s="21" t="s">
        <v>12531</v>
      </c>
      <c r="J3216" s="22">
        <f t="shared" si="250"/>
        <v>0.120138888887595</v>
      </c>
      <c r="K3216" s="22">
        <f t="shared" si="251"/>
        <v>2.88333333330229</v>
      </c>
      <c r="L3216" s="22">
        <f t="shared" si="252"/>
        <v>2.88333333330229</v>
      </c>
      <c r="M3216" s="22" cm="1">
        <f ca="1" t="array" ref="M3216">SUMPRODUCT(--(WEEKDAY(ROW(INDIRECT(INT(F3216)&amp;":"&amp;INT(I3216))),2)&gt;5))</f>
        <v>0</v>
      </c>
      <c r="N3216" s="22">
        <f ca="1" t="shared" si="253"/>
        <v>2.88333333330229</v>
      </c>
      <c r="O3216" s="22" t="str">
        <f ca="1" t="shared" si="254"/>
        <v>Within SLA</v>
      </c>
      <c r="P3216" s="26" t="s">
        <v>12528</v>
      </c>
      <c r="Q3216" s="24" t="s">
        <v>37</v>
      </c>
      <c r="R3216" s="25"/>
      <c r="S3216" s="25"/>
    </row>
    <row r="3217" ht="27" customHeight="1" spans="1:19">
      <c r="A3217" s="19" t="s">
        <v>12532</v>
      </c>
      <c r="B3217" s="20" t="s">
        <v>30</v>
      </c>
      <c r="C3217" s="20" t="s">
        <v>31</v>
      </c>
      <c r="D3217" s="20" t="s">
        <v>32</v>
      </c>
      <c r="E3217" s="21" t="s">
        <v>12533</v>
      </c>
      <c r="F3217" s="21" t="s">
        <v>10423</v>
      </c>
      <c r="G3217" s="20" t="s">
        <v>11229</v>
      </c>
      <c r="H3217" s="20" t="s">
        <v>25</v>
      </c>
      <c r="I3217" s="21" t="s">
        <v>12534</v>
      </c>
      <c r="J3217" s="22" t="e">
        <f t="shared" si="250"/>
        <v>#VALUE!</v>
      </c>
      <c r="K3217" s="22" t="e">
        <f t="shared" si="251"/>
        <v>#VALUE!</v>
      </c>
      <c r="L3217" s="22" t="e">
        <f t="shared" si="252"/>
        <v>#VALUE!</v>
      </c>
      <c r="M3217" s="22" t="e" cm="1">
        <f ca="1" t="array" ref="M3217">SUMPRODUCT(--(WEEKDAY(ROW(INDIRECT(INT(F3217)&amp;":"&amp;INT(I3217))),2)&gt;5))</f>
        <v>#VALUE!</v>
      </c>
      <c r="N3217" s="22" t="e">
        <f ca="1" t="shared" si="253"/>
        <v>#VALUE!</v>
      </c>
      <c r="O3217" s="22" t="e">
        <f ca="1" t="shared" si="254"/>
        <v>#VALUE!</v>
      </c>
      <c r="P3217" s="26" t="s">
        <v>12532</v>
      </c>
      <c r="Q3217" s="24" t="e">
        <v>#VALUE!</v>
      </c>
      <c r="R3217" s="25"/>
      <c r="S3217" s="25"/>
    </row>
    <row r="3218" ht="39" customHeight="1" spans="1:19">
      <c r="A3218" s="19" t="s">
        <v>12535</v>
      </c>
      <c r="B3218" s="20" t="s">
        <v>19</v>
      </c>
      <c r="C3218" s="20" t="s">
        <v>20</v>
      </c>
      <c r="D3218" s="20" t="s">
        <v>32</v>
      </c>
      <c r="E3218" s="21" t="s">
        <v>12536</v>
      </c>
      <c r="F3218" s="21" t="s">
        <v>12537</v>
      </c>
      <c r="G3218" s="20" t="s">
        <v>24</v>
      </c>
      <c r="H3218" s="20" t="s">
        <v>25</v>
      </c>
      <c r="I3218" s="21" t="s">
        <v>12538</v>
      </c>
      <c r="J3218" s="22">
        <f t="shared" si="250"/>
        <v>1.15902777777956</v>
      </c>
      <c r="K3218" s="22">
        <f t="shared" si="251"/>
        <v>27.8166666667094</v>
      </c>
      <c r="L3218" s="22">
        <f t="shared" si="252"/>
        <v>11.8166666667094</v>
      </c>
      <c r="M3218" s="22" cm="1">
        <f ca="1" t="array" ref="M3218">SUMPRODUCT(--(WEEKDAY(ROW(INDIRECT(INT(F3218)&amp;":"&amp;INT(I3218))),2)&gt;5))</f>
        <v>0</v>
      </c>
      <c r="N3218" s="22">
        <f ca="1" t="shared" si="253"/>
        <v>11.8166666667094</v>
      </c>
      <c r="O3218" s="22" t="str">
        <f ca="1" t="shared" si="254"/>
        <v>Within SLA</v>
      </c>
      <c r="P3218" s="26" t="s">
        <v>12535</v>
      </c>
      <c r="Q3218" s="24" t="s">
        <v>37</v>
      </c>
      <c r="R3218" s="25"/>
      <c r="S3218" s="25"/>
    </row>
    <row r="3219" ht="16" customHeight="1" spans="1:19">
      <c r="A3219" s="19" t="s">
        <v>12539</v>
      </c>
      <c r="B3219" s="20" t="s">
        <v>45</v>
      </c>
      <c r="C3219" s="20" t="s">
        <v>849</v>
      </c>
      <c r="D3219" s="20" t="s">
        <v>32</v>
      </c>
      <c r="E3219" s="21" t="s">
        <v>12540</v>
      </c>
      <c r="F3219" s="21" t="s">
        <v>12541</v>
      </c>
      <c r="G3219" s="20" t="s">
        <v>35</v>
      </c>
      <c r="H3219" s="20" t="s">
        <v>25</v>
      </c>
      <c r="I3219" s="21" t="s">
        <v>12542</v>
      </c>
      <c r="J3219" s="22">
        <f t="shared" si="250"/>
        <v>6.0041666666657</v>
      </c>
      <c r="K3219" s="22">
        <f t="shared" si="251"/>
        <v>144.099999999977</v>
      </c>
      <c r="L3219" s="22">
        <f t="shared" si="252"/>
        <v>48.0999999999767</v>
      </c>
      <c r="M3219" s="22" cm="1">
        <f ca="1" t="array" ref="M3219">SUMPRODUCT(--(WEEKDAY(ROW(INDIRECT(INT(F3219)&amp;":"&amp;INT(I3219))),2)&gt;5))</f>
        <v>2</v>
      </c>
      <c r="N3219" s="22">
        <f ca="1" t="shared" si="253"/>
        <v>32.0999999999767</v>
      </c>
      <c r="O3219" s="22" t="str">
        <f ca="1" t="shared" si="254"/>
        <v>SLA Violated</v>
      </c>
      <c r="P3219" s="23" t="s">
        <v>12543</v>
      </c>
      <c r="Q3219" s="24" t="s">
        <v>28</v>
      </c>
      <c r="R3219" s="25"/>
      <c r="S3219" s="25"/>
    </row>
    <row r="3220" ht="39" customHeight="1" spans="1:19">
      <c r="A3220" s="19" t="s">
        <v>12544</v>
      </c>
      <c r="B3220" s="20" t="s">
        <v>19</v>
      </c>
      <c r="C3220" s="20" t="s">
        <v>20</v>
      </c>
      <c r="D3220" s="20" t="s">
        <v>32</v>
      </c>
      <c r="E3220" s="21" t="s">
        <v>12545</v>
      </c>
      <c r="F3220" s="21" t="s">
        <v>12546</v>
      </c>
      <c r="G3220" s="20" t="s">
        <v>35</v>
      </c>
      <c r="H3220" s="20" t="s">
        <v>25</v>
      </c>
      <c r="I3220" s="21" t="s">
        <v>12547</v>
      </c>
      <c r="J3220" s="22">
        <f t="shared" si="250"/>
        <v>0.0138888888832298</v>
      </c>
      <c r="K3220" s="22">
        <f t="shared" si="251"/>
        <v>0.333333333197515</v>
      </c>
      <c r="L3220" s="22">
        <f t="shared" si="252"/>
        <v>0.333333333197515</v>
      </c>
      <c r="M3220" s="22" cm="1">
        <f ca="1" t="array" ref="M3220">SUMPRODUCT(--(WEEKDAY(ROW(INDIRECT(INT(F3220)&amp;":"&amp;INT(I3220))),2)&gt;5))</f>
        <v>0</v>
      </c>
      <c r="N3220" s="22">
        <f ca="1" t="shared" si="253"/>
        <v>0.333333333197515</v>
      </c>
      <c r="O3220" s="22" t="str">
        <f ca="1" t="shared" si="254"/>
        <v>Within SLA</v>
      </c>
      <c r="P3220" s="26" t="s">
        <v>12544</v>
      </c>
      <c r="Q3220" s="24" t="s">
        <v>37</v>
      </c>
      <c r="R3220" s="25"/>
      <c r="S3220" s="25"/>
    </row>
    <row r="3221" ht="39" customHeight="1" spans="1:19">
      <c r="A3221" s="19" t="s">
        <v>12548</v>
      </c>
      <c r="B3221" s="20" t="s">
        <v>19</v>
      </c>
      <c r="C3221" s="20" t="s">
        <v>20</v>
      </c>
      <c r="D3221" s="20" t="s">
        <v>32</v>
      </c>
      <c r="E3221" s="21" t="s">
        <v>12549</v>
      </c>
      <c r="F3221" s="21" t="s">
        <v>12550</v>
      </c>
      <c r="G3221" s="20" t="s">
        <v>35</v>
      </c>
      <c r="H3221" s="20" t="s">
        <v>25</v>
      </c>
      <c r="I3221" s="21" t="s">
        <v>12551</v>
      </c>
      <c r="J3221" s="22">
        <f t="shared" si="250"/>
        <v>0.0124999999970896</v>
      </c>
      <c r="K3221" s="22">
        <f t="shared" si="251"/>
        <v>0.299999999930151</v>
      </c>
      <c r="L3221" s="22">
        <f t="shared" si="252"/>
        <v>0.299999999930151</v>
      </c>
      <c r="M3221" s="22" cm="1">
        <f ca="1" t="array" ref="M3221">SUMPRODUCT(--(WEEKDAY(ROW(INDIRECT(INT(F3221)&amp;":"&amp;INT(I3221))),2)&gt;5))</f>
        <v>0</v>
      </c>
      <c r="N3221" s="22">
        <f ca="1" t="shared" si="253"/>
        <v>0.299999999930151</v>
      </c>
      <c r="O3221" s="22" t="str">
        <f ca="1" t="shared" si="254"/>
        <v>Within SLA</v>
      </c>
      <c r="P3221" s="26" t="s">
        <v>12548</v>
      </c>
      <c r="Q3221" s="24" t="s">
        <v>37</v>
      </c>
      <c r="R3221" s="25"/>
      <c r="S3221" s="25"/>
    </row>
    <row r="3222" ht="27" customHeight="1" spans="1:19">
      <c r="A3222" s="19" t="s">
        <v>12552</v>
      </c>
      <c r="B3222" s="20" t="s">
        <v>30</v>
      </c>
      <c r="C3222" s="20" t="s">
        <v>31</v>
      </c>
      <c r="D3222" s="20" t="s">
        <v>21</v>
      </c>
      <c r="E3222" s="21" t="s">
        <v>12553</v>
      </c>
      <c r="F3222" s="21" t="s">
        <v>12554</v>
      </c>
      <c r="G3222" s="20" t="s">
        <v>35</v>
      </c>
      <c r="H3222" s="20" t="s">
        <v>25</v>
      </c>
      <c r="I3222" s="21" t="s">
        <v>12555</v>
      </c>
      <c r="J3222" s="22">
        <f t="shared" si="250"/>
        <v>10.8951388888891</v>
      </c>
      <c r="K3222" s="22">
        <f t="shared" si="251"/>
        <v>261.483333333337</v>
      </c>
      <c r="L3222" s="22">
        <f t="shared" si="252"/>
        <v>85.4833333333372</v>
      </c>
      <c r="M3222" s="22" cm="1">
        <f ca="1" t="array" ref="M3222">SUMPRODUCT(--(WEEKDAY(ROW(INDIRECT(INT(F3222)&amp;":"&amp;INT(I3222))),2)&gt;5))</f>
        <v>4</v>
      </c>
      <c r="N3222" s="22">
        <f ca="1" t="shared" si="253"/>
        <v>53.4833333333372</v>
      </c>
      <c r="O3222" s="22" t="str">
        <f ca="1" t="shared" si="254"/>
        <v>SLA Violated</v>
      </c>
      <c r="P3222" s="23" t="s">
        <v>12556</v>
      </c>
      <c r="Q3222" s="24" t="s">
        <v>28</v>
      </c>
      <c r="R3222" s="25"/>
      <c r="S3222" s="25"/>
    </row>
    <row r="3223" ht="39" customHeight="1" spans="1:19">
      <c r="A3223" s="19" t="s">
        <v>12557</v>
      </c>
      <c r="B3223" s="20" t="s">
        <v>19</v>
      </c>
      <c r="C3223" s="20" t="s">
        <v>20</v>
      </c>
      <c r="D3223" s="20" t="s">
        <v>32</v>
      </c>
      <c r="E3223" s="21" t="s">
        <v>12558</v>
      </c>
      <c r="F3223" s="21" t="s">
        <v>12559</v>
      </c>
      <c r="G3223" s="20" t="s">
        <v>35</v>
      </c>
      <c r="H3223" s="20" t="s">
        <v>25</v>
      </c>
      <c r="I3223" s="21" t="s">
        <v>12560</v>
      </c>
      <c r="J3223" s="22">
        <f t="shared" si="250"/>
        <v>-2.7006944444438</v>
      </c>
      <c r="K3223" s="22">
        <f t="shared" si="251"/>
        <v>-64.8166666666511</v>
      </c>
      <c r="L3223" s="22">
        <f t="shared" si="252"/>
        <v>-64.8166666666511</v>
      </c>
      <c r="M3223" s="22" cm="1">
        <f ca="1" t="array" ref="M3223">SUMPRODUCT(--(WEEKDAY(ROW(INDIRECT(INT(F3223)&amp;":"&amp;INT(I3223))),2)&gt;5))</f>
        <v>2</v>
      </c>
      <c r="N3223" s="22">
        <f ca="1" t="shared" si="253"/>
        <v>0</v>
      </c>
      <c r="O3223" s="22" t="str">
        <f ca="1" t="shared" si="254"/>
        <v>Within SLA</v>
      </c>
      <c r="P3223" s="26" t="s">
        <v>12557</v>
      </c>
      <c r="Q3223" s="24" t="s">
        <v>37</v>
      </c>
      <c r="R3223" s="25"/>
      <c r="S3223" s="25"/>
    </row>
    <row r="3224" ht="39" customHeight="1" spans="1:19">
      <c r="A3224" s="19" t="s">
        <v>12561</v>
      </c>
      <c r="B3224" s="20" t="s">
        <v>19</v>
      </c>
      <c r="C3224" s="20" t="s">
        <v>863</v>
      </c>
      <c r="D3224" s="20" t="s">
        <v>32</v>
      </c>
      <c r="E3224" s="21" t="s">
        <v>12530</v>
      </c>
      <c r="F3224" s="21" t="s">
        <v>12562</v>
      </c>
      <c r="G3224" s="20" t="s">
        <v>35</v>
      </c>
      <c r="H3224" s="20" t="s">
        <v>25</v>
      </c>
      <c r="I3224" s="21" t="s">
        <v>12563</v>
      </c>
      <c r="J3224" s="22">
        <f t="shared" si="250"/>
        <v>0.0250000000014552</v>
      </c>
      <c r="K3224" s="22">
        <f t="shared" si="251"/>
        <v>0.600000000034925</v>
      </c>
      <c r="L3224" s="22">
        <f t="shared" si="252"/>
        <v>0.600000000034925</v>
      </c>
      <c r="M3224" s="22" cm="1">
        <f ca="1" t="array" ref="M3224">SUMPRODUCT(--(WEEKDAY(ROW(INDIRECT(INT(F3224)&amp;":"&amp;INT(I3224))),2)&gt;5))</f>
        <v>0</v>
      </c>
      <c r="N3224" s="22">
        <f ca="1" t="shared" si="253"/>
        <v>0.600000000034925</v>
      </c>
      <c r="O3224" s="22" t="str">
        <f ca="1" t="shared" si="254"/>
        <v>Within SLA</v>
      </c>
      <c r="P3224" s="26" t="s">
        <v>12561</v>
      </c>
      <c r="Q3224" s="24" t="s">
        <v>37</v>
      </c>
      <c r="R3224" s="25"/>
      <c r="S3224" s="25"/>
    </row>
    <row r="3225" ht="50" customHeight="1" spans="1:19">
      <c r="A3225" s="19" t="s">
        <v>12564</v>
      </c>
      <c r="B3225" s="20" t="s">
        <v>369</v>
      </c>
      <c r="C3225" s="20" t="s">
        <v>101</v>
      </c>
      <c r="D3225" s="20" t="s">
        <v>32</v>
      </c>
      <c r="E3225" s="21" t="s">
        <v>12565</v>
      </c>
      <c r="F3225" s="21" t="s">
        <v>12566</v>
      </c>
      <c r="G3225" s="20" t="s">
        <v>35</v>
      </c>
      <c r="H3225" s="20" t="s">
        <v>25</v>
      </c>
      <c r="I3225" s="21" t="s">
        <v>12567</v>
      </c>
      <c r="J3225" s="22">
        <f t="shared" si="250"/>
        <v>2.9423611111124</v>
      </c>
      <c r="K3225" s="22">
        <f t="shared" si="251"/>
        <v>70.6166666666977</v>
      </c>
      <c r="L3225" s="22">
        <f t="shared" si="252"/>
        <v>22.6166666666977</v>
      </c>
      <c r="M3225" s="22" cm="1">
        <f ca="1" t="array" ref="M3225">SUMPRODUCT(--(WEEKDAY(ROW(INDIRECT(INT(F3225)&amp;":"&amp;INT(I3225))),2)&gt;5))</f>
        <v>2</v>
      </c>
      <c r="N3225" s="22">
        <f ca="1" t="shared" si="253"/>
        <v>6.6166666666977</v>
      </c>
      <c r="O3225" s="22" t="str">
        <f ca="1" t="shared" si="254"/>
        <v>Within SLA</v>
      </c>
      <c r="P3225" s="26" t="s">
        <v>12564</v>
      </c>
      <c r="Q3225" s="24" t="s">
        <v>37</v>
      </c>
      <c r="R3225" s="25"/>
      <c r="S3225" s="25"/>
    </row>
    <row r="3226" ht="39" customHeight="1" spans="1:19">
      <c r="A3226" s="19" t="s">
        <v>12568</v>
      </c>
      <c r="B3226" s="20" t="s">
        <v>19</v>
      </c>
      <c r="C3226" s="20" t="s">
        <v>20</v>
      </c>
      <c r="D3226" s="20" t="s">
        <v>105</v>
      </c>
      <c r="E3226" s="21" t="s">
        <v>12565</v>
      </c>
      <c r="F3226" s="21" t="s">
        <v>12569</v>
      </c>
      <c r="G3226" s="20" t="s">
        <v>35</v>
      </c>
      <c r="H3226" s="20" t="s">
        <v>25</v>
      </c>
      <c r="I3226" s="21" t="s">
        <v>12570</v>
      </c>
      <c r="J3226" s="22">
        <f t="shared" si="250"/>
        <v>7.34097222222044</v>
      </c>
      <c r="K3226" s="22">
        <f t="shared" si="251"/>
        <v>176.183333333291</v>
      </c>
      <c r="L3226" s="22">
        <f t="shared" si="252"/>
        <v>64.1833333332906</v>
      </c>
      <c r="M3226" s="22" cm="1">
        <f ca="1" t="array" ref="M3226">SUMPRODUCT(--(WEEKDAY(ROW(INDIRECT(INT(F3226)&amp;":"&amp;INT(I3226))),2)&gt;5))</f>
        <v>2</v>
      </c>
      <c r="N3226" s="22">
        <f ca="1" t="shared" si="253"/>
        <v>48.1833333332906</v>
      </c>
      <c r="O3226" s="22" t="str">
        <f ca="1" t="shared" si="254"/>
        <v>SLA Violated</v>
      </c>
      <c r="P3226" s="23" t="s">
        <v>12571</v>
      </c>
      <c r="Q3226" s="24" t="s">
        <v>28</v>
      </c>
      <c r="R3226" s="25"/>
      <c r="S3226" s="25"/>
    </row>
    <row r="3227" ht="16" customHeight="1" spans="1:19">
      <c r="A3227" s="19" t="s">
        <v>12572</v>
      </c>
      <c r="B3227" s="20" t="s">
        <v>100</v>
      </c>
      <c r="C3227" s="20" t="s">
        <v>101</v>
      </c>
      <c r="D3227" s="20" t="s">
        <v>32</v>
      </c>
      <c r="E3227" s="21" t="s">
        <v>12573</v>
      </c>
      <c r="F3227" s="21" t="s">
        <v>12574</v>
      </c>
      <c r="G3227" s="20" t="s">
        <v>35</v>
      </c>
      <c r="H3227" s="20" t="s">
        <v>25</v>
      </c>
      <c r="I3227" s="21" t="s">
        <v>12575</v>
      </c>
      <c r="J3227" s="22">
        <f t="shared" si="250"/>
        <v>2.9638888888876</v>
      </c>
      <c r="K3227" s="22">
        <f t="shared" si="251"/>
        <v>71.1333333333023</v>
      </c>
      <c r="L3227" s="22">
        <f t="shared" si="252"/>
        <v>23.1333333333023</v>
      </c>
      <c r="M3227" s="22" cm="1">
        <f ca="1" t="array" ref="M3227">SUMPRODUCT(--(WEEKDAY(ROW(INDIRECT(INT(F3227)&amp;":"&amp;INT(I3227))),2)&gt;5))</f>
        <v>2</v>
      </c>
      <c r="N3227" s="22">
        <f ca="1" t="shared" si="253"/>
        <v>7.1333333333023</v>
      </c>
      <c r="O3227" s="22" t="str">
        <f ca="1" t="shared" si="254"/>
        <v>Within SLA</v>
      </c>
      <c r="P3227" s="26" t="s">
        <v>12572</v>
      </c>
      <c r="Q3227" s="24" t="s">
        <v>37</v>
      </c>
      <c r="R3227" s="25"/>
      <c r="S3227" s="25"/>
    </row>
    <row r="3228" ht="39" customHeight="1" spans="1:19">
      <c r="A3228" s="19" t="s">
        <v>12576</v>
      </c>
      <c r="B3228" s="20" t="s">
        <v>19</v>
      </c>
      <c r="C3228" s="20" t="s">
        <v>20</v>
      </c>
      <c r="D3228" s="20" t="s">
        <v>32</v>
      </c>
      <c r="E3228" s="21" t="s">
        <v>12577</v>
      </c>
      <c r="F3228" s="21" t="s">
        <v>23</v>
      </c>
      <c r="G3228" s="20" t="s">
        <v>24</v>
      </c>
      <c r="H3228" s="20" t="s">
        <v>25</v>
      </c>
      <c r="I3228" s="21" t="s">
        <v>12578</v>
      </c>
      <c r="J3228" s="22">
        <f t="shared" si="250"/>
        <v>0.918055555557657</v>
      </c>
      <c r="K3228" s="22">
        <f t="shared" si="251"/>
        <v>22.0333333333838</v>
      </c>
      <c r="L3228" s="22">
        <f t="shared" si="252"/>
        <v>6.03333333338378</v>
      </c>
      <c r="M3228" s="22" cm="1">
        <f ca="1" t="array" ref="M3228">SUMPRODUCT(--(WEEKDAY(ROW(INDIRECT(INT(F3228)&amp;":"&amp;INT(I3228))),2)&gt;5))</f>
        <v>0</v>
      </c>
      <c r="N3228" s="22">
        <f ca="1" t="shared" si="253"/>
        <v>6.03333333338378</v>
      </c>
      <c r="O3228" s="22" t="str">
        <f ca="1" t="shared" si="254"/>
        <v>Within SLA</v>
      </c>
      <c r="P3228" s="26" t="s">
        <v>12576</v>
      </c>
      <c r="Q3228" s="24" t="s">
        <v>37</v>
      </c>
      <c r="R3228" s="25"/>
      <c r="S3228" s="25"/>
    </row>
    <row r="3229" ht="39" customHeight="1" spans="1:19">
      <c r="A3229" s="19" t="s">
        <v>12579</v>
      </c>
      <c r="B3229" s="20" t="s">
        <v>725</v>
      </c>
      <c r="C3229" s="20" t="s">
        <v>101</v>
      </c>
      <c r="D3229" s="20" t="s">
        <v>32</v>
      </c>
      <c r="E3229" s="21" t="s">
        <v>12577</v>
      </c>
      <c r="F3229" s="21" t="s">
        <v>12580</v>
      </c>
      <c r="G3229" s="20" t="s">
        <v>24</v>
      </c>
      <c r="H3229" s="20" t="s">
        <v>25</v>
      </c>
      <c r="I3229" s="21" t="s">
        <v>12581</v>
      </c>
      <c r="J3229" s="22">
        <f t="shared" si="250"/>
        <v>0.346527777779556</v>
      </c>
      <c r="K3229" s="22">
        <f t="shared" si="251"/>
        <v>8.31666666670935</v>
      </c>
      <c r="L3229" s="22">
        <f t="shared" si="252"/>
        <v>-7.68333333329065</v>
      </c>
      <c r="M3229" s="22" cm="1">
        <f ca="1" t="array" ref="M3229">SUMPRODUCT(--(WEEKDAY(ROW(INDIRECT(INT(F3229)&amp;":"&amp;INT(I3229))),2)&gt;5))</f>
        <v>1</v>
      </c>
      <c r="N3229" s="22">
        <f ca="1" t="shared" si="253"/>
        <v>0</v>
      </c>
      <c r="O3229" s="22" t="str">
        <f ca="1" t="shared" si="254"/>
        <v>Within SLA</v>
      </c>
      <c r="P3229" s="26" t="s">
        <v>12579</v>
      </c>
      <c r="Q3229" s="24" t="s">
        <v>37</v>
      </c>
      <c r="R3229" s="25"/>
      <c r="S3229" s="25"/>
    </row>
    <row r="3230" ht="39" customHeight="1" spans="1:19">
      <c r="A3230" s="19" t="s">
        <v>12582</v>
      </c>
      <c r="B3230" s="20" t="s">
        <v>196</v>
      </c>
      <c r="C3230" s="20" t="s">
        <v>12410</v>
      </c>
      <c r="D3230" s="20" t="s">
        <v>32</v>
      </c>
      <c r="E3230" s="21" t="s">
        <v>12583</v>
      </c>
      <c r="F3230" s="21" t="s">
        <v>12584</v>
      </c>
      <c r="G3230" s="20" t="s">
        <v>35</v>
      </c>
      <c r="H3230" s="20" t="s">
        <v>25</v>
      </c>
      <c r="I3230" s="21" t="s">
        <v>12570</v>
      </c>
      <c r="J3230" s="22">
        <f t="shared" si="250"/>
        <v>0.070138888884685</v>
      </c>
      <c r="K3230" s="22">
        <f t="shared" si="251"/>
        <v>1.68333333323244</v>
      </c>
      <c r="L3230" s="22">
        <f t="shared" si="252"/>
        <v>1.68333333323244</v>
      </c>
      <c r="M3230" s="22" cm="1">
        <f ca="1" t="array" ref="M3230">SUMPRODUCT(--(WEEKDAY(ROW(INDIRECT(INT(F3230)&amp;":"&amp;INT(I3230))),2)&gt;5))</f>
        <v>0</v>
      </c>
      <c r="N3230" s="22">
        <f ca="1" t="shared" si="253"/>
        <v>1.68333333323244</v>
      </c>
      <c r="O3230" s="22" t="str">
        <f ca="1" t="shared" si="254"/>
        <v>Within SLA</v>
      </c>
      <c r="P3230" s="26" t="s">
        <v>12582</v>
      </c>
      <c r="Q3230" s="24" t="s">
        <v>37</v>
      </c>
      <c r="R3230" s="25"/>
      <c r="S3230" s="25"/>
    </row>
    <row r="3231" ht="39" customHeight="1" spans="1:19">
      <c r="A3231" s="19" t="s">
        <v>12585</v>
      </c>
      <c r="B3231" s="20" t="s">
        <v>19</v>
      </c>
      <c r="C3231" s="20" t="s">
        <v>20</v>
      </c>
      <c r="D3231" s="20" t="s">
        <v>32</v>
      </c>
      <c r="E3231" s="21" t="s">
        <v>12586</v>
      </c>
      <c r="F3231" s="21" t="s">
        <v>12587</v>
      </c>
      <c r="G3231" s="20" t="s">
        <v>35</v>
      </c>
      <c r="H3231" s="20" t="s">
        <v>25</v>
      </c>
      <c r="I3231" s="21" t="s">
        <v>12588</v>
      </c>
      <c r="J3231" s="22">
        <f t="shared" si="250"/>
        <v>1.22361111110513</v>
      </c>
      <c r="K3231" s="22">
        <f t="shared" si="251"/>
        <v>29.3666666665231</v>
      </c>
      <c r="L3231" s="22">
        <f t="shared" si="252"/>
        <v>13.3666666665231</v>
      </c>
      <c r="M3231" s="22" cm="1">
        <f ca="1" t="array" ref="M3231">SUMPRODUCT(--(WEEKDAY(ROW(INDIRECT(INT(F3231)&amp;":"&amp;INT(I3231))),2)&gt;5))</f>
        <v>0</v>
      </c>
      <c r="N3231" s="22">
        <f ca="1" t="shared" si="253"/>
        <v>13.3666666665231</v>
      </c>
      <c r="O3231" s="22" t="str">
        <f ca="1" t="shared" si="254"/>
        <v>SLA Violated</v>
      </c>
      <c r="P3231" s="23" t="s">
        <v>12589</v>
      </c>
      <c r="Q3231" s="24" t="s">
        <v>28</v>
      </c>
      <c r="R3231" s="25"/>
      <c r="S3231" s="25"/>
    </row>
    <row r="3232" ht="39" customHeight="1" spans="1:19">
      <c r="A3232" s="19" t="s">
        <v>12590</v>
      </c>
      <c r="B3232" s="20" t="s">
        <v>19</v>
      </c>
      <c r="C3232" s="20" t="s">
        <v>20</v>
      </c>
      <c r="D3232" s="20" t="s">
        <v>32</v>
      </c>
      <c r="E3232" s="21" t="s">
        <v>12591</v>
      </c>
      <c r="F3232" s="21" t="s">
        <v>12592</v>
      </c>
      <c r="G3232" s="20" t="s">
        <v>35</v>
      </c>
      <c r="H3232" s="20" t="s">
        <v>25</v>
      </c>
      <c r="I3232" s="21" t="s">
        <v>12593</v>
      </c>
      <c r="J3232" s="22">
        <f t="shared" si="250"/>
        <v>0.000694444439432118</v>
      </c>
      <c r="K3232" s="22">
        <f t="shared" si="251"/>
        <v>0.0166666665463708</v>
      </c>
      <c r="L3232" s="22">
        <f t="shared" si="252"/>
        <v>0.0166666665463708</v>
      </c>
      <c r="M3232" s="22" cm="1">
        <f ca="1" t="array" ref="M3232">SUMPRODUCT(--(WEEKDAY(ROW(INDIRECT(INT(F3232)&amp;":"&amp;INT(I3232))),2)&gt;5))</f>
        <v>0</v>
      </c>
      <c r="N3232" s="22">
        <f ca="1" t="shared" si="253"/>
        <v>0.0166666665463708</v>
      </c>
      <c r="O3232" s="22" t="str">
        <f ca="1" t="shared" si="254"/>
        <v>Within SLA</v>
      </c>
      <c r="P3232" s="26" t="s">
        <v>12590</v>
      </c>
      <c r="Q3232" s="24" t="s">
        <v>37</v>
      </c>
      <c r="R3232" s="25"/>
      <c r="S3232" s="25"/>
    </row>
    <row r="3233" ht="16" customHeight="1" spans="1:19">
      <c r="A3233" s="19" t="s">
        <v>12594</v>
      </c>
      <c r="B3233" s="20" t="s">
        <v>100</v>
      </c>
      <c r="C3233" s="20" t="s">
        <v>101</v>
      </c>
      <c r="D3233" s="20" t="s">
        <v>32</v>
      </c>
      <c r="E3233" s="21" t="s">
        <v>12595</v>
      </c>
      <c r="F3233" s="21" t="s">
        <v>12596</v>
      </c>
      <c r="G3233" s="20" t="s">
        <v>35</v>
      </c>
      <c r="H3233" s="20" t="s">
        <v>25</v>
      </c>
      <c r="I3233" s="21" t="s">
        <v>12597</v>
      </c>
      <c r="J3233" s="22">
        <f t="shared" si="250"/>
        <v>1.26944444444962</v>
      </c>
      <c r="K3233" s="22">
        <f t="shared" si="251"/>
        <v>30.4666666667908</v>
      </c>
      <c r="L3233" s="22">
        <f t="shared" si="252"/>
        <v>14.4666666667908</v>
      </c>
      <c r="M3233" s="22" cm="1">
        <f ca="1" t="array" ref="M3233">SUMPRODUCT(--(WEEKDAY(ROW(INDIRECT(INT(F3233)&amp;":"&amp;INT(I3233))),2)&gt;5))</f>
        <v>0</v>
      </c>
      <c r="N3233" s="22">
        <f ca="1" t="shared" si="253"/>
        <v>14.4666666667908</v>
      </c>
      <c r="O3233" s="22" t="str">
        <f ca="1" t="shared" si="254"/>
        <v>SLA Violated</v>
      </c>
      <c r="P3233" s="23" t="s">
        <v>12598</v>
      </c>
      <c r="Q3233" s="24" t="s">
        <v>37</v>
      </c>
      <c r="R3233" s="25" t="s">
        <v>3769</v>
      </c>
      <c r="S3233" s="25" t="s">
        <v>39</v>
      </c>
    </row>
    <row r="3234" ht="27" customHeight="1" spans="1:19">
      <c r="A3234" s="19" t="s">
        <v>12599</v>
      </c>
      <c r="B3234" s="20" t="s">
        <v>30</v>
      </c>
      <c r="C3234" s="20" t="s">
        <v>101</v>
      </c>
      <c r="D3234" s="20" t="s">
        <v>32</v>
      </c>
      <c r="E3234" s="21" t="s">
        <v>12600</v>
      </c>
      <c r="F3234" s="21" t="s">
        <v>12601</v>
      </c>
      <c r="G3234" s="20" t="s">
        <v>35</v>
      </c>
      <c r="H3234" s="20" t="s">
        <v>25</v>
      </c>
      <c r="I3234" s="21" t="s">
        <v>12602</v>
      </c>
      <c r="J3234" s="22">
        <f t="shared" si="250"/>
        <v>0.00902777777810115</v>
      </c>
      <c r="K3234" s="22">
        <f t="shared" si="251"/>
        <v>0.216666666674428</v>
      </c>
      <c r="L3234" s="22">
        <f t="shared" si="252"/>
        <v>0.216666666674428</v>
      </c>
      <c r="M3234" s="22" cm="1">
        <f ca="1" t="array" ref="M3234">SUMPRODUCT(--(WEEKDAY(ROW(INDIRECT(INT(F3234)&amp;":"&amp;INT(I3234))),2)&gt;5))</f>
        <v>0</v>
      </c>
      <c r="N3234" s="22">
        <f ca="1" t="shared" si="253"/>
        <v>0.216666666674428</v>
      </c>
      <c r="O3234" s="22" t="str">
        <f ca="1" t="shared" si="254"/>
        <v>Within SLA</v>
      </c>
      <c r="P3234" s="26" t="s">
        <v>12599</v>
      </c>
      <c r="Q3234" s="24" t="s">
        <v>37</v>
      </c>
      <c r="R3234" s="25"/>
      <c r="S3234" s="25"/>
    </row>
    <row r="3235" ht="27" customHeight="1" spans="1:19">
      <c r="A3235" s="19" t="s">
        <v>12603</v>
      </c>
      <c r="B3235" s="20" t="s">
        <v>121</v>
      </c>
      <c r="C3235" s="20" t="s">
        <v>46</v>
      </c>
      <c r="D3235" s="20" t="s">
        <v>21</v>
      </c>
      <c r="E3235" s="21" t="s">
        <v>12604</v>
      </c>
      <c r="F3235" s="21" t="s">
        <v>12605</v>
      </c>
      <c r="G3235" s="20" t="s">
        <v>35</v>
      </c>
      <c r="H3235" s="20" t="s">
        <v>25</v>
      </c>
      <c r="I3235" s="21" t="s">
        <v>12606</v>
      </c>
      <c r="J3235" s="22">
        <f t="shared" si="250"/>
        <v>0.023611111108039</v>
      </c>
      <c r="K3235" s="22">
        <f t="shared" si="251"/>
        <v>0.566666666592937</v>
      </c>
      <c r="L3235" s="22">
        <f t="shared" si="252"/>
        <v>0.566666666592937</v>
      </c>
      <c r="M3235" s="22" cm="1">
        <f ca="1" t="array" ref="M3235">SUMPRODUCT(--(WEEKDAY(ROW(INDIRECT(INT(F3235)&amp;":"&amp;INT(I3235))),2)&gt;5))</f>
        <v>0</v>
      </c>
      <c r="N3235" s="22">
        <f ca="1" t="shared" si="253"/>
        <v>0.566666666592937</v>
      </c>
      <c r="O3235" s="22" t="str">
        <f ca="1" t="shared" si="254"/>
        <v>Within SLA</v>
      </c>
      <c r="P3235" s="26" t="s">
        <v>12603</v>
      </c>
      <c r="Q3235" s="24" t="s">
        <v>37</v>
      </c>
      <c r="R3235" s="25"/>
      <c r="S3235" s="25"/>
    </row>
    <row r="3236" ht="39" customHeight="1" spans="1:19">
      <c r="A3236" s="19" t="s">
        <v>12607</v>
      </c>
      <c r="B3236" s="20" t="s">
        <v>19</v>
      </c>
      <c r="C3236" s="20" t="s">
        <v>20</v>
      </c>
      <c r="D3236" s="20" t="s">
        <v>32</v>
      </c>
      <c r="E3236" s="21" t="s">
        <v>12608</v>
      </c>
      <c r="F3236" s="21" t="s">
        <v>12609</v>
      </c>
      <c r="G3236" s="20" t="s">
        <v>35</v>
      </c>
      <c r="H3236" s="20" t="s">
        <v>25</v>
      </c>
      <c r="I3236" s="21" t="s">
        <v>12610</v>
      </c>
      <c r="J3236" s="22">
        <f t="shared" si="250"/>
        <v>0.202083333337214</v>
      </c>
      <c r="K3236" s="22">
        <f t="shared" si="251"/>
        <v>4.85000000009313</v>
      </c>
      <c r="L3236" s="22">
        <f t="shared" si="252"/>
        <v>4.85000000009313</v>
      </c>
      <c r="M3236" s="22" cm="1">
        <f ca="1" t="array" ref="M3236">SUMPRODUCT(--(WEEKDAY(ROW(INDIRECT(INT(F3236)&amp;":"&amp;INT(I3236))),2)&gt;5))</f>
        <v>0</v>
      </c>
      <c r="N3236" s="22">
        <f ca="1" t="shared" si="253"/>
        <v>4.85000000009313</v>
      </c>
      <c r="O3236" s="22" t="str">
        <f ca="1" t="shared" si="254"/>
        <v>Within SLA</v>
      </c>
      <c r="P3236" s="26" t="s">
        <v>12607</v>
      </c>
      <c r="Q3236" s="24" t="s">
        <v>37</v>
      </c>
      <c r="R3236" s="25"/>
      <c r="S3236" s="25"/>
    </row>
    <row r="3237" ht="39" customHeight="1" spans="1:19">
      <c r="A3237" s="19" t="s">
        <v>12611</v>
      </c>
      <c r="B3237" s="20" t="s">
        <v>19</v>
      </c>
      <c r="C3237" s="20" t="s">
        <v>20</v>
      </c>
      <c r="D3237" s="20" t="s">
        <v>32</v>
      </c>
      <c r="E3237" s="21" t="s">
        <v>12610</v>
      </c>
      <c r="F3237" s="21" t="s">
        <v>12612</v>
      </c>
      <c r="G3237" s="20" t="s">
        <v>35</v>
      </c>
      <c r="H3237" s="20" t="s">
        <v>25</v>
      </c>
      <c r="I3237" s="21" t="s">
        <v>12613</v>
      </c>
      <c r="J3237" s="22">
        <f t="shared" si="250"/>
        <v>2.00624999999854</v>
      </c>
      <c r="K3237" s="22">
        <f t="shared" si="251"/>
        <v>48.1499999999651</v>
      </c>
      <c r="L3237" s="22">
        <f t="shared" si="252"/>
        <v>16.1499999999651</v>
      </c>
      <c r="M3237" s="22" cm="1">
        <f ca="1" t="array" ref="M3237">SUMPRODUCT(--(WEEKDAY(ROW(INDIRECT(INT(F3237)&amp;":"&amp;INT(I3237))),2)&gt;5))</f>
        <v>0</v>
      </c>
      <c r="N3237" s="22">
        <f ca="1" t="shared" si="253"/>
        <v>16.1499999999651</v>
      </c>
      <c r="O3237" s="22" t="str">
        <f ca="1" t="shared" si="254"/>
        <v>SLA Violated</v>
      </c>
      <c r="P3237" s="23" t="s">
        <v>12614</v>
      </c>
      <c r="Q3237" s="24" t="s">
        <v>37</v>
      </c>
      <c r="R3237" s="25" t="s">
        <v>38</v>
      </c>
      <c r="S3237" s="25" t="s">
        <v>39</v>
      </c>
    </row>
    <row r="3238" ht="27" customHeight="1" spans="1:19">
      <c r="A3238" s="19" t="s">
        <v>12615</v>
      </c>
      <c r="B3238" s="20" t="s">
        <v>121</v>
      </c>
      <c r="C3238" s="20" t="s">
        <v>46</v>
      </c>
      <c r="D3238" s="20" t="s">
        <v>21</v>
      </c>
      <c r="E3238" s="21" t="s">
        <v>12616</v>
      </c>
      <c r="F3238" s="21" t="s">
        <v>12617</v>
      </c>
      <c r="G3238" s="20" t="s">
        <v>35</v>
      </c>
      <c r="H3238" s="20" t="s">
        <v>25</v>
      </c>
      <c r="I3238" s="21" t="s">
        <v>12618</v>
      </c>
      <c r="J3238" s="22">
        <f t="shared" si="250"/>
        <v>0.0416666666642413</v>
      </c>
      <c r="K3238" s="22">
        <f t="shared" si="251"/>
        <v>0.999999999941792</v>
      </c>
      <c r="L3238" s="22">
        <f t="shared" si="252"/>
        <v>0.999999999941792</v>
      </c>
      <c r="M3238" s="22" cm="1">
        <f ca="1" t="array" ref="M3238">SUMPRODUCT(--(WEEKDAY(ROW(INDIRECT(INT(F3238)&amp;":"&amp;INT(I3238))),2)&gt;5))</f>
        <v>0</v>
      </c>
      <c r="N3238" s="22">
        <f ca="1" t="shared" si="253"/>
        <v>0.999999999941792</v>
      </c>
      <c r="O3238" s="22" t="str">
        <f ca="1" t="shared" si="254"/>
        <v>Within SLA</v>
      </c>
      <c r="P3238" s="26" t="s">
        <v>12615</v>
      </c>
      <c r="Q3238" s="24" t="s">
        <v>37</v>
      </c>
      <c r="R3238" s="25"/>
      <c r="S3238" s="25"/>
    </row>
    <row r="3239" ht="39" customHeight="1" spans="1:19">
      <c r="A3239" s="19" t="s">
        <v>12619</v>
      </c>
      <c r="B3239" s="20" t="s">
        <v>19</v>
      </c>
      <c r="C3239" s="20" t="s">
        <v>20</v>
      </c>
      <c r="D3239" s="20" t="s">
        <v>32</v>
      </c>
      <c r="E3239" s="21" t="s">
        <v>12616</v>
      </c>
      <c r="F3239" s="21" t="s">
        <v>12620</v>
      </c>
      <c r="G3239" s="20" t="s">
        <v>35</v>
      </c>
      <c r="H3239" s="20" t="s">
        <v>25</v>
      </c>
      <c r="I3239" s="21" t="s">
        <v>12621</v>
      </c>
      <c r="J3239" s="22">
        <f t="shared" si="250"/>
        <v>0.0104166666642413</v>
      </c>
      <c r="K3239" s="22">
        <f t="shared" si="251"/>
        <v>0.249999999941792</v>
      </c>
      <c r="L3239" s="22">
        <f t="shared" si="252"/>
        <v>0.249999999941792</v>
      </c>
      <c r="M3239" s="22" cm="1">
        <f ca="1" t="array" ref="M3239">SUMPRODUCT(--(WEEKDAY(ROW(INDIRECT(INT(F3239)&amp;":"&amp;INT(I3239))),2)&gt;5))</f>
        <v>0</v>
      </c>
      <c r="N3239" s="22">
        <f ca="1" t="shared" si="253"/>
        <v>0.249999999941792</v>
      </c>
      <c r="O3239" s="22" t="str">
        <f ca="1" t="shared" si="254"/>
        <v>Within SLA</v>
      </c>
      <c r="P3239" s="26" t="s">
        <v>12619</v>
      </c>
      <c r="Q3239" s="24" t="s">
        <v>37</v>
      </c>
      <c r="R3239" s="25"/>
      <c r="S3239" s="25"/>
    </row>
    <row r="3240" ht="27" customHeight="1" spans="1:19">
      <c r="A3240" s="19" t="s">
        <v>12622</v>
      </c>
      <c r="B3240" s="20" t="s">
        <v>139</v>
      </c>
      <c r="C3240" s="20" t="s">
        <v>12458</v>
      </c>
      <c r="D3240" s="20" t="s">
        <v>32</v>
      </c>
      <c r="E3240" s="21" t="s">
        <v>12623</v>
      </c>
      <c r="F3240" s="21" t="s">
        <v>12624</v>
      </c>
      <c r="G3240" s="20" t="s">
        <v>35</v>
      </c>
      <c r="H3240" s="20" t="s">
        <v>25</v>
      </c>
      <c r="I3240" s="21" t="s">
        <v>12625</v>
      </c>
      <c r="J3240" s="22">
        <f t="shared" si="250"/>
        <v>0.0888888888875954</v>
      </c>
      <c r="K3240" s="22">
        <f t="shared" si="251"/>
        <v>2.13333333330229</v>
      </c>
      <c r="L3240" s="22">
        <f t="shared" si="252"/>
        <v>2.13333333330229</v>
      </c>
      <c r="M3240" s="22" cm="1">
        <f ca="1" t="array" ref="M3240">SUMPRODUCT(--(WEEKDAY(ROW(INDIRECT(INT(F3240)&amp;":"&amp;INT(I3240))),2)&gt;5))</f>
        <v>0</v>
      </c>
      <c r="N3240" s="22">
        <f ca="1" t="shared" si="253"/>
        <v>2.13333333330229</v>
      </c>
      <c r="O3240" s="22" t="str">
        <f ca="1" t="shared" si="254"/>
        <v>Within SLA</v>
      </c>
      <c r="P3240" s="26" t="s">
        <v>12622</v>
      </c>
      <c r="Q3240" s="24" t="s">
        <v>37</v>
      </c>
      <c r="R3240" s="25"/>
      <c r="S3240" s="25"/>
    </row>
    <row r="3241" ht="27" customHeight="1" spans="1:19">
      <c r="A3241" s="19" t="s">
        <v>12626</v>
      </c>
      <c r="B3241" s="20" t="s">
        <v>121</v>
      </c>
      <c r="C3241" s="20" t="s">
        <v>46</v>
      </c>
      <c r="D3241" s="20" t="s">
        <v>21</v>
      </c>
      <c r="E3241" s="21" t="s">
        <v>12627</v>
      </c>
      <c r="F3241" s="21" t="s">
        <v>12628</v>
      </c>
      <c r="G3241" s="20" t="s">
        <v>35</v>
      </c>
      <c r="H3241" s="20" t="s">
        <v>25</v>
      </c>
      <c r="I3241" s="21" t="s">
        <v>12629</v>
      </c>
      <c r="J3241" s="22">
        <f t="shared" si="250"/>
        <v>0.102083333338669</v>
      </c>
      <c r="K3241" s="22">
        <f t="shared" si="251"/>
        <v>2.45000000012806</v>
      </c>
      <c r="L3241" s="22">
        <f t="shared" si="252"/>
        <v>2.45000000012806</v>
      </c>
      <c r="M3241" s="22" cm="1">
        <f ca="1" t="array" ref="M3241">SUMPRODUCT(--(WEEKDAY(ROW(INDIRECT(INT(F3241)&amp;":"&amp;INT(I3241))),2)&gt;5))</f>
        <v>0</v>
      </c>
      <c r="N3241" s="22">
        <f ca="1" t="shared" si="253"/>
        <v>2.45000000012806</v>
      </c>
      <c r="O3241" s="22" t="str">
        <f ca="1" t="shared" si="254"/>
        <v>Within SLA</v>
      </c>
      <c r="P3241" s="26" t="s">
        <v>12626</v>
      </c>
      <c r="Q3241" s="24" t="s">
        <v>37</v>
      </c>
      <c r="R3241" s="25"/>
      <c r="S3241" s="25"/>
    </row>
    <row r="3242" ht="27" customHeight="1" spans="1:19">
      <c r="A3242" s="19" t="s">
        <v>12630</v>
      </c>
      <c r="B3242" s="20" t="s">
        <v>121</v>
      </c>
      <c r="C3242" s="20" t="s">
        <v>46</v>
      </c>
      <c r="D3242" s="20" t="s">
        <v>21</v>
      </c>
      <c r="E3242" s="21" t="s">
        <v>12627</v>
      </c>
      <c r="F3242" s="21" t="s">
        <v>12631</v>
      </c>
      <c r="G3242" s="20" t="s">
        <v>35</v>
      </c>
      <c r="H3242" s="20" t="s">
        <v>25</v>
      </c>
      <c r="I3242" s="21" t="s">
        <v>12632</v>
      </c>
      <c r="J3242" s="22">
        <f t="shared" si="250"/>
        <v>0.0715277777781012</v>
      </c>
      <c r="K3242" s="22">
        <f t="shared" si="251"/>
        <v>1.71666666667443</v>
      </c>
      <c r="L3242" s="22">
        <f t="shared" si="252"/>
        <v>1.71666666667443</v>
      </c>
      <c r="M3242" s="22" cm="1">
        <f ca="1" t="array" ref="M3242">SUMPRODUCT(--(WEEKDAY(ROW(INDIRECT(INT(F3242)&amp;":"&amp;INT(I3242))),2)&gt;5))</f>
        <v>0</v>
      </c>
      <c r="N3242" s="22">
        <f ca="1" t="shared" si="253"/>
        <v>1.71666666667443</v>
      </c>
      <c r="O3242" s="22" t="str">
        <f ca="1" t="shared" si="254"/>
        <v>Within SLA</v>
      </c>
      <c r="P3242" s="26" t="s">
        <v>12630</v>
      </c>
      <c r="Q3242" s="24" t="s">
        <v>37</v>
      </c>
      <c r="R3242" s="25"/>
      <c r="S3242" s="25"/>
    </row>
    <row r="3243" ht="27" customHeight="1" spans="1:19">
      <c r="A3243" s="19" t="s">
        <v>12633</v>
      </c>
      <c r="B3243" s="20" t="s">
        <v>139</v>
      </c>
      <c r="C3243" s="20" t="s">
        <v>101</v>
      </c>
      <c r="D3243" s="20" t="s">
        <v>32</v>
      </c>
      <c r="E3243" s="21" t="s">
        <v>12634</v>
      </c>
      <c r="F3243" s="21" t="s">
        <v>12635</v>
      </c>
      <c r="G3243" s="20" t="s">
        <v>35</v>
      </c>
      <c r="H3243" s="20" t="s">
        <v>25</v>
      </c>
      <c r="I3243" s="21" t="s">
        <v>12636</v>
      </c>
      <c r="J3243" s="22">
        <f t="shared" si="250"/>
        <v>0.0194444444496185</v>
      </c>
      <c r="K3243" s="22">
        <f t="shared" si="251"/>
        <v>0.466666666790843</v>
      </c>
      <c r="L3243" s="22">
        <f t="shared" si="252"/>
        <v>0.466666666790843</v>
      </c>
      <c r="M3243" s="22" cm="1">
        <f ca="1" t="array" ref="M3243">SUMPRODUCT(--(WEEKDAY(ROW(INDIRECT(INT(F3243)&amp;":"&amp;INT(I3243))),2)&gt;5))</f>
        <v>0</v>
      </c>
      <c r="N3243" s="22">
        <f ca="1" t="shared" si="253"/>
        <v>0.466666666790843</v>
      </c>
      <c r="O3243" s="22" t="str">
        <f ca="1" t="shared" si="254"/>
        <v>Within SLA</v>
      </c>
      <c r="P3243" s="26" t="s">
        <v>12633</v>
      </c>
      <c r="Q3243" s="24" t="s">
        <v>37</v>
      </c>
      <c r="R3243" s="25"/>
      <c r="S3243" s="25"/>
    </row>
    <row r="3244" ht="39" customHeight="1" spans="1:19">
      <c r="A3244" s="19" t="s">
        <v>12637</v>
      </c>
      <c r="B3244" s="20" t="s">
        <v>19</v>
      </c>
      <c r="C3244" s="20" t="s">
        <v>20</v>
      </c>
      <c r="D3244" s="20" t="s">
        <v>32</v>
      </c>
      <c r="E3244" s="21" t="s">
        <v>12538</v>
      </c>
      <c r="F3244" s="21" t="s">
        <v>12638</v>
      </c>
      <c r="G3244" s="20" t="s">
        <v>24</v>
      </c>
      <c r="H3244" s="20" t="s">
        <v>25</v>
      </c>
      <c r="I3244" s="21" t="s">
        <v>12639</v>
      </c>
      <c r="J3244" s="22">
        <f t="shared" si="250"/>
        <v>3.0131944444438</v>
      </c>
      <c r="K3244" s="22">
        <f t="shared" si="251"/>
        <v>72.3166666666511</v>
      </c>
      <c r="L3244" s="22">
        <f t="shared" si="252"/>
        <v>24.3166666666511</v>
      </c>
      <c r="M3244" s="22" cm="1">
        <f ca="1" t="array" ref="M3244">SUMPRODUCT(--(WEEKDAY(ROW(INDIRECT(INT(F3244)&amp;":"&amp;INT(I3244))),2)&gt;5))</f>
        <v>0</v>
      </c>
      <c r="N3244" s="22">
        <f ca="1" t="shared" si="253"/>
        <v>24.3166666666511</v>
      </c>
      <c r="O3244" s="22" t="str">
        <f ca="1" t="shared" si="254"/>
        <v>SLA Violated</v>
      </c>
      <c r="P3244" s="23" t="s">
        <v>12640</v>
      </c>
      <c r="Q3244" s="24" t="s">
        <v>37</v>
      </c>
      <c r="R3244" s="25" t="s">
        <v>1020</v>
      </c>
      <c r="S3244" s="25" t="s">
        <v>39</v>
      </c>
    </row>
    <row r="3245" ht="39" customHeight="1" spans="1:19">
      <c r="A3245" s="19" t="s">
        <v>12641</v>
      </c>
      <c r="B3245" s="20" t="s">
        <v>19</v>
      </c>
      <c r="C3245" s="20" t="s">
        <v>20</v>
      </c>
      <c r="D3245" s="20" t="s">
        <v>32</v>
      </c>
      <c r="E3245" s="21" t="s">
        <v>12642</v>
      </c>
      <c r="F3245" s="21" t="s">
        <v>10425</v>
      </c>
      <c r="G3245" s="20" t="s">
        <v>35</v>
      </c>
      <c r="H3245" s="20" t="s">
        <v>25</v>
      </c>
      <c r="I3245" s="21" t="s">
        <v>12643</v>
      </c>
      <c r="J3245" s="22">
        <f t="shared" si="250"/>
        <v>7.03749999999854</v>
      </c>
      <c r="K3245" s="22">
        <f t="shared" si="251"/>
        <v>168.899999999965</v>
      </c>
      <c r="L3245" s="22">
        <f t="shared" si="252"/>
        <v>56.8999999999651</v>
      </c>
      <c r="M3245" s="22" cm="1">
        <f ca="1" t="array" ref="M3245">SUMPRODUCT(--(WEEKDAY(ROW(INDIRECT(INT(F3245)&amp;":"&amp;INT(I3245))),2)&gt;5))</f>
        <v>2</v>
      </c>
      <c r="N3245" s="22">
        <f ca="1" t="shared" si="253"/>
        <v>40.8999999999651</v>
      </c>
      <c r="O3245" s="22" t="str">
        <f ca="1" t="shared" si="254"/>
        <v>SLA Violated</v>
      </c>
      <c r="P3245" s="23" t="s">
        <v>12644</v>
      </c>
      <c r="Q3245" s="24" t="s">
        <v>37</v>
      </c>
      <c r="R3245" s="25" t="s">
        <v>749</v>
      </c>
      <c r="S3245" s="25" t="s">
        <v>39</v>
      </c>
    </row>
    <row r="3246" ht="39" customHeight="1" spans="1:19">
      <c r="A3246" s="19" t="s">
        <v>12645</v>
      </c>
      <c r="B3246" s="20" t="s">
        <v>19</v>
      </c>
      <c r="C3246" s="20" t="s">
        <v>20</v>
      </c>
      <c r="D3246" s="20" t="s">
        <v>32</v>
      </c>
      <c r="E3246" s="21" t="s">
        <v>12646</v>
      </c>
      <c r="F3246" s="21" t="s">
        <v>12647</v>
      </c>
      <c r="G3246" s="20" t="s">
        <v>35</v>
      </c>
      <c r="H3246" s="20" t="s">
        <v>25</v>
      </c>
      <c r="I3246" s="21" t="s">
        <v>12648</v>
      </c>
      <c r="J3246" s="22">
        <f t="shared" si="250"/>
        <v>0.00208333333284827</v>
      </c>
      <c r="K3246" s="22">
        <f t="shared" si="251"/>
        <v>0.0499999999883585</v>
      </c>
      <c r="L3246" s="22">
        <f t="shared" si="252"/>
        <v>0.0499999999883585</v>
      </c>
      <c r="M3246" s="22" cm="1">
        <f ca="1" t="array" ref="M3246">SUMPRODUCT(--(WEEKDAY(ROW(INDIRECT(INT(F3246)&amp;":"&amp;INT(I3246))),2)&gt;5))</f>
        <v>0</v>
      </c>
      <c r="N3246" s="22">
        <f ca="1" t="shared" si="253"/>
        <v>0.0499999999883585</v>
      </c>
      <c r="O3246" s="22" t="str">
        <f ca="1" t="shared" si="254"/>
        <v>Within SLA</v>
      </c>
      <c r="P3246" s="26" t="s">
        <v>12645</v>
      </c>
      <c r="Q3246" s="24" t="s">
        <v>37</v>
      </c>
      <c r="R3246" s="25"/>
      <c r="S3246" s="25"/>
    </row>
    <row r="3247" ht="39" customHeight="1" spans="1:19">
      <c r="A3247" s="19" t="s">
        <v>12649</v>
      </c>
      <c r="B3247" s="20" t="s">
        <v>196</v>
      </c>
      <c r="C3247" s="20" t="s">
        <v>12410</v>
      </c>
      <c r="D3247" s="20" t="s">
        <v>32</v>
      </c>
      <c r="E3247" s="21" t="s">
        <v>12648</v>
      </c>
      <c r="F3247" s="21" t="s">
        <v>12650</v>
      </c>
      <c r="G3247" s="20" t="s">
        <v>35</v>
      </c>
      <c r="H3247" s="20" t="s">
        <v>25</v>
      </c>
      <c r="I3247" s="21" t="s">
        <v>12651</v>
      </c>
      <c r="J3247" s="22">
        <f t="shared" si="250"/>
        <v>0.871527777773736</v>
      </c>
      <c r="K3247" s="22">
        <f t="shared" si="251"/>
        <v>20.9166666665697</v>
      </c>
      <c r="L3247" s="22">
        <f t="shared" si="252"/>
        <v>4.91666666656965</v>
      </c>
      <c r="M3247" s="22" cm="1">
        <f ca="1" t="array" ref="M3247">SUMPRODUCT(--(WEEKDAY(ROW(INDIRECT(INT(F3247)&amp;":"&amp;INT(I3247))),2)&gt;5))</f>
        <v>0</v>
      </c>
      <c r="N3247" s="22">
        <f ca="1" t="shared" si="253"/>
        <v>4.91666666656965</v>
      </c>
      <c r="O3247" s="22" t="str">
        <f ca="1" t="shared" si="254"/>
        <v>Within SLA</v>
      </c>
      <c r="P3247" s="26" t="s">
        <v>12649</v>
      </c>
      <c r="Q3247" s="24" t="s">
        <v>37</v>
      </c>
      <c r="R3247" s="25"/>
      <c r="S3247" s="25"/>
    </row>
    <row r="3248" ht="27" customHeight="1" spans="1:19">
      <c r="A3248" s="19" t="s">
        <v>12652</v>
      </c>
      <c r="B3248" s="20" t="s">
        <v>139</v>
      </c>
      <c r="C3248" s="20" t="s">
        <v>12458</v>
      </c>
      <c r="D3248" s="20" t="s">
        <v>32</v>
      </c>
      <c r="E3248" s="21" t="s">
        <v>12653</v>
      </c>
      <c r="F3248" s="21" t="s">
        <v>12654</v>
      </c>
      <c r="G3248" s="20" t="s">
        <v>35</v>
      </c>
      <c r="H3248" s="20" t="s">
        <v>25</v>
      </c>
      <c r="I3248" s="21" t="s">
        <v>12655</v>
      </c>
      <c r="J3248" s="22">
        <f t="shared" si="250"/>
        <v>0.73124999999709</v>
      </c>
      <c r="K3248" s="22">
        <f t="shared" si="251"/>
        <v>17.5499999999302</v>
      </c>
      <c r="L3248" s="22">
        <f t="shared" si="252"/>
        <v>1.54999999993015</v>
      </c>
      <c r="M3248" s="22" cm="1">
        <f ca="1" t="array" ref="M3248">SUMPRODUCT(--(WEEKDAY(ROW(INDIRECT(INT(F3248)&amp;":"&amp;INT(I3248))),2)&gt;5))</f>
        <v>0</v>
      </c>
      <c r="N3248" s="22">
        <f ca="1" t="shared" si="253"/>
        <v>1.54999999993015</v>
      </c>
      <c r="O3248" s="22" t="str">
        <f ca="1" t="shared" si="254"/>
        <v>Within SLA</v>
      </c>
      <c r="P3248" s="26" t="s">
        <v>12652</v>
      </c>
      <c r="Q3248" s="24" t="s">
        <v>37</v>
      </c>
      <c r="R3248" s="25"/>
      <c r="S3248" s="25"/>
    </row>
    <row r="3249" ht="39" customHeight="1" spans="1:19">
      <c r="A3249" s="19" t="s">
        <v>12656</v>
      </c>
      <c r="B3249" s="20" t="s">
        <v>725</v>
      </c>
      <c r="C3249" s="20" t="s">
        <v>101</v>
      </c>
      <c r="D3249" s="20" t="s">
        <v>32</v>
      </c>
      <c r="E3249" s="21" t="s">
        <v>12653</v>
      </c>
      <c r="F3249" s="21" t="s">
        <v>12657</v>
      </c>
      <c r="G3249" s="20" t="s">
        <v>35</v>
      </c>
      <c r="H3249" s="20" t="s">
        <v>25</v>
      </c>
      <c r="I3249" s="21" t="s">
        <v>12658</v>
      </c>
      <c r="J3249" s="22">
        <f t="shared" si="250"/>
        <v>1.05972222222772</v>
      </c>
      <c r="K3249" s="22">
        <f t="shared" si="251"/>
        <v>25.4333333334653</v>
      </c>
      <c r="L3249" s="22">
        <f t="shared" si="252"/>
        <v>9.43333333346527</v>
      </c>
      <c r="M3249" s="22" cm="1">
        <f ca="1" t="array" ref="M3249">SUMPRODUCT(--(WEEKDAY(ROW(INDIRECT(INT(F3249)&amp;":"&amp;INT(I3249))),2)&gt;5))</f>
        <v>0</v>
      </c>
      <c r="N3249" s="22">
        <f ca="1" t="shared" si="253"/>
        <v>9.43333333346527</v>
      </c>
      <c r="O3249" s="22" t="str">
        <f ca="1" t="shared" si="254"/>
        <v>Within SLA</v>
      </c>
      <c r="P3249" s="26" t="s">
        <v>12656</v>
      </c>
      <c r="Q3249" s="24" t="s">
        <v>37</v>
      </c>
      <c r="R3249" s="25"/>
      <c r="S3249" s="25"/>
    </row>
    <row r="3250" ht="39" customHeight="1" spans="1:19">
      <c r="A3250" s="19" t="s">
        <v>12659</v>
      </c>
      <c r="B3250" s="20" t="s">
        <v>196</v>
      </c>
      <c r="C3250" s="20" t="s">
        <v>12410</v>
      </c>
      <c r="D3250" s="20" t="s">
        <v>32</v>
      </c>
      <c r="E3250" s="21" t="s">
        <v>12653</v>
      </c>
      <c r="F3250" s="21" t="s">
        <v>12660</v>
      </c>
      <c r="G3250" s="20" t="s">
        <v>35</v>
      </c>
      <c r="H3250" s="20" t="s">
        <v>25</v>
      </c>
      <c r="I3250" s="21" t="s">
        <v>12661</v>
      </c>
      <c r="J3250" s="22">
        <f t="shared" si="250"/>
        <v>0.871527777773736</v>
      </c>
      <c r="K3250" s="22">
        <f t="shared" si="251"/>
        <v>20.9166666665697</v>
      </c>
      <c r="L3250" s="22">
        <f t="shared" si="252"/>
        <v>4.91666666656965</v>
      </c>
      <c r="M3250" s="22" cm="1">
        <f ca="1" t="array" ref="M3250">SUMPRODUCT(--(WEEKDAY(ROW(INDIRECT(INT(F3250)&amp;":"&amp;INT(I3250))),2)&gt;5))</f>
        <v>0</v>
      </c>
      <c r="N3250" s="22">
        <f ca="1" t="shared" si="253"/>
        <v>4.91666666656965</v>
      </c>
      <c r="O3250" s="22" t="str">
        <f ca="1" t="shared" si="254"/>
        <v>Within SLA</v>
      </c>
      <c r="P3250" s="26" t="s">
        <v>12659</v>
      </c>
      <c r="Q3250" s="24" t="s">
        <v>37</v>
      </c>
      <c r="R3250" s="25"/>
      <c r="S3250" s="25"/>
    </row>
    <row r="3251" ht="39" customHeight="1" spans="1:19">
      <c r="A3251" s="19" t="s">
        <v>12662</v>
      </c>
      <c r="B3251" s="20" t="s">
        <v>196</v>
      </c>
      <c r="C3251" s="20" t="s">
        <v>46</v>
      </c>
      <c r="D3251" s="20" t="s">
        <v>21</v>
      </c>
      <c r="E3251" s="21" t="s">
        <v>12663</v>
      </c>
      <c r="F3251" s="21" t="s">
        <v>12664</v>
      </c>
      <c r="G3251" s="20" t="s">
        <v>35</v>
      </c>
      <c r="H3251" s="20" t="s">
        <v>25</v>
      </c>
      <c r="I3251" s="21" t="s">
        <v>12665</v>
      </c>
      <c r="J3251" s="22">
        <f t="shared" si="250"/>
        <v>0.0222222222218988</v>
      </c>
      <c r="K3251" s="22">
        <f t="shared" si="251"/>
        <v>0.533333333325572</v>
      </c>
      <c r="L3251" s="22">
        <f t="shared" si="252"/>
        <v>0.533333333325572</v>
      </c>
      <c r="M3251" s="22" cm="1">
        <f ca="1" t="array" ref="M3251">SUMPRODUCT(--(WEEKDAY(ROW(INDIRECT(INT(F3251)&amp;":"&amp;INT(I3251))),2)&gt;5))</f>
        <v>0</v>
      </c>
      <c r="N3251" s="22">
        <f ca="1" t="shared" si="253"/>
        <v>0.533333333325572</v>
      </c>
      <c r="O3251" s="22" t="str">
        <f ca="1" t="shared" si="254"/>
        <v>Within SLA</v>
      </c>
      <c r="P3251" s="26" t="s">
        <v>12662</v>
      </c>
      <c r="Q3251" s="24" t="s">
        <v>37</v>
      </c>
      <c r="R3251" s="25"/>
      <c r="S3251" s="25"/>
    </row>
    <row r="3252" ht="27" customHeight="1" spans="1:19">
      <c r="A3252" s="19" t="s">
        <v>12666</v>
      </c>
      <c r="B3252" s="20" t="s">
        <v>139</v>
      </c>
      <c r="C3252" s="20" t="s">
        <v>12458</v>
      </c>
      <c r="D3252" s="20" t="s">
        <v>32</v>
      </c>
      <c r="E3252" s="21" t="s">
        <v>12667</v>
      </c>
      <c r="F3252" s="21" t="s">
        <v>12668</v>
      </c>
      <c r="G3252" s="20" t="s">
        <v>35</v>
      </c>
      <c r="H3252" s="20" t="s">
        <v>25</v>
      </c>
      <c r="I3252" s="21" t="s">
        <v>12669</v>
      </c>
      <c r="J3252" s="22">
        <f t="shared" si="250"/>
        <v>0.0173611111094942</v>
      </c>
      <c r="K3252" s="22">
        <f t="shared" si="251"/>
        <v>0.416666666627862</v>
      </c>
      <c r="L3252" s="22">
        <f t="shared" si="252"/>
        <v>0.416666666627862</v>
      </c>
      <c r="M3252" s="22" cm="1">
        <f ca="1" t="array" ref="M3252">SUMPRODUCT(--(WEEKDAY(ROW(INDIRECT(INT(F3252)&amp;":"&amp;INT(I3252))),2)&gt;5))</f>
        <v>0</v>
      </c>
      <c r="N3252" s="22">
        <f ca="1" t="shared" si="253"/>
        <v>0.416666666627862</v>
      </c>
      <c r="O3252" s="22" t="str">
        <f ca="1" t="shared" si="254"/>
        <v>Within SLA</v>
      </c>
      <c r="P3252" s="26" t="s">
        <v>12666</v>
      </c>
      <c r="Q3252" s="24" t="s">
        <v>37</v>
      </c>
      <c r="R3252" s="25"/>
      <c r="S3252" s="25"/>
    </row>
    <row r="3253" ht="27" customHeight="1" spans="1:19">
      <c r="A3253" s="19" t="s">
        <v>12670</v>
      </c>
      <c r="B3253" s="20" t="s">
        <v>1047</v>
      </c>
      <c r="C3253" s="20" t="s">
        <v>849</v>
      </c>
      <c r="D3253" s="20" t="s">
        <v>32</v>
      </c>
      <c r="E3253" s="21" t="s">
        <v>12667</v>
      </c>
      <c r="F3253" s="21" t="s">
        <v>12671</v>
      </c>
      <c r="G3253" s="20" t="s">
        <v>35</v>
      </c>
      <c r="H3253" s="20" t="s">
        <v>25</v>
      </c>
      <c r="I3253" s="21" t="s">
        <v>12672</v>
      </c>
      <c r="J3253" s="22">
        <f t="shared" si="250"/>
        <v>2.73125000000437</v>
      </c>
      <c r="K3253" s="22">
        <f t="shared" si="251"/>
        <v>65.5500000001048</v>
      </c>
      <c r="L3253" s="22">
        <f t="shared" si="252"/>
        <v>17.5500000001048</v>
      </c>
      <c r="M3253" s="22" cm="1">
        <f ca="1" t="array" ref="M3253">SUMPRODUCT(--(WEEKDAY(ROW(INDIRECT(INT(F3253)&amp;":"&amp;INT(I3253))),2)&gt;5))</f>
        <v>0</v>
      </c>
      <c r="N3253" s="22">
        <f ca="1" t="shared" si="253"/>
        <v>17.5500000001048</v>
      </c>
      <c r="O3253" s="22" t="str">
        <f ca="1" t="shared" si="254"/>
        <v>SLA Violated</v>
      </c>
      <c r="P3253" s="23" t="s">
        <v>12673</v>
      </c>
      <c r="Q3253" s="24" t="s">
        <v>37</v>
      </c>
      <c r="R3253" s="25" t="s">
        <v>38</v>
      </c>
      <c r="S3253" s="25" t="s">
        <v>39</v>
      </c>
    </row>
    <row r="3254" ht="27" customHeight="1" spans="1:19">
      <c r="A3254" s="19" t="s">
        <v>12674</v>
      </c>
      <c r="B3254" s="20" t="s">
        <v>1047</v>
      </c>
      <c r="C3254" s="20" t="s">
        <v>101</v>
      </c>
      <c r="D3254" s="20" t="s">
        <v>32</v>
      </c>
      <c r="E3254" s="21" t="s">
        <v>12675</v>
      </c>
      <c r="F3254" s="21" t="s">
        <v>12676</v>
      </c>
      <c r="G3254" s="20" t="s">
        <v>35</v>
      </c>
      <c r="H3254" s="20" t="s">
        <v>25</v>
      </c>
      <c r="I3254" s="21" t="s">
        <v>12677</v>
      </c>
      <c r="J3254" s="22">
        <f t="shared" si="250"/>
        <v>0.712500000001455</v>
      </c>
      <c r="K3254" s="22">
        <f t="shared" si="251"/>
        <v>17.1000000000349</v>
      </c>
      <c r="L3254" s="22">
        <f t="shared" si="252"/>
        <v>1.10000000003492</v>
      </c>
      <c r="M3254" s="22" cm="1">
        <f ca="1" t="array" ref="M3254">SUMPRODUCT(--(WEEKDAY(ROW(INDIRECT(INT(F3254)&amp;":"&amp;INT(I3254))),2)&gt;5))</f>
        <v>0</v>
      </c>
      <c r="N3254" s="22">
        <f ca="1" t="shared" si="253"/>
        <v>1.10000000003492</v>
      </c>
      <c r="O3254" s="22" t="str">
        <f ca="1" t="shared" si="254"/>
        <v>Within SLA</v>
      </c>
      <c r="P3254" s="26" t="s">
        <v>12674</v>
      </c>
      <c r="Q3254" s="24" t="s">
        <v>37</v>
      </c>
      <c r="R3254" s="25"/>
      <c r="S3254" s="25"/>
    </row>
    <row r="3255" ht="39" customHeight="1" spans="1:19">
      <c r="A3255" s="19" t="s">
        <v>12678</v>
      </c>
      <c r="B3255" s="20" t="s">
        <v>196</v>
      </c>
      <c r="C3255" s="20" t="s">
        <v>101</v>
      </c>
      <c r="D3255" s="20" t="s">
        <v>32</v>
      </c>
      <c r="E3255" s="21" t="s">
        <v>12679</v>
      </c>
      <c r="F3255" s="21" t="s">
        <v>12680</v>
      </c>
      <c r="G3255" s="20" t="s">
        <v>35</v>
      </c>
      <c r="H3255" s="20" t="s">
        <v>25</v>
      </c>
      <c r="I3255" s="21" t="s">
        <v>12681</v>
      </c>
      <c r="J3255" s="22">
        <f t="shared" si="250"/>
        <v>0.00277777777955635</v>
      </c>
      <c r="K3255" s="22">
        <f t="shared" si="251"/>
        <v>0.0666666667093523</v>
      </c>
      <c r="L3255" s="22">
        <f t="shared" si="252"/>
        <v>0.0666666667093523</v>
      </c>
      <c r="M3255" s="22" cm="1">
        <f ca="1" t="array" ref="M3255">SUMPRODUCT(--(WEEKDAY(ROW(INDIRECT(INT(F3255)&amp;":"&amp;INT(I3255))),2)&gt;5))</f>
        <v>0</v>
      </c>
      <c r="N3255" s="22">
        <f ca="1" t="shared" si="253"/>
        <v>0.0666666667093523</v>
      </c>
      <c r="O3255" s="22" t="str">
        <f ca="1" t="shared" si="254"/>
        <v>Within SLA</v>
      </c>
      <c r="P3255" s="26" t="s">
        <v>12678</v>
      </c>
      <c r="Q3255" s="24" t="s">
        <v>37</v>
      </c>
      <c r="R3255" s="25"/>
      <c r="S3255" s="25"/>
    </row>
    <row r="3256" ht="39" customHeight="1" spans="1:19">
      <c r="A3256" s="19" t="s">
        <v>12682</v>
      </c>
      <c r="B3256" s="20" t="s">
        <v>19</v>
      </c>
      <c r="C3256" s="20" t="s">
        <v>20</v>
      </c>
      <c r="D3256" s="20" t="s">
        <v>32</v>
      </c>
      <c r="E3256" s="21" t="s">
        <v>12683</v>
      </c>
      <c r="F3256" s="21" t="s">
        <v>12684</v>
      </c>
      <c r="G3256" s="20" t="s">
        <v>24</v>
      </c>
      <c r="H3256" s="20" t="s">
        <v>25</v>
      </c>
      <c r="I3256" s="21" t="s">
        <v>12685</v>
      </c>
      <c r="J3256" s="22">
        <f t="shared" si="250"/>
        <v>2.2097222222219</v>
      </c>
      <c r="K3256" s="22">
        <f t="shared" si="251"/>
        <v>53.0333333333256</v>
      </c>
      <c r="L3256" s="22">
        <f t="shared" si="252"/>
        <v>21.0333333333256</v>
      </c>
      <c r="M3256" s="22" cm="1">
        <f ca="1" t="array" ref="M3256">SUMPRODUCT(--(WEEKDAY(ROW(INDIRECT(INT(F3256)&amp;":"&amp;INT(I3256))),2)&gt;5))</f>
        <v>0</v>
      </c>
      <c r="N3256" s="22">
        <f ca="1" t="shared" si="253"/>
        <v>21.0333333333256</v>
      </c>
      <c r="O3256" s="22" t="str">
        <f ca="1" t="shared" si="254"/>
        <v>SLA Violated</v>
      </c>
      <c r="P3256" s="23">
        <v>24588</v>
      </c>
      <c r="Q3256" s="24" t="s">
        <v>28</v>
      </c>
      <c r="R3256" s="25"/>
      <c r="S3256" s="25"/>
    </row>
    <row r="3257" ht="27" customHeight="1" spans="1:19">
      <c r="A3257" s="19" t="s">
        <v>12686</v>
      </c>
      <c r="B3257" s="20" t="s">
        <v>30</v>
      </c>
      <c r="C3257" s="20" t="s">
        <v>101</v>
      </c>
      <c r="D3257" s="20" t="s">
        <v>32</v>
      </c>
      <c r="E3257" s="21" t="s">
        <v>12687</v>
      </c>
      <c r="F3257" s="21" t="s">
        <v>12688</v>
      </c>
      <c r="G3257" s="20" t="s">
        <v>35</v>
      </c>
      <c r="H3257" s="20" t="s">
        <v>25</v>
      </c>
      <c r="I3257" s="21" t="s">
        <v>12689</v>
      </c>
      <c r="J3257" s="22">
        <f t="shared" si="250"/>
        <v>0.113194444449618</v>
      </c>
      <c r="K3257" s="22">
        <f t="shared" si="251"/>
        <v>2.71666666679084</v>
      </c>
      <c r="L3257" s="22">
        <f t="shared" si="252"/>
        <v>2.71666666679084</v>
      </c>
      <c r="M3257" s="22" cm="1">
        <f ca="1" t="array" ref="M3257">SUMPRODUCT(--(WEEKDAY(ROW(INDIRECT(INT(F3257)&amp;":"&amp;INT(I3257))),2)&gt;5))</f>
        <v>0</v>
      </c>
      <c r="N3257" s="22">
        <f ca="1" t="shared" si="253"/>
        <v>2.71666666679084</v>
      </c>
      <c r="O3257" s="22" t="str">
        <f ca="1" t="shared" si="254"/>
        <v>Within SLA</v>
      </c>
      <c r="P3257" s="26" t="s">
        <v>12686</v>
      </c>
      <c r="Q3257" s="24" t="s">
        <v>37</v>
      </c>
      <c r="R3257" s="25"/>
      <c r="S3257" s="25"/>
    </row>
    <row r="3258" ht="39" customHeight="1" spans="1:19">
      <c r="A3258" s="19" t="s">
        <v>12690</v>
      </c>
      <c r="B3258" s="20" t="s">
        <v>19</v>
      </c>
      <c r="C3258" s="20" t="s">
        <v>20</v>
      </c>
      <c r="D3258" s="20" t="s">
        <v>32</v>
      </c>
      <c r="E3258" s="21" t="s">
        <v>12691</v>
      </c>
      <c r="F3258" s="21" t="s">
        <v>12684</v>
      </c>
      <c r="G3258" s="20" t="s">
        <v>24</v>
      </c>
      <c r="H3258" s="20" t="s">
        <v>25</v>
      </c>
      <c r="I3258" s="21" t="s">
        <v>12692</v>
      </c>
      <c r="J3258" s="22">
        <f t="shared" si="250"/>
        <v>2.19583333333139</v>
      </c>
      <c r="K3258" s="22">
        <f t="shared" si="251"/>
        <v>52.6999999999534</v>
      </c>
      <c r="L3258" s="22">
        <f t="shared" si="252"/>
        <v>20.6999999999534</v>
      </c>
      <c r="M3258" s="22" cm="1">
        <f ca="1" t="array" ref="M3258">SUMPRODUCT(--(WEEKDAY(ROW(INDIRECT(INT(F3258)&amp;":"&amp;INT(I3258))),2)&gt;5))</f>
        <v>0</v>
      </c>
      <c r="N3258" s="22">
        <f ca="1" t="shared" si="253"/>
        <v>20.6999999999534</v>
      </c>
      <c r="O3258" s="22" t="str">
        <f ca="1" t="shared" si="254"/>
        <v>SLA Violated</v>
      </c>
      <c r="P3258" s="23" t="s">
        <v>12693</v>
      </c>
      <c r="Q3258" s="24" t="s">
        <v>37</v>
      </c>
      <c r="R3258" s="25" t="s">
        <v>1020</v>
      </c>
      <c r="S3258" s="25" t="s">
        <v>39</v>
      </c>
    </row>
    <row r="3259" ht="39" customHeight="1" spans="1:19">
      <c r="A3259" s="19" t="s">
        <v>12694</v>
      </c>
      <c r="B3259" s="20" t="s">
        <v>19</v>
      </c>
      <c r="C3259" s="20" t="s">
        <v>20</v>
      </c>
      <c r="D3259" s="20" t="s">
        <v>32</v>
      </c>
      <c r="E3259" s="21" t="s">
        <v>12695</v>
      </c>
      <c r="F3259" s="21" t="s">
        <v>12696</v>
      </c>
      <c r="G3259" s="20" t="s">
        <v>35</v>
      </c>
      <c r="H3259" s="20" t="s">
        <v>25</v>
      </c>
      <c r="I3259" s="21" t="s">
        <v>12697</v>
      </c>
      <c r="J3259" s="22">
        <f t="shared" si="250"/>
        <v>0.0597222222204437</v>
      </c>
      <c r="K3259" s="22">
        <f t="shared" si="251"/>
        <v>1.43333333329065</v>
      </c>
      <c r="L3259" s="22">
        <f t="shared" si="252"/>
        <v>1.43333333329065</v>
      </c>
      <c r="M3259" s="22" cm="1">
        <f ca="1" t="array" ref="M3259">SUMPRODUCT(--(WEEKDAY(ROW(INDIRECT(INT(F3259)&amp;":"&amp;INT(I3259))),2)&gt;5))</f>
        <v>0</v>
      </c>
      <c r="N3259" s="22">
        <f ca="1" t="shared" si="253"/>
        <v>1.43333333329065</v>
      </c>
      <c r="O3259" s="22" t="str">
        <f ca="1" t="shared" si="254"/>
        <v>Within SLA</v>
      </c>
      <c r="P3259" s="26" t="s">
        <v>12694</v>
      </c>
      <c r="Q3259" s="24" t="s">
        <v>37</v>
      </c>
      <c r="R3259" s="25"/>
      <c r="S3259" s="25"/>
    </row>
    <row r="3260" ht="39" customHeight="1" spans="1:19">
      <c r="A3260" s="19" t="s">
        <v>12698</v>
      </c>
      <c r="B3260" s="20" t="s">
        <v>725</v>
      </c>
      <c r="C3260" s="20" t="s">
        <v>101</v>
      </c>
      <c r="D3260" s="20" t="s">
        <v>32</v>
      </c>
      <c r="E3260" s="21" t="s">
        <v>12699</v>
      </c>
      <c r="F3260" s="21" t="s">
        <v>12700</v>
      </c>
      <c r="G3260" s="20" t="s">
        <v>35</v>
      </c>
      <c r="H3260" s="20" t="s">
        <v>25</v>
      </c>
      <c r="I3260" s="21" t="s">
        <v>12701</v>
      </c>
      <c r="J3260" s="22">
        <f t="shared" si="250"/>
        <v>1.18888888888614</v>
      </c>
      <c r="K3260" s="22">
        <f t="shared" si="251"/>
        <v>28.5333333332674</v>
      </c>
      <c r="L3260" s="22">
        <f t="shared" si="252"/>
        <v>12.5333333332674</v>
      </c>
      <c r="M3260" s="22" cm="1">
        <f ca="1" t="array" ref="M3260">SUMPRODUCT(--(WEEKDAY(ROW(INDIRECT(INT(F3260)&amp;":"&amp;INT(I3260))),2)&gt;5))</f>
        <v>0</v>
      </c>
      <c r="N3260" s="22">
        <f ca="1" t="shared" si="253"/>
        <v>12.5333333332674</v>
      </c>
      <c r="O3260" s="22" t="str">
        <f ca="1" t="shared" si="254"/>
        <v>SLA Violated</v>
      </c>
      <c r="P3260" s="23" t="s">
        <v>12702</v>
      </c>
      <c r="Q3260" s="24" t="s">
        <v>37</v>
      </c>
      <c r="R3260" s="25" t="s">
        <v>6838</v>
      </c>
      <c r="S3260" s="25" t="s">
        <v>39</v>
      </c>
    </row>
    <row r="3261" ht="39" customHeight="1" spans="1:19">
      <c r="A3261" s="19" t="s">
        <v>12703</v>
      </c>
      <c r="B3261" s="20" t="s">
        <v>19</v>
      </c>
      <c r="C3261" s="20" t="s">
        <v>20</v>
      </c>
      <c r="D3261" s="20" t="s">
        <v>32</v>
      </c>
      <c r="E3261" s="21" t="s">
        <v>12704</v>
      </c>
      <c r="F3261" s="21" t="s">
        <v>12705</v>
      </c>
      <c r="G3261" s="20" t="s">
        <v>35</v>
      </c>
      <c r="H3261" s="20" t="s">
        <v>25</v>
      </c>
      <c r="I3261" s="21" t="s">
        <v>12706</v>
      </c>
      <c r="J3261" s="22">
        <f t="shared" si="250"/>
        <v>0.00902777777810115</v>
      </c>
      <c r="K3261" s="22">
        <f t="shared" si="251"/>
        <v>0.216666666674428</v>
      </c>
      <c r="L3261" s="22">
        <f t="shared" si="252"/>
        <v>0.216666666674428</v>
      </c>
      <c r="M3261" s="22" cm="1">
        <f ca="1" t="array" ref="M3261">SUMPRODUCT(--(WEEKDAY(ROW(INDIRECT(INT(F3261)&amp;":"&amp;INT(I3261))),2)&gt;5))</f>
        <v>0</v>
      </c>
      <c r="N3261" s="22">
        <f ca="1" t="shared" si="253"/>
        <v>0.216666666674428</v>
      </c>
      <c r="O3261" s="22" t="str">
        <f ca="1" t="shared" si="254"/>
        <v>Within SLA</v>
      </c>
      <c r="P3261" s="26" t="s">
        <v>12703</v>
      </c>
      <c r="Q3261" s="24" t="s">
        <v>37</v>
      </c>
      <c r="R3261" s="25"/>
      <c r="S3261" s="25"/>
    </row>
    <row r="3262" ht="39" customHeight="1" spans="1:19">
      <c r="A3262" s="19" t="s">
        <v>12707</v>
      </c>
      <c r="B3262" s="20" t="s">
        <v>19</v>
      </c>
      <c r="C3262" s="20" t="s">
        <v>20</v>
      </c>
      <c r="D3262" s="20" t="s">
        <v>32</v>
      </c>
      <c r="E3262" s="21" t="s">
        <v>12708</v>
      </c>
      <c r="F3262" s="21" t="s">
        <v>12709</v>
      </c>
      <c r="G3262" s="20" t="s">
        <v>35</v>
      </c>
      <c r="H3262" s="20" t="s">
        <v>25</v>
      </c>
      <c r="I3262" s="21" t="s">
        <v>12710</v>
      </c>
      <c r="J3262" s="22">
        <f t="shared" si="250"/>
        <v>0.00486111111240461</v>
      </c>
      <c r="K3262" s="22">
        <f t="shared" si="251"/>
        <v>0.116666666697711</v>
      </c>
      <c r="L3262" s="22">
        <f t="shared" si="252"/>
        <v>0.116666666697711</v>
      </c>
      <c r="M3262" s="22" cm="1">
        <f ca="1" t="array" ref="M3262">SUMPRODUCT(--(WEEKDAY(ROW(INDIRECT(INT(F3262)&amp;":"&amp;INT(I3262))),2)&gt;5))</f>
        <v>0</v>
      </c>
      <c r="N3262" s="22">
        <f ca="1" t="shared" si="253"/>
        <v>0.116666666697711</v>
      </c>
      <c r="O3262" s="22" t="str">
        <f ca="1" t="shared" si="254"/>
        <v>Within SLA</v>
      </c>
      <c r="P3262" s="26" t="s">
        <v>12707</v>
      </c>
      <c r="Q3262" s="24" t="s">
        <v>37</v>
      </c>
      <c r="R3262" s="25"/>
      <c r="S3262" s="25"/>
    </row>
    <row r="3263" ht="27" customHeight="1" spans="1:19">
      <c r="A3263" s="19" t="s">
        <v>12711</v>
      </c>
      <c r="B3263" s="20" t="s">
        <v>139</v>
      </c>
      <c r="C3263" s="20" t="s">
        <v>12458</v>
      </c>
      <c r="D3263" s="20" t="s">
        <v>32</v>
      </c>
      <c r="E3263" s="21" t="s">
        <v>12712</v>
      </c>
      <c r="F3263" s="21" t="s">
        <v>12713</v>
      </c>
      <c r="G3263" s="20" t="s">
        <v>35</v>
      </c>
      <c r="H3263" s="20" t="s">
        <v>25</v>
      </c>
      <c r="I3263" s="21" t="s">
        <v>12714</v>
      </c>
      <c r="J3263" s="22">
        <f t="shared" si="250"/>
        <v>0.0868055555547471</v>
      </c>
      <c r="K3263" s="22">
        <f t="shared" si="251"/>
        <v>2.08333333331393</v>
      </c>
      <c r="L3263" s="22">
        <f t="shared" si="252"/>
        <v>2.08333333331393</v>
      </c>
      <c r="M3263" s="22" cm="1">
        <f ca="1" t="array" ref="M3263">SUMPRODUCT(--(WEEKDAY(ROW(INDIRECT(INT(F3263)&amp;":"&amp;INT(I3263))),2)&gt;5))</f>
        <v>0</v>
      </c>
      <c r="N3263" s="22">
        <f ca="1" t="shared" si="253"/>
        <v>2.08333333331393</v>
      </c>
      <c r="O3263" s="22" t="str">
        <f ca="1" t="shared" si="254"/>
        <v>Within SLA</v>
      </c>
      <c r="P3263" s="26" t="s">
        <v>12711</v>
      </c>
      <c r="Q3263" s="24" t="s">
        <v>37</v>
      </c>
      <c r="R3263" s="25"/>
      <c r="S3263" s="25"/>
    </row>
    <row r="3264" ht="39" customHeight="1" spans="1:19">
      <c r="A3264" s="19" t="s">
        <v>12715</v>
      </c>
      <c r="B3264" s="20" t="s">
        <v>19</v>
      </c>
      <c r="C3264" s="20" t="s">
        <v>20</v>
      </c>
      <c r="D3264" s="20" t="s">
        <v>21</v>
      </c>
      <c r="E3264" s="21" t="s">
        <v>12714</v>
      </c>
      <c r="F3264" s="21" t="s">
        <v>12716</v>
      </c>
      <c r="G3264" s="20" t="s">
        <v>35</v>
      </c>
      <c r="H3264" s="20" t="s">
        <v>25</v>
      </c>
      <c r="I3264" s="21" t="s">
        <v>12717</v>
      </c>
      <c r="J3264" s="22">
        <f t="shared" si="250"/>
        <v>0.168750000004366</v>
      </c>
      <c r="K3264" s="22">
        <f t="shared" si="251"/>
        <v>4.05000000010477</v>
      </c>
      <c r="L3264" s="22">
        <f t="shared" si="252"/>
        <v>4.05000000010477</v>
      </c>
      <c r="M3264" s="22" cm="1">
        <f ca="1" t="array" ref="M3264">SUMPRODUCT(--(WEEKDAY(ROW(INDIRECT(INT(F3264)&amp;":"&amp;INT(I3264))),2)&gt;5))</f>
        <v>0</v>
      </c>
      <c r="N3264" s="22">
        <f ca="1" t="shared" si="253"/>
        <v>4.05000000010477</v>
      </c>
      <c r="O3264" s="22" t="str">
        <f ca="1" t="shared" si="254"/>
        <v>SLA Violated</v>
      </c>
      <c r="P3264" s="23" t="s">
        <v>12718</v>
      </c>
      <c r="Q3264" s="24" t="s">
        <v>28</v>
      </c>
      <c r="R3264" s="25"/>
      <c r="S3264" s="25"/>
    </row>
    <row r="3265" ht="39" customHeight="1" spans="1:19">
      <c r="A3265" s="19" t="s">
        <v>12719</v>
      </c>
      <c r="B3265" s="20" t="s">
        <v>196</v>
      </c>
      <c r="C3265" s="20" t="s">
        <v>12410</v>
      </c>
      <c r="D3265" s="20" t="s">
        <v>32</v>
      </c>
      <c r="E3265" s="21" t="s">
        <v>12720</v>
      </c>
      <c r="F3265" s="21" t="s">
        <v>12721</v>
      </c>
      <c r="G3265" s="20" t="s">
        <v>35</v>
      </c>
      <c r="H3265" s="20" t="s">
        <v>25</v>
      </c>
      <c r="I3265" s="21" t="s">
        <v>12722</v>
      </c>
      <c r="J3265" s="22">
        <f t="shared" si="250"/>
        <v>1.76527777777665</v>
      </c>
      <c r="K3265" s="22">
        <f t="shared" si="251"/>
        <v>42.3666666666395</v>
      </c>
      <c r="L3265" s="22">
        <f t="shared" si="252"/>
        <v>10.3666666666395</v>
      </c>
      <c r="M3265" s="22" cm="1">
        <f ca="1" t="array" ref="M3265">SUMPRODUCT(--(WEEKDAY(ROW(INDIRECT(INT(F3265)&amp;":"&amp;INT(I3265))),2)&gt;5))</f>
        <v>0</v>
      </c>
      <c r="N3265" s="22">
        <f ca="1" t="shared" si="253"/>
        <v>10.3666666666395</v>
      </c>
      <c r="O3265" s="22" t="str">
        <f ca="1" t="shared" si="254"/>
        <v>Within SLA</v>
      </c>
      <c r="P3265" s="26" t="s">
        <v>12719</v>
      </c>
      <c r="Q3265" s="24" t="s">
        <v>37</v>
      </c>
      <c r="R3265" s="25"/>
      <c r="S3265" s="25"/>
    </row>
    <row r="3266" ht="39" customHeight="1" spans="1:19">
      <c r="A3266" s="19" t="s">
        <v>12723</v>
      </c>
      <c r="B3266" s="20" t="s">
        <v>196</v>
      </c>
      <c r="C3266" s="20" t="s">
        <v>101</v>
      </c>
      <c r="D3266" s="20" t="s">
        <v>32</v>
      </c>
      <c r="E3266" s="21" t="s">
        <v>12724</v>
      </c>
      <c r="F3266" s="21" t="s">
        <v>12725</v>
      </c>
      <c r="G3266" s="20" t="s">
        <v>35</v>
      </c>
      <c r="H3266" s="20" t="s">
        <v>25</v>
      </c>
      <c r="I3266" s="21" t="s">
        <v>12726</v>
      </c>
      <c r="J3266" s="22">
        <f t="shared" si="250"/>
        <v>0.178472222221899</v>
      </c>
      <c r="K3266" s="22">
        <f t="shared" si="251"/>
        <v>4.28333333332557</v>
      </c>
      <c r="L3266" s="22">
        <f t="shared" si="252"/>
        <v>4.28333333332557</v>
      </c>
      <c r="M3266" s="22" cm="1">
        <f ca="1" t="array" ref="M3266">SUMPRODUCT(--(WEEKDAY(ROW(INDIRECT(INT(F3266)&amp;":"&amp;INT(I3266))),2)&gt;5))</f>
        <v>0</v>
      </c>
      <c r="N3266" s="22">
        <f ca="1" t="shared" si="253"/>
        <v>4.28333333332557</v>
      </c>
      <c r="O3266" s="22" t="str">
        <f ca="1" t="shared" si="254"/>
        <v>Within SLA</v>
      </c>
      <c r="P3266" s="26" t="s">
        <v>12723</v>
      </c>
      <c r="Q3266" s="24" t="s">
        <v>37</v>
      </c>
      <c r="R3266" s="25"/>
      <c r="S3266" s="25"/>
    </row>
    <row r="3267" ht="27" customHeight="1" spans="1:19">
      <c r="A3267" s="19" t="s">
        <v>12727</v>
      </c>
      <c r="B3267" s="20" t="s">
        <v>30</v>
      </c>
      <c r="C3267" s="20" t="s">
        <v>101</v>
      </c>
      <c r="D3267" s="20" t="s">
        <v>32</v>
      </c>
      <c r="E3267" s="21" t="s">
        <v>12728</v>
      </c>
      <c r="F3267" s="21" t="s">
        <v>12729</v>
      </c>
      <c r="G3267" s="20" t="s">
        <v>35</v>
      </c>
      <c r="H3267" s="20" t="s">
        <v>25</v>
      </c>
      <c r="I3267" s="21" t="s">
        <v>12730</v>
      </c>
      <c r="J3267" s="22">
        <f t="shared" ref="J3267:J3297" si="255">F3267-I3267</f>
        <v>0.00277777777955635</v>
      </c>
      <c r="K3267" s="22">
        <f t="shared" ref="K3267:K3297" si="256">J3267*24</f>
        <v>0.0666666667093523</v>
      </c>
      <c r="L3267" s="22">
        <f t="shared" ref="L3267:L3297" si="257">IF(_xlfn.DAYS(F3267,I3267)&gt;0,K3267-IF(FLOOR(J3267,1)=0,1,_xlfn.DAYS(F3267,I3267))*16,K3267)</f>
        <v>0.0666666667093523</v>
      </c>
      <c r="M3267" s="22" cm="1">
        <f ca="1" t="array" ref="M3267">SUMPRODUCT(--(WEEKDAY(ROW(INDIRECT(INT(F3267)&amp;":"&amp;INT(I3267))),2)&gt;5))</f>
        <v>0</v>
      </c>
      <c r="N3267" s="22">
        <f ca="1" t="shared" ref="N3267:N3297" si="258">IF(IF(M3267&gt;0,L3267-M3267*8,L3267)&lt;0,0,IF(M3267&gt;0,L3267-M3267*8,L3267))</f>
        <v>0.0666666667093523</v>
      </c>
      <c r="O3267" s="22" t="str">
        <f ca="1" t="shared" ref="O3267:O3297" si="259">IF(OR(AND(D3267="P1",N3267&lt;=3),AND(D3267="P2",N3267&lt;=6),AND(D3267="P3",N3267&lt;=9),AND(D3267="P4",N3267&lt;=12)),"Within SLA","SLA Violated")</f>
        <v>Within SLA</v>
      </c>
      <c r="P3267" s="26" t="s">
        <v>12727</v>
      </c>
      <c r="Q3267" s="24" t="s">
        <v>37</v>
      </c>
      <c r="R3267" s="25"/>
      <c r="S3267" s="25"/>
    </row>
    <row r="3268" ht="16" customHeight="1" spans="1:19">
      <c r="A3268" s="19" t="s">
        <v>12731</v>
      </c>
      <c r="B3268" s="20" t="s">
        <v>100</v>
      </c>
      <c r="C3268" s="20" t="s">
        <v>101</v>
      </c>
      <c r="D3268" s="20" t="s">
        <v>32</v>
      </c>
      <c r="E3268" s="21" t="s">
        <v>12732</v>
      </c>
      <c r="F3268" s="21" t="s">
        <v>12733</v>
      </c>
      <c r="G3268" s="20" t="s">
        <v>35</v>
      </c>
      <c r="H3268" s="20" t="s">
        <v>25</v>
      </c>
      <c r="I3268" s="21" t="s">
        <v>12734</v>
      </c>
      <c r="J3268" s="22">
        <f t="shared" si="255"/>
        <v>0.898611111108039</v>
      </c>
      <c r="K3268" s="22">
        <f t="shared" si="256"/>
        <v>21.5666666665929</v>
      </c>
      <c r="L3268" s="22">
        <f t="shared" si="257"/>
        <v>5.56666666659294</v>
      </c>
      <c r="M3268" s="22" cm="1">
        <f ca="1" t="array" ref="M3268">SUMPRODUCT(--(WEEKDAY(ROW(INDIRECT(INT(F3268)&amp;":"&amp;INT(I3268))),2)&gt;5))</f>
        <v>0</v>
      </c>
      <c r="N3268" s="22">
        <f ca="1" t="shared" si="258"/>
        <v>5.56666666659294</v>
      </c>
      <c r="O3268" s="22" t="str">
        <f ca="1" t="shared" si="259"/>
        <v>Within SLA</v>
      </c>
      <c r="P3268" s="26" t="s">
        <v>12731</v>
      </c>
      <c r="Q3268" s="24" t="s">
        <v>37</v>
      </c>
      <c r="R3268" s="25"/>
      <c r="S3268" s="25"/>
    </row>
    <row r="3269" ht="39" customHeight="1" spans="1:19">
      <c r="A3269" s="19" t="s">
        <v>12735</v>
      </c>
      <c r="B3269" s="20" t="s">
        <v>19</v>
      </c>
      <c r="C3269" s="20" t="s">
        <v>20</v>
      </c>
      <c r="D3269" s="20" t="s">
        <v>32</v>
      </c>
      <c r="E3269" s="21" t="s">
        <v>12736</v>
      </c>
      <c r="F3269" s="21" t="s">
        <v>12737</v>
      </c>
      <c r="G3269" s="20" t="s">
        <v>35</v>
      </c>
      <c r="H3269" s="20" t="s">
        <v>25</v>
      </c>
      <c r="I3269" s="21" t="s">
        <v>12737</v>
      </c>
      <c r="J3269" s="22">
        <f t="shared" si="255"/>
        <v>0</v>
      </c>
      <c r="K3269" s="22">
        <f t="shared" si="256"/>
        <v>0</v>
      </c>
      <c r="L3269" s="22">
        <f t="shared" si="257"/>
        <v>0</v>
      </c>
      <c r="M3269" s="22" cm="1">
        <f ca="1" t="array" ref="M3269">SUMPRODUCT(--(WEEKDAY(ROW(INDIRECT(INT(F3269)&amp;":"&amp;INT(I3269))),2)&gt;5))</f>
        <v>0</v>
      </c>
      <c r="N3269" s="22">
        <f ca="1" t="shared" si="258"/>
        <v>0</v>
      </c>
      <c r="O3269" s="22" t="str">
        <f ca="1" t="shared" si="259"/>
        <v>Within SLA</v>
      </c>
      <c r="P3269" s="26" t="s">
        <v>12735</v>
      </c>
      <c r="Q3269" s="24" t="s">
        <v>37</v>
      </c>
      <c r="R3269" s="25"/>
      <c r="S3269" s="25"/>
    </row>
    <row r="3270" ht="39" customHeight="1" spans="1:19">
      <c r="A3270" s="19" t="s">
        <v>12738</v>
      </c>
      <c r="B3270" s="20" t="s">
        <v>196</v>
      </c>
      <c r="C3270" s="20" t="s">
        <v>101</v>
      </c>
      <c r="D3270" s="20" t="s">
        <v>32</v>
      </c>
      <c r="E3270" s="21" t="s">
        <v>12739</v>
      </c>
      <c r="F3270" s="21" t="s">
        <v>12740</v>
      </c>
      <c r="G3270" s="20" t="s">
        <v>35</v>
      </c>
      <c r="H3270" s="20" t="s">
        <v>25</v>
      </c>
      <c r="I3270" s="21" t="s">
        <v>12741</v>
      </c>
      <c r="J3270" s="22">
        <f t="shared" si="255"/>
        <v>0.0562500000014552</v>
      </c>
      <c r="K3270" s="22">
        <f t="shared" si="256"/>
        <v>1.35000000003492</v>
      </c>
      <c r="L3270" s="22">
        <f t="shared" si="257"/>
        <v>1.35000000003492</v>
      </c>
      <c r="M3270" s="22" cm="1">
        <f ca="1" t="array" ref="M3270">SUMPRODUCT(--(WEEKDAY(ROW(INDIRECT(INT(F3270)&amp;":"&amp;INT(I3270))),2)&gt;5))</f>
        <v>0</v>
      </c>
      <c r="N3270" s="22">
        <f ca="1" t="shared" si="258"/>
        <v>1.35000000003492</v>
      </c>
      <c r="O3270" s="22" t="str">
        <f ca="1" t="shared" si="259"/>
        <v>Within SLA</v>
      </c>
      <c r="P3270" s="26" t="s">
        <v>12738</v>
      </c>
      <c r="Q3270" s="24" t="s">
        <v>37</v>
      </c>
      <c r="R3270" s="25"/>
      <c r="S3270" s="25"/>
    </row>
    <row r="3271" ht="27" customHeight="1" spans="1:19">
      <c r="A3271" s="19" t="s">
        <v>12742</v>
      </c>
      <c r="B3271" s="20" t="s">
        <v>30</v>
      </c>
      <c r="C3271" s="20" t="s">
        <v>46</v>
      </c>
      <c r="D3271" s="20" t="s">
        <v>32</v>
      </c>
      <c r="E3271" s="21" t="s">
        <v>12743</v>
      </c>
      <c r="F3271" s="21" t="s">
        <v>12744</v>
      </c>
      <c r="G3271" s="20" t="s">
        <v>35</v>
      </c>
      <c r="H3271" s="20" t="s">
        <v>25</v>
      </c>
      <c r="I3271" s="21" t="s">
        <v>12745</v>
      </c>
      <c r="J3271" s="22">
        <f t="shared" si="255"/>
        <v>0.0284722222204437</v>
      </c>
      <c r="K3271" s="22">
        <f t="shared" si="256"/>
        <v>0.683333333290648</v>
      </c>
      <c r="L3271" s="22">
        <f t="shared" si="257"/>
        <v>0.683333333290648</v>
      </c>
      <c r="M3271" s="22" cm="1">
        <f ca="1" t="array" ref="M3271">SUMPRODUCT(--(WEEKDAY(ROW(INDIRECT(INT(F3271)&amp;":"&amp;INT(I3271))),2)&gt;5))</f>
        <v>0</v>
      </c>
      <c r="N3271" s="22">
        <f ca="1" t="shared" si="258"/>
        <v>0.683333333290648</v>
      </c>
      <c r="O3271" s="22" t="str">
        <f ca="1" t="shared" si="259"/>
        <v>Within SLA</v>
      </c>
      <c r="P3271" s="26" t="s">
        <v>12742</v>
      </c>
      <c r="Q3271" s="24" t="s">
        <v>37</v>
      </c>
      <c r="R3271" s="25"/>
      <c r="S3271" s="25"/>
    </row>
    <row r="3272" ht="39" customHeight="1" spans="1:19">
      <c r="A3272" s="19" t="s">
        <v>12746</v>
      </c>
      <c r="B3272" s="20" t="s">
        <v>19</v>
      </c>
      <c r="C3272" s="20" t="s">
        <v>20</v>
      </c>
      <c r="D3272" s="20" t="s">
        <v>32</v>
      </c>
      <c r="E3272" s="21" t="s">
        <v>12747</v>
      </c>
      <c r="F3272" s="21" t="s">
        <v>12748</v>
      </c>
      <c r="G3272" s="20" t="s">
        <v>35</v>
      </c>
      <c r="H3272" s="20" t="s">
        <v>25</v>
      </c>
      <c r="I3272" s="21" t="s">
        <v>1437</v>
      </c>
      <c r="J3272" s="22">
        <f t="shared" si="255"/>
        <v>0.00902777777810115</v>
      </c>
      <c r="K3272" s="22">
        <f t="shared" si="256"/>
        <v>0.216666666674428</v>
      </c>
      <c r="L3272" s="22">
        <f t="shared" si="257"/>
        <v>0.216666666674428</v>
      </c>
      <c r="M3272" s="22" cm="1">
        <f ca="1" t="array" ref="M3272">SUMPRODUCT(--(WEEKDAY(ROW(INDIRECT(INT(F3272)&amp;":"&amp;INT(I3272))),2)&gt;5))</f>
        <v>0</v>
      </c>
      <c r="N3272" s="22">
        <f ca="1" t="shared" si="258"/>
        <v>0.216666666674428</v>
      </c>
      <c r="O3272" s="22" t="str">
        <f ca="1" t="shared" si="259"/>
        <v>Within SLA</v>
      </c>
      <c r="P3272" s="26" t="s">
        <v>12746</v>
      </c>
      <c r="Q3272" s="24" t="s">
        <v>37</v>
      </c>
      <c r="R3272" s="25"/>
      <c r="S3272" s="25"/>
    </row>
    <row r="3273" ht="39" customHeight="1" spans="1:19">
      <c r="A3273" s="19" t="s">
        <v>12749</v>
      </c>
      <c r="B3273" s="20" t="s">
        <v>196</v>
      </c>
      <c r="C3273" s="20" t="s">
        <v>12410</v>
      </c>
      <c r="D3273" s="20" t="s">
        <v>32</v>
      </c>
      <c r="E3273" s="21" t="s">
        <v>12750</v>
      </c>
      <c r="F3273" s="21" t="s">
        <v>12751</v>
      </c>
      <c r="G3273" s="20" t="s">
        <v>35</v>
      </c>
      <c r="H3273" s="20" t="s">
        <v>25</v>
      </c>
      <c r="I3273" s="21" t="s">
        <v>12752</v>
      </c>
      <c r="J3273" s="22">
        <f t="shared" si="255"/>
        <v>1.16597222222481</v>
      </c>
      <c r="K3273" s="22">
        <f t="shared" si="256"/>
        <v>27.9833333333954</v>
      </c>
      <c r="L3273" s="22">
        <f t="shared" si="257"/>
        <v>11.9833333333954</v>
      </c>
      <c r="M3273" s="22" cm="1">
        <f ca="1" t="array" ref="M3273">SUMPRODUCT(--(WEEKDAY(ROW(INDIRECT(INT(F3273)&amp;":"&amp;INT(I3273))),2)&gt;5))</f>
        <v>0</v>
      </c>
      <c r="N3273" s="22">
        <f ca="1" t="shared" si="258"/>
        <v>11.9833333333954</v>
      </c>
      <c r="O3273" s="22" t="str">
        <f ca="1" t="shared" si="259"/>
        <v>Within SLA</v>
      </c>
      <c r="P3273" s="26" t="s">
        <v>12749</v>
      </c>
      <c r="Q3273" s="24" t="s">
        <v>37</v>
      </c>
      <c r="R3273" s="25"/>
      <c r="S3273" s="25"/>
    </row>
    <row r="3274" ht="39" customHeight="1" spans="1:19">
      <c r="A3274" s="19" t="s">
        <v>12753</v>
      </c>
      <c r="B3274" s="20" t="s">
        <v>196</v>
      </c>
      <c r="C3274" s="20" t="s">
        <v>101</v>
      </c>
      <c r="D3274" s="20" t="s">
        <v>32</v>
      </c>
      <c r="E3274" s="21" t="s">
        <v>12754</v>
      </c>
      <c r="F3274" s="21" t="s">
        <v>12755</v>
      </c>
      <c r="G3274" s="20" t="s">
        <v>35</v>
      </c>
      <c r="H3274" s="20" t="s">
        <v>25</v>
      </c>
      <c r="I3274" s="21" t="s">
        <v>12756</v>
      </c>
      <c r="J3274" s="22">
        <f t="shared" si="255"/>
        <v>0.0673611111051287</v>
      </c>
      <c r="K3274" s="22">
        <f t="shared" si="256"/>
        <v>1.61666666652309</v>
      </c>
      <c r="L3274" s="22">
        <f t="shared" si="257"/>
        <v>1.61666666652309</v>
      </c>
      <c r="M3274" s="22" cm="1">
        <f ca="1" t="array" ref="M3274">SUMPRODUCT(--(WEEKDAY(ROW(INDIRECT(INT(F3274)&amp;":"&amp;INT(I3274))),2)&gt;5))</f>
        <v>0</v>
      </c>
      <c r="N3274" s="22">
        <f ca="1" t="shared" si="258"/>
        <v>1.61666666652309</v>
      </c>
      <c r="O3274" s="22" t="str">
        <f ca="1" t="shared" si="259"/>
        <v>Within SLA</v>
      </c>
      <c r="P3274" s="26" t="s">
        <v>12753</v>
      </c>
      <c r="Q3274" s="24" t="s">
        <v>37</v>
      </c>
      <c r="R3274" s="25"/>
      <c r="S3274" s="25"/>
    </row>
    <row r="3275" ht="39" customHeight="1" spans="1:19">
      <c r="A3275" s="19" t="s">
        <v>12757</v>
      </c>
      <c r="B3275" s="20" t="s">
        <v>19</v>
      </c>
      <c r="C3275" s="20" t="s">
        <v>20</v>
      </c>
      <c r="D3275" s="20" t="s">
        <v>32</v>
      </c>
      <c r="E3275" s="21" t="s">
        <v>12758</v>
      </c>
      <c r="F3275" s="21" t="s">
        <v>12759</v>
      </c>
      <c r="G3275" s="20" t="s">
        <v>35</v>
      </c>
      <c r="H3275" s="20" t="s">
        <v>25</v>
      </c>
      <c r="I3275" s="21" t="s">
        <v>12760</v>
      </c>
      <c r="J3275" s="22">
        <f t="shared" si="255"/>
        <v>0.10624999999709</v>
      </c>
      <c r="K3275" s="22">
        <f t="shared" si="256"/>
        <v>2.54999999993015</v>
      </c>
      <c r="L3275" s="22">
        <f t="shared" si="257"/>
        <v>2.54999999993015</v>
      </c>
      <c r="M3275" s="22" cm="1">
        <f ca="1" t="array" ref="M3275">SUMPRODUCT(--(WEEKDAY(ROW(INDIRECT(INT(F3275)&amp;":"&amp;INT(I3275))),2)&gt;5))</f>
        <v>0</v>
      </c>
      <c r="N3275" s="22">
        <f ca="1" t="shared" si="258"/>
        <v>2.54999999993015</v>
      </c>
      <c r="O3275" s="22" t="str">
        <f ca="1" t="shared" si="259"/>
        <v>Within SLA</v>
      </c>
      <c r="P3275" s="26" t="s">
        <v>12757</v>
      </c>
      <c r="Q3275" s="24" t="s">
        <v>37</v>
      </c>
      <c r="R3275" s="25"/>
      <c r="S3275" s="25"/>
    </row>
    <row r="3276" ht="39" customHeight="1" spans="1:19">
      <c r="A3276" s="19" t="s">
        <v>12761</v>
      </c>
      <c r="B3276" s="20" t="s">
        <v>19</v>
      </c>
      <c r="C3276" s="20" t="s">
        <v>20</v>
      </c>
      <c r="D3276" s="20" t="s">
        <v>32</v>
      </c>
      <c r="E3276" s="21" t="s">
        <v>12762</v>
      </c>
      <c r="F3276" s="21" t="s">
        <v>12763</v>
      </c>
      <c r="G3276" s="20" t="s">
        <v>35</v>
      </c>
      <c r="H3276" s="20" t="s">
        <v>25</v>
      </c>
      <c r="I3276" s="21" t="s">
        <v>12764</v>
      </c>
      <c r="J3276" s="22">
        <f t="shared" si="255"/>
        <v>0.00555555555911269</v>
      </c>
      <c r="K3276" s="22">
        <f t="shared" si="256"/>
        <v>0.133333333418705</v>
      </c>
      <c r="L3276" s="22">
        <f t="shared" si="257"/>
        <v>0.133333333418705</v>
      </c>
      <c r="M3276" s="22" cm="1">
        <f ca="1" t="array" ref="M3276">SUMPRODUCT(--(WEEKDAY(ROW(INDIRECT(INT(F3276)&amp;":"&amp;INT(I3276))),2)&gt;5))</f>
        <v>0</v>
      </c>
      <c r="N3276" s="22">
        <f ca="1" t="shared" si="258"/>
        <v>0.133333333418705</v>
      </c>
      <c r="O3276" s="22" t="str">
        <f ca="1" t="shared" si="259"/>
        <v>Within SLA</v>
      </c>
      <c r="P3276" s="26" t="s">
        <v>12761</v>
      </c>
      <c r="Q3276" s="24" t="s">
        <v>37</v>
      </c>
      <c r="R3276" s="25"/>
      <c r="S3276" s="25"/>
    </row>
    <row r="3277" ht="27" customHeight="1" spans="1:19">
      <c r="A3277" s="19" t="s">
        <v>12765</v>
      </c>
      <c r="B3277" s="20" t="s">
        <v>30</v>
      </c>
      <c r="C3277" s="20" t="s">
        <v>31</v>
      </c>
      <c r="D3277" s="20" t="s">
        <v>32</v>
      </c>
      <c r="E3277" s="21" t="s">
        <v>12766</v>
      </c>
      <c r="F3277" s="21" t="s">
        <v>12767</v>
      </c>
      <c r="G3277" s="20" t="s">
        <v>35</v>
      </c>
      <c r="H3277" s="20" t="s">
        <v>25</v>
      </c>
      <c r="I3277" s="21" t="s">
        <v>12768</v>
      </c>
      <c r="J3277" s="22">
        <f t="shared" si="255"/>
        <v>0.0923611111065838</v>
      </c>
      <c r="K3277" s="22">
        <f t="shared" si="256"/>
        <v>2.21666666655801</v>
      </c>
      <c r="L3277" s="22">
        <f t="shared" si="257"/>
        <v>2.21666666655801</v>
      </c>
      <c r="M3277" s="22" cm="1">
        <f ca="1" t="array" ref="M3277">SUMPRODUCT(--(WEEKDAY(ROW(INDIRECT(INT(F3277)&amp;":"&amp;INT(I3277))),2)&gt;5))</f>
        <v>0</v>
      </c>
      <c r="N3277" s="22">
        <f ca="1" t="shared" si="258"/>
        <v>2.21666666655801</v>
      </c>
      <c r="O3277" s="22" t="str">
        <f ca="1" t="shared" si="259"/>
        <v>Within SLA</v>
      </c>
      <c r="P3277" s="26" t="s">
        <v>12765</v>
      </c>
      <c r="Q3277" s="24" t="s">
        <v>37</v>
      </c>
      <c r="R3277" s="25"/>
      <c r="S3277" s="25"/>
    </row>
    <row r="3278" ht="27" customHeight="1" spans="1:19">
      <c r="A3278" s="19" t="s">
        <v>12769</v>
      </c>
      <c r="B3278" s="20" t="s">
        <v>30</v>
      </c>
      <c r="C3278" s="20" t="s">
        <v>31</v>
      </c>
      <c r="D3278" s="20" t="s">
        <v>32</v>
      </c>
      <c r="E3278" s="21" t="s">
        <v>12770</v>
      </c>
      <c r="F3278" s="21" t="s">
        <v>12771</v>
      </c>
      <c r="G3278" s="20" t="s">
        <v>35</v>
      </c>
      <c r="H3278" s="20" t="s">
        <v>25</v>
      </c>
      <c r="I3278" s="21" t="s">
        <v>12772</v>
      </c>
      <c r="J3278" s="22">
        <f t="shared" si="255"/>
        <v>6.16805555555038</v>
      </c>
      <c r="K3278" s="22">
        <f t="shared" si="256"/>
        <v>148.033333333209</v>
      </c>
      <c r="L3278" s="22">
        <f t="shared" si="257"/>
        <v>52.0333333332092</v>
      </c>
      <c r="M3278" s="22" cm="1">
        <f ca="1" t="array" ref="M3278">SUMPRODUCT(--(WEEKDAY(ROW(INDIRECT(INT(F3278)&amp;":"&amp;INT(I3278))),2)&gt;5))</f>
        <v>2</v>
      </c>
      <c r="N3278" s="22">
        <f ca="1" t="shared" si="258"/>
        <v>36.0333333332092</v>
      </c>
      <c r="O3278" s="22" t="str">
        <f ca="1" t="shared" si="259"/>
        <v>SLA Violated</v>
      </c>
      <c r="P3278" s="23" t="s">
        <v>12773</v>
      </c>
      <c r="Q3278" s="24" t="s">
        <v>37</v>
      </c>
      <c r="R3278" s="25" t="s">
        <v>2424</v>
      </c>
      <c r="S3278" s="25" t="s">
        <v>39</v>
      </c>
    </row>
    <row r="3279" ht="27" customHeight="1" spans="1:19">
      <c r="A3279" s="19" t="s">
        <v>12774</v>
      </c>
      <c r="B3279" s="20" t="s">
        <v>121</v>
      </c>
      <c r="C3279" s="20" t="s">
        <v>46</v>
      </c>
      <c r="D3279" s="20" t="s">
        <v>32</v>
      </c>
      <c r="E3279" s="21" t="s">
        <v>12775</v>
      </c>
      <c r="F3279" s="21" t="s">
        <v>12776</v>
      </c>
      <c r="G3279" s="20" t="s">
        <v>35</v>
      </c>
      <c r="H3279" s="20" t="s">
        <v>25</v>
      </c>
      <c r="I3279" s="21" t="s">
        <v>12777</v>
      </c>
      <c r="J3279" s="22">
        <f t="shared" si="255"/>
        <v>0.20625000000291</v>
      </c>
      <c r="K3279" s="22">
        <f t="shared" si="256"/>
        <v>4.95000000006985</v>
      </c>
      <c r="L3279" s="22">
        <f t="shared" si="257"/>
        <v>4.95000000006985</v>
      </c>
      <c r="M3279" s="22" cm="1">
        <f ca="1" t="array" ref="M3279">SUMPRODUCT(--(WEEKDAY(ROW(INDIRECT(INT(F3279)&amp;":"&amp;INT(I3279))),2)&gt;5))</f>
        <v>0</v>
      </c>
      <c r="N3279" s="22">
        <f ca="1" t="shared" si="258"/>
        <v>4.95000000006985</v>
      </c>
      <c r="O3279" s="22" t="str">
        <f ca="1" t="shared" si="259"/>
        <v>Within SLA</v>
      </c>
      <c r="P3279" s="26" t="s">
        <v>12774</v>
      </c>
      <c r="Q3279" s="24" t="s">
        <v>37</v>
      </c>
      <c r="R3279" s="25"/>
      <c r="S3279" s="25"/>
    </row>
    <row r="3280" ht="39" customHeight="1" spans="1:19">
      <c r="A3280" s="19" t="s">
        <v>12778</v>
      </c>
      <c r="B3280" s="20" t="s">
        <v>19</v>
      </c>
      <c r="C3280" s="20" t="s">
        <v>20</v>
      </c>
      <c r="D3280" s="20" t="s">
        <v>32</v>
      </c>
      <c r="E3280" s="21" t="s">
        <v>12779</v>
      </c>
      <c r="F3280" s="21" t="s">
        <v>12780</v>
      </c>
      <c r="G3280" s="20" t="s">
        <v>35</v>
      </c>
      <c r="H3280" s="20" t="s">
        <v>25</v>
      </c>
      <c r="I3280" s="21" t="s">
        <v>12781</v>
      </c>
      <c r="J3280" s="22">
        <f t="shared" si="255"/>
        <v>0.000694444439432118</v>
      </c>
      <c r="K3280" s="22">
        <f t="shared" si="256"/>
        <v>0.0166666665463708</v>
      </c>
      <c r="L3280" s="22">
        <f t="shared" si="257"/>
        <v>0.0166666665463708</v>
      </c>
      <c r="M3280" s="22" cm="1">
        <f ca="1" t="array" ref="M3280">SUMPRODUCT(--(WEEKDAY(ROW(INDIRECT(INT(F3280)&amp;":"&amp;INT(I3280))),2)&gt;5))</f>
        <v>0</v>
      </c>
      <c r="N3280" s="22">
        <f ca="1" t="shared" si="258"/>
        <v>0.0166666665463708</v>
      </c>
      <c r="O3280" s="22" t="str">
        <f ca="1" t="shared" si="259"/>
        <v>Within SLA</v>
      </c>
      <c r="P3280" s="26" t="s">
        <v>12778</v>
      </c>
      <c r="Q3280" s="24" t="s">
        <v>37</v>
      </c>
      <c r="R3280" s="25"/>
      <c r="S3280" s="25"/>
    </row>
    <row r="3281" ht="27" customHeight="1" spans="1:19">
      <c r="A3281" s="19" t="s">
        <v>12782</v>
      </c>
      <c r="B3281" s="20" t="s">
        <v>121</v>
      </c>
      <c r="C3281" s="20" t="s">
        <v>12410</v>
      </c>
      <c r="D3281" s="20" t="s">
        <v>32</v>
      </c>
      <c r="E3281" s="21" t="s">
        <v>12783</v>
      </c>
      <c r="F3281" s="21" t="s">
        <v>12784</v>
      </c>
      <c r="G3281" s="20" t="s">
        <v>35</v>
      </c>
      <c r="H3281" s="20" t="s">
        <v>25</v>
      </c>
      <c r="I3281" s="21" t="s">
        <v>12785</v>
      </c>
      <c r="J3281" s="22">
        <f t="shared" si="255"/>
        <v>0.856944444443798</v>
      </c>
      <c r="K3281" s="22">
        <f t="shared" si="256"/>
        <v>20.5666666666511</v>
      </c>
      <c r="L3281" s="22">
        <f t="shared" si="257"/>
        <v>4.56666666665114</v>
      </c>
      <c r="M3281" s="22" cm="1">
        <f ca="1" t="array" ref="M3281">SUMPRODUCT(--(WEEKDAY(ROW(INDIRECT(INT(F3281)&amp;":"&amp;INT(I3281))),2)&gt;5))</f>
        <v>0</v>
      </c>
      <c r="N3281" s="22">
        <f ca="1" t="shared" si="258"/>
        <v>4.56666666665114</v>
      </c>
      <c r="O3281" s="22" t="str">
        <f ca="1" t="shared" si="259"/>
        <v>Within SLA</v>
      </c>
      <c r="P3281" s="26" t="s">
        <v>12782</v>
      </c>
      <c r="Q3281" s="24" t="s">
        <v>37</v>
      </c>
      <c r="R3281" s="25"/>
      <c r="S3281" s="25"/>
    </row>
    <row r="3282" ht="27" customHeight="1" spans="1:19">
      <c r="A3282" s="19" t="s">
        <v>12786</v>
      </c>
      <c r="B3282" s="20" t="s">
        <v>30</v>
      </c>
      <c r="C3282" s="20" t="s">
        <v>2057</v>
      </c>
      <c r="D3282" s="20" t="s">
        <v>32</v>
      </c>
      <c r="E3282" s="21" t="s">
        <v>12781</v>
      </c>
      <c r="F3282" s="21" t="s">
        <v>12787</v>
      </c>
      <c r="G3282" s="20" t="s">
        <v>24</v>
      </c>
      <c r="H3282" s="20" t="s">
        <v>25</v>
      </c>
      <c r="I3282" s="21" t="s">
        <v>12788</v>
      </c>
      <c r="J3282" s="22">
        <f t="shared" si="255"/>
        <v>5.90555555555329</v>
      </c>
      <c r="K3282" s="22">
        <f t="shared" si="256"/>
        <v>141.733333333279</v>
      </c>
      <c r="L3282" s="22">
        <f t="shared" si="257"/>
        <v>45.733333333279</v>
      </c>
      <c r="M3282" s="22" cm="1">
        <f ca="1" t="array" ref="M3282">SUMPRODUCT(--(WEEKDAY(ROW(INDIRECT(INT(F3282)&amp;":"&amp;INT(I3282))),2)&gt;5))</f>
        <v>2</v>
      </c>
      <c r="N3282" s="22">
        <f ca="1" t="shared" si="258"/>
        <v>29.733333333279</v>
      </c>
      <c r="O3282" s="22" t="str">
        <f ca="1" t="shared" si="259"/>
        <v>SLA Violated</v>
      </c>
      <c r="P3282" s="23" t="s">
        <v>12789</v>
      </c>
      <c r="Q3282" s="24" t="s">
        <v>37</v>
      </c>
      <c r="R3282" s="25" t="s">
        <v>38</v>
      </c>
      <c r="S3282" s="25" t="s">
        <v>39</v>
      </c>
    </row>
    <row r="3283" ht="39" customHeight="1" spans="1:19">
      <c r="A3283" s="19" t="s">
        <v>12790</v>
      </c>
      <c r="B3283" s="20" t="s">
        <v>725</v>
      </c>
      <c r="C3283" s="20" t="s">
        <v>101</v>
      </c>
      <c r="D3283" s="20" t="s">
        <v>21</v>
      </c>
      <c r="E3283" s="21" t="s">
        <v>12791</v>
      </c>
      <c r="F3283" s="21" t="s">
        <v>12792</v>
      </c>
      <c r="G3283" s="20" t="s">
        <v>24</v>
      </c>
      <c r="H3283" s="20" t="s">
        <v>25</v>
      </c>
      <c r="I3283" s="21" t="s">
        <v>12793</v>
      </c>
      <c r="J3283" s="22">
        <f t="shared" si="255"/>
        <v>0.0124999999970896</v>
      </c>
      <c r="K3283" s="22">
        <f t="shared" si="256"/>
        <v>0.299999999930151</v>
      </c>
      <c r="L3283" s="22">
        <f t="shared" si="257"/>
        <v>0.299999999930151</v>
      </c>
      <c r="M3283" s="22" cm="1">
        <f ca="1" t="array" ref="M3283">SUMPRODUCT(--(WEEKDAY(ROW(INDIRECT(INT(F3283)&amp;":"&amp;INT(I3283))),2)&gt;5))</f>
        <v>0</v>
      </c>
      <c r="N3283" s="22">
        <f ca="1" t="shared" si="258"/>
        <v>0.299999999930151</v>
      </c>
      <c r="O3283" s="22" t="str">
        <f ca="1" t="shared" si="259"/>
        <v>Within SLA</v>
      </c>
      <c r="P3283" s="26" t="s">
        <v>12790</v>
      </c>
      <c r="Q3283" s="24" t="s">
        <v>37</v>
      </c>
      <c r="R3283" s="25"/>
      <c r="S3283" s="25"/>
    </row>
    <row r="3284" ht="39" customHeight="1" spans="1:19">
      <c r="A3284" s="19" t="s">
        <v>12794</v>
      </c>
      <c r="B3284" s="20" t="s">
        <v>19</v>
      </c>
      <c r="C3284" s="20" t="s">
        <v>20</v>
      </c>
      <c r="D3284" s="20" t="s">
        <v>32</v>
      </c>
      <c r="E3284" s="21" t="s">
        <v>12795</v>
      </c>
      <c r="F3284" s="21" t="s">
        <v>12796</v>
      </c>
      <c r="G3284" s="20" t="s">
        <v>35</v>
      </c>
      <c r="H3284" s="20" t="s">
        <v>25</v>
      </c>
      <c r="I3284" s="21" t="s">
        <v>12797</v>
      </c>
      <c r="J3284" s="22">
        <f t="shared" si="255"/>
        <v>0.0138888888832298</v>
      </c>
      <c r="K3284" s="22">
        <f t="shared" si="256"/>
        <v>0.333333333197515</v>
      </c>
      <c r="L3284" s="22">
        <f t="shared" si="257"/>
        <v>0.333333333197515</v>
      </c>
      <c r="M3284" s="22" cm="1">
        <f ca="1" t="array" ref="M3284">SUMPRODUCT(--(WEEKDAY(ROW(INDIRECT(INT(F3284)&amp;":"&amp;INT(I3284))),2)&gt;5))</f>
        <v>0</v>
      </c>
      <c r="N3284" s="22">
        <f ca="1" t="shared" si="258"/>
        <v>0.333333333197515</v>
      </c>
      <c r="O3284" s="22" t="str">
        <f ca="1" t="shared" si="259"/>
        <v>Within SLA</v>
      </c>
      <c r="P3284" s="26" t="s">
        <v>12794</v>
      </c>
      <c r="Q3284" s="24" t="s">
        <v>37</v>
      </c>
      <c r="R3284" s="25"/>
      <c r="S3284" s="25"/>
    </row>
    <row r="3285" ht="39" customHeight="1" spans="1:19">
      <c r="A3285" s="19" t="s">
        <v>12798</v>
      </c>
      <c r="B3285" s="20" t="s">
        <v>19</v>
      </c>
      <c r="C3285" s="20" t="s">
        <v>20</v>
      </c>
      <c r="D3285" s="20" t="s">
        <v>32</v>
      </c>
      <c r="E3285" s="21" t="s">
        <v>12799</v>
      </c>
      <c r="F3285" s="21" t="s">
        <v>12800</v>
      </c>
      <c r="G3285" s="20" t="s">
        <v>35</v>
      </c>
      <c r="H3285" s="20" t="s">
        <v>25</v>
      </c>
      <c r="I3285" s="21" t="s">
        <v>12801</v>
      </c>
      <c r="J3285" s="22">
        <f t="shared" si="255"/>
        <v>0.015277777776646</v>
      </c>
      <c r="K3285" s="22">
        <f t="shared" si="256"/>
        <v>0.366666666639503</v>
      </c>
      <c r="L3285" s="22">
        <f t="shared" si="257"/>
        <v>0.366666666639503</v>
      </c>
      <c r="M3285" s="22" cm="1">
        <f ca="1" t="array" ref="M3285">SUMPRODUCT(--(WEEKDAY(ROW(INDIRECT(INT(F3285)&amp;":"&amp;INT(I3285))),2)&gt;5))</f>
        <v>0</v>
      </c>
      <c r="N3285" s="22">
        <f ca="1" t="shared" si="258"/>
        <v>0.366666666639503</v>
      </c>
      <c r="O3285" s="22" t="str">
        <f ca="1" t="shared" si="259"/>
        <v>Within SLA</v>
      </c>
      <c r="P3285" s="26" t="s">
        <v>12798</v>
      </c>
      <c r="Q3285" s="24" t="s">
        <v>37</v>
      </c>
      <c r="R3285" s="25"/>
      <c r="S3285" s="25"/>
    </row>
    <row r="3286" ht="39" customHeight="1" spans="1:19">
      <c r="A3286" s="19" t="s">
        <v>12802</v>
      </c>
      <c r="B3286" s="20" t="s">
        <v>19</v>
      </c>
      <c r="C3286" s="20" t="s">
        <v>20</v>
      </c>
      <c r="D3286" s="20" t="s">
        <v>32</v>
      </c>
      <c r="E3286" s="21" t="s">
        <v>12803</v>
      </c>
      <c r="F3286" s="21" t="s">
        <v>12804</v>
      </c>
      <c r="G3286" s="20" t="s">
        <v>35</v>
      </c>
      <c r="H3286" s="20" t="s">
        <v>25</v>
      </c>
      <c r="I3286" s="21" t="s">
        <v>12805</v>
      </c>
      <c r="J3286" s="22">
        <f t="shared" si="255"/>
        <v>0.0222222222218988</v>
      </c>
      <c r="K3286" s="22">
        <f t="shared" si="256"/>
        <v>0.533333333325572</v>
      </c>
      <c r="L3286" s="22">
        <f t="shared" si="257"/>
        <v>0.533333333325572</v>
      </c>
      <c r="M3286" s="22" cm="1">
        <f ca="1" t="array" ref="M3286">SUMPRODUCT(--(WEEKDAY(ROW(INDIRECT(INT(F3286)&amp;":"&amp;INT(I3286))),2)&gt;5))</f>
        <v>0</v>
      </c>
      <c r="N3286" s="22">
        <f ca="1" t="shared" si="258"/>
        <v>0.533333333325572</v>
      </c>
      <c r="O3286" s="22" t="str">
        <f ca="1" t="shared" si="259"/>
        <v>Within SLA</v>
      </c>
      <c r="P3286" s="26" t="s">
        <v>12802</v>
      </c>
      <c r="Q3286" s="24" t="s">
        <v>37</v>
      </c>
      <c r="R3286" s="25"/>
      <c r="S3286" s="25"/>
    </row>
    <row r="3287" ht="16" customHeight="1" spans="1:19">
      <c r="A3287" s="19" t="s">
        <v>12806</v>
      </c>
      <c r="B3287" s="20" t="s">
        <v>100</v>
      </c>
      <c r="C3287" s="20" t="s">
        <v>101</v>
      </c>
      <c r="D3287" s="20" t="s">
        <v>32</v>
      </c>
      <c r="E3287" s="21" t="s">
        <v>12807</v>
      </c>
      <c r="F3287" s="21" t="s">
        <v>10423</v>
      </c>
      <c r="G3287" s="20" t="s">
        <v>10424</v>
      </c>
      <c r="H3287" s="20" t="s">
        <v>25</v>
      </c>
      <c r="I3287" s="21" t="s">
        <v>12808</v>
      </c>
      <c r="J3287" s="22" t="e">
        <f t="shared" si="255"/>
        <v>#VALUE!</v>
      </c>
      <c r="K3287" s="22" t="e">
        <f t="shared" si="256"/>
        <v>#VALUE!</v>
      </c>
      <c r="L3287" s="22" t="e">
        <f t="shared" si="257"/>
        <v>#VALUE!</v>
      </c>
      <c r="M3287" s="22" t="e" cm="1">
        <f ca="1" t="array" ref="M3287">SUMPRODUCT(--(WEEKDAY(ROW(INDIRECT(INT(F3287)&amp;":"&amp;INT(I3287))),2)&gt;5))</f>
        <v>#VALUE!</v>
      </c>
      <c r="N3287" s="22" t="e">
        <f ca="1" t="shared" si="258"/>
        <v>#VALUE!</v>
      </c>
      <c r="O3287" s="22" t="e">
        <f ca="1" t="shared" si="259"/>
        <v>#VALUE!</v>
      </c>
      <c r="P3287" s="26" t="s">
        <v>12806</v>
      </c>
      <c r="Q3287" s="24" t="e">
        <v>#VALUE!</v>
      </c>
      <c r="R3287" s="25"/>
      <c r="S3287" s="25"/>
    </row>
    <row r="3288" ht="39" customHeight="1" spans="1:19">
      <c r="A3288" s="19" t="s">
        <v>12809</v>
      </c>
      <c r="B3288" s="20" t="s">
        <v>196</v>
      </c>
      <c r="C3288" s="20" t="s">
        <v>12410</v>
      </c>
      <c r="D3288" s="20" t="s">
        <v>32</v>
      </c>
      <c r="E3288" s="21" t="s">
        <v>12810</v>
      </c>
      <c r="F3288" s="21" t="s">
        <v>12811</v>
      </c>
      <c r="G3288" s="20" t="s">
        <v>35</v>
      </c>
      <c r="H3288" s="20" t="s">
        <v>25</v>
      </c>
      <c r="I3288" s="21" t="s">
        <v>12812</v>
      </c>
      <c r="J3288" s="22">
        <f t="shared" si="255"/>
        <v>0.0222222222218988</v>
      </c>
      <c r="K3288" s="22">
        <f t="shared" si="256"/>
        <v>0.533333333325572</v>
      </c>
      <c r="L3288" s="22">
        <f t="shared" si="257"/>
        <v>0.533333333325572</v>
      </c>
      <c r="M3288" s="22" cm="1">
        <f ca="1" t="array" ref="M3288">SUMPRODUCT(--(WEEKDAY(ROW(INDIRECT(INT(F3288)&amp;":"&amp;INT(I3288))),2)&gt;5))</f>
        <v>0</v>
      </c>
      <c r="N3288" s="22">
        <f ca="1" t="shared" si="258"/>
        <v>0.533333333325572</v>
      </c>
      <c r="O3288" s="22" t="str">
        <f ca="1" t="shared" si="259"/>
        <v>Within SLA</v>
      </c>
      <c r="P3288" s="26" t="s">
        <v>12809</v>
      </c>
      <c r="Q3288" s="24" t="s">
        <v>37</v>
      </c>
      <c r="R3288" s="25"/>
      <c r="S3288" s="25"/>
    </row>
    <row r="3289" ht="27" customHeight="1" spans="1:19">
      <c r="A3289" s="19" t="s">
        <v>12813</v>
      </c>
      <c r="B3289" s="20" t="s">
        <v>30</v>
      </c>
      <c r="C3289" s="20" t="s">
        <v>31</v>
      </c>
      <c r="D3289" s="20" t="s">
        <v>32</v>
      </c>
      <c r="E3289" s="21" t="s">
        <v>12814</v>
      </c>
      <c r="F3289" s="21" t="s">
        <v>12815</v>
      </c>
      <c r="G3289" s="20" t="s">
        <v>35</v>
      </c>
      <c r="H3289" s="20" t="s">
        <v>25</v>
      </c>
      <c r="I3289" s="21" t="s">
        <v>12816</v>
      </c>
      <c r="J3289" s="22">
        <f t="shared" si="255"/>
        <v>4.74652777778101</v>
      </c>
      <c r="K3289" s="22">
        <f t="shared" si="256"/>
        <v>113.916666666744</v>
      </c>
      <c r="L3289" s="22">
        <f t="shared" si="257"/>
        <v>33.9166666667443</v>
      </c>
      <c r="M3289" s="22" cm="1">
        <f ca="1" t="array" ref="M3289">SUMPRODUCT(--(WEEKDAY(ROW(INDIRECT(INT(F3289)&amp;":"&amp;INT(I3289))),2)&gt;5))</f>
        <v>2</v>
      </c>
      <c r="N3289" s="22">
        <f ca="1" t="shared" si="258"/>
        <v>17.9166666667443</v>
      </c>
      <c r="O3289" s="22" t="str">
        <f ca="1" t="shared" si="259"/>
        <v>SLA Violated</v>
      </c>
      <c r="P3289" s="23" t="s">
        <v>12817</v>
      </c>
      <c r="Q3289" s="24" t="s">
        <v>37</v>
      </c>
      <c r="R3289" s="25" t="s">
        <v>2424</v>
      </c>
      <c r="S3289" s="25" t="s">
        <v>39</v>
      </c>
    </row>
    <row r="3290" ht="39" customHeight="1" spans="1:19">
      <c r="A3290" s="19" t="s">
        <v>12818</v>
      </c>
      <c r="B3290" s="20" t="s">
        <v>19</v>
      </c>
      <c r="C3290" s="20" t="s">
        <v>20</v>
      </c>
      <c r="D3290" s="20" t="s">
        <v>32</v>
      </c>
      <c r="E3290" s="21" t="s">
        <v>12819</v>
      </c>
      <c r="F3290" s="21" t="s">
        <v>10423</v>
      </c>
      <c r="G3290" s="20" t="s">
        <v>11229</v>
      </c>
      <c r="H3290" s="20" t="s">
        <v>25</v>
      </c>
      <c r="I3290" s="21" t="s">
        <v>12820</v>
      </c>
      <c r="J3290" s="22" t="e">
        <f t="shared" si="255"/>
        <v>#VALUE!</v>
      </c>
      <c r="K3290" s="22" t="e">
        <f t="shared" si="256"/>
        <v>#VALUE!</v>
      </c>
      <c r="L3290" s="22" t="e">
        <f t="shared" si="257"/>
        <v>#VALUE!</v>
      </c>
      <c r="M3290" s="22" t="e" cm="1">
        <f ca="1" t="array" ref="M3290">SUMPRODUCT(--(WEEKDAY(ROW(INDIRECT(INT(F3290)&amp;":"&amp;INT(I3290))),2)&gt;5))</f>
        <v>#VALUE!</v>
      </c>
      <c r="N3290" s="22" t="e">
        <f ca="1" t="shared" si="258"/>
        <v>#VALUE!</v>
      </c>
      <c r="O3290" s="22" t="e">
        <f ca="1" t="shared" si="259"/>
        <v>#VALUE!</v>
      </c>
      <c r="P3290" s="26" t="s">
        <v>12818</v>
      </c>
      <c r="Q3290" s="24" t="e">
        <v>#VALUE!</v>
      </c>
      <c r="R3290" s="25"/>
      <c r="S3290" s="25"/>
    </row>
    <row r="3291" ht="39" customHeight="1" spans="1:19">
      <c r="A3291" s="19" t="s">
        <v>12821</v>
      </c>
      <c r="B3291" s="20" t="s">
        <v>19</v>
      </c>
      <c r="C3291" s="20" t="s">
        <v>20</v>
      </c>
      <c r="D3291" s="20" t="s">
        <v>32</v>
      </c>
      <c r="E3291" s="21" t="s">
        <v>12822</v>
      </c>
      <c r="F3291" s="21" t="s">
        <v>12823</v>
      </c>
      <c r="G3291" s="20" t="s">
        <v>35</v>
      </c>
      <c r="H3291" s="20" t="s">
        <v>25</v>
      </c>
      <c r="I3291" s="21" t="s">
        <v>12824</v>
      </c>
      <c r="J3291" s="22">
        <f t="shared" si="255"/>
        <v>0.0131944444437977</v>
      </c>
      <c r="K3291" s="22">
        <f t="shared" si="256"/>
        <v>0.316666666651145</v>
      </c>
      <c r="L3291" s="22">
        <f t="shared" si="257"/>
        <v>0.316666666651145</v>
      </c>
      <c r="M3291" s="22" cm="1">
        <f ca="1" t="array" ref="M3291">SUMPRODUCT(--(WEEKDAY(ROW(INDIRECT(INT(F3291)&amp;":"&amp;INT(I3291))),2)&gt;5))</f>
        <v>0</v>
      </c>
      <c r="N3291" s="22">
        <f ca="1" t="shared" si="258"/>
        <v>0.316666666651145</v>
      </c>
      <c r="O3291" s="22" t="str">
        <f ca="1" t="shared" si="259"/>
        <v>Within SLA</v>
      </c>
      <c r="P3291" s="26" t="s">
        <v>12821</v>
      </c>
      <c r="Q3291" s="24" t="s">
        <v>37</v>
      </c>
      <c r="R3291" s="25"/>
      <c r="S3291" s="25"/>
    </row>
    <row r="3292" ht="39" customHeight="1" spans="1:19">
      <c r="A3292" s="19" t="s">
        <v>12825</v>
      </c>
      <c r="B3292" s="20" t="s">
        <v>19</v>
      </c>
      <c r="C3292" s="20" t="s">
        <v>20</v>
      </c>
      <c r="D3292" s="20" t="s">
        <v>32</v>
      </c>
      <c r="E3292" s="21" t="s">
        <v>12826</v>
      </c>
      <c r="F3292" s="21" t="s">
        <v>12827</v>
      </c>
      <c r="G3292" s="20" t="s">
        <v>35</v>
      </c>
      <c r="H3292" s="20" t="s">
        <v>25</v>
      </c>
      <c r="I3292" s="21" t="s">
        <v>12828</v>
      </c>
      <c r="J3292" s="22">
        <f t="shared" si="255"/>
        <v>0.00416666666569654</v>
      </c>
      <c r="K3292" s="22">
        <f t="shared" si="256"/>
        <v>0.0999999999767169</v>
      </c>
      <c r="L3292" s="22">
        <f t="shared" si="257"/>
        <v>0.0999999999767169</v>
      </c>
      <c r="M3292" s="22" cm="1">
        <f ca="1" t="array" ref="M3292">SUMPRODUCT(--(WEEKDAY(ROW(INDIRECT(INT(F3292)&amp;":"&amp;INT(I3292))),2)&gt;5))</f>
        <v>0</v>
      </c>
      <c r="N3292" s="22">
        <f ca="1" t="shared" si="258"/>
        <v>0.0999999999767169</v>
      </c>
      <c r="O3292" s="22" t="str">
        <f ca="1" t="shared" si="259"/>
        <v>Within SLA</v>
      </c>
      <c r="P3292" s="26" t="s">
        <v>12825</v>
      </c>
      <c r="Q3292" s="24" t="s">
        <v>37</v>
      </c>
      <c r="R3292" s="25"/>
      <c r="S3292" s="25"/>
    </row>
    <row r="3293" ht="39" customHeight="1" spans="1:19">
      <c r="A3293" s="19" t="s">
        <v>12829</v>
      </c>
      <c r="B3293" s="20" t="s">
        <v>19</v>
      </c>
      <c r="C3293" s="20" t="s">
        <v>20</v>
      </c>
      <c r="D3293" s="20" t="s">
        <v>32</v>
      </c>
      <c r="E3293" s="21" t="s">
        <v>12830</v>
      </c>
      <c r="F3293" s="21" t="s">
        <v>12831</v>
      </c>
      <c r="G3293" s="20" t="s">
        <v>35</v>
      </c>
      <c r="H3293" s="20" t="s">
        <v>25</v>
      </c>
      <c r="I3293" s="21" t="s">
        <v>12832</v>
      </c>
      <c r="J3293" s="22">
        <f t="shared" si="255"/>
        <v>0.0138888888832298</v>
      </c>
      <c r="K3293" s="22">
        <f t="shared" si="256"/>
        <v>0.333333333197515</v>
      </c>
      <c r="L3293" s="22">
        <f t="shared" si="257"/>
        <v>0.333333333197515</v>
      </c>
      <c r="M3293" s="22" cm="1">
        <f ca="1" t="array" ref="M3293">SUMPRODUCT(--(WEEKDAY(ROW(INDIRECT(INT(F3293)&amp;":"&amp;INT(I3293))),2)&gt;5))</f>
        <v>0</v>
      </c>
      <c r="N3293" s="22">
        <f ca="1" t="shared" si="258"/>
        <v>0.333333333197515</v>
      </c>
      <c r="O3293" s="22" t="str">
        <f ca="1" t="shared" si="259"/>
        <v>Within SLA</v>
      </c>
      <c r="P3293" s="26" t="s">
        <v>12829</v>
      </c>
      <c r="Q3293" s="24" t="s">
        <v>37</v>
      </c>
      <c r="R3293" s="25"/>
      <c r="S3293" s="25"/>
    </row>
    <row r="3294" ht="39" customHeight="1" spans="1:19">
      <c r="A3294" s="19" t="s">
        <v>12833</v>
      </c>
      <c r="B3294" s="20" t="s">
        <v>19</v>
      </c>
      <c r="C3294" s="20" t="s">
        <v>20</v>
      </c>
      <c r="D3294" s="20" t="s">
        <v>32</v>
      </c>
      <c r="E3294" s="21" t="s">
        <v>12834</v>
      </c>
      <c r="F3294" s="21" t="s">
        <v>12835</v>
      </c>
      <c r="G3294" s="20" t="s">
        <v>35</v>
      </c>
      <c r="H3294" s="20" t="s">
        <v>25</v>
      </c>
      <c r="I3294" s="21" t="s">
        <v>12828</v>
      </c>
      <c r="J3294" s="22">
        <f t="shared" si="255"/>
        <v>0.0104166666642413</v>
      </c>
      <c r="K3294" s="22">
        <f t="shared" si="256"/>
        <v>0.249999999941792</v>
      </c>
      <c r="L3294" s="22">
        <f t="shared" si="257"/>
        <v>0.249999999941792</v>
      </c>
      <c r="M3294" s="22" cm="1">
        <f ca="1" t="array" ref="M3294">SUMPRODUCT(--(WEEKDAY(ROW(INDIRECT(INT(F3294)&amp;":"&amp;INT(I3294))),2)&gt;5))</f>
        <v>0</v>
      </c>
      <c r="N3294" s="22">
        <f ca="1" t="shared" si="258"/>
        <v>0.249999999941792</v>
      </c>
      <c r="O3294" s="22" t="str">
        <f ca="1" t="shared" si="259"/>
        <v>Within SLA</v>
      </c>
      <c r="P3294" s="26" t="s">
        <v>12833</v>
      </c>
      <c r="Q3294" s="24" t="s">
        <v>37</v>
      </c>
      <c r="R3294" s="25"/>
      <c r="S3294" s="25"/>
    </row>
    <row r="3295" ht="39" customHeight="1" spans="1:19">
      <c r="A3295" s="19" t="s">
        <v>12836</v>
      </c>
      <c r="B3295" s="20" t="s">
        <v>19</v>
      </c>
      <c r="C3295" s="20" t="s">
        <v>20</v>
      </c>
      <c r="D3295" s="20" t="s">
        <v>32</v>
      </c>
      <c r="E3295" s="21" t="s">
        <v>12837</v>
      </c>
      <c r="F3295" s="21" t="s">
        <v>12838</v>
      </c>
      <c r="G3295" s="20" t="s">
        <v>35</v>
      </c>
      <c r="H3295" s="20" t="s">
        <v>25</v>
      </c>
      <c r="I3295" s="21" t="s">
        <v>12839</v>
      </c>
      <c r="J3295" s="22">
        <f t="shared" si="255"/>
        <v>4.23611111110949</v>
      </c>
      <c r="K3295" s="22">
        <f t="shared" si="256"/>
        <v>101.666666666628</v>
      </c>
      <c r="L3295" s="22">
        <f t="shared" si="257"/>
        <v>37.6666666666279</v>
      </c>
      <c r="M3295" s="22" cm="1">
        <f ca="1" t="array" ref="M3295">SUMPRODUCT(--(WEEKDAY(ROW(INDIRECT(INT(F3295)&amp;":"&amp;INT(I3295))),2)&gt;5))</f>
        <v>2</v>
      </c>
      <c r="N3295" s="22">
        <f ca="1" t="shared" si="258"/>
        <v>21.6666666666279</v>
      </c>
      <c r="O3295" s="22" t="str">
        <f ca="1" t="shared" si="259"/>
        <v>SLA Violated</v>
      </c>
      <c r="P3295" s="26" t="s">
        <v>12836</v>
      </c>
      <c r="Q3295" s="24" t="s">
        <v>28</v>
      </c>
      <c r="R3295" s="25"/>
      <c r="S3295" s="25"/>
    </row>
    <row r="3296" ht="39" customHeight="1" spans="1:19">
      <c r="A3296" s="19" t="s">
        <v>12840</v>
      </c>
      <c r="B3296" s="20" t="s">
        <v>19</v>
      </c>
      <c r="C3296" s="20" t="s">
        <v>20</v>
      </c>
      <c r="D3296" s="20" t="s">
        <v>32</v>
      </c>
      <c r="E3296" s="21" t="s">
        <v>12841</v>
      </c>
      <c r="F3296" s="21" t="s">
        <v>10423</v>
      </c>
      <c r="G3296" s="20" t="s">
        <v>10424</v>
      </c>
      <c r="H3296" s="20" t="s">
        <v>25</v>
      </c>
      <c r="I3296" s="21" t="s">
        <v>12842</v>
      </c>
      <c r="J3296" s="22" t="e">
        <f t="shared" si="255"/>
        <v>#VALUE!</v>
      </c>
      <c r="K3296" s="22" t="e">
        <f t="shared" si="256"/>
        <v>#VALUE!</v>
      </c>
      <c r="L3296" s="22" t="e">
        <f t="shared" si="257"/>
        <v>#VALUE!</v>
      </c>
      <c r="M3296" s="22" t="e" cm="1">
        <f ca="1" t="array" ref="M3296">SUMPRODUCT(--(WEEKDAY(ROW(INDIRECT(INT(F3296)&amp;":"&amp;INT(I3296))),2)&gt;5))</f>
        <v>#VALUE!</v>
      </c>
      <c r="N3296" s="22" t="e">
        <f ca="1" t="shared" si="258"/>
        <v>#VALUE!</v>
      </c>
      <c r="O3296" s="22" t="e">
        <f ca="1" t="shared" si="259"/>
        <v>#VALUE!</v>
      </c>
      <c r="P3296" s="26" t="s">
        <v>12840</v>
      </c>
      <c r="Q3296" s="24" t="e">
        <v>#VALUE!</v>
      </c>
      <c r="R3296" s="25"/>
      <c r="S3296" s="25"/>
    </row>
    <row r="3297" ht="16" customHeight="1" spans="1:19">
      <c r="A3297" s="19" t="s">
        <v>12843</v>
      </c>
      <c r="B3297" s="20" t="s">
        <v>100</v>
      </c>
      <c r="C3297" s="20" t="s">
        <v>101</v>
      </c>
      <c r="D3297" s="20" t="s">
        <v>32</v>
      </c>
      <c r="E3297" s="21" t="s">
        <v>12844</v>
      </c>
      <c r="F3297" s="21" t="s">
        <v>12845</v>
      </c>
      <c r="G3297" s="20" t="s">
        <v>35</v>
      </c>
      <c r="H3297" s="20" t="s">
        <v>25</v>
      </c>
      <c r="I3297" s="21" t="s">
        <v>12846</v>
      </c>
      <c r="J3297" s="22">
        <f t="shared" si="255"/>
        <v>0.310416666667152</v>
      </c>
      <c r="K3297" s="22">
        <f t="shared" si="256"/>
        <v>7.45000000001164</v>
      </c>
      <c r="L3297" s="22">
        <f t="shared" si="257"/>
        <v>7.45000000001164</v>
      </c>
      <c r="M3297" s="22" cm="1">
        <f ca="1" t="array" ref="M3297">SUMPRODUCT(--(WEEKDAY(ROW(INDIRECT(INT(F3297)&amp;":"&amp;INT(I3297))),2)&gt;5))</f>
        <v>0</v>
      </c>
      <c r="N3297" s="22">
        <f ca="1" t="shared" si="258"/>
        <v>7.45000000001164</v>
      </c>
      <c r="O3297" s="22" t="str">
        <f ca="1" t="shared" si="259"/>
        <v>Within SLA</v>
      </c>
      <c r="P3297" s="26" t="s">
        <v>12843</v>
      </c>
      <c r="Q3297" s="24" t="s">
        <v>37</v>
      </c>
      <c r="R3297" s="25"/>
      <c r="S3297" s="25"/>
    </row>
    <row r="3300" spans="1:19">
      <c r="E3300" t="s">
        <v>12847</v>
      </c>
    </row>
  </sheetData>
  <hyperlinks>
    <hyperlink ref="A2" r:id="rId1" display="19334"/>
    <hyperlink ref="A3" r:id="rId2" display="19336"/>
    <hyperlink ref="A4" r:id="rId3" display="19337"/>
    <hyperlink ref="A5" r:id="rId4" display="19339"/>
    <hyperlink ref="A6" r:id="rId5" display="19340"/>
    <hyperlink ref="A7" r:id="rId6" display="19342"/>
    <hyperlink ref="A8" r:id="rId7" display="19345"/>
    <hyperlink ref="A9" r:id="rId8" display="19348"/>
    <hyperlink ref="A10" r:id="rId9" display="19349"/>
    <hyperlink ref="A11" r:id="rId10" display="19353"/>
    <hyperlink ref="A12" r:id="rId11" display="19354"/>
    <hyperlink ref="A13" r:id="rId12" display="19355"/>
    <hyperlink ref="A14" r:id="rId13" display="19356"/>
    <hyperlink ref="A15" r:id="rId14" display="19358"/>
    <hyperlink ref="A16" r:id="rId15" display="19359"/>
    <hyperlink ref="A17" r:id="rId16" display="19360"/>
    <hyperlink ref="A18" r:id="rId17" display="19361"/>
    <hyperlink ref="A19" r:id="rId18" display="19362"/>
    <hyperlink ref="A20" r:id="rId19" display="19367"/>
    <hyperlink ref="A21" r:id="rId20" display="19370"/>
    <hyperlink ref="A22" r:id="rId21" display="19371"/>
    <hyperlink ref="A23" r:id="rId22" display="19374"/>
    <hyperlink ref="A24" r:id="rId23" display="19375"/>
    <hyperlink ref="A25" r:id="rId24" display="19376"/>
    <hyperlink ref="A26" r:id="rId25" display="19377"/>
    <hyperlink ref="A27" r:id="rId26" display="19382"/>
    <hyperlink ref="A28" r:id="rId27" display="19383"/>
    <hyperlink ref="A29" r:id="rId28" display="19386"/>
    <hyperlink ref="A30" r:id="rId29" display="19389"/>
    <hyperlink ref="A31" r:id="rId30" display="19391"/>
    <hyperlink ref="A32" r:id="rId31" display="19392"/>
    <hyperlink ref="A33" r:id="rId32" display="19393"/>
    <hyperlink ref="A34" r:id="rId33" display="19394"/>
    <hyperlink ref="A35" r:id="rId34" display="19395"/>
    <hyperlink ref="A36" r:id="rId35" display="19396"/>
    <hyperlink ref="A37" r:id="rId36" display="19397"/>
    <hyperlink ref="A38" r:id="rId37" display="19399"/>
    <hyperlink ref="A39" r:id="rId38" display="19400"/>
    <hyperlink ref="A40" r:id="rId39" display="19401"/>
    <hyperlink ref="A41" r:id="rId40" display="19402"/>
    <hyperlink ref="A42" r:id="rId41" display="19403"/>
    <hyperlink ref="A43" r:id="rId42" display="19404"/>
    <hyperlink ref="A44" r:id="rId43" display="19405"/>
    <hyperlink ref="A45" r:id="rId44" display="19406"/>
    <hyperlink ref="A46" r:id="rId45" display="19407"/>
    <hyperlink ref="A47" r:id="rId46" display="19408"/>
    <hyperlink ref="A48" r:id="rId47" display="19409"/>
    <hyperlink ref="A49" r:id="rId48" display="19410"/>
    <hyperlink ref="A50" r:id="rId49" display="19411"/>
    <hyperlink ref="A51" r:id="rId50" display="19412"/>
    <hyperlink ref="A52" r:id="rId51" display="19413"/>
    <hyperlink ref="A53" r:id="rId52" display="19414"/>
    <hyperlink ref="A54" r:id="rId53" display="19418"/>
    <hyperlink ref="A55" r:id="rId54" display="19422"/>
    <hyperlink ref="A56" r:id="rId55" display="19423"/>
    <hyperlink ref="A57" r:id="rId56" display="19425"/>
    <hyperlink ref="A58" r:id="rId57" display="19427"/>
    <hyperlink ref="A59" r:id="rId58" display="19428"/>
    <hyperlink ref="A60" r:id="rId59" display="19429"/>
    <hyperlink ref="A61" r:id="rId60" display="19431"/>
    <hyperlink ref="A62" r:id="rId61" display="19432"/>
    <hyperlink ref="A63" r:id="rId62" display="19433"/>
    <hyperlink ref="A64" r:id="rId63" display="19434"/>
    <hyperlink ref="A65" r:id="rId64" display="19435"/>
    <hyperlink ref="A66" r:id="rId65" display="19436"/>
    <hyperlink ref="A67" r:id="rId66" display="19437"/>
    <hyperlink ref="A68" r:id="rId67" display="19438"/>
    <hyperlink ref="A69" r:id="rId68" display="19439"/>
    <hyperlink ref="A70" r:id="rId69" display="19440"/>
    <hyperlink ref="A71" r:id="rId70" display="19441"/>
    <hyperlink ref="A72" r:id="rId71" display="19443"/>
    <hyperlink ref="A73" r:id="rId72" display="19445"/>
    <hyperlink ref="A74" r:id="rId73" display="19448"/>
    <hyperlink ref="A75" r:id="rId74" display="19449"/>
    <hyperlink ref="A76" r:id="rId75" display="19453"/>
    <hyperlink ref="A77" r:id="rId76" display="19455"/>
    <hyperlink ref="A78" r:id="rId77" display="19460"/>
    <hyperlink ref="A79" r:id="rId78" display="19461"/>
    <hyperlink ref="A80" r:id="rId79" display="19462"/>
    <hyperlink ref="A81" r:id="rId80" display="19463"/>
    <hyperlink ref="A82" r:id="rId81" display="19467"/>
    <hyperlink ref="A83" r:id="rId82" display="19469"/>
    <hyperlink ref="A84" r:id="rId83" display="19473"/>
    <hyperlink ref="A85" r:id="rId84" display="19474"/>
    <hyperlink ref="A86" r:id="rId85" display="19477"/>
    <hyperlink ref="A87" r:id="rId86" display="19484"/>
    <hyperlink ref="A88" r:id="rId87" display="19486"/>
    <hyperlink ref="A89" r:id="rId88" display="19489"/>
    <hyperlink ref="A90" r:id="rId89" display="19490"/>
    <hyperlink ref="A91" r:id="rId90" display="19491"/>
    <hyperlink ref="A92" r:id="rId91" display="19493"/>
    <hyperlink ref="A93" r:id="rId92" display="19494"/>
    <hyperlink ref="A94" r:id="rId93" display="19496"/>
    <hyperlink ref="A95" r:id="rId94" display="19500"/>
    <hyperlink ref="A96" r:id="rId95" display="19501"/>
    <hyperlink ref="A97" r:id="rId96" display="19502"/>
    <hyperlink ref="A98" r:id="rId97" display="19505"/>
    <hyperlink ref="A99" r:id="rId98" display="19507"/>
    <hyperlink ref="A100" r:id="rId99" display="19508"/>
    <hyperlink ref="A101" r:id="rId100" display="19511"/>
    <hyperlink ref="A102" r:id="rId101" display="19513"/>
    <hyperlink ref="A103" r:id="rId102" display="19516"/>
    <hyperlink ref="A104" r:id="rId103" display="19518"/>
    <hyperlink ref="A105" r:id="rId104" display="19520"/>
    <hyperlink ref="A106" r:id="rId105" display="19523"/>
    <hyperlink ref="A107" r:id="rId106" display="19525"/>
    <hyperlink ref="A108" r:id="rId107" display="19531"/>
    <hyperlink ref="A109" r:id="rId108" display="19535"/>
    <hyperlink ref="A110" r:id="rId109" display="19537"/>
    <hyperlink ref="A111" r:id="rId110" display="19539"/>
    <hyperlink ref="A112" r:id="rId111" display="19540"/>
    <hyperlink ref="A113" r:id="rId112" display="19543"/>
    <hyperlink ref="A114" r:id="rId113" display="19551"/>
    <hyperlink ref="A115" r:id="rId114" display="19554"/>
    <hyperlink ref="A116" r:id="rId115" display="19555"/>
    <hyperlink ref="A117" r:id="rId116" display="19556"/>
    <hyperlink ref="A118" r:id="rId117" display="19557"/>
    <hyperlink ref="A119" r:id="rId118" display="19558"/>
    <hyperlink ref="A120" r:id="rId119" display="19561"/>
    <hyperlink ref="A121" r:id="rId120" display="19563"/>
    <hyperlink ref="A122" r:id="rId121" display="19565"/>
    <hyperlink ref="A123" r:id="rId122" display="19567"/>
    <hyperlink ref="A124" r:id="rId123" display="19568"/>
    <hyperlink ref="A125" r:id="rId124" display="19570"/>
    <hyperlink ref="A126" r:id="rId125" display="19571"/>
    <hyperlink ref="A127" r:id="rId126" display="19572"/>
    <hyperlink ref="A128" r:id="rId127" display="19573"/>
    <hyperlink ref="A129" r:id="rId128" display="19574"/>
    <hyperlink ref="A130" r:id="rId129" display="19575"/>
    <hyperlink ref="A131" r:id="rId130" display="19577"/>
    <hyperlink ref="A132" r:id="rId131" display="19578"/>
    <hyperlink ref="A133" r:id="rId132" display="19579"/>
    <hyperlink ref="A134" r:id="rId133" display="19580"/>
    <hyperlink ref="A135" r:id="rId134" display="19582"/>
    <hyperlink ref="A136" r:id="rId135" display="19583"/>
    <hyperlink ref="A137" r:id="rId136" display="19589"/>
    <hyperlink ref="A138" r:id="rId137" display="19590"/>
    <hyperlink ref="A139" r:id="rId138" display="19596"/>
    <hyperlink ref="A140" r:id="rId139" display="19598"/>
    <hyperlink ref="A141" r:id="rId140" display="19606"/>
    <hyperlink ref="A142" r:id="rId141" display="19611"/>
    <hyperlink ref="A143" r:id="rId142" display="19616"/>
    <hyperlink ref="A144" r:id="rId143" display="19620"/>
    <hyperlink ref="A145" r:id="rId144" display="19623"/>
    <hyperlink ref="A146" r:id="rId145" display="19626"/>
    <hyperlink ref="A147" r:id="rId146" display="19629"/>
    <hyperlink ref="A148" r:id="rId147" display="19630"/>
    <hyperlink ref="A149" r:id="rId148" display="19632"/>
    <hyperlink ref="A150" r:id="rId149" display="19633"/>
    <hyperlink ref="A151" r:id="rId150" display="19634"/>
    <hyperlink ref="A152" r:id="rId151" display="19636"/>
    <hyperlink ref="A153" r:id="rId152" display="19637"/>
    <hyperlink ref="A154" r:id="rId153" display="19638"/>
    <hyperlink ref="A155" r:id="rId154" display="19639"/>
    <hyperlink ref="A156" r:id="rId155" display="19642"/>
    <hyperlink ref="A157" r:id="rId156" display="19644"/>
    <hyperlink ref="A158" r:id="rId157" display="19651"/>
    <hyperlink ref="A159" r:id="rId158" display="19653"/>
    <hyperlink ref="A160" r:id="rId159" display="19654"/>
    <hyperlink ref="A161" r:id="rId160" display="19656"/>
    <hyperlink ref="A162" r:id="rId161" display="19657"/>
    <hyperlink ref="A163" r:id="rId162" display="19658"/>
    <hyperlink ref="A164" r:id="rId163" display="19659"/>
    <hyperlink ref="A165" r:id="rId164" display="19660"/>
    <hyperlink ref="A166" r:id="rId165" display="19662"/>
    <hyperlink ref="A167" r:id="rId166" display="19664"/>
    <hyperlink ref="A168" r:id="rId167" display="19666"/>
    <hyperlink ref="A169" r:id="rId168" display="19667"/>
    <hyperlink ref="A170" r:id="rId169" display="19670"/>
    <hyperlink ref="A171" r:id="rId170" display="19672"/>
    <hyperlink ref="A172" r:id="rId171" display="19673"/>
    <hyperlink ref="A173" r:id="rId172" display="19675"/>
    <hyperlink ref="A174" r:id="rId173" display="19676"/>
    <hyperlink ref="A175" r:id="rId174" display="19677"/>
    <hyperlink ref="A176" r:id="rId175" display="19678"/>
    <hyperlink ref="A177" r:id="rId176" display="19679"/>
    <hyperlink ref="A178" r:id="rId177" display="19680"/>
    <hyperlink ref="A179" r:id="rId178" display="19682"/>
    <hyperlink ref="A180" r:id="rId179" display="19684"/>
    <hyperlink ref="A181" r:id="rId180" display="19685"/>
    <hyperlink ref="A182" r:id="rId181" display="19686"/>
    <hyperlink ref="A183" r:id="rId182" display="19687"/>
    <hyperlink ref="A184" r:id="rId183" display="19688"/>
    <hyperlink ref="A185" r:id="rId184" display="19690"/>
    <hyperlink ref="A186" r:id="rId185" display="19691"/>
    <hyperlink ref="A187" r:id="rId186" display="19692"/>
    <hyperlink ref="A188" r:id="rId187" display="19694"/>
    <hyperlink ref="A189" r:id="rId188" display="19695"/>
    <hyperlink ref="A190" r:id="rId189" display="19696"/>
    <hyperlink ref="A191" r:id="rId190" display="19697"/>
    <hyperlink ref="A192" r:id="rId191" display="19698"/>
    <hyperlink ref="A193" r:id="rId192" display="19699"/>
    <hyperlink ref="A194" r:id="rId193" display="19701"/>
    <hyperlink ref="A195" r:id="rId194" display="19703"/>
    <hyperlink ref="A196" r:id="rId195" display="19706"/>
    <hyperlink ref="A197" r:id="rId196" display="19707"/>
    <hyperlink ref="A198" r:id="rId197" display="19708"/>
    <hyperlink ref="A199" r:id="rId198" display="19715"/>
    <hyperlink ref="A200" r:id="rId199" display="19718"/>
    <hyperlink ref="A201" r:id="rId200" display="19720"/>
    <hyperlink ref="A202" r:id="rId201" display="19721"/>
    <hyperlink ref="A203" r:id="rId202" display="19724"/>
    <hyperlink ref="A204" r:id="rId203" display="19726"/>
    <hyperlink ref="A205" r:id="rId204" display="19728"/>
    <hyperlink ref="A206" r:id="rId205" display="19731"/>
    <hyperlink ref="A207" r:id="rId206" display="19732"/>
    <hyperlink ref="A208" r:id="rId207" display="19733"/>
    <hyperlink ref="A209" r:id="rId208" display="19739"/>
    <hyperlink ref="A210" r:id="rId209" display="19740"/>
    <hyperlink ref="A211" r:id="rId210" display="19741"/>
    <hyperlink ref="A212" r:id="rId211" display="19747"/>
    <hyperlink ref="A213" r:id="rId212" display="19748"/>
    <hyperlink ref="A214" r:id="rId213" display="19749"/>
    <hyperlink ref="A215" r:id="rId214" display="19751"/>
    <hyperlink ref="A216" r:id="rId215" display="19752"/>
    <hyperlink ref="A217" r:id="rId216" display="19756"/>
    <hyperlink ref="A218" r:id="rId217" display="19757"/>
    <hyperlink ref="A219" r:id="rId218" display="19758"/>
    <hyperlink ref="A220" r:id="rId219" display="19760"/>
    <hyperlink ref="A221" r:id="rId220" display="19761"/>
    <hyperlink ref="A222" r:id="rId221" display="19762"/>
    <hyperlink ref="A223" r:id="rId222" display="19763"/>
    <hyperlink ref="A224" r:id="rId223" display="19764"/>
    <hyperlink ref="A225" r:id="rId224" display="19765"/>
    <hyperlink ref="A226" r:id="rId225" display="19766"/>
    <hyperlink ref="A227" r:id="rId226" display="19767"/>
    <hyperlink ref="A228" r:id="rId227" display="19768"/>
    <hyperlink ref="A229" r:id="rId228" display="19769"/>
    <hyperlink ref="A230" r:id="rId229" display="19771"/>
    <hyperlink ref="A231" r:id="rId230" display="19772"/>
    <hyperlink ref="A232" r:id="rId231" display="19773"/>
    <hyperlink ref="A233" r:id="rId232" display="19774"/>
    <hyperlink ref="A234" r:id="rId233" display="19775"/>
    <hyperlink ref="A235" r:id="rId234" display="19776"/>
    <hyperlink ref="A236" r:id="rId235" display="19777"/>
    <hyperlink ref="A237" r:id="rId236" display="19779"/>
    <hyperlink ref="A238" r:id="rId237" display="19780"/>
    <hyperlink ref="A239" r:id="rId238" display="19781"/>
    <hyperlink ref="A240" r:id="rId239" display="19782"/>
    <hyperlink ref="A241" r:id="rId240" display="19783"/>
    <hyperlink ref="A242" r:id="rId241" display="19785"/>
    <hyperlink ref="A243" r:id="rId242" display="19786"/>
    <hyperlink ref="A244" r:id="rId243" display="19788"/>
    <hyperlink ref="A245" r:id="rId244" display="19789"/>
    <hyperlink ref="A246" r:id="rId245" display="19790"/>
    <hyperlink ref="A247" r:id="rId246" display="19793"/>
    <hyperlink ref="A248" r:id="rId247" display="19795"/>
    <hyperlink ref="A249" r:id="rId248" display="19797"/>
    <hyperlink ref="A250" r:id="rId249" display="19798"/>
    <hyperlink ref="A251" r:id="rId250" display="19799"/>
    <hyperlink ref="A252" r:id="rId251" display="19800"/>
    <hyperlink ref="A253" r:id="rId252" display="19802"/>
    <hyperlink ref="A254" r:id="rId253" display="19803"/>
    <hyperlink ref="A255" r:id="rId254" display="19804"/>
    <hyperlink ref="A256" r:id="rId255" display="19807"/>
    <hyperlink ref="A257" r:id="rId256" display="19808"/>
    <hyperlink ref="A258" r:id="rId257" display="19809"/>
    <hyperlink ref="A259" r:id="rId258" display="19810"/>
    <hyperlink ref="A260" r:id="rId259" display="19813"/>
    <hyperlink ref="A261" r:id="rId260" display="19815"/>
    <hyperlink ref="A262" r:id="rId261" display="19823"/>
    <hyperlink ref="A263" r:id="rId262" display="19827"/>
    <hyperlink ref="A264" r:id="rId263" display="19831"/>
    <hyperlink ref="A265" r:id="rId264" display="19833"/>
    <hyperlink ref="A266" r:id="rId265" display="19836"/>
    <hyperlink ref="A267" r:id="rId266" display="19839"/>
    <hyperlink ref="A268" r:id="rId267" display="19840"/>
    <hyperlink ref="A269" r:id="rId268" display="19841"/>
    <hyperlink ref="A270" r:id="rId269" display="19843"/>
    <hyperlink ref="A271" r:id="rId270" display="19845"/>
    <hyperlink ref="A272" r:id="rId271" display="19847"/>
    <hyperlink ref="A273" r:id="rId272" display="19848"/>
    <hyperlink ref="A274" r:id="rId273" display="19849"/>
    <hyperlink ref="A275" r:id="rId274" display="19850"/>
    <hyperlink ref="A276" r:id="rId275" display="19852"/>
    <hyperlink ref="A277" r:id="rId276" display="19853"/>
    <hyperlink ref="A278" r:id="rId277" display="19855"/>
    <hyperlink ref="A279" r:id="rId278" display="19856"/>
    <hyperlink ref="A280" r:id="rId279" display="19857"/>
    <hyperlink ref="A281" r:id="rId280" display="19859"/>
    <hyperlink ref="A282" r:id="rId281" display="19861"/>
    <hyperlink ref="A283" r:id="rId282" display="19864"/>
    <hyperlink ref="A284" r:id="rId283" display="19866"/>
    <hyperlink ref="A285" r:id="rId284" display="19867"/>
    <hyperlink ref="A286" r:id="rId285" display="19868"/>
    <hyperlink ref="A287" r:id="rId286" display="19869"/>
    <hyperlink ref="A288" r:id="rId287" display="19870"/>
    <hyperlink ref="A289" r:id="rId288" display="19872"/>
    <hyperlink ref="A290" r:id="rId289" display="19875"/>
    <hyperlink ref="A291" r:id="rId290" display="19878"/>
    <hyperlink ref="A292" r:id="rId291" display="19879"/>
    <hyperlink ref="A293" r:id="rId292" display="19881"/>
    <hyperlink ref="A294" r:id="rId293" display="19884"/>
    <hyperlink ref="A295" r:id="rId294" display="19887"/>
    <hyperlink ref="A296" r:id="rId295" display="19889"/>
    <hyperlink ref="A297" r:id="rId296" display="19890"/>
    <hyperlink ref="A298" r:id="rId297" display="19891"/>
    <hyperlink ref="A299" r:id="rId298" display="19894"/>
    <hyperlink ref="A300" r:id="rId299" display="19896"/>
    <hyperlink ref="A301" r:id="rId300" display="19897"/>
    <hyperlink ref="A302" r:id="rId301" display="19898"/>
    <hyperlink ref="A303" r:id="rId302" display="19899"/>
    <hyperlink ref="A304" r:id="rId303" display="19900"/>
    <hyperlink ref="A305" r:id="rId304" display="19902"/>
    <hyperlink ref="A306" r:id="rId305" display="19903"/>
    <hyperlink ref="A307" r:id="rId306" display="19906"/>
    <hyperlink ref="A308" r:id="rId307" display="19907"/>
    <hyperlink ref="A309" r:id="rId308" display="19912"/>
    <hyperlink ref="A310" r:id="rId309" display="19913"/>
    <hyperlink ref="A311" r:id="rId310" display="19915"/>
    <hyperlink ref="A312" r:id="rId311" display="19916"/>
    <hyperlink ref="A313" r:id="rId312" display="19917"/>
    <hyperlink ref="A314" r:id="rId313" display="19919"/>
    <hyperlink ref="A315" r:id="rId314" display="19920"/>
    <hyperlink ref="A316" r:id="rId315" display="19921"/>
    <hyperlink ref="A317" r:id="rId316" display="19922"/>
    <hyperlink ref="A318" r:id="rId317" display="19923"/>
    <hyperlink ref="A319" r:id="rId318" display="19929"/>
    <hyperlink ref="A320" r:id="rId319" display="19930"/>
    <hyperlink ref="A321" r:id="rId320" display="19931"/>
    <hyperlink ref="A322" r:id="rId321" display="19934"/>
    <hyperlink ref="A323" r:id="rId322" display="19935"/>
    <hyperlink ref="A324" r:id="rId323" display="19936"/>
    <hyperlink ref="A325" r:id="rId324" display="19937"/>
    <hyperlink ref="A326" r:id="rId325" display="19938"/>
    <hyperlink ref="A327" r:id="rId326" display="19941"/>
    <hyperlink ref="A328" r:id="rId327" display="19944"/>
    <hyperlink ref="A329" r:id="rId328" display="19945"/>
    <hyperlink ref="A330" r:id="rId329" display="19946"/>
    <hyperlink ref="A331" r:id="rId330" display="19948"/>
    <hyperlink ref="A332" r:id="rId331" display="19950"/>
    <hyperlink ref="A333" r:id="rId332" display="19952"/>
    <hyperlink ref="A334" r:id="rId333" display="19953"/>
    <hyperlink ref="A335" r:id="rId334" display="19954"/>
    <hyperlink ref="A336" r:id="rId335" display="19956"/>
    <hyperlink ref="A337" r:id="rId336" display="19958"/>
    <hyperlink ref="A338" r:id="rId337" display="19959"/>
    <hyperlink ref="A339" r:id="rId338" display="19964"/>
    <hyperlink ref="A340" r:id="rId339" display="19967"/>
    <hyperlink ref="A341" r:id="rId340" display="19968"/>
    <hyperlink ref="A342" r:id="rId341" display="19969"/>
    <hyperlink ref="A343" r:id="rId342" display="19971"/>
    <hyperlink ref="A344" r:id="rId343" display="19972"/>
    <hyperlink ref="A345" r:id="rId344" display="19974"/>
    <hyperlink ref="A346" r:id="rId345" display="19977"/>
    <hyperlink ref="A347" r:id="rId346" display="19978"/>
    <hyperlink ref="A348" r:id="rId347" display="19982"/>
    <hyperlink ref="A349" r:id="rId348" display="19987"/>
    <hyperlink ref="A350" r:id="rId349" display="19988"/>
    <hyperlink ref="A351" r:id="rId350" display="19989"/>
    <hyperlink ref="A352" r:id="rId351" display="19991"/>
    <hyperlink ref="A353" r:id="rId352" display="19992"/>
    <hyperlink ref="A354" r:id="rId353" display="19993"/>
    <hyperlink ref="A355" r:id="rId354" display="19994"/>
    <hyperlink ref="A356" r:id="rId355" display="19996"/>
    <hyperlink ref="A357" r:id="rId356" display="19998"/>
    <hyperlink ref="A358" r:id="rId357" display="20000"/>
    <hyperlink ref="A359" r:id="rId358" display="20003"/>
    <hyperlink ref="A360" r:id="rId359" display="20004"/>
    <hyperlink ref="A361" r:id="rId360" display="20005"/>
    <hyperlink ref="A362" r:id="rId361" display="20009"/>
    <hyperlink ref="A363" r:id="rId362" display="20011"/>
    <hyperlink ref="A364" r:id="rId363" display="20014"/>
    <hyperlink ref="A365" r:id="rId364" display="20016"/>
    <hyperlink ref="A366" r:id="rId365" display="20018"/>
    <hyperlink ref="A367" r:id="rId366" display="20019"/>
    <hyperlink ref="A368" r:id="rId367" display="20021"/>
    <hyperlink ref="A369" r:id="rId368" display="20023"/>
    <hyperlink ref="A370" r:id="rId369" display="20024"/>
    <hyperlink ref="A371" r:id="rId370" display="20025"/>
    <hyperlink ref="A372" r:id="rId371" display="20027"/>
    <hyperlink ref="A373" r:id="rId372" display="20028"/>
    <hyperlink ref="A374" r:id="rId373" display="20029"/>
    <hyperlink ref="A375" r:id="rId374" display="20030"/>
    <hyperlink ref="A376" r:id="rId375" display="20031"/>
    <hyperlink ref="A377" r:id="rId376" display="20034"/>
    <hyperlink ref="A378" r:id="rId377" display="20036"/>
    <hyperlink ref="A379" r:id="rId378" display="20038"/>
    <hyperlink ref="A380" r:id="rId379" display="20039"/>
    <hyperlink ref="A381" r:id="rId380" display="20040"/>
    <hyperlink ref="A382" r:id="rId381" display="20041"/>
    <hyperlink ref="A383" r:id="rId382" display="20042"/>
    <hyperlink ref="A384" r:id="rId383" display="20046"/>
    <hyperlink ref="A385" r:id="rId384" display="20048"/>
    <hyperlink ref="A386" r:id="rId385" display="20049"/>
    <hyperlink ref="A387" r:id="rId386" display="20051"/>
    <hyperlink ref="A388" r:id="rId387" display="20052"/>
    <hyperlink ref="A389" r:id="rId388" display="20053"/>
    <hyperlink ref="A390" r:id="rId389" display="20054"/>
    <hyperlink ref="A391" r:id="rId390" display="20055"/>
    <hyperlink ref="A392" r:id="rId391" display="20057"/>
    <hyperlink ref="A393" r:id="rId392" display="20059"/>
    <hyperlink ref="A394" r:id="rId393" display="20061"/>
    <hyperlink ref="A395" r:id="rId394" display="20063"/>
    <hyperlink ref="A396" r:id="rId395" display="20064"/>
    <hyperlink ref="A397" r:id="rId396" display="20070"/>
    <hyperlink ref="A398" r:id="rId397" display="20071"/>
    <hyperlink ref="A399" r:id="rId398" display="20072"/>
    <hyperlink ref="A400" r:id="rId399" display="20079"/>
    <hyperlink ref="A401" r:id="rId400" display="20080"/>
    <hyperlink ref="A402" r:id="rId401" display="20083"/>
    <hyperlink ref="A403" r:id="rId402" display="20085"/>
    <hyperlink ref="A404" r:id="rId403" display="20087"/>
    <hyperlink ref="A405" r:id="rId404" display="20088"/>
    <hyperlink ref="A406" r:id="rId405" display="20089"/>
    <hyperlink ref="A407" r:id="rId406" display="20091"/>
    <hyperlink ref="A408" r:id="rId407" display="20092"/>
    <hyperlink ref="A409" r:id="rId408" display="20093"/>
    <hyperlink ref="A410" r:id="rId409" display="20095"/>
    <hyperlink ref="A411" r:id="rId410" display="20096"/>
    <hyperlink ref="A412" r:id="rId411" display="20098"/>
    <hyperlink ref="A413" r:id="rId412" display="20102"/>
    <hyperlink ref="A414" r:id="rId413" display="20103"/>
    <hyperlink ref="A415" r:id="rId414" display="20105"/>
    <hyperlink ref="A416" r:id="rId415" display="20106"/>
    <hyperlink ref="A417" r:id="rId416" display="20107"/>
    <hyperlink ref="A418" r:id="rId417" display="20108"/>
    <hyperlink ref="A419" r:id="rId418" display="20109"/>
    <hyperlink ref="A420" r:id="rId419" display="20110"/>
    <hyperlink ref="A421" r:id="rId420" display="20111"/>
    <hyperlink ref="A422" r:id="rId421" display="20114"/>
    <hyperlink ref="A423" r:id="rId422" display="20115"/>
    <hyperlink ref="A424" r:id="rId423" display="20118"/>
    <hyperlink ref="A425" r:id="rId424" display="20120"/>
    <hyperlink ref="A426" r:id="rId425" display="20121"/>
    <hyperlink ref="A427" r:id="rId426" display="20123"/>
    <hyperlink ref="A428" r:id="rId427" display="20124"/>
    <hyperlink ref="A429" r:id="rId428" display="20125"/>
    <hyperlink ref="A430" r:id="rId429" display="20128"/>
    <hyperlink ref="A431" r:id="rId430" display="20130"/>
    <hyperlink ref="A432" r:id="rId431" display="20131"/>
    <hyperlink ref="A433" r:id="rId432" display="20132"/>
    <hyperlink ref="A434" r:id="rId433" display="20133"/>
    <hyperlink ref="A435" r:id="rId434" display="20135"/>
    <hyperlink ref="A436" r:id="rId435" display="20136"/>
    <hyperlink ref="A437" r:id="rId436" display="20137"/>
    <hyperlink ref="A438" r:id="rId437" display="20138"/>
    <hyperlink ref="A439" r:id="rId438" display="20139"/>
    <hyperlink ref="A440" r:id="rId439" display="20140"/>
    <hyperlink ref="A441" r:id="rId440" display="20141"/>
    <hyperlink ref="A442" r:id="rId441" display="20142"/>
    <hyperlink ref="A443" r:id="rId442" display="20143"/>
    <hyperlink ref="A444" r:id="rId443" display="20145"/>
    <hyperlink ref="A445" r:id="rId444" display="20146"/>
    <hyperlink ref="A446" r:id="rId445" display="20147"/>
    <hyperlink ref="A447" r:id="rId446" display="20149"/>
    <hyperlink ref="A448" r:id="rId447" display="20150"/>
    <hyperlink ref="A449" r:id="rId448" display="20153"/>
    <hyperlink ref="A450" r:id="rId449" display="20154"/>
    <hyperlink ref="A451" r:id="rId450" display="20157"/>
    <hyperlink ref="A452" r:id="rId451" display="20158"/>
    <hyperlink ref="A453" r:id="rId452" display="20160"/>
    <hyperlink ref="A454" r:id="rId453" display="20163"/>
    <hyperlink ref="A455" r:id="rId454" display="20164"/>
    <hyperlink ref="A456" r:id="rId455" display="20165"/>
    <hyperlink ref="A457" r:id="rId456" display="20168"/>
    <hyperlink ref="A458" r:id="rId457" display="20170"/>
    <hyperlink ref="A459" r:id="rId458" display="20171"/>
    <hyperlink ref="A460" r:id="rId459" display="20174"/>
    <hyperlink ref="A461" r:id="rId460" display="20175"/>
    <hyperlink ref="A462" r:id="rId461" display="20176"/>
    <hyperlink ref="A463" r:id="rId462" display="20177"/>
    <hyperlink ref="A464" r:id="rId463" display="20178"/>
    <hyperlink ref="A465" r:id="rId464" display="20179"/>
    <hyperlink ref="A466" r:id="rId465" display="20180"/>
    <hyperlink ref="A467" r:id="rId466" display="20181"/>
    <hyperlink ref="A468" r:id="rId467" display="20182"/>
    <hyperlink ref="A469" r:id="rId468" display="20185"/>
    <hyperlink ref="A470" r:id="rId469" display="20186"/>
    <hyperlink ref="A471" r:id="rId470" display="20187"/>
    <hyperlink ref="A472" r:id="rId471" display="20188"/>
    <hyperlink ref="A473" r:id="rId472" display="20189"/>
    <hyperlink ref="A474" r:id="rId473" display="20191"/>
    <hyperlink ref="A475" r:id="rId474" display="20197"/>
    <hyperlink ref="A476" r:id="rId475" display="20199"/>
    <hyperlink ref="A477" r:id="rId476" display="20200"/>
    <hyperlink ref="A478" r:id="rId477" display="20201"/>
    <hyperlink ref="A479" r:id="rId478" display="20206"/>
    <hyperlink ref="A480" r:id="rId479" display="20207"/>
    <hyperlink ref="A481" r:id="rId480" display="20208"/>
    <hyperlink ref="A482" r:id="rId481" display="20209"/>
    <hyperlink ref="A483" r:id="rId482" display="20210"/>
    <hyperlink ref="A484" r:id="rId483" display="20213"/>
    <hyperlink ref="A485" r:id="rId484" display="20214"/>
    <hyperlink ref="A486" r:id="rId485" display="20216"/>
    <hyperlink ref="A487" r:id="rId486" display="20221"/>
    <hyperlink ref="A488" r:id="rId487" display="20223"/>
    <hyperlink ref="A489" r:id="rId488" display="20225"/>
    <hyperlink ref="A490" r:id="rId489" display="20226"/>
    <hyperlink ref="A491" r:id="rId490" display="20230"/>
    <hyperlink ref="A492" r:id="rId491" display="20231"/>
    <hyperlink ref="A493" r:id="rId492" display="20232"/>
    <hyperlink ref="A494" r:id="rId493" display="20233"/>
    <hyperlink ref="A495" r:id="rId494" display="20234"/>
    <hyperlink ref="A496" r:id="rId495" display="20235"/>
    <hyperlink ref="A497" r:id="rId496" display="20250"/>
    <hyperlink ref="A498" r:id="rId497" display="20251"/>
    <hyperlink ref="A499" r:id="rId498" display="20257"/>
    <hyperlink ref="A500" r:id="rId499" display="20260"/>
    <hyperlink ref="A501" r:id="rId500" display="20261"/>
    <hyperlink ref="A502" r:id="rId501" display="20262"/>
    <hyperlink ref="A503" r:id="rId502" display="20265"/>
    <hyperlink ref="A504" r:id="rId503" display="20268"/>
    <hyperlink ref="A505" r:id="rId504" display="20272"/>
    <hyperlink ref="A506" r:id="rId505" display="20275"/>
    <hyperlink ref="A507" r:id="rId506" display="20277"/>
    <hyperlink ref="A508" r:id="rId507" display="20278"/>
    <hyperlink ref="A509" r:id="rId508" display="20280"/>
    <hyperlink ref="A510" r:id="rId509" display="20281"/>
    <hyperlink ref="A511" r:id="rId510" display="20282"/>
    <hyperlink ref="A512" r:id="rId511" display="20283"/>
    <hyperlink ref="A513" r:id="rId512" display="20285"/>
    <hyperlink ref="A514" r:id="rId513" display="20286"/>
    <hyperlink ref="A515" r:id="rId514" display="20288"/>
    <hyperlink ref="A516" r:id="rId515" display="20292"/>
    <hyperlink ref="A517" r:id="rId516" display="20294"/>
    <hyperlink ref="A518" r:id="rId517" display="20296"/>
    <hyperlink ref="A519" r:id="rId518" display="20298"/>
    <hyperlink ref="A520" r:id="rId519" display="20299"/>
    <hyperlink ref="A521" r:id="rId520" display="20300"/>
    <hyperlink ref="A522" r:id="rId521" display="20301"/>
    <hyperlink ref="A523" r:id="rId522" display="20302"/>
    <hyperlink ref="A524" r:id="rId523" display="20303"/>
    <hyperlink ref="A525" r:id="rId524" display="20304"/>
    <hyperlink ref="A526" r:id="rId525" display="20307"/>
    <hyperlink ref="A527" r:id="rId526" display="20309"/>
    <hyperlink ref="A528" r:id="rId527" display="20311"/>
    <hyperlink ref="A529" r:id="rId528" display="20312"/>
    <hyperlink ref="A530" r:id="rId529" display="20313"/>
    <hyperlink ref="A531" r:id="rId530" display="20317"/>
    <hyperlink ref="A532" r:id="rId531" display="20319"/>
    <hyperlink ref="A533" r:id="rId532" display="20320"/>
    <hyperlink ref="A534" r:id="rId533" display="20322"/>
    <hyperlink ref="A535" r:id="rId534" display="20323"/>
    <hyperlink ref="A536" r:id="rId535" display="20325"/>
    <hyperlink ref="A537" r:id="rId536" display="20326"/>
    <hyperlink ref="A538" r:id="rId537" display="20327"/>
    <hyperlink ref="A539" r:id="rId538" display="20328"/>
    <hyperlink ref="A540" r:id="rId539" display="20329"/>
    <hyperlink ref="A541" r:id="rId540" display="20330"/>
    <hyperlink ref="A542" r:id="rId541" display="20331"/>
    <hyperlink ref="A543" r:id="rId542" display="20332"/>
    <hyperlink ref="A544" r:id="rId543" display="20333"/>
    <hyperlink ref="A545" r:id="rId544" display="20334"/>
    <hyperlink ref="A546" r:id="rId545" display="20336"/>
    <hyperlink ref="A547" r:id="rId546" display="20338"/>
    <hyperlink ref="A548" r:id="rId547" display="20340"/>
    <hyperlink ref="A549" r:id="rId548" display="20341"/>
    <hyperlink ref="A550" r:id="rId549" display="20342"/>
    <hyperlink ref="A551" r:id="rId550" display="20345"/>
    <hyperlink ref="A552" r:id="rId551" display="20347"/>
    <hyperlink ref="A553" r:id="rId552" display="20349"/>
    <hyperlink ref="A554" r:id="rId553" display="20350"/>
    <hyperlink ref="A555" r:id="rId554" display="20351"/>
    <hyperlink ref="A556" r:id="rId555" display="20352"/>
    <hyperlink ref="A557" r:id="rId556" display="20354"/>
    <hyperlink ref="A558" r:id="rId557" display="20355"/>
    <hyperlink ref="A559" r:id="rId558" display="20357"/>
    <hyperlink ref="A560" r:id="rId559" display="20359"/>
    <hyperlink ref="A561" r:id="rId560" display="20360"/>
    <hyperlink ref="A562" r:id="rId561" display="20361"/>
    <hyperlink ref="A563" r:id="rId562" display="20363"/>
    <hyperlink ref="A564" r:id="rId563" display="20364"/>
    <hyperlink ref="A565" r:id="rId564" display="20367"/>
    <hyperlink ref="A566" r:id="rId565" display="20369"/>
    <hyperlink ref="A567" r:id="rId566" display="20371"/>
    <hyperlink ref="A568" r:id="rId567" display="20374"/>
    <hyperlink ref="A569" r:id="rId568" display="20376"/>
    <hyperlink ref="A570" r:id="rId569" display="20377"/>
    <hyperlink ref="A571" r:id="rId570" display="20378"/>
    <hyperlink ref="A572" r:id="rId571" display="20381"/>
    <hyperlink ref="A573" r:id="rId572" display="20383"/>
    <hyperlink ref="A574" r:id="rId573" display="20385"/>
    <hyperlink ref="A575" r:id="rId574" display="20386"/>
    <hyperlink ref="A576" r:id="rId575" display="20387"/>
    <hyperlink ref="A577" r:id="rId576" display="20388"/>
    <hyperlink ref="A578" r:id="rId577" display="20389"/>
    <hyperlink ref="A579" r:id="rId578" display="20390"/>
    <hyperlink ref="A580" r:id="rId579" display="20393"/>
    <hyperlink ref="A581" r:id="rId580" display="20394"/>
    <hyperlink ref="A582" r:id="rId581" display="20395"/>
    <hyperlink ref="A583" r:id="rId582" display="20397"/>
    <hyperlink ref="A584" r:id="rId583" display="20398"/>
    <hyperlink ref="A585" r:id="rId584" display="20401"/>
    <hyperlink ref="A586" r:id="rId585" display="20403"/>
    <hyperlink ref="A587" r:id="rId586" display="20404"/>
    <hyperlink ref="A588" r:id="rId587" display="20406"/>
    <hyperlink ref="A589" r:id="rId588" display="20408"/>
    <hyperlink ref="A590" r:id="rId589" display="20410"/>
    <hyperlink ref="A591" r:id="rId590" display="20411"/>
    <hyperlink ref="A592" r:id="rId591" display="20412"/>
    <hyperlink ref="A593" r:id="rId592" display="20413"/>
    <hyperlink ref="A594" r:id="rId593" display="20415"/>
    <hyperlink ref="A595" r:id="rId594" display="20416"/>
    <hyperlink ref="A596" r:id="rId595" display="20417"/>
    <hyperlink ref="A597" r:id="rId596" display="20418"/>
    <hyperlink ref="A598" r:id="rId597" display="20419"/>
    <hyperlink ref="A599" r:id="rId598" display="20420"/>
    <hyperlink ref="A600" r:id="rId599" display="20421"/>
    <hyperlink ref="A601" r:id="rId600" display="20422"/>
    <hyperlink ref="A602" r:id="rId601" display="20423"/>
    <hyperlink ref="A603" r:id="rId602" display="20424"/>
    <hyperlink ref="A604" r:id="rId603" display="20425"/>
    <hyperlink ref="A605" r:id="rId604" display="20426"/>
    <hyperlink ref="A606" r:id="rId605" display="20427"/>
    <hyperlink ref="A607" r:id="rId606" display="20429"/>
    <hyperlink ref="A608" r:id="rId607" display="20431"/>
    <hyperlink ref="A609" r:id="rId608" display="20432"/>
    <hyperlink ref="A610" r:id="rId609" display="20436"/>
    <hyperlink ref="A611" r:id="rId610" display="20437"/>
    <hyperlink ref="A612" r:id="rId611" display="20438"/>
    <hyperlink ref="A613" r:id="rId612" display="20441"/>
    <hyperlink ref="A614" r:id="rId613" display="20442"/>
    <hyperlink ref="A615" r:id="rId614" display="20443"/>
    <hyperlink ref="A616" r:id="rId615" display="20444"/>
    <hyperlink ref="A617" r:id="rId616" display="20445"/>
    <hyperlink ref="A618" r:id="rId617" display="20446"/>
    <hyperlink ref="A619" r:id="rId618" display="20447"/>
    <hyperlink ref="A620" r:id="rId619" display="20449"/>
    <hyperlink ref="A621" r:id="rId620" display="20450"/>
    <hyperlink ref="A622" r:id="rId621" display="20451"/>
    <hyperlink ref="A623" r:id="rId622" display="20452"/>
    <hyperlink ref="A624" r:id="rId623" display="20458"/>
    <hyperlink ref="A625" r:id="rId624" display="20459"/>
    <hyperlink ref="A626" r:id="rId625" display="20460"/>
    <hyperlink ref="A627" r:id="rId626" display="20461"/>
    <hyperlink ref="A628" r:id="rId627" display="20462"/>
    <hyperlink ref="A629" r:id="rId628" display="20463"/>
    <hyperlink ref="A630" r:id="rId629" display="20464"/>
    <hyperlink ref="A631" r:id="rId630" display="20471"/>
    <hyperlink ref="A632" r:id="rId631" display="20473"/>
    <hyperlink ref="A633" r:id="rId632" display="20474"/>
    <hyperlink ref="A634" r:id="rId633" display="20475"/>
    <hyperlink ref="A635" r:id="rId634" display="20476"/>
    <hyperlink ref="A636" r:id="rId635" display="20477"/>
    <hyperlink ref="A637" r:id="rId636" display="20479"/>
    <hyperlink ref="A638" r:id="rId637" display="20480"/>
    <hyperlink ref="A639" r:id="rId638" display="20483"/>
    <hyperlink ref="A640" r:id="rId639" display="20484"/>
    <hyperlink ref="A641" r:id="rId640" display="20489"/>
    <hyperlink ref="A642" r:id="rId641" display="20490"/>
    <hyperlink ref="A643" r:id="rId642" display="20491"/>
    <hyperlink ref="A644" r:id="rId643" display="20492"/>
    <hyperlink ref="A645" r:id="rId644" display="20493"/>
    <hyperlink ref="A646" r:id="rId645" display="20494"/>
    <hyperlink ref="A647" r:id="rId646" display="20497"/>
    <hyperlink ref="A648" r:id="rId647" display="20498"/>
    <hyperlink ref="A649" r:id="rId648" display="20500"/>
    <hyperlink ref="A650" r:id="rId649" display="20501"/>
    <hyperlink ref="A651" r:id="rId650" display="20503"/>
    <hyperlink ref="A652" r:id="rId651" display="20505"/>
    <hyperlink ref="A653" r:id="rId652" display="20506"/>
    <hyperlink ref="A654" r:id="rId653" display="20507"/>
    <hyperlink ref="A655" r:id="rId654" display="20508"/>
    <hyperlink ref="A656" r:id="rId655" display="20509"/>
    <hyperlink ref="A657" r:id="rId656" display="20511"/>
    <hyperlink ref="A658" r:id="rId657" display="20513"/>
    <hyperlink ref="A659" r:id="rId658" display="20517"/>
    <hyperlink ref="A660" r:id="rId659" display="20518"/>
    <hyperlink ref="A661" r:id="rId660" display="20519"/>
    <hyperlink ref="A662" r:id="rId661" display="20520"/>
    <hyperlink ref="A663" r:id="rId662" display="20522"/>
    <hyperlink ref="A664" r:id="rId663" display="20523"/>
    <hyperlink ref="A665" r:id="rId664" display="20524"/>
    <hyperlink ref="A666" r:id="rId665" display="20525"/>
    <hyperlink ref="A667" r:id="rId666" display="20527"/>
    <hyperlink ref="A668" r:id="rId667" display="20528"/>
    <hyperlink ref="A669" r:id="rId668" display="20529"/>
    <hyperlink ref="A670" r:id="rId669" display="20530"/>
    <hyperlink ref="A671" r:id="rId670" display="20534"/>
    <hyperlink ref="A672" r:id="rId671" display="20535"/>
    <hyperlink ref="A673" r:id="rId672" display="20541"/>
    <hyperlink ref="A674" r:id="rId673" display="20544"/>
    <hyperlink ref="A675" r:id="rId674" display="20546"/>
    <hyperlink ref="A676" r:id="rId675" display="20547"/>
    <hyperlink ref="A677" r:id="rId676" display="20548"/>
    <hyperlink ref="A678" r:id="rId677" display="20549"/>
    <hyperlink ref="A679" r:id="rId678" display="20550"/>
    <hyperlink ref="A680" r:id="rId679" display="20551"/>
    <hyperlink ref="A681" r:id="rId680" display="20553"/>
    <hyperlink ref="A682" r:id="rId681" display="20554"/>
    <hyperlink ref="A683" r:id="rId682" display="20555"/>
    <hyperlink ref="A684" r:id="rId683" display="20556"/>
    <hyperlink ref="A685" r:id="rId684" display="20557"/>
    <hyperlink ref="A686" r:id="rId685" display="20559"/>
    <hyperlink ref="A687" r:id="rId686" display="20562"/>
    <hyperlink ref="A688" r:id="rId687" display="20565"/>
    <hyperlink ref="A689" r:id="rId688" display="20566"/>
    <hyperlink ref="A690" r:id="rId689" display="20568"/>
    <hyperlink ref="A691" r:id="rId690" display="20571"/>
    <hyperlink ref="A692" r:id="rId691" display="20573"/>
    <hyperlink ref="A693" r:id="rId692" display="20575"/>
    <hyperlink ref="A694" r:id="rId693" display="20576"/>
    <hyperlink ref="A695" r:id="rId694" display="20577"/>
    <hyperlink ref="A696" r:id="rId695" display="20578"/>
    <hyperlink ref="A697" r:id="rId696" display="20579"/>
    <hyperlink ref="A698" r:id="rId697" display="20580"/>
    <hyperlink ref="A699" r:id="rId698" display="20581"/>
    <hyperlink ref="A700" r:id="rId699" display="20583"/>
    <hyperlink ref="A701" r:id="rId700" display="20584"/>
    <hyperlink ref="A702" r:id="rId701" display="20585"/>
    <hyperlink ref="A703" r:id="rId702" display="20586"/>
    <hyperlink ref="A704" r:id="rId703" display="20587"/>
    <hyperlink ref="A705" r:id="rId704" display="20588"/>
    <hyperlink ref="A706" r:id="rId705" display="20590"/>
    <hyperlink ref="A707" r:id="rId706" display="20591"/>
    <hyperlink ref="A708" r:id="rId707" display="20592"/>
    <hyperlink ref="A709" r:id="rId708" display="20593"/>
    <hyperlink ref="A710" r:id="rId709" display="20594"/>
    <hyperlink ref="A711" r:id="rId710" display="20596"/>
    <hyperlink ref="A712" r:id="rId711" display="20597"/>
    <hyperlink ref="A713" r:id="rId712" display="20598"/>
    <hyperlink ref="A714" r:id="rId713" display="20605"/>
    <hyperlink ref="A715" r:id="rId714" display="20606"/>
    <hyperlink ref="A716" r:id="rId715" display="20609"/>
    <hyperlink ref="A717" r:id="rId716" display="20610"/>
    <hyperlink ref="A718" r:id="rId717" display="20611"/>
    <hyperlink ref="A719" r:id="rId718" display="20612"/>
    <hyperlink ref="A720" r:id="rId719" display="20613"/>
    <hyperlink ref="A721" r:id="rId720" display="20614"/>
    <hyperlink ref="A722" r:id="rId721" display="20615"/>
    <hyperlink ref="A723" r:id="rId722" display="20616"/>
    <hyperlink ref="A724" r:id="rId723" display="20620"/>
    <hyperlink ref="A725" r:id="rId724" display="20621"/>
    <hyperlink ref="A726" r:id="rId725" display="20622"/>
    <hyperlink ref="A727" r:id="rId726" display="20624"/>
    <hyperlink ref="A728" r:id="rId727" display="20625"/>
    <hyperlink ref="A729" r:id="rId728" display="20626"/>
    <hyperlink ref="A730" r:id="rId729" display="20627"/>
    <hyperlink ref="A731" r:id="rId730" display="20628"/>
    <hyperlink ref="A732" r:id="rId731" display="20629"/>
    <hyperlink ref="A733" r:id="rId732" display="20631"/>
    <hyperlink ref="A734" r:id="rId733" display="20633"/>
    <hyperlink ref="A735" r:id="rId734" display="20635"/>
    <hyperlink ref="A736" r:id="rId735" display="20637"/>
    <hyperlink ref="A737" r:id="rId736" display="20639"/>
    <hyperlink ref="A738" r:id="rId737" display="20640"/>
    <hyperlink ref="A739" r:id="rId738" display="20642"/>
    <hyperlink ref="A740" r:id="rId739" display="20643"/>
    <hyperlink ref="A741" r:id="rId740" display="20644"/>
    <hyperlink ref="A742" r:id="rId741" display="20645"/>
    <hyperlink ref="A743" r:id="rId742" display="20647"/>
    <hyperlink ref="A744" r:id="rId743" display="20651"/>
    <hyperlink ref="A745" r:id="rId744" display="20652"/>
    <hyperlink ref="A746" r:id="rId745" display="20653"/>
    <hyperlink ref="A747" r:id="rId746" display="20657"/>
    <hyperlink ref="A748" r:id="rId747" display="20659"/>
    <hyperlink ref="A749" r:id="rId748" display="20660"/>
    <hyperlink ref="A750" r:id="rId749" display="20663"/>
    <hyperlink ref="A751" r:id="rId750" display="20665"/>
    <hyperlink ref="A752" r:id="rId751" display="20666"/>
    <hyperlink ref="A753" r:id="rId752" display="20669"/>
    <hyperlink ref="A754" r:id="rId753" display="20670"/>
    <hyperlink ref="A755" r:id="rId754" display="20675"/>
    <hyperlink ref="A756" r:id="rId755" display="20680"/>
    <hyperlink ref="A757" r:id="rId756" display="20681"/>
    <hyperlink ref="A758" r:id="rId757" display="20683"/>
    <hyperlink ref="A759" r:id="rId758" display="20685"/>
    <hyperlink ref="A760" r:id="rId759" display="20686"/>
    <hyperlink ref="A761" r:id="rId760" display="20688"/>
    <hyperlink ref="A762" r:id="rId761" display="20689"/>
    <hyperlink ref="A763" r:id="rId762" display="20692"/>
    <hyperlink ref="A764" r:id="rId763" display="20693"/>
    <hyperlink ref="A765" r:id="rId764" display="20694"/>
    <hyperlink ref="A766" r:id="rId765" display="20695"/>
    <hyperlink ref="A767" r:id="rId766" display="20696"/>
    <hyperlink ref="A768" r:id="rId767" display="20697"/>
    <hyperlink ref="A769" r:id="rId768" display="20698"/>
    <hyperlink ref="A770" r:id="rId769" display="20700"/>
    <hyperlink ref="A771" r:id="rId770" display="20704"/>
    <hyperlink ref="A772" r:id="rId771" display="20706"/>
    <hyperlink ref="A773" r:id="rId772" display="20707"/>
    <hyperlink ref="A774" r:id="rId773" display="20708"/>
    <hyperlink ref="A775" r:id="rId774" display="20709"/>
    <hyperlink ref="A776" r:id="rId775" display="20710"/>
    <hyperlink ref="A777" r:id="rId776" display="20713"/>
    <hyperlink ref="A778" r:id="rId777" display="20714"/>
    <hyperlink ref="A779" r:id="rId778" display="20715"/>
    <hyperlink ref="A780" r:id="rId779" display="20717"/>
    <hyperlink ref="A781" r:id="rId780" display="20718"/>
    <hyperlink ref="A782" r:id="rId781" display="20719"/>
    <hyperlink ref="A783" r:id="rId782" display="20720"/>
    <hyperlink ref="A784" r:id="rId783" display="20721"/>
    <hyperlink ref="A785" r:id="rId784" display="20722"/>
    <hyperlink ref="A786" r:id="rId785" display="20723"/>
    <hyperlink ref="A787" r:id="rId786" display="20724"/>
    <hyperlink ref="A788" r:id="rId787" display="20725"/>
    <hyperlink ref="A789" r:id="rId788" display="20726"/>
    <hyperlink ref="A790" r:id="rId789" display="20727"/>
    <hyperlink ref="A791" r:id="rId790" display="20728"/>
    <hyperlink ref="A792" r:id="rId791" display="20729"/>
    <hyperlink ref="A793" r:id="rId792" display="20730"/>
    <hyperlink ref="A794" r:id="rId793" display="20731"/>
    <hyperlink ref="A795" r:id="rId794" display="20732"/>
    <hyperlink ref="A796" r:id="rId795" display="20734"/>
    <hyperlink ref="A797" r:id="rId796" display="20737"/>
    <hyperlink ref="A798" r:id="rId797" display="20739"/>
    <hyperlink ref="A799" r:id="rId798" display="20740"/>
    <hyperlink ref="A800" r:id="rId799" display="20741"/>
    <hyperlink ref="A801" r:id="rId800" display="20742"/>
    <hyperlink ref="A802" r:id="rId801" display="20743"/>
    <hyperlink ref="A803" r:id="rId802" display="20744"/>
    <hyperlink ref="A804" r:id="rId803" display="20745"/>
    <hyperlink ref="A805" r:id="rId804" display="20748"/>
    <hyperlink ref="A806" r:id="rId805" display="20749"/>
    <hyperlink ref="A807" r:id="rId806" display="20751"/>
    <hyperlink ref="A808" r:id="rId807" display="20752"/>
    <hyperlink ref="A809" r:id="rId808" display="20755"/>
    <hyperlink ref="A810" r:id="rId809" display="20756"/>
    <hyperlink ref="A811" r:id="rId810" display="20757"/>
    <hyperlink ref="A812" r:id="rId811" display="20758"/>
    <hyperlink ref="A813" r:id="rId812" display="20759"/>
    <hyperlink ref="A814" r:id="rId813" display="20760"/>
    <hyperlink ref="A815" r:id="rId814" display="20761"/>
    <hyperlink ref="A816" r:id="rId815" display="20763"/>
    <hyperlink ref="A817" r:id="rId816" display="20764"/>
    <hyperlink ref="A818" r:id="rId817" display="20765"/>
    <hyperlink ref="A819" r:id="rId818" display="20769"/>
    <hyperlink ref="A820" r:id="rId819" display="20770"/>
    <hyperlink ref="A821" r:id="rId820" display="20771"/>
    <hyperlink ref="A822" r:id="rId821" display="20772"/>
    <hyperlink ref="A823" r:id="rId822" display="20774"/>
    <hyperlink ref="A824" r:id="rId823" display="20775"/>
    <hyperlink ref="A825" r:id="rId824" display="20776"/>
    <hyperlink ref="A826" r:id="rId825" display="20777"/>
    <hyperlink ref="A827" r:id="rId826" display="20778"/>
    <hyperlink ref="A828" r:id="rId827" display="20779"/>
    <hyperlink ref="A829" r:id="rId828" display="20780"/>
    <hyperlink ref="A830" r:id="rId829" display="20781"/>
    <hyperlink ref="A831" r:id="rId830" display="20782"/>
    <hyperlink ref="A832" r:id="rId831" display="20783"/>
    <hyperlink ref="A833" r:id="rId832" display="20784"/>
    <hyperlink ref="A834" r:id="rId833" display="20786"/>
    <hyperlink ref="A835" r:id="rId834" display="20787"/>
    <hyperlink ref="A836" r:id="rId835" display="20788"/>
    <hyperlink ref="A837" r:id="rId836" display="20789"/>
    <hyperlink ref="A838" r:id="rId837" display="20791"/>
    <hyperlink ref="A839" r:id="rId838" display="20792"/>
    <hyperlink ref="A840" r:id="rId839" display="20793"/>
    <hyperlink ref="A841" r:id="rId840" display="20794"/>
    <hyperlink ref="A842" r:id="rId841" display="20795"/>
    <hyperlink ref="A843" r:id="rId842" display="20796"/>
    <hyperlink ref="A844" r:id="rId843" display="20797"/>
    <hyperlink ref="A845" r:id="rId844" display="20800"/>
    <hyperlink ref="A846" r:id="rId845" display="20804"/>
    <hyperlink ref="A847" r:id="rId846" display="20808"/>
    <hyperlink ref="A848" r:id="rId847" display="20809"/>
    <hyperlink ref="A849" r:id="rId848" display="20811"/>
    <hyperlink ref="A850" r:id="rId849" display="20812"/>
    <hyperlink ref="A851" r:id="rId850" display="20813"/>
    <hyperlink ref="A852" r:id="rId851" display="20814"/>
    <hyperlink ref="A853" r:id="rId852" display="20816"/>
    <hyperlink ref="A854" r:id="rId853" display="20819"/>
    <hyperlink ref="A855" r:id="rId854" display="20820"/>
    <hyperlink ref="A856" r:id="rId855" display="20822"/>
    <hyperlink ref="A857" r:id="rId856" display="20823"/>
    <hyperlink ref="A858" r:id="rId857" display="20824"/>
    <hyperlink ref="A859" r:id="rId858" display="20825"/>
    <hyperlink ref="A860" r:id="rId859" display="20826"/>
    <hyperlink ref="A861" r:id="rId860" display="20827"/>
    <hyperlink ref="A862" r:id="rId861" display="20828"/>
    <hyperlink ref="A863" r:id="rId862" display="20831"/>
    <hyperlink ref="A864" r:id="rId863" display="20833"/>
    <hyperlink ref="A865" r:id="rId864" display="20834"/>
    <hyperlink ref="A866" r:id="rId865" display="20835"/>
    <hyperlink ref="A867" r:id="rId866" display="20836"/>
    <hyperlink ref="A868" r:id="rId867" display="20838"/>
    <hyperlink ref="A869" r:id="rId868" display="20839"/>
    <hyperlink ref="A870" r:id="rId869" display="20841"/>
    <hyperlink ref="A871" r:id="rId870" display="20843"/>
    <hyperlink ref="A872" r:id="rId871" display="20844"/>
    <hyperlink ref="A873" r:id="rId872" display="20849"/>
    <hyperlink ref="A874" r:id="rId873" display="20850"/>
    <hyperlink ref="A875" r:id="rId874" display="20852"/>
    <hyperlink ref="A876" r:id="rId875" display="20853"/>
    <hyperlink ref="A877" r:id="rId876" display="20854"/>
    <hyperlink ref="A878" r:id="rId877" display="20855"/>
    <hyperlink ref="A879" r:id="rId878" display="20856"/>
    <hyperlink ref="A880" r:id="rId879" display="20857"/>
    <hyperlink ref="A881" r:id="rId880" display="20858"/>
    <hyperlink ref="A882" r:id="rId881" display="20859"/>
    <hyperlink ref="A883" r:id="rId882" display="20861"/>
    <hyperlink ref="A884" r:id="rId883" display="20862"/>
    <hyperlink ref="A885" r:id="rId884" display="20863"/>
    <hyperlink ref="A886" r:id="rId885" display="20865"/>
    <hyperlink ref="A887" r:id="rId886" display="20866"/>
    <hyperlink ref="A888" r:id="rId887" display="20868"/>
    <hyperlink ref="A889" r:id="rId888" display="20870"/>
    <hyperlink ref="A890" r:id="rId889" display="20872"/>
    <hyperlink ref="A891" r:id="rId890" display="20873"/>
    <hyperlink ref="A892" r:id="rId891" display="20874"/>
    <hyperlink ref="A893" r:id="rId892" display="20875"/>
    <hyperlink ref="A894" r:id="rId893" display="20876"/>
    <hyperlink ref="A895" r:id="rId894" display="20877"/>
    <hyperlink ref="A896" r:id="rId895" display="20879"/>
    <hyperlink ref="A897" r:id="rId896" display="20880"/>
    <hyperlink ref="A898" r:id="rId897" display="20881"/>
    <hyperlink ref="A899" r:id="rId898" display="20882"/>
    <hyperlink ref="A900" r:id="rId899" display="20883"/>
    <hyperlink ref="A901" r:id="rId900" display="20884"/>
    <hyperlink ref="A902" r:id="rId901" display="20885"/>
    <hyperlink ref="A903" r:id="rId902" display="20886"/>
    <hyperlink ref="A904" r:id="rId903" display="20888"/>
    <hyperlink ref="A905" r:id="rId904" display="20889"/>
    <hyperlink ref="A906" r:id="rId905" display="20890"/>
    <hyperlink ref="A907" r:id="rId906" display="20891"/>
    <hyperlink ref="A908" r:id="rId907" display="20892"/>
    <hyperlink ref="A909" r:id="rId908" display="20893"/>
    <hyperlink ref="A910" r:id="rId909" display="20894"/>
    <hyperlink ref="A911" r:id="rId910" display="20898"/>
    <hyperlink ref="A912" r:id="rId911" display="20899"/>
    <hyperlink ref="A913" r:id="rId912" display="20900"/>
    <hyperlink ref="A914" r:id="rId913" display="20901"/>
    <hyperlink ref="A915" r:id="rId914" display="20902"/>
    <hyperlink ref="A916" r:id="rId915" display="20903"/>
    <hyperlink ref="A917" r:id="rId916" display="20904"/>
    <hyperlink ref="A918" r:id="rId917" display="20905"/>
    <hyperlink ref="A919" r:id="rId918" display="20907"/>
    <hyperlink ref="A920" r:id="rId919" display="20908"/>
    <hyperlink ref="A921" r:id="rId920" display="20909"/>
    <hyperlink ref="A922" r:id="rId921" display="20910"/>
    <hyperlink ref="A923" r:id="rId922" display="20911"/>
    <hyperlink ref="A924" r:id="rId923" display="20913"/>
    <hyperlink ref="A925" r:id="rId924" display="20914"/>
    <hyperlink ref="A926" r:id="rId925" display="20915"/>
    <hyperlink ref="A927" r:id="rId926" display="20916"/>
    <hyperlink ref="A928" r:id="rId927" display="20917"/>
    <hyperlink ref="A929" r:id="rId928" display="20919"/>
    <hyperlink ref="A930" r:id="rId929" display="20920"/>
    <hyperlink ref="A931" r:id="rId930" display="20922"/>
    <hyperlink ref="A932" r:id="rId931" display="20923"/>
    <hyperlink ref="A933" r:id="rId932" display="20925"/>
    <hyperlink ref="A934" r:id="rId933" display="20926"/>
    <hyperlink ref="A935" r:id="rId934" display="20927"/>
    <hyperlink ref="A936" r:id="rId935" display="20928"/>
    <hyperlink ref="A937" r:id="rId936" display="20929"/>
    <hyperlink ref="A938" r:id="rId937" display="20930"/>
    <hyperlink ref="A939" r:id="rId938" display="20931"/>
    <hyperlink ref="A940" r:id="rId939" display="20932"/>
    <hyperlink ref="A941" r:id="rId940" display="20934"/>
    <hyperlink ref="A942" r:id="rId941" display="20935"/>
    <hyperlink ref="A943" r:id="rId942" display="20936"/>
    <hyperlink ref="A944" r:id="rId943" display="20937"/>
    <hyperlink ref="A945" r:id="rId944" display="20938"/>
    <hyperlink ref="A946" r:id="rId945" display="20939"/>
    <hyperlink ref="A947" r:id="rId946" display="20940"/>
    <hyperlink ref="A948" r:id="rId947" display="20941"/>
    <hyperlink ref="A949" r:id="rId948" display="20942"/>
    <hyperlink ref="A950" r:id="rId949" display="20945"/>
    <hyperlink ref="A951" r:id="rId950" display="20947"/>
    <hyperlink ref="A952" r:id="rId951" display="20949"/>
    <hyperlink ref="A953" r:id="rId952" display="20950"/>
    <hyperlink ref="A954" r:id="rId953" display="20951"/>
    <hyperlink ref="A955" r:id="rId954" display="20952"/>
    <hyperlink ref="A956" r:id="rId955" display="20953"/>
    <hyperlink ref="A957" r:id="rId956" display="20955"/>
    <hyperlink ref="A958" r:id="rId957" display="20956"/>
    <hyperlink ref="A959" r:id="rId958" display="20957"/>
    <hyperlink ref="A960" r:id="rId959" display="20958"/>
    <hyperlink ref="A961" r:id="rId960" display="20959"/>
    <hyperlink ref="A962" r:id="rId961" display="20960"/>
    <hyperlink ref="A963" r:id="rId962" display="20962"/>
    <hyperlink ref="A964" r:id="rId963" display="20963"/>
    <hyperlink ref="A965" r:id="rId964" display="20965"/>
    <hyperlink ref="A966" r:id="rId965" display="20966"/>
    <hyperlink ref="A967" r:id="rId966" display="20967"/>
    <hyperlink ref="A968" r:id="rId967" display="20968"/>
    <hyperlink ref="A969" r:id="rId968" display="20971"/>
    <hyperlink ref="A970" r:id="rId969" display="20972"/>
    <hyperlink ref="A971" r:id="rId970" display="20973"/>
    <hyperlink ref="A972" r:id="rId971" display="20974"/>
    <hyperlink ref="A973" r:id="rId972" display="20975"/>
    <hyperlink ref="A974" r:id="rId973" display="20976"/>
    <hyperlink ref="A975" r:id="rId974" display="20977"/>
    <hyperlink ref="A976" r:id="rId975" display="20978"/>
    <hyperlink ref="A977" r:id="rId976" display="20979"/>
    <hyperlink ref="A978" r:id="rId977" display="20981"/>
    <hyperlink ref="A979" r:id="rId978" display="20982"/>
    <hyperlink ref="A980" r:id="rId979" display="20984"/>
    <hyperlink ref="A981" r:id="rId980" display="20985"/>
    <hyperlink ref="A982" r:id="rId981" display="20987"/>
    <hyperlink ref="A983" r:id="rId982" display="20988"/>
    <hyperlink ref="A984" r:id="rId983" display="20990"/>
    <hyperlink ref="A985" r:id="rId984" display="20992"/>
    <hyperlink ref="A986" r:id="rId985" display="20993"/>
    <hyperlink ref="A987" r:id="rId986" display="20995"/>
    <hyperlink ref="A988" r:id="rId987" display="20996"/>
    <hyperlink ref="A989" r:id="rId988" display="20998"/>
    <hyperlink ref="A990" r:id="rId989" display="20999"/>
    <hyperlink ref="A991" r:id="rId990" display="21000"/>
    <hyperlink ref="A992" r:id="rId991" display="21001"/>
    <hyperlink ref="A993" r:id="rId992" display="21002"/>
    <hyperlink ref="A994" r:id="rId993" display="21003"/>
    <hyperlink ref="A995" r:id="rId994" display="21005"/>
    <hyperlink ref="A996" r:id="rId995" display="21006"/>
    <hyperlink ref="A997" r:id="rId996" display="21008"/>
    <hyperlink ref="A998" r:id="rId997" display="21009"/>
    <hyperlink ref="A999" r:id="rId998" display="21011"/>
    <hyperlink ref="A1000" r:id="rId999" display="21012"/>
    <hyperlink ref="A1001" r:id="rId1000" display="21014"/>
    <hyperlink ref="A1002" r:id="rId1001" display="21015"/>
    <hyperlink ref="A1003" r:id="rId1002" display="21016"/>
    <hyperlink ref="A1004" r:id="rId1003" display="21017"/>
    <hyperlink ref="A1005" r:id="rId1004" display="21018"/>
    <hyperlink ref="A1006" r:id="rId1005" display="21019"/>
    <hyperlink ref="A1007" r:id="rId1006" display="21020"/>
    <hyperlink ref="A1008" r:id="rId1007" display="21021"/>
    <hyperlink ref="A1009" r:id="rId1008" display="21023"/>
    <hyperlink ref="A1010" r:id="rId1009" display="21027"/>
    <hyperlink ref="A1011" r:id="rId1010" display="21028"/>
    <hyperlink ref="A1012" r:id="rId1011" display="21029"/>
    <hyperlink ref="A1013" r:id="rId1012" display="21031"/>
    <hyperlink ref="A1014" r:id="rId1013" display="21033"/>
    <hyperlink ref="A1015" r:id="rId1014" display="21034"/>
    <hyperlink ref="A1016" r:id="rId1015" display="21035"/>
    <hyperlink ref="A1017" r:id="rId1016" display="21036"/>
    <hyperlink ref="A1018" r:id="rId1017" display="21037"/>
    <hyperlink ref="A1019" r:id="rId1018" display="21038"/>
    <hyperlink ref="A1020" r:id="rId1019" display="21039"/>
    <hyperlink ref="A1021" r:id="rId1020" display="21040"/>
    <hyperlink ref="A1022" r:id="rId1021" display="21041"/>
    <hyperlink ref="A1023" r:id="rId1022" display="21042"/>
    <hyperlink ref="A1024" r:id="rId1023" display="21043"/>
    <hyperlink ref="A1025" r:id="rId1024" display="21044"/>
    <hyperlink ref="A1026" r:id="rId1025" display="21046"/>
    <hyperlink ref="A1027" r:id="rId1026" display="21047"/>
    <hyperlink ref="A1028" r:id="rId1027" display="21048"/>
    <hyperlink ref="A1029" r:id="rId1028" display="21052"/>
    <hyperlink ref="A1030" r:id="rId1029" display="21053"/>
    <hyperlink ref="A1031" r:id="rId1030" display="21056"/>
    <hyperlink ref="A1032" r:id="rId1031" display="21057"/>
    <hyperlink ref="A1033" r:id="rId1032" display="21059"/>
    <hyperlink ref="A1034" r:id="rId1033" display="21061"/>
    <hyperlink ref="A1035" r:id="rId1034" display="21062"/>
    <hyperlink ref="A1036" r:id="rId1035" display="21063"/>
    <hyperlink ref="A1037" r:id="rId1036" display="21064"/>
    <hyperlink ref="A1038" r:id="rId1037" display="21065"/>
    <hyperlink ref="A1039" r:id="rId1038" display="21066"/>
    <hyperlink ref="A1040" r:id="rId1039" display="21069"/>
    <hyperlink ref="A1041" r:id="rId1040" display="21070"/>
    <hyperlink ref="A1042" r:id="rId1041" display="21071"/>
    <hyperlink ref="A1043" r:id="rId1042" display="21074"/>
    <hyperlink ref="A1044" r:id="rId1043" display="21075"/>
    <hyperlink ref="A1045" r:id="rId1044" display="21077"/>
    <hyperlink ref="A1046" r:id="rId1045" display="21078"/>
    <hyperlink ref="A1047" r:id="rId1046" display="21079"/>
    <hyperlink ref="A1048" r:id="rId1047" display="21080"/>
    <hyperlink ref="A1049" r:id="rId1048" display="21081"/>
    <hyperlink ref="A1050" r:id="rId1049" display="21083"/>
    <hyperlink ref="A1051" r:id="rId1050" display="21084"/>
    <hyperlink ref="A1052" r:id="rId1051" display="21085"/>
    <hyperlink ref="A1053" r:id="rId1052" display="21086"/>
    <hyperlink ref="A1054" r:id="rId1053" display="21087"/>
    <hyperlink ref="A1055" r:id="rId1054" display="21088"/>
    <hyperlink ref="A1056" r:id="rId1055" display="21089"/>
    <hyperlink ref="A1057" r:id="rId1056" display="21091"/>
    <hyperlink ref="A1058" r:id="rId1057" display="21092"/>
    <hyperlink ref="A1059" r:id="rId1058" display="21095"/>
    <hyperlink ref="A1060" r:id="rId1059" display="21097"/>
    <hyperlink ref="A1061" r:id="rId1060" display="21098"/>
    <hyperlink ref="A1062" r:id="rId1061" display="21102"/>
    <hyperlink ref="A1063" r:id="rId1062" display="21103"/>
    <hyperlink ref="A1064" r:id="rId1063" display="21106"/>
    <hyperlink ref="A1065" r:id="rId1064" display="21107"/>
    <hyperlink ref="A1066" r:id="rId1065" display="21109"/>
    <hyperlink ref="A1067" r:id="rId1066" display="21110"/>
    <hyperlink ref="A1068" r:id="rId1067" display="21111"/>
    <hyperlink ref="A1069" r:id="rId1068" display="21113"/>
    <hyperlink ref="A1070" r:id="rId1069" display="21114"/>
    <hyperlink ref="A1071" r:id="rId1070" display="21115"/>
    <hyperlink ref="A1072" r:id="rId1071" display="21116"/>
    <hyperlink ref="A1073" r:id="rId1072" display="21117"/>
    <hyperlink ref="A1074" r:id="rId1073" display="21118"/>
    <hyperlink ref="A1075" r:id="rId1074" display="21120"/>
    <hyperlink ref="A1076" r:id="rId1075" display="21121"/>
    <hyperlink ref="A1077" r:id="rId1076" display="21124"/>
    <hyperlink ref="A1078" r:id="rId1077" display="21126"/>
    <hyperlink ref="A1079" r:id="rId1078" display="21128"/>
    <hyperlink ref="A1080" r:id="rId1079" display="21129"/>
    <hyperlink ref="A1081" r:id="rId1080" display="21130"/>
    <hyperlink ref="A1082" r:id="rId1081" display="21131"/>
    <hyperlink ref="A1083" r:id="rId1082" display="21132"/>
    <hyperlink ref="A1084" r:id="rId1083" display="21133"/>
    <hyperlink ref="A1085" r:id="rId1084" display="21134"/>
    <hyperlink ref="A1086" r:id="rId1085" display="21137"/>
    <hyperlink ref="A1087" r:id="rId1086" display="21138"/>
    <hyperlink ref="A1088" r:id="rId1087" display="21140"/>
    <hyperlink ref="A1089" r:id="rId1088" display="21142"/>
    <hyperlink ref="A1090" r:id="rId1089" display="21143"/>
    <hyperlink ref="A1091" r:id="rId1090" display="21144"/>
    <hyperlink ref="A1092" r:id="rId1091" display="21146"/>
    <hyperlink ref="A1093" r:id="rId1092" display="21147"/>
    <hyperlink ref="A1094" r:id="rId1093" display="21148"/>
    <hyperlink ref="A1095" r:id="rId1094" display="21150"/>
    <hyperlink ref="A1096" r:id="rId1095" display="21153"/>
    <hyperlink ref="A1097" r:id="rId1096" display="21154"/>
    <hyperlink ref="A1098" r:id="rId1097" display="21155"/>
    <hyperlink ref="A1099" r:id="rId1098" display="21157"/>
    <hyperlink ref="A1100" r:id="rId1099" display="21158"/>
    <hyperlink ref="A1101" r:id="rId1100" display="21159"/>
    <hyperlink ref="A1102" r:id="rId1101" display="21160"/>
    <hyperlink ref="A1103" r:id="rId1102" display="21161"/>
    <hyperlink ref="A1104" r:id="rId1103" display="21165"/>
    <hyperlink ref="A1105" r:id="rId1104" display="21167"/>
    <hyperlink ref="A1106" r:id="rId1105" display="21168"/>
    <hyperlink ref="A1107" r:id="rId1106" display="21169"/>
    <hyperlink ref="A1108" r:id="rId1107" display="21170"/>
    <hyperlink ref="A1109" r:id="rId1108" display="21173"/>
    <hyperlink ref="A1110" r:id="rId1109" display="21174"/>
    <hyperlink ref="A1111" r:id="rId1110" display="21175"/>
    <hyperlink ref="A1112" r:id="rId1111" display="21176"/>
    <hyperlink ref="A1113" r:id="rId1112" display="21177"/>
    <hyperlink ref="A1114" r:id="rId1113" display="21178"/>
    <hyperlink ref="A1115" r:id="rId1114" display="21179"/>
    <hyperlink ref="A1116" r:id="rId1115" display="21180"/>
    <hyperlink ref="A1117" r:id="rId1116" display="21181"/>
    <hyperlink ref="A1118" r:id="rId1117" display="21182"/>
    <hyperlink ref="A1119" r:id="rId1118" display="21183"/>
    <hyperlink ref="A1120" r:id="rId1119" display="21184"/>
    <hyperlink ref="A1121" r:id="rId1120" display="21185"/>
    <hyperlink ref="A1122" r:id="rId1121" display="21187"/>
    <hyperlink ref="A1123" r:id="rId1122" display="21189"/>
    <hyperlink ref="A1124" r:id="rId1123" display="21190"/>
    <hyperlink ref="A1125" r:id="rId1124" display="21192"/>
    <hyperlink ref="A1126" r:id="rId1125" display="21193"/>
    <hyperlink ref="A1127" r:id="rId1126" display="21194"/>
    <hyperlink ref="A1128" r:id="rId1127" display="21195"/>
    <hyperlink ref="A1129" r:id="rId1128" display="21196"/>
    <hyperlink ref="A1130" r:id="rId1129" display="21197"/>
    <hyperlink ref="A1131" r:id="rId1130" display="21198"/>
    <hyperlink ref="A1132" r:id="rId1131" display="21199"/>
    <hyperlink ref="A1133" r:id="rId1132" display="21200"/>
    <hyperlink ref="A1134" r:id="rId1133" display="21201"/>
    <hyperlink ref="A1135" r:id="rId1134" display="21202"/>
    <hyperlink ref="A1136" r:id="rId1135" display="21203"/>
    <hyperlink ref="A1137" r:id="rId1136" display="21204"/>
    <hyperlink ref="A1138" r:id="rId1137" display="21205"/>
    <hyperlink ref="A1139" r:id="rId1138" display="21207"/>
    <hyperlink ref="A1140" r:id="rId1139" display="21209"/>
    <hyperlink ref="A1141" r:id="rId1140" display="21210"/>
    <hyperlink ref="A1142" r:id="rId1141" display="21211"/>
    <hyperlink ref="A1143" r:id="rId1142" display="21212"/>
    <hyperlink ref="A1144" r:id="rId1143" display="21213"/>
    <hyperlink ref="A1145" r:id="rId1144" display="21214"/>
    <hyperlink ref="A1146" r:id="rId1145" display="21218"/>
    <hyperlink ref="A1147" r:id="rId1146" display="21219"/>
    <hyperlink ref="A1148" r:id="rId1147" display="21220"/>
    <hyperlink ref="A1149" r:id="rId1148" display="21221"/>
    <hyperlink ref="A1150" r:id="rId1149" display="21225"/>
    <hyperlink ref="A1151" r:id="rId1150" display="21226"/>
    <hyperlink ref="A1152" r:id="rId1151" display="21227"/>
    <hyperlink ref="A1153" r:id="rId1152" display="21230"/>
    <hyperlink ref="A1154" r:id="rId1153" display="21231"/>
    <hyperlink ref="A1155" r:id="rId1154" display="21232"/>
    <hyperlink ref="A1156" r:id="rId1155" display="21233"/>
    <hyperlink ref="A1157" r:id="rId1156" display="21235"/>
    <hyperlink ref="A1158" r:id="rId1157" display="21236"/>
    <hyperlink ref="A1159" r:id="rId1158" display="21238"/>
    <hyperlink ref="A1160" r:id="rId1159" display="21241"/>
    <hyperlink ref="A1161" r:id="rId1160" display="21243"/>
    <hyperlink ref="A1162" r:id="rId1161" display="21244"/>
    <hyperlink ref="A1163" r:id="rId1162" display="21246"/>
    <hyperlink ref="A1164" r:id="rId1163" display="21247"/>
    <hyperlink ref="A1165" r:id="rId1164" display="21248"/>
    <hyperlink ref="A1166" r:id="rId1165" display="21249"/>
    <hyperlink ref="A1167" r:id="rId1166" display="21250"/>
    <hyperlink ref="A1168" r:id="rId1167" display="21252"/>
    <hyperlink ref="A1169" r:id="rId1168" display="21253"/>
    <hyperlink ref="A1170" r:id="rId1169" display="21254"/>
    <hyperlink ref="A1171" r:id="rId1170" display="21255"/>
    <hyperlink ref="A1172" r:id="rId1171" display="21256"/>
    <hyperlink ref="A1173" r:id="rId1172" display="21258"/>
    <hyperlink ref="A1174" r:id="rId1173" display="21261"/>
    <hyperlink ref="A1175" r:id="rId1174" display="21262"/>
    <hyperlink ref="A1176" r:id="rId1175" display="21264"/>
    <hyperlink ref="A1177" r:id="rId1176" display="21266"/>
    <hyperlink ref="A1178" r:id="rId1177" display="21267"/>
    <hyperlink ref="A1179" r:id="rId1178" display="21268"/>
    <hyperlink ref="A1180" r:id="rId1179" display="21269"/>
    <hyperlink ref="A1181" r:id="rId1180" display="21271"/>
    <hyperlink ref="A1182" r:id="rId1181" display="21272"/>
    <hyperlink ref="A1183" r:id="rId1182" display="21273"/>
    <hyperlink ref="A1184" r:id="rId1183" display="21274"/>
    <hyperlink ref="A1185" r:id="rId1184" display="21275"/>
    <hyperlink ref="A1186" r:id="rId1185" display="21276"/>
    <hyperlink ref="A1187" r:id="rId1186" display="21277"/>
    <hyperlink ref="A1188" r:id="rId1187" display="21278"/>
    <hyperlink ref="A1189" r:id="rId1188" display="21279"/>
    <hyperlink ref="A1190" r:id="rId1189" display="21280"/>
    <hyperlink ref="A1191" r:id="rId1190" display="21282"/>
    <hyperlink ref="A1192" r:id="rId1191" display="21284"/>
    <hyperlink ref="A1193" r:id="rId1192" display="21285"/>
    <hyperlink ref="A1194" r:id="rId1193" display="21288"/>
    <hyperlink ref="A1195" r:id="rId1194" display="21289"/>
    <hyperlink ref="A1196" r:id="rId1195" display="21290"/>
    <hyperlink ref="A1197" r:id="rId1196" display="21291"/>
    <hyperlink ref="A1198" r:id="rId1197" display="21292"/>
    <hyperlink ref="A1199" r:id="rId1198" display="21294"/>
    <hyperlink ref="A1200" r:id="rId1199" display="21295"/>
    <hyperlink ref="A1201" r:id="rId1200" display="21297"/>
    <hyperlink ref="A1202" r:id="rId1201" display="21298"/>
    <hyperlink ref="A1203" r:id="rId1202" display="21299"/>
    <hyperlink ref="A1204" r:id="rId1203" display="21300"/>
    <hyperlink ref="A1205" r:id="rId1204" display="21301"/>
    <hyperlink ref="A1206" r:id="rId1205" display="21302"/>
    <hyperlink ref="A1207" r:id="rId1206" display="21304"/>
    <hyperlink ref="A1208" r:id="rId1207" display="21306"/>
    <hyperlink ref="A1209" r:id="rId1208" display="21308"/>
    <hyperlink ref="A1210" r:id="rId1209" display="21309"/>
    <hyperlink ref="A1211" r:id="rId1210" display="21310"/>
    <hyperlink ref="A1212" r:id="rId1211" display="21311"/>
    <hyperlink ref="A1213" r:id="rId1212" display="21312"/>
    <hyperlink ref="A1214" r:id="rId1213" display="21313"/>
    <hyperlink ref="A1215" r:id="rId1214" display="21314"/>
    <hyperlink ref="A1216" r:id="rId1215" display="21315"/>
    <hyperlink ref="A1217" r:id="rId1216" display="21316"/>
    <hyperlink ref="A1218" r:id="rId1217" display="21317"/>
    <hyperlink ref="A1219" r:id="rId1218" display="21318"/>
    <hyperlink ref="A1220" r:id="rId1219" display="21319"/>
    <hyperlink ref="A1221" r:id="rId1220" display="21320"/>
    <hyperlink ref="A1222" r:id="rId1221" display="21321"/>
    <hyperlink ref="A1223" r:id="rId1222" display="21322"/>
    <hyperlink ref="A1224" r:id="rId1223" display="21323"/>
    <hyperlink ref="A1225" r:id="rId1224" display="21324"/>
    <hyperlink ref="A1226" r:id="rId1225" display="21326"/>
    <hyperlink ref="A1227" r:id="rId1226" display="21327"/>
    <hyperlink ref="A1228" r:id="rId1227" display="21328"/>
    <hyperlink ref="A1229" r:id="rId1228" display="21329"/>
    <hyperlink ref="A1230" r:id="rId1229" display="21330"/>
    <hyperlink ref="A1231" r:id="rId1230" display="21331"/>
    <hyperlink ref="A1232" r:id="rId1231" display="21332"/>
    <hyperlink ref="A1233" r:id="rId1232" display="21333"/>
    <hyperlink ref="A1234" r:id="rId1233" display="21334"/>
    <hyperlink ref="A1235" r:id="rId1234" display="21335"/>
    <hyperlink ref="A1236" r:id="rId1235" display="21336"/>
    <hyperlink ref="A1237" r:id="rId1236" display="21337"/>
    <hyperlink ref="A1238" r:id="rId1237" display="21338"/>
    <hyperlink ref="A1239" r:id="rId1238" display="21339"/>
    <hyperlink ref="A1240" r:id="rId1239" display="21340"/>
    <hyperlink ref="A1241" r:id="rId1240" display="21341"/>
    <hyperlink ref="A1242" r:id="rId1241" display="21342"/>
    <hyperlink ref="A1243" r:id="rId1242" display="21344"/>
    <hyperlink ref="A1244" r:id="rId1243" display="21345"/>
    <hyperlink ref="A1245" r:id="rId1244" display="21346"/>
    <hyperlink ref="A1246" r:id="rId1245" display="21347"/>
    <hyperlink ref="A1247" r:id="rId1246" display="21348"/>
    <hyperlink ref="A1248" r:id="rId1247" display="21350"/>
    <hyperlink ref="A1249" r:id="rId1248" display="21352"/>
    <hyperlink ref="A1250" r:id="rId1249" display="21353"/>
    <hyperlink ref="A1251" r:id="rId1250" display="21354"/>
    <hyperlink ref="A1252" r:id="rId1251" display="21355"/>
    <hyperlink ref="A1253" r:id="rId1252" display="21356"/>
    <hyperlink ref="A1254" r:id="rId1253" display="21357"/>
    <hyperlink ref="A1255" r:id="rId1254" display="21358"/>
    <hyperlink ref="A1256" r:id="rId1255" display="21359"/>
    <hyperlink ref="A1257" r:id="rId1256" display="21360"/>
    <hyperlink ref="A1258" r:id="rId1257" display="21363"/>
    <hyperlink ref="A1259" r:id="rId1258" display="21364"/>
    <hyperlink ref="A1260" r:id="rId1259" display="21365"/>
    <hyperlink ref="A1261" r:id="rId1260" display="21366"/>
    <hyperlink ref="A1262" r:id="rId1261" display="21367"/>
    <hyperlink ref="A1263" r:id="rId1262" display="21368"/>
    <hyperlink ref="A1264" r:id="rId1263" display="21369"/>
    <hyperlink ref="A1265" r:id="rId1264" display="21370"/>
    <hyperlink ref="A1266" r:id="rId1265" display="21371"/>
    <hyperlink ref="A1267" r:id="rId1266" display="21372"/>
    <hyperlink ref="A1268" r:id="rId1267" display="21373"/>
    <hyperlink ref="A1269" r:id="rId1268" display="21374"/>
    <hyperlink ref="A1270" r:id="rId1269" display="21375"/>
    <hyperlink ref="A1271" r:id="rId1270" display="21376"/>
    <hyperlink ref="A1272" r:id="rId1271" display="21378"/>
    <hyperlink ref="A1273" r:id="rId1272" display="21379"/>
    <hyperlink ref="A1274" r:id="rId1273" display="21380"/>
    <hyperlink ref="A1275" r:id="rId1274" display="21382"/>
    <hyperlink ref="A1276" r:id="rId1275" display="21384"/>
    <hyperlink ref="A1277" r:id="rId1276" display="21385"/>
    <hyperlink ref="A1278" r:id="rId1277" display="21386"/>
    <hyperlink ref="A1279" r:id="rId1278" display="21388"/>
    <hyperlink ref="A1280" r:id="rId1279" display="21391"/>
    <hyperlink ref="A1281" r:id="rId1280" display="21392"/>
    <hyperlink ref="A1282" r:id="rId1281" display="21393"/>
    <hyperlink ref="A1283" r:id="rId1282" display="21395"/>
    <hyperlink ref="A1284" r:id="rId1283" display="21397"/>
    <hyperlink ref="A1285" r:id="rId1284" display="21398"/>
    <hyperlink ref="A1286" r:id="rId1285" display="21399"/>
    <hyperlink ref="A1287" r:id="rId1286" display="21400"/>
    <hyperlink ref="A1288" r:id="rId1287" display="21401"/>
    <hyperlink ref="A1289" r:id="rId1288" display="21403"/>
    <hyperlink ref="A1290" r:id="rId1289" display="21404"/>
    <hyperlink ref="A1291" r:id="rId1290" display="21405"/>
    <hyperlink ref="A1292" r:id="rId1291" display="21407"/>
    <hyperlink ref="A1293" r:id="rId1292" display="21408"/>
    <hyperlink ref="A1294" r:id="rId1293" display="21410"/>
    <hyperlink ref="A1295" r:id="rId1294" display="21411"/>
    <hyperlink ref="A1296" r:id="rId1295" display="21413"/>
    <hyperlink ref="A1297" r:id="rId1296" display="21416"/>
    <hyperlink ref="A1298" r:id="rId1297" display="21417"/>
    <hyperlink ref="A1299" r:id="rId1298" display="21418"/>
    <hyperlink ref="A1300" r:id="rId1299" display="21420"/>
    <hyperlink ref="A1301" r:id="rId1300" display="21421"/>
    <hyperlink ref="A1302" r:id="rId1301" display="21422"/>
    <hyperlink ref="A1303" r:id="rId1302" display="21424"/>
    <hyperlink ref="A1304" r:id="rId1303" display="21425"/>
    <hyperlink ref="A1305" r:id="rId1304" display="21428"/>
    <hyperlink ref="A1306" r:id="rId1305" display="21429"/>
    <hyperlink ref="A1307" r:id="rId1306" display="21432"/>
    <hyperlink ref="A1308" r:id="rId1307" display="21433"/>
    <hyperlink ref="A1309" r:id="rId1308" display="21434"/>
    <hyperlink ref="A1310" r:id="rId1309" display="21435"/>
    <hyperlink ref="A1311" r:id="rId1310" display="21436"/>
    <hyperlink ref="A1312" r:id="rId1311" display="21437"/>
    <hyperlink ref="A1313" r:id="rId1312" display="21438"/>
    <hyperlink ref="A1314" r:id="rId1313" display="21439"/>
    <hyperlink ref="A1315" r:id="rId1314" display="21443"/>
    <hyperlink ref="A1316" r:id="rId1315" display="21445"/>
    <hyperlink ref="A1317" r:id="rId1316" display="21446"/>
    <hyperlink ref="A1318" r:id="rId1317" display="21447"/>
    <hyperlink ref="A1319" r:id="rId1318" display="21448"/>
    <hyperlink ref="A1320" r:id="rId1319" display="21449"/>
    <hyperlink ref="A1321" r:id="rId1320" display="21450"/>
    <hyperlink ref="A1322" r:id="rId1321" display="21451"/>
    <hyperlink ref="A1323" r:id="rId1322" display="21452"/>
    <hyperlink ref="A1324" r:id="rId1323" display="21453"/>
    <hyperlink ref="A1325" r:id="rId1324" display="21454"/>
    <hyperlink ref="A1326" r:id="rId1325" display="21455"/>
    <hyperlink ref="A1327" r:id="rId1326" display="21456"/>
    <hyperlink ref="A1328" r:id="rId1327" display="21457"/>
    <hyperlink ref="A1329" r:id="rId1328" display="21458"/>
    <hyperlink ref="A1330" r:id="rId1329" display="21459"/>
    <hyperlink ref="A1331" r:id="rId1330" display="21460"/>
    <hyperlink ref="A1332" r:id="rId1331" display="21461"/>
    <hyperlink ref="A1333" r:id="rId1332" display="21462"/>
    <hyperlink ref="A1334" r:id="rId1333" display="21463"/>
    <hyperlink ref="A1335" r:id="rId1334" display="21465"/>
    <hyperlink ref="A1336" r:id="rId1335" display="21466"/>
    <hyperlink ref="A1337" r:id="rId1336" display="21468"/>
    <hyperlink ref="A1338" r:id="rId1337" display="21469"/>
    <hyperlink ref="A1339" r:id="rId1338" display="21471"/>
    <hyperlink ref="A1340" r:id="rId1339" display="21472"/>
    <hyperlink ref="A1341" r:id="rId1340" display="21473"/>
    <hyperlink ref="A1342" r:id="rId1341" display="21474"/>
    <hyperlink ref="A1343" r:id="rId1342" display="21478"/>
    <hyperlink ref="A1344" r:id="rId1343" display="21479"/>
    <hyperlink ref="A1345" r:id="rId1344" display="21481"/>
    <hyperlink ref="A1346" r:id="rId1345" display="21482"/>
    <hyperlink ref="A1347" r:id="rId1346" display="21483"/>
    <hyperlink ref="A1348" r:id="rId1347" display="21484"/>
    <hyperlink ref="A1349" r:id="rId1348" display="21485"/>
    <hyperlink ref="A1350" r:id="rId1349" display="21488"/>
    <hyperlink ref="A1351" r:id="rId1350" display="21489"/>
    <hyperlink ref="A1352" r:id="rId1351" display="21490"/>
    <hyperlink ref="A1353" r:id="rId1352" display="21491"/>
    <hyperlink ref="A1354" r:id="rId1353" display="21492"/>
    <hyperlink ref="A1355" r:id="rId1354" display="21493"/>
    <hyperlink ref="A1356" r:id="rId1355" display="21494"/>
    <hyperlink ref="A1357" r:id="rId1356" display="21495"/>
    <hyperlink ref="A1358" r:id="rId1357" display="21499"/>
    <hyperlink ref="A1359" r:id="rId1358" display="21500"/>
    <hyperlink ref="A1360" r:id="rId1359" display="21501"/>
    <hyperlink ref="A1361" r:id="rId1360" display="21502"/>
    <hyperlink ref="A1362" r:id="rId1361" display="21503"/>
    <hyperlink ref="A1363" r:id="rId1362" display="21504"/>
    <hyperlink ref="A1364" r:id="rId1363" display="21505"/>
    <hyperlink ref="A1365" r:id="rId1364" display="21506"/>
    <hyperlink ref="A1366" r:id="rId1365" display="21507"/>
    <hyperlink ref="A1367" r:id="rId1366" display="21508"/>
    <hyperlink ref="A1368" r:id="rId1367" display="21509"/>
    <hyperlink ref="A1369" r:id="rId1368" display="21510"/>
    <hyperlink ref="A1370" r:id="rId1369" display="21512"/>
    <hyperlink ref="A1371" r:id="rId1370" display="21513"/>
    <hyperlink ref="A1372" r:id="rId1371" display="21514"/>
    <hyperlink ref="A1373" r:id="rId1372" display="21516"/>
    <hyperlink ref="A1374" r:id="rId1373" display="21517"/>
    <hyperlink ref="A1375" r:id="rId1374" display="21518"/>
    <hyperlink ref="A1376" r:id="rId1375" display="21519"/>
    <hyperlink ref="A1377" r:id="rId1376" display="21520"/>
    <hyperlink ref="A1378" r:id="rId1377" display="21521"/>
    <hyperlink ref="A1379" r:id="rId1378" display="21524"/>
    <hyperlink ref="A1380" r:id="rId1379" display="21525"/>
    <hyperlink ref="A1381" r:id="rId1380" display="21526"/>
    <hyperlink ref="A1382" r:id="rId1381" display="21527"/>
    <hyperlink ref="A1383" r:id="rId1382" display="21528"/>
    <hyperlink ref="A1384" r:id="rId1383" display="21529"/>
    <hyperlink ref="A1385" r:id="rId1384" display="21531"/>
    <hyperlink ref="A1386" r:id="rId1385" display="21532"/>
    <hyperlink ref="A1387" r:id="rId1386" display="21534"/>
    <hyperlink ref="A1388" r:id="rId1387" display="21535"/>
    <hyperlink ref="A1389" r:id="rId1388" display="21537"/>
    <hyperlink ref="A1390" r:id="rId1389" display="21540"/>
    <hyperlink ref="A1391" r:id="rId1390" display="21543"/>
    <hyperlink ref="A1392" r:id="rId1391" display="21544"/>
    <hyperlink ref="A1393" r:id="rId1392" display="21546"/>
    <hyperlink ref="A1394" r:id="rId1393" display="21547"/>
    <hyperlink ref="A1395" r:id="rId1394" display="21548"/>
    <hyperlink ref="A1396" r:id="rId1395" display="21550"/>
    <hyperlink ref="A1397" r:id="rId1396" display="21551"/>
    <hyperlink ref="A1398" r:id="rId1397" display="21553"/>
    <hyperlink ref="A1399" r:id="rId1398" display="21554"/>
    <hyperlink ref="A1400" r:id="rId1399" display="21555"/>
    <hyperlink ref="A1401" r:id="rId1400" display="21556"/>
    <hyperlink ref="A1402" r:id="rId1401" display="21558"/>
    <hyperlink ref="A1403" r:id="rId1402" display="21559"/>
    <hyperlink ref="A1404" r:id="rId1403" display="21560"/>
    <hyperlink ref="A1405" r:id="rId1404" display="21561"/>
    <hyperlink ref="A1406" r:id="rId1405" display="21564"/>
    <hyperlink ref="A1407" r:id="rId1406" display="21565"/>
    <hyperlink ref="A1408" r:id="rId1407" display="21566"/>
    <hyperlink ref="A1409" r:id="rId1408" display="21567"/>
    <hyperlink ref="A1410" r:id="rId1409" display="21569"/>
    <hyperlink ref="A1411" r:id="rId1410" display="21570"/>
    <hyperlink ref="A1412" r:id="rId1411" display="21571"/>
    <hyperlink ref="A1413" r:id="rId1412" display="21573"/>
    <hyperlink ref="A1414" r:id="rId1413" display="21574"/>
    <hyperlink ref="A1415" r:id="rId1414" display="21576"/>
    <hyperlink ref="A1416" r:id="rId1415" display="21577"/>
    <hyperlink ref="A1417" r:id="rId1416" display="21578"/>
    <hyperlink ref="A1418" r:id="rId1417" display="21579"/>
    <hyperlink ref="A1419" r:id="rId1418" display="21581"/>
    <hyperlink ref="A1420" r:id="rId1419" display="21582"/>
    <hyperlink ref="A1421" r:id="rId1420" display="21585"/>
    <hyperlink ref="A1422" r:id="rId1421" display="21586"/>
    <hyperlink ref="A1423" r:id="rId1422" display="21587"/>
    <hyperlink ref="A1424" r:id="rId1423" display="21590"/>
    <hyperlink ref="A1425" r:id="rId1424" display="21592"/>
    <hyperlink ref="A1426" r:id="rId1425" display="21595"/>
    <hyperlink ref="A1427" r:id="rId1426" display="21598"/>
    <hyperlink ref="A1428" r:id="rId1427" display="21600"/>
    <hyperlink ref="A1429" r:id="rId1428" display="21601"/>
    <hyperlink ref="A1430" r:id="rId1429" display="21602"/>
    <hyperlink ref="A1431" r:id="rId1430" display="21604"/>
    <hyperlink ref="A1432" r:id="rId1431" display="21605"/>
    <hyperlink ref="A1433" r:id="rId1432" display="21608"/>
    <hyperlink ref="A1434" r:id="rId1433" display="21609"/>
    <hyperlink ref="A1435" r:id="rId1434" display="21610"/>
    <hyperlink ref="A1436" r:id="rId1435" display="21612"/>
    <hyperlink ref="A1437" r:id="rId1436" display="21613"/>
    <hyperlink ref="A1438" r:id="rId1437" display="21615"/>
    <hyperlink ref="A1439" r:id="rId1438" display="21617"/>
    <hyperlink ref="A1440" r:id="rId1439" display="21618"/>
    <hyperlink ref="A1441" r:id="rId1440" display="21619"/>
    <hyperlink ref="A1442" r:id="rId1441" display="21620"/>
    <hyperlink ref="A1443" r:id="rId1442" display="21621"/>
    <hyperlink ref="A1444" r:id="rId1443" display="21622"/>
    <hyperlink ref="A1445" r:id="rId1444" display="21623"/>
    <hyperlink ref="A1446" r:id="rId1445" display="21624"/>
    <hyperlink ref="A1447" r:id="rId1446" display="21625"/>
    <hyperlink ref="A1448" r:id="rId1447" display="21626"/>
    <hyperlink ref="A1449" r:id="rId1448" display="21628"/>
    <hyperlink ref="A1450" r:id="rId1449" display="21629"/>
    <hyperlink ref="A1451" r:id="rId1450" display="21630"/>
    <hyperlink ref="A1452" r:id="rId1451" display="21631"/>
    <hyperlink ref="A1453" r:id="rId1452" display="21633"/>
    <hyperlink ref="A1454" r:id="rId1453" display="21634"/>
    <hyperlink ref="A1455" r:id="rId1454" display="21635"/>
    <hyperlink ref="A1456" r:id="rId1455" display="21636"/>
    <hyperlink ref="A1457" r:id="rId1456" display="21638"/>
    <hyperlink ref="A1458" r:id="rId1457" display="21639"/>
    <hyperlink ref="A1459" r:id="rId1458" display="21640"/>
    <hyperlink ref="A1460" r:id="rId1459" display="21642"/>
    <hyperlink ref="A1461" r:id="rId1460" display="21643"/>
    <hyperlink ref="A1462" r:id="rId1461" display="21651"/>
    <hyperlink ref="A1463" r:id="rId1462" display="21653"/>
    <hyperlink ref="A1464" r:id="rId1463" display="21654"/>
    <hyperlink ref="A1465" r:id="rId1464" display="21657"/>
    <hyperlink ref="A1466" r:id="rId1465" display="21658"/>
    <hyperlink ref="A1467" r:id="rId1466" display="21659"/>
    <hyperlink ref="A1468" r:id="rId1467" display="21663"/>
    <hyperlink ref="A1469" r:id="rId1468" display="21665"/>
    <hyperlink ref="A1470" r:id="rId1469" display="21666"/>
    <hyperlink ref="A1471" r:id="rId1470" display="21667"/>
    <hyperlink ref="A1472" r:id="rId1471" display="21668"/>
    <hyperlink ref="A1473" r:id="rId1472" display="21672"/>
    <hyperlink ref="A1474" r:id="rId1473" display="21673"/>
    <hyperlink ref="A1475" r:id="rId1474" display="21681"/>
    <hyperlink ref="A1476" r:id="rId1475" display="21682"/>
    <hyperlink ref="A1477" r:id="rId1476" display="21683"/>
    <hyperlink ref="A1478" r:id="rId1477" display="21684"/>
    <hyperlink ref="A1479" r:id="rId1478" display="21685"/>
    <hyperlink ref="A1480" r:id="rId1479" display="21686"/>
    <hyperlink ref="A1481" r:id="rId1480" display="21687"/>
    <hyperlink ref="A1482" r:id="rId1481" display="21688"/>
    <hyperlink ref="A1483" r:id="rId1482" display="21689"/>
    <hyperlink ref="A1484" r:id="rId1483" display="21690"/>
    <hyperlink ref="A1485" r:id="rId1484" display="21691"/>
    <hyperlink ref="A1486" r:id="rId1485" display="21692"/>
    <hyperlink ref="A1487" r:id="rId1486" display="21694"/>
    <hyperlink ref="A1488" r:id="rId1487" display="21695"/>
    <hyperlink ref="A1489" r:id="rId1488" display="21696"/>
    <hyperlink ref="A1490" r:id="rId1489" display="21697"/>
    <hyperlink ref="A1491" r:id="rId1490" display="21699"/>
    <hyperlink ref="A1492" r:id="rId1491" display="21702"/>
    <hyperlink ref="A1493" r:id="rId1492" display="21703"/>
    <hyperlink ref="A1494" r:id="rId1493" display="21704"/>
    <hyperlink ref="A1495" r:id="rId1494" display="21705"/>
    <hyperlink ref="A1496" r:id="rId1495" display="21706"/>
    <hyperlink ref="A1497" r:id="rId1496" display="21707"/>
    <hyperlink ref="A1498" r:id="rId1497" display="21708"/>
    <hyperlink ref="A1499" r:id="rId1498" display="21709"/>
    <hyperlink ref="A1500" r:id="rId1499" display="21710"/>
    <hyperlink ref="A1501" r:id="rId1500" display="21711"/>
    <hyperlink ref="A1502" r:id="rId1501" display="21712"/>
    <hyperlink ref="A1503" r:id="rId1502" display="21713"/>
    <hyperlink ref="A1504" r:id="rId1503" display="21714"/>
    <hyperlink ref="A1505" r:id="rId1504" display="21715"/>
    <hyperlink ref="A1506" r:id="rId1505" display="21716"/>
    <hyperlink ref="A1507" r:id="rId1506" display="21717"/>
    <hyperlink ref="A1508" r:id="rId1507" display="21719"/>
    <hyperlink ref="A1509" r:id="rId1508" display="21722"/>
    <hyperlink ref="A1510" r:id="rId1509" display="21723"/>
    <hyperlink ref="A1511" r:id="rId1510" display="21724"/>
    <hyperlink ref="A1512" r:id="rId1511" display="21725"/>
    <hyperlink ref="A1513" r:id="rId1512" display="21726"/>
    <hyperlink ref="A1514" r:id="rId1513" display="21728"/>
    <hyperlink ref="A1515" r:id="rId1514" display="21729"/>
    <hyperlink ref="A1516" r:id="rId1515" display="21732"/>
    <hyperlink ref="A1517" r:id="rId1516" display="21737"/>
    <hyperlink ref="A1518" r:id="rId1517" display="21739"/>
    <hyperlink ref="A1519" r:id="rId1518" display="21740"/>
    <hyperlink ref="A1520" r:id="rId1519" display="21742"/>
    <hyperlink ref="A1521" r:id="rId1520" display="21744"/>
    <hyperlink ref="A1522" r:id="rId1521" display="21745"/>
    <hyperlink ref="A1523" r:id="rId1522" display="21749"/>
    <hyperlink ref="A1524" r:id="rId1523" display="21750"/>
    <hyperlink ref="A1525" r:id="rId1524" display="21751"/>
    <hyperlink ref="A1526" r:id="rId1525" display="21753"/>
    <hyperlink ref="A1527" r:id="rId1526" display="21756"/>
    <hyperlink ref="A1528" r:id="rId1527" display="21760"/>
    <hyperlink ref="A1529" r:id="rId1528" display="21761"/>
    <hyperlink ref="A1530" r:id="rId1529" display="21763"/>
    <hyperlink ref="A1531" r:id="rId1530" display="21764"/>
    <hyperlink ref="A1532" r:id="rId1531" display="21767"/>
    <hyperlink ref="A1533" r:id="rId1532" display="21768"/>
    <hyperlink ref="A1534" r:id="rId1533" display="21769"/>
    <hyperlink ref="A1535" r:id="rId1534" display="21770"/>
    <hyperlink ref="A1536" r:id="rId1535" display="21771"/>
    <hyperlink ref="A1537" r:id="rId1536" display="21772"/>
    <hyperlink ref="A1538" r:id="rId1537" display="21775"/>
    <hyperlink ref="A1539" r:id="rId1538" display="21776"/>
    <hyperlink ref="A1540" r:id="rId1539" display="21777"/>
    <hyperlink ref="A1541" r:id="rId1540" display="21778"/>
    <hyperlink ref="A1542" r:id="rId1541" display="21780"/>
    <hyperlink ref="A1543" r:id="rId1542" display="21781"/>
    <hyperlink ref="A1544" r:id="rId1543" display="21782"/>
    <hyperlink ref="A1545" r:id="rId1544" display="21784"/>
    <hyperlink ref="A1546" r:id="rId1545" display="21786"/>
    <hyperlink ref="A1547" r:id="rId1546" display="21789"/>
    <hyperlink ref="A1548" r:id="rId1547" display="21790"/>
    <hyperlink ref="A1549" r:id="rId1548" display="21792"/>
    <hyperlink ref="A1550" r:id="rId1549" display="21793"/>
    <hyperlink ref="A1551" r:id="rId1550" display="21794"/>
    <hyperlink ref="A1552" r:id="rId1551" display="21795"/>
    <hyperlink ref="A1553" r:id="rId1552" display="21796"/>
    <hyperlink ref="A1554" r:id="rId1553" display="21797"/>
    <hyperlink ref="A1555" r:id="rId1554" display="21799"/>
    <hyperlink ref="A1556" r:id="rId1555" display="21800"/>
    <hyperlink ref="A1557" r:id="rId1556" display="21801"/>
    <hyperlink ref="A1558" r:id="rId1557" display="21802"/>
    <hyperlink ref="A1559" r:id="rId1558" display="21803"/>
    <hyperlink ref="A1560" r:id="rId1559" display="21804"/>
    <hyperlink ref="A1561" r:id="rId1560" display="21805"/>
    <hyperlink ref="A1562" r:id="rId1561" display="21806"/>
    <hyperlink ref="A1563" r:id="rId1562" display="21807"/>
    <hyperlink ref="A1564" r:id="rId1563" display="21808"/>
    <hyperlink ref="A1565" r:id="rId1564" display="21810"/>
    <hyperlink ref="A1566" r:id="rId1565" display="21812"/>
    <hyperlink ref="A1567" r:id="rId1566" display="21813"/>
    <hyperlink ref="A1568" r:id="rId1567" display="21815"/>
    <hyperlink ref="A1569" r:id="rId1568" display="21816"/>
    <hyperlink ref="A1570" r:id="rId1569" display="21817"/>
    <hyperlink ref="A1571" r:id="rId1570" display="21822"/>
    <hyperlink ref="A1572" r:id="rId1571" display="21823"/>
    <hyperlink ref="A1573" r:id="rId1572" display="21824"/>
    <hyperlink ref="A1574" r:id="rId1573" display="21827"/>
    <hyperlink ref="A1575" r:id="rId1574" display="21828"/>
    <hyperlink ref="A1576" r:id="rId1575" display="21829"/>
    <hyperlink ref="A1577" r:id="rId1576" display="21830"/>
    <hyperlink ref="A1578" r:id="rId1577" display="21833"/>
    <hyperlink ref="A1579" r:id="rId1578" display="21834"/>
    <hyperlink ref="A1580" r:id="rId1579" display="21835"/>
    <hyperlink ref="A1581" r:id="rId1580" display="21836"/>
    <hyperlink ref="A1582" r:id="rId1581" display="21837"/>
    <hyperlink ref="A1583" r:id="rId1582" display="21838"/>
    <hyperlink ref="A1584" r:id="rId1583" display="21839"/>
    <hyperlink ref="A1585" r:id="rId1584" display="21840"/>
    <hyperlink ref="A1586" r:id="rId1585" display="21842"/>
    <hyperlink ref="A1587" r:id="rId1586" display="21843"/>
    <hyperlink ref="A1588" r:id="rId1587" display="21844"/>
    <hyperlink ref="A1589" r:id="rId1588" display="21845"/>
    <hyperlink ref="A1590" r:id="rId1589" display="21846"/>
    <hyperlink ref="A1591" r:id="rId1590" display="21848"/>
    <hyperlink ref="A1592" r:id="rId1591" display="21850"/>
    <hyperlink ref="A1593" r:id="rId1592" display="21851"/>
    <hyperlink ref="A1594" r:id="rId1593" display="21852"/>
    <hyperlink ref="A1595" r:id="rId1594" display="21853"/>
    <hyperlink ref="A1596" r:id="rId1595" display="21854"/>
    <hyperlink ref="A1597" r:id="rId1596" display="21855"/>
    <hyperlink ref="A1598" r:id="rId1597" display="21857"/>
    <hyperlink ref="A1599" r:id="rId1598" display="21858"/>
    <hyperlink ref="A1600" r:id="rId1599" display="21859"/>
    <hyperlink ref="A1601" r:id="rId1600" display="21861"/>
    <hyperlink ref="A1602" r:id="rId1601" display="21863"/>
    <hyperlink ref="A1603" r:id="rId1602" display="21864"/>
    <hyperlink ref="A1604" r:id="rId1603" display="21867"/>
    <hyperlink ref="A1605" r:id="rId1604" display="21868"/>
    <hyperlink ref="A1606" r:id="rId1605" display="21869"/>
    <hyperlink ref="A1607" r:id="rId1606" display="21870"/>
    <hyperlink ref="A1608" r:id="rId1607" display="21871"/>
    <hyperlink ref="A1609" r:id="rId1608" display="21872"/>
    <hyperlink ref="A1610" r:id="rId1609" display="21873"/>
    <hyperlink ref="A1611" r:id="rId1610" display="21874"/>
    <hyperlink ref="A1612" r:id="rId1611" display="21875"/>
    <hyperlink ref="A1613" r:id="rId1612" display="21876"/>
    <hyperlink ref="A1614" r:id="rId1613" display="21877"/>
    <hyperlink ref="A1615" r:id="rId1614" display="21879"/>
    <hyperlink ref="A1616" r:id="rId1615" display="21880"/>
    <hyperlink ref="A1617" r:id="rId1616" display="21881"/>
    <hyperlink ref="A1618" r:id="rId1617" display="21882"/>
    <hyperlink ref="A1619" r:id="rId1618" display="21883"/>
    <hyperlink ref="A1620" r:id="rId1619" display="21884"/>
    <hyperlink ref="A1621" r:id="rId1620" display="21886"/>
    <hyperlink ref="A1622" r:id="rId1621" display="21887"/>
    <hyperlink ref="A1623" r:id="rId1622" display="21888"/>
    <hyperlink ref="A1624" r:id="rId1623" display="21891"/>
    <hyperlink ref="A1625" r:id="rId1624" display="21892"/>
    <hyperlink ref="A1626" r:id="rId1625" display="21893"/>
    <hyperlink ref="A1627" r:id="rId1626" display="21894"/>
    <hyperlink ref="A1628" r:id="rId1627" display="21896"/>
    <hyperlink ref="A1629" r:id="rId1628" display="21897"/>
    <hyperlink ref="A1630" r:id="rId1629" display="21901"/>
    <hyperlink ref="A1631" r:id="rId1630" display="21903"/>
    <hyperlink ref="A1632" r:id="rId1631" display="21904"/>
    <hyperlink ref="A1633" r:id="rId1632" display="21906"/>
    <hyperlink ref="A1634" r:id="rId1633" display="21907"/>
    <hyperlink ref="A1635" r:id="rId1634" display="21909"/>
    <hyperlink ref="A1636" r:id="rId1635" display="21911"/>
    <hyperlink ref="A1637" r:id="rId1636" display="21912"/>
    <hyperlink ref="A1638" r:id="rId1637" display="21913"/>
    <hyperlink ref="A1639" r:id="rId1638" display="21914"/>
    <hyperlink ref="A1640" r:id="rId1639" display="21915"/>
    <hyperlink ref="A1641" r:id="rId1640" display="21916"/>
    <hyperlink ref="A1642" r:id="rId1641" display="21917"/>
    <hyperlink ref="A1643" r:id="rId1642" display="21918"/>
    <hyperlink ref="A1644" r:id="rId1643" display="21919"/>
    <hyperlink ref="A1645" r:id="rId1644" display="21920"/>
    <hyperlink ref="A1646" r:id="rId1645" display="21921"/>
    <hyperlink ref="A1647" r:id="rId1646" display="21922"/>
    <hyperlink ref="A1648" r:id="rId1647" display="21923"/>
    <hyperlink ref="A1649" r:id="rId1648" display="21924"/>
    <hyperlink ref="A1650" r:id="rId1649" display="21925"/>
    <hyperlink ref="A1651" r:id="rId1650" display="21927"/>
    <hyperlink ref="A1652" r:id="rId1651" display="21928"/>
    <hyperlink ref="A1653" r:id="rId1652" display="21930"/>
    <hyperlink ref="A1654" r:id="rId1653" display="21931"/>
    <hyperlink ref="A1655" r:id="rId1654" display="21932"/>
    <hyperlink ref="A1656" r:id="rId1655" display="21933"/>
    <hyperlink ref="A1657" r:id="rId1656" display="21934"/>
    <hyperlink ref="A1658" r:id="rId1657" display="21935"/>
    <hyperlink ref="A1659" r:id="rId1658" display="21938"/>
    <hyperlink ref="A1660" r:id="rId1659" display="21939"/>
    <hyperlink ref="A1661" r:id="rId1660" display="21940"/>
    <hyperlink ref="A1662" r:id="rId1661" display="21941"/>
    <hyperlink ref="A1663" r:id="rId1662" display="21942"/>
    <hyperlink ref="A1664" r:id="rId1663" display="21943"/>
    <hyperlink ref="A1665" r:id="rId1664" display="21944"/>
    <hyperlink ref="A1666" r:id="rId1665" display="21947"/>
    <hyperlink ref="A1667" r:id="rId1666" display="21948"/>
    <hyperlink ref="A1668" r:id="rId1667" display="21949"/>
    <hyperlink ref="A1669" r:id="rId1668" display="21950"/>
    <hyperlink ref="A1670" r:id="rId1669" display="21951"/>
    <hyperlink ref="A1671" r:id="rId1670" display="21955"/>
    <hyperlink ref="A1672" r:id="rId1671" display="21956"/>
    <hyperlink ref="A1673" r:id="rId1672" display="21957"/>
    <hyperlink ref="A1674" r:id="rId1673" display="21958"/>
    <hyperlink ref="A1675" r:id="rId1674" display="21959"/>
    <hyperlink ref="A1676" r:id="rId1675" display="21960"/>
    <hyperlink ref="A1677" r:id="rId1676" display="21962"/>
    <hyperlink ref="A1678" r:id="rId1677" display="21963"/>
    <hyperlink ref="A1679" r:id="rId1678" display="21967"/>
    <hyperlink ref="A1680" r:id="rId1679" display="21968"/>
    <hyperlink ref="A1681" r:id="rId1680" display="21969"/>
    <hyperlink ref="A1682" r:id="rId1681" display="21970"/>
    <hyperlink ref="A1683" r:id="rId1682" display="21971"/>
    <hyperlink ref="A1684" r:id="rId1683" display="21972"/>
    <hyperlink ref="A1685" r:id="rId1684" display="21973"/>
    <hyperlink ref="A1686" r:id="rId1685" display="21974"/>
    <hyperlink ref="A1687" r:id="rId1686" display="21975"/>
    <hyperlink ref="A1688" r:id="rId1687" display="21976"/>
    <hyperlink ref="A1689" r:id="rId1688" display="21979"/>
    <hyperlink ref="A1690" r:id="rId1689" display="21980"/>
    <hyperlink ref="A1691" r:id="rId1690" display="21981"/>
    <hyperlink ref="A1692" r:id="rId1691" display="21982"/>
    <hyperlink ref="A1693" r:id="rId1692" display="21983"/>
    <hyperlink ref="A1694" r:id="rId1693" display="21984"/>
    <hyperlink ref="A1695" r:id="rId1694" display="21985"/>
    <hyperlink ref="A1696" r:id="rId1695" display="21986"/>
    <hyperlink ref="A1697" r:id="rId1696" display="21987"/>
    <hyperlink ref="A1698" r:id="rId1697" display="21989"/>
    <hyperlink ref="A1699" r:id="rId1698" display="21990"/>
    <hyperlink ref="A1700" r:id="rId1699" display="21991"/>
    <hyperlink ref="A1701" r:id="rId1700" display="21992"/>
    <hyperlink ref="A1702" r:id="rId1701" display="21993"/>
    <hyperlink ref="A1703" r:id="rId1702" display="21994"/>
    <hyperlink ref="A1704" r:id="rId1703" display="21995"/>
    <hyperlink ref="A1705" r:id="rId1704" display="21996"/>
    <hyperlink ref="A1706" r:id="rId1705" display="21997"/>
    <hyperlink ref="A1707" r:id="rId1706" display="21999"/>
    <hyperlink ref="A1708" r:id="rId1707" display="22002"/>
    <hyperlink ref="A1709" r:id="rId1708" display="22003"/>
    <hyperlink ref="A1710" r:id="rId1709" display="22004"/>
    <hyperlink ref="A1711" r:id="rId1710" display="22005"/>
    <hyperlink ref="A1712" r:id="rId1711" display="22006"/>
    <hyperlink ref="A1713" r:id="rId1712" display="22008"/>
    <hyperlink ref="A1714" r:id="rId1713" display="22009"/>
    <hyperlink ref="A1715" r:id="rId1714" display="22010"/>
    <hyperlink ref="A1716" r:id="rId1715" display="22012"/>
    <hyperlink ref="A1717" r:id="rId1716" display="22015"/>
    <hyperlink ref="A1718" r:id="rId1717" display="22017"/>
    <hyperlink ref="A1719" r:id="rId1718" display="22018"/>
    <hyperlink ref="A1720" r:id="rId1719" display="22020"/>
    <hyperlink ref="A1721" r:id="rId1720" display="22021"/>
    <hyperlink ref="A1722" r:id="rId1721" display="22022"/>
    <hyperlink ref="A1723" r:id="rId1722" display="22025"/>
    <hyperlink ref="A1724" r:id="rId1723" display="22028"/>
    <hyperlink ref="A1725" r:id="rId1724" display="22030"/>
    <hyperlink ref="A1726" r:id="rId1725" display="22032"/>
    <hyperlink ref="A1727" r:id="rId1726" display="22033"/>
    <hyperlink ref="A1728" r:id="rId1727" display="22036"/>
    <hyperlink ref="A1729" r:id="rId1728" display="22038"/>
    <hyperlink ref="A1730" r:id="rId1729" display="22039"/>
    <hyperlink ref="A1731" r:id="rId1730" display="22040"/>
    <hyperlink ref="A1732" r:id="rId1731" display="22041"/>
    <hyperlink ref="A1733" r:id="rId1732" display="22042"/>
    <hyperlink ref="A1734" r:id="rId1733" display="22045"/>
    <hyperlink ref="A1735" r:id="rId1734" display="22048"/>
    <hyperlink ref="A1736" r:id="rId1735" display="22049"/>
    <hyperlink ref="A1737" r:id="rId1736" display="22050"/>
    <hyperlink ref="A1738" r:id="rId1737" display="22052"/>
    <hyperlink ref="A1739" r:id="rId1738" display="22053"/>
    <hyperlink ref="A1740" r:id="rId1739" display="22054"/>
    <hyperlink ref="A1741" r:id="rId1740" display="22055"/>
    <hyperlink ref="A1742" r:id="rId1741" display="22058"/>
    <hyperlink ref="A1743" r:id="rId1742" display="22059"/>
    <hyperlink ref="A1744" r:id="rId1743" display="22061"/>
    <hyperlink ref="A1745" r:id="rId1744" display="22067"/>
    <hyperlink ref="A1746" r:id="rId1745" display="22069"/>
    <hyperlink ref="A1747" r:id="rId1746" display="22071"/>
    <hyperlink ref="A1748" r:id="rId1747" display="22072"/>
    <hyperlink ref="A1749" r:id="rId1748" display="22075"/>
    <hyperlink ref="A1750" r:id="rId1749" display="22080"/>
    <hyperlink ref="A1751" r:id="rId1750" display="22082"/>
    <hyperlink ref="A1752" r:id="rId1751" display="22083"/>
    <hyperlink ref="A1753" r:id="rId1752" display="22084"/>
    <hyperlink ref="A1754" r:id="rId1753" display="22085"/>
    <hyperlink ref="A1755" r:id="rId1754" display="22086"/>
    <hyperlink ref="A1756" r:id="rId1755" display="22087"/>
    <hyperlink ref="A1757" r:id="rId1756" display="22088"/>
    <hyperlink ref="A1758" r:id="rId1757" display="22089"/>
    <hyperlink ref="A1759" r:id="rId1758" display="22090"/>
    <hyperlink ref="A1760" r:id="rId1759" display="22092"/>
    <hyperlink ref="A1761" r:id="rId1760" display="22093"/>
    <hyperlink ref="A1762" r:id="rId1761" display="22094"/>
    <hyperlink ref="A1763" r:id="rId1762" display="22095"/>
    <hyperlink ref="A1764" r:id="rId1763" display="22097"/>
    <hyperlink ref="A1765" r:id="rId1764" display="22098"/>
    <hyperlink ref="A1766" r:id="rId1765" display="22099"/>
    <hyperlink ref="A1767" r:id="rId1766" display="22100"/>
    <hyperlink ref="A1768" r:id="rId1767" display="22102"/>
    <hyperlink ref="A1769" r:id="rId1768" display="22103"/>
    <hyperlink ref="A1770" r:id="rId1769" display="22104"/>
    <hyperlink ref="A1771" r:id="rId1770" display="22105"/>
    <hyperlink ref="A1772" r:id="rId1771" display="22107"/>
    <hyperlink ref="A1773" r:id="rId1772" display="22108"/>
    <hyperlink ref="A1774" r:id="rId1773" display="22110"/>
    <hyperlink ref="A1775" r:id="rId1774" display="22111"/>
    <hyperlink ref="A1776" r:id="rId1775" display="22112"/>
    <hyperlink ref="A1777" r:id="rId1776" display="22113"/>
    <hyperlink ref="A1778" r:id="rId1777" display="22114"/>
    <hyperlink ref="A1779" r:id="rId1778" display="22116"/>
    <hyperlink ref="A1780" r:id="rId1779" display="22117"/>
    <hyperlink ref="A1781" r:id="rId1780" display="22118"/>
    <hyperlink ref="A1782" r:id="rId1781" display="22119"/>
    <hyperlink ref="A1783" r:id="rId1782" display="22121"/>
    <hyperlink ref="A1784" r:id="rId1783" display="22123"/>
    <hyperlink ref="A1785" r:id="rId1784" display="22124"/>
    <hyperlink ref="A1786" r:id="rId1785" display="22126"/>
    <hyperlink ref="A1787" r:id="rId1786" display="22127"/>
    <hyperlink ref="A1788" r:id="rId1787" display="22128"/>
    <hyperlink ref="A1789" r:id="rId1788" display="22129"/>
    <hyperlink ref="A1790" r:id="rId1789" display="22130"/>
    <hyperlink ref="A1791" r:id="rId1790" display="22131"/>
    <hyperlink ref="A1792" r:id="rId1791" display="22133"/>
    <hyperlink ref="A1793" r:id="rId1792" display="22135"/>
    <hyperlink ref="A1794" r:id="rId1793" display="22137"/>
    <hyperlink ref="A1795" r:id="rId1794" display="22138"/>
    <hyperlink ref="A1796" r:id="rId1795" display="22139"/>
    <hyperlink ref="A1797" r:id="rId1796" display="22140"/>
    <hyperlink ref="A1798" r:id="rId1797" display="22141"/>
    <hyperlink ref="A1799" r:id="rId1798" display="22145"/>
    <hyperlink ref="A1800" r:id="rId1799" display="22146"/>
    <hyperlink ref="A1801" r:id="rId1800" display="22147"/>
    <hyperlink ref="A1802" r:id="rId1801" display="22149"/>
    <hyperlink ref="A1803" r:id="rId1802" display="22150"/>
    <hyperlink ref="A1804" r:id="rId1803" display="22153"/>
    <hyperlink ref="A1805" r:id="rId1804" display="22154"/>
    <hyperlink ref="A1806" r:id="rId1805" display="22156"/>
    <hyperlink ref="A1807" r:id="rId1806" display="22159"/>
    <hyperlink ref="A1808" r:id="rId1807" display="22161"/>
    <hyperlink ref="A1809" r:id="rId1808" display="22162"/>
    <hyperlink ref="A1810" r:id="rId1809" display="22163"/>
    <hyperlink ref="A1811" r:id="rId1810" display="22166"/>
    <hyperlink ref="A1812" r:id="rId1811" display="22167"/>
    <hyperlink ref="A1813" r:id="rId1812" display="22168"/>
    <hyperlink ref="A1814" r:id="rId1813" display="22170"/>
    <hyperlink ref="A1815" r:id="rId1814" display="22172"/>
    <hyperlink ref="A1816" r:id="rId1815" display="22173"/>
    <hyperlink ref="A1817" r:id="rId1816" display="22174"/>
    <hyperlink ref="A1818" r:id="rId1817" display="22175"/>
    <hyperlink ref="A1819" r:id="rId1818" display="22178"/>
    <hyperlink ref="A1820" r:id="rId1819" display="22180"/>
    <hyperlink ref="A1821" r:id="rId1820" display="22181"/>
    <hyperlink ref="A1822" r:id="rId1821" display="22182"/>
    <hyperlink ref="A1823" r:id="rId1822" display="22183"/>
    <hyperlink ref="A1824" r:id="rId1823" display="22184"/>
    <hyperlink ref="A1825" r:id="rId1824" display="22185"/>
    <hyperlink ref="A1826" r:id="rId1825" display="22186"/>
    <hyperlink ref="A1827" r:id="rId1826" display="22187"/>
    <hyperlink ref="A1828" r:id="rId1827" display="22188"/>
    <hyperlink ref="A1829" r:id="rId1828" display="22189"/>
    <hyperlink ref="A1830" r:id="rId1829" display="22192"/>
    <hyperlink ref="A1831" r:id="rId1830" display="22193"/>
    <hyperlink ref="A1832" r:id="rId1831" display="22197"/>
    <hyperlink ref="A1833" r:id="rId1832" display="22200"/>
    <hyperlink ref="A1834" r:id="rId1833" display="22201"/>
    <hyperlink ref="A1835" r:id="rId1834" display="22202"/>
    <hyperlink ref="A1836" r:id="rId1835" display="22203"/>
    <hyperlink ref="A1837" r:id="rId1836" display="22205"/>
    <hyperlink ref="A1838" r:id="rId1837" display="22206"/>
    <hyperlink ref="A1839" r:id="rId1838" display="22207"/>
    <hyperlink ref="A1840" r:id="rId1839" display="22209"/>
    <hyperlink ref="A1841" r:id="rId1840" display="22211"/>
    <hyperlink ref="A1842" r:id="rId1841" display="22212"/>
    <hyperlink ref="A1843" r:id="rId1842" display="22214"/>
    <hyperlink ref="A1844" r:id="rId1843" display="22217"/>
    <hyperlink ref="A1845" r:id="rId1844" display="22218"/>
    <hyperlink ref="A1846" r:id="rId1845" display="22219"/>
    <hyperlink ref="A1847" r:id="rId1846" display="22220"/>
    <hyperlink ref="A1848" r:id="rId1847" display="22221"/>
    <hyperlink ref="A1849" r:id="rId1848" display="22222"/>
    <hyperlink ref="A1850" r:id="rId1849" display="22223"/>
    <hyperlink ref="A1851" r:id="rId1850" display="22225"/>
    <hyperlink ref="A1852" r:id="rId1851" display="22226"/>
    <hyperlink ref="A1853" r:id="rId1852" display="22228"/>
    <hyperlink ref="A1854" r:id="rId1853" display="22230"/>
    <hyperlink ref="A1855" r:id="rId1854" display="22231"/>
    <hyperlink ref="A1856" r:id="rId1855" display="22232"/>
    <hyperlink ref="A1857" r:id="rId1856" display="22234"/>
    <hyperlink ref="A1858" r:id="rId1857" display="22235"/>
    <hyperlink ref="A1859" r:id="rId1858" display="22236"/>
    <hyperlink ref="A1860" r:id="rId1859" display="22237"/>
    <hyperlink ref="A1861" r:id="rId1860" display="22238"/>
    <hyperlink ref="A1862" r:id="rId1861" display="22239"/>
    <hyperlink ref="A1863" r:id="rId1862" display="22240"/>
    <hyperlink ref="A1864" r:id="rId1863" display="22243"/>
    <hyperlink ref="A1865" r:id="rId1864" display="22244"/>
    <hyperlink ref="A1866" r:id="rId1865" display="22246"/>
    <hyperlink ref="A1867" r:id="rId1866" display="22248"/>
    <hyperlink ref="A1868" r:id="rId1867" display="22250"/>
    <hyperlink ref="A1869" r:id="rId1868" display="22251"/>
    <hyperlink ref="A1870" r:id="rId1869" display="22252"/>
    <hyperlink ref="A1871" r:id="rId1870" display="22253"/>
    <hyperlink ref="A1872" r:id="rId1871" display="22254"/>
    <hyperlink ref="A1873" r:id="rId1872" display="22255"/>
    <hyperlink ref="A1874" r:id="rId1873" display="22256"/>
    <hyperlink ref="A1875" r:id="rId1874" display="22257"/>
    <hyperlink ref="A1876" r:id="rId1875" display="22259"/>
    <hyperlink ref="A1877" r:id="rId1876" display="22260"/>
    <hyperlink ref="A1878" r:id="rId1877" display="22261"/>
    <hyperlink ref="A1879" r:id="rId1878" display="22262"/>
    <hyperlink ref="A1880" r:id="rId1879" display="22263"/>
    <hyperlink ref="A1881" r:id="rId1880" display="22265"/>
    <hyperlink ref="A1882" r:id="rId1881" display="22266"/>
    <hyperlink ref="A1883" r:id="rId1882" display="22270"/>
    <hyperlink ref="A1884" r:id="rId1883" display="22271"/>
    <hyperlink ref="A1885" r:id="rId1884" display="22273"/>
    <hyperlink ref="A1886" r:id="rId1885" display="22274"/>
    <hyperlink ref="A1887" r:id="rId1886" display="22275"/>
    <hyperlink ref="A1888" r:id="rId1887" display="22278"/>
    <hyperlink ref="A1889" r:id="rId1888" display="22279"/>
    <hyperlink ref="A1890" r:id="rId1889" display="22282"/>
    <hyperlink ref="A1891" r:id="rId1890" display="22283"/>
    <hyperlink ref="A1892" r:id="rId1891" display="22286"/>
    <hyperlink ref="A1893" r:id="rId1892" display="22287"/>
    <hyperlink ref="A1894" r:id="rId1893" display="22288"/>
    <hyperlink ref="A1895" r:id="rId1894" display="22290"/>
    <hyperlink ref="A1896" r:id="rId1895" display="22291"/>
    <hyperlink ref="A1897" r:id="rId1896" display="22293"/>
    <hyperlink ref="A1898" r:id="rId1897" display="22295"/>
    <hyperlink ref="A1899" r:id="rId1898" display="22298"/>
    <hyperlink ref="A1900" r:id="rId1899" display="22299"/>
    <hyperlink ref="A1901" r:id="rId1900" display="22302"/>
    <hyperlink ref="A1902" r:id="rId1901" display="22303"/>
    <hyperlink ref="A1903" r:id="rId1902" display="22305"/>
    <hyperlink ref="A1904" r:id="rId1903" display="22306"/>
    <hyperlink ref="A1905" r:id="rId1904" display="22307"/>
    <hyperlink ref="A1906" r:id="rId1905" display="22308"/>
    <hyperlink ref="A1907" r:id="rId1906" display="22309"/>
    <hyperlink ref="A1908" r:id="rId1907" display="22310"/>
    <hyperlink ref="A1909" r:id="rId1908" display="22312"/>
    <hyperlink ref="A1910" r:id="rId1909" display="22313"/>
    <hyperlink ref="A1911" r:id="rId1910" display="22314"/>
    <hyperlink ref="A1912" r:id="rId1911" display="22315"/>
    <hyperlink ref="A1913" r:id="rId1912" display="22316"/>
    <hyperlink ref="A1914" r:id="rId1913" display="22317"/>
    <hyperlink ref="A1915" r:id="rId1914" display="22321"/>
    <hyperlink ref="A1916" r:id="rId1915" display="22324"/>
    <hyperlink ref="A1917" r:id="rId1916" display="22325"/>
    <hyperlink ref="A1918" r:id="rId1917" display="22327"/>
    <hyperlink ref="A1919" r:id="rId1918" display="22328"/>
    <hyperlink ref="A1920" r:id="rId1919" display="22329"/>
    <hyperlink ref="A1921" r:id="rId1920" display="22330"/>
    <hyperlink ref="A1922" r:id="rId1921" display="22331"/>
    <hyperlink ref="A1923" r:id="rId1922" display="22333"/>
    <hyperlink ref="A1924" r:id="rId1923" display="22334"/>
    <hyperlink ref="A1925" r:id="rId1924" display="22337"/>
    <hyperlink ref="A1926" r:id="rId1925" display="22338"/>
    <hyperlink ref="A1927" r:id="rId1926" display="22339"/>
    <hyperlink ref="A1928" r:id="rId1927" display="22341"/>
    <hyperlink ref="A1929" r:id="rId1928" display="22342"/>
    <hyperlink ref="A1930" r:id="rId1929" display="22343"/>
    <hyperlink ref="A1931" r:id="rId1930" display="22345"/>
    <hyperlink ref="A1932" r:id="rId1931" display="22346"/>
    <hyperlink ref="A1933" r:id="rId1932" display="22347"/>
    <hyperlink ref="A1934" r:id="rId1933" display="22348"/>
    <hyperlink ref="A1935" r:id="rId1934" display="22349"/>
    <hyperlink ref="A1936" r:id="rId1935" display="22350"/>
    <hyperlink ref="A1937" r:id="rId1936" display="22351"/>
    <hyperlink ref="A1938" r:id="rId1937" display="22352"/>
    <hyperlink ref="A1939" r:id="rId1938" display="22353"/>
    <hyperlink ref="A1940" r:id="rId1939" display="22354"/>
    <hyperlink ref="A1941" r:id="rId1940" display="22359"/>
    <hyperlink ref="A1942" r:id="rId1941" display="22360"/>
    <hyperlink ref="A1943" r:id="rId1942" display="22364"/>
    <hyperlink ref="A1944" r:id="rId1943" display="22365"/>
    <hyperlink ref="A1945" r:id="rId1944" display="22366"/>
    <hyperlink ref="A1946" r:id="rId1945" display="22367"/>
    <hyperlink ref="A1947" r:id="rId1946" display="22368"/>
    <hyperlink ref="A1948" r:id="rId1947" display="22369"/>
    <hyperlink ref="A1949" r:id="rId1948" display="22370"/>
    <hyperlink ref="A1950" r:id="rId1949" display="22372"/>
    <hyperlink ref="A1951" r:id="rId1950" display="22374"/>
    <hyperlink ref="A1952" r:id="rId1951" display="22375"/>
    <hyperlink ref="A1953" r:id="rId1952" display="22376"/>
    <hyperlink ref="A1954" r:id="rId1953" display="22377"/>
    <hyperlink ref="A1955" r:id="rId1954" display="22379"/>
    <hyperlink ref="A1956" r:id="rId1955" display="22380"/>
    <hyperlink ref="A1957" r:id="rId1956" display="22382"/>
    <hyperlink ref="A1958" r:id="rId1957" display="22383"/>
    <hyperlink ref="A1959" r:id="rId1958" display="22384"/>
    <hyperlink ref="A1960" r:id="rId1959" display="22386"/>
    <hyperlink ref="A1961" r:id="rId1960" display="22387"/>
    <hyperlink ref="A1962" r:id="rId1961" display="22388"/>
    <hyperlink ref="A1963" r:id="rId1962" display="22390"/>
    <hyperlink ref="A1964" r:id="rId1963" display="22391"/>
    <hyperlink ref="A1965" r:id="rId1964" display="22395"/>
    <hyperlink ref="A1966" r:id="rId1965" display="22401"/>
    <hyperlink ref="A1967" r:id="rId1966" display="22403"/>
    <hyperlink ref="A1968" r:id="rId1967" display="22404"/>
    <hyperlink ref="A1969" r:id="rId1968" display="22407"/>
    <hyperlink ref="A1970" r:id="rId1969" display="22410"/>
    <hyperlink ref="A1971" r:id="rId1970" display="22411"/>
    <hyperlink ref="A1972" r:id="rId1971" display="22413"/>
    <hyperlink ref="A1973" r:id="rId1972" display="22414"/>
    <hyperlink ref="A1974" r:id="rId1973" display="22415"/>
    <hyperlink ref="A1975" r:id="rId1974" display="22416"/>
    <hyperlink ref="A1976" r:id="rId1975" display="22418"/>
    <hyperlink ref="A1977" r:id="rId1976" display="22419"/>
    <hyperlink ref="A1978" r:id="rId1977" display="22420"/>
    <hyperlink ref="A1979" r:id="rId1978" display="22422"/>
    <hyperlink ref="A1980" r:id="rId1979" display="22425"/>
    <hyperlink ref="A1981" r:id="rId1980" display="22427"/>
    <hyperlink ref="A1982" r:id="rId1981" display="22428"/>
    <hyperlink ref="A1983" r:id="rId1982" display="22429"/>
    <hyperlink ref="A1984" r:id="rId1983" display="22430"/>
    <hyperlink ref="A1985" r:id="rId1984" display="22431"/>
    <hyperlink ref="A1986" r:id="rId1985" display="22433"/>
    <hyperlink ref="A1987" r:id="rId1986" display="22434"/>
    <hyperlink ref="A1988" r:id="rId1987" display="22435"/>
    <hyperlink ref="A1989" r:id="rId1988" display="22436"/>
    <hyperlink ref="A1990" r:id="rId1989" display="22437"/>
    <hyperlink ref="A1991" r:id="rId1990" display="22438"/>
    <hyperlink ref="A1992" r:id="rId1991" display="22440"/>
    <hyperlink ref="A1993" r:id="rId1992" display="22441"/>
    <hyperlink ref="A1994" r:id="rId1993" display="22442"/>
    <hyperlink ref="A1995" r:id="rId1994" display="22443"/>
    <hyperlink ref="A1996" r:id="rId1995" display="22444"/>
    <hyperlink ref="A1997" r:id="rId1996" display="22448"/>
    <hyperlink ref="A1998" r:id="rId1997" display="22450"/>
    <hyperlink ref="A1999" r:id="rId1998" display="22451"/>
    <hyperlink ref="A2000" r:id="rId1999" display="22452"/>
    <hyperlink ref="A2001" r:id="rId2000" display="22453"/>
    <hyperlink ref="A2002" r:id="rId2001" display="22454"/>
    <hyperlink ref="A2003" r:id="rId2002" display="22456"/>
    <hyperlink ref="A2004" r:id="rId2003" display="22457"/>
    <hyperlink ref="A2005" r:id="rId2004" display="22458"/>
    <hyperlink ref="A2006" r:id="rId2005" display="22459"/>
    <hyperlink ref="A2007" r:id="rId2006" display="22460"/>
    <hyperlink ref="A2008" r:id="rId2007" display="22461"/>
    <hyperlink ref="A2009" r:id="rId2008" display="22463"/>
    <hyperlink ref="A2010" r:id="rId2009" display="22466"/>
    <hyperlink ref="A2011" r:id="rId2010" display="22467"/>
    <hyperlink ref="A2012" r:id="rId2011" display="22468"/>
    <hyperlink ref="A2013" r:id="rId2012" display="22469"/>
    <hyperlink ref="A2014" r:id="rId2013" display="22470"/>
    <hyperlink ref="A2015" r:id="rId2014" display="22472"/>
    <hyperlink ref="A2016" r:id="rId2015" display="22473"/>
    <hyperlink ref="A2017" r:id="rId2016" display="22474"/>
    <hyperlink ref="A2018" r:id="rId2017" display="22475"/>
    <hyperlink ref="A2019" r:id="rId2018" display="22478"/>
    <hyperlink ref="A2020" r:id="rId2019" display="22480"/>
    <hyperlink ref="A2021" r:id="rId2020" display="22483"/>
    <hyperlink ref="A2022" r:id="rId2021" display="22485"/>
    <hyperlink ref="A2023" r:id="rId2022" display="22486"/>
    <hyperlink ref="A2024" r:id="rId2023" display="22488"/>
    <hyperlink ref="A2025" r:id="rId2024" display="22491"/>
    <hyperlink ref="A2026" r:id="rId2025" display="22492"/>
    <hyperlink ref="A2027" r:id="rId2026" display="22493"/>
    <hyperlink ref="A2028" r:id="rId2027" display="22494"/>
    <hyperlink ref="A2029" r:id="rId2028" display="22496"/>
    <hyperlink ref="A2030" r:id="rId2029" display="22497"/>
    <hyperlink ref="A2031" r:id="rId2030" display="22498"/>
    <hyperlink ref="A2032" r:id="rId2031" display="22499"/>
    <hyperlink ref="A2033" r:id="rId2032" display="22500"/>
    <hyperlink ref="A2034" r:id="rId2033" display="22503"/>
    <hyperlink ref="A2035" r:id="rId2034" display="22504"/>
    <hyperlink ref="A2036" r:id="rId2035" display="22506"/>
    <hyperlink ref="A2037" r:id="rId2036" display="22508"/>
    <hyperlink ref="A2038" r:id="rId2037" display="22511"/>
    <hyperlink ref="A2039" r:id="rId2038" display="22512"/>
    <hyperlink ref="A2040" r:id="rId2039" display="22514"/>
    <hyperlink ref="A2041" r:id="rId2040" display="22515"/>
    <hyperlink ref="A2042" r:id="rId2041" display="22519"/>
    <hyperlink ref="A2043" r:id="rId2042" display="22520"/>
    <hyperlink ref="A2044" r:id="rId2043" display="22521"/>
    <hyperlink ref="A2045" r:id="rId2044" display="22524"/>
    <hyperlink ref="A2046" r:id="rId2045" display="22525"/>
    <hyperlink ref="A2047" r:id="rId2046" display="22526"/>
    <hyperlink ref="A2048" r:id="rId2047" display="22527"/>
    <hyperlink ref="A2049" r:id="rId2048" display="22528"/>
    <hyperlink ref="A2050" r:id="rId2049" display="22529"/>
    <hyperlink ref="A2051" r:id="rId2050" display="22531"/>
    <hyperlink ref="A2052" r:id="rId2051" display="22532"/>
    <hyperlink ref="A2053" r:id="rId2052" display="22533"/>
    <hyperlink ref="A2054" r:id="rId2053" display="22534"/>
    <hyperlink ref="A2055" r:id="rId2054" display="22535"/>
    <hyperlink ref="A2056" r:id="rId2055" display="22537"/>
    <hyperlink ref="A2057" r:id="rId2056" display="22538"/>
    <hyperlink ref="A2058" r:id="rId2057" display="22539"/>
    <hyperlink ref="A2059" r:id="rId2058" display="22540"/>
    <hyperlink ref="A2060" r:id="rId2059" display="22541"/>
    <hyperlink ref="A2061" r:id="rId2060" display="22542"/>
    <hyperlink ref="A2062" r:id="rId2061" display="22544"/>
    <hyperlink ref="A2063" r:id="rId2062" display="22546"/>
    <hyperlink ref="A2064" r:id="rId2063" display="22547"/>
    <hyperlink ref="A2065" r:id="rId2064" display="22549"/>
    <hyperlink ref="A2066" r:id="rId2065" display="22551"/>
    <hyperlink ref="A2067" r:id="rId2066" display="22552"/>
    <hyperlink ref="A2068" r:id="rId2067" display="22554"/>
    <hyperlink ref="A2069" r:id="rId2068" display="22556"/>
    <hyperlink ref="A2070" r:id="rId2069" display="22557"/>
    <hyperlink ref="A2071" r:id="rId2070" display="22558"/>
    <hyperlink ref="A2072" r:id="rId2071" display="22559"/>
    <hyperlink ref="A2073" r:id="rId2072" display="22560"/>
    <hyperlink ref="A2074" r:id="rId2073" display="22561"/>
    <hyperlink ref="A2075" r:id="rId2074" display="22564"/>
    <hyperlink ref="A2076" r:id="rId2075" display="22566"/>
    <hyperlink ref="A2077" r:id="rId2076" display="22567"/>
    <hyperlink ref="A2078" r:id="rId2077" display="22568"/>
    <hyperlink ref="A2079" r:id="rId2078" display="22570"/>
    <hyperlink ref="A2080" r:id="rId2079" display="22572"/>
    <hyperlink ref="A2081" r:id="rId2080" display="22573"/>
    <hyperlink ref="A2082" r:id="rId2081" display="22575"/>
    <hyperlink ref="A2083" r:id="rId2082" display="22579"/>
    <hyperlink ref="A2084" r:id="rId2083" display="22580"/>
    <hyperlink ref="A2085" r:id="rId2084" display="22581"/>
    <hyperlink ref="A2086" r:id="rId2085" display="22585"/>
    <hyperlink ref="A2087" r:id="rId2086" display="22586"/>
    <hyperlink ref="A2088" r:id="rId2087" display="22587"/>
    <hyperlink ref="A2089" r:id="rId2088" display="22588"/>
    <hyperlink ref="A2090" r:id="rId2089" display="22589"/>
    <hyperlink ref="A2091" r:id="rId2090" display="22590"/>
    <hyperlink ref="A2092" r:id="rId2091" display="22592"/>
    <hyperlink ref="A2093" r:id="rId2092" display="22596"/>
    <hyperlink ref="A2094" r:id="rId2093" display="22598"/>
    <hyperlink ref="A2095" r:id="rId2094" display="22600"/>
    <hyperlink ref="A2096" r:id="rId2095" display="22601"/>
    <hyperlink ref="A2097" r:id="rId2096" display="22602"/>
    <hyperlink ref="A2098" r:id="rId2097" display="22603"/>
    <hyperlink ref="A2099" r:id="rId2098" display="22604"/>
    <hyperlink ref="A2100" r:id="rId2099" display="22606"/>
    <hyperlink ref="A2101" r:id="rId2100" display="22607"/>
    <hyperlink ref="A2102" r:id="rId2101" display="22608"/>
    <hyperlink ref="A2103" r:id="rId2102" display="22609"/>
    <hyperlink ref="A2104" r:id="rId2103" display="22610"/>
    <hyperlink ref="A2105" r:id="rId2104" display="22612"/>
    <hyperlink ref="A2106" r:id="rId2105" display="22613"/>
    <hyperlink ref="A2107" r:id="rId2106" display="22614"/>
    <hyperlink ref="A2108" r:id="rId2107" display="22615"/>
    <hyperlink ref="A2109" r:id="rId2108" display="22616"/>
    <hyperlink ref="A2110" r:id="rId2109" display="22617"/>
    <hyperlink ref="A2111" r:id="rId2110" display="22618"/>
    <hyperlink ref="A2112" r:id="rId2111" display="22619"/>
    <hyperlink ref="A2113" r:id="rId2112" display="22620"/>
    <hyperlink ref="A2114" r:id="rId2113" display="22621"/>
    <hyperlink ref="A2115" r:id="rId2114" display="22623"/>
    <hyperlink ref="A2116" r:id="rId2115" display="22624"/>
    <hyperlink ref="A2117" r:id="rId2116" display="22625"/>
    <hyperlink ref="A2118" r:id="rId2117" display="22626"/>
    <hyperlink ref="A2119" r:id="rId2118" display="22627"/>
    <hyperlink ref="A2120" r:id="rId2119" display="22628"/>
    <hyperlink ref="A2121" r:id="rId2120" display="22629"/>
    <hyperlink ref="A2122" r:id="rId2121" display="22631"/>
    <hyperlink ref="A2123" r:id="rId2122" display="22632"/>
    <hyperlink ref="A2124" r:id="rId2123" display="22633"/>
    <hyperlink ref="A2125" r:id="rId2124" display="22634"/>
    <hyperlink ref="A2126" r:id="rId2125" display="22635"/>
    <hyperlink ref="A2127" r:id="rId2126" display="22636"/>
    <hyperlink ref="A2128" r:id="rId2127" display="22639"/>
    <hyperlink ref="A2129" r:id="rId2128" display="22640"/>
    <hyperlink ref="A2130" r:id="rId2129" display="22641"/>
    <hyperlink ref="A2131" r:id="rId2130" display="22642"/>
    <hyperlink ref="A2132" r:id="rId2131" display="22643"/>
    <hyperlink ref="A2133" r:id="rId2132" display="22644"/>
    <hyperlink ref="A2134" r:id="rId2133" display="22645"/>
    <hyperlink ref="A2135" r:id="rId2134" display="22646"/>
    <hyperlink ref="A2136" r:id="rId2135" display="22647"/>
    <hyperlink ref="A2137" r:id="rId2136" display="22648"/>
    <hyperlink ref="A2138" r:id="rId2137" display="22649"/>
    <hyperlink ref="A2139" r:id="rId2138" display="22654"/>
    <hyperlink ref="A2140" r:id="rId2139" display="22655"/>
    <hyperlink ref="A2141" r:id="rId2140" display="22656"/>
    <hyperlink ref="A2142" r:id="rId2141" display="22657"/>
    <hyperlink ref="A2143" r:id="rId2142" display="22658"/>
    <hyperlink ref="A2144" r:id="rId2143" display="22659"/>
    <hyperlink ref="A2145" r:id="rId2144" display="22660"/>
    <hyperlink ref="A2146" r:id="rId2145" display="22661"/>
    <hyperlink ref="A2147" r:id="rId2146" display="22662"/>
    <hyperlink ref="A2148" r:id="rId2147" display="22663"/>
    <hyperlink ref="A2149" r:id="rId2148" display="22664"/>
    <hyperlink ref="A2150" r:id="rId2149" display="22665"/>
    <hyperlink ref="A2151" r:id="rId2150" display="22667"/>
    <hyperlink ref="A2152" r:id="rId2151" display="22668"/>
    <hyperlink ref="A2153" r:id="rId2152" display="22669"/>
    <hyperlink ref="A2154" r:id="rId2153" display="22671"/>
    <hyperlink ref="A2155" r:id="rId2154" display="22672"/>
    <hyperlink ref="A2156" r:id="rId2155" display="22673"/>
    <hyperlink ref="A2157" r:id="rId2156" display="22674"/>
    <hyperlink ref="A2158" r:id="rId2157" display="22675"/>
    <hyperlink ref="A2159" r:id="rId2158" display="22676"/>
    <hyperlink ref="A2160" r:id="rId2159" display="22677"/>
    <hyperlink ref="A2161" r:id="rId2160" display="22681"/>
    <hyperlink ref="A2162" r:id="rId2161" display="22684"/>
    <hyperlink ref="A2163" r:id="rId2162" display="22685"/>
    <hyperlink ref="A2164" r:id="rId2163" display="22686"/>
    <hyperlink ref="A2165" r:id="rId2164" display="22687"/>
    <hyperlink ref="A2166" r:id="rId2165" display="22688"/>
    <hyperlink ref="A2167" r:id="rId2166" display="22689"/>
    <hyperlink ref="A2168" r:id="rId2167" display="22690"/>
    <hyperlink ref="A2169" r:id="rId2168" display="22691"/>
    <hyperlink ref="A2170" r:id="rId2169" display="22692"/>
    <hyperlink ref="A2171" r:id="rId2170" display="22697"/>
    <hyperlink ref="A2172" r:id="rId2171" display="22699"/>
    <hyperlink ref="A2173" r:id="rId2172" display="22701"/>
    <hyperlink ref="A2174" r:id="rId2173" display="22703"/>
    <hyperlink ref="A2175" r:id="rId2174" display="22704"/>
    <hyperlink ref="A2176" r:id="rId2175" display="22705"/>
    <hyperlink ref="A2177" r:id="rId2176" display="22706"/>
    <hyperlink ref="A2178" r:id="rId2177" display="22707"/>
    <hyperlink ref="A2179" r:id="rId2178" display="22708"/>
    <hyperlink ref="A2180" r:id="rId2179" display="22709"/>
    <hyperlink ref="A2181" r:id="rId2180" display="22710"/>
    <hyperlink ref="A2182" r:id="rId2181" display="22713"/>
    <hyperlink ref="A2183" r:id="rId2182" display="22715"/>
    <hyperlink ref="A2184" r:id="rId2183" display="22718"/>
    <hyperlink ref="A2185" r:id="rId2184" display="22720"/>
    <hyperlink ref="A2186" r:id="rId2185" display="22724"/>
    <hyperlink ref="A2187" r:id="rId2186" display="22725"/>
    <hyperlink ref="A2188" r:id="rId2187" display="22728"/>
    <hyperlink ref="A2189" r:id="rId2188" display="22729"/>
    <hyperlink ref="A2190" r:id="rId2189" display="22730"/>
    <hyperlink ref="A2191" r:id="rId2190" display="22732"/>
    <hyperlink ref="A2192" r:id="rId2191" display="22733"/>
    <hyperlink ref="A2193" r:id="rId2192" display="22735"/>
    <hyperlink ref="A2194" r:id="rId2193" display="22736"/>
    <hyperlink ref="A2195" r:id="rId2194" display="22737"/>
    <hyperlink ref="A2196" r:id="rId2195" display="22738"/>
    <hyperlink ref="A2197" r:id="rId2196" display="22740"/>
    <hyperlink ref="A2198" r:id="rId2197" display="22741"/>
    <hyperlink ref="A2199" r:id="rId2198" display="22742"/>
    <hyperlink ref="A2200" r:id="rId2199" display="22743"/>
    <hyperlink ref="A2201" r:id="rId2200" display="22746"/>
    <hyperlink ref="A2202" r:id="rId2201" display="22747"/>
    <hyperlink ref="A2203" r:id="rId2202" display="22748"/>
    <hyperlink ref="A2204" r:id="rId2203" display="22749"/>
    <hyperlink ref="A2205" r:id="rId2204" display="22750"/>
    <hyperlink ref="A2206" r:id="rId2205" display="22751"/>
    <hyperlink ref="A2207" r:id="rId2206" display="22754"/>
    <hyperlink ref="A2208" r:id="rId2207" display="22755"/>
    <hyperlink ref="A2209" r:id="rId2208" display="22756"/>
    <hyperlink ref="A2210" r:id="rId2209" display="22758"/>
    <hyperlink ref="A2211" r:id="rId2210" display="22759"/>
    <hyperlink ref="A2212" r:id="rId2211" display="22763"/>
    <hyperlink ref="A2213" r:id="rId2212" display="22770"/>
    <hyperlink ref="A2214" r:id="rId2213" display="22774"/>
    <hyperlink ref="A2215" r:id="rId2214" display="22775"/>
    <hyperlink ref="A2216" r:id="rId2215" display="22776"/>
    <hyperlink ref="A2217" r:id="rId2216" display="22779"/>
    <hyperlink ref="A2218" r:id="rId2217" display="22780"/>
    <hyperlink ref="A2219" r:id="rId2218" display="22781"/>
    <hyperlink ref="A2220" r:id="rId2219" display="22783"/>
    <hyperlink ref="A2221" r:id="rId2220" display="22785"/>
    <hyperlink ref="A2222" r:id="rId2221" display="22786"/>
    <hyperlink ref="A2223" r:id="rId2222" display="22787"/>
    <hyperlink ref="A2224" r:id="rId2223" display="22793"/>
    <hyperlink ref="A2225" r:id="rId2224" display="22794"/>
    <hyperlink ref="A2226" r:id="rId2225" display="22795"/>
    <hyperlink ref="A2227" r:id="rId2226" display="22796"/>
    <hyperlink ref="A2228" r:id="rId2227" display="22797"/>
    <hyperlink ref="A2229" r:id="rId2228" display="22799"/>
    <hyperlink ref="A2230" r:id="rId2229" display="22800"/>
    <hyperlink ref="A2231" r:id="rId2230" display="22801"/>
    <hyperlink ref="A2232" r:id="rId2231" display="22804"/>
    <hyperlink ref="A2233" r:id="rId2232" display="22806"/>
    <hyperlink ref="A2234" r:id="rId2233" display="22807"/>
    <hyperlink ref="A2235" r:id="rId2234" display="22809"/>
    <hyperlink ref="A2236" r:id="rId2235" display="22811"/>
    <hyperlink ref="A2237" r:id="rId2236" display="22812"/>
    <hyperlink ref="A2238" r:id="rId2237" display="22813"/>
    <hyperlink ref="A2239" r:id="rId2238" display="22815"/>
    <hyperlink ref="A2240" r:id="rId2239" display="22816"/>
    <hyperlink ref="A2241" r:id="rId2240" display="22818"/>
    <hyperlink ref="A2242" r:id="rId2241" display="22819"/>
    <hyperlink ref="A2243" r:id="rId2242" display="22821"/>
    <hyperlink ref="A2244" r:id="rId2243" display="22822"/>
    <hyperlink ref="A2245" r:id="rId2244" display="22826"/>
    <hyperlink ref="A2246" r:id="rId2245" display="22828"/>
    <hyperlink ref="A2247" r:id="rId2246" display="22829"/>
    <hyperlink ref="A2248" r:id="rId2247" display="22831"/>
    <hyperlink ref="A2249" r:id="rId2248" display="22835"/>
    <hyperlink ref="A2250" r:id="rId2249" display="22836"/>
    <hyperlink ref="A2251" r:id="rId2250" display="22837"/>
    <hyperlink ref="A2252" r:id="rId2251" display="22839"/>
    <hyperlink ref="A2253" r:id="rId2252" display="22840"/>
    <hyperlink ref="A2254" r:id="rId2253" display="22842"/>
    <hyperlink ref="A2255" r:id="rId2254" display="22843"/>
    <hyperlink ref="A2256" r:id="rId2255" display="22844"/>
    <hyperlink ref="A2257" r:id="rId2256" display="22848"/>
    <hyperlink ref="A2258" r:id="rId2257" display="22849"/>
    <hyperlink ref="A2259" r:id="rId2258" display="22851"/>
    <hyperlink ref="A2260" r:id="rId2259" display="22856"/>
    <hyperlink ref="A2261" r:id="rId2260" display="22857"/>
    <hyperlink ref="A2262" r:id="rId2261" display="22861"/>
    <hyperlink ref="A2263" r:id="rId2262" display="22862"/>
    <hyperlink ref="A2264" r:id="rId2263" display="22863"/>
    <hyperlink ref="A2265" r:id="rId2264" display="22865"/>
    <hyperlink ref="A2266" r:id="rId2265" display="22868"/>
    <hyperlink ref="A2267" r:id="rId2266" display="22869"/>
    <hyperlink ref="A2268" r:id="rId2267" display="22870"/>
    <hyperlink ref="A2269" r:id="rId2268" display="22871"/>
    <hyperlink ref="A2270" r:id="rId2269" display="22872"/>
    <hyperlink ref="A2271" r:id="rId2270" display="22873"/>
    <hyperlink ref="A2272" r:id="rId2271" display="22874"/>
    <hyperlink ref="A2273" r:id="rId2272" display="22877"/>
    <hyperlink ref="A2274" r:id="rId2273" display="22880"/>
    <hyperlink ref="A2275" r:id="rId2274" display="22881"/>
    <hyperlink ref="A2276" r:id="rId2275" display="22882"/>
    <hyperlink ref="A2277" r:id="rId2276" display="22886"/>
    <hyperlink ref="A2278" r:id="rId2277" display="22887"/>
    <hyperlink ref="A2279" r:id="rId2278" display="22891"/>
    <hyperlink ref="A2280" r:id="rId2279" display="22892"/>
    <hyperlink ref="A2281" r:id="rId2280" display="22893"/>
    <hyperlink ref="A2282" r:id="rId2281" display="22894"/>
    <hyperlink ref="A2283" r:id="rId2282" display="22895"/>
    <hyperlink ref="A2284" r:id="rId2283" display="22896"/>
    <hyperlink ref="A2285" r:id="rId2284" display="22897"/>
    <hyperlink ref="A2286" r:id="rId2285" display="22898"/>
    <hyperlink ref="A2287" r:id="rId2286" display="22899"/>
    <hyperlink ref="A2288" r:id="rId2287" display="22900"/>
    <hyperlink ref="A2289" r:id="rId2288" display="22901"/>
    <hyperlink ref="A2290" r:id="rId2289" display="22903"/>
    <hyperlink ref="A2291" r:id="rId2290" display="22905"/>
    <hyperlink ref="A2292" r:id="rId2291" display="22907"/>
    <hyperlink ref="A2293" r:id="rId2292" display="22908"/>
    <hyperlink ref="A2294" r:id="rId2293" display="22909"/>
    <hyperlink ref="A2295" r:id="rId2294" display="22912"/>
    <hyperlink ref="A2296" r:id="rId2295" display="22913"/>
    <hyperlink ref="A2297" r:id="rId2296" display="22915"/>
    <hyperlink ref="A2298" r:id="rId2297" display="22916"/>
    <hyperlink ref="A2299" r:id="rId2298" display="22918"/>
    <hyperlink ref="A2300" r:id="rId2299" display="22919"/>
    <hyperlink ref="A2301" r:id="rId2300" display="22920"/>
    <hyperlink ref="A2302" r:id="rId2301" display="22927"/>
    <hyperlink ref="A2303" r:id="rId2302" display="22928"/>
    <hyperlink ref="A2304" r:id="rId2303" display="22929"/>
    <hyperlink ref="A2305" r:id="rId2304" display="22931"/>
    <hyperlink ref="A2306" r:id="rId2305" display="22933"/>
    <hyperlink ref="A2307" r:id="rId2306" display="22934"/>
    <hyperlink ref="A2308" r:id="rId2307" display="22935"/>
    <hyperlink ref="A2309" r:id="rId2308" display="22937"/>
    <hyperlink ref="A2310" r:id="rId2309" display="22941"/>
    <hyperlink ref="A2311" r:id="rId2310" display="22943"/>
    <hyperlink ref="A2312" r:id="rId2311" display="22944"/>
    <hyperlink ref="A2313" r:id="rId2312" display="22945"/>
    <hyperlink ref="A2314" r:id="rId2313" display="22948"/>
    <hyperlink ref="A2315" r:id="rId2314" display="22949"/>
    <hyperlink ref="A2316" r:id="rId2315" display="22950"/>
    <hyperlink ref="A2317" r:id="rId2316" display="22951"/>
    <hyperlink ref="A2318" r:id="rId2317" display="22952"/>
    <hyperlink ref="A2319" r:id="rId2318" display="22953"/>
    <hyperlink ref="A2320" r:id="rId2319" display="22954"/>
    <hyperlink ref="A2321" r:id="rId2320" display="22955"/>
    <hyperlink ref="A2322" r:id="rId2321" display="22956"/>
    <hyperlink ref="A2323" r:id="rId2322" display="22957"/>
    <hyperlink ref="A2324" r:id="rId2323" display="22959"/>
    <hyperlink ref="A2325" r:id="rId2324" display="22960"/>
    <hyperlink ref="A2326" r:id="rId2325" display="22961"/>
    <hyperlink ref="A2327" r:id="rId2326" display="22962"/>
    <hyperlink ref="A2328" r:id="rId2327" display="22963"/>
    <hyperlink ref="A2329" r:id="rId2328" display="22964"/>
    <hyperlink ref="A2330" r:id="rId2329" display="22966"/>
    <hyperlink ref="A2331" r:id="rId2330" display="22967"/>
    <hyperlink ref="A2332" r:id="rId2331" display="22968"/>
    <hyperlink ref="A2333" r:id="rId2332" display="22971"/>
    <hyperlink ref="A2334" r:id="rId2333" display="22972"/>
    <hyperlink ref="A2335" r:id="rId2334" display="22973"/>
    <hyperlink ref="A2336" r:id="rId2335" display="22974"/>
    <hyperlink ref="A2337" r:id="rId2336" display="22976"/>
    <hyperlink ref="A2338" r:id="rId2337" display="22977"/>
    <hyperlink ref="A2339" r:id="rId2338" display="22978"/>
    <hyperlink ref="A2340" r:id="rId2339" display="22980"/>
    <hyperlink ref="A2341" r:id="rId2340" display="22981"/>
    <hyperlink ref="A2342" r:id="rId2341" display="22983"/>
    <hyperlink ref="A2343" r:id="rId2342" display="22984"/>
    <hyperlink ref="A2344" r:id="rId2343" display="22986"/>
    <hyperlink ref="A2345" r:id="rId2344" display="22987"/>
    <hyperlink ref="A2346" r:id="rId2345" display="22989"/>
    <hyperlink ref="A2347" r:id="rId2346" display="22990"/>
    <hyperlink ref="A2348" r:id="rId2347" display="22991"/>
    <hyperlink ref="A2349" r:id="rId2348" display="22993"/>
    <hyperlink ref="A2350" r:id="rId2349" display="22994"/>
    <hyperlink ref="A2351" r:id="rId2350" display="22996"/>
    <hyperlink ref="A2352" r:id="rId2351" display="22999"/>
    <hyperlink ref="A2353" r:id="rId2352" display="23005"/>
    <hyperlink ref="A2354" r:id="rId2353" display="23007"/>
    <hyperlink ref="A2355" r:id="rId2354" display="23009"/>
    <hyperlink ref="A2356" r:id="rId2355" display="23010"/>
    <hyperlink ref="A2357" r:id="rId2356" display="23011"/>
    <hyperlink ref="A2358" r:id="rId2357" display="23012"/>
    <hyperlink ref="A2359" r:id="rId2358" display="23013"/>
    <hyperlink ref="A2360" r:id="rId2359" display="23014"/>
    <hyperlink ref="A2361" r:id="rId2360" display="23015"/>
    <hyperlink ref="A2362" r:id="rId2361" display="23019"/>
    <hyperlink ref="A2363" r:id="rId2362" display="23020"/>
    <hyperlink ref="A2364" r:id="rId2363" display="23022"/>
    <hyperlink ref="A2365" r:id="rId2364" display="23024"/>
    <hyperlink ref="A2366" r:id="rId2365" display="23026"/>
    <hyperlink ref="A2367" r:id="rId2366" display="23027"/>
    <hyperlink ref="A2368" r:id="rId2367" display="23031"/>
    <hyperlink ref="A2369" r:id="rId2368" display="23034"/>
    <hyperlink ref="A2370" r:id="rId2369" display="23035"/>
    <hyperlink ref="A2371" r:id="rId2370" display="23037"/>
    <hyperlink ref="A2372" r:id="rId2371" display="23039"/>
    <hyperlink ref="A2373" r:id="rId2372" display="23040"/>
    <hyperlink ref="A2374" r:id="rId2373" display="23041"/>
    <hyperlink ref="A2375" r:id="rId2374" display="23044"/>
    <hyperlink ref="A2376" r:id="rId2375" display="23045"/>
    <hyperlink ref="A2377" r:id="rId2376" display="23046"/>
    <hyperlink ref="A2378" r:id="rId2377" display="23049"/>
    <hyperlink ref="A2379" r:id="rId2378" display="23050"/>
    <hyperlink ref="A2380" r:id="rId2379" display="23054"/>
    <hyperlink ref="A2381" r:id="rId2380" display="23055"/>
    <hyperlink ref="A2382" r:id="rId2381" display="23058"/>
    <hyperlink ref="A2383" r:id="rId2382" display="23059"/>
    <hyperlink ref="A2384" r:id="rId2383" display="23060"/>
    <hyperlink ref="A2385" r:id="rId2384" display="23062"/>
    <hyperlink ref="A2386" r:id="rId2385" display="23063"/>
    <hyperlink ref="A2387" r:id="rId2386" display="23064"/>
    <hyperlink ref="A2388" r:id="rId2387" display="23066"/>
    <hyperlink ref="A2389" r:id="rId2388" display="23068"/>
    <hyperlink ref="A2390" r:id="rId2389" display="23070"/>
    <hyperlink ref="A2391" r:id="rId2390" display="23071"/>
    <hyperlink ref="A2392" r:id="rId2391" display="23072"/>
    <hyperlink ref="A2393" r:id="rId2392" display="23074"/>
    <hyperlink ref="A2394" r:id="rId2393" display="23075"/>
    <hyperlink ref="A2395" r:id="rId2394" display="23076"/>
    <hyperlink ref="A2396" r:id="rId2395" display="23082"/>
    <hyperlink ref="A2397" r:id="rId2396" display="23084"/>
    <hyperlink ref="A2398" r:id="rId2397" display="23085"/>
    <hyperlink ref="A2399" r:id="rId2398" display="23087"/>
    <hyperlink ref="A2400" r:id="rId2399" display="23091"/>
    <hyperlink ref="A2401" r:id="rId2400" display="23092"/>
    <hyperlink ref="A2402" r:id="rId2401" display="23094"/>
    <hyperlink ref="A2403" r:id="rId2402" display="23095"/>
    <hyperlink ref="A2404" r:id="rId2403" display="23099"/>
    <hyperlink ref="A2405" r:id="rId2404" display="23100"/>
    <hyperlink ref="A2406" r:id="rId2405" display="23101"/>
    <hyperlink ref="A2407" r:id="rId2406" display="23102"/>
    <hyperlink ref="A2408" r:id="rId2407" display="23103"/>
    <hyperlink ref="A2409" r:id="rId2408" display="23104"/>
    <hyperlink ref="A2410" r:id="rId2409" display="23105"/>
    <hyperlink ref="A2411" r:id="rId2410" display="23107"/>
    <hyperlink ref="A2412" r:id="rId2411" display="23108"/>
    <hyperlink ref="A2413" r:id="rId2412" display="23109"/>
    <hyperlink ref="A2414" r:id="rId2413" display="23111"/>
    <hyperlink ref="A2415" r:id="rId2414" display="23115"/>
    <hyperlink ref="A2416" r:id="rId2415" display="23117"/>
    <hyperlink ref="A2417" r:id="rId2416" display="23120"/>
    <hyperlink ref="A2418" r:id="rId2417" display="23122"/>
    <hyperlink ref="A2419" r:id="rId2418" display="23123"/>
    <hyperlink ref="A2420" r:id="rId2419" display="23124"/>
    <hyperlink ref="A2421" r:id="rId2420" display="23128"/>
    <hyperlink ref="A2422" r:id="rId2421" display="23129"/>
    <hyperlink ref="A2423" r:id="rId2422" display="23132"/>
    <hyperlink ref="A2424" r:id="rId2423" display="23133"/>
    <hyperlink ref="A2425" r:id="rId2424" display="23134"/>
    <hyperlink ref="A2426" r:id="rId2425" display="23136"/>
    <hyperlink ref="A2427" r:id="rId2426" display="23137"/>
    <hyperlink ref="A2428" r:id="rId2427" display="23141"/>
    <hyperlink ref="A2429" r:id="rId2428" display="23142"/>
    <hyperlink ref="A2430" r:id="rId2429" display="23143"/>
    <hyperlink ref="A2431" r:id="rId2430" display="23144"/>
    <hyperlink ref="A2432" r:id="rId2431" display="23146"/>
    <hyperlink ref="A2433" r:id="rId2432" display="23148"/>
    <hyperlink ref="A2434" r:id="rId2433" display="23149"/>
    <hyperlink ref="A2435" r:id="rId2434" display="23152"/>
    <hyperlink ref="A2436" r:id="rId2435" display="23154"/>
    <hyperlink ref="A2437" r:id="rId2436" display="23155"/>
    <hyperlink ref="A2438" r:id="rId2437" display="23161"/>
    <hyperlink ref="A2439" r:id="rId2438" display="23163"/>
    <hyperlink ref="A2440" r:id="rId2439" display="23164"/>
    <hyperlink ref="A2441" r:id="rId2440" display="23165"/>
    <hyperlink ref="A2442" r:id="rId2441" display="23166"/>
    <hyperlink ref="A2443" r:id="rId2442" display="23171"/>
    <hyperlink ref="A2444" r:id="rId2443" display="23172"/>
    <hyperlink ref="A2445" r:id="rId2444" display="23173"/>
    <hyperlink ref="A2446" r:id="rId2445" display="23174"/>
    <hyperlink ref="A2447" r:id="rId2446" display="23175"/>
    <hyperlink ref="A2448" r:id="rId2447" display="23176"/>
    <hyperlink ref="A2449" r:id="rId2448" display="23178"/>
    <hyperlink ref="A2450" r:id="rId2449" display="23180"/>
    <hyperlink ref="A2451" r:id="rId2450" display="23181"/>
    <hyperlink ref="A2452" r:id="rId2451" display="23184"/>
    <hyperlink ref="A2453" r:id="rId2452" display="23185"/>
    <hyperlink ref="A2454" r:id="rId2453" display="23186"/>
    <hyperlink ref="A2455" r:id="rId2454" display="23189"/>
    <hyperlink ref="A2456" r:id="rId2455" display="23190"/>
    <hyperlink ref="A2457" r:id="rId2456" display="23193"/>
    <hyperlink ref="A2458" r:id="rId2457" display="23194"/>
    <hyperlink ref="A2459" r:id="rId2458" display="23196"/>
    <hyperlink ref="A2460" r:id="rId2459" display="23197"/>
    <hyperlink ref="A2461" r:id="rId2460" display="23199"/>
    <hyperlink ref="A2462" r:id="rId2461" display="23200"/>
    <hyperlink ref="A2463" r:id="rId2462" display="23201"/>
    <hyperlink ref="A2464" r:id="rId2463" display="23202"/>
    <hyperlink ref="A2465" r:id="rId2464" display="23203"/>
    <hyperlink ref="A2466" r:id="rId2465" display="23206"/>
    <hyperlink ref="A2467" r:id="rId2466" display="23207"/>
    <hyperlink ref="A2468" r:id="rId2467" display="23208"/>
    <hyperlink ref="A2469" r:id="rId2468" display="23209"/>
    <hyperlink ref="A2470" r:id="rId2469" display="23210"/>
    <hyperlink ref="A2471" r:id="rId2470" display="23211"/>
    <hyperlink ref="A2472" r:id="rId2471" display="23212"/>
    <hyperlink ref="A2473" r:id="rId2472" display="23214"/>
    <hyperlink ref="A2474" r:id="rId2473" display="23216"/>
    <hyperlink ref="A2475" r:id="rId2474" display="23218"/>
    <hyperlink ref="A2476" r:id="rId2475" display="23219"/>
    <hyperlink ref="A2477" r:id="rId2476" display="23222"/>
    <hyperlink ref="A2478" r:id="rId2477" display="23223"/>
    <hyperlink ref="A2479" r:id="rId2478" display="23224"/>
    <hyperlink ref="A2480" r:id="rId2479" display="23225"/>
    <hyperlink ref="A2481" r:id="rId2480" display="23226"/>
    <hyperlink ref="A2482" r:id="rId2481" display="23227"/>
    <hyperlink ref="A2483" r:id="rId2482" display="23228"/>
    <hyperlink ref="A2484" r:id="rId2483" display="23229"/>
    <hyperlink ref="A2485" r:id="rId2484" display="23230"/>
    <hyperlink ref="A2486" r:id="rId2485" display="23231"/>
    <hyperlink ref="A2487" r:id="rId2486" display="23232"/>
    <hyperlink ref="A2488" r:id="rId2487" display="23235"/>
    <hyperlink ref="A2489" r:id="rId2488" display="23237"/>
    <hyperlink ref="A2490" r:id="rId2489" display="23239"/>
    <hyperlink ref="A2491" r:id="rId2490" display="23240"/>
    <hyperlink ref="A2492" r:id="rId2491" display="23241"/>
    <hyperlink ref="A2493" r:id="rId2492" display="23242"/>
    <hyperlink ref="A2494" r:id="rId2493" display="23244"/>
    <hyperlink ref="A2495" r:id="rId2494" display="23245"/>
    <hyperlink ref="A2496" r:id="rId2495" display="23246"/>
    <hyperlink ref="A2497" r:id="rId2496" display="23247"/>
    <hyperlink ref="A2498" r:id="rId2497" display="23248"/>
    <hyperlink ref="A2499" r:id="rId2498" display="23249"/>
    <hyperlink ref="A2500" r:id="rId2499" display="23250"/>
    <hyperlink ref="A2501" r:id="rId2500" display="23256"/>
    <hyperlink ref="A2502" r:id="rId2501" display="23257"/>
    <hyperlink ref="A2503" r:id="rId2502" display="23260"/>
    <hyperlink ref="A2504" r:id="rId2503" display="23261"/>
    <hyperlink ref="A2505" r:id="rId2504" display="23263"/>
    <hyperlink ref="A2506" r:id="rId2505" display="23266"/>
    <hyperlink ref="A2507" r:id="rId2506" display="23267"/>
    <hyperlink ref="A2508" r:id="rId2507" display="23268"/>
    <hyperlink ref="A2509" r:id="rId2508" display="23269"/>
    <hyperlink ref="A2510" r:id="rId2509" display="23270"/>
    <hyperlink ref="A2511" r:id="rId2510" display="23271"/>
    <hyperlink ref="A2512" r:id="rId2511" display="23272"/>
    <hyperlink ref="A2513" r:id="rId2512" display="23273"/>
    <hyperlink ref="A2514" r:id="rId2513" display="23274"/>
    <hyperlink ref="A2515" r:id="rId2514" display="23275"/>
    <hyperlink ref="A2516" r:id="rId2515" display="23276"/>
    <hyperlink ref="A2517" r:id="rId2516" display="23277"/>
    <hyperlink ref="A2518" r:id="rId2517" display="23279"/>
    <hyperlink ref="A2519" r:id="rId2518" display="23281"/>
    <hyperlink ref="A2520" r:id="rId2519" display="23283"/>
    <hyperlink ref="A2521" r:id="rId2520" display="23284"/>
    <hyperlink ref="A2522" r:id="rId2521" display="23286"/>
    <hyperlink ref="A2523" r:id="rId2522" display="23287"/>
    <hyperlink ref="A2524" r:id="rId2523" display="23289"/>
    <hyperlink ref="A2525" r:id="rId2524" display="23290"/>
    <hyperlink ref="A2526" r:id="rId2525" display="23292"/>
    <hyperlink ref="A2527" r:id="rId2526" display="23293"/>
    <hyperlink ref="A2528" r:id="rId2527" display="23294"/>
    <hyperlink ref="A2529" r:id="rId2528" display="23296"/>
    <hyperlink ref="A2530" r:id="rId2529" display="23297"/>
    <hyperlink ref="A2531" r:id="rId2530" display="23298"/>
    <hyperlink ref="A2532" r:id="rId2531" display="23299"/>
    <hyperlink ref="A2533" r:id="rId2532" display="23300"/>
    <hyperlink ref="A2534" r:id="rId2533" display="23301"/>
    <hyperlink ref="A2535" r:id="rId2534" display="23302"/>
    <hyperlink ref="A2536" r:id="rId2535" display="23303"/>
    <hyperlink ref="A2537" r:id="rId2536" display="23304"/>
    <hyperlink ref="A2538" r:id="rId2537" display="23305"/>
    <hyperlink ref="A2539" r:id="rId2538" display="23307"/>
    <hyperlink ref="A2540" r:id="rId2539" display="23308"/>
    <hyperlink ref="A2541" r:id="rId2540" display="23309"/>
    <hyperlink ref="A2542" r:id="rId2541" display="23310"/>
    <hyperlink ref="A2543" r:id="rId2542" display="23312"/>
    <hyperlink ref="A2544" r:id="rId2543" display="23313"/>
    <hyperlink ref="A2545" r:id="rId2544" display="23314"/>
    <hyperlink ref="A2546" r:id="rId2545" display="23315"/>
    <hyperlink ref="A2547" r:id="rId2546" display="23316"/>
    <hyperlink ref="A2548" r:id="rId2547" display="23319"/>
    <hyperlink ref="A2549" r:id="rId2548" display="23322"/>
    <hyperlink ref="A2550" r:id="rId2549" display="23323"/>
    <hyperlink ref="A2551" r:id="rId2550" display="23324"/>
    <hyperlink ref="A2552" r:id="rId2551" display="23325"/>
    <hyperlink ref="A2553" r:id="rId2552" display="23327"/>
    <hyperlink ref="A2554" r:id="rId2553" display="23328"/>
    <hyperlink ref="A2555" r:id="rId2554" display="23329"/>
    <hyperlink ref="A2556" r:id="rId2555" display="23330"/>
    <hyperlink ref="A2557" r:id="rId2556" display="23331"/>
    <hyperlink ref="A2558" r:id="rId2557" display="23334"/>
    <hyperlink ref="A2559" r:id="rId2558" display="23335"/>
    <hyperlink ref="A2560" r:id="rId2559" display="23336"/>
    <hyperlink ref="A2561" r:id="rId2560" display="23338"/>
    <hyperlink ref="A2562" r:id="rId2561" display="23339"/>
    <hyperlink ref="A2563" r:id="rId2562" display="23340"/>
    <hyperlink ref="A2564" r:id="rId2563" display="23341"/>
    <hyperlink ref="A2565" r:id="rId2564" display="23342"/>
    <hyperlink ref="A2566" r:id="rId2565" display="23343"/>
    <hyperlink ref="A2567" r:id="rId2566" display="23345"/>
    <hyperlink ref="A2568" r:id="rId2567" display="23346"/>
    <hyperlink ref="A2569" r:id="rId2568" display="23348"/>
    <hyperlink ref="A2570" r:id="rId2569" display="23350"/>
    <hyperlink ref="A2571" r:id="rId2570" display="23351"/>
    <hyperlink ref="A2572" r:id="rId2571" display="23352"/>
    <hyperlink ref="A2573" r:id="rId2572" display="23353"/>
    <hyperlink ref="A2574" r:id="rId2573" display="23354"/>
    <hyperlink ref="A2575" r:id="rId2574" display="23355"/>
    <hyperlink ref="A2576" r:id="rId2575" display="23356"/>
    <hyperlink ref="A2577" r:id="rId2576" display="23358"/>
    <hyperlink ref="A2578" r:id="rId2577" display="23363"/>
    <hyperlink ref="A2579" r:id="rId2578" display="23364"/>
    <hyperlink ref="A2580" r:id="rId2579" display="23365"/>
    <hyperlink ref="A2581" r:id="rId2580" display="23366"/>
    <hyperlink ref="A2582" r:id="rId2581" display="23367"/>
    <hyperlink ref="A2583" r:id="rId2582" display="23368"/>
    <hyperlink ref="A2584" r:id="rId2583" display="23372"/>
    <hyperlink ref="A2585" r:id="rId2584" display="23375"/>
    <hyperlink ref="A2586" r:id="rId2585" display="23379"/>
    <hyperlink ref="A2587" r:id="rId2586" display="23387"/>
    <hyperlink ref="A2588" r:id="rId2587" display="23390"/>
    <hyperlink ref="A2589" r:id="rId2588" display="23394"/>
    <hyperlink ref="A2590" r:id="rId2589" display="23395"/>
    <hyperlink ref="A2591" r:id="rId2590" display="23396"/>
    <hyperlink ref="A2592" r:id="rId2591" display="23398"/>
    <hyperlink ref="A2593" r:id="rId2592" display="23403"/>
    <hyperlink ref="A2594" r:id="rId2593" display="23408"/>
    <hyperlink ref="A2595" r:id="rId2594" display="23410"/>
    <hyperlink ref="A2596" r:id="rId2595" display="23412"/>
    <hyperlink ref="A2597" r:id="rId2596" display="23413"/>
    <hyperlink ref="A2598" r:id="rId2597" display="23415"/>
    <hyperlink ref="A2599" r:id="rId2598" display="23417"/>
    <hyperlink ref="A2600" r:id="rId2599" display="23418"/>
    <hyperlink ref="A2601" r:id="rId2600" display="23419"/>
    <hyperlink ref="A2602" r:id="rId2601" display="23422"/>
    <hyperlink ref="A2603" r:id="rId2602" display="23429"/>
    <hyperlink ref="A2604" r:id="rId2603" display="23430"/>
    <hyperlink ref="A2605" r:id="rId2604" display="23431"/>
    <hyperlink ref="A2606" r:id="rId2605" display="23434"/>
    <hyperlink ref="A2607" r:id="rId2606" display="23442"/>
    <hyperlink ref="A2608" r:id="rId2607" display="23446"/>
    <hyperlink ref="A2609" r:id="rId2608" display="23447"/>
    <hyperlink ref="A2610" r:id="rId2609" display="23448"/>
    <hyperlink ref="A2611" r:id="rId2610" display="23450"/>
    <hyperlink ref="A2612" r:id="rId2611" display="23451"/>
    <hyperlink ref="A2613" r:id="rId2612" display="23452"/>
    <hyperlink ref="A2614" r:id="rId2613" display="23453"/>
    <hyperlink ref="A2615" r:id="rId2614" display="23454"/>
    <hyperlink ref="A2616" r:id="rId2615" display="23455"/>
    <hyperlink ref="A2617" r:id="rId2616" display="23456"/>
    <hyperlink ref="A2618" r:id="rId2617" display="23461"/>
    <hyperlink ref="A2619" r:id="rId2618" display="23463"/>
    <hyperlink ref="A2620" r:id="rId2619" display="23464"/>
    <hyperlink ref="A2621" r:id="rId2620" display="23468"/>
    <hyperlink ref="A2622" r:id="rId2621" display="23469"/>
    <hyperlink ref="A2623" r:id="rId2622" display="23470"/>
    <hyperlink ref="A2624" r:id="rId2623" display="23472"/>
    <hyperlink ref="A2625" r:id="rId2624" display="23476"/>
    <hyperlink ref="A2626" r:id="rId2625" display="23477"/>
    <hyperlink ref="A2627" r:id="rId2626" display="23478"/>
    <hyperlink ref="A2628" r:id="rId2627" display="23479"/>
    <hyperlink ref="A2629" r:id="rId2628" display="23482"/>
    <hyperlink ref="A2630" r:id="rId2629" display="23483"/>
    <hyperlink ref="A2631" r:id="rId2630" display="23485"/>
    <hyperlink ref="A2632" r:id="rId2631" display="23486"/>
    <hyperlink ref="A2633" r:id="rId2632" display="23489"/>
    <hyperlink ref="A2634" r:id="rId2633" display="23492"/>
    <hyperlink ref="A2635" r:id="rId2634" display="23493"/>
    <hyperlink ref="A2636" r:id="rId2635" display="23494"/>
    <hyperlink ref="A2637" r:id="rId2636" display="23496"/>
    <hyperlink ref="A2638" r:id="rId2637" display="23502"/>
    <hyperlink ref="A2639" r:id="rId2638" display="23505"/>
    <hyperlink ref="A2640" r:id="rId2639" display="23506"/>
    <hyperlink ref="A2641" r:id="rId2640" display="23507"/>
    <hyperlink ref="A2642" r:id="rId2641" display="23511"/>
    <hyperlink ref="A2643" r:id="rId2642" display="23512"/>
    <hyperlink ref="A2644" r:id="rId2643" display="23513"/>
    <hyperlink ref="A2645" r:id="rId2644" display="23515"/>
    <hyperlink ref="A2646" r:id="rId2645" display="23516"/>
    <hyperlink ref="A2647" r:id="rId2646" display="23517"/>
    <hyperlink ref="A2648" r:id="rId2647" display="23519"/>
    <hyperlink ref="A2649" r:id="rId2648" display="23521"/>
    <hyperlink ref="A2650" r:id="rId2649" display="23523"/>
    <hyperlink ref="A2651" r:id="rId2650" display="23524"/>
    <hyperlink ref="A2652" r:id="rId2651" display="23525"/>
    <hyperlink ref="A2653" r:id="rId2652" display="23527"/>
    <hyperlink ref="A2654" r:id="rId2653" display="23531"/>
    <hyperlink ref="A2655" r:id="rId2654" display="23532"/>
    <hyperlink ref="A2656" r:id="rId2655" display="23535"/>
    <hyperlink ref="A2657" r:id="rId2656" display="23536"/>
    <hyperlink ref="A2658" r:id="rId2657" display="23539"/>
    <hyperlink ref="A2659" r:id="rId2658" display="23540"/>
    <hyperlink ref="A2660" r:id="rId2659" display="23541"/>
    <hyperlink ref="A2661" r:id="rId2660" display="23544"/>
    <hyperlink ref="A2662" r:id="rId2661" display="23545"/>
    <hyperlink ref="A2663" r:id="rId2662" display="23546"/>
    <hyperlink ref="A2664" r:id="rId2663" display="23547"/>
    <hyperlink ref="A2665" r:id="rId2664" display="23548"/>
    <hyperlink ref="A2666" r:id="rId2665" display="23549"/>
    <hyperlink ref="A2667" r:id="rId2666" display="23550"/>
    <hyperlink ref="A2668" r:id="rId2667" display="23551"/>
    <hyperlink ref="A2669" r:id="rId2668" display="23552"/>
    <hyperlink ref="A2670" r:id="rId2669" display="23553"/>
    <hyperlink ref="A2671" r:id="rId2670" display="23554"/>
    <hyperlink ref="A2672" r:id="rId2671" display="23556"/>
    <hyperlink ref="A2673" r:id="rId2672" display="23559"/>
    <hyperlink ref="A2674" r:id="rId2673" display="23561"/>
    <hyperlink ref="A2675" r:id="rId2674" display="23563"/>
    <hyperlink ref="A2676" r:id="rId2675" display="23564"/>
    <hyperlink ref="A2677" r:id="rId2676" display="23566"/>
    <hyperlink ref="A2678" r:id="rId2677" display="23567"/>
    <hyperlink ref="A2679" r:id="rId2678" display="23569"/>
    <hyperlink ref="A2680" r:id="rId2679" display="23570"/>
    <hyperlink ref="A2681" r:id="rId2680" display="23571"/>
    <hyperlink ref="A2682" r:id="rId2681" display="23573"/>
    <hyperlink ref="A2683" r:id="rId2682" display="23574"/>
    <hyperlink ref="A2684" r:id="rId2683" display="23576"/>
    <hyperlink ref="A2685" r:id="rId2684" display="23577"/>
    <hyperlink ref="A2686" r:id="rId2685" display="23579"/>
    <hyperlink ref="A2687" r:id="rId2686" display="23581"/>
    <hyperlink ref="A2688" r:id="rId2687" display="23583"/>
    <hyperlink ref="A2689" r:id="rId2688" display="23585"/>
    <hyperlink ref="A2690" r:id="rId2689" display="23587"/>
    <hyperlink ref="A2691" r:id="rId2690" display="23588"/>
    <hyperlink ref="A2692" r:id="rId2691" display="23592"/>
    <hyperlink ref="A2693" r:id="rId2692" display="23593"/>
    <hyperlink ref="A2694" r:id="rId2693" display="23594"/>
    <hyperlink ref="A2695" r:id="rId2694" display="23595"/>
    <hyperlink ref="A2696" r:id="rId2695" display="23596"/>
    <hyperlink ref="A2697" r:id="rId2696" display="23597"/>
    <hyperlink ref="A2698" r:id="rId2697" display="23599"/>
    <hyperlink ref="A2699" r:id="rId2698" display="23603"/>
    <hyperlink ref="A2700" r:id="rId2699" display="23604"/>
    <hyperlink ref="A2701" r:id="rId2700" display="23605"/>
    <hyperlink ref="A2702" r:id="rId2701" display="23606"/>
    <hyperlink ref="A2703" r:id="rId2702" display="23607"/>
    <hyperlink ref="A2704" r:id="rId2703" display="23608"/>
    <hyperlink ref="A2705" r:id="rId2704" display="23609"/>
    <hyperlink ref="A2706" r:id="rId2705" display="23611"/>
    <hyperlink ref="A2707" r:id="rId2706" display="23612"/>
    <hyperlink ref="A2708" r:id="rId2707" display="23613"/>
    <hyperlink ref="A2709" r:id="rId2708" display="23615"/>
    <hyperlink ref="A2710" r:id="rId2709" display="23618"/>
    <hyperlink ref="A2711" r:id="rId2710" display="23620"/>
    <hyperlink ref="A2712" r:id="rId2711" display="23621"/>
    <hyperlink ref="A2713" r:id="rId2712" display="23623"/>
    <hyperlink ref="A2714" r:id="rId2713" display="23624"/>
    <hyperlink ref="A2715" r:id="rId2714" display="23625"/>
    <hyperlink ref="A2716" r:id="rId2715" display="23626"/>
    <hyperlink ref="A2717" r:id="rId2716" display="23627"/>
    <hyperlink ref="A2718" r:id="rId2717" display="23629"/>
    <hyperlink ref="A2719" r:id="rId2718" display="23632"/>
    <hyperlink ref="A2720" r:id="rId2719" display="23634"/>
    <hyperlink ref="A2721" r:id="rId2720" display="23635"/>
    <hyperlink ref="A2722" r:id="rId2721" display="23638"/>
    <hyperlink ref="A2723" r:id="rId2722" display="23639"/>
    <hyperlink ref="A2724" r:id="rId2723" display="23640"/>
    <hyperlink ref="A2725" r:id="rId2724" display="23644"/>
    <hyperlink ref="A2726" r:id="rId2725" display="23645"/>
    <hyperlink ref="A2727" r:id="rId2726" display="23646"/>
    <hyperlink ref="A2728" r:id="rId2727" display="23647"/>
    <hyperlink ref="A2729" r:id="rId2728" display="23648"/>
    <hyperlink ref="A2730" r:id="rId2729" display="23649"/>
    <hyperlink ref="A2731" r:id="rId2730" display="23650"/>
    <hyperlink ref="A2732" r:id="rId2731" display="23651"/>
    <hyperlink ref="A2733" r:id="rId2732" display="23652"/>
    <hyperlink ref="A2734" r:id="rId2733" display="23655"/>
    <hyperlink ref="A2735" r:id="rId2734" display="23657"/>
    <hyperlink ref="A2736" r:id="rId2735" display="23662"/>
    <hyperlink ref="A2737" r:id="rId2736" display="23664"/>
    <hyperlink ref="A2738" r:id="rId2737" display="23665"/>
    <hyperlink ref="A2739" r:id="rId2738" display="23666"/>
    <hyperlink ref="A2740" r:id="rId2739" display="23668"/>
    <hyperlink ref="A2741" r:id="rId2740" display="23669"/>
    <hyperlink ref="A2742" r:id="rId2741" display="23670"/>
    <hyperlink ref="A2743" r:id="rId2742" display="23671"/>
    <hyperlink ref="A2744" r:id="rId2743" display="23672"/>
    <hyperlink ref="A2745" r:id="rId2744" display="23673"/>
    <hyperlink ref="A2746" r:id="rId2745" display="23674"/>
    <hyperlink ref="A2747" r:id="rId2746" display="23675"/>
    <hyperlink ref="A2748" r:id="rId2747" display="23676"/>
    <hyperlink ref="A2749" r:id="rId2748" display="23677"/>
    <hyperlink ref="A2750" r:id="rId2749" display="23678"/>
    <hyperlink ref="A2751" r:id="rId2750" display="23680"/>
    <hyperlink ref="A2752" r:id="rId2751" display="23681"/>
    <hyperlink ref="A2753" r:id="rId2752" display="23683"/>
    <hyperlink ref="A2754" r:id="rId2753" display="23684"/>
    <hyperlink ref="A2755" r:id="rId2754" display="23685"/>
    <hyperlink ref="A2756" r:id="rId2755" display="23686"/>
    <hyperlink ref="A2757" r:id="rId2756" display="23687"/>
    <hyperlink ref="A2758" r:id="rId2757" display="23689"/>
    <hyperlink ref="A2759" r:id="rId2758" display="23690"/>
    <hyperlink ref="A2760" r:id="rId2759" display="23691"/>
    <hyperlink ref="A2761" r:id="rId2760" display="23692"/>
    <hyperlink ref="A2762" r:id="rId2761" display="23693"/>
    <hyperlink ref="A2763" r:id="rId2762" display="23694"/>
    <hyperlink ref="A2764" r:id="rId2763" display="23695"/>
    <hyperlink ref="A2765" r:id="rId2764" display="23699"/>
    <hyperlink ref="A2766" r:id="rId2765" display="23700"/>
    <hyperlink ref="A2767" r:id="rId2766" display="23701"/>
    <hyperlink ref="A2768" r:id="rId2767" display="23702"/>
    <hyperlink ref="A2769" r:id="rId2768" display="23703"/>
    <hyperlink ref="A2770" r:id="rId2769" display="23705"/>
    <hyperlink ref="A2771" r:id="rId2770" display="23706"/>
    <hyperlink ref="A2772" r:id="rId2771" display="23708"/>
    <hyperlink ref="A2773" r:id="rId2772" display="23709"/>
    <hyperlink ref="A2774" r:id="rId2773" display="23711"/>
    <hyperlink ref="A2775" r:id="rId2774" display="23712"/>
    <hyperlink ref="A2776" r:id="rId2775" display="23713"/>
    <hyperlink ref="A2777" r:id="rId2776" display="23714"/>
    <hyperlink ref="A2778" r:id="rId2777" display="23715"/>
    <hyperlink ref="A2779" r:id="rId2778" display="23717"/>
    <hyperlink ref="A2780" r:id="rId2779" display="23719"/>
    <hyperlink ref="A2781" r:id="rId2780" display="23720"/>
    <hyperlink ref="A2782" r:id="rId2781" display="23698"/>
    <hyperlink ref="A2783" r:id="rId2782" display="23722"/>
    <hyperlink ref="A2784" r:id="rId2783" display="23728"/>
    <hyperlink ref="A2785" r:id="rId2784" display="23730"/>
    <hyperlink ref="A2786" r:id="rId2785" display="23731"/>
    <hyperlink ref="A2787" r:id="rId2786" display="23732"/>
    <hyperlink ref="A2788" r:id="rId2787" display="23733"/>
    <hyperlink ref="A2789" r:id="rId2788" display="23735"/>
    <hyperlink ref="A2790" r:id="rId2789" display="23736"/>
    <hyperlink ref="A2791" r:id="rId2790" display="23737"/>
    <hyperlink ref="A2792" r:id="rId2791" display="23741"/>
    <hyperlink ref="A2793" r:id="rId2792" display="23744"/>
    <hyperlink ref="A2794" r:id="rId2793" display="23745"/>
    <hyperlink ref="A2795" r:id="rId2794" display="23749"/>
    <hyperlink ref="A2796" r:id="rId2795" display="23754"/>
    <hyperlink ref="A2797" r:id="rId2796" display="23755"/>
    <hyperlink ref="A2798" r:id="rId2797" display="23756"/>
    <hyperlink ref="A2799" r:id="rId2798" display="23757"/>
    <hyperlink ref="A2800" r:id="rId2799" display="23758"/>
    <hyperlink ref="A2801" r:id="rId2800" display="23759"/>
    <hyperlink ref="A2802" r:id="rId2801" display="23760"/>
    <hyperlink ref="A2803" r:id="rId2802" display="23761"/>
    <hyperlink ref="A2804" r:id="rId2803" display="23762"/>
    <hyperlink ref="A2805" r:id="rId2804" display="23763"/>
    <hyperlink ref="A2806" r:id="rId2805" display="23765"/>
    <hyperlink ref="A2807" r:id="rId2806" display="23766"/>
    <hyperlink ref="A2808" r:id="rId2807" display="23767"/>
    <hyperlink ref="A2809" r:id="rId2808" display="23768"/>
    <hyperlink ref="A2810" r:id="rId2809" display="23769"/>
    <hyperlink ref="A2811" r:id="rId2810" display="23771"/>
    <hyperlink ref="A2812" r:id="rId2811" display="23773"/>
    <hyperlink ref="A2813" r:id="rId2812" display="23774"/>
    <hyperlink ref="A2814" r:id="rId2813" display="23776"/>
    <hyperlink ref="A2815" r:id="rId2814" display="23777"/>
    <hyperlink ref="A2816" r:id="rId2815" display="23778"/>
    <hyperlink ref="A2817" r:id="rId2816" display="23779"/>
    <hyperlink ref="A2818" r:id="rId2817" display="23781"/>
    <hyperlink ref="A2819" r:id="rId2818" display="23783"/>
    <hyperlink ref="A2820" r:id="rId2819" display="23784"/>
    <hyperlink ref="A2821" r:id="rId2820" display="23785"/>
    <hyperlink ref="A2822" r:id="rId2821" display="23786"/>
    <hyperlink ref="A2823" r:id="rId2822" display="23787"/>
    <hyperlink ref="A2824" r:id="rId2823" display="23789"/>
    <hyperlink ref="A2825" r:id="rId2824" display="23790"/>
    <hyperlink ref="A2826" r:id="rId2825" display="23793"/>
    <hyperlink ref="A2827" r:id="rId2826" display="23795"/>
    <hyperlink ref="A2828" r:id="rId2827" display="23796"/>
    <hyperlink ref="A2829" r:id="rId2828" display="23797"/>
    <hyperlink ref="A2830" r:id="rId2829" display="23798"/>
    <hyperlink ref="A2831" r:id="rId2830" display="23803"/>
    <hyperlink ref="A2832" r:id="rId2831" display="23806"/>
    <hyperlink ref="A2833" r:id="rId2832" display="23807"/>
    <hyperlink ref="A2834" r:id="rId2833" display="23808"/>
    <hyperlink ref="A2835" r:id="rId2834" display="23809"/>
    <hyperlink ref="A2836" r:id="rId2835" display="23810"/>
    <hyperlink ref="A2837" r:id="rId2836" display="23811"/>
    <hyperlink ref="A2838" r:id="rId2837" display="23812"/>
    <hyperlink ref="A2839" r:id="rId2838" display="23813"/>
    <hyperlink ref="A2840" r:id="rId2839" display="23814"/>
    <hyperlink ref="A2841" r:id="rId2840" display="23816"/>
    <hyperlink ref="A2842" r:id="rId2841" display="23817"/>
    <hyperlink ref="A2843" r:id="rId2842" display="23818"/>
    <hyperlink ref="A2844" r:id="rId2843" display="23822"/>
    <hyperlink ref="A2845" r:id="rId2844" display="23825"/>
    <hyperlink ref="A2846" r:id="rId2845" display="23827"/>
    <hyperlink ref="A2847" r:id="rId2846" display="23829"/>
    <hyperlink ref="A2848" r:id="rId2847" display="23830"/>
    <hyperlink ref="A2849" r:id="rId2848" display="23832"/>
    <hyperlink ref="A2850" r:id="rId2849" display="23833"/>
    <hyperlink ref="A2851" r:id="rId2850" display="23834"/>
    <hyperlink ref="A2852" r:id="rId2851" display="23835"/>
    <hyperlink ref="A2853" r:id="rId2852" display="23836"/>
    <hyperlink ref="A2854" r:id="rId2853" display="23837"/>
    <hyperlink ref="A2855" r:id="rId2854" display="23838"/>
    <hyperlink ref="A2856" r:id="rId2855" display="23839"/>
    <hyperlink ref="A2857" r:id="rId2856" display="23841"/>
    <hyperlink ref="A2858" r:id="rId2857" display="23842"/>
    <hyperlink ref="A2859" r:id="rId2858" display="23844"/>
    <hyperlink ref="A2860" r:id="rId2859" display="23845"/>
    <hyperlink ref="A2861" r:id="rId2860" display="23846"/>
    <hyperlink ref="A2862" r:id="rId2861" display="23847"/>
    <hyperlink ref="A2863" r:id="rId2862" display="23850"/>
    <hyperlink ref="A2864" r:id="rId2863" display="23851"/>
    <hyperlink ref="A2865" r:id="rId2864" display="23852"/>
    <hyperlink ref="A2866" r:id="rId2865" display="23853"/>
    <hyperlink ref="A2867" r:id="rId2866" display="23854"/>
    <hyperlink ref="A2868" r:id="rId2867" display="23855"/>
    <hyperlink ref="A2869" r:id="rId2868" display="23857"/>
    <hyperlink ref="A2870" r:id="rId2869" display="23859"/>
    <hyperlink ref="A2871" r:id="rId2870" display="23860"/>
    <hyperlink ref="A2872" r:id="rId2871" display="23864"/>
    <hyperlink ref="A2873" r:id="rId2872" display="23865"/>
    <hyperlink ref="A2874" r:id="rId2873" display="23867"/>
    <hyperlink ref="A2875" r:id="rId2874" display="23871"/>
    <hyperlink ref="A2876" r:id="rId2875" display="23872"/>
    <hyperlink ref="A2877" r:id="rId2876" display="23873"/>
    <hyperlink ref="A2878" r:id="rId2877" display="23874"/>
    <hyperlink ref="A2879" r:id="rId2878" display="23876"/>
    <hyperlink ref="A2880" r:id="rId2879" display="23881"/>
    <hyperlink ref="A2881" r:id="rId2880" display="23882"/>
    <hyperlink ref="A2882" r:id="rId2881" display="23883"/>
    <hyperlink ref="A2883" r:id="rId2882" display="23885"/>
    <hyperlink ref="A2884" r:id="rId2883" display="23887"/>
    <hyperlink ref="A2885" r:id="rId2884" display="23888"/>
    <hyperlink ref="A2886" r:id="rId2885" display="23889"/>
    <hyperlink ref="A2887" r:id="rId2886" display="23890"/>
    <hyperlink ref="A2888" r:id="rId2887" display="23893"/>
    <hyperlink ref="A2889" r:id="rId2888" display="23894"/>
    <hyperlink ref="A2890" r:id="rId2889" display="23897"/>
    <hyperlink ref="A2891" r:id="rId2890" display="23898"/>
    <hyperlink ref="A2892" r:id="rId2891" display="23899"/>
    <hyperlink ref="A2893" r:id="rId2892" display="23900"/>
    <hyperlink ref="A2894" r:id="rId2893" display="23902"/>
    <hyperlink ref="A2895" r:id="rId2894" display="23903"/>
    <hyperlink ref="A2896" r:id="rId2895" display="23907"/>
    <hyperlink ref="A2897" r:id="rId2896" display="23909"/>
    <hyperlink ref="A2898" r:id="rId2897" display="23910"/>
    <hyperlink ref="A2899" r:id="rId2898" display="23912"/>
    <hyperlink ref="A2900" r:id="rId2899" display="23913"/>
    <hyperlink ref="A2901" r:id="rId2900" display="23914"/>
    <hyperlink ref="A2902" r:id="rId2901" display="23917"/>
    <hyperlink ref="A2903" r:id="rId2902" display="23918"/>
    <hyperlink ref="A2904" r:id="rId2903" display="23921"/>
    <hyperlink ref="A2905" r:id="rId2904" display="23922"/>
    <hyperlink ref="A2906" r:id="rId2905" display="23923"/>
    <hyperlink ref="A2907" r:id="rId2906" display="23925"/>
    <hyperlink ref="A2908" r:id="rId2907" display="23927"/>
    <hyperlink ref="A2909" r:id="rId2908" display="23930"/>
    <hyperlink ref="A2910" r:id="rId2909" display="23934"/>
    <hyperlink ref="A2911" r:id="rId2910" display="23936"/>
    <hyperlink ref="A2912" r:id="rId2911" display="23937"/>
    <hyperlink ref="A2913" r:id="rId2912" display="23938"/>
    <hyperlink ref="A2914" r:id="rId2913" display="23939"/>
    <hyperlink ref="A2915" r:id="rId2914" display="23941"/>
    <hyperlink ref="A2916" r:id="rId2915" display="23942"/>
    <hyperlink ref="A2917" r:id="rId2916" display="23943"/>
    <hyperlink ref="A2918" r:id="rId2917" display="23944"/>
    <hyperlink ref="A2919" r:id="rId2918" display="23945"/>
    <hyperlink ref="A2920" r:id="rId2919" display="23946"/>
    <hyperlink ref="A2921" r:id="rId2920" display="23947"/>
    <hyperlink ref="A2922" r:id="rId2921" display="23948"/>
    <hyperlink ref="A2923" r:id="rId2922" display="23949"/>
    <hyperlink ref="A2924" r:id="rId2923" display="23950"/>
    <hyperlink ref="A2925" r:id="rId2924" display="23954"/>
    <hyperlink ref="A2926" r:id="rId2925" display="23960"/>
    <hyperlink ref="A2927" r:id="rId2926" display="23962"/>
    <hyperlink ref="A2928" r:id="rId2927" display="23967"/>
    <hyperlink ref="A2929" r:id="rId2928" display="23968"/>
    <hyperlink ref="A2930" r:id="rId2929" display="23982"/>
    <hyperlink ref="A2931" r:id="rId2930" display="23983"/>
    <hyperlink ref="A2932" r:id="rId2931" display="23984"/>
    <hyperlink ref="A2933" r:id="rId2932" display="23985"/>
    <hyperlink ref="A2934" r:id="rId2933" display="23988"/>
    <hyperlink ref="A2935" r:id="rId2934" display="23993"/>
    <hyperlink ref="A2936" r:id="rId2935" display="23995"/>
    <hyperlink ref="A2937" r:id="rId2936" display="23996"/>
    <hyperlink ref="A2938" r:id="rId2937" display="23997"/>
    <hyperlink ref="A2939" r:id="rId2938" display="24003"/>
    <hyperlink ref="A2940" r:id="rId2939" display="24004"/>
    <hyperlink ref="A2941" r:id="rId2940" display="24005"/>
    <hyperlink ref="A2942" r:id="rId2941" display="24007"/>
    <hyperlink ref="A2943" r:id="rId2942" display="24008"/>
    <hyperlink ref="A2944" r:id="rId2943" display="24009"/>
    <hyperlink ref="A2945" r:id="rId2944" display="24010"/>
    <hyperlink ref="A2946" r:id="rId2945" display="24011"/>
    <hyperlink ref="A2947" r:id="rId2946" display="24012"/>
    <hyperlink ref="A2948" r:id="rId2947" display="24013"/>
    <hyperlink ref="A2949" r:id="rId2948" display="24016"/>
    <hyperlink ref="A2950" r:id="rId2949" display="24018"/>
    <hyperlink ref="A2951" r:id="rId2950" display="24019"/>
    <hyperlink ref="A2952" r:id="rId2951" display="24020"/>
    <hyperlink ref="A2953" r:id="rId2952" display="24021"/>
    <hyperlink ref="A2954" r:id="rId2953" display="24022"/>
    <hyperlink ref="A2955" r:id="rId2954" display="24023"/>
    <hyperlink ref="A2956" r:id="rId2955" display="24024"/>
    <hyperlink ref="A2957" r:id="rId2956" display="24027"/>
    <hyperlink ref="A2958" r:id="rId2957" display="24029"/>
    <hyperlink ref="A2959" r:id="rId2958" display="24030"/>
    <hyperlink ref="A2960" r:id="rId2959" display="24031"/>
    <hyperlink ref="A2961" r:id="rId2960" display="24032"/>
    <hyperlink ref="A2962" r:id="rId2961" display="24033"/>
    <hyperlink ref="A2963" r:id="rId2962" display="24034"/>
    <hyperlink ref="A2964" r:id="rId2963" display="24035"/>
    <hyperlink ref="A2965" r:id="rId2964" display="24037"/>
    <hyperlink ref="A2966" r:id="rId2965" display="24038"/>
    <hyperlink ref="A2967" r:id="rId2966" display="24040"/>
    <hyperlink ref="A2968" r:id="rId2967" display="24041"/>
    <hyperlink ref="A2969" r:id="rId2968" display="24042"/>
    <hyperlink ref="A2970" r:id="rId2969" display="24043"/>
    <hyperlink ref="A2971" r:id="rId2970" display="24044"/>
    <hyperlink ref="A2972" r:id="rId2971" display="24047"/>
    <hyperlink ref="A2973" r:id="rId2972" display="24048"/>
    <hyperlink ref="A2974" r:id="rId2973" display="24049"/>
    <hyperlink ref="A2975" r:id="rId2974" display="24051"/>
    <hyperlink ref="A2976" r:id="rId2975" display="24053"/>
    <hyperlink ref="A2977" r:id="rId2976" display="24054"/>
    <hyperlink ref="A2978" r:id="rId2977" display="24055"/>
    <hyperlink ref="A2979" r:id="rId2978" display="24057"/>
    <hyperlink ref="A2980" r:id="rId2979" display="24059"/>
    <hyperlink ref="A2981" r:id="rId2980" display="24062"/>
    <hyperlink ref="A2982" r:id="rId2981" display="24063"/>
    <hyperlink ref="A2983" r:id="rId2982" display="24067"/>
    <hyperlink ref="A2984" r:id="rId2983" display="24069"/>
    <hyperlink ref="A2985" r:id="rId2984" display="24071"/>
    <hyperlink ref="A2986" r:id="rId2985" display="24074"/>
    <hyperlink ref="A2987" r:id="rId2986" display="24077"/>
    <hyperlink ref="A2988" r:id="rId2987" display="24080"/>
    <hyperlink ref="A2989" r:id="rId2988" display="24081"/>
    <hyperlink ref="A2990" r:id="rId2989" display="24085"/>
    <hyperlink ref="A2991" r:id="rId2990" display="24086"/>
    <hyperlink ref="A2992" r:id="rId2991" display="24087"/>
    <hyperlink ref="A2993" r:id="rId2992" display="24088"/>
    <hyperlink ref="A2994" r:id="rId2993" display="24090"/>
    <hyperlink ref="A2995" r:id="rId2994" display="24092"/>
    <hyperlink ref="A2996" r:id="rId2995" display="24094"/>
    <hyperlink ref="A2997" r:id="rId2996" display="24100"/>
    <hyperlink ref="A2998" r:id="rId2997" display="24102"/>
    <hyperlink ref="A2999" r:id="rId2998" display="24103"/>
    <hyperlink ref="A3000" r:id="rId2999" display="24105"/>
    <hyperlink ref="A3001" r:id="rId3000" display="24106"/>
    <hyperlink ref="A3002" r:id="rId3001" display="24112"/>
    <hyperlink ref="A3003" r:id="rId3002" display="24117"/>
    <hyperlink ref="A3004" r:id="rId3003" display="24118"/>
    <hyperlink ref="A3005" r:id="rId3004" display="24119"/>
    <hyperlink ref="A3006" r:id="rId3005" display="24120"/>
    <hyperlink ref="A3007" r:id="rId3006" display="24121"/>
    <hyperlink ref="A3008" r:id="rId3007" display="24123"/>
    <hyperlink ref="A3009" r:id="rId3008" display="24124"/>
    <hyperlink ref="A3010" r:id="rId3009" display="24125"/>
    <hyperlink ref="A3011" r:id="rId3010" display="24126"/>
    <hyperlink ref="A3012" r:id="rId3011" display="24128"/>
    <hyperlink ref="A3013" r:id="rId3012" display="24129"/>
    <hyperlink ref="A3014" r:id="rId3013" display="24131"/>
    <hyperlink ref="A3015" r:id="rId3014" display="24132"/>
    <hyperlink ref="A3016" r:id="rId3015" display="24133"/>
    <hyperlink ref="A3017" r:id="rId3016" display="24135"/>
    <hyperlink ref="A3018" r:id="rId3017" display="24136"/>
    <hyperlink ref="A3019" r:id="rId3018" display="24137"/>
    <hyperlink ref="A3020" r:id="rId3019" display="24139"/>
    <hyperlink ref="A3021" r:id="rId3020" display="24141"/>
    <hyperlink ref="A3022" r:id="rId3021" display="24142"/>
    <hyperlink ref="A3023" r:id="rId3022" display="24145"/>
    <hyperlink ref="A3024" r:id="rId3023" display="24146"/>
    <hyperlink ref="A3025" r:id="rId3024" display="24148"/>
    <hyperlink ref="A3026" r:id="rId3025" display="24149"/>
    <hyperlink ref="A3027" r:id="rId3026" display="24150"/>
    <hyperlink ref="A3028" r:id="rId3027" display="24152"/>
    <hyperlink ref="A3029" r:id="rId3028" display="24153"/>
    <hyperlink ref="A3030" r:id="rId3029" display="24156"/>
    <hyperlink ref="A3031" r:id="rId3030" display="24157"/>
    <hyperlink ref="A3032" r:id="rId3031" display="24160"/>
    <hyperlink ref="A3033" r:id="rId3032" display="24165"/>
    <hyperlink ref="A3034" r:id="rId3033" display="24166"/>
    <hyperlink ref="A3035" r:id="rId3034" display="24167"/>
    <hyperlink ref="A3036" r:id="rId3035" display="24172"/>
    <hyperlink ref="A3037" r:id="rId3036" display="24173"/>
    <hyperlink ref="A3038" r:id="rId3037" display="24174"/>
    <hyperlink ref="A3039" r:id="rId3038" display="24177"/>
    <hyperlink ref="A3040" r:id="rId3039" display="24178"/>
    <hyperlink ref="A3041" r:id="rId3040" display="24179"/>
    <hyperlink ref="A3042" r:id="rId3041" display="24180"/>
    <hyperlink ref="A3043" r:id="rId3042" display="24181"/>
    <hyperlink ref="A3044" r:id="rId3043" display="24182"/>
    <hyperlink ref="A3045" r:id="rId3044" display="24183"/>
    <hyperlink ref="A3046" r:id="rId3045" display="24184"/>
    <hyperlink ref="A3047" r:id="rId3046" display="24186"/>
    <hyperlink ref="A3048" r:id="rId3047" display="24187"/>
    <hyperlink ref="A3049" r:id="rId3048" display="24188"/>
    <hyperlink ref="A3050" r:id="rId3049" display="24189"/>
    <hyperlink ref="A3051" r:id="rId3050" display="24190"/>
    <hyperlink ref="A3052" r:id="rId3051" display="24194"/>
    <hyperlink ref="A3053" r:id="rId3052" display="24195"/>
    <hyperlink ref="A3054" r:id="rId3053" display="24196"/>
    <hyperlink ref="A3055" r:id="rId3054" display="24198"/>
    <hyperlink ref="A3056" r:id="rId3055" display="24206"/>
    <hyperlink ref="A3057" r:id="rId3056" display="24208"/>
    <hyperlink ref="A3058" r:id="rId3057" display="24209"/>
    <hyperlink ref="A3059" r:id="rId3058" display="24211"/>
    <hyperlink ref="A3060" r:id="rId3059" display="24213"/>
    <hyperlink ref="A3061" r:id="rId3060" display="24214"/>
    <hyperlink ref="A3062" r:id="rId3061" display="24215"/>
    <hyperlink ref="A3063" r:id="rId3062" display="24216"/>
    <hyperlink ref="A3064" r:id="rId3063" display="24218"/>
    <hyperlink ref="A3065" r:id="rId3064" display="24220"/>
    <hyperlink ref="A3066" r:id="rId3065" display="24221"/>
    <hyperlink ref="A3067" r:id="rId3066" display="24222"/>
    <hyperlink ref="A3068" r:id="rId3067" display="24223"/>
    <hyperlink ref="A3069" r:id="rId3068" display="24224"/>
    <hyperlink ref="A3070" r:id="rId3069" display="24225"/>
    <hyperlink ref="A3071" r:id="rId3070" display="24227"/>
    <hyperlink ref="A3072" r:id="rId3071" display="24228"/>
    <hyperlink ref="A3073" r:id="rId3072" display="24229"/>
    <hyperlink ref="A3074" r:id="rId3073" display="24231"/>
    <hyperlink ref="A3075" r:id="rId3074" display="24232"/>
    <hyperlink ref="A3076" r:id="rId3075" display="24235"/>
    <hyperlink ref="A3077" r:id="rId3076" display="24236"/>
    <hyperlink ref="A3078" r:id="rId3077" display="24237"/>
    <hyperlink ref="A3079" r:id="rId3078" display="24238"/>
    <hyperlink ref="A3080" r:id="rId3079" display="24241"/>
    <hyperlink ref="A3081" r:id="rId3080" display="24242"/>
    <hyperlink ref="A3082" r:id="rId3081" display="24243"/>
    <hyperlink ref="A3083" r:id="rId3082" display="24244"/>
    <hyperlink ref="A3084" r:id="rId3083" display="24248"/>
    <hyperlink ref="A3085" r:id="rId3084" display="24249"/>
    <hyperlink ref="A3086" r:id="rId3085" display="24251"/>
    <hyperlink ref="A3087" r:id="rId3086" display="24252"/>
    <hyperlink ref="A3088" r:id="rId3087" display="24255"/>
    <hyperlink ref="A3089" r:id="rId3088" display="24257"/>
    <hyperlink ref="A3090" r:id="rId3089" display="24258"/>
    <hyperlink ref="A3091" r:id="rId3090" display="24259"/>
    <hyperlink ref="A3092" r:id="rId3091" display="24260"/>
    <hyperlink ref="A3093" r:id="rId3092" display="24262"/>
    <hyperlink ref="A3094" r:id="rId3093" display="24265"/>
    <hyperlink ref="A3095" r:id="rId3094" display="24267"/>
    <hyperlink ref="A3096" r:id="rId3095" display="24268"/>
    <hyperlink ref="A3097" r:id="rId3096" display="24270"/>
    <hyperlink ref="A3098" r:id="rId3097" display="24271"/>
    <hyperlink ref="A3099" r:id="rId3098" display="24272"/>
    <hyperlink ref="A3100" r:id="rId3099" display="24273"/>
    <hyperlink ref="A3101" r:id="rId3100" display="24274"/>
    <hyperlink ref="A3102" r:id="rId3101" display="24278"/>
    <hyperlink ref="A3103" r:id="rId3102" display="24279"/>
    <hyperlink ref="A3104" r:id="rId3103" display="24280"/>
    <hyperlink ref="A3105" r:id="rId3104" display="24281"/>
    <hyperlink ref="A3106" r:id="rId3105" display="24282"/>
    <hyperlink ref="A3107" r:id="rId3106" display="24283"/>
    <hyperlink ref="A3108" r:id="rId3107" display="24284"/>
    <hyperlink ref="A3109" r:id="rId3108" display="24285"/>
    <hyperlink ref="A3110" r:id="rId3109" display="24287"/>
    <hyperlink ref="A3111" r:id="rId3110" display="24290"/>
    <hyperlink ref="A3112" r:id="rId3111" display="24292"/>
    <hyperlink ref="A3113" r:id="rId3112" display="24293"/>
    <hyperlink ref="A3114" r:id="rId3113" display="24294"/>
    <hyperlink ref="A3115" r:id="rId3114" display="24295"/>
    <hyperlink ref="A3116" r:id="rId3115" display="24296"/>
    <hyperlink ref="A3117" r:id="rId3116" display="24297"/>
    <hyperlink ref="A3118" r:id="rId3117" display="24299"/>
    <hyperlink ref="A3119" r:id="rId3118" display="24302"/>
    <hyperlink ref="A3120" r:id="rId3119" display="24304"/>
    <hyperlink ref="A3121" r:id="rId3120" display="24305"/>
    <hyperlink ref="A3122" r:id="rId3121" display="24306"/>
    <hyperlink ref="A3123" r:id="rId3122" display="24308"/>
    <hyperlink ref="A3124" r:id="rId3123" display="24309"/>
    <hyperlink ref="A3125" r:id="rId3124" display="24312"/>
    <hyperlink ref="A3126" r:id="rId3125" display="24315"/>
    <hyperlink ref="A3127" r:id="rId3126" display="24318"/>
    <hyperlink ref="A3128" r:id="rId3127" display="24322"/>
    <hyperlink ref="A3129" r:id="rId3128" display="24323"/>
    <hyperlink ref="A3130" r:id="rId3129" display="24329"/>
    <hyperlink ref="A3131" r:id="rId3130" display="24331"/>
    <hyperlink ref="A3132" r:id="rId3131" display="24332"/>
    <hyperlink ref="A3133" r:id="rId3132" display="24334"/>
    <hyperlink ref="A3134" r:id="rId3133" display="24335"/>
    <hyperlink ref="A3135" r:id="rId3134" display="24341"/>
    <hyperlink ref="A3136" r:id="rId3135" display="24343"/>
    <hyperlink ref="A3137" r:id="rId3136" display="24345"/>
    <hyperlink ref="A3138" r:id="rId3137" display="24346"/>
    <hyperlink ref="A3139" r:id="rId3138" display="24347"/>
    <hyperlink ref="A3140" r:id="rId3139" display="24350"/>
    <hyperlink ref="A3141" r:id="rId3140" display="24351"/>
    <hyperlink ref="A3142" r:id="rId3141" display="24359"/>
    <hyperlink ref="A3143" r:id="rId3142" display="24360"/>
    <hyperlink ref="A3144" r:id="rId3143" display="24368"/>
    <hyperlink ref="A3145" r:id="rId3144" display="24371"/>
    <hyperlink ref="A3146" r:id="rId3145" display="24378"/>
    <hyperlink ref="A3147" r:id="rId3146" display="24379"/>
    <hyperlink ref="A3148" r:id="rId3147" display="24381"/>
    <hyperlink ref="A3149" r:id="rId3148" display="24384"/>
    <hyperlink ref="A3150" r:id="rId3149" display="24387"/>
    <hyperlink ref="A3151" r:id="rId3150" display="24388"/>
    <hyperlink ref="A3152" r:id="rId3151" display="24389"/>
    <hyperlink ref="A3153" r:id="rId3152" display="24390"/>
    <hyperlink ref="A3154" r:id="rId3153" display="24391"/>
    <hyperlink ref="A3155" r:id="rId3154" display="24394"/>
    <hyperlink ref="A3156" r:id="rId3155" display="24395"/>
    <hyperlink ref="A3157" r:id="rId3156" display="24397"/>
    <hyperlink ref="A3158" r:id="rId3157" display="24399"/>
    <hyperlink ref="A3159" r:id="rId3158" display="24400"/>
    <hyperlink ref="A3160" r:id="rId3159" display="24401"/>
    <hyperlink ref="A3161" r:id="rId3160" display="24402"/>
    <hyperlink ref="A3162" r:id="rId3161" display="24406"/>
    <hyperlink ref="A3163" r:id="rId3162" display="24407"/>
    <hyperlink ref="A3164" r:id="rId3163" display="24408"/>
    <hyperlink ref="A3165" r:id="rId3164" display="24410"/>
    <hyperlink ref="A3166" r:id="rId3165" display="24411"/>
    <hyperlink ref="A3167" r:id="rId3166" display="24412"/>
    <hyperlink ref="A3168" r:id="rId3167" display="24413"/>
    <hyperlink ref="A3169" r:id="rId3168" display="24415"/>
    <hyperlink ref="A3170" r:id="rId3169" display="24416"/>
    <hyperlink ref="A3171" r:id="rId3170" display="24417"/>
    <hyperlink ref="A3172" r:id="rId3171" display="24418"/>
    <hyperlink ref="A3173" r:id="rId3172" display="24419"/>
    <hyperlink ref="A3174" r:id="rId3173" display="24420"/>
    <hyperlink ref="A3175" r:id="rId3174" display="24421"/>
    <hyperlink ref="A3176" r:id="rId3175" display="24425"/>
    <hyperlink ref="A3177" r:id="rId3176" display="24428"/>
    <hyperlink ref="A3178" r:id="rId3177" display="24429"/>
    <hyperlink ref="A3179" r:id="rId3178" display="24430"/>
    <hyperlink ref="A3180" r:id="rId3179" display="24431"/>
    <hyperlink ref="A3181" r:id="rId3180" display="24432"/>
    <hyperlink ref="A3182" r:id="rId3181" display="24434"/>
    <hyperlink ref="A3183" r:id="rId3182" display="24437"/>
    <hyperlink ref="A3184" r:id="rId3183" display="24438"/>
    <hyperlink ref="A3185" r:id="rId3184" display="24439"/>
    <hyperlink ref="A3186" r:id="rId3185" display="24440"/>
    <hyperlink ref="A3187" r:id="rId3186" display="24442"/>
    <hyperlink ref="A3188" r:id="rId3187" display="24444"/>
    <hyperlink ref="A3189" r:id="rId3188" display="24446"/>
    <hyperlink ref="A3190" r:id="rId3189" display="24456"/>
    <hyperlink ref="A3191" r:id="rId3190" display="24459"/>
    <hyperlink ref="A3192" r:id="rId3191" display="24461"/>
    <hyperlink ref="A3193" r:id="rId3192" display="24462"/>
    <hyperlink ref="A3194" r:id="rId3193" display="24463"/>
    <hyperlink ref="A3195" r:id="rId3194" display="24466"/>
    <hyperlink ref="A3196" r:id="rId3195" display="24468"/>
    <hyperlink ref="A3197" r:id="rId3196" display="24471"/>
    <hyperlink ref="A3198" r:id="rId3197" display="24472"/>
    <hyperlink ref="A3199" r:id="rId3198" display="24474"/>
    <hyperlink ref="A3200" r:id="rId3199" display="24477"/>
    <hyperlink ref="A3201" r:id="rId3200" display="24480"/>
    <hyperlink ref="A3202" r:id="rId3201" display="24481"/>
    <hyperlink ref="A3203" r:id="rId3202" display="24484"/>
    <hyperlink ref="A3204" r:id="rId3203" display="24485"/>
    <hyperlink ref="A3205" r:id="rId3204" display="24486"/>
    <hyperlink ref="A3206" r:id="rId3205" display="24487"/>
    <hyperlink ref="A3207" r:id="rId3206" display="24488"/>
    <hyperlink ref="A3208" r:id="rId3207" display="24490"/>
    <hyperlink ref="A3209" r:id="rId3208" display="24491"/>
    <hyperlink ref="A3210" r:id="rId3209" display="24492"/>
    <hyperlink ref="A3211" r:id="rId3210" display="24493"/>
    <hyperlink ref="A3212" r:id="rId3211" display="24494"/>
    <hyperlink ref="A3213" r:id="rId3212" display="24496"/>
    <hyperlink ref="A3214" r:id="rId3213" display="24497"/>
    <hyperlink ref="A3215" r:id="rId3214" display="24498"/>
    <hyperlink ref="A3216" r:id="rId3215" display="24499"/>
    <hyperlink ref="A3217" r:id="rId3216" display="24501"/>
    <hyperlink ref="A3218" r:id="rId3217" display="24502"/>
    <hyperlink ref="A3219" r:id="rId3218" display="24504"/>
    <hyperlink ref="A3220" r:id="rId3219" display="24506"/>
    <hyperlink ref="A3221" r:id="rId3220" display="24507"/>
    <hyperlink ref="A3222" r:id="rId3221" display="24508"/>
    <hyperlink ref="A3223" r:id="rId3222" display="24509"/>
    <hyperlink ref="A3224" r:id="rId3223" display="24511"/>
    <hyperlink ref="A3225" r:id="rId3224" display="24512"/>
    <hyperlink ref="A3226" r:id="rId3225" display="24513"/>
    <hyperlink ref="A3227" r:id="rId3226" display="24515"/>
    <hyperlink ref="A3228" r:id="rId3227" display="24518"/>
    <hyperlink ref="A3229" r:id="rId3228" display="24519"/>
    <hyperlink ref="A3230" r:id="rId3229" display="24526"/>
    <hyperlink ref="A3231" r:id="rId3230" display="24533"/>
    <hyperlink ref="A3232" r:id="rId3231" display="24543"/>
    <hyperlink ref="A3233" r:id="rId3232" display="24545"/>
    <hyperlink ref="A3234" r:id="rId3233" display="24549"/>
    <hyperlink ref="A3235" r:id="rId3234" display="24550"/>
    <hyperlink ref="A3236" r:id="rId3235" display="24551"/>
    <hyperlink ref="A3237" r:id="rId3236" display="24552"/>
    <hyperlink ref="A3238" r:id="rId3237" display="24554"/>
    <hyperlink ref="A3239" r:id="rId3238" display="24555"/>
    <hyperlink ref="A3240" r:id="rId3239" display="24560"/>
    <hyperlink ref="A3241" r:id="rId3240" display="24564"/>
    <hyperlink ref="A3242" r:id="rId3241" display="24565"/>
    <hyperlink ref="A3243" r:id="rId3242" display="24567"/>
    <hyperlink ref="A3244" r:id="rId3243" display="24569"/>
    <hyperlink ref="A3245" r:id="rId3244" display="24571"/>
    <hyperlink ref="A3246" r:id="rId3245" display="24575"/>
    <hyperlink ref="A3247" r:id="rId3246" display="24576"/>
    <hyperlink ref="A3248" r:id="rId3247" display="24578"/>
    <hyperlink ref="A3249" r:id="rId3248" display="24579"/>
    <hyperlink ref="A3250" r:id="rId3249" display="24580"/>
    <hyperlink ref="A3251" r:id="rId3250" display="24582"/>
    <hyperlink ref="A3252" r:id="rId3251" display="24583"/>
    <hyperlink ref="A3253" r:id="rId3252" display="24584"/>
    <hyperlink ref="A3254" r:id="rId3253" display="24585"/>
    <hyperlink ref="A3255" r:id="rId3254" display="24587"/>
    <hyperlink ref="A3256" r:id="rId3255" display="24588"/>
    <hyperlink ref="A3257" r:id="rId3256" display="24591"/>
    <hyperlink ref="A3258" r:id="rId3257" display="24592"/>
    <hyperlink ref="A3259" r:id="rId3258" display="24593"/>
    <hyperlink ref="A3260" r:id="rId3259" display="24594"/>
    <hyperlink ref="A3261" r:id="rId3260" display="24595"/>
    <hyperlink ref="A3262" r:id="rId3261" display="24604"/>
    <hyperlink ref="A3263" r:id="rId3262" display="24606"/>
    <hyperlink ref="A3264" r:id="rId3263" display="24607"/>
    <hyperlink ref="A3265" r:id="rId3264" display="24608"/>
    <hyperlink ref="A3266" r:id="rId3265" display="24612"/>
    <hyperlink ref="A3267" r:id="rId3266" display="24614"/>
    <hyperlink ref="A3268" r:id="rId3267" display="24615"/>
    <hyperlink ref="A3269" r:id="rId3268" display="24621"/>
    <hyperlink ref="A3270" r:id="rId3269" display="24623"/>
    <hyperlink ref="A3271" r:id="rId3270" display="24624"/>
    <hyperlink ref="A3272" r:id="rId3271" display="24628"/>
    <hyperlink ref="A3273" r:id="rId3272" display="24631"/>
    <hyperlink ref="A3274" r:id="rId3273" display="24632"/>
    <hyperlink ref="A3275" r:id="rId3274" display="24636"/>
    <hyperlink ref="A3276" r:id="rId3275" display="24637"/>
    <hyperlink ref="A3277" r:id="rId3276" display="24640"/>
    <hyperlink ref="A3278" r:id="rId3277" display="24641"/>
    <hyperlink ref="A3279" r:id="rId3278" display="24642"/>
    <hyperlink ref="A3280" r:id="rId3279" display="24645"/>
    <hyperlink ref="A3281" r:id="rId3280" display="24649"/>
    <hyperlink ref="A3282" r:id="rId3281" display="24651"/>
    <hyperlink ref="A3283" r:id="rId3282" display="24652"/>
    <hyperlink ref="A3284" r:id="rId3283" display="24658"/>
    <hyperlink ref="A3285" r:id="rId3284" display="24659"/>
    <hyperlink ref="A3286" r:id="rId3285" display="24661"/>
    <hyperlink ref="A3287" r:id="rId3286" display="24662"/>
    <hyperlink ref="A3288" r:id="rId3287" display="24664"/>
    <hyperlink ref="A3289" r:id="rId3288" display="24665"/>
    <hyperlink ref="A3290" r:id="rId3289" display="24668"/>
    <hyperlink ref="A3291" r:id="rId3290" display="24669"/>
    <hyperlink ref="A3292" r:id="rId3291" display="24671"/>
    <hyperlink ref="A3293" r:id="rId3292" display="24672"/>
    <hyperlink ref="A3294" r:id="rId3293" display="24673"/>
    <hyperlink ref="A3295" r:id="rId3294" display="24674"/>
    <hyperlink ref="A3296" r:id="rId3295" display="24677"/>
    <hyperlink ref="A3297" r:id="rId3296" display="24678"/>
    <hyperlink ref="P2" r:id="rId1" display="19334"/>
    <hyperlink ref="P3" r:id="rId2" display="19336"/>
    <hyperlink ref="P4" r:id="rId3" display="19337"/>
    <hyperlink ref="P5" r:id="rId4" display="19339"/>
    <hyperlink ref="P6" r:id="rId5" display="19340"/>
    <hyperlink ref="P7" r:id="rId6" display="19342"/>
    <hyperlink ref="P8" r:id="rId7" display="19345"/>
    <hyperlink ref="P9" r:id="rId8" display="19348"/>
    <hyperlink ref="P10" r:id="rId9" display="19349"/>
    <hyperlink ref="P11" r:id="rId10" display="19353"/>
    <hyperlink ref="P12" r:id="rId11" display="19354"/>
    <hyperlink ref="P13" r:id="rId12" display="19355"/>
    <hyperlink ref="P14" r:id="rId13" display="19356"/>
    <hyperlink ref="P15" r:id="rId14" display="19358"/>
    <hyperlink ref="P16" r:id="rId15" display="19359"/>
    <hyperlink ref="P17" r:id="rId16" display="19360"/>
    <hyperlink ref="P18" r:id="rId17" display="19361"/>
    <hyperlink ref="P19" r:id="rId18" display="19362"/>
    <hyperlink ref="P20" r:id="rId19" display="19367"/>
    <hyperlink ref="P21" r:id="rId20" display="19370"/>
    <hyperlink ref="P22" r:id="rId21" display="19371"/>
    <hyperlink ref="P23" r:id="rId22" display="19374"/>
    <hyperlink ref="P24" r:id="rId23" display="19375"/>
    <hyperlink ref="P25" r:id="rId24" display="19376"/>
    <hyperlink ref="P26" r:id="rId25" display="19377"/>
    <hyperlink ref="P27" r:id="rId26" display="19382"/>
    <hyperlink ref="P28" r:id="rId27" display="19383"/>
    <hyperlink ref="P29" r:id="rId28" display="19386"/>
    <hyperlink ref="P30" r:id="rId29" display="19389"/>
    <hyperlink ref="P31" r:id="rId30" display="19391"/>
    <hyperlink ref="P32" r:id="rId31" display="19392"/>
    <hyperlink ref="P33" r:id="rId32" display="19393"/>
    <hyperlink ref="P34" r:id="rId33" display="19394"/>
    <hyperlink ref="P35" r:id="rId34" display="19395"/>
    <hyperlink ref="P36" r:id="rId35" display="19396"/>
    <hyperlink ref="P37" r:id="rId36" display="19397"/>
    <hyperlink ref="P38" r:id="rId37" display="19399"/>
    <hyperlink ref="P39" r:id="rId38" display="19400"/>
    <hyperlink ref="P40" r:id="rId39" display="19401"/>
    <hyperlink ref="P41" r:id="rId40" display="19402"/>
    <hyperlink ref="P42" r:id="rId41" display="19403"/>
    <hyperlink ref="P43" r:id="rId42" display="19404"/>
    <hyperlink ref="P44" r:id="rId43" display="19405"/>
    <hyperlink ref="P45" r:id="rId44" display="19406"/>
    <hyperlink ref="P46" r:id="rId45" display="19407"/>
    <hyperlink ref="P47" r:id="rId46" display="19408"/>
    <hyperlink ref="P48" r:id="rId47" display="19409"/>
    <hyperlink ref="P49" r:id="rId48" display="19410"/>
    <hyperlink ref="P50" r:id="rId49" display="19411"/>
    <hyperlink ref="P51" r:id="rId50" display="19412"/>
    <hyperlink ref="P52" r:id="rId51" display="19413"/>
    <hyperlink ref="P53" r:id="rId52" display="19414"/>
    <hyperlink ref="P54" r:id="rId53" display="19418"/>
    <hyperlink ref="P55" r:id="rId54" display="19422"/>
    <hyperlink ref="P56" r:id="rId55" display="19423"/>
    <hyperlink ref="P57" r:id="rId56" display="19425"/>
    <hyperlink ref="P58" r:id="rId57" display="19427"/>
    <hyperlink ref="P59" r:id="rId58" display="19428"/>
    <hyperlink ref="P60" r:id="rId59" display="19429"/>
    <hyperlink ref="P61" r:id="rId60" display="19431"/>
    <hyperlink ref="P62" r:id="rId61" display="19432"/>
    <hyperlink ref="P63" r:id="rId62" display="19433"/>
    <hyperlink ref="P64" r:id="rId63" display="19434"/>
    <hyperlink ref="P65" r:id="rId64" display="19435"/>
    <hyperlink ref="P66" r:id="rId65" display="19436"/>
    <hyperlink ref="P67" r:id="rId66" display="19437"/>
    <hyperlink ref="P68" r:id="rId67" display="19438"/>
    <hyperlink ref="P69" r:id="rId68" display="19439"/>
    <hyperlink ref="P70" r:id="rId69" display="19440"/>
    <hyperlink ref="P71" r:id="rId70" display="19441"/>
    <hyperlink ref="P72" r:id="rId71" display="19443"/>
    <hyperlink ref="P73" r:id="rId72" display="19445"/>
    <hyperlink ref="P74" r:id="rId73" display="19448"/>
    <hyperlink ref="P75" r:id="rId74" display="19449"/>
    <hyperlink ref="P76" r:id="rId75" display="19453"/>
    <hyperlink ref="P77" r:id="rId76" display="19455"/>
    <hyperlink ref="P78" r:id="rId77" display="19460"/>
    <hyperlink ref="P79" r:id="rId78" display="19461"/>
    <hyperlink ref="P80" r:id="rId79" display="19462"/>
    <hyperlink ref="P81" r:id="rId80" display="19463"/>
    <hyperlink ref="P82" r:id="rId81" display="19467"/>
    <hyperlink ref="P83" r:id="rId82" display="19469"/>
    <hyperlink ref="P84" r:id="rId83" display="19473"/>
    <hyperlink ref="P85" r:id="rId84" display="19474"/>
    <hyperlink ref="P86" r:id="rId85" display="19477"/>
    <hyperlink ref="P87" r:id="rId86" display="19484"/>
    <hyperlink ref="P88" r:id="rId87" display="19486"/>
    <hyperlink ref="P89" r:id="rId88" display="19489"/>
    <hyperlink ref="P90" r:id="rId89" display="19490"/>
    <hyperlink ref="P91" r:id="rId90" display="19491"/>
    <hyperlink ref="P92" r:id="rId91" display="19493"/>
    <hyperlink ref="P93" r:id="rId92" display="19494"/>
    <hyperlink ref="P94" r:id="rId93" display="19496"/>
    <hyperlink ref="P95" r:id="rId94" display="19500"/>
    <hyperlink ref="P96" r:id="rId95" display="19501"/>
    <hyperlink ref="P97" r:id="rId96" display="19502"/>
    <hyperlink ref="P98" r:id="rId97" display="19505"/>
    <hyperlink ref="P99" r:id="rId98" display="19507"/>
    <hyperlink ref="P100" r:id="rId99" display="19508"/>
    <hyperlink ref="P101" r:id="rId100" display="19511"/>
    <hyperlink ref="P102" r:id="rId101" display="19513"/>
    <hyperlink ref="P103" r:id="rId102" display="19516"/>
    <hyperlink ref="P104" r:id="rId103" display="19518"/>
    <hyperlink ref="P105" r:id="rId104" display="19520"/>
    <hyperlink ref="P106" r:id="rId105" display="19523"/>
    <hyperlink ref="P107" r:id="rId106" display="19525"/>
    <hyperlink ref="P108" r:id="rId107" display="19531"/>
    <hyperlink ref="P109" r:id="rId108" display="19535"/>
    <hyperlink ref="P110" r:id="rId109" display="19537"/>
    <hyperlink ref="P111" r:id="rId110" display="19539"/>
    <hyperlink ref="P112" r:id="rId111" display="19540"/>
    <hyperlink ref="P113" r:id="rId112" display="19543"/>
    <hyperlink ref="P114" r:id="rId113" display="19551"/>
    <hyperlink ref="P115" r:id="rId114" display="19554"/>
    <hyperlink ref="P116" r:id="rId115" display="19555"/>
    <hyperlink ref="P117" r:id="rId116" display="19556"/>
    <hyperlink ref="P118" r:id="rId117" display="19557"/>
    <hyperlink ref="P119" r:id="rId118" display="19558"/>
    <hyperlink ref="P120" r:id="rId119" display="19561"/>
    <hyperlink ref="P121" r:id="rId120" display="19563"/>
    <hyperlink ref="P122" r:id="rId121" display="19565"/>
    <hyperlink ref="P123" r:id="rId122" display="19567"/>
    <hyperlink ref="P124" r:id="rId123" display="19568"/>
    <hyperlink ref="P125" r:id="rId124" display="19570"/>
    <hyperlink ref="P126" r:id="rId125" display="19571"/>
    <hyperlink ref="P127" r:id="rId126" display="19572"/>
    <hyperlink ref="P128" r:id="rId127" display="19573"/>
    <hyperlink ref="P129" r:id="rId128" display="19574"/>
    <hyperlink ref="P130" r:id="rId129" display="19575"/>
    <hyperlink ref="P131" r:id="rId130" display="19577"/>
    <hyperlink ref="P132" r:id="rId131" display="19578"/>
    <hyperlink ref="P133" r:id="rId132" display="19579"/>
    <hyperlink ref="P134" r:id="rId133" display="19580"/>
    <hyperlink ref="P135" r:id="rId134" display="19582"/>
    <hyperlink ref="P136" r:id="rId135" display="19583"/>
    <hyperlink ref="P137" r:id="rId136" display="19589"/>
    <hyperlink ref="P138" r:id="rId137" display="19590"/>
    <hyperlink ref="P139" r:id="rId138" display="19596"/>
    <hyperlink ref="P140" r:id="rId139" display="19598"/>
    <hyperlink ref="P141" r:id="rId140" display="19606"/>
    <hyperlink ref="P142" r:id="rId141" display="19611"/>
    <hyperlink ref="P143" r:id="rId142" display="19616"/>
    <hyperlink ref="P144" r:id="rId143" display="19620"/>
    <hyperlink ref="P145" r:id="rId144" display="19623"/>
    <hyperlink ref="P146" r:id="rId145" display="19626"/>
    <hyperlink ref="P147" r:id="rId146" display="19629"/>
    <hyperlink ref="P148" r:id="rId147" display="19630"/>
    <hyperlink ref="P149" r:id="rId148" display="19632"/>
    <hyperlink ref="P150" r:id="rId149" display="19633"/>
    <hyperlink ref="P151" r:id="rId150" display="19634"/>
    <hyperlink ref="P152" r:id="rId151" display="19636"/>
    <hyperlink ref="P153" r:id="rId152" display="19637"/>
    <hyperlink ref="P154" r:id="rId153" display="19638"/>
    <hyperlink ref="P155" r:id="rId154" display="19639"/>
    <hyperlink ref="P156" r:id="rId155" display="19642"/>
    <hyperlink ref="P157" r:id="rId156" display="19644"/>
    <hyperlink ref="P158" r:id="rId157" display="19651"/>
    <hyperlink ref="P159" r:id="rId158" display="19653"/>
    <hyperlink ref="P160" r:id="rId159" display="19654"/>
    <hyperlink ref="P161" r:id="rId160" display="19656"/>
    <hyperlink ref="P162" r:id="rId161" display="19657"/>
    <hyperlink ref="P163" r:id="rId162" display="19658"/>
    <hyperlink ref="P164" r:id="rId163" display="19659"/>
    <hyperlink ref="P165" r:id="rId164" display="19660"/>
    <hyperlink ref="P166" r:id="rId165" display="19662"/>
    <hyperlink ref="P167" r:id="rId166" display="19664"/>
    <hyperlink ref="P168" r:id="rId167" display="19666"/>
    <hyperlink ref="P169" r:id="rId168" display="19667"/>
    <hyperlink ref="P170" r:id="rId169" display="19670"/>
    <hyperlink ref="P171" r:id="rId170" display="19672"/>
    <hyperlink ref="P172" r:id="rId171" display="19673"/>
    <hyperlink ref="P173" r:id="rId172" display="19675"/>
    <hyperlink ref="P174" r:id="rId173" display="19676"/>
    <hyperlink ref="P175" r:id="rId174" display="19677"/>
    <hyperlink ref="P176" r:id="rId175" display="19678"/>
    <hyperlink ref="P177" r:id="rId176" display="19679"/>
    <hyperlink ref="P178" r:id="rId177" display="19680"/>
    <hyperlink ref="P179" r:id="rId178" display="19682"/>
    <hyperlink ref="P180" r:id="rId179" display="19684"/>
    <hyperlink ref="P181" r:id="rId180" display="19685"/>
    <hyperlink ref="P182" r:id="rId181" display="19686"/>
    <hyperlink ref="P183" r:id="rId182" display="19687"/>
    <hyperlink ref="P184" r:id="rId183" display="19688"/>
    <hyperlink ref="P185" r:id="rId184" display="19690"/>
    <hyperlink ref="P186" r:id="rId185" display="19691"/>
    <hyperlink ref="P187" r:id="rId186" display="19692"/>
    <hyperlink ref="P188" r:id="rId187" display="19694"/>
    <hyperlink ref="P189" r:id="rId188" display="19695"/>
    <hyperlink ref="P190" r:id="rId189" display="19696"/>
    <hyperlink ref="P191" r:id="rId190" display="19697"/>
    <hyperlink ref="P192" r:id="rId191" display="19698"/>
    <hyperlink ref="P193" r:id="rId192" display="19699"/>
    <hyperlink ref="P194" r:id="rId193" display="19701"/>
    <hyperlink ref="P195" r:id="rId194" display="19703"/>
    <hyperlink ref="P196" r:id="rId195" display="19706"/>
    <hyperlink ref="P197" r:id="rId196" display="19707"/>
    <hyperlink ref="P198" r:id="rId197" display="19708"/>
    <hyperlink ref="P199" r:id="rId198" display="19715"/>
    <hyperlink ref="P200" r:id="rId199" display="19718"/>
    <hyperlink ref="P201" r:id="rId200" display="19720"/>
    <hyperlink ref="P202" r:id="rId201" display="19721"/>
    <hyperlink ref="P203" r:id="rId202" display="19724"/>
    <hyperlink ref="P204" r:id="rId203" display="19726"/>
    <hyperlink ref="P205" r:id="rId204" display="19728"/>
    <hyperlink ref="P206" r:id="rId205" display="19731"/>
    <hyperlink ref="P207" r:id="rId206" display="19732"/>
    <hyperlink ref="P208" r:id="rId207" display="19733"/>
    <hyperlink ref="P209" r:id="rId208" display="19739"/>
    <hyperlink ref="P210" r:id="rId209" display="19740"/>
    <hyperlink ref="P211" r:id="rId210" display="19741"/>
    <hyperlink ref="P212" r:id="rId211" display="19747"/>
    <hyperlink ref="P213" r:id="rId212" display="19748"/>
    <hyperlink ref="P214" r:id="rId213" display="19749"/>
    <hyperlink ref="P215" r:id="rId214" display="19751"/>
    <hyperlink ref="P216" r:id="rId215" display="19752"/>
    <hyperlink ref="P217" r:id="rId216" display="19756"/>
    <hyperlink ref="P218" r:id="rId217" display="19757"/>
    <hyperlink ref="P219" r:id="rId218" display="19758"/>
    <hyperlink ref="P220" r:id="rId219" display="19760"/>
    <hyperlink ref="P221" r:id="rId220" display="19761"/>
    <hyperlink ref="P222" r:id="rId221" display="19762"/>
    <hyperlink ref="P223" r:id="rId222" display="19763"/>
    <hyperlink ref="P224" r:id="rId223" display="19764"/>
    <hyperlink ref="P225" r:id="rId224" display="19765"/>
    <hyperlink ref="P226" r:id="rId225" display="19766"/>
    <hyperlink ref="P227" r:id="rId226" display="19767"/>
    <hyperlink ref="P228" r:id="rId227" display="19768"/>
    <hyperlink ref="P229" r:id="rId228" display="19769"/>
    <hyperlink ref="P230" r:id="rId229" display="19771"/>
    <hyperlink ref="P231" r:id="rId230" display="19772"/>
    <hyperlink ref="P232" r:id="rId231" display="19773"/>
    <hyperlink ref="P233" r:id="rId232" display="19774"/>
    <hyperlink ref="P234" r:id="rId233" display="19775"/>
    <hyperlink ref="P235" r:id="rId234" display="19776"/>
    <hyperlink ref="P236" r:id="rId235" display="19777"/>
    <hyperlink ref="P237" r:id="rId236" display="19779"/>
    <hyperlink ref="P238" r:id="rId237" display="19780"/>
    <hyperlink ref="P239" r:id="rId238" display="19781"/>
    <hyperlink ref="P240" r:id="rId239" display="19782"/>
    <hyperlink ref="P241" r:id="rId240" display="19783"/>
    <hyperlink ref="P242" r:id="rId241" display="19785"/>
    <hyperlink ref="P243" r:id="rId242" display="19786"/>
    <hyperlink ref="P244" r:id="rId243" display="19788"/>
    <hyperlink ref="P245" r:id="rId244" display="19789"/>
    <hyperlink ref="P246" r:id="rId245" display="19790"/>
    <hyperlink ref="P247" r:id="rId246" display="19793"/>
    <hyperlink ref="P248" r:id="rId247" display="19795"/>
    <hyperlink ref="P249" r:id="rId248" display="19797"/>
    <hyperlink ref="P250" r:id="rId249" display="19798"/>
    <hyperlink ref="P251" r:id="rId250" display="19799"/>
    <hyperlink ref="P252" r:id="rId251" display="19800"/>
    <hyperlink ref="P253" r:id="rId252" display="19802"/>
    <hyperlink ref="P254" r:id="rId253" display="19803"/>
    <hyperlink ref="P255" r:id="rId254" display="19804"/>
    <hyperlink ref="P256" r:id="rId255" display="19807"/>
    <hyperlink ref="P257" r:id="rId256" display="19808"/>
    <hyperlink ref="P258" r:id="rId257" display="19809"/>
    <hyperlink ref="P259" r:id="rId258" display="19810"/>
    <hyperlink ref="P260" r:id="rId259" display="19813"/>
    <hyperlink ref="P261" r:id="rId260" display="19815"/>
    <hyperlink ref="P262" r:id="rId261" display="19823"/>
    <hyperlink ref="P263" r:id="rId262" display="19827"/>
    <hyperlink ref="P264" r:id="rId263" display="19831"/>
    <hyperlink ref="P265" r:id="rId264" display="19833"/>
    <hyperlink ref="P266" r:id="rId265" display="19836"/>
    <hyperlink ref="P267" r:id="rId266" display="19839"/>
    <hyperlink ref="P268" r:id="rId267" display="19840"/>
    <hyperlink ref="P269" r:id="rId268" display="19841"/>
    <hyperlink ref="P270" r:id="rId269" display="19843"/>
    <hyperlink ref="P271" r:id="rId270" display="19845"/>
    <hyperlink ref="P272" r:id="rId271" display="19847"/>
    <hyperlink ref="P273" r:id="rId272" display="19848"/>
    <hyperlink ref="P274" r:id="rId273" display="19849"/>
    <hyperlink ref="P275" r:id="rId274" display="19850"/>
    <hyperlink ref="P276" r:id="rId275" display="19852"/>
    <hyperlink ref="P277" r:id="rId276" display="19853"/>
    <hyperlink ref="P278" r:id="rId277" display="19855"/>
    <hyperlink ref="P279" r:id="rId278" display="19856"/>
    <hyperlink ref="P280" r:id="rId279" display="19857"/>
    <hyperlink ref="P281" r:id="rId280" display="19859"/>
    <hyperlink ref="P282" r:id="rId281" display="19861"/>
    <hyperlink ref="P283" r:id="rId282" display="19864"/>
    <hyperlink ref="P284" r:id="rId283" display="19866"/>
    <hyperlink ref="P285" r:id="rId284" display="19867"/>
    <hyperlink ref="P286" r:id="rId285" display="19868"/>
    <hyperlink ref="P287" r:id="rId286" display="19869"/>
    <hyperlink ref="P288" r:id="rId287" display="19870"/>
    <hyperlink ref="P289" r:id="rId288" display="19872"/>
    <hyperlink ref="P290" r:id="rId289" display="19875"/>
    <hyperlink ref="P291" r:id="rId290" display="19878"/>
    <hyperlink ref="P292" r:id="rId291" display="19879"/>
    <hyperlink ref="P293" r:id="rId292" display="19881"/>
    <hyperlink ref="P294" r:id="rId293" display="19884"/>
    <hyperlink ref="P295" r:id="rId294" display="19887"/>
    <hyperlink ref="P296" r:id="rId295" display="19889"/>
    <hyperlink ref="P297" r:id="rId296" display="19890"/>
    <hyperlink ref="P298" r:id="rId297" display="19891"/>
    <hyperlink ref="P299" r:id="rId298" display="19894"/>
    <hyperlink ref="P300" r:id="rId299" display="19896"/>
    <hyperlink ref="P301" r:id="rId300" display="19897"/>
    <hyperlink ref="P302" r:id="rId301" display="19898"/>
    <hyperlink ref="P303" r:id="rId302" display="19899"/>
    <hyperlink ref="P304" r:id="rId303" display="19900"/>
    <hyperlink ref="P305" r:id="rId304" display="19902"/>
    <hyperlink ref="P306" r:id="rId305" display="19903"/>
    <hyperlink ref="P307" r:id="rId306" display="19906"/>
    <hyperlink ref="P308" r:id="rId307" display="19907"/>
    <hyperlink ref="P309" r:id="rId308" display="19912"/>
    <hyperlink ref="P310" r:id="rId309" display="19913"/>
    <hyperlink ref="P311" r:id="rId310" display="19915"/>
    <hyperlink ref="P312" r:id="rId311" display="19916"/>
    <hyperlink ref="P313" r:id="rId312" display="19917"/>
    <hyperlink ref="P314" r:id="rId313" display="19919"/>
    <hyperlink ref="P315" r:id="rId314" display="19920"/>
    <hyperlink ref="P316" r:id="rId315" display="19921"/>
    <hyperlink ref="P317" r:id="rId316" display="19922"/>
    <hyperlink ref="P318" r:id="rId317" display="19923"/>
    <hyperlink ref="P319" r:id="rId318" display="19929"/>
    <hyperlink ref="P320" r:id="rId319" display="19930"/>
    <hyperlink ref="P321" r:id="rId320" display="19931"/>
    <hyperlink ref="P322" r:id="rId321" display="19934"/>
    <hyperlink ref="P323" r:id="rId322" display="19935"/>
    <hyperlink ref="P324" r:id="rId323" display="19936"/>
    <hyperlink ref="P325" r:id="rId324" display="19937"/>
    <hyperlink ref="P326" r:id="rId325" display="19938"/>
    <hyperlink ref="P327" r:id="rId326" display="19941"/>
    <hyperlink ref="P328" r:id="rId327" display="19944"/>
    <hyperlink ref="P329" r:id="rId328" display="19945"/>
    <hyperlink ref="P330" r:id="rId329" display="19946"/>
    <hyperlink ref="P331" r:id="rId330" display="19948"/>
    <hyperlink ref="P332" r:id="rId331" display="19950"/>
    <hyperlink ref="P333" r:id="rId332" display="19952"/>
    <hyperlink ref="P334" r:id="rId333" display="19953"/>
    <hyperlink ref="P335" r:id="rId334" display="19954"/>
    <hyperlink ref="P336" r:id="rId335" display="19956"/>
    <hyperlink ref="P337" r:id="rId336" display="19958"/>
    <hyperlink ref="P338" r:id="rId337" display="19959"/>
    <hyperlink ref="P339" r:id="rId338" display="19964"/>
    <hyperlink ref="P340" r:id="rId339" display="19967"/>
    <hyperlink ref="P341" r:id="rId340" display="19968"/>
    <hyperlink ref="P342" r:id="rId341" display="19969"/>
    <hyperlink ref="P343" r:id="rId342" display="19971"/>
    <hyperlink ref="P344" r:id="rId343" display="19972"/>
    <hyperlink ref="P345" r:id="rId344" display="19974"/>
    <hyperlink ref="P346" r:id="rId345" display="19977"/>
    <hyperlink ref="P347" r:id="rId346" display="19978"/>
    <hyperlink ref="P348" r:id="rId347" display="19982"/>
    <hyperlink ref="P349" r:id="rId348" display="19987"/>
    <hyperlink ref="P350" r:id="rId349" display="19988"/>
    <hyperlink ref="P351" r:id="rId350" display="19989"/>
    <hyperlink ref="P352" r:id="rId351" display="19991"/>
    <hyperlink ref="P353" r:id="rId352" display="19992"/>
    <hyperlink ref="P354" r:id="rId353" display="19993"/>
    <hyperlink ref="P355" r:id="rId354" display="19994"/>
    <hyperlink ref="P356" r:id="rId355" display="19996"/>
    <hyperlink ref="P357" r:id="rId356" display="19998"/>
    <hyperlink ref="P358" r:id="rId357" display="20000"/>
    <hyperlink ref="P359" r:id="rId358" display="20003"/>
    <hyperlink ref="P360" r:id="rId359" display="20004"/>
    <hyperlink ref="P361" r:id="rId360" display="20005"/>
    <hyperlink ref="P362" r:id="rId361" display="20009"/>
    <hyperlink ref="P363" r:id="rId362" display="20011"/>
    <hyperlink ref="P364" r:id="rId363" display="20014"/>
    <hyperlink ref="P365" r:id="rId364" display="20016"/>
    <hyperlink ref="P366" r:id="rId365" display="20018"/>
    <hyperlink ref="P367" r:id="rId366" display="20019"/>
    <hyperlink ref="P368" r:id="rId367" display="20021"/>
    <hyperlink ref="P369" r:id="rId368" display="20023"/>
    <hyperlink ref="P370" r:id="rId369" display="20024"/>
    <hyperlink ref="P371" r:id="rId370" display="20025"/>
    <hyperlink ref="P372" r:id="rId371" display="20027"/>
    <hyperlink ref="P373" r:id="rId372" display="20028"/>
    <hyperlink ref="P374" r:id="rId373" display="20029"/>
    <hyperlink ref="P375" r:id="rId374" display="20030"/>
    <hyperlink ref="P376" r:id="rId375" display="20031"/>
    <hyperlink ref="P377" r:id="rId376" display="20034"/>
    <hyperlink ref="P378" r:id="rId377" display="20036"/>
    <hyperlink ref="P379" r:id="rId378" display="20038"/>
    <hyperlink ref="P380" r:id="rId379" display="20039"/>
    <hyperlink ref="P381" r:id="rId380" display="20040"/>
    <hyperlink ref="P382" r:id="rId381" display="20041"/>
    <hyperlink ref="P383" r:id="rId382" display="20042"/>
    <hyperlink ref="P384" r:id="rId383" display="20046"/>
    <hyperlink ref="P385" r:id="rId384" display="20048"/>
    <hyperlink ref="P386" r:id="rId385" display="20049"/>
    <hyperlink ref="P387" r:id="rId386" display="20051"/>
    <hyperlink ref="P388" r:id="rId387" display="20052"/>
    <hyperlink ref="P389" r:id="rId388" display="20053"/>
    <hyperlink ref="P390" r:id="rId389" display="20054"/>
    <hyperlink ref="P391" r:id="rId390" display="20055"/>
    <hyperlink ref="P392" r:id="rId391" display="20057"/>
    <hyperlink ref="P393" r:id="rId392" display="20059"/>
    <hyperlink ref="P394" r:id="rId393" display="20061"/>
    <hyperlink ref="P395" r:id="rId394" display="20063"/>
    <hyperlink ref="P396" r:id="rId395" display="20064"/>
    <hyperlink ref="P397" r:id="rId396" display="20070"/>
    <hyperlink ref="P398" r:id="rId397" display="20071"/>
    <hyperlink ref="P399" r:id="rId398" display="20072"/>
    <hyperlink ref="P400" r:id="rId399" display="20079"/>
    <hyperlink ref="P401" r:id="rId400" display="20080"/>
    <hyperlink ref="P402" r:id="rId401" display="20083"/>
    <hyperlink ref="P403" r:id="rId402" display="20085"/>
    <hyperlink ref="P404" r:id="rId403" display="20087"/>
    <hyperlink ref="P405" r:id="rId404" display="20088"/>
    <hyperlink ref="P406" r:id="rId405" display="20089"/>
    <hyperlink ref="P407" r:id="rId406" display="20091"/>
    <hyperlink ref="P408" r:id="rId407" display="20092"/>
    <hyperlink ref="P409" r:id="rId408" display="20093"/>
    <hyperlink ref="P410" r:id="rId409" display="20095"/>
    <hyperlink ref="P411" r:id="rId410" display="20096"/>
    <hyperlink ref="P412" r:id="rId411" display="20098"/>
    <hyperlink ref="P413" r:id="rId412" display="20102"/>
    <hyperlink ref="P414" r:id="rId413" display="20103"/>
    <hyperlink ref="P415" r:id="rId414" display="20105"/>
    <hyperlink ref="P416" r:id="rId415" display="20106"/>
    <hyperlink ref="P417" r:id="rId416" display="20107"/>
    <hyperlink ref="P418" r:id="rId417" display="20108"/>
    <hyperlink ref="P419" r:id="rId418" display="20109"/>
    <hyperlink ref="P420" r:id="rId419" display="20110"/>
    <hyperlink ref="P421" r:id="rId420" display="20111"/>
    <hyperlink ref="P422" r:id="rId421" display="20114"/>
    <hyperlink ref="P423" r:id="rId422" display="20115"/>
    <hyperlink ref="P424" r:id="rId423" display="20118"/>
    <hyperlink ref="P425" r:id="rId424" display="20120"/>
    <hyperlink ref="P426" r:id="rId425" display="20121"/>
    <hyperlink ref="P427" r:id="rId426" display="20123"/>
    <hyperlink ref="P428" r:id="rId427" display="20124"/>
    <hyperlink ref="P429" r:id="rId428" display="20125"/>
    <hyperlink ref="P430" r:id="rId429" display="20128"/>
    <hyperlink ref="P431" r:id="rId430" display="20130"/>
    <hyperlink ref="P432" r:id="rId431" display="20131"/>
    <hyperlink ref="P433" r:id="rId432" display="20132"/>
    <hyperlink ref="P434" r:id="rId433" display="20133"/>
    <hyperlink ref="P435" r:id="rId434" display="20135"/>
    <hyperlink ref="P436" r:id="rId435" display="20136"/>
    <hyperlink ref="P437" r:id="rId436" display="20137"/>
    <hyperlink ref="P438" r:id="rId437" display="20138"/>
    <hyperlink ref="P439" r:id="rId438" display="20139"/>
    <hyperlink ref="P440" r:id="rId439" display="20140"/>
    <hyperlink ref="P441" r:id="rId440" display="20141"/>
    <hyperlink ref="P442" r:id="rId441" display="20142"/>
    <hyperlink ref="P443" r:id="rId442" display="20143"/>
    <hyperlink ref="P444" r:id="rId443" display="20145"/>
    <hyperlink ref="P445" r:id="rId444" display="20146"/>
    <hyperlink ref="P446" r:id="rId445" display="20147"/>
    <hyperlink ref="P447" r:id="rId446" display="20149"/>
    <hyperlink ref="P448" r:id="rId447" display="20150"/>
    <hyperlink ref="P449" r:id="rId448" display="20153"/>
    <hyperlink ref="P450" r:id="rId449" display="20154"/>
    <hyperlink ref="P451" r:id="rId450" display="20157"/>
    <hyperlink ref="P452" r:id="rId451" display="20158"/>
    <hyperlink ref="P453" r:id="rId452" display="20160"/>
    <hyperlink ref="P454" r:id="rId453" display="20163"/>
    <hyperlink ref="P455" r:id="rId454" display="20164"/>
    <hyperlink ref="P456" r:id="rId455" display="20165"/>
    <hyperlink ref="P457" r:id="rId456" display="20168"/>
    <hyperlink ref="P458" r:id="rId457" display="20170"/>
    <hyperlink ref="P459" r:id="rId458" display="20171"/>
    <hyperlink ref="P460" r:id="rId459" display="20174"/>
    <hyperlink ref="P461" r:id="rId460" display="20175"/>
    <hyperlink ref="P462" r:id="rId461" display="20176"/>
    <hyperlink ref="P463" r:id="rId462" display="20177"/>
    <hyperlink ref="P464" r:id="rId463" display="20178"/>
    <hyperlink ref="P465" r:id="rId464" display="20179"/>
    <hyperlink ref="P466" r:id="rId465" display="20180"/>
    <hyperlink ref="P467" r:id="rId466" display="20181"/>
    <hyperlink ref="P468" r:id="rId467" display="20182"/>
    <hyperlink ref="P469" r:id="rId468" display="20185"/>
    <hyperlink ref="P470" r:id="rId469" display="20186"/>
    <hyperlink ref="P471" r:id="rId470" display="20187"/>
    <hyperlink ref="P472" r:id="rId471" display="20188"/>
    <hyperlink ref="P473" r:id="rId472" display="20189"/>
    <hyperlink ref="P474" r:id="rId473" display="20191"/>
    <hyperlink ref="P475" r:id="rId474" display="20197"/>
    <hyperlink ref="P476" r:id="rId475" display="20199"/>
    <hyperlink ref="P477" r:id="rId476" display="20200"/>
    <hyperlink ref="P478" r:id="rId477" display="20201"/>
    <hyperlink ref="P479" r:id="rId478" display="20206"/>
    <hyperlink ref="P480" r:id="rId479" display="20207"/>
    <hyperlink ref="P481" r:id="rId480" display="20208"/>
    <hyperlink ref="P482" r:id="rId481" display="20209"/>
    <hyperlink ref="P483" r:id="rId482" display="20210"/>
    <hyperlink ref="P484" r:id="rId483" display="20213"/>
    <hyperlink ref="P485" r:id="rId484" display="20214"/>
    <hyperlink ref="P486" r:id="rId485" display="20216"/>
    <hyperlink ref="P487" r:id="rId486" display="20221"/>
    <hyperlink ref="P488" r:id="rId487" display="20223"/>
    <hyperlink ref="P489" r:id="rId488" display="20225"/>
    <hyperlink ref="P490" r:id="rId489" display="20226"/>
    <hyperlink ref="P491" r:id="rId490" display="20230"/>
    <hyperlink ref="P492" r:id="rId491" display="20231"/>
    <hyperlink ref="P493" r:id="rId492" display="20232"/>
    <hyperlink ref="P494" r:id="rId493" display="20233"/>
    <hyperlink ref="P495" r:id="rId494" display="20234"/>
    <hyperlink ref="P496" r:id="rId495" display="20235"/>
    <hyperlink ref="P497" r:id="rId496" display="20250"/>
    <hyperlink ref="P498" r:id="rId497" display="20251"/>
    <hyperlink ref="P499" r:id="rId498" display="20257"/>
    <hyperlink ref="P500" r:id="rId499" display="20260"/>
    <hyperlink ref="P501" r:id="rId500" display="20261"/>
    <hyperlink ref="P502" r:id="rId501" display="20262"/>
    <hyperlink ref="P503" r:id="rId502" display="20265"/>
    <hyperlink ref="P504" r:id="rId503" display="20268"/>
    <hyperlink ref="P505" r:id="rId504" display="20272"/>
    <hyperlink ref="P506" r:id="rId505" display="20275"/>
    <hyperlink ref="P507" r:id="rId506" display="20277"/>
    <hyperlink ref="P508" r:id="rId507" display="20278"/>
    <hyperlink ref="P509" r:id="rId508" display="20280"/>
    <hyperlink ref="P510" r:id="rId509" display="20281"/>
    <hyperlink ref="P511" r:id="rId510" display="20282"/>
    <hyperlink ref="P512" r:id="rId511" display="20283"/>
    <hyperlink ref="P513" r:id="rId512" display="20285"/>
    <hyperlink ref="P514" r:id="rId513" display="20286"/>
    <hyperlink ref="P515" r:id="rId514" display="20288"/>
    <hyperlink ref="P516" r:id="rId515" display="20292"/>
    <hyperlink ref="P517" r:id="rId516" display="20294"/>
    <hyperlink ref="P518" r:id="rId517" display="20296"/>
    <hyperlink ref="P519" r:id="rId518" display="20298"/>
    <hyperlink ref="P520" r:id="rId519" display="20299"/>
    <hyperlink ref="P521" r:id="rId520" display="20300"/>
    <hyperlink ref="P522" r:id="rId521" display="20301"/>
    <hyperlink ref="P523" r:id="rId522" display="20302"/>
    <hyperlink ref="P524" r:id="rId523" display="20303"/>
    <hyperlink ref="P525" r:id="rId524" display="20304"/>
    <hyperlink ref="P526" r:id="rId525" display="20307"/>
    <hyperlink ref="P527" r:id="rId526" display="20309"/>
    <hyperlink ref="P528" r:id="rId527" display="20311"/>
    <hyperlink ref="P529" r:id="rId528" display="20312"/>
    <hyperlink ref="P530" r:id="rId529" display="20313"/>
    <hyperlink ref="P531" r:id="rId530" display="20317"/>
    <hyperlink ref="P532" r:id="rId531" display="20319"/>
    <hyperlink ref="P533" r:id="rId532" display="20320"/>
    <hyperlink ref="P534" r:id="rId533" display="20322"/>
    <hyperlink ref="P535" r:id="rId534" display="20323"/>
    <hyperlink ref="P536" r:id="rId535" display="20325"/>
    <hyperlink ref="P537" r:id="rId536" display="20326"/>
    <hyperlink ref="P538" r:id="rId537" display="20327"/>
    <hyperlink ref="P539" r:id="rId538" display="20328"/>
    <hyperlink ref="P540" r:id="rId539" display="20329"/>
    <hyperlink ref="P541" r:id="rId540" display="20330"/>
    <hyperlink ref="P542" r:id="rId541" display="20331"/>
    <hyperlink ref="P543" r:id="rId542" display="20332"/>
    <hyperlink ref="P544" r:id="rId543" display="20333"/>
    <hyperlink ref="P545" r:id="rId544" display="20334"/>
    <hyperlink ref="P546" r:id="rId545" display="20336"/>
    <hyperlink ref="P547" r:id="rId546" display="20338"/>
    <hyperlink ref="P548" r:id="rId547" display="20340"/>
    <hyperlink ref="P549" r:id="rId548" display="20341"/>
    <hyperlink ref="P550" r:id="rId549" display="20342"/>
    <hyperlink ref="P551" r:id="rId550" display="20345"/>
    <hyperlink ref="P552" r:id="rId551" display="20347"/>
    <hyperlink ref="P553" r:id="rId552" display="20349"/>
    <hyperlink ref="P554" r:id="rId553" display="20350"/>
    <hyperlink ref="P555" r:id="rId554" display="20351"/>
    <hyperlink ref="P556" r:id="rId555" display="20352"/>
    <hyperlink ref="P557" r:id="rId556" display="20354"/>
    <hyperlink ref="P558" r:id="rId557" display="20355"/>
    <hyperlink ref="P559" r:id="rId558" display="20357"/>
    <hyperlink ref="P560" r:id="rId559" display="20359"/>
    <hyperlink ref="P561" r:id="rId560" display="20360"/>
    <hyperlink ref="P562" r:id="rId561" display="20361"/>
    <hyperlink ref="P563" r:id="rId562" display="20363"/>
    <hyperlink ref="P564" r:id="rId563" display="20364"/>
    <hyperlink ref="P565" r:id="rId564" display="20367"/>
    <hyperlink ref="P566" r:id="rId565" display="20369"/>
    <hyperlink ref="P567" r:id="rId566" display="20371"/>
    <hyperlink ref="P568" r:id="rId567" display="20374"/>
    <hyperlink ref="P569" r:id="rId568" display="20376"/>
    <hyperlink ref="P570" r:id="rId569" display="20377"/>
    <hyperlink ref="P571" r:id="rId570" display="20378"/>
    <hyperlink ref="P572" r:id="rId571" display="20381"/>
    <hyperlink ref="P573" r:id="rId572" display="20383"/>
    <hyperlink ref="P574" r:id="rId573" display="20385"/>
    <hyperlink ref="P575" r:id="rId574" display="20386"/>
    <hyperlink ref="P576" r:id="rId575" display="20387"/>
    <hyperlink ref="P577" r:id="rId576" display="20388"/>
    <hyperlink ref="P578" r:id="rId577" display="20389"/>
    <hyperlink ref="P579" r:id="rId578" display="20390"/>
    <hyperlink ref="P580" r:id="rId579" display="20393"/>
    <hyperlink ref="P581" r:id="rId580" display="20394"/>
    <hyperlink ref="P582" r:id="rId581" display="20395"/>
    <hyperlink ref="P583" r:id="rId582" display="20397"/>
    <hyperlink ref="P584" r:id="rId583" display="20398"/>
    <hyperlink ref="P585" r:id="rId584" display="20401"/>
    <hyperlink ref="P586" r:id="rId585" display="20403"/>
    <hyperlink ref="P587" r:id="rId586" display="20404"/>
    <hyperlink ref="P588" r:id="rId587" display="20406"/>
    <hyperlink ref="P589" r:id="rId588" display="20408"/>
    <hyperlink ref="P590" r:id="rId589" display="20410"/>
    <hyperlink ref="P591" r:id="rId590" display="20411"/>
    <hyperlink ref="P592" r:id="rId591" display="20412"/>
    <hyperlink ref="P593" r:id="rId592" display="20413"/>
    <hyperlink ref="P594" r:id="rId593" display="20415"/>
    <hyperlink ref="P595" r:id="rId594" display="20416"/>
    <hyperlink ref="P596" r:id="rId595" display="20417"/>
    <hyperlink ref="P597" r:id="rId596" display="20418"/>
    <hyperlink ref="P598" r:id="rId597" display="20419"/>
    <hyperlink ref="P599" r:id="rId598" display="20420"/>
    <hyperlink ref="P600" r:id="rId599" display="20421"/>
    <hyperlink ref="P601" r:id="rId600" display="20422"/>
    <hyperlink ref="P602" r:id="rId601" display="20423"/>
    <hyperlink ref="P603" r:id="rId602" display="20424"/>
    <hyperlink ref="P604" r:id="rId603" display="20425"/>
    <hyperlink ref="P605" r:id="rId604" display="20426"/>
    <hyperlink ref="P606" r:id="rId605" display="20427"/>
    <hyperlink ref="P607" r:id="rId606" display="20429"/>
    <hyperlink ref="P608" r:id="rId607" display="20431"/>
    <hyperlink ref="P609" r:id="rId608" display="20432"/>
    <hyperlink ref="P610" r:id="rId609" display="20436"/>
    <hyperlink ref="P611" r:id="rId610" display="20437"/>
    <hyperlink ref="P612" r:id="rId611" display="20438"/>
    <hyperlink ref="P613" r:id="rId612" display="20441"/>
    <hyperlink ref="P614" r:id="rId613" display="20442"/>
    <hyperlink ref="P615" r:id="rId614" display="20443"/>
    <hyperlink ref="P616" r:id="rId615" display="20444"/>
    <hyperlink ref="P617" r:id="rId616" display="20445"/>
    <hyperlink ref="P618" r:id="rId617" display="20446"/>
    <hyperlink ref="P619" r:id="rId618" display="20447"/>
    <hyperlink ref="P620" r:id="rId619" display="20449"/>
    <hyperlink ref="P621" r:id="rId620" display="20450"/>
    <hyperlink ref="P622" r:id="rId621" display="20451"/>
    <hyperlink ref="P623" r:id="rId622" display="20452"/>
    <hyperlink ref="P624" r:id="rId623" display="20458"/>
    <hyperlink ref="P625" r:id="rId624" display="20459"/>
    <hyperlink ref="P626" r:id="rId625" display="20460"/>
    <hyperlink ref="P627" r:id="rId626" display="20461"/>
    <hyperlink ref="P628" r:id="rId627" display="20462"/>
    <hyperlink ref="P629" r:id="rId628" display="20463"/>
    <hyperlink ref="P630" r:id="rId629" display="20464"/>
    <hyperlink ref="P631" r:id="rId630" display="20471"/>
    <hyperlink ref="P632" r:id="rId631" display="20473"/>
    <hyperlink ref="P633" r:id="rId632" display="20474"/>
    <hyperlink ref="P634" r:id="rId633" display="20475"/>
    <hyperlink ref="P635" r:id="rId634" display="20476"/>
    <hyperlink ref="P636" r:id="rId635" display="20477"/>
    <hyperlink ref="P637" r:id="rId636" display="20479"/>
    <hyperlink ref="P638" r:id="rId637" display="20480"/>
    <hyperlink ref="P639" r:id="rId638" display="20483"/>
    <hyperlink ref="P640" r:id="rId639" display="20484"/>
    <hyperlink ref="P641" r:id="rId640" display="20489"/>
    <hyperlink ref="P642" r:id="rId641" display="20490"/>
    <hyperlink ref="P643" r:id="rId642" display="20491"/>
    <hyperlink ref="P644" r:id="rId643" display="20492"/>
    <hyperlink ref="P645" r:id="rId644" display="20493"/>
    <hyperlink ref="P646" r:id="rId645" display="20494"/>
    <hyperlink ref="P647" r:id="rId646" display="20497"/>
    <hyperlink ref="P648" r:id="rId647" display="20498"/>
    <hyperlink ref="P649" r:id="rId648" display="20500"/>
    <hyperlink ref="P650" r:id="rId649" display="20501"/>
    <hyperlink ref="P651" r:id="rId650" display="20503"/>
    <hyperlink ref="P652" r:id="rId651" display="20505"/>
    <hyperlink ref="P653" r:id="rId652" display="20506"/>
    <hyperlink ref="P654" r:id="rId653" display="20507"/>
    <hyperlink ref="P655" r:id="rId654" display="20508"/>
    <hyperlink ref="P656" r:id="rId655" display="20509"/>
    <hyperlink ref="P657" r:id="rId656" display="20511"/>
    <hyperlink ref="P658" r:id="rId657" display="20513"/>
    <hyperlink ref="P659" r:id="rId658" display="20517"/>
    <hyperlink ref="P660" r:id="rId659" display="20518"/>
    <hyperlink ref="P661" r:id="rId660" display="20519"/>
    <hyperlink ref="P662" r:id="rId661" display="20520"/>
    <hyperlink ref="P663" r:id="rId662" display="20522"/>
    <hyperlink ref="P664" r:id="rId663" display="20523"/>
    <hyperlink ref="P665" r:id="rId664" display="20524"/>
    <hyperlink ref="P666" r:id="rId665" display="20525"/>
    <hyperlink ref="P667" r:id="rId666" display="20527"/>
    <hyperlink ref="P668" r:id="rId667" display="20528"/>
    <hyperlink ref="P669" r:id="rId668" display="20529"/>
    <hyperlink ref="P670" r:id="rId669" display="20530"/>
    <hyperlink ref="P671" r:id="rId670" display="20534"/>
    <hyperlink ref="P672" r:id="rId671" display="20535"/>
    <hyperlink ref="P673" r:id="rId672" display="20541"/>
    <hyperlink ref="P674" r:id="rId673" display="20544"/>
    <hyperlink ref="P675" r:id="rId674" display="20546"/>
    <hyperlink ref="P676" r:id="rId675" display="20547"/>
    <hyperlink ref="P677" r:id="rId676" display="20548"/>
    <hyperlink ref="P678" r:id="rId677" display="20549"/>
    <hyperlink ref="P679" r:id="rId678" display="20550"/>
    <hyperlink ref="P680" r:id="rId679" display="20551"/>
    <hyperlink ref="P681" r:id="rId680" display="20553"/>
    <hyperlink ref="P682" r:id="rId681" display="20554"/>
    <hyperlink ref="P683" r:id="rId682" display="20555"/>
    <hyperlink ref="P684" r:id="rId683" display="20556"/>
    <hyperlink ref="P685" r:id="rId684" display="20557"/>
    <hyperlink ref="P686" r:id="rId685" display="20559"/>
    <hyperlink ref="P687" r:id="rId686" display="20562"/>
    <hyperlink ref="P688" r:id="rId687" display="20565"/>
    <hyperlink ref="P689" r:id="rId688" display="20566"/>
    <hyperlink ref="P690" r:id="rId689" display="20568"/>
    <hyperlink ref="P691" r:id="rId690" display="20571"/>
    <hyperlink ref="P692" r:id="rId691" display="20573"/>
    <hyperlink ref="P693" r:id="rId692" display="20575"/>
    <hyperlink ref="P694" r:id="rId693" display="20576"/>
    <hyperlink ref="P695" r:id="rId694" display="20577"/>
    <hyperlink ref="P696" r:id="rId695" display="20578"/>
    <hyperlink ref="P697" r:id="rId696" display="20579"/>
    <hyperlink ref="P698" r:id="rId697" display="20580"/>
    <hyperlink ref="P699" r:id="rId698" display="20581"/>
    <hyperlink ref="P700" r:id="rId699" display="20583"/>
    <hyperlink ref="P701" r:id="rId700" display="20584"/>
    <hyperlink ref="P702" r:id="rId701" display="20585"/>
    <hyperlink ref="P703" r:id="rId702" display="20586"/>
    <hyperlink ref="P704" r:id="rId703" display="20587"/>
    <hyperlink ref="P705" r:id="rId704" display="20588"/>
    <hyperlink ref="P706" r:id="rId705" display="20590"/>
    <hyperlink ref="P707" r:id="rId706" display="20591"/>
    <hyperlink ref="P708" r:id="rId707" display="20592"/>
    <hyperlink ref="P709" r:id="rId708" display="20593"/>
    <hyperlink ref="P710" r:id="rId709" display="20594"/>
    <hyperlink ref="P711" r:id="rId710" display="20596"/>
    <hyperlink ref="P712" r:id="rId711" display="20597"/>
    <hyperlink ref="P713" r:id="rId712" display="20598"/>
    <hyperlink ref="P714" r:id="rId713" display="20605"/>
    <hyperlink ref="P715" r:id="rId714" display="20606"/>
    <hyperlink ref="P716" r:id="rId715" display="20609"/>
    <hyperlink ref="P717" r:id="rId716" display="20610"/>
    <hyperlink ref="P718" r:id="rId717" display="20611"/>
    <hyperlink ref="P719" r:id="rId718" display="20612"/>
    <hyperlink ref="P720" r:id="rId719" display="20613"/>
    <hyperlink ref="P721" r:id="rId720" display="20614"/>
    <hyperlink ref="P722" r:id="rId721" display="20615"/>
    <hyperlink ref="P723" r:id="rId722" display="20616"/>
    <hyperlink ref="P724" r:id="rId723" display="20620"/>
    <hyperlink ref="P725" r:id="rId724" display="20621"/>
    <hyperlink ref="P726" r:id="rId725" display="20622"/>
    <hyperlink ref="P727" r:id="rId726" display="20624"/>
    <hyperlink ref="P728" r:id="rId727" display="20625"/>
    <hyperlink ref="P729" r:id="rId728" display="20626"/>
    <hyperlink ref="P730" r:id="rId729" display="20627"/>
    <hyperlink ref="P731" r:id="rId730" display="20628"/>
    <hyperlink ref="P732" r:id="rId731" display="20629"/>
    <hyperlink ref="P733" r:id="rId732" display="20631"/>
    <hyperlink ref="P734" r:id="rId733" display="20633"/>
    <hyperlink ref="P735" r:id="rId734" display="20635"/>
    <hyperlink ref="P736" r:id="rId735" display="20637"/>
    <hyperlink ref="P737" r:id="rId736" display="20639"/>
    <hyperlink ref="P738" r:id="rId737" display="20640"/>
    <hyperlink ref="P739" r:id="rId738" display="20642"/>
    <hyperlink ref="P740" r:id="rId739" display="20643"/>
    <hyperlink ref="P741" r:id="rId740" display="20644"/>
    <hyperlink ref="P742" r:id="rId741" display="20645"/>
    <hyperlink ref="P743" r:id="rId742" display="20647"/>
    <hyperlink ref="P744" r:id="rId743" display="20651"/>
    <hyperlink ref="P745" r:id="rId744" display="20652"/>
    <hyperlink ref="P746" r:id="rId745" display="20653"/>
    <hyperlink ref="P747" r:id="rId746" display="20657"/>
    <hyperlink ref="P748" r:id="rId747" display="20659"/>
    <hyperlink ref="P749" r:id="rId748" display="20660"/>
    <hyperlink ref="P750" r:id="rId749" display="20663"/>
    <hyperlink ref="P751" r:id="rId750" display="20665"/>
    <hyperlink ref="P752" r:id="rId751" display="20666"/>
    <hyperlink ref="P753" r:id="rId752" display="20669"/>
    <hyperlink ref="P754" r:id="rId753" display="20670"/>
    <hyperlink ref="P755" r:id="rId754" display="20675"/>
    <hyperlink ref="P756" r:id="rId755" display="20680"/>
    <hyperlink ref="P757" r:id="rId756" display="20681"/>
    <hyperlink ref="P758" r:id="rId757" display="20683"/>
    <hyperlink ref="P759" r:id="rId758" display="20685"/>
    <hyperlink ref="P760" r:id="rId759" display="20686"/>
    <hyperlink ref="P761" r:id="rId760" display="20688"/>
    <hyperlink ref="P762" r:id="rId761" display="20689"/>
    <hyperlink ref="P763" r:id="rId762" display="20692"/>
    <hyperlink ref="P764" r:id="rId763" display="20693"/>
    <hyperlink ref="P765" r:id="rId764" display="20694"/>
    <hyperlink ref="P766" r:id="rId765" display="20695"/>
    <hyperlink ref="P767" r:id="rId766" display="20696"/>
    <hyperlink ref="P768" r:id="rId767" display="20697"/>
    <hyperlink ref="P769" r:id="rId768" display="20698"/>
    <hyperlink ref="P770" r:id="rId769" display="20700"/>
    <hyperlink ref="P771" r:id="rId770" display="20704"/>
    <hyperlink ref="P772" r:id="rId771" display="20706"/>
    <hyperlink ref="P773" r:id="rId772" display="20707"/>
    <hyperlink ref="P774" r:id="rId773" display="20708"/>
    <hyperlink ref="P775" r:id="rId774" display="20709"/>
    <hyperlink ref="P776" r:id="rId775" display="20710"/>
    <hyperlink ref="P777" r:id="rId776" display="20713"/>
    <hyperlink ref="P778" r:id="rId777" display="20714"/>
    <hyperlink ref="P779" r:id="rId778" display="20715"/>
    <hyperlink ref="P780" r:id="rId779" display="20717"/>
    <hyperlink ref="P781" r:id="rId780" display="20718"/>
    <hyperlink ref="P782" r:id="rId781" display="20719"/>
    <hyperlink ref="P783" r:id="rId782" display="20720"/>
    <hyperlink ref="P784" r:id="rId783" display="20721"/>
    <hyperlink ref="P785" r:id="rId784" display="20722"/>
    <hyperlink ref="P786" r:id="rId785" display="20723"/>
    <hyperlink ref="P787" r:id="rId786" display="20724"/>
    <hyperlink ref="P788" r:id="rId787" display="20725"/>
    <hyperlink ref="P789" r:id="rId788" display="20726"/>
    <hyperlink ref="P790" r:id="rId789" display="20727"/>
    <hyperlink ref="P791" r:id="rId790" display="20728"/>
    <hyperlink ref="P792" r:id="rId791" display="20729"/>
    <hyperlink ref="P793" r:id="rId792" display="20730"/>
    <hyperlink ref="P794" r:id="rId793" display="20731"/>
    <hyperlink ref="P795" r:id="rId794" display="20732"/>
    <hyperlink ref="P796" r:id="rId795" display="20734"/>
    <hyperlink ref="P797" r:id="rId796" display="20737"/>
    <hyperlink ref="P798" r:id="rId797" display="20739"/>
    <hyperlink ref="P799" r:id="rId798" display="20740"/>
    <hyperlink ref="P800" r:id="rId799" display="20741"/>
    <hyperlink ref="P801" r:id="rId800" display="20742"/>
    <hyperlink ref="P802" r:id="rId801" display="20743"/>
    <hyperlink ref="P803" r:id="rId802" display="20744"/>
    <hyperlink ref="P804" r:id="rId803" display="20745"/>
    <hyperlink ref="P805" r:id="rId804" display="20748"/>
    <hyperlink ref="P806" r:id="rId805" display="20749"/>
    <hyperlink ref="P807" r:id="rId806" display="20751"/>
    <hyperlink ref="P808" r:id="rId807" display="20752"/>
    <hyperlink ref="P809" r:id="rId808" display="20755"/>
    <hyperlink ref="P810" r:id="rId809" display="20756"/>
    <hyperlink ref="P811" r:id="rId810" display="20757"/>
    <hyperlink ref="P812" r:id="rId811" display="20758"/>
    <hyperlink ref="P813" r:id="rId812" display="20759"/>
    <hyperlink ref="P814" r:id="rId813" display="20760"/>
    <hyperlink ref="P815" r:id="rId814" display="20761"/>
    <hyperlink ref="P816" r:id="rId815" display="20763"/>
    <hyperlink ref="P817" r:id="rId816" display="20764"/>
    <hyperlink ref="P818" r:id="rId817" display="20765"/>
    <hyperlink ref="P819" r:id="rId818" display="20769"/>
    <hyperlink ref="P820" r:id="rId819" display="20770"/>
    <hyperlink ref="P821" r:id="rId820" display="20771"/>
    <hyperlink ref="P822" r:id="rId821" display="20772"/>
    <hyperlink ref="P823" r:id="rId822" display="20774"/>
    <hyperlink ref="P824" r:id="rId823" display="20775"/>
    <hyperlink ref="P825" r:id="rId824" display="20776"/>
    <hyperlink ref="P826" r:id="rId825" display="20777"/>
    <hyperlink ref="P827" r:id="rId826" display="20778"/>
    <hyperlink ref="P828" r:id="rId827" display="20779"/>
    <hyperlink ref="P829" r:id="rId828" display="20780"/>
    <hyperlink ref="P830" r:id="rId829" display="20781"/>
    <hyperlink ref="P831" r:id="rId830" display="20782"/>
    <hyperlink ref="P832" r:id="rId831" display="20783"/>
    <hyperlink ref="P833" r:id="rId832" display="20784"/>
    <hyperlink ref="P834" r:id="rId833" display="20786"/>
    <hyperlink ref="P835" r:id="rId834" display="20787"/>
    <hyperlink ref="P836" r:id="rId835" display="20788"/>
    <hyperlink ref="P837" r:id="rId836" display="20789"/>
    <hyperlink ref="P838" r:id="rId837" display="20791"/>
    <hyperlink ref="P839" r:id="rId838" display="20792"/>
    <hyperlink ref="P840" r:id="rId839" display="20793"/>
    <hyperlink ref="P841" r:id="rId840" display="20794"/>
    <hyperlink ref="P842" r:id="rId841" display="20795"/>
    <hyperlink ref="P843" r:id="rId842" display="20796"/>
    <hyperlink ref="P844" r:id="rId843" display="20797"/>
    <hyperlink ref="P845" r:id="rId844" display="20800"/>
    <hyperlink ref="P846" r:id="rId845" display="20804"/>
    <hyperlink ref="P847" r:id="rId846" display="20808"/>
    <hyperlink ref="P848" r:id="rId847" display="20809"/>
    <hyperlink ref="P849" r:id="rId848" display="20811"/>
    <hyperlink ref="P850" r:id="rId849" display="20812"/>
    <hyperlink ref="P851" r:id="rId850" display="20813"/>
    <hyperlink ref="P852" r:id="rId851" display="20814"/>
    <hyperlink ref="P853" r:id="rId852" display="20816"/>
    <hyperlink ref="P854" r:id="rId853" display="20819"/>
    <hyperlink ref="P855" r:id="rId854" display="20820"/>
    <hyperlink ref="P856" r:id="rId855" display="20822"/>
    <hyperlink ref="P857" r:id="rId856" display="20823"/>
    <hyperlink ref="P858" r:id="rId857" display="20824"/>
    <hyperlink ref="P859" r:id="rId858" display="20825"/>
    <hyperlink ref="P860" r:id="rId859" display="20826"/>
    <hyperlink ref="P861" r:id="rId860" display="20827"/>
    <hyperlink ref="P862" r:id="rId861" display="20828"/>
    <hyperlink ref="P863" r:id="rId862" display="20831"/>
    <hyperlink ref="P864" r:id="rId863" display="20833"/>
    <hyperlink ref="P865" r:id="rId864" display="20834"/>
    <hyperlink ref="P866" r:id="rId865" display="20835"/>
    <hyperlink ref="P867" r:id="rId866" display="20836"/>
    <hyperlink ref="P868" r:id="rId867" display="20838"/>
    <hyperlink ref="P869" r:id="rId868" display="20839"/>
    <hyperlink ref="P870" r:id="rId869" display="20841"/>
    <hyperlink ref="P871" r:id="rId870" display="20843"/>
    <hyperlink ref="P872" r:id="rId871" display="20844"/>
    <hyperlink ref="P873" r:id="rId872" display="20849"/>
    <hyperlink ref="P874" r:id="rId873" display="20850"/>
    <hyperlink ref="P875" r:id="rId874" display="20852"/>
    <hyperlink ref="P876" r:id="rId875" display="20853"/>
    <hyperlink ref="P877" r:id="rId876" display="20854"/>
    <hyperlink ref="P878" r:id="rId877" display="20855"/>
    <hyperlink ref="P879" r:id="rId878" display="20856"/>
    <hyperlink ref="P880" r:id="rId879" display="20857"/>
    <hyperlink ref="P881" r:id="rId880" display="20858"/>
    <hyperlink ref="P882" r:id="rId881" display="20859"/>
    <hyperlink ref="P883" r:id="rId882" display="20861"/>
    <hyperlink ref="P884" r:id="rId883" display="20862"/>
    <hyperlink ref="P885" r:id="rId884" display="20863"/>
    <hyperlink ref="P886" r:id="rId885" display="20865"/>
    <hyperlink ref="P887" r:id="rId886" display="20866"/>
    <hyperlink ref="P888" r:id="rId887" display="20868"/>
    <hyperlink ref="P889" r:id="rId888" display="20870"/>
    <hyperlink ref="P890" r:id="rId889" display="20872"/>
    <hyperlink ref="P891" r:id="rId890" display="20873"/>
    <hyperlink ref="P892" r:id="rId891" display="20874"/>
    <hyperlink ref="P893" r:id="rId892" display="20875"/>
    <hyperlink ref="P894" r:id="rId893" display="20876"/>
    <hyperlink ref="P895" r:id="rId894" display="20877"/>
    <hyperlink ref="P896" r:id="rId895" display="20879"/>
    <hyperlink ref="P897" r:id="rId896" display="20880"/>
    <hyperlink ref="P898" r:id="rId897" display="20881"/>
    <hyperlink ref="P899" r:id="rId898" display="20882"/>
    <hyperlink ref="P900" r:id="rId899" display="20883"/>
    <hyperlink ref="P901" r:id="rId900" display="20884"/>
    <hyperlink ref="P902" r:id="rId901" display="20885"/>
    <hyperlink ref="P903" r:id="rId902" display="20886"/>
    <hyperlink ref="P904" r:id="rId903" display="20888"/>
    <hyperlink ref="P905" r:id="rId904" display="20889"/>
    <hyperlink ref="P906" r:id="rId905" display="20890"/>
    <hyperlink ref="P907" r:id="rId906" display="20891"/>
    <hyperlink ref="P908" r:id="rId907" display="20892"/>
    <hyperlink ref="P909" r:id="rId908" display="20893"/>
    <hyperlink ref="P910" r:id="rId909" display="20894"/>
    <hyperlink ref="P911" r:id="rId910" display="20898"/>
    <hyperlink ref="P912" r:id="rId911" display="20899"/>
    <hyperlink ref="P913" r:id="rId912" display="20900"/>
    <hyperlink ref="P914" r:id="rId913" display="20901"/>
    <hyperlink ref="P915" r:id="rId914" display="20902"/>
    <hyperlink ref="P916" r:id="rId915" display="20903"/>
    <hyperlink ref="P917" r:id="rId916" display="20904"/>
    <hyperlink ref="P918" r:id="rId917" display="20905"/>
    <hyperlink ref="P919" r:id="rId918" display="20907"/>
    <hyperlink ref="P920" r:id="rId919" display="20908"/>
    <hyperlink ref="P921" r:id="rId920" display="20909"/>
    <hyperlink ref="P922" r:id="rId921" display="20910"/>
    <hyperlink ref="P923" r:id="rId922" display="20911"/>
    <hyperlink ref="P924" r:id="rId923" display="20913"/>
    <hyperlink ref="P925" r:id="rId924" display="20914"/>
    <hyperlink ref="P926" r:id="rId925" display="20915"/>
    <hyperlink ref="P927" r:id="rId926" display="20916"/>
    <hyperlink ref="P928" r:id="rId927" display="20917"/>
    <hyperlink ref="P929" r:id="rId928" display="20919"/>
    <hyperlink ref="P930" r:id="rId929" display="20920"/>
    <hyperlink ref="P931" r:id="rId930" display="20922"/>
    <hyperlink ref="P932" r:id="rId931" display="20923"/>
    <hyperlink ref="P933" r:id="rId932" display="20925"/>
    <hyperlink ref="P934" r:id="rId933" display="20926"/>
    <hyperlink ref="P935" r:id="rId934" display="20927"/>
    <hyperlink ref="P936" r:id="rId935" display="20928"/>
    <hyperlink ref="P937" r:id="rId936" display="20929"/>
    <hyperlink ref="P938" r:id="rId937" display="20930"/>
    <hyperlink ref="P939" r:id="rId938" display="20931"/>
    <hyperlink ref="P940" r:id="rId939" display="20932"/>
    <hyperlink ref="P941" r:id="rId940" display="20934"/>
    <hyperlink ref="P942" r:id="rId941" display="20935"/>
    <hyperlink ref="P943" r:id="rId942" display="20936"/>
    <hyperlink ref="P944" r:id="rId943" display="20937"/>
    <hyperlink ref="P945" r:id="rId944" display="20938"/>
    <hyperlink ref="P946" r:id="rId945" display="20939"/>
    <hyperlink ref="P947" r:id="rId946" display="20940"/>
    <hyperlink ref="P948" r:id="rId947" display="20941"/>
    <hyperlink ref="P949" r:id="rId948" display="20942"/>
    <hyperlink ref="P950" r:id="rId949" display="20945"/>
    <hyperlink ref="P951" r:id="rId950" display="20947"/>
    <hyperlink ref="P952" r:id="rId951" display="20949"/>
    <hyperlink ref="P953" r:id="rId952" display="20950"/>
    <hyperlink ref="P954" r:id="rId953" display="20951"/>
    <hyperlink ref="P955" r:id="rId954" display="20952"/>
    <hyperlink ref="P956" r:id="rId955" display="20953"/>
    <hyperlink ref="P957" r:id="rId956" display="20955"/>
    <hyperlink ref="P958" r:id="rId957" display="20956"/>
    <hyperlink ref="P959" r:id="rId958" display="20957"/>
    <hyperlink ref="P960" r:id="rId959" display="20958"/>
    <hyperlink ref="P961" r:id="rId960" display="20959"/>
    <hyperlink ref="P962" r:id="rId961" display="20960"/>
    <hyperlink ref="P963" r:id="rId962" display="20962"/>
    <hyperlink ref="P964" r:id="rId963" display="20963"/>
    <hyperlink ref="P965" r:id="rId964" display="20965"/>
    <hyperlink ref="P966" r:id="rId965" display="20966"/>
    <hyperlink ref="P967" r:id="rId966" display="20967"/>
    <hyperlink ref="P968" r:id="rId967" display="20968"/>
    <hyperlink ref="P969" r:id="rId968" display="20971"/>
    <hyperlink ref="P970" r:id="rId969" display="20972"/>
    <hyperlink ref="P971" r:id="rId970" display="20973"/>
    <hyperlink ref="P972" r:id="rId971" display="20974"/>
    <hyperlink ref="P973" r:id="rId972" display="20975"/>
    <hyperlink ref="P974" r:id="rId973" display="20976"/>
    <hyperlink ref="P975" r:id="rId974" display="20977"/>
    <hyperlink ref="P976" r:id="rId975" display="20978"/>
    <hyperlink ref="P977" r:id="rId976" display="20979"/>
    <hyperlink ref="P978" r:id="rId977" display="20981"/>
    <hyperlink ref="P979" r:id="rId978" display="20982"/>
    <hyperlink ref="P980" r:id="rId979" display="20984"/>
    <hyperlink ref="P981" r:id="rId980" display="20985"/>
    <hyperlink ref="P982" r:id="rId981" display="20987"/>
    <hyperlink ref="P983" r:id="rId982" display="20988"/>
    <hyperlink ref="P984" r:id="rId983" display="20990"/>
    <hyperlink ref="P985" r:id="rId984" display="20992"/>
    <hyperlink ref="P986" r:id="rId985" display="20993"/>
    <hyperlink ref="P987" r:id="rId986" display="20995"/>
    <hyperlink ref="P988" r:id="rId987" display="20996"/>
    <hyperlink ref="P989" r:id="rId988" display="20998"/>
    <hyperlink ref="P990" r:id="rId989" display="20999"/>
    <hyperlink ref="P991" r:id="rId990" display="21000"/>
    <hyperlink ref="P992" r:id="rId991" display="21001"/>
    <hyperlink ref="P993" r:id="rId992" display="21002"/>
    <hyperlink ref="P994" r:id="rId993" display="21003"/>
    <hyperlink ref="P995" r:id="rId994" display="21005"/>
    <hyperlink ref="P996" r:id="rId995" display="21006"/>
    <hyperlink ref="P997" r:id="rId996" display="21008"/>
    <hyperlink ref="P998" r:id="rId997" display="21009"/>
    <hyperlink ref="P999" r:id="rId998" display="21011"/>
    <hyperlink ref="P1000" r:id="rId999" display="21012"/>
    <hyperlink ref="P1001" r:id="rId1000" display="21014"/>
    <hyperlink ref="P1002" r:id="rId1001" display="21015"/>
    <hyperlink ref="P1003" r:id="rId1002" display="21016"/>
    <hyperlink ref="P1004" r:id="rId1003" display="21017"/>
    <hyperlink ref="P1005" r:id="rId1004" display="21018"/>
    <hyperlink ref="P1006" r:id="rId1005" display="21019"/>
    <hyperlink ref="P1007" r:id="rId1006" display="21020"/>
    <hyperlink ref="P1008" r:id="rId1007" display="21021"/>
    <hyperlink ref="P1009" r:id="rId1008" display="21023"/>
    <hyperlink ref="P1010" r:id="rId1009" display="21027"/>
    <hyperlink ref="P1011" r:id="rId1010" display="21028"/>
    <hyperlink ref="P1012" r:id="rId1011" display="21029"/>
    <hyperlink ref="P1013" r:id="rId1012" display="21031"/>
    <hyperlink ref="P1014" r:id="rId1013" display="21033"/>
    <hyperlink ref="P1015" r:id="rId1014" display="21034"/>
    <hyperlink ref="P1016" r:id="rId1015" display="21035"/>
    <hyperlink ref="P1017" r:id="rId1016" display="21036"/>
    <hyperlink ref="P1018" r:id="rId1017" display="21037"/>
    <hyperlink ref="P1019" r:id="rId1018" display="21038"/>
    <hyperlink ref="P1020" r:id="rId1019" display="21039"/>
    <hyperlink ref="P1021" r:id="rId1020" display="21040"/>
    <hyperlink ref="P1022" r:id="rId1021" display="21041"/>
    <hyperlink ref="P1023" r:id="rId1022" display="21042"/>
    <hyperlink ref="P1024" r:id="rId1023" display="21043"/>
    <hyperlink ref="P1025" r:id="rId1024" display="21044"/>
    <hyperlink ref="P1026" r:id="rId1025" display="21046"/>
    <hyperlink ref="P1027" r:id="rId1026" display="21047"/>
    <hyperlink ref="P1028" r:id="rId1027" display="21048"/>
    <hyperlink ref="P1029" r:id="rId1028" display="21052"/>
    <hyperlink ref="P1030" r:id="rId1029" display="21053"/>
    <hyperlink ref="P1031" r:id="rId1030" display="21056"/>
    <hyperlink ref="P1032" r:id="rId1031" display="21057"/>
    <hyperlink ref="P1033" r:id="rId1032" display="21059"/>
    <hyperlink ref="P1034" r:id="rId1033" display="21061"/>
    <hyperlink ref="P1035" r:id="rId1034" display="21062"/>
    <hyperlink ref="P1036" r:id="rId1035" display="21063"/>
    <hyperlink ref="P1037" r:id="rId1036" display="21064"/>
    <hyperlink ref="P1038" r:id="rId1037" display="21065"/>
    <hyperlink ref="P1039" r:id="rId1038" display="21066"/>
    <hyperlink ref="P1040" r:id="rId1039" display="21069"/>
    <hyperlink ref="P1041" r:id="rId1040" display="21070"/>
    <hyperlink ref="P1042" r:id="rId1041" display="21071"/>
    <hyperlink ref="P1043" r:id="rId1042" display="21074"/>
    <hyperlink ref="P1044" r:id="rId1043" display="21075"/>
    <hyperlink ref="P1045" r:id="rId1044" display="21077"/>
    <hyperlink ref="P1046" r:id="rId1045" display="21078"/>
    <hyperlink ref="P1047" r:id="rId1046" display="21079"/>
    <hyperlink ref="P1048" r:id="rId1047" display="21080"/>
    <hyperlink ref="P1049" r:id="rId1048" display="21081"/>
    <hyperlink ref="P1050" r:id="rId1049" display="21083"/>
    <hyperlink ref="P1051" r:id="rId1050" display="21084"/>
    <hyperlink ref="P1052" r:id="rId1051" display="21085"/>
    <hyperlink ref="P1053" r:id="rId1052" display="21086"/>
    <hyperlink ref="P1054" r:id="rId1053" display="21087"/>
    <hyperlink ref="P1055" r:id="rId1054" display="21088"/>
    <hyperlink ref="P1056" r:id="rId1055" display="21089"/>
    <hyperlink ref="P1057" r:id="rId1056" display="21091"/>
    <hyperlink ref="P1058" r:id="rId1057" display="21092"/>
    <hyperlink ref="P1059" r:id="rId1058" display="21095"/>
    <hyperlink ref="P1060" r:id="rId1059" display="21097"/>
    <hyperlink ref="P1061" r:id="rId1060" display="21098"/>
    <hyperlink ref="P1062" r:id="rId1061" display="21102"/>
    <hyperlink ref="P1063" r:id="rId1062" display="21103"/>
    <hyperlink ref="P1064" r:id="rId1063" display="21106"/>
    <hyperlink ref="P1065" r:id="rId1064" display="21107"/>
    <hyperlink ref="P1066" r:id="rId1065" display="21109"/>
    <hyperlink ref="P1067" r:id="rId1066" display="21110"/>
    <hyperlink ref="P1068" r:id="rId1067" display="21111"/>
    <hyperlink ref="P1069" r:id="rId1068" display="21113"/>
    <hyperlink ref="P1070" r:id="rId1069" display="21114"/>
    <hyperlink ref="P1071" r:id="rId1070" display="21115"/>
    <hyperlink ref="P1072" r:id="rId1071" display="21116"/>
    <hyperlink ref="P1073" r:id="rId1072" display="21117"/>
    <hyperlink ref="P1074" r:id="rId1073" display="21118"/>
    <hyperlink ref="P1075" r:id="rId1074" display="21120"/>
    <hyperlink ref="P1076" r:id="rId1075" display="21121"/>
    <hyperlink ref="P1077" r:id="rId1076" display="21124"/>
    <hyperlink ref="P1078" r:id="rId1077" display="21126"/>
    <hyperlink ref="P1079" r:id="rId1078" display="21128"/>
    <hyperlink ref="P1080" r:id="rId1079" display="21129"/>
    <hyperlink ref="P1081" r:id="rId1080" display="21130"/>
    <hyperlink ref="P1082" r:id="rId1081" display="21131"/>
    <hyperlink ref="P1083" r:id="rId1082" display="21132"/>
    <hyperlink ref="P1084" r:id="rId1083" display="21133"/>
    <hyperlink ref="P1085" r:id="rId1084" display="21134"/>
    <hyperlink ref="P1086" r:id="rId1085" display="21137"/>
    <hyperlink ref="P1087" r:id="rId1086" display="21138"/>
    <hyperlink ref="P1088" r:id="rId1087" display="21140"/>
    <hyperlink ref="P1089" r:id="rId1088" display="21142"/>
    <hyperlink ref="P1090" r:id="rId1089" display="21143"/>
    <hyperlink ref="P1091" r:id="rId1090" display="21144"/>
    <hyperlink ref="P1092" r:id="rId1091" display="21146"/>
    <hyperlink ref="P1093" r:id="rId1092" display="21147"/>
    <hyperlink ref="P1094" r:id="rId1093" display="21148"/>
    <hyperlink ref="P1095" r:id="rId1094" display="21150"/>
    <hyperlink ref="P1096" r:id="rId1095" display="21153"/>
    <hyperlink ref="P1097" r:id="rId1096" display="21154"/>
    <hyperlink ref="P1098" r:id="rId1097" display="21155"/>
    <hyperlink ref="P1099" r:id="rId1098" display="21157"/>
    <hyperlink ref="P1100" r:id="rId1099" display="21158"/>
    <hyperlink ref="P1101" r:id="rId1100" display="21159"/>
    <hyperlink ref="P1102" r:id="rId1101" display="21160"/>
    <hyperlink ref="P1103" r:id="rId1102" display="21161"/>
    <hyperlink ref="P1104" r:id="rId1103" display="21165"/>
    <hyperlink ref="P1105" r:id="rId1104" display="21167"/>
    <hyperlink ref="P1106" r:id="rId1105" display="21168"/>
    <hyperlink ref="P1107" r:id="rId1106" display="21169"/>
    <hyperlink ref="P1108" r:id="rId1107" display="21170"/>
    <hyperlink ref="P1109" r:id="rId1108" display="21173"/>
    <hyperlink ref="P1110" r:id="rId1109" display="21174"/>
    <hyperlink ref="P1111" r:id="rId1110" display="21175"/>
    <hyperlink ref="P1112" r:id="rId1111" display="21176"/>
    <hyperlink ref="P1113" r:id="rId1112" display="21177"/>
    <hyperlink ref="P1114" r:id="rId1113" display="21178"/>
    <hyperlink ref="P1115" r:id="rId1114" display="21179"/>
    <hyperlink ref="P1116" r:id="rId1115" display="21180"/>
    <hyperlink ref="P1117" r:id="rId1116" display="21181"/>
    <hyperlink ref="P1118" r:id="rId1117" display="21182"/>
    <hyperlink ref="P1119" r:id="rId1118" display="21183"/>
    <hyperlink ref="P1120" r:id="rId1119" display="21184"/>
    <hyperlink ref="P1121" r:id="rId1120" display="21185"/>
    <hyperlink ref="P1122" r:id="rId1121" display="21187"/>
    <hyperlink ref="P1123" r:id="rId1122" display="21189"/>
    <hyperlink ref="P1124" r:id="rId1123" display="21190"/>
    <hyperlink ref="P1125" r:id="rId1124" display="21192"/>
    <hyperlink ref="P1126" r:id="rId1125" display="21193"/>
    <hyperlink ref="P1127" r:id="rId1126" display="21194"/>
    <hyperlink ref="P1128" r:id="rId1127" display="21195"/>
    <hyperlink ref="P1129" r:id="rId1128" display="21196"/>
    <hyperlink ref="P1130" r:id="rId1129" display="21197"/>
    <hyperlink ref="P1131" r:id="rId1130" display="21198"/>
    <hyperlink ref="P1132" r:id="rId1131" display="21199"/>
    <hyperlink ref="P1133" r:id="rId1132" display="21200"/>
    <hyperlink ref="P1134" r:id="rId1133" display="21201"/>
    <hyperlink ref="P1135" r:id="rId1134" display="21202"/>
    <hyperlink ref="P1136" r:id="rId1135" display="21203"/>
    <hyperlink ref="P1137" r:id="rId1136" display="21204"/>
    <hyperlink ref="P1138" r:id="rId1137" display="21205"/>
    <hyperlink ref="P1139" r:id="rId1138" display="21207"/>
    <hyperlink ref="P1140" r:id="rId1139" display="21209"/>
    <hyperlink ref="P1141" r:id="rId1140" display="21210"/>
    <hyperlink ref="P1142" r:id="rId1141" display="21211"/>
    <hyperlink ref="P1143" r:id="rId1142" display="21212"/>
    <hyperlink ref="P1144" r:id="rId1143" display="21213"/>
    <hyperlink ref="P1145" r:id="rId1144" display="21214"/>
    <hyperlink ref="P1146" r:id="rId1145" display="21218"/>
    <hyperlink ref="P1147" r:id="rId1146" display="21219"/>
    <hyperlink ref="P1148" r:id="rId1147" display="21220"/>
    <hyperlink ref="P1149" r:id="rId1148" display="21221"/>
    <hyperlink ref="P1150" r:id="rId1149" display="21225"/>
    <hyperlink ref="P1151" r:id="rId1150" display="21226"/>
    <hyperlink ref="P1152" r:id="rId1151" display="21227"/>
    <hyperlink ref="P1153" r:id="rId1152" display="21230"/>
    <hyperlink ref="P1154" r:id="rId1153" display="21231"/>
    <hyperlink ref="P1155" r:id="rId1154" display="21232"/>
    <hyperlink ref="P1156" r:id="rId1155" display="21233"/>
    <hyperlink ref="P1157" r:id="rId1156" display="21235"/>
    <hyperlink ref="P1158" r:id="rId1157" display="21236"/>
    <hyperlink ref="P1159" r:id="rId1158" display="21238"/>
    <hyperlink ref="P1160" r:id="rId1159" display="21241"/>
    <hyperlink ref="P1161" r:id="rId1160" display="21243"/>
    <hyperlink ref="P1162" r:id="rId1161" display="21244"/>
    <hyperlink ref="P1163" r:id="rId1162" display="21246"/>
    <hyperlink ref="P1164" r:id="rId1163" display="21247"/>
    <hyperlink ref="P1165" r:id="rId1164" display="21248"/>
    <hyperlink ref="P1166" r:id="rId1165" display="21249"/>
    <hyperlink ref="P1167" r:id="rId1166" display="21250"/>
    <hyperlink ref="P1168" r:id="rId1167" display="21252"/>
    <hyperlink ref="P1169" r:id="rId1168" display="21253"/>
    <hyperlink ref="P1170" r:id="rId1169" display="21254"/>
    <hyperlink ref="P1171" r:id="rId1170" display="21255"/>
    <hyperlink ref="P1172" r:id="rId1171" display="21256"/>
    <hyperlink ref="P1173" r:id="rId1172" display="21258"/>
    <hyperlink ref="P1174" r:id="rId1173" display="21261"/>
    <hyperlink ref="P1175" r:id="rId1174" display="21262"/>
    <hyperlink ref="P1176" r:id="rId1175" display="21264"/>
    <hyperlink ref="P1177" r:id="rId1176" display="21266"/>
    <hyperlink ref="P1178" r:id="rId1177" display="21267"/>
    <hyperlink ref="P1179" r:id="rId1178" display="21268"/>
    <hyperlink ref="P1180" r:id="rId1179" display="21269"/>
    <hyperlink ref="P1181" r:id="rId1180" display="21271"/>
    <hyperlink ref="P1182" r:id="rId1181" display="21272"/>
    <hyperlink ref="P1183" r:id="rId1182" display="21273"/>
    <hyperlink ref="P1184" r:id="rId1183" display="21274"/>
    <hyperlink ref="P1185" r:id="rId1184" display="21275"/>
    <hyperlink ref="P1186" r:id="rId1185" display="21276"/>
    <hyperlink ref="P1187" r:id="rId1186" display="21277"/>
    <hyperlink ref="P1188" r:id="rId1187" display="21278"/>
    <hyperlink ref="P1189" r:id="rId1188" display="21279"/>
    <hyperlink ref="P1190" r:id="rId1189" display="21280"/>
    <hyperlink ref="P1191" r:id="rId1190" display="21282"/>
    <hyperlink ref="P1192" r:id="rId1191" display="21284"/>
    <hyperlink ref="P1193" r:id="rId1192" display="21285"/>
    <hyperlink ref="P1194" r:id="rId1193" display="21288"/>
    <hyperlink ref="P1195" r:id="rId1194" display="21289"/>
    <hyperlink ref="P1196" r:id="rId1195" display="21290"/>
    <hyperlink ref="P1197" r:id="rId1196" display="21291"/>
    <hyperlink ref="P1198" r:id="rId1197" display="21292"/>
    <hyperlink ref="P1199" r:id="rId1198" display="21294"/>
    <hyperlink ref="P1200" r:id="rId1199" display="21295"/>
    <hyperlink ref="P1201" r:id="rId1200" display="21297"/>
    <hyperlink ref="P1202" r:id="rId1201" display="21298"/>
    <hyperlink ref="P1203" r:id="rId1202" display="21299"/>
    <hyperlink ref="P1204" r:id="rId1203" display="21300"/>
    <hyperlink ref="P1205" r:id="rId1204" display="21301"/>
    <hyperlink ref="P1206" r:id="rId1205" display="21302"/>
    <hyperlink ref="P1207" r:id="rId1206" display="21304"/>
    <hyperlink ref="P1208" r:id="rId1207" display="21306"/>
    <hyperlink ref="P1209" r:id="rId1208" display="21308"/>
    <hyperlink ref="P1210" r:id="rId1209" display="21309"/>
    <hyperlink ref="P1211" r:id="rId1210" display="21310"/>
    <hyperlink ref="P1212" r:id="rId1211" display="21311"/>
    <hyperlink ref="P1213" r:id="rId1212" display="21312"/>
    <hyperlink ref="P1214" r:id="rId1213" display="21313"/>
    <hyperlink ref="P1215" r:id="rId1214" display="21314"/>
    <hyperlink ref="P1216" r:id="rId1215" display="21315"/>
    <hyperlink ref="P1217" r:id="rId1216" display="21316"/>
    <hyperlink ref="P1218" r:id="rId1217" display="21317"/>
    <hyperlink ref="P1219" r:id="rId1218" display="21318"/>
    <hyperlink ref="P1220" r:id="rId1219" display="21319"/>
    <hyperlink ref="P1221" r:id="rId1220" display="21320"/>
    <hyperlink ref="P1222" r:id="rId1221" display="21321"/>
    <hyperlink ref="P1223" r:id="rId1222" display="21322"/>
    <hyperlink ref="P1224" r:id="rId1223" display="21323"/>
    <hyperlink ref="P1225" r:id="rId1224" display="21324"/>
    <hyperlink ref="P1226" r:id="rId1225" display="21326"/>
    <hyperlink ref="P1227" r:id="rId1226" display="21327"/>
    <hyperlink ref="P1228" r:id="rId1227" display="21328"/>
    <hyperlink ref="P1229" r:id="rId1228" display="21329"/>
    <hyperlink ref="P1230" r:id="rId1229" display="21330"/>
    <hyperlink ref="P1231" r:id="rId1230" display="21331"/>
    <hyperlink ref="P1232" r:id="rId1231" display="21332"/>
    <hyperlink ref="P1233" r:id="rId1232" display="21333"/>
    <hyperlink ref="P1234" r:id="rId1233" display="21334"/>
    <hyperlink ref="P1235" r:id="rId1234" display="21335"/>
    <hyperlink ref="P1236" r:id="rId1235" display="21336"/>
    <hyperlink ref="P1237" r:id="rId1236" display="21337"/>
    <hyperlink ref="P1238" r:id="rId1237" display="21338"/>
    <hyperlink ref="P1239" r:id="rId1238" display="21339"/>
    <hyperlink ref="P1240" r:id="rId1239" display="21340"/>
    <hyperlink ref="P1241" r:id="rId1240" display="21341"/>
    <hyperlink ref="P1242" r:id="rId1241" display="21342"/>
    <hyperlink ref="P1243" r:id="rId1242" display="21344"/>
    <hyperlink ref="P1244" r:id="rId1243" display="21345"/>
    <hyperlink ref="P1245" r:id="rId1244" display="21346"/>
    <hyperlink ref="P1246" r:id="rId1245" display="21347"/>
    <hyperlink ref="P1247" r:id="rId1246" display="21348"/>
    <hyperlink ref="P1248" r:id="rId1247" display="21350"/>
    <hyperlink ref="P1249" r:id="rId1248" display="21352"/>
    <hyperlink ref="P1250" r:id="rId1249" display="21353"/>
    <hyperlink ref="P1251" r:id="rId1250" display="21354"/>
    <hyperlink ref="P1252" r:id="rId1251" display="21355"/>
    <hyperlink ref="P1253" r:id="rId1252" display="21356"/>
    <hyperlink ref="P1254" r:id="rId1253" display="21357"/>
    <hyperlink ref="P1255" r:id="rId1254" display="21358"/>
    <hyperlink ref="P1256" r:id="rId1255" display="21359"/>
    <hyperlink ref="P1257" r:id="rId1256" display="21360"/>
    <hyperlink ref="P1258" r:id="rId1257" display="21363"/>
    <hyperlink ref="P1259" r:id="rId1258" display="21364"/>
    <hyperlink ref="P1260" r:id="rId1259" display="21365"/>
    <hyperlink ref="P1261" r:id="rId1260" display="21366"/>
    <hyperlink ref="P1262" r:id="rId1261" display="21367"/>
    <hyperlink ref="P1263" r:id="rId1262" display="21368"/>
    <hyperlink ref="P1264" r:id="rId1263" display="21369"/>
    <hyperlink ref="P1265" r:id="rId1264" display="21370"/>
    <hyperlink ref="P1266" r:id="rId1265" display="21371"/>
    <hyperlink ref="P1267" r:id="rId1266" display="21372"/>
    <hyperlink ref="P1268" r:id="rId1267" display="21373"/>
    <hyperlink ref="P1269" r:id="rId1268" display="21374"/>
    <hyperlink ref="P1270" r:id="rId1269" display="21375"/>
    <hyperlink ref="P1271" r:id="rId1270" display="21376"/>
    <hyperlink ref="P1272" r:id="rId1271" display="21378"/>
    <hyperlink ref="P1273" r:id="rId1272" display="21379"/>
    <hyperlink ref="P1274" r:id="rId1273" display="21380"/>
    <hyperlink ref="P1275" r:id="rId1274" display="21382"/>
    <hyperlink ref="P1276" r:id="rId1275" display="21384"/>
    <hyperlink ref="P1277" r:id="rId1276" display="21385"/>
    <hyperlink ref="P1278" r:id="rId1277" display="21386"/>
    <hyperlink ref="P1279" r:id="rId1278" display="21388"/>
    <hyperlink ref="P1280" r:id="rId1279" display="21391"/>
    <hyperlink ref="P1281" r:id="rId1280" display="21392"/>
    <hyperlink ref="P1282" r:id="rId1281" display="21393"/>
    <hyperlink ref="P1283" r:id="rId1282" display="21395"/>
    <hyperlink ref="P1284" r:id="rId1283" display="21397"/>
    <hyperlink ref="P1285" r:id="rId1284" display="21398"/>
    <hyperlink ref="P1286" r:id="rId1285" display="21399"/>
    <hyperlink ref="P1287" r:id="rId1286" display="21400"/>
    <hyperlink ref="P1288" r:id="rId1287" display="21401"/>
    <hyperlink ref="P1289" r:id="rId1288" display="21403"/>
    <hyperlink ref="P1290" r:id="rId1289" display="21404"/>
    <hyperlink ref="P1291" r:id="rId1290" display="21405"/>
    <hyperlink ref="P1292" r:id="rId1291" display="21407"/>
    <hyperlink ref="P1293" r:id="rId1292" display="21408"/>
    <hyperlink ref="P1294" r:id="rId1293" display="21410"/>
    <hyperlink ref="P1295" r:id="rId1294" display="21411"/>
    <hyperlink ref="P1296" r:id="rId1295" display="21413"/>
    <hyperlink ref="P1297" r:id="rId1296" display="21416"/>
    <hyperlink ref="P1298" r:id="rId1297" display="21417"/>
    <hyperlink ref="P1299" r:id="rId1298" display="21418"/>
    <hyperlink ref="P1300" r:id="rId1299" display="21420"/>
    <hyperlink ref="P1301" r:id="rId1300" display="21421"/>
    <hyperlink ref="P1302" r:id="rId1301" display="21422"/>
    <hyperlink ref="P1303" r:id="rId1302" display="21424"/>
    <hyperlink ref="P1304" r:id="rId1303" display="21425"/>
    <hyperlink ref="P1305" r:id="rId1304" display="21428"/>
    <hyperlink ref="P1306" r:id="rId1305" display="21429"/>
    <hyperlink ref="P1307" r:id="rId1306" display="21432"/>
    <hyperlink ref="P1308" r:id="rId1307" display="21433"/>
    <hyperlink ref="P1309" r:id="rId1308" display="21434"/>
    <hyperlink ref="P1310" r:id="rId1309" display="21435"/>
    <hyperlink ref="P1311" r:id="rId1310" display="21436"/>
    <hyperlink ref="P1312" r:id="rId1311" display="21437"/>
    <hyperlink ref="P1313" r:id="rId1312" display="21438"/>
    <hyperlink ref="P1314" r:id="rId1313" display="21439"/>
    <hyperlink ref="P1315" r:id="rId1314" display="21443"/>
    <hyperlink ref="P1316" r:id="rId1315" display="21445"/>
    <hyperlink ref="P1317" r:id="rId1316" display="21446"/>
    <hyperlink ref="P1318" r:id="rId1317" display="21447"/>
    <hyperlink ref="P1319" r:id="rId1318" display="21448"/>
    <hyperlink ref="P1320" r:id="rId1319" display="21449"/>
    <hyperlink ref="P1321" r:id="rId1320" display="21450"/>
    <hyperlink ref="P1322" r:id="rId1321" display="21451"/>
    <hyperlink ref="P1323" r:id="rId1322" display="21452"/>
    <hyperlink ref="P1324" r:id="rId1323" display="21453"/>
    <hyperlink ref="P1325" r:id="rId1324" display="21454"/>
    <hyperlink ref="P1326" r:id="rId1325" display="21455"/>
    <hyperlink ref="P1327" r:id="rId1326" display="21456"/>
    <hyperlink ref="P1328" r:id="rId1327" display="21457"/>
    <hyperlink ref="P1329" r:id="rId1328" display="21458"/>
    <hyperlink ref="P1330" r:id="rId1329" display="21459"/>
    <hyperlink ref="P1331" r:id="rId1330" display="21460"/>
    <hyperlink ref="P1332" r:id="rId1331" display="21461"/>
    <hyperlink ref="P1333" r:id="rId1332" display="21462"/>
    <hyperlink ref="P1334" r:id="rId1333" display="21463"/>
    <hyperlink ref="P1335" r:id="rId1334" display="21465"/>
    <hyperlink ref="P1336" r:id="rId1335" display="21466"/>
    <hyperlink ref="P1337" r:id="rId1336" display="21468"/>
    <hyperlink ref="P1338" r:id="rId1337" display="21469"/>
    <hyperlink ref="P1339" r:id="rId1338" display="21471"/>
    <hyperlink ref="P1340" r:id="rId1339" display="21472"/>
    <hyperlink ref="P1341" r:id="rId1340" display="21473"/>
    <hyperlink ref="P1342" r:id="rId1341" display="21474"/>
    <hyperlink ref="P1343" r:id="rId1342" display="21478"/>
    <hyperlink ref="P1344" r:id="rId1343" display="21479"/>
    <hyperlink ref="P1345" r:id="rId1344" display="21481"/>
    <hyperlink ref="P1346" r:id="rId1345" display="21482"/>
    <hyperlink ref="P1347" r:id="rId1346" display="21483"/>
    <hyperlink ref="P1348" r:id="rId1347" display="21484"/>
    <hyperlink ref="P1349" r:id="rId1348" display="21485"/>
    <hyperlink ref="P1350" r:id="rId1349" display="21488"/>
    <hyperlink ref="P1351" r:id="rId1350" display="21489"/>
    <hyperlink ref="P1352" r:id="rId1351" display="21490"/>
    <hyperlink ref="P1353" r:id="rId1352" display="21491"/>
    <hyperlink ref="P1354" r:id="rId1353" display="21492"/>
    <hyperlink ref="P1355" r:id="rId1354" display="21493"/>
    <hyperlink ref="P1356" r:id="rId1355" display="21494"/>
    <hyperlink ref="P1357" r:id="rId1356" display="21495"/>
    <hyperlink ref="P1358" r:id="rId1357" display="21499"/>
    <hyperlink ref="P1359" r:id="rId1358" display="21500"/>
    <hyperlink ref="P1360" r:id="rId1359" display="21501"/>
    <hyperlink ref="P1361" r:id="rId1360" display="21502"/>
    <hyperlink ref="P1362" r:id="rId1361" display="21503"/>
    <hyperlink ref="P1363" r:id="rId1362" display="21504"/>
    <hyperlink ref="P1364" r:id="rId1363" display="21505"/>
    <hyperlink ref="P1365" r:id="rId1364" display="21506"/>
    <hyperlink ref="P1366" r:id="rId1365" display="21507"/>
    <hyperlink ref="P1367" r:id="rId1366" display="21508"/>
    <hyperlink ref="P1368" r:id="rId1367" display="21509"/>
    <hyperlink ref="P1369" r:id="rId1368" display="21510"/>
    <hyperlink ref="P1370" r:id="rId1369" display="21512"/>
    <hyperlink ref="P1371" r:id="rId1370" display="21513"/>
    <hyperlink ref="P1372" r:id="rId1371" display="21514"/>
    <hyperlink ref="P1373" r:id="rId1372" display="21516"/>
    <hyperlink ref="P1374" r:id="rId1373" display="21517"/>
    <hyperlink ref="P1375" r:id="rId1374" display="21518"/>
    <hyperlink ref="P1376" r:id="rId1375" display="21519"/>
    <hyperlink ref="P1377" r:id="rId1376" display="21520"/>
    <hyperlink ref="P1378" r:id="rId1377" display="21521"/>
    <hyperlink ref="P1379" r:id="rId1378" display="21524"/>
    <hyperlink ref="P1380" r:id="rId1379" display="21525"/>
    <hyperlink ref="P1381" r:id="rId1380" display="21526"/>
    <hyperlink ref="P1382" r:id="rId1381" display="21527"/>
    <hyperlink ref="P1383" r:id="rId1382" display="21528"/>
    <hyperlink ref="P1384" r:id="rId1383" display="21529"/>
    <hyperlink ref="P1385" r:id="rId1384" display="21531"/>
    <hyperlink ref="P1386" r:id="rId1385" display="21532"/>
    <hyperlink ref="P1387" r:id="rId1386" display="21534"/>
    <hyperlink ref="P1388" r:id="rId1387" display="21535"/>
    <hyperlink ref="P1389" r:id="rId1388" display="21537"/>
    <hyperlink ref="P1390" r:id="rId1389" display="21540"/>
    <hyperlink ref="P1391" r:id="rId1390" display="21543"/>
    <hyperlink ref="P1392" r:id="rId1391" display="21544"/>
    <hyperlink ref="P1393" r:id="rId1392" display="21546"/>
    <hyperlink ref="P1394" r:id="rId1393" display="21547"/>
    <hyperlink ref="P1395" r:id="rId1394" display="21548"/>
    <hyperlink ref="P1396" r:id="rId1395" display="21550"/>
    <hyperlink ref="P1397" r:id="rId1396" display="21551"/>
    <hyperlink ref="P1398" r:id="rId1397" display="21553"/>
    <hyperlink ref="P1399" r:id="rId1398" display="21554"/>
    <hyperlink ref="P1400" r:id="rId1399" display="21555"/>
    <hyperlink ref="P1401" r:id="rId1400" display="21556"/>
    <hyperlink ref="P1402" r:id="rId1401" display="21558"/>
    <hyperlink ref="P1403" r:id="rId1402" display="21559"/>
    <hyperlink ref="P1404" r:id="rId1403" display="21560"/>
    <hyperlink ref="P1405" r:id="rId1404" display="21561"/>
    <hyperlink ref="P1406" r:id="rId1405" display="21564"/>
    <hyperlink ref="P1407" r:id="rId1406" display="21565"/>
    <hyperlink ref="P1408" r:id="rId1407" display="21566"/>
    <hyperlink ref="P1409" r:id="rId1408" display="21567"/>
    <hyperlink ref="P1410" r:id="rId1409" display="21569"/>
    <hyperlink ref="P1411" r:id="rId1410" display="21570"/>
    <hyperlink ref="P1412" r:id="rId1411" display="21571"/>
    <hyperlink ref="P1413" r:id="rId1412" display="21573"/>
    <hyperlink ref="P1414" r:id="rId1413" display="21574"/>
    <hyperlink ref="P1415" r:id="rId1414" display="21576"/>
    <hyperlink ref="P1416" r:id="rId1415" display="21577"/>
    <hyperlink ref="P1417" r:id="rId1416" display="21578"/>
    <hyperlink ref="P1418" r:id="rId1417" display="21579"/>
    <hyperlink ref="P1419" r:id="rId1418" display="21581"/>
    <hyperlink ref="P1420" r:id="rId1419" display="21582"/>
    <hyperlink ref="P1421" r:id="rId1420" display="21585"/>
    <hyperlink ref="P1422" r:id="rId1421" display="21586"/>
    <hyperlink ref="P1423" r:id="rId1422" display="21587"/>
    <hyperlink ref="P1424" r:id="rId1423" display="21590"/>
    <hyperlink ref="P1425" r:id="rId1424" display="21592"/>
    <hyperlink ref="P1426" r:id="rId1425" display="21595"/>
    <hyperlink ref="P1427" r:id="rId1426" display="21598"/>
    <hyperlink ref="P1428" r:id="rId1427" display="21600"/>
    <hyperlink ref="P1429" r:id="rId1428" display="21601"/>
    <hyperlink ref="P1430" r:id="rId1429" display="21602"/>
    <hyperlink ref="P1431" r:id="rId1430" display="21604"/>
    <hyperlink ref="P1432" r:id="rId1431" display="21605"/>
    <hyperlink ref="P1433" r:id="rId1432" display="21608"/>
    <hyperlink ref="P1434" r:id="rId1433" display="21609"/>
    <hyperlink ref="P1435" r:id="rId1434" display="21610"/>
    <hyperlink ref="P1436" r:id="rId1435" display="21612"/>
    <hyperlink ref="P1437" r:id="rId1436" display="21613"/>
    <hyperlink ref="P1438" r:id="rId1437" display="21615"/>
    <hyperlink ref="P1439" r:id="rId1438" display="21617"/>
    <hyperlink ref="P1440" r:id="rId1439" display="21618"/>
    <hyperlink ref="P1441" r:id="rId1440" display="21619"/>
    <hyperlink ref="P1442" r:id="rId1441" display="21620"/>
    <hyperlink ref="P1443" r:id="rId1442" display="21621"/>
    <hyperlink ref="P1444" r:id="rId1443" display="21622"/>
    <hyperlink ref="P1445" r:id="rId1444" display="21623"/>
    <hyperlink ref="P1446" r:id="rId1445" display="21624"/>
    <hyperlink ref="P1447" r:id="rId1446" display="21625"/>
    <hyperlink ref="P1448" r:id="rId1447" display="21626"/>
    <hyperlink ref="P1449" r:id="rId1448" display="21628"/>
    <hyperlink ref="P1450" r:id="rId1449" display="21629"/>
    <hyperlink ref="P1451" r:id="rId1450" display="21630"/>
    <hyperlink ref="P1452" r:id="rId1451" display="21631"/>
    <hyperlink ref="P1453" r:id="rId1452" display="21633"/>
    <hyperlink ref="P1454" r:id="rId1453" display="21634"/>
    <hyperlink ref="P1455" r:id="rId1454" display="21635"/>
    <hyperlink ref="P1456" r:id="rId1455" display="21636"/>
    <hyperlink ref="P1457" r:id="rId1456" display="21638"/>
    <hyperlink ref="P1458" r:id="rId1457" display="21639"/>
    <hyperlink ref="P1459" r:id="rId1458" display="21640"/>
    <hyperlink ref="P1460" r:id="rId1459" display="21642"/>
    <hyperlink ref="P1461" r:id="rId1460" display="21643"/>
    <hyperlink ref="P1462" r:id="rId1461" display="21651"/>
    <hyperlink ref="P1463" r:id="rId1462" display="21653"/>
    <hyperlink ref="P1464" r:id="rId1463" display="21654"/>
    <hyperlink ref="P1465" r:id="rId1464" display="21657"/>
    <hyperlink ref="P1466" r:id="rId1465" display="21658"/>
    <hyperlink ref="P1467" r:id="rId1466" display="21659"/>
    <hyperlink ref="P1468" r:id="rId1467" display="21663"/>
    <hyperlink ref="P1469" r:id="rId1468" display="21665"/>
    <hyperlink ref="P1470" r:id="rId1469" display="21666"/>
    <hyperlink ref="P1471" r:id="rId1470" display="21667"/>
    <hyperlink ref="P1472" r:id="rId1471" display="21668"/>
    <hyperlink ref="P1473" r:id="rId1472" display="21672"/>
    <hyperlink ref="P1474" r:id="rId1473" display="21673"/>
    <hyperlink ref="P1475" r:id="rId1474" display="21681"/>
    <hyperlink ref="P1476" r:id="rId1475" display="21682"/>
    <hyperlink ref="P1477" r:id="rId1476" display="21683"/>
    <hyperlink ref="P1478" r:id="rId1477" display="21684"/>
    <hyperlink ref="P1479" r:id="rId1478" display="21685"/>
    <hyperlink ref="P1480" r:id="rId1479" display="21686"/>
    <hyperlink ref="P1481" r:id="rId1480" display="21687"/>
    <hyperlink ref="P1482" r:id="rId1481" display="21688"/>
    <hyperlink ref="P1483" r:id="rId1482" display="21689"/>
    <hyperlink ref="P1484" r:id="rId1483" display="21690"/>
    <hyperlink ref="P1485" r:id="rId1484" display="21691"/>
    <hyperlink ref="P1486" r:id="rId1485" display="21692"/>
    <hyperlink ref="P1487" r:id="rId1486" display="21694"/>
    <hyperlink ref="P1488" r:id="rId1487" display="21695"/>
    <hyperlink ref="P1489" r:id="rId1488" display="21696"/>
    <hyperlink ref="P1490" r:id="rId1489" display="21697"/>
    <hyperlink ref="P1491" r:id="rId1490" display="21699"/>
    <hyperlink ref="P1492" r:id="rId1491" display="21702"/>
    <hyperlink ref="P1493" r:id="rId1492" display="21703"/>
    <hyperlink ref="P1494" r:id="rId1493" display="21704"/>
    <hyperlink ref="P1495" r:id="rId1494" display="21705"/>
    <hyperlink ref="P1496" r:id="rId1495" display="21706"/>
    <hyperlink ref="P1497" r:id="rId1496" display="21707"/>
    <hyperlink ref="P1498" r:id="rId1497" display="21708"/>
    <hyperlink ref="P1499" r:id="rId1498" display="21709"/>
    <hyperlink ref="P1500" r:id="rId1499" display="21710"/>
    <hyperlink ref="P1501" r:id="rId1500" display="21711"/>
    <hyperlink ref="P1502" r:id="rId1501" display="21712"/>
    <hyperlink ref="P1503" r:id="rId1502" display="21713"/>
    <hyperlink ref="P1504" r:id="rId1503" display="21714"/>
    <hyperlink ref="P1505" r:id="rId1504" display="21715"/>
    <hyperlink ref="P1506" r:id="rId1505" display="21716"/>
    <hyperlink ref="P1507" r:id="rId1506" display="21717"/>
    <hyperlink ref="P1508" r:id="rId1507" display="21719"/>
    <hyperlink ref="P1509" r:id="rId1508" display="21722"/>
    <hyperlink ref="P1510" r:id="rId1509" display="21723"/>
    <hyperlink ref="P1511" r:id="rId1510" display="21724"/>
    <hyperlink ref="P1512" r:id="rId1511" display="21725"/>
    <hyperlink ref="P1513" r:id="rId1512" display="21726"/>
    <hyperlink ref="P1514" r:id="rId1513" display="21728"/>
    <hyperlink ref="P1515" r:id="rId1514" display="21729"/>
    <hyperlink ref="P1516" r:id="rId1515" display="21732"/>
    <hyperlink ref="P1517" r:id="rId1516" display="21737"/>
    <hyperlink ref="P1518" r:id="rId1517" display="21739"/>
    <hyperlink ref="P1519" r:id="rId1518" display="21740"/>
    <hyperlink ref="P1520" r:id="rId1519" display="21742"/>
    <hyperlink ref="P1521" r:id="rId1520" display="21744"/>
    <hyperlink ref="P1522" r:id="rId1521" display="21745"/>
    <hyperlink ref="P1523" r:id="rId1522" display="21749"/>
    <hyperlink ref="P1524" r:id="rId1523" display="21750"/>
    <hyperlink ref="P1525" r:id="rId1524" display="21751"/>
    <hyperlink ref="P1526" r:id="rId1525" display="21753"/>
    <hyperlink ref="P1527" r:id="rId1526" display="21756"/>
    <hyperlink ref="P1528" r:id="rId1527" display="21760"/>
    <hyperlink ref="P1529" r:id="rId1528" display="21761"/>
    <hyperlink ref="P1530" r:id="rId1529" display="21763"/>
    <hyperlink ref="P1531" r:id="rId1530" display="21764"/>
    <hyperlink ref="P1532" r:id="rId1531" display="21767"/>
    <hyperlink ref="P1533" r:id="rId1532" display="21768"/>
    <hyperlink ref="P1534" r:id="rId1533" display="21769"/>
    <hyperlink ref="P1535" r:id="rId1534" display="21770"/>
    <hyperlink ref="P1536" r:id="rId1535" display="21771"/>
    <hyperlink ref="P1537" r:id="rId1536" display="21772"/>
    <hyperlink ref="P1538" r:id="rId1537" display="21775"/>
    <hyperlink ref="P1539" r:id="rId1538" display="21776"/>
    <hyperlink ref="P1540" r:id="rId1539" display="21777"/>
    <hyperlink ref="P1541" r:id="rId1540" display="21778"/>
    <hyperlink ref="P1542" r:id="rId1541" display="21780"/>
    <hyperlink ref="P1543" r:id="rId1542" display="21781"/>
    <hyperlink ref="P1544" r:id="rId1543" display="21782"/>
    <hyperlink ref="P1545" r:id="rId1544" display="21784"/>
    <hyperlink ref="P1546" r:id="rId1545" display="21786"/>
    <hyperlink ref="P1547" r:id="rId1546" display="21789"/>
    <hyperlink ref="P1548" r:id="rId1547" display="21790"/>
    <hyperlink ref="P1549" r:id="rId1548" display="21792"/>
    <hyperlink ref="P1550" r:id="rId1549" display="21793"/>
    <hyperlink ref="P1551" r:id="rId1550" display="21794"/>
    <hyperlink ref="P1552" r:id="rId1551" display="21795"/>
    <hyperlink ref="P1553" r:id="rId1552" display="21796"/>
    <hyperlink ref="P1554" r:id="rId1553" display="21797"/>
    <hyperlink ref="P1555" r:id="rId1554" display="21799"/>
    <hyperlink ref="P1556" r:id="rId1555" display="21800"/>
    <hyperlink ref="P1557" r:id="rId1556" display="21801"/>
    <hyperlink ref="P1558" r:id="rId1557" display="21802"/>
    <hyperlink ref="P1559" r:id="rId1558" display="21803"/>
    <hyperlink ref="P1560" r:id="rId1559" display="21804"/>
    <hyperlink ref="P1561" r:id="rId1560" display="21805"/>
    <hyperlink ref="P1562" r:id="rId1561" display="21806"/>
    <hyperlink ref="P1563" r:id="rId1562" display="21807"/>
    <hyperlink ref="P1564" r:id="rId1563" display="21808"/>
    <hyperlink ref="P1565" r:id="rId1564" display="21810"/>
    <hyperlink ref="P1566" r:id="rId1565" display="21812"/>
    <hyperlink ref="P1567" r:id="rId1566" display="21813"/>
    <hyperlink ref="P1568" r:id="rId1567" display="21815"/>
    <hyperlink ref="P1569" r:id="rId1568" display="21816"/>
    <hyperlink ref="P1570" r:id="rId1569" display="21817"/>
    <hyperlink ref="P1571" r:id="rId1570" display="21822"/>
    <hyperlink ref="P1572" r:id="rId1571" display="21823"/>
    <hyperlink ref="P1573" r:id="rId1572" display="21824"/>
    <hyperlink ref="P1574" r:id="rId1573" display="21827"/>
    <hyperlink ref="P1575" r:id="rId1574" display="21828"/>
    <hyperlink ref="P1576" r:id="rId1575" display="21829"/>
    <hyperlink ref="P1577" r:id="rId1576" display="21830"/>
    <hyperlink ref="P1578" r:id="rId1577" display="21833"/>
    <hyperlink ref="P1579" r:id="rId1578" display="21834"/>
    <hyperlink ref="P1580" r:id="rId1579" display="21835"/>
    <hyperlink ref="P1581" r:id="rId1580" display="21836"/>
    <hyperlink ref="P1582" r:id="rId1581" display="21837"/>
    <hyperlink ref="P1583" r:id="rId1582" display="21838"/>
    <hyperlink ref="P1584" r:id="rId1583" display="21839"/>
    <hyperlink ref="P1585" r:id="rId1584" display="21840"/>
    <hyperlink ref="P1586" r:id="rId1585" display="21842"/>
    <hyperlink ref="P1587" r:id="rId1586" display="21843"/>
    <hyperlink ref="P1588" r:id="rId1587" display="21844"/>
    <hyperlink ref="P1589" r:id="rId1588" display="21845"/>
    <hyperlink ref="P1590" r:id="rId1589" display="21846"/>
    <hyperlink ref="P1591" r:id="rId1590" display="21848"/>
    <hyperlink ref="P1592" r:id="rId1591" display="21850"/>
    <hyperlink ref="P1593" r:id="rId1592" display="21851"/>
    <hyperlink ref="P1594" r:id="rId1593" display="21852"/>
    <hyperlink ref="P1595" r:id="rId1594" display="21853"/>
    <hyperlink ref="P1596" r:id="rId1595" display="21854"/>
    <hyperlink ref="P1597" r:id="rId1596" display="21855"/>
    <hyperlink ref="P1598" r:id="rId1597" display="21857"/>
    <hyperlink ref="P1599" r:id="rId1598" display="21858"/>
    <hyperlink ref="P1600" r:id="rId1599" display="21859"/>
    <hyperlink ref="P1601" r:id="rId1600" display="21861"/>
    <hyperlink ref="P1602" r:id="rId1601" display="21863"/>
    <hyperlink ref="P1603" r:id="rId1602" display="21864"/>
    <hyperlink ref="P1604" r:id="rId1603" display="21867"/>
    <hyperlink ref="P1605" r:id="rId1604" display="21868"/>
    <hyperlink ref="P1606" r:id="rId1605" display="21869"/>
    <hyperlink ref="P1607" r:id="rId1606" display="21870"/>
    <hyperlink ref="P1608" r:id="rId1607" display="21871"/>
    <hyperlink ref="P1609" r:id="rId1608" display="21872"/>
    <hyperlink ref="P1610" r:id="rId1609" display="21873"/>
    <hyperlink ref="P1611" r:id="rId1610" display="21874"/>
    <hyperlink ref="P1612" r:id="rId1611" display="21875"/>
    <hyperlink ref="P1613" r:id="rId1612" display="21876"/>
    <hyperlink ref="P1614" r:id="rId1613" display="21877"/>
    <hyperlink ref="P1615" r:id="rId1614" display="21879"/>
    <hyperlink ref="P1616" r:id="rId1615" display="21880"/>
    <hyperlink ref="P1617" r:id="rId1616" display="21881"/>
    <hyperlink ref="P1618" r:id="rId1617" display="21882"/>
    <hyperlink ref="P1619" r:id="rId1618" display="21883"/>
    <hyperlink ref="P1620" r:id="rId1619" display="21884"/>
    <hyperlink ref="P1621" r:id="rId1620" display="21886"/>
    <hyperlink ref="P1622" r:id="rId1621" display="21887"/>
    <hyperlink ref="P1623" r:id="rId1622" display="21888"/>
    <hyperlink ref="P1624" r:id="rId1623" display="21891"/>
    <hyperlink ref="P1625" r:id="rId1624" display="21892"/>
    <hyperlink ref="P1626" r:id="rId1625" display="21893"/>
    <hyperlink ref="P1627" r:id="rId1626" display="21894"/>
    <hyperlink ref="P1628" r:id="rId1627" display="21896"/>
    <hyperlink ref="P1629" r:id="rId1628" display="21897"/>
    <hyperlink ref="P1630" r:id="rId1629" display="21901"/>
    <hyperlink ref="P1631" r:id="rId1630" display="21903"/>
    <hyperlink ref="P1632" r:id="rId1631" display="21904"/>
    <hyperlink ref="P1633" r:id="rId1632" display="21906"/>
    <hyperlink ref="P1634" r:id="rId1633" display="21907"/>
    <hyperlink ref="P1635" r:id="rId1634" display="21909"/>
    <hyperlink ref="P1636" r:id="rId1635" display="21911"/>
    <hyperlink ref="P1637" r:id="rId1636" display="21912"/>
    <hyperlink ref="P1638" r:id="rId1637" display="21913"/>
    <hyperlink ref="P1639" r:id="rId1638" display="21914"/>
    <hyperlink ref="P1640" r:id="rId1639" display="21915"/>
    <hyperlink ref="P1641" r:id="rId1640" display="21916"/>
    <hyperlink ref="P1642" r:id="rId1641" display="21917"/>
    <hyperlink ref="P1643" r:id="rId1642" display="21918"/>
    <hyperlink ref="P1644" r:id="rId1643" display="21919"/>
    <hyperlink ref="P1645" r:id="rId1644" display="21920"/>
    <hyperlink ref="P1646" r:id="rId1645" display="21921"/>
    <hyperlink ref="P1647" r:id="rId1646" display="21922"/>
    <hyperlink ref="P1648" r:id="rId1647" display="21923"/>
    <hyperlink ref="P1649" r:id="rId1648" display="21924"/>
    <hyperlink ref="P1650" r:id="rId1649" display="21925"/>
    <hyperlink ref="P1651" r:id="rId1650" display="21927"/>
    <hyperlink ref="P1652" r:id="rId1651" display="21928"/>
    <hyperlink ref="P1653" r:id="rId1652" display="21930"/>
    <hyperlink ref="P1654" r:id="rId1653" display="21931"/>
    <hyperlink ref="P1655" r:id="rId1654" display="21932"/>
    <hyperlink ref="P1656" r:id="rId1655" display="21933"/>
    <hyperlink ref="P1657" r:id="rId1656" display="21934"/>
    <hyperlink ref="P1658" r:id="rId1657" display="21935"/>
    <hyperlink ref="P1659" r:id="rId1658" display="21938"/>
    <hyperlink ref="P1660" r:id="rId1659" display="21939"/>
    <hyperlink ref="P1661" r:id="rId1660" display="21940"/>
    <hyperlink ref="P1662" r:id="rId1661" display="21941"/>
    <hyperlink ref="P1663" r:id="rId1662" display="21942"/>
    <hyperlink ref="P1664" r:id="rId1663" display="21943"/>
    <hyperlink ref="P1665" r:id="rId1664" display="21944"/>
    <hyperlink ref="P1666" r:id="rId1665" display="21947"/>
    <hyperlink ref="P1667" r:id="rId1666" display="21948"/>
    <hyperlink ref="P1668" r:id="rId1667" display="21949"/>
    <hyperlink ref="P1669" r:id="rId1668" display="21950"/>
    <hyperlink ref="P1670" r:id="rId1669" display="21951"/>
    <hyperlink ref="P1671" r:id="rId1670" display="21955"/>
    <hyperlink ref="P1672" r:id="rId1671" display="21956"/>
    <hyperlink ref="P1673" r:id="rId1672" display="21957"/>
    <hyperlink ref="P1674" r:id="rId1673" display="21958"/>
    <hyperlink ref="P1675" r:id="rId1674" display="21959"/>
    <hyperlink ref="P1676" r:id="rId1675" display="21960"/>
    <hyperlink ref="P1677" r:id="rId1676" display="21962"/>
    <hyperlink ref="P1678" r:id="rId1677" display="21963"/>
    <hyperlink ref="P1679" r:id="rId1678" display="21967"/>
    <hyperlink ref="P1680" r:id="rId1679" display="21968"/>
    <hyperlink ref="P1681" r:id="rId1680" display="21969"/>
    <hyperlink ref="P1682" r:id="rId1681" display="21970"/>
    <hyperlink ref="P1683" r:id="rId1682" display="21971"/>
    <hyperlink ref="P1684" r:id="rId1683" display="21972"/>
    <hyperlink ref="P1685" r:id="rId1684" display="21973"/>
    <hyperlink ref="P1686" r:id="rId1685" display="21974"/>
    <hyperlink ref="P1687" r:id="rId1686" display="21975"/>
    <hyperlink ref="P1688" r:id="rId1687" display="21976"/>
    <hyperlink ref="P1689" r:id="rId1688" display="21979"/>
    <hyperlink ref="P1690" r:id="rId1689" display="21980"/>
    <hyperlink ref="P1691" r:id="rId1690" display="21981"/>
    <hyperlink ref="P1692" r:id="rId1691" display="21982"/>
    <hyperlink ref="P1693" r:id="rId1692" display="21983"/>
    <hyperlink ref="P1694" r:id="rId1693" display="21984"/>
    <hyperlink ref="P1695" r:id="rId1694" display="21985"/>
    <hyperlink ref="P1696" r:id="rId1695" display="21986"/>
    <hyperlink ref="P1697" r:id="rId1696" display="21987"/>
    <hyperlink ref="P1698" r:id="rId1697" display="21989"/>
    <hyperlink ref="P1699" r:id="rId1698" display="21990"/>
    <hyperlink ref="P1700" r:id="rId1699" display="21991"/>
    <hyperlink ref="P1701" r:id="rId1700" display="21992"/>
    <hyperlink ref="P1702" r:id="rId1701" display="21993"/>
    <hyperlink ref="P1703" r:id="rId1702" display="21994"/>
    <hyperlink ref="P1704" r:id="rId1703" display="21995"/>
    <hyperlink ref="P1705" r:id="rId1704" display="21996"/>
    <hyperlink ref="P1706" r:id="rId1705" display="21997"/>
    <hyperlink ref="P1707" r:id="rId1706" display="21999"/>
    <hyperlink ref="P1708" r:id="rId1707" display="22002"/>
    <hyperlink ref="P1709" r:id="rId1708" display="22003"/>
    <hyperlink ref="P1710" r:id="rId1709" display="22004"/>
    <hyperlink ref="P1711" r:id="rId1710" display="22005"/>
    <hyperlink ref="P1712" r:id="rId1711" display="22006"/>
    <hyperlink ref="P1713" r:id="rId1712" display="22008"/>
    <hyperlink ref="P1714" r:id="rId1713" display="22009"/>
    <hyperlink ref="P1715" r:id="rId1714" display="22010"/>
    <hyperlink ref="P1716" r:id="rId1715" display="22012"/>
    <hyperlink ref="P1717" r:id="rId1716" display="22015"/>
    <hyperlink ref="P1718" r:id="rId1717" display="22017"/>
    <hyperlink ref="P1719" r:id="rId1718" display="22018"/>
    <hyperlink ref="P1720" r:id="rId1719" display="22020"/>
    <hyperlink ref="P1721" r:id="rId1720" display="22021"/>
    <hyperlink ref="P1722" r:id="rId1721" display="22022"/>
    <hyperlink ref="P1723" r:id="rId1722" display="22025"/>
    <hyperlink ref="P1724" r:id="rId1723" display="22028"/>
    <hyperlink ref="P1725" r:id="rId1724" display="22030"/>
    <hyperlink ref="P1726" r:id="rId1725" display="22032"/>
    <hyperlink ref="P1727" r:id="rId1726" display="22033"/>
    <hyperlink ref="P1728" r:id="rId1727" display="22036"/>
    <hyperlink ref="P1729" r:id="rId1728" display="22038"/>
    <hyperlink ref="P1730" r:id="rId1729" display="22039"/>
    <hyperlink ref="P1731" r:id="rId1730" display="22040"/>
    <hyperlink ref="P1732" r:id="rId1731" display="22041"/>
    <hyperlink ref="P1733" r:id="rId1732" display="22042"/>
    <hyperlink ref="P1734" r:id="rId1733" display="22045"/>
    <hyperlink ref="P1735" r:id="rId1734" display="22048"/>
    <hyperlink ref="P1736" r:id="rId1735" display="22049"/>
    <hyperlink ref="P1737" r:id="rId1736" display="22050"/>
    <hyperlink ref="P1738" r:id="rId1737" display="22052"/>
    <hyperlink ref="P1739" r:id="rId1738" display="22053"/>
    <hyperlink ref="P1740" r:id="rId1739" display="22054"/>
    <hyperlink ref="P1741" r:id="rId1740" display="22055"/>
    <hyperlink ref="P1742" r:id="rId1741" display="22058"/>
    <hyperlink ref="P1743" r:id="rId1742" display="22059"/>
    <hyperlink ref="P1744" r:id="rId1743" display="22061"/>
    <hyperlink ref="P1745" r:id="rId1744" display="22067"/>
    <hyperlink ref="P1746" r:id="rId1745" display="22069"/>
    <hyperlink ref="P1747" r:id="rId1746" display="22071"/>
    <hyperlink ref="P1748" r:id="rId1747" display="22072"/>
    <hyperlink ref="P1749" r:id="rId1748" display="22075"/>
    <hyperlink ref="P1750" r:id="rId1749" display="22080"/>
    <hyperlink ref="P1751" r:id="rId1750" display="22082"/>
    <hyperlink ref="P1752" r:id="rId1751" display="22083"/>
    <hyperlink ref="P1753" r:id="rId1752" display="22084"/>
    <hyperlink ref="P1754" r:id="rId1753" display="22085"/>
    <hyperlink ref="P1755" r:id="rId1754" display="22086"/>
    <hyperlink ref="P1756" r:id="rId1755" display="22087"/>
    <hyperlink ref="P1757" r:id="rId1756" display="22088"/>
    <hyperlink ref="P1758" r:id="rId1757" display="22089"/>
    <hyperlink ref="P1759" r:id="rId1758" display="22090"/>
    <hyperlink ref="P1760" r:id="rId1759" display="22092"/>
    <hyperlink ref="P1761" r:id="rId1760" display="22093"/>
    <hyperlink ref="P1762" r:id="rId1761" display="22094"/>
    <hyperlink ref="P1763" r:id="rId1762" display="22095"/>
    <hyperlink ref="P1764" r:id="rId1763" display="22097"/>
    <hyperlink ref="P1765" r:id="rId1764" display="22098"/>
    <hyperlink ref="P1766" r:id="rId1765" display="22099"/>
    <hyperlink ref="P1767" r:id="rId1766" display="22100"/>
    <hyperlink ref="P1768" r:id="rId1767" display="22102"/>
    <hyperlink ref="P1769" r:id="rId1768" display="22103"/>
    <hyperlink ref="P1770" r:id="rId1769" display="22104"/>
    <hyperlink ref="P1771" r:id="rId1770" display="22105"/>
    <hyperlink ref="P1772" r:id="rId1771" display="22107"/>
    <hyperlink ref="P1773" r:id="rId1772" display="22108"/>
    <hyperlink ref="P1774" r:id="rId1773" display="22110"/>
    <hyperlink ref="P1775" r:id="rId1774" display="22111"/>
    <hyperlink ref="P1776" r:id="rId1775" display="22112"/>
    <hyperlink ref="P1777" r:id="rId1776" display="22113"/>
    <hyperlink ref="P1778" r:id="rId1777" display="22114"/>
    <hyperlink ref="P1779" r:id="rId1778" display="22116"/>
    <hyperlink ref="P1780" r:id="rId1779" display="22117"/>
    <hyperlink ref="P1781" r:id="rId1780" display="22118"/>
    <hyperlink ref="P1782" r:id="rId1781" display="22119"/>
    <hyperlink ref="P1783" r:id="rId1782" display="22121"/>
    <hyperlink ref="P1784" r:id="rId1783" display="22123"/>
    <hyperlink ref="P1785" r:id="rId1784" display="22124"/>
    <hyperlink ref="P1786" r:id="rId1785" display="22126"/>
    <hyperlink ref="P1787" r:id="rId1786" display="22127"/>
    <hyperlink ref="P1788" r:id="rId1787" display="22128"/>
    <hyperlink ref="P1789" r:id="rId1788" display="22129"/>
    <hyperlink ref="P1790" r:id="rId1789" display="22130"/>
    <hyperlink ref="P1791" r:id="rId1790" display="22131"/>
    <hyperlink ref="P1792" r:id="rId1791" display="22133"/>
    <hyperlink ref="P1793" r:id="rId1792" display="22135"/>
    <hyperlink ref="P1794" r:id="rId1793" display="22137"/>
    <hyperlink ref="P1795" r:id="rId1794" display="22138"/>
    <hyperlink ref="P1796" r:id="rId1795" display="22139"/>
    <hyperlink ref="P1797" r:id="rId1796" display="22140"/>
    <hyperlink ref="P1798" r:id="rId1797" display="22141"/>
    <hyperlink ref="P1799" r:id="rId1798" display="22145"/>
    <hyperlink ref="P1800" r:id="rId1799" display="22146"/>
    <hyperlink ref="P1801" r:id="rId1800" display="22147"/>
    <hyperlink ref="P1802" r:id="rId1801" display="22149"/>
    <hyperlink ref="P1803" r:id="rId1802" display="22150"/>
    <hyperlink ref="P1804" r:id="rId1803" display="22153"/>
    <hyperlink ref="P1805" r:id="rId1804" display="22154"/>
    <hyperlink ref="P1806" r:id="rId1805" display="22156"/>
    <hyperlink ref="P1807" r:id="rId1806" display="22159"/>
    <hyperlink ref="P1808" r:id="rId1807" display="22161"/>
    <hyperlink ref="P1809" r:id="rId1808" display="22162"/>
    <hyperlink ref="P1810" r:id="rId1809" display="22163"/>
    <hyperlink ref="P1811" r:id="rId1810" display="22166"/>
    <hyperlink ref="P1812" r:id="rId1811" display="22167"/>
    <hyperlink ref="P1813" r:id="rId1812" display="22168"/>
    <hyperlink ref="P1814" r:id="rId1813" display="22170"/>
    <hyperlink ref="P1815" r:id="rId1814" display="22172"/>
    <hyperlink ref="P1816" r:id="rId1815" display="22173"/>
    <hyperlink ref="P1817" r:id="rId1816" display="22174"/>
    <hyperlink ref="P1818" r:id="rId1817" display="22175"/>
    <hyperlink ref="P1819" r:id="rId1818" display="22178"/>
    <hyperlink ref="P1820" r:id="rId1819" display="22180"/>
    <hyperlink ref="P1821" r:id="rId1820" display="22181"/>
    <hyperlink ref="P1822" r:id="rId1821" display="22182"/>
    <hyperlink ref="P1823" r:id="rId1822" display="22183"/>
    <hyperlink ref="P1824" r:id="rId1823" display="22184"/>
    <hyperlink ref="P1825" r:id="rId1824" display="22185"/>
    <hyperlink ref="P1826" r:id="rId1825" display="22186"/>
    <hyperlink ref="P1827" r:id="rId1826" display="22187"/>
    <hyperlink ref="P1828" r:id="rId1827" display="22188"/>
    <hyperlink ref="P1829" r:id="rId1828" display="22189"/>
    <hyperlink ref="P1830" r:id="rId1829" display="22192"/>
    <hyperlink ref="P1831" r:id="rId1830" display="22193"/>
    <hyperlink ref="P1832" r:id="rId1831" display="22197"/>
    <hyperlink ref="P1833" r:id="rId1832" display="22200"/>
    <hyperlink ref="P1834" r:id="rId1833" display="22201"/>
    <hyperlink ref="P1835" r:id="rId1834" display="22202"/>
    <hyperlink ref="P1836" r:id="rId1835" display="22203"/>
    <hyperlink ref="P1837" r:id="rId1836" display="22205"/>
    <hyperlink ref="P1838" r:id="rId1837" display="22206"/>
    <hyperlink ref="P1839" r:id="rId1838" display="22207"/>
    <hyperlink ref="P1840" r:id="rId1839" display="22209"/>
    <hyperlink ref="P1841" r:id="rId1840" display="22211"/>
    <hyperlink ref="P1842" r:id="rId1841" display="22212"/>
    <hyperlink ref="P1843" r:id="rId1842" display="22214"/>
    <hyperlink ref="P1844" r:id="rId1843" display="22217"/>
    <hyperlink ref="P1845" r:id="rId1844" display="22218"/>
    <hyperlink ref="P1846" r:id="rId1845" display="22219"/>
    <hyperlink ref="P1847" r:id="rId1846" display="22220"/>
    <hyperlink ref="P1848" r:id="rId1847" display="22221"/>
    <hyperlink ref="P1849" r:id="rId1848" display="22222"/>
    <hyperlink ref="P1850" r:id="rId1849" display="22223"/>
    <hyperlink ref="P1851" r:id="rId1850" display="22225"/>
    <hyperlink ref="P1852" r:id="rId1851" display="22226"/>
    <hyperlink ref="P1853" r:id="rId1852" display="22228"/>
    <hyperlink ref="P1854" r:id="rId1853" display="22230"/>
    <hyperlink ref="P1855" r:id="rId1854" display="22231"/>
    <hyperlink ref="P1856" r:id="rId1855" display="22232"/>
    <hyperlink ref="P1857" r:id="rId1856" display="22234"/>
    <hyperlink ref="P1858" r:id="rId1857" display="22235"/>
    <hyperlink ref="P1859" r:id="rId1858" display="22236"/>
    <hyperlink ref="P1860" r:id="rId1859" display="22237"/>
    <hyperlink ref="P1861" r:id="rId1860" display="22238"/>
    <hyperlink ref="P1862" r:id="rId1861" display="22239"/>
    <hyperlink ref="P1863" r:id="rId1862" display="22240"/>
    <hyperlink ref="P1864" r:id="rId1863" display="22243"/>
    <hyperlink ref="P1865" r:id="rId1864" display="22244"/>
    <hyperlink ref="P1866" r:id="rId1865" display="22246"/>
    <hyperlink ref="P1867" r:id="rId1866" display="22248"/>
    <hyperlink ref="P1868" r:id="rId1867" display="22250"/>
    <hyperlink ref="P1869" r:id="rId1868" display="22251"/>
    <hyperlink ref="P1870" r:id="rId1869" display="22252"/>
    <hyperlink ref="P1871" r:id="rId1870" display="22253"/>
    <hyperlink ref="P1872" r:id="rId1871" display="22254"/>
    <hyperlink ref="P1873" r:id="rId1872" display="22255"/>
    <hyperlink ref="P1874" r:id="rId1873" display="22256"/>
    <hyperlink ref="P1875" r:id="rId1874" display="22257"/>
    <hyperlink ref="P1876" r:id="rId1875" display="22259"/>
    <hyperlink ref="P1877" r:id="rId1876" display="22260"/>
    <hyperlink ref="P1878" r:id="rId1877" display="22261"/>
    <hyperlink ref="P1879" r:id="rId1878" display="22262"/>
    <hyperlink ref="P1880" r:id="rId1879" display="22263"/>
    <hyperlink ref="P1881" r:id="rId1880" display="22265"/>
    <hyperlink ref="P1882" r:id="rId1881" display="22266"/>
    <hyperlink ref="P1883" r:id="rId1882" display="22270"/>
    <hyperlink ref="P1884" r:id="rId1883" display="22271"/>
    <hyperlink ref="P1885" r:id="rId1884" display="22273"/>
    <hyperlink ref="P1886" r:id="rId1885" display="22274"/>
    <hyperlink ref="P1887" r:id="rId1886" display="22275"/>
    <hyperlink ref="P1888" r:id="rId1887" display="22278"/>
    <hyperlink ref="P1889" r:id="rId1888" display="22279"/>
    <hyperlink ref="P1890" r:id="rId1889" display="22282"/>
    <hyperlink ref="P1891" r:id="rId1890" display="22283"/>
    <hyperlink ref="P1892" r:id="rId1891" display="22286"/>
    <hyperlink ref="P1893" r:id="rId1892" display="22287"/>
    <hyperlink ref="P1894" r:id="rId1893" display="22288"/>
    <hyperlink ref="P1895" r:id="rId1894" display="22290"/>
    <hyperlink ref="P1896" r:id="rId1895" display="22291"/>
    <hyperlink ref="P1897" r:id="rId1896" display="22293"/>
    <hyperlink ref="P1898" r:id="rId1897" display="22295"/>
    <hyperlink ref="P1899" r:id="rId1898" display="22298"/>
    <hyperlink ref="P1900" r:id="rId1899" display="22299"/>
    <hyperlink ref="P1901" r:id="rId1900" display="22302"/>
    <hyperlink ref="P1902" r:id="rId1901" display="22303"/>
    <hyperlink ref="P1903" r:id="rId1902" display="22305"/>
    <hyperlink ref="P1904" r:id="rId1903" display="22306"/>
    <hyperlink ref="P1905" r:id="rId1904" display="22307"/>
    <hyperlink ref="P1906" r:id="rId1905" display="22308"/>
    <hyperlink ref="P1907" r:id="rId1906" display="22309"/>
    <hyperlink ref="P1908" r:id="rId1907" display="22310"/>
    <hyperlink ref="P1909" r:id="rId1908" display="22312"/>
    <hyperlink ref="P1910" r:id="rId1909" display="22313"/>
    <hyperlink ref="P1911" r:id="rId1910" display="22314"/>
    <hyperlink ref="P1912" r:id="rId1911" display="22315"/>
    <hyperlink ref="P1913" r:id="rId1912" display="22316"/>
    <hyperlink ref="P1914" r:id="rId1913" display="22317"/>
    <hyperlink ref="P1915" r:id="rId1914" display="22321"/>
    <hyperlink ref="P1916" r:id="rId1915" display="22324"/>
    <hyperlink ref="P1917" r:id="rId1916" display="22325"/>
    <hyperlink ref="P1918" r:id="rId1917" display="22327"/>
    <hyperlink ref="P1919" r:id="rId1918" display="22328"/>
    <hyperlink ref="P1920" r:id="rId1919" display="22329"/>
    <hyperlink ref="P1921" r:id="rId1920" display="22330"/>
    <hyperlink ref="P1922" r:id="rId1921" display="22331"/>
    <hyperlink ref="P1923" r:id="rId1922" display="22333"/>
    <hyperlink ref="P1924" r:id="rId1923" display="22334"/>
    <hyperlink ref="P1925" r:id="rId1924" display="22337"/>
    <hyperlink ref="P1926" r:id="rId1925" display="22338"/>
    <hyperlink ref="P1927" r:id="rId1926" display="22339"/>
    <hyperlink ref="P1928" r:id="rId1927" display="22341"/>
    <hyperlink ref="P1929" r:id="rId1928" display="22342"/>
    <hyperlink ref="P1930" r:id="rId1929" display="22343"/>
    <hyperlink ref="P1931" r:id="rId1930" display="22345"/>
    <hyperlink ref="P1932" r:id="rId1931" display="22346"/>
    <hyperlink ref="P1933" r:id="rId1932" display="22347"/>
    <hyperlink ref="P1934" r:id="rId1933" display="22348"/>
    <hyperlink ref="P1935" r:id="rId1934" display="22349"/>
    <hyperlink ref="P1936" r:id="rId1935" display="22350"/>
    <hyperlink ref="P1937" r:id="rId1936" display="22351"/>
    <hyperlink ref="P1938" r:id="rId1937" display="22352"/>
    <hyperlink ref="P1939" r:id="rId1938" display="22353"/>
    <hyperlink ref="P1940" r:id="rId1939" display="22354"/>
    <hyperlink ref="P1941" r:id="rId1940" display="22359"/>
    <hyperlink ref="P1942" r:id="rId1941" display="22360"/>
    <hyperlink ref="P1943" r:id="rId1942" display="22364"/>
    <hyperlink ref="P1944" r:id="rId1943" display="22365"/>
    <hyperlink ref="P1945" r:id="rId1944" display="22366"/>
    <hyperlink ref="P1946" r:id="rId1945" display="22367"/>
    <hyperlink ref="P1947" r:id="rId1946" display="22368"/>
    <hyperlink ref="P1948" r:id="rId1947" display="22369"/>
    <hyperlink ref="P1949" r:id="rId1948" display="22370"/>
    <hyperlink ref="P1950" r:id="rId1949" display="22372"/>
    <hyperlink ref="P1951" r:id="rId1950" display="22374"/>
    <hyperlink ref="P1952" r:id="rId1951" display="22375"/>
    <hyperlink ref="P1953" r:id="rId1952" display="22376"/>
    <hyperlink ref="P1954" r:id="rId1953" display="22377"/>
    <hyperlink ref="P1955" r:id="rId1954" display="22379"/>
    <hyperlink ref="P1956" r:id="rId1955" display="22380"/>
    <hyperlink ref="P1957" r:id="rId1956" display="22382"/>
    <hyperlink ref="P1958" r:id="rId1957" display="22383"/>
    <hyperlink ref="P1959" r:id="rId1958" display="22384"/>
    <hyperlink ref="P1960" r:id="rId1959" display="22386"/>
    <hyperlink ref="P1961" r:id="rId1960" display="22387"/>
    <hyperlink ref="P1962" r:id="rId1961" display="22388"/>
    <hyperlink ref="P1963" r:id="rId1962" display="22390"/>
    <hyperlink ref="P1964" r:id="rId1963" display="22391"/>
    <hyperlink ref="P1965" r:id="rId1964" display="22395"/>
    <hyperlink ref="P1966" r:id="rId1965" display="22401"/>
    <hyperlink ref="P1967" r:id="rId1966" display="22403"/>
    <hyperlink ref="P1968" r:id="rId1967" display="22404"/>
    <hyperlink ref="P1969" r:id="rId1968" display="22407"/>
    <hyperlink ref="P1970" r:id="rId1969" display="22410"/>
    <hyperlink ref="P1971" r:id="rId1970" display="22411"/>
    <hyperlink ref="P1972" r:id="rId1971" display="22413"/>
    <hyperlink ref="P1973" r:id="rId1972" display="22414"/>
    <hyperlink ref="P1974" r:id="rId1973" display="22415"/>
    <hyperlink ref="P1975" r:id="rId1974" display="22416"/>
    <hyperlink ref="P1976" r:id="rId1975" display="22418"/>
    <hyperlink ref="P1977" r:id="rId1976" display="22419"/>
    <hyperlink ref="P1978" r:id="rId1977" display="22420"/>
    <hyperlink ref="P1979" r:id="rId1978" display="22422"/>
    <hyperlink ref="P1980" r:id="rId1979" display="22425"/>
    <hyperlink ref="P1981" r:id="rId1980" display="22427"/>
    <hyperlink ref="P1982" r:id="rId1981" display="22428"/>
    <hyperlink ref="P1983" r:id="rId1982" display="22429"/>
    <hyperlink ref="P1984" r:id="rId1983" display="22430"/>
    <hyperlink ref="P1985" r:id="rId1984" display="22431"/>
    <hyperlink ref="P1986" r:id="rId1985" display="22433"/>
    <hyperlink ref="P1987" r:id="rId1986" display="22434"/>
    <hyperlink ref="P1988" r:id="rId1987" display="22435"/>
    <hyperlink ref="P1989" r:id="rId1988" display="22436"/>
    <hyperlink ref="P1990" r:id="rId1989" display="22437"/>
    <hyperlink ref="P1991" r:id="rId1990" display="22438"/>
    <hyperlink ref="P1992" r:id="rId1991" display="22440"/>
    <hyperlink ref="P1993" r:id="rId1992" display="22441"/>
    <hyperlink ref="P1994" r:id="rId1993" display="22442"/>
    <hyperlink ref="P1995" r:id="rId1994" display="22443"/>
    <hyperlink ref="P1996" r:id="rId1995" display="22444"/>
    <hyperlink ref="P1997" r:id="rId1996" display="22448"/>
    <hyperlink ref="P1998" r:id="rId1997" display="22450"/>
    <hyperlink ref="P1999" r:id="rId1998" display="22451"/>
    <hyperlink ref="P2000" r:id="rId1999" display="22452"/>
    <hyperlink ref="P2001" r:id="rId2000" display="22453"/>
    <hyperlink ref="P2002" r:id="rId2001" display="22454"/>
    <hyperlink ref="P2003" r:id="rId2002" display="22456"/>
    <hyperlink ref="P2004" r:id="rId2003" display="22457"/>
    <hyperlink ref="P2005" r:id="rId2004" display="22458"/>
    <hyperlink ref="P2006" r:id="rId2005" display="22459"/>
    <hyperlink ref="P2007" r:id="rId2006" display="22460"/>
    <hyperlink ref="P2008" r:id="rId2007" display="22461"/>
    <hyperlink ref="P2009" r:id="rId2008" display="22463"/>
    <hyperlink ref="P2010" r:id="rId2009" display="22466"/>
    <hyperlink ref="P2011" r:id="rId2010" display="22467"/>
    <hyperlink ref="P2012" r:id="rId2011" display="22468"/>
    <hyperlink ref="P2013" r:id="rId2012" display="22469"/>
    <hyperlink ref="P2014" r:id="rId2013" display="22470"/>
    <hyperlink ref="P2015" r:id="rId2014" display="22472"/>
    <hyperlink ref="P2016" r:id="rId2015" display="22473"/>
    <hyperlink ref="P2017" r:id="rId2016" display="22474"/>
    <hyperlink ref="P2018" r:id="rId2017" display="22475"/>
    <hyperlink ref="P2019" r:id="rId2018" display="22478"/>
    <hyperlink ref="P2020" r:id="rId2019" display="22480"/>
    <hyperlink ref="P2021" r:id="rId2020" display="22483"/>
    <hyperlink ref="P2022" r:id="rId2021" display="22485"/>
    <hyperlink ref="P2023" r:id="rId2022" display="22486"/>
    <hyperlink ref="P2024" r:id="rId2023" display="22488"/>
    <hyperlink ref="P2025" r:id="rId2024" display="22491"/>
    <hyperlink ref="P2026" r:id="rId2025" display="22492"/>
    <hyperlink ref="P2027" r:id="rId2026" display="22493"/>
    <hyperlink ref="P2028" r:id="rId2027" display="22494"/>
    <hyperlink ref="P2029" r:id="rId2028" display="22496"/>
    <hyperlink ref="P2030" r:id="rId2029" display="22497"/>
    <hyperlink ref="P2031" r:id="rId2030" display="22498"/>
    <hyperlink ref="P2032" r:id="rId2031" display="22499"/>
    <hyperlink ref="P2033" r:id="rId2032" display="22500"/>
    <hyperlink ref="P2034" r:id="rId2033" display="22503"/>
    <hyperlink ref="P2035" r:id="rId2034" display="22504"/>
    <hyperlink ref="P2036" r:id="rId2035" display="22506"/>
    <hyperlink ref="P2037" r:id="rId2036" display="22508"/>
    <hyperlink ref="P2038" r:id="rId2037" display="22511"/>
    <hyperlink ref="P2039" r:id="rId2038" display="22512"/>
    <hyperlink ref="P2040" r:id="rId2039" display="22514"/>
    <hyperlink ref="P2041" r:id="rId2040" display="22515"/>
    <hyperlink ref="P2042" r:id="rId2041" display="22519"/>
    <hyperlink ref="P2043" r:id="rId2042" display="22520"/>
    <hyperlink ref="P2044" r:id="rId2043" display="22521"/>
    <hyperlink ref="P2045" r:id="rId2044" display="22524"/>
    <hyperlink ref="P2046" r:id="rId2045" display="22525"/>
    <hyperlink ref="P2047" r:id="rId2046" display="22526"/>
    <hyperlink ref="P2048" r:id="rId2047" display="22527"/>
    <hyperlink ref="P2049" r:id="rId2048" display="22528"/>
    <hyperlink ref="P2050" r:id="rId2049" display="22529"/>
    <hyperlink ref="P2051" r:id="rId2050" display="22531"/>
    <hyperlink ref="P2052" r:id="rId2051" display="22532"/>
    <hyperlink ref="P2053" r:id="rId2052" display="22533"/>
    <hyperlink ref="P2054" r:id="rId2053" display="22534"/>
    <hyperlink ref="P2055" r:id="rId2054" display="22535"/>
    <hyperlink ref="P2056" r:id="rId2055" display="22537"/>
    <hyperlink ref="P2057" r:id="rId2056" display="22538"/>
    <hyperlink ref="P2058" r:id="rId2057" display="22539"/>
    <hyperlink ref="P2059" r:id="rId2058" display="22540"/>
    <hyperlink ref="P2060" r:id="rId2059" display="22541"/>
    <hyperlink ref="P2061" r:id="rId2060" display="22542"/>
    <hyperlink ref="P2062" r:id="rId2061" display="22544"/>
    <hyperlink ref="P2063" r:id="rId2062" display="22546"/>
    <hyperlink ref="P2064" r:id="rId2063" display="22547"/>
    <hyperlink ref="P2065" r:id="rId2064" display="22549"/>
    <hyperlink ref="P2066" r:id="rId2065" display="22551"/>
    <hyperlink ref="P2067" r:id="rId2066" display="22552"/>
    <hyperlink ref="P2068" r:id="rId2067" display="22554"/>
    <hyperlink ref="P2069" r:id="rId2068" display="22556"/>
    <hyperlink ref="P2070" r:id="rId2069" display="22557"/>
    <hyperlink ref="P2071" r:id="rId2070" display="22558"/>
    <hyperlink ref="P2072" r:id="rId2071" display="22559"/>
    <hyperlink ref="P2073" r:id="rId2072" display="22560"/>
    <hyperlink ref="P2074" r:id="rId2073" display="22561"/>
    <hyperlink ref="P2075" r:id="rId2074" display="22564"/>
    <hyperlink ref="P2076" r:id="rId2075" display="22566"/>
    <hyperlink ref="P2077" r:id="rId2076" display="22567"/>
    <hyperlink ref="P2078" r:id="rId2077" display="22568"/>
    <hyperlink ref="P2079" r:id="rId2078" display="22570"/>
    <hyperlink ref="P2080" r:id="rId2079" display="22572"/>
    <hyperlink ref="P2081" r:id="rId2080" display="22573"/>
    <hyperlink ref="P2082" r:id="rId2081" display="22575"/>
    <hyperlink ref="P2083" r:id="rId2082" display="22579"/>
    <hyperlink ref="P2084" r:id="rId2083" display="22580"/>
    <hyperlink ref="P2085" r:id="rId2084" display="22581"/>
    <hyperlink ref="P2086" r:id="rId2085" display="22585"/>
    <hyperlink ref="P2087" r:id="rId2086" display="22586"/>
    <hyperlink ref="P2088" r:id="rId2087" display="22587"/>
    <hyperlink ref="P2089" r:id="rId2088" display="22588"/>
    <hyperlink ref="P2090" r:id="rId2089" display="22589"/>
    <hyperlink ref="P2091" r:id="rId2090" display="22590"/>
    <hyperlink ref="P2092" r:id="rId2091" display="22592"/>
    <hyperlink ref="P2093" r:id="rId2092" display="22596"/>
    <hyperlink ref="P2094" r:id="rId2093" display="22598"/>
    <hyperlink ref="P2095" r:id="rId2094" display="22600"/>
    <hyperlink ref="P2096" r:id="rId2095" display="22601"/>
    <hyperlink ref="P2097" r:id="rId2096" display="22602"/>
    <hyperlink ref="P2098" r:id="rId2097" display="22603"/>
    <hyperlink ref="P2099" r:id="rId2098" display="22604"/>
    <hyperlink ref="P2100" r:id="rId2099" display="22606"/>
    <hyperlink ref="P2101" r:id="rId2100" display="22607"/>
    <hyperlink ref="P2102" r:id="rId2101" display="22608"/>
    <hyperlink ref="P2103" r:id="rId2102" display="22609"/>
    <hyperlink ref="P2104" r:id="rId2103" display="22610"/>
    <hyperlink ref="P2105" r:id="rId2104" display="22612"/>
    <hyperlink ref="P2106" r:id="rId2105" display="22613"/>
    <hyperlink ref="P2107" r:id="rId2106" display="22614"/>
    <hyperlink ref="P2108" r:id="rId2107" display="22615"/>
    <hyperlink ref="P2109" r:id="rId2108" display="22616"/>
    <hyperlink ref="P2110" r:id="rId2109" display="22617"/>
    <hyperlink ref="P2111" r:id="rId2110" display="22618"/>
    <hyperlink ref="P2112" r:id="rId2111" display="22619"/>
    <hyperlink ref="P2113" r:id="rId2112" display="22620"/>
    <hyperlink ref="P2114" r:id="rId2113" display="22621"/>
    <hyperlink ref="P2115" r:id="rId2114" display="22623"/>
    <hyperlink ref="P2116" r:id="rId2115" display="22624"/>
    <hyperlink ref="P2117" r:id="rId2116" display="22625"/>
    <hyperlink ref="P2118" r:id="rId2117" display="22626"/>
    <hyperlink ref="P2119" r:id="rId2118" display="22627"/>
    <hyperlink ref="P2120" r:id="rId2119" display="22628"/>
    <hyperlink ref="P2121" r:id="rId2120" display="22629"/>
    <hyperlink ref="P2122" r:id="rId2121" display="22631"/>
    <hyperlink ref="P2123" r:id="rId2122" display="22632"/>
    <hyperlink ref="P2124" r:id="rId2123" display="22633"/>
    <hyperlink ref="P2125" r:id="rId2124" display="22634"/>
    <hyperlink ref="P2126" r:id="rId2125" display="22635"/>
    <hyperlink ref="P2127" r:id="rId2126" display="22636"/>
    <hyperlink ref="P2128" r:id="rId2127" display="22639"/>
    <hyperlink ref="P2129" r:id="rId2128" display="22640"/>
    <hyperlink ref="P2130" r:id="rId2129" display="22641"/>
    <hyperlink ref="P2131" r:id="rId2130" display="22642"/>
    <hyperlink ref="P2132" r:id="rId2131" display="22643"/>
    <hyperlink ref="P2133" r:id="rId2132" display="22644"/>
    <hyperlink ref="P2134" r:id="rId2133" display="22645"/>
    <hyperlink ref="P2135" r:id="rId2134" display="22646"/>
    <hyperlink ref="P2136" r:id="rId2135" display="22647"/>
    <hyperlink ref="P2137" r:id="rId2136" display="22648"/>
    <hyperlink ref="P2138" r:id="rId2137" display="22649"/>
    <hyperlink ref="P2139" r:id="rId2138" display="22654"/>
    <hyperlink ref="P2140" r:id="rId2139" display="22655"/>
    <hyperlink ref="P2141" r:id="rId2140" display="22656"/>
    <hyperlink ref="P2142" r:id="rId2141" display="22657"/>
    <hyperlink ref="P2143" r:id="rId2142" display="22658"/>
    <hyperlink ref="P2144" r:id="rId2143" display="22659"/>
    <hyperlink ref="P2145" r:id="rId2144" display="22660"/>
    <hyperlink ref="P2146" r:id="rId2145" display="22661"/>
    <hyperlink ref="P2147" r:id="rId2146" display="22662"/>
    <hyperlink ref="P2148" r:id="rId2147" display="22663"/>
    <hyperlink ref="P2149" r:id="rId2148" display="22664"/>
    <hyperlink ref="P2150" r:id="rId2149" display="22665"/>
    <hyperlink ref="P2151" r:id="rId2150" display="22667"/>
    <hyperlink ref="P2152" r:id="rId2151" display="22668"/>
    <hyperlink ref="P2153" r:id="rId2152" display="22669"/>
    <hyperlink ref="P2154" r:id="rId2153" display="22671"/>
    <hyperlink ref="P2155" r:id="rId2154" display="22672"/>
    <hyperlink ref="P2156" r:id="rId2155" display="22673"/>
    <hyperlink ref="P2157" r:id="rId2156" display="22674"/>
    <hyperlink ref="P2158" r:id="rId2157" display="22675"/>
    <hyperlink ref="P2159" r:id="rId2158" display="22676"/>
    <hyperlink ref="P2160" r:id="rId2159" display="22677"/>
    <hyperlink ref="P2161" r:id="rId2160" display="22681"/>
    <hyperlink ref="P2162" r:id="rId2161" display="22684"/>
    <hyperlink ref="P2163" r:id="rId2162" display="22685"/>
    <hyperlink ref="P2164" r:id="rId2163" display="22686"/>
    <hyperlink ref="P2165" r:id="rId2164" display="22687"/>
    <hyperlink ref="P2166" r:id="rId2165" display="22688"/>
    <hyperlink ref="P2167" r:id="rId2166" display="22689"/>
    <hyperlink ref="P2168" r:id="rId2167" display="22690"/>
    <hyperlink ref="P2169" r:id="rId2168" display="22691"/>
    <hyperlink ref="P2170" r:id="rId2169" display="22692"/>
    <hyperlink ref="P2171" r:id="rId2170" display="22697"/>
    <hyperlink ref="P2172" r:id="rId2171" display="22699"/>
    <hyperlink ref="P2173" r:id="rId2172" display="22701"/>
    <hyperlink ref="P2174" r:id="rId2173" display="22703"/>
    <hyperlink ref="P2175" r:id="rId2174" display="22704"/>
    <hyperlink ref="P2176" r:id="rId2175" display="22705"/>
    <hyperlink ref="P2177" r:id="rId2176" display="22706"/>
    <hyperlink ref="P2178" r:id="rId2177" display="22707"/>
    <hyperlink ref="P2179" r:id="rId2178" display="22708"/>
    <hyperlink ref="P2180" r:id="rId2179" display="22709"/>
    <hyperlink ref="P2181" r:id="rId2180" display="22710"/>
    <hyperlink ref="P2182" r:id="rId2181" display="22713"/>
    <hyperlink ref="P2183" r:id="rId2182" display="22715"/>
    <hyperlink ref="P2184" r:id="rId2183" display="22718"/>
    <hyperlink ref="P2185" r:id="rId2184" display="22720"/>
    <hyperlink ref="P2186" r:id="rId2185" display="22724"/>
    <hyperlink ref="P2187" r:id="rId2186" display="22725"/>
    <hyperlink ref="P2188" r:id="rId2187" display="22728"/>
    <hyperlink ref="P2189" r:id="rId2188" display="22729"/>
    <hyperlink ref="P2190" r:id="rId2189" display="22730"/>
    <hyperlink ref="P2191" r:id="rId2190" display="22732"/>
    <hyperlink ref="P2192" r:id="rId2191" display="22733"/>
    <hyperlink ref="P2193" r:id="rId2192" display="22735"/>
    <hyperlink ref="P2194" r:id="rId2193" display="22736"/>
    <hyperlink ref="P2195" r:id="rId2194" display="22737"/>
    <hyperlink ref="P2196" r:id="rId2195" display="22738"/>
    <hyperlink ref="P2197" r:id="rId2196" display="22740"/>
    <hyperlink ref="P2198" r:id="rId2197" display="22741"/>
    <hyperlink ref="P2199" r:id="rId2198" display="22742"/>
    <hyperlink ref="P2200" r:id="rId2199" display="22743"/>
    <hyperlink ref="P2201" r:id="rId2200" display="22746"/>
    <hyperlink ref="P2202" r:id="rId2201" display="22747"/>
    <hyperlink ref="P2203" r:id="rId2202" display="22748"/>
    <hyperlink ref="P2204" r:id="rId2203" display="22749"/>
    <hyperlink ref="P2205" r:id="rId2204" display="22750"/>
    <hyperlink ref="P2206" r:id="rId2205" display="22751"/>
    <hyperlink ref="P2207" r:id="rId2206" display="22754"/>
    <hyperlink ref="P2208" r:id="rId2207" display="22755"/>
    <hyperlink ref="P2209" r:id="rId2208" display="22756"/>
    <hyperlink ref="P2210" r:id="rId2209" display="22758"/>
    <hyperlink ref="P2211" r:id="rId2210" display="22759"/>
    <hyperlink ref="P2212" r:id="rId2211" display="22763"/>
    <hyperlink ref="P2213" r:id="rId2212" display="22770"/>
    <hyperlink ref="P2214" r:id="rId2213" display="22774"/>
    <hyperlink ref="P2215" r:id="rId2214" display="22775"/>
    <hyperlink ref="P2216" r:id="rId2215" display="22776"/>
    <hyperlink ref="P2217" r:id="rId2216" display="22779"/>
    <hyperlink ref="P2218" r:id="rId2217" display="22780"/>
    <hyperlink ref="P2219" r:id="rId2218" display="22781"/>
    <hyperlink ref="P2220" r:id="rId2219" display="22783"/>
    <hyperlink ref="P2221" r:id="rId2220" display="22785"/>
    <hyperlink ref="P2222" r:id="rId2221" display="22786"/>
    <hyperlink ref="P2223" r:id="rId2222" display="22787"/>
    <hyperlink ref="P2224" r:id="rId2223" display="22793"/>
    <hyperlink ref="P2225" r:id="rId2224" display="22794"/>
    <hyperlink ref="P2226" r:id="rId2225" display="22795"/>
    <hyperlink ref="P2227" r:id="rId2226" display="22796"/>
    <hyperlink ref="P2228" r:id="rId2227" display="22797"/>
    <hyperlink ref="P2229" r:id="rId2228" display="22799"/>
    <hyperlink ref="P2230" r:id="rId2229" display="22800"/>
    <hyperlink ref="P2231" r:id="rId2230" display="22801"/>
    <hyperlink ref="P2232" r:id="rId2231" display="22804"/>
    <hyperlink ref="P2233" r:id="rId2232" display="22806"/>
    <hyperlink ref="P2234" r:id="rId2233" display="22807"/>
    <hyperlink ref="P2235" r:id="rId2234" display="22809"/>
    <hyperlink ref="P2236" r:id="rId2235" display="22811"/>
    <hyperlink ref="P2237" r:id="rId2236" display="22812"/>
    <hyperlink ref="P2238" r:id="rId2237" display="22813"/>
    <hyperlink ref="P2239" r:id="rId2238" display="22815"/>
    <hyperlink ref="P2240" r:id="rId2239" display="22816"/>
    <hyperlink ref="P2241" r:id="rId2240" display="22818"/>
    <hyperlink ref="P2242" r:id="rId2241" display="22819"/>
    <hyperlink ref="P2243" r:id="rId2242" display="22821"/>
    <hyperlink ref="P2244" r:id="rId2243" display="22822"/>
    <hyperlink ref="P2245" r:id="rId2244" display="22826"/>
    <hyperlink ref="P2246" r:id="rId2245" display="22828"/>
    <hyperlink ref="P2247" r:id="rId2246" display="22829"/>
    <hyperlink ref="P2248" r:id="rId2247" display="22831"/>
    <hyperlink ref="P2249" r:id="rId2248" display="22835"/>
    <hyperlink ref="P2250" r:id="rId2249" display="22836"/>
    <hyperlink ref="P2251" r:id="rId2250" display="22837"/>
    <hyperlink ref="P2252" r:id="rId2251" display="22839"/>
    <hyperlink ref="P2253" r:id="rId2252" display="22840"/>
    <hyperlink ref="P2254" r:id="rId2253" display="22842"/>
    <hyperlink ref="P2255" r:id="rId2254" display="22843"/>
    <hyperlink ref="P2256" r:id="rId2255" display="22844"/>
    <hyperlink ref="P2257" r:id="rId2256" display="22848"/>
    <hyperlink ref="P2258" r:id="rId2257" display="22849"/>
    <hyperlink ref="P2259" r:id="rId2258" display="22851"/>
    <hyperlink ref="P2260" r:id="rId2259" display="22856"/>
    <hyperlink ref="P2261" r:id="rId2260" display="22857"/>
    <hyperlink ref="P2262" r:id="rId2261" display="22861"/>
    <hyperlink ref="P2263" r:id="rId2262" display="22862"/>
    <hyperlink ref="P2264" r:id="rId2263" display="22863"/>
    <hyperlink ref="P2265" r:id="rId2264" display="22865"/>
    <hyperlink ref="P2266" r:id="rId2265" display="22868"/>
    <hyperlink ref="P2267" r:id="rId2266" display="22869"/>
    <hyperlink ref="P2268" r:id="rId2267" display="22870"/>
    <hyperlink ref="P2269" r:id="rId2268" display="22871"/>
    <hyperlink ref="P2270" r:id="rId2269" display="22872"/>
    <hyperlink ref="P2271" r:id="rId2270" display="22873"/>
    <hyperlink ref="P2272" r:id="rId2271" display="22874"/>
    <hyperlink ref="P2273" r:id="rId2272" display="22877"/>
    <hyperlink ref="P2274" r:id="rId2273" display="22880"/>
    <hyperlink ref="P2275" r:id="rId2274" display="22881"/>
    <hyperlink ref="P2276" r:id="rId2275" display="22882"/>
    <hyperlink ref="P2277" r:id="rId2276" display="22886"/>
    <hyperlink ref="P2278" r:id="rId2277" display="22887"/>
    <hyperlink ref="P2279" r:id="rId2278" display="22891"/>
    <hyperlink ref="P2280" r:id="rId2279" display="22892"/>
    <hyperlink ref="P2281" r:id="rId2280" display="22893"/>
    <hyperlink ref="P2282" r:id="rId2281" display="22894"/>
    <hyperlink ref="P2283" r:id="rId2282" display="22895"/>
    <hyperlink ref="P2284" r:id="rId2283" display="22896"/>
    <hyperlink ref="P2285" r:id="rId2284" display="22897"/>
    <hyperlink ref="P2286" r:id="rId2285" display="22898"/>
    <hyperlink ref="P2287" r:id="rId2286" display="22899"/>
    <hyperlink ref="P2288" r:id="rId2287" display="22900"/>
    <hyperlink ref="P2289" r:id="rId2288" display="22901"/>
    <hyperlink ref="P2290" r:id="rId2289" display="22903"/>
    <hyperlink ref="P2291" r:id="rId2290" display="22905"/>
    <hyperlink ref="P2292" r:id="rId2291" display="22907"/>
    <hyperlink ref="P2293" r:id="rId2292" display="22908"/>
    <hyperlink ref="P2294" r:id="rId2293" display="22909"/>
    <hyperlink ref="P2295" r:id="rId2294" display="22912"/>
    <hyperlink ref="P2296" r:id="rId2295" display="22913"/>
    <hyperlink ref="P2297" r:id="rId2296" display="22915"/>
    <hyperlink ref="P2298" r:id="rId2297" display="22916"/>
    <hyperlink ref="P2299" r:id="rId2298" display="22918"/>
    <hyperlink ref="P2300" r:id="rId2299" display="22919"/>
    <hyperlink ref="P2301" r:id="rId2300" display="22920"/>
    <hyperlink ref="P2302" r:id="rId2301" display="22927"/>
    <hyperlink ref="P2303" r:id="rId2302" display="22928"/>
    <hyperlink ref="P2304" r:id="rId2303" display="22929"/>
    <hyperlink ref="P2305" r:id="rId2304" display="22931"/>
    <hyperlink ref="P2306" r:id="rId2305" display="22933"/>
    <hyperlink ref="P2307" r:id="rId2306" display="22934"/>
    <hyperlink ref="P2308" r:id="rId2307" display="22935"/>
    <hyperlink ref="P2309" r:id="rId2308" display="22937"/>
    <hyperlink ref="P2310" r:id="rId2309" display="22941"/>
    <hyperlink ref="P2311" r:id="rId2310" display="22943"/>
    <hyperlink ref="P2312" r:id="rId2311" display="22944"/>
    <hyperlink ref="P2313" r:id="rId2312" display="22945"/>
    <hyperlink ref="P2314" r:id="rId2313" display="22948"/>
    <hyperlink ref="P2315" r:id="rId2314" display="22949"/>
    <hyperlink ref="P2316" r:id="rId2315" display="22950"/>
    <hyperlink ref="P2317" r:id="rId2316" display="22951"/>
    <hyperlink ref="P2318" r:id="rId2317" display="22952"/>
    <hyperlink ref="P2319" r:id="rId2318" display="22953"/>
    <hyperlink ref="P2320" r:id="rId2319" display="22954"/>
    <hyperlink ref="P2321" r:id="rId2320" display="22955"/>
    <hyperlink ref="P2322" r:id="rId2321" display="22956"/>
    <hyperlink ref="P2323" r:id="rId2322" display="22957"/>
    <hyperlink ref="P2324" r:id="rId2323" display="22959"/>
    <hyperlink ref="P2325" r:id="rId2324" display="22960"/>
    <hyperlink ref="P2326" r:id="rId2325" display="22961"/>
    <hyperlink ref="P2327" r:id="rId2326" display="22962"/>
    <hyperlink ref="P2328" r:id="rId2327" display="22963"/>
    <hyperlink ref="P2329" r:id="rId2328" display="22964"/>
    <hyperlink ref="P2330" r:id="rId2329" display="22966"/>
    <hyperlink ref="P2331" r:id="rId2330" display="22967"/>
    <hyperlink ref="P2332" r:id="rId2331" display="22968"/>
    <hyperlink ref="P2333" r:id="rId2332" display="22971"/>
    <hyperlink ref="P2334" r:id="rId2333" display="22972"/>
    <hyperlink ref="P2335" r:id="rId2334" display="22973"/>
    <hyperlink ref="P2336" r:id="rId2335" display="22974"/>
    <hyperlink ref="P2337" r:id="rId2336" display="22976"/>
    <hyperlink ref="P2338" r:id="rId2337" display="22977"/>
    <hyperlink ref="P2339" r:id="rId2338" display="22978"/>
    <hyperlink ref="P2340" r:id="rId2339" display="22980"/>
    <hyperlink ref="P2341" r:id="rId2340" display="22981"/>
    <hyperlink ref="P2342" r:id="rId2341" display="22983"/>
    <hyperlink ref="P2343" r:id="rId2342" display="22984"/>
    <hyperlink ref="P2344" r:id="rId2343" display="22986"/>
    <hyperlink ref="P2345" r:id="rId2344" display="22987"/>
    <hyperlink ref="P2346" r:id="rId2345" display="22989"/>
    <hyperlink ref="P2347" r:id="rId2346" display="22990"/>
    <hyperlink ref="P2348" r:id="rId2347" display="22991"/>
    <hyperlink ref="P2349" r:id="rId2348" display="22993"/>
    <hyperlink ref="P2350" r:id="rId2349" display="22994"/>
    <hyperlink ref="P2351" r:id="rId2350" display="22996"/>
    <hyperlink ref="P2352" r:id="rId2351" display="22999"/>
    <hyperlink ref="P2353" r:id="rId2352" display="23005"/>
    <hyperlink ref="P2354" r:id="rId2353" display="23007"/>
    <hyperlink ref="P2355" r:id="rId2354" display="23009"/>
    <hyperlink ref="P2356" r:id="rId2355" display="23010"/>
    <hyperlink ref="P2357" r:id="rId2356" display="23011"/>
    <hyperlink ref="P2358" r:id="rId2357" display="23012"/>
    <hyperlink ref="P2359" r:id="rId2358" display="23013"/>
    <hyperlink ref="P2360" r:id="rId2359" display="23014"/>
    <hyperlink ref="P2361" r:id="rId2360" display="23015"/>
    <hyperlink ref="P2362" r:id="rId2361" display="23019"/>
    <hyperlink ref="P2363" r:id="rId2362" display="23020"/>
    <hyperlink ref="P2364" r:id="rId2363" display="23022"/>
    <hyperlink ref="P2365" r:id="rId2364" display="23024"/>
    <hyperlink ref="P2366" r:id="rId2365" display="23026"/>
    <hyperlink ref="P2367" r:id="rId2366" display="23027"/>
    <hyperlink ref="P2368" r:id="rId2367" display="23031"/>
    <hyperlink ref="P2369" r:id="rId2368" display="23034"/>
    <hyperlink ref="P2370" r:id="rId2369" display="23035"/>
    <hyperlink ref="P2371" r:id="rId2370" display="23037"/>
    <hyperlink ref="P2372" r:id="rId2371" display="23039"/>
    <hyperlink ref="P2373" r:id="rId2372" display="23040"/>
    <hyperlink ref="P2374" r:id="rId2373" display="23041"/>
    <hyperlink ref="P2375" r:id="rId2374" display="23044"/>
    <hyperlink ref="P2376" r:id="rId2375" display="23045"/>
    <hyperlink ref="P2377" r:id="rId2376" display="23046"/>
    <hyperlink ref="P2378" r:id="rId2377" display="23049"/>
    <hyperlink ref="P2379" r:id="rId2378" display="23050"/>
    <hyperlink ref="P2380" r:id="rId2379" display="23054"/>
    <hyperlink ref="P2381" r:id="rId2380" display="23055"/>
    <hyperlink ref="P2382" r:id="rId2381" display="23058"/>
    <hyperlink ref="P2383" r:id="rId2382" display="23059"/>
    <hyperlink ref="P2384" r:id="rId2383" display="23060"/>
    <hyperlink ref="P2385" r:id="rId2384" display="23062"/>
    <hyperlink ref="P2386" r:id="rId2385" display="23063"/>
    <hyperlink ref="P2387" r:id="rId2386" display="23064"/>
    <hyperlink ref="P2388" r:id="rId2387" display="23066"/>
    <hyperlink ref="P2389" r:id="rId2388" display="23068"/>
    <hyperlink ref="P2390" r:id="rId2389" display="23070"/>
    <hyperlink ref="P2391" r:id="rId2390" display="23071"/>
    <hyperlink ref="P2392" r:id="rId2391" display="23072"/>
    <hyperlink ref="P2393" r:id="rId2392" display="23074"/>
    <hyperlink ref="P2394" r:id="rId2393" display="23075"/>
    <hyperlink ref="P2395" r:id="rId2394" display="23076"/>
    <hyperlink ref="P2396" r:id="rId2395" display="23082"/>
    <hyperlink ref="P2397" r:id="rId2396" display="23084"/>
    <hyperlink ref="P2398" r:id="rId2397" display="23085"/>
    <hyperlink ref="P2399" r:id="rId2398" display="23087"/>
    <hyperlink ref="P2400" r:id="rId2399" display="23091"/>
    <hyperlink ref="P2401" r:id="rId2400" display="23092"/>
    <hyperlink ref="P2402" r:id="rId2401" display="23094"/>
    <hyperlink ref="P2403" r:id="rId2402" display="23095"/>
    <hyperlink ref="P2404" r:id="rId2403" display="23099"/>
    <hyperlink ref="P2405" r:id="rId2404" display="23100"/>
    <hyperlink ref="P2406" r:id="rId2405" display="23101"/>
    <hyperlink ref="P2407" r:id="rId2406" display="23102"/>
    <hyperlink ref="P2408" r:id="rId2407" display="23103"/>
    <hyperlink ref="P2409" r:id="rId2408" display="23104"/>
    <hyperlink ref="P2410" r:id="rId2409" display="23105"/>
    <hyperlink ref="P2411" r:id="rId2410" display="23107"/>
    <hyperlink ref="P2412" r:id="rId2411" display="23108"/>
    <hyperlink ref="P2413" r:id="rId2412" display="23109"/>
    <hyperlink ref="P2414" r:id="rId2413" display="23111"/>
    <hyperlink ref="P2415" r:id="rId2414" display="23115"/>
    <hyperlink ref="P2416" r:id="rId2415" display="23117"/>
    <hyperlink ref="P2417" r:id="rId2416" display="23120"/>
    <hyperlink ref="P2418" r:id="rId2417" display="23122"/>
    <hyperlink ref="P2419" r:id="rId2418" display="23123"/>
    <hyperlink ref="P2420" r:id="rId2419" display="23124"/>
    <hyperlink ref="P2421" r:id="rId2420" display="23128"/>
    <hyperlink ref="P2422" r:id="rId2421" display="23129"/>
    <hyperlink ref="P2423" r:id="rId2422" display="23132"/>
    <hyperlink ref="P2424" r:id="rId2423" display="23133"/>
    <hyperlink ref="P2425" r:id="rId2424" display="23134"/>
    <hyperlink ref="P2426" r:id="rId2425" display="23136"/>
    <hyperlink ref="P2427" r:id="rId2426" display="23137"/>
    <hyperlink ref="P2428" r:id="rId2427" display="23141"/>
    <hyperlink ref="P2429" r:id="rId2428" display="23142"/>
    <hyperlink ref="P2430" r:id="rId2429" display="23143"/>
    <hyperlink ref="P2431" r:id="rId2430" display="23144"/>
    <hyperlink ref="P2432" r:id="rId2431" display="23146"/>
    <hyperlink ref="P2433" r:id="rId2432" display="23148"/>
    <hyperlink ref="P2434" r:id="rId2433" display="23149"/>
    <hyperlink ref="P2435" r:id="rId2434" display="23152"/>
    <hyperlink ref="P2436" r:id="rId2435" display="23154"/>
    <hyperlink ref="P2437" r:id="rId2436" display="23155"/>
    <hyperlink ref="P2438" r:id="rId2437" display="23161"/>
    <hyperlink ref="P2439" r:id="rId2438" display="23163"/>
    <hyperlink ref="P2440" r:id="rId2439" display="23164"/>
    <hyperlink ref="P2441" r:id="rId2440" display="23165"/>
    <hyperlink ref="P2442" r:id="rId2441" display="23166"/>
    <hyperlink ref="P2443" r:id="rId2442" display="23171"/>
    <hyperlink ref="P2444" r:id="rId2443" display="23172"/>
    <hyperlink ref="P2445" r:id="rId2444" display="23173"/>
    <hyperlink ref="P2446" r:id="rId2445" display="23174"/>
    <hyperlink ref="P2447" r:id="rId2446" display="23175"/>
    <hyperlink ref="P2448" r:id="rId2447" display="23176"/>
    <hyperlink ref="P2449" r:id="rId2448" display="23178"/>
    <hyperlink ref="P2450" r:id="rId2449" display="23180"/>
    <hyperlink ref="P2451" r:id="rId2450" display="23181"/>
    <hyperlink ref="P2452" r:id="rId2451" display="23184"/>
    <hyperlink ref="P2453" r:id="rId2452" display="23185"/>
    <hyperlink ref="P2454" r:id="rId2453" display="23186"/>
    <hyperlink ref="P2455" r:id="rId2454" display="23189"/>
    <hyperlink ref="P2456" r:id="rId2455" display="23190"/>
    <hyperlink ref="P2457" r:id="rId2456" display="23193"/>
    <hyperlink ref="P2458" r:id="rId2457" display="23194"/>
    <hyperlink ref="P2459" r:id="rId2458" display="23196"/>
    <hyperlink ref="P2460" r:id="rId2459" display="23197"/>
    <hyperlink ref="P2461" r:id="rId2460" display="23199"/>
    <hyperlink ref="P2462" r:id="rId2461" display="23200"/>
    <hyperlink ref="P2463" r:id="rId2462" display="23201"/>
    <hyperlink ref="P2464" r:id="rId2463" display="23202"/>
    <hyperlink ref="P2465" r:id="rId2464" display="23203"/>
    <hyperlink ref="P2466" r:id="rId2465" display="23206"/>
    <hyperlink ref="P2467" r:id="rId2466" display="23207"/>
    <hyperlink ref="P2468" r:id="rId2467" display="23208"/>
    <hyperlink ref="P2469" r:id="rId2468" display="23209"/>
    <hyperlink ref="P2470" r:id="rId2469" display="23210"/>
    <hyperlink ref="P2471" r:id="rId2470" display="23211"/>
    <hyperlink ref="P2472" r:id="rId2471" display="23212"/>
    <hyperlink ref="P2473" r:id="rId2472" display="23214"/>
    <hyperlink ref="P2474" r:id="rId2473" display="23216"/>
    <hyperlink ref="P2475" r:id="rId2474" display="23218"/>
    <hyperlink ref="P2476" r:id="rId2475" display="23219"/>
    <hyperlink ref="P2477" r:id="rId2476" display="23222"/>
    <hyperlink ref="P2478" r:id="rId2477" display="23223"/>
    <hyperlink ref="P2479" r:id="rId2478" display="23224"/>
    <hyperlink ref="P2480" r:id="rId2479" display="23225"/>
    <hyperlink ref="P2481" r:id="rId2480" display="23226"/>
    <hyperlink ref="P2482" r:id="rId2481" display="23227"/>
    <hyperlink ref="P2483" r:id="rId2482" display="23228"/>
    <hyperlink ref="P2484" r:id="rId2483" display="23229"/>
    <hyperlink ref="P2485" r:id="rId2484" display="23230"/>
    <hyperlink ref="P2486" r:id="rId2485" display="23231"/>
    <hyperlink ref="P2487" r:id="rId2486" display="23232"/>
    <hyperlink ref="P2488" r:id="rId2487" display="23235"/>
    <hyperlink ref="P2489" r:id="rId2488" display="23237"/>
    <hyperlink ref="P2490" r:id="rId2489" display="23239"/>
    <hyperlink ref="P2491" r:id="rId2490" display="23240"/>
    <hyperlink ref="P2492" r:id="rId2491" display="23241"/>
    <hyperlink ref="P2493" r:id="rId2492" display="23242"/>
    <hyperlink ref="P2494" r:id="rId2493" display="23244"/>
    <hyperlink ref="P2495" r:id="rId2494" display="23245"/>
    <hyperlink ref="P2496" r:id="rId2495" display="23246"/>
    <hyperlink ref="P2497" r:id="rId2496" display="23247"/>
    <hyperlink ref="P2498" r:id="rId2497" display="23248"/>
    <hyperlink ref="P2499" r:id="rId2498" display="23249"/>
    <hyperlink ref="P2500" r:id="rId2499" display="23250"/>
    <hyperlink ref="P2501" r:id="rId2500" display="23256"/>
    <hyperlink ref="P2502" r:id="rId2501" display="23257"/>
    <hyperlink ref="P2503" r:id="rId2502" display="23260"/>
    <hyperlink ref="P2504" r:id="rId2503" display="23261"/>
    <hyperlink ref="P2505" r:id="rId2504" display="23263"/>
    <hyperlink ref="P2506" r:id="rId2505" display="23266"/>
    <hyperlink ref="P2507" r:id="rId2506" display="23267"/>
    <hyperlink ref="P2508" r:id="rId2507" display="23268"/>
    <hyperlink ref="P2509" r:id="rId2508" display="23269"/>
    <hyperlink ref="P2510" r:id="rId2509" display="23270"/>
    <hyperlink ref="P2511" r:id="rId2510" display="23271"/>
    <hyperlink ref="P2512" r:id="rId2511" display="23272"/>
    <hyperlink ref="P2513" r:id="rId2512" display="23273"/>
    <hyperlink ref="P2514" r:id="rId2513" display="23274"/>
    <hyperlink ref="P2515" r:id="rId2514" display="23275"/>
    <hyperlink ref="P2516" r:id="rId2515" display="23276"/>
    <hyperlink ref="P2517" r:id="rId2516" display="23277"/>
    <hyperlink ref="P2518" r:id="rId2517" display="23279"/>
    <hyperlink ref="P2519" r:id="rId2518" display="23281"/>
    <hyperlink ref="P2520" r:id="rId2519" display="23283"/>
    <hyperlink ref="P2521" r:id="rId2520" display="23284"/>
    <hyperlink ref="P2522" r:id="rId2521" display="23286"/>
    <hyperlink ref="P2523" r:id="rId2522" display="23287"/>
    <hyperlink ref="P2524" r:id="rId2523" display="23289"/>
    <hyperlink ref="P2525" r:id="rId2524" display="23290"/>
    <hyperlink ref="P2526" r:id="rId2525" display="23292"/>
    <hyperlink ref="P2527" r:id="rId2526" display="23293"/>
    <hyperlink ref="P2528" r:id="rId2527" display="23294"/>
    <hyperlink ref="P2529" r:id="rId2528" display="23296"/>
    <hyperlink ref="P2530" r:id="rId2529" display="23297"/>
    <hyperlink ref="P2531" r:id="rId2530" display="23298"/>
    <hyperlink ref="P2532" r:id="rId2531" display="23299"/>
    <hyperlink ref="P2533" r:id="rId2532" display="23300"/>
    <hyperlink ref="P2534" r:id="rId2533" display="23301"/>
    <hyperlink ref="P2535" r:id="rId2534" display="23302"/>
    <hyperlink ref="P2536" r:id="rId2535" display="23303"/>
    <hyperlink ref="P2537" r:id="rId2536" display="23304"/>
    <hyperlink ref="P2538" r:id="rId2537" display="23305"/>
    <hyperlink ref="P2539" r:id="rId2538" display="23307"/>
    <hyperlink ref="P2540" r:id="rId2539" display="23308"/>
    <hyperlink ref="P2541" r:id="rId2540" display="23309"/>
    <hyperlink ref="P2542" r:id="rId2541" display="23310"/>
    <hyperlink ref="P2543" r:id="rId2542" display="23312"/>
    <hyperlink ref="P2544" r:id="rId2543" display="23313"/>
    <hyperlink ref="P2545" r:id="rId2544" display="23314"/>
    <hyperlink ref="P2546" r:id="rId2545" display="23315"/>
    <hyperlink ref="P2547" r:id="rId2546" display="23316"/>
    <hyperlink ref="P2548" r:id="rId2547" display="23319"/>
    <hyperlink ref="P2549" r:id="rId2548" display="23322"/>
    <hyperlink ref="P2550" r:id="rId2549" display="23323"/>
    <hyperlink ref="P2551" r:id="rId2550" display="23324"/>
    <hyperlink ref="P2552" r:id="rId2551" display="23325"/>
    <hyperlink ref="P2553" r:id="rId2552" display="23327"/>
    <hyperlink ref="P2554" r:id="rId2553" display="23328"/>
    <hyperlink ref="P2555" r:id="rId2554" display="23329"/>
    <hyperlink ref="P2556" r:id="rId2555" display="23330"/>
    <hyperlink ref="P2557" r:id="rId2556" display="23331"/>
    <hyperlink ref="P2558" r:id="rId2557" display="23334"/>
    <hyperlink ref="P2559" r:id="rId2558" display="23335"/>
    <hyperlink ref="P2560" r:id="rId2559" display="23336"/>
    <hyperlink ref="P2561" r:id="rId2560" display="23338"/>
    <hyperlink ref="P2562" r:id="rId2561" display="23339"/>
    <hyperlink ref="P2563" r:id="rId2562" display="23340"/>
    <hyperlink ref="P2564" r:id="rId2563" display="23341"/>
    <hyperlink ref="P2565" r:id="rId2564" display="23342"/>
    <hyperlink ref="P2566" r:id="rId2565" display="23343"/>
    <hyperlink ref="P2567" r:id="rId2566" display="23345"/>
    <hyperlink ref="P2568" r:id="rId2567" display="23346"/>
    <hyperlink ref="P2569" r:id="rId2568" display="23348"/>
    <hyperlink ref="P2570" r:id="rId2569" display="23350"/>
    <hyperlink ref="P2571" r:id="rId2570" display="23351"/>
    <hyperlink ref="P2572" r:id="rId2571" display="23352"/>
    <hyperlink ref="P2573" r:id="rId2572" display="23353"/>
    <hyperlink ref="P2574" r:id="rId2573" display="23354"/>
    <hyperlink ref="P2575" r:id="rId2574" display="23355"/>
    <hyperlink ref="P2576" r:id="rId2575" display="23356"/>
    <hyperlink ref="P2577" r:id="rId2576" display="23358"/>
    <hyperlink ref="P2578" r:id="rId2577" display="23363"/>
    <hyperlink ref="P2579" r:id="rId2578" display="23364"/>
    <hyperlink ref="P2580" r:id="rId2579" display="23365"/>
    <hyperlink ref="P2581" r:id="rId2580" display="23366"/>
    <hyperlink ref="P2582" r:id="rId2581" display="23367"/>
    <hyperlink ref="P2583" r:id="rId2582" display="23368"/>
    <hyperlink ref="P2584" r:id="rId2583" display="23372"/>
    <hyperlink ref="P2585" r:id="rId2584" display="23375"/>
    <hyperlink ref="P2586" r:id="rId2585" display="23379"/>
    <hyperlink ref="P2587" r:id="rId2586" display="23387"/>
    <hyperlink ref="P2588" r:id="rId2587" display="23390"/>
    <hyperlink ref="P2589" r:id="rId2588" display="23394"/>
    <hyperlink ref="P2590" r:id="rId2589" display="23395"/>
    <hyperlink ref="P2591" r:id="rId2590" display="23396"/>
    <hyperlink ref="P2592" r:id="rId2591" display="23398"/>
    <hyperlink ref="P2593" r:id="rId2592" display="23403"/>
    <hyperlink ref="P2594" r:id="rId2593" display="23408"/>
    <hyperlink ref="P2595" r:id="rId2594" display="23410"/>
    <hyperlink ref="P2596" r:id="rId2595" display="23412"/>
    <hyperlink ref="P2597" r:id="rId2596" display="23413"/>
    <hyperlink ref="P2598" r:id="rId2597" display="23415"/>
    <hyperlink ref="P2599" r:id="rId2598" display="23417"/>
    <hyperlink ref="P2600" r:id="rId2599" display="23418"/>
    <hyperlink ref="P2601" r:id="rId2600" display="23419"/>
    <hyperlink ref="P2602" r:id="rId2601" display="23422"/>
    <hyperlink ref="P2603" r:id="rId2602" display="23429"/>
    <hyperlink ref="P2604" r:id="rId2603" display="23430"/>
    <hyperlink ref="P2605" r:id="rId2604" display="23431"/>
    <hyperlink ref="P2606" r:id="rId2605" display="23434"/>
    <hyperlink ref="P2607" r:id="rId2606" display="23442"/>
    <hyperlink ref="P2608" r:id="rId2607" display="23446"/>
    <hyperlink ref="P2609" r:id="rId2608" display="23447"/>
    <hyperlink ref="P2610" r:id="rId2609" display="23448"/>
    <hyperlink ref="P2611" r:id="rId2610" display="23450"/>
    <hyperlink ref="P2612" r:id="rId2611" display="23451"/>
    <hyperlink ref="P2613" r:id="rId2612" display="23452"/>
    <hyperlink ref="P2614" r:id="rId2613" display="23453"/>
    <hyperlink ref="P2615" r:id="rId2614" display="23454"/>
    <hyperlink ref="P2616" r:id="rId2615" display="23455"/>
    <hyperlink ref="P2617" r:id="rId2616" display="23456"/>
    <hyperlink ref="P2618" r:id="rId2617" display="23461"/>
    <hyperlink ref="P2619" r:id="rId2618" display="23463"/>
    <hyperlink ref="P2620" r:id="rId2619" display="23464"/>
    <hyperlink ref="P2621" r:id="rId2620" display="23468"/>
    <hyperlink ref="P2622" r:id="rId2621" display="23469"/>
    <hyperlink ref="P2623" r:id="rId2622" display="23470"/>
    <hyperlink ref="P2624" r:id="rId2623" display="23472"/>
    <hyperlink ref="P2625" r:id="rId2624" display="23476"/>
    <hyperlink ref="P2626" r:id="rId2625" display="23477"/>
    <hyperlink ref="P2627" r:id="rId2626" display="23478"/>
    <hyperlink ref="P2628" r:id="rId2627" display="23479"/>
    <hyperlink ref="P2629" r:id="rId2628" display="23482"/>
    <hyperlink ref="P2630" r:id="rId2629" display="23483"/>
    <hyperlink ref="P2631" r:id="rId2630" display="23485"/>
    <hyperlink ref="P2632" r:id="rId2631" display="23486"/>
    <hyperlink ref="P2633" r:id="rId2632" display="23489"/>
    <hyperlink ref="P2634" r:id="rId2633" display="23492"/>
    <hyperlink ref="P2635" r:id="rId2634" display="23493"/>
    <hyperlink ref="P2636" r:id="rId2635" display="23494"/>
    <hyperlink ref="P2637" r:id="rId2636" display="23496"/>
    <hyperlink ref="P2638" r:id="rId2637" display="23502"/>
    <hyperlink ref="P2639" r:id="rId2638" display="23505"/>
    <hyperlink ref="P2640" r:id="rId2639" display="23506"/>
    <hyperlink ref="P2641" r:id="rId2640" display="23507"/>
    <hyperlink ref="P2642" r:id="rId2641" display="23511"/>
    <hyperlink ref="P2643" r:id="rId2642" display="23512"/>
    <hyperlink ref="P2644" r:id="rId2643" display="23513"/>
    <hyperlink ref="P2645" r:id="rId2644" display="23515"/>
    <hyperlink ref="P2646" r:id="rId2645" display="23516"/>
    <hyperlink ref="P2647" r:id="rId2646" display="23517"/>
    <hyperlink ref="P2648" r:id="rId2647" display="23519"/>
    <hyperlink ref="P2649" r:id="rId2648" display="23521"/>
    <hyperlink ref="P2650" r:id="rId2649" display="23523"/>
    <hyperlink ref="P2651" r:id="rId2650" display="23524"/>
    <hyperlink ref="P2652" r:id="rId2651" display="23525"/>
    <hyperlink ref="P2653" r:id="rId2652" display="23527"/>
    <hyperlink ref="P2654" r:id="rId2653" display="23531"/>
    <hyperlink ref="P2655" r:id="rId2654" display="23532"/>
    <hyperlink ref="P2656" r:id="rId2655" display="23535"/>
    <hyperlink ref="P2657" r:id="rId2656" display="23536"/>
    <hyperlink ref="P2658" r:id="rId2657" display="23539"/>
    <hyperlink ref="P2659" r:id="rId2658" display="23540"/>
    <hyperlink ref="P2660" r:id="rId2659" display="23541"/>
    <hyperlink ref="P2661" r:id="rId2660" display="23544"/>
    <hyperlink ref="P2662" r:id="rId2661" display="23545"/>
    <hyperlink ref="P2663" r:id="rId2662" display="23546"/>
    <hyperlink ref="P2664" r:id="rId2663" display="23547"/>
    <hyperlink ref="P2665" r:id="rId2664" display="23548"/>
    <hyperlink ref="P2666" r:id="rId2665" display="23549"/>
    <hyperlink ref="P2667" r:id="rId2666" display="23550"/>
    <hyperlink ref="P2668" r:id="rId2667" display="23551"/>
    <hyperlink ref="P2669" r:id="rId2668" display="23552"/>
    <hyperlink ref="P2670" r:id="rId2669" display="23553"/>
    <hyperlink ref="P2671" r:id="rId2670" display="23554"/>
    <hyperlink ref="P2672" r:id="rId2671" display="23556"/>
    <hyperlink ref="P2673" r:id="rId2672" display="23559"/>
    <hyperlink ref="P2674" r:id="rId2673" display="23561"/>
    <hyperlink ref="P2675" r:id="rId2674" display="23563"/>
    <hyperlink ref="P2676" r:id="rId2675" display="23564"/>
    <hyperlink ref="P2677" r:id="rId2676" display="23566"/>
    <hyperlink ref="P2678" r:id="rId2677" display="23567"/>
    <hyperlink ref="P2679" r:id="rId2678" display="23569"/>
    <hyperlink ref="P2680" r:id="rId2679" display="23570"/>
    <hyperlink ref="P2681" r:id="rId2680" display="23571"/>
    <hyperlink ref="P2682" r:id="rId2681" display="23573"/>
    <hyperlink ref="P2683" r:id="rId2682" display="23574"/>
    <hyperlink ref="P2684" r:id="rId2683" display="23576"/>
    <hyperlink ref="P2685" r:id="rId2684" display="23577"/>
    <hyperlink ref="P2686" r:id="rId2685" display="23579"/>
    <hyperlink ref="P2687" r:id="rId2686" display="23581"/>
    <hyperlink ref="P2688" r:id="rId2687" display="23583"/>
    <hyperlink ref="P2689" r:id="rId2688" display="23585"/>
    <hyperlink ref="P2690" r:id="rId2689" display="23587"/>
    <hyperlink ref="P2691" r:id="rId2690" display="23588"/>
    <hyperlink ref="P2692" r:id="rId2691" display="23592"/>
    <hyperlink ref="P2693" r:id="rId2692" display="23593"/>
    <hyperlink ref="P2694" r:id="rId2693" display="23594"/>
    <hyperlink ref="P2695" r:id="rId2694" display="23595"/>
    <hyperlink ref="P2696" r:id="rId2695" display="23596"/>
    <hyperlink ref="P2697" r:id="rId2696" display="23597"/>
    <hyperlink ref="P2698" r:id="rId2697" display="23599"/>
    <hyperlink ref="P2699" r:id="rId2698" display="23603"/>
    <hyperlink ref="P2700" r:id="rId2699" display="23604"/>
    <hyperlink ref="P2701" r:id="rId2700" display="23605"/>
    <hyperlink ref="P2702" r:id="rId2701" display="23606"/>
    <hyperlink ref="P2703" r:id="rId2702" display="23607"/>
    <hyperlink ref="P2704" r:id="rId2703" display="23608"/>
    <hyperlink ref="P2705" r:id="rId2704" display="23609"/>
    <hyperlink ref="P2706" r:id="rId2705" display="23611"/>
    <hyperlink ref="P2707" r:id="rId2706" display="23612"/>
    <hyperlink ref="P2708" r:id="rId2707" display="23613"/>
    <hyperlink ref="P2709" r:id="rId2708" display="23615"/>
    <hyperlink ref="P2710" r:id="rId2709" display="23618"/>
    <hyperlink ref="P2711" r:id="rId2710" display="23620"/>
    <hyperlink ref="P2712" r:id="rId2711" display="23621"/>
    <hyperlink ref="P2713" r:id="rId2712" display="23623"/>
    <hyperlink ref="P2714" r:id="rId2713" display="23624"/>
    <hyperlink ref="P2715" r:id="rId2714" display="23625"/>
    <hyperlink ref="P2716" r:id="rId2715" display="23626"/>
    <hyperlink ref="P2717" r:id="rId2716" display="23627"/>
    <hyperlink ref="P2718" r:id="rId2717" display="23629"/>
    <hyperlink ref="P2719" r:id="rId2718" display="23632"/>
    <hyperlink ref="P2720" r:id="rId2719" display="23634"/>
    <hyperlink ref="P2721" r:id="rId2720" display="23635"/>
    <hyperlink ref="P2722" r:id="rId2721" display="23638"/>
    <hyperlink ref="P2723" r:id="rId2722" display="23639"/>
    <hyperlink ref="P2724" r:id="rId2723" display="23640"/>
    <hyperlink ref="P2725" r:id="rId2724" display="23644"/>
    <hyperlink ref="P2726" r:id="rId2725" display="23645"/>
    <hyperlink ref="P2727" r:id="rId2726" display="23646"/>
    <hyperlink ref="P2728" r:id="rId2727" display="23647"/>
    <hyperlink ref="P2729" r:id="rId2728" display="23648"/>
    <hyperlink ref="P2730" r:id="rId2729" display="23649"/>
    <hyperlink ref="P2731" r:id="rId2730" display="23650"/>
    <hyperlink ref="P2732" r:id="rId2731" display="23651"/>
    <hyperlink ref="P2733" r:id="rId2732" display="23652"/>
    <hyperlink ref="P2734" r:id="rId2733" display="23655"/>
    <hyperlink ref="P2735" r:id="rId2734" display="23657"/>
    <hyperlink ref="P2736" r:id="rId2735" display="23662"/>
    <hyperlink ref="P2737" r:id="rId2736" display="23664"/>
    <hyperlink ref="P2738" r:id="rId2737" display="23665"/>
    <hyperlink ref="P2739" r:id="rId2738" display="23666"/>
    <hyperlink ref="P2740" r:id="rId2739" display="23668"/>
    <hyperlink ref="P2741" r:id="rId2740" display="23669"/>
    <hyperlink ref="P2742" r:id="rId2741" display="23670"/>
    <hyperlink ref="P2743" r:id="rId2742" display="23671"/>
    <hyperlink ref="P2744" r:id="rId2743" display="23672"/>
    <hyperlink ref="P2745" r:id="rId2744" display="23673"/>
    <hyperlink ref="P2746" r:id="rId2745" display="23674"/>
    <hyperlink ref="P2747" r:id="rId2746" display="23675"/>
    <hyperlink ref="P2748" r:id="rId2747" display="23676"/>
    <hyperlink ref="P2749" r:id="rId2748" display="23677"/>
    <hyperlink ref="P2750" r:id="rId2749" display="23678"/>
    <hyperlink ref="P2751" r:id="rId2750" display="23680"/>
    <hyperlink ref="P2752" r:id="rId2751" display="23681"/>
    <hyperlink ref="P2753" r:id="rId2752" display="23683"/>
    <hyperlink ref="P2754" r:id="rId2753" display="23684"/>
    <hyperlink ref="P2755" r:id="rId2754" display="23685"/>
    <hyperlink ref="P2756" r:id="rId2755" display="23686"/>
    <hyperlink ref="P2757" r:id="rId2756" display="23687"/>
    <hyperlink ref="P2758" r:id="rId2757" display="23689"/>
    <hyperlink ref="P2759" r:id="rId2758" display="23690"/>
    <hyperlink ref="P2760" r:id="rId2759" display="23691"/>
    <hyperlink ref="P2761" r:id="rId2760" display="23692"/>
    <hyperlink ref="P2762" r:id="rId2761" display="23693"/>
    <hyperlink ref="P2763" r:id="rId2762" display="23694"/>
    <hyperlink ref="P2764" r:id="rId2763" display="23695"/>
    <hyperlink ref="P2765" r:id="rId2764" display="23699"/>
    <hyperlink ref="P2766" r:id="rId2765" display="23700"/>
    <hyperlink ref="P2767" r:id="rId2766" display="23701"/>
    <hyperlink ref="P2768" r:id="rId2767" display="23702"/>
    <hyperlink ref="P2769" r:id="rId2768" display="23703"/>
    <hyperlink ref="P2770" r:id="rId2769" display="23705"/>
    <hyperlink ref="P2771" r:id="rId2770" display="23706"/>
    <hyperlink ref="P2772" r:id="rId2771" display="23708"/>
    <hyperlink ref="P2773" r:id="rId2772" display="23709"/>
    <hyperlink ref="P2774" r:id="rId2773" display="23711"/>
    <hyperlink ref="P2775" r:id="rId2774" display="23712"/>
    <hyperlink ref="P2776" r:id="rId2775" display="23713"/>
    <hyperlink ref="P2777" r:id="rId2776" display="23714"/>
    <hyperlink ref="P2778" r:id="rId2777" display="23715"/>
    <hyperlink ref="P2779" r:id="rId2778" display="23717"/>
    <hyperlink ref="P2780" r:id="rId2779" display="23719"/>
    <hyperlink ref="P2781" r:id="rId2780" display="23720"/>
    <hyperlink ref="P2782" r:id="rId2781" display="23698"/>
    <hyperlink ref="P2783" r:id="rId2782" display="23722"/>
    <hyperlink ref="P2784" r:id="rId2783" display="23728"/>
    <hyperlink ref="P2785" r:id="rId2784" display="23730"/>
    <hyperlink ref="P2786" r:id="rId2785" display="23731"/>
    <hyperlink ref="P2787" r:id="rId2786" display="23732"/>
    <hyperlink ref="P2788" r:id="rId2787" display="23733"/>
    <hyperlink ref="P2789" r:id="rId2788" display="23735"/>
    <hyperlink ref="P2790" r:id="rId2789" display="23736"/>
    <hyperlink ref="P2791" r:id="rId2790" display="23737"/>
    <hyperlink ref="P2792" r:id="rId2791" display="23741"/>
    <hyperlink ref="P2793" r:id="rId2792" display="23744"/>
    <hyperlink ref="P2794" r:id="rId2793" display="23745"/>
    <hyperlink ref="P2795" r:id="rId2794" display="23749"/>
    <hyperlink ref="P2796" r:id="rId2795" display="23754"/>
    <hyperlink ref="P2797" r:id="rId2796" display="23755"/>
    <hyperlink ref="P2798" r:id="rId2797" display="23756"/>
    <hyperlink ref="P2799" r:id="rId2798" display="23757"/>
    <hyperlink ref="P2800" r:id="rId2799" display="23758"/>
    <hyperlink ref="P2801" r:id="rId2800" display="23759"/>
    <hyperlink ref="P2802" r:id="rId2801" display="23760"/>
    <hyperlink ref="P2803" r:id="rId2802" display="23761"/>
    <hyperlink ref="P2804" r:id="rId2803" display="23762"/>
    <hyperlink ref="P2805" r:id="rId2804" display="23763"/>
    <hyperlink ref="P2806" r:id="rId2805" display="23765"/>
    <hyperlink ref="P2807" r:id="rId2806" display="23766"/>
    <hyperlink ref="P2808" r:id="rId2807" display="23767"/>
    <hyperlink ref="P2809" r:id="rId2808" display="23768"/>
    <hyperlink ref="P2810" r:id="rId2809" display="23769"/>
    <hyperlink ref="P2811" r:id="rId2810" display="23771"/>
    <hyperlink ref="P2812" r:id="rId2811" display="23773"/>
    <hyperlink ref="P2813" r:id="rId2812" display="23774"/>
    <hyperlink ref="P2814" r:id="rId2813" display="23776"/>
    <hyperlink ref="P2815" r:id="rId2814" display="23777"/>
    <hyperlink ref="P2816" r:id="rId2815" display="23778"/>
    <hyperlink ref="P2817" r:id="rId2816" display="23779"/>
    <hyperlink ref="P2818" r:id="rId2817" display="23781"/>
    <hyperlink ref="P2819" r:id="rId2818" display="23783"/>
    <hyperlink ref="P2820" r:id="rId2819" display="23784"/>
    <hyperlink ref="P2821" r:id="rId2820" display="23785"/>
    <hyperlink ref="P2822" r:id="rId2821" display="23786"/>
    <hyperlink ref="P2823" r:id="rId2822" display="23787"/>
    <hyperlink ref="P2824" r:id="rId2823" display="23789"/>
    <hyperlink ref="P2825" r:id="rId2824" display="23790"/>
    <hyperlink ref="P2826" r:id="rId2825" display="23793"/>
    <hyperlink ref="P2827" r:id="rId2826" display="23795"/>
    <hyperlink ref="P2828" r:id="rId2827" display="23796"/>
    <hyperlink ref="P2829" r:id="rId2828" display="23797"/>
    <hyperlink ref="P2830" r:id="rId2829" display="23798"/>
    <hyperlink ref="P2831" r:id="rId2830" display="23803"/>
    <hyperlink ref="P2832" r:id="rId2831" display="23806"/>
    <hyperlink ref="P2833" r:id="rId2832" display="23807"/>
    <hyperlink ref="P2834" r:id="rId2833" display="23808"/>
    <hyperlink ref="P2835" r:id="rId2834" display="23809"/>
    <hyperlink ref="P2836" r:id="rId2835" display="23810"/>
    <hyperlink ref="P2837" r:id="rId2836" display="23811"/>
    <hyperlink ref="P2838" r:id="rId2837" display="23812"/>
    <hyperlink ref="P2839" r:id="rId2838" display="23813"/>
    <hyperlink ref="P2840" r:id="rId2839" display="23814"/>
    <hyperlink ref="P2841" r:id="rId2840" display="23816"/>
    <hyperlink ref="P2842" r:id="rId2841" display="23817"/>
    <hyperlink ref="P2843" r:id="rId2842" display="23818"/>
    <hyperlink ref="P2844" r:id="rId2843" display="23822"/>
    <hyperlink ref="P2845" r:id="rId2844" display="23825"/>
    <hyperlink ref="P2846" r:id="rId2845" display="23827"/>
    <hyperlink ref="P2847" r:id="rId2846" display="23829"/>
    <hyperlink ref="P2848" r:id="rId2847" display="23830"/>
    <hyperlink ref="P2849" r:id="rId2848" display="23832"/>
    <hyperlink ref="P2850" r:id="rId2849" display="23833"/>
    <hyperlink ref="P2851" r:id="rId2850" display="23834"/>
    <hyperlink ref="P2852" r:id="rId2851" display="23835"/>
    <hyperlink ref="P2853" r:id="rId2852" display="23836"/>
    <hyperlink ref="P2854" r:id="rId2853" display="23837"/>
    <hyperlink ref="P2855" r:id="rId2854" display="23838"/>
    <hyperlink ref="P2856" r:id="rId2855" display="23839"/>
    <hyperlink ref="P2857" r:id="rId2856" display="23841"/>
    <hyperlink ref="P2858" r:id="rId2857" display="23842"/>
    <hyperlink ref="P2859" r:id="rId2858" display="23844"/>
    <hyperlink ref="P2860" r:id="rId2859" display="23845"/>
    <hyperlink ref="P2861" r:id="rId2860" display="23846"/>
    <hyperlink ref="P2862" r:id="rId2861" display="23847"/>
    <hyperlink ref="P2863" r:id="rId2862" display="23850"/>
    <hyperlink ref="P2864" r:id="rId2863" display="23851"/>
    <hyperlink ref="P2865" r:id="rId2864" display="23852"/>
    <hyperlink ref="P2866" r:id="rId2865" display="23853"/>
    <hyperlink ref="P2867" r:id="rId2866" display="23854"/>
    <hyperlink ref="P2868" r:id="rId2867" display="23855"/>
    <hyperlink ref="P2869" r:id="rId2868" display="23857"/>
    <hyperlink ref="P2870" r:id="rId2869" display="23859"/>
    <hyperlink ref="P2871" r:id="rId2870" display="23860"/>
    <hyperlink ref="P2872" r:id="rId2871" display="23864"/>
    <hyperlink ref="P2873" r:id="rId2872" display="23865"/>
    <hyperlink ref="P2874" r:id="rId2873" display="23867"/>
    <hyperlink ref="P2875" r:id="rId2874" display="23871"/>
    <hyperlink ref="P2876" r:id="rId2875" display="23872"/>
    <hyperlink ref="P2877" r:id="rId2876" display="23873"/>
    <hyperlink ref="P2878" r:id="rId2877" display="23874"/>
    <hyperlink ref="P2879" r:id="rId2878" display="23876"/>
    <hyperlink ref="P2880" r:id="rId2879" display="23881"/>
    <hyperlink ref="P2881" r:id="rId2880" display="23882"/>
    <hyperlink ref="P2882" r:id="rId2881" display="23883"/>
    <hyperlink ref="P2883" r:id="rId2882" display="23885"/>
    <hyperlink ref="P2884" r:id="rId2883" display="23887"/>
    <hyperlink ref="P2885" r:id="rId2884" display="23888"/>
    <hyperlink ref="P2886" r:id="rId2885" display="23889"/>
    <hyperlink ref="P2887" r:id="rId2886" display="23890"/>
    <hyperlink ref="P2888" r:id="rId2887" display="23893"/>
    <hyperlink ref="P2889" r:id="rId2888" display="23894"/>
    <hyperlink ref="P2890" r:id="rId2889" display="23897"/>
    <hyperlink ref="P2891" r:id="rId2890" display="23898"/>
    <hyperlink ref="P2892" r:id="rId2891" display="23899"/>
    <hyperlink ref="P2893" r:id="rId2892" display="23900"/>
    <hyperlink ref="P2894" r:id="rId2893" display="23902"/>
    <hyperlink ref="P2895" r:id="rId2894" display="23903"/>
    <hyperlink ref="P2896" r:id="rId2895" display="23907"/>
    <hyperlink ref="P2897" r:id="rId2896" display="23909"/>
    <hyperlink ref="P2898" r:id="rId2897" display="23910"/>
    <hyperlink ref="P2899" r:id="rId2898" display="23912"/>
    <hyperlink ref="P2900" r:id="rId2899" display="23913"/>
    <hyperlink ref="P2901" r:id="rId2900" display="23914"/>
    <hyperlink ref="P2902" r:id="rId2901" display="23917"/>
    <hyperlink ref="P2903" r:id="rId2902" display="23918"/>
    <hyperlink ref="P2904" r:id="rId2903" display="23921"/>
    <hyperlink ref="P2905" r:id="rId2904" display="23922"/>
    <hyperlink ref="P2906" r:id="rId2905" display="23923"/>
    <hyperlink ref="P2907" r:id="rId2906" display="23925"/>
    <hyperlink ref="P2908" r:id="rId2907" display="23927"/>
    <hyperlink ref="P2909" r:id="rId2908" display="23930"/>
    <hyperlink ref="P2910" r:id="rId2909" display="23934"/>
    <hyperlink ref="P2911" r:id="rId2910" display="23936"/>
    <hyperlink ref="P2912" r:id="rId2911" display="23937"/>
    <hyperlink ref="P2913" r:id="rId2912" display="23938"/>
    <hyperlink ref="P2914" r:id="rId2913" display="23939"/>
    <hyperlink ref="P2915" r:id="rId2914" display="23941"/>
    <hyperlink ref="P2916" r:id="rId2915" display="23942"/>
    <hyperlink ref="P2917" r:id="rId2916" display="23943"/>
    <hyperlink ref="P2918" r:id="rId2917" display="23944"/>
    <hyperlink ref="P2919" r:id="rId2918" display="23945"/>
    <hyperlink ref="P2920" r:id="rId2919" display="23946"/>
    <hyperlink ref="P2921" r:id="rId2920" display="23947"/>
    <hyperlink ref="P2922" r:id="rId2921" display="23948"/>
    <hyperlink ref="P2923" r:id="rId2922" display="23949"/>
    <hyperlink ref="P2924" r:id="rId2923" display="23950"/>
    <hyperlink ref="P2925" r:id="rId2924" display="23954"/>
    <hyperlink ref="P2926" r:id="rId2925" display="23960"/>
    <hyperlink ref="P2927" r:id="rId2926" display="23962"/>
    <hyperlink ref="P2928" r:id="rId2927" display="23967"/>
    <hyperlink ref="P2929" r:id="rId2928" display="23968"/>
    <hyperlink ref="P2930" r:id="rId2929" display="23982"/>
    <hyperlink ref="P2931" r:id="rId2930" display="23983"/>
    <hyperlink ref="P2932" r:id="rId2931" display="23984"/>
    <hyperlink ref="P2933" r:id="rId2932" display="23985"/>
    <hyperlink ref="P2934" r:id="rId2933" display="23988"/>
    <hyperlink ref="P2935" r:id="rId2934" display="23993"/>
    <hyperlink ref="P2936" r:id="rId2935" display="23995"/>
    <hyperlink ref="P2937" r:id="rId2936" display="23996"/>
    <hyperlink ref="P2938" r:id="rId2937" display="23997"/>
    <hyperlink ref="P2939" r:id="rId2938" display="24003"/>
    <hyperlink ref="P2940" r:id="rId2939" display="24004"/>
    <hyperlink ref="P2941" r:id="rId2940" display="24005"/>
    <hyperlink ref="P2942" r:id="rId2941" display="24007"/>
    <hyperlink ref="P2943" r:id="rId2942" display="24008"/>
    <hyperlink ref="P2944" r:id="rId2943" display="24009"/>
    <hyperlink ref="P2945" r:id="rId2944" display="24010"/>
    <hyperlink ref="P2946" r:id="rId2945" display="24011"/>
    <hyperlink ref="P2947" r:id="rId2946" display="24012"/>
    <hyperlink ref="P2948" r:id="rId2947" display="24013"/>
    <hyperlink ref="P2949" r:id="rId2948" display="24016"/>
    <hyperlink ref="P2950" r:id="rId2949" display="24018"/>
    <hyperlink ref="P2951" r:id="rId2950" display="24019"/>
    <hyperlink ref="P2952" r:id="rId2951" display="24020"/>
    <hyperlink ref="P2953" r:id="rId2952" display="24021"/>
    <hyperlink ref="P2954" r:id="rId2953" display="24022"/>
    <hyperlink ref="P2955" r:id="rId2954" display="24023"/>
    <hyperlink ref="P2956" r:id="rId2955" display="24024"/>
    <hyperlink ref="P2957" r:id="rId2956" display="24027"/>
    <hyperlink ref="P2958" r:id="rId2957" display="24029"/>
    <hyperlink ref="P2959" r:id="rId2958" display="24030"/>
    <hyperlink ref="P2960" r:id="rId2959" display="24031"/>
    <hyperlink ref="P2961" r:id="rId2960" display="24032"/>
    <hyperlink ref="P2962" r:id="rId2961" display="24033"/>
    <hyperlink ref="P2963" r:id="rId2962" display="24034"/>
    <hyperlink ref="P2964" r:id="rId2963" display="24035"/>
    <hyperlink ref="P2965" r:id="rId2964" display="24037"/>
    <hyperlink ref="P2966" r:id="rId2965" display="24038"/>
    <hyperlink ref="P2967" r:id="rId2966" display="24040"/>
    <hyperlink ref="P2968" r:id="rId2967" display="24041"/>
    <hyperlink ref="P2969" r:id="rId2968" display="24042"/>
    <hyperlink ref="P2970" r:id="rId2969" display="24043"/>
    <hyperlink ref="P2971" r:id="rId2970" display="24044"/>
    <hyperlink ref="P2972" r:id="rId2971" display="24047"/>
    <hyperlink ref="P2973" r:id="rId2972" display="24048"/>
    <hyperlink ref="P2974" r:id="rId2973" display="24049"/>
    <hyperlink ref="P2975" r:id="rId2974" display="24051"/>
    <hyperlink ref="P2976" r:id="rId2975" display="24053"/>
    <hyperlink ref="P2977" r:id="rId2976" display="24054"/>
    <hyperlink ref="P2978" r:id="rId2977" display="24055"/>
    <hyperlink ref="P2979" r:id="rId2978" display="24057"/>
    <hyperlink ref="P2980" r:id="rId2979" display="24059"/>
    <hyperlink ref="P2981" r:id="rId2980" display="24062"/>
    <hyperlink ref="P2982" r:id="rId2981" display="24063"/>
    <hyperlink ref="P2983" r:id="rId2982" display="24067"/>
    <hyperlink ref="P2984" r:id="rId2983" display="24069"/>
    <hyperlink ref="P2985" r:id="rId2984" display="24071"/>
    <hyperlink ref="P2986" r:id="rId2985" display="24074"/>
    <hyperlink ref="P2987" r:id="rId2986" display="24077"/>
    <hyperlink ref="P2988" r:id="rId2987" display="24080"/>
    <hyperlink ref="P2989" r:id="rId2988" display="24081"/>
    <hyperlink ref="P2990" r:id="rId2989" display="24085"/>
    <hyperlink ref="P2991" r:id="rId2990" display="24086"/>
    <hyperlink ref="P2992" r:id="rId2991" display="24087"/>
    <hyperlink ref="P2993" r:id="rId2992" display="24088"/>
    <hyperlink ref="P2994" r:id="rId2993" display="24090"/>
    <hyperlink ref="P2995" r:id="rId2994" display="24092"/>
    <hyperlink ref="P2996" r:id="rId2995" display="24094"/>
    <hyperlink ref="P2997" r:id="rId2996" display="24100"/>
    <hyperlink ref="P2998" r:id="rId2997" display="24102"/>
    <hyperlink ref="P2999" r:id="rId2998" display="24103"/>
    <hyperlink ref="P3000" r:id="rId2999" display="24105"/>
    <hyperlink ref="P3001" r:id="rId3000" display="24106"/>
    <hyperlink ref="P3002" r:id="rId3001" display="24112"/>
    <hyperlink ref="P3003" r:id="rId3002" display="24117"/>
    <hyperlink ref="P3004" r:id="rId3003" display="24118"/>
    <hyperlink ref="P3005" r:id="rId3004" display="24119"/>
    <hyperlink ref="P3006" r:id="rId3005" display="24120"/>
    <hyperlink ref="P3007" r:id="rId3006" display="24121"/>
    <hyperlink ref="P3008" r:id="rId3007" display="24123"/>
    <hyperlink ref="P3009" r:id="rId3008" display="24124"/>
    <hyperlink ref="P3010" r:id="rId3009" display="24125"/>
    <hyperlink ref="P3011" r:id="rId3010" display="24126"/>
    <hyperlink ref="P3012" r:id="rId3011" display="24128"/>
    <hyperlink ref="P3013" r:id="rId3012" display="24129"/>
    <hyperlink ref="P3014" r:id="rId3013" display="24131"/>
    <hyperlink ref="P3015" r:id="rId3014" display="24132"/>
    <hyperlink ref="P3016" r:id="rId3015" display="24133"/>
    <hyperlink ref="P3017" r:id="rId3016" display="24135"/>
    <hyperlink ref="P3018" r:id="rId3017" display="24136"/>
    <hyperlink ref="P3019" r:id="rId3018" display="24137"/>
    <hyperlink ref="P3020" r:id="rId3019" display="24139"/>
    <hyperlink ref="P3021" r:id="rId3020" display="24141"/>
    <hyperlink ref="P3022" r:id="rId3021" display="24142"/>
    <hyperlink ref="P3023" r:id="rId3022" display="24145"/>
    <hyperlink ref="P3024" r:id="rId3023" display="24146"/>
    <hyperlink ref="P3025" r:id="rId3024" display="24148"/>
    <hyperlink ref="P3026" r:id="rId3025" display="24149"/>
    <hyperlink ref="P3027" r:id="rId3026" display="24150"/>
    <hyperlink ref="P3028" r:id="rId3027" display="24152"/>
    <hyperlink ref="P3029" r:id="rId3028" display="24153"/>
    <hyperlink ref="P3030" r:id="rId3029" display="24156"/>
    <hyperlink ref="P3031" r:id="rId3030" display="24157"/>
    <hyperlink ref="P3032" r:id="rId3031" display="24160"/>
    <hyperlink ref="P3033" r:id="rId3032" display="24165"/>
    <hyperlink ref="P3034" r:id="rId3033" display="24166"/>
    <hyperlink ref="P3035" r:id="rId3034" display="24167"/>
    <hyperlink ref="P3036" r:id="rId3035" display="24172"/>
    <hyperlink ref="P3037" r:id="rId3036" display="24173"/>
    <hyperlink ref="P3038" r:id="rId3037" display="24174"/>
    <hyperlink ref="P3039" r:id="rId3038" display="24177"/>
    <hyperlink ref="P3040" r:id="rId3039" display="24178"/>
    <hyperlink ref="P3041" r:id="rId3040" display="24179"/>
    <hyperlink ref="P3042" r:id="rId3041" display="24180"/>
    <hyperlink ref="P3043" r:id="rId3042" display="24181"/>
    <hyperlink ref="P3044" r:id="rId3043" display="24182"/>
    <hyperlink ref="P3045" r:id="rId3044" display="24183"/>
    <hyperlink ref="P3046" r:id="rId3045" display="24184"/>
    <hyperlink ref="P3047" r:id="rId3046" display="24186"/>
    <hyperlink ref="P3048" r:id="rId3047" display="24187"/>
    <hyperlink ref="P3049" r:id="rId3048" display="24188"/>
    <hyperlink ref="P3050" r:id="rId3049" display="24189"/>
    <hyperlink ref="P3051" r:id="rId3050" display="24190"/>
    <hyperlink ref="P3052" r:id="rId3051" display="24194"/>
    <hyperlink ref="P3053" r:id="rId3052" display="24195"/>
    <hyperlink ref="P3054" r:id="rId3053" display="24196"/>
    <hyperlink ref="P3055" r:id="rId3054" display="24198"/>
    <hyperlink ref="P3056" r:id="rId3055" display="24206"/>
    <hyperlink ref="P3057" r:id="rId3056" display="24208"/>
    <hyperlink ref="P3058" r:id="rId3057" display="24209"/>
    <hyperlink ref="P3059" r:id="rId3058" display="24211"/>
    <hyperlink ref="P3060" r:id="rId3059" display="24213"/>
    <hyperlink ref="P3061" r:id="rId3060" display="24214"/>
    <hyperlink ref="P3062" r:id="rId3061" display="24215"/>
    <hyperlink ref="P3063" r:id="rId3062" display="24216"/>
    <hyperlink ref="P3064" r:id="rId3063" display="24218"/>
    <hyperlink ref="P3065" r:id="rId3064" display="24220"/>
    <hyperlink ref="P3066" r:id="rId3065" display="24221"/>
    <hyperlink ref="P3067" r:id="rId3066" display="24222"/>
    <hyperlink ref="P3068" r:id="rId3067" display="24223"/>
    <hyperlink ref="P3069" r:id="rId3068" display="24224"/>
    <hyperlink ref="P3070" r:id="rId3069" display="24225"/>
    <hyperlink ref="P3071" r:id="rId3070" display="24227"/>
    <hyperlink ref="P3072" r:id="rId3071" display="24228"/>
    <hyperlink ref="P3073" r:id="rId3072" display="24229"/>
    <hyperlink ref="P3074" r:id="rId3073" display="24231"/>
    <hyperlink ref="P3075" r:id="rId3074" display="24232"/>
    <hyperlink ref="P3076" r:id="rId3075" display="24235"/>
    <hyperlink ref="P3077" r:id="rId3076" display="24236"/>
    <hyperlink ref="P3078" r:id="rId3077" display="24237"/>
    <hyperlink ref="P3079" r:id="rId3078" display="24238"/>
    <hyperlink ref="P3080" r:id="rId3079" display="24241"/>
    <hyperlink ref="P3081" r:id="rId3080" display="24242"/>
    <hyperlink ref="P3082" r:id="rId3081" display="24243"/>
    <hyperlink ref="P3083" r:id="rId3082" display="24244"/>
    <hyperlink ref="P3084" r:id="rId3083" display="24248"/>
    <hyperlink ref="P3085" r:id="rId3084" display="24249"/>
    <hyperlink ref="P3086" r:id="rId3085" display="24251"/>
    <hyperlink ref="P3087" r:id="rId3086" display="24252"/>
    <hyperlink ref="P3088" r:id="rId3087" display="24255"/>
    <hyperlink ref="P3089" r:id="rId3088" display="24257"/>
    <hyperlink ref="P3090" r:id="rId3089" display="24258"/>
    <hyperlink ref="P3091" r:id="rId3090" display="24259"/>
    <hyperlink ref="P3092" r:id="rId3091" display="24260"/>
    <hyperlink ref="P3093" r:id="rId3092" display="24262"/>
    <hyperlink ref="P3094" r:id="rId3093" display="24265"/>
    <hyperlink ref="P3095" r:id="rId3094" display="24267"/>
    <hyperlink ref="P3096" r:id="rId3095" display="24268"/>
    <hyperlink ref="P3097" r:id="rId3096" display="24270"/>
    <hyperlink ref="P3098" r:id="rId3097" display="24271"/>
    <hyperlink ref="P3099" r:id="rId3098" display="24272"/>
    <hyperlink ref="P3100" r:id="rId3099" display="24273"/>
    <hyperlink ref="P3101" r:id="rId3100" display="24274"/>
    <hyperlink ref="P3102" r:id="rId3101" display="24278"/>
    <hyperlink ref="P3103" r:id="rId3102" display="24279"/>
    <hyperlink ref="P3104" r:id="rId3103" display="24280"/>
    <hyperlink ref="P3105" r:id="rId3104" display="24281"/>
    <hyperlink ref="P3106" r:id="rId3105" display="24282"/>
    <hyperlink ref="P3107" r:id="rId3106" display="24283"/>
    <hyperlink ref="P3108" r:id="rId3107" display="24284"/>
    <hyperlink ref="P3109" r:id="rId3108" display="24285"/>
    <hyperlink ref="P3110" r:id="rId3109" display="24287"/>
    <hyperlink ref="P3111" r:id="rId3110" display="24290"/>
    <hyperlink ref="P3112" r:id="rId3111" display="24292"/>
    <hyperlink ref="P3113" r:id="rId3112" display="24293"/>
    <hyperlink ref="P3114" r:id="rId3113" display="24294"/>
    <hyperlink ref="P3115" r:id="rId3114" display="24295"/>
    <hyperlink ref="P3116" r:id="rId3115" display="24296"/>
    <hyperlink ref="P3117" r:id="rId3116" display="24297"/>
    <hyperlink ref="P3118" r:id="rId3117" display="24299"/>
    <hyperlink ref="P3119" r:id="rId3118" display="24302"/>
    <hyperlink ref="P3120" r:id="rId3119" display="24304"/>
    <hyperlink ref="P3121" r:id="rId3120" display="24305"/>
    <hyperlink ref="P3122" r:id="rId3121" display="24306"/>
    <hyperlink ref="P3123" r:id="rId3122" display="24308"/>
    <hyperlink ref="P3124" r:id="rId3123" display="24309"/>
    <hyperlink ref="P3125" r:id="rId3124" display="24312"/>
    <hyperlink ref="P3126" r:id="rId3125" display="24315"/>
    <hyperlink ref="P3127" r:id="rId3126" display="24318"/>
    <hyperlink ref="P3128" r:id="rId3127" display="24322"/>
    <hyperlink ref="P3129" r:id="rId3128" display="24323"/>
    <hyperlink ref="P3130" r:id="rId3129" display="24329"/>
    <hyperlink ref="P3131" r:id="rId3130" display="24331"/>
    <hyperlink ref="P3132" r:id="rId3131" display="24332"/>
    <hyperlink ref="P3133" r:id="rId3132" display="24334"/>
    <hyperlink ref="P3134" r:id="rId3133" display="24335"/>
    <hyperlink ref="P3135" r:id="rId3134" display="24341"/>
    <hyperlink ref="P3136" r:id="rId3135" display="24343"/>
    <hyperlink ref="P3137" r:id="rId3136" display="24345"/>
    <hyperlink ref="P3138" r:id="rId3137" display="24346"/>
    <hyperlink ref="P3139" r:id="rId3138" display="24347"/>
    <hyperlink ref="P3140" r:id="rId3139" display="24350"/>
    <hyperlink ref="P3141" r:id="rId3140" display="24351"/>
    <hyperlink ref="P3142" r:id="rId3141" display="24359"/>
    <hyperlink ref="P3143" r:id="rId3142" display="24360"/>
    <hyperlink ref="P3144" r:id="rId3143" display="24368"/>
    <hyperlink ref="P3145" r:id="rId3144" display="24371"/>
    <hyperlink ref="P3146" r:id="rId3145" display="24378"/>
    <hyperlink ref="P3147" r:id="rId3146" display="24379"/>
    <hyperlink ref="P3148" r:id="rId3147" display="24381"/>
    <hyperlink ref="P3149" r:id="rId3148" display="24384"/>
    <hyperlink ref="P3150" r:id="rId3149" display="24387"/>
    <hyperlink ref="P3151" r:id="rId3150" display="24388"/>
    <hyperlink ref="P3152" r:id="rId3151" display="24389"/>
    <hyperlink ref="P3153" r:id="rId3152" display="24390"/>
    <hyperlink ref="P3154" r:id="rId3153" display="24391"/>
    <hyperlink ref="P3155" r:id="rId3154" display="24394"/>
    <hyperlink ref="P3156" r:id="rId3155" display="24395"/>
    <hyperlink ref="P3157" r:id="rId3156" display="24397"/>
    <hyperlink ref="P3158" r:id="rId3157" display="24399"/>
    <hyperlink ref="P3159" r:id="rId3158" display="24400"/>
    <hyperlink ref="P3160" r:id="rId3159" display="24401"/>
    <hyperlink ref="P3161" r:id="rId3160" display="24402"/>
    <hyperlink ref="P3162" r:id="rId3161" display="24406"/>
    <hyperlink ref="P3163" r:id="rId3162" display="24407"/>
    <hyperlink ref="P3164" r:id="rId3163" display="24408"/>
    <hyperlink ref="P3165" r:id="rId3164" display="24410"/>
    <hyperlink ref="P3166" r:id="rId3165" display="24411"/>
    <hyperlink ref="P3167" r:id="rId3166" display="24412"/>
    <hyperlink ref="P3168" r:id="rId3167" display="24413"/>
    <hyperlink ref="P3169" r:id="rId3168" display="24415"/>
    <hyperlink ref="P3170" r:id="rId3169" display="24416"/>
    <hyperlink ref="P3171" r:id="rId3170" display="24417"/>
    <hyperlink ref="P3172" r:id="rId3171" display="24418"/>
    <hyperlink ref="P3173" r:id="rId3172" display="24419"/>
    <hyperlink ref="P3174" r:id="rId3173" display="24420"/>
    <hyperlink ref="P3175" r:id="rId3174" display="24421"/>
    <hyperlink ref="P3176" r:id="rId3175" display="24425"/>
    <hyperlink ref="P3177" r:id="rId3176" display="24428"/>
    <hyperlink ref="P3178" r:id="rId3177" display="24429"/>
    <hyperlink ref="P3179" r:id="rId3178" display="24430"/>
    <hyperlink ref="P3180" r:id="rId3179" display="24431"/>
    <hyperlink ref="P3181" r:id="rId3180" display="24432"/>
    <hyperlink ref="P3182" r:id="rId3181" display="24434"/>
    <hyperlink ref="P3183" r:id="rId3182" display="24437"/>
    <hyperlink ref="P3184" r:id="rId3183" display="24438"/>
    <hyperlink ref="P3185" r:id="rId3184" display="24439"/>
    <hyperlink ref="P3186" r:id="rId3185" display="24440"/>
    <hyperlink ref="P3187" r:id="rId3186" display="24442"/>
    <hyperlink ref="P3188" r:id="rId3187" display="24444"/>
    <hyperlink ref="P3189" r:id="rId3188" display="24446"/>
    <hyperlink ref="P3190" r:id="rId3189" display="24456"/>
    <hyperlink ref="P3191" r:id="rId3190" display="24459"/>
    <hyperlink ref="P3192" r:id="rId3191" display="24461"/>
    <hyperlink ref="P3193" r:id="rId3192" display="24462"/>
    <hyperlink ref="P3194" r:id="rId3193" display="24463"/>
    <hyperlink ref="P3195" r:id="rId3194" display="24466"/>
    <hyperlink ref="P3196" r:id="rId3195" display="24468"/>
    <hyperlink ref="P3197" r:id="rId3196" display="24471"/>
    <hyperlink ref="P3198" r:id="rId3197" display="24472"/>
    <hyperlink ref="P3199" r:id="rId3198" display="24474"/>
    <hyperlink ref="P3200" r:id="rId3199" display="24477"/>
    <hyperlink ref="P3201" r:id="rId3200" display="24480"/>
    <hyperlink ref="P3202" r:id="rId3201" display="24481"/>
    <hyperlink ref="P3203" r:id="rId3202" display="24484"/>
    <hyperlink ref="P3204" r:id="rId3203" display="24485"/>
    <hyperlink ref="P3205" r:id="rId3204" display="24486"/>
    <hyperlink ref="P3206" r:id="rId3205" display="24487"/>
    <hyperlink ref="P3207" r:id="rId3206" display="24488"/>
    <hyperlink ref="P3208" r:id="rId3207" display="24490"/>
    <hyperlink ref="P3209" r:id="rId3208" display="24491"/>
    <hyperlink ref="P3210" r:id="rId3209" display="24492"/>
    <hyperlink ref="P3211" r:id="rId3210" display="24493"/>
    <hyperlink ref="P3212" r:id="rId3211" display="24494"/>
    <hyperlink ref="P3213" r:id="rId3212" display="24496"/>
    <hyperlink ref="P3214" r:id="rId3213" display="24497"/>
    <hyperlink ref="P3215" r:id="rId3214" display="24498"/>
    <hyperlink ref="P3216" r:id="rId3215" display="24499"/>
    <hyperlink ref="P3217" r:id="rId3216" display="24501"/>
    <hyperlink ref="P3218" r:id="rId3217" display="24502"/>
    <hyperlink ref="P3219" r:id="rId3218" display="24504"/>
    <hyperlink ref="P3220" r:id="rId3219" display="24506"/>
    <hyperlink ref="P3221" r:id="rId3220" display="24507"/>
    <hyperlink ref="P3222" r:id="rId3221" display="24508"/>
    <hyperlink ref="P3223" r:id="rId3222" display="24509"/>
    <hyperlink ref="P3224" r:id="rId3223" display="24511"/>
    <hyperlink ref="P3225" r:id="rId3224" display="24512"/>
    <hyperlink ref="P3226" r:id="rId3225" display="24513"/>
    <hyperlink ref="P3227" r:id="rId3226" display="24515"/>
    <hyperlink ref="P3228" r:id="rId3227" display="24518"/>
    <hyperlink ref="P3229" r:id="rId3228" display="24519"/>
    <hyperlink ref="P3230" r:id="rId3229" display="24526"/>
    <hyperlink ref="P3231" r:id="rId3230" display="24533"/>
    <hyperlink ref="P3232" r:id="rId3231" display="24543"/>
    <hyperlink ref="P3233" r:id="rId3232" display="24545"/>
    <hyperlink ref="P3234" r:id="rId3233" display="24549"/>
    <hyperlink ref="P3235" r:id="rId3234" display="24550"/>
    <hyperlink ref="P3236" r:id="rId3235" display="24551"/>
    <hyperlink ref="P3237" r:id="rId3236" display="24552"/>
    <hyperlink ref="P3238" r:id="rId3237" display="24554"/>
    <hyperlink ref="P3239" r:id="rId3238" display="24555"/>
    <hyperlink ref="P3240" r:id="rId3239" display="24560"/>
    <hyperlink ref="P3241" r:id="rId3240" display="24564"/>
    <hyperlink ref="P3242" r:id="rId3241" display="24565"/>
    <hyperlink ref="P3243" r:id="rId3242" display="24567"/>
    <hyperlink ref="P3244" r:id="rId3243" display="24569"/>
    <hyperlink ref="P3245" r:id="rId3244" display="24571"/>
    <hyperlink ref="P3246" r:id="rId3245" display="24575"/>
    <hyperlink ref="P3247" r:id="rId3246" display="24576"/>
    <hyperlink ref="P3248" r:id="rId3247" display="24578"/>
    <hyperlink ref="P3249" r:id="rId3248" display="24579"/>
    <hyperlink ref="P3250" r:id="rId3249" display="24580"/>
    <hyperlink ref="P3251" r:id="rId3250" display="24582"/>
    <hyperlink ref="P3252" r:id="rId3251" display="24583"/>
    <hyperlink ref="P3253" r:id="rId3252" display="24584"/>
    <hyperlink ref="P3254" r:id="rId3253" display="24585"/>
    <hyperlink ref="P3255" r:id="rId3254" display="24587"/>
    <hyperlink ref="P3256" r:id="rId3255" display="24588"/>
    <hyperlink ref="P3257" r:id="rId3256" display="24591"/>
    <hyperlink ref="P3258" r:id="rId3257" display="24592"/>
    <hyperlink ref="P3259" r:id="rId3258" display="24593"/>
    <hyperlink ref="P3260" r:id="rId3259" display="24594"/>
    <hyperlink ref="P3261" r:id="rId3260" display="24595"/>
    <hyperlink ref="P3262" r:id="rId3261" display="24604"/>
    <hyperlink ref="P3263" r:id="rId3262" display="24606"/>
    <hyperlink ref="P3264" r:id="rId3263" display="24607"/>
    <hyperlink ref="P3265" r:id="rId3264" display="24608"/>
    <hyperlink ref="P3266" r:id="rId3265" display="24612"/>
    <hyperlink ref="P3267" r:id="rId3266" display="24614"/>
    <hyperlink ref="P3268" r:id="rId3267" display="24615"/>
    <hyperlink ref="P3269" r:id="rId3268" display="24621"/>
    <hyperlink ref="P3270" r:id="rId3269" display="24623"/>
    <hyperlink ref="P3271" r:id="rId3270" display="24624"/>
    <hyperlink ref="P3272" r:id="rId3271" display="24628"/>
    <hyperlink ref="P3273" r:id="rId3272" display="24631"/>
    <hyperlink ref="P3274" r:id="rId3273" display="24632"/>
    <hyperlink ref="P3275" r:id="rId3274" display="24636"/>
    <hyperlink ref="P3276" r:id="rId3275" display="24637"/>
    <hyperlink ref="P3277" r:id="rId3276" display="24640"/>
    <hyperlink ref="P3278" r:id="rId3277" display="24641"/>
    <hyperlink ref="P3279" r:id="rId3278" display="24642"/>
    <hyperlink ref="P3280" r:id="rId3279" display="24645"/>
    <hyperlink ref="P3281" r:id="rId3280" display="24649"/>
    <hyperlink ref="P3282" r:id="rId3281" display="24651"/>
    <hyperlink ref="P3283" r:id="rId3282" display="24652"/>
    <hyperlink ref="P3284" r:id="rId3283" display="24658"/>
    <hyperlink ref="P3285" r:id="rId3284" display="24659"/>
    <hyperlink ref="P3286" r:id="rId3285" display="24661"/>
    <hyperlink ref="P3287" r:id="rId3286" display="24662"/>
    <hyperlink ref="P3288" r:id="rId3287" display="24664"/>
    <hyperlink ref="P3289" r:id="rId3288" display="24665"/>
    <hyperlink ref="P3290" r:id="rId3289" display="24668"/>
    <hyperlink ref="P3291" r:id="rId3290" display="24669"/>
    <hyperlink ref="P3292" r:id="rId3291" display="24671"/>
    <hyperlink ref="P3293" r:id="rId3292" display="24672"/>
    <hyperlink ref="P3294" r:id="rId3293" display="24673"/>
    <hyperlink ref="P3295" r:id="rId3294" display="24674"/>
    <hyperlink ref="P3296" r:id="rId3295" display="24677"/>
    <hyperlink ref="P3297" r:id="rId3296" display="24678"/>
  </hyperlinks>
  <pageMargins left="0" right="0" top="0" bottom="0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N11" sqref="N11"/>
    </sheetView>
  </sheetViews>
  <sheetFormatPr defaultColWidth="9.14285714285714" defaultRowHeight="15"/>
  <cols>
    <col min="1" max="1" width="18.5714285714286" customWidth="1"/>
    <col min="2" max="2" width="14.1428571428571" customWidth="1"/>
    <col min="3" max="3" width="16.4285714285714" customWidth="1"/>
    <col min="4" max="4" width="14.5714285714286" customWidth="1"/>
    <col min="5" max="5" width="17" customWidth="1"/>
    <col min="6" max="6" width="14.8571428571429" customWidth="1"/>
    <col min="7" max="7" width="14.1428571428571" customWidth="1"/>
    <col min="8" max="8" width="15.2857142857143" customWidth="1"/>
    <col min="9" max="9" width="16.5714285714286" customWidth="1"/>
    <col min="10" max="10" width="23" customWidth="1"/>
    <col min="11" max="11" width="16" customWidth="1"/>
  </cols>
  <sheetData>
    <row r="1" ht="75" spans="1:14">
      <c r="A1" s="1" t="s">
        <v>12848</v>
      </c>
      <c r="B1" s="1" t="s">
        <v>12849</v>
      </c>
      <c r="C1" s="1" t="s">
        <v>12850</v>
      </c>
      <c r="D1" s="2" t="s">
        <v>12851</v>
      </c>
      <c r="E1" s="1" t="s">
        <v>12852</v>
      </c>
      <c r="F1" s="2" t="s">
        <v>12853</v>
      </c>
      <c r="G1" s="1" t="s">
        <v>12854</v>
      </c>
      <c r="H1" s="2" t="s">
        <v>12855</v>
      </c>
      <c r="I1" s="2" t="s">
        <v>12856</v>
      </c>
      <c r="J1" s="2" t="s">
        <v>12857</v>
      </c>
      <c r="K1" s="2" t="s">
        <v>12858</v>
      </c>
    </row>
    <row r="2" spans="1:14">
      <c r="A2" s="3" t="s">
        <v>12859</v>
      </c>
      <c r="B2" s="4">
        <v>1053</v>
      </c>
      <c r="C2" s="5">
        <v>660</v>
      </c>
      <c r="D2" s="6">
        <v>0</v>
      </c>
      <c r="E2" s="6">
        <f t="shared" ref="E2:E8" si="0">SUM(B2:D2)</f>
        <v>1713</v>
      </c>
      <c r="F2" s="7">
        <f t="shared" ref="F2:F8" si="1">E2-D2</f>
        <v>1713</v>
      </c>
      <c r="G2" s="8">
        <f t="shared" ref="G2:G8" si="2">B2/F2</f>
        <v>0.614711033274956</v>
      </c>
      <c r="H2" s="8">
        <v>0.95</v>
      </c>
      <c r="I2" s="9">
        <f t="shared" ref="I2:I8" si="3">H2-G2</f>
        <v>0.335288966725044</v>
      </c>
      <c r="J2" s="10" t="s">
        <v>12860</v>
      </c>
      <c r="K2" s="11">
        <v>0.1</v>
      </c>
    </row>
    <row r="3" spans="1:14">
      <c r="A3" s="5" t="s">
        <v>12861</v>
      </c>
      <c r="B3" s="4">
        <v>590</v>
      </c>
      <c r="C3" s="5">
        <v>329</v>
      </c>
      <c r="D3" s="6">
        <v>0</v>
      </c>
      <c r="E3" s="6">
        <f t="shared" si="0"/>
        <v>919</v>
      </c>
      <c r="F3" s="7">
        <f t="shared" si="1"/>
        <v>919</v>
      </c>
      <c r="G3" s="8">
        <f t="shared" si="2"/>
        <v>0.642002176278564</v>
      </c>
      <c r="H3" s="8">
        <v>0.95</v>
      </c>
      <c r="I3" s="9">
        <f t="shared" si="3"/>
        <v>0.307997823721436</v>
      </c>
      <c r="J3" s="10" t="s">
        <v>12860</v>
      </c>
      <c r="K3" s="11">
        <v>0.1</v>
      </c>
    </row>
    <row r="6" ht="75" spans="1:14">
      <c r="A6" s="1" t="s">
        <v>12862</v>
      </c>
      <c r="B6" s="1" t="s">
        <v>12849</v>
      </c>
      <c r="C6" s="1" t="s">
        <v>12850</v>
      </c>
      <c r="D6" s="2" t="s">
        <v>12851</v>
      </c>
      <c r="E6" s="1" t="s">
        <v>12852</v>
      </c>
      <c r="F6" s="2" t="s">
        <v>12853</v>
      </c>
      <c r="G6" s="1" t="s">
        <v>12854</v>
      </c>
      <c r="H6" s="2" t="s">
        <v>12855</v>
      </c>
      <c r="I6" s="2" t="s">
        <v>12856</v>
      </c>
      <c r="J6" s="2" t="s">
        <v>12857</v>
      </c>
      <c r="K6" s="2" t="s">
        <v>12858</v>
      </c>
      <c r="N6" t="s">
        <v>12847</v>
      </c>
    </row>
    <row r="7" spans="1:14">
      <c r="A7" s="3" t="s">
        <v>12859</v>
      </c>
      <c r="B7" s="4">
        <v>684</v>
      </c>
      <c r="C7" s="5">
        <v>419</v>
      </c>
      <c r="D7" s="6">
        <v>0</v>
      </c>
      <c r="E7" s="6">
        <f t="shared" si="0"/>
        <v>1103</v>
      </c>
      <c r="F7" s="7">
        <f t="shared" si="1"/>
        <v>1103</v>
      </c>
      <c r="G7" s="8">
        <f t="shared" si="2"/>
        <v>0.620126926563917</v>
      </c>
      <c r="H7" s="8">
        <v>0.95</v>
      </c>
      <c r="I7" s="9">
        <f t="shared" si="3"/>
        <v>0.329873073436083</v>
      </c>
      <c r="J7" s="10" t="s">
        <v>12860</v>
      </c>
      <c r="K7" s="11">
        <v>0.1</v>
      </c>
    </row>
    <row r="8" spans="1:14">
      <c r="A8" s="5" t="s">
        <v>12861</v>
      </c>
      <c r="B8" s="4">
        <v>385</v>
      </c>
      <c r="C8" s="5">
        <v>131</v>
      </c>
      <c r="D8" s="6">
        <v>0</v>
      </c>
      <c r="E8" s="6">
        <f t="shared" si="0"/>
        <v>516</v>
      </c>
      <c r="F8" s="7">
        <f t="shared" si="1"/>
        <v>516</v>
      </c>
      <c r="G8" s="8">
        <f t="shared" si="2"/>
        <v>0.746124031007752</v>
      </c>
      <c r="H8" s="8">
        <v>0.95</v>
      </c>
      <c r="I8" s="9">
        <f t="shared" si="3"/>
        <v>0.203875968992248</v>
      </c>
      <c r="J8" s="10" t="s">
        <v>12860</v>
      </c>
      <c r="K8" s="11">
        <v>0.1</v>
      </c>
    </row>
    <row r="11" ht="75" spans="1:14">
      <c r="A11" s="1" t="s">
        <v>12863</v>
      </c>
      <c r="B11" s="1" t="s">
        <v>12849</v>
      </c>
      <c r="C11" s="1" t="s">
        <v>12850</v>
      </c>
      <c r="D11" s="2" t="s">
        <v>12851</v>
      </c>
      <c r="E11" s="1" t="s">
        <v>12852</v>
      </c>
      <c r="F11" s="2" t="s">
        <v>12853</v>
      </c>
      <c r="G11" s="1" t="s">
        <v>12854</v>
      </c>
      <c r="H11" s="2" t="s">
        <v>12855</v>
      </c>
      <c r="I11" s="2" t="s">
        <v>12856</v>
      </c>
      <c r="J11" s="2" t="s">
        <v>12857</v>
      </c>
      <c r="K11" s="2" t="s">
        <v>12858</v>
      </c>
      <c r="N11" t="s">
        <v>12864</v>
      </c>
    </row>
    <row r="12" spans="1:14">
      <c r="A12" s="3" t="s">
        <v>12859</v>
      </c>
      <c r="B12" s="4">
        <v>398</v>
      </c>
      <c r="C12" s="5">
        <v>65</v>
      </c>
      <c r="D12" s="6">
        <v>12</v>
      </c>
      <c r="E12" s="6">
        <f>SUM(B12:D12)</f>
        <v>475</v>
      </c>
      <c r="F12" s="7">
        <f>E12-D12</f>
        <v>463</v>
      </c>
      <c r="G12" s="8">
        <f>B12/F12</f>
        <v>0.859611231101512</v>
      </c>
      <c r="H12" s="8">
        <v>0.95</v>
      </c>
      <c r="I12" s="9">
        <f>H12-G12</f>
        <v>0.0903887688984881</v>
      </c>
      <c r="J12" s="10" t="s">
        <v>12860</v>
      </c>
      <c r="K12" s="11">
        <v>0.1</v>
      </c>
    </row>
    <row r="13" spans="1:14">
      <c r="A13" s="5" t="s">
        <v>12861</v>
      </c>
      <c r="B13" s="4">
        <v>341</v>
      </c>
      <c r="C13" s="5">
        <v>51</v>
      </c>
      <c r="D13" s="6">
        <v>9</v>
      </c>
      <c r="E13" s="6">
        <f>SUM(B13:D13)</f>
        <v>401</v>
      </c>
      <c r="F13" s="7">
        <f>E13-D13</f>
        <v>392</v>
      </c>
      <c r="G13" s="8">
        <f>B13/F13</f>
        <v>0.869897959183674</v>
      </c>
      <c r="H13" s="8">
        <v>0.95</v>
      </c>
      <c r="I13" s="9">
        <f>H13-G13</f>
        <v>0.0801020408163264</v>
      </c>
      <c r="J13" s="10" t="s">
        <v>12860</v>
      </c>
      <c r="K13" s="11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E19" sqref="E19"/>
    </sheetView>
  </sheetViews>
  <sheetFormatPr defaultColWidth="9.14285714285714" defaultRowHeight="15"/>
  <cols>
    <col min="1" max="1" width="18.5714285714286" customWidth="1"/>
    <col min="2" max="2" width="14.1428571428571" customWidth="1"/>
    <col min="3" max="3" width="16.4285714285714" customWidth="1"/>
    <col min="4" max="4" width="14.5714285714286" customWidth="1"/>
    <col min="5" max="5" width="17" customWidth="1"/>
    <col min="6" max="6" width="14.8571428571429" customWidth="1"/>
    <col min="7" max="7" width="14.1428571428571" customWidth="1"/>
    <col min="8" max="8" width="15.2857142857143" customWidth="1"/>
    <col min="9" max="9" width="16.5714285714286" customWidth="1"/>
    <col min="10" max="10" width="23" customWidth="1"/>
    <col min="11" max="11" width="16" customWidth="1"/>
  </cols>
  <sheetData>
    <row r="1" ht="45" spans="1:11">
      <c r="A1" s="1" t="s">
        <v>12848</v>
      </c>
      <c r="B1" s="1" t="s">
        <v>12849</v>
      </c>
      <c r="C1" s="1" t="s">
        <v>12850</v>
      </c>
      <c r="D1" s="2" t="s">
        <v>12851</v>
      </c>
      <c r="E1" s="1" t="s">
        <v>12852</v>
      </c>
      <c r="F1" s="2" t="s">
        <v>12853</v>
      </c>
      <c r="G1" s="1" t="s">
        <v>12854</v>
      </c>
      <c r="H1" s="2" t="s">
        <v>12855</v>
      </c>
      <c r="I1" s="2" t="s">
        <v>12856</v>
      </c>
      <c r="J1" s="2" t="s">
        <v>12857</v>
      </c>
      <c r="K1" s="2" t="s">
        <v>12858</v>
      </c>
    </row>
    <row r="2" spans="1:11">
      <c r="A2" s="3" t="s">
        <v>12859</v>
      </c>
      <c r="B2" s="4">
        <v>889</v>
      </c>
      <c r="C2" s="5">
        <v>824</v>
      </c>
      <c r="D2" s="6">
        <v>0</v>
      </c>
      <c r="E2" s="6">
        <f t="shared" ref="E2:E8" si="0">SUM(B2:D2)</f>
        <v>1713</v>
      </c>
      <c r="F2" s="7">
        <f t="shared" ref="F2:F8" si="1">E2-D2</f>
        <v>1713</v>
      </c>
      <c r="G2" s="8">
        <f t="shared" ref="G2:G8" si="2">B2/F2</f>
        <v>0.5189725627554</v>
      </c>
      <c r="H2" s="8">
        <v>0.95</v>
      </c>
      <c r="I2" s="9">
        <f t="shared" ref="I2:I8" si="3">H2-G2</f>
        <v>0.4310274372446</v>
      </c>
      <c r="J2" s="10" t="s">
        <v>12860</v>
      </c>
      <c r="K2" s="11">
        <v>0.1</v>
      </c>
    </row>
    <row r="3" spans="1:11">
      <c r="A3" s="5" t="s">
        <v>12865</v>
      </c>
      <c r="B3" s="4">
        <v>493</v>
      </c>
      <c r="C3" s="5">
        <v>426</v>
      </c>
      <c r="D3" s="6">
        <v>0</v>
      </c>
      <c r="E3" s="6">
        <f t="shared" si="0"/>
        <v>919</v>
      </c>
      <c r="F3" s="7">
        <f t="shared" si="1"/>
        <v>919</v>
      </c>
      <c r="G3" s="8">
        <f t="shared" si="2"/>
        <v>0.536452665941241</v>
      </c>
      <c r="H3" s="8">
        <v>0.95</v>
      </c>
      <c r="I3" s="9">
        <f t="shared" si="3"/>
        <v>0.413547334058759</v>
      </c>
      <c r="J3" s="10" t="s">
        <v>12860</v>
      </c>
      <c r="K3" s="11">
        <v>0.1</v>
      </c>
    </row>
    <row r="6" ht="45" spans="1:11">
      <c r="A6" s="1" t="s">
        <v>12862</v>
      </c>
      <c r="B6" s="1" t="s">
        <v>12849</v>
      </c>
      <c r="C6" s="1" t="s">
        <v>12850</v>
      </c>
      <c r="D6" s="2" t="s">
        <v>12851</v>
      </c>
      <c r="E6" s="1" t="s">
        <v>12852</v>
      </c>
      <c r="F6" s="2" t="s">
        <v>12853</v>
      </c>
      <c r="G6" s="1" t="s">
        <v>12854</v>
      </c>
      <c r="H6" s="2" t="s">
        <v>12855</v>
      </c>
      <c r="I6" s="2" t="s">
        <v>12856</v>
      </c>
      <c r="J6" s="2" t="s">
        <v>12857</v>
      </c>
      <c r="K6" s="2" t="s">
        <v>12858</v>
      </c>
    </row>
    <row r="7" spans="1:11">
      <c r="A7" s="3" t="s">
        <v>12859</v>
      </c>
      <c r="B7" s="4">
        <v>607</v>
      </c>
      <c r="C7" s="5">
        <v>496</v>
      </c>
      <c r="D7" s="6">
        <v>0</v>
      </c>
      <c r="E7" s="6">
        <f t="shared" si="0"/>
        <v>1103</v>
      </c>
      <c r="F7" s="7">
        <f t="shared" si="1"/>
        <v>1103</v>
      </c>
      <c r="G7" s="8">
        <f t="shared" si="2"/>
        <v>0.550317316409791</v>
      </c>
      <c r="H7" s="8">
        <v>0.95</v>
      </c>
      <c r="I7" s="9">
        <f t="shared" si="3"/>
        <v>0.399682683590209</v>
      </c>
      <c r="J7" s="10" t="s">
        <v>12860</v>
      </c>
      <c r="K7" s="11">
        <v>0.1</v>
      </c>
    </row>
    <row r="8" spans="1:11">
      <c r="A8" s="5" t="s">
        <v>12865</v>
      </c>
      <c r="B8" s="4">
        <v>328</v>
      </c>
      <c r="C8" s="5">
        <v>188</v>
      </c>
      <c r="D8" s="6">
        <v>0</v>
      </c>
      <c r="E8" s="6">
        <f t="shared" si="0"/>
        <v>516</v>
      </c>
      <c r="F8" s="7">
        <f t="shared" si="1"/>
        <v>516</v>
      </c>
      <c r="G8" s="8">
        <f t="shared" si="2"/>
        <v>0.635658914728682</v>
      </c>
      <c r="H8" s="8">
        <v>0.95</v>
      </c>
      <c r="I8" s="9">
        <f t="shared" si="3"/>
        <v>0.314341085271318</v>
      </c>
      <c r="J8" s="10" t="s">
        <v>12860</v>
      </c>
      <c r="K8" s="11">
        <v>0.1</v>
      </c>
    </row>
    <row r="11" ht="45" spans="1:11">
      <c r="A11" s="1" t="s">
        <v>12863</v>
      </c>
      <c r="B11" s="1" t="s">
        <v>12849</v>
      </c>
      <c r="C11" s="1" t="s">
        <v>12850</v>
      </c>
      <c r="D11" s="2" t="s">
        <v>12851</v>
      </c>
      <c r="E11" s="1" t="s">
        <v>12852</v>
      </c>
      <c r="F11" s="2" t="s">
        <v>12853</v>
      </c>
      <c r="G11" s="1" t="s">
        <v>12854</v>
      </c>
      <c r="H11" s="2" t="s">
        <v>12855</v>
      </c>
      <c r="I11" s="2" t="s">
        <v>12856</v>
      </c>
      <c r="J11" s="2" t="s">
        <v>12857</v>
      </c>
      <c r="K11" s="2" t="s">
        <v>12858</v>
      </c>
    </row>
    <row r="12" spans="1:11">
      <c r="A12" s="3" t="s">
        <v>12859</v>
      </c>
      <c r="B12" s="4">
        <v>342</v>
      </c>
      <c r="C12" s="5">
        <v>121</v>
      </c>
      <c r="D12" s="6">
        <v>12</v>
      </c>
      <c r="E12" s="6">
        <f>SUM(B12:D12)</f>
        <v>475</v>
      </c>
      <c r="F12" s="7">
        <f>E12-D12</f>
        <v>463</v>
      </c>
      <c r="G12" s="8">
        <f>B12/F12</f>
        <v>0.73866090712743</v>
      </c>
      <c r="H12" s="8">
        <v>0.95</v>
      </c>
      <c r="I12" s="9">
        <f>H12-G12</f>
        <v>0.21133909287257</v>
      </c>
      <c r="J12" s="10" t="s">
        <v>12860</v>
      </c>
      <c r="K12" s="11">
        <v>0.1</v>
      </c>
    </row>
    <row r="13" spans="1:11">
      <c r="A13" s="5" t="s">
        <v>12865</v>
      </c>
      <c r="B13" s="4">
        <v>299</v>
      </c>
      <c r="C13" s="5">
        <v>93</v>
      </c>
      <c r="D13" s="6">
        <v>9</v>
      </c>
      <c r="E13" s="6">
        <f>SUM(B13:D13)</f>
        <v>401</v>
      </c>
      <c r="F13" s="7">
        <f>E13-D13</f>
        <v>392</v>
      </c>
      <c r="G13" s="8">
        <f>B13/F13</f>
        <v>0.762755102040816</v>
      </c>
      <c r="H13" s="8">
        <v>0.95</v>
      </c>
      <c r="I13" s="9">
        <f>H13-G13</f>
        <v>0.187244897959184</v>
      </c>
      <c r="J13" s="10" t="s">
        <v>12860</v>
      </c>
      <c r="K13" s="11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TAT - After review</vt:lpstr>
      <vt:lpstr>TAT - Before  review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2026-10-07T08:37:00Z</dcterms:created>
  <dcterms:modified xsi:type="dcterms:W3CDTF">2026-10-08T12:16:15Z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D9888FC6C4F443FCA2CF62D64FE0409C_12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