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000"/>
  </bookViews>
  <sheets>
    <sheet name="New_CG" sheetId="1" r:id="rId1"/>
    <sheet name="Disbursement_Final" sheetId="2" r:id="rId2"/>
    <sheet name="Continuity_Calculator" sheetId="3" r:id="rId3"/>
    <sheet name="NPA 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<sst xmlns="http://schemas.openxmlformats.org/spreadsheetml/2006/main" count="47" uniqueCount="32">
  <si>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Sanction Amount</t>
  </si>
  <si>
    <t>Collateral</t>
  </si>
  <si>
    <t>Net Amount</t>
  </si>
  <si>
    <t>MSME Type</t>
  </si>
  <si>
    <t>Initial Contribution (5%)</t>
  </si>
  <si>
    <t>Sanction Date</t>
  </si>
  <si>
    <t>Disbursement Date</t>
  </si>
  <si>
    <t>Disbursement Amount</t>
  </si>
  <si>
    <t>Cumulative Disbursement</t>
  </si>
  <si>
    <t>Net Exposure</t>
  </si>
  <si>
    <t>Previous Net Exposure</t>
  </si>
  <si>
    <t>Incremental Exposure</t>
  </si>
  <si>
    <t>Days</t>
  </si>
  <si>
    <t>Rate</t>
  </si>
  <si>
    <t>CG Fee</t>
  </si>
  <si>
    <t>Continuity Date</t>
  </si>
  <si>
    <t>Prev Status</t>
  </si>
  <si>
    <t>Current Status</t>
  </si>
  <si>
    <t>Principal Outstanding</t>
  </si>
  <si>
    <t>Interest Outstanding</t>
  </si>
  <si>
    <t>Total Exposure</t>
  </si>
  <si>
    <t>Loan Year</t>
  </si>
  <si>
    <t>STANDARD</t>
  </si>
  <si>
    <t>Upload Date</t>
  </si>
  <si>
    <t>Cut-off Date</t>
  </si>
  <si>
    <t>NPA Date</t>
  </si>
  <si>
    <t>180 Days Back (Upload)</t>
  </si>
  <si>
    <t>FY Start Date</t>
  </si>
  <si>
    <t>Allowed From Date</t>
  </si>
  <si>
    <t>Allowed To Date</t>
  </si>
  <si>
    <t>Days Difference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</si>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</sst>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/>
    <xf numFmtId="0" fontId="0" fillId="0" borderId="1" xfId="0" applyFont="1" applyFill="1" applyBorder="1" applyAlignment="1"/>
    <xf numFmtId="180" fontId="0" fillId="0" borderId="1" xfId="0" applyNumberFormat="1" applyFont="1" applyFill="1" applyBorder="1" applyAlignme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80" fontId="0" fillId="0" borderId="0" xfId="0" applyNumberFormat="1" applyFont="1" applyFill="1" applyAlignment="1"/>
    <xf numFmtId="0" fontId="2" fillId="0" borderId="2" xfId="0" applyFont="1" applyFill="1" applyBorder="1"/>
    <xf numFmtId="0" fontId="2" fillId="0" borderId="3" xfId="0" applyFont="1" applyFill="1" applyBorder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16" sqref="E16"/>
    </sheetView>
  </sheetViews>
  <sheetFormatPr defaultColWidth="9" defaultRowHeight="15" outlineLevelRow="1" outlineLevelCol="4"/>
  <cols>
    <col min="1" max="1" width="17.5714285714286" customWidth="1"/>
    <col min="2" max="2" width="13.4285714285714" customWidth="1"/>
    <col min="3" max="3" width="15.8571428571429" customWidth="1"/>
    <col min="4" max="5" width="24.42857142857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100000000</v>
      </c>
      <c r="B2">
        <v>50000000</v>
      </c>
      <c r="C2">
        <f>A2-B2</f>
        <v>50000000</v>
      </c>
      <c r="D2">
        <v>1</v>
      </c>
      <c r="E2">
        <f>ROUND(C2*5%,2)</f>
        <v>2500000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K34" sqref="K34"/>
    </sheetView>
  </sheetViews>
  <sheetFormatPr defaultColWidth="9" defaultRowHeight="15"/>
  <cols>
    <col min="1" max="1" width="14.1428571428571" customWidth="1"/>
    <col min="2" max="2" width="19.5714285714286" customWidth="1"/>
    <col min="3" max="3" width="11.8571428571429" customWidth="1"/>
    <col min="4" max="4" width="23" customWidth="1"/>
    <col min="5" max="5" width="26.4285714285714" customWidth="1"/>
    <col min="6" max="6" width="10.1428571428571" customWidth="1"/>
    <col min="7" max="7" width="13.8571428571429" customWidth="1"/>
    <col min="8" max="8" width="23" customWidth="1"/>
    <col min="9" max="9" width="22.1428571428571" customWidth="1"/>
    <col min="10" max="10" width="9.85714285714286" customWidth="1"/>
    <col min="11" max="11" width="10.7142857142857" customWidth="1"/>
    <col min="12" max="12" width="12.5714285714286" customWidth="1"/>
  </cols>
  <sheetData>
    <row r="1" spans="1:12">
      <c r="A1" t="s">
        <v>5</v>
      </c>
      <c r="B1" t="s">
        <v>6</v>
      </c>
      <c r="C1" t="s">
        <v>3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>
      <c r="A2" s="9">
        <v>46054</v>
      </c>
      <c r="B2" s="9">
        <v>46113</v>
      </c>
      <c r="C2">
        <v>1</v>
      </c>
      <c r="D2">
        <v>1000000</v>
      </c>
      <c r="E2">
        <f t="shared" ref="E2:E29" si="0">IF(ROW()=2,D2,E1+D2)</f>
        <v>1000000</v>
      </c>
      <c r="F2">
        <v>5000000</v>
      </c>
      <c r="G2">
        <f t="shared" ref="G2:G29" si="1">MAX(0,E2-F2)</f>
        <v>0</v>
      </c>
      <c r="H2">
        <f t="shared" ref="H2:H29" si="2">IF(ROW()=2,0,G1)</f>
        <v>0</v>
      </c>
      <c r="I2">
        <f t="shared" ref="I2:I29" si="3">IF(L1=0,G2,G2-H2)</f>
        <v>0</v>
      </c>
      <c r="J2">
        <f t="shared" ref="J2:J29" si="4">DATE(YEAR(B2)+IF(MONTH(B2)&gt;3,1,0),3,31)-B2+1</f>
        <v>365</v>
      </c>
      <c r="K2">
        <f t="shared" ref="K2:K29" si="5">IF(C2=2,0.5%,1.5%)</f>
        <v>0.015</v>
      </c>
      <c r="L2">
        <f t="shared" ref="L2:L29" si="6">IF(YEAR(A2)+(MONTH(A2)&gt;=4)=YEAR(B2)+(MONTH(B2)&gt;=4),0,ROUND(I2*K2*(J2/365),2))</f>
        <v>0</v>
      </c>
    </row>
    <row r="3" spans="1:12">
      <c r="A3" s="9">
        <v>46054</v>
      </c>
      <c r="B3" s="9">
        <v>46539</v>
      </c>
      <c r="C3">
        <v>1</v>
      </c>
      <c r="D3">
        <v>3000000</v>
      </c>
      <c r="E3">
        <f t="shared" si="0"/>
        <v>4000000</v>
      </c>
      <c r="F3">
        <v>5000000</v>
      </c>
      <c r="G3">
        <f t="shared" si="1"/>
        <v>0</v>
      </c>
      <c r="H3">
        <f t="shared" si="2"/>
        <v>0</v>
      </c>
      <c r="I3">
        <f t="shared" si="3"/>
        <v>0</v>
      </c>
      <c r="J3">
        <f t="shared" si="4"/>
        <v>305</v>
      </c>
      <c r="K3">
        <f t="shared" si="5"/>
        <v>0.015</v>
      </c>
      <c r="L3">
        <f t="shared" si="6"/>
        <v>0</v>
      </c>
    </row>
    <row r="4" spans="1:12">
      <c r="A4" s="9">
        <v>46054</v>
      </c>
      <c r="B4" s="9">
        <v>46209</v>
      </c>
      <c r="C4">
        <v>1</v>
      </c>
      <c r="D4">
        <v>100</v>
      </c>
      <c r="E4">
        <f t="shared" si="0"/>
        <v>4000100</v>
      </c>
      <c r="F4">
        <v>500</v>
      </c>
      <c r="G4">
        <f t="shared" si="1"/>
        <v>3999600</v>
      </c>
      <c r="H4">
        <f t="shared" si="2"/>
        <v>0</v>
      </c>
      <c r="I4">
        <f t="shared" si="3"/>
        <v>3999600</v>
      </c>
      <c r="J4">
        <f t="shared" si="4"/>
        <v>269</v>
      </c>
      <c r="K4">
        <f t="shared" si="5"/>
        <v>0.015</v>
      </c>
      <c r="L4">
        <f t="shared" si="6"/>
        <v>44214.76</v>
      </c>
    </row>
    <row r="5" spans="1:12">
      <c r="E5">
        <f t="shared" si="0"/>
        <v>4000100</v>
      </c>
      <c r="G5">
        <f t="shared" si="1"/>
        <v>4000100</v>
      </c>
      <c r="H5">
        <f t="shared" si="2"/>
        <v>3999600</v>
      </c>
      <c r="I5">
        <f t="shared" si="3"/>
        <v>500</v>
      </c>
      <c r="J5">
        <f t="shared" si="4"/>
        <v>92</v>
      </c>
      <c r="K5">
        <f t="shared" si="5"/>
        <v>0.015</v>
      </c>
      <c r="L5">
        <f t="shared" si="6"/>
        <v>0</v>
      </c>
    </row>
    <row r="6" spans="1:12">
      <c r="E6">
        <f t="shared" si="0"/>
        <v>4000100</v>
      </c>
      <c r="G6">
        <f t="shared" si="1"/>
        <v>4000100</v>
      </c>
      <c r="H6">
        <f t="shared" si="2"/>
        <v>4000100</v>
      </c>
      <c r="I6">
        <f t="shared" si="3"/>
        <v>4000100</v>
      </c>
      <c r="J6">
        <f t="shared" si="4"/>
        <v>92</v>
      </c>
      <c r="K6">
        <f t="shared" si="5"/>
        <v>0.015</v>
      </c>
      <c r="L6">
        <f t="shared" si="6"/>
        <v>0</v>
      </c>
    </row>
    <row r="7" spans="1:12">
      <c r="E7">
        <f t="shared" si="0"/>
        <v>4000100</v>
      </c>
      <c r="G7">
        <f t="shared" si="1"/>
        <v>4000100</v>
      </c>
      <c r="H7">
        <f t="shared" si="2"/>
        <v>4000100</v>
      </c>
      <c r="I7">
        <f t="shared" si="3"/>
        <v>4000100</v>
      </c>
      <c r="J7">
        <f t="shared" si="4"/>
        <v>92</v>
      </c>
      <c r="K7">
        <f t="shared" si="5"/>
        <v>0.015</v>
      </c>
      <c r="L7">
        <f t="shared" si="6"/>
        <v>0</v>
      </c>
    </row>
    <row r="8" spans="1:12">
      <c r="E8">
        <f t="shared" si="0"/>
        <v>4000100</v>
      </c>
      <c r="G8">
        <f t="shared" si="1"/>
        <v>4000100</v>
      </c>
      <c r="H8">
        <f t="shared" si="2"/>
        <v>4000100</v>
      </c>
      <c r="I8">
        <f t="shared" si="3"/>
        <v>4000100</v>
      </c>
      <c r="J8">
        <f t="shared" si="4"/>
        <v>92</v>
      </c>
      <c r="K8">
        <f t="shared" si="5"/>
        <v>0.015</v>
      </c>
      <c r="L8">
        <f t="shared" si="6"/>
        <v>0</v>
      </c>
    </row>
    <row r="9" spans="1:12">
      <c r="E9">
        <f t="shared" si="0"/>
        <v>4000100</v>
      </c>
      <c r="G9">
        <f t="shared" si="1"/>
        <v>4000100</v>
      </c>
      <c r="H9">
        <f t="shared" si="2"/>
        <v>4000100</v>
      </c>
      <c r="I9">
        <f t="shared" si="3"/>
        <v>4000100</v>
      </c>
      <c r="J9">
        <f t="shared" si="4"/>
        <v>92</v>
      </c>
      <c r="K9">
        <f t="shared" si="5"/>
        <v>0.015</v>
      </c>
      <c r="L9">
        <f t="shared" si="6"/>
        <v>0</v>
      </c>
    </row>
    <row r="10" spans="1:12">
      <c r="E10">
        <f t="shared" si="0"/>
        <v>4000100</v>
      </c>
      <c r="G10">
        <f t="shared" si="1"/>
        <v>4000100</v>
      </c>
      <c r="H10">
        <f t="shared" si="2"/>
        <v>4000100</v>
      </c>
      <c r="I10">
        <f t="shared" si="3"/>
        <v>4000100</v>
      </c>
      <c r="J10">
        <f t="shared" si="4"/>
        <v>92</v>
      </c>
      <c r="K10">
        <f t="shared" si="5"/>
        <v>0.015</v>
      </c>
      <c r="L10">
        <f t="shared" si="6"/>
        <v>0</v>
      </c>
    </row>
    <row r="11" spans="1:12">
      <c r="E11">
        <f t="shared" si="0"/>
        <v>4000100</v>
      </c>
      <c r="G11">
        <f t="shared" si="1"/>
        <v>4000100</v>
      </c>
      <c r="H11">
        <f t="shared" si="2"/>
        <v>4000100</v>
      </c>
      <c r="I11">
        <f t="shared" si="3"/>
        <v>4000100</v>
      </c>
      <c r="J11">
        <f t="shared" si="4"/>
        <v>92</v>
      </c>
      <c r="K11">
        <f t="shared" si="5"/>
        <v>0.015</v>
      </c>
      <c r="L11">
        <f t="shared" si="6"/>
        <v>0</v>
      </c>
    </row>
    <row r="12" spans="1:12">
      <c r="E12">
        <f t="shared" si="0"/>
        <v>4000100</v>
      </c>
      <c r="G12">
        <f t="shared" si="1"/>
        <v>4000100</v>
      </c>
      <c r="H12">
        <f t="shared" si="2"/>
        <v>4000100</v>
      </c>
      <c r="I12">
        <f t="shared" si="3"/>
        <v>4000100</v>
      </c>
      <c r="J12">
        <f t="shared" si="4"/>
        <v>92</v>
      </c>
      <c r="K12">
        <f t="shared" si="5"/>
        <v>0.015</v>
      </c>
      <c r="L12">
        <f t="shared" si="6"/>
        <v>0</v>
      </c>
    </row>
    <row r="13" spans="1:12">
      <c r="E13">
        <f t="shared" si="0"/>
        <v>4000100</v>
      </c>
      <c r="G13">
        <f t="shared" si="1"/>
        <v>4000100</v>
      </c>
      <c r="H13">
        <f t="shared" si="2"/>
        <v>4000100</v>
      </c>
      <c r="I13">
        <f t="shared" si="3"/>
        <v>4000100</v>
      </c>
      <c r="J13">
        <f t="shared" si="4"/>
        <v>92</v>
      </c>
      <c r="K13">
        <f t="shared" si="5"/>
        <v>0.015</v>
      </c>
      <c r="L13">
        <f t="shared" si="6"/>
        <v>0</v>
      </c>
    </row>
    <row r="14" spans="1:12">
      <c r="E14">
        <f t="shared" si="0"/>
        <v>4000100</v>
      </c>
      <c r="G14">
        <f t="shared" si="1"/>
        <v>4000100</v>
      </c>
      <c r="H14">
        <f t="shared" si="2"/>
        <v>4000100</v>
      </c>
      <c r="I14">
        <f t="shared" si="3"/>
        <v>4000100</v>
      </c>
      <c r="J14">
        <f t="shared" si="4"/>
        <v>92</v>
      </c>
      <c r="K14">
        <f t="shared" si="5"/>
        <v>0.015</v>
      </c>
      <c r="L14">
        <f t="shared" si="6"/>
        <v>0</v>
      </c>
    </row>
    <row r="15" spans="1:12">
      <c r="E15">
        <f t="shared" si="0"/>
        <v>4000100</v>
      </c>
      <c r="G15">
        <f t="shared" si="1"/>
        <v>4000100</v>
      </c>
      <c r="H15">
        <f t="shared" si="2"/>
        <v>4000100</v>
      </c>
      <c r="I15">
        <f t="shared" si="3"/>
        <v>4000100</v>
      </c>
      <c r="J15">
        <f t="shared" si="4"/>
        <v>92</v>
      </c>
      <c r="K15">
        <f t="shared" si="5"/>
        <v>0.015</v>
      </c>
      <c r="L15">
        <f t="shared" si="6"/>
        <v>0</v>
      </c>
    </row>
    <row r="16" spans="1:12">
      <c r="E16">
        <f t="shared" si="0"/>
        <v>4000100</v>
      </c>
      <c r="G16">
        <f t="shared" si="1"/>
        <v>4000100</v>
      </c>
      <c r="H16">
        <f t="shared" si="2"/>
        <v>4000100</v>
      </c>
      <c r="I16">
        <f t="shared" si="3"/>
        <v>4000100</v>
      </c>
      <c r="J16">
        <f t="shared" si="4"/>
        <v>92</v>
      </c>
      <c r="K16">
        <f t="shared" si="5"/>
        <v>0.015</v>
      </c>
      <c r="L16">
        <f t="shared" si="6"/>
        <v>0</v>
      </c>
    </row>
    <row r="17" spans="5:12">
      <c r="E17">
        <f t="shared" si="0"/>
        <v>4000100</v>
      </c>
      <c r="G17">
        <f t="shared" si="1"/>
        <v>4000100</v>
      </c>
      <c r="H17">
        <f t="shared" si="2"/>
        <v>4000100</v>
      </c>
      <c r="I17">
        <f t="shared" si="3"/>
        <v>4000100</v>
      </c>
      <c r="J17">
        <f t="shared" si="4"/>
        <v>92</v>
      </c>
      <c r="K17">
        <f t="shared" si="5"/>
        <v>0.015</v>
      </c>
      <c r="L17">
        <f t="shared" si="6"/>
        <v>0</v>
      </c>
    </row>
    <row r="18" spans="5:12">
      <c r="E18">
        <f t="shared" si="0"/>
        <v>4000100</v>
      </c>
      <c r="G18">
        <f t="shared" si="1"/>
        <v>4000100</v>
      </c>
      <c r="H18">
        <f t="shared" si="2"/>
        <v>4000100</v>
      </c>
      <c r="I18">
        <f t="shared" si="3"/>
        <v>4000100</v>
      </c>
      <c r="J18">
        <f t="shared" si="4"/>
        <v>92</v>
      </c>
      <c r="K18">
        <f t="shared" si="5"/>
        <v>0.015</v>
      </c>
      <c r="L18">
        <f t="shared" si="6"/>
        <v>0</v>
      </c>
    </row>
    <row r="19" spans="5:12">
      <c r="E19">
        <f t="shared" si="0"/>
        <v>4000100</v>
      </c>
      <c r="G19">
        <f t="shared" si="1"/>
        <v>4000100</v>
      </c>
      <c r="H19">
        <f t="shared" si="2"/>
        <v>4000100</v>
      </c>
      <c r="I19">
        <f t="shared" si="3"/>
        <v>4000100</v>
      </c>
      <c r="J19">
        <f t="shared" si="4"/>
        <v>92</v>
      </c>
      <c r="K19">
        <f t="shared" si="5"/>
        <v>0.015</v>
      </c>
      <c r="L19">
        <f t="shared" si="6"/>
        <v>0</v>
      </c>
    </row>
    <row r="20" spans="5:12">
      <c r="E20">
        <f t="shared" si="0"/>
        <v>4000100</v>
      </c>
      <c r="G20">
        <f t="shared" si="1"/>
        <v>4000100</v>
      </c>
      <c r="H20">
        <f t="shared" si="2"/>
        <v>4000100</v>
      </c>
      <c r="I20">
        <f t="shared" si="3"/>
        <v>4000100</v>
      </c>
      <c r="J20">
        <f t="shared" si="4"/>
        <v>92</v>
      </c>
      <c r="K20">
        <f t="shared" si="5"/>
        <v>0.015</v>
      </c>
      <c r="L20">
        <f t="shared" si="6"/>
        <v>0</v>
      </c>
    </row>
    <row r="21" spans="5:12">
      <c r="E21">
        <f t="shared" si="0"/>
        <v>4000100</v>
      </c>
      <c r="G21">
        <f t="shared" si="1"/>
        <v>4000100</v>
      </c>
      <c r="H21">
        <f t="shared" si="2"/>
        <v>4000100</v>
      </c>
      <c r="I21">
        <f t="shared" si="3"/>
        <v>4000100</v>
      </c>
      <c r="J21">
        <f t="shared" si="4"/>
        <v>92</v>
      </c>
      <c r="K21">
        <f t="shared" si="5"/>
        <v>0.015</v>
      </c>
      <c r="L21">
        <f t="shared" si="6"/>
        <v>0</v>
      </c>
    </row>
    <row r="22" spans="5:12">
      <c r="E22">
        <f t="shared" si="0"/>
        <v>4000100</v>
      </c>
      <c r="G22">
        <f t="shared" si="1"/>
        <v>4000100</v>
      </c>
      <c r="H22">
        <f t="shared" si="2"/>
        <v>4000100</v>
      </c>
      <c r="I22">
        <f t="shared" si="3"/>
        <v>4000100</v>
      </c>
      <c r="J22">
        <f t="shared" si="4"/>
        <v>92</v>
      </c>
      <c r="K22">
        <f t="shared" si="5"/>
        <v>0.015</v>
      </c>
      <c r="L22">
        <f t="shared" si="6"/>
        <v>0</v>
      </c>
    </row>
    <row r="23" spans="5:12">
      <c r="E23">
        <f t="shared" si="0"/>
        <v>4000100</v>
      </c>
      <c r="G23">
        <f t="shared" si="1"/>
        <v>4000100</v>
      </c>
      <c r="H23">
        <f t="shared" si="2"/>
        <v>4000100</v>
      </c>
      <c r="I23">
        <f t="shared" si="3"/>
        <v>4000100</v>
      </c>
      <c r="J23">
        <f t="shared" si="4"/>
        <v>92</v>
      </c>
      <c r="K23">
        <f t="shared" si="5"/>
        <v>0.015</v>
      </c>
      <c r="L23">
        <f t="shared" si="6"/>
        <v>0</v>
      </c>
    </row>
    <row r="24" spans="5:12">
      <c r="E24">
        <f t="shared" si="0"/>
        <v>4000100</v>
      </c>
      <c r="G24">
        <f t="shared" si="1"/>
        <v>4000100</v>
      </c>
      <c r="H24">
        <f t="shared" si="2"/>
        <v>4000100</v>
      </c>
      <c r="I24">
        <f t="shared" si="3"/>
        <v>4000100</v>
      </c>
      <c r="J24">
        <f t="shared" si="4"/>
        <v>92</v>
      </c>
      <c r="K24">
        <f t="shared" si="5"/>
        <v>0.015</v>
      </c>
      <c r="L24">
        <f t="shared" si="6"/>
        <v>0</v>
      </c>
    </row>
    <row r="25" spans="5:12">
      <c r="E25">
        <f t="shared" si="0"/>
        <v>4000100</v>
      </c>
      <c r="G25">
        <f t="shared" si="1"/>
        <v>4000100</v>
      </c>
      <c r="H25">
        <f t="shared" si="2"/>
        <v>4000100</v>
      </c>
      <c r="I25">
        <f t="shared" si="3"/>
        <v>4000100</v>
      </c>
      <c r="J25">
        <f t="shared" si="4"/>
        <v>92</v>
      </c>
      <c r="K25">
        <f t="shared" si="5"/>
        <v>0.015</v>
      </c>
      <c r="L25">
        <f t="shared" si="6"/>
        <v>0</v>
      </c>
    </row>
    <row r="26" spans="5:12">
      <c r="E26">
        <f t="shared" si="0"/>
        <v>4000100</v>
      </c>
      <c r="G26">
        <f t="shared" si="1"/>
        <v>4000100</v>
      </c>
      <c r="H26">
        <f t="shared" si="2"/>
        <v>4000100</v>
      </c>
      <c r="I26">
        <f t="shared" si="3"/>
        <v>4000100</v>
      </c>
      <c r="J26">
        <f t="shared" si="4"/>
        <v>92</v>
      </c>
      <c r="K26">
        <f t="shared" si="5"/>
        <v>0.015</v>
      </c>
      <c r="L26">
        <f t="shared" si="6"/>
        <v>0</v>
      </c>
    </row>
    <row r="27" spans="5:12">
      <c r="E27">
        <f t="shared" si="0"/>
        <v>4000100</v>
      </c>
      <c r="G27">
        <f t="shared" si="1"/>
        <v>4000100</v>
      </c>
      <c r="H27">
        <f t="shared" si="2"/>
        <v>4000100</v>
      </c>
      <c r="I27">
        <f t="shared" si="3"/>
        <v>4000100</v>
      </c>
      <c r="J27">
        <f t="shared" si="4"/>
        <v>92</v>
      </c>
      <c r="K27">
        <f t="shared" si="5"/>
        <v>0.015</v>
      </c>
      <c r="L27">
        <f t="shared" si="6"/>
        <v>0</v>
      </c>
    </row>
    <row r="28" spans="5:12">
      <c r="E28">
        <f t="shared" si="0"/>
        <v>4000100</v>
      </c>
      <c r="G28">
        <f t="shared" si="1"/>
        <v>4000100</v>
      </c>
      <c r="H28">
        <f t="shared" si="2"/>
        <v>4000100</v>
      </c>
      <c r="I28">
        <f t="shared" si="3"/>
        <v>4000100</v>
      </c>
      <c r="J28">
        <f t="shared" si="4"/>
        <v>92</v>
      </c>
      <c r="K28">
        <f t="shared" si="5"/>
        <v>0.015</v>
      </c>
      <c r="L28">
        <f t="shared" si="6"/>
        <v>0</v>
      </c>
    </row>
    <row r="29" spans="5:12">
      <c r="E29">
        <f t="shared" si="0"/>
        <v>4000100</v>
      </c>
      <c r="G29">
        <f t="shared" si="1"/>
        <v>4000100</v>
      </c>
      <c r="H29">
        <f t="shared" si="2"/>
        <v>4000100</v>
      </c>
      <c r="I29">
        <f t="shared" si="3"/>
        <v>4000100</v>
      </c>
      <c r="J29">
        <f t="shared" si="4"/>
        <v>92</v>
      </c>
      <c r="K29">
        <f t="shared" si="5"/>
        <v>0.015</v>
      </c>
      <c r="L29">
        <f t="shared" si="6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G15" sqref="G15"/>
    </sheetView>
  </sheetViews>
  <sheetFormatPr defaultColWidth="9.14285714285714" defaultRowHeight="15" outlineLevelRow="4"/>
  <cols>
    <col min="1" max="1" width="14.1428571428571" style="1" customWidth="1"/>
    <col min="2" max="2" width="16.1428571428571" style="1" customWidth="1"/>
    <col min="3" max="3" width="26.7142857142857" style="1" customWidth="1"/>
    <col min="4" max="4" width="21.8571428571429" style="1" customWidth="1"/>
    <col min="5" max="5" width="21.1428571428571" style="1" customWidth="1"/>
    <col min="6" max="6" width="21.8571428571429" style="1" customWidth="1"/>
    <col min="7" max="7" width="21.1428571428571" style="1" customWidth="1"/>
    <col min="8" max="8" width="13.8571428571429" style="1" customWidth="1"/>
    <col min="9" max="9" width="15.1428571428571" style="1" customWidth="1"/>
    <col min="10" max="10" width="16.8571428571429" style="1" customWidth="1"/>
    <col min="11" max="11" width="13.4285714285714" style="1" customWidth="1"/>
    <col min="12" max="12" width="6.57142857142857" customWidth="1"/>
    <col min="13" max="13" width="30.4285714285714" customWidth="1"/>
    <col min="14" max="14" width="18.2857142857143" customWidth="1"/>
  </cols>
  <sheetData>
    <row r="1" s="4" customFormat="1" spans="1:13">
      <c r="A1" s="5" t="s">
        <v>5</v>
      </c>
      <c r="B1" s="5" t="s">
        <v>15</v>
      </c>
      <c r="C1" s="5" t="s">
        <v>16</v>
      </c>
      <c r="D1" s="5" t="s">
        <v>17</v>
      </c>
      <c r="E1" s="5" t="s">
        <v>3</v>
      </c>
      <c r="F1" s="5" t="s">
        <v>18</v>
      </c>
      <c r="G1" s="5" t="s">
        <v>19</v>
      </c>
      <c r="H1" s="5" t="s">
        <v>1</v>
      </c>
      <c r="I1" s="5" t="s">
        <v>20</v>
      </c>
      <c r="J1" s="5" t="s">
        <v>9</v>
      </c>
      <c r="K1" s="5" t="s">
        <v>21</v>
      </c>
      <c r="L1" s="5" t="s">
        <v>13</v>
      </c>
      <c r="M1" s="5" t="s">
        <v>14</v>
      </c>
    </row>
    <row r="2" spans="1:13">
      <c r="A2" s="6">
        <v>45748</v>
      </c>
      <c r="B2" s="6">
        <v>47211</v>
      </c>
      <c r="C2" s="1" t="s">
        <v>22</v>
      </c>
      <c r="D2" s="1" t="s">
        <v>22</v>
      </c>
      <c r="E2" s="1">
        <v>1</v>
      </c>
      <c r="F2" s="7">
        <v>1000012.79</v>
      </c>
      <c r="G2" s="7">
        <v>1001.79</v>
      </c>
      <c r="H2" s="1">
        <v>500</v>
      </c>
      <c r="I2" s="1">
        <f>F2+G2</f>
        <v>1001014.58</v>
      </c>
      <c r="J2" s="1">
        <f>I2-H2</f>
        <v>1000514.58</v>
      </c>
      <c r="K2" s="1">
        <v>4</v>
      </c>
      <c r="L2" s="1">
        <f>IF(E2=1,IF(K2&lt;=3,0.015,0.01),0.005)</f>
        <v>0.01</v>
      </c>
      <c r="M2" s="1">
        <f>IF(AND(C2="NPA",D2="STANDARD"),J2*L2*2,IF(D2="STANDARD",J2*L2,0))</f>
        <v>10005.1458</v>
      </c>
    </row>
    <row r="3" spans="1:13">
      <c r="A3" s="6">
        <v>45748</v>
      </c>
      <c r="B3" s="6">
        <v>47211</v>
      </c>
      <c r="C3" s="1" t="s">
        <v>22</v>
      </c>
      <c r="D3" s="1" t="s">
        <v>22</v>
      </c>
      <c r="E3" s="1">
        <v>1</v>
      </c>
      <c r="F3" s="8">
        <v>1000043.02</v>
      </c>
      <c r="G3" s="8">
        <v>100043.02</v>
      </c>
      <c r="H3" s="1">
        <v>500</v>
      </c>
      <c r="I3" s="1">
        <f>F3+G3</f>
        <v>1100086.04</v>
      </c>
      <c r="J3" s="1">
        <f>I3-H3</f>
        <v>1099586.04</v>
      </c>
      <c r="K3" s="1">
        <v>4</v>
      </c>
      <c r="L3" s="1">
        <f>IF(E3=1,IF(K3&lt;=3,0.015,0.01),0.005)</f>
        <v>0.01</v>
      </c>
      <c r="M3" s="1">
        <f>IF(AND(C3="NPA",D3="STANDARD"),J3*L3*2,IF(D3="STANDARD",J3*L3,0))</f>
        <v>10995.8604</v>
      </c>
    </row>
    <row r="4" spans="1:13">
      <c r="A4" s="6">
        <v>45748</v>
      </c>
      <c r="B4" s="6">
        <v>47211</v>
      </c>
      <c r="C4" s="1" t="s">
        <v>22</v>
      </c>
      <c r="D4" s="1" t="s">
        <v>22</v>
      </c>
      <c r="E4" s="1">
        <v>2</v>
      </c>
      <c r="F4" s="8">
        <v>200300.33</v>
      </c>
      <c r="G4" s="8">
        <v>200200.33</v>
      </c>
      <c r="H4" s="1">
        <v>500</v>
      </c>
      <c r="I4" s="1">
        <f>F4+G4</f>
        <v>400500.66</v>
      </c>
      <c r="J4" s="1">
        <f>I4-H4</f>
        <v>400000.66</v>
      </c>
      <c r="K4" s="1">
        <v>4</v>
      </c>
      <c r="L4" s="1">
        <f>IF(E4=1,IF(K4&lt;=3,0.015,0.01),0.005)</f>
        <v>0.005</v>
      </c>
      <c r="M4" s="1">
        <f>IF(AND(C4="NPA",D4="STANDARD"),J4*L4*2,IF(D4="STANDARD",J4*L4,0))</f>
        <v>2000.0033</v>
      </c>
    </row>
    <row r="5" spans="1:13">
      <c r="A5" s="6">
        <v>45748</v>
      </c>
      <c r="B5" s="6">
        <v>47211</v>
      </c>
      <c r="C5" s="1" t="s">
        <v>22</v>
      </c>
      <c r="D5" s="1" t="s">
        <v>22</v>
      </c>
      <c r="E5" s="1">
        <v>2</v>
      </c>
      <c r="F5" s="8">
        <v>20010.65</v>
      </c>
      <c r="G5" s="8">
        <v>20300.65</v>
      </c>
      <c r="H5" s="1">
        <v>500</v>
      </c>
      <c r="I5" s="1">
        <f>F5+G5</f>
        <v>40311.3</v>
      </c>
      <c r="J5" s="1">
        <f>I5-H5</f>
        <v>39811.3</v>
      </c>
      <c r="L5" s="1">
        <f>IF(E5=1,IF(K5&lt;=3,0.015,0.01),0.005)</f>
        <v>0.005</v>
      </c>
      <c r="M5" s="1">
        <f>IF(AND(C5="NPA",D5="STANDARD"),J5*L5*2,IF(D5="STANDARD",J5*L5,0))</f>
        <v>199.0565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E21" sqref="E21"/>
    </sheetView>
  </sheetViews>
  <sheetFormatPr defaultColWidth="9" defaultRowHeight="15" outlineLevelRow="1"/>
  <cols>
    <col min="1" max="1" width="17.4285714285714" style="1" customWidth="1"/>
    <col min="2" max="2" width="18" style="1" customWidth="1"/>
    <col min="3" max="3" width="15.5714285714286" style="1" customWidth="1"/>
    <col min="4" max="4" width="29.4285714285714" style="1" customWidth="1"/>
    <col min="5" max="5" width="17.7142857142857" style="1" customWidth="1"/>
    <col min="6" max="6" width="19.5714285714286" style="1" customWidth="1"/>
    <col min="7" max="7" width="19.8571428571429" style="1" customWidth="1"/>
    <col min="8" max="8" width="16.2857142857143" style="1" customWidth="1"/>
    <col min="9" max="9" width="10.8571428571429" style="1" customWidth="1"/>
    <col min="10" max="16384" width="9" style="1"/>
  </cols>
  <sheetData>
    <row r="1" s="1" customFormat="1" spans="1:9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</row>
    <row r="2" s="1" customFormat="1" spans="1:9">
      <c r="A2" s="3">
        <v>46853</v>
      </c>
      <c r="B2" s="3">
        <f>DATE(YEAR(A2)-(MONTH(A2)&lt;4),3,31)</f>
        <v>46843</v>
      </c>
      <c r="C2" s="3">
        <v>46783</v>
      </c>
      <c r="D2" s="3">
        <f>A2-180</f>
        <v>46673</v>
      </c>
      <c r="E2" s="3">
        <f>DATE(YEAR(A2)-1-(MONTH(A2)&lt;4),4,1)</f>
        <v>46478</v>
      </c>
      <c r="F2" s="3">
        <f>MAX(D2,E2)</f>
        <v>46673</v>
      </c>
      <c r="G2" s="3">
        <f>B2</f>
        <v>46843</v>
      </c>
      <c r="H2" s="2">
        <f>A2-C2</f>
        <v>70</v>
      </c>
      <c r="I2" s="2" t="str">
        <f>IF(AND(C2&gt;=F2,C2&lt;=G2),"Valid","Invalid")</f>
        <v>Valid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New_CG</vt:lpstr>
      <vt:lpstr>Disbursement_Final</vt:lpstr>
      <vt:lpstr>Continuity_Calculator</vt:lpstr>
      <vt:lpstr>NPA 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 Somesh Infoneo</cp:lastModifiedBy>
  <dcterms:created xsi:type="dcterms:W3CDTF">2026-05-28T06:02:00Z</dcterms:created>
  <dcterms:modified xsi:type="dcterms:W3CDTF">2026-09-16T04:54:34Z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83C34C6001FD45A6AAB9CB2EBF472CDE_12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