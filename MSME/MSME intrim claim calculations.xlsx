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4000" windowHeight="9600" activeTab="1"/>
  </bookViews>
  <sheets>
    <sheet name="Intrim claim(OTS=N)" sheetId="3" r:id="rId1"/>
    <sheet name="Intrim claim (OTS=Y)" sheetId="5" r:id="rId2"/>
    <sheet name="Final claim(OTS=N)" sheetId="2" r:id="rId3"/>
    <sheet name="Final claim(OTS=Y)" sheetId="6" r:id="rId4"/>
    <sheet name="Sheet1" sheetId="7"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<sst xmlns="http://schemas.openxmlformats.org/spreadsheetml/2006/main" count="817" uniqueCount="225">
  <si>
    <t>S. No.</t>
  </si>
  <si>
    <t>Field Name</t>
  </si>
  <si>
    <t>Description</t>
  </si>
  <si>
    <t>Type</t>
  </si>
  <si>
    <t>Mandatory/ Optional</t>
  </si>
  <si>
    <t>Formula</t>
  </si>
  <si>
    <t>Remark</t>
  </si>
  <si>
    <t>1</t>
  </si>
  <si>
    <t>CGPAN</t>
  </si>
  <si>
    <t>Unique ID issued by system</t>
  </si>
  <si>
    <t>Search Option</t>
  </si>
  <si>
    <t>Mandatory</t>
  </si>
  <si>
    <t>2</t>
  </si>
  <si>
    <t>Loan a/c no for new credit facilities</t>
  </si>
  <si>
    <t>Loan Account number allotted by MLI. A Unique Number as per respective MLI’s procedure</t>
  </si>
  <si>
    <t>Auto populate on selection of CGPAN</t>
  </si>
  <si>
    <t>3</t>
  </si>
  <si>
    <t>Latest Date of NPA</t>
  </si>
  <si>
    <t>Date of NPA as updated by MLI</t>
  </si>
  <si>
    <t>4</t>
  </si>
  <si>
    <t>NPA marking date</t>
  </si>
  <si>
    <t>Date on which account is marked NPA in system</t>
  </si>
  <si>
    <t>5</t>
  </si>
  <si>
    <t>Legal Action Taken</t>
  </si>
  <si>
    <t>Type of Recovery Proceedings Initiated 1.DRT 2. 13(4) SARFAESI Act, 2002 3.NCLT 4.Lok Adalat 5.CIVIL Court</t>
  </si>
  <si>
    <t>List</t>
  </si>
  <si>
    <t>6</t>
  </si>
  <si>
    <t>Date of Initiation of Legal action</t>
  </si>
  <si>
    <t>Date of commencement of Recovery Proceedings is date on which recovery proceedings have been initiated under due process of law</t>
  </si>
  <si>
    <t>Date</t>
  </si>
  <si>
    <t>7</t>
  </si>
  <si>
    <t>OTS</t>
  </si>
  <si>
    <t>OTS Done. Yes/No</t>
  </si>
  <si>
    <t>N</t>
  </si>
  <si>
    <t>Add</t>
  </si>
  <si>
    <t>8</t>
  </si>
  <si>
    <t>Date of OTS</t>
  </si>
  <si>
    <t>Date of OTS. It should be after 1 year of the date of  Initiation of Legal action</t>
  </si>
  <si>
    <t>Mandatory, if OTS=Yes</t>
  </si>
  <si>
    <t>9A</t>
  </si>
  <si>
    <t>Total Recovery through OTS</t>
  </si>
  <si>
    <t>Amount recovered through OTS  Entry by MLI Maker</t>
  </si>
  <si>
    <t>Amount in Rs (greater than zero)</t>
  </si>
  <si>
    <t>Mandatory if OTS =Yes</t>
  </si>
  <si>
    <t>9B</t>
  </si>
  <si>
    <t>Total Recovery through OTS as seen from documents by NCGTC</t>
  </si>
  <si>
    <t>Amount recovered through OTS Entry by NCGTC Maker / Checker This is auto-fetch from 9A and editable to NCGTC maker/checker.</t>
  </si>
  <si>
    <t>9C</t>
  </si>
  <si>
    <t>Legal Cost</t>
  </si>
  <si>
    <t>Legal Cost, if any</t>
  </si>
  <si>
    <t>Amount in Rs (greater than or equal to zero)</t>
  </si>
  <si>
    <t>Mandatory  if OTS =Yes Otherwise disable.</t>
  </si>
  <si>
    <t>10</t>
  </si>
  <si>
    <t>Recovery through OTS (NCGTC portion)</t>
  </si>
  <si>
    <t>Amount recovered through OTS ( Proportionate amount of NCGTC recovery ) – 40% of 9A-9C for MLI / 40% of 9B-9C for NCGTC.</t>
  </si>
  <si>
    <t>Auto</t>
  </si>
  <si>
    <t>11</t>
  </si>
  <si>
    <t>Recovery through OTS retained by MLI</t>
  </si>
  <si>
    <t>Amount recovered through OTS retained by MLI – 60% of 9A-9C for MLI / 60% of 9B-9C for NCGTC.</t>
  </si>
  <si>
    <t>12</t>
  </si>
  <si>
    <t>Collateral value at time of sanction</t>
  </si>
  <si>
    <t>Collateral Value entered at time of sanction</t>
  </si>
  <si>
    <t>Auto - Add</t>
  </si>
  <si>
    <t>13</t>
  </si>
  <si>
    <t>Present Collateral value</t>
  </si>
  <si>
    <t>Collateral Value entered at time of interim claim</t>
  </si>
  <si>
    <t>Amount in Rs.</t>
  </si>
  <si>
    <t>14</t>
  </si>
  <si>
    <t>Collateral Value to consider for claim settlement</t>
  </si>
  <si>
    <t>Higher of Collateral value at sanction or at time of claim</t>
  </si>
  <si>
    <t>Auto calculation Higher of 12 &amp; 13</t>
  </si>
  <si>
    <t xml:space="preserve">Auto - Calculate </t>
  </si>
  <si>
    <t>15</t>
  </si>
  <si>
    <t>Principal Outstanding as on Date of NPA</t>
  </si>
  <si>
    <t>Loan amount outstanding comprising principal due from the borrower as on date of NPA. It cannot be more than the sanction amount.</t>
  </si>
  <si>
    <t>16</t>
  </si>
  <si>
    <t>Interest Outstanding as on Date of NPA</t>
  </si>
  <si>
    <t>Loan amount outstanding comprising of interest due from borrower as on date of NPA</t>
  </si>
  <si>
    <t>17</t>
  </si>
  <si>
    <t>Recovery amount after NPA date till interim claim lodgement</t>
  </si>
  <si>
    <t>Recovery made after NPA till interim claim lodgement. Amount to be entered “0” in case of no recovery</t>
  </si>
  <si>
    <t>Amount in Rs. Entered by MLI Maker</t>
  </si>
  <si>
    <t>Mandatory, if OTS = NO</t>
  </si>
  <si>
    <t>18</t>
  </si>
  <si>
    <t>Principal O/S as on date of NPA as per ledger as observed by NCGTC</t>
  </si>
  <si>
    <r>
      <rPr>
        <sz val="11"/>
        <color theme="1"/>
        <rFont val="Calibri"/>
        <charset val="134"/>
        <scheme val="minor"/>
      </rPr>
      <t xml:space="preserve">This field is editable to NCGTC users while settlement of claims. </t>
    </r>
    <r>
      <rPr>
        <b/>
        <sz val="11"/>
        <color theme="1"/>
        <rFont val="Calibri"/>
        <charset val="134"/>
        <scheme val="minor"/>
      </rPr>
      <t>This is auto-fetch from 15</t>
    </r>
    <r>
      <rPr>
        <sz val="11"/>
        <color theme="1"/>
        <rFont val="Calibri"/>
        <charset val="134"/>
        <scheme val="minor"/>
      </rPr>
      <t xml:space="preserve"> and editable to NCGTC maker/checker.</t>
    </r>
  </si>
  <si>
    <t>Amount in Rs. Entered by NCGTC Maker / Checker</t>
  </si>
  <si>
    <t>19</t>
  </si>
  <si>
    <t>Interest Outstanding as on date of NPA as per ledger as observed by NCGTC</t>
  </si>
  <si>
    <r>
      <rPr>
        <sz val="11"/>
        <color theme="1"/>
        <rFont val="Calibri"/>
        <charset val="134"/>
        <scheme val="minor"/>
      </rPr>
      <t xml:space="preserve">This field is editable to NCGTC users while settlement of claims.   </t>
    </r>
    <r>
      <rPr>
        <b/>
        <sz val="11"/>
        <color theme="1"/>
        <rFont val="Calibri"/>
        <charset val="134"/>
        <scheme val="minor"/>
      </rPr>
      <t xml:space="preserve">This is auto-fetch from 16 </t>
    </r>
    <r>
      <rPr>
        <sz val="11"/>
        <color theme="1"/>
        <rFont val="Calibri"/>
        <charset val="134"/>
        <scheme val="minor"/>
      </rPr>
      <t>and editable to NCGTC maker/checker.</t>
    </r>
  </si>
  <si>
    <t>20</t>
  </si>
  <si>
    <t>Recovery amount after NPA date till interim claim lodgment</t>
  </si>
  <si>
    <t>This field is editable to NCGTC users while settlement of claims. This is auto-fetch from 17 and editable to NCGTC maker/checker.</t>
  </si>
  <si>
    <t>Mandatory , if OTS = NO</t>
  </si>
  <si>
    <t>21</t>
  </si>
  <si>
    <t>Amount in Default</t>
  </si>
  <si>
    <t>Principal and interest O/S as on NPA date or on claim lodgment; whichever is lower</t>
  </si>
  <si>
    <t>Auto Calculate  
AT MLI Side  
If OTS = N Then  (15+16- 17 )
If OTS = Y Then  (15+16-10) 
AT NCGTC Side 
If OTS = N Then  (18+19- 20 ) 
If OTS = Y Then (18+19-10)</t>
  </si>
  <si>
    <t>NCGTC side</t>
  </si>
  <si>
    <t>22</t>
  </si>
  <si>
    <t>Eligible claim</t>
  </si>
  <si>
    <t>Claim amount eligible under scheme</t>
  </si>
  <si>
    <t>Auto Calculate.  60% of AID (21) -Value of collateral (14)</t>
  </si>
  <si>
    <t>23</t>
  </si>
  <si>
    <t>Interim Claim Calculated &amp; Payable (Final Claim Calculated, If OTS = Yes)</t>
  </si>
  <si>
    <t>Claim amount to be paid to MLI. (round up to 0 decimal).</t>
  </si>
  <si>
    <t>Auto Calculate.  
If OTS = No Then, 75% of (22). 
If OTS = Yes Then, 100% of (22)</t>
  </si>
  <si>
    <t>24</t>
  </si>
  <si>
    <t>Total CG Fee received during previous FY</t>
  </si>
  <si>
    <t>CG fee received by NCGTC during previous FY to the claim year</t>
  </si>
  <si>
    <t>Auto-fetch CG Fees and auto-calculate from system.</t>
  </si>
  <si>
    <t>25</t>
  </si>
  <si>
    <t>Total recovery (including OTS recovery) amount remitted to NCGTC during previous FY</t>
  </si>
  <si>
    <t>Recoveries remitted to NCGTC during the previous FY to the claim year</t>
  </si>
  <si>
    <t>Auto-fetch recovers and auto-calculates from the system.</t>
  </si>
  <si>
    <t>26</t>
  </si>
  <si>
    <t>Maximum Limit available for the current claim FY</t>
  </si>
  <si>
    <t>Maximum claim payable limit for the current claim FY</t>
  </si>
  <si>
    <t>Auto-calculation. 2*(24+25)</t>
  </si>
  <si>
    <t>27</t>
  </si>
  <si>
    <t>Total claims released during the current FY</t>
  </si>
  <si>
    <t>Auto-calculation.</t>
  </si>
  <si>
    <t>28</t>
  </si>
  <si>
    <t>Limit Available for Further settlements</t>
  </si>
  <si>
    <t>Auto-calculation. 26-27</t>
  </si>
  <si>
    <t>Mandatory.</t>
  </si>
  <si>
    <t>29</t>
  </si>
  <si>
    <t>Amount available for payment against current claim</t>
  </si>
  <si>
    <t>Amount available for payment against current claim (To Be Paid) – Payment Integration for this amount. This may be part or full payment.</t>
  </si>
  <si>
    <t>Auto-Calculation  
23 if 23&lt;=28, 
else 
28  300&lt;=100</t>
  </si>
  <si>
    <t>30</t>
  </si>
  <si>
    <t>Amount available for future settlements</t>
  </si>
  <si>
    <t>Limit available for future settlements</t>
  </si>
  <si>
    <t>Auto-Calc. 28-29</t>
  </si>
  <si>
    <t>31</t>
  </si>
  <si>
    <t>Claim carry forward amount for next financial year</t>
  </si>
  <si>
    <t>Carry forward claim pending for previous years</t>
  </si>
  <si>
    <t>Auto-calc. If 29&lt;23 then 23-29</t>
  </si>
  <si>
    <t>Formula MLI side</t>
  </si>
  <si>
    <t>Formula NCGTC side</t>
  </si>
  <si>
    <t>Y</t>
  </si>
  <si>
    <t>Ediatble</t>
  </si>
  <si>
    <t>MSMETyep</t>
  </si>
  <si>
    <r>
      <t xml:space="preserve">Amount recovered through OTS ( Proportionate amount of NCGTC recovery ) – 40% of 9A-9C for MLI / 40% of 9B-9C for NCGTC.
</t>
    </r>
    <r>
      <rPr>
        <sz val="11"/>
        <color rgb="FFFF0000"/>
        <rFont val="Calibri"/>
        <charset val="134"/>
        <scheme val="minor"/>
      </rPr>
      <t>NCGTC and MLI portions should be 60% and 40%, respectively, for General MSME, and 75% and 25%, respectively, for Exporter MSME</t>
    </r>
  </si>
  <si>
    <r>
      <t xml:space="preserve">Amount recovered through OTS retained by MLI – 60% of 9A-9C for MLI / 60% of 9B-9C for NCGTC.
</t>
    </r>
    <r>
      <rPr>
        <sz val="11"/>
        <color rgb="FFFF0000"/>
        <rFont val="Calibri"/>
        <charset val="134"/>
        <scheme val="minor"/>
      </rPr>
      <t>NCGTC and MLI portions should be 60% and 40%, respectively, for General MSME, and 75% and 25%, respectively, for Exporter MSME</t>
    </r>
  </si>
  <si>
    <t>Auto Calculate.  75% of AID (21) -Value of collateral (14)</t>
  </si>
  <si>
    <t>Auto-calculation. 3*(24+25)</t>
  </si>
  <si>
    <t>Dropdown Option</t>
  </si>
  <si>
    <t>Loan Account number allotted by LI. A Unique Number as per respective LI’s procedure</t>
  </si>
  <si>
    <t>OTS data</t>
  </si>
  <si>
    <t>Type of Recovery Proceedings Initiated 
1.DRT 
2. 13(4) SARFAESI Act, 2002 
3.NCLT 
4.Lok Adalat 5.CIVIL Court</t>
  </si>
  <si>
    <t>NCGTC</t>
  </si>
  <si>
    <t>Date of Initiation of Legal</t>
  </si>
  <si>
    <t>Date of Recovery Proceedings is date on which recovery proceedings have been initiated under due process of law</t>
  </si>
  <si>
    <t>Amount recovered through OTS Entry by MLI Maker</t>
  </si>
  <si>
    <t>Recovery through OTS – NCGTC Portion</t>
  </si>
  <si>
    <t>Amount recovered through OTS ( Proportionate amount of NCGTC recovery ) – 40% of 9A-9C for MLI side / 40% of 9B-9C for NCGTC side.</t>
  </si>
  <si>
    <t>Amount recovered through OTS retained by MLI – 60% of 9A-9C for MLI side / 60% of 9B-9C for NCGTC side.</t>
  </si>
  <si>
    <t>Loan amount outstanding comprising principal due from borrower as on date of NPA. It cannot be more than the sanction amount. Corrected by NCGCT Maker/Checker.</t>
  </si>
  <si>
    <t>auto - Add</t>
  </si>
  <si>
    <t>Loan amount outstanding comprising of interest due from borrower as on date of NPA Corrected by NCGCT Maker/Checker.</t>
  </si>
  <si>
    <t>Auto populate on selection of CGPAN .</t>
  </si>
  <si>
    <t>Recovery-NCGTC Portion. (40% already calculated under Interim Claim)</t>
  </si>
  <si>
    <t>Recovery after interim claim till final claim  lodgement</t>
  </si>
  <si>
    <t>Recovery made after interim claim lodgement till final claim lodgement. Amount to be entered “0” in case of no recovery</t>
  </si>
  <si>
    <t>Mandatory, if OTS = No</t>
  </si>
  <si>
    <t>Recovery amount after Interim Claim date till Final claim lodgement</t>
  </si>
  <si>
    <t>This field is editable to NCGTC users while settlement of claims. This is auto-fetch from 15 and editable to NCGTC maker/checker.</t>
  </si>
  <si>
    <t>Mandatory , if OTS = No</t>
  </si>
  <si>
    <t>Editable</t>
  </si>
  <si>
    <t>17A</t>
  </si>
  <si>
    <t>Post Interim Claim Recovery-NCGTC Portion</t>
  </si>
  <si>
    <t>Amount recovered ( Proportionate amount of NCGTC recovery ) – 40% of 15 for MLI side / 40% of 16 for NCGTC side.</t>
  </si>
  <si>
    <t>17B</t>
  </si>
  <si>
    <t>Post Interim Claim Recovery - MLI Portion</t>
  </si>
  <si>
    <t>Amount recovered through OTS retained by MLI – 60% of 15 for MLI side/ 60% of 16 for NCGTC side.</t>
  </si>
  <si>
    <t>Conclusion of Recovery Proceedings</t>
  </si>
  <si>
    <t>Whether the conclusion of recovery proceedings by the LI is completed. If No then do not allow me to submit the claim. (as proceeding is not completed hence claim cannot be lodged)</t>
  </si>
  <si>
    <t>List- Yes / No</t>
  </si>
  <si>
    <t>Mandatory, if OTS = No Else disable.</t>
  </si>
  <si>
    <t>Final Court order date</t>
  </si>
  <si>
    <t>Date of completion of recovery proceeding</t>
  </si>
  <si>
    <t>Mandatory If 18 = Yes</t>
  </si>
  <si>
    <t>Add  - auto</t>
  </si>
  <si>
    <t>21.</t>
  </si>
  <si>
    <t>Present Collateral value  (interim)</t>
  </si>
  <si>
    <t>Present Collateral value( final)</t>
  </si>
  <si>
    <t>Collateral Value entered at time of final claim</t>
  </si>
  <si>
    <t>Amount in Rs</t>
  </si>
  <si>
    <t>Auto calculate Higher of 20 or 21or 22</t>
  </si>
  <si>
    <t>Revised Amount in Default  (R-AID)</t>
  </si>
  <si>
    <t>Auto calculation 
AT MLI Side  
If OTS = N Then    (12+13-14-17A) 
If OTS = Y Then  (12+13-14-10) 
AT NCGTC Side 
If OTS = N Then (12+13-14-17A) 
If OTS = Y Then (12+13-14-10)</t>
  </si>
  <si>
    <t>Total eligible claim</t>
  </si>
  <si>
    <t>Auto Calculate. 60% of revised AID (24) -Value of collateral (23)</t>
  </si>
  <si>
    <t>Interim Claim paid</t>
  </si>
  <si>
    <t>Auto-fetch from Interim Claim Form (Interim Claim Calculated)</t>
  </si>
  <si>
    <t>Eligible Final claim payout</t>
  </si>
  <si>
    <t>Final claim to be paid</t>
  </si>
  <si>
    <t>Auto Calculate 25-26</t>
  </si>
  <si>
    <t>Auto-calculation. 2*(28+29)</t>
  </si>
  <si>
    <t>Auto-calculate</t>
  </si>
  <si>
    <t>32</t>
  </si>
  <si>
    <t>Auto-calculation. 30-31</t>
  </si>
  <si>
    <t>33</t>
  </si>
  <si>
    <t>Amount available for payment against current claim (To Be Paid) – Payment Integration for this amount. This may be part- or full payment.</t>
  </si>
  <si>
    <t>Auto-Calculation  27 if 27&lt;=32, else 32</t>
  </si>
  <si>
    <t>34</t>
  </si>
  <si>
    <t>Auto-Calc. 32-33</t>
  </si>
  <si>
    <t>35</t>
  </si>
  <si>
    <t>Auto-calc. If 27=33 then 0 else 27-33</t>
  </si>
  <si>
    <t>sr no</t>
  </si>
  <si>
    <t>Feedback / Requirement</t>
  </si>
  <si>
    <t>Status</t>
  </si>
  <si>
    <r>
      <rPr>
        <b/>
        <sz val="11"/>
        <color theme="1"/>
        <rFont val="Calibri"/>
        <charset val="134"/>
        <scheme val="minor"/>
      </rPr>
      <t>NCGTC Accountant – Payment:</t>
    </r>
    <r>
      <rPr>
        <sz val="11"/>
        <color theme="1"/>
        <rFont val="Calibri"/>
        <charset val="134"/>
        <scheme val="minor"/>
      </rPr>
      <t xml:space="preserve"> Show </t>
    </r>
    <r>
      <rPr>
        <i/>
        <sz val="11"/>
        <color theme="1"/>
        <rFont val="Calibri"/>
        <charset val="134"/>
        <scheme val="minor"/>
      </rPr>
      <t>Amount Available for Payment Against Current Claim</t>
    </r>
    <r>
      <rPr>
        <sz val="11"/>
        <color theme="1"/>
        <rFont val="Calibri"/>
        <charset val="134"/>
        <scheme val="minor"/>
      </rPr>
      <t xml:space="preserve"> instead of </t>
    </r>
    <r>
      <rPr>
        <i/>
        <sz val="11"/>
        <color theme="1"/>
        <rFont val="Calibri"/>
        <charset val="134"/>
        <scheme val="minor"/>
      </rPr>
      <t>Interim Claim Calculated &amp; Payable</t>
    </r>
    <r>
      <rPr>
        <sz val="11"/>
        <color theme="1"/>
        <rFont val="Calibri"/>
        <charset val="134"/>
        <scheme val="minor"/>
      </rPr>
      <t>.</t>
    </r>
  </si>
  <si>
    <t>Done</t>
  </si>
  <si>
    <r>
      <rPr>
        <b/>
        <sz val="11"/>
        <color theme="1"/>
        <rFont val="Calibri"/>
        <charset val="134"/>
        <scheme val="minor"/>
      </rPr>
      <t>NCGTC Creator/Approver:</t>
    </r>
    <r>
      <rPr>
        <sz val="11"/>
        <color theme="1"/>
        <rFont val="Calibri"/>
        <charset val="134"/>
        <scheme val="minor"/>
      </rPr>
      <t xml:space="preserve"> Display all claim lodgement records along with an </t>
    </r>
    <r>
      <rPr>
        <b/>
        <sz val="11"/>
        <color theme="1"/>
        <rFont val="Calibri"/>
        <charset val="134"/>
        <scheme val="minor"/>
      </rPr>
      <t>MLI Name</t>
    </r>
    <r>
      <rPr>
        <sz val="11"/>
        <color theme="1"/>
        <rFont val="Calibri"/>
        <charset val="134"/>
        <scheme val="minor"/>
      </rPr>
      <t xml:space="preserve"> filter.</t>
    </r>
  </si>
  <si>
    <r>
      <rPr>
        <b/>
        <sz val="11"/>
        <color theme="1"/>
        <rFont val="Calibri"/>
        <charset val="134"/>
        <scheme val="minor"/>
      </rPr>
      <t>Audit Trail:</t>
    </r>
    <r>
      <rPr>
        <sz val="11"/>
        <color theme="1"/>
        <rFont val="Calibri"/>
        <charset val="134"/>
        <scheme val="minor"/>
      </rPr>
      <t xml:space="preserve"> Display only the role instead of the NCGTC user name and include the Accountant role in the audit trail.</t>
    </r>
  </si>
  <si>
    <r>
      <rPr>
        <b/>
        <sz val="11"/>
        <color theme="1"/>
        <rFont val="Calibri"/>
        <charset val="134"/>
        <scheme val="minor"/>
      </rPr>
      <t>On Hold</t>
    </r>
    <r>
      <rPr>
        <sz val="11"/>
        <color theme="1"/>
        <rFont val="Calibri"/>
        <charset val="134"/>
        <scheme val="minor"/>
      </rPr>
      <t xml:space="preserve"> – Facing an implementation issue.</t>
    </r>
  </si>
  <si>
    <r>
      <rPr>
        <b/>
        <sz val="11"/>
        <color theme="1"/>
        <rFont val="Calibri"/>
        <charset val="134"/>
        <scheme val="minor"/>
      </rPr>
      <t>Recovery:</t>
    </r>
    <r>
      <rPr>
        <sz val="11"/>
        <color theme="1"/>
        <rFont val="Calibri"/>
        <charset val="134"/>
        <scheme val="minor"/>
      </rPr>
      <t xml:space="preserve"> Auto-populate the Recovery Amount from NPA date until Final Claim, with the option to edit the amount.</t>
    </r>
  </si>
  <si>
    <r>
      <rPr>
        <b/>
        <sz val="11"/>
        <color theme="1"/>
        <rFont val="Calibri"/>
        <charset val="134"/>
        <scheme val="minor"/>
      </rPr>
      <t>Recovery:</t>
    </r>
    <r>
      <rPr>
        <sz val="11"/>
        <color theme="1"/>
        <rFont val="Calibri"/>
        <charset val="134"/>
        <scheme val="minor"/>
      </rPr>
      <t xml:space="preserve"> Allow recovery only for cases where the Interim Claim has been settled; otherwise, display an appropriate error.</t>
    </r>
  </si>
  <si>
    <r>
      <rPr>
        <b/>
        <sz val="11"/>
        <color theme="1"/>
        <rFont val="Calibri"/>
        <charset val="134"/>
        <scheme val="minor"/>
      </rPr>
      <t>Recovery Report:</t>
    </r>
    <r>
      <rPr>
        <sz val="11"/>
        <color theme="1"/>
        <rFont val="Calibri"/>
        <charset val="134"/>
        <scheme val="minor"/>
      </rPr>
      <t xml:space="preserve"> Report logic to be based on the </t>
    </r>
    <r>
      <rPr>
        <b/>
        <sz val="11"/>
        <color theme="1"/>
        <rFont val="Calibri"/>
        <charset val="134"/>
        <scheme val="minor"/>
      </rPr>
      <t>Payment Date</t>
    </r>
    <r>
      <rPr>
        <sz val="11"/>
        <color theme="1"/>
        <rFont val="Calibri"/>
        <charset val="134"/>
        <scheme val="minor"/>
      </rPr>
      <t>.</t>
    </r>
  </si>
  <si>
    <r>
      <rPr>
        <b/>
        <sz val="11"/>
        <color theme="1"/>
        <rFont val="Calibri"/>
        <charset val="134"/>
        <scheme val="minor"/>
      </rPr>
      <t>Claim Report:</t>
    </r>
    <r>
      <rPr>
        <sz val="11"/>
        <color theme="1"/>
        <rFont val="Calibri"/>
        <charset val="134"/>
        <scheme val="minor"/>
      </rPr>
      <t xml:space="preserve"> Report logic to be based on the </t>
    </r>
    <r>
      <rPr>
        <b/>
        <sz val="11"/>
        <color theme="1"/>
        <rFont val="Calibri"/>
        <charset val="134"/>
        <scheme val="minor"/>
      </rPr>
      <t>Claim Payout Date</t>
    </r>
    <r>
      <rPr>
        <sz val="11"/>
        <color theme="1"/>
        <rFont val="Calibri"/>
        <charset val="134"/>
        <scheme val="minor"/>
      </rPr>
      <t>.</t>
    </r>
  </si>
  <si>
    <r>
      <rPr>
        <b/>
        <sz val="11"/>
        <color theme="1"/>
        <rFont val="Calibri"/>
        <charset val="134"/>
        <scheme val="minor"/>
      </rPr>
      <t>NPA Report:</t>
    </r>
    <r>
      <rPr>
        <sz val="11"/>
        <color theme="1"/>
        <rFont val="Calibri"/>
        <charset val="134"/>
        <scheme val="minor"/>
      </rPr>
      <t xml:space="preserve"> Logic to be based on the </t>
    </r>
    <r>
      <rPr>
        <b/>
        <sz val="11"/>
        <color theme="1"/>
        <rFont val="Calibri"/>
        <charset val="134"/>
        <scheme val="minor"/>
      </rPr>
      <t>NPA Marking Date</t>
    </r>
    <r>
      <rPr>
        <sz val="11"/>
        <color theme="1"/>
        <rFont val="Calibri"/>
        <charset val="134"/>
        <scheme val="minor"/>
      </rPr>
      <t xml:space="preserve"> instead of the NPA Date.</t>
    </r>
  </si>
  <si>
    <r>
      <rPr>
        <b/>
        <sz val="11"/>
        <color theme="1"/>
        <rFont val="Calibri"/>
        <charset val="134"/>
        <scheme val="minor"/>
      </rPr>
      <t>MLI-wise Claim Payout Capping Report:</t>
    </r>
    <r>
      <rPr>
        <sz val="11"/>
        <color theme="1"/>
        <rFont val="Calibri"/>
        <charset val="134"/>
        <scheme val="minor"/>
      </rPr>
      <t xml:space="preserve"> Development as per the calculation Excel shared earlier by the client.</t>
    </r>
  </si>
  <si>
    <r>
      <rPr>
        <b/>
        <sz val="11"/>
        <color theme="1"/>
        <rFont val="Calibri"/>
        <charset val="134"/>
        <scheme val="minor"/>
      </rPr>
      <t>Pending</t>
    </r>
    <r>
      <rPr>
        <sz val="11"/>
        <color theme="1"/>
        <rFont val="Calibri"/>
        <charset val="134"/>
        <scheme val="minor"/>
      </rPr>
      <t xml:space="preserve"> – As discussed, this needs to be developed as a dashboard.</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</si>
</sst>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 numFmtId="180" formatCode="0.00_ "/>
    <numFmt numFmtId="181" formatCode="0_ "/>
  </numFmts>
  <fonts count="25">
    <font>
      <sz val="11"/>
      <color theme="1"/>
      <name val="Calibri"/>
      <charset val="134"/>
      <scheme val="minor"/>
    </font>
    <font>
      <b/>
      <sz val="11"/>
      <color theme="1"/>
      <name val="Calibri"/>
      <charset val="134"/>
      <scheme val="minor"/>
    </font>
    <font>
      <sz val="11"/>
      <color rgb="FFFF0000"/>
      <name val="Calibri"/>
      <charset val="134"/>
      <scheme val="minor"/>
    </font>
    <font>
      <sz val="11"/>
      <name val="Calibri"/>
      <charset val="134"/>
      <scheme val="minor"/>
    </font>
    <font>
      <sz val="11"/>
      <color rgb="FF7030A0"/>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i/>
      <sz val="11"/>
      <color theme="1"/>
      <name val="Calibri"/>
      <charset val="134"/>
      <scheme val="minor"/>
    </font>
  </fonts>
  <fills count="39">
    <fill>
      <patternFill patternType="none"/>
    </fill>
    <fill>
      <patternFill patternType="gray125"/>
    </fill>
    <fill>
      <patternFill patternType="solid">
        <fgColor rgb="FFFFFF00"/>
        <bgColor indexed="64"/>
      </patternFill>
    </fill>
    <fill>
      <patternFill patternType="solid">
        <fgColor rgb="FF002060"/>
        <bgColor indexed="64"/>
      </patternFill>
    </fill>
    <fill>
      <patternFill patternType="solid">
        <fgColor theme="5" tint="-0.25"/>
        <bgColor indexed="64"/>
      </patternFill>
    </fill>
    <fill>
      <patternFill patternType="solid">
        <fgColor theme="3" tint="0.6"/>
        <bgColor indexed="64"/>
      </patternFill>
    </fill>
    <fill>
      <patternFill patternType="solid">
        <fgColor theme="4" tint="0.6"/>
        <bgColor indexed="64"/>
      </patternFill>
    </fill>
    <fill>
      <patternFill patternType="solid">
        <fgColor rgb="FF00B0F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0" fillId="8" borderId="2"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3" applyNumberFormat="0" applyFill="0" applyAlignment="0" applyProtection="0">
      <alignment vertical="center"/>
    </xf>
    <xf numFmtId="0" fontId="11" fillId="0" borderId="3" applyNumberFormat="0" applyFill="0" applyAlignment="0" applyProtection="0">
      <alignment vertical="center"/>
    </xf>
    <xf numFmtId="0" fontId="12" fillId="0" borderId="4" applyNumberFormat="0" applyFill="0" applyAlignment="0" applyProtection="0">
      <alignment vertical="center"/>
    </xf>
    <xf numFmtId="0" fontId="12" fillId="0" borderId="0" applyNumberFormat="0" applyFill="0" applyBorder="0" applyAlignment="0" applyProtection="0">
      <alignment vertical="center"/>
    </xf>
    <xf numFmtId="0" fontId="13" fillId="9" borderId="5" applyNumberFormat="0" applyAlignment="0" applyProtection="0">
      <alignment vertical="center"/>
    </xf>
    <xf numFmtId="0" fontId="14" fillId="10" borderId="6" applyNumberFormat="0" applyAlignment="0" applyProtection="0">
      <alignment vertical="center"/>
    </xf>
    <xf numFmtId="0" fontId="15" fillId="10" borderId="5" applyNumberFormat="0" applyAlignment="0" applyProtection="0">
      <alignment vertical="center"/>
    </xf>
    <xf numFmtId="0" fontId="16" fillId="11" borderId="7" applyNumberFormat="0" applyAlignment="0" applyProtection="0">
      <alignment vertical="center"/>
    </xf>
    <xf numFmtId="0" fontId="17" fillId="0" borderId="8" applyNumberFormat="0" applyFill="0" applyAlignment="0" applyProtection="0">
      <alignment vertical="center"/>
    </xf>
    <xf numFmtId="0" fontId="18" fillId="0" borderId="9" applyNumberFormat="0" applyFill="0" applyAlignment="0" applyProtection="0">
      <alignment vertical="center"/>
    </xf>
    <xf numFmtId="0" fontId="19"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3" fillId="16" borderId="0" applyNumberFormat="0" applyBorder="0" applyAlignment="0" applyProtection="0">
      <alignment vertical="center"/>
    </xf>
    <xf numFmtId="0" fontId="23"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3" fillId="20" borderId="0" applyNumberFormat="0" applyBorder="0" applyAlignment="0" applyProtection="0">
      <alignment vertical="center"/>
    </xf>
    <xf numFmtId="0" fontId="23"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3" fillId="24" borderId="0" applyNumberFormat="0" applyBorder="0" applyAlignment="0" applyProtection="0">
      <alignment vertical="center"/>
    </xf>
    <xf numFmtId="0" fontId="23"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3" fillId="28" borderId="0" applyNumberFormat="0" applyBorder="0" applyAlignment="0" applyProtection="0">
      <alignment vertical="center"/>
    </xf>
    <xf numFmtId="0" fontId="23"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3" fillId="32" borderId="0" applyNumberFormat="0" applyBorder="0" applyAlignment="0" applyProtection="0">
      <alignment vertical="center"/>
    </xf>
    <xf numFmtId="0" fontId="23" fillId="33" borderId="0" applyNumberFormat="0" applyBorder="0" applyAlignment="0" applyProtection="0">
      <alignment vertical="center"/>
    </xf>
    <xf numFmtId="0" fontId="22" fillId="34" borderId="0" applyNumberFormat="0" applyBorder="0" applyAlignment="0" applyProtection="0">
      <alignment vertical="center"/>
    </xf>
    <xf numFmtId="0" fontId="22" fillId="35" borderId="0" applyNumberFormat="0" applyBorder="0" applyAlignment="0" applyProtection="0">
      <alignment vertical="center"/>
    </xf>
    <xf numFmtId="0" fontId="23" fillId="36" borderId="0" applyNumberFormat="0" applyBorder="0" applyAlignment="0" applyProtection="0">
      <alignment vertical="center"/>
    </xf>
    <xf numFmtId="0" fontId="23" fillId="37" borderId="0" applyNumberFormat="0" applyBorder="0" applyAlignment="0" applyProtection="0">
      <alignment vertical="center"/>
    </xf>
    <xf numFmtId="0" fontId="22" fillId="38" borderId="0" applyNumberFormat="0" applyBorder="0" applyAlignment="0" applyProtection="0">
      <alignment vertical="center"/>
    </xf>
  </cellStyleXfs>
  <cellXfs count="42">
    <xf numFmtId="0" fontId="0" fillId="0" borderId="0" xfId="0">
      <alignment vertical="center"/>
    </xf>
    <xf numFmtId="0" fontId="0" fillId="0" borderId="1" xfId="0" applyBorder="1">
      <alignment vertical="center"/>
    </xf>
    <xf numFmtId="0" fontId="1" fillId="0" borderId="1" xfId="0" applyFont="1" applyBorder="1" applyAlignment="1">
      <alignment horizontal="center" vertical="center" wrapText="1"/>
    </xf>
    <xf numFmtId="0" fontId="0" fillId="0" borderId="1" xfId="0" applyBorder="1" applyAlignment="1">
      <alignment horizontal="center" vertical="center"/>
    </xf>
    <xf numFmtId="0" fontId="1" fillId="0" borderId="1" xfId="0" applyFont="1" applyBorder="1" applyAlignment="1">
      <alignment vertical="center" wrapText="1"/>
    </xf>
    <xf numFmtId="0" fontId="0" fillId="0" borderId="0" xfId="0" applyFill="1" applyAlignment="1">
      <alignment vertical="center" wrapText="1"/>
    </xf>
    <xf numFmtId="0" fontId="0" fillId="0" borderId="0" xfId="0" applyFill="1" applyAlignment="1">
      <alignment vertical="center"/>
    </xf>
    <xf numFmtId="0" fontId="1" fillId="2" borderId="1" xfId="0" applyFont="1" applyFill="1" applyBorder="1" applyAlignment="1">
      <alignment vertical="center" wrapText="1"/>
    </xf>
    <xf numFmtId="0" fontId="1" fillId="2" borderId="1" xfId="0" applyFont="1" applyFill="1" applyBorder="1" applyAlignment="1">
      <alignment vertical="center"/>
    </xf>
    <xf numFmtId="0" fontId="0" fillId="0" borderId="1" xfId="0" applyFill="1" applyBorder="1" applyAlignment="1">
      <alignment vertical="center" wrapText="1"/>
    </xf>
    <xf numFmtId="0" fontId="0" fillId="0" borderId="1" xfId="0" applyFill="1" applyBorder="1" applyAlignment="1">
      <alignment vertical="center"/>
    </xf>
    <xf numFmtId="0" fontId="0" fillId="3" borderId="0" xfId="0" applyFill="1">
      <alignment vertical="center"/>
    </xf>
    <xf numFmtId="0" fontId="0" fillId="4" borderId="0" xfId="0" applyFill="1">
      <alignment vertical="center"/>
    </xf>
    <xf numFmtId="0" fontId="0" fillId="5" borderId="1" xfId="0" applyFill="1" applyBorder="1" applyAlignment="1">
      <alignment vertical="center" wrapText="1"/>
    </xf>
    <xf numFmtId="0" fontId="0" fillId="2" borderId="1" xfId="0" applyFill="1" applyBorder="1" applyAlignment="1">
      <alignment vertical="center" wrapText="1"/>
    </xf>
    <xf numFmtId="0" fontId="2" fillId="0" borderId="1" xfId="0" applyFont="1" applyFill="1" applyBorder="1" applyAlignment="1">
      <alignment vertical="center" wrapText="1"/>
    </xf>
    <xf numFmtId="0" fontId="3" fillId="0" borderId="1" xfId="0" applyFont="1" applyFill="1" applyBorder="1" applyAlignment="1">
      <alignment vertical="center" wrapText="1"/>
    </xf>
    <xf numFmtId="0" fontId="0" fillId="0" borderId="1" xfId="0" applyNumberFormat="1" applyFill="1" applyBorder="1" applyAlignment="1">
      <alignment vertical="center" wrapText="1"/>
    </xf>
    <xf numFmtId="0" fontId="1" fillId="2" borderId="0" xfId="0" applyFont="1" applyFill="1" applyAlignment="1">
      <alignment vertical="center" wrapText="1"/>
    </xf>
    <xf numFmtId="0" fontId="0" fillId="0" borderId="0" xfId="0" applyFont="1" applyFill="1" applyAlignment="1">
      <alignment vertical="center" wrapText="1"/>
    </xf>
    <xf numFmtId="180" fontId="0" fillId="0" borderId="0" xfId="0" applyNumberFormat="1" applyAlignment="1">
      <alignment vertical="center" wrapText="1"/>
    </xf>
    <xf numFmtId="0" fontId="0" fillId="0" borderId="0" xfId="0" applyAlignment="1">
      <alignment vertical="center" wrapText="1"/>
    </xf>
    <xf numFmtId="0" fontId="0" fillId="0" borderId="0" xfId="0" applyAlignment="1">
      <alignment vertical="center"/>
    </xf>
    <xf numFmtId="180" fontId="1" fillId="2" borderId="1" xfId="0" applyNumberFormat="1" applyFont="1" applyFill="1" applyBorder="1" applyAlignment="1">
      <alignment vertical="center" wrapText="1"/>
    </xf>
    <xf numFmtId="0" fontId="0" fillId="0" borderId="1" xfId="0" applyFont="1" applyFill="1" applyBorder="1" applyAlignment="1">
      <alignment vertical="center" wrapText="1"/>
    </xf>
    <xf numFmtId="180" fontId="0" fillId="0" borderId="1" xfId="0" applyNumberFormat="1" applyBorder="1" applyAlignment="1">
      <alignment vertical="center" wrapText="1"/>
    </xf>
    <xf numFmtId="0" fontId="0" fillId="0" borderId="1" xfId="0" applyBorder="1" applyAlignment="1">
      <alignment vertical="center" wrapText="1"/>
    </xf>
    <xf numFmtId="0" fontId="0" fillId="2" borderId="1" xfId="0" applyFont="1" applyFill="1" applyBorder="1" applyAlignment="1">
      <alignment vertical="center" wrapText="1"/>
    </xf>
    <xf numFmtId="0" fontId="0" fillId="6" borderId="1" xfId="0" applyFont="1" applyFill="1" applyBorder="1" applyAlignment="1">
      <alignment vertical="center" wrapText="1"/>
    </xf>
    <xf numFmtId="181" fontId="0" fillId="0" borderId="1" xfId="0" applyNumberFormat="1" applyBorder="1" applyAlignment="1">
      <alignment vertical="center" wrapText="1"/>
    </xf>
    <xf numFmtId="0" fontId="0" fillId="7" borderId="0" xfId="0" applyFill="1" applyAlignment="1">
      <alignment vertical="center"/>
    </xf>
    <xf numFmtId="180" fontId="0" fillId="2" borderId="1" xfId="0" applyNumberFormat="1" applyFill="1" applyBorder="1" applyAlignment="1">
      <alignment vertical="center" wrapText="1"/>
    </xf>
    <xf numFmtId="0" fontId="0" fillId="4" borderId="0" xfId="0" applyFill="1" applyAlignment="1">
      <alignment vertical="center"/>
    </xf>
    <xf numFmtId="0" fontId="4" fillId="3" borderId="0" xfId="0" applyFont="1" applyFill="1" applyAlignment="1">
      <alignment vertical="center"/>
    </xf>
    <xf numFmtId="0" fontId="0" fillId="0" borderId="0" xfId="0" applyFont="1" applyFill="1" applyAlignment="1">
      <alignment wrapText="1"/>
    </xf>
    <xf numFmtId="0" fontId="1" fillId="2" borderId="1" xfId="0" applyFont="1" applyFill="1" applyBorder="1" applyAlignment="1">
      <alignment wrapText="1"/>
    </xf>
    <xf numFmtId="0" fontId="0" fillId="0" borderId="1" xfId="0" applyFont="1" applyFill="1" applyBorder="1" applyAlignment="1">
      <alignment wrapText="1"/>
    </xf>
    <xf numFmtId="0" fontId="0" fillId="2" borderId="1" xfId="0" applyFont="1" applyFill="1" applyBorder="1" applyAlignment="1">
      <alignment wrapText="1"/>
    </xf>
    <xf numFmtId="0" fontId="0" fillId="6" borderId="1" xfId="0" applyFont="1" applyFill="1" applyBorder="1" applyAlignment="1">
      <alignment wrapText="1"/>
    </xf>
    <xf numFmtId="0" fontId="0" fillId="7" borderId="0" xfId="0" applyFill="1">
      <alignment vertical="center"/>
    </xf>
    <xf numFmtId="0" fontId="4" fillId="3" borderId="0" xfId="0" applyFont="1" applyFill="1">
      <alignment vertical="center"/>
    </xf>
    <xf numFmtId="0" fontId="2" fillId="0" borderId="1" xfId="0" applyFont="1" applyFill="1" applyBorder="1" applyAlignment="1">
      <alignment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J34"/>
  <sheetViews>
    <sheetView zoomScale="85" zoomScaleNormal="85" workbookViewId="0">
      <selection activeCell="C10" sqref="C10"/>
    </sheetView>
  </sheetViews>
  <sheetFormatPr defaultColWidth="9.14285714285714" defaultRowHeight="15"/>
  <cols>
    <col min="1" max="1" width="6.71428571428571" style="34" customWidth="1"/>
    <col min="2" max="2" width="38" style="34" customWidth="1"/>
    <col min="3" max="3" width="64" style="34" customWidth="1"/>
    <col min="4" max="4" width="48.2857142857143" style="34" customWidth="1"/>
    <col min="5" max="5" width="34.2857142857143" style="34" customWidth="1"/>
    <col min="6" max="6" width="21.2857142857143" style="21" customWidth="1"/>
    <col min="7" max="7" width="16.5714285714286" style="21" customWidth="1"/>
    <col min="8" max="9" width="15.7142857142857" customWidth="1"/>
  </cols>
  <sheetData>
    <row r="1" spans="1:8">
      <c r="A1" s="35" t="s">
        <v>0</v>
      </c>
      <c r="B1" s="35" t="s">
        <v>1</v>
      </c>
      <c r="C1" s="35" t="s">
        <v>2</v>
      </c>
      <c r="D1" s="35" t="s">
        <v>3</v>
      </c>
      <c r="E1" s="35" t="s">
        <v>4</v>
      </c>
      <c r="F1" s="7" t="s">
        <v>5</v>
      </c>
      <c r="G1" s="7" t="s">
        <v>6</v>
      </c>
    </row>
    <row r="2" spans="1:8">
      <c r="A2" s="36" t="s">
        <v>7</v>
      </c>
      <c r="B2" s="36" t="s">
        <v>8</v>
      </c>
      <c r="C2" s="36" t="s">
        <v>9</v>
      </c>
      <c r="D2" s="36" t="s">
        <v>10</v>
      </c>
      <c r="E2" s="36" t="s">
        <v>11</v>
      </c>
      <c r="F2" s="26"/>
      <c r="G2" s="26"/>
    </row>
    <row r="3" ht="30" spans="1:8">
      <c r="A3" s="36" t="s">
        <v>12</v>
      </c>
      <c r="B3" s="36" t="s">
        <v>13</v>
      </c>
      <c r="C3" s="36" t="s">
        <v>14</v>
      </c>
      <c r="D3" s="37" t="s">
        <v>15</v>
      </c>
      <c r="E3" s="36" t="s">
        <v>11</v>
      </c>
      <c r="F3" s="26"/>
      <c r="G3" s="26"/>
    </row>
    <row r="4" spans="1:8">
      <c r="A4" s="36" t="s">
        <v>16</v>
      </c>
      <c r="B4" s="36" t="s">
        <v>17</v>
      </c>
      <c r="C4" s="36" t="s">
        <v>18</v>
      </c>
      <c r="D4" s="37" t="s">
        <v>15</v>
      </c>
      <c r="E4" s="36" t="s">
        <v>11</v>
      </c>
      <c r="F4" s="26"/>
      <c r="G4" s="26"/>
    </row>
    <row r="5" spans="1:8">
      <c r="A5" s="36" t="s">
        <v>19</v>
      </c>
      <c r="B5" s="36" t="s">
        <v>20</v>
      </c>
      <c r="C5" s="36" t="s">
        <v>21</v>
      </c>
      <c r="D5" s="37" t="s">
        <v>15</v>
      </c>
      <c r="E5" s="36" t="s">
        <v>11</v>
      </c>
      <c r="F5" s="26"/>
      <c r="G5" s="26"/>
    </row>
    <row r="6" ht="30" spans="1:8">
      <c r="A6" s="36" t="s">
        <v>22</v>
      </c>
      <c r="B6" s="36" t="s">
        <v>23</v>
      </c>
      <c r="C6" s="36" t="s">
        <v>24</v>
      </c>
      <c r="D6" s="36" t="s">
        <v>25</v>
      </c>
      <c r="E6" s="36" t="s">
        <v>11</v>
      </c>
      <c r="F6" s="26"/>
      <c r="G6" s="26"/>
    </row>
    <row r="7" ht="30" spans="1:8">
      <c r="A7" s="36" t="s">
        <v>26</v>
      </c>
      <c r="B7" s="36" t="s">
        <v>27</v>
      </c>
      <c r="C7" s="36" t="s">
        <v>28</v>
      </c>
      <c r="D7" s="36" t="s">
        <v>29</v>
      </c>
      <c r="E7" s="36" t="s">
        <v>11</v>
      </c>
      <c r="F7" s="26"/>
      <c r="G7" s="26"/>
    </row>
    <row r="8" spans="1:8">
      <c r="A8" s="36" t="s">
        <v>30</v>
      </c>
      <c r="B8" s="36" t="s">
        <v>31</v>
      </c>
      <c r="C8" s="36" t="s">
        <v>32</v>
      </c>
      <c r="D8" s="36" t="s">
        <v>25</v>
      </c>
      <c r="E8" s="36" t="s">
        <v>11</v>
      </c>
      <c r="F8" s="26" t="s">
        <v>33</v>
      </c>
      <c r="G8" s="26" t="s">
        <v>34</v>
      </c>
    </row>
    <row r="9" ht="30" spans="1:8">
      <c r="A9" s="36" t="s">
        <v>35</v>
      </c>
      <c r="B9" s="36" t="s">
        <v>36</v>
      </c>
      <c r="C9" s="36" t="s">
        <v>37</v>
      </c>
      <c r="D9" s="36" t="s">
        <v>29</v>
      </c>
      <c r="E9" s="38" t="s">
        <v>38</v>
      </c>
      <c r="F9" s="26"/>
      <c r="G9" s="26"/>
    </row>
    <row r="10" spans="1:8">
      <c r="A10" s="36" t="s">
        <v>39</v>
      </c>
      <c r="B10" s="36" t="s">
        <v>40</v>
      </c>
      <c r="C10" s="36" t="s">
        <v>41</v>
      </c>
      <c r="D10" s="36" t="s">
        <v>42</v>
      </c>
      <c r="E10" s="38" t="s">
        <v>43</v>
      </c>
      <c r="F10" s="26"/>
      <c r="G10" s="26"/>
    </row>
    <row r="11" ht="30" spans="1:8">
      <c r="A11" s="36" t="s">
        <v>44</v>
      </c>
      <c r="B11" s="36" t="s">
        <v>45</v>
      </c>
      <c r="C11" s="36" t="s">
        <v>46</v>
      </c>
      <c r="D11" s="36" t="s">
        <v>42</v>
      </c>
      <c r="E11" s="38" t="s">
        <v>43</v>
      </c>
      <c r="F11" s="26"/>
      <c r="G11" s="26"/>
    </row>
    <row r="12" ht="30" spans="1:8">
      <c r="A12" s="36" t="s">
        <v>47</v>
      </c>
      <c r="B12" s="36" t="s">
        <v>48</v>
      </c>
      <c r="C12" s="36" t="s">
        <v>49</v>
      </c>
      <c r="D12" s="36" t="s">
        <v>50</v>
      </c>
      <c r="E12" s="38" t="s">
        <v>51</v>
      </c>
      <c r="F12" s="26"/>
      <c r="G12" s="26"/>
    </row>
    <row r="13" ht="30" spans="1:8">
      <c r="A13" s="36" t="s">
        <v>52</v>
      </c>
      <c r="B13" s="36" t="s">
        <v>53</v>
      </c>
      <c r="C13" s="36" t="s">
        <v>54</v>
      </c>
      <c r="D13" s="36" t="s">
        <v>55</v>
      </c>
      <c r="E13" s="38" t="s">
        <v>43</v>
      </c>
      <c r="F13" s="26"/>
      <c r="G13" s="26"/>
    </row>
    <row r="14" ht="30" spans="1:8">
      <c r="A14" s="36" t="s">
        <v>56</v>
      </c>
      <c r="B14" s="36" t="s">
        <v>57</v>
      </c>
      <c r="C14" s="36" t="s">
        <v>58</v>
      </c>
      <c r="D14" s="36" t="s">
        <v>55</v>
      </c>
      <c r="E14" s="38" t="s">
        <v>43</v>
      </c>
      <c r="F14" s="26"/>
      <c r="G14" s="26"/>
    </row>
    <row r="15" spans="1:8">
      <c r="A15" s="36" t="s">
        <v>59</v>
      </c>
      <c r="B15" s="36" t="s">
        <v>60</v>
      </c>
      <c r="C15" s="36" t="s">
        <v>61</v>
      </c>
      <c r="D15" s="37" t="s">
        <v>15</v>
      </c>
      <c r="E15" s="36" t="s">
        <v>11</v>
      </c>
      <c r="F15" s="26">
        <v>50000000</v>
      </c>
      <c r="G15" s="26" t="s">
        <v>62</v>
      </c>
      <c r="H15" s="39"/>
    </row>
    <row r="16" spans="1:8">
      <c r="A16" s="36" t="s">
        <v>63</v>
      </c>
      <c r="B16" s="36" t="s">
        <v>64</v>
      </c>
      <c r="C16" s="36" t="s">
        <v>65</v>
      </c>
      <c r="D16" s="36" t="s">
        <v>66</v>
      </c>
      <c r="E16" s="36" t="s">
        <v>11</v>
      </c>
      <c r="F16" s="14">
        <v>60000000</v>
      </c>
      <c r="G16" s="26" t="s">
        <v>34</v>
      </c>
      <c r="H16" s="39"/>
    </row>
    <row r="17" ht="30" spans="1:10">
      <c r="A17" s="36" t="s">
        <v>67</v>
      </c>
      <c r="B17" s="36" t="s">
        <v>68</v>
      </c>
      <c r="C17" s="36" t="s">
        <v>69</v>
      </c>
      <c r="D17" s="36" t="s">
        <v>70</v>
      </c>
      <c r="E17" s="36" t="s">
        <v>11</v>
      </c>
      <c r="F17" s="26">
        <f>MAX(F15,F16)</f>
        <v>60000000</v>
      </c>
      <c r="G17" s="26" t="s">
        <v>71</v>
      </c>
      <c r="H17" s="39"/>
    </row>
    <row r="18" ht="30" spans="1:10">
      <c r="A18" s="36" t="s">
        <v>72</v>
      </c>
      <c r="B18" s="36" t="s">
        <v>73</v>
      </c>
      <c r="C18" s="36" t="s">
        <v>74</v>
      </c>
      <c r="D18" s="37" t="s">
        <v>15</v>
      </c>
      <c r="E18" s="36" t="s">
        <v>11</v>
      </c>
      <c r="F18" s="26">
        <v>100000000</v>
      </c>
      <c r="G18" s="26" t="s">
        <v>62</v>
      </c>
      <c r="H18" s="39"/>
    </row>
    <row r="19" ht="30" spans="1:10">
      <c r="A19" s="36" t="s">
        <v>75</v>
      </c>
      <c r="B19" s="36" t="s">
        <v>76</v>
      </c>
      <c r="C19" s="36" t="s">
        <v>77</v>
      </c>
      <c r="D19" s="37" t="s">
        <v>15</v>
      </c>
      <c r="E19" s="36" t="s">
        <v>11</v>
      </c>
      <c r="F19" s="26">
        <v>100000000</v>
      </c>
      <c r="G19" s="26" t="s">
        <v>62</v>
      </c>
      <c r="H19" s="39"/>
    </row>
    <row r="20" ht="30" spans="1:10">
      <c r="A20" s="36" t="s">
        <v>78</v>
      </c>
      <c r="B20" s="36" t="s">
        <v>79</v>
      </c>
      <c r="C20" s="36" t="s">
        <v>80</v>
      </c>
      <c r="D20" s="36" t="s">
        <v>81</v>
      </c>
      <c r="E20" s="36" t="s">
        <v>82</v>
      </c>
      <c r="F20" s="14">
        <v>0</v>
      </c>
      <c r="G20" s="26" t="s">
        <v>34</v>
      </c>
      <c r="H20" s="39"/>
    </row>
    <row r="21" ht="30" spans="1:10">
      <c r="A21" s="36" t="s">
        <v>83</v>
      </c>
      <c r="B21" s="36" t="s">
        <v>84</v>
      </c>
      <c r="C21" s="36" t="s">
        <v>85</v>
      </c>
      <c r="D21" s="36" t="s">
        <v>86</v>
      </c>
      <c r="E21" s="36" t="s">
        <v>11</v>
      </c>
      <c r="F21" s="26">
        <f>F18</f>
        <v>100000000</v>
      </c>
      <c r="G21" s="26" t="s">
        <v>71</v>
      </c>
      <c r="H21" s="12"/>
    </row>
    <row r="22" ht="30" spans="1:10">
      <c r="A22" s="36" t="s">
        <v>87</v>
      </c>
      <c r="B22" s="36" t="s">
        <v>88</v>
      </c>
      <c r="C22" s="36" t="s">
        <v>89</v>
      </c>
      <c r="D22" s="36" t="s">
        <v>86</v>
      </c>
      <c r="E22" s="36" t="s">
        <v>11</v>
      </c>
      <c r="F22" s="26">
        <f>F19</f>
        <v>100000000</v>
      </c>
      <c r="G22" s="26" t="s">
        <v>71</v>
      </c>
      <c r="H22" s="12"/>
    </row>
    <row r="23" ht="30" spans="1:10">
      <c r="A23" s="36" t="s">
        <v>90</v>
      </c>
      <c r="B23" s="36" t="s">
        <v>91</v>
      </c>
      <c r="C23" s="36" t="s">
        <v>92</v>
      </c>
      <c r="D23" s="36" t="s">
        <v>86</v>
      </c>
      <c r="E23" s="36" t="s">
        <v>93</v>
      </c>
      <c r="F23" s="26">
        <f>F20</f>
        <v>0</v>
      </c>
      <c r="G23" s="26" t="s">
        <v>71</v>
      </c>
      <c r="H23" s="12"/>
    </row>
    <row r="24" ht="120" spans="1:10">
      <c r="A24" s="36" t="s">
        <v>94</v>
      </c>
      <c r="B24" s="36" t="s">
        <v>95</v>
      </c>
      <c r="C24" s="36" t="s">
        <v>96</v>
      </c>
      <c r="D24" s="36" t="s">
        <v>97</v>
      </c>
      <c r="E24" s="36" t="s">
        <v>11</v>
      </c>
      <c r="F24" s="26">
        <f>IF(F8="N",F18+F19-F20,IF(F8="Y",F18+F19-F13,""))</f>
        <v>200000000</v>
      </c>
      <c r="G24" s="26" t="s">
        <v>71</v>
      </c>
      <c r="H24" s="40"/>
      <c r="I24">
        <f>IF(F8="N",F21+F22-F23,IF(F8="Y",F21+F22-F13,""))</f>
        <v>200000000</v>
      </c>
      <c r="J24" t="s">
        <v>98</v>
      </c>
    </row>
    <row r="25" ht="30" spans="1:10">
      <c r="A25" s="36" t="s">
        <v>99</v>
      </c>
      <c r="B25" s="36" t="s">
        <v>100</v>
      </c>
      <c r="C25" s="36" t="s">
        <v>101</v>
      </c>
      <c r="D25" s="36" t="s">
        <v>102</v>
      </c>
      <c r="E25" s="36" t="s">
        <v>11</v>
      </c>
      <c r="F25" s="26">
        <f>60%*(F24-F17)</f>
        <v>84000000</v>
      </c>
      <c r="G25" s="26" t="s">
        <v>71</v>
      </c>
      <c r="H25" s="40"/>
    </row>
    <row r="26" ht="45" spans="1:10">
      <c r="A26" s="36" t="s">
        <v>103</v>
      </c>
      <c r="B26" s="36" t="s">
        <v>104</v>
      </c>
      <c r="C26" s="36" t="s">
        <v>105</v>
      </c>
      <c r="D26" s="36" t="s">
        <v>106</v>
      </c>
      <c r="E26" s="36" t="s">
        <v>11</v>
      </c>
      <c r="F26" s="26">
        <f>IF(F8="N",75%*F25,IF(F8="Y",100%*F25,""))</f>
        <v>63000000</v>
      </c>
      <c r="G26" s="26" t="s">
        <v>71</v>
      </c>
      <c r="H26" s="40"/>
    </row>
    <row r="27" spans="1:10">
      <c r="A27" s="36" t="s">
        <v>107</v>
      </c>
      <c r="B27" s="36" t="s">
        <v>108</v>
      </c>
      <c r="C27" s="36" t="s">
        <v>109</v>
      </c>
      <c r="D27" s="37" t="s">
        <v>110</v>
      </c>
      <c r="E27" s="36" t="s">
        <v>11</v>
      </c>
      <c r="F27" s="26">
        <v>5487293.76</v>
      </c>
      <c r="G27" s="26" t="s">
        <v>62</v>
      </c>
      <c r="H27" s="40"/>
    </row>
    <row r="28" ht="45" spans="1:10">
      <c r="A28" s="36" t="s">
        <v>111</v>
      </c>
      <c r="B28" s="36" t="s">
        <v>112</v>
      </c>
      <c r="C28" s="36" t="s">
        <v>113</v>
      </c>
      <c r="D28" s="37" t="s">
        <v>114</v>
      </c>
      <c r="E28" s="36" t="s">
        <v>11</v>
      </c>
      <c r="F28" s="26">
        <v>0</v>
      </c>
      <c r="G28" s="26" t="s">
        <v>62</v>
      </c>
      <c r="H28" s="40"/>
    </row>
    <row r="29" ht="30" spans="1:10">
      <c r="A29" s="36" t="s">
        <v>115</v>
      </c>
      <c r="B29" s="36" t="s">
        <v>116</v>
      </c>
      <c r="C29" s="36" t="s">
        <v>117</v>
      </c>
      <c r="D29" s="36" t="s">
        <v>118</v>
      </c>
      <c r="E29" s="36" t="s">
        <v>11</v>
      </c>
      <c r="F29" s="26">
        <f>2*(F27+F28)</f>
        <v>10974587.52</v>
      </c>
      <c r="G29" s="26" t="s">
        <v>71</v>
      </c>
      <c r="H29" s="40"/>
    </row>
    <row r="30" ht="30" spans="1:10">
      <c r="A30" s="36" t="s">
        <v>119</v>
      </c>
      <c r="B30" s="36" t="s">
        <v>120</v>
      </c>
      <c r="C30" s="36" t="s">
        <v>120</v>
      </c>
      <c r="D30" s="41" t="s">
        <v>121</v>
      </c>
      <c r="E30" s="36" t="s">
        <v>11</v>
      </c>
      <c r="F30" s="14">
        <v>0</v>
      </c>
      <c r="G30" s="26"/>
      <c r="H30" s="40"/>
    </row>
    <row r="31" spans="1:10">
      <c r="A31" s="36" t="s">
        <v>122</v>
      </c>
      <c r="B31" s="36" t="s">
        <v>123</v>
      </c>
      <c r="C31" s="36" t="s">
        <v>123</v>
      </c>
      <c r="D31" s="36" t="s">
        <v>124</v>
      </c>
      <c r="E31" s="36" t="s">
        <v>125</v>
      </c>
      <c r="F31" s="26">
        <f>F29-F30</f>
        <v>10974587.52</v>
      </c>
      <c r="G31" s="26" t="s">
        <v>71</v>
      </c>
      <c r="H31" s="40"/>
    </row>
    <row r="32" ht="60" spans="1:10">
      <c r="A32" s="36" t="s">
        <v>126</v>
      </c>
      <c r="B32" s="36" t="s">
        <v>127</v>
      </c>
      <c r="C32" s="36" t="s">
        <v>128</v>
      </c>
      <c r="D32" s="36" t="s">
        <v>129</v>
      </c>
      <c r="E32" s="36" t="s">
        <v>11</v>
      </c>
      <c r="F32" s="26">
        <f>IF(F26&lt;=F31,F26,F31)</f>
        <v>10974587.52</v>
      </c>
      <c r="G32" s="26" t="s">
        <v>71</v>
      </c>
      <c r="H32" s="40"/>
    </row>
    <row r="33" spans="1:8">
      <c r="A33" s="36" t="s">
        <v>130</v>
      </c>
      <c r="B33" s="36" t="s">
        <v>131</v>
      </c>
      <c r="C33" s="36" t="s">
        <v>132</v>
      </c>
      <c r="D33" s="36" t="s">
        <v>133</v>
      </c>
      <c r="E33" s="36" t="s">
        <v>11</v>
      </c>
      <c r="F33" s="26">
        <f>F31-F32</f>
        <v>0</v>
      </c>
      <c r="G33" s="26" t="s">
        <v>71</v>
      </c>
      <c r="H33" s="40"/>
    </row>
    <row r="34" ht="30" spans="1:8">
      <c r="A34" s="36" t="s">
        <v>134</v>
      </c>
      <c r="B34" s="36" t="s">
        <v>135</v>
      </c>
      <c r="C34" s="36" t="s">
        <v>136</v>
      </c>
      <c r="D34" s="36" t="s">
        <v>137</v>
      </c>
      <c r="E34" s="36" t="s">
        <v>11</v>
      </c>
      <c r="F34" s="26">
        <f>IF(F32&lt;F26,F26-F32)</f>
        <v>52025412.48</v>
      </c>
      <c r="G34" s="26" t="s">
        <v>71</v>
      </c>
      <c r="H34" s="40"/>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1:J33"/>
  <sheetViews>
    <sheetView tabSelected="1" zoomScale="85" zoomScaleNormal="85" workbookViewId="0">
      <pane xSplit="1" topLeftCell="B1" activePane="topRight" state="frozen"/>
      <selection/>
      <selection pane="topRight" activeCell="D14" sqref="D14"/>
    </sheetView>
  </sheetViews>
  <sheetFormatPr defaultColWidth="9.14285714285714" defaultRowHeight="15"/>
  <cols>
    <col min="1" max="1" width="10.4190476190476" style="18" customWidth="1"/>
    <col min="2" max="2" width="38" style="19" customWidth="1"/>
    <col min="3" max="3" width="64" style="19" customWidth="1"/>
    <col min="4" max="4" width="39.6571428571429" style="19" customWidth="1"/>
    <col min="5" max="5" width="34.2857142857143" style="19" customWidth="1"/>
    <col min="6" max="6" width="21.2857142857143" style="20" customWidth="1"/>
    <col min="7" max="7" width="16.5714285714286" style="21" customWidth="1"/>
    <col min="8" max="8" width="9.4" style="22" customWidth="1"/>
    <col min="9" max="9" width="21.2857142857143" style="20" customWidth="1"/>
    <col min="10" max="16384" width="9.14285714285714" style="22"/>
  </cols>
  <sheetData>
    <row r="1" spans="1:10">
      <c r="A1" s="7" t="s">
        <v>0</v>
      </c>
      <c r="B1" s="7" t="s">
        <v>1</v>
      </c>
      <c r="C1" s="7" t="s">
        <v>2</v>
      </c>
      <c r="D1" s="7" t="s">
        <v>3</v>
      </c>
      <c r="E1" s="7" t="s">
        <v>4</v>
      </c>
      <c r="F1" s="23" t="s">
        <v>138</v>
      </c>
      <c r="G1" s="7" t="s">
        <v>6</v>
      </c>
      <c r="I1" s="23" t="s">
        <v>139</v>
      </c>
    </row>
    <row r="2" spans="1:10">
      <c r="A2" s="7" t="s">
        <v>7</v>
      </c>
      <c r="B2" s="24" t="s">
        <v>8</v>
      </c>
      <c r="C2" s="24" t="s">
        <v>9</v>
      </c>
      <c r="D2" s="24" t="s">
        <v>10</v>
      </c>
      <c r="E2" s="24" t="s">
        <v>11</v>
      </c>
      <c r="F2" s="25"/>
      <c r="G2" s="26"/>
      <c r="I2" s="25"/>
    </row>
    <row r="3" ht="30" spans="1:10">
      <c r="A3" s="7" t="s">
        <v>12</v>
      </c>
      <c r="B3" s="24" t="s">
        <v>13</v>
      </c>
      <c r="C3" s="24" t="s">
        <v>14</v>
      </c>
      <c r="D3" s="27" t="s">
        <v>15</v>
      </c>
      <c r="E3" s="24" t="s">
        <v>11</v>
      </c>
      <c r="F3" s="25"/>
      <c r="G3" s="26"/>
      <c r="I3" s="25"/>
    </row>
    <row r="4" spans="1:10">
      <c r="A4" s="7" t="s">
        <v>16</v>
      </c>
      <c r="B4" s="24" t="s">
        <v>17</v>
      </c>
      <c r="C4" s="24" t="s">
        <v>18</v>
      </c>
      <c r="D4" s="27" t="s">
        <v>15</v>
      </c>
      <c r="E4" s="24" t="s">
        <v>11</v>
      </c>
      <c r="F4" s="25"/>
      <c r="G4" s="26"/>
      <c r="I4" s="25"/>
    </row>
    <row r="5" spans="1:10">
      <c r="A5" s="7" t="s">
        <v>19</v>
      </c>
      <c r="B5" s="24" t="s">
        <v>20</v>
      </c>
      <c r="C5" s="24" t="s">
        <v>21</v>
      </c>
      <c r="D5" s="27" t="s">
        <v>15</v>
      </c>
      <c r="E5" s="24" t="s">
        <v>11</v>
      </c>
      <c r="F5" s="25"/>
      <c r="G5" s="26"/>
      <c r="I5" s="25"/>
    </row>
    <row r="6" ht="30" spans="1:10">
      <c r="A6" s="7" t="s">
        <v>22</v>
      </c>
      <c r="B6" s="24" t="s">
        <v>23</v>
      </c>
      <c r="C6" s="24" t="s">
        <v>24</v>
      </c>
      <c r="D6" s="24" t="s">
        <v>25</v>
      </c>
      <c r="E6" s="24" t="s">
        <v>11</v>
      </c>
      <c r="F6" s="25"/>
      <c r="G6" s="26"/>
      <c r="I6" s="25"/>
    </row>
    <row r="7" ht="30" spans="1:10">
      <c r="A7" s="7" t="s">
        <v>26</v>
      </c>
      <c r="B7" s="24" t="s">
        <v>27</v>
      </c>
      <c r="C7" s="24" t="s">
        <v>28</v>
      </c>
      <c r="D7" s="24" t="s">
        <v>29</v>
      </c>
      <c r="E7" s="24" t="s">
        <v>11</v>
      </c>
      <c r="F7" s="25"/>
      <c r="G7" s="26"/>
      <c r="I7" s="25"/>
    </row>
    <row r="8" spans="1:10">
      <c r="A8" s="7" t="s">
        <v>30</v>
      </c>
      <c r="B8" s="24" t="s">
        <v>31</v>
      </c>
      <c r="C8" s="24" t="s">
        <v>32</v>
      </c>
      <c r="D8" s="24" t="s">
        <v>25</v>
      </c>
      <c r="E8" s="24" t="s">
        <v>11</v>
      </c>
      <c r="F8" s="25" t="s">
        <v>140</v>
      </c>
      <c r="G8" s="26" t="s">
        <v>34</v>
      </c>
      <c r="I8" s="25" t="str">
        <f>F8</f>
        <v>Y</v>
      </c>
    </row>
    <row r="9" ht="30" spans="1:10">
      <c r="A9" s="7" t="s">
        <v>35</v>
      </c>
      <c r="B9" s="24" t="s">
        <v>36</v>
      </c>
      <c r="C9" s="24" t="s">
        <v>37</v>
      </c>
      <c r="D9" s="24" t="s">
        <v>29</v>
      </c>
      <c r="E9" s="28" t="s">
        <v>38</v>
      </c>
      <c r="F9" s="25"/>
      <c r="G9" s="26" t="s">
        <v>34</v>
      </c>
      <c r="I9" s="25"/>
    </row>
    <row r="10" spans="1:10">
      <c r="A10" s="7" t="s">
        <v>39</v>
      </c>
      <c r="B10" s="24" t="s">
        <v>40</v>
      </c>
      <c r="C10" s="24" t="s">
        <v>41</v>
      </c>
      <c r="D10" s="24" t="s">
        <v>42</v>
      </c>
      <c r="E10" s="28" t="s">
        <v>43</v>
      </c>
      <c r="F10" s="25">
        <v>20000000</v>
      </c>
      <c r="G10" s="26" t="s">
        <v>34</v>
      </c>
      <c r="I10" s="25">
        <f>F10</f>
        <v>20000000</v>
      </c>
    </row>
    <row r="11" ht="30" spans="1:10">
      <c r="A11" s="7" t="s">
        <v>44</v>
      </c>
      <c r="B11" s="24" t="s">
        <v>45</v>
      </c>
      <c r="C11" s="24" t="s">
        <v>46</v>
      </c>
      <c r="D11" s="24" t="s">
        <v>42</v>
      </c>
      <c r="E11" s="28" t="s">
        <v>43</v>
      </c>
      <c r="F11" s="25">
        <f>F10</f>
        <v>20000000</v>
      </c>
      <c r="G11" s="26"/>
      <c r="I11" s="25">
        <f>F11</f>
        <v>20000000</v>
      </c>
      <c r="J11" s="22" t="s">
        <v>141</v>
      </c>
    </row>
    <row r="12" ht="30" spans="1:10">
      <c r="A12" s="7" t="s">
        <v>47</v>
      </c>
      <c r="B12" s="24" t="s">
        <v>48</v>
      </c>
      <c r="C12" s="24" t="s">
        <v>49</v>
      </c>
      <c r="D12" s="24" t="s">
        <v>50</v>
      </c>
      <c r="E12" s="28" t="s">
        <v>51</v>
      </c>
      <c r="F12" s="25">
        <v>0</v>
      </c>
      <c r="G12" s="26" t="s">
        <v>34</v>
      </c>
      <c r="I12" s="25">
        <f>F12</f>
        <v>0</v>
      </c>
    </row>
    <row r="13" spans="1:10">
      <c r="A13" s="7"/>
      <c r="B13" s="24"/>
      <c r="C13" s="24"/>
      <c r="D13" s="24"/>
      <c r="E13" s="28" t="s">
        <v>142</v>
      </c>
      <c r="F13" s="29">
        <v>1</v>
      </c>
      <c r="G13" s="26"/>
      <c r="I13" s="29">
        <f>F13</f>
        <v>1</v>
      </c>
    </row>
    <row r="14" ht="75" spans="1:10">
      <c r="A14" s="7" t="s">
        <v>52</v>
      </c>
      <c r="B14" s="24" t="s">
        <v>53</v>
      </c>
      <c r="C14" s="24" t="s">
        <v>143</v>
      </c>
      <c r="D14" s="24" t="s">
        <v>55</v>
      </c>
      <c r="E14" s="28" t="s">
        <v>43</v>
      </c>
      <c r="F14" s="25">
        <f>IF(F13=1,60%*(F10-F12),75%*(F10-F12))</f>
        <v>12000000</v>
      </c>
      <c r="G14" s="26" t="s">
        <v>71</v>
      </c>
      <c r="I14" s="25">
        <f>IF(I13=1,60%*(I10-I12),75%*(I10-I12))</f>
        <v>12000000</v>
      </c>
    </row>
    <row r="15" ht="75" spans="1:10">
      <c r="A15" s="7" t="s">
        <v>56</v>
      </c>
      <c r="B15" s="24" t="s">
        <v>57</v>
      </c>
      <c r="C15" s="24" t="s">
        <v>144</v>
      </c>
      <c r="D15" s="24" t="s">
        <v>55</v>
      </c>
      <c r="E15" s="28" t="s">
        <v>43</v>
      </c>
      <c r="F15" s="25">
        <f>IF(F13=1,40%*(F10-F12),25%*(F10-F12))</f>
        <v>8000000</v>
      </c>
      <c r="G15" s="26" t="s">
        <v>71</v>
      </c>
      <c r="I15" s="25">
        <f>IF(I13=1,40%*(I10-I12),25%*(I10-I12))</f>
        <v>8000000</v>
      </c>
    </row>
    <row r="16" spans="1:10">
      <c r="A16" s="7" t="s">
        <v>59</v>
      </c>
      <c r="B16" s="24" t="s">
        <v>60</v>
      </c>
      <c r="C16" s="24" t="s">
        <v>61</v>
      </c>
      <c r="D16" s="27" t="s">
        <v>15</v>
      </c>
      <c r="E16" s="24" t="s">
        <v>11</v>
      </c>
      <c r="F16" s="25">
        <v>50000000</v>
      </c>
      <c r="G16" s="26" t="s">
        <v>62</v>
      </c>
      <c r="H16" s="30"/>
      <c r="I16" s="25">
        <f>F16</f>
        <v>50000000</v>
      </c>
    </row>
    <row r="17" spans="1:10">
      <c r="A17" s="7" t="s">
        <v>63</v>
      </c>
      <c r="B17" s="24" t="s">
        <v>64</v>
      </c>
      <c r="C17" s="24" t="s">
        <v>65</v>
      </c>
      <c r="D17" s="24" t="s">
        <v>66</v>
      </c>
      <c r="E17" s="24" t="s">
        <v>11</v>
      </c>
      <c r="F17" s="31">
        <v>1</v>
      </c>
      <c r="G17" s="26" t="s">
        <v>34</v>
      </c>
      <c r="H17" s="30"/>
      <c r="I17" s="31">
        <f>F17</f>
        <v>1</v>
      </c>
    </row>
    <row r="18" ht="30" spans="1:10">
      <c r="A18" s="7" t="s">
        <v>67</v>
      </c>
      <c r="B18" s="24" t="s">
        <v>68</v>
      </c>
      <c r="C18" s="24" t="s">
        <v>69</v>
      </c>
      <c r="D18" s="24" t="s">
        <v>70</v>
      </c>
      <c r="E18" s="24" t="s">
        <v>11</v>
      </c>
      <c r="F18" s="25">
        <f>MAX(F16,F17)</f>
        <v>50000000</v>
      </c>
      <c r="G18" s="26" t="s">
        <v>71</v>
      </c>
      <c r="H18" s="30"/>
      <c r="I18" s="25">
        <f>MAX(I16,I17)</f>
        <v>50000000</v>
      </c>
    </row>
    <row r="19" ht="30" spans="1:10">
      <c r="A19" s="7" t="s">
        <v>72</v>
      </c>
      <c r="B19" s="24" t="s">
        <v>73</v>
      </c>
      <c r="C19" s="24" t="s">
        <v>74</v>
      </c>
      <c r="D19" s="27" t="s">
        <v>15</v>
      </c>
      <c r="E19" s="24" t="s">
        <v>11</v>
      </c>
      <c r="F19" s="25">
        <v>100000000</v>
      </c>
      <c r="G19" s="26" t="s">
        <v>62</v>
      </c>
      <c r="H19" s="30"/>
      <c r="I19" s="25">
        <f>F19</f>
        <v>100000000</v>
      </c>
    </row>
    <row r="20" ht="30" spans="1:10">
      <c r="A20" s="7" t="s">
        <v>75</v>
      </c>
      <c r="B20" s="24" t="s">
        <v>76</v>
      </c>
      <c r="C20" s="24" t="s">
        <v>77</v>
      </c>
      <c r="D20" s="27" t="s">
        <v>15</v>
      </c>
      <c r="E20" s="24" t="s">
        <v>11</v>
      </c>
      <c r="F20" s="25">
        <v>100</v>
      </c>
      <c r="G20" s="26" t="s">
        <v>62</v>
      </c>
      <c r="H20" s="30"/>
      <c r="I20" s="25">
        <f>F20</f>
        <v>100</v>
      </c>
    </row>
    <row r="21" ht="30" spans="1:10">
      <c r="A21" s="7" t="s">
        <v>83</v>
      </c>
      <c r="B21" s="24" t="s">
        <v>84</v>
      </c>
      <c r="C21" s="24" t="s">
        <v>85</v>
      </c>
      <c r="D21" s="24" t="s">
        <v>86</v>
      </c>
      <c r="E21" s="24" t="s">
        <v>11</v>
      </c>
      <c r="F21" s="25">
        <f>F19</f>
        <v>100000000</v>
      </c>
      <c r="G21" s="26" t="s">
        <v>71</v>
      </c>
      <c r="H21" s="32"/>
      <c r="I21" s="25">
        <f>F21</f>
        <v>100000000</v>
      </c>
      <c r="J21" s="22" t="s">
        <v>141</v>
      </c>
    </row>
    <row r="22" ht="30" spans="1:10">
      <c r="A22" s="7" t="s">
        <v>87</v>
      </c>
      <c r="B22" s="24" t="s">
        <v>88</v>
      </c>
      <c r="C22" s="24" t="s">
        <v>89</v>
      </c>
      <c r="D22" s="24" t="s">
        <v>86</v>
      </c>
      <c r="E22" s="24" t="s">
        <v>11</v>
      </c>
      <c r="F22" s="25">
        <f>F20</f>
        <v>100</v>
      </c>
      <c r="G22" s="26" t="s">
        <v>71</v>
      </c>
      <c r="H22" s="32"/>
      <c r="I22" s="25">
        <f>F22</f>
        <v>100</v>
      </c>
      <c r="J22" s="22" t="s">
        <v>141</v>
      </c>
    </row>
    <row r="23" ht="120" spans="1:10">
      <c r="A23" s="7" t="s">
        <v>94</v>
      </c>
      <c r="B23" s="24" t="s">
        <v>95</v>
      </c>
      <c r="C23" s="24" t="s">
        <v>96</v>
      </c>
      <c r="D23" s="24" t="s">
        <v>97</v>
      </c>
      <c r="E23" s="24" t="s">
        <v>11</v>
      </c>
      <c r="F23" s="25">
        <f>F19+F20-F14</f>
        <v>88000100</v>
      </c>
      <c r="G23" s="26" t="s">
        <v>71</v>
      </c>
      <c r="H23" s="33"/>
      <c r="I23" s="25">
        <f>I21+I22-I14</f>
        <v>88000100</v>
      </c>
    </row>
    <row r="24" ht="30" spans="1:10">
      <c r="A24" s="7" t="s">
        <v>99</v>
      </c>
      <c r="B24" s="24" t="s">
        <v>100</v>
      </c>
      <c r="C24" s="24" t="s">
        <v>101</v>
      </c>
      <c r="D24" s="24" t="s">
        <v>145</v>
      </c>
      <c r="E24" s="24" t="s">
        <v>11</v>
      </c>
      <c r="F24" s="25">
        <f>75%*(F23-F18)</f>
        <v>28500075</v>
      </c>
      <c r="G24" s="26" t="s">
        <v>71</v>
      </c>
      <c r="H24" s="33"/>
      <c r="I24" s="25">
        <f>75%*(I23-I18)</f>
        <v>28500075</v>
      </c>
    </row>
    <row r="25" ht="45" spans="1:10">
      <c r="A25" s="7" t="s">
        <v>103</v>
      </c>
      <c r="B25" s="24" t="s">
        <v>104</v>
      </c>
      <c r="C25" s="24" t="s">
        <v>105</v>
      </c>
      <c r="D25" s="24" t="s">
        <v>106</v>
      </c>
      <c r="E25" s="24" t="s">
        <v>11</v>
      </c>
      <c r="F25" s="25">
        <f>IF(F8="N",75%*F24,IF(F8="Y",100%*F24,""))</f>
        <v>28500075</v>
      </c>
      <c r="G25" s="26" t="s">
        <v>71</v>
      </c>
      <c r="H25" s="33"/>
      <c r="I25" s="25">
        <f>IF(I8="N",75%*I24,IF(I8="Y",100%*I24,""))</f>
        <v>28500075</v>
      </c>
    </row>
    <row r="26" ht="30" spans="1:10">
      <c r="A26" s="7" t="s">
        <v>107</v>
      </c>
      <c r="B26" s="24" t="s">
        <v>108</v>
      </c>
      <c r="C26" s="24" t="s">
        <v>109</v>
      </c>
      <c r="D26" s="27" t="s">
        <v>110</v>
      </c>
      <c r="E26" s="24" t="s">
        <v>11</v>
      </c>
      <c r="F26" s="25">
        <v>47639671.17</v>
      </c>
      <c r="G26" s="26" t="s">
        <v>62</v>
      </c>
      <c r="H26" s="33"/>
      <c r="I26" s="25">
        <f>F26</f>
        <v>47639671.17</v>
      </c>
    </row>
    <row r="27" ht="45" spans="1:10">
      <c r="A27" s="7" t="s">
        <v>111</v>
      </c>
      <c r="B27" s="24" t="s">
        <v>112</v>
      </c>
      <c r="C27" s="24" t="s">
        <v>113</v>
      </c>
      <c r="D27" s="27" t="s">
        <v>114</v>
      </c>
      <c r="E27" s="24" t="s">
        <v>11</v>
      </c>
      <c r="F27" s="25">
        <v>0</v>
      </c>
      <c r="G27" s="26" t="s">
        <v>62</v>
      </c>
      <c r="H27" s="33"/>
      <c r="I27" s="25">
        <f>F27</f>
        <v>0</v>
      </c>
    </row>
    <row r="28" ht="30" spans="1:10">
      <c r="A28" s="7" t="s">
        <v>115</v>
      </c>
      <c r="B28" s="24" t="s">
        <v>116</v>
      </c>
      <c r="C28" s="24" t="s">
        <v>117</v>
      </c>
      <c r="D28" s="24" t="s">
        <v>146</v>
      </c>
      <c r="E28" s="24" t="s">
        <v>11</v>
      </c>
      <c r="F28" s="25">
        <f>3*(F26+F27)</f>
        <v>142919013.51</v>
      </c>
      <c r="G28" s="26" t="s">
        <v>71</v>
      </c>
      <c r="H28" s="33"/>
      <c r="I28" s="25">
        <f>3*(I26+I27)</f>
        <v>142919013.51</v>
      </c>
    </row>
    <row r="29" ht="30" spans="1:10">
      <c r="A29" s="7" t="s">
        <v>119</v>
      </c>
      <c r="B29" s="24" t="s">
        <v>120</v>
      </c>
      <c r="C29" s="24" t="s">
        <v>120</v>
      </c>
      <c r="D29" s="15" t="s">
        <v>121</v>
      </c>
      <c r="E29" s="24" t="s">
        <v>11</v>
      </c>
      <c r="F29" s="31">
        <v>0</v>
      </c>
      <c r="G29" s="26"/>
      <c r="H29" s="33"/>
      <c r="I29" s="31">
        <v>0</v>
      </c>
    </row>
    <row r="30" spans="1:10">
      <c r="A30" s="7" t="s">
        <v>122</v>
      </c>
      <c r="B30" s="24" t="s">
        <v>123</v>
      </c>
      <c r="C30" s="24" t="s">
        <v>123</v>
      </c>
      <c r="D30" s="24" t="s">
        <v>124</v>
      </c>
      <c r="E30" s="24" t="s">
        <v>125</v>
      </c>
      <c r="F30" s="25">
        <f>F28-F29</f>
        <v>142919013.51</v>
      </c>
      <c r="G30" s="26" t="s">
        <v>71</v>
      </c>
      <c r="H30" s="33"/>
      <c r="I30" s="25">
        <f>I28-I29</f>
        <v>142919013.51</v>
      </c>
    </row>
    <row r="31" ht="60" spans="1:10">
      <c r="A31" s="7" t="s">
        <v>126</v>
      </c>
      <c r="B31" s="24" t="s">
        <v>127</v>
      </c>
      <c r="C31" s="24" t="s">
        <v>128</v>
      </c>
      <c r="D31" s="24" t="s">
        <v>129</v>
      </c>
      <c r="E31" s="24" t="s">
        <v>11</v>
      </c>
      <c r="F31" s="25">
        <f>IF(F25&lt;=F30,F25,F30)</f>
        <v>28500075</v>
      </c>
      <c r="G31" s="26" t="s">
        <v>71</v>
      </c>
      <c r="H31" s="33"/>
      <c r="I31" s="25">
        <f>IF(I25&lt;=I30,I25,I30)</f>
        <v>28500075</v>
      </c>
    </row>
    <row r="32" spans="1:10">
      <c r="A32" s="7" t="s">
        <v>130</v>
      </c>
      <c r="B32" s="24" t="s">
        <v>131</v>
      </c>
      <c r="C32" s="24" t="s">
        <v>132</v>
      </c>
      <c r="D32" s="24" t="s">
        <v>133</v>
      </c>
      <c r="E32" s="24" t="s">
        <v>11</v>
      </c>
      <c r="F32" s="25">
        <f>F30-F31</f>
        <v>114418938.51</v>
      </c>
      <c r="G32" s="26" t="s">
        <v>71</v>
      </c>
      <c r="H32" s="33"/>
      <c r="I32" s="25">
        <f>I30-I31</f>
        <v>114418938.51</v>
      </c>
    </row>
    <row r="33" ht="30" spans="1:9">
      <c r="A33" s="7" t="s">
        <v>134</v>
      </c>
      <c r="B33" s="24" t="s">
        <v>135</v>
      </c>
      <c r="C33" s="24" t="s">
        <v>136</v>
      </c>
      <c r="D33" s="24" t="s">
        <v>137</v>
      </c>
      <c r="E33" s="24" t="s">
        <v>11</v>
      </c>
      <c r="F33" s="25"/>
      <c r="G33" s="26" t="s">
        <v>71</v>
      </c>
      <c r="H33" s="33"/>
      <c r="I33" s="25"/>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K39"/>
  <sheetViews>
    <sheetView topLeftCell="A11" workbookViewId="0">
      <pane xSplit="1" topLeftCell="B1" activePane="topRight" state="frozen"/>
      <selection/>
      <selection pane="topRight" activeCell="D21" sqref="D21"/>
    </sheetView>
  </sheetViews>
  <sheetFormatPr defaultColWidth="9.14285714285714" defaultRowHeight="15"/>
  <cols>
    <col min="1" max="1" width="6.71428571428571" style="5" customWidth="1"/>
    <col min="2" max="2" width="42.5714285714286" style="5" customWidth="1"/>
    <col min="3" max="3" width="49.1428571428571" style="5" customWidth="1"/>
    <col min="4" max="4" width="42.2857142857143" style="5" customWidth="1"/>
    <col min="5" max="5" width="31.4285714285714" style="5" customWidth="1"/>
    <col min="6" max="6" width="27.2857142857143" style="6" customWidth="1"/>
    <col min="7" max="7" width="20.8571428571429" style="6" customWidth="1"/>
    <col min="9" max="9" width="12.8571428571429"/>
  </cols>
  <sheetData>
    <row r="1" spans="1:11">
      <c r="A1" s="7" t="s">
        <v>0</v>
      </c>
      <c r="B1" s="7" t="s">
        <v>1</v>
      </c>
      <c r="C1" s="7" t="s">
        <v>2</v>
      </c>
      <c r="D1" s="7" t="s">
        <v>3</v>
      </c>
      <c r="E1" s="7" t="s">
        <v>4</v>
      </c>
      <c r="F1" s="8" t="s">
        <v>5</v>
      </c>
      <c r="G1" s="8" t="s">
        <v>6</v>
      </c>
    </row>
    <row r="2" spans="1:11">
      <c r="A2" s="9" t="s">
        <v>7</v>
      </c>
      <c r="B2" s="9" t="s">
        <v>8</v>
      </c>
      <c r="C2" s="9" t="s">
        <v>9</v>
      </c>
      <c r="D2" s="9" t="s">
        <v>147</v>
      </c>
      <c r="E2" s="9" t="s">
        <v>11</v>
      </c>
      <c r="F2" s="10"/>
      <c r="G2" s="10"/>
    </row>
    <row r="3" ht="30" spans="1:11">
      <c r="A3" s="9" t="s">
        <v>12</v>
      </c>
      <c r="B3" s="9" t="s">
        <v>13</v>
      </c>
      <c r="C3" s="9" t="s">
        <v>148</v>
      </c>
      <c r="D3" s="9" t="s">
        <v>15</v>
      </c>
      <c r="E3" s="9" t="s">
        <v>11</v>
      </c>
      <c r="F3" s="10"/>
      <c r="G3" s="10"/>
    </row>
    <row r="4" spans="1:11">
      <c r="A4" s="9" t="s">
        <v>16</v>
      </c>
      <c r="B4" s="9" t="s">
        <v>17</v>
      </c>
      <c r="C4" s="9" t="s">
        <v>18</v>
      </c>
      <c r="D4" s="9" t="s">
        <v>15</v>
      </c>
      <c r="E4" s="9" t="s">
        <v>11</v>
      </c>
      <c r="F4" s="10"/>
      <c r="G4" s="10"/>
    </row>
    <row r="5" spans="1:11">
      <c r="A5" s="9" t="s">
        <v>19</v>
      </c>
      <c r="B5" s="9" t="s">
        <v>20</v>
      </c>
      <c r="C5" s="9" t="s">
        <v>21</v>
      </c>
      <c r="D5" s="9" t="s">
        <v>15</v>
      </c>
      <c r="E5" s="9" t="s">
        <v>11</v>
      </c>
      <c r="F5" s="10"/>
      <c r="G5" s="10"/>
      <c r="J5" t="s">
        <v>149</v>
      </c>
      <c r="K5" s="11"/>
    </row>
    <row r="6" ht="75" spans="1:11">
      <c r="A6" s="9" t="s">
        <v>22</v>
      </c>
      <c r="B6" s="9" t="s">
        <v>23</v>
      </c>
      <c r="C6" s="9" t="s">
        <v>150</v>
      </c>
      <c r="D6" s="9" t="s">
        <v>15</v>
      </c>
      <c r="E6" s="9" t="s">
        <v>11</v>
      </c>
      <c r="F6" s="10"/>
      <c r="G6" s="10"/>
      <c r="J6" t="s">
        <v>151</v>
      </c>
      <c r="K6" s="12"/>
    </row>
    <row r="7" ht="45" spans="1:11">
      <c r="A7" s="9" t="s">
        <v>26</v>
      </c>
      <c r="B7" s="9" t="s">
        <v>152</v>
      </c>
      <c r="C7" s="9" t="s">
        <v>153</v>
      </c>
      <c r="D7" s="9" t="s">
        <v>15</v>
      </c>
      <c r="E7" s="9" t="s">
        <v>11</v>
      </c>
      <c r="F7" s="10"/>
      <c r="G7" s="10"/>
    </row>
    <row r="8" spans="1:11">
      <c r="A8" s="9" t="s">
        <v>30</v>
      </c>
      <c r="B8" s="9" t="s">
        <v>31</v>
      </c>
      <c r="C8" s="9" t="s">
        <v>32</v>
      </c>
      <c r="D8" s="9" t="s">
        <v>25</v>
      </c>
      <c r="E8" s="9" t="s">
        <v>11</v>
      </c>
      <c r="F8" s="10"/>
      <c r="G8" s="10"/>
      <c r="H8" s="11"/>
    </row>
    <row r="9" ht="30" spans="1:11">
      <c r="A9" s="9" t="s">
        <v>35</v>
      </c>
      <c r="B9" s="13" t="s">
        <v>36</v>
      </c>
      <c r="C9" s="13" t="s">
        <v>37</v>
      </c>
      <c r="D9" s="13" t="s">
        <v>29</v>
      </c>
      <c r="E9" s="13" t="s">
        <v>43</v>
      </c>
      <c r="F9" s="10"/>
      <c r="G9" s="10"/>
      <c r="H9" s="11"/>
    </row>
    <row r="10" spans="1:11">
      <c r="A10" s="9" t="s">
        <v>39</v>
      </c>
      <c r="B10" s="13" t="s">
        <v>40</v>
      </c>
      <c r="C10" s="13" t="s">
        <v>154</v>
      </c>
      <c r="D10" s="13" t="s">
        <v>42</v>
      </c>
      <c r="E10" s="13" t="s">
        <v>43</v>
      </c>
      <c r="F10" s="10"/>
      <c r="G10" s="10"/>
    </row>
    <row r="11" ht="45" spans="1:11">
      <c r="A11" s="9" t="s">
        <v>44</v>
      </c>
      <c r="B11" s="13" t="s">
        <v>45</v>
      </c>
      <c r="C11" s="13" t="s">
        <v>46</v>
      </c>
      <c r="D11" s="13" t="s">
        <v>42</v>
      </c>
      <c r="E11" s="13" t="s">
        <v>43</v>
      </c>
      <c r="F11" s="10"/>
      <c r="G11" s="10"/>
    </row>
    <row r="12" spans="1:11">
      <c r="A12" s="9" t="s">
        <v>47</v>
      </c>
      <c r="B12" s="9" t="s">
        <v>48</v>
      </c>
      <c r="C12" s="9" t="s">
        <v>49</v>
      </c>
      <c r="D12" s="9" t="s">
        <v>50</v>
      </c>
      <c r="E12" s="9" t="s">
        <v>11</v>
      </c>
      <c r="F12" s="10"/>
      <c r="G12" s="10"/>
    </row>
    <row r="13" ht="45" spans="1:11">
      <c r="A13" s="9" t="s">
        <v>52</v>
      </c>
      <c r="B13" s="13" t="s">
        <v>155</v>
      </c>
      <c r="C13" s="13" t="s">
        <v>156</v>
      </c>
      <c r="D13" s="13" t="s">
        <v>55</v>
      </c>
      <c r="E13" s="13" t="s">
        <v>43</v>
      </c>
      <c r="F13" s="10"/>
      <c r="G13" s="10"/>
    </row>
    <row r="14" ht="30" spans="1:11">
      <c r="A14" s="9" t="s">
        <v>56</v>
      </c>
      <c r="B14" s="13" t="s">
        <v>57</v>
      </c>
      <c r="C14" s="13" t="s">
        <v>157</v>
      </c>
      <c r="D14" s="13" t="s">
        <v>55</v>
      </c>
      <c r="E14" s="13" t="s">
        <v>43</v>
      </c>
      <c r="F14" s="10"/>
      <c r="G14" s="10"/>
    </row>
    <row r="15" ht="60" spans="1:11">
      <c r="A15" s="9" t="s">
        <v>59</v>
      </c>
      <c r="B15" s="9" t="s">
        <v>73</v>
      </c>
      <c r="C15" s="9" t="s">
        <v>158</v>
      </c>
      <c r="D15" s="14" t="s">
        <v>15</v>
      </c>
      <c r="E15" s="9" t="s">
        <v>11</v>
      </c>
      <c r="F15" s="10">
        <v>100000000</v>
      </c>
      <c r="G15" s="10" t="s">
        <v>159</v>
      </c>
      <c r="H15" s="11"/>
      <c r="I15">
        <f>F15</f>
        <v>100000000</v>
      </c>
    </row>
    <row r="16" ht="45" spans="1:11">
      <c r="A16" s="9" t="s">
        <v>63</v>
      </c>
      <c r="B16" s="9" t="s">
        <v>76</v>
      </c>
      <c r="C16" s="9" t="s">
        <v>160</v>
      </c>
      <c r="D16" s="14" t="s">
        <v>161</v>
      </c>
      <c r="E16" s="9" t="s">
        <v>11</v>
      </c>
      <c r="F16" s="10">
        <v>100000000</v>
      </c>
      <c r="G16" s="10" t="s">
        <v>159</v>
      </c>
      <c r="H16" s="11"/>
      <c r="I16">
        <f>F16</f>
        <v>100000000</v>
      </c>
    </row>
    <row r="17" ht="30" spans="1:10">
      <c r="A17" s="9" t="s">
        <v>67</v>
      </c>
      <c r="B17" s="9" t="s">
        <v>79</v>
      </c>
      <c r="C17" s="9" t="s">
        <v>162</v>
      </c>
      <c r="D17" s="15" t="s">
        <v>161</v>
      </c>
      <c r="E17" s="9" t="s">
        <v>11</v>
      </c>
      <c r="F17" s="10">
        <v>10</v>
      </c>
      <c r="G17" s="10"/>
      <c r="H17" s="11"/>
      <c r="I17">
        <f>F17</f>
        <v>10</v>
      </c>
    </row>
    <row r="18" ht="45" spans="1:10">
      <c r="A18" s="9" t="s">
        <v>72</v>
      </c>
      <c r="B18" s="9" t="s">
        <v>163</v>
      </c>
      <c r="C18" s="9" t="s">
        <v>164</v>
      </c>
      <c r="D18" s="9" t="s">
        <v>81</v>
      </c>
      <c r="E18" s="9" t="s">
        <v>165</v>
      </c>
      <c r="F18" s="10">
        <v>80000000</v>
      </c>
      <c r="G18" s="10"/>
      <c r="I18">
        <f>F18</f>
        <v>80000000</v>
      </c>
    </row>
    <row r="19" ht="45" spans="1:10">
      <c r="A19" s="9" t="s">
        <v>75</v>
      </c>
      <c r="B19" s="9" t="s">
        <v>166</v>
      </c>
      <c r="C19" s="9" t="s">
        <v>167</v>
      </c>
      <c r="D19" s="9" t="s">
        <v>86</v>
      </c>
      <c r="E19" s="9" t="s">
        <v>168</v>
      </c>
      <c r="F19" s="10">
        <f>F18</f>
        <v>80000000</v>
      </c>
      <c r="G19" s="10"/>
      <c r="I19">
        <f>F19</f>
        <v>80000000</v>
      </c>
      <c r="J19" t="s">
        <v>169</v>
      </c>
    </row>
    <row r="20" ht="45" spans="1:10">
      <c r="A20" s="9" t="s">
        <v>170</v>
      </c>
      <c r="B20" s="9" t="s">
        <v>171</v>
      </c>
      <c r="C20" s="9" t="s">
        <v>172</v>
      </c>
      <c r="D20" s="9" t="s">
        <v>55</v>
      </c>
      <c r="E20" s="9" t="s">
        <v>168</v>
      </c>
      <c r="F20" s="10">
        <f>40%*F18</f>
        <v>32000000</v>
      </c>
      <c r="G20" s="10"/>
      <c r="I20">
        <f>40%*I19</f>
        <v>32000000</v>
      </c>
    </row>
    <row r="21" ht="30" spans="1:10">
      <c r="A21" s="9" t="s">
        <v>173</v>
      </c>
      <c r="B21" s="9" t="s">
        <v>174</v>
      </c>
      <c r="C21" s="9" t="s">
        <v>175</v>
      </c>
      <c r="D21" s="9" t="s">
        <v>55</v>
      </c>
      <c r="E21" s="9" t="s">
        <v>168</v>
      </c>
      <c r="F21" s="10">
        <f>60%*F18</f>
        <v>48000000</v>
      </c>
      <c r="G21" s="10"/>
      <c r="I21">
        <f>60%*I19</f>
        <v>48000000</v>
      </c>
    </row>
    <row r="22" ht="60" spans="1:10">
      <c r="A22" s="9" t="s">
        <v>83</v>
      </c>
      <c r="B22" s="9" t="s">
        <v>176</v>
      </c>
      <c r="C22" s="9" t="s">
        <v>177</v>
      </c>
      <c r="D22" s="9" t="s">
        <v>178</v>
      </c>
      <c r="E22" s="9" t="s">
        <v>179</v>
      </c>
      <c r="F22" s="10"/>
      <c r="G22" s="10"/>
    </row>
    <row r="23" spans="1:10">
      <c r="A23" s="9" t="s">
        <v>87</v>
      </c>
      <c r="B23" s="9" t="s">
        <v>180</v>
      </c>
      <c r="C23" s="9" t="s">
        <v>181</v>
      </c>
      <c r="D23" s="9" t="s">
        <v>29</v>
      </c>
      <c r="E23" s="9" t="s">
        <v>182</v>
      </c>
      <c r="F23" s="10"/>
      <c r="G23" s="10"/>
    </row>
    <row r="24" spans="1:10">
      <c r="A24" s="9" t="s">
        <v>90</v>
      </c>
      <c r="B24" s="9" t="s">
        <v>60</v>
      </c>
      <c r="C24" s="9" t="s">
        <v>61</v>
      </c>
      <c r="D24" s="14" t="s">
        <v>15</v>
      </c>
      <c r="E24" s="9" t="s">
        <v>11</v>
      </c>
      <c r="F24" s="10">
        <v>50000000</v>
      </c>
      <c r="G24" s="10" t="s">
        <v>183</v>
      </c>
      <c r="H24" s="11"/>
      <c r="I24">
        <f>F24</f>
        <v>50000000</v>
      </c>
    </row>
    <row r="25" spans="1:10">
      <c r="A25" s="9" t="s">
        <v>184</v>
      </c>
      <c r="B25" s="9" t="s">
        <v>185</v>
      </c>
      <c r="C25" s="9" t="s">
        <v>65</v>
      </c>
      <c r="D25" s="16" t="s">
        <v>66</v>
      </c>
      <c r="E25" s="9" t="s">
        <v>11</v>
      </c>
      <c r="F25" s="9">
        <v>60000000</v>
      </c>
      <c r="G25" s="10"/>
      <c r="H25" s="11"/>
      <c r="I25">
        <f>F25</f>
        <v>60000000</v>
      </c>
    </row>
    <row r="26" spans="1:10">
      <c r="A26" s="9" t="s">
        <v>99</v>
      </c>
      <c r="B26" s="9" t="s">
        <v>186</v>
      </c>
      <c r="C26" s="9" t="s">
        <v>187</v>
      </c>
      <c r="D26" s="9" t="s">
        <v>188</v>
      </c>
      <c r="E26" s="9" t="s">
        <v>11</v>
      </c>
      <c r="F26" s="10">
        <v>1</v>
      </c>
      <c r="G26" s="10"/>
      <c r="H26" s="11"/>
    </row>
    <row r="27" ht="30" spans="1:10">
      <c r="A27" s="9" t="s">
        <v>103</v>
      </c>
      <c r="B27" s="9" t="s">
        <v>68</v>
      </c>
      <c r="C27" s="9" t="s">
        <v>69</v>
      </c>
      <c r="D27" s="9" t="s">
        <v>189</v>
      </c>
      <c r="E27" s="9" t="s">
        <v>11</v>
      </c>
      <c r="F27" s="10">
        <f>MAX(F24,F25)</f>
        <v>60000000</v>
      </c>
      <c r="G27" s="10"/>
      <c r="H27" s="11"/>
      <c r="I27">
        <f>F27</f>
        <v>60000000</v>
      </c>
    </row>
    <row r="28" ht="120" spans="1:10">
      <c r="A28" s="9" t="s">
        <v>107</v>
      </c>
      <c r="B28" s="9" t="s">
        <v>190</v>
      </c>
      <c r="C28" s="9" t="s">
        <v>190</v>
      </c>
      <c r="D28" s="9" t="s">
        <v>191</v>
      </c>
      <c r="E28" s="9" t="s">
        <v>11</v>
      </c>
      <c r="F28" s="10">
        <f>F15+F16-F17-F20</f>
        <v>167999990</v>
      </c>
      <c r="G28" s="10"/>
      <c r="I28">
        <f>I15+I16-I17-I20</f>
        <v>167999990</v>
      </c>
    </row>
    <row r="29" ht="30" spans="1:10">
      <c r="A29" s="9" t="s">
        <v>111</v>
      </c>
      <c r="B29" s="9" t="s">
        <v>192</v>
      </c>
      <c r="C29" s="9" t="s">
        <v>101</v>
      </c>
      <c r="D29" s="9" t="s">
        <v>193</v>
      </c>
      <c r="E29" s="9" t="s">
        <v>11</v>
      </c>
      <c r="F29" s="10">
        <f>60%*(F28-F27)</f>
        <v>64799994</v>
      </c>
      <c r="G29" s="10"/>
      <c r="I29">
        <f>60%*(I28-I27)</f>
        <v>64799994</v>
      </c>
    </row>
    <row r="30" ht="30" spans="1:10">
      <c r="A30" s="9" t="s">
        <v>115</v>
      </c>
      <c r="B30" s="9" t="s">
        <v>194</v>
      </c>
      <c r="C30" s="9" t="s">
        <v>195</v>
      </c>
      <c r="D30" s="9" t="s">
        <v>15</v>
      </c>
      <c r="E30" s="9" t="s">
        <v>11</v>
      </c>
      <c r="F30" s="17">
        <v>62999995.5</v>
      </c>
      <c r="G30" s="10" t="s">
        <v>183</v>
      </c>
      <c r="I30">
        <f t="shared" ref="I30:I35" si="0">F30</f>
        <v>62999995.5</v>
      </c>
    </row>
    <row r="31" spans="1:10">
      <c r="A31" s="9" t="s">
        <v>119</v>
      </c>
      <c r="B31" s="9" t="s">
        <v>196</v>
      </c>
      <c r="C31" s="9" t="s">
        <v>197</v>
      </c>
      <c r="D31" s="9" t="s">
        <v>198</v>
      </c>
      <c r="E31" s="9" t="s">
        <v>11</v>
      </c>
      <c r="F31" s="10">
        <f>F29-F30</f>
        <v>1799998.5</v>
      </c>
      <c r="G31" s="10"/>
      <c r="I31">
        <f t="shared" si="0"/>
        <v>1799998.5</v>
      </c>
    </row>
    <row r="32" ht="30" spans="1:10">
      <c r="A32" s="9" t="s">
        <v>122</v>
      </c>
      <c r="B32" s="9" t="s">
        <v>108</v>
      </c>
      <c r="C32" s="9" t="s">
        <v>109</v>
      </c>
      <c r="D32" s="9" t="s">
        <v>110</v>
      </c>
      <c r="E32" s="9" t="s">
        <v>11</v>
      </c>
      <c r="F32" s="10">
        <v>5487293.76</v>
      </c>
      <c r="G32" s="10" t="s">
        <v>183</v>
      </c>
      <c r="I32">
        <f t="shared" si="0"/>
        <v>5487293.76</v>
      </c>
    </row>
    <row r="33" ht="30" spans="1:9">
      <c r="A33" s="9" t="s">
        <v>126</v>
      </c>
      <c r="B33" s="9" t="s">
        <v>112</v>
      </c>
      <c r="C33" s="9" t="s">
        <v>113</v>
      </c>
      <c r="D33" s="9" t="s">
        <v>114</v>
      </c>
      <c r="E33" s="9" t="s">
        <v>11</v>
      </c>
      <c r="F33" s="10">
        <v>0</v>
      </c>
      <c r="G33" s="10" t="s">
        <v>183</v>
      </c>
      <c r="I33">
        <f t="shared" si="0"/>
        <v>0</v>
      </c>
    </row>
    <row r="34" ht="30" spans="1:9">
      <c r="A34" s="9" t="s">
        <v>130</v>
      </c>
      <c r="B34" s="9" t="s">
        <v>116</v>
      </c>
      <c r="C34" s="9" t="s">
        <v>117</v>
      </c>
      <c r="D34" s="9" t="s">
        <v>199</v>
      </c>
      <c r="E34" s="9" t="s">
        <v>11</v>
      </c>
      <c r="F34" s="10">
        <f>2*(F33+F32)</f>
        <v>10974587.52</v>
      </c>
      <c r="G34" s="10" t="s">
        <v>200</v>
      </c>
      <c r="I34">
        <f t="shared" si="0"/>
        <v>10974587.52</v>
      </c>
    </row>
    <row r="35" spans="1:9">
      <c r="A35" s="9" t="s">
        <v>134</v>
      </c>
      <c r="B35" s="9" t="s">
        <v>120</v>
      </c>
      <c r="C35" s="9" t="s">
        <v>120</v>
      </c>
      <c r="D35" s="9" t="s">
        <v>121</v>
      </c>
      <c r="E35" s="9" t="s">
        <v>11</v>
      </c>
      <c r="F35" s="10">
        <v>0</v>
      </c>
      <c r="G35" s="10" t="s">
        <v>183</v>
      </c>
      <c r="I35">
        <f t="shared" si="0"/>
        <v>0</v>
      </c>
    </row>
    <row r="36" spans="1:9">
      <c r="A36" s="9" t="s">
        <v>201</v>
      </c>
      <c r="B36" s="9" t="s">
        <v>123</v>
      </c>
      <c r="C36" s="9" t="s">
        <v>123</v>
      </c>
      <c r="D36" s="9" t="s">
        <v>202</v>
      </c>
      <c r="E36" s="9" t="s">
        <v>125</v>
      </c>
      <c r="F36" s="10">
        <f>F34-F35</f>
        <v>10974587.52</v>
      </c>
      <c r="G36" s="10" t="s">
        <v>200</v>
      </c>
      <c r="I36">
        <f>I34-I35</f>
        <v>10974587.52</v>
      </c>
    </row>
    <row r="37" ht="45" spans="1:9">
      <c r="A37" s="9" t="s">
        <v>203</v>
      </c>
      <c r="B37" s="9" t="s">
        <v>127</v>
      </c>
      <c r="C37" s="9" t="s">
        <v>204</v>
      </c>
      <c r="D37" s="9" t="s">
        <v>205</v>
      </c>
      <c r="E37" s="9" t="s">
        <v>11</v>
      </c>
      <c r="F37" s="10">
        <f>IF(F31&lt;=F36,F31,F36)</f>
        <v>1799998.5</v>
      </c>
      <c r="G37" s="10"/>
      <c r="I37" s="10">
        <f>IF(I31&lt;=I36,I31,I36)</f>
        <v>1799998.5</v>
      </c>
    </row>
    <row r="38" spans="1:9">
      <c r="A38" s="9" t="s">
        <v>206</v>
      </c>
      <c r="B38" s="9" t="s">
        <v>131</v>
      </c>
      <c r="C38" s="9" t="s">
        <v>132</v>
      </c>
      <c r="D38" s="9" t="s">
        <v>207</v>
      </c>
      <c r="E38" s="9" t="s">
        <v>11</v>
      </c>
      <c r="F38" s="10">
        <f>F36-F37</f>
        <v>9174589.02</v>
      </c>
      <c r="G38" s="10"/>
      <c r="I38" s="10">
        <f>I36-I37</f>
        <v>9174589.02</v>
      </c>
    </row>
    <row r="39" ht="30" spans="1:9">
      <c r="A39" s="9" t="s">
        <v>208</v>
      </c>
      <c r="B39" s="9" t="s">
        <v>135</v>
      </c>
      <c r="C39" s="9" t="s">
        <v>136</v>
      </c>
      <c r="D39" s="9" t="s">
        <v>209</v>
      </c>
      <c r="E39" s="9" t="s">
        <v>11</v>
      </c>
      <c r="F39" s="10"/>
      <c r="G39" s="10"/>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dimension ref="A1:K39"/>
  <sheetViews>
    <sheetView workbookViewId="0">
      <selection activeCell="F9" sqref="F9"/>
    </sheetView>
  </sheetViews>
  <sheetFormatPr defaultColWidth="9.14285714285714" defaultRowHeight="15"/>
  <cols>
    <col min="1" max="1" width="6.71428571428571" style="5" customWidth="1"/>
    <col min="2" max="2" width="42.5714285714286" style="5" customWidth="1"/>
    <col min="3" max="3" width="49.1428571428571" style="5" customWidth="1"/>
    <col min="4" max="4" width="42.2857142857143" style="5" customWidth="1"/>
    <col min="5" max="5" width="31.4285714285714" style="5" customWidth="1"/>
    <col min="6" max="6" width="27.2857142857143" style="6" customWidth="1"/>
    <col min="7" max="7" width="20.8571428571429" style="6" customWidth="1"/>
  </cols>
  <sheetData>
    <row r="1" spans="1:11">
      <c r="A1" s="7" t="s">
        <v>0</v>
      </c>
      <c r="B1" s="7" t="s">
        <v>1</v>
      </c>
      <c r="C1" s="7" t="s">
        <v>2</v>
      </c>
      <c r="D1" s="7" t="s">
        <v>3</v>
      </c>
      <c r="E1" s="7" t="s">
        <v>4</v>
      </c>
      <c r="F1" s="8" t="s">
        <v>5</v>
      </c>
      <c r="G1" s="8" t="s">
        <v>6</v>
      </c>
    </row>
    <row r="2" spans="1:11">
      <c r="A2" s="9" t="s">
        <v>7</v>
      </c>
      <c r="B2" s="9" t="s">
        <v>8</v>
      </c>
      <c r="C2" s="9" t="s">
        <v>9</v>
      </c>
      <c r="D2" s="9" t="s">
        <v>147</v>
      </c>
      <c r="E2" s="9" t="s">
        <v>11</v>
      </c>
      <c r="F2" s="10"/>
      <c r="G2" s="10"/>
    </row>
    <row r="3" ht="30" spans="1:11">
      <c r="A3" s="9" t="s">
        <v>12</v>
      </c>
      <c r="B3" s="9" t="s">
        <v>13</v>
      </c>
      <c r="C3" s="9" t="s">
        <v>148</v>
      </c>
      <c r="D3" s="9" t="s">
        <v>15</v>
      </c>
      <c r="E3" s="9" t="s">
        <v>11</v>
      </c>
      <c r="F3" s="10"/>
      <c r="G3" s="10"/>
    </row>
    <row r="4" spans="1:11">
      <c r="A4" s="9" t="s">
        <v>16</v>
      </c>
      <c r="B4" s="9" t="s">
        <v>17</v>
      </c>
      <c r="C4" s="9" t="s">
        <v>18</v>
      </c>
      <c r="D4" s="9" t="s">
        <v>15</v>
      </c>
      <c r="E4" s="9" t="s">
        <v>11</v>
      </c>
      <c r="F4" s="10"/>
      <c r="G4" s="10"/>
    </row>
    <row r="5" spans="1:11">
      <c r="A5" s="9" t="s">
        <v>19</v>
      </c>
      <c r="B5" s="9" t="s">
        <v>20</v>
      </c>
      <c r="C5" s="9" t="s">
        <v>21</v>
      </c>
      <c r="D5" s="9" t="s">
        <v>15</v>
      </c>
      <c r="E5" s="9" t="s">
        <v>11</v>
      </c>
      <c r="F5" s="10"/>
      <c r="G5" s="10"/>
      <c r="J5" t="s">
        <v>149</v>
      </c>
      <c r="K5" s="11"/>
    </row>
    <row r="6" ht="75" spans="1:11">
      <c r="A6" s="9" t="s">
        <v>22</v>
      </c>
      <c r="B6" s="9" t="s">
        <v>23</v>
      </c>
      <c r="C6" s="9" t="s">
        <v>150</v>
      </c>
      <c r="D6" s="9" t="s">
        <v>15</v>
      </c>
      <c r="E6" s="9" t="s">
        <v>11</v>
      </c>
      <c r="F6" s="10"/>
      <c r="G6" s="10"/>
      <c r="J6" t="s">
        <v>151</v>
      </c>
      <c r="K6" s="12"/>
    </row>
    <row r="7" ht="45" spans="1:11">
      <c r="A7" s="9" t="s">
        <v>26</v>
      </c>
      <c r="B7" s="9" t="s">
        <v>152</v>
      </c>
      <c r="C7" s="9" t="s">
        <v>153</v>
      </c>
      <c r="D7" s="9" t="s">
        <v>15</v>
      </c>
      <c r="E7" s="9" t="s">
        <v>11</v>
      </c>
      <c r="F7" s="10"/>
      <c r="G7" s="10"/>
    </row>
    <row r="8" spans="1:11">
      <c r="A8" s="9" t="s">
        <v>30</v>
      </c>
      <c r="B8" s="9" t="s">
        <v>31</v>
      </c>
      <c r="C8" s="9" t="s">
        <v>32</v>
      </c>
      <c r="D8" s="9" t="s">
        <v>25</v>
      </c>
      <c r="E8" s="9" t="s">
        <v>11</v>
      </c>
      <c r="F8" s="10"/>
      <c r="G8" s="10"/>
      <c r="H8" s="11"/>
    </row>
    <row r="9" ht="30" spans="1:11">
      <c r="A9" s="9" t="s">
        <v>35</v>
      </c>
      <c r="B9" s="13" t="s">
        <v>36</v>
      </c>
      <c r="C9" s="13" t="s">
        <v>37</v>
      </c>
      <c r="D9" s="13" t="s">
        <v>29</v>
      </c>
      <c r="E9" s="13" t="s">
        <v>43</v>
      </c>
      <c r="F9" s="10"/>
      <c r="G9" s="10"/>
      <c r="H9" s="11"/>
    </row>
    <row r="10" spans="1:11">
      <c r="A10" s="9" t="s">
        <v>39</v>
      </c>
      <c r="B10" s="13" t="s">
        <v>40</v>
      </c>
      <c r="C10" s="13" t="s">
        <v>154</v>
      </c>
      <c r="D10" s="13" t="s">
        <v>42</v>
      </c>
      <c r="E10" s="13" t="s">
        <v>43</v>
      </c>
      <c r="F10" s="10"/>
      <c r="G10" s="10"/>
    </row>
    <row r="11" ht="45" spans="1:11">
      <c r="A11" s="9" t="s">
        <v>44</v>
      </c>
      <c r="B11" s="13" t="s">
        <v>45</v>
      </c>
      <c r="C11" s="13" t="s">
        <v>46</v>
      </c>
      <c r="D11" s="13" t="s">
        <v>42</v>
      </c>
      <c r="E11" s="13" t="s">
        <v>43</v>
      </c>
      <c r="F11" s="10"/>
      <c r="G11" s="10"/>
    </row>
    <row r="12" spans="1:11">
      <c r="A12" s="9" t="s">
        <v>47</v>
      </c>
      <c r="B12" s="9" t="s">
        <v>48</v>
      </c>
      <c r="C12" s="9" t="s">
        <v>49</v>
      </c>
      <c r="D12" s="9" t="s">
        <v>50</v>
      </c>
      <c r="E12" s="9" t="s">
        <v>11</v>
      </c>
      <c r="F12" s="10"/>
      <c r="G12" s="10"/>
    </row>
    <row r="13" ht="45" spans="1:11">
      <c r="A13" s="9" t="s">
        <v>52</v>
      </c>
      <c r="B13" s="13" t="s">
        <v>155</v>
      </c>
      <c r="C13" s="13" t="s">
        <v>156</v>
      </c>
      <c r="D13" s="13" t="s">
        <v>55</v>
      </c>
      <c r="E13" s="13" t="s">
        <v>43</v>
      </c>
      <c r="F13" s="10"/>
      <c r="G13" s="10"/>
    </row>
    <row r="14" ht="30" spans="1:11">
      <c r="A14" s="9" t="s">
        <v>56</v>
      </c>
      <c r="B14" s="13" t="s">
        <v>57</v>
      </c>
      <c r="C14" s="13" t="s">
        <v>157</v>
      </c>
      <c r="D14" s="13" t="s">
        <v>55</v>
      </c>
      <c r="E14" s="13" t="s">
        <v>43</v>
      </c>
      <c r="F14" s="10"/>
      <c r="G14" s="10"/>
    </row>
    <row r="15" ht="60" spans="1:11">
      <c r="A15" s="9" t="s">
        <v>59</v>
      </c>
      <c r="B15" s="9" t="s">
        <v>73</v>
      </c>
      <c r="C15" s="9" t="s">
        <v>158</v>
      </c>
      <c r="D15" s="14" t="s">
        <v>15</v>
      </c>
      <c r="E15" s="9" t="s">
        <v>11</v>
      </c>
      <c r="F15" s="10">
        <v>400000000</v>
      </c>
      <c r="G15" s="10" t="s">
        <v>159</v>
      </c>
      <c r="H15" s="11"/>
    </row>
    <row r="16" ht="45" spans="1:11">
      <c r="A16" s="9" t="s">
        <v>63</v>
      </c>
      <c r="B16" s="9" t="s">
        <v>76</v>
      </c>
      <c r="C16" s="9" t="s">
        <v>160</v>
      </c>
      <c r="D16" s="14" t="s">
        <v>161</v>
      </c>
      <c r="E16" s="9" t="s">
        <v>11</v>
      </c>
      <c r="F16" s="10">
        <v>5000000</v>
      </c>
      <c r="G16" s="10" t="s">
        <v>159</v>
      </c>
      <c r="H16" s="11"/>
    </row>
    <row r="17" ht="30" spans="1:8">
      <c r="A17" s="9" t="s">
        <v>67</v>
      </c>
      <c r="B17" s="9" t="s">
        <v>79</v>
      </c>
      <c r="C17" s="9" t="s">
        <v>162</v>
      </c>
      <c r="D17" s="15" t="s">
        <v>161</v>
      </c>
      <c r="E17" s="9" t="s">
        <v>11</v>
      </c>
      <c r="F17" s="10"/>
      <c r="G17" s="10"/>
      <c r="H17" s="11"/>
    </row>
    <row r="18" ht="45" spans="1:8">
      <c r="A18" s="9" t="s">
        <v>72</v>
      </c>
      <c r="B18" s="9" t="s">
        <v>163</v>
      </c>
      <c r="C18" s="9" t="s">
        <v>164</v>
      </c>
      <c r="D18" s="9" t="s">
        <v>81</v>
      </c>
      <c r="E18" s="9" t="s">
        <v>165</v>
      </c>
      <c r="F18" s="10"/>
      <c r="G18" s="10"/>
    </row>
    <row r="19" ht="45" spans="1:8">
      <c r="A19" s="9" t="s">
        <v>75</v>
      </c>
      <c r="B19" s="9" t="s">
        <v>166</v>
      </c>
      <c r="C19" s="9" t="s">
        <v>167</v>
      </c>
      <c r="D19" s="9" t="s">
        <v>86</v>
      </c>
      <c r="E19" s="9" t="s">
        <v>168</v>
      </c>
      <c r="F19" s="10"/>
      <c r="G19" s="10"/>
    </row>
    <row r="20" ht="45" spans="1:8">
      <c r="A20" s="9" t="s">
        <v>170</v>
      </c>
      <c r="B20" s="9" t="s">
        <v>171</v>
      </c>
      <c r="C20" s="9" t="s">
        <v>172</v>
      </c>
      <c r="D20" s="9" t="s">
        <v>55</v>
      </c>
      <c r="E20" s="9" t="s">
        <v>168</v>
      </c>
      <c r="F20" s="10"/>
      <c r="G20" s="10"/>
    </row>
    <row r="21" ht="30" spans="1:8">
      <c r="A21" s="9" t="s">
        <v>173</v>
      </c>
      <c r="B21" s="9" t="s">
        <v>174</v>
      </c>
      <c r="C21" s="9" t="s">
        <v>175</v>
      </c>
      <c r="D21" s="9" t="s">
        <v>55</v>
      </c>
      <c r="E21" s="9" t="s">
        <v>168</v>
      </c>
      <c r="F21" s="10"/>
      <c r="G21" s="10"/>
    </row>
    <row r="22" ht="60" spans="1:8">
      <c r="A22" s="9" t="s">
        <v>83</v>
      </c>
      <c r="B22" s="9" t="s">
        <v>176</v>
      </c>
      <c r="C22" s="9" t="s">
        <v>177</v>
      </c>
      <c r="D22" s="9" t="s">
        <v>178</v>
      </c>
      <c r="E22" s="9" t="s">
        <v>179</v>
      </c>
      <c r="F22" s="10"/>
      <c r="G22" s="10"/>
    </row>
    <row r="23" spans="1:8">
      <c r="A23" s="9" t="s">
        <v>87</v>
      </c>
      <c r="B23" s="9" t="s">
        <v>180</v>
      </c>
      <c r="C23" s="9" t="s">
        <v>181</v>
      </c>
      <c r="D23" s="9" t="s">
        <v>29</v>
      </c>
      <c r="E23" s="9" t="s">
        <v>182</v>
      </c>
      <c r="F23" s="10"/>
      <c r="G23" s="10"/>
    </row>
    <row r="24" spans="1:8">
      <c r="A24" s="9" t="s">
        <v>90</v>
      </c>
      <c r="B24" s="9" t="s">
        <v>60</v>
      </c>
      <c r="C24" s="9" t="s">
        <v>61</v>
      </c>
      <c r="D24" s="14" t="s">
        <v>15</v>
      </c>
      <c r="E24" s="9" t="s">
        <v>11</v>
      </c>
      <c r="F24" s="10">
        <v>150000000</v>
      </c>
      <c r="G24" s="10" t="s">
        <v>183</v>
      </c>
      <c r="H24" s="11"/>
    </row>
    <row r="25" spans="1:8">
      <c r="A25" s="9" t="s">
        <v>184</v>
      </c>
      <c r="B25" s="9" t="s">
        <v>185</v>
      </c>
      <c r="C25" s="9" t="s">
        <v>65</v>
      </c>
      <c r="D25" s="16" t="s">
        <v>66</v>
      </c>
      <c r="E25" s="9" t="s">
        <v>11</v>
      </c>
      <c r="F25" s="10">
        <v>150000001</v>
      </c>
      <c r="G25" s="10"/>
      <c r="H25" s="11"/>
    </row>
    <row r="26" spans="1:8">
      <c r="A26" s="9" t="s">
        <v>99</v>
      </c>
      <c r="B26" s="9" t="s">
        <v>186</v>
      </c>
      <c r="C26" s="9" t="s">
        <v>187</v>
      </c>
      <c r="D26" s="9" t="s">
        <v>188</v>
      </c>
      <c r="E26" s="9" t="s">
        <v>11</v>
      </c>
      <c r="F26" s="10"/>
      <c r="G26" s="10"/>
      <c r="H26" s="11"/>
    </row>
    <row r="27" ht="30" spans="1:8">
      <c r="A27" s="9" t="s">
        <v>103</v>
      </c>
      <c r="B27" s="9" t="s">
        <v>68</v>
      </c>
      <c r="C27" s="9" t="s">
        <v>69</v>
      </c>
      <c r="D27" s="9" t="s">
        <v>189</v>
      </c>
      <c r="E27" s="9" t="s">
        <v>11</v>
      </c>
      <c r="F27" s="10">
        <f>MAX(F24,F25)</f>
        <v>150000001</v>
      </c>
      <c r="G27" s="10"/>
      <c r="H27" s="11"/>
    </row>
    <row r="28" ht="120" spans="1:8">
      <c r="A28" s="9" t="s">
        <v>107</v>
      </c>
      <c r="B28" s="9" t="s">
        <v>190</v>
      </c>
      <c r="C28" s="9" t="s">
        <v>190</v>
      </c>
      <c r="D28" s="9" t="s">
        <v>191</v>
      </c>
      <c r="E28" s="9" t="s">
        <v>11</v>
      </c>
      <c r="F28" s="10"/>
      <c r="G28" s="10"/>
    </row>
    <row r="29" ht="30" spans="1:8">
      <c r="A29" s="9" t="s">
        <v>111</v>
      </c>
      <c r="B29" s="9" t="s">
        <v>192</v>
      </c>
      <c r="C29" s="9" t="s">
        <v>101</v>
      </c>
      <c r="D29" s="9" t="s">
        <v>193</v>
      </c>
      <c r="E29" s="9" t="s">
        <v>11</v>
      </c>
      <c r="F29" s="10"/>
      <c r="G29" s="10"/>
    </row>
    <row r="30" ht="30" spans="1:8">
      <c r="A30" s="9" t="s">
        <v>115</v>
      </c>
      <c r="B30" s="9" t="s">
        <v>194</v>
      </c>
      <c r="C30" s="9" t="s">
        <v>195</v>
      </c>
      <c r="D30" s="9" t="s">
        <v>15</v>
      </c>
      <c r="E30" s="9" t="s">
        <v>11</v>
      </c>
      <c r="F30" s="10"/>
      <c r="G30" s="10"/>
    </row>
    <row r="31" spans="1:8">
      <c r="A31" s="9" t="s">
        <v>119</v>
      </c>
      <c r="B31" s="9" t="s">
        <v>196</v>
      </c>
      <c r="C31" s="9" t="s">
        <v>197</v>
      </c>
      <c r="D31" s="9" t="s">
        <v>198</v>
      </c>
      <c r="E31" s="9" t="s">
        <v>11</v>
      </c>
      <c r="F31" s="10"/>
      <c r="G31" s="10"/>
    </row>
    <row r="32" ht="30" spans="1:8">
      <c r="A32" s="9" t="s">
        <v>122</v>
      </c>
      <c r="B32" s="9" t="s">
        <v>108</v>
      </c>
      <c r="C32" s="9" t="s">
        <v>109</v>
      </c>
      <c r="D32" s="9" t="s">
        <v>110</v>
      </c>
      <c r="E32" s="9" t="s">
        <v>11</v>
      </c>
      <c r="F32" s="10"/>
      <c r="G32" s="10"/>
    </row>
    <row r="33" ht="30" spans="1:7">
      <c r="A33" s="9" t="s">
        <v>126</v>
      </c>
      <c r="B33" s="9" t="s">
        <v>112</v>
      </c>
      <c r="C33" s="9" t="s">
        <v>113</v>
      </c>
      <c r="D33" s="9" t="s">
        <v>114</v>
      </c>
      <c r="E33" s="9" t="s">
        <v>11</v>
      </c>
      <c r="F33" s="10"/>
      <c r="G33" s="10"/>
    </row>
    <row r="34" ht="30" spans="1:7">
      <c r="A34" s="9" t="s">
        <v>130</v>
      </c>
      <c r="B34" s="9" t="s">
        <v>116</v>
      </c>
      <c r="C34" s="9" t="s">
        <v>117</v>
      </c>
      <c r="D34" s="9" t="s">
        <v>199</v>
      </c>
      <c r="E34" s="9" t="s">
        <v>11</v>
      </c>
      <c r="F34" s="10"/>
      <c r="G34" s="10"/>
    </row>
    <row r="35" spans="1:7">
      <c r="A35" s="9" t="s">
        <v>134</v>
      </c>
      <c r="B35" s="9" t="s">
        <v>120</v>
      </c>
      <c r="C35" s="9" t="s">
        <v>120</v>
      </c>
      <c r="D35" s="9" t="s">
        <v>121</v>
      </c>
      <c r="E35" s="9" t="s">
        <v>11</v>
      </c>
      <c r="F35" s="10"/>
      <c r="G35" s="10"/>
    </row>
    <row r="36" spans="1:7">
      <c r="A36" s="9" t="s">
        <v>201</v>
      </c>
      <c r="B36" s="9" t="s">
        <v>123</v>
      </c>
      <c r="C36" s="9" t="s">
        <v>123</v>
      </c>
      <c r="D36" s="9" t="s">
        <v>202</v>
      </c>
      <c r="E36" s="9" t="s">
        <v>125</v>
      </c>
      <c r="F36" s="10"/>
      <c r="G36" s="10"/>
    </row>
    <row r="37" ht="45" spans="1:7">
      <c r="A37" s="9" t="s">
        <v>203</v>
      </c>
      <c r="B37" s="9" t="s">
        <v>127</v>
      </c>
      <c r="C37" s="9" t="s">
        <v>204</v>
      </c>
      <c r="D37" s="9" t="s">
        <v>205</v>
      </c>
      <c r="E37" s="9" t="s">
        <v>11</v>
      </c>
      <c r="F37" s="10"/>
      <c r="G37" s="10"/>
    </row>
    <row r="38" spans="1:7">
      <c r="A38" s="9" t="s">
        <v>206</v>
      </c>
      <c r="B38" s="9" t="s">
        <v>131</v>
      </c>
      <c r="C38" s="9" t="s">
        <v>132</v>
      </c>
      <c r="D38" s="9" t="s">
        <v>207</v>
      </c>
      <c r="E38" s="9" t="s">
        <v>11</v>
      </c>
      <c r="F38" s="10"/>
      <c r="G38" s="10"/>
    </row>
    <row r="39" ht="30" spans="1:7">
      <c r="A39" s="9" t="s">
        <v>208</v>
      </c>
      <c r="B39" s="9" t="s">
        <v>135</v>
      </c>
      <c r="C39" s="9" t="s">
        <v>136</v>
      </c>
      <c r="D39" s="9" t="s">
        <v>209</v>
      </c>
      <c r="E39" s="9" t="s">
        <v>11</v>
      </c>
      <c r="F39" s="10"/>
      <c r="G39" s="10"/>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0"/>
  <sheetViews>
    <sheetView workbookViewId="0">
      <selection activeCell="A1" sqref="A1:C10"/>
    </sheetView>
  </sheetViews>
  <sheetFormatPr defaultColWidth="9.14285714285714" defaultRowHeight="15" outlineLevelCol="2"/>
  <cols>
    <col min="2" max="2" width="82.2857142857143" customWidth="1"/>
    <col min="3" max="3" width="40.1428571428571" customWidth="1"/>
  </cols>
  <sheetData>
    <row r="1" spans="1:3">
      <c r="A1" s="1" t="s">
        <v>210</v>
      </c>
      <c r="B1" s="2" t="s">
        <v>211</v>
      </c>
      <c r="C1" s="2" t="s">
        <v>212</v>
      </c>
    </row>
    <row r="2" ht="30" spans="1:3">
      <c r="A2" s="3">
        <v>1</v>
      </c>
      <c r="B2" s="4" t="s">
        <v>213</v>
      </c>
      <c r="C2" s="4" t="s">
        <v>214</v>
      </c>
    </row>
    <row r="3" ht="30" spans="1:3">
      <c r="A3" s="3">
        <v>2</v>
      </c>
      <c r="B3" s="4" t="s">
        <v>215</v>
      </c>
      <c r="C3" s="4" t="s">
        <v>214</v>
      </c>
    </row>
    <row r="4" ht="30" spans="1:3">
      <c r="A4" s="3">
        <v>3</v>
      </c>
      <c r="B4" s="4" t="s">
        <v>216</v>
      </c>
      <c r="C4" s="4" t="s">
        <v>217</v>
      </c>
    </row>
    <row r="5" ht="30" spans="1:3">
      <c r="A5" s="3">
        <v>4</v>
      </c>
      <c r="B5" s="4" t="s">
        <v>218</v>
      </c>
      <c r="C5" s="4" t="s">
        <v>214</v>
      </c>
    </row>
    <row r="6" ht="30" spans="1:3">
      <c r="A6" s="3">
        <v>5</v>
      </c>
      <c r="B6" s="4" t="s">
        <v>219</v>
      </c>
      <c r="C6" s="4" t="s">
        <v>214</v>
      </c>
    </row>
    <row r="7" spans="1:3">
      <c r="A7" s="3">
        <v>6</v>
      </c>
      <c r="B7" s="4" t="s">
        <v>220</v>
      </c>
      <c r="C7" s="4" t="s">
        <v>214</v>
      </c>
    </row>
    <row r="8" spans="1:3">
      <c r="A8" s="3">
        <v>7</v>
      </c>
      <c r="B8" s="4" t="s">
        <v>221</v>
      </c>
      <c r="C8" s="4" t="s">
        <v>214</v>
      </c>
    </row>
    <row r="9" spans="1:3">
      <c r="A9" s="3">
        <v>8</v>
      </c>
      <c r="B9" s="4" t="s">
        <v>222</v>
      </c>
      <c r="C9" s="4" t="s">
        <v>214</v>
      </c>
    </row>
    <row r="10" ht="30" spans="1:3">
      <c r="A10" s="3">
        <v>9</v>
      </c>
      <c r="B10" s="4" t="s">
        <v>223</v>
      </c>
      <c r="C10" s="4" t="s">
        <v>224</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5</vt:i4>
      </vt:variant>
    </vt:vector>
  </HeadingPairs>
  <TitlesOfParts>
    <vt:vector size="5" baseType="lpstr">
      <vt:lpstr>Intrim claim(OTS=N)</vt:lpstr>
      <vt:lpstr>Intrim claim (OTS=Y)</vt:lpstr>
      <vt:lpstr>Final claim(OTS=N)</vt:lpstr>
      <vt:lpstr>Final claim(OTS=Y)</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somesh</dc:creator>
  <cp:lastModifiedBy>QA SOMESH</cp:lastModifiedBy>
  <dcterms:created xsi:type="dcterms:W3CDTF">2026-07-07T06:07:00Z</dcterms:created>
  <dcterms:modified xsi:type="dcterms:W3CDTF">2026-09-30T07:45:55Z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319C79F9FD4A47D0B1FB76F7709E61B5_11</vt:lpwstr>
  </property>
  <property fmtid="{D5CDD505-2E9C-101B-9397-08002B2CF9AE}" pid="3" name="KSOProductBuildVer">
    <vt:lpwstr>1033-12.1.0.25242</vt:lpwstr>
  </property>
  <property fmtid="{D5CDD505-2E9C-101B-9397-08002B2CF9AE}" pid="4" name="CalculationRule">
    <vt:i4>1</vt:i4>
  </property>
</Properties>
</file>