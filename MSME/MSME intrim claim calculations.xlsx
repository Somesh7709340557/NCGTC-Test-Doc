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activeTab="1"/>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<sst xmlns="http://schemas.openxmlformats.org/spreadsheetml/2006/main" count="817" uniqueCount="225">
  <si>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</si>
  <si>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</si>
  <si>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</si>
  <si>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</si>
  <si>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</si>
  <si>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</si>
  <si>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</si>
  <si>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</si>
  <si>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</si>
  <si>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</si>
  <si>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</si>
  <si>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</si>
  <si>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</si>
  <si>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</si>
  <si>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</si>
  <si>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</si>
  <si>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</si>
  <si>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</si>
  <si>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</si>
  <si>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</si>
  <si>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</si>
  <si>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</si>
  <si>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</si>
  <si>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</si>
  <si>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</si>
  <si>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</si>
  <si>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</si>
  <si>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</si>
  <si>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</si>
  <si>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</si>
  <si>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</si>
  <si>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</si>
  <si>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</si>
  <si>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</si>
  <si>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</si>
  <si>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</si>
  <si>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</si>
  <si>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</si>
  <si>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</si>
  <si>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</si>
  <si>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</si>
  <si>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</si>
  <si>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</si>
  <si>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</si>
  <si>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</si>
  <si>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</si>
  <si>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</si>
  <si>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</si>
  <si>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</si>
  <si>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</si>
  <si>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</si>
  <si>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</si>
  <si>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</si>
  <si>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</si>
  <si>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</si>
  <si>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</si>
  <si>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</si>
  <si>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</si>
  <si>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</si>
  <si>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</si>
  <si>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</si>
  <si>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</si>
  <si>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</si>
  <si>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</si>
  <si>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</si>
  <si>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</si>
  <si>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</si>
  <si>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</si>
  <si>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</si>
  <si>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</si>
  <si>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</si>
  <si>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</si>
  <si>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</si>
  <si>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</si>
  <si>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</si>
  <si>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</si>
  <si>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</si>
  <si>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</si>
  <si>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</si>
  <si>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</si>
  <si>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</si>
  <si>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</si>
  <si>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</si>
  <si>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</si>
  <si>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</si>
  <si>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</si>
  <si>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</si>
  <si>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</si>
  <si>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</si>
  <si>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</si>
  <si>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</si>
  <si>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</si>
  <si>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</si>
  <si>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</si>
  <si>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</si>
  <si>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</si>
  <si>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</si>
  <si>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</si>
  <si>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</si>
  <si>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</si>
  <si>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</si>
  <si>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</si>
  <si>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</si>
  <si>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</si>
  <si>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</si>
  <si>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</si>
  <si>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</si>
  <si>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</si>
  <si>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</si>
  <si>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</si>
  <si>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</si>
  <si>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</si>
  <si>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</si>
  <si>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</si>
  <si>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</si>
  <si>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</si>
  <si>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</si>
  <si>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</si>
  <si>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</si>
  <si>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</si>
  <si>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</si>
  <si>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</si>
  <si>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</si>
  <si>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</si>
  <si>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</si>
  <si>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</si>
  <si>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</si>
  <si>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</si>
  <si>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</si>
  <si>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</si>
  <si>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</si>
  <si>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</si>
  <si>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</si>
  <si>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</si>
  <si>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</si>
  <si>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</si>
  <si>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</si>
  <si>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</si>
  <si>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</si>
  <si>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</si>
  <si>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</si>
  <si>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</si>
  <si>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MSMETyep</t>
  </si>
  <si>
    <r>
      <rPr>
        <sz val="11"/>
        <color theme="1"/>
        <rFont val="Calibri"/>
        <charset val="134"/>
        <scheme val="minor"/>
      </rPr>
      <t xml:space="preserve">Amount recovered through OTS ( Proportionate amount of NCGTC recovery ) – 40% of 9A-9C for MLI / 40% of 9B-9C for NCGTC.
</t>
    </r>
    <r>
      <rPr>
        <sz val="11"/>
        <color rgb="FFFF0000"/>
        <rFont val="Calibri"/>
        <charset val="134"/>
        <scheme val="minor"/>
      </rPr>
      <t>NCGTC and MLI portions should be 60% and 40%, respectively, for General MSME, and 75% and 25%, respectively, for Exporter MSME</t>
    </r>
  </si>
  <si>
    <r>
      <rPr>
        <sz val="11"/>
        <color theme="1"/>
        <rFont val="Calibri"/>
        <charset val="134"/>
        <scheme val="minor"/>
      </rPr>
      <t xml:space="preserve">Amount recovered through OTS retained by MLI – 60% of 9A-9C for MLI / 60% of 9B-9C for NCGTC.
</t>
    </r>
    <r>
      <rPr>
        <sz val="11"/>
        <color rgb="FFFF0000"/>
        <rFont val="Calibri"/>
        <charset val="134"/>
        <scheme val="minor"/>
      </rPr>
      <t>NCGTC and MLI portions should be 60% and 40%, respectively, for General MSME, and 75% and 25%, respectively, for Exporter MSME</t>
    </r>
  </si>
  <si>
    <t>Auto Calculate.  75% of AID (21) -Value of collateral (14)</t>
  </si>
  <si>
    <t>Auto-calculation. 3*(24+25)</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</si>
  <si>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</si>
  <si>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</si>
  <si>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</si>
  <si>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</si>
  <si>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</si>
  <si>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</si>
  <si>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</si>
  <si>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</si>
  <si>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</si>
  <si>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</si>
  <si>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</si>
  <si>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</si>
  <si>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</si>
  <si>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</si>
  <si>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</si>
  <si>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</si>
  <si>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</si>
  <si>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</si>
  <si>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</si>
  <si>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</si>
  <si>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</si>
  <si>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</si>
  <si>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Editable</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</si>
  <si>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</si>
  <si>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</si>
  <si>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</si>
  <si>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</si>
  <si>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</si>
  <si>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</si>
  <si>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</si>
  <si>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</si>
  <si>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</si>
  <si>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</si>
  <si>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</si>
  <si>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</si>
  <si>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</si>
  <si>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</si>
  <si>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</si>
  <si>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</si>
  <si>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</si>
  <si>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</si>
  <si>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</si>
  <si>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</si>
  <si>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</si>
  <si>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</si>
  <si>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</si>
  <si>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</si>
  <si>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</si>
  <si>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</si>
  <si>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</si>
  <si>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</si>
  <si>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</si>
  <si>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</si>
  <si>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</si>
  <si>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</si>
  <si>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</si>
  <si>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</si>
  <si>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</si>
  <si>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</si>
  <si>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</si>
  <si>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</si>
  <si>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</si>
  <si>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</si>
  <si>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</si>
  <si>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</si>
  <si>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</si>
  <si>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rPr>
        <b/>
        <sz val="11"/>
        <color theme="1"/>
        <rFont val="Calibri"/>
        <charset val="134"/>
        <scheme val="minor"/>
      </rP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</si>
  <si>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</si>
  <si>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rPr>
        <b/>
        <sz val="11"/>
        <color theme="1"/>
        <rFont val="Calibri"/>
        <charset val="134"/>
        <scheme val="minor"/>
      </rP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</si>
  <si>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rPr>
        <b/>
        <sz val="11"/>
        <color theme="1"/>
        <rFont val="Calibri"/>
        <charset val="134"/>
        <scheme val="minor"/>
      </rPr>
      <t>Audit Trail:</t>
    </r>
    <r>
      <rPr>
        <sz val="11"/>
        <color theme="1"/>
        <rFont val="Calibri"/>
        <charset val="134"/>
        <scheme val="minor"/>
      </rPr>
      <t xml:space="preserve"> Display only the role instead of the NCGTC user name and include the Accountant role in the audit trail.</t>
    </r>
  </si>
  <si>
    <r>
      <rPr>
        <b/>
        <sz val="11"/>
        <color theme="1"/>
        <rFont val="Calibri"/>
        <charset val="134"/>
        <scheme val="minor"/>
      </rPr>
      <t>On Hold</t>
    </r>
    <r>
      <rPr>
        <sz val="11"/>
        <color theme="1"/>
        <rFont val="Calibri"/>
        <charset val="134"/>
        <scheme val="minor"/>
      </rPr>
      <t xml:space="preserve"> – Facing an implementation issue.</t>
    </r>
  </si>
  <si>
    <r>
      <rPr>
        <b/>
        <sz val="11"/>
        <color theme="1"/>
        <rFont val="Calibri"/>
        <charset val="134"/>
        <scheme val="minor"/>
      </rPr>
      <t>Recovery:</t>
    </r>
    <r>
      <rPr>
        <sz val="11"/>
        <color theme="1"/>
        <rFont val="Calibri"/>
        <charset val="134"/>
        <scheme val="minor"/>
      </rPr>
      <t xml:space="preserve"> Auto-populate the Recovery Amount from NPA date until Final Claim, with the option to edit the amount.</t>
    </r>
  </si>
  <si>
    <r>
      <rPr>
        <b/>
        <sz val="11"/>
        <color theme="1"/>
        <rFont val="Calibri"/>
        <charset val="134"/>
        <scheme val="minor"/>
      </rPr>
      <t>Recovery:</t>
    </r>
    <r>
      <rPr>
        <sz val="11"/>
        <color theme="1"/>
        <rFont val="Calibri"/>
        <charset val="134"/>
        <scheme val="minor"/>
      </rPr>
      <t xml:space="preserve"> Allow recovery only for cases where the Interim Claim has been settled; otherwise, display an appropriate error.</t>
    </r>
  </si>
  <si>
    <r>
      <rPr>
        <b/>
        <sz val="11"/>
        <color theme="1"/>
        <rFont val="Calibri"/>
        <charset val="134"/>
        <scheme val="minor"/>
      </rP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</si>
  <si>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rPr>
        <b/>
        <sz val="11"/>
        <color theme="1"/>
        <rFont val="Calibri"/>
        <charset val="134"/>
        <scheme val="minor"/>
      </rP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</si>
  <si>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rPr>
        <b/>
        <sz val="11"/>
        <color theme="1"/>
        <rFont val="Calibri"/>
        <charset val="134"/>
        <scheme val="minor"/>
      </rP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</si>
  <si>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rPr>
        <b/>
        <sz val="11"/>
        <color theme="1"/>
        <rFont val="Calibri"/>
        <charset val="134"/>
        <scheme val="minor"/>
      </rPr>
      <t>MLI-wise Claim Payout Capping Report:</t>
    </r>
    <r>
      <rPr>
        <sz val="11"/>
        <color theme="1"/>
        <rFont val="Calibri"/>
        <charset val="134"/>
        <scheme val="minor"/>
      </rPr>
      <t xml:space="preserve"> Development as per the calculation Excel shared earlier by the client.</t>
    </r>
  </si>
  <si>
    <r>
      <rPr>
        <b/>
        <sz val="11"/>
        <color theme="1"/>
        <rFont val="Calibri"/>
        <charset val="134"/>
        <scheme val="minor"/>
      </rP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</si>
</sst>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39">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8"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9" borderId="5" applyNumberFormat="0" applyAlignment="0" applyProtection="0">
      <alignment vertical="center"/>
    </xf>
    <xf numFmtId="0" fontId="14" fillId="10" borderId="6" applyNumberFormat="0" applyAlignment="0" applyProtection="0">
      <alignment vertical="center"/>
    </xf>
    <xf numFmtId="0" fontId="15" fillId="10" borderId="5" applyNumberFormat="0" applyAlignment="0" applyProtection="0">
      <alignment vertical="center"/>
    </xf>
    <xf numFmtId="0" fontId="16" fillId="11"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3" fillId="36" borderId="0" applyNumberFormat="0" applyBorder="0" applyAlignment="0" applyProtection="0">
      <alignment vertical="center"/>
    </xf>
    <xf numFmtId="0" fontId="23" fillId="37" borderId="0" applyNumberFormat="0" applyBorder="0" applyAlignment="0" applyProtection="0">
      <alignment vertical="center"/>
    </xf>
    <xf numFmtId="0" fontId="22" fillId="38" borderId="0" applyNumberFormat="0" applyBorder="0" applyAlignment="0" applyProtection="0">
      <alignment vertical="center"/>
    </xf>
  </cellStyleXfs>
  <cellXfs count="42">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vertical="center" wrapText="1"/>
    </xf>
    <xf numFmtId="0" fontId="0" fillId="0" borderId="0" xfId="0" applyFont="1" applyFill="1" applyAlignment="1">
      <alignment vertical="center" wrapText="1"/>
    </xf>
    <xf numFmtId="180" fontId="0" fillId="0" borderId="0" xfId="0" applyNumberFormat="1" applyAlignment="1">
      <alignment vertical="center" wrapText="1"/>
    </xf>
    <xf numFmtId="0" fontId="0" fillId="0" borderId="0" xfId="0" applyAlignment="1">
      <alignment vertical="center" wrapText="1"/>
    </xf>
    <xf numFmtId="0" fontId="0" fillId="0" borderId="0" xfId="0" applyAlignment="1">
      <alignment vertical="center"/>
    </xf>
    <xf numFmtId="180" fontId="1" fillId="2" borderId="1" xfId="0" applyNumberFormat="1" applyFont="1" applyFill="1" applyBorder="1" applyAlignment="1">
      <alignment vertical="center" wrapText="1"/>
    </xf>
    <xf numFmtId="0" fontId="0" fillId="0" borderId="1" xfId="0" applyFont="1" applyFill="1" applyBorder="1" applyAlignment="1">
      <alignment vertical="center" wrapText="1"/>
    </xf>
    <xf numFmtId="180" fontId="0" fillId="0" borderId="1" xfId="0" applyNumberFormat="1" applyBorder="1" applyAlignment="1">
      <alignment vertical="center" wrapText="1"/>
    </xf>
    <xf numFmtId="0" fontId="0" fillId="0" borderId="1" xfId="0" applyBorder="1" applyAlignment="1">
      <alignment vertical="center" wrapText="1"/>
    </xf>
    <xf numFmtId="0" fontId="0" fillId="2" borderId="1" xfId="0" applyFont="1" applyFill="1" applyBorder="1" applyAlignment="1">
      <alignment vertical="center" wrapText="1"/>
    </xf>
    <xf numFmtId="0" fontId="0" fillId="6" borderId="1" xfId="0" applyFont="1" applyFill="1" applyBorder="1" applyAlignment="1">
      <alignment vertical="center" wrapText="1"/>
    </xf>
    <xf numFmtId="181" fontId="0" fillId="0" borderId="1" xfId="0" applyNumberFormat="1" applyBorder="1" applyAlignment="1">
      <alignment vertical="center" wrapText="1"/>
    </xf>
    <xf numFmtId="0" fontId="0" fillId="7" borderId="0" xfId="0" applyFill="1" applyAlignment="1">
      <alignment vertical="center"/>
    </xf>
    <xf numFmtId="180" fontId="0" fillId="2" borderId="1" xfId="0" applyNumberFormat="1" applyFill="1" applyBorder="1" applyAlignment="1">
      <alignment vertical="center" wrapText="1"/>
    </xf>
    <xf numFmtId="0" fontId="0" fillId="4" borderId="0" xfId="0" applyFill="1" applyAlignment="1">
      <alignment vertical="center"/>
    </xf>
    <xf numFmtId="0" fontId="4" fillId="3" borderId="0" xfId="0" applyFont="1" applyFill="1" applyAlignment="1">
      <alignment vertical="center"/>
    </xf>
    <xf numFmtId="0" fontId="0" fillId="0" borderId="0" xfId="0" applyFont="1" applyFill="1" applyAlignment="1">
      <alignment wrapText="1"/>
    </xf>
    <xf numFmtId="0" fontId="1" fillId="2" borderId="1" xfId="0" applyFont="1" applyFill="1" applyBorder="1" applyAlignment="1">
      <alignment wrapText="1"/>
    </xf>
    <xf numFmtId="0" fontId="0" fillId="0" borderId="1" xfId="0" applyFont="1" applyFill="1" applyBorder="1" applyAlignment="1">
      <alignment wrapText="1"/>
    </xf>
    <xf numFmtId="0" fontId="0" fillId="2" borderId="1" xfId="0" applyFont="1" applyFill="1" applyBorder="1" applyAlignment="1">
      <alignment wrapText="1"/>
    </xf>
    <xf numFmtId="0" fontId="0" fillId="6" borderId="1" xfId="0" applyFont="1" applyFill="1" applyBorder="1" applyAlignment="1">
      <alignment wrapText="1"/>
    </xf>
    <xf numFmtId="0" fontId="0" fillId="7" borderId="0" xfId="0" applyFill="1">
      <alignment vertical="center"/>
    </xf>
    <xf numFmtId="0" fontId="4" fillId="3" borderId="0" xfId="0" applyFont="1" applyFill="1">
      <alignment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34"/>
  <sheetViews>
    <sheetView zoomScale="85" zoomScaleNormal="85" workbookViewId="0">
      <selection activeCell="C10" sqref="C10"/>
    </sheetView>
  </sheetViews>
  <sheetFormatPr defaultColWidth="9.14285714285714" defaultRowHeight="15"/>
  <cols>
    <col min="1" max="1" width="6.71428571428571" style="34" customWidth="1"/>
    <col min="2" max="2" width="38" style="34" customWidth="1"/>
    <col min="3" max="3" width="64" style="34" customWidth="1"/>
    <col min="4" max="4" width="48.2857142857143" style="34" customWidth="1"/>
    <col min="5" max="5" width="34.2857142857143" style="34" customWidth="1"/>
    <col min="6" max="6" width="21.2857142857143" style="21" customWidth="1"/>
    <col min="7" max="7" width="16.5714285714286" style="21" customWidth="1"/>
    <col min="8" max="9" width="15.7142857142857" customWidth="1"/>
  </cols>
  <sheetData>
    <row r="1" spans="1:8">
      <c r="A1" s="35" t="s">
        <v>0</v>
      </c>
      <c r="B1" s="35" t="s">
        <v>1</v>
      </c>
      <c r="C1" s="35" t="s">
        <v>2</v>
      </c>
      <c r="D1" s="35" t="s">
        <v>3</v>
      </c>
      <c r="E1" s="35" t="s">
        <v>4</v>
      </c>
      <c r="F1" s="7" t="s">
        <v>5</v>
      </c>
      <c r="G1" s="7" t="s">
        <v>6</v>
      </c>
    </row>
    <row r="2" spans="1:8">
      <c r="A2" s="36" t="s">
        <v>7</v>
      </c>
      <c r="B2" s="36" t="s">
        <v>8</v>
      </c>
      <c r="C2" s="36" t="s">
        <v>9</v>
      </c>
      <c r="D2" s="36" t="s">
        <v>10</v>
      </c>
      <c r="E2" s="36" t="s">
        <v>11</v>
      </c>
      <c r="F2" s="26"/>
      <c r="G2" s="26"/>
    </row>
    <row r="3" ht="30" spans="1:8">
      <c r="A3" s="36" t="s">
        <v>12</v>
      </c>
      <c r="B3" s="36" t="s">
        <v>13</v>
      </c>
      <c r="C3" s="36" t="s">
        <v>14</v>
      </c>
      <c r="D3" s="37" t="s">
        <v>15</v>
      </c>
      <c r="E3" s="36" t="s">
        <v>11</v>
      </c>
      <c r="F3" s="26"/>
      <c r="G3" s="26"/>
    </row>
    <row r="4" spans="1:8">
      <c r="A4" s="36" t="s">
        <v>16</v>
      </c>
      <c r="B4" s="36" t="s">
        <v>17</v>
      </c>
      <c r="C4" s="36" t="s">
        <v>18</v>
      </c>
      <c r="D4" s="37" t="s">
        <v>15</v>
      </c>
      <c r="E4" s="36" t="s">
        <v>11</v>
      </c>
      <c r="F4" s="26"/>
      <c r="G4" s="26"/>
    </row>
    <row r="5" spans="1:8">
      <c r="A5" s="36" t="s">
        <v>19</v>
      </c>
      <c r="B5" s="36" t="s">
        <v>20</v>
      </c>
      <c r="C5" s="36" t="s">
        <v>21</v>
      </c>
      <c r="D5" s="37" t="s">
        <v>15</v>
      </c>
      <c r="E5" s="36" t="s">
        <v>11</v>
      </c>
      <c r="F5" s="26"/>
      <c r="G5" s="26"/>
    </row>
    <row r="6" ht="30" spans="1:8">
      <c r="A6" s="36" t="s">
        <v>22</v>
      </c>
      <c r="B6" s="36" t="s">
        <v>23</v>
      </c>
      <c r="C6" s="36" t="s">
        <v>24</v>
      </c>
      <c r="D6" s="36" t="s">
        <v>25</v>
      </c>
      <c r="E6" s="36" t="s">
        <v>11</v>
      </c>
      <c r="F6" s="26"/>
      <c r="G6" s="26"/>
    </row>
    <row r="7" ht="30" spans="1:8">
      <c r="A7" s="36" t="s">
        <v>26</v>
      </c>
      <c r="B7" s="36" t="s">
        <v>27</v>
      </c>
      <c r="C7" s="36" t="s">
        <v>28</v>
      </c>
      <c r="D7" s="36" t="s">
        <v>29</v>
      </c>
      <c r="E7" s="36" t="s">
        <v>11</v>
      </c>
      <c r="F7" s="26"/>
      <c r="G7" s="26"/>
    </row>
    <row r="8" spans="1:8">
      <c r="A8" s="36" t="s">
        <v>30</v>
      </c>
      <c r="B8" s="36" t="s">
        <v>31</v>
      </c>
      <c r="C8" s="36" t="s">
        <v>32</v>
      </c>
      <c r="D8" s="36" t="s">
        <v>25</v>
      </c>
      <c r="E8" s="36" t="s">
        <v>11</v>
      </c>
      <c r="F8" s="26" t="s">
        <v>33</v>
      </c>
      <c r="G8" s="26" t="s">
        <v>34</v>
      </c>
    </row>
    <row r="9" ht="30" spans="1:8">
      <c r="A9" s="36" t="s">
        <v>35</v>
      </c>
      <c r="B9" s="36" t="s">
        <v>36</v>
      </c>
      <c r="C9" s="36" t="s">
        <v>37</v>
      </c>
      <c r="D9" s="36" t="s">
        <v>29</v>
      </c>
      <c r="E9" s="38" t="s">
        <v>38</v>
      </c>
      <c r="F9" s="26"/>
      <c r="G9" s="26"/>
    </row>
    <row r="10" spans="1:8">
      <c r="A10" s="36" t="s">
        <v>39</v>
      </c>
      <c r="B10" s="36" t="s">
        <v>40</v>
      </c>
      <c r="C10" s="36" t="s">
        <v>41</v>
      </c>
      <c r="D10" s="36" t="s">
        <v>42</v>
      </c>
      <c r="E10" s="38" t="s">
        <v>43</v>
      </c>
      <c r="F10" s="26"/>
      <c r="G10" s="26"/>
    </row>
    <row r="11" ht="30" spans="1:8">
      <c r="A11" s="36" t="s">
        <v>44</v>
      </c>
      <c r="B11" s="36" t="s">
        <v>45</v>
      </c>
      <c r="C11" s="36" t="s">
        <v>46</v>
      </c>
      <c r="D11" s="36" t="s">
        <v>42</v>
      </c>
      <c r="E11" s="38" t="s">
        <v>43</v>
      </c>
      <c r="F11" s="26"/>
      <c r="G11" s="26"/>
    </row>
    <row r="12" ht="30" spans="1:8">
      <c r="A12" s="36" t="s">
        <v>47</v>
      </c>
      <c r="B12" s="36" t="s">
        <v>48</v>
      </c>
      <c r="C12" s="36" t="s">
        <v>49</v>
      </c>
      <c r="D12" s="36" t="s">
        <v>50</v>
      </c>
      <c r="E12" s="38" t="s">
        <v>51</v>
      </c>
      <c r="F12" s="26"/>
      <c r="G12" s="26"/>
    </row>
    <row r="13" ht="30" spans="1:8">
      <c r="A13" s="36" t="s">
        <v>52</v>
      </c>
      <c r="B13" s="36" t="s">
        <v>53</v>
      </c>
      <c r="C13" s="36" t="s">
        <v>54</v>
      </c>
      <c r="D13" s="36" t="s">
        <v>55</v>
      </c>
      <c r="E13" s="38" t="s">
        <v>43</v>
      </c>
      <c r="F13" s="26"/>
      <c r="G13" s="26"/>
    </row>
    <row r="14" ht="30" spans="1:8">
      <c r="A14" s="36" t="s">
        <v>56</v>
      </c>
      <c r="B14" s="36" t="s">
        <v>57</v>
      </c>
      <c r="C14" s="36" t="s">
        <v>58</v>
      </c>
      <c r="D14" s="36" t="s">
        <v>55</v>
      </c>
      <c r="E14" s="38" t="s">
        <v>43</v>
      </c>
      <c r="F14" s="26"/>
      <c r="G14" s="26"/>
    </row>
    <row r="15" spans="1:8">
      <c r="A15" s="36" t="s">
        <v>59</v>
      </c>
      <c r="B15" s="36" t="s">
        <v>60</v>
      </c>
      <c r="C15" s="36" t="s">
        <v>61</v>
      </c>
      <c r="D15" s="37" t="s">
        <v>15</v>
      </c>
      <c r="E15" s="36" t="s">
        <v>11</v>
      </c>
      <c r="F15" s="26">
        <v>50000000</v>
      </c>
      <c r="G15" s="26" t="s">
        <v>62</v>
      </c>
      <c r="H15" s="39"/>
    </row>
    <row r="16" spans="1:8">
      <c r="A16" s="36" t="s">
        <v>63</v>
      </c>
      <c r="B16" s="36" t="s">
        <v>64</v>
      </c>
      <c r="C16" s="36" t="s">
        <v>65</v>
      </c>
      <c r="D16" s="36" t="s">
        <v>66</v>
      </c>
      <c r="E16" s="36" t="s">
        <v>11</v>
      </c>
      <c r="F16" s="14">
        <v>60000000</v>
      </c>
      <c r="G16" s="26" t="s">
        <v>34</v>
      </c>
      <c r="H16" s="39"/>
    </row>
    <row r="17" ht="30" spans="1:10">
      <c r="A17" s="36" t="s">
        <v>67</v>
      </c>
      <c r="B17" s="36" t="s">
        <v>68</v>
      </c>
      <c r="C17" s="36" t="s">
        <v>69</v>
      </c>
      <c r="D17" s="36" t="s">
        <v>70</v>
      </c>
      <c r="E17" s="36" t="s">
        <v>11</v>
      </c>
      <c r="F17" s="26">
        <f>MAX(F15,F16)</f>
        <v>60000000</v>
      </c>
      <c r="G17" s="26" t="s">
        <v>71</v>
      </c>
      <c r="H17" s="39"/>
    </row>
    <row r="18" ht="30" spans="1:10">
      <c r="A18" s="36" t="s">
        <v>72</v>
      </c>
      <c r="B18" s="36" t="s">
        <v>73</v>
      </c>
      <c r="C18" s="36" t="s">
        <v>74</v>
      </c>
      <c r="D18" s="37" t="s">
        <v>15</v>
      </c>
      <c r="E18" s="36" t="s">
        <v>11</v>
      </c>
      <c r="F18" s="26">
        <v>100000000</v>
      </c>
      <c r="G18" s="26" t="s">
        <v>62</v>
      </c>
      <c r="H18" s="39"/>
    </row>
    <row r="19" ht="30" spans="1:10">
      <c r="A19" s="36" t="s">
        <v>75</v>
      </c>
      <c r="B19" s="36" t="s">
        <v>76</v>
      </c>
      <c r="C19" s="36" t="s">
        <v>77</v>
      </c>
      <c r="D19" s="37" t="s">
        <v>15</v>
      </c>
      <c r="E19" s="36" t="s">
        <v>11</v>
      </c>
      <c r="F19" s="26">
        <v>100000000</v>
      </c>
      <c r="G19" s="26" t="s">
        <v>62</v>
      </c>
      <c r="H19" s="39"/>
    </row>
    <row r="20" ht="30" spans="1:10">
      <c r="A20" s="36" t="s">
        <v>78</v>
      </c>
      <c r="B20" s="36" t="s">
        <v>79</v>
      </c>
      <c r="C20" s="36" t="s">
        <v>80</v>
      </c>
      <c r="D20" s="36" t="s">
        <v>81</v>
      </c>
      <c r="E20" s="36" t="s">
        <v>82</v>
      </c>
      <c r="F20" s="14">
        <v>0</v>
      </c>
      <c r="G20" s="26" t="s">
        <v>34</v>
      </c>
      <c r="H20" s="39"/>
    </row>
    <row r="21" ht="30" spans="1:10">
      <c r="A21" s="36" t="s">
        <v>83</v>
      </c>
      <c r="B21" s="36" t="s">
        <v>84</v>
      </c>
      <c r="C21" s="36" t="s">
        <v>85</v>
      </c>
      <c r="D21" s="36" t="s">
        <v>86</v>
      </c>
      <c r="E21" s="36" t="s">
        <v>11</v>
      </c>
      <c r="F21" s="26">
        <f>F18</f>
        <v>100000000</v>
      </c>
      <c r="G21" s="26" t="s">
        <v>71</v>
      </c>
      <c r="H21" s="12"/>
    </row>
    <row r="22" ht="30" spans="1:10">
      <c r="A22" s="36" t="s">
        <v>87</v>
      </c>
      <c r="B22" s="36" t="s">
        <v>88</v>
      </c>
      <c r="C22" s="36" t="s">
        <v>89</v>
      </c>
      <c r="D22" s="36" t="s">
        <v>86</v>
      </c>
      <c r="E22" s="36" t="s">
        <v>11</v>
      </c>
      <c r="F22" s="26">
        <f>F19</f>
        <v>100000000</v>
      </c>
      <c r="G22" s="26" t="s">
        <v>71</v>
      </c>
      <c r="H22" s="12"/>
    </row>
    <row r="23" ht="30" spans="1:10">
      <c r="A23" s="36" t="s">
        <v>90</v>
      </c>
      <c r="B23" s="36" t="s">
        <v>91</v>
      </c>
      <c r="C23" s="36" t="s">
        <v>92</v>
      </c>
      <c r="D23" s="36" t="s">
        <v>86</v>
      </c>
      <c r="E23" s="36" t="s">
        <v>93</v>
      </c>
      <c r="F23" s="26">
        <f>F20</f>
        <v>0</v>
      </c>
      <c r="G23" s="26" t="s">
        <v>71</v>
      </c>
      <c r="H23" s="12"/>
    </row>
    <row r="24" ht="120" spans="1:10">
      <c r="A24" s="36" t="s">
        <v>94</v>
      </c>
      <c r="B24" s="36" t="s">
        <v>95</v>
      </c>
      <c r="C24" s="36" t="s">
        <v>96</v>
      </c>
      <c r="D24" s="36" t="s">
        <v>97</v>
      </c>
      <c r="E24" s="36" t="s">
        <v>11</v>
      </c>
      <c r="F24" s="26">
        <f>IF(F8="N",F18+F19-F20,IF(F8="Y",F18+F19-F13,""))</f>
        <v>200000000</v>
      </c>
      <c r="G24" s="26" t="s">
        <v>71</v>
      </c>
      <c r="H24" s="40"/>
      <c r="I24">
        <f>IF(F8="N",F21+F22-F23,IF(F8="Y",F21+F22-F13,""))</f>
        <v>200000000</v>
      </c>
      <c r="J24" t="s">
        <v>98</v>
      </c>
    </row>
    <row r="25" ht="30" spans="1:10">
      <c r="A25" s="36" t="s">
        <v>99</v>
      </c>
      <c r="B25" s="36" t="s">
        <v>100</v>
      </c>
      <c r="C25" s="36" t="s">
        <v>101</v>
      </c>
      <c r="D25" s="36" t="s">
        <v>102</v>
      </c>
      <c r="E25" s="36" t="s">
        <v>11</v>
      </c>
      <c r="F25" s="26">
        <f>60%*(F24-F17)</f>
        <v>84000000</v>
      </c>
      <c r="G25" s="26" t="s">
        <v>71</v>
      </c>
      <c r="H25" s="40"/>
    </row>
    <row r="26" ht="45" spans="1:10">
      <c r="A26" s="36" t="s">
        <v>103</v>
      </c>
      <c r="B26" s="36" t="s">
        <v>104</v>
      </c>
      <c r="C26" s="36" t="s">
        <v>105</v>
      </c>
      <c r="D26" s="36" t="s">
        <v>106</v>
      </c>
      <c r="E26" s="36" t="s">
        <v>11</v>
      </c>
      <c r="F26" s="26">
        <f>IF(F8="N",75%*F25,IF(F8="Y",100%*F25,""))</f>
        <v>63000000</v>
      </c>
      <c r="G26" s="26" t="s">
        <v>71</v>
      </c>
      <c r="H26" s="40"/>
    </row>
    <row r="27" spans="1:10">
      <c r="A27" s="36" t="s">
        <v>107</v>
      </c>
      <c r="B27" s="36" t="s">
        <v>108</v>
      </c>
      <c r="C27" s="36" t="s">
        <v>109</v>
      </c>
      <c r="D27" s="37" t="s">
        <v>110</v>
      </c>
      <c r="E27" s="36" t="s">
        <v>11</v>
      </c>
      <c r="F27" s="26">
        <v>5487293.76</v>
      </c>
      <c r="G27" s="26" t="s">
        <v>62</v>
      </c>
      <c r="H27" s="40"/>
    </row>
    <row r="28" ht="45" spans="1:10">
      <c r="A28" s="36" t="s">
        <v>111</v>
      </c>
      <c r="B28" s="36" t="s">
        <v>112</v>
      </c>
      <c r="C28" s="36" t="s">
        <v>113</v>
      </c>
      <c r="D28" s="37" t="s">
        <v>114</v>
      </c>
      <c r="E28" s="36" t="s">
        <v>11</v>
      </c>
      <c r="F28" s="26">
        <v>0</v>
      </c>
      <c r="G28" s="26" t="s">
        <v>62</v>
      </c>
      <c r="H28" s="40"/>
    </row>
    <row r="29" ht="30" spans="1:10">
      <c r="A29" s="36" t="s">
        <v>115</v>
      </c>
      <c r="B29" s="36" t="s">
        <v>116</v>
      </c>
      <c r="C29" s="36" t="s">
        <v>117</v>
      </c>
      <c r="D29" s="36" t="s">
        <v>118</v>
      </c>
      <c r="E29" s="36" t="s">
        <v>11</v>
      </c>
      <c r="F29" s="26">
        <f>2*(F27+F28)</f>
        <v>10974587.52</v>
      </c>
      <c r="G29" s="26" t="s">
        <v>71</v>
      </c>
      <c r="H29" s="40"/>
    </row>
    <row r="30" ht="30" spans="1:10">
      <c r="A30" s="36" t="s">
        <v>119</v>
      </c>
      <c r="B30" s="36" t="s">
        <v>120</v>
      </c>
      <c r="C30" s="36" t="s">
        <v>120</v>
      </c>
      <c r="D30" s="41" t="s">
        <v>121</v>
      </c>
      <c r="E30" s="36" t="s">
        <v>11</v>
      </c>
      <c r="F30" s="14">
        <v>0</v>
      </c>
      <c r="G30" s="26"/>
      <c r="H30" s="40"/>
    </row>
    <row r="31" spans="1:10">
      <c r="A31" s="36" t="s">
        <v>122</v>
      </c>
      <c r="B31" s="36" t="s">
        <v>123</v>
      </c>
      <c r="C31" s="36" t="s">
        <v>123</v>
      </c>
      <c r="D31" s="36" t="s">
        <v>124</v>
      </c>
      <c r="E31" s="36" t="s">
        <v>125</v>
      </c>
      <c r="F31" s="26">
        <f>F29-F30</f>
        <v>10974587.52</v>
      </c>
      <c r="G31" s="26" t="s">
        <v>71</v>
      </c>
      <c r="H31" s="40"/>
    </row>
    <row r="32" ht="60" spans="1:10">
      <c r="A32" s="36" t="s">
        <v>126</v>
      </c>
      <c r="B32" s="36" t="s">
        <v>127</v>
      </c>
      <c r="C32" s="36" t="s">
        <v>128</v>
      </c>
      <c r="D32" s="36" t="s">
        <v>129</v>
      </c>
      <c r="E32" s="36" t="s">
        <v>11</v>
      </c>
      <c r="F32" s="26">
        <f>IF(F26&lt;=F31,F26,F31)</f>
        <v>10974587.52</v>
      </c>
      <c r="G32" s="26" t="s">
        <v>71</v>
      </c>
      <c r="H32" s="40"/>
    </row>
    <row r="33" spans="1:8">
      <c r="A33" s="36" t="s">
        <v>130</v>
      </c>
      <c r="B33" s="36" t="s">
        <v>131</v>
      </c>
      <c r="C33" s="36" t="s">
        <v>132</v>
      </c>
      <c r="D33" s="36" t="s">
        <v>133</v>
      </c>
      <c r="E33" s="36" t="s">
        <v>11</v>
      </c>
      <c r="F33" s="26">
        <f>F31-F32</f>
        <v>0</v>
      </c>
      <c r="G33" s="26" t="s">
        <v>71</v>
      </c>
      <c r="H33" s="40"/>
    </row>
    <row r="34" ht="30" spans="1:8">
      <c r="A34" s="36" t="s">
        <v>134</v>
      </c>
      <c r="B34" s="36" t="s">
        <v>135</v>
      </c>
      <c r="C34" s="36" t="s">
        <v>136</v>
      </c>
      <c r="D34" s="36" t="s">
        <v>137</v>
      </c>
      <c r="E34" s="36" t="s">
        <v>11</v>
      </c>
      <c r="F34" s="26">
        <f>IF(F32&lt;F26,F26-F32)</f>
        <v>52025412.48</v>
      </c>
      <c r="G34" s="26" t="s">
        <v>71</v>
      </c>
      <c r="H34" s="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3"/>
  <sheetViews>
    <sheetView tabSelected="1" zoomScale="85" zoomScaleNormal="85" topLeftCell="A16" workbookViewId="0">
      <pane xSplit="1" topLeftCell="B1" activePane="topRight" state="frozen"/>
      <selection/>
      <selection pane="topRight" activeCell="E23" sqref="E23"/>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1" customWidth="1"/>
    <col min="8" max="8" width="9.4" style="22" customWidth="1"/>
    <col min="9" max="9" width="21.2857142857143" style="20" customWidth="1"/>
    <col min="10" max="16384" width="9.14285714285714" style="22"/>
  </cols>
  <sheetData>
    <row r="1" spans="1:10">
      <c r="A1" s="7" t="s">
        <v>0</v>
      </c>
      <c r="B1" s="7" t="s">
        <v>1</v>
      </c>
      <c r="C1" s="7" t="s">
        <v>2</v>
      </c>
      <c r="D1" s="7" t="s">
        <v>3</v>
      </c>
      <c r="E1" s="7" t="s">
        <v>4</v>
      </c>
      <c r="F1" s="23" t="s">
        <v>138</v>
      </c>
      <c r="G1" s="7" t="s">
        <v>6</v>
      </c>
      <c r="I1" s="23" t="s">
        <v>139</v>
      </c>
    </row>
    <row r="2" spans="1:10">
      <c r="A2" s="7" t="s">
        <v>7</v>
      </c>
      <c r="B2" s="24" t="s">
        <v>8</v>
      </c>
      <c r="C2" s="24" t="s">
        <v>9</v>
      </c>
      <c r="D2" s="24" t="s">
        <v>10</v>
      </c>
      <c r="E2" s="24" t="s">
        <v>11</v>
      </c>
      <c r="F2" s="25"/>
      <c r="G2" s="26"/>
      <c r="I2" s="25"/>
    </row>
    <row r="3" ht="30" spans="1:10">
      <c r="A3" s="7" t="s">
        <v>12</v>
      </c>
      <c r="B3" s="24" t="s">
        <v>13</v>
      </c>
      <c r="C3" s="24" t="s">
        <v>14</v>
      </c>
      <c r="D3" s="27" t="s">
        <v>15</v>
      </c>
      <c r="E3" s="24" t="s">
        <v>11</v>
      </c>
      <c r="F3" s="25"/>
      <c r="G3" s="26"/>
      <c r="I3" s="25"/>
    </row>
    <row r="4" spans="1:10">
      <c r="A4" s="7" t="s">
        <v>16</v>
      </c>
      <c r="B4" s="24" t="s">
        <v>17</v>
      </c>
      <c r="C4" s="24" t="s">
        <v>18</v>
      </c>
      <c r="D4" s="27" t="s">
        <v>15</v>
      </c>
      <c r="E4" s="24" t="s">
        <v>11</v>
      </c>
      <c r="F4" s="25"/>
      <c r="G4" s="26"/>
      <c r="I4" s="25"/>
    </row>
    <row r="5" spans="1:10">
      <c r="A5" s="7" t="s">
        <v>19</v>
      </c>
      <c r="B5" s="24" t="s">
        <v>20</v>
      </c>
      <c r="C5" s="24" t="s">
        <v>21</v>
      </c>
      <c r="D5" s="27" t="s">
        <v>15</v>
      </c>
      <c r="E5" s="24" t="s">
        <v>11</v>
      </c>
      <c r="F5" s="25"/>
      <c r="G5" s="26"/>
      <c r="I5" s="25"/>
    </row>
    <row r="6" ht="30" spans="1:10">
      <c r="A6" s="7" t="s">
        <v>22</v>
      </c>
      <c r="B6" s="24" t="s">
        <v>23</v>
      </c>
      <c r="C6" s="24" t="s">
        <v>24</v>
      </c>
      <c r="D6" s="24" t="s">
        <v>25</v>
      </c>
      <c r="E6" s="24" t="s">
        <v>11</v>
      </c>
      <c r="F6" s="25"/>
      <c r="G6" s="26"/>
      <c r="I6" s="25"/>
    </row>
    <row r="7" ht="30" spans="1:10">
      <c r="A7" s="7" t="s">
        <v>26</v>
      </c>
      <c r="B7" s="24" t="s">
        <v>27</v>
      </c>
      <c r="C7" s="24" t="s">
        <v>28</v>
      </c>
      <c r="D7" s="24" t="s">
        <v>29</v>
      </c>
      <c r="E7" s="24" t="s">
        <v>11</v>
      </c>
      <c r="F7" s="25"/>
      <c r="G7" s="26"/>
      <c r="I7" s="25"/>
    </row>
    <row r="8" spans="1:10">
      <c r="A8" s="7" t="s">
        <v>30</v>
      </c>
      <c r="B8" s="24" t="s">
        <v>31</v>
      </c>
      <c r="C8" s="24" t="s">
        <v>32</v>
      </c>
      <c r="D8" s="24" t="s">
        <v>25</v>
      </c>
      <c r="E8" s="24" t="s">
        <v>11</v>
      </c>
      <c r="F8" s="25" t="s">
        <v>140</v>
      </c>
      <c r="G8" s="26" t="s">
        <v>34</v>
      </c>
      <c r="I8" s="25" t="str">
        <f>F8</f>
        <v>Y</v>
      </c>
    </row>
    <row r="9" ht="30" spans="1:10">
      <c r="A9" s="7" t="s">
        <v>35</v>
      </c>
      <c r="B9" s="24" t="s">
        <v>36</v>
      </c>
      <c r="C9" s="24" t="s">
        <v>37</v>
      </c>
      <c r="D9" s="24" t="s">
        <v>29</v>
      </c>
      <c r="E9" s="28" t="s">
        <v>38</v>
      </c>
      <c r="F9" s="25"/>
      <c r="G9" s="26" t="s">
        <v>34</v>
      </c>
      <c r="I9" s="25"/>
    </row>
    <row r="10" spans="1:10">
      <c r="A10" s="7" t="s">
        <v>39</v>
      </c>
      <c r="B10" s="24" t="s">
        <v>40</v>
      </c>
      <c r="C10" s="24" t="s">
        <v>41</v>
      </c>
      <c r="D10" s="24" t="s">
        <v>42</v>
      </c>
      <c r="E10" s="28" t="s">
        <v>43</v>
      </c>
      <c r="F10" s="25">
        <v>10000000</v>
      </c>
      <c r="G10" s="26" t="s">
        <v>34</v>
      </c>
      <c r="I10" s="25">
        <f>F10</f>
        <v>10000000</v>
      </c>
    </row>
    <row r="11" ht="30" spans="1:10">
      <c r="A11" s="7" t="s">
        <v>44</v>
      </c>
      <c r="B11" s="24" t="s">
        <v>45</v>
      </c>
      <c r="C11" s="24" t="s">
        <v>46</v>
      </c>
      <c r="D11" s="24" t="s">
        <v>42</v>
      </c>
      <c r="E11" s="28" t="s">
        <v>43</v>
      </c>
      <c r="F11" s="25">
        <f>F10</f>
        <v>10000000</v>
      </c>
      <c r="G11" s="26"/>
      <c r="I11" s="25">
        <f>F11</f>
        <v>10000000</v>
      </c>
      <c r="J11" s="22" t="s">
        <v>141</v>
      </c>
    </row>
    <row r="12" ht="30" spans="1:10">
      <c r="A12" s="7" t="s">
        <v>47</v>
      </c>
      <c r="B12" s="24" t="s">
        <v>48</v>
      </c>
      <c r="C12" s="24" t="s">
        <v>49</v>
      </c>
      <c r="D12" s="24" t="s">
        <v>50</v>
      </c>
      <c r="E12" s="28" t="s">
        <v>51</v>
      </c>
      <c r="F12" s="25">
        <v>0</v>
      </c>
      <c r="G12" s="26" t="s">
        <v>34</v>
      </c>
      <c r="I12" s="25">
        <f>F12</f>
        <v>0</v>
      </c>
    </row>
    <row r="13" spans="1:10">
      <c r="A13" s="7"/>
      <c r="B13" s="24"/>
      <c r="C13" s="24"/>
      <c r="D13" s="24"/>
      <c r="E13" s="28" t="s">
        <v>142</v>
      </c>
      <c r="F13" s="29">
        <v>2</v>
      </c>
      <c r="G13" s="26"/>
      <c r="I13" s="29">
        <f>F13</f>
        <v>2</v>
      </c>
    </row>
    <row r="14" ht="75" spans="1:10">
      <c r="A14" s="7" t="s">
        <v>52</v>
      </c>
      <c r="B14" s="24" t="s">
        <v>53</v>
      </c>
      <c r="C14" s="24" t="s">
        <v>143</v>
      </c>
      <c r="D14" s="24" t="s">
        <v>55</v>
      </c>
      <c r="E14" s="28" t="s">
        <v>43</v>
      </c>
      <c r="F14" s="25">
        <f>IF(F13=1,60%*(F10-F12),75%*(F10-F12))</f>
        <v>7500000</v>
      </c>
      <c r="G14" s="26" t="s">
        <v>71</v>
      </c>
      <c r="I14" s="25">
        <f>IF(I13=1,60%*(I10-I12),75%*(I10-I12))</f>
        <v>7500000</v>
      </c>
    </row>
    <row r="15" ht="75" spans="1:10">
      <c r="A15" s="7" t="s">
        <v>56</v>
      </c>
      <c r="B15" s="24" t="s">
        <v>57</v>
      </c>
      <c r="C15" s="24" t="s">
        <v>144</v>
      </c>
      <c r="D15" s="24" t="s">
        <v>55</v>
      </c>
      <c r="E15" s="28" t="s">
        <v>43</v>
      </c>
      <c r="F15" s="25">
        <f>IF(F13=1,40%*(F10-F12),25%*(F10-F12))</f>
        <v>2500000</v>
      </c>
      <c r="G15" s="26" t="s">
        <v>71</v>
      </c>
      <c r="I15" s="25">
        <f>IF(I13=1,40%*(I10-I12),25%*(I10-I12))</f>
        <v>2500000</v>
      </c>
    </row>
    <row r="16" spans="1:10">
      <c r="A16" s="7" t="s">
        <v>59</v>
      </c>
      <c r="B16" s="24" t="s">
        <v>60</v>
      </c>
      <c r="C16" s="24" t="s">
        <v>61</v>
      </c>
      <c r="D16" s="27" t="s">
        <v>15</v>
      </c>
      <c r="E16" s="24" t="s">
        <v>11</v>
      </c>
      <c r="F16" s="25">
        <v>50000000</v>
      </c>
      <c r="G16" s="26" t="s">
        <v>62</v>
      </c>
      <c r="H16" s="30"/>
      <c r="I16" s="25">
        <f>F16</f>
        <v>50000000</v>
      </c>
    </row>
    <row r="17" spans="1:10">
      <c r="A17" s="7" t="s">
        <v>63</v>
      </c>
      <c r="B17" s="24" t="s">
        <v>64</v>
      </c>
      <c r="C17" s="24" t="s">
        <v>65</v>
      </c>
      <c r="D17" s="24" t="s">
        <v>66</v>
      </c>
      <c r="E17" s="24" t="s">
        <v>11</v>
      </c>
      <c r="F17" s="31">
        <v>1</v>
      </c>
      <c r="G17" s="26" t="s">
        <v>34</v>
      </c>
      <c r="H17" s="30"/>
      <c r="I17" s="31">
        <f>F17</f>
        <v>1</v>
      </c>
    </row>
    <row r="18" ht="30" spans="1:10">
      <c r="A18" s="7" t="s">
        <v>67</v>
      </c>
      <c r="B18" s="24" t="s">
        <v>68</v>
      </c>
      <c r="C18" s="24" t="s">
        <v>69</v>
      </c>
      <c r="D18" s="24" t="s">
        <v>70</v>
      </c>
      <c r="E18" s="24" t="s">
        <v>11</v>
      </c>
      <c r="F18" s="25">
        <f>MAX(F16,F17)</f>
        <v>50000000</v>
      </c>
      <c r="G18" s="26" t="s">
        <v>71</v>
      </c>
      <c r="H18" s="30"/>
      <c r="I18" s="25">
        <f>MAX(I16,I17)</f>
        <v>50000000</v>
      </c>
    </row>
    <row r="19" ht="30" spans="1:10">
      <c r="A19" s="7" t="s">
        <v>72</v>
      </c>
      <c r="B19" s="24" t="s">
        <v>73</v>
      </c>
      <c r="C19" s="24" t="s">
        <v>74</v>
      </c>
      <c r="D19" s="27" t="s">
        <v>15</v>
      </c>
      <c r="E19" s="24" t="s">
        <v>11</v>
      </c>
      <c r="F19" s="25">
        <v>100000000</v>
      </c>
      <c r="G19" s="26" t="s">
        <v>62</v>
      </c>
      <c r="H19" s="30"/>
      <c r="I19" s="25">
        <f>F19</f>
        <v>100000000</v>
      </c>
    </row>
    <row r="20" ht="30" spans="1:10">
      <c r="A20" s="7" t="s">
        <v>75</v>
      </c>
      <c r="B20" s="24" t="s">
        <v>76</v>
      </c>
      <c r="C20" s="24" t="s">
        <v>77</v>
      </c>
      <c r="D20" s="27" t="s">
        <v>15</v>
      </c>
      <c r="E20" s="24" t="s">
        <v>11</v>
      </c>
      <c r="F20" s="25">
        <v>100</v>
      </c>
      <c r="G20" s="26" t="s">
        <v>62</v>
      </c>
      <c r="H20" s="30"/>
      <c r="I20" s="25">
        <f>F20</f>
        <v>100</v>
      </c>
    </row>
    <row r="21" ht="30" spans="1:10">
      <c r="A21" s="7" t="s">
        <v>83</v>
      </c>
      <c r="B21" s="24" t="s">
        <v>84</v>
      </c>
      <c r="C21" s="24" t="s">
        <v>85</v>
      </c>
      <c r="D21" s="24" t="s">
        <v>86</v>
      </c>
      <c r="E21" s="24" t="s">
        <v>11</v>
      </c>
      <c r="F21" s="25">
        <f>F19</f>
        <v>100000000</v>
      </c>
      <c r="G21" s="26" t="s">
        <v>71</v>
      </c>
      <c r="H21" s="32"/>
      <c r="I21" s="25">
        <f>F21</f>
        <v>100000000</v>
      </c>
      <c r="J21" s="22" t="s">
        <v>141</v>
      </c>
    </row>
    <row r="22" ht="30" spans="1:10">
      <c r="A22" s="7" t="s">
        <v>87</v>
      </c>
      <c r="B22" s="24" t="s">
        <v>88</v>
      </c>
      <c r="C22" s="24" t="s">
        <v>89</v>
      </c>
      <c r="D22" s="24" t="s">
        <v>86</v>
      </c>
      <c r="E22" s="24" t="s">
        <v>11</v>
      </c>
      <c r="F22" s="25">
        <f>F20</f>
        <v>100</v>
      </c>
      <c r="G22" s="26" t="s">
        <v>71</v>
      </c>
      <c r="H22" s="32"/>
      <c r="I22" s="25">
        <f>F22</f>
        <v>100</v>
      </c>
      <c r="J22" s="22" t="s">
        <v>141</v>
      </c>
    </row>
    <row r="23" ht="120" spans="1:10">
      <c r="A23" s="7" t="s">
        <v>94</v>
      </c>
      <c r="B23" s="24" t="s">
        <v>95</v>
      </c>
      <c r="C23" s="24" t="s">
        <v>96</v>
      </c>
      <c r="D23" s="24" t="s">
        <v>97</v>
      </c>
      <c r="E23" s="24" t="s">
        <v>11</v>
      </c>
      <c r="F23" s="25">
        <f>F19+F20-F14</f>
        <v>92500100</v>
      </c>
      <c r="G23" s="26" t="s">
        <v>71</v>
      </c>
      <c r="H23" s="33"/>
      <c r="I23" s="25">
        <f>I21+I22-I14</f>
        <v>92500100</v>
      </c>
    </row>
    <row r="24" ht="30" spans="1:10">
      <c r="A24" s="7" t="s">
        <v>99</v>
      </c>
      <c r="B24" s="24" t="s">
        <v>100</v>
      </c>
      <c r="C24" s="24" t="s">
        <v>101</v>
      </c>
      <c r="D24" s="24" t="s">
        <v>145</v>
      </c>
      <c r="E24" s="24" t="s">
        <v>11</v>
      </c>
      <c r="F24" s="25">
        <f>75%*(F23-F18)</f>
        <v>31875075</v>
      </c>
      <c r="G24" s="26" t="s">
        <v>71</v>
      </c>
      <c r="H24" s="33"/>
      <c r="I24" s="25">
        <f>75%*(I23-I18)</f>
        <v>31875075</v>
      </c>
    </row>
    <row r="25" ht="45" spans="1:10">
      <c r="A25" s="7" t="s">
        <v>103</v>
      </c>
      <c r="B25" s="24" t="s">
        <v>104</v>
      </c>
      <c r="C25" s="24" t="s">
        <v>105</v>
      </c>
      <c r="D25" s="24" t="s">
        <v>106</v>
      </c>
      <c r="E25" s="24" t="s">
        <v>11</v>
      </c>
      <c r="F25" s="25">
        <f>IF(F8="N",75%*F24,IF(F8="Y",100%*F24,""))</f>
        <v>31875075</v>
      </c>
      <c r="G25" s="26" t="s">
        <v>71</v>
      </c>
      <c r="H25" s="33"/>
      <c r="I25" s="25">
        <f>IF(I8="N",75%*I24,IF(I8="Y",100%*I24,""))</f>
        <v>31875075</v>
      </c>
    </row>
    <row r="26" ht="30" spans="1:10">
      <c r="A26" s="7" t="s">
        <v>107</v>
      </c>
      <c r="B26" s="24" t="s">
        <v>108</v>
      </c>
      <c r="C26" s="24" t="s">
        <v>109</v>
      </c>
      <c r="D26" s="27" t="s">
        <v>110</v>
      </c>
      <c r="E26" s="24" t="s">
        <v>11</v>
      </c>
      <c r="F26" s="25">
        <v>47639671.17</v>
      </c>
      <c r="G26" s="26" t="s">
        <v>62</v>
      </c>
      <c r="H26" s="33"/>
      <c r="I26" s="25">
        <f>F26</f>
        <v>47639671.17</v>
      </c>
    </row>
    <row r="27" ht="45" spans="1:10">
      <c r="A27" s="7" t="s">
        <v>111</v>
      </c>
      <c r="B27" s="24" t="s">
        <v>112</v>
      </c>
      <c r="C27" s="24" t="s">
        <v>113</v>
      </c>
      <c r="D27" s="27" t="s">
        <v>114</v>
      </c>
      <c r="E27" s="24" t="s">
        <v>11</v>
      </c>
      <c r="F27" s="25">
        <v>0</v>
      </c>
      <c r="G27" s="26" t="s">
        <v>62</v>
      </c>
      <c r="H27" s="33"/>
      <c r="I27" s="25">
        <f>F27</f>
        <v>0</v>
      </c>
    </row>
    <row r="28" ht="30" spans="1:10">
      <c r="A28" s="7" t="s">
        <v>115</v>
      </c>
      <c r="B28" s="24" t="s">
        <v>116</v>
      </c>
      <c r="C28" s="24" t="s">
        <v>117</v>
      </c>
      <c r="D28" s="24" t="s">
        <v>146</v>
      </c>
      <c r="E28" s="24" t="s">
        <v>11</v>
      </c>
      <c r="F28" s="25">
        <f>3*(F26+F27)</f>
        <v>142919013.51</v>
      </c>
      <c r="G28" s="26" t="s">
        <v>71</v>
      </c>
      <c r="H28" s="33"/>
      <c r="I28" s="25">
        <f>3*(I26+I27)</f>
        <v>142919013.51</v>
      </c>
    </row>
    <row r="29" ht="30" spans="1:10">
      <c r="A29" s="7" t="s">
        <v>119</v>
      </c>
      <c r="B29" s="24" t="s">
        <v>120</v>
      </c>
      <c r="C29" s="24" t="s">
        <v>120</v>
      </c>
      <c r="D29" s="15" t="s">
        <v>121</v>
      </c>
      <c r="E29" s="24" t="s">
        <v>11</v>
      </c>
      <c r="F29" s="31">
        <v>0</v>
      </c>
      <c r="G29" s="26"/>
      <c r="H29" s="33"/>
      <c r="I29" s="31">
        <v>0</v>
      </c>
    </row>
    <row r="30" spans="1:10">
      <c r="A30" s="7" t="s">
        <v>122</v>
      </c>
      <c r="B30" s="24" t="s">
        <v>123</v>
      </c>
      <c r="C30" s="24" t="s">
        <v>123</v>
      </c>
      <c r="D30" s="24" t="s">
        <v>124</v>
      </c>
      <c r="E30" s="24" t="s">
        <v>125</v>
      </c>
      <c r="F30" s="25">
        <f>F28-F29</f>
        <v>142919013.51</v>
      </c>
      <c r="G30" s="26" t="s">
        <v>71</v>
      </c>
      <c r="H30" s="33"/>
      <c r="I30" s="25">
        <f>I28-I29</f>
        <v>142919013.51</v>
      </c>
    </row>
    <row r="31" ht="60" spans="1:10">
      <c r="A31" s="7" t="s">
        <v>126</v>
      </c>
      <c r="B31" s="24" t="s">
        <v>127</v>
      </c>
      <c r="C31" s="24" t="s">
        <v>128</v>
      </c>
      <c r="D31" s="24" t="s">
        <v>129</v>
      </c>
      <c r="E31" s="24" t="s">
        <v>11</v>
      </c>
      <c r="F31" s="25">
        <f>IF(F25&lt;=F30,F25,F30)</f>
        <v>31875075</v>
      </c>
      <c r="G31" s="26" t="s">
        <v>71</v>
      </c>
      <c r="H31" s="33"/>
      <c r="I31" s="25">
        <f>IF(I25&lt;=I30,I25,I30)</f>
        <v>31875075</v>
      </c>
    </row>
    <row r="32" spans="1:10">
      <c r="A32" s="7" t="s">
        <v>130</v>
      </c>
      <c r="B32" s="24" t="s">
        <v>131</v>
      </c>
      <c r="C32" s="24" t="s">
        <v>132</v>
      </c>
      <c r="D32" s="24" t="s">
        <v>133</v>
      </c>
      <c r="E32" s="24" t="s">
        <v>11</v>
      </c>
      <c r="F32" s="25">
        <f>F30-F31</f>
        <v>111043938.51</v>
      </c>
      <c r="G32" s="26" t="s">
        <v>71</v>
      </c>
      <c r="H32" s="33"/>
      <c r="I32" s="25">
        <f>I30-I31</f>
        <v>111043938.51</v>
      </c>
    </row>
    <row r="33" ht="30" spans="1:9">
      <c r="A33" s="7" t="s">
        <v>134</v>
      </c>
      <c r="B33" s="24" t="s">
        <v>135</v>
      </c>
      <c r="C33" s="24" t="s">
        <v>136</v>
      </c>
      <c r="D33" s="24" t="s">
        <v>137</v>
      </c>
      <c r="E33" s="24" t="s">
        <v>11</v>
      </c>
      <c r="F33" s="25"/>
      <c r="G33" s="26" t="s">
        <v>71</v>
      </c>
      <c r="H33" s="33"/>
      <c r="I33" s="25"/>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11" workbookViewId="0">
      <pane xSplit="1" topLeftCell="B1" activePane="topRight" state="frozen"/>
      <selection/>
      <selection pane="topRight" activeCell="D21" sqref="D21"/>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12.8571428571429"/>
  </cols>
  <sheetData>
    <row r="1" spans="1:11">
      <c r="A1" s="7" t="s">
        <v>0</v>
      </c>
      <c r="B1" s="7" t="s">
        <v>1</v>
      </c>
      <c r="C1" s="7" t="s">
        <v>2</v>
      </c>
      <c r="D1" s="7" t="s">
        <v>3</v>
      </c>
      <c r="E1" s="7" t="s">
        <v>4</v>
      </c>
      <c r="F1" s="8" t="s">
        <v>5</v>
      </c>
      <c r="G1" s="8" t="s">
        <v>6</v>
      </c>
    </row>
    <row r="2" spans="1:11">
      <c r="A2" s="9" t="s">
        <v>7</v>
      </c>
      <c r="B2" s="9" t="s">
        <v>8</v>
      </c>
      <c r="C2" s="9" t="s">
        <v>9</v>
      </c>
      <c r="D2" s="9" t="s">
        <v>147</v>
      </c>
      <c r="E2" s="9" t="s">
        <v>11</v>
      </c>
      <c r="F2" s="10"/>
      <c r="G2" s="10"/>
    </row>
    <row r="3" ht="30" spans="1:11">
      <c r="A3" s="9" t="s">
        <v>12</v>
      </c>
      <c r="B3" s="9" t="s">
        <v>13</v>
      </c>
      <c r="C3" s="9" t="s">
        <v>148</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149</v>
      </c>
      <c r="K5" s="11"/>
    </row>
    <row r="6" ht="75" spans="1:11">
      <c r="A6" s="9" t="s">
        <v>22</v>
      </c>
      <c r="B6" s="9" t="s">
        <v>23</v>
      </c>
      <c r="C6" s="9" t="s">
        <v>150</v>
      </c>
      <c r="D6" s="9" t="s">
        <v>15</v>
      </c>
      <c r="E6" s="9" t="s">
        <v>11</v>
      </c>
      <c r="F6" s="10"/>
      <c r="G6" s="10"/>
      <c r="J6" t="s">
        <v>151</v>
      </c>
      <c r="K6" s="12"/>
    </row>
    <row r="7" ht="45" spans="1:11">
      <c r="A7" s="9" t="s">
        <v>26</v>
      </c>
      <c r="B7" s="9" t="s">
        <v>152</v>
      </c>
      <c r="C7" s="9" t="s">
        <v>153</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154</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155</v>
      </c>
      <c r="C13" s="13" t="s">
        <v>156</v>
      </c>
      <c r="D13" s="13" t="s">
        <v>55</v>
      </c>
      <c r="E13" s="13" t="s">
        <v>43</v>
      </c>
      <c r="F13" s="10"/>
      <c r="G13" s="10"/>
    </row>
    <row r="14" ht="30" spans="1:11">
      <c r="A14" s="9" t="s">
        <v>56</v>
      </c>
      <c r="B14" s="13" t="s">
        <v>57</v>
      </c>
      <c r="C14" s="13" t="s">
        <v>157</v>
      </c>
      <c r="D14" s="13" t="s">
        <v>55</v>
      </c>
      <c r="E14" s="13" t="s">
        <v>43</v>
      </c>
      <c r="F14" s="10"/>
      <c r="G14" s="10"/>
    </row>
    <row r="15" ht="60" spans="1:11">
      <c r="A15" s="9" t="s">
        <v>59</v>
      </c>
      <c r="B15" s="9" t="s">
        <v>73</v>
      </c>
      <c r="C15" s="9" t="s">
        <v>158</v>
      </c>
      <c r="D15" s="14" t="s">
        <v>15</v>
      </c>
      <c r="E15" s="9" t="s">
        <v>11</v>
      </c>
      <c r="F15" s="10">
        <v>100000000</v>
      </c>
      <c r="G15" s="10" t="s">
        <v>159</v>
      </c>
      <c r="H15" s="11"/>
      <c r="I15">
        <f>F15</f>
        <v>100000000</v>
      </c>
    </row>
    <row r="16" ht="45" spans="1:11">
      <c r="A16" s="9" t="s">
        <v>63</v>
      </c>
      <c r="B16" s="9" t="s">
        <v>76</v>
      </c>
      <c r="C16" s="9" t="s">
        <v>160</v>
      </c>
      <c r="D16" s="14" t="s">
        <v>161</v>
      </c>
      <c r="E16" s="9" t="s">
        <v>11</v>
      </c>
      <c r="F16" s="10">
        <v>100000000</v>
      </c>
      <c r="G16" s="10" t="s">
        <v>159</v>
      </c>
      <c r="H16" s="11"/>
      <c r="I16">
        <f>F16</f>
        <v>100000000</v>
      </c>
    </row>
    <row r="17" ht="30" spans="1:10">
      <c r="A17" s="9" t="s">
        <v>67</v>
      </c>
      <c r="B17" s="9" t="s">
        <v>79</v>
      </c>
      <c r="C17" s="9" t="s">
        <v>162</v>
      </c>
      <c r="D17" s="15" t="s">
        <v>161</v>
      </c>
      <c r="E17" s="9" t="s">
        <v>11</v>
      </c>
      <c r="F17" s="10">
        <v>10</v>
      </c>
      <c r="G17" s="10"/>
      <c r="H17" s="11"/>
      <c r="I17">
        <f>F17</f>
        <v>10</v>
      </c>
    </row>
    <row r="18" ht="45" spans="1:10">
      <c r="A18" s="9" t="s">
        <v>72</v>
      </c>
      <c r="B18" s="9" t="s">
        <v>163</v>
      </c>
      <c r="C18" s="9" t="s">
        <v>164</v>
      </c>
      <c r="D18" s="9" t="s">
        <v>81</v>
      </c>
      <c r="E18" s="9" t="s">
        <v>165</v>
      </c>
      <c r="F18" s="10">
        <v>80000000</v>
      </c>
      <c r="G18" s="10"/>
      <c r="I18">
        <f>F18</f>
        <v>80000000</v>
      </c>
    </row>
    <row r="19" ht="45" spans="1:10">
      <c r="A19" s="9" t="s">
        <v>75</v>
      </c>
      <c r="B19" s="9" t="s">
        <v>166</v>
      </c>
      <c r="C19" s="9" t="s">
        <v>167</v>
      </c>
      <c r="D19" s="9" t="s">
        <v>86</v>
      </c>
      <c r="E19" s="9" t="s">
        <v>168</v>
      </c>
      <c r="F19" s="10">
        <f>F18</f>
        <v>80000000</v>
      </c>
      <c r="G19" s="10"/>
      <c r="I19">
        <f>F19</f>
        <v>80000000</v>
      </c>
      <c r="J19" t="s">
        <v>169</v>
      </c>
    </row>
    <row r="20" ht="45" spans="1:10">
      <c r="A20" s="9" t="s">
        <v>170</v>
      </c>
      <c r="B20" s="9" t="s">
        <v>171</v>
      </c>
      <c r="C20" s="9" t="s">
        <v>172</v>
      </c>
      <c r="D20" s="9" t="s">
        <v>55</v>
      </c>
      <c r="E20" s="9" t="s">
        <v>168</v>
      </c>
      <c r="F20" s="10">
        <f>40%*F18</f>
        <v>32000000</v>
      </c>
      <c r="G20" s="10"/>
      <c r="I20">
        <f>40%*I19</f>
        <v>32000000</v>
      </c>
    </row>
    <row r="21" ht="30" spans="1:10">
      <c r="A21" s="9" t="s">
        <v>173</v>
      </c>
      <c r="B21" s="9" t="s">
        <v>174</v>
      </c>
      <c r="C21" s="9" t="s">
        <v>175</v>
      </c>
      <c r="D21" s="9" t="s">
        <v>55</v>
      </c>
      <c r="E21" s="9" t="s">
        <v>168</v>
      </c>
      <c r="F21" s="10">
        <f>60%*F18</f>
        <v>48000000</v>
      </c>
      <c r="G21" s="10"/>
      <c r="I21">
        <f>60%*I19</f>
        <v>48000000</v>
      </c>
    </row>
    <row r="22" ht="60" spans="1:10">
      <c r="A22" s="9" t="s">
        <v>83</v>
      </c>
      <c r="B22" s="9" t="s">
        <v>176</v>
      </c>
      <c r="C22" s="9" t="s">
        <v>177</v>
      </c>
      <c r="D22" s="9" t="s">
        <v>178</v>
      </c>
      <c r="E22" s="9" t="s">
        <v>179</v>
      </c>
      <c r="F22" s="10"/>
      <c r="G22" s="10"/>
    </row>
    <row r="23" spans="1:10">
      <c r="A23" s="9" t="s">
        <v>87</v>
      </c>
      <c r="B23" s="9" t="s">
        <v>180</v>
      </c>
      <c r="C23" s="9" t="s">
        <v>181</v>
      </c>
      <c r="D23" s="9" t="s">
        <v>29</v>
      </c>
      <c r="E23" s="9" t="s">
        <v>182</v>
      </c>
      <c r="F23" s="10"/>
      <c r="G23" s="10"/>
    </row>
    <row r="24" spans="1:10">
      <c r="A24" s="9" t="s">
        <v>90</v>
      </c>
      <c r="B24" s="9" t="s">
        <v>60</v>
      </c>
      <c r="C24" s="9" t="s">
        <v>61</v>
      </c>
      <c r="D24" s="14" t="s">
        <v>15</v>
      </c>
      <c r="E24" s="9" t="s">
        <v>11</v>
      </c>
      <c r="F24" s="10">
        <v>50000000</v>
      </c>
      <c r="G24" s="10" t="s">
        <v>183</v>
      </c>
      <c r="H24" s="11"/>
      <c r="I24">
        <f>F24</f>
        <v>50000000</v>
      </c>
    </row>
    <row r="25" spans="1:10">
      <c r="A25" s="9" t="s">
        <v>184</v>
      </c>
      <c r="B25" s="9" t="s">
        <v>185</v>
      </c>
      <c r="C25" s="9" t="s">
        <v>65</v>
      </c>
      <c r="D25" s="16" t="s">
        <v>66</v>
      </c>
      <c r="E25" s="9" t="s">
        <v>11</v>
      </c>
      <c r="F25" s="9">
        <v>60000000</v>
      </c>
      <c r="G25" s="10"/>
      <c r="H25" s="11"/>
      <c r="I25">
        <f>F25</f>
        <v>60000000</v>
      </c>
    </row>
    <row r="26" spans="1:10">
      <c r="A26" s="9" t="s">
        <v>99</v>
      </c>
      <c r="B26" s="9" t="s">
        <v>186</v>
      </c>
      <c r="C26" s="9" t="s">
        <v>187</v>
      </c>
      <c r="D26" s="9" t="s">
        <v>188</v>
      </c>
      <c r="E26" s="9" t="s">
        <v>11</v>
      </c>
      <c r="F26" s="10">
        <v>1</v>
      </c>
      <c r="G26" s="10"/>
      <c r="H26" s="11"/>
    </row>
    <row r="27" ht="30" spans="1:10">
      <c r="A27" s="9" t="s">
        <v>103</v>
      </c>
      <c r="B27" s="9" t="s">
        <v>68</v>
      </c>
      <c r="C27" s="9" t="s">
        <v>69</v>
      </c>
      <c r="D27" s="9" t="s">
        <v>189</v>
      </c>
      <c r="E27" s="9" t="s">
        <v>11</v>
      </c>
      <c r="F27" s="10">
        <f>MAX(F24,F25)</f>
        <v>60000000</v>
      </c>
      <c r="G27" s="10"/>
      <c r="H27" s="11"/>
      <c r="I27">
        <f>F27</f>
        <v>60000000</v>
      </c>
    </row>
    <row r="28" ht="120" spans="1:10">
      <c r="A28" s="9" t="s">
        <v>107</v>
      </c>
      <c r="B28" s="9" t="s">
        <v>190</v>
      </c>
      <c r="C28" s="9" t="s">
        <v>190</v>
      </c>
      <c r="D28" s="9" t="s">
        <v>191</v>
      </c>
      <c r="E28" s="9" t="s">
        <v>11</v>
      </c>
      <c r="F28" s="10">
        <f>F15+F16-F17-F20</f>
        <v>167999990</v>
      </c>
      <c r="G28" s="10"/>
      <c r="I28">
        <f>I15+I16-I17-I20</f>
        <v>167999990</v>
      </c>
    </row>
    <row r="29" ht="30" spans="1:10">
      <c r="A29" s="9" t="s">
        <v>111</v>
      </c>
      <c r="B29" s="9" t="s">
        <v>192</v>
      </c>
      <c r="C29" s="9" t="s">
        <v>101</v>
      </c>
      <c r="D29" s="9" t="s">
        <v>193</v>
      </c>
      <c r="E29" s="9" t="s">
        <v>11</v>
      </c>
      <c r="F29" s="10">
        <f>60%*(F28-F27)</f>
        <v>64799994</v>
      </c>
      <c r="G29" s="10"/>
      <c r="I29">
        <f>60%*(I28-I27)</f>
        <v>64799994</v>
      </c>
    </row>
    <row r="30" ht="30" spans="1:10">
      <c r="A30" s="9" t="s">
        <v>115</v>
      </c>
      <c r="B30" s="9" t="s">
        <v>194</v>
      </c>
      <c r="C30" s="9" t="s">
        <v>195</v>
      </c>
      <c r="D30" s="9" t="s">
        <v>15</v>
      </c>
      <c r="E30" s="9" t="s">
        <v>11</v>
      </c>
      <c r="F30" s="17">
        <v>62999995.5</v>
      </c>
      <c r="G30" s="10" t="s">
        <v>183</v>
      </c>
      <c r="I30">
        <f t="shared" ref="I30:I35" si="0">F30</f>
        <v>62999995.5</v>
      </c>
    </row>
    <row r="31" spans="1:10">
      <c r="A31" s="9" t="s">
        <v>119</v>
      </c>
      <c r="B31" s="9" t="s">
        <v>196</v>
      </c>
      <c r="C31" s="9" t="s">
        <v>197</v>
      </c>
      <c r="D31" s="9" t="s">
        <v>198</v>
      </c>
      <c r="E31" s="9" t="s">
        <v>11</v>
      </c>
      <c r="F31" s="10">
        <f>F29-F30</f>
        <v>1799998.5</v>
      </c>
      <c r="G31" s="10"/>
      <c r="I31">
        <f t="shared" si="0"/>
        <v>1799998.5</v>
      </c>
    </row>
    <row r="32" ht="30" spans="1:10">
      <c r="A32" s="9" t="s">
        <v>122</v>
      </c>
      <c r="B32" s="9" t="s">
        <v>108</v>
      </c>
      <c r="C32" s="9" t="s">
        <v>109</v>
      </c>
      <c r="D32" s="9" t="s">
        <v>110</v>
      </c>
      <c r="E32" s="9" t="s">
        <v>11</v>
      </c>
      <c r="F32" s="10">
        <v>5487293.76</v>
      </c>
      <c r="G32" s="10" t="s">
        <v>183</v>
      </c>
      <c r="I32">
        <f t="shared" si="0"/>
        <v>5487293.76</v>
      </c>
    </row>
    <row r="33" ht="30" spans="1:9">
      <c r="A33" s="9" t="s">
        <v>126</v>
      </c>
      <c r="B33" s="9" t="s">
        <v>112</v>
      </c>
      <c r="C33" s="9" t="s">
        <v>113</v>
      </c>
      <c r="D33" s="9" t="s">
        <v>114</v>
      </c>
      <c r="E33" s="9" t="s">
        <v>11</v>
      </c>
      <c r="F33" s="10">
        <v>0</v>
      </c>
      <c r="G33" s="10" t="s">
        <v>183</v>
      </c>
      <c r="I33">
        <f t="shared" si="0"/>
        <v>0</v>
      </c>
    </row>
    <row r="34" ht="30" spans="1:9">
      <c r="A34" s="9" t="s">
        <v>130</v>
      </c>
      <c r="B34" s="9" t="s">
        <v>116</v>
      </c>
      <c r="C34" s="9" t="s">
        <v>117</v>
      </c>
      <c r="D34" s="9" t="s">
        <v>199</v>
      </c>
      <c r="E34" s="9" t="s">
        <v>11</v>
      </c>
      <c r="F34" s="10">
        <f>2*(F33+F32)</f>
        <v>10974587.52</v>
      </c>
      <c r="G34" s="10" t="s">
        <v>200</v>
      </c>
      <c r="I34">
        <f t="shared" si="0"/>
        <v>10974587.52</v>
      </c>
    </row>
    <row r="35" spans="1:9">
      <c r="A35" s="9" t="s">
        <v>134</v>
      </c>
      <c r="B35" s="9" t="s">
        <v>120</v>
      </c>
      <c r="C35" s="9" t="s">
        <v>120</v>
      </c>
      <c r="D35" s="9" t="s">
        <v>121</v>
      </c>
      <c r="E35" s="9" t="s">
        <v>11</v>
      </c>
      <c r="F35" s="10">
        <v>0</v>
      </c>
      <c r="G35" s="10" t="s">
        <v>183</v>
      </c>
      <c r="I35">
        <f t="shared" si="0"/>
        <v>0</v>
      </c>
    </row>
    <row r="36" spans="1:9">
      <c r="A36" s="9" t="s">
        <v>201</v>
      </c>
      <c r="B36" s="9" t="s">
        <v>123</v>
      </c>
      <c r="C36" s="9" t="s">
        <v>123</v>
      </c>
      <c r="D36" s="9" t="s">
        <v>202</v>
      </c>
      <c r="E36" s="9" t="s">
        <v>125</v>
      </c>
      <c r="F36" s="10">
        <f>F34-F35</f>
        <v>10974587.52</v>
      </c>
      <c r="G36" s="10" t="s">
        <v>200</v>
      </c>
      <c r="I36">
        <f>I34-I35</f>
        <v>10974587.52</v>
      </c>
    </row>
    <row r="37" ht="45" spans="1:9">
      <c r="A37" s="9" t="s">
        <v>203</v>
      </c>
      <c r="B37" s="9" t="s">
        <v>127</v>
      </c>
      <c r="C37" s="9" t="s">
        <v>204</v>
      </c>
      <c r="D37" s="9" t="s">
        <v>205</v>
      </c>
      <c r="E37" s="9" t="s">
        <v>11</v>
      </c>
      <c r="F37" s="10">
        <f>IF(F31&lt;=F36,F31,F36)</f>
        <v>1799998.5</v>
      </c>
      <c r="G37" s="10"/>
      <c r="I37" s="10">
        <f>IF(I31&lt;=I36,I31,I36)</f>
        <v>1799998.5</v>
      </c>
    </row>
    <row r="38" spans="1:9">
      <c r="A38" s="9" t="s">
        <v>206</v>
      </c>
      <c r="B38" s="9" t="s">
        <v>131</v>
      </c>
      <c r="C38" s="9" t="s">
        <v>132</v>
      </c>
      <c r="D38" s="9" t="s">
        <v>207</v>
      </c>
      <c r="E38" s="9" t="s">
        <v>11</v>
      </c>
      <c r="F38" s="10">
        <f>F36-F37</f>
        <v>9174589.02</v>
      </c>
      <c r="G38" s="10"/>
      <c r="I38" s="10">
        <f>I36-I37</f>
        <v>9174589.02</v>
      </c>
    </row>
    <row r="39" ht="30" spans="1:9">
      <c r="A39" s="9" t="s">
        <v>208</v>
      </c>
      <c r="B39" s="9" t="s">
        <v>135</v>
      </c>
      <c r="C39" s="9" t="s">
        <v>136</v>
      </c>
      <c r="D39" s="9" t="s">
        <v>209</v>
      </c>
      <c r="E39" s="9" t="s">
        <v>11</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7</v>
      </c>
      <c r="B2" s="9" t="s">
        <v>8</v>
      </c>
      <c r="C2" s="9" t="s">
        <v>9</v>
      </c>
      <c r="D2" s="9" t="s">
        <v>147</v>
      </c>
      <c r="E2" s="9" t="s">
        <v>11</v>
      </c>
      <c r="F2" s="10"/>
      <c r="G2" s="10"/>
    </row>
    <row r="3" ht="30" spans="1:11">
      <c r="A3" s="9" t="s">
        <v>12</v>
      </c>
      <c r="B3" s="9" t="s">
        <v>13</v>
      </c>
      <c r="C3" s="9" t="s">
        <v>148</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149</v>
      </c>
      <c r="K5" s="11"/>
    </row>
    <row r="6" ht="75" spans="1:11">
      <c r="A6" s="9" t="s">
        <v>22</v>
      </c>
      <c r="B6" s="9" t="s">
        <v>23</v>
      </c>
      <c r="C6" s="9" t="s">
        <v>150</v>
      </c>
      <c r="D6" s="9" t="s">
        <v>15</v>
      </c>
      <c r="E6" s="9" t="s">
        <v>11</v>
      </c>
      <c r="F6" s="10"/>
      <c r="G6" s="10"/>
      <c r="J6" t="s">
        <v>151</v>
      </c>
      <c r="K6" s="12"/>
    </row>
    <row r="7" ht="45" spans="1:11">
      <c r="A7" s="9" t="s">
        <v>26</v>
      </c>
      <c r="B7" s="9" t="s">
        <v>152</v>
      </c>
      <c r="C7" s="9" t="s">
        <v>153</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154</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155</v>
      </c>
      <c r="C13" s="13" t="s">
        <v>156</v>
      </c>
      <c r="D13" s="13" t="s">
        <v>55</v>
      </c>
      <c r="E13" s="13" t="s">
        <v>43</v>
      </c>
      <c r="F13" s="10"/>
      <c r="G13" s="10"/>
    </row>
    <row r="14" ht="30" spans="1:11">
      <c r="A14" s="9" t="s">
        <v>56</v>
      </c>
      <c r="B14" s="13" t="s">
        <v>57</v>
      </c>
      <c r="C14" s="13" t="s">
        <v>157</v>
      </c>
      <c r="D14" s="13" t="s">
        <v>55</v>
      </c>
      <c r="E14" s="13" t="s">
        <v>43</v>
      </c>
      <c r="F14" s="10"/>
      <c r="G14" s="10"/>
    </row>
    <row r="15" ht="60" spans="1:11">
      <c r="A15" s="9" t="s">
        <v>59</v>
      </c>
      <c r="B15" s="9" t="s">
        <v>73</v>
      </c>
      <c r="C15" s="9" t="s">
        <v>158</v>
      </c>
      <c r="D15" s="14" t="s">
        <v>15</v>
      </c>
      <c r="E15" s="9" t="s">
        <v>11</v>
      </c>
      <c r="F15" s="10">
        <v>400000000</v>
      </c>
      <c r="G15" s="10" t="s">
        <v>159</v>
      </c>
      <c r="H15" s="11"/>
    </row>
    <row r="16" ht="45" spans="1:11">
      <c r="A16" s="9" t="s">
        <v>63</v>
      </c>
      <c r="B16" s="9" t="s">
        <v>76</v>
      </c>
      <c r="C16" s="9" t="s">
        <v>160</v>
      </c>
      <c r="D16" s="14" t="s">
        <v>161</v>
      </c>
      <c r="E16" s="9" t="s">
        <v>11</v>
      </c>
      <c r="F16" s="10">
        <v>5000000</v>
      </c>
      <c r="G16" s="10" t="s">
        <v>159</v>
      </c>
      <c r="H16" s="11"/>
    </row>
    <row r="17" ht="30" spans="1:8">
      <c r="A17" s="9" t="s">
        <v>67</v>
      </c>
      <c r="B17" s="9" t="s">
        <v>79</v>
      </c>
      <c r="C17" s="9" t="s">
        <v>162</v>
      </c>
      <c r="D17" s="15" t="s">
        <v>161</v>
      </c>
      <c r="E17" s="9" t="s">
        <v>11</v>
      </c>
      <c r="F17" s="10"/>
      <c r="G17" s="10"/>
      <c r="H17" s="11"/>
    </row>
    <row r="18" ht="45" spans="1:8">
      <c r="A18" s="9" t="s">
        <v>72</v>
      </c>
      <c r="B18" s="9" t="s">
        <v>163</v>
      </c>
      <c r="C18" s="9" t="s">
        <v>164</v>
      </c>
      <c r="D18" s="9" t="s">
        <v>81</v>
      </c>
      <c r="E18" s="9" t="s">
        <v>165</v>
      </c>
      <c r="F18" s="10"/>
      <c r="G18" s="10"/>
    </row>
    <row r="19" ht="45" spans="1:8">
      <c r="A19" s="9" t="s">
        <v>75</v>
      </c>
      <c r="B19" s="9" t="s">
        <v>166</v>
      </c>
      <c r="C19" s="9" t="s">
        <v>167</v>
      </c>
      <c r="D19" s="9" t="s">
        <v>86</v>
      </c>
      <c r="E19" s="9" t="s">
        <v>168</v>
      </c>
      <c r="F19" s="10"/>
      <c r="G19" s="10"/>
    </row>
    <row r="20" ht="45" spans="1:8">
      <c r="A20" s="9" t="s">
        <v>170</v>
      </c>
      <c r="B20" s="9" t="s">
        <v>171</v>
      </c>
      <c r="C20" s="9" t="s">
        <v>172</v>
      </c>
      <c r="D20" s="9" t="s">
        <v>55</v>
      </c>
      <c r="E20" s="9" t="s">
        <v>168</v>
      </c>
      <c r="F20" s="10"/>
      <c r="G20" s="10"/>
    </row>
    <row r="21" ht="30" spans="1:8">
      <c r="A21" s="9" t="s">
        <v>173</v>
      </c>
      <c r="B21" s="9" t="s">
        <v>174</v>
      </c>
      <c r="C21" s="9" t="s">
        <v>175</v>
      </c>
      <c r="D21" s="9" t="s">
        <v>55</v>
      </c>
      <c r="E21" s="9" t="s">
        <v>168</v>
      </c>
      <c r="F21" s="10"/>
      <c r="G21" s="10"/>
    </row>
    <row r="22" ht="60" spans="1:8">
      <c r="A22" s="9" t="s">
        <v>83</v>
      </c>
      <c r="B22" s="9" t="s">
        <v>176</v>
      </c>
      <c r="C22" s="9" t="s">
        <v>177</v>
      </c>
      <c r="D22" s="9" t="s">
        <v>178</v>
      </c>
      <c r="E22" s="9" t="s">
        <v>179</v>
      </c>
      <c r="F22" s="10"/>
      <c r="G22" s="10"/>
    </row>
    <row r="23" spans="1:8">
      <c r="A23" s="9" t="s">
        <v>87</v>
      </c>
      <c r="B23" s="9" t="s">
        <v>180</v>
      </c>
      <c r="C23" s="9" t="s">
        <v>181</v>
      </c>
      <c r="D23" s="9" t="s">
        <v>29</v>
      </c>
      <c r="E23" s="9" t="s">
        <v>182</v>
      </c>
      <c r="F23" s="10"/>
      <c r="G23" s="10"/>
    </row>
    <row r="24" spans="1:8">
      <c r="A24" s="9" t="s">
        <v>90</v>
      </c>
      <c r="B24" s="9" t="s">
        <v>60</v>
      </c>
      <c r="C24" s="9" t="s">
        <v>61</v>
      </c>
      <c r="D24" s="14" t="s">
        <v>15</v>
      </c>
      <c r="E24" s="9" t="s">
        <v>11</v>
      </c>
      <c r="F24" s="10">
        <v>150000000</v>
      </c>
      <c r="G24" s="10" t="s">
        <v>183</v>
      </c>
      <c r="H24" s="11"/>
    </row>
    <row r="25" spans="1:8">
      <c r="A25" s="9" t="s">
        <v>184</v>
      </c>
      <c r="B25" s="9" t="s">
        <v>185</v>
      </c>
      <c r="C25" s="9" t="s">
        <v>65</v>
      </c>
      <c r="D25" s="16" t="s">
        <v>66</v>
      </c>
      <c r="E25" s="9" t="s">
        <v>11</v>
      </c>
      <c r="F25" s="10">
        <v>150000001</v>
      </c>
      <c r="G25" s="10"/>
      <c r="H25" s="11"/>
    </row>
    <row r="26" spans="1:8">
      <c r="A26" s="9" t="s">
        <v>99</v>
      </c>
      <c r="B26" s="9" t="s">
        <v>186</v>
      </c>
      <c r="C26" s="9" t="s">
        <v>187</v>
      </c>
      <c r="D26" s="9" t="s">
        <v>188</v>
      </c>
      <c r="E26" s="9" t="s">
        <v>11</v>
      </c>
      <c r="F26" s="10"/>
      <c r="G26" s="10"/>
      <c r="H26" s="11"/>
    </row>
    <row r="27" ht="30" spans="1:8">
      <c r="A27" s="9" t="s">
        <v>103</v>
      </c>
      <c r="B27" s="9" t="s">
        <v>68</v>
      </c>
      <c r="C27" s="9" t="s">
        <v>69</v>
      </c>
      <c r="D27" s="9" t="s">
        <v>189</v>
      </c>
      <c r="E27" s="9" t="s">
        <v>11</v>
      </c>
      <c r="F27" s="10">
        <f>MAX(F24,F25)</f>
        <v>150000001</v>
      </c>
      <c r="G27" s="10"/>
      <c r="H27" s="11"/>
    </row>
    <row r="28" ht="120" spans="1:8">
      <c r="A28" s="9" t="s">
        <v>107</v>
      </c>
      <c r="B28" s="9" t="s">
        <v>190</v>
      </c>
      <c r="C28" s="9" t="s">
        <v>190</v>
      </c>
      <c r="D28" s="9" t="s">
        <v>191</v>
      </c>
      <c r="E28" s="9" t="s">
        <v>11</v>
      </c>
      <c r="F28" s="10"/>
      <c r="G28" s="10"/>
    </row>
    <row r="29" ht="30" spans="1:8">
      <c r="A29" s="9" t="s">
        <v>111</v>
      </c>
      <c r="B29" s="9" t="s">
        <v>192</v>
      </c>
      <c r="C29" s="9" t="s">
        <v>101</v>
      </c>
      <c r="D29" s="9" t="s">
        <v>193</v>
      </c>
      <c r="E29" s="9" t="s">
        <v>11</v>
      </c>
      <c r="F29" s="10"/>
      <c r="G29" s="10"/>
    </row>
    <row r="30" ht="30" spans="1:8">
      <c r="A30" s="9" t="s">
        <v>115</v>
      </c>
      <c r="B30" s="9" t="s">
        <v>194</v>
      </c>
      <c r="C30" s="9" t="s">
        <v>195</v>
      </c>
      <c r="D30" s="9" t="s">
        <v>15</v>
      </c>
      <c r="E30" s="9" t="s">
        <v>11</v>
      </c>
      <c r="F30" s="10"/>
      <c r="G30" s="10"/>
    </row>
    <row r="31" spans="1:8">
      <c r="A31" s="9" t="s">
        <v>119</v>
      </c>
      <c r="B31" s="9" t="s">
        <v>196</v>
      </c>
      <c r="C31" s="9" t="s">
        <v>197</v>
      </c>
      <c r="D31" s="9" t="s">
        <v>198</v>
      </c>
      <c r="E31" s="9" t="s">
        <v>11</v>
      </c>
      <c r="F31" s="10"/>
      <c r="G31" s="10"/>
    </row>
    <row r="32" ht="30" spans="1:8">
      <c r="A32" s="9" t="s">
        <v>122</v>
      </c>
      <c r="B32" s="9" t="s">
        <v>108</v>
      </c>
      <c r="C32" s="9" t="s">
        <v>109</v>
      </c>
      <c r="D32" s="9" t="s">
        <v>110</v>
      </c>
      <c r="E32" s="9" t="s">
        <v>11</v>
      </c>
      <c r="F32" s="10"/>
      <c r="G32" s="10"/>
    </row>
    <row r="33" ht="30" spans="1:7">
      <c r="A33" s="9" t="s">
        <v>126</v>
      </c>
      <c r="B33" s="9" t="s">
        <v>112</v>
      </c>
      <c r="C33" s="9" t="s">
        <v>113</v>
      </c>
      <c r="D33" s="9" t="s">
        <v>114</v>
      </c>
      <c r="E33" s="9" t="s">
        <v>11</v>
      </c>
      <c r="F33" s="10"/>
      <c r="G33" s="10"/>
    </row>
    <row r="34" ht="30" spans="1:7">
      <c r="A34" s="9" t="s">
        <v>130</v>
      </c>
      <c r="B34" s="9" t="s">
        <v>116</v>
      </c>
      <c r="C34" s="9" t="s">
        <v>117</v>
      </c>
      <c r="D34" s="9" t="s">
        <v>199</v>
      </c>
      <c r="E34" s="9" t="s">
        <v>11</v>
      </c>
      <c r="F34" s="10"/>
      <c r="G34" s="10"/>
    </row>
    <row r="35" spans="1:7">
      <c r="A35" s="9" t="s">
        <v>134</v>
      </c>
      <c r="B35" s="9" t="s">
        <v>120</v>
      </c>
      <c r="C35" s="9" t="s">
        <v>120</v>
      </c>
      <c r="D35" s="9" t="s">
        <v>121</v>
      </c>
      <c r="E35" s="9" t="s">
        <v>11</v>
      </c>
      <c r="F35" s="10"/>
      <c r="G35" s="10"/>
    </row>
    <row r="36" spans="1:7">
      <c r="A36" s="9" t="s">
        <v>201</v>
      </c>
      <c r="B36" s="9" t="s">
        <v>123</v>
      </c>
      <c r="C36" s="9" t="s">
        <v>123</v>
      </c>
      <c r="D36" s="9" t="s">
        <v>202</v>
      </c>
      <c r="E36" s="9" t="s">
        <v>125</v>
      </c>
      <c r="F36" s="10"/>
      <c r="G36" s="10"/>
    </row>
    <row r="37" ht="45" spans="1:7">
      <c r="A37" s="9" t="s">
        <v>203</v>
      </c>
      <c r="B37" s="9" t="s">
        <v>127</v>
      </c>
      <c r="C37" s="9" t="s">
        <v>204</v>
      </c>
      <c r="D37" s="9" t="s">
        <v>205</v>
      </c>
      <c r="E37" s="9" t="s">
        <v>11</v>
      </c>
      <c r="F37" s="10"/>
      <c r="G37" s="10"/>
    </row>
    <row r="38" spans="1:7">
      <c r="A38" s="9" t="s">
        <v>206</v>
      </c>
      <c r="B38" s="9" t="s">
        <v>131</v>
      </c>
      <c r="C38" s="9" t="s">
        <v>132</v>
      </c>
      <c r="D38" s="9" t="s">
        <v>207</v>
      </c>
      <c r="E38" s="9" t="s">
        <v>11</v>
      </c>
      <c r="F38" s="10"/>
      <c r="G38" s="10"/>
    </row>
    <row r="39" ht="30" spans="1:7">
      <c r="A39" s="9" t="s">
        <v>208</v>
      </c>
      <c r="B39" s="9" t="s">
        <v>135</v>
      </c>
      <c r="C39" s="9" t="s">
        <v>136</v>
      </c>
      <c r="D39" s="9" t="s">
        <v>209</v>
      </c>
      <c r="E39" s="9" t="s">
        <v>11</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210</v>
      </c>
      <c r="B1" s="2" t="s">
        <v>211</v>
      </c>
      <c r="C1" s="2" t="s">
        <v>212</v>
      </c>
    </row>
    <row r="2" ht="30" spans="1:3">
      <c r="A2" s="3">
        <v>1</v>
      </c>
      <c r="B2" s="4" t="s">
        <v>213</v>
      </c>
      <c r="C2" s="4" t="s">
        <v>214</v>
      </c>
    </row>
    <row r="3" ht="30" spans="1:3">
      <c r="A3" s="3">
        <v>2</v>
      </c>
      <c r="B3" s="4" t="s">
        <v>215</v>
      </c>
      <c r="C3" s="4" t="s">
        <v>214</v>
      </c>
    </row>
    <row r="4" ht="30" spans="1:3">
      <c r="A4" s="3">
        <v>3</v>
      </c>
      <c r="B4" s="4" t="s">
        <v>216</v>
      </c>
      <c r="C4" s="4" t="s">
        <v>217</v>
      </c>
    </row>
    <row r="5" ht="30" spans="1:3">
      <c r="A5" s="3">
        <v>4</v>
      </c>
      <c r="B5" s="4" t="s">
        <v>218</v>
      </c>
      <c r="C5" s="4" t="s">
        <v>214</v>
      </c>
    </row>
    <row r="6" ht="30" spans="1:3">
      <c r="A6" s="3">
        <v>5</v>
      </c>
      <c r="B6" s="4" t="s">
        <v>219</v>
      </c>
      <c r="C6" s="4" t="s">
        <v>214</v>
      </c>
    </row>
    <row r="7" spans="1:3">
      <c r="A7" s="3">
        <v>6</v>
      </c>
      <c r="B7" s="4" t="s">
        <v>220</v>
      </c>
      <c r="C7" s="4" t="s">
        <v>214</v>
      </c>
    </row>
    <row r="8" spans="1:3">
      <c r="A8" s="3">
        <v>7</v>
      </c>
      <c r="B8" s="4" t="s">
        <v>221</v>
      </c>
      <c r="C8" s="4" t="s">
        <v>214</v>
      </c>
    </row>
    <row r="9" spans="1:3">
      <c r="A9" s="3">
        <v>8</v>
      </c>
      <c r="B9" s="4" t="s">
        <v>222</v>
      </c>
      <c r="C9" s="4" t="s">
        <v>214</v>
      </c>
    </row>
    <row r="10" ht="30" spans="1:3">
      <c r="A10" s="3">
        <v>9</v>
      </c>
      <c r="B10" s="4" t="s">
        <v>223</v>
      </c>
      <c r="C10" s="4" t="s">
        <v>224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cp:lastModifiedBy>
  <dcterms:created xsi:type="dcterms:W3CDTF">2026-07-07T06:07:00Z</dcterms:created>
  <dcterms:modified xsi:type="dcterms:W3CDTF">2026-10-01T08:29:42Z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