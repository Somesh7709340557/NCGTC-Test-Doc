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activeTab="2"/>
  </bookViews>
  <sheets>
    <sheet name="Intrim claim(OTS=N)" sheetId="3" r:id="rId1"/>
    <sheet name="Intrim claim (OTS=Y)" sheetId="5" r:id="rId2"/>
    <sheet name="Final claim(OTS=N)" sheetId="2" r:id="rId3"/>
    <sheet name="Final claim(OTS=Y)" sheetId="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<sst xmlns="http://schemas.openxmlformats.org/spreadsheetml/2006/main" count="785" uniqueCount="204">
  <si>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</si>
  <si>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</si>
  <si>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</si>
  <si>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</si>
  <si>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</si>
  <si>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</si>
  <si>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</si>
  <si>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</si>
  <si>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</si>
  <si>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</si>
  <si>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</si>
  <si>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</si>
  <si>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</si>
  <si>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</si>
  <si>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</si>
  <si>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</si>
  <si>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</si>
  <si>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</si>
  <si>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</si>
  <si>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</si>
  <si>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</si>
  <si>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</si>
  <si>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</si>
  <si>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</si>
  <si>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</si>
  <si>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</si>
  <si>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</si>
  <si>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</si>
  <si>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</si>
  <si>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</si>
  <si>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</si>
  <si>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</si>
  <si>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</si>
  <si>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</si>
  <si>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</si>
  <si>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</si>
  <si>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</si>
  <si>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</si>
  <si>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</si>
  <si>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</si>
  <si>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</si>
  <si>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</si>
  <si>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</si>
  <si>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</si>
  <si>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</si>
  <si>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</si>
  <si>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</si>
  <si>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</si>
  <si>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</si>
  <si>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</si>
  <si>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</si>
  <si>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</si>
  <si>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</si>
  <si>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</si>
  <si>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</si>
  <si>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</si>
  <si>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</si>
  <si>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</si>
  <si>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</si>
  <si>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</si>
  <si>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</si>
  <si>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</si>
  <si>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</si>
  <si>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</si>
  <si>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</si>
  <si>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</si>
  <si>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</si>
  <si>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</si>
  <si>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</si>
  <si>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</si>
  <si>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</si>
  <si>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</si>
  <si>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</si>
  <si>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</si>
  <si>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</si>
  <si>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</si>
  <si>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</si>
  <si>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</si>
  <si>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</si>
  <si>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</si>
  <si>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</si>
  <si>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</si>
  <si>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</si>
  <si>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</si>
  <si>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</si>
  <si>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</si>
  <si>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</si>
  <si>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</si>
  <si>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</si>
  <si>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</si>
  <si>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</si>
  <si>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</si>
  <si>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</si>
  <si>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</si>
  <si>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</si>
  <si>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</si>
  <si>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</si>
  <si>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</si>
  <si>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</si>
  <si>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</si>
  <si>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</si>
  <si>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</si>
  <si>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</si>
  <si>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</si>
  <si>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</si>
  <si>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</si>
  <si>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</si>
  <si>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</si>
  <si>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</si>
  <si>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</si>
  <si>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</si>
  <si>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</si>
  <si>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</si>
  <si>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</si>
  <si>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</si>
  <si>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</si>
  <si>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</si>
  <si>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</si>
  <si>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</si>
  <si>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</si>
  <si>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</si>
  <si>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</si>
  <si>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</si>
  <si>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</si>
  <si>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</si>
  <si>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</si>
  <si>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</si>
  <si>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</si>
  <si>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</si>
  <si>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</si>
  <si>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</si>
  <si>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</si>
  <si>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</si>
  <si>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</si>
  <si>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</si>
  <si>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</si>
  <si>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</si>
  <si>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</si>
  <si>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</si>
  <si>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</si>
  <si>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</si>
  <si>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</si>
  <si>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</si>
  <si>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</si>
  <si>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</si>
  <si>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</si>
  <si>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</si>
  <si>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</si>
  <si>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</si>
  <si>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</si>
  <si>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</si>
  <si>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</si>
  <si>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</si>
  <si>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</si>
  <si>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</si>
  <si>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</si>
  <si>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</si>
  <si>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</si>
  <si>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</si>
  <si>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</si>
  <si>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</si>
  <si>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</si>
  <si>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</si>
  <si>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</si>
  <si>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Editable</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</si>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</sst>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4">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rgb="FFFFFF00"/>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9"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0" borderId="5" applyNumberFormat="0" applyAlignment="0" applyProtection="0">
      <alignment vertical="center"/>
    </xf>
    <xf numFmtId="0" fontId="14" fillId="11" borderId="6" applyNumberFormat="0" applyAlignment="0" applyProtection="0">
      <alignment vertical="center"/>
    </xf>
    <xf numFmtId="0" fontId="15" fillId="11" borderId="5" applyNumberFormat="0" applyAlignment="0" applyProtection="0">
      <alignment vertical="center"/>
    </xf>
    <xf numFmtId="0" fontId="16" fillId="12"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cellStyleXfs>
  <cellXfs count="25">
    <xf numFmtId="0" fontId="0" fillId="0" borderId="0" xfId="0">
      <alignment vertical="center"/>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1" fillId="6" borderId="0" xfId="0" applyFont="1" applyFill="1" applyAlignment="1">
      <alignment wrapText="1"/>
    </xf>
    <xf numFmtId="0" fontId="0" fillId="0" borderId="0" xfId="0" applyFont="1" applyFill="1" applyAlignment="1">
      <alignment wrapText="1"/>
    </xf>
    <xf numFmtId="0" fontId="0" fillId="0" borderId="0" xfId="0" applyAlignment="1">
      <alignment vertical="center" wrapText="1"/>
    </xf>
    <xf numFmtId="0" fontId="1" fillId="2" borderId="1" xfId="0" applyFont="1" applyFill="1" applyBorder="1" applyAlignment="1">
      <alignment wrapText="1"/>
    </xf>
    <xf numFmtId="0" fontId="1" fillId="6" borderId="1" xfId="0" applyFont="1" applyFill="1" applyBorder="1" applyAlignment="1">
      <alignment wrapText="1"/>
    </xf>
    <xf numFmtId="0" fontId="0" fillId="0" borderId="1" xfId="0" applyFont="1" applyFill="1" applyBorder="1" applyAlignment="1">
      <alignment wrapText="1"/>
    </xf>
    <xf numFmtId="0" fontId="0" fillId="0" borderId="1" xfId="0" applyBorder="1" applyAlignment="1">
      <alignment vertical="center" wrapText="1"/>
    </xf>
    <xf numFmtId="0" fontId="0" fillId="2" borderId="1" xfId="0" applyFont="1" applyFill="1" applyBorder="1" applyAlignment="1">
      <alignment wrapText="1"/>
    </xf>
    <xf numFmtId="0" fontId="0" fillId="7" borderId="1" xfId="0" applyFont="1" applyFill="1" applyBorder="1" applyAlignment="1">
      <alignment wrapText="1"/>
    </xf>
    <xf numFmtId="0" fontId="0" fillId="8" borderId="0" xfId="0" applyFill="1">
      <alignment vertical="center"/>
    </xf>
    <xf numFmtId="0" fontId="4" fillId="3" borderId="0" xfId="0" applyFont="1" applyFill="1">
      <alignment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34"/>
  <sheetViews>
    <sheetView zoomScale="85" zoomScaleNormal="85" topLeftCell="A23" workbookViewId="0">
      <selection activeCell="F34" sqref="F34"/>
    </sheetView>
  </sheetViews>
  <sheetFormatPr defaultColWidth="9.14285714285714" defaultRowHeight="15"/>
  <cols>
    <col min="1" max="1" width="6.71428571428571" style="14" customWidth="1"/>
    <col min="2" max="2" width="38" style="14" customWidth="1"/>
    <col min="3" max="3" width="64" style="14" customWidth="1"/>
    <col min="4" max="4" width="48.2857142857143" style="14" customWidth="1"/>
    <col min="5" max="5" width="34.2857142857143" style="14" customWidth="1"/>
    <col min="6" max="6" width="21.2857142857143" style="15" customWidth="1"/>
    <col min="7" max="7" width="16.5714285714286" style="15" customWidth="1"/>
    <col min="8" max="9" width="15.7142857142857" customWidth="1"/>
  </cols>
  <sheetData>
    <row r="1" spans="1:8">
      <c r="A1" s="16" t="s">
        <v>0</v>
      </c>
      <c r="B1" s="16" t="s">
        <v>1</v>
      </c>
      <c r="C1" s="16" t="s">
        <v>2</v>
      </c>
      <c r="D1" s="16" t="s">
        <v>3</v>
      </c>
      <c r="E1" s="16" t="s">
        <v>4</v>
      </c>
      <c r="F1" s="3" t="s">
        <v>5</v>
      </c>
      <c r="G1" s="3" t="s">
        <v>6</v>
      </c>
    </row>
    <row r="2" spans="1:8">
      <c r="A2" s="18" t="s">
        <v>7</v>
      </c>
      <c r="B2" s="18" t="s">
        <v>8</v>
      </c>
      <c r="C2" s="18" t="s">
        <v>9</v>
      </c>
      <c r="D2" s="18" t="s">
        <v>10</v>
      </c>
      <c r="E2" s="18" t="s">
        <v>11</v>
      </c>
      <c r="F2" s="19"/>
      <c r="G2" s="19"/>
    </row>
    <row r="3" ht="30" spans="1:8">
      <c r="A3" s="18" t="s">
        <v>12</v>
      </c>
      <c r="B3" s="18" t="s">
        <v>13</v>
      </c>
      <c r="C3" s="18" t="s">
        <v>14</v>
      </c>
      <c r="D3" s="20" t="s">
        <v>15</v>
      </c>
      <c r="E3" s="18" t="s">
        <v>11</v>
      </c>
      <c r="F3" s="19"/>
      <c r="G3" s="19"/>
    </row>
    <row r="4" spans="1:8">
      <c r="A4" s="18" t="s">
        <v>16</v>
      </c>
      <c r="B4" s="18" t="s">
        <v>17</v>
      </c>
      <c r="C4" s="18" t="s">
        <v>18</v>
      </c>
      <c r="D4" s="20" t="s">
        <v>15</v>
      </c>
      <c r="E4" s="18" t="s">
        <v>11</v>
      </c>
      <c r="F4" s="19"/>
      <c r="G4" s="19"/>
    </row>
    <row r="5" spans="1:8">
      <c r="A5" s="18" t="s">
        <v>19</v>
      </c>
      <c r="B5" s="18" t="s">
        <v>20</v>
      </c>
      <c r="C5" s="18" t="s">
        <v>21</v>
      </c>
      <c r="D5" s="20" t="s">
        <v>15</v>
      </c>
      <c r="E5" s="18" t="s">
        <v>11</v>
      </c>
      <c r="F5" s="19"/>
      <c r="G5" s="19"/>
    </row>
    <row r="6" ht="30" spans="1:8">
      <c r="A6" s="18" t="s">
        <v>22</v>
      </c>
      <c r="B6" s="18" t="s">
        <v>23</v>
      </c>
      <c r="C6" s="18" t="s">
        <v>24</v>
      </c>
      <c r="D6" s="18" t="s">
        <v>25</v>
      </c>
      <c r="E6" s="18" t="s">
        <v>11</v>
      </c>
      <c r="F6" s="19"/>
      <c r="G6" s="19"/>
    </row>
    <row r="7" ht="30" spans="1:8">
      <c r="A7" s="18" t="s">
        <v>26</v>
      </c>
      <c r="B7" s="18" t="s">
        <v>27</v>
      </c>
      <c r="C7" s="18" t="s">
        <v>28</v>
      </c>
      <c r="D7" s="18" t="s">
        <v>29</v>
      </c>
      <c r="E7" s="18" t="s">
        <v>11</v>
      </c>
      <c r="F7" s="19"/>
      <c r="G7" s="19"/>
    </row>
    <row r="8" spans="1:8">
      <c r="A8" s="18" t="s">
        <v>30</v>
      </c>
      <c r="B8" s="18" t="s">
        <v>31</v>
      </c>
      <c r="C8" s="18" t="s">
        <v>32</v>
      </c>
      <c r="D8" s="18" t="s">
        <v>25</v>
      </c>
      <c r="E8" s="18" t="s">
        <v>11</v>
      </c>
      <c r="F8" s="19" t="s">
        <v>33</v>
      </c>
      <c r="G8" s="19" t="s">
        <v>34</v>
      </c>
    </row>
    <row r="9" ht="30" spans="1:8">
      <c r="A9" s="18" t="s">
        <v>35</v>
      </c>
      <c r="B9" s="18" t="s">
        <v>36</v>
      </c>
      <c r="C9" s="18" t="s">
        <v>37</v>
      </c>
      <c r="D9" s="18" t="s">
        <v>29</v>
      </c>
      <c r="E9" s="21" t="s">
        <v>38</v>
      </c>
      <c r="F9" s="19"/>
      <c r="G9" s="19"/>
    </row>
    <row r="10" spans="1:8">
      <c r="A10" s="18" t="s">
        <v>39</v>
      </c>
      <c r="B10" s="18" t="s">
        <v>40</v>
      </c>
      <c r="C10" s="18" t="s">
        <v>41</v>
      </c>
      <c r="D10" s="18" t="s">
        <v>42</v>
      </c>
      <c r="E10" s="21" t="s">
        <v>43</v>
      </c>
      <c r="F10" s="19"/>
      <c r="G10" s="19"/>
    </row>
    <row r="11" ht="30" spans="1:8">
      <c r="A11" s="18" t="s">
        <v>44</v>
      </c>
      <c r="B11" s="18" t="s">
        <v>45</v>
      </c>
      <c r="C11" s="18" t="s">
        <v>46</v>
      </c>
      <c r="D11" s="18" t="s">
        <v>42</v>
      </c>
      <c r="E11" s="21" t="s">
        <v>43</v>
      </c>
      <c r="F11" s="19"/>
      <c r="G11" s="19"/>
    </row>
    <row r="12" ht="30" spans="1:8">
      <c r="A12" s="18" t="s">
        <v>47</v>
      </c>
      <c r="B12" s="18" t="s">
        <v>48</v>
      </c>
      <c r="C12" s="18" t="s">
        <v>49</v>
      </c>
      <c r="D12" s="18" t="s">
        <v>50</v>
      </c>
      <c r="E12" s="21" t="s">
        <v>51</v>
      </c>
      <c r="F12" s="19"/>
      <c r="G12" s="19"/>
    </row>
    <row r="13" ht="30" spans="1:8">
      <c r="A13" s="18" t="s">
        <v>52</v>
      </c>
      <c r="B13" s="18" t="s">
        <v>53</v>
      </c>
      <c r="C13" s="18" t="s">
        <v>54</v>
      </c>
      <c r="D13" s="18" t="s">
        <v>55</v>
      </c>
      <c r="E13" s="21" t="s">
        <v>43</v>
      </c>
      <c r="F13" s="19"/>
      <c r="G13" s="19"/>
    </row>
    <row r="14" ht="30" spans="1:8">
      <c r="A14" s="18" t="s">
        <v>56</v>
      </c>
      <c r="B14" s="18" t="s">
        <v>57</v>
      </c>
      <c r="C14" s="18" t="s">
        <v>58</v>
      </c>
      <c r="D14" s="18" t="s">
        <v>55</v>
      </c>
      <c r="E14" s="21" t="s">
        <v>43</v>
      </c>
      <c r="F14" s="19"/>
      <c r="G14" s="19"/>
    </row>
    <row r="15" spans="1:8">
      <c r="A15" s="18" t="s">
        <v>59</v>
      </c>
      <c r="B15" s="18" t="s">
        <v>60</v>
      </c>
      <c r="C15" s="18" t="s">
        <v>61</v>
      </c>
      <c r="D15" s="20" t="s">
        <v>15</v>
      </c>
      <c r="E15" s="18" t="s">
        <v>11</v>
      </c>
      <c r="F15" s="19">
        <v>50000000</v>
      </c>
      <c r="G15" s="19" t="s">
        <v>62</v>
      </c>
      <c r="H15" s="22"/>
    </row>
    <row r="16" spans="1:8">
      <c r="A16" s="18" t="s">
        <v>63</v>
      </c>
      <c r="B16" s="18" t="s">
        <v>64</v>
      </c>
      <c r="C16" s="18" t="s">
        <v>65</v>
      </c>
      <c r="D16" s="18" t="s">
        <v>66</v>
      </c>
      <c r="E16" s="18" t="s">
        <v>11</v>
      </c>
      <c r="F16" s="10">
        <v>60000000</v>
      </c>
      <c r="G16" s="19" t="s">
        <v>34</v>
      </c>
      <c r="H16" s="22"/>
    </row>
    <row r="17" ht="30" spans="1:10">
      <c r="A17" s="18" t="s">
        <v>67</v>
      </c>
      <c r="B17" s="18" t="s">
        <v>68</v>
      </c>
      <c r="C17" s="18" t="s">
        <v>69</v>
      </c>
      <c r="D17" s="18" t="s">
        <v>70</v>
      </c>
      <c r="E17" s="18" t="s">
        <v>11</v>
      </c>
      <c r="F17" s="19">
        <f>MAX(F15,F16)</f>
        <v>60000000</v>
      </c>
      <c r="G17" s="19" t="s">
        <v>71</v>
      </c>
      <c r="H17" s="22"/>
    </row>
    <row r="18" ht="30" spans="1:10">
      <c r="A18" s="18" t="s">
        <v>72</v>
      </c>
      <c r="B18" s="18" t="s">
        <v>73</v>
      </c>
      <c r="C18" s="18" t="s">
        <v>74</v>
      </c>
      <c r="D18" s="20" t="s">
        <v>15</v>
      </c>
      <c r="E18" s="18" t="s">
        <v>11</v>
      </c>
      <c r="F18" s="19">
        <v>100000000</v>
      </c>
      <c r="G18" s="19" t="s">
        <v>62</v>
      </c>
      <c r="H18" s="22"/>
    </row>
    <row r="19" ht="30" spans="1:10">
      <c r="A19" s="18" t="s">
        <v>75</v>
      </c>
      <c r="B19" s="18" t="s">
        <v>76</v>
      </c>
      <c r="C19" s="18" t="s">
        <v>77</v>
      </c>
      <c r="D19" s="20" t="s">
        <v>15</v>
      </c>
      <c r="E19" s="18" t="s">
        <v>11</v>
      </c>
      <c r="F19" s="19">
        <v>100000000</v>
      </c>
      <c r="G19" s="19" t="s">
        <v>62</v>
      </c>
      <c r="H19" s="22"/>
    </row>
    <row r="20" ht="30" spans="1:10">
      <c r="A20" s="18" t="s">
        <v>78</v>
      </c>
      <c r="B20" s="18" t="s">
        <v>79</v>
      </c>
      <c r="C20" s="18" t="s">
        <v>80</v>
      </c>
      <c r="D20" s="18" t="s">
        <v>81</v>
      </c>
      <c r="E20" s="18" t="s">
        <v>82</v>
      </c>
      <c r="F20" s="10">
        <v>0</v>
      </c>
      <c r="G20" s="19" t="s">
        <v>34</v>
      </c>
      <c r="H20" s="22"/>
    </row>
    <row r="21" ht="30" spans="1:10">
      <c r="A21" s="18" t="s">
        <v>83</v>
      </c>
      <c r="B21" s="18" t="s">
        <v>84</v>
      </c>
      <c r="C21" s="18" t="s">
        <v>85</v>
      </c>
      <c r="D21" s="18" t="s">
        <v>86</v>
      </c>
      <c r="E21" s="18" t="s">
        <v>11</v>
      </c>
      <c r="F21" s="19">
        <f>F18</f>
        <v>100000000</v>
      </c>
      <c r="G21" s="19" t="s">
        <v>71</v>
      </c>
      <c r="H21" s="8"/>
    </row>
    <row r="22" ht="30" spans="1:10">
      <c r="A22" s="18" t="s">
        <v>87</v>
      </c>
      <c r="B22" s="18" t="s">
        <v>88</v>
      </c>
      <c r="C22" s="18" t="s">
        <v>89</v>
      </c>
      <c r="D22" s="18" t="s">
        <v>86</v>
      </c>
      <c r="E22" s="18" t="s">
        <v>11</v>
      </c>
      <c r="F22" s="19">
        <f>F19</f>
        <v>100000000</v>
      </c>
      <c r="G22" s="19" t="s">
        <v>71</v>
      </c>
      <c r="H22" s="8"/>
    </row>
    <row r="23" ht="30" spans="1:10">
      <c r="A23" s="18" t="s">
        <v>90</v>
      </c>
      <c r="B23" s="18" t="s">
        <v>91</v>
      </c>
      <c r="C23" s="18" t="s">
        <v>92</v>
      </c>
      <c r="D23" s="18" t="s">
        <v>86</v>
      </c>
      <c r="E23" s="18" t="s">
        <v>93</v>
      </c>
      <c r="F23" s="19">
        <f>F20</f>
        <v>0</v>
      </c>
      <c r="G23" s="19" t="s">
        <v>71</v>
      </c>
      <c r="H23" s="8"/>
    </row>
    <row r="24" ht="120" spans="1:10">
      <c r="A24" s="18" t="s">
        <v>94</v>
      </c>
      <c r="B24" s="18" t="s">
        <v>95</v>
      </c>
      <c r="C24" s="18" t="s">
        <v>96</v>
      </c>
      <c r="D24" s="18" t="s">
        <v>97</v>
      </c>
      <c r="E24" s="18" t="s">
        <v>11</v>
      </c>
      <c r="F24" s="19">
        <f>IF(F8="N",F18+F19-F20,IF(F8="Y",F18+F19-F13,""))</f>
        <v>200000000</v>
      </c>
      <c r="G24" s="19" t="s">
        <v>71</v>
      </c>
      <c r="H24" s="23"/>
      <c r="I24">
        <f>IF(F8="N",F21+F22-F23,IF(F8="Y",F21+F22-F13,""))</f>
        <v>200000000</v>
      </c>
      <c r="J24" t="s">
        <v>98</v>
      </c>
    </row>
    <row r="25" ht="30" spans="1:10">
      <c r="A25" s="18" t="s">
        <v>99</v>
      </c>
      <c r="B25" s="18" t="s">
        <v>100</v>
      </c>
      <c r="C25" s="18" t="s">
        <v>101</v>
      </c>
      <c r="D25" s="18" t="s">
        <v>102</v>
      </c>
      <c r="E25" s="18" t="s">
        <v>11</v>
      </c>
      <c r="F25" s="19">
        <f>60%*(F24-F17)</f>
        <v>84000000</v>
      </c>
      <c r="G25" s="19" t="s">
        <v>71</v>
      </c>
      <c r="H25" s="23"/>
    </row>
    <row r="26" ht="45" spans="1:10">
      <c r="A26" s="18" t="s">
        <v>103</v>
      </c>
      <c r="B26" s="18" t="s">
        <v>104</v>
      </c>
      <c r="C26" s="18" t="s">
        <v>105</v>
      </c>
      <c r="D26" s="18" t="s">
        <v>106</v>
      </c>
      <c r="E26" s="18" t="s">
        <v>11</v>
      </c>
      <c r="F26" s="19">
        <f>IF(F8="N",75%*F25,IF(F8="Y",100%*F25,""))</f>
        <v>63000000</v>
      </c>
      <c r="G26" s="19" t="s">
        <v>71</v>
      </c>
      <c r="H26" s="23"/>
    </row>
    <row r="27" spans="1:10">
      <c r="A27" s="18" t="s">
        <v>107</v>
      </c>
      <c r="B27" s="18" t="s">
        <v>108</v>
      </c>
      <c r="C27" s="18" t="s">
        <v>109</v>
      </c>
      <c r="D27" s="20" t="s">
        <v>110</v>
      </c>
      <c r="E27" s="18" t="s">
        <v>11</v>
      </c>
      <c r="F27" s="19">
        <v>5487293.76</v>
      </c>
      <c r="G27" s="19" t="s">
        <v>62</v>
      </c>
      <c r="H27" s="23"/>
    </row>
    <row r="28" ht="45" spans="1:10">
      <c r="A28" s="18" t="s">
        <v>111</v>
      </c>
      <c r="B28" s="18" t="s">
        <v>112</v>
      </c>
      <c r="C28" s="18" t="s">
        <v>113</v>
      </c>
      <c r="D28" s="20" t="s">
        <v>114</v>
      </c>
      <c r="E28" s="18" t="s">
        <v>11</v>
      </c>
      <c r="F28" s="19">
        <v>0</v>
      </c>
      <c r="G28" s="19" t="s">
        <v>62</v>
      </c>
      <c r="H28" s="23"/>
    </row>
    <row r="29" ht="30" spans="1:10">
      <c r="A29" s="18" t="s">
        <v>115</v>
      </c>
      <c r="B29" s="18" t="s">
        <v>116</v>
      </c>
      <c r="C29" s="18" t="s">
        <v>117</v>
      </c>
      <c r="D29" s="18" t="s">
        <v>118</v>
      </c>
      <c r="E29" s="18" t="s">
        <v>11</v>
      </c>
      <c r="F29" s="19">
        <f>2*(F27+F28)</f>
        <v>10974587.52</v>
      </c>
      <c r="G29" s="19" t="s">
        <v>71</v>
      </c>
      <c r="H29" s="23"/>
    </row>
    <row r="30" ht="30" spans="1:10">
      <c r="A30" s="18" t="s">
        <v>119</v>
      </c>
      <c r="B30" s="18" t="s">
        <v>120</v>
      </c>
      <c r="C30" s="18" t="s">
        <v>120</v>
      </c>
      <c r="D30" s="24" t="s">
        <v>121</v>
      </c>
      <c r="E30" s="18" t="s">
        <v>11</v>
      </c>
      <c r="F30" s="10">
        <v>0</v>
      </c>
      <c r="G30" s="19"/>
      <c r="H30" s="23"/>
    </row>
    <row r="31" spans="1:10">
      <c r="A31" s="18" t="s">
        <v>122</v>
      </c>
      <c r="B31" s="18" t="s">
        <v>123</v>
      </c>
      <c r="C31" s="18" t="s">
        <v>123</v>
      </c>
      <c r="D31" s="18" t="s">
        <v>124</v>
      </c>
      <c r="E31" s="18" t="s">
        <v>125</v>
      </c>
      <c r="F31" s="19">
        <f>F29-F30</f>
        <v>10974587.52</v>
      </c>
      <c r="G31" s="19" t="s">
        <v>71</v>
      </c>
      <c r="H31" s="23"/>
    </row>
    <row r="32" ht="60" spans="1:10">
      <c r="A32" s="18" t="s">
        <v>126</v>
      </c>
      <c r="B32" s="18" t="s">
        <v>127</v>
      </c>
      <c r="C32" s="18" t="s">
        <v>128</v>
      </c>
      <c r="D32" s="18" t="s">
        <v>129</v>
      </c>
      <c r="E32" s="18" t="s">
        <v>11</v>
      </c>
      <c r="F32" s="19">
        <f>IF(F26&lt;=F31,F26,F31)</f>
        <v>10974587.52</v>
      </c>
      <c r="G32" s="19" t="s">
        <v>71</v>
      </c>
      <c r="H32" s="23"/>
    </row>
    <row r="33" spans="1:8">
      <c r="A33" s="18" t="s">
        <v>130</v>
      </c>
      <c r="B33" s="18" t="s">
        <v>131</v>
      </c>
      <c r="C33" s="18" t="s">
        <v>132</v>
      </c>
      <c r="D33" s="18" t="s">
        <v>133</v>
      </c>
      <c r="E33" s="18" t="s">
        <v>11</v>
      </c>
      <c r="F33" s="19">
        <f>F31-F32</f>
        <v>0</v>
      </c>
      <c r="G33" s="19" t="s">
        <v>71</v>
      </c>
      <c r="H33" s="23"/>
    </row>
    <row r="34" ht="30" spans="1:8">
      <c r="A34" s="18" t="s">
        <v>134</v>
      </c>
      <c r="B34" s="18" t="s">
        <v>135</v>
      </c>
      <c r="C34" s="18" t="s">
        <v>136</v>
      </c>
      <c r="D34" s="18" t="s">
        <v>137</v>
      </c>
      <c r="E34" s="18" t="s">
        <v>11</v>
      </c>
      <c r="F34" s="19">
        <f>IF(F32&lt;F26,F26-F32)</f>
        <v>52025412.48</v>
      </c>
      <c r="G34" s="19" t="s">
        <v>71</v>
      </c>
      <c r="H34" s="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2"/>
  <sheetViews>
    <sheetView zoomScale="85" zoomScaleNormal="85" topLeftCell="B22" workbookViewId="0">
      <selection activeCell="E35" sqref="E35"/>
    </sheetView>
  </sheetViews>
  <sheetFormatPr defaultColWidth="9.14285714285714" defaultRowHeight="15"/>
  <cols>
    <col min="1" max="1" width="10.4190476190476" style="13" customWidth="1"/>
    <col min="2" max="2" width="38" style="14" customWidth="1"/>
    <col min="3" max="3" width="64" style="14" customWidth="1"/>
    <col min="4" max="4" width="39.6571428571429" style="14" customWidth="1"/>
    <col min="5" max="5" width="34.2857142857143" style="14" customWidth="1"/>
    <col min="6" max="6" width="21.2857142857143" style="15" customWidth="1"/>
    <col min="7" max="7" width="16.5714285714286" style="15" customWidth="1"/>
    <col min="8" max="8" width="9.4" customWidth="1"/>
    <col min="9" max="9" width="21.2857142857143" style="15" customWidth="1"/>
  </cols>
  <sheetData>
    <row r="1" spans="1:10">
      <c r="A1" s="16" t="s">
        <v>0</v>
      </c>
      <c r="B1" s="16" t="s">
        <v>1</v>
      </c>
      <c r="C1" s="16" t="s">
        <v>2</v>
      </c>
      <c r="D1" s="16" t="s">
        <v>3</v>
      </c>
      <c r="E1" s="16" t="s">
        <v>4</v>
      </c>
      <c r="F1" s="3" t="s">
        <v>138</v>
      </c>
      <c r="G1" s="3" t="s">
        <v>6</v>
      </c>
      <c r="I1" s="3" t="s">
        <v>139</v>
      </c>
    </row>
    <row r="2" spans="1:10">
      <c r="A2" s="17" t="s">
        <v>7</v>
      </c>
      <c r="B2" s="18" t="s">
        <v>8</v>
      </c>
      <c r="C2" s="18" t="s">
        <v>9</v>
      </c>
      <c r="D2" s="18" t="s">
        <v>10</v>
      </c>
      <c r="E2" s="18" t="s">
        <v>11</v>
      </c>
      <c r="F2" s="19"/>
      <c r="G2" s="19"/>
      <c r="I2" s="19"/>
    </row>
    <row r="3" ht="30" spans="1:10">
      <c r="A3" s="17" t="s">
        <v>12</v>
      </c>
      <c r="B3" s="18" t="s">
        <v>13</v>
      </c>
      <c r="C3" s="18" t="s">
        <v>14</v>
      </c>
      <c r="D3" s="20" t="s">
        <v>15</v>
      </c>
      <c r="E3" s="18" t="s">
        <v>11</v>
      </c>
      <c r="F3" s="19"/>
      <c r="G3" s="19"/>
      <c r="I3" s="19"/>
    </row>
    <row r="4" spans="1:10">
      <c r="A4" s="17" t="s">
        <v>16</v>
      </c>
      <c r="B4" s="18" t="s">
        <v>17</v>
      </c>
      <c r="C4" s="18" t="s">
        <v>18</v>
      </c>
      <c r="D4" s="20" t="s">
        <v>15</v>
      </c>
      <c r="E4" s="18" t="s">
        <v>11</v>
      </c>
      <c r="F4" s="19"/>
      <c r="G4" s="19"/>
      <c r="I4" s="19"/>
    </row>
    <row r="5" spans="1:10">
      <c r="A5" s="17" t="s">
        <v>19</v>
      </c>
      <c r="B5" s="18" t="s">
        <v>20</v>
      </c>
      <c r="C5" s="18" t="s">
        <v>21</v>
      </c>
      <c r="D5" s="20" t="s">
        <v>15</v>
      </c>
      <c r="E5" s="18" t="s">
        <v>11</v>
      </c>
      <c r="F5" s="19"/>
      <c r="G5" s="19"/>
      <c r="I5" s="19"/>
    </row>
    <row r="6" ht="30" spans="1:10">
      <c r="A6" s="17" t="s">
        <v>22</v>
      </c>
      <c r="B6" s="18" t="s">
        <v>23</v>
      </c>
      <c r="C6" s="18" t="s">
        <v>24</v>
      </c>
      <c r="D6" s="18" t="s">
        <v>25</v>
      </c>
      <c r="E6" s="18" t="s">
        <v>11</v>
      </c>
      <c r="F6" s="19"/>
      <c r="G6" s="19"/>
      <c r="I6" s="19"/>
    </row>
    <row r="7" ht="30" spans="1:10">
      <c r="A7" s="17" t="s">
        <v>26</v>
      </c>
      <c r="B7" s="18" t="s">
        <v>27</v>
      </c>
      <c r="C7" s="18" t="s">
        <v>28</v>
      </c>
      <c r="D7" s="18" t="s">
        <v>29</v>
      </c>
      <c r="E7" s="18" t="s">
        <v>11</v>
      </c>
      <c r="F7" s="19"/>
      <c r="G7" s="19"/>
      <c r="I7" s="19"/>
    </row>
    <row r="8" spans="1:10">
      <c r="A8" s="17" t="s">
        <v>30</v>
      </c>
      <c r="B8" s="18" t="s">
        <v>31</v>
      </c>
      <c r="C8" s="18" t="s">
        <v>32</v>
      </c>
      <c r="D8" s="18" t="s">
        <v>25</v>
      </c>
      <c r="E8" s="18" t="s">
        <v>11</v>
      </c>
      <c r="F8" s="19" t="s">
        <v>140</v>
      </c>
      <c r="G8" s="19" t="s">
        <v>34</v>
      </c>
      <c r="I8" s="19" t="str">
        <f>F8</f>
        <v>Y</v>
      </c>
    </row>
    <row r="9" ht="30" spans="1:10">
      <c r="A9" s="17" t="s">
        <v>35</v>
      </c>
      <c r="B9" s="18" t="s">
        <v>36</v>
      </c>
      <c r="C9" s="18" t="s">
        <v>37</v>
      </c>
      <c r="D9" s="18" t="s">
        <v>29</v>
      </c>
      <c r="E9" s="21" t="s">
        <v>38</v>
      </c>
      <c r="F9" s="19"/>
      <c r="G9" s="19" t="s">
        <v>34</v>
      </c>
      <c r="I9" s="19"/>
    </row>
    <row r="10" spans="1:10">
      <c r="A10" s="17" t="s">
        <v>39</v>
      </c>
      <c r="B10" s="18" t="s">
        <v>40</v>
      </c>
      <c r="C10" s="18" t="s">
        <v>41</v>
      </c>
      <c r="D10" s="18" t="s">
        <v>42</v>
      </c>
      <c r="E10" s="21" t="s">
        <v>43</v>
      </c>
      <c r="F10" s="19">
        <v>10000</v>
      </c>
      <c r="G10" s="19"/>
      <c r="I10" s="19">
        <f>F10</f>
        <v>10000</v>
      </c>
    </row>
    <row r="11" ht="30" spans="1:10">
      <c r="A11" s="17" t="s">
        <v>44</v>
      </c>
      <c r="B11" s="18" t="s">
        <v>45</v>
      </c>
      <c r="C11" s="18" t="s">
        <v>46</v>
      </c>
      <c r="D11" s="18" t="s">
        <v>42</v>
      </c>
      <c r="E11" s="21" t="s">
        <v>43</v>
      </c>
      <c r="F11" s="19">
        <f>F10</f>
        <v>10000</v>
      </c>
      <c r="G11" s="19"/>
      <c r="I11" s="19">
        <f>F11</f>
        <v>10000</v>
      </c>
      <c r="J11" t="s">
        <v>141</v>
      </c>
    </row>
    <row r="12" ht="30" spans="1:10">
      <c r="A12" s="17" t="s">
        <v>47</v>
      </c>
      <c r="B12" s="18" t="s">
        <v>48</v>
      </c>
      <c r="C12" s="18" t="s">
        <v>49</v>
      </c>
      <c r="D12" s="18" t="s">
        <v>50</v>
      </c>
      <c r="E12" s="21" t="s">
        <v>51</v>
      </c>
      <c r="F12" s="19">
        <v>2000</v>
      </c>
      <c r="G12" s="19"/>
      <c r="I12" s="19">
        <f>F12</f>
        <v>2000</v>
      </c>
    </row>
    <row r="13" ht="30" spans="1:10">
      <c r="A13" s="17" t="s">
        <v>52</v>
      </c>
      <c r="B13" s="18" t="s">
        <v>53</v>
      </c>
      <c r="C13" s="18" t="s">
        <v>54</v>
      </c>
      <c r="D13" s="18" t="s">
        <v>55</v>
      </c>
      <c r="E13" s="21" t="s">
        <v>43</v>
      </c>
      <c r="F13" s="19">
        <f>40%*(F10-F12)</f>
        <v>3200</v>
      </c>
      <c r="G13" s="19"/>
      <c r="I13" s="19">
        <f>40%*(I11-I12)</f>
        <v>3200</v>
      </c>
    </row>
    <row r="14" ht="30" spans="1:10">
      <c r="A14" s="17" t="s">
        <v>56</v>
      </c>
      <c r="B14" s="18" t="s">
        <v>57</v>
      </c>
      <c r="C14" s="18" t="s">
        <v>58</v>
      </c>
      <c r="D14" s="18" t="s">
        <v>55</v>
      </c>
      <c r="E14" s="21" t="s">
        <v>43</v>
      </c>
      <c r="F14" s="19">
        <f>60%*(F10-F12)</f>
        <v>4800</v>
      </c>
      <c r="G14" s="19"/>
      <c r="I14" s="19">
        <f>60%*(I10-I12)</f>
        <v>4800</v>
      </c>
    </row>
    <row r="15" spans="1:10">
      <c r="A15" s="17" t="s">
        <v>59</v>
      </c>
      <c r="B15" s="18" t="s">
        <v>60</v>
      </c>
      <c r="C15" s="18" t="s">
        <v>61</v>
      </c>
      <c r="D15" s="20" t="s">
        <v>15</v>
      </c>
      <c r="E15" s="18" t="s">
        <v>11</v>
      </c>
      <c r="F15" s="19">
        <v>50000000</v>
      </c>
      <c r="G15" s="19" t="s">
        <v>62</v>
      </c>
      <c r="H15" s="22"/>
      <c r="I15" s="19">
        <f>F15</f>
        <v>50000000</v>
      </c>
    </row>
    <row r="16" spans="1:10">
      <c r="A16" s="17" t="s">
        <v>63</v>
      </c>
      <c r="B16" s="18" t="s">
        <v>64</v>
      </c>
      <c r="C16" s="18" t="s">
        <v>65</v>
      </c>
      <c r="D16" s="18" t="s">
        <v>66</v>
      </c>
      <c r="E16" s="18" t="s">
        <v>11</v>
      </c>
      <c r="F16" s="10">
        <v>60000000</v>
      </c>
      <c r="G16" s="19" t="s">
        <v>34</v>
      </c>
      <c r="H16" s="22"/>
      <c r="I16" s="10">
        <f>F16</f>
        <v>60000000</v>
      </c>
    </row>
    <row r="17" ht="30" spans="1:10">
      <c r="A17" s="17" t="s">
        <v>67</v>
      </c>
      <c r="B17" s="18" t="s">
        <v>68</v>
      </c>
      <c r="C17" s="18" t="s">
        <v>69</v>
      </c>
      <c r="D17" s="18" t="s">
        <v>70</v>
      </c>
      <c r="E17" s="18" t="s">
        <v>11</v>
      </c>
      <c r="F17" s="19">
        <f>MAX(F15,F16)</f>
        <v>60000000</v>
      </c>
      <c r="G17" s="19" t="s">
        <v>71</v>
      </c>
      <c r="H17" s="22"/>
      <c r="I17" s="19">
        <f>MAX(I15,I16)</f>
        <v>60000000</v>
      </c>
    </row>
    <row r="18" ht="30" spans="1:10">
      <c r="A18" s="17" t="s">
        <v>72</v>
      </c>
      <c r="B18" s="18" t="s">
        <v>73</v>
      </c>
      <c r="C18" s="18" t="s">
        <v>74</v>
      </c>
      <c r="D18" s="20" t="s">
        <v>15</v>
      </c>
      <c r="E18" s="18" t="s">
        <v>11</v>
      </c>
      <c r="F18" s="19">
        <v>200000000</v>
      </c>
      <c r="G18" s="19" t="s">
        <v>62</v>
      </c>
      <c r="H18" s="22"/>
      <c r="I18" s="19">
        <f>F18</f>
        <v>200000000</v>
      </c>
    </row>
    <row r="19" ht="30" spans="1:10">
      <c r="A19" s="17" t="s">
        <v>75</v>
      </c>
      <c r="B19" s="18" t="s">
        <v>76</v>
      </c>
      <c r="C19" s="18" t="s">
        <v>77</v>
      </c>
      <c r="D19" s="20" t="s">
        <v>15</v>
      </c>
      <c r="E19" s="18" t="s">
        <v>11</v>
      </c>
      <c r="F19" s="19">
        <v>200000000</v>
      </c>
      <c r="G19" s="19" t="s">
        <v>62</v>
      </c>
      <c r="H19" s="22"/>
      <c r="I19" s="19">
        <f>F19</f>
        <v>200000000</v>
      </c>
    </row>
    <row r="20" ht="30" spans="1:10">
      <c r="A20" s="17" t="s">
        <v>83</v>
      </c>
      <c r="B20" s="18" t="s">
        <v>84</v>
      </c>
      <c r="C20" s="18" t="s">
        <v>85</v>
      </c>
      <c r="D20" s="18" t="s">
        <v>86</v>
      </c>
      <c r="E20" s="18" t="s">
        <v>11</v>
      </c>
      <c r="F20" s="19">
        <f>F18</f>
        <v>200000000</v>
      </c>
      <c r="G20" s="19" t="s">
        <v>71</v>
      </c>
      <c r="H20" s="8"/>
      <c r="I20" s="19">
        <f>F20</f>
        <v>200000000</v>
      </c>
      <c r="J20" t="s">
        <v>141</v>
      </c>
    </row>
    <row r="21" ht="30" spans="1:10">
      <c r="A21" s="17" t="s">
        <v>87</v>
      </c>
      <c r="B21" s="18" t="s">
        <v>88</v>
      </c>
      <c r="C21" s="18" t="s">
        <v>89</v>
      </c>
      <c r="D21" s="18" t="s">
        <v>86</v>
      </c>
      <c r="E21" s="18" t="s">
        <v>11</v>
      </c>
      <c r="F21" s="19">
        <f>F19</f>
        <v>200000000</v>
      </c>
      <c r="G21" s="19" t="s">
        <v>71</v>
      </c>
      <c r="H21" s="8"/>
      <c r="I21" s="19">
        <f>F21</f>
        <v>200000000</v>
      </c>
      <c r="J21" t="s">
        <v>141</v>
      </c>
    </row>
    <row r="22" ht="120" spans="1:10">
      <c r="A22" s="17" t="s">
        <v>94</v>
      </c>
      <c r="B22" s="18" t="s">
        <v>95</v>
      </c>
      <c r="C22" s="18" t="s">
        <v>96</v>
      </c>
      <c r="D22" s="18" t="s">
        <v>97</v>
      </c>
      <c r="E22" s="18" t="s">
        <v>11</v>
      </c>
      <c r="F22" s="19">
        <f>IF(F8="N",F18+F19-#REF!,IF(F8="Y",F18+F19-F13,""))</f>
        <v>399996800</v>
      </c>
      <c r="G22" s="19" t="s">
        <v>71</v>
      </c>
      <c r="H22" s="23"/>
      <c r="I22" s="19">
        <f>IF(I8="N",I18+I19-#REF!,IF(I8="Y",I18+I19-I13,""))</f>
        <v>399996800</v>
      </c>
    </row>
    <row r="23" ht="30" spans="1:10">
      <c r="A23" s="17" t="s">
        <v>99</v>
      </c>
      <c r="B23" s="18" t="s">
        <v>100</v>
      </c>
      <c r="C23" s="18" t="s">
        <v>101</v>
      </c>
      <c r="D23" s="18" t="s">
        <v>102</v>
      </c>
      <c r="E23" s="18" t="s">
        <v>11</v>
      </c>
      <c r="F23" s="19">
        <f>60%*(F22-F17)</f>
        <v>203998080</v>
      </c>
      <c r="G23" s="19" t="s">
        <v>71</v>
      </c>
      <c r="H23" s="23"/>
      <c r="I23" s="19">
        <f>60%*(I22-I17)</f>
        <v>203998080</v>
      </c>
    </row>
    <row r="24" ht="45" spans="1:10">
      <c r="A24" s="17" t="s">
        <v>103</v>
      </c>
      <c r="B24" s="18" t="s">
        <v>104</v>
      </c>
      <c r="C24" s="18" t="s">
        <v>105</v>
      </c>
      <c r="D24" s="18" t="s">
        <v>106</v>
      </c>
      <c r="E24" s="18" t="s">
        <v>11</v>
      </c>
      <c r="F24" s="19">
        <f>IF(F8="N",75%*F23,IF(F8="Y",100%*F23,""))</f>
        <v>203998080</v>
      </c>
      <c r="G24" s="19" t="s">
        <v>71</v>
      </c>
      <c r="H24" s="23"/>
      <c r="I24" s="19">
        <f>IF(I8="N",75%*I23,IF(I8="Y",100%*I23,""))</f>
        <v>203998080</v>
      </c>
    </row>
    <row r="25" ht="30" spans="1:10">
      <c r="A25" s="17" t="s">
        <v>107</v>
      </c>
      <c r="B25" s="18" t="s">
        <v>108</v>
      </c>
      <c r="C25" s="18" t="s">
        <v>109</v>
      </c>
      <c r="D25" s="20" t="s">
        <v>110</v>
      </c>
      <c r="E25" s="18" t="s">
        <v>11</v>
      </c>
      <c r="F25" s="19">
        <v>0</v>
      </c>
      <c r="G25" s="19" t="s">
        <v>62</v>
      </c>
      <c r="H25" s="23"/>
      <c r="I25" s="19">
        <v>0</v>
      </c>
    </row>
    <row r="26" ht="45" spans="1:10">
      <c r="A26" s="17" t="s">
        <v>111</v>
      </c>
      <c r="B26" s="18" t="s">
        <v>112</v>
      </c>
      <c r="C26" s="18" t="s">
        <v>113</v>
      </c>
      <c r="D26" s="20" t="s">
        <v>114</v>
      </c>
      <c r="E26" s="18" t="s">
        <v>11</v>
      </c>
      <c r="F26" s="19">
        <v>0</v>
      </c>
      <c r="G26" s="19" t="s">
        <v>62</v>
      </c>
      <c r="H26" s="23"/>
      <c r="I26" s="19">
        <v>0</v>
      </c>
    </row>
    <row r="27" ht="30" spans="1:10">
      <c r="A27" s="17" t="s">
        <v>115</v>
      </c>
      <c r="B27" s="18" t="s">
        <v>116</v>
      </c>
      <c r="C27" s="18" t="s">
        <v>117</v>
      </c>
      <c r="D27" s="18" t="s">
        <v>118</v>
      </c>
      <c r="E27" s="18" t="s">
        <v>11</v>
      </c>
      <c r="F27" s="19">
        <f>2*(F25+F26)</f>
        <v>0</v>
      </c>
      <c r="G27" s="19" t="s">
        <v>71</v>
      </c>
      <c r="H27" s="23"/>
      <c r="I27" s="19">
        <f>2*(I25+I26)</f>
        <v>0</v>
      </c>
    </row>
    <row r="28" ht="30" spans="1:10">
      <c r="A28" s="17" t="s">
        <v>119</v>
      </c>
      <c r="B28" s="18" t="s">
        <v>120</v>
      </c>
      <c r="C28" s="18" t="s">
        <v>120</v>
      </c>
      <c r="D28" s="24" t="s">
        <v>121</v>
      </c>
      <c r="E28" s="18" t="s">
        <v>11</v>
      </c>
      <c r="F28" s="10">
        <v>0</v>
      </c>
      <c r="G28" s="19"/>
      <c r="H28" s="23"/>
      <c r="I28" s="10">
        <v>0</v>
      </c>
    </row>
    <row r="29" spans="1:10">
      <c r="A29" s="17" t="s">
        <v>122</v>
      </c>
      <c r="B29" s="18" t="s">
        <v>123</v>
      </c>
      <c r="C29" s="18" t="s">
        <v>123</v>
      </c>
      <c r="D29" s="18" t="s">
        <v>124</v>
      </c>
      <c r="E29" s="18" t="s">
        <v>125</v>
      </c>
      <c r="F29" s="19">
        <f>F27-F28</f>
        <v>0</v>
      </c>
      <c r="G29" s="19" t="s">
        <v>71</v>
      </c>
      <c r="H29" s="23"/>
      <c r="I29" s="19">
        <f>I27-I28</f>
        <v>0</v>
      </c>
    </row>
    <row r="30" ht="60" spans="1:10">
      <c r="A30" s="17" t="s">
        <v>126</v>
      </c>
      <c r="B30" s="18" t="s">
        <v>127</v>
      </c>
      <c r="C30" s="18" t="s">
        <v>128</v>
      </c>
      <c r="D30" s="18" t="s">
        <v>129</v>
      </c>
      <c r="E30" s="18" t="s">
        <v>11</v>
      </c>
      <c r="F30" s="19">
        <f>IF(F24&lt;=F29,F24,F29)</f>
        <v>0</v>
      </c>
      <c r="G30" s="19" t="s">
        <v>71</v>
      </c>
      <c r="H30" s="23"/>
      <c r="I30" s="19">
        <f>IF(I24&lt;=I29,I24,I29)</f>
        <v>0</v>
      </c>
    </row>
    <row r="31" spans="1:10">
      <c r="A31" s="17" t="s">
        <v>130</v>
      </c>
      <c r="B31" s="18" t="s">
        <v>131</v>
      </c>
      <c r="C31" s="18" t="s">
        <v>132</v>
      </c>
      <c r="D31" s="18" t="s">
        <v>133</v>
      </c>
      <c r="E31" s="18" t="s">
        <v>11</v>
      </c>
      <c r="F31" s="19">
        <f>F29-F30</f>
        <v>0</v>
      </c>
      <c r="G31" s="19" t="s">
        <v>71</v>
      </c>
      <c r="H31" s="23"/>
      <c r="I31" s="19">
        <f>I29-I30</f>
        <v>0</v>
      </c>
    </row>
    <row r="32" ht="30" spans="1:10">
      <c r="A32" s="17" t="s">
        <v>134</v>
      </c>
      <c r="B32" s="18" t="s">
        <v>135</v>
      </c>
      <c r="C32" s="18" t="s">
        <v>136</v>
      </c>
      <c r="D32" s="18" t="s">
        <v>137</v>
      </c>
      <c r="E32" s="18" t="s">
        <v>11</v>
      </c>
      <c r="F32" s="19"/>
      <c r="G32" s="19" t="s">
        <v>71</v>
      </c>
      <c r="H32" s="23"/>
      <c r="I32" s="19"/>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abSelected="1" topLeftCell="A27" workbookViewId="0">
      <pane xSplit="1" topLeftCell="B1" activePane="topRight" state="frozen"/>
      <selection/>
      <selection pane="topRight" activeCell="F29" sqref="F29"/>
    </sheetView>
  </sheetViews>
  <sheetFormatPr defaultColWidth="9.14285714285714" defaultRowHeight="15"/>
  <cols>
    <col min="1" max="1" width="6.71428571428571" style="1" customWidth="1"/>
    <col min="2" max="2" width="42.5714285714286" style="1" customWidth="1"/>
    <col min="3" max="3" width="49.1428571428571" style="1" customWidth="1"/>
    <col min="4" max="4" width="42.2857142857143" style="1" customWidth="1"/>
    <col min="5" max="5" width="31.4285714285714" style="1" customWidth="1"/>
    <col min="6" max="6" width="27.2857142857143" style="2" customWidth="1"/>
    <col min="7" max="7" width="20.8571428571429" style="2" customWidth="1"/>
    <col min="9" max="9" width="9.57142857142857"/>
  </cols>
  <sheetData>
    <row r="1" spans="1:11">
      <c r="A1" s="3" t="s">
        <v>0</v>
      </c>
      <c r="B1" s="3" t="s">
        <v>1</v>
      </c>
      <c r="C1" s="3" t="s">
        <v>2</v>
      </c>
      <c r="D1" s="3" t="s">
        <v>3</v>
      </c>
      <c r="E1" s="3" t="s">
        <v>4</v>
      </c>
      <c r="F1" s="4" t="s">
        <v>5</v>
      </c>
      <c r="G1" s="4" t="s">
        <v>6</v>
      </c>
    </row>
    <row r="2" spans="1:11">
      <c r="A2" s="5" t="s">
        <v>7</v>
      </c>
      <c r="B2" s="5" t="s">
        <v>8</v>
      </c>
      <c r="C2" s="5" t="s">
        <v>9</v>
      </c>
      <c r="D2" s="5" t="s">
        <v>142</v>
      </c>
      <c r="E2" s="5" t="s">
        <v>11</v>
      </c>
      <c r="F2" s="6"/>
      <c r="G2" s="6"/>
    </row>
    <row r="3" ht="30" spans="1:11">
      <c r="A3" s="5" t="s">
        <v>12</v>
      </c>
      <c r="B3" s="5" t="s">
        <v>13</v>
      </c>
      <c r="C3" s="5" t="s">
        <v>143</v>
      </c>
      <c r="D3" s="5" t="s">
        <v>15</v>
      </c>
      <c r="E3" s="5" t="s">
        <v>11</v>
      </c>
      <c r="F3" s="6"/>
      <c r="G3" s="6"/>
    </row>
    <row r="4" spans="1:11">
      <c r="A4" s="5" t="s">
        <v>16</v>
      </c>
      <c r="B4" s="5" t="s">
        <v>17</v>
      </c>
      <c r="C4" s="5" t="s">
        <v>18</v>
      </c>
      <c r="D4" s="5" t="s">
        <v>15</v>
      </c>
      <c r="E4" s="5" t="s">
        <v>11</v>
      </c>
      <c r="F4" s="6"/>
      <c r="G4" s="6"/>
    </row>
    <row r="5" spans="1:11">
      <c r="A5" s="5" t="s">
        <v>19</v>
      </c>
      <c r="B5" s="5" t="s">
        <v>20</v>
      </c>
      <c r="C5" s="5" t="s">
        <v>21</v>
      </c>
      <c r="D5" s="5" t="s">
        <v>15</v>
      </c>
      <c r="E5" s="5" t="s">
        <v>11</v>
      </c>
      <c r="F5" s="6"/>
      <c r="G5" s="6"/>
      <c r="J5" t="s">
        <v>144</v>
      </c>
      <c r="K5" s="7"/>
    </row>
    <row r="6" ht="75" spans="1:11">
      <c r="A6" s="5" t="s">
        <v>22</v>
      </c>
      <c r="B6" s="5" t="s">
        <v>23</v>
      </c>
      <c r="C6" s="5" t="s">
        <v>145</v>
      </c>
      <c r="D6" s="5" t="s">
        <v>15</v>
      </c>
      <c r="E6" s="5" t="s">
        <v>11</v>
      </c>
      <c r="F6" s="6"/>
      <c r="G6" s="6"/>
      <c r="J6" t="s">
        <v>146</v>
      </c>
      <c r="K6" s="8"/>
    </row>
    <row r="7" ht="45" spans="1:11">
      <c r="A7" s="5" t="s">
        <v>26</v>
      </c>
      <c r="B7" s="5" t="s">
        <v>147</v>
      </c>
      <c r="C7" s="5" t="s">
        <v>148</v>
      </c>
      <c r="D7" s="5" t="s">
        <v>15</v>
      </c>
      <c r="E7" s="5" t="s">
        <v>11</v>
      </c>
      <c r="F7" s="6"/>
      <c r="G7" s="6"/>
    </row>
    <row r="8" spans="1:11">
      <c r="A8" s="5" t="s">
        <v>30</v>
      </c>
      <c r="B8" s="5" t="s">
        <v>31</v>
      </c>
      <c r="C8" s="5" t="s">
        <v>32</v>
      </c>
      <c r="D8" s="5" t="s">
        <v>25</v>
      </c>
      <c r="E8" s="5" t="s">
        <v>11</v>
      </c>
      <c r="F8" s="6"/>
      <c r="G8" s="6"/>
      <c r="H8" s="7"/>
    </row>
    <row r="9" ht="30" spans="1:11">
      <c r="A9" s="5" t="s">
        <v>35</v>
      </c>
      <c r="B9" s="9" t="s">
        <v>36</v>
      </c>
      <c r="C9" s="9" t="s">
        <v>37</v>
      </c>
      <c r="D9" s="9" t="s">
        <v>29</v>
      </c>
      <c r="E9" s="9" t="s">
        <v>43</v>
      </c>
      <c r="F9" s="6"/>
      <c r="G9" s="6"/>
      <c r="H9" s="7"/>
    </row>
    <row r="10" spans="1:11">
      <c r="A10" s="5" t="s">
        <v>39</v>
      </c>
      <c r="B10" s="9" t="s">
        <v>40</v>
      </c>
      <c r="C10" s="9" t="s">
        <v>149</v>
      </c>
      <c r="D10" s="9" t="s">
        <v>42</v>
      </c>
      <c r="E10" s="9" t="s">
        <v>43</v>
      </c>
      <c r="F10" s="6"/>
      <c r="G10" s="6"/>
    </row>
    <row r="11" ht="45" spans="1:11">
      <c r="A11" s="5" t="s">
        <v>44</v>
      </c>
      <c r="B11" s="9" t="s">
        <v>45</v>
      </c>
      <c r="C11" s="9" t="s">
        <v>46</v>
      </c>
      <c r="D11" s="9" t="s">
        <v>42</v>
      </c>
      <c r="E11" s="9" t="s">
        <v>43</v>
      </c>
      <c r="F11" s="6"/>
      <c r="G11" s="6"/>
    </row>
    <row r="12" spans="1:11">
      <c r="A12" s="5" t="s">
        <v>47</v>
      </c>
      <c r="B12" s="5" t="s">
        <v>48</v>
      </c>
      <c r="C12" s="5" t="s">
        <v>49</v>
      </c>
      <c r="D12" s="5" t="s">
        <v>50</v>
      </c>
      <c r="E12" s="5" t="s">
        <v>11</v>
      </c>
      <c r="F12" s="6"/>
      <c r="G12" s="6"/>
    </row>
    <row r="13" ht="45" spans="1:11">
      <c r="A13" s="5" t="s">
        <v>52</v>
      </c>
      <c r="B13" s="9" t="s">
        <v>150</v>
      </c>
      <c r="C13" s="9" t="s">
        <v>151</v>
      </c>
      <c r="D13" s="9" t="s">
        <v>55</v>
      </c>
      <c r="E13" s="9" t="s">
        <v>43</v>
      </c>
      <c r="F13" s="6"/>
      <c r="G13" s="6"/>
    </row>
    <row r="14" ht="30" spans="1:11">
      <c r="A14" s="5" t="s">
        <v>56</v>
      </c>
      <c r="B14" s="9" t="s">
        <v>57</v>
      </c>
      <c r="C14" s="9" t="s">
        <v>152</v>
      </c>
      <c r="D14" s="9" t="s">
        <v>55</v>
      </c>
      <c r="E14" s="9" t="s">
        <v>43</v>
      </c>
      <c r="F14" s="6"/>
      <c r="G14" s="6"/>
    </row>
    <row r="15" ht="60" spans="1:11">
      <c r="A15" s="5" t="s">
        <v>59</v>
      </c>
      <c r="B15" s="5" t="s">
        <v>73</v>
      </c>
      <c r="C15" s="5" t="s">
        <v>153</v>
      </c>
      <c r="D15" s="10" t="s">
        <v>15</v>
      </c>
      <c r="E15" s="5" t="s">
        <v>11</v>
      </c>
      <c r="F15" s="6">
        <v>100000000</v>
      </c>
      <c r="G15" s="6" t="s">
        <v>154</v>
      </c>
      <c r="H15" s="7"/>
    </row>
    <row r="16" ht="45" spans="1:11">
      <c r="A16" s="5" t="s">
        <v>63</v>
      </c>
      <c r="B16" s="5" t="s">
        <v>76</v>
      </c>
      <c r="C16" s="5" t="s">
        <v>155</v>
      </c>
      <c r="D16" s="10" t="s">
        <v>156</v>
      </c>
      <c r="E16" s="5" t="s">
        <v>11</v>
      </c>
      <c r="F16" s="6">
        <v>100000000</v>
      </c>
      <c r="G16" s="6" t="s">
        <v>154</v>
      </c>
      <c r="H16" s="7"/>
    </row>
    <row r="17" ht="30" spans="1:10">
      <c r="A17" s="5" t="s">
        <v>67</v>
      </c>
      <c r="B17" s="5" t="s">
        <v>79</v>
      </c>
      <c r="C17" s="5" t="s">
        <v>157</v>
      </c>
      <c r="D17" s="11" t="s">
        <v>156</v>
      </c>
      <c r="E17" s="5" t="s">
        <v>11</v>
      </c>
      <c r="F17" s="6">
        <v>10</v>
      </c>
      <c r="G17" s="6"/>
      <c r="H17" s="7"/>
    </row>
    <row r="18" ht="45" spans="1:10">
      <c r="A18" s="5" t="s">
        <v>72</v>
      </c>
      <c r="B18" s="5" t="s">
        <v>158</v>
      </c>
      <c r="C18" s="5" t="s">
        <v>159</v>
      </c>
      <c r="D18" s="5" t="s">
        <v>81</v>
      </c>
      <c r="E18" s="5" t="s">
        <v>160</v>
      </c>
      <c r="F18" s="6">
        <v>80000000</v>
      </c>
      <c r="G18" s="6"/>
    </row>
    <row r="19" ht="45" spans="1:10">
      <c r="A19" s="5" t="s">
        <v>75</v>
      </c>
      <c r="B19" s="5" t="s">
        <v>161</v>
      </c>
      <c r="C19" s="5" t="s">
        <v>162</v>
      </c>
      <c r="D19" s="5" t="s">
        <v>86</v>
      </c>
      <c r="E19" s="5" t="s">
        <v>163</v>
      </c>
      <c r="F19" s="6">
        <f>F18</f>
        <v>80000000</v>
      </c>
      <c r="G19" s="6"/>
      <c r="I19">
        <f>F19</f>
        <v>80000000</v>
      </c>
      <c r="J19" t="s">
        <v>164</v>
      </c>
    </row>
    <row r="20" ht="45" spans="1:10">
      <c r="A20" s="5" t="s">
        <v>165</v>
      </c>
      <c r="B20" s="5" t="s">
        <v>166</v>
      </c>
      <c r="C20" s="5" t="s">
        <v>167</v>
      </c>
      <c r="D20" s="5" t="s">
        <v>55</v>
      </c>
      <c r="E20" s="5" t="s">
        <v>163</v>
      </c>
      <c r="F20" s="6">
        <f>40%*F18</f>
        <v>32000000</v>
      </c>
      <c r="G20" s="6"/>
      <c r="I20">
        <f>40%*I19</f>
        <v>32000000</v>
      </c>
    </row>
    <row r="21" ht="30" spans="1:10">
      <c r="A21" s="5" t="s">
        <v>168</v>
      </c>
      <c r="B21" s="5" t="s">
        <v>169</v>
      </c>
      <c r="C21" s="5" t="s">
        <v>170</v>
      </c>
      <c r="D21" s="5" t="s">
        <v>55</v>
      </c>
      <c r="E21" s="5" t="s">
        <v>163</v>
      </c>
      <c r="F21" s="6">
        <f>60%*F18</f>
        <v>48000000</v>
      </c>
      <c r="G21" s="6"/>
      <c r="I21">
        <f>60%*I19</f>
        <v>48000000</v>
      </c>
    </row>
    <row r="22" ht="60" spans="1:10">
      <c r="A22" s="5" t="s">
        <v>83</v>
      </c>
      <c r="B22" s="5" t="s">
        <v>171</v>
      </c>
      <c r="C22" s="5" t="s">
        <v>172</v>
      </c>
      <c r="D22" s="5" t="s">
        <v>173</v>
      </c>
      <c r="E22" s="5" t="s">
        <v>174</v>
      </c>
      <c r="F22" s="6"/>
      <c r="G22" s="6"/>
    </row>
    <row r="23" spans="1:10">
      <c r="A23" s="5" t="s">
        <v>87</v>
      </c>
      <c r="B23" s="5" t="s">
        <v>175</v>
      </c>
      <c r="C23" s="5" t="s">
        <v>176</v>
      </c>
      <c r="D23" s="5" t="s">
        <v>29</v>
      </c>
      <c r="E23" s="5" t="s">
        <v>177</v>
      </c>
      <c r="F23" s="6"/>
      <c r="G23" s="6"/>
    </row>
    <row r="24" spans="1:10">
      <c r="A24" s="5" t="s">
        <v>90</v>
      </c>
      <c r="B24" s="5" t="s">
        <v>60</v>
      </c>
      <c r="C24" s="5" t="s">
        <v>61</v>
      </c>
      <c r="D24" s="10" t="s">
        <v>15</v>
      </c>
      <c r="E24" s="5" t="s">
        <v>11</v>
      </c>
      <c r="F24" s="6">
        <v>50000000</v>
      </c>
      <c r="G24" s="6" t="s">
        <v>178</v>
      </c>
      <c r="H24" s="7"/>
    </row>
    <row r="25" spans="1:10">
      <c r="A25" s="5" t="s">
        <v>179</v>
      </c>
      <c r="B25" s="5" t="s">
        <v>180</v>
      </c>
      <c r="C25" s="5" t="s">
        <v>65</v>
      </c>
      <c r="D25" s="12" t="s">
        <v>66</v>
      </c>
      <c r="E25" s="5" t="s">
        <v>11</v>
      </c>
      <c r="F25" s="5">
        <v>60000000</v>
      </c>
      <c r="G25" s="6"/>
      <c r="H25" s="7"/>
    </row>
    <row r="26" spans="1:10">
      <c r="A26" s="5" t="s">
        <v>99</v>
      </c>
      <c r="B26" s="5" t="s">
        <v>181</v>
      </c>
      <c r="C26" s="5" t="s">
        <v>182</v>
      </c>
      <c r="D26" s="5" t="s">
        <v>183</v>
      </c>
      <c r="E26" s="5" t="s">
        <v>11</v>
      </c>
      <c r="F26" s="6">
        <v>1</v>
      </c>
      <c r="G26" s="6"/>
      <c r="H26" s="7"/>
    </row>
    <row r="27" ht="30" spans="1:10">
      <c r="A27" s="5" t="s">
        <v>103</v>
      </c>
      <c r="B27" s="5" t="s">
        <v>68</v>
      </c>
      <c r="C27" s="5" t="s">
        <v>69</v>
      </c>
      <c r="D27" s="5" t="s">
        <v>184</v>
      </c>
      <c r="E27" s="5" t="s">
        <v>11</v>
      </c>
      <c r="F27" s="6">
        <f>MAX(F24,F25)</f>
        <v>60000000</v>
      </c>
      <c r="G27" s="6"/>
      <c r="H27" s="7"/>
    </row>
    <row r="28" ht="120" spans="1:10">
      <c r="A28" s="5" t="s">
        <v>107</v>
      </c>
      <c r="B28" s="5" t="s">
        <v>185</v>
      </c>
      <c r="C28" s="5" t="s">
        <v>185</v>
      </c>
      <c r="D28" s="5" t="s">
        <v>186</v>
      </c>
      <c r="E28" s="5" t="s">
        <v>11</v>
      </c>
      <c r="F28" s="6">
        <f>F15+F16-F17-F20</f>
        <v>167999990</v>
      </c>
      <c r="G28" s="6"/>
    </row>
    <row r="29" ht="30" spans="1:10">
      <c r="A29" s="5" t="s">
        <v>111</v>
      </c>
      <c r="B29" s="5" t="s">
        <v>187</v>
      </c>
      <c r="C29" s="5" t="s">
        <v>101</v>
      </c>
      <c r="D29" s="5" t="s">
        <v>188</v>
      </c>
      <c r="E29" s="5" t="s">
        <v>11</v>
      </c>
      <c r="F29" s="6"/>
      <c r="G29" s="6"/>
    </row>
    <row r="30" ht="30" spans="1:10">
      <c r="A30" s="5" t="s">
        <v>115</v>
      </c>
      <c r="B30" s="5" t="s">
        <v>189</v>
      </c>
      <c r="C30" s="5" t="s">
        <v>190</v>
      </c>
      <c r="D30" s="5" t="s">
        <v>15</v>
      </c>
      <c r="E30" s="5" t="s">
        <v>11</v>
      </c>
      <c r="F30" s="6"/>
      <c r="G30" s="6"/>
    </row>
    <row r="31" spans="1:10">
      <c r="A31" s="5" t="s">
        <v>119</v>
      </c>
      <c r="B31" s="5" t="s">
        <v>191</v>
      </c>
      <c r="C31" s="5" t="s">
        <v>192</v>
      </c>
      <c r="D31" s="5" t="s">
        <v>193</v>
      </c>
      <c r="E31" s="5" t="s">
        <v>11</v>
      </c>
      <c r="F31" s="6"/>
      <c r="G31" s="6"/>
    </row>
    <row r="32" ht="30" spans="1:10">
      <c r="A32" s="5" t="s">
        <v>122</v>
      </c>
      <c r="B32" s="5" t="s">
        <v>108</v>
      </c>
      <c r="C32" s="5" t="s">
        <v>109</v>
      </c>
      <c r="D32" s="5" t="s">
        <v>110</v>
      </c>
      <c r="E32" s="5" t="s">
        <v>11</v>
      </c>
      <c r="F32" s="6"/>
      <c r="G32" s="6"/>
    </row>
    <row r="33" ht="30" spans="1:7">
      <c r="A33" s="5" t="s">
        <v>126</v>
      </c>
      <c r="B33" s="5" t="s">
        <v>112</v>
      </c>
      <c r="C33" s="5" t="s">
        <v>113</v>
      </c>
      <c r="D33" s="5" t="s">
        <v>114</v>
      </c>
      <c r="E33" s="5" t="s">
        <v>11</v>
      </c>
      <c r="F33" s="6"/>
      <c r="G33" s="6"/>
    </row>
    <row r="34" ht="30" spans="1:7">
      <c r="A34" s="5" t="s">
        <v>130</v>
      </c>
      <c r="B34" s="5" t="s">
        <v>116</v>
      </c>
      <c r="C34" s="5" t="s">
        <v>117</v>
      </c>
      <c r="D34" s="5" t="s">
        <v>194</v>
      </c>
      <c r="E34" s="5" t="s">
        <v>11</v>
      </c>
      <c r="F34" s="6"/>
      <c r="G34" s="6"/>
    </row>
    <row r="35" spans="1:7">
      <c r="A35" s="5" t="s">
        <v>134</v>
      </c>
      <c r="B35" s="5" t="s">
        <v>120</v>
      </c>
      <c r="C35" s="5" t="s">
        <v>120</v>
      </c>
      <c r="D35" s="5" t="s">
        <v>121</v>
      </c>
      <c r="E35" s="5" t="s">
        <v>11</v>
      </c>
      <c r="F35" s="6"/>
      <c r="G35" s="6"/>
    </row>
    <row r="36" spans="1:7">
      <c r="A36" s="5" t="s">
        <v>195</v>
      </c>
      <c r="B36" s="5" t="s">
        <v>123</v>
      </c>
      <c r="C36" s="5" t="s">
        <v>123</v>
      </c>
      <c r="D36" s="5" t="s">
        <v>196</v>
      </c>
      <c r="E36" s="5" t="s">
        <v>125</v>
      </c>
      <c r="F36" s="6"/>
      <c r="G36" s="6"/>
    </row>
    <row r="37" ht="45" spans="1:7">
      <c r="A37" s="5" t="s">
        <v>197</v>
      </c>
      <c r="B37" s="5" t="s">
        <v>127</v>
      </c>
      <c r="C37" s="5" t="s">
        <v>198</v>
      </c>
      <c r="D37" s="5" t="s">
        <v>199</v>
      </c>
      <c r="E37" s="5" t="s">
        <v>11</v>
      </c>
      <c r="F37" s="6"/>
      <c r="G37" s="6"/>
    </row>
    <row r="38" spans="1:7">
      <c r="A38" s="5" t="s">
        <v>200</v>
      </c>
      <c r="B38" s="5" t="s">
        <v>131</v>
      </c>
      <c r="C38" s="5" t="s">
        <v>132</v>
      </c>
      <c r="D38" s="5" t="s">
        <v>201</v>
      </c>
      <c r="E38" s="5" t="s">
        <v>11</v>
      </c>
      <c r="F38" s="6"/>
      <c r="G38" s="6"/>
    </row>
    <row r="39" ht="30" spans="1:7">
      <c r="A39" s="5" t="s">
        <v>202</v>
      </c>
      <c r="B39" s="5" t="s">
        <v>135</v>
      </c>
      <c r="C39" s="5" t="s">
        <v>136</v>
      </c>
      <c r="D39" s="5" t="s">
        <v>203</v>
      </c>
      <c r="E39" s="5" t="s">
        <v>11</v>
      </c>
      <c r="F39" s="6"/>
      <c r="G39" s="6"/>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1" customWidth="1"/>
    <col min="2" max="2" width="42.5714285714286" style="1" customWidth="1"/>
    <col min="3" max="3" width="49.1428571428571" style="1" customWidth="1"/>
    <col min="4" max="4" width="42.2857142857143" style="1" customWidth="1"/>
    <col min="5" max="5" width="31.4285714285714" style="1" customWidth="1"/>
    <col min="6" max="6" width="27.2857142857143" style="2" customWidth="1"/>
    <col min="7" max="7" width="20.8571428571429" style="2" customWidth="1"/>
  </cols>
  <sheetData>
    <row r="1" spans="1:11">
      <c r="A1" s="3" t="s">
        <v>0</v>
      </c>
      <c r="B1" s="3" t="s">
        <v>1</v>
      </c>
      <c r="C1" s="3" t="s">
        <v>2</v>
      </c>
      <c r="D1" s="3" t="s">
        <v>3</v>
      </c>
      <c r="E1" s="3" t="s">
        <v>4</v>
      </c>
      <c r="F1" s="4" t="s">
        <v>5</v>
      </c>
      <c r="G1" s="4" t="s">
        <v>6</v>
      </c>
    </row>
    <row r="2" spans="1:11">
      <c r="A2" s="5" t="s">
        <v>7</v>
      </c>
      <c r="B2" s="5" t="s">
        <v>8</v>
      </c>
      <c r="C2" s="5" t="s">
        <v>9</v>
      </c>
      <c r="D2" s="5" t="s">
        <v>142</v>
      </c>
      <c r="E2" s="5" t="s">
        <v>11</v>
      </c>
      <c r="F2" s="6"/>
      <c r="G2" s="6"/>
    </row>
    <row r="3" ht="30" spans="1:11">
      <c r="A3" s="5" t="s">
        <v>12</v>
      </c>
      <c r="B3" s="5" t="s">
        <v>13</v>
      </c>
      <c r="C3" s="5" t="s">
        <v>143</v>
      </c>
      <c r="D3" s="5" t="s">
        <v>15</v>
      </c>
      <c r="E3" s="5" t="s">
        <v>11</v>
      </c>
      <c r="F3" s="6"/>
      <c r="G3" s="6"/>
    </row>
    <row r="4" spans="1:11">
      <c r="A4" s="5" t="s">
        <v>16</v>
      </c>
      <c r="B4" s="5" t="s">
        <v>17</v>
      </c>
      <c r="C4" s="5" t="s">
        <v>18</v>
      </c>
      <c r="D4" s="5" t="s">
        <v>15</v>
      </c>
      <c r="E4" s="5" t="s">
        <v>11</v>
      </c>
      <c r="F4" s="6"/>
      <c r="G4" s="6"/>
    </row>
    <row r="5" spans="1:11">
      <c r="A5" s="5" t="s">
        <v>19</v>
      </c>
      <c r="B5" s="5" t="s">
        <v>20</v>
      </c>
      <c r="C5" s="5" t="s">
        <v>21</v>
      </c>
      <c r="D5" s="5" t="s">
        <v>15</v>
      </c>
      <c r="E5" s="5" t="s">
        <v>11</v>
      </c>
      <c r="F5" s="6"/>
      <c r="G5" s="6"/>
      <c r="J5" t="s">
        <v>144</v>
      </c>
      <c r="K5" s="7"/>
    </row>
    <row r="6" ht="75" spans="1:11">
      <c r="A6" s="5" t="s">
        <v>22</v>
      </c>
      <c r="B6" s="5" t="s">
        <v>23</v>
      </c>
      <c r="C6" s="5" t="s">
        <v>145</v>
      </c>
      <c r="D6" s="5" t="s">
        <v>15</v>
      </c>
      <c r="E6" s="5" t="s">
        <v>11</v>
      </c>
      <c r="F6" s="6"/>
      <c r="G6" s="6"/>
      <c r="J6" t="s">
        <v>146</v>
      </c>
      <c r="K6" s="8"/>
    </row>
    <row r="7" ht="45" spans="1:11">
      <c r="A7" s="5" t="s">
        <v>26</v>
      </c>
      <c r="B7" s="5" t="s">
        <v>147</v>
      </c>
      <c r="C7" s="5" t="s">
        <v>148</v>
      </c>
      <c r="D7" s="5" t="s">
        <v>15</v>
      </c>
      <c r="E7" s="5" t="s">
        <v>11</v>
      </c>
      <c r="F7" s="6"/>
      <c r="G7" s="6"/>
    </row>
    <row r="8" spans="1:11">
      <c r="A8" s="5" t="s">
        <v>30</v>
      </c>
      <c r="B8" s="5" t="s">
        <v>31</v>
      </c>
      <c r="C8" s="5" t="s">
        <v>32</v>
      </c>
      <c r="D8" s="5" t="s">
        <v>25</v>
      </c>
      <c r="E8" s="5" t="s">
        <v>11</v>
      </c>
      <c r="F8" s="6"/>
      <c r="G8" s="6"/>
      <c r="H8" s="7"/>
    </row>
    <row r="9" ht="30" spans="1:11">
      <c r="A9" s="5" t="s">
        <v>35</v>
      </c>
      <c r="B9" s="9" t="s">
        <v>36</v>
      </c>
      <c r="C9" s="9" t="s">
        <v>37</v>
      </c>
      <c r="D9" s="9" t="s">
        <v>29</v>
      </c>
      <c r="E9" s="9" t="s">
        <v>43</v>
      </c>
      <c r="F9" s="6"/>
      <c r="G9" s="6"/>
      <c r="H9" s="7"/>
    </row>
    <row r="10" spans="1:11">
      <c r="A10" s="5" t="s">
        <v>39</v>
      </c>
      <c r="B10" s="9" t="s">
        <v>40</v>
      </c>
      <c r="C10" s="9" t="s">
        <v>149</v>
      </c>
      <c r="D10" s="9" t="s">
        <v>42</v>
      </c>
      <c r="E10" s="9" t="s">
        <v>43</v>
      </c>
      <c r="F10" s="6"/>
      <c r="G10" s="6"/>
    </row>
    <row r="11" ht="45" spans="1:11">
      <c r="A11" s="5" t="s">
        <v>44</v>
      </c>
      <c r="B11" s="9" t="s">
        <v>45</v>
      </c>
      <c r="C11" s="9" t="s">
        <v>46</v>
      </c>
      <c r="D11" s="9" t="s">
        <v>42</v>
      </c>
      <c r="E11" s="9" t="s">
        <v>43</v>
      </c>
      <c r="F11" s="6"/>
      <c r="G11" s="6"/>
    </row>
    <row r="12" spans="1:11">
      <c r="A12" s="5" t="s">
        <v>47</v>
      </c>
      <c r="B12" s="5" t="s">
        <v>48</v>
      </c>
      <c r="C12" s="5" t="s">
        <v>49</v>
      </c>
      <c r="D12" s="5" t="s">
        <v>50</v>
      </c>
      <c r="E12" s="5" t="s">
        <v>11</v>
      </c>
      <c r="F12" s="6"/>
      <c r="G12" s="6"/>
    </row>
    <row r="13" ht="45" spans="1:11">
      <c r="A13" s="5" t="s">
        <v>52</v>
      </c>
      <c r="B13" s="9" t="s">
        <v>150</v>
      </c>
      <c r="C13" s="9" t="s">
        <v>151</v>
      </c>
      <c r="D13" s="9" t="s">
        <v>55</v>
      </c>
      <c r="E13" s="9" t="s">
        <v>43</v>
      </c>
      <c r="F13" s="6"/>
      <c r="G13" s="6"/>
    </row>
    <row r="14" ht="30" spans="1:11">
      <c r="A14" s="5" t="s">
        <v>56</v>
      </c>
      <c r="B14" s="9" t="s">
        <v>57</v>
      </c>
      <c r="C14" s="9" t="s">
        <v>152</v>
      </c>
      <c r="D14" s="9" t="s">
        <v>55</v>
      </c>
      <c r="E14" s="9" t="s">
        <v>43</v>
      </c>
      <c r="F14" s="6"/>
      <c r="G14" s="6"/>
    </row>
    <row r="15" ht="60" spans="1:11">
      <c r="A15" s="5" t="s">
        <v>59</v>
      </c>
      <c r="B15" s="5" t="s">
        <v>73</v>
      </c>
      <c r="C15" s="5" t="s">
        <v>153</v>
      </c>
      <c r="D15" s="10" t="s">
        <v>15</v>
      </c>
      <c r="E15" s="5" t="s">
        <v>11</v>
      </c>
      <c r="F15" s="6">
        <v>400000000</v>
      </c>
      <c r="G15" s="6" t="s">
        <v>154</v>
      </c>
      <c r="H15" s="7"/>
    </row>
    <row r="16" ht="45" spans="1:11">
      <c r="A16" s="5" t="s">
        <v>63</v>
      </c>
      <c r="B16" s="5" t="s">
        <v>76</v>
      </c>
      <c r="C16" s="5" t="s">
        <v>155</v>
      </c>
      <c r="D16" s="10" t="s">
        <v>156</v>
      </c>
      <c r="E16" s="5" t="s">
        <v>11</v>
      </c>
      <c r="F16" s="6">
        <v>5000000</v>
      </c>
      <c r="G16" s="6" t="s">
        <v>154</v>
      </c>
      <c r="H16" s="7"/>
    </row>
    <row r="17" ht="30" spans="1:8">
      <c r="A17" s="5" t="s">
        <v>67</v>
      </c>
      <c r="B17" s="5" t="s">
        <v>79</v>
      </c>
      <c r="C17" s="5" t="s">
        <v>157</v>
      </c>
      <c r="D17" s="11" t="s">
        <v>156</v>
      </c>
      <c r="E17" s="5" t="s">
        <v>11</v>
      </c>
      <c r="F17" s="6"/>
      <c r="G17" s="6"/>
      <c r="H17" s="7"/>
    </row>
    <row r="18" ht="45" spans="1:8">
      <c r="A18" s="5" t="s">
        <v>72</v>
      </c>
      <c r="B18" s="5" t="s">
        <v>158</v>
      </c>
      <c r="C18" s="5" t="s">
        <v>159</v>
      </c>
      <c r="D18" s="5" t="s">
        <v>81</v>
      </c>
      <c r="E18" s="5" t="s">
        <v>160</v>
      </c>
      <c r="F18" s="6"/>
      <c r="G18" s="6"/>
    </row>
    <row r="19" ht="45" spans="1:8">
      <c r="A19" s="5" t="s">
        <v>75</v>
      </c>
      <c r="B19" s="5" t="s">
        <v>161</v>
      </c>
      <c r="C19" s="5" t="s">
        <v>162</v>
      </c>
      <c r="D19" s="5" t="s">
        <v>86</v>
      </c>
      <c r="E19" s="5" t="s">
        <v>163</v>
      </c>
      <c r="F19" s="6"/>
      <c r="G19" s="6"/>
    </row>
    <row r="20" ht="45" spans="1:8">
      <c r="A20" s="5" t="s">
        <v>165</v>
      </c>
      <c r="B20" s="5" t="s">
        <v>166</v>
      </c>
      <c r="C20" s="5" t="s">
        <v>167</v>
      </c>
      <c r="D20" s="5" t="s">
        <v>55</v>
      </c>
      <c r="E20" s="5" t="s">
        <v>163</v>
      </c>
      <c r="F20" s="6"/>
      <c r="G20" s="6"/>
    </row>
    <row r="21" ht="30" spans="1:8">
      <c r="A21" s="5" t="s">
        <v>168</v>
      </c>
      <c r="B21" s="5" t="s">
        <v>169</v>
      </c>
      <c r="C21" s="5" t="s">
        <v>170</v>
      </c>
      <c r="D21" s="5" t="s">
        <v>55</v>
      </c>
      <c r="E21" s="5" t="s">
        <v>163</v>
      </c>
      <c r="F21" s="6"/>
      <c r="G21" s="6"/>
    </row>
    <row r="22" ht="60" spans="1:8">
      <c r="A22" s="5" t="s">
        <v>83</v>
      </c>
      <c r="B22" s="5" t="s">
        <v>171</v>
      </c>
      <c r="C22" s="5" t="s">
        <v>172</v>
      </c>
      <c r="D22" s="5" t="s">
        <v>173</v>
      </c>
      <c r="E22" s="5" t="s">
        <v>174</v>
      </c>
      <c r="F22" s="6"/>
      <c r="G22" s="6"/>
    </row>
    <row r="23" spans="1:8">
      <c r="A23" s="5" t="s">
        <v>87</v>
      </c>
      <c r="B23" s="5" t="s">
        <v>175</v>
      </c>
      <c r="C23" s="5" t="s">
        <v>176</v>
      </c>
      <c r="D23" s="5" t="s">
        <v>29</v>
      </c>
      <c r="E23" s="5" t="s">
        <v>177</v>
      </c>
      <c r="F23" s="6"/>
      <c r="G23" s="6"/>
    </row>
    <row r="24" spans="1:8">
      <c r="A24" s="5" t="s">
        <v>90</v>
      </c>
      <c r="B24" s="5" t="s">
        <v>60</v>
      </c>
      <c r="C24" s="5" t="s">
        <v>61</v>
      </c>
      <c r="D24" s="10" t="s">
        <v>15</v>
      </c>
      <c r="E24" s="5" t="s">
        <v>11</v>
      </c>
      <c r="F24" s="6">
        <v>150000000</v>
      </c>
      <c r="G24" s="6" t="s">
        <v>178</v>
      </c>
      <c r="H24" s="7"/>
    </row>
    <row r="25" spans="1:8">
      <c r="A25" s="5" t="s">
        <v>179</v>
      </c>
      <c r="B25" s="5" t="s">
        <v>180</v>
      </c>
      <c r="C25" s="5" t="s">
        <v>65</v>
      </c>
      <c r="D25" s="12" t="s">
        <v>66</v>
      </c>
      <c r="E25" s="5" t="s">
        <v>11</v>
      </c>
      <c r="F25" s="6">
        <v>150000001</v>
      </c>
      <c r="G25" s="6"/>
      <c r="H25" s="7"/>
    </row>
    <row r="26" spans="1:8">
      <c r="A26" s="5" t="s">
        <v>99</v>
      </c>
      <c r="B26" s="5" t="s">
        <v>181</v>
      </c>
      <c r="C26" s="5" t="s">
        <v>182</v>
      </c>
      <c r="D26" s="5" t="s">
        <v>183</v>
      </c>
      <c r="E26" s="5" t="s">
        <v>11</v>
      </c>
      <c r="F26" s="6"/>
      <c r="G26" s="6"/>
      <c r="H26" s="7"/>
    </row>
    <row r="27" ht="30" spans="1:8">
      <c r="A27" s="5" t="s">
        <v>103</v>
      </c>
      <c r="B27" s="5" t="s">
        <v>68</v>
      </c>
      <c r="C27" s="5" t="s">
        <v>69</v>
      </c>
      <c r="D27" s="5" t="s">
        <v>184</v>
      </c>
      <c r="E27" s="5" t="s">
        <v>11</v>
      </c>
      <c r="F27" s="6">
        <f>MAX(F24,F25)</f>
        <v>150000001</v>
      </c>
      <c r="G27" s="6"/>
      <c r="H27" s="7"/>
    </row>
    <row r="28" ht="120" spans="1:8">
      <c r="A28" s="5" t="s">
        <v>107</v>
      </c>
      <c r="B28" s="5" t="s">
        <v>185</v>
      </c>
      <c r="C28" s="5" t="s">
        <v>185</v>
      </c>
      <c r="D28" s="5" t="s">
        <v>186</v>
      </c>
      <c r="E28" s="5" t="s">
        <v>11</v>
      </c>
      <c r="F28" s="6"/>
      <c r="G28" s="6"/>
    </row>
    <row r="29" ht="30" spans="1:8">
      <c r="A29" s="5" t="s">
        <v>111</v>
      </c>
      <c r="B29" s="5" t="s">
        <v>187</v>
      </c>
      <c r="C29" s="5" t="s">
        <v>101</v>
      </c>
      <c r="D29" s="5" t="s">
        <v>188</v>
      </c>
      <c r="E29" s="5" t="s">
        <v>11</v>
      </c>
      <c r="F29" s="6"/>
      <c r="G29" s="6"/>
    </row>
    <row r="30" ht="30" spans="1:8">
      <c r="A30" s="5" t="s">
        <v>115</v>
      </c>
      <c r="B30" s="5" t="s">
        <v>189</v>
      </c>
      <c r="C30" s="5" t="s">
        <v>190</v>
      </c>
      <c r="D30" s="5" t="s">
        <v>15</v>
      </c>
      <c r="E30" s="5" t="s">
        <v>11</v>
      </c>
      <c r="F30" s="6"/>
      <c r="G30" s="6"/>
    </row>
    <row r="31" spans="1:8">
      <c r="A31" s="5" t="s">
        <v>119</v>
      </c>
      <c r="B31" s="5" t="s">
        <v>191</v>
      </c>
      <c r="C31" s="5" t="s">
        <v>192</v>
      </c>
      <c r="D31" s="5" t="s">
        <v>193</v>
      </c>
      <c r="E31" s="5" t="s">
        <v>11</v>
      </c>
      <c r="F31" s="6"/>
      <c r="G31" s="6"/>
    </row>
    <row r="32" ht="30" spans="1:8">
      <c r="A32" s="5" t="s">
        <v>122</v>
      </c>
      <c r="B32" s="5" t="s">
        <v>108</v>
      </c>
      <c r="C32" s="5" t="s">
        <v>109</v>
      </c>
      <c r="D32" s="5" t="s">
        <v>110</v>
      </c>
      <c r="E32" s="5" t="s">
        <v>11</v>
      </c>
      <c r="F32" s="6"/>
      <c r="G32" s="6"/>
    </row>
    <row r="33" ht="30" spans="1:7">
      <c r="A33" s="5" t="s">
        <v>126</v>
      </c>
      <c r="B33" s="5" t="s">
        <v>112</v>
      </c>
      <c r="C33" s="5" t="s">
        <v>113</v>
      </c>
      <c r="D33" s="5" t="s">
        <v>114</v>
      </c>
      <c r="E33" s="5" t="s">
        <v>11</v>
      </c>
      <c r="F33" s="6"/>
      <c r="G33" s="6"/>
    </row>
    <row r="34" ht="30" spans="1:7">
      <c r="A34" s="5" t="s">
        <v>130</v>
      </c>
      <c r="B34" s="5" t="s">
        <v>116</v>
      </c>
      <c r="C34" s="5" t="s">
        <v>117</v>
      </c>
      <c r="D34" s="5" t="s">
        <v>194</v>
      </c>
      <c r="E34" s="5" t="s">
        <v>11</v>
      </c>
      <c r="F34" s="6"/>
      <c r="G34" s="6"/>
    </row>
    <row r="35" spans="1:7">
      <c r="A35" s="5" t="s">
        <v>134</v>
      </c>
      <c r="B35" s="5" t="s">
        <v>120</v>
      </c>
      <c r="C35" s="5" t="s">
        <v>120</v>
      </c>
      <c r="D35" s="5" t="s">
        <v>121</v>
      </c>
      <c r="E35" s="5" t="s">
        <v>11</v>
      </c>
      <c r="F35" s="6"/>
      <c r="G35" s="6"/>
    </row>
    <row r="36" spans="1:7">
      <c r="A36" s="5" t="s">
        <v>195</v>
      </c>
      <c r="B36" s="5" t="s">
        <v>123</v>
      </c>
      <c r="C36" s="5" t="s">
        <v>123</v>
      </c>
      <c r="D36" s="5" t="s">
        <v>196</v>
      </c>
      <c r="E36" s="5" t="s">
        <v>125</v>
      </c>
      <c r="F36" s="6"/>
      <c r="G36" s="6"/>
    </row>
    <row r="37" ht="45" spans="1:7">
      <c r="A37" s="5" t="s">
        <v>197</v>
      </c>
      <c r="B37" s="5" t="s">
        <v>127</v>
      </c>
      <c r="C37" s="5" t="s">
        <v>198</v>
      </c>
      <c r="D37" s="5" t="s">
        <v>199</v>
      </c>
      <c r="E37" s="5" t="s">
        <v>11</v>
      </c>
      <c r="F37" s="6"/>
      <c r="G37" s="6"/>
    </row>
    <row r="38" spans="1:7">
      <c r="A38" s="5" t="s">
        <v>200</v>
      </c>
      <c r="B38" s="5" t="s">
        <v>131</v>
      </c>
      <c r="C38" s="5" t="s">
        <v>132</v>
      </c>
      <c r="D38" s="5" t="s">
        <v>201</v>
      </c>
      <c r="E38" s="5" t="s">
        <v>11</v>
      </c>
      <c r="F38" s="6"/>
      <c r="G38" s="6"/>
    </row>
    <row r="39" ht="30" spans="1:7">
      <c r="A39" s="5" t="s">
        <v>202</v>
      </c>
      <c r="B39" s="5" t="s">
        <v>135</v>
      </c>
      <c r="C39" s="5" t="s">
        <v>136</v>
      </c>
      <c r="D39" s="5" t="s">
        <v>203</v>
      </c>
      <c r="E39" s="5" t="s">
        <v>11</v>
      </c>
      <c r="F39" s="6"/>
      <c r="G39" s="6"/>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4</vt:i4>
      </vt:variant>
    </vt:vector>
  </HeadingPairs>
  <TitlesOfParts>
    <vt:vector size="4" baseType="lpstr">
      <vt:lpstr>Intrim claim(OTS=N)</vt:lpstr>
      <vt:lpstr>Intrim claim (OTS=Y)</vt:lpstr>
      <vt:lpstr>Final claim(OTS=N)</vt:lpstr>
      <vt:lpstr>Final claim(OTS=Y)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 Infoneo</cp:lastModifiedBy>
  <dcterms:created xsi:type="dcterms:W3CDTF">2026-07-07T06:07:00Z</dcterms:created>
  <dcterms:modified xsi:type="dcterms:W3CDTF">2026-09-17T12:34:21Z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