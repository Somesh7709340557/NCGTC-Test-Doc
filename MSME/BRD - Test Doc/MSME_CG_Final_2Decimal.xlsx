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00" activeTab="3"/>
  </bookViews>
  <sheets>
    <sheet name="New_CG" sheetId="1" r:id="rId1"/>
    <sheet name="Disbursement_Final" sheetId="2" r:id="rId2"/>
    <sheet name="Continuity_Calculator" sheetId="3" r:id="rId3"/>
    <sheet name="NPA date" sheetId="4" r:id="rId4"/>
    <sheet name="Dist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<sst xmlns="http://schemas.openxmlformats.org/spreadsheetml/2006/main" count="133" uniqueCount="115">
  <si>
    <t>Sanction Amount</t>
  </si>
  <si>
    <t>Collateral</t>
  </si>
  <si>
    <t>Net Amount</t>
  </si>
  <si>
    <t>MSME Type</t>
  </si>
  <si>
    <t>Initial Contribution (5%)</t>
  </si>
  <si>
    <t>Sanction Date</t>
  </si>
  <si>
    <t>Disbursement Date</t>
  </si>
  <si>
    <t>Disbursement Amount</t>
  </si>
  <si>
    <t>Cumulative Disbursement</t>
  </si>
  <si>
    <t>Net Exposure</t>
  </si>
  <si>
    <t>Previous Net Exposure</t>
  </si>
  <si>
    <t>Incremental Exposure</t>
  </si>
  <si>
    <t>Days</t>
  </si>
  <si>
    <t>Rate</t>
  </si>
  <si>
    <t>CG Fee</t>
  </si>
  <si>
    <t>CGPAN</t>
  </si>
  <si>
    <t>Loan Account Number</t>
  </si>
  <si>
    <t>Continuity Date</t>
  </si>
  <si>
    <t>Current Status</t>
  </si>
  <si>
    <t>Principal O/S</t>
  </si>
  <si>
    <t>Interest O/S</t>
  </si>
  <si>
    <t>Loan Year</t>
  </si>
  <si>
    <t>Missed Continuity Years</t>
  </si>
  <si>
    <t>Current FY CG Fee</t>
  </si>
  <si>
    <t>Missed FY CG Fee</t>
  </si>
  <si>
    <t>Total CG Fee Payable</t>
  </si>
  <si>
    <t>CGMSMGEN2109202600357114</t>
  </si>
  <si>
    <t>loan01</t>
  </si>
  <si>
    <t>26-06-2026</t>
  </si>
  <si>
    <t>01-04-2029</t>
  </si>
  <si>
    <t>STANDARD</t>
  </si>
  <si>
    <t>CGMSMGEN2109202600357116</t>
  </si>
  <si>
    <t>loan02</t>
  </si>
  <si>
    <t>CGMSMGEN2109202600357117</t>
  </si>
  <si>
    <t>loan03</t>
  </si>
  <si>
    <t>Upload Date</t>
  </si>
  <si>
    <t>Cut-off Date</t>
  </si>
  <si>
    <t>NPA Date</t>
  </si>
  <si>
    <t>180 Days Back (Upload)</t>
  </si>
  <si>
    <t>FY Start Date</t>
  </si>
  <si>
    <t>Allowed From Date</t>
  </si>
  <si>
    <t>Allowed To Date</t>
  </si>
  <si>
    <t>Days Difference</t>
  </si>
  <si>
    <t>Validation</t>
  </si>
  <si>
    <t>LoanAccountNumber</t>
  </si>
  <si>
    <t>DisbursementAmount</t>
  </si>
  <si>
    <t>DisbursementDate</t>
  </si>
  <si>
    <t>CGFees</t>
  </si>
  <si>
    <t>IGST</t>
  </si>
  <si>
    <t>CGST</t>
  </si>
  <si>
    <t>SGST</t>
  </si>
  <si>
    <t>MSME</t>
  </si>
  <si>
    <t>D1</t>
  </si>
  <si>
    <t>PartialCollateralSecurityAmount</t>
  </si>
  <si>
    <t>Net AMT</t>
  </si>
  <si>
    <t>FY end</t>
  </si>
  <si>
    <t>CF fee</t>
  </si>
  <si>
    <t>Column1</t>
  </si>
  <si>
    <t>QAMSME20</t>
  </si>
  <si>
    <t>179989100</t>
  </si>
  <si>
    <t>CGMSMGEN2109202600357115</t>
  </si>
  <si>
    <t>QAMSME19</t>
  </si>
  <si>
    <t>99979100</t>
  </si>
  <si>
    <t>QAMSME18</t>
  </si>
  <si>
    <t>999969100</t>
  </si>
  <si>
    <t>QAMSME17</t>
  </si>
  <si>
    <t>999959100</t>
  </si>
  <si>
    <t>CGMSMGEN2109202600357118</t>
  </si>
  <si>
    <t>QAMSME16</t>
  </si>
  <si>
    <t>199949100</t>
  </si>
  <si>
    <t>CGMSMGEN2109202600357119</t>
  </si>
  <si>
    <t>QAMSME15</t>
  </si>
  <si>
    <t>99939100</t>
  </si>
  <si>
    <t>CGMSMGEN2109202600357120</t>
  </si>
  <si>
    <t>QAMSME14</t>
  </si>
  <si>
    <t>999929100</t>
  </si>
  <si>
    <t>CGMSMGEN2109202600357121</t>
  </si>
  <si>
    <t>QAMSME13</t>
  </si>
  <si>
    <t>999919100</t>
  </si>
  <si>
    <t>CGMSMGEN2109202600357122</t>
  </si>
  <si>
    <t>QAMSME12</t>
  </si>
  <si>
    <t>199909100</t>
  </si>
  <si>
    <t>CGMSMGEN2109202600357123</t>
  </si>
  <si>
    <t>QAMSME11</t>
  </si>
  <si>
    <t>199899100</t>
  </si>
  <si>
    <t>CGMSMGEN2109202600357124</t>
  </si>
  <si>
    <t>QAMSME10</t>
  </si>
  <si>
    <t>999889100</t>
  </si>
  <si>
    <t>CGMSMGEN2109202600357125</t>
  </si>
  <si>
    <t>QAMSME09</t>
  </si>
  <si>
    <t>999879100</t>
  </si>
  <si>
    <t>CGMSMGEN2109202600357126</t>
  </si>
  <si>
    <t>QAMSME08</t>
  </si>
  <si>
    <t>149869100</t>
  </si>
  <si>
    <t>CGMSMGEN2109202600357127</t>
  </si>
  <si>
    <t>QAMSME07</t>
  </si>
  <si>
    <t>179859100</t>
  </si>
  <si>
    <t>CGMSMGEN2109202600357128</t>
  </si>
  <si>
    <t>QAMSME06</t>
  </si>
  <si>
    <t>999849100</t>
  </si>
  <si>
    <t>CGMSMGEN2109202600357129</t>
  </si>
  <si>
    <t>QAMSME05</t>
  </si>
  <si>
    <t>999839100</t>
  </si>
  <si>
    <t>CGMSMGEN2109202600357130</t>
  </si>
  <si>
    <t>QAMSME04</t>
  </si>
  <si>
    <t>99829100</t>
  </si>
  <si>
    <t>CGMSMGEN2109202600357131</t>
  </si>
  <si>
    <t>QAMSME03</t>
  </si>
  <si>
    <t>199819100</t>
  </si>
  <si>
    <t>CGMSMGEN2109202600357132</t>
  </si>
  <si>
    <t>QAMSME02</t>
  </si>
  <si>
    <t>999809100</t>
  </si>
  <si>
    <t>CGMSMGEN2109202600357133</t>
  </si>
  <si>
    <t>QAMSME01</t>
  </si>
  <si>
    <t>999799100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</si>
</sst>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_ "/>
  </numFmts>
  <fonts count="25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000000"/>
      <name val="&quot;Aptos Narrow&quot;"/>
      <charset val="134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Fill="1" applyProtection="1"/>
    <xf numFmtId="180" fontId="1" fillId="0" borderId="0" xfId="0" applyNumberFormat="1" applyFont="1" applyFill="1" applyProtection="1"/>
    <xf numFmtId="0" fontId="1" fillId="2" borderId="0" xfId="0" applyFont="1" applyFill="1" applyProtection="1"/>
    <xf numFmtId="0" fontId="2" fillId="0" borderId="1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Protection="1"/>
    <xf numFmtId="181" fontId="1" fillId="0" borderId="0" xfId="0" applyNumberFormat="1" applyFont="1" applyFill="1" applyProtection="1"/>
    <xf numFmtId="0" fontId="0" fillId="0" borderId="0" xfId="0" applyFont="1" applyFill="1" applyAlignment="1"/>
    <xf numFmtId="0" fontId="0" fillId="0" borderId="1" xfId="0" applyFont="1" applyFill="1" applyBorder="1" applyAlignment="1"/>
    <xf numFmtId="180" fontId="0" fillId="0" borderId="1" xfId="0" applyNumberFormat="1" applyFont="1" applyFill="1" applyBorder="1" applyAlignment="1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5" fillId="0" borderId="2" xfId="0" applyFont="1" applyFill="1" applyBorder="1" applyAlignment="1"/>
    <xf numFmtId="0" fontId="5" fillId="2" borderId="2" xfId="0" applyFont="1" applyFill="1" applyBorder="1" applyAlignment="1"/>
    <xf numFmtId="4" fontId="0" fillId="0" borderId="0" xfId="0" applyNumberFormat="1" applyFont="1" applyFill="1" applyAlignment="1"/>
    <xf numFmtId="10" fontId="0" fillId="0" borderId="0" xfId="0" applyNumberFormat="1" applyFont="1" applyFill="1" applyAlignment="1"/>
    <xf numFmtId="2" fontId="0" fillId="0" borderId="0" xfId="0" applyNumberFormat="1" applyFont="1" applyFill="1" applyAlignmen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81" formatCode="0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P21" totalsRowShown="0">
  <autoFilter xmlns:etc="http://www.wps.cn/officeDocument/2017/etCustomData" ref="A1:P21" etc:filterBottomFollowUsedRange="0"/>
  <tableColumns count="16">
    <tableColumn id="1" name="CGPAN"/>
    <tableColumn id="2" name="LoanAccountNumber"/>
    <tableColumn id="3" name="DisbursementAmount"/>
    <tableColumn id="4" name="DisbursementDate"/>
    <tableColumn id="5" name="CGFees"/>
    <tableColumn id="6" name="IGST"/>
    <tableColumn id="7" name="CGST"/>
    <tableColumn id="8" name="SGST"/>
    <tableColumn id="9" name="MSME"/>
    <tableColumn id="10" name="D1"/>
    <tableColumn id="11" name="PartialCollateralSecurityAmount"/>
    <tableColumn id="12" name="Net AMT" dataDxfId="0">
      <calculatedColumnFormula>J2+C2-K2</calculatedColumnFormula>
    </tableColumn>
    <tableColumn id="13" name="FY end"/>
    <tableColumn id="14" name="Days" dataDxfId="1">
      <calculatedColumnFormula>M2-D2+1</calculatedColumnFormula>
    </tableColumn>
    <tableColumn id="15" name="CF fee" dataDxfId="2">
      <calculatedColumnFormula>IF(I2=2,L2*0.5%*N2/365,L2*1.5%*N2/365)</calculatedColumnFormula>
    </tableColumn>
    <tableColumn id="16" name="Column1" dataDxfId="3">
      <calculatedColumnFormula>E2-O2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2"/>
  <sheetViews>
    <sheetView workbookViewId="0">
      <selection activeCell="E16" sqref="E16"/>
    </sheetView>
  </sheetViews>
  <sheetFormatPr defaultColWidth="9" defaultRowHeight="15" outlineLevelRow="1" outlineLevelCol="4"/>
  <cols>
    <col min="1" max="1" width="17.5714285714286" customWidth="1"/>
    <col min="2" max="2" width="13.4285714285714" customWidth="1"/>
    <col min="3" max="3" width="15.8571428571429" customWidth="1"/>
    <col min="4" max="5" width="24.428571428571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100000000</v>
      </c>
      <c r="B2">
        <v>50000000</v>
      </c>
      <c r="C2">
        <f>A2-B2</f>
        <v>50000000</v>
      </c>
      <c r="D2">
        <v>1</v>
      </c>
      <c r="E2">
        <f>ROUND(C2*5%,2)</f>
        <v>2500000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29"/>
  <sheetViews>
    <sheetView workbookViewId="0">
      <selection activeCell="E3" sqref="E3"/>
    </sheetView>
  </sheetViews>
  <sheetFormatPr defaultColWidth="9" defaultRowHeight="15"/>
  <cols>
    <col min="1" max="1" width="14.1428571428571" customWidth="1"/>
    <col min="2" max="2" width="19.5714285714286" customWidth="1"/>
    <col min="3" max="3" width="11.8571428571429" customWidth="1"/>
    <col min="4" max="4" width="23" customWidth="1"/>
    <col min="5" max="5" width="26.4285714285714" customWidth="1"/>
    <col min="6" max="6" width="13.1428571428571" customWidth="1"/>
    <col min="7" max="7" width="13.8571428571429" customWidth="1"/>
    <col min="8" max="8" width="23" customWidth="1"/>
    <col min="9" max="9" width="22.1428571428571" customWidth="1"/>
    <col min="10" max="10" width="9.85714285714286" customWidth="1"/>
    <col min="11" max="11" width="10.7142857142857" customWidth="1"/>
    <col min="12" max="12" width="12.5714285714286" customWidth="1"/>
  </cols>
  <sheetData>
    <row r="1" spans="1:12">
      <c r="A1" t="s">
        <v>5</v>
      </c>
      <c r="B1" t="s">
        <v>6</v>
      </c>
      <c r="C1" t="s">
        <v>3</v>
      </c>
      <c r="D1" t="s">
        <v>7</v>
      </c>
      <c r="E1" t="s">
        <v>8</v>
      </c>
      <c r="F1" t="s">
        <v>1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>
      <c r="A2" s="17">
        <v>46199</v>
      </c>
      <c r="B2" s="17">
        <v>46296</v>
      </c>
      <c r="C2">
        <v>1</v>
      </c>
      <c r="D2">
        <v>300000</v>
      </c>
      <c r="E2">
        <f t="shared" ref="E2:E29" si="0">IF(ROW()=2,D2,E1+D2)</f>
        <v>300000</v>
      </c>
      <c r="F2">
        <v>50000000</v>
      </c>
      <c r="G2">
        <f t="shared" ref="G2:G29" si="1">MAX(0,E2-F2)</f>
        <v>0</v>
      </c>
      <c r="H2">
        <f t="shared" ref="H2:H29" si="2">IF(ROW()=2,0,G1)</f>
        <v>0</v>
      </c>
      <c r="I2">
        <f t="shared" ref="I2:I29" si="3">IF(L1=0,G2,G2-H2)</f>
        <v>0</v>
      </c>
      <c r="J2">
        <f t="shared" ref="J2:J29" si="4">DATE(YEAR(B2)+IF(MONTH(B2)&gt;3,1,0),3,31)-B2+1</f>
        <v>182</v>
      </c>
      <c r="K2">
        <f t="shared" ref="K2:K29" si="5">IF(C2=2,0.5%,1.5%)</f>
        <v>0.015</v>
      </c>
      <c r="L2">
        <f t="shared" ref="L2:L29" si="6">IF(YEAR(A2)+(MONTH(A2)&gt;=4)=YEAR(B2)+(MONTH(B2)&gt;=4),0,ROUND(I2*K2*(J2/365),2))</f>
        <v>0</v>
      </c>
    </row>
    <row r="3" spans="1:12">
      <c r="A3" s="17">
        <v>46199</v>
      </c>
      <c r="B3" s="17">
        <v>47027</v>
      </c>
      <c r="C3">
        <v>1</v>
      </c>
      <c r="D3">
        <v>99999999</v>
      </c>
      <c r="E3">
        <f t="shared" si="0"/>
        <v>100299999</v>
      </c>
      <c r="F3">
        <v>50000000</v>
      </c>
      <c r="G3">
        <f t="shared" si="1"/>
        <v>50299999</v>
      </c>
      <c r="H3">
        <f t="shared" si="2"/>
        <v>0</v>
      </c>
      <c r="I3">
        <f t="shared" si="3"/>
        <v>50299999</v>
      </c>
      <c r="J3">
        <f t="shared" si="4"/>
        <v>182</v>
      </c>
      <c r="K3">
        <f t="shared" si="5"/>
        <v>0.015</v>
      </c>
      <c r="L3">
        <f t="shared" si="6"/>
        <v>376216.43</v>
      </c>
    </row>
    <row r="4" spans="1:12">
      <c r="A4" s="17">
        <v>46054</v>
      </c>
      <c r="B4" s="17">
        <v>46209</v>
      </c>
      <c r="C4">
        <v>1</v>
      </c>
      <c r="D4">
        <v>100</v>
      </c>
      <c r="E4">
        <f t="shared" si="0"/>
        <v>100300099</v>
      </c>
      <c r="F4">
        <v>500</v>
      </c>
      <c r="G4">
        <f t="shared" si="1"/>
        <v>100299599</v>
      </c>
      <c r="H4">
        <f t="shared" si="2"/>
        <v>50299999</v>
      </c>
      <c r="I4">
        <f t="shared" si="3"/>
        <v>49999600</v>
      </c>
      <c r="J4">
        <f t="shared" si="4"/>
        <v>269</v>
      </c>
      <c r="K4">
        <f t="shared" si="5"/>
        <v>0.015</v>
      </c>
      <c r="L4">
        <f t="shared" si="6"/>
        <v>552735.3</v>
      </c>
    </row>
    <row r="5" spans="1:12">
      <c r="E5">
        <f t="shared" si="0"/>
        <v>100300099</v>
      </c>
      <c r="G5">
        <f t="shared" si="1"/>
        <v>100300099</v>
      </c>
      <c r="H5">
        <f t="shared" si="2"/>
        <v>100299599</v>
      </c>
      <c r="I5">
        <f t="shared" si="3"/>
        <v>500</v>
      </c>
      <c r="J5">
        <f t="shared" si="4"/>
        <v>92</v>
      </c>
      <c r="K5">
        <f t="shared" si="5"/>
        <v>0.015</v>
      </c>
      <c r="L5">
        <f t="shared" si="6"/>
        <v>0</v>
      </c>
    </row>
    <row r="6" spans="1:12">
      <c r="E6">
        <f t="shared" si="0"/>
        <v>100300099</v>
      </c>
      <c r="G6">
        <f t="shared" si="1"/>
        <v>100300099</v>
      </c>
      <c r="H6">
        <f t="shared" si="2"/>
        <v>100300099</v>
      </c>
      <c r="I6">
        <f t="shared" si="3"/>
        <v>100300099</v>
      </c>
      <c r="J6">
        <f t="shared" si="4"/>
        <v>92</v>
      </c>
      <c r="K6">
        <f t="shared" si="5"/>
        <v>0.015</v>
      </c>
      <c r="L6">
        <f t="shared" si="6"/>
        <v>0</v>
      </c>
    </row>
    <row r="7" spans="1:12">
      <c r="E7">
        <f t="shared" si="0"/>
        <v>100300099</v>
      </c>
      <c r="G7">
        <f t="shared" si="1"/>
        <v>100300099</v>
      </c>
      <c r="H7">
        <f t="shared" si="2"/>
        <v>100300099</v>
      </c>
      <c r="I7">
        <f t="shared" si="3"/>
        <v>100300099</v>
      </c>
      <c r="J7">
        <f t="shared" si="4"/>
        <v>92</v>
      </c>
      <c r="K7">
        <f t="shared" si="5"/>
        <v>0.015</v>
      </c>
      <c r="L7">
        <f t="shared" si="6"/>
        <v>0</v>
      </c>
    </row>
    <row r="8" spans="1:12">
      <c r="E8">
        <f t="shared" si="0"/>
        <v>100300099</v>
      </c>
      <c r="G8">
        <f t="shared" si="1"/>
        <v>100300099</v>
      </c>
      <c r="H8">
        <f t="shared" si="2"/>
        <v>100300099</v>
      </c>
      <c r="I8">
        <f t="shared" si="3"/>
        <v>100300099</v>
      </c>
      <c r="J8">
        <f t="shared" si="4"/>
        <v>92</v>
      </c>
      <c r="K8">
        <f t="shared" si="5"/>
        <v>0.015</v>
      </c>
      <c r="L8">
        <f t="shared" si="6"/>
        <v>0</v>
      </c>
    </row>
    <row r="9" spans="1:12">
      <c r="E9">
        <f t="shared" si="0"/>
        <v>100300099</v>
      </c>
      <c r="G9">
        <f t="shared" si="1"/>
        <v>100300099</v>
      </c>
      <c r="H9">
        <f t="shared" si="2"/>
        <v>100300099</v>
      </c>
      <c r="I9">
        <f t="shared" si="3"/>
        <v>100300099</v>
      </c>
      <c r="J9">
        <f t="shared" si="4"/>
        <v>92</v>
      </c>
      <c r="K9">
        <f t="shared" si="5"/>
        <v>0.015</v>
      </c>
      <c r="L9">
        <f t="shared" si="6"/>
        <v>0</v>
      </c>
    </row>
    <row r="10" spans="1:12">
      <c r="E10">
        <f t="shared" si="0"/>
        <v>100300099</v>
      </c>
      <c r="G10">
        <f t="shared" si="1"/>
        <v>100300099</v>
      </c>
      <c r="H10">
        <f t="shared" si="2"/>
        <v>100300099</v>
      </c>
      <c r="I10">
        <f t="shared" si="3"/>
        <v>100300099</v>
      </c>
      <c r="J10">
        <f t="shared" si="4"/>
        <v>92</v>
      </c>
      <c r="K10">
        <f t="shared" si="5"/>
        <v>0.015</v>
      </c>
      <c r="L10">
        <f t="shared" si="6"/>
        <v>0</v>
      </c>
    </row>
    <row r="11" spans="1:12">
      <c r="E11">
        <f t="shared" si="0"/>
        <v>100300099</v>
      </c>
      <c r="G11">
        <f t="shared" si="1"/>
        <v>100300099</v>
      </c>
      <c r="H11">
        <f t="shared" si="2"/>
        <v>100300099</v>
      </c>
      <c r="I11">
        <f t="shared" si="3"/>
        <v>100300099</v>
      </c>
      <c r="J11">
        <f t="shared" si="4"/>
        <v>92</v>
      </c>
      <c r="K11">
        <f t="shared" si="5"/>
        <v>0.015</v>
      </c>
      <c r="L11">
        <f t="shared" si="6"/>
        <v>0</v>
      </c>
    </row>
    <row r="12" spans="1:12">
      <c r="E12">
        <f t="shared" si="0"/>
        <v>100300099</v>
      </c>
      <c r="G12">
        <f t="shared" si="1"/>
        <v>100300099</v>
      </c>
      <c r="H12">
        <f t="shared" si="2"/>
        <v>100300099</v>
      </c>
      <c r="I12">
        <f t="shared" si="3"/>
        <v>100300099</v>
      </c>
      <c r="J12">
        <f t="shared" si="4"/>
        <v>92</v>
      </c>
      <c r="K12">
        <f t="shared" si="5"/>
        <v>0.015</v>
      </c>
      <c r="L12">
        <f t="shared" si="6"/>
        <v>0</v>
      </c>
    </row>
    <row r="13" spans="1:12">
      <c r="E13">
        <f t="shared" si="0"/>
        <v>100300099</v>
      </c>
      <c r="G13">
        <f t="shared" si="1"/>
        <v>100300099</v>
      </c>
      <c r="H13">
        <f t="shared" si="2"/>
        <v>100300099</v>
      </c>
      <c r="I13">
        <f t="shared" si="3"/>
        <v>100300099</v>
      </c>
      <c r="J13">
        <f t="shared" si="4"/>
        <v>92</v>
      </c>
      <c r="K13">
        <f t="shared" si="5"/>
        <v>0.015</v>
      </c>
      <c r="L13">
        <f t="shared" si="6"/>
        <v>0</v>
      </c>
    </row>
    <row r="14" spans="1:12">
      <c r="E14">
        <f t="shared" si="0"/>
        <v>100300099</v>
      </c>
      <c r="G14">
        <f t="shared" si="1"/>
        <v>100300099</v>
      </c>
      <c r="H14">
        <f t="shared" si="2"/>
        <v>100300099</v>
      </c>
      <c r="I14">
        <f t="shared" si="3"/>
        <v>100300099</v>
      </c>
      <c r="J14">
        <f t="shared" si="4"/>
        <v>92</v>
      </c>
      <c r="K14">
        <f t="shared" si="5"/>
        <v>0.015</v>
      </c>
      <c r="L14">
        <f t="shared" si="6"/>
        <v>0</v>
      </c>
    </row>
    <row r="15" spans="1:12">
      <c r="E15">
        <f t="shared" si="0"/>
        <v>100300099</v>
      </c>
      <c r="G15">
        <f t="shared" si="1"/>
        <v>100300099</v>
      </c>
      <c r="H15">
        <f t="shared" si="2"/>
        <v>100300099</v>
      </c>
      <c r="I15">
        <f t="shared" si="3"/>
        <v>100300099</v>
      </c>
      <c r="J15">
        <f t="shared" si="4"/>
        <v>92</v>
      </c>
      <c r="K15">
        <f t="shared" si="5"/>
        <v>0.015</v>
      </c>
      <c r="L15">
        <f t="shared" si="6"/>
        <v>0</v>
      </c>
    </row>
    <row r="16" spans="1:12">
      <c r="E16">
        <f t="shared" si="0"/>
        <v>100300099</v>
      </c>
      <c r="G16">
        <f t="shared" si="1"/>
        <v>100300099</v>
      </c>
      <c r="H16">
        <f t="shared" si="2"/>
        <v>100300099</v>
      </c>
      <c r="I16">
        <f t="shared" si="3"/>
        <v>100300099</v>
      </c>
      <c r="J16">
        <f t="shared" si="4"/>
        <v>92</v>
      </c>
      <c r="K16">
        <f t="shared" si="5"/>
        <v>0.015</v>
      </c>
      <c r="L16">
        <f t="shared" si="6"/>
        <v>0</v>
      </c>
    </row>
    <row r="17" spans="5:12">
      <c r="E17">
        <f t="shared" si="0"/>
        <v>100300099</v>
      </c>
      <c r="G17">
        <f t="shared" si="1"/>
        <v>100300099</v>
      </c>
      <c r="H17">
        <f t="shared" si="2"/>
        <v>100300099</v>
      </c>
      <c r="I17">
        <f t="shared" si="3"/>
        <v>100300099</v>
      </c>
      <c r="J17">
        <f t="shared" si="4"/>
        <v>92</v>
      </c>
      <c r="K17">
        <f t="shared" si="5"/>
        <v>0.015</v>
      </c>
      <c r="L17">
        <f t="shared" si="6"/>
        <v>0</v>
      </c>
    </row>
    <row r="18" spans="5:12">
      <c r="E18">
        <f t="shared" si="0"/>
        <v>100300099</v>
      </c>
      <c r="G18">
        <f t="shared" si="1"/>
        <v>100300099</v>
      </c>
      <c r="H18">
        <f t="shared" si="2"/>
        <v>100300099</v>
      </c>
      <c r="I18">
        <f t="shared" si="3"/>
        <v>100300099</v>
      </c>
      <c r="J18">
        <f t="shared" si="4"/>
        <v>92</v>
      </c>
      <c r="K18">
        <f t="shared" si="5"/>
        <v>0.015</v>
      </c>
      <c r="L18">
        <f t="shared" si="6"/>
        <v>0</v>
      </c>
    </row>
    <row r="19" spans="5:12">
      <c r="E19">
        <f t="shared" si="0"/>
        <v>100300099</v>
      </c>
      <c r="G19">
        <f t="shared" si="1"/>
        <v>100300099</v>
      </c>
      <c r="H19">
        <f t="shared" si="2"/>
        <v>100300099</v>
      </c>
      <c r="I19">
        <f t="shared" si="3"/>
        <v>100300099</v>
      </c>
      <c r="J19">
        <f t="shared" si="4"/>
        <v>92</v>
      </c>
      <c r="K19">
        <f t="shared" si="5"/>
        <v>0.015</v>
      </c>
      <c r="L19">
        <f t="shared" si="6"/>
        <v>0</v>
      </c>
    </row>
    <row r="20" spans="5:12">
      <c r="E20">
        <f t="shared" si="0"/>
        <v>100300099</v>
      </c>
      <c r="G20">
        <f t="shared" si="1"/>
        <v>100300099</v>
      </c>
      <c r="H20">
        <f t="shared" si="2"/>
        <v>100300099</v>
      </c>
      <c r="I20">
        <f t="shared" si="3"/>
        <v>100300099</v>
      </c>
      <c r="J20">
        <f t="shared" si="4"/>
        <v>92</v>
      </c>
      <c r="K20">
        <f t="shared" si="5"/>
        <v>0.015</v>
      </c>
      <c r="L20">
        <f t="shared" si="6"/>
        <v>0</v>
      </c>
    </row>
    <row r="21" spans="5:12">
      <c r="E21">
        <f t="shared" si="0"/>
        <v>100300099</v>
      </c>
      <c r="G21">
        <f t="shared" si="1"/>
        <v>100300099</v>
      </c>
      <c r="H21">
        <f t="shared" si="2"/>
        <v>100300099</v>
      </c>
      <c r="I21">
        <f t="shared" si="3"/>
        <v>100300099</v>
      </c>
      <c r="J21">
        <f t="shared" si="4"/>
        <v>92</v>
      </c>
      <c r="K21">
        <f t="shared" si="5"/>
        <v>0.015</v>
      </c>
      <c r="L21">
        <f t="shared" si="6"/>
        <v>0</v>
      </c>
    </row>
    <row r="22" spans="5:12">
      <c r="E22">
        <f t="shared" si="0"/>
        <v>100300099</v>
      </c>
      <c r="G22">
        <f t="shared" si="1"/>
        <v>100300099</v>
      </c>
      <c r="H22">
        <f t="shared" si="2"/>
        <v>100300099</v>
      </c>
      <c r="I22">
        <f t="shared" si="3"/>
        <v>100300099</v>
      </c>
      <c r="J22">
        <f t="shared" si="4"/>
        <v>92</v>
      </c>
      <c r="K22">
        <f t="shared" si="5"/>
        <v>0.015</v>
      </c>
      <c r="L22">
        <f t="shared" si="6"/>
        <v>0</v>
      </c>
    </row>
    <row r="23" spans="5:12">
      <c r="E23">
        <f t="shared" si="0"/>
        <v>100300099</v>
      </c>
      <c r="G23">
        <f t="shared" si="1"/>
        <v>100300099</v>
      </c>
      <c r="H23">
        <f t="shared" si="2"/>
        <v>100300099</v>
      </c>
      <c r="I23">
        <f t="shared" si="3"/>
        <v>100300099</v>
      </c>
      <c r="J23">
        <f t="shared" si="4"/>
        <v>92</v>
      </c>
      <c r="K23">
        <f t="shared" si="5"/>
        <v>0.015</v>
      </c>
      <c r="L23">
        <f t="shared" si="6"/>
        <v>0</v>
      </c>
    </row>
    <row r="24" spans="5:12">
      <c r="E24">
        <f t="shared" si="0"/>
        <v>100300099</v>
      </c>
      <c r="G24">
        <f t="shared" si="1"/>
        <v>100300099</v>
      </c>
      <c r="H24">
        <f t="shared" si="2"/>
        <v>100300099</v>
      </c>
      <c r="I24">
        <f t="shared" si="3"/>
        <v>100300099</v>
      </c>
      <c r="J24">
        <f t="shared" si="4"/>
        <v>92</v>
      </c>
      <c r="K24">
        <f t="shared" si="5"/>
        <v>0.015</v>
      </c>
      <c r="L24">
        <f t="shared" si="6"/>
        <v>0</v>
      </c>
    </row>
    <row r="25" spans="5:12">
      <c r="E25">
        <f t="shared" si="0"/>
        <v>100300099</v>
      </c>
      <c r="G25">
        <f t="shared" si="1"/>
        <v>100300099</v>
      </c>
      <c r="H25">
        <f t="shared" si="2"/>
        <v>100300099</v>
      </c>
      <c r="I25">
        <f t="shared" si="3"/>
        <v>100300099</v>
      </c>
      <c r="J25">
        <f t="shared" si="4"/>
        <v>92</v>
      </c>
      <c r="K25">
        <f t="shared" si="5"/>
        <v>0.015</v>
      </c>
      <c r="L25">
        <f t="shared" si="6"/>
        <v>0</v>
      </c>
    </row>
    <row r="26" spans="5:12">
      <c r="E26">
        <f t="shared" si="0"/>
        <v>100300099</v>
      </c>
      <c r="G26">
        <f t="shared" si="1"/>
        <v>100300099</v>
      </c>
      <c r="H26">
        <f t="shared" si="2"/>
        <v>100300099</v>
      </c>
      <c r="I26">
        <f t="shared" si="3"/>
        <v>100300099</v>
      </c>
      <c r="J26">
        <f t="shared" si="4"/>
        <v>92</v>
      </c>
      <c r="K26">
        <f t="shared" si="5"/>
        <v>0.015</v>
      </c>
      <c r="L26">
        <f t="shared" si="6"/>
        <v>0</v>
      </c>
    </row>
    <row r="27" spans="5:12">
      <c r="E27">
        <f t="shared" si="0"/>
        <v>100300099</v>
      </c>
      <c r="G27">
        <f t="shared" si="1"/>
        <v>100300099</v>
      </c>
      <c r="H27">
        <f t="shared" si="2"/>
        <v>100300099</v>
      </c>
      <c r="I27">
        <f t="shared" si="3"/>
        <v>100300099</v>
      </c>
      <c r="J27">
        <f t="shared" si="4"/>
        <v>92</v>
      </c>
      <c r="K27">
        <f t="shared" si="5"/>
        <v>0.015</v>
      </c>
      <c r="L27">
        <f t="shared" si="6"/>
        <v>0</v>
      </c>
    </row>
    <row r="28" spans="5:12">
      <c r="E28">
        <f t="shared" si="0"/>
        <v>100300099</v>
      </c>
      <c r="G28">
        <f t="shared" si="1"/>
        <v>100300099</v>
      </c>
      <c r="H28">
        <f t="shared" si="2"/>
        <v>100300099</v>
      </c>
      <c r="I28">
        <f t="shared" si="3"/>
        <v>100300099</v>
      </c>
      <c r="J28">
        <f t="shared" si="4"/>
        <v>92</v>
      </c>
      <c r="K28">
        <f t="shared" si="5"/>
        <v>0.015</v>
      </c>
      <c r="L28">
        <f t="shared" si="6"/>
        <v>0</v>
      </c>
    </row>
    <row r="29" spans="5:12">
      <c r="E29">
        <f t="shared" si="0"/>
        <v>100300099</v>
      </c>
      <c r="G29">
        <f t="shared" si="1"/>
        <v>100300099</v>
      </c>
      <c r="H29">
        <f t="shared" si="2"/>
        <v>100300099</v>
      </c>
      <c r="I29">
        <f t="shared" si="3"/>
        <v>100300099</v>
      </c>
      <c r="J29">
        <f t="shared" si="4"/>
        <v>92</v>
      </c>
      <c r="K29">
        <f t="shared" si="5"/>
        <v>0.015</v>
      </c>
      <c r="L29">
        <f t="shared" si="6"/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P4"/>
  <sheetViews>
    <sheetView workbookViewId="0">
      <selection activeCell="D11" sqref="D11"/>
    </sheetView>
  </sheetViews>
  <sheetFormatPr defaultColWidth="9.14285714285714" defaultRowHeight="15" outlineLevelRow="3"/>
  <cols>
    <col min="1" max="1" width="14.1428571428571" style="7" customWidth="1"/>
    <col min="2" max="2" width="18.1428571428571" style="7" customWidth="1"/>
    <col min="3" max="3" width="26.7142857142857" style="7" customWidth="1"/>
    <col min="4" max="4" width="21.8571428571429" style="7" customWidth="1"/>
    <col min="5" max="5" width="21.1428571428571" style="7" customWidth="1"/>
    <col min="6" max="6" width="21.8571428571429" style="7" customWidth="1"/>
    <col min="7" max="7" width="21.1428571428571" style="7" customWidth="1"/>
    <col min="8" max="8" width="13.8571428571429" style="7" customWidth="1"/>
    <col min="9" max="9" width="15.1428571428571" style="7" customWidth="1"/>
    <col min="10" max="10" width="16.8571428571429" style="7" customWidth="1"/>
    <col min="11" max="11" width="13.4285714285714" style="7" customWidth="1"/>
    <col min="12" max="12" width="14.5714285714286" customWidth="1"/>
    <col min="13" max="13" width="30.4285714285714" customWidth="1"/>
    <col min="14" max="14" width="18.2857142857143" customWidth="1"/>
    <col min="15" max="15" width="13.4285714285714" customWidth="1"/>
    <col min="16" max="16" width="14.4285714285714" customWidth="1"/>
  </cols>
  <sheetData>
    <row r="1" s="10" customFormat="1" ht="45" spans="1:16">
      <c r="A1" s="11" t="s">
        <v>15</v>
      </c>
      <c r="B1" s="11" t="s">
        <v>16</v>
      </c>
      <c r="C1" s="11" t="s">
        <v>5</v>
      </c>
      <c r="D1" s="11" t="s">
        <v>17</v>
      </c>
      <c r="E1" s="11" t="s">
        <v>3</v>
      </c>
      <c r="F1" s="11" t="s">
        <v>18</v>
      </c>
      <c r="G1" s="11" t="s">
        <v>19</v>
      </c>
      <c r="H1" s="11" t="s">
        <v>20</v>
      </c>
      <c r="I1" s="11" t="s">
        <v>1</v>
      </c>
      <c r="J1" s="11" t="s">
        <v>9</v>
      </c>
      <c r="K1" s="11" t="s">
        <v>21</v>
      </c>
      <c r="L1" s="11" t="s">
        <v>22</v>
      </c>
      <c r="M1" s="11" t="s">
        <v>13</v>
      </c>
      <c r="N1" s="11" t="s">
        <v>23</v>
      </c>
      <c r="O1" s="11" t="s">
        <v>24</v>
      </c>
      <c r="P1" s="11" t="s">
        <v>25</v>
      </c>
    </row>
    <row r="2" spans="1:16">
      <c r="A2" s="7" t="s">
        <v>26</v>
      </c>
      <c r="B2" s="7" t="s">
        <v>27</v>
      </c>
      <c r="C2" s="7" t="s">
        <v>28</v>
      </c>
      <c r="D2" s="7" t="s">
        <v>29</v>
      </c>
      <c r="E2" s="7">
        <v>2</v>
      </c>
      <c r="F2" s="7" t="s">
        <v>30</v>
      </c>
      <c r="G2" s="12">
        <v>180000000</v>
      </c>
      <c r="H2" s="12">
        <v>180000000</v>
      </c>
      <c r="I2" s="13">
        <v>50000000</v>
      </c>
      <c r="J2" s="14">
        <f>MAX(0,G2+H2-I2)</f>
        <v>310000000</v>
      </c>
      <c r="K2" s="7">
        <f>YEAR(D2)-IF(MONTH(D2)&lt;4,1,0)-YEAR(C2)+IF(MONTH(C2)&lt;4,1,0)+1</f>
        <v>4</v>
      </c>
      <c r="L2" s="7">
        <v>2</v>
      </c>
      <c r="M2" s="15">
        <f>IF(E2=2,0.005,IF(K2&lt;=4,0.015,0.01))</f>
        <v>0.005</v>
      </c>
      <c r="N2" s="16">
        <f>IF(OR(F2="NPA",F2="CLOSE"),0,J2*M2)</f>
        <v>1550000</v>
      </c>
      <c r="O2" s="16">
        <f>IF(OR(F2="NPA",F2="CLOSE"),0,N2*L2)</f>
        <v>3100000</v>
      </c>
      <c r="P2" s="16">
        <f>N2+O2</f>
        <v>4650000</v>
      </c>
    </row>
    <row r="3" spans="1:16">
      <c r="A3" s="7" t="s">
        <v>31</v>
      </c>
      <c r="B3" s="7" t="s">
        <v>32</v>
      </c>
      <c r="C3" s="7" t="s">
        <v>28</v>
      </c>
      <c r="D3" s="7" t="s">
        <v>29</v>
      </c>
      <c r="E3" s="7">
        <v>1</v>
      </c>
      <c r="F3" s="7" t="s">
        <v>30</v>
      </c>
      <c r="G3" s="12">
        <v>1000000000</v>
      </c>
      <c r="H3" s="12">
        <v>1000000000</v>
      </c>
      <c r="I3" s="13">
        <v>50000000</v>
      </c>
      <c r="J3" s="14">
        <f>MAX(0,G3+H3-I3)</f>
        <v>1950000000</v>
      </c>
      <c r="K3" s="7">
        <f>YEAR(D3)-IF(MONTH(D3)&lt;4,1,0)-YEAR(C3)+IF(MONTH(C3)&lt;4,1,0)+1</f>
        <v>4</v>
      </c>
      <c r="L3" s="7">
        <v>2</v>
      </c>
      <c r="M3" s="15">
        <f>IF(E3=2,0.005,IF(K3&lt;=4,0.015,0.01))</f>
        <v>0.015</v>
      </c>
      <c r="N3" s="16">
        <f>IF(OR(F3="NPA",F3="CLOSE"),0,J3*M3)</f>
        <v>29250000</v>
      </c>
      <c r="O3" s="16">
        <f>IF(OR(F3="NPA",F3="CLOSE"),0,N3*L3)</f>
        <v>58500000</v>
      </c>
      <c r="P3" s="16">
        <f>N3+O3</f>
        <v>87750000</v>
      </c>
    </row>
    <row r="4" spans="1:16">
      <c r="A4" s="7" t="s">
        <v>33</v>
      </c>
      <c r="B4" s="7" t="s">
        <v>34</v>
      </c>
      <c r="C4" s="7" t="s">
        <v>28</v>
      </c>
      <c r="D4" s="7" t="s">
        <v>29</v>
      </c>
      <c r="E4" s="7">
        <v>1</v>
      </c>
      <c r="F4" s="7" t="s">
        <v>30</v>
      </c>
      <c r="G4" s="12">
        <v>1000000000</v>
      </c>
      <c r="H4" s="12">
        <v>1000000000</v>
      </c>
      <c r="I4" s="13">
        <v>50000000</v>
      </c>
      <c r="J4" s="14">
        <f>MAX(0,G4+H4-I4)</f>
        <v>1950000000</v>
      </c>
      <c r="K4" s="7">
        <f>YEAR(D4)-IF(MONTH(D4)&lt;4,1,0)-YEAR(C4)+IF(MONTH(C4)&lt;4,1,0)+1</f>
        <v>4</v>
      </c>
      <c r="L4" s="7">
        <v>2</v>
      </c>
      <c r="M4" s="15">
        <f>IF(E4=2,0.005,IF(K4&lt;=4,0.015,0.01))</f>
        <v>0.015</v>
      </c>
      <c r="N4" s="16">
        <f>IF(OR(F4="NPA",F4="CLOSE"),0,J4*M4)</f>
        <v>29250000</v>
      </c>
      <c r="O4" s="16">
        <f>IF(OR(F4="NPA",F4="CLOSE"),0,N4*L4)</f>
        <v>58500000</v>
      </c>
      <c r="P4" s="16">
        <f>N4+O4</f>
        <v>87750000</v>
      </c>
    </row>
  </sheetData>
  <dataValidations count="2">
    <dataValidation type="list" sqref="F2:F4">
      <formula1>"STANDARD,NPA,CLOSE"</formula1>
    </dataValidation>
    <dataValidation type="whole" operator="greaterThanOrEqual" sqref="L2:L4">
      <formula1>0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2"/>
  <sheetViews>
    <sheetView tabSelected="1" workbookViewId="0">
      <selection activeCell="G20" sqref="G20"/>
    </sheetView>
  </sheetViews>
  <sheetFormatPr defaultColWidth="9" defaultRowHeight="15" outlineLevelRow="1"/>
  <cols>
    <col min="1" max="1" width="17.4285714285714" style="7" customWidth="1"/>
    <col min="2" max="2" width="18" style="7" customWidth="1"/>
    <col min="3" max="3" width="15.5714285714286" style="7" customWidth="1"/>
    <col min="4" max="4" width="29.4285714285714" style="7" customWidth="1"/>
    <col min="5" max="5" width="17.7142857142857" style="7" customWidth="1"/>
    <col min="6" max="6" width="19.5714285714286" style="7" customWidth="1"/>
    <col min="7" max="7" width="19.8571428571429" style="7" customWidth="1"/>
    <col min="8" max="8" width="16.2857142857143" style="7" customWidth="1"/>
    <col min="9" max="9" width="10.8571428571429" style="7" customWidth="1"/>
    <col min="10" max="16384" width="9" style="7"/>
  </cols>
  <sheetData>
    <row r="1" s="7" customFormat="1" spans="1:9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G1" s="8" t="s">
        <v>41</v>
      </c>
      <c r="H1" s="8" t="s">
        <v>42</v>
      </c>
      <c r="I1" s="8" t="s">
        <v>43</v>
      </c>
    </row>
    <row r="2" s="7" customFormat="1" spans="1:9">
      <c r="A2" s="9">
        <v>47345</v>
      </c>
      <c r="B2" s="9">
        <f>DATE(YEAR(A2)-(MONTH(A2)&lt;4),3,31)</f>
        <v>47208</v>
      </c>
      <c r="C2" s="9">
        <v>47452</v>
      </c>
      <c r="D2" s="9">
        <f>A2-180</f>
        <v>47165</v>
      </c>
      <c r="E2" s="9">
        <f>DATE(YEAR(A2)-1-(MONTH(A2)&lt;4),4,1)</f>
        <v>46844</v>
      </c>
      <c r="F2" s="9">
        <f>MAX(D2,E2)</f>
        <v>47165</v>
      </c>
      <c r="G2" s="9">
        <f>B2</f>
        <v>47208</v>
      </c>
      <c r="H2" s="8">
        <f>A2-C2</f>
        <v>-107</v>
      </c>
      <c r="I2" s="8" t="str">
        <f>IF(AND(C2&gt;=F2,C2&lt;=G2),"Valid","Invalid")</f>
        <v>Invalid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P21"/>
  <sheetViews>
    <sheetView workbookViewId="0">
      <selection activeCell="G26" sqref="G26"/>
    </sheetView>
  </sheetViews>
  <sheetFormatPr defaultColWidth="9.14285714285714" defaultRowHeight="15"/>
  <cols>
    <col min="2" max="2" width="16.2857142857143" customWidth="1"/>
    <col min="3" max="3" width="15.7142857142857" customWidth="1"/>
    <col min="4" max="4" width="24.5714285714286" customWidth="1"/>
    <col min="5" max="5" width="17.2857142857143" customWidth="1"/>
    <col min="12" max="12" width="11.7142857142857"/>
    <col min="15" max="15" width="20" customWidth="1"/>
    <col min="16" max="16" width="13.4285714285714" customWidth="1"/>
  </cols>
  <sheetData>
    <row r="1" spans="1:16">
      <c r="A1" s="1" t="s">
        <v>15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12</v>
      </c>
      <c r="O1" s="1" t="s">
        <v>56</v>
      </c>
      <c r="P1" s="1" t="s">
        <v>57</v>
      </c>
    </row>
    <row r="2" spans="1:16">
      <c r="A2" s="1" t="s">
        <v>26</v>
      </c>
      <c r="B2" s="1" t="s">
        <v>58</v>
      </c>
      <c r="C2" s="1" t="s">
        <v>59</v>
      </c>
      <c r="D2" s="2">
        <v>47027</v>
      </c>
      <c r="E2" s="1">
        <v>324107.34</v>
      </c>
      <c r="F2" s="1">
        <v>58339.32</v>
      </c>
      <c r="G2" s="1">
        <v>0</v>
      </c>
      <c r="H2" s="1">
        <v>0</v>
      </c>
      <c r="I2" s="3">
        <v>2</v>
      </c>
      <c r="J2" s="4">
        <v>10000</v>
      </c>
      <c r="K2" s="1">
        <v>50000000</v>
      </c>
      <c r="L2" s="5">
        <f t="shared" ref="L2:L21" si="0">J2+C2-K2</f>
        <v>129999100</v>
      </c>
      <c r="M2" s="2">
        <v>47208</v>
      </c>
      <c r="N2" s="5">
        <f t="shared" ref="N2:N21" si="1">M2-D2+1</f>
        <v>182</v>
      </c>
      <c r="O2" s="5">
        <f t="shared" ref="O2:O21" si="2">IF(I2=2,L2*0.5%*N2/365,L2*1.5%*N2/365)</f>
        <v>324107.345205479</v>
      </c>
      <c r="P2" s="6">
        <f t="shared" ref="P2:P21" si="3">E2-O2</f>
        <v>-0.00520547945052385</v>
      </c>
    </row>
    <row r="3" spans="1:16">
      <c r="A3" s="1" t="s">
        <v>60</v>
      </c>
      <c r="B3" s="1" t="s">
        <v>61</v>
      </c>
      <c r="C3" s="1" t="s">
        <v>62</v>
      </c>
      <c r="D3" s="2">
        <v>47027</v>
      </c>
      <c r="E3" s="1">
        <v>124655.29</v>
      </c>
      <c r="F3" s="1">
        <v>22437.95</v>
      </c>
      <c r="G3" s="1">
        <v>0</v>
      </c>
      <c r="H3" s="1">
        <v>0</v>
      </c>
      <c r="I3" s="3">
        <v>2</v>
      </c>
      <c r="J3" s="4">
        <v>20000</v>
      </c>
      <c r="K3" s="1">
        <v>50000000</v>
      </c>
      <c r="L3" s="5">
        <f t="shared" si="0"/>
        <v>49999100</v>
      </c>
      <c r="M3" s="2">
        <v>47208</v>
      </c>
      <c r="N3" s="5">
        <f t="shared" si="1"/>
        <v>182</v>
      </c>
      <c r="O3" s="5">
        <f t="shared" si="2"/>
        <v>124655.290410959</v>
      </c>
      <c r="P3" s="6">
        <f t="shared" si="3"/>
        <v>-0.000410958906286396</v>
      </c>
    </row>
    <row r="4" spans="1:16">
      <c r="A4" s="1" t="s">
        <v>31</v>
      </c>
      <c r="B4" s="1" t="s">
        <v>63</v>
      </c>
      <c r="C4" s="1" t="s">
        <v>64</v>
      </c>
      <c r="D4" s="2">
        <v>47027</v>
      </c>
      <c r="E4" s="1">
        <v>7105472.62</v>
      </c>
      <c r="F4" s="1">
        <v>1278985.07</v>
      </c>
      <c r="G4" s="1">
        <v>0</v>
      </c>
      <c r="H4" s="1">
        <v>0</v>
      </c>
      <c r="I4" s="3">
        <v>1</v>
      </c>
      <c r="J4" s="4">
        <v>30000</v>
      </c>
      <c r="K4" s="1">
        <v>50000000</v>
      </c>
      <c r="L4" s="5">
        <f t="shared" si="0"/>
        <v>949999100</v>
      </c>
      <c r="M4" s="2">
        <v>47208</v>
      </c>
      <c r="N4" s="5">
        <f t="shared" si="1"/>
        <v>182</v>
      </c>
      <c r="O4" s="5">
        <f t="shared" si="2"/>
        <v>7105472.72054795</v>
      </c>
      <c r="P4" s="6">
        <f t="shared" si="3"/>
        <v>-0.100547945126891</v>
      </c>
    </row>
    <row r="5" spans="1:16">
      <c r="A5" s="1" t="s">
        <v>33</v>
      </c>
      <c r="B5" s="1" t="s">
        <v>65</v>
      </c>
      <c r="C5" s="1" t="s">
        <v>66</v>
      </c>
      <c r="D5" s="2">
        <v>47027</v>
      </c>
      <c r="E5" s="1">
        <v>7105472.62</v>
      </c>
      <c r="F5" s="1">
        <v>1278985.07</v>
      </c>
      <c r="G5" s="1">
        <v>0</v>
      </c>
      <c r="H5" s="1">
        <v>0</v>
      </c>
      <c r="I5" s="3">
        <v>1</v>
      </c>
      <c r="J5" s="4">
        <v>40000</v>
      </c>
      <c r="K5" s="1">
        <v>50000000</v>
      </c>
      <c r="L5" s="5">
        <f t="shared" si="0"/>
        <v>949999100</v>
      </c>
      <c r="M5" s="2">
        <v>47208</v>
      </c>
      <c r="N5" s="5">
        <f t="shared" si="1"/>
        <v>182</v>
      </c>
      <c r="O5" s="5">
        <f t="shared" si="2"/>
        <v>7105472.72054795</v>
      </c>
      <c r="P5" s="6">
        <f t="shared" si="3"/>
        <v>-0.100547945126891</v>
      </c>
    </row>
    <row r="6" spans="1:16">
      <c r="A6" s="1" t="s">
        <v>67</v>
      </c>
      <c r="B6" s="1" t="s">
        <v>68</v>
      </c>
      <c r="C6" s="1" t="s">
        <v>69</v>
      </c>
      <c r="D6" s="2">
        <v>47027</v>
      </c>
      <c r="E6" s="1">
        <v>0</v>
      </c>
      <c r="F6" s="1">
        <v>0</v>
      </c>
      <c r="G6" s="1">
        <v>0</v>
      </c>
      <c r="H6" s="1">
        <v>0</v>
      </c>
      <c r="I6" s="3">
        <v>2</v>
      </c>
      <c r="J6" s="4">
        <v>50000</v>
      </c>
      <c r="K6" s="1">
        <v>450000000</v>
      </c>
      <c r="L6" s="5">
        <f t="shared" si="0"/>
        <v>-250000900</v>
      </c>
      <c r="M6" s="2">
        <v>47208</v>
      </c>
      <c r="N6" s="5">
        <f t="shared" si="1"/>
        <v>182</v>
      </c>
      <c r="O6" s="5">
        <f t="shared" si="2"/>
        <v>-623289.915068493</v>
      </c>
      <c r="P6" s="6">
        <f t="shared" si="3"/>
        <v>623289.915068493</v>
      </c>
    </row>
    <row r="7" spans="1:16">
      <c r="A7" s="1" t="s">
        <v>70</v>
      </c>
      <c r="B7" s="1" t="s">
        <v>71</v>
      </c>
      <c r="C7" s="1" t="s">
        <v>72</v>
      </c>
      <c r="D7" s="2">
        <v>47027</v>
      </c>
      <c r="E7" s="1">
        <v>0</v>
      </c>
      <c r="F7" s="1">
        <v>0</v>
      </c>
      <c r="G7" s="1">
        <v>0</v>
      </c>
      <c r="H7" s="1">
        <v>0</v>
      </c>
      <c r="I7" s="3">
        <v>2</v>
      </c>
      <c r="J7" s="4">
        <v>60000</v>
      </c>
      <c r="K7" s="1">
        <v>450000000</v>
      </c>
      <c r="L7" s="5">
        <f t="shared" si="0"/>
        <v>-350000900</v>
      </c>
      <c r="M7" s="2">
        <v>47208</v>
      </c>
      <c r="N7" s="5">
        <f t="shared" si="1"/>
        <v>182</v>
      </c>
      <c r="O7" s="5">
        <f t="shared" si="2"/>
        <v>-872604.983561644</v>
      </c>
      <c r="P7" s="6">
        <f t="shared" si="3"/>
        <v>872604.983561644</v>
      </c>
    </row>
    <row r="8" spans="1:16">
      <c r="A8" s="1" t="s">
        <v>73</v>
      </c>
      <c r="B8" s="1" t="s">
        <v>74</v>
      </c>
      <c r="C8" s="1" t="s">
        <v>75</v>
      </c>
      <c r="D8" s="2">
        <v>47027</v>
      </c>
      <c r="E8" s="1">
        <v>7105472.62</v>
      </c>
      <c r="F8" s="1">
        <v>1278985.07</v>
      </c>
      <c r="G8" s="1">
        <v>0</v>
      </c>
      <c r="H8" s="1">
        <v>0</v>
      </c>
      <c r="I8" s="3">
        <v>1</v>
      </c>
      <c r="J8" s="4">
        <v>70000</v>
      </c>
      <c r="K8" s="1">
        <v>50000000</v>
      </c>
      <c r="L8" s="5">
        <f t="shared" si="0"/>
        <v>949999100</v>
      </c>
      <c r="M8" s="2">
        <v>47208</v>
      </c>
      <c r="N8" s="5">
        <f t="shared" si="1"/>
        <v>182</v>
      </c>
      <c r="O8" s="5">
        <f t="shared" si="2"/>
        <v>7105472.72054795</v>
      </c>
      <c r="P8" s="6">
        <f t="shared" si="3"/>
        <v>-0.100547945126891</v>
      </c>
    </row>
    <row r="9" spans="1:16">
      <c r="A9" s="1" t="s">
        <v>76</v>
      </c>
      <c r="B9" s="1" t="s">
        <v>77</v>
      </c>
      <c r="C9" s="1" t="s">
        <v>78</v>
      </c>
      <c r="D9" s="2">
        <v>47027</v>
      </c>
      <c r="E9" s="1">
        <v>7105472.62</v>
      </c>
      <c r="F9" s="1">
        <v>1278985.07</v>
      </c>
      <c r="G9" s="1">
        <v>0</v>
      </c>
      <c r="H9" s="1">
        <v>0</v>
      </c>
      <c r="I9" s="3">
        <v>1</v>
      </c>
      <c r="J9" s="4">
        <v>80000</v>
      </c>
      <c r="K9" s="1">
        <v>50000000</v>
      </c>
      <c r="L9" s="5">
        <f t="shared" si="0"/>
        <v>949999100</v>
      </c>
      <c r="M9" s="2">
        <v>47208</v>
      </c>
      <c r="N9" s="5">
        <f t="shared" si="1"/>
        <v>182</v>
      </c>
      <c r="O9" s="5">
        <f t="shared" si="2"/>
        <v>7105472.72054795</v>
      </c>
      <c r="P9" s="6">
        <f t="shared" si="3"/>
        <v>-0.100547945126891</v>
      </c>
    </row>
    <row r="10" spans="1:16">
      <c r="A10" s="1" t="s">
        <v>79</v>
      </c>
      <c r="B10" s="1" t="s">
        <v>80</v>
      </c>
      <c r="C10" s="1" t="s">
        <v>81</v>
      </c>
      <c r="D10" s="2">
        <v>47027</v>
      </c>
      <c r="E10" s="1">
        <v>373970.35</v>
      </c>
      <c r="F10" s="1">
        <v>67314.66</v>
      </c>
      <c r="G10" s="1">
        <v>0</v>
      </c>
      <c r="H10" s="1">
        <v>0</v>
      </c>
      <c r="I10" s="3">
        <v>2</v>
      </c>
      <c r="J10" s="4">
        <v>90000</v>
      </c>
      <c r="K10" s="1">
        <v>50000000</v>
      </c>
      <c r="L10" s="5">
        <f t="shared" si="0"/>
        <v>149999100</v>
      </c>
      <c r="M10" s="2">
        <v>47208</v>
      </c>
      <c r="N10" s="5">
        <f t="shared" si="1"/>
        <v>182</v>
      </c>
      <c r="O10" s="5">
        <f t="shared" si="2"/>
        <v>373970.35890411</v>
      </c>
      <c r="P10" s="6">
        <f t="shared" si="3"/>
        <v>-0.0089041095925495</v>
      </c>
    </row>
    <row r="11" spans="1:16">
      <c r="A11" s="1" t="s">
        <v>82</v>
      </c>
      <c r="B11" s="1" t="s">
        <v>83</v>
      </c>
      <c r="C11" s="1" t="s">
        <v>84</v>
      </c>
      <c r="D11" s="2">
        <v>47027</v>
      </c>
      <c r="E11" s="1">
        <v>373970.35</v>
      </c>
      <c r="F11" s="1">
        <v>67314.66</v>
      </c>
      <c r="G11" s="1">
        <v>0</v>
      </c>
      <c r="H11" s="1">
        <v>0</v>
      </c>
      <c r="I11" s="3">
        <v>2</v>
      </c>
      <c r="J11" s="4">
        <v>100000</v>
      </c>
      <c r="K11" s="1">
        <v>50000000</v>
      </c>
      <c r="L11" s="5">
        <f t="shared" si="0"/>
        <v>149999100</v>
      </c>
      <c r="M11" s="2">
        <v>47208</v>
      </c>
      <c r="N11" s="5">
        <f t="shared" si="1"/>
        <v>182</v>
      </c>
      <c r="O11" s="5">
        <f t="shared" si="2"/>
        <v>373970.35890411</v>
      </c>
      <c r="P11" s="6">
        <f t="shared" si="3"/>
        <v>-0.0089041095925495</v>
      </c>
    </row>
    <row r="12" spans="1:16">
      <c r="A12" s="1" t="s">
        <v>85</v>
      </c>
      <c r="B12" s="1" t="s">
        <v>86</v>
      </c>
      <c r="C12" s="1" t="s">
        <v>87</v>
      </c>
      <c r="D12" s="2">
        <v>47027</v>
      </c>
      <c r="E12" s="1">
        <v>7105472.62</v>
      </c>
      <c r="F12" s="1">
        <v>1278985.07</v>
      </c>
      <c r="G12" s="1">
        <v>0</v>
      </c>
      <c r="H12" s="1">
        <v>0</v>
      </c>
      <c r="I12" s="3">
        <v>1</v>
      </c>
      <c r="J12" s="4">
        <v>110000</v>
      </c>
      <c r="K12" s="1">
        <v>50000000</v>
      </c>
      <c r="L12" s="5">
        <f t="shared" si="0"/>
        <v>949999100</v>
      </c>
      <c r="M12" s="2">
        <v>47208</v>
      </c>
      <c r="N12" s="5">
        <f t="shared" si="1"/>
        <v>182</v>
      </c>
      <c r="O12" s="5">
        <f t="shared" si="2"/>
        <v>7105472.72054795</v>
      </c>
      <c r="P12" s="6">
        <f t="shared" si="3"/>
        <v>-0.100547945126891</v>
      </c>
    </row>
    <row r="13" spans="1:16">
      <c r="A13" s="1" t="s">
        <v>88</v>
      </c>
      <c r="B13" s="1" t="s">
        <v>89</v>
      </c>
      <c r="C13" s="1" t="s">
        <v>90</v>
      </c>
      <c r="D13" s="2">
        <v>47027</v>
      </c>
      <c r="E13" s="1">
        <v>4113691.84</v>
      </c>
      <c r="F13" s="1">
        <v>740464.53</v>
      </c>
      <c r="G13" s="1">
        <v>0</v>
      </c>
      <c r="H13" s="1">
        <v>0</v>
      </c>
      <c r="I13" s="3">
        <v>1</v>
      </c>
      <c r="J13" s="4">
        <v>120000</v>
      </c>
      <c r="K13" s="1">
        <v>450000000</v>
      </c>
      <c r="L13" s="5">
        <f t="shared" si="0"/>
        <v>549999100</v>
      </c>
      <c r="M13" s="2">
        <v>47208</v>
      </c>
      <c r="N13" s="5">
        <f t="shared" si="1"/>
        <v>182</v>
      </c>
      <c r="O13" s="5">
        <f t="shared" si="2"/>
        <v>4113691.89863014</v>
      </c>
      <c r="P13" s="6">
        <f t="shared" si="3"/>
        <v>-0.0586301372386515</v>
      </c>
    </row>
    <row r="14" spans="1:16">
      <c r="A14" s="1" t="s">
        <v>91</v>
      </c>
      <c r="B14" s="1" t="s">
        <v>92</v>
      </c>
      <c r="C14" s="1" t="s">
        <v>93</v>
      </c>
      <c r="D14" s="2">
        <v>47027</v>
      </c>
      <c r="E14" s="1">
        <v>0</v>
      </c>
      <c r="F14" s="1">
        <v>0</v>
      </c>
      <c r="G14" s="1">
        <v>0</v>
      </c>
      <c r="H14" s="1">
        <v>0</v>
      </c>
      <c r="I14" s="3">
        <v>2</v>
      </c>
      <c r="J14" s="4">
        <v>130000</v>
      </c>
      <c r="K14" s="1">
        <v>450000000</v>
      </c>
      <c r="L14" s="5">
        <f t="shared" si="0"/>
        <v>-300000900</v>
      </c>
      <c r="M14" s="2">
        <v>47208</v>
      </c>
      <c r="N14" s="5">
        <f t="shared" si="1"/>
        <v>182</v>
      </c>
      <c r="O14" s="5">
        <f t="shared" si="2"/>
        <v>-747947.449315069</v>
      </c>
      <c r="P14" s="6">
        <f t="shared" si="3"/>
        <v>747947.449315069</v>
      </c>
    </row>
    <row r="15" spans="1:16">
      <c r="A15" s="1" t="s">
        <v>94</v>
      </c>
      <c r="B15" s="1" t="s">
        <v>95</v>
      </c>
      <c r="C15" s="1" t="s">
        <v>96</v>
      </c>
      <c r="D15" s="2">
        <v>47027</v>
      </c>
      <c r="E15" s="1">
        <v>324107.34</v>
      </c>
      <c r="F15" s="1">
        <v>58339.32</v>
      </c>
      <c r="G15" s="1">
        <v>0</v>
      </c>
      <c r="H15" s="1">
        <v>0</v>
      </c>
      <c r="I15" s="3">
        <v>2</v>
      </c>
      <c r="J15" s="4">
        <v>140000</v>
      </c>
      <c r="K15" s="1">
        <v>50000000</v>
      </c>
      <c r="L15" s="5">
        <f t="shared" si="0"/>
        <v>129999100</v>
      </c>
      <c r="M15" s="2">
        <v>47208</v>
      </c>
      <c r="N15" s="5">
        <f t="shared" si="1"/>
        <v>182</v>
      </c>
      <c r="O15" s="5">
        <f t="shared" si="2"/>
        <v>324107.345205479</v>
      </c>
      <c r="P15" s="6">
        <f t="shared" si="3"/>
        <v>-0.00520547945052385</v>
      </c>
    </row>
    <row r="16" spans="1:16">
      <c r="A16" s="1" t="s">
        <v>97</v>
      </c>
      <c r="B16" s="1" t="s">
        <v>98</v>
      </c>
      <c r="C16" s="1" t="s">
        <v>99</v>
      </c>
      <c r="D16" s="2">
        <v>47027</v>
      </c>
      <c r="E16" s="1">
        <v>7105472.62</v>
      </c>
      <c r="F16" s="1">
        <v>1278985.07</v>
      </c>
      <c r="G16" s="1">
        <v>0</v>
      </c>
      <c r="H16" s="1">
        <v>0</v>
      </c>
      <c r="I16" s="3">
        <v>1</v>
      </c>
      <c r="J16" s="4">
        <v>150000</v>
      </c>
      <c r="K16" s="1">
        <v>50000000</v>
      </c>
      <c r="L16" s="5">
        <f t="shared" si="0"/>
        <v>949999100</v>
      </c>
      <c r="M16" s="2">
        <v>47208</v>
      </c>
      <c r="N16" s="5">
        <f t="shared" si="1"/>
        <v>182</v>
      </c>
      <c r="O16" s="5">
        <f t="shared" si="2"/>
        <v>7105472.72054795</v>
      </c>
      <c r="P16" s="6">
        <f t="shared" si="3"/>
        <v>-0.100547945126891</v>
      </c>
    </row>
    <row r="17" spans="1:16">
      <c r="A17" s="1" t="s">
        <v>100</v>
      </c>
      <c r="B17" s="1" t="s">
        <v>101</v>
      </c>
      <c r="C17" s="1" t="s">
        <v>102</v>
      </c>
      <c r="D17" s="2">
        <v>47027</v>
      </c>
      <c r="E17" s="1">
        <v>7105472.62</v>
      </c>
      <c r="F17" s="1">
        <v>1278985.07</v>
      </c>
      <c r="G17" s="1">
        <v>0</v>
      </c>
      <c r="H17" s="1">
        <v>0</v>
      </c>
      <c r="I17" s="3">
        <v>1</v>
      </c>
      <c r="J17" s="4">
        <v>160000</v>
      </c>
      <c r="K17" s="1">
        <v>50000000</v>
      </c>
      <c r="L17" s="5">
        <f t="shared" si="0"/>
        <v>949999100</v>
      </c>
      <c r="M17" s="2">
        <v>47208</v>
      </c>
      <c r="N17" s="5">
        <f t="shared" si="1"/>
        <v>182</v>
      </c>
      <c r="O17" s="5">
        <f t="shared" si="2"/>
        <v>7105472.72054795</v>
      </c>
      <c r="P17" s="6">
        <f t="shared" si="3"/>
        <v>-0.100547945126891</v>
      </c>
    </row>
    <row r="18" spans="1:16">
      <c r="A18" s="1" t="s">
        <v>103</v>
      </c>
      <c r="B18" s="1" t="s">
        <v>104</v>
      </c>
      <c r="C18" s="1" t="s">
        <v>105</v>
      </c>
      <c r="D18" s="2">
        <v>47027</v>
      </c>
      <c r="E18" s="1">
        <v>124655.29</v>
      </c>
      <c r="F18" s="1">
        <v>22437.95</v>
      </c>
      <c r="G18" s="1">
        <v>0</v>
      </c>
      <c r="H18" s="1">
        <v>0</v>
      </c>
      <c r="I18" s="3">
        <v>2</v>
      </c>
      <c r="J18" s="4">
        <v>170000</v>
      </c>
      <c r="K18" s="1">
        <v>50000000</v>
      </c>
      <c r="L18" s="5">
        <f t="shared" si="0"/>
        <v>49999100</v>
      </c>
      <c r="M18" s="2">
        <v>47208</v>
      </c>
      <c r="N18" s="5">
        <f t="shared" si="1"/>
        <v>182</v>
      </c>
      <c r="O18" s="5">
        <f t="shared" si="2"/>
        <v>124655.290410959</v>
      </c>
      <c r="P18" s="6">
        <f t="shared" si="3"/>
        <v>-0.000410958906286396</v>
      </c>
    </row>
    <row r="19" spans="1:16">
      <c r="A19" s="1" t="s">
        <v>106</v>
      </c>
      <c r="B19" s="1" t="s">
        <v>107</v>
      </c>
      <c r="C19" s="1" t="s">
        <v>108</v>
      </c>
      <c r="D19" s="2">
        <v>47027</v>
      </c>
      <c r="E19" s="1">
        <v>373970.35</v>
      </c>
      <c r="F19" s="1">
        <v>67314.66</v>
      </c>
      <c r="G19" s="1">
        <v>0</v>
      </c>
      <c r="H19" s="1">
        <v>0</v>
      </c>
      <c r="I19" s="3">
        <v>2</v>
      </c>
      <c r="J19" s="4">
        <v>180000</v>
      </c>
      <c r="K19" s="1">
        <v>50000000</v>
      </c>
      <c r="L19" s="5">
        <f t="shared" si="0"/>
        <v>149999100</v>
      </c>
      <c r="M19" s="2">
        <v>47208</v>
      </c>
      <c r="N19" s="5">
        <f t="shared" si="1"/>
        <v>182</v>
      </c>
      <c r="O19" s="5">
        <f t="shared" si="2"/>
        <v>373970.35890411</v>
      </c>
      <c r="P19" s="6">
        <f t="shared" si="3"/>
        <v>-0.0089041095925495</v>
      </c>
    </row>
    <row r="20" spans="1:16">
      <c r="A20" s="1" t="s">
        <v>109</v>
      </c>
      <c r="B20" s="1" t="s">
        <v>110</v>
      </c>
      <c r="C20" s="1" t="s">
        <v>111</v>
      </c>
      <c r="D20" s="2">
        <v>47027</v>
      </c>
      <c r="E20" s="1">
        <v>4113691.84</v>
      </c>
      <c r="F20" s="1">
        <v>740464.53</v>
      </c>
      <c r="G20" s="1">
        <v>0</v>
      </c>
      <c r="H20" s="1">
        <v>0</v>
      </c>
      <c r="I20" s="3">
        <v>1</v>
      </c>
      <c r="J20" s="4">
        <v>190000</v>
      </c>
      <c r="K20" s="1">
        <v>450000000</v>
      </c>
      <c r="L20" s="5">
        <f t="shared" si="0"/>
        <v>549999100</v>
      </c>
      <c r="M20" s="2">
        <v>47208</v>
      </c>
      <c r="N20" s="5">
        <f t="shared" si="1"/>
        <v>182</v>
      </c>
      <c r="O20" s="5">
        <f t="shared" si="2"/>
        <v>4113691.89863014</v>
      </c>
      <c r="P20" s="6">
        <f t="shared" si="3"/>
        <v>-0.0586301372386515</v>
      </c>
    </row>
    <row r="21" spans="1:16">
      <c r="A21" s="1" t="s">
        <v>112</v>
      </c>
      <c r="B21" s="1" t="s">
        <v>113</v>
      </c>
      <c r="C21" s="1" t="s">
        <v>114</v>
      </c>
      <c r="D21" s="2">
        <v>47027</v>
      </c>
      <c r="E21" s="1">
        <v>4113691.84</v>
      </c>
      <c r="F21" s="1">
        <v>740464.53</v>
      </c>
      <c r="G21" s="1">
        <v>0</v>
      </c>
      <c r="H21" s="1">
        <v>0</v>
      </c>
      <c r="I21" s="3">
        <v>1</v>
      </c>
      <c r="J21" s="4">
        <v>200000</v>
      </c>
      <c r="K21" s="1">
        <v>450000000</v>
      </c>
      <c r="L21" s="5">
        <f t="shared" si="0"/>
        <v>549999100</v>
      </c>
      <c r="M21" s="2">
        <v>47208</v>
      </c>
      <c r="N21" s="5">
        <f t="shared" si="1"/>
        <v>182</v>
      </c>
      <c r="O21" s="5">
        <f t="shared" si="2"/>
        <v>4113691.89863014</v>
      </c>
      <c r="P21" s="6">
        <f t="shared" si="3"/>
        <v>-0.0586301372386515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New_CG</vt:lpstr>
      <vt:lpstr>Disbursement_Final</vt:lpstr>
      <vt:lpstr>Continuity_Calculator</vt:lpstr>
      <vt:lpstr>NPA date</vt:lpstr>
      <vt:lpstr>Dist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QA SOMESH</cp:lastModifiedBy>
  <dcterms:created xsi:type="dcterms:W3CDTF">2026-05-28T06:02:00Z</dcterms:created>
  <dcterms:modified xsi:type="dcterms:W3CDTF">2026-10-29T10:35:06Z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83C34C6001FD45A6AAB9CB2EBF472CDE_12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