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000" windowHeight="9600" activeTab="1"/>
  </bookViews>
  <sheets>
    <sheet name="ALL" sheetId="9" r:id="rId1"/>
    <sheet name="Intrim claim(OTS=N)" sheetId="3" r:id="rId2"/>
    <sheet name="Intrim claim (OTS=Y)" sheetId="5" r:id="rId3"/>
    <sheet name="Final claim(OTS=N)" sheetId="2" r:id="rId4"/>
    <sheet name="Final claim(OTS=Y)"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<sst xmlns="http://schemas.openxmlformats.org/spreadsheetml/2006/main" count="945" uniqueCount="215">
  <si>
    <t>S. No.</t>
  </si>
  <si>
    <t>Field Name</t>
  </si>
  <si>
    <t>Description</t>
  </si>
  <si>
    <t>Type</t>
  </si>
  <si>
    <t>Mandatory/ Optional</t>
  </si>
  <si>
    <t>Formula</t>
  </si>
  <si>
    <t>Remark</t>
  </si>
  <si>
    <t>Formula NCGTC</t>
  </si>
  <si>
    <t>1</t>
  </si>
  <si>
    <t>CGPAN</t>
  </si>
  <si>
    <t>Unique ID issued by system</t>
  </si>
  <si>
    <t>Search Option</t>
  </si>
  <si>
    <t>Mandatory</t>
  </si>
  <si>
    <t>2</t>
  </si>
  <si>
    <t>Loan a/c no for new credit facilities</t>
  </si>
  <si>
    <t>Loan Account number allotted by MLI. A Unique Number as per respective MLI’s procedure</t>
  </si>
  <si>
    <t>Auto populate on selection of CGPAN</t>
  </si>
  <si>
    <t>3</t>
  </si>
  <si>
    <t>Latest Date of NPA</t>
  </si>
  <si>
    <t>Date of NPA as updated by MLI</t>
  </si>
  <si>
    <t>4</t>
  </si>
  <si>
    <t>NPA marking date</t>
  </si>
  <si>
    <t>Date on which account is marked NPA in system</t>
  </si>
  <si>
    <t>5</t>
  </si>
  <si>
    <t>Legal Action Taken</t>
  </si>
  <si>
    <t>Type of Recovery Proceedings Initiated 1.DRT 2. 13(4) SARFAESI Act, 2002 3.NCLT 4.Lok Adalat 5.CIVIL Court</t>
  </si>
  <si>
    <t>List</t>
  </si>
  <si>
    <t>6</t>
  </si>
  <si>
    <t>Date of Initiation of Legal action</t>
  </si>
  <si>
    <t>Date of commencement of Recovery Proceedings is date on which recovery proceedings have been initiated under due process of law</t>
  </si>
  <si>
    <t>Date</t>
  </si>
  <si>
    <t>7</t>
  </si>
  <si>
    <t>OTS</t>
  </si>
  <si>
    <t>OTS Done. Yes/No</t>
  </si>
  <si>
    <t>N</t>
  </si>
  <si>
    <t>Add</t>
  </si>
  <si>
    <t>8</t>
  </si>
  <si>
    <t>Date of OTS</t>
  </si>
  <si>
    <t>Date of OTS. It should be after 1 year of the date of  Initiation of Legal action</t>
  </si>
  <si>
    <t>Mandatory, if OTS=Yes</t>
  </si>
  <si>
    <t>9A</t>
  </si>
  <si>
    <t>Total Recovery through OTS</t>
  </si>
  <si>
    <t>Amount recovered through OTS  Entry by MLI Maker</t>
  </si>
  <si>
    <t>Amount in Rs (greater than zero)</t>
  </si>
  <si>
    <t>Mandatory if OTS =Yes</t>
  </si>
  <si>
    <t>9B</t>
  </si>
  <si>
    <t>Total Recovery through OTS as seen from documents by NCGTC</t>
  </si>
  <si>
    <t>Amount recovered through OTS Entry by NCGTC Maker / Checker This is auto-fetch from 9A and editable to NCGTC maker/checker.</t>
  </si>
  <si>
    <t>9C</t>
  </si>
  <si>
    <t>Legal Cost</t>
  </si>
  <si>
    <t>Legal Cost, if any</t>
  </si>
  <si>
    <t>Amount in Rs (greater than or equal to zero)</t>
  </si>
  <si>
    <t>Mandatory  if OTS =Yes Otherwise disable.</t>
  </si>
  <si>
    <t>MSME type</t>
  </si>
  <si>
    <t>10</t>
  </si>
  <si>
    <t>Recovery through OTS (NCGTC portion)</t>
  </si>
  <si>
    <t>Amount recovered through OTS ( Proportionate amount of NCGTC recovery ) – 40% of 9A-9C for MLI / 40% of 9B-9C for NCGTC.
NCGTC and MLI portions should be 60% and 40%, respectively, for General MSME, and 75% and 25%, respectively, for Exporter MSME</t>
  </si>
  <si>
    <t>Auto</t>
  </si>
  <si>
    <t>11</t>
  </si>
  <si>
    <t>Recovery through OTS retained by MLI</t>
  </si>
  <si>
    <t>12</t>
  </si>
  <si>
    <t>Collateral value at time of sanction</t>
  </si>
  <si>
    <t>Collateral Value entered at time of sanction</t>
  </si>
  <si>
    <t>Auto - Add</t>
  </si>
  <si>
    <t>13</t>
  </si>
  <si>
    <t>Present Collateral value</t>
  </si>
  <si>
    <t>Collateral Value entered at time of interim claim</t>
  </si>
  <si>
    <t>Amount in Rs.</t>
  </si>
  <si>
    <t>14</t>
  </si>
  <si>
    <t>Collateral Value to consider for claim settlement</t>
  </si>
  <si>
    <t>Higher of Collateral value at sanction or at time of claim</t>
  </si>
  <si>
    <t>Auto calculation Higher of 12 &amp; 13</t>
  </si>
  <si>
    <t xml:space="preserve">Auto - Calculate </t>
  </si>
  <si>
    <t>15</t>
  </si>
  <si>
    <t>Principal Outstanding as on Date of NPA</t>
  </si>
  <si>
    <t>Loan amount outstanding comprising principal due from the borrower as on date of NPA. It cannot be more than the sanction amount.</t>
  </si>
  <si>
    <t>16</t>
  </si>
  <si>
    <t>Interest Outstanding as on Date of NPA</t>
  </si>
  <si>
    <t>Loan amount outstanding comprising of interest due from borrower as on date of NPA</t>
  </si>
  <si>
    <t>17</t>
  </si>
  <si>
    <t>Recovery amount after NPA date till interim claim lodgement</t>
  </si>
  <si>
    <t>Recovery made after NPA till interim claim lodgement. Amount to be entered “0” in case of no recovery</t>
  </si>
  <si>
    <t>Amount in Rs. Entered by MLI Maker</t>
  </si>
  <si>
    <t>Mandatory, if OTS = NO</t>
  </si>
  <si>
    <t>18</t>
  </si>
  <si>
    <t>Principal O/S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</si>
  <si>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This is auto-fetch from 15</t>
    </r>
    <r>
      <rPr>
        <sz val="11"/>
        <color theme="1"/>
        <rFont val="Calibri"/>
        <charset val="134"/>
        <scheme val="minor"/>
      </rPr>
      <t xml:space="preserve"> and editable to NCGTC maker/checker.</t>
    </r>
  </si>
  <si>
    <t>Amount in Rs. Entered by NCGTC Maker / Checker</t>
  </si>
  <si>
    <t>Editable</t>
  </si>
  <si>
    <t>19</t>
  </si>
  <si>
    <t>Interest Outstanding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</si>
  <si>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 xml:space="preserve">This is auto-fetch from 16 </t>
    </r>
    <r>
      <rPr>
        <sz val="11"/>
        <color theme="1"/>
        <rFont val="Calibri"/>
        <charset val="134"/>
        <scheme val="minor"/>
      </rPr>
      <t>and editable to NCGTC maker/checker.</t>
    </r>
  </si>
  <si>
    <t>20</t>
  </si>
  <si>
    <t>Recovery amount after NPA date till interim claim lodgment</t>
  </si>
  <si>
    <t>This field is editable to NCGTC users while settlement of claims. This is auto-fetch from 17 and editable to NCGTC maker/checker.</t>
  </si>
  <si>
    <t>Mandatory , if OTS = NO</t>
  </si>
  <si>
    <t>21</t>
  </si>
  <si>
    <t>Amount in Default</t>
  </si>
  <si>
    <t>Principal and interest O/S as on NPA date or on claim lodgment; whichever is lower</t>
  </si>
  <si>
    <t>Auto Calculate  
AT MLI Side  
If OTS = N Then  (15+16- 17 )
If OTS = Y Then  (15+16-10) 
AT NCGTC Side 
If OTS = N Then  (18+19- 20 ) 
If OTS = Y Then (18+19-10)</t>
  </si>
  <si>
    <t>22</t>
  </si>
  <si>
    <t>Eligible claim</t>
  </si>
  <si>
    <t>Claim amount eligible under scheme</t>
  </si>
  <si>
    <t>Auto Calculate.  75% of AID (21) -Value of collateral (14)</t>
  </si>
  <si>
    <t>23</t>
  </si>
  <si>
    <t>Interim Claim Calculated &amp; Payable (Final Claim Calculated, If OTS = Yes)</t>
  </si>
  <si>
    <t>Claim amount to be paid to MLI. (round up to 0 decimal).</t>
  </si>
  <si>
    <t>Auto Calculate.  
If OTS = No Then, 75% of (22). 
If OTS = Yes Then, 100% of (22)</t>
  </si>
  <si>
    <t>24</t>
  </si>
  <si>
    <t>Total CG Fee received during previous FY</t>
  </si>
  <si>
    <t>CG fee received by NCGTC during previous FY to the claim year</t>
  </si>
  <si>
    <t>Auto-fetch CG Fees and auto-calculate from system.</t>
  </si>
  <si>
    <t>25</t>
  </si>
  <si>
    <t>Total recovery (including OTS recovery) amount remitted to NCGTC during previous FY</t>
  </si>
  <si>
    <t>Recoveries remitted to NCGTC during the previous FY to the claim year</t>
  </si>
  <si>
    <t>Auto-fetch recovers and auto-calculates from the system.</t>
  </si>
  <si>
    <t>26</t>
  </si>
  <si>
    <t>Maximum Limit available for the current claim FY</t>
  </si>
  <si>
    <t>Maximum claim payable limit for the current claim FY</t>
  </si>
  <si>
    <t>Auto-calculation. 3*(24+25)</t>
  </si>
  <si>
    <t>27</t>
  </si>
  <si>
    <t>Total claims released during the current FY</t>
  </si>
  <si>
    <t>Auto-calculation.</t>
  </si>
  <si>
    <t>28</t>
  </si>
  <si>
    <t>Limit Available for Further settlements</t>
  </si>
  <si>
    <t>Auto-calculation. 26-27</t>
  </si>
  <si>
    <t>Mandatory.</t>
  </si>
  <si>
    <t>29</t>
  </si>
  <si>
    <t>Amount available for payment against current claim</t>
  </si>
  <si>
    <t>Amount available for payment against current claim (To Be Paid) – Payment Integration for this amount. This may be part or full payment.</t>
  </si>
  <si>
    <t xml:space="preserve">Auto-Calculation  
23 if 23&lt;=28, 
else 
28  </t>
  </si>
  <si>
    <t>30</t>
  </si>
  <si>
    <t>Amount available for future settlements</t>
  </si>
  <si>
    <t>Limit available for future settlements</t>
  </si>
  <si>
    <t>Auto-Calc. 28-29</t>
  </si>
  <si>
    <t>31</t>
  </si>
  <si>
    <t>Claim carry forward amount for next financial year</t>
  </si>
  <si>
    <t>Carry forward claim pending for previous years</t>
  </si>
  <si>
    <t>Auto-calc. If 29&lt;23 then 23-29
else 29</t>
  </si>
  <si>
    <t>Auto Calculate.  75% of AID (21) -Value of collateral (14)
General MSME - 60%
Expoter MSME - 75%</t>
  </si>
  <si>
    <t xml:space="preserve">Auto Calculate.  
If OTS = No Then, 75% of (22). </t>
  </si>
  <si>
    <t xml:space="preserve">Auto </t>
  </si>
  <si>
    <t>Formula MLI side</t>
  </si>
  <si>
    <t>Formula NCGTC side</t>
  </si>
  <si>
    <t>Y</t>
  </si>
  <si>
    <t>MSMETyep</t>
  </si>
  <si>
    <r>
      <t xml:space="preserve">Amount recovered through OTS ( Proportionate amount of NCGTC recovery ) – 60/75% of 9B-9C for NCGTC.
</t>
    </r>
    <r>
      <rPr>
        <sz val="11"/>
        <color rgb="FFFF0000"/>
        <rFont val="Calibri"/>
        <charset val="134"/>
        <scheme val="minor"/>
      </rPr>
      <t>NCGTC - 60%  for General MSME, 
NCGTC - 75% for Exporter MSME</t>
    </r>
  </si>
  <si>
    <r>
      <t xml:space="preserve">Amount recovered through OTS retained by MLI – 40/25% of 9A-9C for MLI 
</t>
    </r>
    <r>
      <rPr>
        <sz val="11"/>
        <color rgb="FFFF0000"/>
        <rFont val="Calibri"/>
        <charset val="134"/>
        <scheme val="minor"/>
      </rPr>
      <t>MLI - 40%  , for General MSME, 
MLI - 25%,  for Exporter MSME</t>
    </r>
  </si>
  <si>
    <t>Ediatble</t>
  </si>
  <si>
    <t>Claim amount eligible under scheme
General MSME - 60%
Expoter MSME - 75%</t>
  </si>
  <si>
    <t>Auto Calculate.  
If OTS = Yes Then, 100% of (22)</t>
  </si>
  <si>
    <t xml:space="preserve">Auto-Calculation  
23 if 23&lt;=28, 
else 
28 </t>
  </si>
  <si>
    <t>Formula for NCGTC</t>
  </si>
  <si>
    <t>Dropdown Option</t>
  </si>
  <si>
    <t>Loan Account number allotted by LI. A Unique Number as per respective LI’s procedure</t>
  </si>
  <si>
    <t>OTS data</t>
  </si>
  <si>
    <t>Type of Recovery Proceedings Initiated 
1.DRT 
2. 13(4) SARFAESI Act, 2002 
3.NCLT 
4.Lok Adalat 5.CIVIL Court</t>
  </si>
  <si>
    <t>NCGTC</t>
  </si>
  <si>
    <t>Date of Initiation of Legal</t>
  </si>
  <si>
    <t>Date of Recovery Proceedings is date on which recovery proceedings have been initiated under due process of law</t>
  </si>
  <si>
    <t>Amount recovered through OTS Entry by MLI Maker</t>
  </si>
  <si>
    <t>Recovery through OTS – NCGTC Portion</t>
  </si>
  <si>
    <t>Amount recovered through OTS ( Proportionate amount of NCGTC recovery ) – 40% of 9A-9C for MLI side / 40% of 9B-9C for NCGTC side.</t>
  </si>
  <si>
    <t>Amount recovered through OTS retained by MLI – 60% of 9A-9C for MLI side / 60% of 9B-9C for NCGTC side.</t>
  </si>
  <si>
    <t>Loan amount outstanding comprising principal due from borrower as on date of NPA. It cannot be more than the sanction amount. Corrected by NCGCT Maker/Checker.</t>
  </si>
  <si>
    <t>auto - Add</t>
  </si>
  <si>
    <t>Loan amount outstanding comprising of interest due from borrower as on date of NPA Corrected by NCGCT Maker/Checker.</t>
  </si>
  <si>
    <t>Auto populate on selection of CGPAN .</t>
  </si>
  <si>
    <t>Recovery-NCGTC Portion. (40% already calculated under Interim Claim)</t>
  </si>
  <si>
    <t>Recovery after interim claim till final claim  lodgement</t>
  </si>
  <si>
    <t>Recovery made after interim claim lodgement till final claim lodgement. Amount to be entered “0” in case of no recovery</t>
  </si>
  <si>
    <t>Mandatory, if OTS = No</t>
  </si>
  <si>
    <t>Recovery amount after Interim Claim date till Final claim lodgement</t>
  </si>
  <si>
    <t>This field is editable to NCGTC users while settlement of claims. This is auto-fetch from 15 and editable to NCGTC maker/checker.</t>
  </si>
  <si>
    <t>Mandatory , if OTS = No</t>
  </si>
  <si>
    <t>17A</t>
  </si>
  <si>
    <t>Post Interim Claim Recovery-NCGTC Portion</t>
  </si>
  <si>
    <t>Amount recovered ( Proportionate amount of NCGTC recovery ) – 40% of 15 for MLI side / 40% of 16 for NCGTC side.</t>
  </si>
  <si>
    <t>17B</t>
  </si>
  <si>
    <t>Post Interim Claim Recovery - MLI Portion</t>
  </si>
  <si>
    <t>Amount recovered through OTS retained by MLI – 60% of 15 for MLI side/ 60% of 16 for NCGTC side.</t>
  </si>
  <si>
    <t>Conclusion of Recovery Proceedings</t>
  </si>
  <si>
    <t>Whether the conclusion of recovery proceedings by the LI is completed. If No then do not allow me to submit the claim. (as proceeding is not completed hence claim cannot be lodged)</t>
  </si>
  <si>
    <t>List- Yes / No</t>
  </si>
  <si>
    <t>Mandatory, if OTS = No Else disable.</t>
  </si>
  <si>
    <t>Final Court order date</t>
  </si>
  <si>
    <t>Date of completion of recovery proceeding</t>
  </si>
  <si>
    <t>Mandatory If 18 = Yes</t>
  </si>
  <si>
    <t>Add  - auto</t>
  </si>
  <si>
    <t>21.</t>
  </si>
  <si>
    <t>Present Collateral value  (interim)</t>
  </si>
  <si>
    <t>Present Collateral value( final)</t>
  </si>
  <si>
    <t>Collateral Value entered at time of final claim</t>
  </si>
  <si>
    <t>Amount in Rs</t>
  </si>
  <si>
    <t>Auto calculate Higher of 20 or 21or 22</t>
  </si>
  <si>
    <t>Revised Amount in Default  (R-AID)</t>
  </si>
  <si>
    <t>Auto calculation 
AT MLI Side  
If OTS = N Then    (12+13-14-17A) 
If OTS = Y Then  (12+13-14-10) 
AT NCGTC Side 
If OTS = N Then (12+13-14-17A) 
If OTS = Y Then (12+13-14-10)</t>
  </si>
  <si>
    <t>Total eligible claim</t>
  </si>
  <si>
    <t>Auto Calculate. 60% of revised AID (24) -Value of collateral (23)</t>
  </si>
  <si>
    <t>Interim Claim paid</t>
  </si>
  <si>
    <t>Auto-fetch from Interim Claim Form (Interim Claim Calculated)</t>
  </si>
  <si>
    <t>Eligible Final claim payout</t>
  </si>
  <si>
    <t>Final claim to be paid</t>
  </si>
  <si>
    <t>Auto Calculate 25-26</t>
  </si>
  <si>
    <t>Auto-calculation. 2*(28+29)</t>
  </si>
  <si>
    <t>Auto-calculate</t>
  </si>
  <si>
    <t>32</t>
  </si>
  <si>
    <t>Auto-calculation. 30-31</t>
  </si>
  <si>
    <t>33</t>
  </si>
  <si>
    <t>Amount available for payment against current claim (To Be Paid) – Payment Integration for this amount. This may be part- or full payment.</t>
  </si>
  <si>
    <t>Auto-Calculation  27 if 27&lt;=32, else 32</t>
  </si>
  <si>
    <t>34</t>
  </si>
  <si>
    <t>Auto-Calc. 32-33</t>
  </si>
  <si>
    <t>35</t>
  </si>
  <si>
    <t>Auto-calc. If 27=33 then 0 else 27-33</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</si>
</sst>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0_ "/>
    <numFmt numFmtId="181" formatCode="0_ "/>
  </numFmts>
  <fonts count="23">
    <font>
      <sz val="11"/>
      <color theme="1"/>
      <name val="Calibri"/>
      <charset val="134"/>
      <scheme val="minor"/>
    </font>
    <font>
      <b/>
      <sz val="11"/>
      <color theme="1"/>
      <name val="Calibri"/>
      <charset val="134"/>
      <scheme val="minor"/>
    </font>
    <font>
      <sz val="11"/>
      <color rgb="FFFF0000"/>
      <name val="Calibri"/>
      <charset val="134"/>
      <scheme val="minor"/>
    </font>
    <font>
      <sz val="1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4">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5" tint="-0.25"/>
        <bgColor indexed="64"/>
      </patternFill>
    </fill>
    <fill>
      <patternFill patternType="solid">
        <fgColor theme="3" tint="0.6"/>
        <bgColor indexed="64"/>
      </patternFill>
    </fill>
    <fill>
      <patternFill patternType="solid">
        <fgColor theme="4" tint="0.6"/>
        <bgColor indexed="64"/>
      </patternFill>
    </fill>
    <fill>
      <patternFill patternType="solid">
        <fgColor theme="7" tint="0.8"/>
        <bgColor indexed="64"/>
      </patternFill>
    </fill>
    <fill>
      <patternFill patternType="solid">
        <fgColor theme="4" tint="0.4"/>
        <bgColor indexed="64"/>
      </patternFill>
    </fill>
    <fill>
      <patternFill patternType="solid">
        <fgColor theme="5" tint="0.8"/>
        <bgColor indexed="64"/>
      </patternFill>
    </fill>
    <fill>
      <patternFill patternType="solid">
        <fgColor theme="7" tint="0.4"/>
        <bgColor indexed="64"/>
      </patternFill>
    </fill>
    <fill>
      <patternFill patternType="solid">
        <fgColor theme="5" tint="0.4"/>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13"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14" borderId="5" applyNumberFormat="0" applyAlignment="0" applyProtection="0">
      <alignment vertical="center"/>
    </xf>
    <xf numFmtId="0" fontId="13" fillId="15" borderId="6" applyNumberFormat="0" applyAlignment="0" applyProtection="0">
      <alignment vertical="center"/>
    </xf>
    <xf numFmtId="0" fontId="14" fillId="15" borderId="5" applyNumberFormat="0" applyAlignment="0" applyProtection="0">
      <alignment vertical="center"/>
    </xf>
    <xf numFmtId="0" fontId="15" fillId="16"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1" fillId="23" borderId="0" applyNumberFormat="0" applyBorder="0" applyAlignment="0" applyProtection="0">
      <alignment vertical="center"/>
    </xf>
    <xf numFmtId="0" fontId="21"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1" fillId="27" borderId="0" applyNumberFormat="0" applyBorder="0" applyAlignment="0" applyProtection="0">
      <alignment vertical="center"/>
    </xf>
    <xf numFmtId="0" fontId="21"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1" fillId="31" borderId="0" applyNumberFormat="0" applyBorder="0" applyAlignment="0" applyProtection="0">
      <alignment vertical="center"/>
    </xf>
    <xf numFmtId="0" fontId="21" fillId="32" borderId="0" applyNumberFormat="0" applyBorder="0" applyAlignment="0" applyProtection="0">
      <alignment vertical="center"/>
    </xf>
    <xf numFmtId="0" fontId="22" fillId="33" borderId="0" applyNumberFormat="0" applyBorder="0" applyAlignment="0" applyProtection="0">
      <alignment vertical="center"/>
    </xf>
    <xf numFmtId="0" fontId="22" fillId="34" borderId="0" applyNumberFormat="0" applyBorder="0" applyAlignment="0" applyProtection="0">
      <alignment vertical="center"/>
    </xf>
    <xf numFmtId="0" fontId="21" fillId="35" borderId="0" applyNumberFormat="0" applyBorder="0" applyAlignment="0" applyProtection="0">
      <alignment vertical="center"/>
    </xf>
    <xf numFmtId="0" fontId="21" fillId="36" borderId="0" applyNumberFormat="0" applyBorder="0" applyAlignment="0" applyProtection="0">
      <alignment vertical="center"/>
    </xf>
    <xf numFmtId="0" fontId="22" fillId="37" borderId="0" applyNumberFormat="0" applyBorder="0" applyAlignment="0" applyProtection="0">
      <alignment vertical="center"/>
    </xf>
    <xf numFmtId="0" fontId="22" fillId="38" borderId="0" applyNumberFormat="0" applyBorder="0" applyAlignment="0" applyProtection="0">
      <alignment vertical="center"/>
    </xf>
    <xf numFmtId="0" fontId="21" fillId="39" borderId="0" applyNumberFormat="0" applyBorder="0" applyAlignment="0" applyProtection="0">
      <alignment vertical="center"/>
    </xf>
    <xf numFmtId="0" fontId="21" fillId="40" borderId="0" applyNumberFormat="0" applyBorder="0" applyAlignment="0" applyProtection="0">
      <alignment vertical="center"/>
    </xf>
    <xf numFmtId="0" fontId="22" fillId="41" borderId="0" applyNumberFormat="0" applyBorder="0" applyAlignment="0" applyProtection="0">
      <alignment vertical="center"/>
    </xf>
    <xf numFmtId="0" fontId="22" fillId="42" borderId="0" applyNumberFormat="0" applyBorder="0" applyAlignment="0" applyProtection="0">
      <alignment vertical="center"/>
    </xf>
    <xf numFmtId="0" fontId="21" fillId="43" borderId="0" applyNumberFormat="0" applyBorder="0" applyAlignment="0" applyProtection="0">
      <alignment vertical="center"/>
    </xf>
  </cellStyleXfs>
  <cellXfs count="70">
    <xf numFmtId="0" fontId="0" fillId="0" borderId="0" xfId="0">
      <alignment vertical="center"/>
    </xf>
    <xf numFmtId="0" fontId="0" fillId="0" borderId="0" xfId="0" applyFill="1" applyAlignment="1">
      <alignment vertical="center" wrapText="1"/>
    </xf>
    <xf numFmtId="0" fontId="0" fillId="0" borderId="0" xfId="0" applyFill="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3" borderId="0" xfId="0" applyFill="1">
      <alignment vertical="center"/>
    </xf>
    <xf numFmtId="0" fontId="0" fillId="4" borderId="0" xfId="0" applyFill="1">
      <alignment vertical="center"/>
    </xf>
    <xf numFmtId="0" fontId="0" fillId="5" borderId="1" xfId="0" applyFill="1" applyBorder="1" applyAlignment="1">
      <alignment vertical="center" wrapText="1"/>
    </xf>
    <xf numFmtId="0" fontId="0" fillId="2" borderId="1" xfId="0" applyFill="1" applyBorder="1" applyAlignment="1">
      <alignment vertical="center" wrapText="1"/>
    </xf>
    <xf numFmtId="0" fontId="2" fillId="0" borderId="1" xfId="0" applyFont="1" applyFill="1" applyBorder="1" applyAlignment="1">
      <alignment vertical="center" wrapText="1"/>
    </xf>
    <xf numFmtId="0" fontId="3" fillId="0" borderId="1" xfId="0" applyFont="1" applyFill="1" applyBorder="1" applyAlignment="1">
      <alignment vertical="center" wrapText="1"/>
    </xf>
    <xf numFmtId="0" fontId="0" fillId="0" borderId="1" xfId="0" applyNumberFormat="1" applyFill="1" applyBorder="1" applyAlignment="1">
      <alignment vertical="center" wrapText="1"/>
    </xf>
    <xf numFmtId="0" fontId="1" fillId="2" borderId="0" xfId="0" applyFont="1" applyFill="1" applyAlignment="1">
      <alignment vertical="center" wrapText="1"/>
    </xf>
    <xf numFmtId="0" fontId="0" fillId="0" borderId="0" xfId="0" applyFont="1" applyFill="1" applyAlignment="1">
      <alignment vertical="center" wrapText="1"/>
    </xf>
    <xf numFmtId="180" fontId="0" fillId="0" borderId="0" xfId="0" applyNumberFormat="1" applyAlignment="1">
      <alignment vertical="center" wrapText="1"/>
    </xf>
    <xf numFmtId="0" fontId="0" fillId="0" borderId="0" xfId="0" applyAlignment="1">
      <alignment vertical="center"/>
    </xf>
    <xf numFmtId="180" fontId="1" fillId="2" borderId="1" xfId="0" applyNumberFormat="1" applyFont="1" applyFill="1" applyBorder="1" applyAlignment="1">
      <alignment vertical="center" wrapText="1"/>
    </xf>
    <xf numFmtId="0" fontId="0" fillId="0" borderId="1" xfId="0" applyFont="1" applyFill="1" applyBorder="1" applyAlignment="1">
      <alignment vertical="center" wrapText="1"/>
    </xf>
    <xf numFmtId="180" fontId="0" fillId="0" borderId="1" xfId="0" applyNumberFormat="1" applyBorder="1" applyAlignment="1">
      <alignment horizontal="center" vertical="center" wrapText="1"/>
    </xf>
    <xf numFmtId="0" fontId="0" fillId="2" borderId="1" xfId="0" applyFont="1" applyFill="1" applyBorder="1" applyAlignment="1">
      <alignment vertical="center" wrapText="1"/>
    </xf>
    <xf numFmtId="180" fontId="1" fillId="0" borderId="1" xfId="0" applyNumberFormat="1" applyFont="1" applyBorder="1" applyAlignment="1">
      <alignment horizontal="center" vertical="center" wrapText="1"/>
    </xf>
    <xf numFmtId="0" fontId="0" fillId="6" borderId="1" xfId="0" applyFont="1" applyFill="1" applyBorder="1" applyAlignment="1">
      <alignment vertical="center" wrapText="1"/>
    </xf>
    <xf numFmtId="181" fontId="0" fillId="2" borderId="1" xfId="0" applyNumberFormat="1" applyFill="1" applyBorder="1" applyAlignment="1">
      <alignment horizontal="center" vertical="center" wrapText="1"/>
    </xf>
    <xf numFmtId="181" fontId="0" fillId="0" borderId="1" xfId="0" applyNumberFormat="1" applyBorder="1" applyAlignment="1">
      <alignment horizontal="center" vertical="center" wrapText="1"/>
    </xf>
    <xf numFmtId="180" fontId="0" fillId="2" borderId="1" xfId="0" applyNumberFormat="1" applyFill="1" applyBorder="1" applyAlignment="1">
      <alignment horizontal="center" vertical="center" wrapText="1"/>
    </xf>
    <xf numFmtId="0" fontId="0" fillId="2" borderId="0" xfId="0" applyFill="1" applyAlignment="1">
      <alignment vertical="center"/>
    </xf>
    <xf numFmtId="0" fontId="0" fillId="7" borderId="0" xfId="0" applyFill="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0" fillId="0" borderId="0" xfId="0" applyAlignment="1">
      <alignment horizontal="center" vertical="center"/>
    </xf>
    <xf numFmtId="0" fontId="0" fillId="0" borderId="0" xfId="0" applyAlignment="1">
      <alignment vertical="center"/>
    </xf>
    <xf numFmtId="0" fontId="1" fillId="2" borderId="1" xfId="0" applyFont="1" applyFill="1" applyBorder="1" applyAlignment="1">
      <alignment horizontal="center" vertical="center" wrapText="1"/>
    </xf>
    <xf numFmtId="0" fontId="0" fillId="8" borderId="1" xfId="0" applyFont="1" applyFill="1" applyBorder="1" applyAlignment="1">
      <alignment horizontal="center" vertical="center" wrapText="1"/>
    </xf>
    <xf numFmtId="0" fontId="0" fillId="8" borderId="1" xfId="0" applyFont="1" applyFill="1" applyBorder="1" applyAlignment="1">
      <alignment vertical="center" wrapText="1"/>
    </xf>
    <xf numFmtId="0" fontId="0" fillId="8" borderId="1" xfId="0" applyFill="1" applyBorder="1" applyAlignment="1">
      <alignment horizontal="center" vertical="center" wrapText="1"/>
    </xf>
    <xf numFmtId="0" fontId="0" fillId="8" borderId="1" xfId="0" applyFill="1" applyBorder="1" applyAlignment="1">
      <alignment vertical="center" wrapText="1"/>
    </xf>
    <xf numFmtId="0" fontId="0" fillId="8" borderId="1" xfId="0" applyFill="1" applyBorder="1" applyAlignment="1">
      <alignment horizontal="center" vertical="center"/>
    </xf>
    <xf numFmtId="0" fontId="0" fillId="0" borderId="1" xfId="0" applyFont="1" applyFill="1" applyBorder="1" applyAlignment="1">
      <alignment horizontal="center" vertical="center" wrapText="1"/>
    </xf>
    <xf numFmtId="0" fontId="0" fillId="0" borderId="1" xfId="0" applyFont="1" applyFill="1" applyBorder="1" applyAlignment="1">
      <alignment vertical="center" wrapText="1"/>
    </xf>
    <xf numFmtId="0" fontId="0" fillId="2" borderId="1" xfId="0" applyFill="1" applyBorder="1" applyAlignment="1">
      <alignment horizontal="center" vertical="center" wrapText="1"/>
    </xf>
    <xf numFmtId="0" fontId="0" fillId="0" borderId="1" xfId="0" applyFill="1" applyBorder="1" applyAlignment="1">
      <alignment vertical="center" wrapText="1"/>
    </xf>
    <xf numFmtId="0" fontId="0" fillId="9" borderId="1" xfId="0" applyFill="1" applyBorder="1" applyAlignment="1">
      <alignment horizontal="center" vertical="center"/>
    </xf>
    <xf numFmtId="0" fontId="0" fillId="0" borderId="1" xfId="0" applyFont="1" applyFill="1" applyBorder="1" applyAlignment="1">
      <alignment vertical="center" wrapText="1"/>
    </xf>
    <xf numFmtId="0" fontId="0" fillId="9" borderId="1" xfId="0" applyFill="1" applyBorder="1" applyAlignment="1">
      <alignment horizontal="center" vertical="center" wrapText="1"/>
    </xf>
    <xf numFmtId="0" fontId="0" fillId="2" borderId="0" xfId="0" applyFill="1" applyAlignment="1">
      <alignment vertical="center"/>
    </xf>
    <xf numFmtId="0" fontId="3" fillId="9" borderId="1" xfId="0" applyFont="1" applyFill="1" applyBorder="1" applyAlignment="1">
      <alignment horizontal="center" vertical="center" wrapText="1"/>
    </xf>
    <xf numFmtId="181" fontId="0" fillId="9" borderId="1" xfId="0" applyNumberFormat="1" applyFill="1" applyBorder="1" applyAlignment="1">
      <alignment horizontal="center" vertical="center" wrapText="1"/>
    </xf>
    <xf numFmtId="181" fontId="0" fillId="0" borderId="1" xfId="0" applyNumberFormat="1" applyFill="1" applyBorder="1" applyAlignment="1">
      <alignment vertical="center" wrapText="1"/>
    </xf>
    <xf numFmtId="181" fontId="0" fillId="9" borderId="1" xfId="0" applyNumberFormat="1" applyFill="1" applyBorder="1" applyAlignment="1">
      <alignment horizontal="center" vertical="center"/>
    </xf>
    <xf numFmtId="0" fontId="2" fillId="0" borderId="1" xfId="0" applyFont="1" applyFill="1" applyBorder="1" applyAlignment="1">
      <alignment vertical="center" wrapText="1"/>
    </xf>
    <xf numFmtId="0" fontId="0" fillId="0" borderId="0" xfId="0" applyFont="1" applyFill="1" applyAlignment="1">
      <alignment wrapText="1"/>
    </xf>
    <xf numFmtId="0" fontId="1" fillId="2" borderId="1" xfId="0" applyFont="1" applyFill="1" applyBorder="1" applyAlignment="1">
      <alignment wrapText="1"/>
    </xf>
    <xf numFmtId="0" fontId="0" fillId="0" borderId="1" xfId="0" applyFont="1" applyFill="1" applyBorder="1" applyAlignment="1">
      <alignment wrapText="1"/>
    </xf>
    <xf numFmtId="0" fontId="0" fillId="0" borderId="1" xfId="0"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xf>
    <xf numFmtId="0" fontId="0" fillId="2" borderId="1" xfId="0" applyFont="1" applyFill="1" applyBorder="1" applyAlignment="1">
      <alignment wrapText="1"/>
    </xf>
    <xf numFmtId="0" fontId="0" fillId="10" borderId="1" xfId="0" applyFill="1" applyBorder="1" applyAlignment="1">
      <alignment horizontal="center" vertical="center" wrapText="1"/>
    </xf>
    <xf numFmtId="0" fontId="0" fillId="6" borderId="1" xfId="0" applyFont="1" applyFill="1" applyBorder="1" applyAlignment="1">
      <alignment wrapText="1"/>
    </xf>
    <xf numFmtId="0" fontId="0" fillId="11" borderId="1" xfId="0" applyFill="1" applyBorder="1" applyAlignment="1">
      <alignment horizontal="center" vertical="center" wrapText="1"/>
    </xf>
    <xf numFmtId="180" fontId="0" fillId="11" borderId="1" xfId="0" applyNumberFormat="1" applyFill="1" applyBorder="1" applyAlignment="1">
      <alignment horizontal="center" vertical="center" wrapText="1"/>
    </xf>
    <xf numFmtId="0" fontId="0" fillId="12" borderId="1" xfId="0" applyFill="1" applyBorder="1" applyAlignment="1">
      <alignment horizontal="center" vertical="center" wrapText="1"/>
    </xf>
    <xf numFmtId="0" fontId="0" fillId="2" borderId="0" xfId="0" applyFill="1">
      <alignment vertical="center"/>
    </xf>
    <xf numFmtId="0" fontId="3" fillId="0" borderId="1" xfId="0" applyFont="1" applyBorder="1" applyAlignment="1">
      <alignment horizontal="center" vertical="center" wrapText="1"/>
    </xf>
    <xf numFmtId="181" fontId="0" fillId="12" borderId="1" xfId="0" applyNumberFormat="1" applyFill="1" applyBorder="1" applyAlignment="1">
      <alignment horizontal="center" vertical="center" wrapText="1"/>
    </xf>
    <xf numFmtId="181" fontId="0" fillId="0" borderId="1" xfId="0" applyNumberFormat="1" applyBorder="1" applyAlignment="1">
      <alignment vertical="center" wrapText="1"/>
    </xf>
    <xf numFmtId="181" fontId="0" fillId="0" borderId="1" xfId="0" applyNumberFormat="1" applyBorder="1" applyAlignment="1">
      <alignment horizontal="center" vertical="center"/>
    </xf>
    <xf numFmtId="0" fontId="2" fillId="0" borderId="1" xfId="0" applyFont="1" applyFill="1" applyBorder="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5"/>
  <sheetViews>
    <sheetView topLeftCell="A25" workbookViewId="0">
      <selection activeCell="C33" sqref="C33"/>
    </sheetView>
  </sheetViews>
  <sheetFormatPr defaultColWidth="9.14285714285714" defaultRowHeight="15"/>
  <cols>
    <col min="1" max="1" width="6.71428571428571" style="52" customWidth="1"/>
    <col min="2" max="2" width="38" style="52" customWidth="1"/>
    <col min="3" max="3" width="64" style="52" customWidth="1"/>
    <col min="4" max="4" width="48.2857142857143" style="52" customWidth="1"/>
    <col min="5" max="5" width="25" style="52" customWidth="1"/>
    <col min="6" max="6" width="21.2857142857143" style="29" customWidth="1"/>
    <col min="7" max="7" width="16.5714285714286" style="30" customWidth="1"/>
    <col min="8" max="8" width="21" style="31" customWidth="1"/>
  </cols>
  <sheetData>
    <row r="1" spans="1:8">
      <c r="A1" s="53" t="s">
        <v>0</v>
      </c>
      <c r="B1" s="53" t="s">
        <v>1</v>
      </c>
      <c r="C1" s="53" t="s">
        <v>2</v>
      </c>
      <c r="D1" s="53" t="s">
        <v>3</v>
      </c>
      <c r="E1" s="53" t="s">
        <v>4</v>
      </c>
      <c r="F1" s="33" t="s">
        <v>5</v>
      </c>
      <c r="G1" s="3" t="s">
        <v>6</v>
      </c>
      <c r="H1" s="33" t="s">
        <v>7</v>
      </c>
    </row>
    <row r="2" spans="1:8">
      <c r="A2" s="54" t="s">
        <v>8</v>
      </c>
      <c r="B2" s="54" t="s">
        <v>9</v>
      </c>
      <c r="C2" s="54" t="s">
        <v>10</v>
      </c>
      <c r="D2" s="54" t="s">
        <v>11</v>
      </c>
      <c r="E2" s="54" t="s">
        <v>12</v>
      </c>
      <c r="F2" s="55"/>
      <c r="G2" s="56"/>
      <c r="H2" s="57"/>
    </row>
    <row r="3" ht="30" spans="1:8">
      <c r="A3" s="54" t="s">
        <v>13</v>
      </c>
      <c r="B3" s="54" t="s">
        <v>14</v>
      </c>
      <c r="C3" s="54" t="s">
        <v>15</v>
      </c>
      <c r="D3" s="58" t="s">
        <v>16</v>
      </c>
      <c r="E3" s="54" t="s">
        <v>12</v>
      </c>
      <c r="F3" s="55"/>
      <c r="G3" s="56"/>
      <c r="H3" s="57"/>
    </row>
    <row r="4" spans="1:8">
      <c r="A4" s="54" t="s">
        <v>17</v>
      </c>
      <c r="B4" s="54" t="s">
        <v>18</v>
      </c>
      <c r="C4" s="54" t="s">
        <v>19</v>
      </c>
      <c r="D4" s="58" t="s">
        <v>16</v>
      </c>
      <c r="E4" s="54" t="s">
        <v>12</v>
      </c>
      <c r="F4" s="55"/>
      <c r="G4" s="56"/>
      <c r="H4" s="57"/>
    </row>
    <row r="5" spans="1:8">
      <c r="A5" s="54" t="s">
        <v>20</v>
      </c>
      <c r="B5" s="54" t="s">
        <v>21</v>
      </c>
      <c r="C5" s="54" t="s">
        <v>22</v>
      </c>
      <c r="D5" s="58" t="s">
        <v>16</v>
      </c>
      <c r="E5" s="54" t="s">
        <v>12</v>
      </c>
      <c r="F5" s="55"/>
      <c r="G5" s="56"/>
      <c r="H5" s="57"/>
    </row>
    <row r="6" ht="30" spans="1:8">
      <c r="A6" s="54" t="s">
        <v>23</v>
      </c>
      <c r="B6" s="54" t="s">
        <v>24</v>
      </c>
      <c r="C6" s="54" t="s">
        <v>25</v>
      </c>
      <c r="D6" s="54" t="s">
        <v>26</v>
      </c>
      <c r="E6" s="54" t="s">
        <v>12</v>
      </c>
      <c r="F6" s="55"/>
      <c r="G6" s="56"/>
      <c r="H6" s="57"/>
    </row>
    <row r="7" ht="30" spans="1:8">
      <c r="A7" s="54" t="s">
        <v>27</v>
      </c>
      <c r="B7" s="54" t="s">
        <v>28</v>
      </c>
      <c r="C7" s="54" t="s">
        <v>29</v>
      </c>
      <c r="D7" s="54" t="s">
        <v>30</v>
      </c>
      <c r="E7" s="54" t="s">
        <v>12</v>
      </c>
      <c r="F7" s="55"/>
      <c r="G7" s="56"/>
      <c r="H7" s="57"/>
    </row>
    <row r="8" spans="1:8">
      <c r="A8" s="54" t="s">
        <v>31</v>
      </c>
      <c r="B8" s="54" t="s">
        <v>32</v>
      </c>
      <c r="C8" s="54" t="s">
        <v>33</v>
      </c>
      <c r="D8" s="54" t="s">
        <v>26</v>
      </c>
      <c r="E8" s="54" t="s">
        <v>12</v>
      </c>
      <c r="F8" s="59" t="s">
        <v>34</v>
      </c>
      <c r="G8" s="56" t="s">
        <v>35</v>
      </c>
      <c r="H8" s="57"/>
    </row>
    <row r="9" ht="30" spans="1:8">
      <c r="A9" s="54" t="s">
        <v>36</v>
      </c>
      <c r="B9" s="54" t="s">
        <v>37</v>
      </c>
      <c r="C9" s="54" t="s">
        <v>38</v>
      </c>
      <c r="D9" s="54" t="s">
        <v>30</v>
      </c>
      <c r="E9" s="60" t="s">
        <v>39</v>
      </c>
      <c r="F9" s="61"/>
      <c r="G9" s="56"/>
      <c r="H9" s="57"/>
    </row>
    <row r="10" spans="1:8">
      <c r="A10" s="54" t="s">
        <v>40</v>
      </c>
      <c r="B10" s="54" t="s">
        <v>41</v>
      </c>
      <c r="C10" s="54" t="s">
        <v>42</v>
      </c>
      <c r="D10" s="54" t="s">
        <v>43</v>
      </c>
      <c r="E10" s="60" t="s">
        <v>44</v>
      </c>
      <c r="F10" s="61"/>
      <c r="G10" s="56"/>
      <c r="H10" s="57"/>
    </row>
    <row r="11" ht="30" spans="1:8">
      <c r="A11" s="54" t="s">
        <v>45</v>
      </c>
      <c r="B11" s="54" t="s">
        <v>46</v>
      </c>
      <c r="C11" s="54" t="s">
        <v>47</v>
      </c>
      <c r="D11" s="54" t="s">
        <v>43</v>
      </c>
      <c r="E11" s="60" t="s">
        <v>44</v>
      </c>
      <c r="F11" s="61"/>
      <c r="G11" s="56"/>
      <c r="H11" s="57"/>
    </row>
    <row r="12" ht="30" spans="1:8">
      <c r="A12" s="54" t="s">
        <v>48</v>
      </c>
      <c r="B12" s="54" t="s">
        <v>49</v>
      </c>
      <c r="C12" s="54" t="s">
        <v>50</v>
      </c>
      <c r="D12" s="54" t="s">
        <v>51</v>
      </c>
      <c r="E12" s="60" t="s">
        <v>52</v>
      </c>
      <c r="F12" s="61"/>
      <c r="G12" s="56"/>
      <c r="H12" s="57"/>
    </row>
    <row r="13" spans="1:8">
      <c r="A13" s="54"/>
      <c r="B13" s="54"/>
      <c r="C13" s="54"/>
      <c r="D13" s="54" t="s">
        <v>53</v>
      </c>
      <c r="E13" s="60"/>
      <c r="F13" s="55">
        <v>1</v>
      </c>
      <c r="G13" s="56"/>
      <c r="H13" s="57"/>
    </row>
    <row r="14" ht="75" spans="1:8">
      <c r="A14" s="54" t="s">
        <v>54</v>
      </c>
      <c r="B14" s="54" t="s">
        <v>55</v>
      </c>
      <c r="C14" s="54" t="s">
        <v>56</v>
      </c>
      <c r="D14" s="54" t="s">
        <v>57</v>
      </c>
      <c r="E14" s="60" t="s">
        <v>44</v>
      </c>
      <c r="F14" s="62">
        <f>IF(F13=1,60%*(F10-F12),75%*(F10-F12))</f>
        <v>0</v>
      </c>
      <c r="G14" s="56"/>
      <c r="H14" s="57"/>
    </row>
    <row r="15" ht="75" spans="1:8">
      <c r="A15" s="54" t="s">
        <v>58</v>
      </c>
      <c r="B15" s="54" t="s">
        <v>59</v>
      </c>
      <c r="C15" s="54" t="s">
        <v>56</v>
      </c>
      <c r="D15" s="54" t="s">
        <v>57</v>
      </c>
      <c r="E15" s="60" t="s">
        <v>44</v>
      </c>
      <c r="F15" s="62">
        <f>IF(F13=1,40%*(F10-F12),25%*(F10-F12))</f>
        <v>0</v>
      </c>
      <c r="G15" s="56"/>
      <c r="H15" s="57"/>
    </row>
    <row r="16" spans="1:8">
      <c r="A16" s="54" t="s">
        <v>60</v>
      </c>
      <c r="B16" s="54" t="s">
        <v>61</v>
      </c>
      <c r="C16" s="54" t="s">
        <v>62</v>
      </c>
      <c r="D16" s="58" t="s">
        <v>16</v>
      </c>
      <c r="E16" s="54" t="s">
        <v>12</v>
      </c>
      <c r="F16" s="63">
        <v>450000000</v>
      </c>
      <c r="G16" s="56" t="s">
        <v>63</v>
      </c>
      <c r="H16" s="57">
        <f t="shared" ref="H16:H23" si="0">F16</f>
        <v>450000000</v>
      </c>
    </row>
    <row r="17" spans="1:9">
      <c r="A17" s="54" t="s">
        <v>64</v>
      </c>
      <c r="B17" s="54" t="s">
        <v>65</v>
      </c>
      <c r="C17" s="54" t="s">
        <v>66</v>
      </c>
      <c r="D17" s="54" t="s">
        <v>67</v>
      </c>
      <c r="E17" s="54" t="s">
        <v>12</v>
      </c>
      <c r="F17" s="63">
        <v>1</v>
      </c>
      <c r="G17" s="56" t="s">
        <v>35</v>
      </c>
      <c r="H17" s="57">
        <f t="shared" si="0"/>
        <v>1</v>
      </c>
    </row>
    <row r="18" ht="30" spans="1:9">
      <c r="A18" s="54" t="s">
        <v>68</v>
      </c>
      <c r="B18" s="54" t="s">
        <v>69</v>
      </c>
      <c r="C18" s="54" t="s">
        <v>70</v>
      </c>
      <c r="D18" s="54" t="s">
        <v>71</v>
      </c>
      <c r="E18" s="54" t="s">
        <v>12</v>
      </c>
      <c r="F18" s="63">
        <f>MAX(F16,F17)</f>
        <v>450000000</v>
      </c>
      <c r="G18" s="56" t="s">
        <v>72</v>
      </c>
      <c r="H18" s="57">
        <f t="shared" si="0"/>
        <v>450000000</v>
      </c>
    </row>
    <row r="19" ht="30" spans="1:9">
      <c r="A19" s="54" t="s">
        <v>73</v>
      </c>
      <c r="B19" s="54" t="s">
        <v>74</v>
      </c>
      <c r="C19" s="54" t="s">
        <v>75</v>
      </c>
      <c r="D19" s="58" t="s">
        <v>16</v>
      </c>
      <c r="E19" s="54" t="s">
        <v>12</v>
      </c>
      <c r="F19" s="63">
        <v>50000000</v>
      </c>
      <c r="G19" s="56" t="s">
        <v>63</v>
      </c>
      <c r="H19" s="57">
        <f t="shared" si="0"/>
        <v>50000000</v>
      </c>
    </row>
    <row r="20" ht="30" spans="1:9">
      <c r="A20" s="54" t="s">
        <v>76</v>
      </c>
      <c r="B20" s="54" t="s">
        <v>77</v>
      </c>
      <c r="C20" s="54" t="s">
        <v>78</v>
      </c>
      <c r="D20" s="58" t="s">
        <v>16</v>
      </c>
      <c r="E20" s="54" t="s">
        <v>12</v>
      </c>
      <c r="F20" s="63">
        <v>0</v>
      </c>
      <c r="G20" s="56" t="s">
        <v>63</v>
      </c>
      <c r="H20" s="57">
        <f t="shared" si="0"/>
        <v>0</v>
      </c>
    </row>
    <row r="21" ht="30" spans="1:9">
      <c r="A21" s="54" t="s">
        <v>79</v>
      </c>
      <c r="B21" s="54" t="s">
        <v>80</v>
      </c>
      <c r="C21" s="54" t="s">
        <v>81</v>
      </c>
      <c r="D21" s="54" t="s">
        <v>82</v>
      </c>
      <c r="E21" s="54" t="s">
        <v>83</v>
      </c>
      <c r="F21" s="63">
        <v>0</v>
      </c>
      <c r="G21" s="56" t="s">
        <v>35</v>
      </c>
      <c r="H21" s="57">
        <f t="shared" si="0"/>
        <v>0</v>
      </c>
    </row>
    <row r="22" ht="30" spans="1:9">
      <c r="A22" s="54" t="s">
        <v>84</v>
      </c>
      <c r="B22" s="54" t="s">
        <v>85</v>
      </c>
      <c r="C22" s="54" t="s">
        <v>86</v>
      </c>
      <c r="D22" s="54" t="s">
        <v>87</v>
      </c>
      <c r="E22" s="54" t="s">
        <v>12</v>
      </c>
      <c r="F22" s="63">
        <f t="shared" ref="F22:F24" si="1">F19</f>
        <v>50000000</v>
      </c>
      <c r="G22" s="56" t="s">
        <v>72</v>
      </c>
      <c r="H22" s="57">
        <f t="shared" si="0"/>
        <v>50000000</v>
      </c>
      <c r="I22" s="64" t="s">
        <v>88</v>
      </c>
    </row>
    <row r="23" ht="30" spans="1:9">
      <c r="A23" s="54" t="s">
        <v>89</v>
      </c>
      <c r="B23" s="54" t="s">
        <v>90</v>
      </c>
      <c r="C23" s="54" t="s">
        <v>91</v>
      </c>
      <c r="D23" s="54" t="s">
        <v>87</v>
      </c>
      <c r="E23" s="54" t="s">
        <v>12</v>
      </c>
      <c r="F23" s="63">
        <f t="shared" si="1"/>
        <v>0</v>
      </c>
      <c r="G23" s="56" t="s">
        <v>72</v>
      </c>
      <c r="H23" s="57">
        <f t="shared" si="0"/>
        <v>0</v>
      </c>
      <c r="I23" s="64" t="s">
        <v>88</v>
      </c>
    </row>
    <row r="24" ht="30" spans="1:9">
      <c r="A24" s="54" t="s">
        <v>92</v>
      </c>
      <c r="B24" s="54" t="s">
        <v>93</v>
      </c>
      <c r="C24" s="54" t="s">
        <v>94</v>
      </c>
      <c r="D24" s="54" t="s">
        <v>87</v>
      </c>
      <c r="E24" s="54" t="s">
        <v>95</v>
      </c>
      <c r="F24" s="63">
        <f t="shared" si="1"/>
        <v>0</v>
      </c>
      <c r="G24" s="56" t="s">
        <v>72</v>
      </c>
      <c r="H24" s="57">
        <v>1</v>
      </c>
      <c r="I24" s="64" t="s">
        <v>88</v>
      </c>
    </row>
    <row r="25" ht="120" spans="1:9">
      <c r="A25" s="54" t="s">
        <v>96</v>
      </c>
      <c r="B25" s="54" t="s">
        <v>97</v>
      </c>
      <c r="C25" s="54" t="s">
        <v>98</v>
      </c>
      <c r="D25" s="54" t="s">
        <v>99</v>
      </c>
      <c r="E25" s="54" t="s">
        <v>12</v>
      </c>
      <c r="F25" s="63">
        <f>F19+F20-F21</f>
        <v>50000000</v>
      </c>
      <c r="G25" s="56" t="s">
        <v>72</v>
      </c>
      <c r="H25" s="65">
        <f>H22+H23-H24</f>
        <v>49999999</v>
      </c>
    </row>
    <row r="26" ht="30" spans="1:9">
      <c r="A26" s="54" t="s">
        <v>100</v>
      </c>
      <c r="B26" s="54" t="s">
        <v>101</v>
      </c>
      <c r="C26" s="54" t="s">
        <v>102</v>
      </c>
      <c r="D26" s="54" t="s">
        <v>103</v>
      </c>
      <c r="E26" s="54" t="s">
        <v>12</v>
      </c>
      <c r="F26" s="63">
        <f>75%*(F25-F18)</f>
        <v>-300000000</v>
      </c>
      <c r="G26" s="56" t="s">
        <v>72</v>
      </c>
      <c r="H26" s="55">
        <f>75%*(H25-H18)</f>
        <v>-300000000.75</v>
      </c>
    </row>
    <row r="27" ht="45" spans="1:9">
      <c r="A27" s="54" t="s">
        <v>104</v>
      </c>
      <c r="B27" s="54" t="s">
        <v>105</v>
      </c>
      <c r="C27" s="54" t="s">
        <v>106</v>
      </c>
      <c r="D27" s="54" t="s">
        <v>107</v>
      </c>
      <c r="E27" s="54" t="s">
        <v>12</v>
      </c>
      <c r="F27" s="66">
        <f>IF(F8="N",75%*F26,IF(F8="Y",100%*F26,""))</f>
        <v>-225000000</v>
      </c>
      <c r="G27" s="67" t="s">
        <v>72</v>
      </c>
      <c r="H27" s="68">
        <f t="shared" ref="H27:H29" si="2">F27</f>
        <v>-225000000</v>
      </c>
    </row>
    <row r="28" spans="1:9">
      <c r="A28" s="54" t="s">
        <v>108</v>
      </c>
      <c r="B28" s="54" t="s">
        <v>109</v>
      </c>
      <c r="C28" s="54" t="s">
        <v>110</v>
      </c>
      <c r="D28" s="58" t="s">
        <v>111</v>
      </c>
      <c r="E28" s="54" t="s">
        <v>12</v>
      </c>
      <c r="F28" s="63">
        <v>26550000</v>
      </c>
      <c r="G28" s="56" t="s">
        <v>63</v>
      </c>
      <c r="H28" s="57">
        <f t="shared" si="2"/>
        <v>26550000</v>
      </c>
    </row>
    <row r="29" ht="45" spans="1:9">
      <c r="A29" s="54" t="s">
        <v>112</v>
      </c>
      <c r="B29" s="54" t="s">
        <v>113</v>
      </c>
      <c r="C29" s="54" t="s">
        <v>114</v>
      </c>
      <c r="D29" s="58" t="s">
        <v>115</v>
      </c>
      <c r="E29" s="54" t="s">
        <v>12</v>
      </c>
      <c r="F29" s="63">
        <v>0</v>
      </c>
      <c r="G29" s="56" t="s">
        <v>63</v>
      </c>
      <c r="H29" s="57">
        <f t="shared" si="2"/>
        <v>0</v>
      </c>
    </row>
    <row r="30" ht="30" spans="1:9">
      <c r="A30" s="54" t="s">
        <v>116</v>
      </c>
      <c r="B30" s="54" t="s">
        <v>117</v>
      </c>
      <c r="C30" s="54" t="s">
        <v>118</v>
      </c>
      <c r="D30" s="54" t="s">
        <v>119</v>
      </c>
      <c r="E30" s="54" t="s">
        <v>12</v>
      </c>
      <c r="F30" s="63">
        <f>3*(F28+F29)</f>
        <v>79650000</v>
      </c>
      <c r="G30" s="56" t="s">
        <v>72</v>
      </c>
      <c r="H30" s="55">
        <f>3*(H28+H29)</f>
        <v>79650000</v>
      </c>
    </row>
    <row r="31" ht="30" spans="1:9">
      <c r="A31" s="54" t="s">
        <v>120</v>
      </c>
      <c r="B31" s="54" t="s">
        <v>121</v>
      </c>
      <c r="C31" s="54" t="s">
        <v>121</v>
      </c>
      <c r="D31" s="69" t="s">
        <v>122</v>
      </c>
      <c r="E31" s="54" t="s">
        <v>12</v>
      </c>
      <c r="F31" s="63">
        <v>0</v>
      </c>
      <c r="G31" s="56"/>
      <c r="H31" s="57">
        <v>0</v>
      </c>
    </row>
    <row r="32" spans="1:9">
      <c r="A32" s="54" t="s">
        <v>123</v>
      </c>
      <c r="B32" s="54" t="s">
        <v>124</v>
      </c>
      <c r="C32" s="54" t="s">
        <v>124</v>
      </c>
      <c r="D32" s="54" t="s">
        <v>125</v>
      </c>
      <c r="E32" s="54" t="s">
        <v>126</v>
      </c>
      <c r="F32" s="63">
        <f>F30-F31</f>
        <v>79650000</v>
      </c>
      <c r="G32" s="56" t="s">
        <v>72</v>
      </c>
      <c r="H32" s="55">
        <f>H30-H31</f>
        <v>79650000</v>
      </c>
    </row>
    <row r="33" ht="60" spans="1:8">
      <c r="A33" s="54" t="s">
        <v>127</v>
      </c>
      <c r="B33" s="54" t="s">
        <v>128</v>
      </c>
      <c r="C33" s="54" t="s">
        <v>129</v>
      </c>
      <c r="D33" s="54" t="s">
        <v>130</v>
      </c>
      <c r="E33" s="54" t="s">
        <v>12</v>
      </c>
      <c r="F33" s="66">
        <f>IF(F27&lt;=F32,F27,F32)</f>
        <v>-225000000</v>
      </c>
      <c r="G33" s="56" t="s">
        <v>72</v>
      </c>
      <c r="H33" s="25">
        <f>IF(H27&lt;=H32,H27,H32)</f>
        <v>-225000000</v>
      </c>
    </row>
    <row r="34" spans="1:8">
      <c r="A34" s="54" t="s">
        <v>131</v>
      </c>
      <c r="B34" s="54" t="s">
        <v>132</v>
      </c>
      <c r="C34" s="54" t="s">
        <v>133</v>
      </c>
      <c r="D34" s="54" t="s">
        <v>134</v>
      </c>
      <c r="E34" s="54" t="s">
        <v>12</v>
      </c>
      <c r="F34" s="66">
        <f>F32-F33</f>
        <v>304650000</v>
      </c>
      <c r="G34" s="67" t="s">
        <v>72</v>
      </c>
      <c r="H34" s="25">
        <f>H32-H33</f>
        <v>304650000</v>
      </c>
    </row>
    <row r="35" ht="30" spans="1:8">
      <c r="A35" s="54" t="s">
        <v>135</v>
      </c>
      <c r="B35" s="54" t="s">
        <v>136</v>
      </c>
      <c r="C35" s="54" t="s">
        <v>137</v>
      </c>
      <c r="D35" s="58" t="s">
        <v>138</v>
      </c>
      <c r="E35" s="54" t="s">
        <v>12</v>
      </c>
      <c r="F35" s="63" t="b">
        <f>IF(F33&lt;F27,F27-F33)</f>
        <v>0</v>
      </c>
      <c r="G35" s="56" t="s">
        <v>72</v>
      </c>
      <c r="H35" s="57"/>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I29"/>
  <sheetViews>
    <sheetView tabSelected="1" topLeftCell="A16" workbookViewId="0">
      <selection activeCell="E18" sqref="E18"/>
    </sheetView>
  </sheetViews>
  <sheetFormatPr defaultColWidth="9.14285714285714" defaultRowHeight="15"/>
  <cols>
    <col min="1" max="1" width="6.71428571428571" style="15" customWidth="1"/>
    <col min="2" max="2" width="34.5714285714286" style="15" customWidth="1"/>
    <col min="3" max="3" width="27.4285714285714" style="15" customWidth="1"/>
    <col min="4" max="4" width="48.2857142857143" style="15" customWidth="1"/>
    <col min="5" max="5" width="25" style="15" customWidth="1"/>
    <col min="6" max="6" width="21.2857142857143" style="29" customWidth="1"/>
    <col min="7" max="7" width="16.5714285714286" style="30" customWidth="1"/>
    <col min="8" max="8" width="21" style="31" customWidth="1"/>
    <col min="9" max="16384" width="9.14285714285714" style="32"/>
  </cols>
  <sheetData>
    <row r="1" spans="1:9">
      <c r="A1" s="3" t="s">
        <v>0</v>
      </c>
      <c r="B1" s="3" t="s">
        <v>1</v>
      </c>
      <c r="C1" s="3" t="s">
        <v>2</v>
      </c>
      <c r="D1" s="3" t="s">
        <v>3</v>
      </c>
      <c r="E1" s="3" t="s">
        <v>4</v>
      </c>
      <c r="F1" s="33" t="s">
        <v>5</v>
      </c>
      <c r="G1" s="3" t="s">
        <v>6</v>
      </c>
      <c r="H1" s="33" t="s">
        <v>7</v>
      </c>
    </row>
    <row r="2" s="28" customFormat="1" spans="1:9">
      <c r="A2" s="34" t="s">
        <v>8</v>
      </c>
      <c r="B2" s="35" t="s">
        <v>9</v>
      </c>
      <c r="C2" s="35" t="s">
        <v>10</v>
      </c>
      <c r="D2" s="35" t="s">
        <v>11</v>
      </c>
      <c r="E2" s="35" t="s">
        <v>12</v>
      </c>
      <c r="F2" s="36"/>
      <c r="G2" s="37"/>
      <c r="H2" s="38"/>
    </row>
    <row r="3" s="28" customFormat="1" ht="60" spans="1:9">
      <c r="A3" s="34" t="s">
        <v>13</v>
      </c>
      <c r="B3" s="35" t="s">
        <v>14</v>
      </c>
      <c r="C3" s="35" t="s">
        <v>15</v>
      </c>
      <c r="D3" s="35" t="s">
        <v>16</v>
      </c>
      <c r="E3" s="35" t="s">
        <v>12</v>
      </c>
      <c r="F3" s="36"/>
      <c r="G3" s="37"/>
      <c r="H3" s="38"/>
    </row>
    <row r="4" s="28" customFormat="1" ht="30" spans="1:9">
      <c r="A4" s="34" t="s">
        <v>17</v>
      </c>
      <c r="B4" s="35" t="s">
        <v>18</v>
      </c>
      <c r="C4" s="35" t="s">
        <v>19</v>
      </c>
      <c r="D4" s="35" t="s">
        <v>16</v>
      </c>
      <c r="E4" s="35" t="s">
        <v>12</v>
      </c>
      <c r="F4" s="36"/>
      <c r="G4" s="37"/>
      <c r="H4" s="38"/>
    </row>
    <row r="5" s="28" customFormat="1" ht="30" spans="1:9">
      <c r="A5" s="34" t="s">
        <v>20</v>
      </c>
      <c r="B5" s="35" t="s">
        <v>21</v>
      </c>
      <c r="C5" s="35" t="s">
        <v>22</v>
      </c>
      <c r="D5" s="35" t="s">
        <v>16</v>
      </c>
      <c r="E5" s="35" t="s">
        <v>12</v>
      </c>
      <c r="F5" s="36"/>
      <c r="G5" s="37"/>
      <c r="H5" s="38"/>
    </row>
    <row r="6" s="28" customFormat="1" ht="60" spans="1:9">
      <c r="A6" s="34" t="s">
        <v>23</v>
      </c>
      <c r="B6" s="35" t="s">
        <v>24</v>
      </c>
      <c r="C6" s="35" t="s">
        <v>25</v>
      </c>
      <c r="D6" s="35" t="s">
        <v>26</v>
      </c>
      <c r="E6" s="35" t="s">
        <v>12</v>
      </c>
      <c r="F6" s="36"/>
      <c r="G6" s="37"/>
      <c r="H6" s="38"/>
    </row>
    <row r="7" s="28" customFormat="1" ht="90" spans="1:9">
      <c r="A7" s="34" t="s">
        <v>27</v>
      </c>
      <c r="B7" s="35" t="s">
        <v>28</v>
      </c>
      <c r="C7" s="35" t="s">
        <v>29</v>
      </c>
      <c r="D7" s="35" t="s">
        <v>30</v>
      </c>
      <c r="E7" s="35" t="s">
        <v>12</v>
      </c>
      <c r="F7" s="36"/>
      <c r="G7" s="37"/>
      <c r="H7" s="38"/>
    </row>
    <row r="8" s="28" customFormat="1" spans="1:9">
      <c r="A8" s="34" t="s">
        <v>31</v>
      </c>
      <c r="B8" s="35" t="s">
        <v>32</v>
      </c>
      <c r="C8" s="35" t="s">
        <v>33</v>
      </c>
      <c r="D8" s="35" t="s">
        <v>26</v>
      </c>
      <c r="E8" s="35" t="s">
        <v>12</v>
      </c>
      <c r="F8" s="36" t="s">
        <v>34</v>
      </c>
      <c r="G8" s="37" t="s">
        <v>35</v>
      </c>
      <c r="H8" s="38"/>
    </row>
    <row r="9" spans="1:9">
      <c r="A9" s="39"/>
      <c r="B9" s="40"/>
      <c r="C9" s="40"/>
      <c r="D9" s="21" t="s">
        <v>53</v>
      </c>
      <c r="E9" s="21"/>
      <c r="F9" s="41">
        <v>1</v>
      </c>
      <c r="G9" s="42"/>
      <c r="H9" s="43"/>
    </row>
    <row r="10" ht="30" spans="1:9">
      <c r="A10" s="39" t="s">
        <v>60</v>
      </c>
      <c r="B10" s="40" t="s">
        <v>61</v>
      </c>
      <c r="C10" s="40" t="s">
        <v>62</v>
      </c>
      <c r="D10" s="44" t="s">
        <v>16</v>
      </c>
      <c r="E10" s="40" t="s">
        <v>12</v>
      </c>
      <c r="F10" s="45">
        <v>50000000</v>
      </c>
      <c r="G10" s="42" t="s">
        <v>35</v>
      </c>
      <c r="H10" s="43">
        <f t="shared" ref="H10:H17" si="0">F10</f>
        <v>50000000</v>
      </c>
    </row>
    <row r="11" ht="30" spans="1:9">
      <c r="A11" s="39" t="s">
        <v>64</v>
      </c>
      <c r="B11" s="40" t="s">
        <v>65</v>
      </c>
      <c r="C11" s="40" t="s">
        <v>66</v>
      </c>
      <c r="D11" s="40" t="s">
        <v>67</v>
      </c>
      <c r="E11" s="40" t="s">
        <v>12</v>
      </c>
      <c r="F11" s="45">
        <v>1</v>
      </c>
      <c r="G11" s="42" t="s">
        <v>35</v>
      </c>
      <c r="H11" s="43">
        <f t="shared" si="0"/>
        <v>1</v>
      </c>
    </row>
    <row r="12" ht="30" spans="1:9">
      <c r="A12" s="39" t="s">
        <v>68</v>
      </c>
      <c r="B12" s="40" t="s">
        <v>69</v>
      </c>
      <c r="C12" s="40" t="s">
        <v>70</v>
      </c>
      <c r="D12" s="40" t="s">
        <v>71</v>
      </c>
      <c r="E12" s="40" t="s">
        <v>12</v>
      </c>
      <c r="F12" s="45">
        <f>MAX(F10,F11)</f>
        <v>50000000</v>
      </c>
      <c r="G12" s="42" t="s">
        <v>72</v>
      </c>
      <c r="H12" s="43">
        <f t="shared" si="0"/>
        <v>50000000</v>
      </c>
    </row>
    <row r="13" ht="75" spans="1:9">
      <c r="A13" s="39" t="s">
        <v>73</v>
      </c>
      <c r="B13" s="40" t="s">
        <v>74</v>
      </c>
      <c r="C13" s="40" t="s">
        <v>75</v>
      </c>
      <c r="D13" s="44" t="s">
        <v>16</v>
      </c>
      <c r="E13" s="40" t="s">
        <v>12</v>
      </c>
      <c r="F13" s="45">
        <v>300000000</v>
      </c>
      <c r="G13" s="42" t="s">
        <v>35</v>
      </c>
      <c r="H13" s="43">
        <f t="shared" si="0"/>
        <v>300000000</v>
      </c>
    </row>
    <row r="14" ht="60" spans="1:9">
      <c r="A14" s="39" t="s">
        <v>76</v>
      </c>
      <c r="B14" s="40" t="s">
        <v>77</v>
      </c>
      <c r="C14" s="40" t="s">
        <v>78</v>
      </c>
      <c r="D14" s="44" t="s">
        <v>16</v>
      </c>
      <c r="E14" s="40" t="s">
        <v>12</v>
      </c>
      <c r="F14" s="45">
        <v>100</v>
      </c>
      <c r="G14" s="42" t="s">
        <v>63</v>
      </c>
      <c r="H14" s="43">
        <f t="shared" si="0"/>
        <v>100</v>
      </c>
    </row>
    <row r="15" ht="60" spans="1:9">
      <c r="A15" s="39" t="s">
        <v>79</v>
      </c>
      <c r="B15" s="40" t="s">
        <v>80</v>
      </c>
      <c r="C15" s="40" t="s">
        <v>81</v>
      </c>
      <c r="D15" s="40" t="s">
        <v>82</v>
      </c>
      <c r="E15" s="40" t="s">
        <v>83</v>
      </c>
      <c r="F15" s="45">
        <v>1</v>
      </c>
      <c r="G15" s="42" t="s">
        <v>35</v>
      </c>
      <c r="H15" s="43">
        <f t="shared" si="0"/>
        <v>1</v>
      </c>
    </row>
    <row r="16" ht="75" spans="1:9">
      <c r="A16" s="39" t="s">
        <v>84</v>
      </c>
      <c r="B16" s="40" t="s">
        <v>85</v>
      </c>
      <c r="C16" s="40" t="s">
        <v>86</v>
      </c>
      <c r="D16" s="40" t="s">
        <v>87</v>
      </c>
      <c r="E16" s="40" t="s">
        <v>12</v>
      </c>
      <c r="F16" s="45">
        <f>F13</f>
        <v>300000000</v>
      </c>
      <c r="G16" s="42" t="s">
        <v>72</v>
      </c>
      <c r="H16" s="43">
        <f t="shared" si="0"/>
        <v>300000000</v>
      </c>
      <c r="I16" s="46" t="s">
        <v>88</v>
      </c>
    </row>
    <row r="17" ht="75" spans="1:9">
      <c r="A17" s="39" t="s">
        <v>89</v>
      </c>
      <c r="B17" s="40" t="s">
        <v>90</v>
      </c>
      <c r="C17" s="40" t="s">
        <v>91</v>
      </c>
      <c r="D17" s="40" t="s">
        <v>87</v>
      </c>
      <c r="E17" s="40" t="s">
        <v>12</v>
      </c>
      <c r="F17" s="45">
        <f>F14</f>
        <v>100</v>
      </c>
      <c r="G17" s="42" t="s">
        <v>72</v>
      </c>
      <c r="H17" s="43">
        <f t="shared" si="0"/>
        <v>100</v>
      </c>
      <c r="I17" s="46" t="s">
        <v>88</v>
      </c>
    </row>
    <row r="18" ht="75" spans="1:9">
      <c r="A18" s="39" t="s">
        <v>92</v>
      </c>
      <c r="B18" s="40" t="s">
        <v>93</v>
      </c>
      <c r="C18" s="40" t="s">
        <v>94</v>
      </c>
      <c r="D18" s="40" t="s">
        <v>87</v>
      </c>
      <c r="E18" s="40" t="s">
        <v>95</v>
      </c>
      <c r="F18" s="45">
        <f>F15</f>
        <v>1</v>
      </c>
      <c r="G18" s="42" t="s">
        <v>72</v>
      </c>
      <c r="H18" s="43">
        <v>1</v>
      </c>
      <c r="I18" s="46" t="s">
        <v>88</v>
      </c>
    </row>
    <row r="19" ht="120" spans="1:9">
      <c r="A19" s="39" t="s">
        <v>96</v>
      </c>
      <c r="B19" s="40" t="s">
        <v>97</v>
      </c>
      <c r="C19" s="40" t="s">
        <v>98</v>
      </c>
      <c r="D19" s="40" t="s">
        <v>99</v>
      </c>
      <c r="E19" s="40" t="s">
        <v>12</v>
      </c>
      <c r="F19" s="45">
        <f>F13+F14-F15</f>
        <v>300000099</v>
      </c>
      <c r="G19" s="42" t="s">
        <v>72</v>
      </c>
      <c r="H19" s="47">
        <f>H16+H17-H18</f>
        <v>300000099</v>
      </c>
    </row>
    <row r="20" ht="75" spans="1:9">
      <c r="A20" s="39" t="s">
        <v>100</v>
      </c>
      <c r="B20" s="40" t="s">
        <v>101</v>
      </c>
      <c r="C20" s="40" t="s">
        <v>102</v>
      </c>
      <c r="D20" s="40" t="s">
        <v>139</v>
      </c>
      <c r="E20" s="40" t="s">
        <v>12</v>
      </c>
      <c r="F20" s="45">
        <f>IF(F9=1,60%*(F19-F12),75%*(F19-F12))</f>
        <v>150000059.4</v>
      </c>
      <c r="G20" s="42" t="s">
        <v>72</v>
      </c>
      <c r="H20" s="45">
        <f>75%*(H19-H12)</f>
        <v>187500074.25</v>
      </c>
    </row>
    <row r="21" ht="30" spans="1:9">
      <c r="A21" s="39" t="s">
        <v>104</v>
      </c>
      <c r="B21" s="40" t="s">
        <v>105</v>
      </c>
      <c r="C21" s="40" t="s">
        <v>106</v>
      </c>
      <c r="D21" s="40" t="s">
        <v>140</v>
      </c>
      <c r="E21" s="40" t="s">
        <v>12</v>
      </c>
      <c r="F21" s="48">
        <f>75%*F20</f>
        <v>112500044.55</v>
      </c>
      <c r="G21" s="49" t="s">
        <v>72</v>
      </c>
      <c r="H21" s="50">
        <f>F21</f>
        <v>112500044.55</v>
      </c>
    </row>
    <row r="22" ht="45" spans="1:9">
      <c r="A22" s="39" t="s">
        <v>108</v>
      </c>
      <c r="B22" s="40" t="s">
        <v>109</v>
      </c>
      <c r="C22" s="40" t="s">
        <v>110</v>
      </c>
      <c r="D22" s="44" t="s">
        <v>111</v>
      </c>
      <c r="E22" s="40" t="s">
        <v>12</v>
      </c>
      <c r="F22" s="45">
        <v>29500000</v>
      </c>
      <c r="G22" s="42" t="s">
        <v>141</v>
      </c>
      <c r="H22" s="43">
        <f>F22</f>
        <v>29500000</v>
      </c>
    </row>
    <row r="23" ht="45" spans="1:9">
      <c r="A23" s="39" t="s">
        <v>112</v>
      </c>
      <c r="B23" s="40" t="s">
        <v>113</v>
      </c>
      <c r="C23" s="40" t="s">
        <v>114</v>
      </c>
      <c r="D23" s="44" t="s">
        <v>115</v>
      </c>
      <c r="E23" s="40" t="s">
        <v>12</v>
      </c>
      <c r="F23" s="45">
        <v>0</v>
      </c>
      <c r="G23" s="42" t="s">
        <v>57</v>
      </c>
      <c r="H23" s="43">
        <f>F23</f>
        <v>0</v>
      </c>
    </row>
    <row r="24" ht="30" spans="1:9">
      <c r="A24" s="39" t="s">
        <v>116</v>
      </c>
      <c r="B24" s="40" t="s">
        <v>117</v>
      </c>
      <c r="C24" s="40" t="s">
        <v>118</v>
      </c>
      <c r="D24" s="40" t="s">
        <v>119</v>
      </c>
      <c r="E24" s="40" t="s">
        <v>12</v>
      </c>
      <c r="F24" s="45">
        <f>3*(F22+F23)</f>
        <v>88500000</v>
      </c>
      <c r="G24" s="42" t="s">
        <v>72</v>
      </c>
      <c r="H24" s="45">
        <f>3*(H22+H23)</f>
        <v>88500000</v>
      </c>
    </row>
    <row r="25" ht="30" spans="1:9">
      <c r="A25" s="39" t="s">
        <v>120</v>
      </c>
      <c r="B25" s="40" t="s">
        <v>121</v>
      </c>
      <c r="C25" s="40" t="s">
        <v>121</v>
      </c>
      <c r="D25" s="51" t="s">
        <v>122</v>
      </c>
      <c r="E25" s="40" t="s">
        <v>12</v>
      </c>
      <c r="F25" s="45">
        <v>0</v>
      </c>
      <c r="G25" s="42"/>
      <c r="H25" s="43">
        <v>0</v>
      </c>
    </row>
    <row r="26" ht="30" spans="1:9">
      <c r="A26" s="39" t="s">
        <v>123</v>
      </c>
      <c r="B26" s="40" t="s">
        <v>124</v>
      </c>
      <c r="C26" s="40" t="s">
        <v>124</v>
      </c>
      <c r="D26" s="40" t="s">
        <v>125</v>
      </c>
      <c r="E26" s="40" t="s">
        <v>126</v>
      </c>
      <c r="F26" s="45">
        <f>F24-F25</f>
        <v>88500000</v>
      </c>
      <c r="G26" s="42" t="s">
        <v>72</v>
      </c>
      <c r="H26" s="45">
        <f>H24-H25</f>
        <v>88500000</v>
      </c>
    </row>
    <row r="27" ht="90" spans="1:9">
      <c r="A27" s="39" t="s">
        <v>127</v>
      </c>
      <c r="B27" s="40" t="s">
        <v>128</v>
      </c>
      <c r="C27" s="40" t="s">
        <v>129</v>
      </c>
      <c r="D27" s="40" t="s">
        <v>130</v>
      </c>
      <c r="E27" s="40" t="s">
        <v>12</v>
      </c>
      <c r="F27" s="48">
        <f>IF(F21&lt;=F26,F21,F26)</f>
        <v>88500000</v>
      </c>
      <c r="G27" s="42" t="s">
        <v>72</v>
      </c>
      <c r="H27" s="48">
        <f>IF(H21&lt;=H26,H21,H26)</f>
        <v>88500000</v>
      </c>
    </row>
    <row r="28" ht="30" spans="1:9">
      <c r="A28" s="39" t="s">
        <v>131</v>
      </c>
      <c r="B28" s="40" t="s">
        <v>132</v>
      </c>
      <c r="C28" s="40" t="s">
        <v>133</v>
      </c>
      <c r="D28" s="40" t="s">
        <v>134</v>
      </c>
      <c r="E28" s="40" t="s">
        <v>12</v>
      </c>
      <c r="F28" s="48">
        <f>F26-F27</f>
        <v>0</v>
      </c>
      <c r="G28" s="49" t="s">
        <v>72</v>
      </c>
      <c r="H28" s="48">
        <f>H26-H27</f>
        <v>0</v>
      </c>
    </row>
    <row r="29" ht="30" spans="1:9">
      <c r="A29" s="39" t="s">
        <v>135</v>
      </c>
      <c r="B29" s="40" t="s">
        <v>136</v>
      </c>
      <c r="C29" s="40" t="s">
        <v>137</v>
      </c>
      <c r="D29" s="44" t="s">
        <v>138</v>
      </c>
      <c r="E29" s="40" t="s">
        <v>12</v>
      </c>
      <c r="F29" s="45">
        <f>IF(F27&lt;F21,(F21-F27),F27)</f>
        <v>24000044.55</v>
      </c>
      <c r="G29" s="42" t="s">
        <v>72</v>
      </c>
      <c r="H29" s="43"/>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H33"/>
  <sheetViews>
    <sheetView workbookViewId="0">
      <pane xSplit="1" topLeftCell="B1" activePane="topRight" state="frozen"/>
      <selection/>
      <selection pane="topRight" activeCell="C12" sqref="C12"/>
    </sheetView>
  </sheetViews>
  <sheetFormatPr defaultColWidth="9.14285714285714" defaultRowHeight="15" outlineLevelCol="7"/>
  <cols>
    <col min="1" max="1" width="10.4190476190476" style="14" customWidth="1"/>
    <col min="2" max="2" width="33.2857142857143" style="15" customWidth="1"/>
    <col min="3" max="3" width="52.1428571428571" style="15" customWidth="1"/>
    <col min="4" max="4" width="39.6571428571429" style="15" customWidth="1"/>
    <col min="5" max="5" width="26.2857142857143" style="15" customWidth="1"/>
    <col min="6" max="7" width="21.2857142857143" style="16" customWidth="1"/>
    <col min="8" max="16384" width="9.14285714285714" style="17"/>
  </cols>
  <sheetData>
    <row r="1" spans="1:7">
      <c r="A1" s="3" t="s">
        <v>0</v>
      </c>
      <c r="B1" s="3" t="s">
        <v>1</v>
      </c>
      <c r="C1" s="3" t="s">
        <v>2</v>
      </c>
      <c r="D1" s="3" t="s">
        <v>3</v>
      </c>
      <c r="E1" s="3" t="s">
        <v>4</v>
      </c>
      <c r="F1" s="18" t="s">
        <v>142</v>
      </c>
      <c r="G1" s="18" t="s">
        <v>143</v>
      </c>
    </row>
    <row r="2" spans="1:7">
      <c r="A2" s="3" t="s">
        <v>8</v>
      </c>
      <c r="B2" s="19" t="s">
        <v>9</v>
      </c>
      <c r="C2" s="19" t="s">
        <v>10</v>
      </c>
      <c r="D2" s="19" t="s">
        <v>11</v>
      </c>
      <c r="E2" s="19" t="s">
        <v>12</v>
      </c>
      <c r="F2" s="20"/>
      <c r="G2" s="20"/>
    </row>
    <row r="3" ht="30" spans="1:7">
      <c r="A3" s="3" t="s">
        <v>13</v>
      </c>
      <c r="B3" s="19" t="s">
        <v>14</v>
      </c>
      <c r="C3" s="19" t="s">
        <v>15</v>
      </c>
      <c r="D3" s="21" t="s">
        <v>16</v>
      </c>
      <c r="E3" s="19" t="s">
        <v>12</v>
      </c>
      <c r="F3" s="20"/>
      <c r="G3" s="20"/>
    </row>
    <row r="4" spans="1:7">
      <c r="A4" s="3" t="s">
        <v>17</v>
      </c>
      <c r="B4" s="19" t="s">
        <v>18</v>
      </c>
      <c r="C4" s="19" t="s">
        <v>19</v>
      </c>
      <c r="D4" s="21" t="s">
        <v>16</v>
      </c>
      <c r="E4" s="19" t="s">
        <v>12</v>
      </c>
      <c r="F4" s="20"/>
      <c r="G4" s="20"/>
    </row>
    <row r="5" spans="1:7">
      <c r="A5" s="3" t="s">
        <v>20</v>
      </c>
      <c r="B5" s="19" t="s">
        <v>21</v>
      </c>
      <c r="C5" s="19" t="s">
        <v>22</v>
      </c>
      <c r="D5" s="21" t="s">
        <v>16</v>
      </c>
      <c r="E5" s="19" t="s">
        <v>12</v>
      </c>
      <c r="F5" s="20"/>
      <c r="G5" s="20"/>
    </row>
    <row r="6" ht="30" spans="1:7">
      <c r="A6" s="3" t="s">
        <v>23</v>
      </c>
      <c r="B6" s="19" t="s">
        <v>24</v>
      </c>
      <c r="C6" s="19" t="s">
        <v>25</v>
      </c>
      <c r="D6" s="19" t="s">
        <v>26</v>
      </c>
      <c r="E6" s="19" t="s">
        <v>12</v>
      </c>
      <c r="F6" s="20"/>
      <c r="G6" s="20"/>
    </row>
    <row r="7" ht="30" spans="1:7">
      <c r="A7" s="3" t="s">
        <v>27</v>
      </c>
      <c r="B7" s="19" t="s">
        <v>28</v>
      </c>
      <c r="C7" s="19" t="s">
        <v>29</v>
      </c>
      <c r="D7" s="19" t="s">
        <v>30</v>
      </c>
      <c r="E7" s="19" t="s">
        <v>12</v>
      </c>
      <c r="F7" s="20"/>
      <c r="G7" s="20"/>
    </row>
    <row r="8" spans="1:7">
      <c r="A8" s="3" t="s">
        <v>31</v>
      </c>
      <c r="B8" s="19" t="s">
        <v>32</v>
      </c>
      <c r="C8" s="19" t="s">
        <v>33</v>
      </c>
      <c r="D8" s="19" t="s">
        <v>26</v>
      </c>
      <c r="E8" s="19" t="s">
        <v>12</v>
      </c>
      <c r="F8" s="22" t="s">
        <v>144</v>
      </c>
      <c r="G8" s="22" t="str">
        <f>F8</f>
        <v>Y</v>
      </c>
    </row>
    <row r="9" ht="30" spans="1:7">
      <c r="A9" s="3" t="s">
        <v>36</v>
      </c>
      <c r="B9" s="19" t="s">
        <v>37</v>
      </c>
      <c r="C9" s="19" t="s">
        <v>38</v>
      </c>
      <c r="D9" s="19" t="s">
        <v>30</v>
      </c>
      <c r="E9" s="23" t="s">
        <v>39</v>
      </c>
      <c r="F9" s="20"/>
      <c r="G9" s="20"/>
    </row>
    <row r="10" spans="1:7">
      <c r="A10" s="3" t="s">
        <v>40</v>
      </c>
      <c r="B10" s="19" t="s">
        <v>41</v>
      </c>
      <c r="C10" s="19" t="s">
        <v>42</v>
      </c>
      <c r="D10" s="19" t="s">
        <v>43</v>
      </c>
      <c r="E10" s="23" t="s">
        <v>44</v>
      </c>
      <c r="F10" s="20">
        <v>100</v>
      </c>
      <c r="G10" s="20">
        <f>F10</f>
        <v>100</v>
      </c>
    </row>
    <row r="11" ht="30" spans="1:7">
      <c r="A11" s="3" t="s">
        <v>48</v>
      </c>
      <c r="B11" s="19" t="s">
        <v>49</v>
      </c>
      <c r="C11" s="19" t="s">
        <v>50</v>
      </c>
      <c r="D11" s="19" t="s">
        <v>51</v>
      </c>
      <c r="E11" s="23" t="s">
        <v>52</v>
      </c>
      <c r="F11" s="20">
        <v>0</v>
      </c>
      <c r="G11" s="20">
        <f>F11</f>
        <v>0</v>
      </c>
    </row>
    <row r="12" spans="1:7">
      <c r="A12" s="3"/>
      <c r="B12" s="19"/>
      <c r="C12" s="19"/>
      <c r="D12" s="21"/>
      <c r="E12" s="21" t="s">
        <v>145</v>
      </c>
      <c r="F12" s="24">
        <v>1</v>
      </c>
      <c r="G12" s="25">
        <f>F12</f>
        <v>1</v>
      </c>
    </row>
    <row r="13" ht="60" spans="1:7">
      <c r="A13" s="3" t="s">
        <v>54</v>
      </c>
      <c r="B13" s="19" t="s">
        <v>55</v>
      </c>
      <c r="C13" s="19" t="s">
        <v>146</v>
      </c>
      <c r="D13" s="19" t="s">
        <v>57</v>
      </c>
      <c r="E13" s="23" t="s">
        <v>44</v>
      </c>
      <c r="F13" s="20">
        <f>IF(F12=1,60%*(F10-F11),75%*(F10-F11))</f>
        <v>60</v>
      </c>
      <c r="G13" s="20">
        <f>IF(G12=1,60%*(G10-G11),75%*(G10-G11))</f>
        <v>60</v>
      </c>
    </row>
    <row r="14" ht="60" spans="1:7">
      <c r="A14" s="3" t="s">
        <v>58</v>
      </c>
      <c r="B14" s="19" t="s">
        <v>59</v>
      </c>
      <c r="C14" s="19" t="s">
        <v>147</v>
      </c>
      <c r="D14" s="19" t="s">
        <v>57</v>
      </c>
      <c r="E14" s="23" t="s">
        <v>44</v>
      </c>
      <c r="F14" s="20">
        <f>IF(F12=1,40%*(F10-F11),25%*(F10-F11))</f>
        <v>40</v>
      </c>
      <c r="G14" s="20">
        <f>IF(G12=1,40%*(G10-G11),25%*(G10-G11))</f>
        <v>40</v>
      </c>
    </row>
    <row r="15" spans="1:7">
      <c r="A15" s="3" t="s">
        <v>60</v>
      </c>
      <c r="B15" s="19" t="s">
        <v>61</v>
      </c>
      <c r="C15" s="19" t="s">
        <v>62</v>
      </c>
      <c r="D15" s="21" t="s">
        <v>16</v>
      </c>
      <c r="E15" s="19" t="s">
        <v>12</v>
      </c>
      <c r="F15" s="20">
        <v>50000000</v>
      </c>
      <c r="G15" s="20">
        <f>F15</f>
        <v>50000000</v>
      </c>
    </row>
    <row r="16" spans="1:7">
      <c r="A16" s="3" t="s">
        <v>64</v>
      </c>
      <c r="B16" s="19" t="s">
        <v>65</v>
      </c>
      <c r="C16" s="19" t="s">
        <v>66</v>
      </c>
      <c r="D16" s="19" t="s">
        <v>67</v>
      </c>
      <c r="E16" s="19" t="s">
        <v>12</v>
      </c>
      <c r="F16" s="24">
        <v>1</v>
      </c>
      <c r="G16" s="26">
        <f>F16</f>
        <v>1</v>
      </c>
    </row>
    <row r="17" ht="30" spans="1:8">
      <c r="A17" s="3" t="s">
        <v>68</v>
      </c>
      <c r="B17" s="19" t="s">
        <v>69</v>
      </c>
      <c r="C17" s="19" t="s">
        <v>70</v>
      </c>
      <c r="D17" s="19" t="s">
        <v>71</v>
      </c>
      <c r="E17" s="19" t="s">
        <v>12</v>
      </c>
      <c r="F17" s="20">
        <f>MAX(F15,F16)</f>
        <v>50000000</v>
      </c>
      <c r="G17" s="20">
        <f>MAX(G15,G16)</f>
        <v>50000000</v>
      </c>
    </row>
    <row r="18" ht="30" spans="1:8">
      <c r="A18" s="3" t="s">
        <v>73</v>
      </c>
      <c r="B18" s="19" t="s">
        <v>74</v>
      </c>
      <c r="C18" s="19" t="s">
        <v>75</v>
      </c>
      <c r="D18" s="21" t="s">
        <v>16</v>
      </c>
      <c r="E18" s="19" t="s">
        <v>12</v>
      </c>
      <c r="F18" s="20">
        <v>300000000</v>
      </c>
      <c r="G18" s="20">
        <f>F18</f>
        <v>300000000</v>
      </c>
    </row>
    <row r="19" ht="30" spans="1:8">
      <c r="A19" s="3" t="s">
        <v>76</v>
      </c>
      <c r="B19" s="19" t="s">
        <v>77</v>
      </c>
      <c r="C19" s="19" t="s">
        <v>78</v>
      </c>
      <c r="D19" s="21" t="s">
        <v>16</v>
      </c>
      <c r="E19" s="19" t="s">
        <v>12</v>
      </c>
      <c r="F19" s="20">
        <v>100</v>
      </c>
      <c r="G19" s="20">
        <f>F19</f>
        <v>100</v>
      </c>
    </row>
    <row r="20" ht="45" spans="1:8">
      <c r="A20" s="3" t="s">
        <v>45</v>
      </c>
      <c r="B20" s="19" t="s">
        <v>46</v>
      </c>
      <c r="C20" s="19" t="s">
        <v>47</v>
      </c>
      <c r="D20" s="19" t="s">
        <v>43</v>
      </c>
      <c r="E20" s="23" t="s">
        <v>44</v>
      </c>
      <c r="F20" s="20">
        <f>F19</f>
        <v>100</v>
      </c>
      <c r="G20" s="26">
        <v>100</v>
      </c>
      <c r="H20" s="27" t="s">
        <v>148</v>
      </c>
    </row>
    <row r="21" ht="45" spans="1:8">
      <c r="A21" s="3" t="s">
        <v>84</v>
      </c>
      <c r="B21" s="19" t="s">
        <v>85</v>
      </c>
      <c r="C21" s="19" t="s">
        <v>86</v>
      </c>
      <c r="D21" s="19" t="s">
        <v>87</v>
      </c>
      <c r="E21" s="19" t="s">
        <v>12</v>
      </c>
      <c r="F21" s="20">
        <f>F18</f>
        <v>300000000</v>
      </c>
      <c r="G21" s="26">
        <f>G18</f>
        <v>300000000</v>
      </c>
      <c r="H21" s="27" t="s">
        <v>148</v>
      </c>
    </row>
    <row r="22" ht="30" spans="1:8">
      <c r="A22" s="3" t="s">
        <v>89</v>
      </c>
      <c r="B22" s="19" t="s">
        <v>90</v>
      </c>
      <c r="C22" s="19" t="s">
        <v>91</v>
      </c>
      <c r="D22" s="19" t="s">
        <v>87</v>
      </c>
      <c r="E22" s="19" t="s">
        <v>12</v>
      </c>
      <c r="F22" s="20">
        <f>F19</f>
        <v>100</v>
      </c>
      <c r="G22" s="26">
        <v>100</v>
      </c>
      <c r="H22" s="27" t="s">
        <v>148</v>
      </c>
    </row>
    <row r="23" ht="120" spans="1:8">
      <c r="A23" s="3" t="s">
        <v>96</v>
      </c>
      <c r="B23" s="19" t="s">
        <v>97</v>
      </c>
      <c r="C23" s="19" t="s">
        <v>98</v>
      </c>
      <c r="D23" s="19" t="s">
        <v>99</v>
      </c>
      <c r="E23" s="19" t="s">
        <v>12</v>
      </c>
      <c r="F23" s="20">
        <f>F18+F19-F13</f>
        <v>300000040</v>
      </c>
      <c r="G23" s="20">
        <f>G21+G22-G13</f>
        <v>300000040</v>
      </c>
    </row>
    <row r="24" ht="75" spans="1:8">
      <c r="A24" s="3" t="s">
        <v>100</v>
      </c>
      <c r="B24" s="19" t="s">
        <v>101</v>
      </c>
      <c r="C24" s="19" t="s">
        <v>149</v>
      </c>
      <c r="D24" s="19" t="s">
        <v>139</v>
      </c>
      <c r="E24" s="19" t="s">
        <v>12</v>
      </c>
      <c r="F24" s="20">
        <f>IF(F12=1,60%*(F23-F17),75%*(F23-F17))</f>
        <v>150000024</v>
      </c>
      <c r="G24" s="20">
        <f>IF(G12=1,60%*(G23-G17),75%*(G23-G17))</f>
        <v>150000024</v>
      </c>
    </row>
    <row r="25" ht="30" spans="1:8">
      <c r="A25" s="3" t="s">
        <v>104</v>
      </c>
      <c r="B25" s="19" t="s">
        <v>105</v>
      </c>
      <c r="C25" s="19" t="s">
        <v>106</v>
      </c>
      <c r="D25" s="19" t="s">
        <v>150</v>
      </c>
      <c r="E25" s="19" t="s">
        <v>12</v>
      </c>
      <c r="F25" s="20">
        <f>100%*F24</f>
        <v>150000024</v>
      </c>
      <c r="G25" s="20">
        <f>100%*G24</f>
        <v>150000024</v>
      </c>
    </row>
    <row r="26" ht="30" spans="1:8">
      <c r="A26" s="3" t="s">
        <v>108</v>
      </c>
      <c r="B26" s="19" t="s">
        <v>109</v>
      </c>
      <c r="C26" s="19" t="s">
        <v>110</v>
      </c>
      <c r="D26" s="21" t="s">
        <v>111</v>
      </c>
      <c r="E26" s="19" t="s">
        <v>12</v>
      </c>
      <c r="F26" s="20">
        <v>29500000</v>
      </c>
      <c r="G26" s="20">
        <f>F26</f>
        <v>29500000</v>
      </c>
    </row>
    <row r="27" ht="45" spans="1:8">
      <c r="A27" s="3" t="s">
        <v>112</v>
      </c>
      <c r="B27" s="19" t="s">
        <v>113</v>
      </c>
      <c r="C27" s="19" t="s">
        <v>114</v>
      </c>
      <c r="D27" s="21" t="s">
        <v>115</v>
      </c>
      <c r="E27" s="19" t="s">
        <v>12</v>
      </c>
      <c r="F27" s="20">
        <v>0</v>
      </c>
      <c r="G27" s="20">
        <f>F27</f>
        <v>0</v>
      </c>
    </row>
    <row r="28" ht="30" spans="1:8">
      <c r="A28" s="3" t="s">
        <v>116</v>
      </c>
      <c r="B28" s="19" t="s">
        <v>117</v>
      </c>
      <c r="C28" s="19" t="s">
        <v>118</v>
      </c>
      <c r="D28" s="19" t="s">
        <v>119</v>
      </c>
      <c r="E28" s="19" t="s">
        <v>12</v>
      </c>
      <c r="F28" s="20">
        <f>3*(F26+F27)</f>
        <v>88500000</v>
      </c>
      <c r="G28" s="20">
        <f>3*(G26+G27)</f>
        <v>88500000</v>
      </c>
    </row>
    <row r="29" ht="30" spans="1:8">
      <c r="A29" s="3" t="s">
        <v>120</v>
      </c>
      <c r="B29" s="19" t="s">
        <v>121</v>
      </c>
      <c r="C29" s="19" t="s">
        <v>121</v>
      </c>
      <c r="D29" s="11" t="s">
        <v>122</v>
      </c>
      <c r="E29" s="19" t="s">
        <v>12</v>
      </c>
      <c r="F29" s="26">
        <v>0</v>
      </c>
      <c r="G29" s="26">
        <f>F29</f>
        <v>0</v>
      </c>
    </row>
    <row r="30" ht="30" spans="1:8">
      <c r="A30" s="3" t="s">
        <v>123</v>
      </c>
      <c r="B30" s="19" t="s">
        <v>124</v>
      </c>
      <c r="C30" s="19" t="s">
        <v>124</v>
      </c>
      <c r="D30" s="19" t="s">
        <v>125</v>
      </c>
      <c r="E30" s="19" t="s">
        <v>126</v>
      </c>
      <c r="F30" s="20">
        <f>F28-F29</f>
        <v>88500000</v>
      </c>
      <c r="G30" s="20">
        <f>G28-G29</f>
        <v>88500000</v>
      </c>
    </row>
    <row r="31" ht="60" spans="1:8">
      <c r="A31" s="3" t="s">
        <v>127</v>
      </c>
      <c r="B31" s="19" t="s">
        <v>128</v>
      </c>
      <c r="C31" s="19" t="s">
        <v>129</v>
      </c>
      <c r="D31" s="19" t="s">
        <v>151</v>
      </c>
      <c r="E31" s="19" t="s">
        <v>12</v>
      </c>
      <c r="F31" s="20">
        <f>IF(F25&lt;=F30,F25,F30)</f>
        <v>88500000</v>
      </c>
      <c r="G31" s="20">
        <f>IF(G25&lt;=G30,G25,G30)</f>
        <v>88500000</v>
      </c>
    </row>
    <row r="32" customHeight="1" spans="1:8">
      <c r="A32" s="3" t="s">
        <v>131</v>
      </c>
      <c r="B32" s="19" t="s">
        <v>132</v>
      </c>
      <c r="C32" s="19" t="s">
        <v>133</v>
      </c>
      <c r="D32" s="19" t="s">
        <v>134</v>
      </c>
      <c r="E32" s="19" t="s">
        <v>12</v>
      </c>
      <c r="F32" s="20">
        <f>F30-F31</f>
        <v>0</v>
      </c>
      <c r="G32" s="20">
        <f>G30-G31</f>
        <v>0</v>
      </c>
    </row>
    <row r="33" ht="30" spans="1:7">
      <c r="A33" s="3" t="s">
        <v>135</v>
      </c>
      <c r="B33" s="19" t="s">
        <v>136</v>
      </c>
      <c r="C33" s="19" t="s">
        <v>137</v>
      </c>
      <c r="D33" s="19" t="s">
        <v>138</v>
      </c>
      <c r="E33" s="19" t="s">
        <v>12</v>
      </c>
      <c r="F33" s="20">
        <f>IF(F31&lt;F25,(F25-F31),F31)</f>
        <v>61500024</v>
      </c>
      <c r="G33" s="20">
        <f>IF(G31&lt;G25,(G25-G31),G31)</f>
        <v>61500024</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K39"/>
  <sheetViews>
    <sheetView topLeftCell="A28" workbookViewId="0">
      <pane xSplit="1" topLeftCell="B1" activePane="topRight" state="frozen"/>
      <selection/>
      <selection pane="topRight" activeCell="I9" sqref="I9"/>
    </sheetView>
  </sheetViews>
  <sheetFormatPr defaultColWidth="9.14285714285714" defaultRowHeight="15"/>
  <cols>
    <col min="1" max="1" width="6.71428571428571" style="1" customWidth="1"/>
    <col min="2" max="2" width="42.5714285714286" style="1" customWidth="1"/>
    <col min="3" max="3" width="49.1428571428571" style="1" customWidth="1"/>
    <col min="4" max="4" width="42.2857142857143" style="1" customWidth="1"/>
    <col min="5" max="5" width="31.4285714285714" style="1" customWidth="1"/>
    <col min="6" max="6" width="27.2857142857143" style="2" customWidth="1"/>
    <col min="7" max="7" width="20.8571428571429" style="2" customWidth="1"/>
    <col min="9" max="9" width="24.1428571428571" customWidth="1"/>
  </cols>
  <sheetData>
    <row r="1" spans="1:11">
      <c r="A1" s="3" t="s">
        <v>0</v>
      </c>
      <c r="B1" s="3" t="s">
        <v>1</v>
      </c>
      <c r="C1" s="3" t="s">
        <v>2</v>
      </c>
      <c r="D1" s="3" t="s">
        <v>3</v>
      </c>
      <c r="E1" s="3" t="s">
        <v>4</v>
      </c>
      <c r="F1" s="4" t="s">
        <v>5</v>
      </c>
      <c r="G1" s="4" t="s">
        <v>6</v>
      </c>
      <c r="I1" s="4" t="s">
        <v>152</v>
      </c>
    </row>
    <row r="2" spans="1:11">
      <c r="A2" s="5" t="s">
        <v>8</v>
      </c>
      <c r="B2" s="5" t="s">
        <v>9</v>
      </c>
      <c r="C2" s="5" t="s">
        <v>10</v>
      </c>
      <c r="D2" s="5" t="s">
        <v>153</v>
      </c>
      <c r="E2" s="5" t="s">
        <v>12</v>
      </c>
      <c r="F2" s="6"/>
      <c r="G2" s="6"/>
    </row>
    <row r="3" ht="30" spans="1:11">
      <c r="A3" s="5" t="s">
        <v>13</v>
      </c>
      <c r="B3" s="5" t="s">
        <v>14</v>
      </c>
      <c r="C3" s="5" t="s">
        <v>154</v>
      </c>
      <c r="D3" s="5" t="s">
        <v>16</v>
      </c>
      <c r="E3" s="5" t="s">
        <v>12</v>
      </c>
      <c r="F3" s="6"/>
      <c r="G3" s="6"/>
    </row>
    <row r="4" spans="1:11">
      <c r="A4" s="5" t="s">
        <v>17</v>
      </c>
      <c r="B4" s="5" t="s">
        <v>18</v>
      </c>
      <c r="C4" s="5" t="s">
        <v>19</v>
      </c>
      <c r="D4" s="5" t="s">
        <v>16</v>
      </c>
      <c r="E4" s="5" t="s">
        <v>12</v>
      </c>
      <c r="F4" s="6"/>
      <c r="G4" s="6"/>
    </row>
    <row r="5" spans="1:11">
      <c r="A5" s="5" t="s">
        <v>20</v>
      </c>
      <c r="B5" s="5" t="s">
        <v>21</v>
      </c>
      <c r="C5" s="5" t="s">
        <v>22</v>
      </c>
      <c r="D5" s="5" t="s">
        <v>16</v>
      </c>
      <c r="E5" s="5" t="s">
        <v>12</v>
      </c>
      <c r="F5" s="6"/>
      <c r="G5" s="6"/>
      <c r="J5" t="s">
        <v>155</v>
      </c>
      <c r="K5" s="7"/>
    </row>
    <row r="6" ht="75" spans="1:11">
      <c r="A6" s="5" t="s">
        <v>23</v>
      </c>
      <c r="B6" s="5" t="s">
        <v>24</v>
      </c>
      <c r="C6" s="5" t="s">
        <v>156</v>
      </c>
      <c r="D6" s="5" t="s">
        <v>16</v>
      </c>
      <c r="E6" s="5" t="s">
        <v>12</v>
      </c>
      <c r="F6" s="6"/>
      <c r="G6" s="6"/>
      <c r="J6" t="s">
        <v>157</v>
      </c>
      <c r="K6" s="8"/>
    </row>
    <row r="7" ht="45" spans="1:11">
      <c r="A7" s="5" t="s">
        <v>27</v>
      </c>
      <c r="B7" s="5" t="s">
        <v>158</v>
      </c>
      <c r="C7" s="5" t="s">
        <v>159</v>
      </c>
      <c r="D7" s="5" t="s">
        <v>16</v>
      </c>
      <c r="E7" s="5" t="s">
        <v>12</v>
      </c>
      <c r="F7" s="6"/>
      <c r="G7" s="6"/>
    </row>
    <row r="8" spans="1:11">
      <c r="A8" s="5" t="s">
        <v>31</v>
      </c>
      <c r="B8" s="5" t="s">
        <v>32</v>
      </c>
      <c r="C8" s="5" t="s">
        <v>33</v>
      </c>
      <c r="D8" s="5" t="s">
        <v>26</v>
      </c>
      <c r="E8" s="5" t="s">
        <v>12</v>
      </c>
      <c r="F8" s="6"/>
      <c r="G8" s="6"/>
      <c r="H8" s="7"/>
    </row>
    <row r="9" ht="30" spans="1:11">
      <c r="A9" s="5" t="s">
        <v>36</v>
      </c>
      <c r="B9" s="9" t="s">
        <v>37</v>
      </c>
      <c r="C9" s="9" t="s">
        <v>38</v>
      </c>
      <c r="D9" s="9" t="s">
        <v>30</v>
      </c>
      <c r="E9" s="9" t="s">
        <v>44</v>
      </c>
      <c r="F9" s="6"/>
      <c r="G9" s="6"/>
      <c r="H9" s="7"/>
    </row>
    <row r="10" spans="1:11">
      <c r="A10" s="5" t="s">
        <v>40</v>
      </c>
      <c r="B10" s="9" t="s">
        <v>41</v>
      </c>
      <c r="C10" s="9" t="s">
        <v>160</v>
      </c>
      <c r="D10" s="9" t="s">
        <v>43</v>
      </c>
      <c r="E10" s="9" t="s">
        <v>44</v>
      </c>
      <c r="F10" s="6"/>
      <c r="G10" s="6"/>
    </row>
    <row r="11" ht="45" spans="1:11">
      <c r="A11" s="5" t="s">
        <v>45</v>
      </c>
      <c r="B11" s="9" t="s">
        <v>46</v>
      </c>
      <c r="C11" s="9" t="s">
        <v>47</v>
      </c>
      <c r="D11" s="9" t="s">
        <v>43</v>
      </c>
      <c r="E11" s="9" t="s">
        <v>44</v>
      </c>
      <c r="F11" s="6"/>
      <c r="G11" s="6"/>
    </row>
    <row r="12" spans="1:11">
      <c r="A12" s="5" t="s">
        <v>48</v>
      </c>
      <c r="B12" s="5" t="s">
        <v>49</v>
      </c>
      <c r="C12" s="5" t="s">
        <v>50</v>
      </c>
      <c r="D12" s="5" t="s">
        <v>51</v>
      </c>
      <c r="E12" s="5" t="s">
        <v>12</v>
      </c>
      <c r="F12" s="6"/>
      <c r="G12" s="6"/>
    </row>
    <row r="13" ht="45" spans="1:11">
      <c r="A13" s="5" t="s">
        <v>54</v>
      </c>
      <c r="B13" s="9" t="s">
        <v>161</v>
      </c>
      <c r="C13" s="9" t="s">
        <v>162</v>
      </c>
      <c r="D13" s="9" t="s">
        <v>57</v>
      </c>
      <c r="E13" s="9" t="s">
        <v>44</v>
      </c>
      <c r="F13" s="6"/>
      <c r="G13" s="6"/>
    </row>
    <row r="14" ht="30" spans="1:11">
      <c r="A14" s="5" t="s">
        <v>58</v>
      </c>
      <c r="B14" s="9" t="s">
        <v>59</v>
      </c>
      <c r="C14" s="9" t="s">
        <v>163</v>
      </c>
      <c r="D14" s="9" t="s">
        <v>57</v>
      </c>
      <c r="E14" s="9" t="s">
        <v>44</v>
      </c>
      <c r="F14" s="6"/>
      <c r="G14" s="6"/>
    </row>
    <row r="15" ht="60" spans="1:11">
      <c r="A15" s="5" t="s">
        <v>60</v>
      </c>
      <c r="B15" s="5" t="s">
        <v>74</v>
      </c>
      <c r="C15" s="5" t="s">
        <v>164</v>
      </c>
      <c r="D15" s="10" t="s">
        <v>16</v>
      </c>
      <c r="E15" s="5" t="s">
        <v>12</v>
      </c>
      <c r="F15" s="6">
        <v>100000000</v>
      </c>
      <c r="G15" s="6" t="s">
        <v>165</v>
      </c>
      <c r="H15" s="7"/>
      <c r="I15">
        <f>F15</f>
        <v>100000000</v>
      </c>
    </row>
    <row r="16" ht="45" spans="1:11">
      <c r="A16" s="5" t="s">
        <v>64</v>
      </c>
      <c r="B16" s="5" t="s">
        <v>77</v>
      </c>
      <c r="C16" s="5" t="s">
        <v>166</v>
      </c>
      <c r="D16" s="10" t="s">
        <v>167</v>
      </c>
      <c r="E16" s="5" t="s">
        <v>12</v>
      </c>
      <c r="F16" s="6">
        <v>100000000</v>
      </c>
      <c r="G16" s="6" t="s">
        <v>165</v>
      </c>
      <c r="H16" s="7"/>
      <c r="I16">
        <f>F16</f>
        <v>100000000</v>
      </c>
    </row>
    <row r="17" ht="30" spans="1:10">
      <c r="A17" s="5" t="s">
        <v>68</v>
      </c>
      <c r="B17" s="5" t="s">
        <v>80</v>
      </c>
      <c r="C17" s="5" t="s">
        <v>168</v>
      </c>
      <c r="D17" s="11" t="s">
        <v>167</v>
      </c>
      <c r="E17" s="5" t="s">
        <v>12</v>
      </c>
      <c r="F17" s="6">
        <v>10</v>
      </c>
      <c r="G17" s="6"/>
      <c r="H17" s="7"/>
      <c r="I17">
        <f>F17</f>
        <v>10</v>
      </c>
    </row>
    <row r="18" ht="45" spans="1:10">
      <c r="A18" s="5" t="s">
        <v>73</v>
      </c>
      <c r="B18" s="5" t="s">
        <v>169</v>
      </c>
      <c r="C18" s="5" t="s">
        <v>170</v>
      </c>
      <c r="D18" s="5" t="s">
        <v>82</v>
      </c>
      <c r="E18" s="5" t="s">
        <v>171</v>
      </c>
      <c r="F18" s="6">
        <v>80000000</v>
      </c>
      <c r="G18" s="6"/>
      <c r="I18">
        <f>F18</f>
        <v>80000000</v>
      </c>
    </row>
    <row r="19" ht="45" spans="1:10">
      <c r="A19" s="5" t="s">
        <v>76</v>
      </c>
      <c r="B19" s="5" t="s">
        <v>172</v>
      </c>
      <c r="C19" s="5" t="s">
        <v>173</v>
      </c>
      <c r="D19" s="5" t="s">
        <v>87</v>
      </c>
      <c r="E19" s="5" t="s">
        <v>174</v>
      </c>
      <c r="F19" s="6">
        <f>F18</f>
        <v>80000000</v>
      </c>
      <c r="G19" s="6"/>
      <c r="I19">
        <f>F19</f>
        <v>80000000</v>
      </c>
      <c r="J19" t="s">
        <v>88</v>
      </c>
    </row>
    <row r="20" ht="45" spans="1:10">
      <c r="A20" s="5" t="s">
        <v>175</v>
      </c>
      <c r="B20" s="5" t="s">
        <v>176</v>
      </c>
      <c r="C20" s="5" t="s">
        <v>177</v>
      </c>
      <c r="D20" s="5" t="s">
        <v>57</v>
      </c>
      <c r="E20" s="5" t="s">
        <v>174</v>
      </c>
      <c r="F20" s="6">
        <f>40%*F18</f>
        <v>32000000</v>
      </c>
      <c r="G20" s="6"/>
      <c r="I20">
        <f>40%*I19</f>
        <v>32000000</v>
      </c>
    </row>
    <row r="21" ht="30" spans="1:10">
      <c r="A21" s="5" t="s">
        <v>178</v>
      </c>
      <c r="B21" s="5" t="s">
        <v>179</v>
      </c>
      <c r="C21" s="5" t="s">
        <v>180</v>
      </c>
      <c r="D21" s="5" t="s">
        <v>57</v>
      </c>
      <c r="E21" s="5" t="s">
        <v>174</v>
      </c>
      <c r="F21" s="6">
        <f>60%*F18</f>
        <v>48000000</v>
      </c>
      <c r="G21" s="6"/>
      <c r="I21">
        <f>60%*I19</f>
        <v>48000000</v>
      </c>
    </row>
    <row r="22" ht="60" spans="1:10">
      <c r="A22" s="5" t="s">
        <v>84</v>
      </c>
      <c r="B22" s="5" t="s">
        <v>181</v>
      </c>
      <c r="C22" s="5" t="s">
        <v>182</v>
      </c>
      <c r="D22" s="5" t="s">
        <v>183</v>
      </c>
      <c r="E22" s="5" t="s">
        <v>184</v>
      </c>
      <c r="F22" s="6"/>
      <c r="G22" s="6"/>
    </row>
    <row r="23" spans="1:10">
      <c r="A23" s="5" t="s">
        <v>89</v>
      </c>
      <c r="B23" s="5" t="s">
        <v>185</v>
      </c>
      <c r="C23" s="5" t="s">
        <v>186</v>
      </c>
      <c r="D23" s="5" t="s">
        <v>30</v>
      </c>
      <c r="E23" s="5" t="s">
        <v>187</v>
      </c>
      <c r="F23" s="6"/>
      <c r="G23" s="6"/>
    </row>
    <row r="24" spans="1:10">
      <c r="A24" s="5" t="s">
        <v>92</v>
      </c>
      <c r="B24" s="5" t="s">
        <v>61</v>
      </c>
      <c r="C24" s="5" t="s">
        <v>62</v>
      </c>
      <c r="D24" s="10" t="s">
        <v>16</v>
      </c>
      <c r="E24" s="5" t="s">
        <v>12</v>
      </c>
      <c r="F24" s="6">
        <v>50000000</v>
      </c>
      <c r="G24" s="6" t="s">
        <v>188</v>
      </c>
      <c r="H24" s="7"/>
      <c r="I24">
        <f>F24</f>
        <v>50000000</v>
      </c>
    </row>
    <row r="25" spans="1:10">
      <c r="A25" s="5" t="s">
        <v>189</v>
      </c>
      <c r="B25" s="5" t="s">
        <v>190</v>
      </c>
      <c r="C25" s="5" t="s">
        <v>66</v>
      </c>
      <c r="D25" s="12" t="s">
        <v>67</v>
      </c>
      <c r="E25" s="5" t="s">
        <v>12</v>
      </c>
      <c r="F25" s="5">
        <v>60000000</v>
      </c>
      <c r="G25" s="6"/>
      <c r="H25" s="7"/>
      <c r="I25">
        <f>F25</f>
        <v>60000000</v>
      </c>
    </row>
    <row r="26" spans="1:10">
      <c r="A26" s="5" t="s">
        <v>100</v>
      </c>
      <c r="B26" s="5" t="s">
        <v>191</v>
      </c>
      <c r="C26" s="5" t="s">
        <v>192</v>
      </c>
      <c r="D26" s="5" t="s">
        <v>193</v>
      </c>
      <c r="E26" s="5" t="s">
        <v>12</v>
      </c>
      <c r="F26" s="6">
        <v>1</v>
      </c>
      <c r="G26" s="6"/>
      <c r="H26" s="7"/>
    </row>
    <row r="27" ht="30" spans="1:10">
      <c r="A27" s="5" t="s">
        <v>104</v>
      </c>
      <c r="B27" s="5" t="s">
        <v>69</v>
      </c>
      <c r="C27" s="5" t="s">
        <v>70</v>
      </c>
      <c r="D27" s="5" t="s">
        <v>194</v>
      </c>
      <c r="E27" s="5" t="s">
        <v>12</v>
      </c>
      <c r="F27" s="6">
        <f>MAX(F24,F25)</f>
        <v>60000000</v>
      </c>
      <c r="G27" s="6"/>
      <c r="H27" s="7"/>
      <c r="I27">
        <f>F27</f>
        <v>60000000</v>
      </c>
    </row>
    <row r="28" ht="120" spans="1:10">
      <c r="A28" s="5" t="s">
        <v>108</v>
      </c>
      <c r="B28" s="5" t="s">
        <v>195</v>
      </c>
      <c r="C28" s="5" t="s">
        <v>195</v>
      </c>
      <c r="D28" s="5" t="s">
        <v>196</v>
      </c>
      <c r="E28" s="5" t="s">
        <v>12</v>
      </c>
      <c r="F28" s="6">
        <f>F15+F16-F17-F20</f>
        <v>167999990</v>
      </c>
      <c r="G28" s="6"/>
      <c r="I28">
        <f>I15+I16-I17-I20</f>
        <v>167999990</v>
      </c>
    </row>
    <row r="29" ht="30" spans="1:10">
      <c r="A29" s="5" t="s">
        <v>112</v>
      </c>
      <c r="B29" s="5" t="s">
        <v>197</v>
      </c>
      <c r="C29" s="5" t="s">
        <v>102</v>
      </c>
      <c r="D29" s="5" t="s">
        <v>198</v>
      </c>
      <c r="E29" s="5" t="s">
        <v>12</v>
      </c>
      <c r="F29" s="6">
        <f>60%*(F28-F27)</f>
        <v>64799994</v>
      </c>
      <c r="G29" s="6"/>
      <c r="I29">
        <f>60%*(I28-I27)</f>
        <v>64799994</v>
      </c>
    </row>
    <row r="30" ht="30" spans="1:10">
      <c r="A30" s="5" t="s">
        <v>116</v>
      </c>
      <c r="B30" s="5" t="s">
        <v>199</v>
      </c>
      <c r="C30" s="5" t="s">
        <v>200</v>
      </c>
      <c r="D30" s="5" t="s">
        <v>16</v>
      </c>
      <c r="E30" s="5" t="s">
        <v>12</v>
      </c>
      <c r="F30" s="13">
        <v>62999995.5</v>
      </c>
      <c r="G30" s="6" t="s">
        <v>188</v>
      </c>
      <c r="I30">
        <f t="shared" ref="I30:I35" si="0">F30</f>
        <v>62999995.5</v>
      </c>
    </row>
    <row r="31" spans="1:10">
      <c r="A31" s="5" t="s">
        <v>120</v>
      </c>
      <c r="B31" s="5" t="s">
        <v>201</v>
      </c>
      <c r="C31" s="5" t="s">
        <v>202</v>
      </c>
      <c r="D31" s="5" t="s">
        <v>203</v>
      </c>
      <c r="E31" s="5" t="s">
        <v>12</v>
      </c>
      <c r="F31" s="6">
        <f>F29-F30</f>
        <v>1799998.5</v>
      </c>
      <c r="G31" s="6"/>
      <c r="I31">
        <f t="shared" si="0"/>
        <v>1799998.5</v>
      </c>
    </row>
    <row r="32" ht="30" spans="1:10">
      <c r="A32" s="5" t="s">
        <v>123</v>
      </c>
      <c r="B32" s="5" t="s">
        <v>109</v>
      </c>
      <c r="C32" s="5" t="s">
        <v>110</v>
      </c>
      <c r="D32" s="5" t="s">
        <v>111</v>
      </c>
      <c r="E32" s="5" t="s">
        <v>12</v>
      </c>
      <c r="F32" s="6">
        <v>5487293.76</v>
      </c>
      <c r="G32" s="6" t="s">
        <v>188</v>
      </c>
      <c r="I32">
        <f t="shared" si="0"/>
        <v>5487293.76</v>
      </c>
    </row>
    <row r="33" ht="30" spans="1:9">
      <c r="A33" s="5" t="s">
        <v>127</v>
      </c>
      <c r="B33" s="5" t="s">
        <v>113</v>
      </c>
      <c r="C33" s="5" t="s">
        <v>114</v>
      </c>
      <c r="D33" s="5" t="s">
        <v>115</v>
      </c>
      <c r="E33" s="5" t="s">
        <v>12</v>
      </c>
      <c r="F33" s="6">
        <v>0</v>
      </c>
      <c r="G33" s="6" t="s">
        <v>188</v>
      </c>
      <c r="I33">
        <f t="shared" si="0"/>
        <v>0</v>
      </c>
    </row>
    <row r="34" ht="30" spans="1:9">
      <c r="A34" s="5" t="s">
        <v>131</v>
      </c>
      <c r="B34" s="5" t="s">
        <v>117</v>
      </c>
      <c r="C34" s="5" t="s">
        <v>118</v>
      </c>
      <c r="D34" s="5" t="s">
        <v>204</v>
      </c>
      <c r="E34" s="5" t="s">
        <v>12</v>
      </c>
      <c r="F34" s="6">
        <f>2*(F33+F32)</f>
        <v>10974587.52</v>
      </c>
      <c r="G34" s="6" t="s">
        <v>205</v>
      </c>
      <c r="I34">
        <f t="shared" si="0"/>
        <v>10974587.52</v>
      </c>
    </row>
    <row r="35" spans="1:9">
      <c r="A35" s="5" t="s">
        <v>135</v>
      </c>
      <c r="B35" s="5" t="s">
        <v>121</v>
      </c>
      <c r="C35" s="5" t="s">
        <v>121</v>
      </c>
      <c r="D35" s="5" t="s">
        <v>122</v>
      </c>
      <c r="E35" s="5" t="s">
        <v>12</v>
      </c>
      <c r="F35" s="6">
        <v>0</v>
      </c>
      <c r="G35" s="6" t="s">
        <v>188</v>
      </c>
      <c r="I35">
        <f t="shared" si="0"/>
        <v>0</v>
      </c>
    </row>
    <row r="36" spans="1:9">
      <c r="A36" s="5" t="s">
        <v>206</v>
      </c>
      <c r="B36" s="5" t="s">
        <v>124</v>
      </c>
      <c r="C36" s="5" t="s">
        <v>124</v>
      </c>
      <c r="D36" s="5" t="s">
        <v>207</v>
      </c>
      <c r="E36" s="5" t="s">
        <v>126</v>
      </c>
      <c r="F36" s="6">
        <f>F34-F35</f>
        <v>10974587.52</v>
      </c>
      <c r="G36" s="6" t="s">
        <v>205</v>
      </c>
      <c r="I36">
        <f>I34-I35</f>
        <v>10974587.52</v>
      </c>
    </row>
    <row r="37" ht="45" spans="1:9">
      <c r="A37" s="5" t="s">
        <v>208</v>
      </c>
      <c r="B37" s="5" t="s">
        <v>128</v>
      </c>
      <c r="C37" s="5" t="s">
        <v>209</v>
      </c>
      <c r="D37" s="5" t="s">
        <v>210</v>
      </c>
      <c r="E37" s="5" t="s">
        <v>12</v>
      </c>
      <c r="F37" s="6">
        <f>IF(F31&lt;=F36,F31,F36)</f>
        <v>1799998.5</v>
      </c>
      <c r="G37" s="6"/>
      <c r="I37" s="6">
        <f>IF(I31&lt;=I36,I31,I36)</f>
        <v>1799998.5</v>
      </c>
    </row>
    <row r="38" spans="1:9">
      <c r="A38" s="5" t="s">
        <v>211</v>
      </c>
      <c r="B38" s="5" t="s">
        <v>132</v>
      </c>
      <c r="C38" s="5" t="s">
        <v>133</v>
      </c>
      <c r="D38" s="5" t="s">
        <v>212</v>
      </c>
      <c r="E38" s="5" t="s">
        <v>12</v>
      </c>
      <c r="F38" s="6">
        <f>F36-F37</f>
        <v>9174589.02</v>
      </c>
      <c r="G38" s="6"/>
      <c r="I38" s="6">
        <f>I36-I37</f>
        <v>9174589.02</v>
      </c>
    </row>
    <row r="39" ht="30" spans="1:9">
      <c r="A39" s="5" t="s">
        <v>213</v>
      </c>
      <c r="B39" s="5" t="s">
        <v>136</v>
      </c>
      <c r="C39" s="5" t="s">
        <v>137</v>
      </c>
      <c r="D39" s="5" t="s">
        <v>214</v>
      </c>
      <c r="E39" s="5" t="s">
        <v>12</v>
      </c>
      <c r="F39" s="6"/>
      <c r="G39" s="6"/>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K39"/>
  <sheetViews>
    <sheetView topLeftCell="A7" workbookViewId="0">
      <selection activeCell="F9" sqref="F9"/>
    </sheetView>
  </sheetViews>
  <sheetFormatPr defaultColWidth="9.14285714285714" defaultRowHeight="15"/>
  <cols>
    <col min="1" max="1" width="6.71428571428571" style="1" customWidth="1"/>
    <col min="2" max="2" width="42.5714285714286" style="1" customWidth="1"/>
    <col min="3" max="3" width="49.1428571428571" style="1" customWidth="1"/>
    <col min="4" max="4" width="42.2857142857143" style="1" customWidth="1"/>
    <col min="5" max="5" width="31.4285714285714" style="1" customWidth="1"/>
    <col min="6" max="6" width="27.2857142857143" style="2" customWidth="1"/>
    <col min="7" max="7" width="20.8571428571429" style="2" customWidth="1"/>
  </cols>
  <sheetData>
    <row r="1" spans="1:11">
      <c r="A1" s="3" t="s">
        <v>0</v>
      </c>
      <c r="B1" s="3" t="s">
        <v>1</v>
      </c>
      <c r="C1" s="3" t="s">
        <v>2</v>
      </c>
      <c r="D1" s="3" t="s">
        <v>3</v>
      </c>
      <c r="E1" s="3" t="s">
        <v>4</v>
      </c>
      <c r="F1" s="4" t="s">
        <v>5</v>
      </c>
      <c r="G1" s="4" t="s">
        <v>6</v>
      </c>
    </row>
    <row r="2" spans="1:11">
      <c r="A2" s="5" t="s">
        <v>8</v>
      </c>
      <c r="B2" s="5" t="s">
        <v>9</v>
      </c>
      <c r="C2" s="5" t="s">
        <v>10</v>
      </c>
      <c r="D2" s="5" t="s">
        <v>153</v>
      </c>
      <c r="E2" s="5" t="s">
        <v>12</v>
      </c>
      <c r="F2" s="6"/>
      <c r="G2" s="6"/>
    </row>
    <row r="3" ht="30" spans="1:11">
      <c r="A3" s="5" t="s">
        <v>13</v>
      </c>
      <c r="B3" s="5" t="s">
        <v>14</v>
      </c>
      <c r="C3" s="5" t="s">
        <v>154</v>
      </c>
      <c r="D3" s="5" t="s">
        <v>16</v>
      </c>
      <c r="E3" s="5" t="s">
        <v>12</v>
      </c>
      <c r="F3" s="6"/>
      <c r="G3" s="6"/>
    </row>
    <row r="4" spans="1:11">
      <c r="A4" s="5" t="s">
        <v>17</v>
      </c>
      <c r="B4" s="5" t="s">
        <v>18</v>
      </c>
      <c r="C4" s="5" t="s">
        <v>19</v>
      </c>
      <c r="D4" s="5" t="s">
        <v>16</v>
      </c>
      <c r="E4" s="5" t="s">
        <v>12</v>
      </c>
      <c r="F4" s="6"/>
      <c r="G4" s="6"/>
    </row>
    <row r="5" spans="1:11">
      <c r="A5" s="5" t="s">
        <v>20</v>
      </c>
      <c r="B5" s="5" t="s">
        <v>21</v>
      </c>
      <c r="C5" s="5" t="s">
        <v>22</v>
      </c>
      <c r="D5" s="5" t="s">
        <v>16</v>
      </c>
      <c r="E5" s="5" t="s">
        <v>12</v>
      </c>
      <c r="F5" s="6"/>
      <c r="G5" s="6"/>
      <c r="J5" t="s">
        <v>155</v>
      </c>
      <c r="K5" s="7"/>
    </row>
    <row r="6" ht="75" spans="1:11">
      <c r="A6" s="5" t="s">
        <v>23</v>
      </c>
      <c r="B6" s="5" t="s">
        <v>24</v>
      </c>
      <c r="C6" s="5" t="s">
        <v>156</v>
      </c>
      <c r="D6" s="5" t="s">
        <v>16</v>
      </c>
      <c r="E6" s="5" t="s">
        <v>12</v>
      </c>
      <c r="F6" s="6"/>
      <c r="G6" s="6"/>
      <c r="J6" t="s">
        <v>157</v>
      </c>
      <c r="K6" s="8"/>
    </row>
    <row r="7" ht="45" spans="1:11">
      <c r="A7" s="5" t="s">
        <v>27</v>
      </c>
      <c r="B7" s="5" t="s">
        <v>158</v>
      </c>
      <c r="C7" s="5" t="s">
        <v>159</v>
      </c>
      <c r="D7" s="5" t="s">
        <v>16</v>
      </c>
      <c r="E7" s="5" t="s">
        <v>12</v>
      </c>
      <c r="F7" s="6"/>
      <c r="G7" s="6"/>
    </row>
    <row r="8" spans="1:11">
      <c r="A8" s="5" t="s">
        <v>31</v>
      </c>
      <c r="B8" s="5" t="s">
        <v>32</v>
      </c>
      <c r="C8" s="5" t="s">
        <v>33</v>
      </c>
      <c r="D8" s="5" t="s">
        <v>26</v>
      </c>
      <c r="E8" s="5" t="s">
        <v>12</v>
      </c>
      <c r="F8" s="6"/>
      <c r="G8" s="6"/>
      <c r="H8" s="7"/>
    </row>
    <row r="9" ht="30" spans="1:11">
      <c r="A9" s="5" t="s">
        <v>36</v>
      </c>
      <c r="B9" s="9" t="s">
        <v>37</v>
      </c>
      <c r="C9" s="9" t="s">
        <v>38</v>
      </c>
      <c r="D9" s="9" t="s">
        <v>30</v>
      </c>
      <c r="E9" s="9" t="s">
        <v>44</v>
      </c>
      <c r="F9" s="6"/>
      <c r="G9" s="6"/>
      <c r="H9" s="7"/>
    </row>
    <row r="10" spans="1:11">
      <c r="A10" s="5" t="s">
        <v>40</v>
      </c>
      <c r="B10" s="9" t="s">
        <v>41</v>
      </c>
      <c r="C10" s="9" t="s">
        <v>160</v>
      </c>
      <c r="D10" s="9" t="s">
        <v>43</v>
      </c>
      <c r="E10" s="9" t="s">
        <v>44</v>
      </c>
      <c r="F10" s="6"/>
      <c r="G10" s="6"/>
    </row>
    <row r="11" ht="45" spans="1:11">
      <c r="A11" s="5" t="s">
        <v>45</v>
      </c>
      <c r="B11" s="9" t="s">
        <v>46</v>
      </c>
      <c r="C11" s="9" t="s">
        <v>47</v>
      </c>
      <c r="D11" s="9" t="s">
        <v>43</v>
      </c>
      <c r="E11" s="9" t="s">
        <v>44</v>
      </c>
      <c r="F11" s="6"/>
      <c r="G11" s="6"/>
    </row>
    <row r="12" spans="1:11">
      <c r="A12" s="5" t="s">
        <v>48</v>
      </c>
      <c r="B12" s="5" t="s">
        <v>49</v>
      </c>
      <c r="C12" s="5" t="s">
        <v>50</v>
      </c>
      <c r="D12" s="5" t="s">
        <v>51</v>
      </c>
      <c r="E12" s="5" t="s">
        <v>12</v>
      </c>
      <c r="F12" s="6"/>
      <c r="G12" s="6"/>
    </row>
    <row r="13" ht="45" spans="1:11">
      <c r="A13" s="5" t="s">
        <v>54</v>
      </c>
      <c r="B13" s="9" t="s">
        <v>161</v>
      </c>
      <c r="C13" s="9" t="s">
        <v>162</v>
      </c>
      <c r="D13" s="9" t="s">
        <v>57</v>
      </c>
      <c r="E13" s="9" t="s">
        <v>44</v>
      </c>
      <c r="F13" s="6"/>
      <c r="G13" s="6"/>
    </row>
    <row r="14" ht="30" spans="1:11">
      <c r="A14" s="5" t="s">
        <v>58</v>
      </c>
      <c r="B14" s="9" t="s">
        <v>59</v>
      </c>
      <c r="C14" s="9" t="s">
        <v>163</v>
      </c>
      <c r="D14" s="9" t="s">
        <v>57</v>
      </c>
      <c r="E14" s="9" t="s">
        <v>44</v>
      </c>
      <c r="F14" s="6"/>
      <c r="G14" s="6"/>
    </row>
    <row r="15" ht="60" spans="1:11">
      <c r="A15" s="5" t="s">
        <v>60</v>
      </c>
      <c r="B15" s="5" t="s">
        <v>74</v>
      </c>
      <c r="C15" s="5" t="s">
        <v>164</v>
      </c>
      <c r="D15" s="10" t="s">
        <v>16</v>
      </c>
      <c r="E15" s="5" t="s">
        <v>12</v>
      </c>
      <c r="F15" s="6">
        <v>400000000</v>
      </c>
      <c r="G15" s="6" t="s">
        <v>165</v>
      </c>
      <c r="H15" s="7"/>
    </row>
    <row r="16" ht="45" spans="1:11">
      <c r="A16" s="5" t="s">
        <v>64</v>
      </c>
      <c r="B16" s="5" t="s">
        <v>77</v>
      </c>
      <c r="C16" s="5" t="s">
        <v>166</v>
      </c>
      <c r="D16" s="10" t="s">
        <v>167</v>
      </c>
      <c r="E16" s="5" t="s">
        <v>12</v>
      </c>
      <c r="F16" s="6">
        <v>5000000</v>
      </c>
      <c r="G16" s="6" t="s">
        <v>165</v>
      </c>
      <c r="H16" s="7"/>
    </row>
    <row r="17" ht="30" spans="1:8">
      <c r="A17" s="5" t="s">
        <v>68</v>
      </c>
      <c r="B17" s="5" t="s">
        <v>80</v>
      </c>
      <c r="C17" s="5" t="s">
        <v>168</v>
      </c>
      <c r="D17" s="11" t="s">
        <v>167</v>
      </c>
      <c r="E17" s="5" t="s">
        <v>12</v>
      </c>
      <c r="F17" s="6"/>
      <c r="G17" s="6"/>
      <c r="H17" s="7"/>
    </row>
    <row r="18" ht="45" spans="1:8">
      <c r="A18" s="5" t="s">
        <v>73</v>
      </c>
      <c r="B18" s="5" t="s">
        <v>169</v>
      </c>
      <c r="C18" s="5" t="s">
        <v>170</v>
      </c>
      <c r="D18" s="5" t="s">
        <v>82</v>
      </c>
      <c r="E18" s="5" t="s">
        <v>171</v>
      </c>
      <c r="F18" s="6"/>
      <c r="G18" s="6"/>
    </row>
    <row r="19" ht="45" spans="1:8">
      <c r="A19" s="5" t="s">
        <v>76</v>
      </c>
      <c r="B19" s="5" t="s">
        <v>172</v>
      </c>
      <c r="C19" s="5" t="s">
        <v>173</v>
      </c>
      <c r="D19" s="5" t="s">
        <v>87</v>
      </c>
      <c r="E19" s="5" t="s">
        <v>174</v>
      </c>
      <c r="F19" s="6"/>
      <c r="G19" s="6"/>
    </row>
    <row r="20" ht="45" spans="1:8">
      <c r="A20" s="5" t="s">
        <v>175</v>
      </c>
      <c r="B20" s="5" t="s">
        <v>176</v>
      </c>
      <c r="C20" s="5" t="s">
        <v>177</v>
      </c>
      <c r="D20" s="5" t="s">
        <v>57</v>
      </c>
      <c r="E20" s="5" t="s">
        <v>174</v>
      </c>
      <c r="F20" s="6"/>
      <c r="G20" s="6"/>
    </row>
    <row r="21" ht="30" spans="1:8">
      <c r="A21" s="5" t="s">
        <v>178</v>
      </c>
      <c r="B21" s="5" t="s">
        <v>179</v>
      </c>
      <c r="C21" s="5" t="s">
        <v>180</v>
      </c>
      <c r="D21" s="5" t="s">
        <v>57</v>
      </c>
      <c r="E21" s="5" t="s">
        <v>174</v>
      </c>
      <c r="F21" s="6"/>
      <c r="G21" s="6"/>
    </row>
    <row r="22" ht="60" spans="1:8">
      <c r="A22" s="5" t="s">
        <v>84</v>
      </c>
      <c r="B22" s="5" t="s">
        <v>181</v>
      </c>
      <c r="C22" s="5" t="s">
        <v>182</v>
      </c>
      <c r="D22" s="5" t="s">
        <v>183</v>
      </c>
      <c r="E22" s="5" t="s">
        <v>184</v>
      </c>
      <c r="F22" s="6"/>
      <c r="G22" s="6"/>
    </row>
    <row r="23" spans="1:8">
      <c r="A23" s="5" t="s">
        <v>89</v>
      </c>
      <c r="B23" s="5" t="s">
        <v>185</v>
      </c>
      <c r="C23" s="5" t="s">
        <v>186</v>
      </c>
      <c r="D23" s="5" t="s">
        <v>30</v>
      </c>
      <c r="E23" s="5" t="s">
        <v>187</v>
      </c>
      <c r="F23" s="6"/>
      <c r="G23" s="6"/>
    </row>
    <row r="24" spans="1:8">
      <c r="A24" s="5" t="s">
        <v>92</v>
      </c>
      <c r="B24" s="5" t="s">
        <v>61</v>
      </c>
      <c r="C24" s="5" t="s">
        <v>62</v>
      </c>
      <c r="D24" s="10" t="s">
        <v>16</v>
      </c>
      <c r="E24" s="5" t="s">
        <v>12</v>
      </c>
      <c r="F24" s="6">
        <v>150000000</v>
      </c>
      <c r="G24" s="6" t="s">
        <v>188</v>
      </c>
      <c r="H24" s="7"/>
    </row>
    <row r="25" spans="1:8">
      <c r="A25" s="5" t="s">
        <v>189</v>
      </c>
      <c r="B25" s="5" t="s">
        <v>190</v>
      </c>
      <c r="C25" s="5" t="s">
        <v>66</v>
      </c>
      <c r="D25" s="12" t="s">
        <v>67</v>
      </c>
      <c r="E25" s="5" t="s">
        <v>12</v>
      </c>
      <c r="F25" s="6">
        <v>150000001</v>
      </c>
      <c r="G25" s="6"/>
      <c r="H25" s="7"/>
    </row>
    <row r="26" spans="1:8">
      <c r="A26" s="5" t="s">
        <v>100</v>
      </c>
      <c r="B26" s="5" t="s">
        <v>191</v>
      </c>
      <c r="C26" s="5" t="s">
        <v>192</v>
      </c>
      <c r="D26" s="5" t="s">
        <v>193</v>
      </c>
      <c r="E26" s="5" t="s">
        <v>12</v>
      </c>
      <c r="F26" s="6"/>
      <c r="G26" s="6"/>
      <c r="H26" s="7"/>
    </row>
    <row r="27" ht="30" spans="1:8">
      <c r="A27" s="5" t="s">
        <v>104</v>
      </c>
      <c r="B27" s="5" t="s">
        <v>69</v>
      </c>
      <c r="C27" s="5" t="s">
        <v>70</v>
      </c>
      <c r="D27" s="5" t="s">
        <v>194</v>
      </c>
      <c r="E27" s="5" t="s">
        <v>12</v>
      </c>
      <c r="F27" s="6">
        <f>MAX(F24,F25)</f>
        <v>150000001</v>
      </c>
      <c r="G27" s="6"/>
      <c r="H27" s="7"/>
    </row>
    <row r="28" ht="120" spans="1:8">
      <c r="A28" s="5" t="s">
        <v>108</v>
      </c>
      <c r="B28" s="5" t="s">
        <v>195</v>
      </c>
      <c r="C28" s="5" t="s">
        <v>195</v>
      </c>
      <c r="D28" s="5" t="s">
        <v>196</v>
      </c>
      <c r="E28" s="5" t="s">
        <v>12</v>
      </c>
      <c r="F28" s="6"/>
      <c r="G28" s="6"/>
    </row>
    <row r="29" ht="30" spans="1:8">
      <c r="A29" s="5" t="s">
        <v>112</v>
      </c>
      <c r="B29" s="5" t="s">
        <v>197</v>
      </c>
      <c r="C29" s="5" t="s">
        <v>102</v>
      </c>
      <c r="D29" s="5" t="s">
        <v>198</v>
      </c>
      <c r="E29" s="5" t="s">
        <v>12</v>
      </c>
      <c r="F29" s="6"/>
      <c r="G29" s="6"/>
    </row>
    <row r="30" ht="30" spans="1:8">
      <c r="A30" s="5" t="s">
        <v>116</v>
      </c>
      <c r="B30" s="5" t="s">
        <v>199</v>
      </c>
      <c r="C30" s="5" t="s">
        <v>200</v>
      </c>
      <c r="D30" s="5" t="s">
        <v>16</v>
      </c>
      <c r="E30" s="5" t="s">
        <v>12</v>
      </c>
      <c r="F30" s="6"/>
      <c r="G30" s="6"/>
    </row>
    <row r="31" spans="1:8">
      <c r="A31" s="5" t="s">
        <v>120</v>
      </c>
      <c r="B31" s="5" t="s">
        <v>201</v>
      </c>
      <c r="C31" s="5" t="s">
        <v>202</v>
      </c>
      <c r="D31" s="5" t="s">
        <v>203</v>
      </c>
      <c r="E31" s="5" t="s">
        <v>12</v>
      </c>
      <c r="F31" s="6"/>
      <c r="G31" s="6"/>
    </row>
    <row r="32" ht="30" spans="1:8">
      <c r="A32" s="5" t="s">
        <v>123</v>
      </c>
      <c r="B32" s="5" t="s">
        <v>109</v>
      </c>
      <c r="C32" s="5" t="s">
        <v>110</v>
      </c>
      <c r="D32" s="5" t="s">
        <v>111</v>
      </c>
      <c r="E32" s="5" t="s">
        <v>12</v>
      </c>
      <c r="F32" s="6"/>
      <c r="G32" s="6"/>
    </row>
    <row r="33" ht="30" spans="1:7">
      <c r="A33" s="5" t="s">
        <v>127</v>
      </c>
      <c r="B33" s="5" t="s">
        <v>113</v>
      </c>
      <c r="C33" s="5" t="s">
        <v>114</v>
      </c>
      <c r="D33" s="5" t="s">
        <v>115</v>
      </c>
      <c r="E33" s="5" t="s">
        <v>12</v>
      </c>
      <c r="F33" s="6"/>
      <c r="G33" s="6"/>
    </row>
    <row r="34" ht="30" spans="1:7">
      <c r="A34" s="5" t="s">
        <v>131</v>
      </c>
      <c r="B34" s="5" t="s">
        <v>117</v>
      </c>
      <c r="C34" s="5" t="s">
        <v>118</v>
      </c>
      <c r="D34" s="5" t="s">
        <v>204</v>
      </c>
      <c r="E34" s="5" t="s">
        <v>12</v>
      </c>
      <c r="F34" s="6"/>
      <c r="G34" s="6"/>
    </row>
    <row r="35" spans="1:7">
      <c r="A35" s="5" t="s">
        <v>135</v>
      </c>
      <c r="B35" s="5" t="s">
        <v>121</v>
      </c>
      <c r="C35" s="5" t="s">
        <v>121</v>
      </c>
      <c r="D35" s="5" t="s">
        <v>122</v>
      </c>
      <c r="E35" s="5" t="s">
        <v>12</v>
      </c>
      <c r="F35" s="6"/>
      <c r="G35" s="6"/>
    </row>
    <row r="36" spans="1:7">
      <c r="A36" s="5" t="s">
        <v>206</v>
      </c>
      <c r="B36" s="5" t="s">
        <v>124</v>
      </c>
      <c r="C36" s="5" t="s">
        <v>124</v>
      </c>
      <c r="D36" s="5" t="s">
        <v>207</v>
      </c>
      <c r="E36" s="5" t="s">
        <v>126</v>
      </c>
      <c r="F36" s="6"/>
      <c r="G36" s="6"/>
    </row>
    <row r="37" ht="45" spans="1:7">
      <c r="A37" s="5" t="s">
        <v>208</v>
      </c>
      <c r="B37" s="5" t="s">
        <v>128</v>
      </c>
      <c r="C37" s="5" t="s">
        <v>209</v>
      </c>
      <c r="D37" s="5" t="s">
        <v>210</v>
      </c>
      <c r="E37" s="5" t="s">
        <v>12</v>
      </c>
      <c r="F37" s="6"/>
      <c r="G37" s="6"/>
    </row>
    <row r="38" spans="1:7">
      <c r="A38" s="5" t="s">
        <v>211</v>
      </c>
      <c r="B38" s="5" t="s">
        <v>132</v>
      </c>
      <c r="C38" s="5" t="s">
        <v>133</v>
      </c>
      <c r="D38" s="5" t="s">
        <v>212</v>
      </c>
      <c r="E38" s="5" t="s">
        <v>12</v>
      </c>
      <c r="F38" s="6"/>
      <c r="G38" s="6"/>
    </row>
    <row r="39" ht="30" spans="1:7">
      <c r="A39" s="5" t="s">
        <v>213</v>
      </c>
      <c r="B39" s="5" t="s">
        <v>136</v>
      </c>
      <c r="C39" s="5" t="s">
        <v>137</v>
      </c>
      <c r="D39" s="5" t="s">
        <v>214</v>
      </c>
      <c r="E39" s="5" t="s">
        <v>12</v>
      </c>
      <c r="F39" s="6"/>
      <c r="G39" s="6"/>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ALL</vt:lpstr>
      <vt:lpstr>Intrim claim(OTS=N)</vt:lpstr>
      <vt:lpstr>Intrim claim (OTS=Y)</vt:lpstr>
      <vt:lpstr>Final claim(OTS=N)</vt:lpstr>
      <vt:lpstr>Final claim(OTS=Y)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somesh</dc:creator>
  <cp:lastModifiedBy>QA SOMESH</cp:lastModifiedBy>
  <dcterms:created xsi:type="dcterms:W3CDTF">2026-07-07T06:07:00Z</dcterms:created>
  <dcterms:modified xsi:type="dcterms:W3CDTF">2026-10-29T11:55:22Z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319C79F9FD4A47D0B1FB76F7709E61B5_11</vt:lpwstr>
  </property>
  <property fmtid="{D5CDD505-2E9C-101B-9397-08002B2CF9AE}" pid="3" name="KSOProductBuildVer">
    <vt:lpwstr>1033-12.1.0.25242</vt:lpwstr>
  </property>
  <property fmtid="{D5CDD505-2E9C-101B-9397-08002B2CF9AE}" pid="4" name="CalculationRule">
    <vt:i4>1</vt:i4>
  </property>
</Properties>
</file>