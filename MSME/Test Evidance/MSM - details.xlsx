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28800" windowHeight="12180" activeTab="4"/>
  </bookViews>
  <sheets>
    <sheet name="New CG" sheetId="2" r:id="rId1"/>
    <sheet name="D1" sheetId="3" r:id="rId2"/>
    <sheet name="C1" sheetId="4" r:id="rId3"/>
    <sheet name="D2" sheetId="5" r:id="rId4"/>
    <sheet name="C2" sheetId="6" r:id="rId5"/>
    <sheet name="U1" sheetId="7" r:id="rId6"/>
    <sheet name="C3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<sst xmlns="http://schemas.openxmlformats.org/spreadsheetml/2006/main" count="1066" uniqueCount="198">
  <si>
    <t>UnitName</t>
  </si>
  <si>
    <t>EmailId</t>
  </si>
  <si>
    <t>MobileNo</t>
  </si>
  <si>
    <t>Constitution</t>
  </si>
  <si>
    <t>UnitPanNo</t>
  </si>
  <si>
    <t>UnitRegistrationNo</t>
  </si>
  <si>
    <t>CustomersId</t>
  </si>
  <si>
    <t>Gender</t>
  </si>
  <si>
    <t>AddressLine</t>
  </si>
  <si>
    <t>City</t>
  </si>
  <si>
    <t>District</t>
  </si>
  <si>
    <t>State</t>
  </si>
  <si>
    <t>PinCode</t>
  </si>
  <si>
    <t>LoanAccountNumber</t>
  </si>
  <si>
    <t>InterestRate</t>
  </si>
  <si>
    <t>SanctionedLoanAmount</t>
  </si>
  <si>
    <t>SanctionedLoanDate</t>
  </si>
  <si>
    <t>LoanTenure</t>
  </si>
  <si>
    <t>LoanMoratoriumPeriod</t>
  </si>
  <si>
    <t>MSMEType</t>
  </si>
  <si>
    <t>Religion</t>
  </si>
  <si>
    <t>CasteCategory</t>
  </si>
  <si>
    <t>NatureOfIndustry</t>
  </si>
  <si>
    <t>IndustrySector</t>
  </si>
  <si>
    <t>EntityType</t>
  </si>
  <si>
    <t>PartialCollateralSecurityAmount</t>
  </si>
  <si>
    <t>BorrowerType</t>
  </si>
  <si>
    <t>ProjectCost</t>
  </si>
  <si>
    <t>CGPAN</t>
  </si>
  <si>
    <t>InitialContribution</t>
  </si>
  <si>
    <t>CGST</t>
  </si>
  <si>
    <t>SGST</t>
  </si>
  <si>
    <t>IGST</t>
  </si>
  <si>
    <t>GuaranteeIssueStartDate</t>
  </si>
  <si>
    <t>GuaranteeIssueEndDate</t>
  </si>
  <si>
    <t>someshL</t>
  </si>
  <si>
    <t>test3@gmail.com</t>
  </si>
  <si>
    <t>9876543210</t>
  </si>
  <si>
    <t>1</t>
  </si>
  <si>
    <t>XMJPS6601Q</t>
  </si>
  <si>
    <t>UDYAM-QA-44-7123401</t>
  </si>
  <si>
    <t>Acust01</t>
  </si>
  <si>
    <t>M</t>
  </si>
  <si>
    <t>test</t>
  </si>
  <si>
    <t>Test</t>
  </si>
  <si>
    <t>001</t>
  </si>
  <si>
    <t>01</t>
  </si>
  <si>
    <t>201009</t>
  </si>
  <si>
    <t>Aloan01</t>
  </si>
  <si>
    <t>48</t>
  </si>
  <si>
    <t>24</t>
  </si>
  <si>
    <t>200000000</t>
  </si>
  <si>
    <t>CGMSMGEN2209202600357192</t>
  </si>
  <si>
    <t>someshM</t>
  </si>
  <si>
    <t>XMJPS6602Q</t>
  </si>
  <si>
    <t>UDYAM-QA-44-7123402</t>
  </si>
  <si>
    <t>Acust02</t>
  </si>
  <si>
    <t>Aloan02</t>
  </si>
  <si>
    <t>3</t>
  </si>
  <si>
    <t>CGMSMGEN2209202600357193</t>
  </si>
  <si>
    <t>someshN</t>
  </si>
  <si>
    <t>XMJPS6603Q</t>
  </si>
  <si>
    <t>UDYAM-QA-44-7123403</t>
  </si>
  <si>
    <t>Acust03</t>
  </si>
  <si>
    <t>Aloan03</t>
  </si>
  <si>
    <t>CGMSMGEN2209202600357194</t>
  </si>
  <si>
    <t>somesho</t>
  </si>
  <si>
    <t>XMJPS6604Q</t>
  </si>
  <si>
    <t>UDYAM-QA-44-7123404</t>
  </si>
  <si>
    <t>Acust04</t>
  </si>
  <si>
    <t>Aloan04</t>
  </si>
  <si>
    <t>CGMSMGEN2209202600357195</t>
  </si>
  <si>
    <t>XMJPS6605Q</t>
  </si>
  <si>
    <t>UDYAM-QA-44-7123405</t>
  </si>
  <si>
    <t>Acust05</t>
  </si>
  <si>
    <t>Aloan05</t>
  </si>
  <si>
    <t>CGMSMGEN2209202600357196</t>
  </si>
  <si>
    <t>XMJPS6606Q</t>
  </si>
  <si>
    <t>UDYAM-QA-44-7123406</t>
  </si>
  <si>
    <t>Acust06</t>
  </si>
  <si>
    <t>Aloan06</t>
  </si>
  <si>
    <t>CGMSMGEN2209202600357197</t>
  </si>
  <si>
    <t>XMJPS6607Q</t>
  </si>
  <si>
    <t>UDYAM-QA-44-7123407</t>
  </si>
  <si>
    <t>Acust07</t>
  </si>
  <si>
    <t>Aloan07</t>
  </si>
  <si>
    <t>CGMSMGEN2209202600357198</t>
  </si>
  <si>
    <t>XMJPS6608Q</t>
  </si>
  <si>
    <t>UDYAM-QA-44-7123408</t>
  </si>
  <si>
    <t>Acust08</t>
  </si>
  <si>
    <t>Aloan08</t>
  </si>
  <si>
    <t>2</t>
  </si>
  <si>
    <t>CGMSMGEN2209202600357199</t>
  </si>
  <si>
    <t>XMJPS6609Q</t>
  </si>
  <si>
    <t>UDYAM-QA-44-7123409</t>
  </si>
  <si>
    <t>Acust09</t>
  </si>
  <si>
    <t>Aloan09</t>
  </si>
  <si>
    <t>CGMSMGEN2209202600357200</t>
  </si>
  <si>
    <t>XMJPS6610Q</t>
  </si>
  <si>
    <t>UDYAM-QA-44-7123410</t>
  </si>
  <si>
    <t>Acust10</t>
  </si>
  <si>
    <t>Aloan10</t>
  </si>
  <si>
    <t>CGMSMGEN2209202600357201</t>
  </si>
  <si>
    <t>XMJPS6611Q</t>
  </si>
  <si>
    <t>UDYAM-QA-44-7123411</t>
  </si>
  <si>
    <t>Acust11</t>
  </si>
  <si>
    <t>Aloan11</t>
  </si>
  <si>
    <t>CGMSMGEN2209202600357202</t>
  </si>
  <si>
    <t>XMJPS6612Q</t>
  </si>
  <si>
    <t>UDYAM-QA-44-7123412</t>
  </si>
  <si>
    <t>Acust12</t>
  </si>
  <si>
    <t>Aloan12</t>
  </si>
  <si>
    <t>CGMSMGEN2209202600357203</t>
  </si>
  <si>
    <t>XMJPS6613Q</t>
  </si>
  <si>
    <t>UDYAM-QA-44-7123413</t>
  </si>
  <si>
    <t>Acust13</t>
  </si>
  <si>
    <t>Aloan13</t>
  </si>
  <si>
    <t>CGMSMGEN2209202600357204</t>
  </si>
  <si>
    <t>XMJPS6614Q</t>
  </si>
  <si>
    <t>UDYAM-QA-44-7123414</t>
  </si>
  <si>
    <t>Acust14</t>
  </si>
  <si>
    <t>Aloan14</t>
  </si>
  <si>
    <t>CGMSMGEN2209202600357205</t>
  </si>
  <si>
    <t>XMJPS6615Q</t>
  </si>
  <si>
    <t>UDYAM-QA-44-7123415</t>
  </si>
  <si>
    <t>Acust15</t>
  </si>
  <si>
    <t>Aloan15</t>
  </si>
  <si>
    <t>CGMSMGEN2209202600357206</t>
  </si>
  <si>
    <t>XMJPS6616Q</t>
  </si>
  <si>
    <t>UDYAM-QA-44-7123416</t>
  </si>
  <si>
    <t>Acust16</t>
  </si>
  <si>
    <t>Aloan16</t>
  </si>
  <si>
    <t>CGMSMGEN2209202600357207</t>
  </si>
  <si>
    <t>XMJPS6617Q</t>
  </si>
  <si>
    <t>UDYAM-QA-44-7123417</t>
  </si>
  <si>
    <t>Acust17</t>
  </si>
  <si>
    <t>Aloan17</t>
  </si>
  <si>
    <t>CGMSMGEN2209202600357208</t>
  </si>
  <si>
    <t>XMJPS6618Q</t>
  </si>
  <si>
    <t>UDYAM-QA-44-7123418</t>
  </si>
  <si>
    <t>Acust18</t>
  </si>
  <si>
    <t>Aloan18</t>
  </si>
  <si>
    <t>CGMSMGEN2209202600357209</t>
  </si>
  <si>
    <t>XMJPS6619Q</t>
  </si>
  <si>
    <t>UDYAM-QA-44-7123419</t>
  </si>
  <si>
    <t>Acust19</t>
  </si>
  <si>
    <t>Aloan19</t>
  </si>
  <si>
    <t>CGMSMGEN2209202600357210</t>
  </si>
  <si>
    <t>XMJPS6620Q</t>
  </si>
  <si>
    <t>UDYAM-QA-44-7123420</t>
  </si>
  <si>
    <t>Acust20</t>
  </si>
  <si>
    <t>Aloan20</t>
  </si>
  <si>
    <t>CGMSMGEN2209202600357211</t>
  </si>
  <si>
    <t>XMJPS6621Q</t>
  </si>
  <si>
    <t>UDYAM-QA-44-7123421</t>
  </si>
  <si>
    <t>Acust21</t>
  </si>
  <si>
    <t>Aloan21</t>
  </si>
  <si>
    <t>CGMSMGEN2209202600357212</t>
  </si>
  <si>
    <t>XMJPS6622Q</t>
  </si>
  <si>
    <t>UDYAM-QA-44-7123422</t>
  </si>
  <si>
    <t>Acust22</t>
  </si>
  <si>
    <t>Aloan22</t>
  </si>
  <si>
    <t>CGMSMGEN2209202600357213</t>
  </si>
  <si>
    <t>XMJPS6623Q</t>
  </si>
  <si>
    <t>UDYAM-QA-44-7123423</t>
  </si>
  <si>
    <t>Acust23</t>
  </si>
  <si>
    <t>Aloan23</t>
  </si>
  <si>
    <t>CGMSMGEN2209202600357214</t>
  </si>
  <si>
    <t>XMJPS6624Q</t>
  </si>
  <si>
    <t>UDYAM-QA-44-7123424</t>
  </si>
  <si>
    <t>Acust24</t>
  </si>
  <si>
    <t>Aloan24</t>
  </si>
  <si>
    <t>CGMSMGEN2209202600357215</t>
  </si>
  <si>
    <t>DisbursementAmount</t>
  </si>
  <si>
    <t>DisbursementDate</t>
  </si>
  <si>
    <t>CGFees</t>
  </si>
  <si>
    <t>15-09-2026</t>
  </si>
  <si>
    <t>500000000</t>
  </si>
  <si>
    <t>300000000</t>
  </si>
  <si>
    <t>460000000</t>
  </si>
  <si>
    <t>100000000</t>
  </si>
  <si>
    <t>90000000</t>
  </si>
  <si>
    <t>10000000</t>
  </si>
  <si>
    <t>PrincipalOutstandingAmount</t>
  </si>
  <si>
    <t>InterestOutstandingAmount</t>
  </si>
  <si>
    <t>AccountType</t>
  </si>
  <si>
    <t>AccountTurnDate</t>
  </si>
  <si>
    <t>PrincipalOutstandingAmountAsOnNPADate</t>
  </si>
  <si>
    <t>InterestOutstandingAmountAsOnNPADate</t>
  </si>
  <si>
    <t>Standard</t>
  </si>
  <si>
    <t>15-04-2027</t>
  </si>
  <si>
    <t>40000000</t>
  </si>
  <si>
    <t>50000000</t>
  </si>
  <si>
    <t>80000000</t>
  </si>
  <si>
    <t>Claim Eligible date</t>
  </si>
  <si>
    <t>NPA</t>
  </si>
  <si>
    <t>31-01-2028</t>
  </si>
  <si>
    <t>05-04-2028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</si>
</sst>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[$-409]d/mmm/yyyy;@"/>
  </numFmts>
  <fonts count="23">
    <font>
      <sz val="11"/>
      <color rgb="FF000000"/>
      <name val="Calibri"/>
      <charset val="134"/>
    </font>
    <font>
      <b/>
      <sz val="11"/>
      <color theme="0"/>
      <name val="Calibri"/>
      <charset val="134"/>
    </font>
    <font>
      <sz val="11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Border="0" applyAlignment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0" applyNumberFormat="0" applyAlignment="0" applyProtection="0">
      <alignment vertical="center"/>
    </xf>
    <xf numFmtId="0" fontId="13" fillId="6" borderId="11" applyNumberFormat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7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0">
    <xf numFmtId="0" fontId="0" fillId="0" borderId="0" xfId="0" applyFill="1" applyProtection="1"/>
    <xf numFmtId="180" fontId="0" fillId="0" borderId="0" xfId="0" applyNumberFormat="1" applyFill="1" applyProtection="1"/>
    <xf numFmtId="181" fontId="0" fillId="0" borderId="0" xfId="0" applyNumberFormat="1" applyFill="1" applyProtection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0" fillId="3" borderId="0" xfId="0" applyFill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13"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bgColor rgb="FFFFFF0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bgColor rgb="FFFFFF0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numFmt numFmtId="181" formatCode="[$-409]d/mmm/yyyy;@"/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2"/>
      <tableStyleElement type="headerRow" dxfId="101"/>
      <tableStyleElement type="totalRow" dxfId="100"/>
      <tableStyleElement type="firstColumn" dxfId="99"/>
      <tableStyleElement type="lastColumn" dxfId="98"/>
      <tableStyleElement type="firstRowStripe" dxfId="97"/>
      <tableStyleElement type="firstColumnStripe" dxfId="96"/>
    </tableStyle>
    <tableStyle name="PivotStylePreset2_Accent1" table="0" count="10" xr9:uid="{267968C8-6FFD-4C36-ACC1-9EA1FD1885CA}">
      <tableStyleElement type="headerRow" dxfId="112"/>
      <tableStyleElement type="totalRow" dxfId="111"/>
      <tableStyleElement type="firstRowStripe" dxfId="110"/>
      <tableStyleElement type="firstColumnStripe" dxfId="109"/>
      <tableStyleElement type="firstSubtotalRow" dxfId="108"/>
      <tableStyleElement type="secondSubtotalRow" dxfId="107"/>
      <tableStyleElement type="firstRowSubheading" dxfId="106"/>
      <tableStyleElement type="secondRowSubheading" dxfId="105"/>
      <tableStyleElement type="pageFieldLabels" dxfId="104"/>
      <tableStyleElement type="pageFieldValues" dxfId="10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AI25" totalsRowShown="0">
  <autoFilter xmlns:etc="http://www.wps.cn/officeDocument/2017/etCustomData" ref="A1:AI25" etc:filterBottomFollowUsedRange="0"/>
  <tableColumns count="35">
    <tableColumn id="1" name="UnitName" dataDxfId="0"/>
    <tableColumn id="2" name="EmailId" dataDxfId="1"/>
    <tableColumn id="3" name="MobileNo" dataDxfId="2"/>
    <tableColumn id="4" name="Constitution" dataDxfId="3"/>
    <tableColumn id="5" name="UnitPanNo" dataDxfId="4"/>
    <tableColumn id="6" name="UnitRegistrationNo" dataDxfId="5"/>
    <tableColumn id="7" name="CustomersId" dataDxfId="6"/>
    <tableColumn id="8" name="Gender" dataDxfId="7"/>
    <tableColumn id="9" name="AddressLine" dataDxfId="8"/>
    <tableColumn id="10" name="City" dataDxfId="9"/>
    <tableColumn id="11" name="District" dataDxfId="10"/>
    <tableColumn id="12" name="State" dataDxfId="11"/>
    <tableColumn id="13" name="PinCode" dataDxfId="12"/>
    <tableColumn id="14" name="LoanAccountNumber" dataDxfId="13"/>
    <tableColumn id="15" name="InterestRate" dataDxfId="14"/>
    <tableColumn id="16" name="SanctionedLoanAmount" dataDxfId="15"/>
    <tableColumn id="17" name="SanctionedLoanDate" dataDxfId="16"/>
    <tableColumn id="18" name="LoanTenure" dataDxfId="17"/>
    <tableColumn id="19" name="LoanMoratoriumPeriod" dataDxfId="18"/>
    <tableColumn id="20" name="MSMEType" dataDxfId="19"/>
    <tableColumn id="21" name="Religion" dataDxfId="20"/>
    <tableColumn id="22" name="CasteCategory" dataDxfId="21"/>
    <tableColumn id="23" name="NatureOfIndustry" dataDxfId="22"/>
    <tableColumn id="24" name="IndustrySector" dataDxfId="23"/>
    <tableColumn id="25" name="EntityType" dataDxfId="24"/>
    <tableColumn id="26" name="PartialCollateralSecurityAmount" dataDxfId="25"/>
    <tableColumn id="27" name="BorrowerType" dataDxfId="26"/>
    <tableColumn id="28" name="ProjectCost" dataDxfId="27"/>
    <tableColumn id="29" name="CGPAN" dataDxfId="28"/>
    <tableColumn id="30" name="InitialContribution" dataDxfId="29"/>
    <tableColumn id="31" name="CGST" dataDxfId="30"/>
    <tableColumn id="32" name="SGST" dataDxfId="31"/>
    <tableColumn id="33" name="IGST" dataDxfId="32"/>
    <tableColumn id="34" name="GuaranteeIssueStartDate" dataDxfId="33"/>
    <tableColumn id="35" name="GuaranteeIssueEndDate" dataDxfId="3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1_3" displayName="Table1_3" ref="A1:N25" totalsRowShown="0">
  <autoFilter xmlns:etc="http://www.wps.cn/officeDocument/2017/etCustomData" ref="A1:N25" etc:filterBottomFollowUsedRange="0"/>
  <tableColumns count="14">
    <tableColumn id="1" name="LoanAccountNumber" dataDxfId="35"/>
    <tableColumn id="2" name="CGPAN" dataDxfId="36"/>
    <tableColumn id="3" name="PrincipalOutstandingAmount" dataDxfId="37"/>
    <tableColumn id="4" name="InterestOutstandingAmount" dataDxfId="38"/>
    <tableColumn id="5" name="AccountType" dataDxfId="39"/>
    <tableColumn id="6" name="AccountTurnDate" dataDxfId="40"/>
    <tableColumn id="7" name="PrincipalOutstandingAmountAsOnNPADate" dataDxfId="41"/>
    <tableColumn id="8" name="InterestOutstandingAmountAsOnNPADate" dataDxfId="42"/>
    <tableColumn id="9" name="CGFees" dataDxfId="43"/>
    <tableColumn id="10" name="CGST" dataDxfId="44"/>
    <tableColumn id="11" name="SGST" dataDxfId="45"/>
    <tableColumn id="12" name="IGST" dataDxfId="46"/>
    <tableColumn id="13" name="GuaranteeIssueStartDate" dataDxfId="47"/>
    <tableColumn id="14" name="GuaranteeIssueEndDate" dataDxfId="48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able1_4" displayName="Table1_4" ref="A1:H25" totalsRowShown="0">
  <autoFilter xmlns:etc="http://www.wps.cn/officeDocument/2017/etCustomData" ref="A1:H25" etc:filterBottomFollowUsedRange="0"/>
  <tableColumns count="8">
    <tableColumn id="1" name="CGPAN" dataDxfId="49"/>
    <tableColumn id="2" name="LoanAccountNumber" dataDxfId="50"/>
    <tableColumn id="3" name="DisbursementAmount" dataDxfId="51"/>
    <tableColumn id="4" name="DisbursementDate" dataDxfId="52"/>
    <tableColumn id="5" name="CGFees" dataDxfId="53"/>
    <tableColumn id="6" name="IGST" dataDxfId="54"/>
    <tableColumn id="7" name="CGST" dataDxfId="55"/>
    <tableColumn id="8" name="SGST" dataDxfId="56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1_5" displayName="Table1_5" ref="A1:O25" totalsRowShown="0">
  <autoFilter xmlns:etc="http://www.wps.cn/officeDocument/2017/etCustomData" ref="A1:O25" etc:filterBottomFollowUsedRange="0">
    <filterColumn colId="4">
      <customFilters>
        <customFilter operator="equal" val="NPA"/>
      </customFilters>
    </filterColumn>
  </autoFilter>
  <tableColumns count="15">
    <tableColumn id="1" name="LoanAccountNumber" dataDxfId="57"/>
    <tableColumn id="2" name="CGPAN" dataDxfId="58"/>
    <tableColumn id="3" name="PrincipalOutstandingAmount" dataDxfId="59"/>
    <tableColumn id="4" name="InterestOutstandingAmount" dataDxfId="60"/>
    <tableColumn id="5" name="AccountType" dataDxfId="61"/>
    <tableColumn id="6" name="AccountTurnDate" dataDxfId="62"/>
    <tableColumn id="7" name="PrincipalOutstandingAmountAsOnNPADate" dataDxfId="63"/>
    <tableColumn id="8" name="InterestOutstandingAmountAsOnNPADate" dataDxfId="64"/>
    <tableColumn id="9" name="CGFees" dataDxfId="65"/>
    <tableColumn id="10" name="CGST" dataDxfId="66"/>
    <tableColumn id="11" name="SGST" dataDxfId="67"/>
    <tableColumn id="12" name="IGST" dataDxfId="68"/>
    <tableColumn id="13" name="GuaranteeIssueStartDate" dataDxfId="69"/>
    <tableColumn id="14" name="GuaranteeIssueEndDate" dataDxfId="70"/>
    <tableColumn id="15" name="Claim Eligible date" dataDxfId="71">
      <calculatedColumnFormula>M2+(365*2)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1_6" displayName="Table1_6" ref="A1:L3" totalsRowShown="0">
  <autoFilter xmlns:etc="http://www.wps.cn/officeDocument/2017/etCustomData" ref="A1:L3" etc:filterBottomFollowUsedRange="0"/>
  <tableColumns count="12">
    <tableColumn id="1" name="LoanAccountNumber" dataDxfId="72"/>
    <tableColumn id="2" name="CGPAN" dataDxfId="73"/>
    <tableColumn id="3" name="AccountType" dataDxfId="74"/>
    <tableColumn id="4" name="AccountTurnDate" dataDxfId="75"/>
    <tableColumn id="5" name="PrincipalOutstandingAmountAsOnNPADate" dataDxfId="76"/>
    <tableColumn id="6" name="InterestOutstandingAmountAsOnNPADate" dataDxfId="77"/>
    <tableColumn id="7" name="CGFees" dataDxfId="78"/>
    <tableColumn id="8" name="CGST" dataDxfId="79"/>
    <tableColumn id="9" name="SGST" dataDxfId="80"/>
    <tableColumn id="10" name="IGST" dataDxfId="81"/>
    <tableColumn id="11" name="GuaranteeIssueStartDate" dataDxfId="82"/>
    <tableColumn id="12" name="GuaranteeIssueEndDate" dataDxfId="83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1_7" displayName="Table1_7" ref="A1:L11" totalsRowShown="0">
  <autoFilter xmlns:etc="http://www.wps.cn/officeDocument/2017/etCustomData" ref="A1:L11" etc:filterBottomFollowUsedRange="0"/>
  <tableColumns count="12">
    <tableColumn id="1" name="LoanAccountNumber" dataDxfId="84"/>
    <tableColumn id="2" name="CGPAN" dataDxfId="85"/>
    <tableColumn id="3" name="PrincipalOutstandingAmount" dataDxfId="86"/>
    <tableColumn id="4" name="InterestOutstandingAmount" dataDxfId="87"/>
    <tableColumn id="5" name="AccountType" dataDxfId="88"/>
    <tableColumn id="6" name="AccountTurnDate" dataDxfId="89"/>
    <tableColumn id="7" name="PrincipalOutstandingAmountAsOnNPADate" dataDxfId="90"/>
    <tableColumn id="8" name="InterestOutstandingAmountAsOnNPADate" dataDxfId="91"/>
    <tableColumn id="9" name="CGFees" dataDxfId="92"/>
    <tableColumn id="10" name="CGST" dataDxfId="93"/>
    <tableColumn id="11" name="SGST" dataDxfId="94"/>
    <tableColumn id="12" name="IGST" dataDxfId="95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5"/>
  <sheetViews>
    <sheetView topLeftCell="Q1" workbookViewId="0">
      <selection activeCell="AC23" sqref="AC23"/>
    </sheetView>
  </sheetViews>
  <sheetFormatPr defaultColWidth="9" defaultRowHeight="15"/>
  <cols>
    <col min="1" max="1" width="11.9809523809524" customWidth="1"/>
    <col min="2" max="2" width="18.4095238095238" customWidth="1"/>
    <col min="3" max="3" width="12.9809523809524" customWidth="1"/>
    <col min="4" max="4" width="13.7047619047619" customWidth="1"/>
    <col min="5" max="5" width="14.1333333333333" customWidth="1"/>
    <col min="6" max="6" width="23.2666666666667" customWidth="1"/>
    <col min="7" max="7" width="14.1333333333333" customWidth="1"/>
    <col min="8" max="8" width="9.55238095238095" customWidth="1"/>
    <col min="9" max="9" width="13.8380952380952" customWidth="1"/>
    <col min="10" max="10" width="6.40952380952381" customWidth="1"/>
    <col min="11" max="11" width="9.26666666666667" customWidth="1"/>
    <col min="12" max="12" width="7.55238095238095" customWidth="1"/>
    <col min="13" max="13" width="10.4095238095238" customWidth="1"/>
    <col min="14" max="14" width="21.552380952381" customWidth="1"/>
    <col min="15" max="15" width="13.9809523809524" customWidth="1"/>
    <col min="16" max="16" width="23.9809523809524" customWidth="1"/>
    <col min="17" max="17" width="20.9809523809524" customWidth="1"/>
    <col min="18" max="18" width="13.2666666666667" customWidth="1"/>
    <col min="19" max="19" width="23.552380952381" customWidth="1"/>
    <col min="20" max="20" width="12.552380952381" style="9" customWidth="1"/>
    <col min="21" max="21" width="10.2666666666667" customWidth="1"/>
    <col min="22" max="22" width="15.7047619047619" customWidth="1"/>
    <col min="23" max="23" width="18.552380952381" customWidth="1"/>
    <col min="24" max="24" width="15.8380952380952" customWidth="1"/>
    <col min="25" max="25" width="12.1333333333333" customWidth="1"/>
    <col min="26" max="26" width="31.4095238095238" customWidth="1"/>
    <col min="27" max="27" width="15.4095238095238" customWidth="1"/>
    <col min="28" max="28" width="13.1333333333333" customWidth="1"/>
    <col min="29" max="29" width="29.552380952381" style="9" customWidth="1"/>
    <col min="30" max="30" width="19.1333333333333" customWidth="1"/>
    <col min="31" max="31" width="7.40952380952381" customWidth="1"/>
    <col min="32" max="32" width="7.26666666666667" customWidth="1"/>
    <col min="33" max="33" width="6.83809523809524" customWidth="1"/>
    <col min="34" max="34" width="25.1333333333333" customWidth="1"/>
    <col min="35" max="35" width="24.2666666666667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9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s="9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  <c r="O2">
        <v>7.5</v>
      </c>
      <c r="P2">
        <v>300000000</v>
      </c>
      <c r="Q2" s="1">
        <v>46199</v>
      </c>
      <c r="R2" t="s">
        <v>49</v>
      </c>
      <c r="S2" t="s">
        <v>50</v>
      </c>
      <c r="T2" s="9">
        <v>1</v>
      </c>
      <c r="U2" t="s">
        <v>38</v>
      </c>
      <c r="V2" t="s">
        <v>38</v>
      </c>
      <c r="W2" t="s">
        <v>38</v>
      </c>
      <c r="X2" t="s">
        <v>38</v>
      </c>
      <c r="Y2" t="s">
        <v>38</v>
      </c>
      <c r="Z2">
        <v>50000000</v>
      </c>
      <c r="AA2" t="s">
        <v>38</v>
      </c>
      <c r="AB2" t="s">
        <v>51</v>
      </c>
      <c r="AC2" s="9" t="s">
        <v>52</v>
      </c>
      <c r="AD2">
        <v>12500000</v>
      </c>
      <c r="AE2">
        <v>0</v>
      </c>
      <c r="AF2">
        <v>0</v>
      </c>
      <c r="AG2">
        <v>0</v>
      </c>
      <c r="AH2" s="1">
        <v>46287</v>
      </c>
      <c r="AI2" s="1">
        <v>46477</v>
      </c>
    </row>
    <row r="3" spans="1:35">
      <c r="A3" t="s">
        <v>53</v>
      </c>
      <c r="B3" t="s">
        <v>36</v>
      </c>
      <c r="C3" t="s">
        <v>37</v>
      </c>
      <c r="D3" t="s">
        <v>38</v>
      </c>
      <c r="E3" t="s">
        <v>54</v>
      </c>
      <c r="F3" t="s">
        <v>55</v>
      </c>
      <c r="G3" t="s">
        <v>56</v>
      </c>
      <c r="H3" t="s">
        <v>42</v>
      </c>
      <c r="I3" t="s">
        <v>43</v>
      </c>
      <c r="J3" t="s">
        <v>44</v>
      </c>
      <c r="K3" t="s">
        <v>45</v>
      </c>
      <c r="L3" t="s">
        <v>46</v>
      </c>
      <c r="M3" t="s">
        <v>47</v>
      </c>
      <c r="N3" t="s">
        <v>57</v>
      </c>
      <c r="O3">
        <v>7.5</v>
      </c>
      <c r="P3">
        <v>1000000000</v>
      </c>
      <c r="Q3" s="1">
        <v>46199</v>
      </c>
      <c r="R3" t="s">
        <v>49</v>
      </c>
      <c r="S3" t="s">
        <v>50</v>
      </c>
      <c r="T3" s="9">
        <v>1</v>
      </c>
      <c r="U3" t="s">
        <v>38</v>
      </c>
      <c r="V3" t="s">
        <v>38</v>
      </c>
      <c r="W3" t="s">
        <v>38</v>
      </c>
      <c r="X3" t="s">
        <v>38</v>
      </c>
      <c r="Y3" t="s">
        <v>38</v>
      </c>
      <c r="Z3">
        <v>450000000</v>
      </c>
      <c r="AA3" t="s">
        <v>58</v>
      </c>
      <c r="AB3" t="s">
        <v>51</v>
      </c>
      <c r="AC3" s="9" t="s">
        <v>59</v>
      </c>
      <c r="AD3">
        <v>27500000</v>
      </c>
      <c r="AE3">
        <v>0</v>
      </c>
      <c r="AF3">
        <v>0</v>
      </c>
      <c r="AG3">
        <v>0</v>
      </c>
      <c r="AH3" s="1">
        <v>46287</v>
      </c>
      <c r="AI3" s="1">
        <v>46477</v>
      </c>
    </row>
    <row r="4" spans="1:35">
      <c r="A4" t="s">
        <v>60</v>
      </c>
      <c r="B4" t="s">
        <v>36</v>
      </c>
      <c r="C4" t="s">
        <v>37</v>
      </c>
      <c r="D4" t="s">
        <v>38</v>
      </c>
      <c r="E4" t="s">
        <v>61</v>
      </c>
      <c r="F4" t="s">
        <v>62</v>
      </c>
      <c r="G4" t="s">
        <v>63</v>
      </c>
      <c r="H4" t="s">
        <v>42</v>
      </c>
      <c r="I4" t="s">
        <v>43</v>
      </c>
      <c r="J4" t="s">
        <v>44</v>
      </c>
      <c r="K4" t="s">
        <v>45</v>
      </c>
      <c r="L4" t="s">
        <v>46</v>
      </c>
      <c r="M4" t="s">
        <v>47</v>
      </c>
      <c r="N4" t="s">
        <v>64</v>
      </c>
      <c r="O4">
        <v>7.5</v>
      </c>
      <c r="P4">
        <v>500000000</v>
      </c>
      <c r="Q4" s="1">
        <v>46199</v>
      </c>
      <c r="R4" t="s">
        <v>49</v>
      </c>
      <c r="S4" t="s">
        <v>50</v>
      </c>
      <c r="T4" s="9">
        <v>1</v>
      </c>
      <c r="U4" t="s">
        <v>38</v>
      </c>
      <c r="V4" t="s">
        <v>38</v>
      </c>
      <c r="W4" t="s">
        <v>38</v>
      </c>
      <c r="X4" t="s">
        <v>38</v>
      </c>
      <c r="Y4" t="s">
        <v>38</v>
      </c>
      <c r="Z4">
        <v>150000000</v>
      </c>
      <c r="AA4" t="s">
        <v>38</v>
      </c>
      <c r="AB4" t="s">
        <v>51</v>
      </c>
      <c r="AC4" s="9" t="s">
        <v>65</v>
      </c>
      <c r="AD4">
        <v>17500000</v>
      </c>
      <c r="AE4">
        <v>0</v>
      </c>
      <c r="AF4">
        <v>0</v>
      </c>
      <c r="AG4">
        <v>0</v>
      </c>
      <c r="AH4" s="1">
        <v>46287</v>
      </c>
      <c r="AI4" s="1">
        <v>46477</v>
      </c>
    </row>
    <row r="5" spans="1:35">
      <c r="A5" t="s">
        <v>66</v>
      </c>
      <c r="B5" t="s">
        <v>36</v>
      </c>
      <c r="C5" t="s">
        <v>37</v>
      </c>
      <c r="D5" t="s">
        <v>38</v>
      </c>
      <c r="E5" t="s">
        <v>67</v>
      </c>
      <c r="F5" t="s">
        <v>68</v>
      </c>
      <c r="G5" t="s">
        <v>69</v>
      </c>
      <c r="H5" t="s">
        <v>42</v>
      </c>
      <c r="I5" t="s">
        <v>43</v>
      </c>
      <c r="J5" t="s">
        <v>44</v>
      </c>
      <c r="K5" t="s">
        <v>45</v>
      </c>
      <c r="L5" t="s">
        <v>46</v>
      </c>
      <c r="M5" t="s">
        <v>47</v>
      </c>
      <c r="N5" t="s">
        <v>70</v>
      </c>
      <c r="O5">
        <v>7.5</v>
      </c>
      <c r="P5">
        <v>500000000</v>
      </c>
      <c r="Q5" s="1">
        <v>46199</v>
      </c>
      <c r="R5" t="s">
        <v>49</v>
      </c>
      <c r="S5" t="s">
        <v>50</v>
      </c>
      <c r="T5" s="9">
        <v>1</v>
      </c>
      <c r="U5" t="s">
        <v>38</v>
      </c>
      <c r="V5" t="s">
        <v>38</v>
      </c>
      <c r="W5" t="s">
        <v>38</v>
      </c>
      <c r="X5" t="s">
        <v>38</v>
      </c>
      <c r="Y5" t="s">
        <v>38</v>
      </c>
      <c r="Z5">
        <v>450000000</v>
      </c>
      <c r="AA5" t="s">
        <v>58</v>
      </c>
      <c r="AB5" t="s">
        <v>51</v>
      </c>
      <c r="AC5" s="9" t="s">
        <v>71</v>
      </c>
      <c r="AD5">
        <v>2500000</v>
      </c>
      <c r="AE5">
        <v>0</v>
      </c>
      <c r="AF5">
        <v>0</v>
      </c>
      <c r="AG5">
        <v>0</v>
      </c>
      <c r="AH5" s="1">
        <v>46287</v>
      </c>
      <c r="AI5" s="1">
        <v>46477</v>
      </c>
    </row>
    <row r="6" spans="1:35">
      <c r="A6" t="s">
        <v>35</v>
      </c>
      <c r="B6" t="s">
        <v>36</v>
      </c>
      <c r="C6" t="s">
        <v>37</v>
      </c>
      <c r="D6" t="s">
        <v>38</v>
      </c>
      <c r="E6" t="s">
        <v>72</v>
      </c>
      <c r="F6" t="s">
        <v>73</v>
      </c>
      <c r="G6" t="s">
        <v>74</v>
      </c>
      <c r="H6" t="s">
        <v>42</v>
      </c>
      <c r="I6" t="s">
        <v>43</v>
      </c>
      <c r="J6" t="s">
        <v>44</v>
      </c>
      <c r="K6" t="s">
        <v>45</v>
      </c>
      <c r="L6" t="s">
        <v>46</v>
      </c>
      <c r="M6" t="s">
        <v>47</v>
      </c>
      <c r="N6" t="s">
        <v>75</v>
      </c>
      <c r="O6">
        <v>7.5</v>
      </c>
      <c r="P6">
        <v>600000000</v>
      </c>
      <c r="Q6" s="1">
        <v>46199</v>
      </c>
      <c r="R6" t="s">
        <v>49</v>
      </c>
      <c r="S6" t="s">
        <v>50</v>
      </c>
      <c r="T6" s="9">
        <v>1</v>
      </c>
      <c r="U6" t="s">
        <v>38</v>
      </c>
      <c r="V6" t="s">
        <v>38</v>
      </c>
      <c r="W6" t="s">
        <v>38</v>
      </c>
      <c r="X6" t="s">
        <v>38</v>
      </c>
      <c r="Y6" t="s">
        <v>38</v>
      </c>
      <c r="Z6">
        <v>0</v>
      </c>
      <c r="AA6" t="s">
        <v>38</v>
      </c>
      <c r="AB6" t="s">
        <v>51</v>
      </c>
      <c r="AC6" s="9" t="s">
        <v>76</v>
      </c>
      <c r="AD6">
        <v>30000000</v>
      </c>
      <c r="AE6">
        <v>0</v>
      </c>
      <c r="AF6">
        <v>0</v>
      </c>
      <c r="AG6">
        <v>0</v>
      </c>
      <c r="AH6" s="1">
        <v>46287</v>
      </c>
      <c r="AI6" s="1">
        <v>46477</v>
      </c>
    </row>
    <row r="7" spans="1:35">
      <c r="A7" t="s">
        <v>53</v>
      </c>
      <c r="B7" t="s">
        <v>36</v>
      </c>
      <c r="C7" t="s">
        <v>37</v>
      </c>
      <c r="D7" t="s">
        <v>38</v>
      </c>
      <c r="E7" t="s">
        <v>77</v>
      </c>
      <c r="F7" t="s">
        <v>78</v>
      </c>
      <c r="G7" t="s">
        <v>79</v>
      </c>
      <c r="H7" t="s">
        <v>42</v>
      </c>
      <c r="I7" t="s">
        <v>43</v>
      </c>
      <c r="J7" t="s">
        <v>44</v>
      </c>
      <c r="K7" t="s">
        <v>45</v>
      </c>
      <c r="L7" t="s">
        <v>46</v>
      </c>
      <c r="M7" t="s">
        <v>47</v>
      </c>
      <c r="N7" t="s">
        <v>80</v>
      </c>
      <c r="O7">
        <v>7.5</v>
      </c>
      <c r="P7">
        <v>500000000</v>
      </c>
      <c r="Q7" s="1">
        <v>46199</v>
      </c>
      <c r="R7" t="s">
        <v>49</v>
      </c>
      <c r="S7" t="s">
        <v>50</v>
      </c>
      <c r="T7" s="9">
        <v>1</v>
      </c>
      <c r="U7" t="s">
        <v>38</v>
      </c>
      <c r="V7" t="s">
        <v>38</v>
      </c>
      <c r="W7" t="s">
        <v>38</v>
      </c>
      <c r="X7" t="s">
        <v>38</v>
      </c>
      <c r="Y7" t="s">
        <v>38</v>
      </c>
      <c r="Z7">
        <v>450000000</v>
      </c>
      <c r="AA7" t="s">
        <v>58</v>
      </c>
      <c r="AB7" t="s">
        <v>51</v>
      </c>
      <c r="AC7" s="9" t="s">
        <v>81</v>
      </c>
      <c r="AD7">
        <v>2500000</v>
      </c>
      <c r="AE7">
        <v>0</v>
      </c>
      <c r="AF7">
        <v>0</v>
      </c>
      <c r="AG7">
        <v>0</v>
      </c>
      <c r="AH7" s="1">
        <v>46287</v>
      </c>
      <c r="AI7" s="1">
        <v>46477</v>
      </c>
    </row>
    <row r="8" spans="1:35">
      <c r="A8" t="s">
        <v>60</v>
      </c>
      <c r="B8" t="s">
        <v>36</v>
      </c>
      <c r="C8" t="s">
        <v>37</v>
      </c>
      <c r="D8" t="s">
        <v>38</v>
      </c>
      <c r="E8" t="s">
        <v>82</v>
      </c>
      <c r="F8" t="s">
        <v>83</v>
      </c>
      <c r="G8" t="s">
        <v>84</v>
      </c>
      <c r="H8" t="s">
        <v>42</v>
      </c>
      <c r="I8" t="s">
        <v>43</v>
      </c>
      <c r="J8" t="s">
        <v>44</v>
      </c>
      <c r="K8" t="s">
        <v>45</v>
      </c>
      <c r="L8" t="s">
        <v>46</v>
      </c>
      <c r="M8" t="s">
        <v>47</v>
      </c>
      <c r="N8" t="s">
        <v>85</v>
      </c>
      <c r="O8">
        <v>7.5</v>
      </c>
      <c r="P8">
        <v>200000000</v>
      </c>
      <c r="Q8" s="1">
        <v>46199</v>
      </c>
      <c r="R8" t="s">
        <v>49</v>
      </c>
      <c r="S8" t="s">
        <v>50</v>
      </c>
      <c r="T8" s="9">
        <v>2</v>
      </c>
      <c r="U8" t="s">
        <v>38</v>
      </c>
      <c r="V8" t="s">
        <v>38</v>
      </c>
      <c r="W8" t="s">
        <v>38</v>
      </c>
      <c r="X8" t="s">
        <v>38</v>
      </c>
      <c r="Y8" t="s">
        <v>38</v>
      </c>
      <c r="Z8">
        <v>50000000</v>
      </c>
      <c r="AA8" t="s">
        <v>38</v>
      </c>
      <c r="AB8" t="s">
        <v>51</v>
      </c>
      <c r="AC8" s="9" t="s">
        <v>86</v>
      </c>
      <c r="AD8">
        <v>3000000</v>
      </c>
      <c r="AE8">
        <v>0</v>
      </c>
      <c r="AF8">
        <v>0</v>
      </c>
      <c r="AG8">
        <v>0</v>
      </c>
      <c r="AH8" s="1">
        <v>46287</v>
      </c>
      <c r="AI8" s="1">
        <v>46477</v>
      </c>
    </row>
    <row r="9" spans="1:35">
      <c r="A9" t="s">
        <v>66</v>
      </c>
      <c r="B9" t="s">
        <v>36</v>
      </c>
      <c r="C9" t="s">
        <v>37</v>
      </c>
      <c r="D9" t="s">
        <v>38</v>
      </c>
      <c r="E9" t="s">
        <v>87</v>
      </c>
      <c r="F9" t="s">
        <v>88</v>
      </c>
      <c r="G9" t="s">
        <v>89</v>
      </c>
      <c r="H9" t="s">
        <v>42</v>
      </c>
      <c r="I9" t="s">
        <v>43</v>
      </c>
      <c r="J9" t="s">
        <v>44</v>
      </c>
      <c r="K9" t="s">
        <v>45</v>
      </c>
      <c r="L9" t="s">
        <v>46</v>
      </c>
      <c r="M9" t="s">
        <v>47</v>
      </c>
      <c r="N9" t="s">
        <v>90</v>
      </c>
      <c r="O9">
        <v>7.5</v>
      </c>
      <c r="P9">
        <v>100000000</v>
      </c>
      <c r="Q9" s="1">
        <v>46199</v>
      </c>
      <c r="R9" t="s">
        <v>49</v>
      </c>
      <c r="S9" t="s">
        <v>50</v>
      </c>
      <c r="T9" s="9">
        <v>2</v>
      </c>
      <c r="U9" t="s">
        <v>38</v>
      </c>
      <c r="V9" t="s">
        <v>38</v>
      </c>
      <c r="W9" t="s">
        <v>38</v>
      </c>
      <c r="X9" t="s">
        <v>38</v>
      </c>
      <c r="Y9" t="s">
        <v>91</v>
      </c>
      <c r="Z9">
        <v>50000000</v>
      </c>
      <c r="AA9" t="s">
        <v>58</v>
      </c>
      <c r="AB9" t="s">
        <v>51</v>
      </c>
      <c r="AC9" s="9" t="s">
        <v>92</v>
      </c>
      <c r="AD9">
        <v>1000000</v>
      </c>
      <c r="AE9">
        <v>0</v>
      </c>
      <c r="AF9">
        <v>0</v>
      </c>
      <c r="AG9">
        <v>0</v>
      </c>
      <c r="AH9" s="1">
        <v>46287</v>
      </c>
      <c r="AI9" s="1">
        <v>46477</v>
      </c>
    </row>
    <row r="10" spans="1:35">
      <c r="A10" t="s">
        <v>35</v>
      </c>
      <c r="B10" t="s">
        <v>36</v>
      </c>
      <c r="C10" t="s">
        <v>37</v>
      </c>
      <c r="D10" t="s">
        <v>38</v>
      </c>
      <c r="E10" t="s">
        <v>93</v>
      </c>
      <c r="F10" t="s">
        <v>94</v>
      </c>
      <c r="G10" t="s">
        <v>95</v>
      </c>
      <c r="H10" t="s">
        <v>42</v>
      </c>
      <c r="I10" t="s">
        <v>43</v>
      </c>
      <c r="J10" t="s">
        <v>44</v>
      </c>
      <c r="K10" t="s">
        <v>45</v>
      </c>
      <c r="L10" t="s">
        <v>46</v>
      </c>
      <c r="M10" t="s">
        <v>47</v>
      </c>
      <c r="N10" t="s">
        <v>96</v>
      </c>
      <c r="O10">
        <v>7.5</v>
      </c>
      <c r="P10">
        <v>150000000</v>
      </c>
      <c r="Q10" s="1">
        <v>46199</v>
      </c>
      <c r="R10" t="s">
        <v>49</v>
      </c>
      <c r="S10" t="s">
        <v>50</v>
      </c>
      <c r="T10" s="9">
        <v>2</v>
      </c>
      <c r="U10" t="s">
        <v>38</v>
      </c>
      <c r="V10" t="s">
        <v>38</v>
      </c>
      <c r="W10" t="s">
        <v>38</v>
      </c>
      <c r="X10" t="s">
        <v>38</v>
      </c>
      <c r="Y10" t="s">
        <v>38</v>
      </c>
      <c r="Z10">
        <v>50000000</v>
      </c>
      <c r="AA10" t="s">
        <v>38</v>
      </c>
      <c r="AB10" t="s">
        <v>51</v>
      </c>
      <c r="AC10" s="9" t="s">
        <v>97</v>
      </c>
      <c r="AD10">
        <v>2000000</v>
      </c>
      <c r="AE10">
        <v>0</v>
      </c>
      <c r="AF10">
        <v>0</v>
      </c>
      <c r="AG10">
        <v>0</v>
      </c>
      <c r="AH10" s="1">
        <v>46287</v>
      </c>
      <c r="AI10" s="1">
        <v>46477</v>
      </c>
    </row>
    <row r="11" spans="1:35">
      <c r="A11" t="s">
        <v>53</v>
      </c>
      <c r="B11" t="s">
        <v>36</v>
      </c>
      <c r="C11" t="s">
        <v>37</v>
      </c>
      <c r="D11" t="s">
        <v>38</v>
      </c>
      <c r="E11" t="s">
        <v>98</v>
      </c>
      <c r="F11" t="s">
        <v>99</v>
      </c>
      <c r="G11" t="s">
        <v>100</v>
      </c>
      <c r="H11" t="s">
        <v>42</v>
      </c>
      <c r="I11" t="s">
        <v>43</v>
      </c>
      <c r="J11" t="s">
        <v>44</v>
      </c>
      <c r="K11" t="s">
        <v>45</v>
      </c>
      <c r="L11" t="s">
        <v>46</v>
      </c>
      <c r="M11" t="s">
        <v>47</v>
      </c>
      <c r="N11" t="s">
        <v>101</v>
      </c>
      <c r="O11">
        <v>7.5</v>
      </c>
      <c r="P11">
        <v>100000000</v>
      </c>
      <c r="Q11" s="1">
        <v>46199</v>
      </c>
      <c r="R11" t="s">
        <v>49</v>
      </c>
      <c r="S11" t="s">
        <v>50</v>
      </c>
      <c r="T11" s="9">
        <v>2</v>
      </c>
      <c r="U11" t="s">
        <v>38</v>
      </c>
      <c r="V11" t="s">
        <v>38</v>
      </c>
      <c r="W11" t="s">
        <v>38</v>
      </c>
      <c r="X11" t="s">
        <v>38</v>
      </c>
      <c r="Y11" t="s">
        <v>38</v>
      </c>
      <c r="Z11">
        <v>50000000</v>
      </c>
      <c r="AA11" t="s">
        <v>58</v>
      </c>
      <c r="AB11" t="s">
        <v>51</v>
      </c>
      <c r="AC11" s="9" t="s">
        <v>102</v>
      </c>
      <c r="AD11">
        <v>1000000</v>
      </c>
      <c r="AE11">
        <v>0</v>
      </c>
      <c r="AF11">
        <v>0</v>
      </c>
      <c r="AG11">
        <v>0</v>
      </c>
      <c r="AH11" s="1">
        <v>46287</v>
      </c>
      <c r="AI11" s="1">
        <v>46477</v>
      </c>
    </row>
    <row r="12" spans="1:35">
      <c r="A12" t="s">
        <v>60</v>
      </c>
      <c r="B12" t="s">
        <v>36</v>
      </c>
      <c r="C12" t="s">
        <v>37</v>
      </c>
      <c r="D12" t="s">
        <v>38</v>
      </c>
      <c r="E12" t="s">
        <v>103</v>
      </c>
      <c r="F12" t="s">
        <v>104</v>
      </c>
      <c r="G12" t="s">
        <v>105</v>
      </c>
      <c r="H12" t="s">
        <v>42</v>
      </c>
      <c r="I12" t="s">
        <v>43</v>
      </c>
      <c r="J12" t="s">
        <v>44</v>
      </c>
      <c r="K12" t="s">
        <v>45</v>
      </c>
      <c r="L12" t="s">
        <v>46</v>
      </c>
      <c r="M12" t="s">
        <v>47</v>
      </c>
      <c r="N12" t="s">
        <v>106</v>
      </c>
      <c r="O12">
        <v>7.5</v>
      </c>
      <c r="P12">
        <v>180000000</v>
      </c>
      <c r="Q12" s="1">
        <v>46199</v>
      </c>
      <c r="R12" t="s">
        <v>49</v>
      </c>
      <c r="S12" t="s">
        <v>50</v>
      </c>
      <c r="T12" s="9">
        <v>2</v>
      </c>
      <c r="U12" t="s">
        <v>38</v>
      </c>
      <c r="V12" t="s">
        <v>38</v>
      </c>
      <c r="W12" t="s">
        <v>38</v>
      </c>
      <c r="X12" t="s">
        <v>38</v>
      </c>
      <c r="Y12" t="s">
        <v>38</v>
      </c>
      <c r="Z12">
        <v>50000000</v>
      </c>
      <c r="AA12" t="s">
        <v>38</v>
      </c>
      <c r="AB12" t="s">
        <v>51</v>
      </c>
      <c r="AC12" s="9" t="s">
        <v>107</v>
      </c>
      <c r="AD12">
        <v>2600000</v>
      </c>
      <c r="AE12">
        <v>0</v>
      </c>
      <c r="AF12">
        <v>0</v>
      </c>
      <c r="AG12">
        <v>0</v>
      </c>
      <c r="AH12" s="1">
        <v>46287</v>
      </c>
      <c r="AI12" s="1">
        <v>46477</v>
      </c>
    </row>
    <row r="13" spans="1:35">
      <c r="A13" t="s">
        <v>66</v>
      </c>
      <c r="B13" t="s">
        <v>36</v>
      </c>
      <c r="C13" t="s">
        <v>37</v>
      </c>
      <c r="D13" t="s">
        <v>38</v>
      </c>
      <c r="E13" t="s">
        <v>108</v>
      </c>
      <c r="F13" t="s">
        <v>109</v>
      </c>
      <c r="G13" t="s">
        <v>110</v>
      </c>
      <c r="H13" t="s">
        <v>42</v>
      </c>
      <c r="I13" t="s">
        <v>43</v>
      </c>
      <c r="J13" t="s">
        <v>44</v>
      </c>
      <c r="K13" t="s">
        <v>45</v>
      </c>
      <c r="L13" t="s">
        <v>46</v>
      </c>
      <c r="M13" t="s">
        <v>47</v>
      </c>
      <c r="N13" t="s">
        <v>111</v>
      </c>
      <c r="O13">
        <v>7.5</v>
      </c>
      <c r="P13">
        <v>20000000</v>
      </c>
      <c r="Q13" s="1">
        <v>46199</v>
      </c>
      <c r="R13" t="s">
        <v>49</v>
      </c>
      <c r="S13" t="s">
        <v>50</v>
      </c>
      <c r="T13" s="9">
        <v>2</v>
      </c>
      <c r="U13" t="s">
        <v>38</v>
      </c>
      <c r="V13" t="s">
        <v>38</v>
      </c>
      <c r="W13" t="s">
        <v>38</v>
      </c>
      <c r="X13" t="s">
        <v>38</v>
      </c>
      <c r="Y13" t="s">
        <v>58</v>
      </c>
      <c r="Z13">
        <v>0</v>
      </c>
      <c r="AA13" t="s">
        <v>58</v>
      </c>
      <c r="AB13" t="s">
        <v>51</v>
      </c>
      <c r="AC13" s="9" t="s">
        <v>112</v>
      </c>
      <c r="AD13">
        <v>400000</v>
      </c>
      <c r="AE13">
        <v>0</v>
      </c>
      <c r="AF13">
        <v>0</v>
      </c>
      <c r="AG13">
        <v>0</v>
      </c>
      <c r="AH13" s="1">
        <v>46287</v>
      </c>
      <c r="AI13" s="1">
        <v>46477</v>
      </c>
    </row>
    <row r="14" spans="1:35">
      <c r="A14" t="s">
        <v>35</v>
      </c>
      <c r="B14" t="s">
        <v>36</v>
      </c>
      <c r="C14" t="s">
        <v>37</v>
      </c>
      <c r="D14" t="s">
        <v>38</v>
      </c>
      <c r="E14" t="s">
        <v>113</v>
      </c>
      <c r="F14" t="s">
        <v>114</v>
      </c>
      <c r="G14" t="s">
        <v>115</v>
      </c>
      <c r="H14" t="s">
        <v>42</v>
      </c>
      <c r="I14" t="s">
        <v>43</v>
      </c>
      <c r="J14" t="s">
        <v>44</v>
      </c>
      <c r="K14" t="s">
        <v>45</v>
      </c>
      <c r="L14" t="s">
        <v>46</v>
      </c>
      <c r="M14" t="s">
        <v>47</v>
      </c>
      <c r="N14" t="s">
        <v>116</v>
      </c>
      <c r="O14">
        <v>7.5</v>
      </c>
      <c r="P14">
        <v>300000000</v>
      </c>
      <c r="Q14" s="1">
        <v>46199</v>
      </c>
      <c r="R14" t="s">
        <v>49</v>
      </c>
      <c r="S14" t="s">
        <v>50</v>
      </c>
      <c r="T14" s="9">
        <v>1</v>
      </c>
      <c r="U14" t="s">
        <v>38</v>
      </c>
      <c r="V14" t="s">
        <v>38</v>
      </c>
      <c r="W14" t="s">
        <v>38</v>
      </c>
      <c r="X14" t="s">
        <v>38</v>
      </c>
      <c r="Y14" t="s">
        <v>38</v>
      </c>
      <c r="Z14">
        <v>50000000</v>
      </c>
      <c r="AA14" t="s">
        <v>38</v>
      </c>
      <c r="AB14" t="s">
        <v>51</v>
      </c>
      <c r="AC14" s="9" t="s">
        <v>117</v>
      </c>
      <c r="AD14">
        <v>12500000</v>
      </c>
      <c r="AE14">
        <v>0</v>
      </c>
      <c r="AF14">
        <v>0</v>
      </c>
      <c r="AG14">
        <v>0</v>
      </c>
      <c r="AH14" s="1">
        <v>46287</v>
      </c>
      <c r="AI14" s="1">
        <v>46477</v>
      </c>
    </row>
    <row r="15" spans="1:35">
      <c r="A15" t="s">
        <v>53</v>
      </c>
      <c r="B15" t="s">
        <v>36</v>
      </c>
      <c r="C15" t="s">
        <v>37</v>
      </c>
      <c r="D15" t="s">
        <v>38</v>
      </c>
      <c r="E15" t="s">
        <v>118</v>
      </c>
      <c r="F15" t="s">
        <v>119</v>
      </c>
      <c r="G15" t="s">
        <v>120</v>
      </c>
      <c r="H15" t="s">
        <v>42</v>
      </c>
      <c r="I15" t="s">
        <v>43</v>
      </c>
      <c r="J15" t="s">
        <v>44</v>
      </c>
      <c r="K15" t="s">
        <v>45</v>
      </c>
      <c r="L15" t="s">
        <v>46</v>
      </c>
      <c r="M15" t="s">
        <v>47</v>
      </c>
      <c r="N15" t="s">
        <v>121</v>
      </c>
      <c r="O15">
        <v>7.5</v>
      </c>
      <c r="P15">
        <v>1000000000</v>
      </c>
      <c r="Q15" s="1">
        <v>46199</v>
      </c>
      <c r="R15" t="s">
        <v>49</v>
      </c>
      <c r="S15" t="s">
        <v>50</v>
      </c>
      <c r="T15" s="9">
        <v>1</v>
      </c>
      <c r="U15" t="s">
        <v>38</v>
      </c>
      <c r="V15" t="s">
        <v>38</v>
      </c>
      <c r="W15" t="s">
        <v>38</v>
      </c>
      <c r="X15" t="s">
        <v>38</v>
      </c>
      <c r="Y15" t="s">
        <v>38</v>
      </c>
      <c r="Z15">
        <v>450000000</v>
      </c>
      <c r="AA15" t="s">
        <v>58</v>
      </c>
      <c r="AB15" t="s">
        <v>51</v>
      </c>
      <c r="AC15" s="9" t="s">
        <v>122</v>
      </c>
      <c r="AD15">
        <v>27500000</v>
      </c>
      <c r="AE15">
        <v>0</v>
      </c>
      <c r="AF15">
        <v>0</v>
      </c>
      <c r="AG15">
        <v>0</v>
      </c>
      <c r="AH15" s="1">
        <v>46287</v>
      </c>
      <c r="AI15" s="1">
        <v>46477</v>
      </c>
    </row>
    <row r="16" spans="1:35">
      <c r="A16" t="s">
        <v>60</v>
      </c>
      <c r="B16" t="s">
        <v>36</v>
      </c>
      <c r="C16" t="s">
        <v>37</v>
      </c>
      <c r="D16" t="s">
        <v>38</v>
      </c>
      <c r="E16" t="s">
        <v>123</v>
      </c>
      <c r="F16" t="s">
        <v>124</v>
      </c>
      <c r="G16" t="s">
        <v>125</v>
      </c>
      <c r="H16" t="s">
        <v>42</v>
      </c>
      <c r="I16" t="s">
        <v>43</v>
      </c>
      <c r="J16" t="s">
        <v>44</v>
      </c>
      <c r="K16" t="s">
        <v>45</v>
      </c>
      <c r="L16" t="s">
        <v>46</v>
      </c>
      <c r="M16" t="s">
        <v>47</v>
      </c>
      <c r="N16" t="s">
        <v>126</v>
      </c>
      <c r="O16">
        <v>7.5</v>
      </c>
      <c r="P16">
        <v>500000000</v>
      </c>
      <c r="Q16" s="1">
        <v>46199</v>
      </c>
      <c r="R16" t="s">
        <v>49</v>
      </c>
      <c r="S16" t="s">
        <v>50</v>
      </c>
      <c r="T16" s="9">
        <v>1</v>
      </c>
      <c r="U16" t="s">
        <v>38</v>
      </c>
      <c r="V16" t="s">
        <v>38</v>
      </c>
      <c r="W16" t="s">
        <v>38</v>
      </c>
      <c r="X16" t="s">
        <v>38</v>
      </c>
      <c r="Y16" t="s">
        <v>38</v>
      </c>
      <c r="Z16">
        <v>150000000</v>
      </c>
      <c r="AA16" t="s">
        <v>38</v>
      </c>
      <c r="AB16" t="s">
        <v>51</v>
      </c>
      <c r="AC16" s="9" t="s">
        <v>127</v>
      </c>
      <c r="AD16">
        <v>17500000</v>
      </c>
      <c r="AE16">
        <v>0</v>
      </c>
      <c r="AF16">
        <v>0</v>
      </c>
      <c r="AG16">
        <v>0</v>
      </c>
      <c r="AH16" s="1">
        <v>46287</v>
      </c>
      <c r="AI16" s="1">
        <v>46477</v>
      </c>
    </row>
    <row r="17" spans="1:35">
      <c r="A17" t="s">
        <v>66</v>
      </c>
      <c r="B17" t="s">
        <v>36</v>
      </c>
      <c r="C17" t="s">
        <v>37</v>
      </c>
      <c r="D17" t="s">
        <v>38</v>
      </c>
      <c r="E17" t="s">
        <v>128</v>
      </c>
      <c r="F17" t="s">
        <v>129</v>
      </c>
      <c r="G17" t="s">
        <v>130</v>
      </c>
      <c r="H17" t="s">
        <v>42</v>
      </c>
      <c r="I17" t="s">
        <v>43</v>
      </c>
      <c r="J17" t="s">
        <v>44</v>
      </c>
      <c r="K17" t="s">
        <v>45</v>
      </c>
      <c r="L17" t="s">
        <v>46</v>
      </c>
      <c r="M17" t="s">
        <v>47</v>
      </c>
      <c r="N17" t="s">
        <v>131</v>
      </c>
      <c r="O17">
        <v>7.5</v>
      </c>
      <c r="P17">
        <v>500000000</v>
      </c>
      <c r="Q17" s="1">
        <v>46199</v>
      </c>
      <c r="R17" t="s">
        <v>49</v>
      </c>
      <c r="S17" t="s">
        <v>50</v>
      </c>
      <c r="T17" s="9">
        <v>1</v>
      </c>
      <c r="U17" t="s">
        <v>38</v>
      </c>
      <c r="V17" t="s">
        <v>38</v>
      </c>
      <c r="W17" t="s">
        <v>38</v>
      </c>
      <c r="X17" t="s">
        <v>38</v>
      </c>
      <c r="Y17" t="s">
        <v>38</v>
      </c>
      <c r="Z17">
        <v>450000000</v>
      </c>
      <c r="AA17" t="s">
        <v>58</v>
      </c>
      <c r="AB17" t="s">
        <v>51</v>
      </c>
      <c r="AC17" s="9" t="s">
        <v>132</v>
      </c>
      <c r="AD17">
        <v>2500000</v>
      </c>
      <c r="AE17">
        <v>0</v>
      </c>
      <c r="AF17">
        <v>0</v>
      </c>
      <c r="AG17">
        <v>0</v>
      </c>
      <c r="AH17" s="1">
        <v>46287</v>
      </c>
      <c r="AI17" s="1">
        <v>46477</v>
      </c>
    </row>
    <row r="18" spans="1:35">
      <c r="A18" t="s">
        <v>35</v>
      </c>
      <c r="B18" t="s">
        <v>36</v>
      </c>
      <c r="C18" t="s">
        <v>37</v>
      </c>
      <c r="D18" t="s">
        <v>38</v>
      </c>
      <c r="E18" t="s">
        <v>133</v>
      </c>
      <c r="F18" t="s">
        <v>134</v>
      </c>
      <c r="G18" t="s">
        <v>135</v>
      </c>
      <c r="H18" t="s">
        <v>42</v>
      </c>
      <c r="I18" t="s">
        <v>43</v>
      </c>
      <c r="J18" t="s">
        <v>44</v>
      </c>
      <c r="K18" t="s">
        <v>45</v>
      </c>
      <c r="L18" t="s">
        <v>46</v>
      </c>
      <c r="M18" t="s">
        <v>47</v>
      </c>
      <c r="N18" t="s">
        <v>136</v>
      </c>
      <c r="O18">
        <v>7.5</v>
      </c>
      <c r="P18">
        <v>600000000</v>
      </c>
      <c r="Q18" s="1">
        <v>46199</v>
      </c>
      <c r="R18" t="s">
        <v>49</v>
      </c>
      <c r="S18" t="s">
        <v>50</v>
      </c>
      <c r="T18" s="9">
        <v>1</v>
      </c>
      <c r="U18" t="s">
        <v>38</v>
      </c>
      <c r="V18" t="s">
        <v>38</v>
      </c>
      <c r="W18" t="s">
        <v>38</v>
      </c>
      <c r="X18" t="s">
        <v>38</v>
      </c>
      <c r="Y18" t="s">
        <v>38</v>
      </c>
      <c r="Z18">
        <v>0</v>
      </c>
      <c r="AA18" t="s">
        <v>38</v>
      </c>
      <c r="AB18" t="s">
        <v>51</v>
      </c>
      <c r="AC18" s="9" t="s">
        <v>137</v>
      </c>
      <c r="AD18">
        <v>30000000</v>
      </c>
      <c r="AE18">
        <v>0</v>
      </c>
      <c r="AF18">
        <v>0</v>
      </c>
      <c r="AG18">
        <v>0</v>
      </c>
      <c r="AH18" s="1">
        <v>46287</v>
      </c>
      <c r="AI18" s="1">
        <v>46477</v>
      </c>
    </row>
    <row r="19" spans="1:35">
      <c r="A19" t="s">
        <v>53</v>
      </c>
      <c r="B19" t="s">
        <v>36</v>
      </c>
      <c r="C19" t="s">
        <v>37</v>
      </c>
      <c r="D19" t="s">
        <v>38</v>
      </c>
      <c r="E19" t="s">
        <v>138</v>
      </c>
      <c r="F19" t="s">
        <v>139</v>
      </c>
      <c r="G19" t="s">
        <v>140</v>
      </c>
      <c r="H19" t="s">
        <v>42</v>
      </c>
      <c r="I19" t="s">
        <v>43</v>
      </c>
      <c r="J19" t="s">
        <v>44</v>
      </c>
      <c r="K19" t="s">
        <v>45</v>
      </c>
      <c r="L19" t="s">
        <v>46</v>
      </c>
      <c r="M19" t="s">
        <v>47</v>
      </c>
      <c r="N19" t="s">
        <v>141</v>
      </c>
      <c r="O19">
        <v>7.5</v>
      </c>
      <c r="P19">
        <v>500000000</v>
      </c>
      <c r="Q19" s="1">
        <v>46199</v>
      </c>
      <c r="R19" t="s">
        <v>49</v>
      </c>
      <c r="S19" t="s">
        <v>50</v>
      </c>
      <c r="T19" s="9">
        <v>1</v>
      </c>
      <c r="U19" t="s">
        <v>38</v>
      </c>
      <c r="V19" t="s">
        <v>38</v>
      </c>
      <c r="W19" t="s">
        <v>38</v>
      </c>
      <c r="X19" t="s">
        <v>38</v>
      </c>
      <c r="Y19" t="s">
        <v>38</v>
      </c>
      <c r="Z19">
        <v>450000000</v>
      </c>
      <c r="AA19" t="s">
        <v>58</v>
      </c>
      <c r="AB19" t="s">
        <v>51</v>
      </c>
      <c r="AC19" s="9" t="s">
        <v>142</v>
      </c>
      <c r="AD19">
        <v>2500000</v>
      </c>
      <c r="AE19">
        <v>0</v>
      </c>
      <c r="AF19">
        <v>0</v>
      </c>
      <c r="AG19">
        <v>0</v>
      </c>
      <c r="AH19" s="1">
        <v>46287</v>
      </c>
      <c r="AI19" s="1">
        <v>46477</v>
      </c>
    </row>
    <row r="20" spans="1:35">
      <c r="A20" t="s">
        <v>60</v>
      </c>
      <c r="B20" t="s">
        <v>36</v>
      </c>
      <c r="C20" t="s">
        <v>37</v>
      </c>
      <c r="D20" t="s">
        <v>38</v>
      </c>
      <c r="E20" t="s">
        <v>143</v>
      </c>
      <c r="F20" t="s">
        <v>144</v>
      </c>
      <c r="G20" t="s">
        <v>145</v>
      </c>
      <c r="H20" t="s">
        <v>42</v>
      </c>
      <c r="I20" t="s">
        <v>43</v>
      </c>
      <c r="J20" t="s">
        <v>44</v>
      </c>
      <c r="K20" t="s">
        <v>45</v>
      </c>
      <c r="L20" t="s">
        <v>46</v>
      </c>
      <c r="M20" t="s">
        <v>47</v>
      </c>
      <c r="N20" t="s">
        <v>146</v>
      </c>
      <c r="O20">
        <v>7.5</v>
      </c>
      <c r="P20">
        <v>200000000</v>
      </c>
      <c r="Q20" s="1">
        <v>46199</v>
      </c>
      <c r="R20" t="s">
        <v>49</v>
      </c>
      <c r="S20" t="s">
        <v>50</v>
      </c>
      <c r="T20" s="9">
        <v>2</v>
      </c>
      <c r="U20" t="s">
        <v>38</v>
      </c>
      <c r="V20" t="s">
        <v>38</v>
      </c>
      <c r="W20" t="s">
        <v>38</v>
      </c>
      <c r="X20" t="s">
        <v>38</v>
      </c>
      <c r="Y20" t="s">
        <v>38</v>
      </c>
      <c r="Z20">
        <v>50000000</v>
      </c>
      <c r="AA20" t="s">
        <v>38</v>
      </c>
      <c r="AB20" t="s">
        <v>51</v>
      </c>
      <c r="AC20" s="9" t="s">
        <v>147</v>
      </c>
      <c r="AD20">
        <v>3000000</v>
      </c>
      <c r="AE20">
        <v>0</v>
      </c>
      <c r="AF20">
        <v>0</v>
      </c>
      <c r="AG20">
        <v>0</v>
      </c>
      <c r="AH20" s="1">
        <v>46287</v>
      </c>
      <c r="AI20" s="1">
        <v>46477</v>
      </c>
    </row>
    <row r="21" spans="1:35">
      <c r="A21" t="s">
        <v>66</v>
      </c>
      <c r="B21" t="s">
        <v>36</v>
      </c>
      <c r="C21" t="s">
        <v>37</v>
      </c>
      <c r="D21" t="s">
        <v>38</v>
      </c>
      <c r="E21" t="s">
        <v>148</v>
      </c>
      <c r="F21" t="s">
        <v>149</v>
      </c>
      <c r="G21" t="s">
        <v>150</v>
      </c>
      <c r="H21" t="s">
        <v>42</v>
      </c>
      <c r="I21" t="s">
        <v>43</v>
      </c>
      <c r="J21" t="s">
        <v>44</v>
      </c>
      <c r="K21" t="s">
        <v>45</v>
      </c>
      <c r="L21" t="s">
        <v>46</v>
      </c>
      <c r="M21" t="s">
        <v>47</v>
      </c>
      <c r="N21" t="s">
        <v>151</v>
      </c>
      <c r="O21">
        <v>7.5</v>
      </c>
      <c r="P21">
        <v>100000000</v>
      </c>
      <c r="Q21" s="1">
        <v>46199</v>
      </c>
      <c r="R21" t="s">
        <v>49</v>
      </c>
      <c r="S21" t="s">
        <v>50</v>
      </c>
      <c r="T21" s="9">
        <v>2</v>
      </c>
      <c r="U21" t="s">
        <v>38</v>
      </c>
      <c r="V21" t="s">
        <v>38</v>
      </c>
      <c r="W21" t="s">
        <v>38</v>
      </c>
      <c r="X21" t="s">
        <v>38</v>
      </c>
      <c r="Y21" t="s">
        <v>38</v>
      </c>
      <c r="Z21">
        <v>50000000</v>
      </c>
      <c r="AA21" t="s">
        <v>58</v>
      </c>
      <c r="AB21" t="s">
        <v>51</v>
      </c>
      <c r="AC21" s="9" t="s">
        <v>152</v>
      </c>
      <c r="AD21">
        <v>1000000</v>
      </c>
      <c r="AE21">
        <v>0</v>
      </c>
      <c r="AF21">
        <v>0</v>
      </c>
      <c r="AG21">
        <v>0</v>
      </c>
      <c r="AH21" s="1">
        <v>46287</v>
      </c>
      <c r="AI21" s="1">
        <v>46477</v>
      </c>
    </row>
    <row r="22" spans="1:35">
      <c r="A22" t="s">
        <v>60</v>
      </c>
      <c r="B22" t="s">
        <v>36</v>
      </c>
      <c r="C22" t="s">
        <v>37</v>
      </c>
      <c r="D22" t="s">
        <v>38</v>
      </c>
      <c r="E22" t="s">
        <v>153</v>
      </c>
      <c r="F22" t="s">
        <v>154</v>
      </c>
      <c r="G22" t="s">
        <v>155</v>
      </c>
      <c r="H22" t="s">
        <v>42</v>
      </c>
      <c r="I22" t="s">
        <v>43</v>
      </c>
      <c r="J22" t="s">
        <v>44</v>
      </c>
      <c r="K22" t="s">
        <v>45</v>
      </c>
      <c r="L22" t="s">
        <v>46</v>
      </c>
      <c r="M22" t="s">
        <v>47</v>
      </c>
      <c r="N22" t="s">
        <v>156</v>
      </c>
      <c r="O22">
        <v>7.5</v>
      </c>
      <c r="P22">
        <v>150000000</v>
      </c>
      <c r="Q22" s="1">
        <v>46199</v>
      </c>
      <c r="R22" t="s">
        <v>49</v>
      </c>
      <c r="S22" t="s">
        <v>50</v>
      </c>
      <c r="T22" s="9">
        <v>2</v>
      </c>
      <c r="U22" t="s">
        <v>38</v>
      </c>
      <c r="V22" t="s">
        <v>38</v>
      </c>
      <c r="W22" t="s">
        <v>38</v>
      </c>
      <c r="X22" t="s">
        <v>38</v>
      </c>
      <c r="Y22" t="s">
        <v>91</v>
      </c>
      <c r="Z22">
        <v>50000000</v>
      </c>
      <c r="AA22" t="s">
        <v>38</v>
      </c>
      <c r="AB22" t="s">
        <v>51</v>
      </c>
      <c r="AC22" s="9" t="s">
        <v>157</v>
      </c>
      <c r="AD22">
        <v>2000000</v>
      </c>
      <c r="AE22">
        <v>0</v>
      </c>
      <c r="AF22">
        <v>0</v>
      </c>
      <c r="AG22">
        <v>0</v>
      </c>
      <c r="AH22" s="1">
        <v>46287</v>
      </c>
      <c r="AI22" s="1">
        <v>46477</v>
      </c>
    </row>
    <row r="23" spans="1:35">
      <c r="A23" t="s">
        <v>66</v>
      </c>
      <c r="B23" t="s">
        <v>36</v>
      </c>
      <c r="C23" t="s">
        <v>37</v>
      </c>
      <c r="D23" t="s">
        <v>38</v>
      </c>
      <c r="E23" t="s">
        <v>158</v>
      </c>
      <c r="F23" t="s">
        <v>159</v>
      </c>
      <c r="G23" t="s">
        <v>160</v>
      </c>
      <c r="H23" t="s">
        <v>42</v>
      </c>
      <c r="I23" t="s">
        <v>43</v>
      </c>
      <c r="J23" t="s">
        <v>44</v>
      </c>
      <c r="K23" t="s">
        <v>45</v>
      </c>
      <c r="L23" t="s">
        <v>46</v>
      </c>
      <c r="M23" t="s">
        <v>47</v>
      </c>
      <c r="N23" t="s">
        <v>161</v>
      </c>
      <c r="O23">
        <v>7.5</v>
      </c>
      <c r="P23">
        <v>100000000</v>
      </c>
      <c r="Q23" s="1">
        <v>46199</v>
      </c>
      <c r="R23" t="s">
        <v>49</v>
      </c>
      <c r="S23" t="s">
        <v>50</v>
      </c>
      <c r="T23" s="9">
        <v>2</v>
      </c>
      <c r="U23" t="s">
        <v>38</v>
      </c>
      <c r="V23" t="s">
        <v>38</v>
      </c>
      <c r="W23" t="s">
        <v>38</v>
      </c>
      <c r="X23" t="s">
        <v>38</v>
      </c>
      <c r="Y23" t="s">
        <v>91</v>
      </c>
      <c r="Z23">
        <v>50000000</v>
      </c>
      <c r="AA23" t="s">
        <v>58</v>
      </c>
      <c r="AB23" t="s">
        <v>51</v>
      </c>
      <c r="AC23" s="9" t="s">
        <v>162</v>
      </c>
      <c r="AD23">
        <v>1000000</v>
      </c>
      <c r="AE23">
        <v>0</v>
      </c>
      <c r="AF23">
        <v>0</v>
      </c>
      <c r="AG23">
        <v>0</v>
      </c>
      <c r="AH23" s="1">
        <v>46287</v>
      </c>
      <c r="AI23" s="1">
        <v>46477</v>
      </c>
    </row>
    <row r="24" spans="1:35">
      <c r="A24" t="s">
        <v>60</v>
      </c>
      <c r="B24" t="s">
        <v>36</v>
      </c>
      <c r="C24" t="s">
        <v>37</v>
      </c>
      <c r="D24" t="s">
        <v>38</v>
      </c>
      <c r="E24" t="s">
        <v>163</v>
      </c>
      <c r="F24" t="s">
        <v>164</v>
      </c>
      <c r="G24" t="s">
        <v>165</v>
      </c>
      <c r="H24" t="s">
        <v>42</v>
      </c>
      <c r="I24" t="s">
        <v>43</v>
      </c>
      <c r="J24" t="s">
        <v>44</v>
      </c>
      <c r="K24" t="s">
        <v>45</v>
      </c>
      <c r="L24" t="s">
        <v>46</v>
      </c>
      <c r="M24" t="s">
        <v>47</v>
      </c>
      <c r="N24" t="s">
        <v>166</v>
      </c>
      <c r="O24">
        <v>7.5</v>
      </c>
      <c r="P24">
        <v>180000000</v>
      </c>
      <c r="Q24" s="1">
        <v>46199</v>
      </c>
      <c r="R24" t="s">
        <v>49</v>
      </c>
      <c r="S24" t="s">
        <v>50</v>
      </c>
      <c r="T24" s="9">
        <v>2</v>
      </c>
      <c r="U24" t="s">
        <v>38</v>
      </c>
      <c r="V24" t="s">
        <v>38</v>
      </c>
      <c r="W24" t="s">
        <v>38</v>
      </c>
      <c r="X24" t="s">
        <v>38</v>
      </c>
      <c r="Y24" t="s">
        <v>58</v>
      </c>
      <c r="Z24">
        <v>50000000</v>
      </c>
      <c r="AA24" t="s">
        <v>38</v>
      </c>
      <c r="AB24" t="s">
        <v>51</v>
      </c>
      <c r="AC24" s="9" t="s">
        <v>167</v>
      </c>
      <c r="AD24">
        <v>2600000</v>
      </c>
      <c r="AE24">
        <v>0</v>
      </c>
      <c r="AF24">
        <v>0</v>
      </c>
      <c r="AG24">
        <v>0</v>
      </c>
      <c r="AH24" s="1">
        <v>46287</v>
      </c>
      <c r="AI24" s="1">
        <v>46477</v>
      </c>
    </row>
    <row r="25" spans="1:35">
      <c r="A25" t="s">
        <v>66</v>
      </c>
      <c r="B25" t="s">
        <v>36</v>
      </c>
      <c r="C25" t="s">
        <v>37</v>
      </c>
      <c r="D25" t="s">
        <v>38</v>
      </c>
      <c r="E25" t="s">
        <v>168</v>
      </c>
      <c r="F25" t="s">
        <v>169</v>
      </c>
      <c r="G25" t="s">
        <v>170</v>
      </c>
      <c r="H25" t="s">
        <v>42</v>
      </c>
      <c r="I25" t="s">
        <v>43</v>
      </c>
      <c r="J25" t="s">
        <v>44</v>
      </c>
      <c r="K25" t="s">
        <v>45</v>
      </c>
      <c r="L25" t="s">
        <v>46</v>
      </c>
      <c r="M25" t="s">
        <v>47</v>
      </c>
      <c r="N25" t="s">
        <v>171</v>
      </c>
      <c r="O25">
        <v>7.5</v>
      </c>
      <c r="P25">
        <v>20000000</v>
      </c>
      <c r="Q25" s="1">
        <v>46199</v>
      </c>
      <c r="R25" t="s">
        <v>49</v>
      </c>
      <c r="S25" t="s">
        <v>50</v>
      </c>
      <c r="T25" s="9">
        <v>2</v>
      </c>
      <c r="U25" t="s">
        <v>38</v>
      </c>
      <c r="V25" t="s">
        <v>38</v>
      </c>
      <c r="W25" t="s">
        <v>38</v>
      </c>
      <c r="X25" t="s">
        <v>38</v>
      </c>
      <c r="Y25" t="s">
        <v>58</v>
      </c>
      <c r="Z25">
        <v>0</v>
      </c>
      <c r="AA25" t="s">
        <v>58</v>
      </c>
      <c r="AB25" t="s">
        <v>51</v>
      </c>
      <c r="AC25" s="9" t="s">
        <v>172</v>
      </c>
      <c r="AD25">
        <v>400000</v>
      </c>
      <c r="AE25">
        <v>0</v>
      </c>
      <c r="AF25">
        <v>0</v>
      </c>
      <c r="AG25">
        <v>0</v>
      </c>
      <c r="AH25" s="1">
        <v>46287</v>
      </c>
      <c r="AI25" s="1">
        <v>46477</v>
      </c>
    </row>
  </sheetData>
  <pageMargins left="0.75" right="0.75" top="0.75" bottom="0.5" header="0.5" footer="0.75"/>
  <pageSetup paperSize="1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workbookViewId="0">
      <selection activeCell="J21" sqref="J21"/>
    </sheetView>
  </sheetViews>
  <sheetFormatPr defaultColWidth="9.14285714285714" defaultRowHeight="15" outlineLevelCol="7"/>
  <cols>
    <col min="1" max="1" width="25.8571428571429" customWidth="1"/>
    <col min="2" max="2" width="17.8571428571429" customWidth="1"/>
    <col min="3" max="3" width="19.1428571428571" customWidth="1"/>
    <col min="4" max="4" width="16" customWidth="1"/>
  </cols>
  <sheetData>
    <row r="1" spans="1:8">
      <c r="A1" s="3" t="s">
        <v>28</v>
      </c>
      <c r="B1" s="4" t="s">
        <v>13</v>
      </c>
      <c r="C1" s="4" t="s">
        <v>173</v>
      </c>
      <c r="D1" s="4" t="s">
        <v>174</v>
      </c>
      <c r="E1" s="4" t="s">
        <v>175</v>
      </c>
      <c r="F1" s="4" t="s">
        <v>32</v>
      </c>
      <c r="G1" s="4" t="s">
        <v>30</v>
      </c>
      <c r="H1" s="5" t="s">
        <v>31</v>
      </c>
    </row>
    <row r="2" spans="1:8">
      <c r="A2" s="6" t="s">
        <v>52</v>
      </c>
      <c r="B2" s="7" t="s">
        <v>48</v>
      </c>
      <c r="C2" s="7" t="s">
        <v>51</v>
      </c>
      <c r="D2" s="7" t="s">
        <v>176</v>
      </c>
      <c r="E2" s="7">
        <v>0</v>
      </c>
      <c r="F2" s="7">
        <v>0</v>
      </c>
      <c r="G2" s="7">
        <v>0</v>
      </c>
      <c r="H2" s="8">
        <v>0</v>
      </c>
    </row>
    <row r="3" spans="1:8">
      <c r="A3" s="6" t="s">
        <v>59</v>
      </c>
      <c r="B3" s="7" t="s">
        <v>57</v>
      </c>
      <c r="C3" s="7" t="s">
        <v>177</v>
      </c>
      <c r="D3" s="7" t="s">
        <v>176</v>
      </c>
      <c r="E3" s="7">
        <v>0</v>
      </c>
      <c r="F3" s="7">
        <v>0</v>
      </c>
      <c r="G3" s="7">
        <v>0</v>
      </c>
      <c r="H3" s="8">
        <v>0</v>
      </c>
    </row>
    <row r="4" spans="1:8">
      <c r="A4" s="6" t="s">
        <v>65</v>
      </c>
      <c r="B4" s="7" t="s">
        <v>64</v>
      </c>
      <c r="C4" s="7" t="s">
        <v>178</v>
      </c>
      <c r="D4" s="7" t="s">
        <v>176</v>
      </c>
      <c r="E4" s="7">
        <v>0</v>
      </c>
      <c r="F4" s="7">
        <v>0</v>
      </c>
      <c r="G4" s="7">
        <v>0</v>
      </c>
      <c r="H4" s="8">
        <v>0</v>
      </c>
    </row>
    <row r="5" spans="1:8">
      <c r="A5" s="6" t="s">
        <v>71</v>
      </c>
      <c r="B5" s="7" t="s">
        <v>70</v>
      </c>
      <c r="C5" s="7" t="s">
        <v>178</v>
      </c>
      <c r="D5" s="7" t="s">
        <v>176</v>
      </c>
      <c r="E5" s="7">
        <v>0</v>
      </c>
      <c r="F5" s="7">
        <v>0</v>
      </c>
      <c r="G5" s="7">
        <v>0</v>
      </c>
      <c r="H5" s="8">
        <v>0</v>
      </c>
    </row>
    <row r="6" spans="1:8">
      <c r="A6" s="6" t="s">
        <v>76</v>
      </c>
      <c r="B6" s="7" t="s">
        <v>75</v>
      </c>
      <c r="C6" s="7" t="s">
        <v>178</v>
      </c>
      <c r="D6" s="7" t="s">
        <v>176</v>
      </c>
      <c r="E6" s="7">
        <v>0</v>
      </c>
      <c r="F6" s="7">
        <v>0</v>
      </c>
      <c r="G6" s="7">
        <v>0</v>
      </c>
      <c r="H6" s="8">
        <v>0</v>
      </c>
    </row>
    <row r="7" spans="1:8">
      <c r="A7" s="6" t="s">
        <v>81</v>
      </c>
      <c r="B7" s="7" t="s">
        <v>80</v>
      </c>
      <c r="C7" s="7" t="s">
        <v>179</v>
      </c>
      <c r="D7" s="7" t="s">
        <v>176</v>
      </c>
      <c r="E7" s="7">
        <v>0</v>
      </c>
      <c r="F7" s="7">
        <v>0</v>
      </c>
      <c r="G7" s="7">
        <v>0</v>
      </c>
      <c r="H7" s="8">
        <v>0</v>
      </c>
    </row>
    <row r="8" spans="1:8">
      <c r="A8" s="6" t="s">
        <v>86</v>
      </c>
      <c r="B8" s="7" t="s">
        <v>85</v>
      </c>
      <c r="C8" s="7" t="s">
        <v>180</v>
      </c>
      <c r="D8" s="7" t="s">
        <v>176</v>
      </c>
      <c r="E8" s="7">
        <v>0</v>
      </c>
      <c r="F8" s="7">
        <v>0</v>
      </c>
      <c r="G8" s="7">
        <v>0</v>
      </c>
      <c r="H8" s="8">
        <v>0</v>
      </c>
    </row>
    <row r="9" spans="1:8">
      <c r="A9" s="6" t="s">
        <v>92</v>
      </c>
      <c r="B9" s="7" t="s">
        <v>90</v>
      </c>
      <c r="C9" s="7" t="s">
        <v>181</v>
      </c>
      <c r="D9" s="7" t="s">
        <v>176</v>
      </c>
      <c r="E9" s="7">
        <v>0</v>
      </c>
      <c r="F9" s="7">
        <v>0</v>
      </c>
      <c r="G9" s="7">
        <v>0</v>
      </c>
      <c r="H9" s="8">
        <v>0</v>
      </c>
    </row>
    <row r="10" spans="1:8">
      <c r="A10" s="6" t="s">
        <v>97</v>
      </c>
      <c r="B10" s="7" t="s">
        <v>96</v>
      </c>
      <c r="C10" s="7" t="s">
        <v>180</v>
      </c>
      <c r="D10" s="7" t="s">
        <v>176</v>
      </c>
      <c r="E10" s="7">
        <v>0</v>
      </c>
      <c r="F10" s="7">
        <v>0</v>
      </c>
      <c r="G10" s="7">
        <v>0</v>
      </c>
      <c r="H10" s="8">
        <v>0</v>
      </c>
    </row>
    <row r="11" spans="1:8">
      <c r="A11" s="6" t="s">
        <v>102</v>
      </c>
      <c r="B11" s="7" t="s">
        <v>101</v>
      </c>
      <c r="C11" s="7" t="s">
        <v>181</v>
      </c>
      <c r="D11" s="7" t="s">
        <v>176</v>
      </c>
      <c r="E11" s="7">
        <v>0</v>
      </c>
      <c r="F11" s="7">
        <v>0</v>
      </c>
      <c r="G11" s="7">
        <v>0</v>
      </c>
      <c r="H11" s="8">
        <v>0</v>
      </c>
    </row>
    <row r="12" spans="1:8">
      <c r="A12" s="6" t="s">
        <v>107</v>
      </c>
      <c r="B12" s="7" t="s">
        <v>106</v>
      </c>
      <c r="C12" s="7" t="s">
        <v>180</v>
      </c>
      <c r="D12" s="7" t="s">
        <v>176</v>
      </c>
      <c r="E12" s="7">
        <v>0</v>
      </c>
      <c r="F12" s="7">
        <v>0</v>
      </c>
      <c r="G12" s="7">
        <v>0</v>
      </c>
      <c r="H12" s="8">
        <v>0</v>
      </c>
    </row>
    <row r="13" spans="1:8">
      <c r="A13" s="6" t="s">
        <v>112</v>
      </c>
      <c r="B13" s="7" t="s">
        <v>111</v>
      </c>
      <c r="C13" s="7" t="s">
        <v>182</v>
      </c>
      <c r="D13" s="7" t="s">
        <v>176</v>
      </c>
      <c r="E13" s="7">
        <v>0</v>
      </c>
      <c r="F13" s="7">
        <v>0</v>
      </c>
      <c r="G13" s="7">
        <v>0</v>
      </c>
      <c r="H13" s="8">
        <v>0</v>
      </c>
    </row>
    <row r="14" spans="1:8">
      <c r="A14" s="6" t="s">
        <v>117</v>
      </c>
      <c r="B14" s="7" t="s">
        <v>116</v>
      </c>
      <c r="C14" s="7" t="s">
        <v>51</v>
      </c>
      <c r="D14" s="7" t="s">
        <v>176</v>
      </c>
      <c r="E14" s="7">
        <v>0</v>
      </c>
      <c r="F14" s="7">
        <v>0</v>
      </c>
      <c r="G14" s="7">
        <v>0</v>
      </c>
      <c r="H14" s="8">
        <v>0</v>
      </c>
    </row>
    <row r="15" spans="1:8">
      <c r="A15" s="6" t="s">
        <v>122</v>
      </c>
      <c r="B15" s="7" t="s">
        <v>121</v>
      </c>
      <c r="C15" s="7" t="s">
        <v>177</v>
      </c>
      <c r="D15" s="7" t="s">
        <v>176</v>
      </c>
      <c r="E15" s="7">
        <v>0</v>
      </c>
      <c r="F15" s="7">
        <v>0</v>
      </c>
      <c r="G15" s="7">
        <v>0</v>
      </c>
      <c r="H15" s="8">
        <v>0</v>
      </c>
    </row>
    <row r="16" spans="1:8">
      <c r="A16" s="6" t="s">
        <v>127</v>
      </c>
      <c r="B16" s="7" t="s">
        <v>126</v>
      </c>
      <c r="C16" s="7" t="s">
        <v>178</v>
      </c>
      <c r="D16" s="7" t="s">
        <v>176</v>
      </c>
      <c r="E16" s="7">
        <v>0</v>
      </c>
      <c r="F16" s="7">
        <v>0</v>
      </c>
      <c r="G16" s="7">
        <v>0</v>
      </c>
      <c r="H16" s="8">
        <v>0</v>
      </c>
    </row>
    <row r="17" spans="1:8">
      <c r="A17" s="6" t="s">
        <v>132</v>
      </c>
      <c r="B17" s="7" t="s">
        <v>131</v>
      </c>
      <c r="C17" s="7" t="s">
        <v>178</v>
      </c>
      <c r="D17" s="7" t="s">
        <v>176</v>
      </c>
      <c r="E17" s="7">
        <v>0</v>
      </c>
      <c r="F17" s="7">
        <v>0</v>
      </c>
      <c r="G17" s="7">
        <v>0</v>
      </c>
      <c r="H17" s="8">
        <v>0</v>
      </c>
    </row>
    <row r="18" spans="1:8">
      <c r="A18" s="6" t="s">
        <v>137</v>
      </c>
      <c r="B18" s="7" t="s">
        <v>136</v>
      </c>
      <c r="C18" s="7" t="s">
        <v>178</v>
      </c>
      <c r="D18" s="7" t="s">
        <v>176</v>
      </c>
      <c r="E18" s="7">
        <v>0</v>
      </c>
      <c r="F18" s="7">
        <v>0</v>
      </c>
      <c r="G18" s="7">
        <v>0</v>
      </c>
      <c r="H18" s="8">
        <v>0</v>
      </c>
    </row>
    <row r="19" spans="1:8">
      <c r="A19" s="6" t="s">
        <v>142</v>
      </c>
      <c r="B19" s="7" t="s">
        <v>141</v>
      </c>
      <c r="C19" s="7" t="s">
        <v>179</v>
      </c>
      <c r="D19" s="7" t="s">
        <v>176</v>
      </c>
      <c r="E19" s="7">
        <v>0</v>
      </c>
      <c r="F19" s="7">
        <v>0</v>
      </c>
      <c r="G19" s="7">
        <v>0</v>
      </c>
      <c r="H19" s="8">
        <v>0</v>
      </c>
    </row>
    <row r="20" spans="1:8">
      <c r="A20" s="6" t="s">
        <v>147</v>
      </c>
      <c r="B20" s="7" t="s">
        <v>146</v>
      </c>
      <c r="C20" s="7" t="s">
        <v>180</v>
      </c>
      <c r="D20" s="7" t="s">
        <v>176</v>
      </c>
      <c r="E20" s="7">
        <v>0</v>
      </c>
      <c r="F20" s="7">
        <v>0</v>
      </c>
      <c r="G20" s="7">
        <v>0</v>
      </c>
      <c r="H20" s="8">
        <v>0</v>
      </c>
    </row>
    <row r="21" spans="1:8">
      <c r="A21" s="6" t="s">
        <v>152</v>
      </c>
      <c r="B21" s="7" t="s">
        <v>151</v>
      </c>
      <c r="C21" s="7" t="s">
        <v>181</v>
      </c>
      <c r="D21" s="7" t="s">
        <v>176</v>
      </c>
      <c r="E21" s="7">
        <v>0</v>
      </c>
      <c r="F21" s="7">
        <v>0</v>
      </c>
      <c r="G21" s="7">
        <v>0</v>
      </c>
      <c r="H21" s="8">
        <v>0</v>
      </c>
    </row>
    <row r="22" spans="1:8">
      <c r="A22" s="6" t="s">
        <v>157</v>
      </c>
      <c r="B22" s="7" t="s">
        <v>156</v>
      </c>
      <c r="C22" s="7" t="s">
        <v>180</v>
      </c>
      <c r="D22" s="7" t="s">
        <v>176</v>
      </c>
      <c r="E22" s="7">
        <v>0</v>
      </c>
      <c r="F22" s="7">
        <v>0</v>
      </c>
      <c r="G22" s="7">
        <v>0</v>
      </c>
      <c r="H22" s="8">
        <v>0</v>
      </c>
    </row>
    <row r="23" spans="1:8">
      <c r="A23" s="6" t="s">
        <v>162</v>
      </c>
      <c r="B23" s="7" t="s">
        <v>161</v>
      </c>
      <c r="C23" s="7" t="s">
        <v>181</v>
      </c>
      <c r="D23" s="7" t="s">
        <v>176</v>
      </c>
      <c r="E23" s="7">
        <v>0</v>
      </c>
      <c r="F23" s="7">
        <v>0</v>
      </c>
      <c r="G23" s="7">
        <v>0</v>
      </c>
      <c r="H23" s="8">
        <v>0</v>
      </c>
    </row>
    <row r="24" spans="1:8">
      <c r="A24" s="6" t="s">
        <v>167</v>
      </c>
      <c r="B24" s="7" t="s">
        <v>166</v>
      </c>
      <c r="C24" s="7" t="s">
        <v>180</v>
      </c>
      <c r="D24" s="7" t="s">
        <v>176</v>
      </c>
      <c r="E24" s="7">
        <v>0</v>
      </c>
      <c r="F24" s="7">
        <v>0</v>
      </c>
      <c r="G24" s="7">
        <v>0</v>
      </c>
      <c r="H24" s="8">
        <v>0</v>
      </c>
    </row>
    <row r="25" spans="1:8">
      <c r="A25" s="6" t="s">
        <v>172</v>
      </c>
      <c r="B25" s="7" t="s">
        <v>171</v>
      </c>
      <c r="C25" s="7" t="s">
        <v>182</v>
      </c>
      <c r="D25" s="7" t="s">
        <v>176</v>
      </c>
      <c r="E25" s="7">
        <v>0</v>
      </c>
      <c r="F25" s="7">
        <v>0</v>
      </c>
      <c r="G25" s="7">
        <v>0</v>
      </c>
      <c r="H25" s="8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"/>
  <sheetViews>
    <sheetView workbookViewId="0">
      <selection activeCell="B2" sqref="B2"/>
    </sheetView>
  </sheetViews>
  <sheetFormatPr defaultColWidth="9.14285714285714" defaultRowHeight="15"/>
  <cols>
    <col min="3" max="3" width="16" customWidth="1"/>
  </cols>
  <sheetData>
    <row r="1" spans="1:14">
      <c r="A1" t="s">
        <v>13</v>
      </c>
      <c r="B1" t="s">
        <v>28</v>
      </c>
      <c r="C1" t="s">
        <v>183</v>
      </c>
      <c r="D1" t="s">
        <v>184</v>
      </c>
      <c r="E1" t="s">
        <v>185</v>
      </c>
      <c r="F1" t="s">
        <v>186</v>
      </c>
      <c r="G1" t="s">
        <v>187</v>
      </c>
      <c r="H1" t="s">
        <v>188</v>
      </c>
      <c r="I1" t="s">
        <v>175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</row>
    <row r="2" spans="1:14">
      <c r="A2" t="s">
        <v>48</v>
      </c>
      <c r="B2" t="s">
        <v>52</v>
      </c>
      <c r="C2">
        <v>200000000</v>
      </c>
      <c r="D2">
        <v>0</v>
      </c>
      <c r="E2" t="s">
        <v>189</v>
      </c>
      <c r="I2">
        <v>2250000</v>
      </c>
      <c r="J2">
        <v>202500</v>
      </c>
      <c r="K2">
        <v>202500</v>
      </c>
      <c r="L2">
        <v>0</v>
      </c>
      <c r="M2" s="1">
        <v>46478</v>
      </c>
      <c r="N2" s="1">
        <v>46843</v>
      </c>
    </row>
    <row r="3" spans="1:14">
      <c r="A3" t="s">
        <v>57</v>
      </c>
      <c r="B3" t="s">
        <v>59</v>
      </c>
      <c r="C3">
        <v>500000000</v>
      </c>
      <c r="D3">
        <v>0</v>
      </c>
      <c r="E3" t="s">
        <v>189</v>
      </c>
      <c r="I3">
        <v>750000</v>
      </c>
      <c r="J3">
        <v>67500</v>
      </c>
      <c r="K3">
        <v>67500</v>
      </c>
      <c r="L3">
        <v>0</v>
      </c>
      <c r="M3" s="1">
        <v>46478</v>
      </c>
      <c r="N3" s="1">
        <v>46843</v>
      </c>
    </row>
    <row r="4" spans="1:14">
      <c r="A4" t="s">
        <v>64</v>
      </c>
      <c r="B4" t="s">
        <v>65</v>
      </c>
      <c r="C4">
        <v>300000000</v>
      </c>
      <c r="D4">
        <v>0</v>
      </c>
      <c r="E4" t="s">
        <v>189</v>
      </c>
      <c r="I4">
        <v>2250000</v>
      </c>
      <c r="J4">
        <v>202500</v>
      </c>
      <c r="K4">
        <v>202500</v>
      </c>
      <c r="L4">
        <v>0</v>
      </c>
      <c r="M4" s="1">
        <v>46478</v>
      </c>
      <c r="N4" s="1">
        <v>46843</v>
      </c>
    </row>
    <row r="5" spans="1:14">
      <c r="A5" t="s">
        <v>70</v>
      </c>
      <c r="B5" t="s">
        <v>71</v>
      </c>
      <c r="C5">
        <v>300000000</v>
      </c>
      <c r="D5">
        <v>0</v>
      </c>
      <c r="E5" t="s">
        <v>189</v>
      </c>
      <c r="I5">
        <v>0</v>
      </c>
      <c r="J5">
        <v>0</v>
      </c>
      <c r="K5">
        <v>0</v>
      </c>
      <c r="L5">
        <v>0</v>
      </c>
      <c r="M5" s="1">
        <v>46478</v>
      </c>
      <c r="N5" s="1">
        <v>46843</v>
      </c>
    </row>
    <row r="6" spans="1:14">
      <c r="A6" t="s">
        <v>75</v>
      </c>
      <c r="B6" t="s">
        <v>76</v>
      </c>
      <c r="C6">
        <v>300000000</v>
      </c>
      <c r="D6">
        <v>0</v>
      </c>
      <c r="E6" t="s">
        <v>189</v>
      </c>
      <c r="I6">
        <v>4500000</v>
      </c>
      <c r="J6">
        <v>405000</v>
      </c>
      <c r="K6">
        <v>405000</v>
      </c>
      <c r="L6">
        <v>0</v>
      </c>
      <c r="M6" s="1">
        <v>46478</v>
      </c>
      <c r="N6" s="1">
        <v>46843</v>
      </c>
    </row>
    <row r="7" spans="1:14">
      <c r="A7" t="s">
        <v>80</v>
      </c>
      <c r="B7" t="s">
        <v>81</v>
      </c>
      <c r="C7">
        <v>460000000</v>
      </c>
      <c r="D7">
        <v>0</v>
      </c>
      <c r="E7" t="s">
        <v>189</v>
      </c>
      <c r="I7">
        <v>150000</v>
      </c>
      <c r="J7">
        <v>13500</v>
      </c>
      <c r="K7">
        <v>13500</v>
      </c>
      <c r="L7">
        <v>0</v>
      </c>
      <c r="M7" s="1">
        <v>46478</v>
      </c>
      <c r="N7" s="1">
        <v>46843</v>
      </c>
    </row>
    <row r="8" spans="1:14">
      <c r="A8" t="s">
        <v>85</v>
      </c>
      <c r="B8" t="s">
        <v>86</v>
      </c>
      <c r="C8">
        <v>100000000</v>
      </c>
      <c r="D8">
        <v>0</v>
      </c>
      <c r="E8" t="s">
        <v>189</v>
      </c>
      <c r="I8">
        <v>250000</v>
      </c>
      <c r="J8">
        <v>22500</v>
      </c>
      <c r="K8">
        <v>22500</v>
      </c>
      <c r="L8">
        <v>0</v>
      </c>
      <c r="M8" s="1">
        <v>46478</v>
      </c>
      <c r="N8" s="1">
        <v>46843</v>
      </c>
    </row>
    <row r="9" spans="1:14">
      <c r="A9" t="s">
        <v>90</v>
      </c>
      <c r="B9" t="s">
        <v>92</v>
      </c>
      <c r="C9">
        <v>100000000</v>
      </c>
      <c r="D9">
        <v>0</v>
      </c>
      <c r="E9" t="s">
        <v>189</v>
      </c>
      <c r="I9">
        <v>250000</v>
      </c>
      <c r="J9">
        <v>22500</v>
      </c>
      <c r="K9">
        <v>22500</v>
      </c>
      <c r="L9">
        <v>0</v>
      </c>
      <c r="M9" s="1">
        <v>46478</v>
      </c>
      <c r="N9" s="1">
        <v>46843</v>
      </c>
    </row>
    <row r="10" spans="1:14">
      <c r="A10" t="s">
        <v>96</v>
      </c>
      <c r="B10" t="s">
        <v>97</v>
      </c>
      <c r="C10">
        <v>100000000</v>
      </c>
      <c r="D10">
        <v>0</v>
      </c>
      <c r="E10" t="s">
        <v>189</v>
      </c>
      <c r="I10">
        <v>250000</v>
      </c>
      <c r="J10">
        <v>22500</v>
      </c>
      <c r="K10">
        <v>22500</v>
      </c>
      <c r="L10">
        <v>0</v>
      </c>
      <c r="M10" s="1">
        <v>46478</v>
      </c>
      <c r="N10" s="1">
        <v>46843</v>
      </c>
    </row>
    <row r="11" spans="1:14">
      <c r="A11" t="s">
        <v>101</v>
      </c>
      <c r="B11" t="s">
        <v>102</v>
      </c>
      <c r="C11">
        <v>100000000</v>
      </c>
      <c r="D11">
        <v>0</v>
      </c>
      <c r="E11" t="s">
        <v>189</v>
      </c>
      <c r="I11">
        <v>250000</v>
      </c>
      <c r="J11">
        <v>22500</v>
      </c>
      <c r="K11">
        <v>22500</v>
      </c>
      <c r="L11">
        <v>0</v>
      </c>
      <c r="M11" s="1">
        <v>46478</v>
      </c>
      <c r="N11" s="1">
        <v>46843</v>
      </c>
    </row>
    <row r="12" spans="1:14">
      <c r="A12" t="s">
        <v>106</v>
      </c>
      <c r="B12" t="s">
        <v>107</v>
      </c>
      <c r="C12">
        <v>100000000</v>
      </c>
      <c r="D12">
        <v>0</v>
      </c>
      <c r="E12" t="s">
        <v>189</v>
      </c>
      <c r="I12">
        <v>250000</v>
      </c>
      <c r="J12">
        <v>22500</v>
      </c>
      <c r="K12">
        <v>22500</v>
      </c>
      <c r="L12">
        <v>0</v>
      </c>
      <c r="M12" s="1">
        <v>46478</v>
      </c>
      <c r="N12" s="1">
        <v>46843</v>
      </c>
    </row>
    <row r="13" spans="1:14">
      <c r="A13" t="s">
        <v>111</v>
      </c>
      <c r="B13" t="s">
        <v>112</v>
      </c>
      <c r="C13">
        <v>10000000</v>
      </c>
      <c r="D13">
        <v>0</v>
      </c>
      <c r="E13" t="s">
        <v>189</v>
      </c>
      <c r="I13">
        <v>50000</v>
      </c>
      <c r="J13">
        <v>4500</v>
      </c>
      <c r="K13">
        <v>4500</v>
      </c>
      <c r="L13">
        <v>0</v>
      </c>
      <c r="M13" s="1">
        <v>46478</v>
      </c>
      <c r="N13" s="1">
        <v>46843</v>
      </c>
    </row>
    <row r="14" spans="1:14">
      <c r="A14" t="s">
        <v>116</v>
      </c>
      <c r="B14" t="s">
        <v>117</v>
      </c>
      <c r="C14">
        <v>200000000</v>
      </c>
      <c r="D14">
        <v>0</v>
      </c>
      <c r="E14" t="s">
        <v>189</v>
      </c>
      <c r="I14">
        <v>2250000</v>
      </c>
      <c r="J14">
        <v>202500</v>
      </c>
      <c r="K14">
        <v>202500</v>
      </c>
      <c r="L14">
        <v>0</v>
      </c>
      <c r="M14" s="1">
        <v>46478</v>
      </c>
      <c r="N14" s="1">
        <v>46843</v>
      </c>
    </row>
    <row r="15" spans="1:14">
      <c r="A15" t="s">
        <v>121</v>
      </c>
      <c r="B15" t="s">
        <v>122</v>
      </c>
      <c r="C15">
        <v>500000000</v>
      </c>
      <c r="D15">
        <v>0</v>
      </c>
      <c r="E15" t="s">
        <v>189</v>
      </c>
      <c r="I15">
        <v>750000</v>
      </c>
      <c r="J15">
        <v>67500</v>
      </c>
      <c r="K15">
        <v>67500</v>
      </c>
      <c r="L15">
        <v>0</v>
      </c>
      <c r="M15" s="1">
        <v>46478</v>
      </c>
      <c r="N15" s="1">
        <v>46843</v>
      </c>
    </row>
    <row r="16" spans="1:14">
      <c r="A16" t="s">
        <v>126</v>
      </c>
      <c r="B16" t="s">
        <v>127</v>
      </c>
      <c r="C16">
        <v>300000000</v>
      </c>
      <c r="D16">
        <v>0</v>
      </c>
      <c r="E16" t="s">
        <v>189</v>
      </c>
      <c r="I16">
        <v>2250000</v>
      </c>
      <c r="J16">
        <v>202500</v>
      </c>
      <c r="K16">
        <v>202500</v>
      </c>
      <c r="L16">
        <v>0</v>
      </c>
      <c r="M16" s="1">
        <v>46478</v>
      </c>
      <c r="N16" s="1">
        <v>46843</v>
      </c>
    </row>
    <row r="17" spans="1:14">
      <c r="A17" t="s">
        <v>131</v>
      </c>
      <c r="B17" t="s">
        <v>132</v>
      </c>
      <c r="C17">
        <v>300000000</v>
      </c>
      <c r="D17">
        <v>0</v>
      </c>
      <c r="E17" t="s">
        <v>189</v>
      </c>
      <c r="I17">
        <v>0</v>
      </c>
      <c r="J17">
        <v>0</v>
      </c>
      <c r="K17">
        <v>0</v>
      </c>
      <c r="L17">
        <v>0</v>
      </c>
      <c r="M17" s="1">
        <v>46478</v>
      </c>
      <c r="N17" s="1">
        <v>46843</v>
      </c>
    </row>
    <row r="18" spans="1:14">
      <c r="A18" t="s">
        <v>136</v>
      </c>
      <c r="B18" t="s">
        <v>137</v>
      </c>
      <c r="C18">
        <v>300000000</v>
      </c>
      <c r="D18">
        <v>0</v>
      </c>
      <c r="E18" t="s">
        <v>189</v>
      </c>
      <c r="I18">
        <v>4500000</v>
      </c>
      <c r="J18">
        <v>405000</v>
      </c>
      <c r="K18">
        <v>405000</v>
      </c>
      <c r="L18">
        <v>0</v>
      </c>
      <c r="M18" s="1">
        <v>46478</v>
      </c>
      <c r="N18" s="1">
        <v>46843</v>
      </c>
    </row>
    <row r="19" spans="1:14">
      <c r="A19" t="s">
        <v>141</v>
      </c>
      <c r="B19" t="s">
        <v>142</v>
      </c>
      <c r="C19">
        <v>460000000</v>
      </c>
      <c r="D19">
        <v>0</v>
      </c>
      <c r="E19" t="s">
        <v>189</v>
      </c>
      <c r="I19">
        <v>150000</v>
      </c>
      <c r="J19">
        <v>13500</v>
      </c>
      <c r="K19">
        <v>13500</v>
      </c>
      <c r="L19">
        <v>0</v>
      </c>
      <c r="M19" s="1">
        <v>46478</v>
      </c>
      <c r="N19" s="1">
        <v>46843</v>
      </c>
    </row>
    <row r="20" spans="1:14">
      <c r="A20" t="s">
        <v>146</v>
      </c>
      <c r="B20" t="s">
        <v>147</v>
      </c>
      <c r="C20">
        <v>100000000</v>
      </c>
      <c r="D20">
        <v>0</v>
      </c>
      <c r="E20" t="s">
        <v>189</v>
      </c>
      <c r="I20">
        <v>250000</v>
      </c>
      <c r="J20">
        <v>22500</v>
      </c>
      <c r="K20">
        <v>22500</v>
      </c>
      <c r="L20">
        <v>0</v>
      </c>
      <c r="M20" s="1">
        <v>46478</v>
      </c>
      <c r="N20" s="1">
        <v>46843</v>
      </c>
    </row>
    <row r="21" spans="1:14">
      <c r="A21" t="s">
        <v>151</v>
      </c>
      <c r="B21" t="s">
        <v>152</v>
      </c>
      <c r="C21">
        <v>100000000</v>
      </c>
      <c r="D21">
        <v>0</v>
      </c>
      <c r="E21" t="s">
        <v>189</v>
      </c>
      <c r="I21">
        <v>250000</v>
      </c>
      <c r="J21">
        <v>22500</v>
      </c>
      <c r="K21">
        <v>22500</v>
      </c>
      <c r="L21">
        <v>0</v>
      </c>
      <c r="M21" s="1">
        <v>46478</v>
      </c>
      <c r="N21" s="1">
        <v>46843</v>
      </c>
    </row>
    <row r="22" spans="1:14">
      <c r="A22" t="s">
        <v>156</v>
      </c>
      <c r="B22" t="s">
        <v>157</v>
      </c>
      <c r="C22">
        <v>100000000</v>
      </c>
      <c r="D22">
        <v>0</v>
      </c>
      <c r="E22" t="s">
        <v>189</v>
      </c>
      <c r="I22">
        <v>250000</v>
      </c>
      <c r="J22">
        <v>22500</v>
      </c>
      <c r="K22">
        <v>22500</v>
      </c>
      <c r="L22">
        <v>0</v>
      </c>
      <c r="M22" s="1">
        <v>46478</v>
      </c>
      <c r="N22" s="1">
        <v>46843</v>
      </c>
    </row>
    <row r="23" spans="1:14">
      <c r="A23" t="s">
        <v>161</v>
      </c>
      <c r="B23" t="s">
        <v>162</v>
      </c>
      <c r="C23">
        <v>100000000</v>
      </c>
      <c r="D23">
        <v>0</v>
      </c>
      <c r="E23" t="s">
        <v>189</v>
      </c>
      <c r="I23">
        <v>250000</v>
      </c>
      <c r="J23">
        <v>22500</v>
      </c>
      <c r="K23">
        <v>22500</v>
      </c>
      <c r="L23">
        <v>0</v>
      </c>
      <c r="M23" s="1">
        <v>46478</v>
      </c>
      <c r="N23" s="1">
        <v>46843</v>
      </c>
    </row>
    <row r="24" spans="1:14">
      <c r="A24" t="s">
        <v>166</v>
      </c>
      <c r="B24" t="s">
        <v>167</v>
      </c>
      <c r="C24">
        <v>100000000</v>
      </c>
      <c r="D24">
        <v>0</v>
      </c>
      <c r="E24" t="s">
        <v>189</v>
      </c>
      <c r="I24">
        <v>250000</v>
      </c>
      <c r="J24">
        <v>22500</v>
      </c>
      <c r="K24">
        <v>22500</v>
      </c>
      <c r="L24">
        <v>0</v>
      </c>
      <c r="M24" s="1">
        <v>46478</v>
      </c>
      <c r="N24" s="1">
        <v>46843</v>
      </c>
    </row>
    <row r="25" spans="1:14">
      <c r="A25" t="s">
        <v>171</v>
      </c>
      <c r="B25" t="s">
        <v>172</v>
      </c>
      <c r="C25">
        <v>10000000</v>
      </c>
      <c r="D25">
        <v>0</v>
      </c>
      <c r="E25" t="s">
        <v>189</v>
      </c>
      <c r="I25">
        <v>50000</v>
      </c>
      <c r="J25">
        <v>4500</v>
      </c>
      <c r="K25">
        <v>4500</v>
      </c>
      <c r="L25">
        <v>0</v>
      </c>
      <c r="M25" s="1">
        <v>46478</v>
      </c>
      <c r="N25" s="1">
        <v>46843</v>
      </c>
    </row>
  </sheetData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workbookViewId="0">
      <selection activeCell="E2" sqref="E2"/>
    </sheetView>
  </sheetViews>
  <sheetFormatPr defaultColWidth="9.14285714285714" defaultRowHeight="15" outlineLevelCol="7"/>
  <cols>
    <col min="2" max="2" width="14.4285714285714" customWidth="1"/>
    <col min="3" max="3" width="24.2857142857143" customWidth="1"/>
    <col min="4" max="4" width="19.5714285714286" customWidth="1"/>
    <col min="5" max="5" width="15.7142857142857" customWidth="1"/>
  </cols>
  <sheetData>
    <row r="1" spans="1:8">
      <c r="A1" t="s">
        <v>28</v>
      </c>
      <c r="B1" t="s">
        <v>13</v>
      </c>
      <c r="C1" t="s">
        <v>173</v>
      </c>
      <c r="D1" t="s">
        <v>174</v>
      </c>
      <c r="E1" t="s">
        <v>175</v>
      </c>
      <c r="F1" t="s">
        <v>32</v>
      </c>
      <c r="G1" t="s">
        <v>30</v>
      </c>
      <c r="H1" t="s">
        <v>31</v>
      </c>
    </row>
    <row r="2" spans="1:8">
      <c r="A2" t="s">
        <v>52</v>
      </c>
      <c r="B2" t="s">
        <v>48</v>
      </c>
      <c r="C2" t="s">
        <v>180</v>
      </c>
      <c r="D2" t="s">
        <v>190</v>
      </c>
      <c r="E2">
        <v>3616438.35</v>
      </c>
      <c r="F2">
        <v>0</v>
      </c>
      <c r="G2">
        <v>325479.45</v>
      </c>
      <c r="H2">
        <v>325479.45</v>
      </c>
    </row>
    <row r="3" spans="1:8">
      <c r="A3" t="s">
        <v>122</v>
      </c>
      <c r="B3" t="s">
        <v>121</v>
      </c>
      <c r="C3" t="s">
        <v>177</v>
      </c>
      <c r="D3" t="s">
        <v>190</v>
      </c>
      <c r="E3">
        <v>7956164.37</v>
      </c>
      <c r="F3">
        <v>0</v>
      </c>
      <c r="G3">
        <v>716054.79</v>
      </c>
      <c r="H3">
        <v>716054.79</v>
      </c>
    </row>
    <row r="4" spans="1:8">
      <c r="A4" t="s">
        <v>127</v>
      </c>
      <c r="B4" t="s">
        <v>126</v>
      </c>
      <c r="C4" t="s">
        <v>51</v>
      </c>
      <c r="D4" t="s">
        <v>190</v>
      </c>
      <c r="E4">
        <v>5063013.69</v>
      </c>
      <c r="F4">
        <v>0</v>
      </c>
      <c r="G4">
        <v>455671.23</v>
      </c>
      <c r="H4">
        <v>455671.23</v>
      </c>
    </row>
    <row r="5" spans="1:8">
      <c r="A5" t="s">
        <v>132</v>
      </c>
      <c r="B5" t="s">
        <v>131</v>
      </c>
      <c r="C5" t="s">
        <v>51</v>
      </c>
      <c r="D5" t="s">
        <v>190</v>
      </c>
      <c r="E5">
        <v>723287.67</v>
      </c>
      <c r="F5">
        <v>0</v>
      </c>
      <c r="G5">
        <v>65095.89</v>
      </c>
      <c r="H5">
        <v>65095.89</v>
      </c>
    </row>
    <row r="6" spans="1:8">
      <c r="A6" t="s">
        <v>137</v>
      </c>
      <c r="B6" t="s">
        <v>136</v>
      </c>
      <c r="C6" t="s">
        <v>178</v>
      </c>
      <c r="D6" t="s">
        <v>190</v>
      </c>
      <c r="E6">
        <v>8679452.04</v>
      </c>
      <c r="F6">
        <v>0</v>
      </c>
      <c r="G6">
        <v>781150.68</v>
      </c>
      <c r="H6">
        <v>781150.68</v>
      </c>
    </row>
    <row r="7" spans="1:8">
      <c r="A7" t="s">
        <v>142</v>
      </c>
      <c r="B7" t="s">
        <v>141</v>
      </c>
      <c r="C7" t="s">
        <v>191</v>
      </c>
      <c r="D7" t="s">
        <v>190</v>
      </c>
      <c r="E7">
        <v>723287.67</v>
      </c>
      <c r="F7">
        <v>0</v>
      </c>
      <c r="G7">
        <v>65095.89</v>
      </c>
      <c r="H7">
        <v>65095.89</v>
      </c>
    </row>
    <row r="8" spans="1:8">
      <c r="A8" t="s">
        <v>65</v>
      </c>
      <c r="B8" t="s">
        <v>64</v>
      </c>
      <c r="C8" t="s">
        <v>51</v>
      </c>
      <c r="D8" t="s">
        <v>190</v>
      </c>
      <c r="E8">
        <v>5063013.69</v>
      </c>
      <c r="F8">
        <v>0</v>
      </c>
      <c r="G8">
        <v>455671.23</v>
      </c>
      <c r="H8">
        <v>455671.23</v>
      </c>
    </row>
    <row r="9" spans="1:8">
      <c r="A9" t="s">
        <v>147</v>
      </c>
      <c r="B9" t="s">
        <v>146</v>
      </c>
      <c r="C9" t="s">
        <v>180</v>
      </c>
      <c r="D9" t="s">
        <v>190</v>
      </c>
      <c r="E9">
        <v>723287.67</v>
      </c>
      <c r="F9">
        <v>0</v>
      </c>
      <c r="G9">
        <v>65095.89</v>
      </c>
      <c r="H9">
        <v>65095.89</v>
      </c>
    </row>
    <row r="10" spans="1:8">
      <c r="A10" t="s">
        <v>152</v>
      </c>
      <c r="B10" t="s">
        <v>151</v>
      </c>
      <c r="C10" t="s">
        <v>182</v>
      </c>
      <c r="D10" t="s">
        <v>190</v>
      </c>
      <c r="E10">
        <v>241095.89</v>
      </c>
      <c r="F10">
        <v>0</v>
      </c>
      <c r="G10">
        <v>21698.63</v>
      </c>
      <c r="H10">
        <v>21698.63</v>
      </c>
    </row>
    <row r="11" spans="1:8">
      <c r="A11" t="s">
        <v>157</v>
      </c>
      <c r="B11" t="s">
        <v>156</v>
      </c>
      <c r="C11" t="s">
        <v>192</v>
      </c>
      <c r="D11" t="s">
        <v>190</v>
      </c>
      <c r="E11">
        <v>482191.78</v>
      </c>
      <c r="F11">
        <v>0</v>
      </c>
      <c r="G11">
        <v>43397.26</v>
      </c>
      <c r="H11">
        <v>43397.26</v>
      </c>
    </row>
    <row r="12" spans="1:8">
      <c r="A12" t="s">
        <v>162</v>
      </c>
      <c r="B12" t="s">
        <v>161</v>
      </c>
      <c r="C12" t="s">
        <v>182</v>
      </c>
      <c r="D12" t="s">
        <v>190</v>
      </c>
      <c r="E12">
        <v>241095.89</v>
      </c>
      <c r="F12">
        <v>0</v>
      </c>
      <c r="G12">
        <v>21698.63</v>
      </c>
      <c r="H12">
        <v>21698.63</v>
      </c>
    </row>
    <row r="13" spans="1:8">
      <c r="A13" t="s">
        <v>167</v>
      </c>
      <c r="B13" t="s">
        <v>166</v>
      </c>
      <c r="C13" t="s">
        <v>193</v>
      </c>
      <c r="D13" t="s">
        <v>190</v>
      </c>
      <c r="E13">
        <v>626849.31</v>
      </c>
      <c r="F13">
        <v>0</v>
      </c>
      <c r="G13">
        <v>56416.44</v>
      </c>
      <c r="H13">
        <v>56416.44</v>
      </c>
    </row>
    <row r="14" spans="1:8">
      <c r="A14" t="s">
        <v>172</v>
      </c>
      <c r="B14" t="s">
        <v>171</v>
      </c>
      <c r="C14" t="s">
        <v>182</v>
      </c>
      <c r="D14" t="s">
        <v>190</v>
      </c>
      <c r="E14">
        <v>96438.36</v>
      </c>
      <c r="F14">
        <v>0</v>
      </c>
      <c r="G14">
        <v>8679.45</v>
      </c>
      <c r="H14">
        <v>8679.45</v>
      </c>
    </row>
    <row r="15" spans="1:8">
      <c r="A15" t="s">
        <v>76</v>
      </c>
      <c r="B15" t="s">
        <v>75</v>
      </c>
      <c r="C15" t="s">
        <v>178</v>
      </c>
      <c r="D15" t="s">
        <v>190</v>
      </c>
      <c r="E15">
        <v>8679452.04</v>
      </c>
      <c r="F15">
        <v>0</v>
      </c>
      <c r="G15">
        <v>781150.68</v>
      </c>
      <c r="H15">
        <v>781150.68</v>
      </c>
    </row>
    <row r="16" spans="1:8">
      <c r="A16" t="s">
        <v>59</v>
      </c>
      <c r="B16" t="s">
        <v>57</v>
      </c>
      <c r="C16" t="s">
        <v>177</v>
      </c>
      <c r="D16" t="s">
        <v>190</v>
      </c>
      <c r="E16">
        <v>7956164.37</v>
      </c>
      <c r="F16">
        <v>0</v>
      </c>
      <c r="G16">
        <v>716054.79</v>
      </c>
      <c r="H16">
        <v>716054.79</v>
      </c>
    </row>
    <row r="17" spans="1:8">
      <c r="A17" t="s">
        <v>71</v>
      </c>
      <c r="B17" t="s">
        <v>70</v>
      </c>
      <c r="C17" t="s">
        <v>51</v>
      </c>
      <c r="D17" t="s">
        <v>190</v>
      </c>
      <c r="E17">
        <v>723287.67</v>
      </c>
      <c r="F17">
        <v>0</v>
      </c>
      <c r="G17">
        <v>65095.89</v>
      </c>
      <c r="H17">
        <v>65095.89</v>
      </c>
    </row>
    <row r="18" spans="1:8">
      <c r="A18" t="s">
        <v>81</v>
      </c>
      <c r="B18" t="s">
        <v>80</v>
      </c>
      <c r="C18" t="s">
        <v>191</v>
      </c>
      <c r="D18" t="s">
        <v>190</v>
      </c>
      <c r="E18">
        <v>723287.67</v>
      </c>
      <c r="F18">
        <v>0</v>
      </c>
      <c r="G18">
        <v>65095.89</v>
      </c>
      <c r="H18">
        <v>65095.89</v>
      </c>
    </row>
    <row r="19" spans="1:8">
      <c r="A19" t="s">
        <v>86</v>
      </c>
      <c r="B19" t="s">
        <v>85</v>
      </c>
      <c r="C19" t="s">
        <v>180</v>
      </c>
      <c r="D19" t="s">
        <v>190</v>
      </c>
      <c r="E19">
        <v>723287.67</v>
      </c>
      <c r="F19">
        <v>0</v>
      </c>
      <c r="G19">
        <v>65095.89</v>
      </c>
      <c r="H19">
        <v>65095.89</v>
      </c>
    </row>
    <row r="20" spans="1:8">
      <c r="A20" t="s">
        <v>92</v>
      </c>
      <c r="B20" t="s">
        <v>90</v>
      </c>
      <c r="C20" t="s">
        <v>182</v>
      </c>
      <c r="D20" t="s">
        <v>190</v>
      </c>
      <c r="E20">
        <v>241095.89</v>
      </c>
      <c r="F20">
        <v>0</v>
      </c>
      <c r="G20">
        <v>21698.63</v>
      </c>
      <c r="H20">
        <v>21698.63</v>
      </c>
    </row>
    <row r="21" spans="1:8">
      <c r="A21" t="s">
        <v>97</v>
      </c>
      <c r="B21" t="s">
        <v>96</v>
      </c>
      <c r="C21" t="s">
        <v>192</v>
      </c>
      <c r="D21" t="s">
        <v>190</v>
      </c>
      <c r="E21">
        <v>482191.78</v>
      </c>
      <c r="F21">
        <v>0</v>
      </c>
      <c r="G21">
        <v>43397.26</v>
      </c>
      <c r="H21">
        <v>43397.26</v>
      </c>
    </row>
    <row r="22" spans="1:8">
      <c r="A22" t="s">
        <v>102</v>
      </c>
      <c r="B22" t="s">
        <v>101</v>
      </c>
      <c r="C22" t="s">
        <v>182</v>
      </c>
      <c r="D22" t="s">
        <v>190</v>
      </c>
      <c r="E22">
        <v>241095.89</v>
      </c>
      <c r="F22">
        <v>0</v>
      </c>
      <c r="G22">
        <v>21698.63</v>
      </c>
      <c r="H22">
        <v>21698.63</v>
      </c>
    </row>
    <row r="23" spans="1:8">
      <c r="A23" t="s">
        <v>107</v>
      </c>
      <c r="B23" t="s">
        <v>106</v>
      </c>
      <c r="C23" t="s">
        <v>193</v>
      </c>
      <c r="D23" t="s">
        <v>190</v>
      </c>
      <c r="E23">
        <v>626849.31</v>
      </c>
      <c r="F23">
        <v>0</v>
      </c>
      <c r="G23">
        <v>56416.44</v>
      </c>
      <c r="H23">
        <v>56416.44</v>
      </c>
    </row>
    <row r="24" spans="1:8">
      <c r="A24" t="s">
        <v>112</v>
      </c>
      <c r="B24" t="s">
        <v>111</v>
      </c>
      <c r="C24" t="s">
        <v>182</v>
      </c>
      <c r="D24" t="s">
        <v>190</v>
      </c>
      <c r="E24">
        <v>96438.36</v>
      </c>
      <c r="F24">
        <v>0</v>
      </c>
      <c r="G24">
        <v>8679.45</v>
      </c>
      <c r="H24">
        <v>8679.45</v>
      </c>
    </row>
    <row r="25" spans="1:8">
      <c r="A25" t="s">
        <v>117</v>
      </c>
      <c r="B25" t="s">
        <v>116</v>
      </c>
      <c r="C25" t="s">
        <v>180</v>
      </c>
      <c r="D25" t="s">
        <v>190</v>
      </c>
      <c r="E25">
        <v>3616438.35</v>
      </c>
      <c r="F25">
        <v>0</v>
      </c>
      <c r="G25">
        <v>325479.45</v>
      </c>
      <c r="H25">
        <v>325479.45</v>
      </c>
    </row>
  </sheetData>
  <pageMargins left="0.75" right="0.75" top="1" bottom="1" header="0.5" footer="0.5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5"/>
  <sheetViews>
    <sheetView tabSelected="1" workbookViewId="0">
      <selection activeCell="E29" sqref="E29"/>
    </sheetView>
  </sheetViews>
  <sheetFormatPr defaultColWidth="9.14285714285714" defaultRowHeight="15"/>
  <cols>
    <col min="2" max="2" width="28.8571428571429" customWidth="1"/>
    <col min="3" max="3" width="22.7142857142857" customWidth="1"/>
    <col min="4" max="4" width="12.4285714285714" customWidth="1"/>
    <col min="5" max="5" width="13.5714285714286" customWidth="1"/>
    <col min="6" max="6" width="14.4285714285714" customWidth="1"/>
    <col min="7" max="7" width="14.1428571428571" customWidth="1"/>
    <col min="8" max="8" width="13.1428571428571" customWidth="1"/>
    <col min="9" max="9" width="12.4285714285714" customWidth="1"/>
    <col min="13" max="13" width="20.5714285714286" customWidth="1"/>
    <col min="14" max="14" width="16.4285714285714" customWidth="1"/>
    <col min="15" max="15" width="19.5714285714286" customWidth="1"/>
  </cols>
  <sheetData>
    <row r="1" spans="1:15">
      <c r="A1" t="s">
        <v>13</v>
      </c>
      <c r="B1" t="s">
        <v>28</v>
      </c>
      <c r="C1" t="s">
        <v>183</v>
      </c>
      <c r="D1" t="s">
        <v>184</v>
      </c>
      <c r="E1" t="s">
        <v>185</v>
      </c>
      <c r="F1" t="s">
        <v>186</v>
      </c>
      <c r="G1" t="s">
        <v>187</v>
      </c>
      <c r="H1" t="s">
        <v>188</v>
      </c>
      <c r="I1" t="s">
        <v>175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194</v>
      </c>
    </row>
    <row r="2" spans="1:15">
      <c r="A2" t="s">
        <v>48</v>
      </c>
      <c r="B2" t="s">
        <v>52</v>
      </c>
      <c r="C2">
        <v>300000000</v>
      </c>
      <c r="D2">
        <v>0</v>
      </c>
      <c r="E2" t="s">
        <v>195</v>
      </c>
      <c r="F2" t="s">
        <v>196</v>
      </c>
      <c r="G2">
        <v>300000000</v>
      </c>
      <c r="H2">
        <v>100</v>
      </c>
      <c r="I2">
        <v>0</v>
      </c>
      <c r="J2">
        <v>0</v>
      </c>
      <c r="K2">
        <v>0</v>
      </c>
      <c r="L2">
        <v>0</v>
      </c>
      <c r="M2" s="1">
        <v>46844</v>
      </c>
      <c r="N2" s="1">
        <v>47208</v>
      </c>
      <c r="O2" s="2">
        <f t="shared" ref="O2:O25" si="0">M2+(365*2)</f>
        <v>47574</v>
      </c>
    </row>
    <row r="3" spans="1:15">
      <c r="A3" t="s">
        <v>57</v>
      </c>
      <c r="B3" t="s">
        <v>59</v>
      </c>
      <c r="C3">
        <v>1000000000</v>
      </c>
      <c r="D3">
        <v>0</v>
      </c>
      <c r="E3" t="s">
        <v>195</v>
      </c>
      <c r="F3" t="s">
        <v>196</v>
      </c>
      <c r="G3">
        <v>1000000000</v>
      </c>
      <c r="H3">
        <v>100</v>
      </c>
      <c r="I3">
        <v>0</v>
      </c>
      <c r="J3">
        <v>0</v>
      </c>
      <c r="K3">
        <v>0</v>
      </c>
      <c r="L3">
        <v>0</v>
      </c>
      <c r="M3" s="1">
        <v>46844</v>
      </c>
      <c r="N3" s="1">
        <v>47208</v>
      </c>
      <c r="O3" s="2">
        <f t="shared" si="0"/>
        <v>47574</v>
      </c>
    </row>
    <row r="4" spans="1:15">
      <c r="A4" t="s">
        <v>64</v>
      </c>
      <c r="B4" t="s">
        <v>65</v>
      </c>
      <c r="C4">
        <v>500000000</v>
      </c>
      <c r="D4">
        <v>0</v>
      </c>
      <c r="E4" t="s">
        <v>195</v>
      </c>
      <c r="F4" t="s">
        <v>196</v>
      </c>
      <c r="G4">
        <v>500000000</v>
      </c>
      <c r="H4">
        <v>100</v>
      </c>
      <c r="I4">
        <v>0</v>
      </c>
      <c r="J4">
        <v>0</v>
      </c>
      <c r="K4">
        <v>0</v>
      </c>
      <c r="L4">
        <v>0</v>
      </c>
      <c r="M4" s="1">
        <v>46844</v>
      </c>
      <c r="N4" s="1">
        <v>47208</v>
      </c>
      <c r="O4" s="2">
        <f t="shared" si="0"/>
        <v>47574</v>
      </c>
    </row>
    <row r="5" hidden="1" spans="1:15">
      <c r="A5" t="s">
        <v>70</v>
      </c>
      <c r="B5" t="s">
        <v>71</v>
      </c>
      <c r="C5">
        <v>500000000</v>
      </c>
      <c r="D5">
        <v>0</v>
      </c>
      <c r="E5" t="s">
        <v>189</v>
      </c>
      <c r="I5">
        <v>750000</v>
      </c>
      <c r="J5">
        <v>67500</v>
      </c>
      <c r="K5">
        <v>67500</v>
      </c>
      <c r="L5">
        <v>0</v>
      </c>
      <c r="M5" s="1">
        <v>46844</v>
      </c>
      <c r="N5" s="1">
        <v>47208</v>
      </c>
      <c r="O5" s="2">
        <f t="shared" si="0"/>
        <v>47574</v>
      </c>
    </row>
    <row r="6" hidden="1" spans="1:15">
      <c r="A6" t="s">
        <v>75</v>
      </c>
      <c r="B6" t="s">
        <v>76</v>
      </c>
      <c r="C6">
        <v>600000000</v>
      </c>
      <c r="D6">
        <v>0</v>
      </c>
      <c r="E6" t="s">
        <v>189</v>
      </c>
      <c r="I6">
        <v>9000000</v>
      </c>
      <c r="J6">
        <v>810000</v>
      </c>
      <c r="K6">
        <v>810000</v>
      </c>
      <c r="L6">
        <v>0</v>
      </c>
      <c r="M6" s="1">
        <v>46844</v>
      </c>
      <c r="N6" s="1">
        <v>47208</v>
      </c>
      <c r="O6" s="2">
        <f t="shared" si="0"/>
        <v>47574</v>
      </c>
    </row>
    <row r="7" hidden="1" spans="1:15">
      <c r="A7" t="s">
        <v>80</v>
      </c>
      <c r="B7" t="s">
        <v>81</v>
      </c>
      <c r="C7">
        <v>500000000</v>
      </c>
      <c r="D7">
        <v>0</v>
      </c>
      <c r="E7" t="s">
        <v>189</v>
      </c>
      <c r="I7">
        <v>750000</v>
      </c>
      <c r="J7">
        <v>67500</v>
      </c>
      <c r="K7">
        <v>67500</v>
      </c>
      <c r="L7">
        <v>0</v>
      </c>
      <c r="M7" s="1">
        <v>46844</v>
      </c>
      <c r="N7" s="1">
        <v>47208</v>
      </c>
      <c r="O7" s="2">
        <f t="shared" si="0"/>
        <v>47574</v>
      </c>
    </row>
    <row r="8" hidden="1" spans="1:15">
      <c r="A8" t="s">
        <v>85</v>
      </c>
      <c r="B8" t="s">
        <v>86</v>
      </c>
      <c r="C8">
        <v>200000000</v>
      </c>
      <c r="D8">
        <v>0</v>
      </c>
      <c r="E8" t="s">
        <v>189</v>
      </c>
      <c r="I8">
        <v>750000</v>
      </c>
      <c r="J8">
        <v>67500</v>
      </c>
      <c r="K8">
        <v>67500</v>
      </c>
      <c r="L8">
        <v>0</v>
      </c>
      <c r="M8" s="1">
        <v>46844</v>
      </c>
      <c r="N8" s="1">
        <v>47208</v>
      </c>
      <c r="O8" s="2">
        <f t="shared" si="0"/>
        <v>47574</v>
      </c>
    </row>
    <row r="9" spans="1:15">
      <c r="A9" t="s">
        <v>90</v>
      </c>
      <c r="B9" t="s">
        <v>92</v>
      </c>
      <c r="C9">
        <v>100000000</v>
      </c>
      <c r="D9">
        <v>0</v>
      </c>
      <c r="E9" t="s">
        <v>195</v>
      </c>
      <c r="F9" t="s">
        <v>196</v>
      </c>
      <c r="G9">
        <v>10000000</v>
      </c>
      <c r="H9">
        <v>100</v>
      </c>
      <c r="I9">
        <v>0</v>
      </c>
      <c r="J9">
        <v>0</v>
      </c>
      <c r="K9">
        <v>0</v>
      </c>
      <c r="L9">
        <v>0</v>
      </c>
      <c r="M9" s="1">
        <v>46844</v>
      </c>
      <c r="N9" s="1">
        <v>47208</v>
      </c>
      <c r="O9" s="2">
        <f t="shared" si="0"/>
        <v>47574</v>
      </c>
    </row>
    <row r="10" spans="1:15">
      <c r="A10" t="s">
        <v>96</v>
      </c>
      <c r="B10" t="s">
        <v>97</v>
      </c>
      <c r="C10">
        <v>150000000</v>
      </c>
      <c r="D10">
        <v>0</v>
      </c>
      <c r="E10" t="s">
        <v>195</v>
      </c>
      <c r="F10" t="s">
        <v>196</v>
      </c>
      <c r="G10">
        <v>50000000</v>
      </c>
      <c r="H10">
        <v>100</v>
      </c>
      <c r="I10">
        <v>0</v>
      </c>
      <c r="J10">
        <v>0</v>
      </c>
      <c r="K10">
        <v>0</v>
      </c>
      <c r="L10">
        <v>0</v>
      </c>
      <c r="M10" s="1">
        <v>46844</v>
      </c>
      <c r="N10" s="1">
        <v>47208</v>
      </c>
      <c r="O10" s="2">
        <f t="shared" si="0"/>
        <v>47574</v>
      </c>
    </row>
    <row r="11" spans="1:15">
      <c r="A11" t="s">
        <v>101</v>
      </c>
      <c r="B11" t="s">
        <v>102</v>
      </c>
      <c r="C11">
        <v>100000000</v>
      </c>
      <c r="D11">
        <v>0</v>
      </c>
      <c r="E11" t="s">
        <v>195</v>
      </c>
      <c r="F11" t="s">
        <v>196</v>
      </c>
      <c r="G11">
        <v>10000000</v>
      </c>
      <c r="H11">
        <v>0</v>
      </c>
      <c r="I11">
        <v>0</v>
      </c>
      <c r="J11">
        <v>0</v>
      </c>
      <c r="K11">
        <v>0</v>
      </c>
      <c r="L11">
        <v>0</v>
      </c>
      <c r="M11" s="1">
        <v>46844</v>
      </c>
      <c r="N11" s="1">
        <v>47208</v>
      </c>
      <c r="O11" s="2">
        <f t="shared" si="0"/>
        <v>47574</v>
      </c>
    </row>
    <row r="12" hidden="1" spans="1:15">
      <c r="A12" t="s">
        <v>106</v>
      </c>
      <c r="B12" t="s">
        <v>107</v>
      </c>
      <c r="C12">
        <v>180000000</v>
      </c>
      <c r="D12">
        <v>0</v>
      </c>
      <c r="E12" t="s">
        <v>189</v>
      </c>
      <c r="I12">
        <v>650000</v>
      </c>
      <c r="J12">
        <v>58500</v>
      </c>
      <c r="K12">
        <v>58500</v>
      </c>
      <c r="L12">
        <v>0</v>
      </c>
      <c r="M12" s="1">
        <v>46844</v>
      </c>
      <c r="N12" s="1">
        <v>47208</v>
      </c>
      <c r="O12" s="2">
        <f t="shared" si="0"/>
        <v>47574</v>
      </c>
    </row>
    <row r="13" hidden="1" spans="1:15">
      <c r="A13" t="s">
        <v>111</v>
      </c>
      <c r="B13" t="s">
        <v>112</v>
      </c>
      <c r="C13">
        <v>20000000</v>
      </c>
      <c r="D13">
        <v>0</v>
      </c>
      <c r="E13" t="s">
        <v>189</v>
      </c>
      <c r="I13">
        <v>100000</v>
      </c>
      <c r="J13">
        <v>9000</v>
      </c>
      <c r="K13">
        <v>9000</v>
      </c>
      <c r="L13">
        <v>0</v>
      </c>
      <c r="M13" s="1">
        <v>46844</v>
      </c>
      <c r="N13" s="1">
        <v>47208</v>
      </c>
      <c r="O13" s="2">
        <f t="shared" si="0"/>
        <v>47574</v>
      </c>
    </row>
    <row r="14" spans="1:15">
      <c r="A14" t="s">
        <v>116</v>
      </c>
      <c r="B14" t="s">
        <v>117</v>
      </c>
      <c r="C14">
        <v>300000000</v>
      </c>
      <c r="D14">
        <v>0</v>
      </c>
      <c r="E14" t="s">
        <v>195</v>
      </c>
      <c r="F14" t="s">
        <v>196</v>
      </c>
      <c r="G14">
        <v>300000000</v>
      </c>
      <c r="H14">
        <v>100</v>
      </c>
      <c r="I14">
        <v>0</v>
      </c>
      <c r="J14">
        <v>0</v>
      </c>
      <c r="K14">
        <v>0</v>
      </c>
      <c r="L14">
        <v>0</v>
      </c>
      <c r="M14" s="1">
        <v>46844</v>
      </c>
      <c r="N14" s="1">
        <v>47208</v>
      </c>
      <c r="O14" s="2">
        <f t="shared" si="0"/>
        <v>47574</v>
      </c>
    </row>
    <row r="15" spans="1:15">
      <c r="A15" t="s">
        <v>121</v>
      </c>
      <c r="B15" t="s">
        <v>122</v>
      </c>
      <c r="C15">
        <v>1000000000</v>
      </c>
      <c r="D15">
        <v>0</v>
      </c>
      <c r="E15" t="s">
        <v>195</v>
      </c>
      <c r="F15" t="s">
        <v>196</v>
      </c>
      <c r="G15">
        <v>1000000000</v>
      </c>
      <c r="H15">
        <v>100</v>
      </c>
      <c r="I15">
        <v>0</v>
      </c>
      <c r="J15">
        <v>0</v>
      </c>
      <c r="K15">
        <v>0</v>
      </c>
      <c r="L15">
        <v>0</v>
      </c>
      <c r="M15" s="1">
        <v>46844</v>
      </c>
      <c r="N15" s="1">
        <v>47208</v>
      </c>
      <c r="O15" s="2">
        <f t="shared" si="0"/>
        <v>47574</v>
      </c>
    </row>
    <row r="16" spans="1:15">
      <c r="A16" t="s">
        <v>126</v>
      </c>
      <c r="B16" t="s">
        <v>127</v>
      </c>
      <c r="C16">
        <v>500000000</v>
      </c>
      <c r="D16">
        <v>0</v>
      </c>
      <c r="E16" t="s">
        <v>195</v>
      </c>
      <c r="F16" t="s">
        <v>196</v>
      </c>
      <c r="G16">
        <v>500000000</v>
      </c>
      <c r="H16">
        <v>100</v>
      </c>
      <c r="I16">
        <v>0</v>
      </c>
      <c r="J16">
        <v>0</v>
      </c>
      <c r="K16">
        <v>0</v>
      </c>
      <c r="L16">
        <v>0</v>
      </c>
      <c r="M16" s="1">
        <v>46844</v>
      </c>
      <c r="N16" s="1">
        <v>47208</v>
      </c>
      <c r="O16" s="2">
        <f t="shared" si="0"/>
        <v>47574</v>
      </c>
    </row>
    <row r="17" hidden="1" spans="1:15">
      <c r="A17" t="s">
        <v>131</v>
      </c>
      <c r="B17" t="s">
        <v>132</v>
      </c>
      <c r="C17">
        <v>500000000</v>
      </c>
      <c r="D17">
        <v>0</v>
      </c>
      <c r="E17" t="s">
        <v>189</v>
      </c>
      <c r="I17">
        <v>750000</v>
      </c>
      <c r="J17">
        <v>67500</v>
      </c>
      <c r="K17">
        <v>67500</v>
      </c>
      <c r="L17">
        <v>0</v>
      </c>
      <c r="M17" s="1">
        <v>46844</v>
      </c>
      <c r="N17" s="1">
        <v>47208</v>
      </c>
      <c r="O17" s="2">
        <f t="shared" si="0"/>
        <v>47574</v>
      </c>
    </row>
    <row r="18" hidden="1" spans="1:15">
      <c r="A18" t="s">
        <v>136</v>
      </c>
      <c r="B18" t="s">
        <v>137</v>
      </c>
      <c r="C18">
        <v>600000000</v>
      </c>
      <c r="D18">
        <v>0</v>
      </c>
      <c r="E18" t="s">
        <v>189</v>
      </c>
      <c r="I18">
        <v>9000000</v>
      </c>
      <c r="J18">
        <v>810000</v>
      </c>
      <c r="K18">
        <v>810000</v>
      </c>
      <c r="L18">
        <v>0</v>
      </c>
      <c r="M18" s="1">
        <v>46844</v>
      </c>
      <c r="N18" s="1">
        <v>47208</v>
      </c>
      <c r="O18" s="2">
        <f t="shared" si="0"/>
        <v>47574</v>
      </c>
    </row>
    <row r="19" hidden="1" spans="1:15">
      <c r="A19" t="s">
        <v>141</v>
      </c>
      <c r="B19" t="s">
        <v>142</v>
      </c>
      <c r="C19">
        <v>500000000</v>
      </c>
      <c r="D19">
        <v>0</v>
      </c>
      <c r="E19" t="s">
        <v>189</v>
      </c>
      <c r="I19">
        <v>750000</v>
      </c>
      <c r="J19">
        <v>67500</v>
      </c>
      <c r="K19">
        <v>67500</v>
      </c>
      <c r="L19">
        <v>0</v>
      </c>
      <c r="M19" s="1">
        <v>46844</v>
      </c>
      <c r="N19" s="1">
        <v>47208</v>
      </c>
      <c r="O19" s="2">
        <f t="shared" si="0"/>
        <v>47574</v>
      </c>
    </row>
    <row r="20" hidden="1" spans="1:15">
      <c r="A20" t="s">
        <v>146</v>
      </c>
      <c r="B20" t="s">
        <v>147</v>
      </c>
      <c r="C20">
        <v>200000000</v>
      </c>
      <c r="D20">
        <v>0</v>
      </c>
      <c r="E20" t="s">
        <v>189</v>
      </c>
      <c r="I20">
        <v>750000</v>
      </c>
      <c r="J20">
        <v>67500</v>
      </c>
      <c r="K20">
        <v>67500</v>
      </c>
      <c r="L20">
        <v>0</v>
      </c>
      <c r="M20" s="1">
        <v>46844</v>
      </c>
      <c r="N20" s="1">
        <v>47208</v>
      </c>
      <c r="O20" s="2">
        <f t="shared" si="0"/>
        <v>47574</v>
      </c>
    </row>
    <row r="21" spans="1:15">
      <c r="A21" t="s">
        <v>151</v>
      </c>
      <c r="B21" t="s">
        <v>152</v>
      </c>
      <c r="C21">
        <v>100000000</v>
      </c>
      <c r="D21">
        <v>0</v>
      </c>
      <c r="E21" t="s">
        <v>195</v>
      </c>
      <c r="F21" t="s">
        <v>196</v>
      </c>
      <c r="G21">
        <v>10000000</v>
      </c>
      <c r="H21">
        <v>100</v>
      </c>
      <c r="I21">
        <v>0</v>
      </c>
      <c r="J21">
        <v>0</v>
      </c>
      <c r="K21">
        <v>0</v>
      </c>
      <c r="L21">
        <v>0</v>
      </c>
      <c r="M21" s="1">
        <v>46844</v>
      </c>
      <c r="N21" s="1">
        <v>47208</v>
      </c>
      <c r="O21" s="2">
        <f t="shared" si="0"/>
        <v>47574</v>
      </c>
    </row>
    <row r="22" spans="1:15">
      <c r="A22" t="s">
        <v>156</v>
      </c>
      <c r="B22" t="s">
        <v>157</v>
      </c>
      <c r="C22">
        <v>150000000</v>
      </c>
      <c r="D22">
        <v>0</v>
      </c>
      <c r="E22" t="s">
        <v>195</v>
      </c>
      <c r="F22" t="s">
        <v>196</v>
      </c>
      <c r="G22">
        <v>50000000</v>
      </c>
      <c r="H22">
        <v>100</v>
      </c>
      <c r="I22">
        <v>0</v>
      </c>
      <c r="J22">
        <v>0</v>
      </c>
      <c r="K22">
        <v>0</v>
      </c>
      <c r="L22">
        <v>0</v>
      </c>
      <c r="M22" s="1">
        <v>46844</v>
      </c>
      <c r="N22" s="1">
        <v>47208</v>
      </c>
      <c r="O22" s="2">
        <f t="shared" si="0"/>
        <v>47574</v>
      </c>
    </row>
    <row r="23" spans="1:15">
      <c r="A23" t="s">
        <v>161</v>
      </c>
      <c r="B23" t="s">
        <v>162</v>
      </c>
      <c r="C23">
        <v>100000000</v>
      </c>
      <c r="D23">
        <v>0</v>
      </c>
      <c r="E23" t="s">
        <v>195</v>
      </c>
      <c r="F23" t="s">
        <v>196</v>
      </c>
      <c r="G23">
        <v>10000000</v>
      </c>
      <c r="H23">
        <v>0</v>
      </c>
      <c r="I23">
        <v>0</v>
      </c>
      <c r="J23">
        <v>0</v>
      </c>
      <c r="K23">
        <v>0</v>
      </c>
      <c r="L23">
        <v>0</v>
      </c>
      <c r="M23" s="1">
        <v>46844</v>
      </c>
      <c r="N23" s="1">
        <v>47208</v>
      </c>
      <c r="O23" s="2">
        <f t="shared" si="0"/>
        <v>47574</v>
      </c>
    </row>
    <row r="24" hidden="1" spans="1:15">
      <c r="A24" t="s">
        <v>166</v>
      </c>
      <c r="B24" t="s">
        <v>167</v>
      </c>
      <c r="C24">
        <v>180000000</v>
      </c>
      <c r="D24">
        <v>0</v>
      </c>
      <c r="E24" t="s">
        <v>189</v>
      </c>
      <c r="I24">
        <v>650000</v>
      </c>
      <c r="J24">
        <v>58500</v>
      </c>
      <c r="K24">
        <v>58500</v>
      </c>
      <c r="L24">
        <v>0</v>
      </c>
      <c r="M24" s="1">
        <v>46844</v>
      </c>
      <c r="N24" s="1">
        <v>47208</v>
      </c>
      <c r="O24" s="2">
        <f t="shared" si="0"/>
        <v>47574</v>
      </c>
    </row>
    <row r="25" hidden="1" spans="1:15">
      <c r="A25" t="s">
        <v>171</v>
      </c>
      <c r="B25" t="s">
        <v>172</v>
      </c>
      <c r="C25">
        <v>20000000</v>
      </c>
      <c r="D25">
        <v>0</v>
      </c>
      <c r="E25" t="s">
        <v>189</v>
      </c>
      <c r="I25">
        <v>100000</v>
      </c>
      <c r="J25">
        <v>9000</v>
      </c>
      <c r="K25">
        <v>9000</v>
      </c>
      <c r="L25">
        <v>0</v>
      </c>
      <c r="M25" s="1">
        <v>46844</v>
      </c>
      <c r="N25" s="1">
        <v>47208</v>
      </c>
      <c r="O25" s="2">
        <f t="shared" si="0"/>
        <v>47574</v>
      </c>
    </row>
  </sheetData>
  <pageMargins left="0.75" right="0.75" top="1" bottom="1" header="0.5" footer="0.5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"/>
  <sheetViews>
    <sheetView workbookViewId="0">
      <selection activeCell="B3" sqref="B3"/>
    </sheetView>
  </sheetViews>
  <sheetFormatPr defaultColWidth="9.14285714285714" defaultRowHeight="15" outlineLevelRow="2"/>
  <cols>
    <col min="2" max="2" width="34.4285714285714" customWidth="1"/>
    <col min="8" max="8" width="19" customWidth="1"/>
    <col min="10" max="10" width="17.1428571428571" customWidth="1"/>
    <col min="11" max="11" width="20.7142857142857" customWidth="1"/>
  </cols>
  <sheetData>
    <row r="1" spans="1:12">
      <c r="A1" t="s">
        <v>13</v>
      </c>
      <c r="B1" t="s">
        <v>28</v>
      </c>
      <c r="C1" t="s">
        <v>185</v>
      </c>
      <c r="D1" t="s">
        <v>186</v>
      </c>
      <c r="E1" t="s">
        <v>187</v>
      </c>
      <c r="F1" t="s">
        <v>188</v>
      </c>
      <c r="G1" t="s">
        <v>175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</row>
    <row r="2" spans="1:12">
      <c r="A2" t="s">
        <v>70</v>
      </c>
      <c r="B2" t="s">
        <v>71</v>
      </c>
      <c r="C2" t="s">
        <v>195</v>
      </c>
      <c r="D2" t="s">
        <v>197</v>
      </c>
      <c r="E2">
        <v>500000000</v>
      </c>
      <c r="F2">
        <v>0</v>
      </c>
      <c r="G2">
        <v>0</v>
      </c>
      <c r="H2">
        <v>0</v>
      </c>
      <c r="I2">
        <v>0</v>
      </c>
      <c r="J2">
        <v>0</v>
      </c>
      <c r="K2" s="1">
        <v>46844</v>
      </c>
      <c r="L2" s="1">
        <v>47208</v>
      </c>
    </row>
    <row r="3" spans="1:12">
      <c r="A3" t="s">
        <v>131</v>
      </c>
      <c r="B3" t="s">
        <v>132</v>
      </c>
      <c r="C3" t="s">
        <v>195</v>
      </c>
      <c r="D3" t="s">
        <v>197</v>
      </c>
      <c r="E3">
        <v>100000000</v>
      </c>
      <c r="F3">
        <v>0</v>
      </c>
      <c r="G3">
        <v>0</v>
      </c>
      <c r="H3">
        <v>0</v>
      </c>
      <c r="I3">
        <v>0</v>
      </c>
      <c r="J3">
        <v>0</v>
      </c>
      <c r="K3" s="1">
        <v>46844</v>
      </c>
      <c r="L3" s="1">
        <v>47208</v>
      </c>
    </row>
  </sheetData>
  <pageMargins left="0.75" right="0.75" top="1" bottom="1" header="0.5" footer="0.5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workbookViewId="0">
      <selection activeCell="I2" sqref="I2:K11"/>
    </sheetView>
  </sheetViews>
  <sheetFormatPr defaultColWidth="9.14285714285714" defaultRowHeight="15"/>
  <cols>
    <col min="2" max="3" width="30.1428571428571" customWidth="1"/>
  </cols>
  <sheetData>
    <row r="1" spans="1:12">
      <c r="A1" t="s">
        <v>13</v>
      </c>
      <c r="B1" t="s">
        <v>28</v>
      </c>
      <c r="C1" t="s">
        <v>183</v>
      </c>
      <c r="D1" t="s">
        <v>184</v>
      </c>
      <c r="E1" t="s">
        <v>185</v>
      </c>
      <c r="F1" t="s">
        <v>186</v>
      </c>
      <c r="G1" t="s">
        <v>187</v>
      </c>
      <c r="H1" t="s">
        <v>188</v>
      </c>
      <c r="I1" t="s">
        <v>175</v>
      </c>
      <c r="J1" t="s">
        <v>30</v>
      </c>
      <c r="K1" t="s">
        <v>31</v>
      </c>
      <c r="L1" t="s">
        <v>32</v>
      </c>
    </row>
    <row r="2" spans="1:12">
      <c r="A2" t="s">
        <v>75</v>
      </c>
      <c r="B2" t="s">
        <v>76</v>
      </c>
      <c r="C2">
        <v>600000000</v>
      </c>
      <c r="D2">
        <v>0</v>
      </c>
      <c r="E2" t="s">
        <v>189</v>
      </c>
      <c r="I2">
        <v>9000000</v>
      </c>
      <c r="J2">
        <v>810000</v>
      </c>
      <c r="K2">
        <v>810000</v>
      </c>
      <c r="L2">
        <v>0</v>
      </c>
    </row>
    <row r="3" spans="1:12">
      <c r="A3" t="s">
        <v>80</v>
      </c>
      <c r="B3" t="s">
        <v>81</v>
      </c>
      <c r="C3">
        <v>500000000</v>
      </c>
      <c r="D3">
        <v>0</v>
      </c>
      <c r="E3" t="s">
        <v>189</v>
      </c>
      <c r="I3">
        <v>750000</v>
      </c>
      <c r="J3">
        <v>67500</v>
      </c>
      <c r="K3">
        <v>67500</v>
      </c>
      <c r="L3">
        <v>0</v>
      </c>
    </row>
    <row r="4" spans="1:12">
      <c r="A4" t="s">
        <v>85</v>
      </c>
      <c r="B4" t="s">
        <v>86</v>
      </c>
      <c r="C4">
        <v>200000000</v>
      </c>
      <c r="D4">
        <v>0</v>
      </c>
      <c r="E4" t="s">
        <v>189</v>
      </c>
      <c r="I4">
        <v>750000</v>
      </c>
      <c r="J4">
        <v>67500</v>
      </c>
      <c r="K4">
        <v>67500</v>
      </c>
      <c r="L4">
        <v>0</v>
      </c>
    </row>
    <row r="5" spans="1:12">
      <c r="A5" t="s">
        <v>106</v>
      </c>
      <c r="B5" t="s">
        <v>107</v>
      </c>
      <c r="C5">
        <v>180000000</v>
      </c>
      <c r="D5">
        <v>0</v>
      </c>
      <c r="E5" t="s">
        <v>189</v>
      </c>
      <c r="I5">
        <v>650000</v>
      </c>
      <c r="J5">
        <v>58500</v>
      </c>
      <c r="K5">
        <v>58500</v>
      </c>
      <c r="L5">
        <v>0</v>
      </c>
    </row>
    <row r="6" spans="1:12">
      <c r="A6" t="s">
        <v>111</v>
      </c>
      <c r="B6" t="s">
        <v>112</v>
      </c>
      <c r="C6">
        <v>20000000</v>
      </c>
      <c r="D6">
        <v>0</v>
      </c>
      <c r="E6" t="s">
        <v>189</v>
      </c>
      <c r="I6">
        <v>100000</v>
      </c>
      <c r="J6">
        <v>9000</v>
      </c>
      <c r="K6">
        <v>9000</v>
      </c>
      <c r="L6">
        <v>0</v>
      </c>
    </row>
    <row r="7" spans="1:12">
      <c r="A7" t="s">
        <v>136</v>
      </c>
      <c r="B7" t="s">
        <v>137</v>
      </c>
      <c r="C7">
        <v>600000000</v>
      </c>
      <c r="D7">
        <v>0</v>
      </c>
      <c r="E7" t="s">
        <v>189</v>
      </c>
      <c r="I7">
        <v>9000000</v>
      </c>
      <c r="J7">
        <v>810000</v>
      </c>
      <c r="K7">
        <v>810000</v>
      </c>
      <c r="L7">
        <v>0</v>
      </c>
    </row>
    <row r="8" spans="1:12">
      <c r="A8" t="s">
        <v>141</v>
      </c>
      <c r="B8" t="s">
        <v>142</v>
      </c>
      <c r="C8">
        <v>500000000</v>
      </c>
      <c r="D8">
        <v>0</v>
      </c>
      <c r="E8" t="s">
        <v>189</v>
      </c>
      <c r="I8">
        <v>750000</v>
      </c>
      <c r="J8">
        <v>67500</v>
      </c>
      <c r="K8">
        <v>67500</v>
      </c>
      <c r="L8">
        <v>0</v>
      </c>
    </row>
    <row r="9" spans="1:12">
      <c r="A9" t="s">
        <v>146</v>
      </c>
      <c r="B9" t="s">
        <v>147</v>
      </c>
      <c r="C9">
        <v>200000000</v>
      </c>
      <c r="D9">
        <v>0</v>
      </c>
      <c r="E9" t="s">
        <v>189</v>
      </c>
      <c r="I9">
        <v>750000</v>
      </c>
      <c r="J9">
        <v>67500</v>
      </c>
      <c r="K9">
        <v>67500</v>
      </c>
      <c r="L9">
        <v>0</v>
      </c>
    </row>
    <row r="10" spans="1:12">
      <c r="A10" t="s">
        <v>166</v>
      </c>
      <c r="B10" t="s">
        <v>167</v>
      </c>
      <c r="C10">
        <v>180000000</v>
      </c>
      <c r="D10">
        <v>0</v>
      </c>
      <c r="E10" t="s">
        <v>189</v>
      </c>
      <c r="I10">
        <v>650000</v>
      </c>
      <c r="J10">
        <v>58500</v>
      </c>
      <c r="K10">
        <v>58500</v>
      </c>
      <c r="L10">
        <v>0</v>
      </c>
    </row>
    <row r="11" spans="1:12">
      <c r="A11" t="s">
        <v>171</v>
      </c>
      <c r="B11" t="s">
        <v>172</v>
      </c>
      <c r="C11">
        <v>20000000</v>
      </c>
      <c r="D11">
        <v>0</v>
      </c>
      <c r="E11" t="s">
        <v>189</v>
      </c>
      <c r="I11">
        <v>100000</v>
      </c>
      <c r="J11">
        <v>9000</v>
      </c>
      <c r="K11">
        <v>9000</v>
      </c>
      <c r="L11">
        <v>0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New CG</vt:lpstr>
      <vt:lpstr>D1</vt:lpstr>
      <vt:lpstr>C1</vt:lpstr>
      <vt:lpstr>D2</vt:lpstr>
      <vt:lpstr>C2</vt:lpstr>
      <vt:lpstr>U1</vt:lpstr>
      <vt:lpstr>C3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somesh</cp:lastModifiedBy>
  <dcterms:created xsi:type="dcterms:W3CDTF">2026-09-22T08:35:00Z</dcterms:created>
  <dcterms:modified xsi:type="dcterms:W3CDTF">2026-10-07T12:16:34Z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E1C0112198D44E89BEBD59B65E29E652_12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