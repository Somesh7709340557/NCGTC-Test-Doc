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9600"/>
  </bookViews>
  <sheets>
    <sheet name="Sheet1" sheetId="2" r:id="rId1"/>
    <sheet name="Sheet2" sheetId="3" r:id="rId2"/>
    <sheet name="Sheet3" sheetId="4" r:id="rId3"/>
    <sheet name="Sheet3 (2)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<sst xmlns="http://schemas.openxmlformats.org/spreadsheetml/2006/main" count="641" uniqueCount="164">
  <si>
    <t>New CG</t>
  </si>
  <si>
    <t>UnitName</t>
  </si>
  <si>
    <t>EmailId</t>
  </si>
  <si>
    <t>MobileNo</t>
  </si>
  <si>
    <t>Constitution</t>
  </si>
  <si>
    <t>UnitPanNo</t>
  </si>
  <si>
    <t>UnitRegistrationNo</t>
  </si>
  <si>
    <t>CustomersId</t>
  </si>
  <si>
    <t>Gender</t>
  </si>
  <si>
    <t>AddressLine</t>
  </si>
  <si>
    <t>City</t>
  </si>
  <si>
    <t>District</t>
  </si>
  <si>
    <t>State</t>
  </si>
  <si>
    <t>PinCode</t>
  </si>
  <si>
    <t>LoanAccountNumber</t>
  </si>
  <si>
    <t>InterestRate</t>
  </si>
  <si>
    <t>SanctionedLoanAmount</t>
  </si>
  <si>
    <t>SanctionedLoanDate</t>
  </si>
  <si>
    <t>LoanTenure</t>
  </si>
  <si>
    <t>LoanMoratoriumPeriod</t>
  </si>
  <si>
    <t>MSMEType</t>
  </si>
  <si>
    <t>Religion</t>
  </si>
  <si>
    <t>CasteCategory</t>
  </si>
  <si>
    <t>NatureOfIndustry</t>
  </si>
  <si>
    <t>IndustrySector</t>
  </si>
  <si>
    <t>EntityType</t>
  </si>
  <si>
    <t>PartialCollateralSecurityAmount</t>
  </si>
  <si>
    <t>BorrowerType</t>
  </si>
  <si>
    <t>ProjectCost</t>
  </si>
  <si>
    <t>CGPAN</t>
  </si>
  <si>
    <t>CGMSMGEN2209202600357171</t>
  </si>
  <si>
    <t>CGST</t>
  </si>
  <si>
    <t>SGST</t>
  </si>
  <si>
    <t>IGST</t>
  </si>
  <si>
    <t>GuaranteeIssueStartDate</t>
  </si>
  <si>
    <t>GuaranteeIssueEndDate</t>
  </si>
  <si>
    <t>refund</t>
  </si>
  <si>
    <t>Total Refund</t>
  </si>
  <si>
    <t>KUMAR</t>
  </si>
  <si>
    <t>test1@gmail.com</t>
  </si>
  <si>
    <t>9876543203</t>
  </si>
  <si>
    <t>3</t>
  </si>
  <si>
    <t>CDLPS1612S</t>
  </si>
  <si>
    <t>UDYAM-QN-44-7123497</t>
  </si>
  <si>
    <t>CST12332FDS</t>
  </si>
  <si>
    <t>M</t>
  </si>
  <si>
    <t>test</t>
  </si>
  <si>
    <t>Test</t>
  </si>
  <si>
    <t>001</t>
  </si>
  <si>
    <t>01</t>
  </si>
  <si>
    <t>201009</t>
  </si>
  <si>
    <t>QWAM123</t>
  </si>
  <si>
    <t>48</t>
  </si>
  <si>
    <t>24</t>
  </si>
  <si>
    <t>1</t>
  </si>
  <si>
    <t>200000000</t>
  </si>
  <si>
    <t>CGMSMGEN2209202600357164</t>
  </si>
  <si>
    <t>9876543210</t>
  </si>
  <si>
    <t>5</t>
  </si>
  <si>
    <t>UDYAM-BQ-44-7123497</t>
  </si>
  <si>
    <t>CST12403F</t>
  </si>
  <si>
    <t>QWSM124</t>
  </si>
  <si>
    <t>CGMSMGEN2209202600357165</t>
  </si>
  <si>
    <t>ASTLYD</t>
  </si>
  <si>
    <t>9876543211</t>
  </si>
  <si>
    <t>UDYAM-BQ-44-7123574</t>
  </si>
  <si>
    <t>CST12413FSD</t>
  </si>
  <si>
    <t>QWMA125</t>
  </si>
  <si>
    <t>CGMSMGEN2209202600357166</t>
  </si>
  <si>
    <t>UDYAM-EN-44-7123511</t>
  </si>
  <si>
    <t>CST12413AE</t>
  </si>
  <si>
    <t>QWDM126</t>
  </si>
  <si>
    <t>CGMSMGEN2209202600357167</t>
  </si>
  <si>
    <t>UDYAM-EN-44-7123501</t>
  </si>
  <si>
    <t>SFD</t>
  </si>
  <si>
    <t>QWDM127</t>
  </si>
  <si>
    <t>CGMSMGEN2209202600357168</t>
  </si>
  <si>
    <t>UDYAM-EN-44-7123519</t>
  </si>
  <si>
    <t>QWDM128</t>
  </si>
  <si>
    <t>CGMSMGEN2209202600357169</t>
  </si>
  <si>
    <t>UDYAM-EN-44-7123512</t>
  </si>
  <si>
    <t>QWDM129</t>
  </si>
  <si>
    <t>CGMSMGEN2209202600357170</t>
  </si>
  <si>
    <t>UDYAM-EN-44-7123513</t>
  </si>
  <si>
    <t>QWDM130</t>
  </si>
  <si>
    <t>UDYAM-EN-44-7123514</t>
  </si>
  <si>
    <t>QWDM131</t>
  </si>
  <si>
    <t>CGMSMGEN2209202600357172</t>
  </si>
  <si>
    <t>UDYAM-EN-44-7123515</t>
  </si>
  <si>
    <t>QWDM132</t>
  </si>
  <si>
    <t>CGMSMGEN2209202600357173</t>
  </si>
  <si>
    <t>UDYAM-EN-44-7123516</t>
  </si>
  <si>
    <t>QWDM133</t>
  </si>
  <si>
    <t>CGMSMGEN2209202600357174</t>
  </si>
  <si>
    <t>UDYAM-EN-44-7123517</t>
  </si>
  <si>
    <t>QWDM134</t>
  </si>
  <si>
    <t>CGMSMGEN2209202600357175</t>
  </si>
  <si>
    <t>D1</t>
  </si>
  <si>
    <t>D2</t>
  </si>
  <si>
    <t>DisbursementAmount</t>
  </si>
  <si>
    <t>DisbursementDate</t>
  </si>
  <si>
    <t>CGFees</t>
  </si>
  <si>
    <t>15-09-2026</t>
  </si>
  <si>
    <t>100000000</t>
  </si>
  <si>
    <t>15-04-2027</t>
  </si>
  <si>
    <t>500000000</t>
  </si>
  <si>
    <t>300000000</t>
  </si>
  <si>
    <t>460000000</t>
  </si>
  <si>
    <t>40000000</t>
  </si>
  <si>
    <t>90000000</t>
  </si>
  <si>
    <t>10000000</t>
  </si>
  <si>
    <t>50000000</t>
  </si>
  <si>
    <t>80000000</t>
  </si>
  <si>
    <t>Continuity 1</t>
  </si>
  <si>
    <t>PrincipalOutstandingAmount</t>
  </si>
  <si>
    <t>InterestOutstandingAmount</t>
  </si>
  <si>
    <t>AccountType</t>
  </si>
  <si>
    <t>AccountTurnDate</t>
  </si>
  <si>
    <t>PrincipalOutstandingAmountAsOnNPADate</t>
  </si>
  <si>
    <t>InterestOutstandingAmountAsOnNPADate</t>
  </si>
  <si>
    <t>Standard</t>
  </si>
  <si>
    <t>Continuity 2</t>
  </si>
  <si>
    <t>NPA</t>
  </si>
  <si>
    <t>31-01-2028</t>
  </si>
  <si>
    <t>Update</t>
  </si>
  <si>
    <t>05-04-2028</t>
  </si>
  <si>
    <t>InitialContribution</t>
  </si>
  <si>
    <t>D1 CGFees</t>
  </si>
  <si>
    <t>C1 CGFees</t>
  </si>
  <si>
    <t>D2 CGFees</t>
  </si>
  <si>
    <t>C2 CGFees</t>
  </si>
  <si>
    <t>Sr. No.</t>
  </si>
  <si>
    <t>Observation by Darshan sir</t>
  </si>
  <si>
    <t>Observation from Our End</t>
  </si>
  <si>
    <t>Retesting Update</t>
  </si>
  <si>
    <r>
      <rPr>
        <sz val="11"/>
        <color rgb="FF000000"/>
        <rFont val="Calibri"/>
        <charset val="134"/>
      </rPr>
      <t xml:space="preserve">Total CG Fees Received in the Previous Year column </t>
    </r>
    <r>
      <rPr>
        <b/>
        <sz val="11"/>
        <color rgb="FF000000"/>
        <rFont val="Calibri"/>
        <charset val="134"/>
      </rPr>
      <t>should include CG Fee and Recovery, excluding Initial Contribution</t>
    </r>
    <r>
      <rPr>
        <sz val="11"/>
        <color rgb="FF000000"/>
        <rFont val="Calibri"/>
        <charset val="134"/>
      </rPr>
      <t>.</t>
    </r>
  </si>
  <si>
    <t>Not specified in the requirement/BRD.</t>
  </si>
  <si>
    <t>As checked with CGMSMGEN2209202600357171 CGfee in previous FY is showing as 491095.89 (excluding initial contribution)  ---&gt; Need to recheck this with peeyush sir</t>
  </si>
  <si>
    <t>Resolved</t>
  </si>
  <si>
    <t>Maximum Claim Limit for the current FY should be three times the CG Fee and Recovery, instead of twice.</t>
  </si>
  <si>
    <t>As per the BRD, it is mentioned as twice.</t>
  </si>
  <si>
    <t>If the OTS date is less than one year from the Legal Action Date, an error is displayed, but the system still allows claim submission.</t>
  </si>
  <si>
    <t>Needs to be fixed.</t>
  </si>
  <si>
    <t>Not showing error message on extact 1 end date 
31 Jan  2028 ---&gt; 30 jan 2029 ---&gt; Accepting 
https://prnt.sc/S3WpVp2wbI-i</t>
  </si>
  <si>
    <t>For recovery through OTS, the NCGTC and MLI portions should be 60% and 40%, respectively, for General MSME, and 75% and 25%, respectively, for Exporter MSME.</t>
  </si>
  <si>
    <t>As per the BRD, 40% is mentioned, without specifying the MSME type.</t>
  </si>
  <si>
    <t>For MSME 2 -- it is still showing 60% - 40%</t>
  </si>
  <si>
    <t>Eligible claim (Guarantee Cover) for Exporter MSME should be 75% of AID. Currently, 60% of AID is being calculated.</t>
  </si>
  <si>
    <t>As per the BRD, the percentage is mentioned as 60%.</t>
  </si>
  <si>
    <t>Pending</t>
  </si>
  <si>
    <t>At the NCGTC Maker end, when the Recovery Through OTS amount is changed, all corresponding amounts remain unchanged.</t>
  </si>
  <si>
    <t>Amounts are updating. Further discussion with Darshan Sir is required for better understanding.</t>
  </si>
  <si>
    <t>Need discussion with darshan sir</t>
  </si>
  <si>
    <t>The Amount Available for Payment Against Current Claim column should be used for generating the Payment Advice Number, UTR updates, and Accountant/Main Accountant reconciliation.</t>
  </si>
  <si>
    <t>UTR-related functionality is unclear. However, the mentioned column is currently being used to generate the Payment Advice Number.</t>
  </si>
  <si>
    <t>The Generate UTR Updates section does not have an MSME scheme dropdown.</t>
  </si>
  <si>
    <t>As per the current flow, UTR generation is not applicable for MSME; a Payment Advice Number needs to be generated instead.</t>
  </si>
  <si>
    <t>Other</t>
  </si>
  <si>
    <t>Principal Outstanding On NPA Date  showing amount of PrincipalOutstandingAmount</t>
  </si>
  <si>
    <t>https://prnt.sc/tCYdrsxOdtws
https://prnt.sc/8Ek7kjfUMRvb</t>
  </si>
  <si>
    <t>Status</t>
  </si>
  <si>
    <t>Implemented changes</t>
  </si>
  <si>
    <t>Fixed</t>
  </si>
  <si>
    <t>Need discussion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</si>
</sst>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[$-409]d/mmm/yyyy;@"/>
  </numFmts>
  <fonts count="24"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b/>
      <sz val="11"/>
      <color theme="0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000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Border="0" applyAlignment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6">
    <xf numFmtId="0" fontId="0" fillId="0" borderId="0" xfId="0" applyFill="1" applyProtection="1"/>
    <xf numFmtId="0" fontId="0" fillId="2" borderId="1" xfId="0" applyFill="1" applyBorder="1" applyAlignment="1" applyProtection="1">
      <alignment horizontal="center" vertical="center" wrapText="1"/>
    </xf>
    <xf numFmtId="0" fontId="0" fillId="2" borderId="0" xfId="0" applyFill="1" applyAlignment="1" applyProtection="1">
      <alignment horizontal="center"/>
    </xf>
    <xf numFmtId="0" fontId="0" fillId="0" borderId="1" xfId="0" applyFill="1" applyBorder="1" applyAlignment="1" applyProtection="1">
      <alignment horizontal="center" vertical="center" wrapText="1"/>
    </xf>
    <xf numFmtId="0" fontId="0" fillId="0" borderId="1" xfId="0" applyFont="1" applyFill="1" applyBorder="1" applyAlignment="1" applyProtection="1">
      <alignment vertical="center" wrapText="1"/>
    </xf>
    <xf numFmtId="0" fontId="0" fillId="0" borderId="1" xfId="0" applyFill="1" applyBorder="1" applyAlignment="1" applyProtection="1">
      <alignment vertical="center" wrapText="1"/>
    </xf>
    <xf numFmtId="0" fontId="0" fillId="3" borderId="1" xfId="0" applyFill="1" applyBorder="1" applyAlignment="1" applyProtection="1">
      <alignment vertical="center" wrapText="1"/>
    </xf>
    <xf numFmtId="0" fontId="0" fillId="0" borderId="0" xfId="0" applyFill="1" applyAlignment="1" applyProtection="1">
      <alignment wrapText="1"/>
    </xf>
    <xf numFmtId="0" fontId="1" fillId="0" borderId="0" xfId="6" applyFill="1" applyAlignment="1" applyProtection="1">
      <alignment wrapText="1"/>
    </xf>
    <xf numFmtId="0" fontId="2" fillId="4" borderId="2" xfId="0" applyFont="1" applyFill="1" applyBorder="1"/>
    <xf numFmtId="0" fontId="3" fillId="0" borderId="3" xfId="0" applyFont="1" applyBorder="1"/>
    <xf numFmtId="180" fontId="0" fillId="3" borderId="0" xfId="0" applyNumberFormat="1" applyFill="1" applyAlignment="1" applyProtection="1">
      <alignment horizontal="center"/>
    </xf>
    <xf numFmtId="0" fontId="0" fillId="3" borderId="0" xfId="0" applyFill="1" applyAlignment="1" applyProtection="1">
      <alignment horizontal="center"/>
    </xf>
    <xf numFmtId="180" fontId="0" fillId="0" borderId="0" xfId="0" applyNumberFormat="1" applyFill="1" applyProtection="1"/>
    <xf numFmtId="0" fontId="0" fillId="0" borderId="0" xfId="0" applyNumberFormat="1" applyFill="1" applyProtection="1"/>
    <xf numFmtId="181" fontId="0" fillId="0" borderId="0" xfId="0" applyNumberFormat="1" applyFill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10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numFmt numFmtId="0" formatCode="General"/>
    </dxf>
    <dxf>
      <numFmt numFmtId="0" formatCode="General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9"/>
      <tableStyleElement type="headerRow" dxfId="98"/>
      <tableStyleElement type="totalRow" dxfId="97"/>
      <tableStyleElement type="firstColumn" dxfId="96"/>
      <tableStyleElement type="lastColumn" dxfId="95"/>
      <tableStyleElement type="firstRowStripe" dxfId="94"/>
      <tableStyleElement type="firstColumnStripe" dxfId="93"/>
    </tableStyle>
    <tableStyle name="PivotStylePreset2_Accent1" table="0" count="10" xr9:uid="{267968C8-6FFD-4C36-ACC1-9EA1FD1885CA}">
      <tableStyleElement type="headerRow" dxfId="109"/>
      <tableStyleElement type="totalRow" dxfId="108"/>
      <tableStyleElement type="firstRowStripe" dxfId="107"/>
      <tableStyleElement type="firstColumnStripe" dxfId="106"/>
      <tableStyleElement type="firstSubtotalRow" dxfId="105"/>
      <tableStyleElement type="secondSubtotalRow" dxfId="104"/>
      <tableStyleElement type="firstRowSubheading" dxfId="103"/>
      <tableStyleElement type="secondRowSubheading" dxfId="102"/>
      <tableStyleElement type="pageFieldLabels" dxfId="101"/>
      <tableStyleElement type="pageFieldValues" dxfId="10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2:AK14" totalsRowShown="0">
  <autoFilter xmlns:etc="http://www.wps.cn/officeDocument/2017/etCustomData" ref="A2:AK14" etc:filterBottomFollowUsedRange="0"/>
  <tableColumns count="37">
    <tableColumn id="1" name="UnitName" dataDxfId="0"/>
    <tableColumn id="2" name="EmailId" dataDxfId="1"/>
    <tableColumn id="3" name="MobileNo" dataDxfId="2"/>
    <tableColumn id="4" name="Constitution" dataDxfId="3"/>
    <tableColumn id="5" name="UnitPanNo" dataDxfId="4"/>
    <tableColumn id="6" name="UnitRegistrationNo" dataDxfId="5"/>
    <tableColumn id="7" name="CustomersId" dataDxfId="6"/>
    <tableColumn id="8" name="Gender" dataDxfId="7"/>
    <tableColumn id="9" name="AddressLine" dataDxfId="8"/>
    <tableColumn id="10" name="City" dataDxfId="9"/>
    <tableColumn id="11" name="District" dataDxfId="10"/>
    <tableColumn id="12" name="State" dataDxfId="11"/>
    <tableColumn id="13" name="PinCode" dataDxfId="12"/>
    <tableColumn id="14" name="LoanAccountNumber" dataDxfId="13"/>
    <tableColumn id="15" name="InterestRate" dataDxfId="14"/>
    <tableColumn id="16" name="SanctionedLoanAmount" dataDxfId="15"/>
    <tableColumn id="17" name="SanctionedLoanDate" dataDxfId="16"/>
    <tableColumn id="18" name="LoanTenure" dataDxfId="17"/>
    <tableColumn id="19" name="LoanMoratoriumPeriod" dataDxfId="18"/>
    <tableColumn id="20" name="MSMEType" dataDxfId="19"/>
    <tableColumn id="21" name="Religion" dataDxfId="20"/>
    <tableColumn id="22" name="CasteCategory" dataDxfId="21"/>
    <tableColumn id="23" name="NatureOfIndustry" dataDxfId="22"/>
    <tableColumn id="24" name="IndustrySector" dataDxfId="23"/>
    <tableColumn id="25" name="EntityType" dataDxfId="24"/>
    <tableColumn id="26" name="PartialCollateralSecurityAmount" dataDxfId="25"/>
    <tableColumn id="27" name="BorrowerType" dataDxfId="26"/>
    <tableColumn id="28" name="ProjectCost" dataDxfId="27"/>
    <tableColumn id="29" name="CGPAN" dataDxfId="28"/>
    <tableColumn id="30" name="CGMSMGEN2209202600357171" dataDxfId="29"/>
    <tableColumn id="31" name="CGST" dataDxfId="30"/>
    <tableColumn id="32" name="SGST" dataDxfId="31"/>
    <tableColumn id="33" name="IGST" dataDxfId="32"/>
    <tableColumn id="34" name="GuaranteeIssueStartDate" dataDxfId="33"/>
    <tableColumn id="35" name="GuaranteeIssueEndDate" dataDxfId="34"/>
    <tableColumn id="36" name="refund" dataDxfId="35">
      <calculatedColumnFormula>1%*AD3</calculatedColumnFormula>
    </tableColumn>
    <tableColumn id="37" name="Total Refund" dataDxfId="36">
      <calculatedColumnFormula>IF(T3=1,5%*AD3,2%*AD3)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1_3" displayName="Table1_3" ref="A18:H30" totalsRowShown="0">
  <autoFilter xmlns:etc="http://www.wps.cn/officeDocument/2017/etCustomData" ref="A18:H30" etc:filterBottomFollowUsedRange="0"/>
  <tableColumns count="8">
    <tableColumn id="1" name="CGPAN" dataDxfId="37"/>
    <tableColumn id="2" name="LoanAccountNumber" dataDxfId="38"/>
    <tableColumn id="3" name="DisbursementAmount" dataDxfId="39"/>
    <tableColumn id="4" name="DisbursementDate" dataDxfId="40"/>
    <tableColumn id="5" name="CGFees" dataDxfId="41"/>
    <tableColumn id="6" name="IGST" dataDxfId="42"/>
    <tableColumn id="7" name="CGST" dataDxfId="43"/>
    <tableColumn id="8" name="SGST" dataDxfId="4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1_4" displayName="Table1_4" ref="A34:N46" totalsRowShown="0">
  <autoFilter xmlns:etc="http://www.wps.cn/officeDocument/2017/etCustomData" ref="A34:N46" etc:filterBottomFollowUsedRange="0"/>
  <tableColumns count="14">
    <tableColumn id="1" name="LoanAccountNumber" dataDxfId="45"/>
    <tableColumn id="2" name="CGPAN" dataDxfId="46"/>
    <tableColumn id="3" name="PrincipalOutstandingAmount" dataDxfId="47"/>
    <tableColumn id="4" name="InterestOutstandingAmount" dataDxfId="48"/>
    <tableColumn id="5" name="AccountType" dataDxfId="49"/>
    <tableColumn id="6" name="AccountTurnDate" dataDxfId="50"/>
    <tableColumn id="7" name="PrincipalOutstandingAmountAsOnNPADate" dataDxfId="51"/>
    <tableColumn id="8" name="InterestOutstandingAmountAsOnNPADate" dataDxfId="52"/>
    <tableColumn id="9" name="CGFees" dataDxfId="53"/>
    <tableColumn id="10" name="CGST" dataDxfId="54"/>
    <tableColumn id="11" name="SGST" dataDxfId="55"/>
    <tableColumn id="12" name="IGST" dataDxfId="56"/>
    <tableColumn id="13" name="GuaranteeIssueStartDate" dataDxfId="57"/>
    <tableColumn id="14" name="GuaranteeIssueEndDate" dataDxfId="58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1_5" displayName="Table1_5" ref="J18:Q30" totalsRowShown="0">
  <autoFilter xmlns:etc="http://www.wps.cn/officeDocument/2017/etCustomData" ref="J18:Q30" etc:filterBottomFollowUsedRange="0"/>
  <tableColumns count="8">
    <tableColumn id="1" name="CGPAN" dataDxfId="59"/>
    <tableColumn id="2" name="LoanAccountNumber" dataDxfId="60"/>
    <tableColumn id="3" name="DisbursementAmount" dataDxfId="61"/>
    <tableColumn id="4" name="DisbursementDate" dataDxfId="62"/>
    <tableColumn id="5" name="CGFees" dataDxfId="63"/>
    <tableColumn id="6" name="IGST" dataDxfId="64"/>
    <tableColumn id="7" name="CGST" dataDxfId="65"/>
    <tableColumn id="8" name="SGST" dataDxfId="66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1_6" displayName="Table1_6" ref="A50:N62" totalsRowShown="0">
  <autoFilter xmlns:etc="http://www.wps.cn/officeDocument/2017/etCustomData" ref="A50:N62" etc:filterBottomFollowUsedRange="0"/>
  <tableColumns count="14">
    <tableColumn id="1" name="LoanAccountNumber" dataDxfId="67"/>
    <tableColumn id="2" name="CGPAN" dataDxfId="68"/>
    <tableColumn id="3" name="PrincipalOutstandingAmount" dataDxfId="69"/>
    <tableColumn id="4" name="InterestOutstandingAmount" dataDxfId="70"/>
    <tableColumn id="5" name="AccountType" dataDxfId="71"/>
    <tableColumn id="6" name="AccountTurnDate" dataDxfId="72"/>
    <tableColumn id="7" name="PrincipalOutstandingAmountAsOnNPADate" dataDxfId="73"/>
    <tableColumn id="8" name="InterestOutstandingAmountAsOnNPADate" dataDxfId="74"/>
    <tableColumn id="9" name="CGFees" dataDxfId="75"/>
    <tableColumn id="10" name="CGST" dataDxfId="76"/>
    <tableColumn id="11" name="SGST" dataDxfId="77"/>
    <tableColumn id="12" name="IGST" dataDxfId="78"/>
    <tableColumn id="13" name="GuaranteeIssueStartDate" dataDxfId="79"/>
    <tableColumn id="14" name="GuaranteeIssueEndDate" dataDxfId="80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1_7" displayName="Table1_7" ref="A66:L68" totalsRowShown="0">
  <autoFilter xmlns:etc="http://www.wps.cn/officeDocument/2017/etCustomData" ref="A66:L68" etc:filterBottomFollowUsedRange="0"/>
  <tableColumns count="12">
    <tableColumn id="1" name="LoanAccountNumber" dataDxfId="81"/>
    <tableColumn id="2" name="CGPAN" dataDxfId="82"/>
    <tableColumn id="3" name="AccountType" dataDxfId="83"/>
    <tableColumn id="4" name="AccountTurnDate" dataDxfId="84"/>
    <tableColumn id="5" name="PrincipalOutstandingAmountAsOnNPADate" dataDxfId="85"/>
    <tableColumn id="6" name="InterestOutstandingAmountAsOnNPADate" dataDxfId="86"/>
    <tableColumn id="7" name="CGFees" dataDxfId="87"/>
    <tableColumn id="8" name="CGST" dataDxfId="88"/>
    <tableColumn id="9" name="SGST" dataDxfId="89"/>
    <tableColumn id="10" name="IGST" dataDxfId="90"/>
    <tableColumn id="11" name="GuaranteeIssueStartDate" dataDxfId="91"/>
    <tableColumn id="12" name="GuaranteeIssueEndDate" dataDxfId="9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prnt.sc/tCYdrsxOdt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8"/>
  <sheetViews>
    <sheetView tabSelected="1" workbookViewId="0">
      <selection activeCell="D11" sqref="D11"/>
    </sheetView>
  </sheetViews>
  <sheetFormatPr defaultColWidth="9" defaultRowHeight="15"/>
  <cols>
    <col min="1" max="1" width="13.8571428571429" customWidth="1"/>
    <col min="2" max="2" width="32.7142857142857" customWidth="1"/>
    <col min="3" max="3" width="21.8571428571429" customWidth="1"/>
    <col min="4" max="4" width="19.1428571428571" customWidth="1"/>
    <col min="5" max="5" width="12.552380952381" customWidth="1"/>
    <col min="6" max="6" width="23.4095238095238" customWidth="1"/>
    <col min="7" max="7" width="14.1333333333333" customWidth="1"/>
    <col min="8" max="8" width="9.55238095238095" customWidth="1"/>
    <col min="9" max="9" width="13.8380952380952" customWidth="1"/>
    <col min="10" max="10" width="13.2857142857143" customWidth="1"/>
    <col min="11" max="11" width="10.1428571428571" customWidth="1"/>
    <col min="12" max="12" width="14" customWidth="1"/>
    <col min="13" max="13" width="10.4095238095238" customWidth="1"/>
    <col min="14" max="14" width="21.552380952381" customWidth="1"/>
    <col min="15" max="15" width="13.9809523809524" customWidth="1"/>
    <col min="16" max="16" width="23.9809523809524" customWidth="1"/>
    <col min="17" max="17" width="20.9809523809524" customWidth="1"/>
    <col min="18" max="18" width="13.2666666666667" customWidth="1"/>
    <col min="19" max="19" width="23.552380952381" customWidth="1"/>
    <col min="20" max="20" width="12.552380952381" customWidth="1"/>
    <col min="21" max="21" width="10.2666666666667" customWidth="1"/>
    <col min="22" max="22" width="15.7047619047619" customWidth="1"/>
    <col min="23" max="23" width="18.552380952381" customWidth="1"/>
    <col min="24" max="24" width="15.8380952380952" customWidth="1"/>
    <col min="25" max="25" width="12.1333333333333" customWidth="1"/>
    <col min="26" max="26" width="31.4095238095238" customWidth="1"/>
    <col min="27" max="27" width="15.4095238095238" customWidth="1"/>
    <col min="28" max="28" width="13.1333333333333" customWidth="1"/>
    <col min="29" max="29" width="29.552380952381" customWidth="1"/>
    <col min="30" max="30" width="19.1333333333333" customWidth="1"/>
    <col min="31" max="31" width="7.40952380952381" customWidth="1"/>
    <col min="32" max="32" width="7.26666666666667" customWidth="1"/>
    <col min="33" max="33" width="6.83809523809524" customWidth="1"/>
    <col min="34" max="34" width="25.1333333333333" customWidth="1"/>
    <col min="35" max="35" width="24.2666666666667" customWidth="1"/>
    <col min="37" max="37" width="12" customWidth="1"/>
  </cols>
  <sheetData>
    <row r="1" spans="1:37">
      <c r="A1" s="11">
        <v>46287</v>
      </c>
      <c r="B1" s="12" t="s">
        <v>0</v>
      </c>
      <c r="C1" s="12">
        <v>1</v>
      </c>
    </row>
    <row r="2" spans="1:3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</row>
    <row r="3" spans="1:37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>
        <v>3</v>
      </c>
      <c r="P3">
        <v>300000000</v>
      </c>
      <c r="Q3" s="13">
        <v>46199</v>
      </c>
      <c r="R3" t="s">
        <v>52</v>
      </c>
      <c r="S3" t="s">
        <v>53</v>
      </c>
      <c r="T3">
        <v>1</v>
      </c>
      <c r="U3" t="s">
        <v>54</v>
      </c>
      <c r="V3" t="s">
        <v>54</v>
      </c>
      <c r="W3" t="s">
        <v>54</v>
      </c>
      <c r="X3" t="s">
        <v>54</v>
      </c>
      <c r="Y3" t="s">
        <v>54</v>
      </c>
      <c r="Z3">
        <v>50000000</v>
      </c>
      <c r="AA3" t="s">
        <v>54</v>
      </c>
      <c r="AB3" t="s">
        <v>55</v>
      </c>
      <c r="AC3" t="s">
        <v>56</v>
      </c>
      <c r="AD3">
        <v>12500000</v>
      </c>
      <c r="AE3">
        <v>0</v>
      </c>
      <c r="AF3">
        <v>0</v>
      </c>
      <c r="AG3">
        <v>0</v>
      </c>
      <c r="AH3" s="13">
        <v>46287</v>
      </c>
      <c r="AI3" s="13">
        <v>46477</v>
      </c>
      <c r="AJ3" s="14">
        <f t="shared" ref="AJ3:AJ14" si="0">1%*AD3</f>
        <v>125000</v>
      </c>
      <c r="AK3" s="14">
        <f t="shared" ref="AK3:AK14" si="1">IF(T3=1,5%*AD3,2%*AD3)</f>
        <v>625000</v>
      </c>
    </row>
    <row r="4" spans="1:37">
      <c r="A4" t="s">
        <v>38</v>
      </c>
      <c r="B4" t="s">
        <v>39</v>
      </c>
      <c r="C4" t="s">
        <v>57</v>
      </c>
      <c r="D4" t="s">
        <v>58</v>
      </c>
      <c r="E4" t="s">
        <v>42</v>
      </c>
      <c r="F4" t="s">
        <v>59</v>
      </c>
      <c r="G4" t="s">
        <v>60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61</v>
      </c>
      <c r="O4">
        <v>10</v>
      </c>
      <c r="P4">
        <v>1000000000</v>
      </c>
      <c r="Q4" s="13">
        <v>46199</v>
      </c>
      <c r="R4" t="s">
        <v>52</v>
      </c>
      <c r="S4" t="s">
        <v>53</v>
      </c>
      <c r="T4">
        <v>1</v>
      </c>
      <c r="U4" t="s">
        <v>54</v>
      </c>
      <c r="V4" t="s">
        <v>54</v>
      </c>
      <c r="W4" t="s">
        <v>54</v>
      </c>
      <c r="X4" t="s">
        <v>54</v>
      </c>
      <c r="Y4" t="s">
        <v>54</v>
      </c>
      <c r="Z4">
        <v>450000000</v>
      </c>
      <c r="AA4" t="s">
        <v>41</v>
      </c>
      <c r="AB4" t="s">
        <v>55</v>
      </c>
      <c r="AC4" t="s">
        <v>62</v>
      </c>
      <c r="AD4">
        <v>27500000</v>
      </c>
      <c r="AE4">
        <v>0</v>
      </c>
      <c r="AF4">
        <v>0</v>
      </c>
      <c r="AG4">
        <v>0</v>
      </c>
      <c r="AH4" s="13">
        <v>46287</v>
      </c>
      <c r="AI4" s="13">
        <v>46477</v>
      </c>
      <c r="AJ4" s="14">
        <f t="shared" si="0"/>
        <v>275000</v>
      </c>
      <c r="AK4" s="14">
        <f t="shared" si="1"/>
        <v>1375000</v>
      </c>
    </row>
    <row r="5" spans="1:37">
      <c r="A5" t="s">
        <v>63</v>
      </c>
      <c r="B5" t="s">
        <v>39</v>
      </c>
      <c r="C5" t="s">
        <v>64</v>
      </c>
      <c r="D5" t="s">
        <v>54</v>
      </c>
      <c r="E5" t="s">
        <v>42</v>
      </c>
      <c r="F5" t="s">
        <v>65</v>
      </c>
      <c r="G5" t="s">
        <v>66</v>
      </c>
      <c r="H5" t="s">
        <v>45</v>
      </c>
      <c r="I5" t="s">
        <v>46</v>
      </c>
      <c r="J5" t="s">
        <v>47</v>
      </c>
      <c r="K5" t="s">
        <v>48</v>
      </c>
      <c r="L5" t="s">
        <v>49</v>
      </c>
      <c r="M5" t="s">
        <v>50</v>
      </c>
      <c r="N5" t="s">
        <v>67</v>
      </c>
      <c r="O5">
        <v>11</v>
      </c>
      <c r="P5">
        <v>500000000</v>
      </c>
      <c r="Q5" s="13">
        <v>46199</v>
      </c>
      <c r="R5" t="s">
        <v>52</v>
      </c>
      <c r="S5" t="s">
        <v>53</v>
      </c>
      <c r="T5">
        <v>1</v>
      </c>
      <c r="U5" t="s">
        <v>54</v>
      </c>
      <c r="V5" t="s">
        <v>54</v>
      </c>
      <c r="W5" t="s">
        <v>54</v>
      </c>
      <c r="X5" t="s">
        <v>54</v>
      </c>
      <c r="Y5" t="s">
        <v>54</v>
      </c>
      <c r="Z5">
        <v>150000000</v>
      </c>
      <c r="AA5" t="s">
        <v>54</v>
      </c>
      <c r="AB5" t="s">
        <v>55</v>
      </c>
      <c r="AC5" t="s">
        <v>68</v>
      </c>
      <c r="AD5">
        <v>17500000</v>
      </c>
      <c r="AE5">
        <v>0</v>
      </c>
      <c r="AF5">
        <v>0</v>
      </c>
      <c r="AG5">
        <v>0</v>
      </c>
      <c r="AH5" s="13">
        <v>46287</v>
      </c>
      <c r="AI5" s="13">
        <v>46477</v>
      </c>
      <c r="AJ5" s="14">
        <f t="shared" si="0"/>
        <v>175000</v>
      </c>
      <c r="AK5" s="14">
        <f t="shared" si="1"/>
        <v>875000</v>
      </c>
    </row>
    <row r="6" spans="1:37">
      <c r="A6" t="s">
        <v>63</v>
      </c>
      <c r="B6" t="s">
        <v>39</v>
      </c>
      <c r="C6" t="s">
        <v>64</v>
      </c>
      <c r="D6" t="s">
        <v>54</v>
      </c>
      <c r="E6" t="s">
        <v>42</v>
      </c>
      <c r="F6" t="s">
        <v>69</v>
      </c>
      <c r="G6" t="s">
        <v>70</v>
      </c>
      <c r="H6" t="s">
        <v>45</v>
      </c>
      <c r="I6" t="s">
        <v>46</v>
      </c>
      <c r="J6" t="s">
        <v>47</v>
      </c>
      <c r="K6" t="s">
        <v>48</v>
      </c>
      <c r="L6" t="s">
        <v>49</v>
      </c>
      <c r="M6" t="s">
        <v>50</v>
      </c>
      <c r="N6" t="s">
        <v>71</v>
      </c>
      <c r="O6">
        <v>11</v>
      </c>
      <c r="P6">
        <v>500000000</v>
      </c>
      <c r="Q6" s="13">
        <v>46199</v>
      </c>
      <c r="R6" t="s">
        <v>52</v>
      </c>
      <c r="S6" t="s">
        <v>53</v>
      </c>
      <c r="T6">
        <v>1</v>
      </c>
      <c r="U6" t="s">
        <v>54</v>
      </c>
      <c r="V6" t="s">
        <v>54</v>
      </c>
      <c r="W6" t="s">
        <v>54</v>
      </c>
      <c r="X6" t="s">
        <v>54</v>
      </c>
      <c r="Y6" t="s">
        <v>54</v>
      </c>
      <c r="Z6">
        <v>450000000</v>
      </c>
      <c r="AA6" t="s">
        <v>41</v>
      </c>
      <c r="AB6" t="s">
        <v>55</v>
      </c>
      <c r="AC6" t="s">
        <v>72</v>
      </c>
      <c r="AD6">
        <v>2500000</v>
      </c>
      <c r="AE6">
        <v>0</v>
      </c>
      <c r="AF6">
        <v>0</v>
      </c>
      <c r="AG6">
        <v>0</v>
      </c>
      <c r="AH6" s="13">
        <v>46287</v>
      </c>
      <c r="AI6" s="13">
        <v>46477</v>
      </c>
      <c r="AJ6" s="14">
        <f t="shared" si="0"/>
        <v>25000</v>
      </c>
      <c r="AK6" s="14">
        <f t="shared" si="1"/>
        <v>125000</v>
      </c>
    </row>
    <row r="7" spans="1:37">
      <c r="A7" t="s">
        <v>63</v>
      </c>
      <c r="B7" t="s">
        <v>39</v>
      </c>
      <c r="C7" t="s">
        <v>64</v>
      </c>
      <c r="D7" t="s">
        <v>54</v>
      </c>
      <c r="E7" t="s">
        <v>42</v>
      </c>
      <c r="F7" t="s">
        <v>73</v>
      </c>
      <c r="G7" t="s">
        <v>74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s">
        <v>75</v>
      </c>
      <c r="O7">
        <v>11</v>
      </c>
      <c r="P7">
        <v>600000000</v>
      </c>
      <c r="Q7" s="13">
        <v>46199</v>
      </c>
      <c r="R7" t="s">
        <v>52</v>
      </c>
      <c r="S7" t="s">
        <v>53</v>
      </c>
      <c r="T7">
        <v>1</v>
      </c>
      <c r="U7" t="s">
        <v>54</v>
      </c>
      <c r="V7" t="s">
        <v>54</v>
      </c>
      <c r="W7" t="s">
        <v>54</v>
      </c>
      <c r="X7" t="s">
        <v>54</v>
      </c>
      <c r="Y7" t="s">
        <v>54</v>
      </c>
      <c r="Z7">
        <v>0</v>
      </c>
      <c r="AA7" t="s">
        <v>54</v>
      </c>
      <c r="AB7" t="s">
        <v>55</v>
      </c>
      <c r="AC7" t="s">
        <v>76</v>
      </c>
      <c r="AD7">
        <v>30000000</v>
      </c>
      <c r="AE7">
        <v>0</v>
      </c>
      <c r="AF7">
        <v>0</v>
      </c>
      <c r="AG7">
        <v>0</v>
      </c>
      <c r="AH7" s="13">
        <v>46287</v>
      </c>
      <c r="AI7" s="13">
        <v>46477</v>
      </c>
      <c r="AJ7" s="14">
        <f t="shared" si="0"/>
        <v>300000</v>
      </c>
      <c r="AK7" s="14">
        <f t="shared" si="1"/>
        <v>1500000</v>
      </c>
    </row>
    <row r="8" spans="1:37">
      <c r="A8" t="s">
        <v>63</v>
      </c>
      <c r="B8" t="s">
        <v>39</v>
      </c>
      <c r="C8" t="s">
        <v>64</v>
      </c>
      <c r="D8" t="s">
        <v>54</v>
      </c>
      <c r="E8" t="s">
        <v>42</v>
      </c>
      <c r="F8" t="s">
        <v>77</v>
      </c>
      <c r="G8" t="s">
        <v>70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78</v>
      </c>
      <c r="O8">
        <v>11</v>
      </c>
      <c r="P8">
        <v>500000000</v>
      </c>
      <c r="Q8" s="13">
        <v>46199</v>
      </c>
      <c r="R8" t="s">
        <v>52</v>
      </c>
      <c r="S8" t="s">
        <v>53</v>
      </c>
      <c r="T8">
        <v>1</v>
      </c>
      <c r="U8" t="s">
        <v>54</v>
      </c>
      <c r="V8" t="s">
        <v>54</v>
      </c>
      <c r="W8" t="s">
        <v>54</v>
      </c>
      <c r="X8" t="s">
        <v>54</v>
      </c>
      <c r="Y8" t="s">
        <v>54</v>
      </c>
      <c r="Z8">
        <v>450000000</v>
      </c>
      <c r="AA8" t="s">
        <v>41</v>
      </c>
      <c r="AB8" t="s">
        <v>55</v>
      </c>
      <c r="AC8" t="s">
        <v>79</v>
      </c>
      <c r="AD8">
        <v>2500000</v>
      </c>
      <c r="AE8">
        <v>0</v>
      </c>
      <c r="AF8">
        <v>0</v>
      </c>
      <c r="AG8">
        <v>0</v>
      </c>
      <c r="AH8" s="13">
        <v>46287</v>
      </c>
      <c r="AI8" s="13">
        <v>46477</v>
      </c>
      <c r="AJ8" s="14">
        <f t="shared" si="0"/>
        <v>25000</v>
      </c>
      <c r="AK8" s="14">
        <f t="shared" si="1"/>
        <v>125000</v>
      </c>
    </row>
    <row r="9" spans="1:37">
      <c r="A9" t="s">
        <v>63</v>
      </c>
      <c r="B9" t="s">
        <v>39</v>
      </c>
      <c r="C9" t="s">
        <v>64</v>
      </c>
      <c r="D9" t="s">
        <v>54</v>
      </c>
      <c r="E9" t="s">
        <v>42</v>
      </c>
      <c r="F9" t="s">
        <v>80</v>
      </c>
      <c r="G9" t="s">
        <v>70</v>
      </c>
      <c r="H9" t="s">
        <v>45</v>
      </c>
      <c r="I9" t="s">
        <v>46</v>
      </c>
      <c r="J9" t="s">
        <v>47</v>
      </c>
      <c r="K9" t="s">
        <v>48</v>
      </c>
      <c r="L9" t="s">
        <v>49</v>
      </c>
      <c r="M9" t="s">
        <v>50</v>
      </c>
      <c r="N9" t="s">
        <v>81</v>
      </c>
      <c r="O9">
        <v>11</v>
      </c>
      <c r="P9">
        <v>200000000</v>
      </c>
      <c r="Q9" s="13">
        <v>46199</v>
      </c>
      <c r="R9" t="s">
        <v>52</v>
      </c>
      <c r="S9" t="s">
        <v>53</v>
      </c>
      <c r="T9">
        <v>2</v>
      </c>
      <c r="U9" t="s">
        <v>54</v>
      </c>
      <c r="V9" t="s">
        <v>54</v>
      </c>
      <c r="W9" t="s">
        <v>54</v>
      </c>
      <c r="X9" t="s">
        <v>54</v>
      </c>
      <c r="Y9" t="s">
        <v>54</v>
      </c>
      <c r="Z9">
        <v>50000000</v>
      </c>
      <c r="AA9" t="s">
        <v>54</v>
      </c>
      <c r="AB9" t="s">
        <v>55</v>
      </c>
      <c r="AC9" t="s">
        <v>82</v>
      </c>
      <c r="AD9">
        <v>3000000</v>
      </c>
      <c r="AE9">
        <v>0</v>
      </c>
      <c r="AF9">
        <v>0</v>
      </c>
      <c r="AG9">
        <v>0</v>
      </c>
      <c r="AH9" s="13">
        <v>46287</v>
      </c>
      <c r="AI9" s="13">
        <v>46477</v>
      </c>
      <c r="AJ9" s="14">
        <f t="shared" si="0"/>
        <v>30000</v>
      </c>
      <c r="AK9" s="14">
        <f t="shared" si="1"/>
        <v>60000</v>
      </c>
    </row>
    <row r="10" spans="1:37">
      <c r="A10" t="s">
        <v>63</v>
      </c>
      <c r="B10" t="s">
        <v>39</v>
      </c>
      <c r="C10" t="s">
        <v>64</v>
      </c>
      <c r="D10" t="s">
        <v>54</v>
      </c>
      <c r="E10" t="s">
        <v>42</v>
      </c>
      <c r="F10" t="s">
        <v>83</v>
      </c>
      <c r="G10" t="s">
        <v>70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  <c r="N10" t="s">
        <v>84</v>
      </c>
      <c r="O10">
        <v>11</v>
      </c>
      <c r="P10">
        <v>100000000</v>
      </c>
      <c r="Q10" s="13">
        <v>46199</v>
      </c>
      <c r="R10" t="s">
        <v>52</v>
      </c>
      <c r="S10" t="s">
        <v>53</v>
      </c>
      <c r="T10">
        <v>2</v>
      </c>
      <c r="U10" t="s">
        <v>54</v>
      </c>
      <c r="V10" t="s">
        <v>54</v>
      </c>
      <c r="W10" t="s">
        <v>54</v>
      </c>
      <c r="X10" t="s">
        <v>54</v>
      </c>
      <c r="Y10" t="s">
        <v>54</v>
      </c>
      <c r="Z10">
        <v>50000000</v>
      </c>
      <c r="AA10" t="s">
        <v>41</v>
      </c>
      <c r="AB10" t="s">
        <v>55</v>
      </c>
      <c r="AC10" t="s">
        <v>30</v>
      </c>
      <c r="AD10">
        <v>1000000</v>
      </c>
      <c r="AE10">
        <v>0</v>
      </c>
      <c r="AF10">
        <v>0</v>
      </c>
      <c r="AG10">
        <v>0</v>
      </c>
      <c r="AH10" s="13">
        <v>46287</v>
      </c>
      <c r="AI10" s="13">
        <v>46477</v>
      </c>
      <c r="AJ10" s="14">
        <f t="shared" si="0"/>
        <v>10000</v>
      </c>
      <c r="AK10" s="14">
        <f t="shared" si="1"/>
        <v>20000</v>
      </c>
    </row>
    <row r="11" spans="1:37">
      <c r="A11" t="s">
        <v>63</v>
      </c>
      <c r="B11" t="s">
        <v>39</v>
      </c>
      <c r="C11" t="s">
        <v>64</v>
      </c>
      <c r="D11" t="s">
        <v>54</v>
      </c>
      <c r="E11" t="s">
        <v>42</v>
      </c>
      <c r="F11" t="s">
        <v>85</v>
      </c>
      <c r="G11" t="s">
        <v>70</v>
      </c>
      <c r="H11" t="s">
        <v>45</v>
      </c>
      <c r="I11" t="s">
        <v>46</v>
      </c>
      <c r="J11" t="s">
        <v>47</v>
      </c>
      <c r="K11" t="s">
        <v>48</v>
      </c>
      <c r="L11" t="s">
        <v>49</v>
      </c>
      <c r="M11" t="s">
        <v>50</v>
      </c>
      <c r="N11" t="s">
        <v>86</v>
      </c>
      <c r="O11">
        <v>11</v>
      </c>
      <c r="P11">
        <v>150000000</v>
      </c>
      <c r="Q11" s="13">
        <v>46199</v>
      </c>
      <c r="R11" t="s">
        <v>52</v>
      </c>
      <c r="S11" t="s">
        <v>53</v>
      </c>
      <c r="T11">
        <v>2</v>
      </c>
      <c r="U11" t="s">
        <v>54</v>
      </c>
      <c r="V11" t="s">
        <v>54</v>
      </c>
      <c r="W11" t="s">
        <v>54</v>
      </c>
      <c r="X11" t="s">
        <v>54</v>
      </c>
      <c r="Y11" t="s">
        <v>54</v>
      </c>
      <c r="Z11">
        <v>50000000</v>
      </c>
      <c r="AA11" t="s">
        <v>54</v>
      </c>
      <c r="AB11" t="s">
        <v>55</v>
      </c>
      <c r="AC11" t="s">
        <v>87</v>
      </c>
      <c r="AD11">
        <v>2000000</v>
      </c>
      <c r="AE11">
        <v>0</v>
      </c>
      <c r="AF11">
        <v>0</v>
      </c>
      <c r="AG11">
        <v>0</v>
      </c>
      <c r="AH11" s="13">
        <v>46287</v>
      </c>
      <c r="AI11" s="13">
        <v>46477</v>
      </c>
      <c r="AJ11" s="14">
        <f t="shared" si="0"/>
        <v>20000</v>
      </c>
      <c r="AK11" s="14">
        <f t="shared" si="1"/>
        <v>40000</v>
      </c>
    </row>
    <row r="12" spans="1:37">
      <c r="A12" t="s">
        <v>63</v>
      </c>
      <c r="B12" t="s">
        <v>39</v>
      </c>
      <c r="C12" t="s">
        <v>64</v>
      </c>
      <c r="D12" t="s">
        <v>54</v>
      </c>
      <c r="E12" t="s">
        <v>42</v>
      </c>
      <c r="F12" t="s">
        <v>88</v>
      </c>
      <c r="G12" t="s">
        <v>70</v>
      </c>
      <c r="H12" t="s">
        <v>45</v>
      </c>
      <c r="I12" t="s">
        <v>46</v>
      </c>
      <c r="J12" t="s">
        <v>47</v>
      </c>
      <c r="K12" t="s">
        <v>48</v>
      </c>
      <c r="L12" t="s">
        <v>49</v>
      </c>
      <c r="M12" t="s">
        <v>50</v>
      </c>
      <c r="N12" t="s">
        <v>89</v>
      </c>
      <c r="O12">
        <v>11</v>
      </c>
      <c r="P12">
        <v>100000000</v>
      </c>
      <c r="Q12" s="13">
        <v>46199</v>
      </c>
      <c r="R12" t="s">
        <v>52</v>
      </c>
      <c r="S12" t="s">
        <v>53</v>
      </c>
      <c r="T12">
        <v>2</v>
      </c>
      <c r="U12" t="s">
        <v>54</v>
      </c>
      <c r="V12" t="s">
        <v>54</v>
      </c>
      <c r="W12" t="s">
        <v>54</v>
      </c>
      <c r="X12" t="s">
        <v>54</v>
      </c>
      <c r="Y12" t="s">
        <v>54</v>
      </c>
      <c r="Z12">
        <v>50000000</v>
      </c>
      <c r="AA12" t="s">
        <v>41</v>
      </c>
      <c r="AB12" t="s">
        <v>55</v>
      </c>
      <c r="AC12" t="s">
        <v>90</v>
      </c>
      <c r="AD12">
        <v>1000000</v>
      </c>
      <c r="AE12">
        <v>0</v>
      </c>
      <c r="AF12">
        <v>0</v>
      </c>
      <c r="AG12">
        <v>0</v>
      </c>
      <c r="AH12" s="13">
        <v>46287</v>
      </c>
      <c r="AI12" s="13">
        <v>46477</v>
      </c>
      <c r="AJ12" s="14">
        <f t="shared" si="0"/>
        <v>10000</v>
      </c>
      <c r="AK12" s="14">
        <f t="shared" si="1"/>
        <v>20000</v>
      </c>
    </row>
    <row r="13" spans="1:37">
      <c r="A13" t="s">
        <v>63</v>
      </c>
      <c r="B13" t="s">
        <v>39</v>
      </c>
      <c r="C13" t="s">
        <v>64</v>
      </c>
      <c r="D13" t="s">
        <v>54</v>
      </c>
      <c r="E13" t="s">
        <v>42</v>
      </c>
      <c r="F13" t="s">
        <v>91</v>
      </c>
      <c r="G13" t="s">
        <v>70</v>
      </c>
      <c r="H13" t="s">
        <v>45</v>
      </c>
      <c r="I13" t="s">
        <v>46</v>
      </c>
      <c r="J13" t="s">
        <v>47</v>
      </c>
      <c r="K13" t="s">
        <v>48</v>
      </c>
      <c r="L13" t="s">
        <v>49</v>
      </c>
      <c r="M13" t="s">
        <v>50</v>
      </c>
      <c r="N13" t="s">
        <v>92</v>
      </c>
      <c r="O13">
        <v>11</v>
      </c>
      <c r="P13">
        <v>180000000</v>
      </c>
      <c r="Q13" s="13">
        <v>46199</v>
      </c>
      <c r="R13" t="s">
        <v>52</v>
      </c>
      <c r="S13" t="s">
        <v>53</v>
      </c>
      <c r="T13">
        <v>2</v>
      </c>
      <c r="U13" t="s">
        <v>54</v>
      </c>
      <c r="V13" t="s">
        <v>54</v>
      </c>
      <c r="W13" t="s">
        <v>54</v>
      </c>
      <c r="X13" t="s">
        <v>54</v>
      </c>
      <c r="Y13" t="s">
        <v>54</v>
      </c>
      <c r="Z13">
        <v>50000000</v>
      </c>
      <c r="AA13" t="s">
        <v>54</v>
      </c>
      <c r="AB13" t="s">
        <v>55</v>
      </c>
      <c r="AC13" t="s">
        <v>93</v>
      </c>
      <c r="AD13">
        <v>2600000</v>
      </c>
      <c r="AE13">
        <v>0</v>
      </c>
      <c r="AF13">
        <v>0</v>
      </c>
      <c r="AG13">
        <v>0</v>
      </c>
      <c r="AH13" s="13">
        <v>46287</v>
      </c>
      <c r="AI13" s="13">
        <v>46477</v>
      </c>
      <c r="AJ13" s="14">
        <f t="shared" si="0"/>
        <v>26000</v>
      </c>
      <c r="AK13" s="14">
        <f t="shared" si="1"/>
        <v>52000</v>
      </c>
    </row>
    <row r="14" spans="1:37">
      <c r="A14" t="s">
        <v>63</v>
      </c>
      <c r="B14" t="s">
        <v>39</v>
      </c>
      <c r="C14" t="s">
        <v>64</v>
      </c>
      <c r="D14" t="s">
        <v>54</v>
      </c>
      <c r="E14" t="s">
        <v>42</v>
      </c>
      <c r="F14" t="s">
        <v>94</v>
      </c>
      <c r="G14" t="s">
        <v>70</v>
      </c>
      <c r="H14" t="s">
        <v>45</v>
      </c>
      <c r="I14" t="s">
        <v>46</v>
      </c>
      <c r="J14" t="s">
        <v>47</v>
      </c>
      <c r="K14" t="s">
        <v>48</v>
      </c>
      <c r="L14" t="s">
        <v>49</v>
      </c>
      <c r="M14" t="s">
        <v>50</v>
      </c>
      <c r="N14" t="s">
        <v>95</v>
      </c>
      <c r="O14">
        <v>11</v>
      </c>
      <c r="P14">
        <v>20000000</v>
      </c>
      <c r="Q14" s="13">
        <v>46199</v>
      </c>
      <c r="R14" t="s">
        <v>52</v>
      </c>
      <c r="S14" t="s">
        <v>53</v>
      </c>
      <c r="T14">
        <v>2</v>
      </c>
      <c r="U14" t="s">
        <v>54</v>
      </c>
      <c r="V14" t="s">
        <v>54</v>
      </c>
      <c r="W14" t="s">
        <v>54</v>
      </c>
      <c r="X14" t="s">
        <v>54</v>
      </c>
      <c r="Y14" t="s">
        <v>54</v>
      </c>
      <c r="Z14">
        <v>0</v>
      </c>
      <c r="AA14" t="s">
        <v>41</v>
      </c>
      <c r="AB14" t="s">
        <v>55</v>
      </c>
      <c r="AC14" t="s">
        <v>96</v>
      </c>
      <c r="AD14">
        <v>400000</v>
      </c>
      <c r="AE14">
        <v>0</v>
      </c>
      <c r="AF14">
        <v>0</v>
      </c>
      <c r="AG14">
        <v>0</v>
      </c>
      <c r="AH14" s="13">
        <v>46287</v>
      </c>
      <c r="AI14" s="13">
        <v>46477</v>
      </c>
      <c r="AJ14" s="14">
        <f t="shared" si="0"/>
        <v>4000</v>
      </c>
      <c r="AK14" s="14">
        <f t="shared" si="1"/>
        <v>8000</v>
      </c>
    </row>
    <row r="17" spans="1:34">
      <c r="A17" s="11">
        <v>46287</v>
      </c>
      <c r="B17" s="12" t="s">
        <v>97</v>
      </c>
      <c r="C17" s="12">
        <v>2</v>
      </c>
      <c r="J17" s="11">
        <v>46487</v>
      </c>
      <c r="K17" s="12" t="s">
        <v>98</v>
      </c>
      <c r="L17" s="12">
        <v>4</v>
      </c>
    </row>
    <row r="18" spans="1:34">
      <c r="A18" t="s">
        <v>29</v>
      </c>
      <c r="B18" t="s">
        <v>14</v>
      </c>
      <c r="C18" t="s">
        <v>99</v>
      </c>
      <c r="D18" t="s">
        <v>100</v>
      </c>
      <c r="E18" t="s">
        <v>101</v>
      </c>
      <c r="F18" t="s">
        <v>33</v>
      </c>
      <c r="G18" t="s">
        <v>31</v>
      </c>
      <c r="H18" t="s">
        <v>32</v>
      </c>
      <c r="J18" t="s">
        <v>29</v>
      </c>
      <c r="K18" t="s">
        <v>14</v>
      </c>
      <c r="L18" t="s">
        <v>99</v>
      </c>
      <c r="M18" t="s">
        <v>100</v>
      </c>
      <c r="N18" t="s">
        <v>101</v>
      </c>
      <c r="O18" t="s">
        <v>33</v>
      </c>
      <c r="P18" t="s">
        <v>31</v>
      </c>
      <c r="Q18" t="s">
        <v>32</v>
      </c>
    </row>
    <row r="19" spans="1:34">
      <c r="A19" t="s">
        <v>56</v>
      </c>
      <c r="B19" t="s">
        <v>51</v>
      </c>
      <c r="C19" t="s">
        <v>55</v>
      </c>
      <c r="D19" t="s">
        <v>102</v>
      </c>
      <c r="E19">
        <v>0</v>
      </c>
      <c r="F19">
        <v>0</v>
      </c>
      <c r="G19">
        <v>0</v>
      </c>
      <c r="H19">
        <v>0</v>
      </c>
      <c r="J19" t="s">
        <v>56</v>
      </c>
      <c r="K19" t="s">
        <v>51</v>
      </c>
      <c r="L19" t="s">
        <v>103</v>
      </c>
      <c r="M19" t="s">
        <v>104</v>
      </c>
      <c r="N19">
        <v>3616438.35</v>
      </c>
      <c r="O19">
        <v>650958.9</v>
      </c>
      <c r="P19">
        <v>0</v>
      </c>
      <c r="Q19">
        <v>0</v>
      </c>
      <c r="AH19" s="15"/>
    </row>
    <row r="20" spans="1:34">
      <c r="A20" t="s">
        <v>62</v>
      </c>
      <c r="B20" t="s">
        <v>61</v>
      </c>
      <c r="C20" t="s">
        <v>105</v>
      </c>
      <c r="D20" t="s">
        <v>102</v>
      </c>
      <c r="E20">
        <v>0</v>
      </c>
      <c r="F20">
        <v>0</v>
      </c>
      <c r="G20">
        <v>0</v>
      </c>
      <c r="H20">
        <v>0</v>
      </c>
      <c r="J20" t="s">
        <v>62</v>
      </c>
      <c r="K20" t="s">
        <v>61</v>
      </c>
      <c r="L20" t="s">
        <v>105</v>
      </c>
      <c r="M20" t="s">
        <v>104</v>
      </c>
      <c r="N20">
        <v>7956164.37</v>
      </c>
      <c r="O20">
        <v>1432109.59</v>
      </c>
      <c r="P20">
        <v>0</v>
      </c>
      <c r="Q20">
        <v>0</v>
      </c>
    </row>
    <row r="21" spans="1:34">
      <c r="A21" t="s">
        <v>68</v>
      </c>
      <c r="B21" t="s">
        <v>67</v>
      </c>
      <c r="C21" t="s">
        <v>106</v>
      </c>
      <c r="D21" t="s">
        <v>102</v>
      </c>
      <c r="E21">
        <v>0</v>
      </c>
      <c r="F21">
        <v>0</v>
      </c>
      <c r="G21">
        <v>0</v>
      </c>
      <c r="H21">
        <v>0</v>
      </c>
      <c r="J21" t="s">
        <v>68</v>
      </c>
      <c r="K21" t="s">
        <v>67</v>
      </c>
      <c r="L21" t="s">
        <v>55</v>
      </c>
      <c r="M21" t="s">
        <v>104</v>
      </c>
      <c r="N21">
        <v>5063013.69</v>
      </c>
      <c r="O21">
        <v>911342.46</v>
      </c>
      <c r="P21">
        <v>0</v>
      </c>
      <c r="Q21">
        <v>0</v>
      </c>
    </row>
    <row r="22" spans="1:34">
      <c r="A22" t="s">
        <v>72</v>
      </c>
      <c r="B22" t="s">
        <v>71</v>
      </c>
      <c r="C22" t="s">
        <v>106</v>
      </c>
      <c r="D22" t="s">
        <v>102</v>
      </c>
      <c r="E22">
        <v>0</v>
      </c>
      <c r="F22">
        <v>0</v>
      </c>
      <c r="G22">
        <v>0</v>
      </c>
      <c r="H22">
        <v>0</v>
      </c>
      <c r="J22" t="s">
        <v>72</v>
      </c>
      <c r="K22" t="s">
        <v>71</v>
      </c>
      <c r="L22" t="s">
        <v>55</v>
      </c>
      <c r="M22" t="s">
        <v>104</v>
      </c>
      <c r="N22">
        <v>723287.67</v>
      </c>
      <c r="O22">
        <v>130191.78</v>
      </c>
      <c r="P22">
        <v>0</v>
      </c>
      <c r="Q22">
        <v>0</v>
      </c>
    </row>
    <row r="23" spans="1:34">
      <c r="A23" t="s">
        <v>76</v>
      </c>
      <c r="B23" t="s">
        <v>75</v>
      </c>
      <c r="C23" t="s">
        <v>106</v>
      </c>
      <c r="D23" t="s">
        <v>102</v>
      </c>
      <c r="E23">
        <v>0</v>
      </c>
      <c r="F23">
        <v>0</v>
      </c>
      <c r="G23">
        <v>0</v>
      </c>
      <c r="H23">
        <v>0</v>
      </c>
      <c r="J23" t="s">
        <v>76</v>
      </c>
      <c r="K23" t="s">
        <v>75</v>
      </c>
      <c r="L23" t="s">
        <v>106</v>
      </c>
      <c r="M23" t="s">
        <v>104</v>
      </c>
      <c r="N23">
        <v>8679452.04</v>
      </c>
      <c r="O23">
        <v>1562301.37</v>
      </c>
      <c r="P23">
        <v>0</v>
      </c>
      <c r="Q23">
        <v>0</v>
      </c>
    </row>
    <row r="24" spans="1:34">
      <c r="A24" t="s">
        <v>79</v>
      </c>
      <c r="B24" t="s">
        <v>78</v>
      </c>
      <c r="C24" t="s">
        <v>107</v>
      </c>
      <c r="D24" t="s">
        <v>102</v>
      </c>
      <c r="E24">
        <v>0</v>
      </c>
      <c r="F24">
        <v>0</v>
      </c>
      <c r="G24">
        <v>0</v>
      </c>
      <c r="H24">
        <v>0</v>
      </c>
      <c r="J24" t="s">
        <v>79</v>
      </c>
      <c r="K24" t="s">
        <v>78</v>
      </c>
      <c r="L24" t="s">
        <v>108</v>
      </c>
      <c r="M24" t="s">
        <v>104</v>
      </c>
      <c r="N24">
        <v>723287.67</v>
      </c>
      <c r="O24">
        <v>130191.78</v>
      </c>
      <c r="P24">
        <v>0</v>
      </c>
      <c r="Q24">
        <v>0</v>
      </c>
    </row>
    <row r="25" spans="1:34">
      <c r="A25" t="s">
        <v>82</v>
      </c>
      <c r="B25" t="s">
        <v>81</v>
      </c>
      <c r="C25" t="s">
        <v>103</v>
      </c>
      <c r="D25" t="s">
        <v>102</v>
      </c>
      <c r="E25">
        <v>0</v>
      </c>
      <c r="F25">
        <v>0</v>
      </c>
      <c r="G25">
        <v>0</v>
      </c>
      <c r="H25">
        <v>0</v>
      </c>
      <c r="J25" t="s">
        <v>82</v>
      </c>
      <c r="K25" t="s">
        <v>81</v>
      </c>
      <c r="L25" t="s">
        <v>103</v>
      </c>
      <c r="M25" t="s">
        <v>104</v>
      </c>
      <c r="N25">
        <v>723287.67</v>
      </c>
      <c r="O25">
        <v>130191.78</v>
      </c>
      <c r="P25">
        <v>0</v>
      </c>
      <c r="Q25">
        <v>0</v>
      </c>
    </row>
    <row r="26" spans="1:34">
      <c r="A26" t="s">
        <v>30</v>
      </c>
      <c r="B26" t="s">
        <v>84</v>
      </c>
      <c r="C26" t="s">
        <v>109</v>
      </c>
      <c r="D26" t="s">
        <v>102</v>
      </c>
      <c r="E26">
        <v>0</v>
      </c>
      <c r="F26">
        <v>0</v>
      </c>
      <c r="G26">
        <v>0</v>
      </c>
      <c r="H26">
        <v>0</v>
      </c>
      <c r="J26" t="s">
        <v>30</v>
      </c>
      <c r="K26" t="s">
        <v>84</v>
      </c>
      <c r="L26" t="s">
        <v>110</v>
      </c>
      <c r="M26" t="s">
        <v>104</v>
      </c>
      <c r="N26">
        <v>241095.89</v>
      </c>
      <c r="O26">
        <v>43397.26</v>
      </c>
      <c r="P26">
        <v>0</v>
      </c>
      <c r="Q26">
        <v>0</v>
      </c>
    </row>
    <row r="27" spans="1:34">
      <c r="A27" t="s">
        <v>87</v>
      </c>
      <c r="B27" t="s">
        <v>86</v>
      </c>
      <c r="C27" t="s">
        <v>103</v>
      </c>
      <c r="D27" t="s">
        <v>102</v>
      </c>
      <c r="E27">
        <v>0</v>
      </c>
      <c r="F27">
        <v>0</v>
      </c>
      <c r="G27">
        <v>0</v>
      </c>
      <c r="H27">
        <v>0</v>
      </c>
      <c r="J27" t="s">
        <v>87</v>
      </c>
      <c r="K27" t="s">
        <v>86</v>
      </c>
      <c r="L27" t="s">
        <v>111</v>
      </c>
      <c r="M27" t="s">
        <v>104</v>
      </c>
      <c r="N27">
        <v>482191.78</v>
      </c>
      <c r="O27">
        <v>86794.52</v>
      </c>
      <c r="P27">
        <v>0</v>
      </c>
      <c r="Q27">
        <v>0</v>
      </c>
    </row>
    <row r="28" spans="1:34">
      <c r="A28" t="s">
        <v>90</v>
      </c>
      <c r="B28" t="s">
        <v>89</v>
      </c>
      <c r="C28" t="s">
        <v>109</v>
      </c>
      <c r="D28" t="s">
        <v>102</v>
      </c>
      <c r="E28">
        <v>0</v>
      </c>
      <c r="F28">
        <v>0</v>
      </c>
      <c r="G28">
        <v>0</v>
      </c>
      <c r="H28">
        <v>0</v>
      </c>
      <c r="J28" t="s">
        <v>90</v>
      </c>
      <c r="K28" t="s">
        <v>89</v>
      </c>
      <c r="L28" t="s">
        <v>110</v>
      </c>
      <c r="M28" t="s">
        <v>104</v>
      </c>
      <c r="N28">
        <v>241095.89</v>
      </c>
      <c r="O28">
        <v>43397.26</v>
      </c>
      <c r="P28">
        <v>0</v>
      </c>
      <c r="Q28">
        <v>0</v>
      </c>
    </row>
    <row r="29" spans="1:34">
      <c r="A29" t="s">
        <v>93</v>
      </c>
      <c r="B29" t="s">
        <v>92</v>
      </c>
      <c r="C29" t="s">
        <v>103</v>
      </c>
      <c r="D29" t="s">
        <v>102</v>
      </c>
      <c r="E29">
        <v>0</v>
      </c>
      <c r="F29">
        <v>0</v>
      </c>
      <c r="G29">
        <v>0</v>
      </c>
      <c r="H29">
        <v>0</v>
      </c>
      <c r="J29" t="s">
        <v>93</v>
      </c>
      <c r="K29" t="s">
        <v>92</v>
      </c>
      <c r="L29" t="s">
        <v>112</v>
      </c>
      <c r="M29" t="s">
        <v>104</v>
      </c>
      <c r="N29">
        <v>626849.31</v>
      </c>
      <c r="O29">
        <v>112832.88</v>
      </c>
      <c r="P29">
        <v>0</v>
      </c>
      <c r="Q29">
        <v>0</v>
      </c>
    </row>
    <row r="30" spans="1:34">
      <c r="A30" t="s">
        <v>96</v>
      </c>
      <c r="B30" t="s">
        <v>95</v>
      </c>
      <c r="C30" t="s">
        <v>110</v>
      </c>
      <c r="D30" t="s">
        <v>102</v>
      </c>
      <c r="E30">
        <v>0</v>
      </c>
      <c r="F30">
        <v>0</v>
      </c>
      <c r="G30">
        <v>0</v>
      </c>
      <c r="H30">
        <v>0</v>
      </c>
      <c r="J30" t="s">
        <v>96</v>
      </c>
      <c r="K30" t="s">
        <v>95</v>
      </c>
      <c r="L30" t="s">
        <v>110</v>
      </c>
      <c r="M30" t="s">
        <v>104</v>
      </c>
      <c r="N30">
        <v>96438.36</v>
      </c>
      <c r="O30">
        <v>17358.9</v>
      </c>
      <c r="P30">
        <v>0</v>
      </c>
      <c r="Q30">
        <v>0</v>
      </c>
    </row>
    <row r="33" spans="1:14">
      <c r="A33" s="11">
        <v>46487</v>
      </c>
      <c r="B33" s="12" t="s">
        <v>113</v>
      </c>
      <c r="C33" s="12">
        <v>3</v>
      </c>
    </row>
    <row r="34" customFormat="1" spans="1:14">
      <c r="A34" t="s">
        <v>14</v>
      </c>
      <c r="B34" t="s">
        <v>29</v>
      </c>
      <c r="C34" t="s">
        <v>114</v>
      </c>
      <c r="D34" t="s">
        <v>115</v>
      </c>
      <c r="E34" t="s">
        <v>116</v>
      </c>
      <c r="F34" t="s">
        <v>117</v>
      </c>
      <c r="G34" t="s">
        <v>118</v>
      </c>
      <c r="H34" t="s">
        <v>119</v>
      </c>
      <c r="I34" t="s">
        <v>101</v>
      </c>
      <c r="J34" t="s">
        <v>31</v>
      </c>
      <c r="K34" t="s">
        <v>32</v>
      </c>
      <c r="L34" t="s">
        <v>33</v>
      </c>
      <c r="M34" t="s">
        <v>34</v>
      </c>
      <c r="N34" t="s">
        <v>35</v>
      </c>
    </row>
    <row r="35" customFormat="1" spans="1:14">
      <c r="A35" t="s">
        <v>51</v>
      </c>
      <c r="B35" t="s">
        <v>56</v>
      </c>
      <c r="C35">
        <v>200000000</v>
      </c>
      <c r="D35">
        <v>0</v>
      </c>
      <c r="E35" t="s">
        <v>120</v>
      </c>
      <c r="I35">
        <v>2250000</v>
      </c>
      <c r="J35">
        <v>0</v>
      </c>
      <c r="K35">
        <v>0</v>
      </c>
      <c r="L35">
        <v>405000</v>
      </c>
      <c r="M35" s="13">
        <v>46478</v>
      </c>
      <c r="N35" s="13">
        <v>46843</v>
      </c>
    </row>
    <row r="36" customFormat="1" spans="1:14">
      <c r="A36" t="s">
        <v>61</v>
      </c>
      <c r="B36" t="s">
        <v>62</v>
      </c>
      <c r="C36">
        <v>500000000</v>
      </c>
      <c r="D36">
        <v>0</v>
      </c>
      <c r="E36" t="s">
        <v>120</v>
      </c>
      <c r="I36">
        <v>750000</v>
      </c>
      <c r="J36">
        <v>0</v>
      </c>
      <c r="K36">
        <v>0</v>
      </c>
      <c r="L36">
        <v>135000</v>
      </c>
      <c r="M36" s="13">
        <v>46478</v>
      </c>
      <c r="N36" s="13">
        <v>46843</v>
      </c>
    </row>
    <row r="37" customFormat="1" spans="1:14">
      <c r="A37" t="s">
        <v>67</v>
      </c>
      <c r="B37" t="s">
        <v>68</v>
      </c>
      <c r="C37">
        <v>300000000</v>
      </c>
      <c r="D37">
        <v>0</v>
      </c>
      <c r="E37" t="s">
        <v>120</v>
      </c>
      <c r="I37">
        <v>2250000</v>
      </c>
      <c r="J37">
        <v>0</v>
      </c>
      <c r="K37">
        <v>0</v>
      </c>
      <c r="L37">
        <v>405000</v>
      </c>
      <c r="M37" s="13">
        <v>46478</v>
      </c>
      <c r="N37" s="13">
        <v>46843</v>
      </c>
    </row>
    <row r="38" customFormat="1" spans="1:14">
      <c r="A38" t="s">
        <v>71</v>
      </c>
      <c r="B38" t="s">
        <v>72</v>
      </c>
      <c r="C38">
        <v>300000000</v>
      </c>
      <c r="D38">
        <v>0</v>
      </c>
      <c r="E38" t="s">
        <v>120</v>
      </c>
      <c r="I38">
        <v>0</v>
      </c>
      <c r="J38">
        <v>0</v>
      </c>
      <c r="K38">
        <v>0</v>
      </c>
      <c r="L38">
        <v>0</v>
      </c>
      <c r="M38" s="13">
        <v>46478</v>
      </c>
      <c r="N38" s="13">
        <v>46843</v>
      </c>
    </row>
    <row r="39" customFormat="1" spans="1:14">
      <c r="A39" t="s">
        <v>75</v>
      </c>
      <c r="B39" t="s">
        <v>76</v>
      </c>
      <c r="C39">
        <v>300000000</v>
      </c>
      <c r="D39">
        <v>0</v>
      </c>
      <c r="E39" t="s">
        <v>120</v>
      </c>
      <c r="I39">
        <v>4500000</v>
      </c>
      <c r="J39">
        <v>0</v>
      </c>
      <c r="K39">
        <v>0</v>
      </c>
      <c r="L39">
        <v>810000</v>
      </c>
      <c r="M39" s="13">
        <v>46478</v>
      </c>
      <c r="N39" s="13">
        <v>46843</v>
      </c>
    </row>
    <row r="40" customFormat="1" spans="1:14">
      <c r="A40" t="s">
        <v>78</v>
      </c>
      <c r="B40" t="s">
        <v>79</v>
      </c>
      <c r="C40">
        <v>460000000</v>
      </c>
      <c r="D40">
        <v>0</v>
      </c>
      <c r="E40" t="s">
        <v>120</v>
      </c>
      <c r="I40">
        <v>150000</v>
      </c>
      <c r="J40">
        <v>0</v>
      </c>
      <c r="K40">
        <v>0</v>
      </c>
      <c r="L40">
        <v>27000</v>
      </c>
      <c r="M40" s="13">
        <v>46478</v>
      </c>
      <c r="N40" s="13">
        <v>46843</v>
      </c>
    </row>
    <row r="41" customFormat="1" spans="1:14">
      <c r="A41" t="s">
        <v>81</v>
      </c>
      <c r="B41" t="s">
        <v>82</v>
      </c>
      <c r="C41">
        <v>100000000</v>
      </c>
      <c r="D41">
        <v>0</v>
      </c>
      <c r="E41" t="s">
        <v>120</v>
      </c>
      <c r="I41">
        <v>250000</v>
      </c>
      <c r="J41">
        <v>0</v>
      </c>
      <c r="K41">
        <v>0</v>
      </c>
      <c r="L41">
        <v>45000</v>
      </c>
      <c r="M41" s="13">
        <v>46478</v>
      </c>
      <c r="N41" s="13">
        <v>46843</v>
      </c>
    </row>
    <row r="42" customFormat="1" spans="1:14">
      <c r="A42" t="s">
        <v>84</v>
      </c>
      <c r="B42" t="s">
        <v>30</v>
      </c>
      <c r="C42">
        <v>100000000</v>
      </c>
      <c r="D42">
        <v>0</v>
      </c>
      <c r="E42" t="s">
        <v>120</v>
      </c>
      <c r="I42">
        <v>250000</v>
      </c>
      <c r="J42">
        <v>0</v>
      </c>
      <c r="K42">
        <v>0</v>
      </c>
      <c r="L42">
        <v>45000</v>
      </c>
      <c r="M42" s="13">
        <v>46478</v>
      </c>
      <c r="N42" s="13">
        <v>46843</v>
      </c>
    </row>
    <row r="43" customFormat="1" spans="1:14">
      <c r="A43" t="s">
        <v>86</v>
      </c>
      <c r="B43" t="s">
        <v>87</v>
      </c>
      <c r="C43">
        <v>100000000</v>
      </c>
      <c r="D43">
        <v>0</v>
      </c>
      <c r="E43" t="s">
        <v>120</v>
      </c>
      <c r="I43">
        <v>250000</v>
      </c>
      <c r="J43">
        <v>0</v>
      </c>
      <c r="K43">
        <v>0</v>
      </c>
      <c r="L43">
        <v>45000</v>
      </c>
      <c r="M43" s="13">
        <v>46478</v>
      </c>
      <c r="N43" s="13">
        <v>46843</v>
      </c>
    </row>
    <row r="44" customFormat="1" spans="1:14">
      <c r="A44" t="s">
        <v>89</v>
      </c>
      <c r="B44" t="s">
        <v>90</v>
      </c>
      <c r="C44">
        <v>100000000</v>
      </c>
      <c r="D44">
        <v>0</v>
      </c>
      <c r="E44" t="s">
        <v>120</v>
      </c>
      <c r="I44">
        <v>250000</v>
      </c>
      <c r="J44">
        <v>0</v>
      </c>
      <c r="K44">
        <v>0</v>
      </c>
      <c r="L44">
        <v>45000</v>
      </c>
      <c r="M44" s="13">
        <v>46478</v>
      </c>
      <c r="N44" s="13">
        <v>46843</v>
      </c>
    </row>
    <row r="45" customFormat="1" spans="1:14">
      <c r="A45" t="s">
        <v>92</v>
      </c>
      <c r="B45" t="s">
        <v>93</v>
      </c>
      <c r="C45">
        <v>100000000</v>
      </c>
      <c r="D45">
        <v>0</v>
      </c>
      <c r="E45" t="s">
        <v>120</v>
      </c>
      <c r="I45">
        <v>250000</v>
      </c>
      <c r="J45">
        <v>0</v>
      </c>
      <c r="K45">
        <v>0</v>
      </c>
      <c r="L45">
        <v>45000</v>
      </c>
      <c r="M45" s="13">
        <v>46478</v>
      </c>
      <c r="N45" s="13">
        <v>46843</v>
      </c>
    </row>
    <row r="46" customFormat="1" spans="1:14">
      <c r="A46" t="s">
        <v>95</v>
      </c>
      <c r="B46" t="s">
        <v>96</v>
      </c>
      <c r="C46">
        <v>10000000</v>
      </c>
      <c r="D46">
        <v>0</v>
      </c>
      <c r="E46" t="s">
        <v>120</v>
      </c>
      <c r="I46">
        <v>50000</v>
      </c>
      <c r="J46">
        <v>0</v>
      </c>
      <c r="K46">
        <v>0</v>
      </c>
      <c r="L46">
        <v>9000</v>
      </c>
      <c r="M46" s="13">
        <v>46478</v>
      </c>
      <c r="N46" s="13">
        <v>46843</v>
      </c>
    </row>
    <row r="49" spans="1:14">
      <c r="A49" s="11">
        <v>46844</v>
      </c>
      <c r="B49" s="12" t="s">
        <v>121</v>
      </c>
      <c r="C49" s="12">
        <v>5</v>
      </c>
    </row>
    <row r="50" customFormat="1" spans="1:14">
      <c r="A50" t="s">
        <v>14</v>
      </c>
      <c r="B50" t="s">
        <v>29</v>
      </c>
      <c r="C50" t="s">
        <v>114</v>
      </c>
      <c r="D50" t="s">
        <v>115</v>
      </c>
      <c r="E50" t="s">
        <v>116</v>
      </c>
      <c r="F50" t="s">
        <v>117</v>
      </c>
      <c r="G50" t="s">
        <v>118</v>
      </c>
      <c r="H50" t="s">
        <v>119</v>
      </c>
      <c r="I50" t="s">
        <v>101</v>
      </c>
      <c r="J50" t="s">
        <v>31</v>
      </c>
      <c r="K50" t="s">
        <v>32</v>
      </c>
      <c r="L50" t="s">
        <v>33</v>
      </c>
      <c r="M50" t="s">
        <v>34</v>
      </c>
      <c r="N50" t="s">
        <v>35</v>
      </c>
    </row>
    <row r="51" customFormat="1" spans="1:14">
      <c r="A51" t="s">
        <v>51</v>
      </c>
      <c r="B51" t="s">
        <v>56</v>
      </c>
      <c r="C51">
        <v>300000000</v>
      </c>
      <c r="D51">
        <v>0</v>
      </c>
      <c r="E51" t="s">
        <v>122</v>
      </c>
      <c r="F51" t="s">
        <v>123</v>
      </c>
      <c r="G51">
        <v>300000000</v>
      </c>
      <c r="H51">
        <v>100</v>
      </c>
      <c r="I51">
        <v>0</v>
      </c>
      <c r="J51">
        <v>0</v>
      </c>
      <c r="K51">
        <v>0</v>
      </c>
      <c r="L51">
        <v>0</v>
      </c>
      <c r="M51" s="13">
        <v>46844</v>
      </c>
      <c r="N51" s="13">
        <v>47208</v>
      </c>
    </row>
    <row r="52" customFormat="1" spans="1:14">
      <c r="A52" t="s">
        <v>61</v>
      </c>
      <c r="B52" t="s">
        <v>62</v>
      </c>
      <c r="C52">
        <v>1000000000</v>
      </c>
      <c r="D52">
        <v>0</v>
      </c>
      <c r="E52" t="s">
        <v>122</v>
      </c>
      <c r="F52" t="s">
        <v>123</v>
      </c>
      <c r="G52">
        <v>1000000000</v>
      </c>
      <c r="H52">
        <v>100</v>
      </c>
      <c r="I52">
        <v>0</v>
      </c>
      <c r="J52">
        <v>0</v>
      </c>
      <c r="K52">
        <v>0</v>
      </c>
      <c r="L52">
        <v>0</v>
      </c>
      <c r="M52" s="13">
        <v>46844</v>
      </c>
      <c r="N52" s="13">
        <v>47208</v>
      </c>
    </row>
    <row r="53" customFormat="1" spans="1:14">
      <c r="A53" t="s">
        <v>67</v>
      </c>
      <c r="B53" t="s">
        <v>68</v>
      </c>
      <c r="C53">
        <v>500000000</v>
      </c>
      <c r="D53">
        <v>0</v>
      </c>
      <c r="E53" t="s">
        <v>122</v>
      </c>
      <c r="F53" t="s">
        <v>123</v>
      </c>
      <c r="G53">
        <v>500000000</v>
      </c>
      <c r="H53">
        <v>100</v>
      </c>
      <c r="I53">
        <v>0</v>
      </c>
      <c r="J53">
        <v>0</v>
      </c>
      <c r="K53">
        <v>0</v>
      </c>
      <c r="L53">
        <v>0</v>
      </c>
      <c r="M53" s="13">
        <v>46844</v>
      </c>
      <c r="N53" s="13">
        <v>47208</v>
      </c>
    </row>
    <row r="54" customFormat="1" spans="1:14">
      <c r="A54" t="s">
        <v>71</v>
      </c>
      <c r="B54" t="s">
        <v>72</v>
      </c>
      <c r="C54">
        <v>500000000</v>
      </c>
      <c r="D54">
        <v>0</v>
      </c>
      <c r="E54" t="s">
        <v>120</v>
      </c>
      <c r="I54">
        <v>750000</v>
      </c>
      <c r="J54">
        <v>0</v>
      </c>
      <c r="K54">
        <v>0</v>
      </c>
      <c r="L54">
        <v>135000</v>
      </c>
      <c r="M54" s="13">
        <v>46844</v>
      </c>
      <c r="N54" s="13">
        <v>47208</v>
      </c>
    </row>
    <row r="55" customFormat="1" spans="1:14">
      <c r="A55" t="s">
        <v>75</v>
      </c>
      <c r="B55" t="s">
        <v>76</v>
      </c>
      <c r="C55">
        <v>600000000</v>
      </c>
      <c r="D55">
        <v>0</v>
      </c>
      <c r="E55" t="s">
        <v>120</v>
      </c>
      <c r="I55">
        <v>9000000</v>
      </c>
      <c r="J55">
        <v>0</v>
      </c>
      <c r="K55">
        <v>0</v>
      </c>
      <c r="L55">
        <v>1620000</v>
      </c>
      <c r="M55" s="13">
        <v>46844</v>
      </c>
      <c r="N55" s="13">
        <v>47208</v>
      </c>
    </row>
    <row r="56" customFormat="1" spans="1:14">
      <c r="A56" t="s">
        <v>78</v>
      </c>
      <c r="B56" t="s">
        <v>79</v>
      </c>
      <c r="C56">
        <v>500000000</v>
      </c>
      <c r="D56">
        <v>0</v>
      </c>
      <c r="E56" t="s">
        <v>120</v>
      </c>
      <c r="I56">
        <v>750000</v>
      </c>
      <c r="J56">
        <v>0</v>
      </c>
      <c r="K56">
        <v>0</v>
      </c>
      <c r="L56">
        <v>135000</v>
      </c>
      <c r="M56" s="13">
        <v>46844</v>
      </c>
      <c r="N56" s="13">
        <v>47208</v>
      </c>
    </row>
    <row r="57" customFormat="1" spans="1:14">
      <c r="A57" t="s">
        <v>81</v>
      </c>
      <c r="B57" t="s">
        <v>82</v>
      </c>
      <c r="C57">
        <v>200000000</v>
      </c>
      <c r="D57">
        <v>0</v>
      </c>
      <c r="E57" t="s">
        <v>120</v>
      </c>
      <c r="I57">
        <v>750000</v>
      </c>
      <c r="J57">
        <v>0</v>
      </c>
      <c r="K57">
        <v>0</v>
      </c>
      <c r="L57">
        <v>135000</v>
      </c>
      <c r="M57" s="13">
        <v>46844</v>
      </c>
      <c r="N57" s="13">
        <v>47208</v>
      </c>
    </row>
    <row r="58" customFormat="1" spans="1:14">
      <c r="A58" t="s">
        <v>84</v>
      </c>
      <c r="B58" t="s">
        <v>30</v>
      </c>
      <c r="C58">
        <v>100000000</v>
      </c>
      <c r="D58">
        <v>0</v>
      </c>
      <c r="E58" t="s">
        <v>122</v>
      </c>
      <c r="F58" t="s">
        <v>123</v>
      </c>
      <c r="G58">
        <v>10000000</v>
      </c>
      <c r="H58">
        <v>100</v>
      </c>
      <c r="I58">
        <v>0</v>
      </c>
      <c r="J58">
        <v>0</v>
      </c>
      <c r="K58">
        <v>0</v>
      </c>
      <c r="L58">
        <v>0</v>
      </c>
      <c r="M58" s="13">
        <v>46844</v>
      </c>
      <c r="N58" s="13">
        <v>47208</v>
      </c>
    </row>
    <row r="59" customFormat="1" spans="1:14">
      <c r="A59" t="s">
        <v>86</v>
      </c>
      <c r="B59" t="s">
        <v>87</v>
      </c>
      <c r="C59">
        <v>150000000</v>
      </c>
      <c r="D59">
        <v>0</v>
      </c>
      <c r="E59" t="s">
        <v>122</v>
      </c>
      <c r="F59" t="s">
        <v>123</v>
      </c>
      <c r="G59">
        <v>50000000</v>
      </c>
      <c r="H59">
        <v>100</v>
      </c>
      <c r="I59">
        <v>0</v>
      </c>
      <c r="J59">
        <v>0</v>
      </c>
      <c r="K59">
        <v>0</v>
      </c>
      <c r="L59">
        <v>0</v>
      </c>
      <c r="M59" s="13">
        <v>46844</v>
      </c>
      <c r="N59" s="13">
        <v>47208</v>
      </c>
    </row>
    <row r="60" customFormat="1" spans="1:14">
      <c r="A60" t="s">
        <v>89</v>
      </c>
      <c r="B60" t="s">
        <v>90</v>
      </c>
      <c r="C60">
        <v>100000000</v>
      </c>
      <c r="D60">
        <v>0</v>
      </c>
      <c r="E60" t="s">
        <v>122</v>
      </c>
      <c r="F60" t="s">
        <v>123</v>
      </c>
      <c r="G60">
        <v>10000000</v>
      </c>
      <c r="H60">
        <v>0</v>
      </c>
      <c r="I60">
        <v>0</v>
      </c>
      <c r="J60">
        <v>0</v>
      </c>
      <c r="K60">
        <v>0</v>
      </c>
      <c r="L60">
        <v>0</v>
      </c>
      <c r="M60" s="13">
        <v>46844</v>
      </c>
      <c r="N60" s="13">
        <v>47208</v>
      </c>
    </row>
    <row r="61" customFormat="1" spans="1:14">
      <c r="A61" t="s">
        <v>92</v>
      </c>
      <c r="B61" t="s">
        <v>93</v>
      </c>
      <c r="C61">
        <v>180000000</v>
      </c>
      <c r="D61">
        <v>0</v>
      </c>
      <c r="E61" t="s">
        <v>120</v>
      </c>
      <c r="I61">
        <v>650000</v>
      </c>
      <c r="J61">
        <v>0</v>
      </c>
      <c r="K61">
        <v>0</v>
      </c>
      <c r="L61">
        <v>117000</v>
      </c>
      <c r="M61" s="13">
        <v>46844</v>
      </c>
      <c r="N61" s="13">
        <v>47208</v>
      </c>
    </row>
    <row r="62" customFormat="1" spans="1:14">
      <c r="A62" t="s">
        <v>95</v>
      </c>
      <c r="B62" t="s">
        <v>96</v>
      </c>
      <c r="C62">
        <v>20000000</v>
      </c>
      <c r="D62">
        <v>0</v>
      </c>
      <c r="E62" t="s">
        <v>120</v>
      </c>
      <c r="I62">
        <v>100000</v>
      </c>
      <c r="J62">
        <v>0</v>
      </c>
      <c r="K62">
        <v>0</v>
      </c>
      <c r="L62">
        <v>18000</v>
      </c>
      <c r="M62" s="13">
        <v>46844</v>
      </c>
      <c r="N62" s="13">
        <v>47208</v>
      </c>
    </row>
    <row r="65" spans="1:12">
      <c r="A65" s="11">
        <v>46914</v>
      </c>
      <c r="B65" s="12" t="s">
        <v>124</v>
      </c>
      <c r="C65" s="12">
        <v>6</v>
      </c>
    </row>
    <row r="66" customFormat="1" spans="1:12">
      <c r="A66" t="s">
        <v>14</v>
      </c>
      <c r="B66" t="s">
        <v>29</v>
      </c>
      <c r="C66" t="s">
        <v>116</v>
      </c>
      <c r="D66" t="s">
        <v>117</v>
      </c>
      <c r="E66" t="s">
        <v>118</v>
      </c>
      <c r="F66" t="s">
        <v>119</v>
      </c>
      <c r="G66" t="s">
        <v>101</v>
      </c>
      <c r="H66" t="s">
        <v>31</v>
      </c>
      <c r="I66" t="s">
        <v>32</v>
      </c>
      <c r="J66" t="s">
        <v>33</v>
      </c>
      <c r="K66" t="s">
        <v>34</v>
      </c>
      <c r="L66" t="s">
        <v>35</v>
      </c>
    </row>
    <row r="67" customFormat="1" spans="1:12">
      <c r="A67" t="s">
        <v>71</v>
      </c>
      <c r="B67" t="s">
        <v>72</v>
      </c>
      <c r="C67" t="s">
        <v>122</v>
      </c>
      <c r="D67" t="s">
        <v>125</v>
      </c>
      <c r="E67">
        <v>500000000</v>
      </c>
      <c r="F67">
        <v>0</v>
      </c>
      <c r="G67">
        <v>0</v>
      </c>
      <c r="H67">
        <v>0</v>
      </c>
      <c r="I67">
        <v>0</v>
      </c>
      <c r="J67">
        <v>0</v>
      </c>
      <c r="K67" s="13">
        <v>46844</v>
      </c>
      <c r="L67" s="13">
        <v>47208</v>
      </c>
    </row>
    <row r="68" customFormat="1" spans="1:12">
      <c r="A68" t="s">
        <v>81</v>
      </c>
      <c r="B68" t="s">
        <v>82</v>
      </c>
      <c r="C68" t="s">
        <v>122</v>
      </c>
      <c r="D68" t="s">
        <v>125</v>
      </c>
      <c r="E68">
        <v>100000000</v>
      </c>
      <c r="F68">
        <v>0</v>
      </c>
      <c r="G68">
        <v>0</v>
      </c>
      <c r="H68">
        <v>0</v>
      </c>
      <c r="I68">
        <v>0</v>
      </c>
      <c r="J68">
        <v>0</v>
      </c>
      <c r="K68" s="13">
        <v>46844</v>
      </c>
      <c r="L68" s="13">
        <v>47208</v>
      </c>
    </row>
  </sheetData>
  <pageMargins left="0.75" right="0.75" top="0.75" bottom="0.5" header="0.5" footer="0.75"/>
  <pageSetup paperSize="1" orientation="portrait"/>
  <headerFooter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7" sqref="A7"/>
    </sheetView>
  </sheetViews>
  <sheetFormatPr defaultColWidth="9.14285714285714" defaultRowHeight="15" outlineLevelRow="6" outlineLevelCol="7"/>
  <cols>
    <col min="1" max="1" width="19.4285714285714" customWidth="1"/>
    <col min="2" max="2" width="35.1428571428571" customWidth="1"/>
    <col min="4" max="4" width="22.4285714285714" customWidth="1"/>
    <col min="5" max="5" width="19.2857142857143" customWidth="1"/>
    <col min="6" max="6" width="21.7142857142857" customWidth="1"/>
    <col min="7" max="7" width="19.7142857142857" customWidth="1"/>
    <col min="8" max="8" width="15.2857142857143" customWidth="1"/>
  </cols>
  <sheetData>
    <row r="1" spans="1:8">
      <c r="A1">
        <v>47639671.17</v>
      </c>
      <c r="B1" t="s">
        <v>30</v>
      </c>
      <c r="D1" s="9" t="s">
        <v>126</v>
      </c>
      <c r="E1" s="9" t="s">
        <v>127</v>
      </c>
      <c r="F1" s="9" t="s">
        <v>128</v>
      </c>
      <c r="G1" s="9" t="s">
        <v>129</v>
      </c>
      <c r="H1" s="9" t="s">
        <v>130</v>
      </c>
    </row>
    <row r="2" spans="1:8">
      <c r="D2" s="10">
        <v>1000000</v>
      </c>
      <c r="E2" s="10">
        <v>0</v>
      </c>
      <c r="F2" s="10">
        <v>250000</v>
      </c>
      <c r="G2" s="10">
        <v>241095.89</v>
      </c>
      <c r="H2" s="10">
        <v>0</v>
      </c>
    </row>
    <row r="4" spans="1:8">
      <c r="A4">
        <v>579493.15</v>
      </c>
      <c r="D4" s="10">
        <v>1000000</v>
      </c>
      <c r="F4">
        <v>295000</v>
      </c>
      <c r="G4">
        <v>284493.15</v>
      </c>
    </row>
    <row r="7" spans="1:8">
      <c r="A7">
        <v>14160000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F6" sqref="F6"/>
    </sheetView>
  </sheetViews>
  <sheetFormatPr defaultColWidth="9.14285714285714" defaultRowHeight="15" outlineLevelCol="4"/>
  <cols>
    <col min="2" max="2" width="58" customWidth="1"/>
    <col min="3" max="3" width="68.2857142857143" customWidth="1"/>
    <col min="4" max="4" width="55" customWidth="1"/>
    <col min="5" max="5" width="18.4285714285714" customWidth="1"/>
  </cols>
  <sheetData>
    <row r="1" spans="1:5">
      <c r="A1" s="5" t="s">
        <v>131</v>
      </c>
      <c r="B1" s="5" t="s">
        <v>132</v>
      </c>
      <c r="C1" s="5" t="s">
        <v>133</v>
      </c>
      <c r="D1" s="5" t="s">
        <v>134</v>
      </c>
    </row>
    <row r="2" ht="45" spans="1:5">
      <c r="A2" s="5">
        <v>1</v>
      </c>
      <c r="B2" s="4" t="s">
        <v>135</v>
      </c>
      <c r="C2" s="5" t="s">
        <v>136</v>
      </c>
      <c r="D2" s="5" t="s">
        <v>137</v>
      </c>
      <c r="E2" s="6" t="s">
        <v>138</v>
      </c>
    </row>
    <row r="3" ht="30" spans="1:5">
      <c r="A3" s="5">
        <v>2</v>
      </c>
      <c r="B3" s="5" t="s">
        <v>139</v>
      </c>
      <c r="C3" s="5" t="s">
        <v>140</v>
      </c>
      <c r="D3" s="6" t="s">
        <v>138</v>
      </c>
      <c r="E3" s="6" t="s">
        <v>138</v>
      </c>
    </row>
    <row r="4" ht="60" spans="1:5">
      <c r="A4" s="5">
        <v>3</v>
      </c>
      <c r="B4" s="5" t="s">
        <v>141</v>
      </c>
      <c r="C4" s="5" t="s">
        <v>142</v>
      </c>
      <c r="D4" s="5" t="s">
        <v>143</v>
      </c>
      <c r="E4" s="6" t="s">
        <v>138</v>
      </c>
    </row>
    <row r="5" ht="45" spans="1:5">
      <c r="A5" s="5">
        <v>4</v>
      </c>
      <c r="B5" s="5" t="s">
        <v>144</v>
      </c>
      <c r="C5" s="5" t="s">
        <v>145</v>
      </c>
      <c r="D5" s="5" t="s">
        <v>146</v>
      </c>
      <c r="E5" s="6" t="s">
        <v>138</v>
      </c>
    </row>
    <row r="6" ht="30" spans="1:5">
      <c r="A6" s="5">
        <v>5</v>
      </c>
      <c r="B6" s="5" t="s">
        <v>147</v>
      </c>
      <c r="C6" s="5" t="s">
        <v>148</v>
      </c>
      <c r="D6" s="5" t="s">
        <v>149</v>
      </c>
      <c r="E6" s="6" t="s">
        <v>138</v>
      </c>
    </row>
    <row r="7" ht="45" spans="1:5">
      <c r="A7" s="5">
        <v>6</v>
      </c>
      <c r="B7" s="5" t="s">
        <v>150</v>
      </c>
      <c r="C7" s="5" t="s">
        <v>151</v>
      </c>
      <c r="D7" s="5" t="s">
        <v>152</v>
      </c>
    </row>
    <row r="8" ht="60" spans="1:5">
      <c r="A8" s="5">
        <v>7</v>
      </c>
      <c r="B8" s="5" t="s">
        <v>153</v>
      </c>
      <c r="C8" s="5" t="s">
        <v>154</v>
      </c>
      <c r="D8" s="5" t="s">
        <v>152</v>
      </c>
    </row>
    <row r="9" ht="30" spans="1:5">
      <c r="A9" s="5">
        <v>8</v>
      </c>
      <c r="B9" s="5" t="s">
        <v>155</v>
      </c>
      <c r="C9" s="5" t="s">
        <v>156</v>
      </c>
      <c r="D9" s="5" t="s">
        <v>152</v>
      </c>
    </row>
    <row r="14" ht="45" spans="1:5">
      <c r="B14" t="s">
        <v>157</v>
      </c>
      <c r="C14" s="7" t="s">
        <v>158</v>
      </c>
      <c r="D14" s="8" t="s">
        <v>159</v>
      </c>
    </row>
  </sheetData>
  <hyperlinks>
    <hyperlink ref="D14" r:id="rId1" display="https://prnt.sc/tCYdrsxOdtws&#10;&#10;https://prnt.sc/8Ek7kjfUMRvb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F7" sqref="F7"/>
    </sheetView>
  </sheetViews>
  <sheetFormatPr defaultColWidth="9.14285714285714" defaultRowHeight="15" outlineLevelCol="3"/>
  <cols>
    <col min="2" max="2" width="59.8571428571429" customWidth="1"/>
    <col min="3" max="3" width="68.2857142857143" customWidth="1"/>
    <col min="4" max="4" width="18.4285714285714" customWidth="1"/>
  </cols>
  <sheetData>
    <row r="1" spans="1:4">
      <c r="A1" s="1" t="s">
        <v>131</v>
      </c>
      <c r="B1" s="1" t="s">
        <v>132</v>
      </c>
      <c r="C1" s="1" t="s">
        <v>133</v>
      </c>
      <c r="D1" s="2" t="s">
        <v>160</v>
      </c>
    </row>
    <row r="2" ht="30" spans="1:4">
      <c r="A2" s="3">
        <v>1</v>
      </c>
      <c r="B2" s="4" t="s">
        <v>135</v>
      </c>
      <c r="C2" s="5" t="s">
        <v>161</v>
      </c>
      <c r="D2" s="6" t="s">
        <v>138</v>
      </c>
    </row>
    <row r="3" ht="30" spans="1:4">
      <c r="A3" s="3">
        <v>2</v>
      </c>
      <c r="B3" s="5" t="s">
        <v>139</v>
      </c>
      <c r="C3" s="5" t="s">
        <v>161</v>
      </c>
      <c r="D3" s="6" t="s">
        <v>138</v>
      </c>
    </row>
    <row r="4" ht="30" spans="1:4">
      <c r="A4" s="3">
        <v>3</v>
      </c>
      <c r="B4" s="5" t="s">
        <v>141</v>
      </c>
      <c r="C4" s="5" t="s">
        <v>162</v>
      </c>
      <c r="D4" s="6" t="s">
        <v>138</v>
      </c>
    </row>
    <row r="5" ht="45" spans="1:4">
      <c r="A5" s="3">
        <v>4</v>
      </c>
      <c r="B5" s="5" t="s">
        <v>144</v>
      </c>
      <c r="C5" s="5" t="s">
        <v>161</v>
      </c>
      <c r="D5" s="6" t="s">
        <v>138</v>
      </c>
    </row>
    <row r="6" ht="30" spans="1:4">
      <c r="A6" s="3">
        <v>5</v>
      </c>
      <c r="B6" s="5" t="s">
        <v>147</v>
      </c>
      <c r="C6" s="5" t="s">
        <v>161</v>
      </c>
      <c r="D6" s="6" t="s">
        <v>138</v>
      </c>
    </row>
    <row r="7" ht="30" spans="1:4">
      <c r="A7" s="3">
        <v>6</v>
      </c>
      <c r="B7" s="5" t="s">
        <v>150</v>
      </c>
      <c r="C7" s="5" t="s">
        <v>151</v>
      </c>
      <c r="D7" s="5" t="s">
        <v>163</v>
      </c>
    </row>
    <row r="8" ht="45" spans="1:4">
      <c r="A8" s="3">
        <v>7</v>
      </c>
      <c r="B8" s="5" t="s">
        <v>153</v>
      </c>
      <c r="C8" s="5" t="s">
        <v>154</v>
      </c>
      <c r="D8" s="5" t="s">
        <v>163</v>
      </c>
    </row>
    <row r="9" ht="30" spans="1:4">
      <c r="A9" s="3">
        <v>8</v>
      </c>
      <c r="B9" s="5" t="s">
        <v>155</v>
      </c>
      <c r="C9" s="5" t="s">
        <v>156</v>
      </c>
      <c r="D9" s="5" t="s">
        <v>163</v>
      </c>
    </row>
    <row r="14" ht="30" spans="1:4">
      <c r="B14" t="s">
        <v>157</v>
      </c>
      <c r="C14" s="7" t="s">
        <v>158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Sheet3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 SOMESH</cp:lastModifiedBy>
  <dcterms:created xsi:type="dcterms:W3CDTF">2026-09-22T08:51:00Z</dcterms:created>
  <dcterms:modified xsi:type="dcterms:W3CDTF">2026-10-06T07:25:00Z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1033-12.1.0.25242</vt:lpwstr>
  </property>
  <property fmtid="{D5CDD505-2E9C-101B-9397-08002B2CF9AE}" pid="3" name="CalculationRule">
    <vt:i4>0</vt:i4>
  </property>
  <property fmtid="{D5CDD505-2E9C-101B-9397-08002B2CF9AE}" pid="4" name="ICV">
    <vt:lpwstr>35A4B6D70DE24A5A9E0B44BC51488EBC_12</vt:lpwstr>
  </property>
</Properties>
</file>