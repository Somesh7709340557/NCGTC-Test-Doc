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 activeTab="3"/>
  </bookViews>
  <sheets>
    <sheet name="Sheet1" sheetId="2" r:id="rId1"/>
    <sheet name="D2" sheetId="4" r:id="rId2"/>
    <sheet name="D3" sheetId="5" r:id="rId3"/>
    <sheet name="Sheet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<sst xmlns="http://schemas.openxmlformats.org/spreadsheetml/2006/main" count="315" uniqueCount="113">
  <si>
    <t>CGPAN</t>
  </si>
  <si>
    <t>LoanAccountNumber</t>
  </si>
  <si>
    <t>DisbursementAmount</t>
  </si>
  <si>
    <t>Column1</t>
  </si>
  <si>
    <t>DisbursementDate</t>
  </si>
  <si>
    <t>CGFees</t>
  </si>
  <si>
    <t>IGST</t>
  </si>
  <si>
    <t>CGST</t>
  </si>
  <si>
    <t>SGST</t>
  </si>
  <si>
    <t>CGMSMGEN0605202600504017</t>
  </si>
  <si>
    <t>loan01</t>
  </si>
  <si>
    <t>CGMSMGEN0605202600504018</t>
  </si>
  <si>
    <t>loan02</t>
  </si>
  <si>
    <t>10000</t>
  </si>
  <si>
    <t>06-06-2026</t>
  </si>
  <si>
    <t>CGMSMGEN0605202600504019</t>
  </si>
  <si>
    <t>loan03</t>
  </si>
  <si>
    <t>CGMSMGEN0605202600504020</t>
  </si>
  <si>
    <t>loan04</t>
  </si>
  <si>
    <t>10000000.79</t>
  </si>
  <si>
    <t>for 1</t>
  </si>
  <si>
    <t>(Disb1+ dist2) - colatr</t>
  </si>
  <si>
    <t>days (dist date - FY end)</t>
  </si>
  <si>
    <t>CG fes for general - D2</t>
  </si>
  <si>
    <t>9,500 × 1.5% × (299 / 365)</t>
  </si>
  <si>
    <t>for 2</t>
  </si>
  <si>
    <t>Disb - colatr</t>
  </si>
  <si>
    <t>CG fes for Well-run- D2</t>
  </si>
  <si>
    <t>D1</t>
  </si>
  <si>
    <t>D2</t>
  </si>
  <si>
    <t>C</t>
  </si>
  <si>
    <t>Days</t>
  </si>
  <si>
    <t>(D1+D2)-C</t>
  </si>
  <si>
    <t>CG fees (D1+D2)-C *1.5-0.5%*(days/365)</t>
  </si>
  <si>
    <t>1000</t>
  </si>
  <si>
    <t>D3</t>
  </si>
  <si>
    <t>(D1+D2+D3)-C</t>
  </si>
  <si>
    <t>CG fees (D1+D2+D3)-C *1.5-0.5%*(days/365)</t>
  </si>
  <si>
    <t>100</t>
  </si>
  <si>
    <t>06-07-2026</t>
  </si>
  <si>
    <t>d1</t>
  </si>
  <si>
    <t>d2</t>
  </si>
  <si>
    <t>D1 amt - C</t>
  </si>
  <si>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</si>
  <si>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</si>
  <si>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</si>
  <si>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</si>
  <si>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</si>
  <si>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</si>
  <si>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</si>
  <si>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</si>
  <si>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</si>
  <si>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</si>
  <si>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</si>
  <si>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</si>
  <si>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</si>
  <si>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InterestRate</t>
  </si>
  <si>
    <t>SanctionedLoanAmount</t>
  </si>
  <si>
    <t>SanctionedLoanDate</t>
  </si>
  <si>
    <t>LoanTenure</t>
  </si>
  <si>
    <t>LoanMoratoriumPeriod</t>
  </si>
  <si>
    <t>Religion</t>
  </si>
  <si>
    <t>CasteCategory</t>
  </si>
  <si>
    <t>NatureOfIndustry</t>
  </si>
  <si>
    <t>IndustrySector</t>
  </si>
  <si>
    <t>EntityType</t>
  </si>
  <si>
    <t>MSMEType</t>
  </si>
  <si>
    <t>PartialCollateralSecurityAmount</t>
  </si>
  <si>
    <t>BorrowerType</t>
  </si>
  <si>
    <t>ProjectCost</t>
  </si>
  <si>
    <t>InitialContribution</t>
  </si>
  <si>
    <t>GuaranteeIssueStartDate</t>
  </si>
  <si>
    <t>GuaranteeIssueEndDate</t>
  </si>
  <si>
    <t>someshone</t>
  </si>
  <si>
    <t>test3@gmail.com</t>
  </si>
  <si>
    <t>9876543210</t>
  </si>
  <si>
    <t>1</t>
  </si>
  <si>
    <t>EMJPS6630A</t>
  </si>
  <si>
    <t>UDYAM-GJ-21-9876701</t>
  </si>
  <si>
    <t>custsomeshone</t>
  </si>
  <si>
    <t>M</t>
  </si>
  <si>
    <t>test</t>
  </si>
  <si>
    <t>Test</t>
  </si>
  <si>
    <t>001</t>
  </si>
  <si>
    <t>01</t>
  </si>
  <si>
    <t>201009</t>
  </si>
  <si>
    <t>48</t>
  </si>
  <si>
    <t>12</t>
  </si>
  <si>
    <t>someshtwo</t>
  </si>
  <si>
    <t>test4@gmail.com</t>
  </si>
  <si>
    <t>9876543211</t>
  </si>
  <si>
    <t>EMJPS6630W</t>
  </si>
  <si>
    <t>UDYAM-GJ-21-9876702</t>
  </si>
  <si>
    <t>custsomeshtwo</t>
  </si>
  <si>
    <t>someshthree</t>
  </si>
  <si>
    <t>UDYAM-GJ-21-9876703</t>
  </si>
  <si>
    <t>custsomeshthree</t>
  </si>
  <si>
    <t>someshfour</t>
  </si>
  <si>
    <t>UDYAM-GJ-21-9876704</t>
  </si>
  <si>
    <t>custsomeshf</t>
  </si>
  <si>
    <t>Net Loan Amount</t>
  </si>
  <si>
    <t>Net Loan Amount (D1)</t>
  </si>
  <si>
    <t>D1-C</t>
  </si>
  <si>
    <t>Days calculations</t>
  </si>
  <si>
    <t>31-03-2026</t>
  </si>
  <si>
    <t>Dist date</t>
  </si>
  <si>
    <t>FY end date</t>
  </si>
  <si>
    <t xml:space="preserve">Net Loan Amount </t>
  </si>
  <si>
    <t>CG fee</t>
  </si>
  <si>
    <t>D2  = (D1amt+D2amt)-C-D1</t>
  </si>
  <si>
    <t>●(D1 + D2) – C</t>
  </si>
  <si>
    <t>D3  = (D1amt+D2amt+D3amt)-C-D1-D2</t>
  </si>
  <si>
    <r>
      <rPr>
        <sz val="11"/>
        <color rgb="FF000000"/>
        <rFont val="Calibri"/>
        <charset val="134"/>
      </rPr>
      <t xml:space="preserve">(D1 + D2 + D3) – C -  </t>
    </r>
    <r>
      <rPr>
        <b/>
        <sz val="11"/>
        <color rgb="FF000000"/>
        <rFont val="Calibri"/>
        <charset val="134"/>
      </rPr>
      <t>– Already CG fee paid Portion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</si>
</sst>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&quot;Aptos Narrow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6">
    <xf numFmtId="0" fontId="0" fillId="0" borderId="0" xfId="0" applyFill="1" applyProtection="1"/>
    <xf numFmtId="0" fontId="0" fillId="0" borderId="0" xfId="0" applyFont="1" applyFill="1" applyProtection="1"/>
    <xf numFmtId="180" fontId="0" fillId="0" borderId="0" xfId="0" applyNumberFormat="1" applyFont="1" applyFill="1" applyProtection="1"/>
    <xf numFmtId="0" fontId="1" fillId="0" borderId="1" xfId="0" applyFont="1" applyFill="1" applyBorder="1"/>
    <xf numFmtId="0" fontId="1" fillId="0" borderId="2" xfId="0" applyFont="1" applyFill="1" applyBorder="1"/>
    <xf numFmtId="180" fontId="1" fillId="0" borderId="2" xfId="0" applyNumberFormat="1" applyFont="1" applyFill="1" applyBorder="1"/>
    <xf numFmtId="0" fontId="1" fillId="0" borderId="3" xfId="0" applyFont="1" applyFill="1" applyBorder="1"/>
    <xf numFmtId="0" fontId="0" fillId="0" borderId="0" xfId="0" applyFont="1" applyFill="1" applyAlignment="1" applyProtection="1">
      <alignment horizontal="center"/>
    </xf>
    <xf numFmtId="0" fontId="0" fillId="2" borderId="0" xfId="0" applyFont="1" applyFill="1" applyProtection="1"/>
    <xf numFmtId="0" fontId="0" fillId="0" borderId="0" xfId="0" applyNumberFormat="1" applyFont="1" applyFill="1" applyProtection="1"/>
    <xf numFmtId="0" fontId="0" fillId="0" borderId="0" xfId="0" applyFont="1" applyFill="1" applyAlignment="1" applyProtection="1">
      <alignment wrapText="1"/>
    </xf>
    <xf numFmtId="0" fontId="0" fillId="0" borderId="0" xfId="0" applyFill="1" applyAlignment="1" applyProtection="1">
      <alignment horizont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/>
    </xf>
    <xf numFmtId="0" fontId="1" fillId="0" borderId="2" xfId="0" applyNumberFormat="1" applyFont="1" applyBorder="1"/>
    <xf numFmtId="0" fontId="3" fillId="0" borderId="0" xfId="0" applyNumberFormat="1" applyFont="1" applyFill="1" applyBorder="1" applyAlignment="1">
      <alignment horizontal="center"/>
    </xf>
    <xf numFmtId="180" fontId="0" fillId="0" borderId="0" xfId="0" applyNumberFormat="1" applyFill="1" applyProtection="1"/>
    <xf numFmtId="0" fontId="1" fillId="0" borderId="0" xfId="0" applyFont="1" applyBorder="1" applyAlignment="1">
      <alignment horizontal="center"/>
    </xf>
    <xf numFmtId="0" fontId="0" fillId="3" borderId="0" xfId="0" applyFill="1" applyProtection="1"/>
    <xf numFmtId="180" fontId="0" fillId="3" borderId="0" xfId="0" applyNumberFormat="1" applyFill="1" applyProtection="1"/>
    <xf numFmtId="0" fontId="0" fillId="4" borderId="0" xfId="0" applyFill="1" applyProtection="1"/>
    <xf numFmtId="0" fontId="0" fillId="5" borderId="0" xfId="0" applyFill="1" applyProtection="1"/>
    <xf numFmtId="0" fontId="3" fillId="0" borderId="0" xfId="0" applyNumberFormat="1" applyFont="1" applyFill="1" applyBorder="1" applyAlignment="1">
      <alignment horizontal="lef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3" fillId="0" borderId="0" xfId="0" applyNumberFormat="1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firstColumnStripe" dxfId="76"/>
    </tableStyle>
    <tableStyle name="PivotStylePreset2_Accent1" table="0" count="10" xr9:uid="{267968C8-6FFD-4C36-ACC1-9EA1FD1885CA}">
      <tableStyleElement type="headerRow" dxfId="92"/>
      <tableStyleElement type="totalRow" dxfId="91"/>
      <tableStyleElement type="firstRowStripe" dxfId="90"/>
      <tableStyleElement type="firstColumnStripe" dxfId="89"/>
      <tableStyleElement type="firstSubtotalRow" dxfId="88"/>
      <tableStyleElement type="secondSubtotalRow" dxfId="87"/>
      <tableStyleElement type="firstRowSubheading" dxfId="86"/>
      <tableStyleElement type="secondRowSubheading" dxfId="85"/>
      <tableStyleElement type="pageFieldLabels" dxfId="84"/>
      <tableStyleElement type="pageFieldValues" dxfId="8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5" totalsRowShown="0">
  <autoFilter xmlns:etc="http://www.wps.cn/officeDocument/2017/etCustomData" ref="A1:I5" etc:filterBottomFollowUsedRange="0"/>
  <tableColumns count="9">
    <tableColumn id="1" name="CGPAN" dataDxfId="0"/>
    <tableColumn id="2" name="LoanAccountNumber" dataDxfId="1"/>
    <tableColumn id="3" name="DisbursementAmount" dataDxfId="2"/>
    <tableColumn id="9" name="Column1" dataDxfId="3"/>
    <tableColumn id="4" name="DisbursementDate" dataDxfId="4"/>
    <tableColumn id="5" name="CGFees" dataDxfId="5"/>
    <tableColumn id="6" name="IGST" dataDxfId="6"/>
    <tableColumn id="7" name="CGST" dataDxfId="7"/>
    <tableColumn id="8" name="SGST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H5" totalsRowShown="0">
  <autoFilter xmlns:etc="http://www.wps.cn/officeDocument/2017/etCustomData" ref="A1:H5" etc:filterBottomFollowUsedRange="0"/>
  <tableColumns count="8">
    <tableColumn id="1" name="CGPAN" dataDxfId="9"/>
    <tableColumn id="2" name="LoanAccountNumber" dataDxfId="10"/>
    <tableColumn id="3" name="DisbursementAmount" dataDxfId="11"/>
    <tableColumn id="4" name="DisbursementDate" dataDxfId="12"/>
    <tableColumn id="5" name="CGFees" dataDxfId="13"/>
    <tableColumn id="6" name="IGST" dataDxfId="14"/>
    <tableColumn id="7" name="CGST" dataDxfId="15"/>
    <tableColumn id="8" name="SGST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H5" totalsRowShown="0">
  <autoFilter xmlns:etc="http://www.wps.cn/officeDocument/2017/etCustomData" ref="A1:H5" etc:filterBottomFollowUsedRange="0"/>
  <tableColumns count="8">
    <tableColumn id="1" name="CGPAN" dataDxfId="17"/>
    <tableColumn id="2" name="LoanAccountNumber" dataDxfId="18"/>
    <tableColumn id="3" name="DisbursementAmount" dataDxfId="19"/>
    <tableColumn id="4" name="DisbursementDate" dataDxfId="20"/>
    <tableColumn id="5" name="CGFees" dataDxfId="21"/>
    <tableColumn id="6" name="IGST" dataDxfId="22"/>
    <tableColumn id="7" name="CGST" dataDxfId="23"/>
    <tableColumn id="8" name="SGST" dataDxfId="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A1:AI5" totalsRowShown="0">
  <autoFilter xmlns:etc="http://www.wps.cn/officeDocument/2017/etCustomData" ref="A1:AI5" etc:filterBottomFollowUsedRange="0"/>
  <tableColumns count="35">
    <tableColumn id="1" name="UnitName" dataDxfId="25"/>
    <tableColumn id="2" name="EmailId" dataDxfId="26"/>
    <tableColumn id="3" name="MobileNo" dataDxfId="27"/>
    <tableColumn id="4" name="Constitution" dataDxfId="28"/>
    <tableColumn id="5" name="UnitPanNo" dataDxfId="29"/>
    <tableColumn id="6" name="UnitRegistrationNo" dataDxfId="30"/>
    <tableColumn id="7" name="CustomersId" dataDxfId="31"/>
    <tableColumn id="8" name="Gender" dataDxfId="32"/>
    <tableColumn id="9" name="AddressLine" dataDxfId="33"/>
    <tableColumn id="10" name="City" dataDxfId="34"/>
    <tableColumn id="11" name="District" dataDxfId="35"/>
    <tableColumn id="12" name="State" dataDxfId="36"/>
    <tableColumn id="13" name="PinCode" dataDxfId="37"/>
    <tableColumn id="14" name="LoanAccountNumber" dataDxfId="38"/>
    <tableColumn id="15" name="InterestRate" dataDxfId="39"/>
    <tableColumn id="16" name="SanctionedLoanAmount" dataDxfId="40"/>
    <tableColumn id="17" name="SanctionedLoanDate" dataDxfId="41"/>
    <tableColumn id="18" name="LoanTenure" dataDxfId="42"/>
    <tableColumn id="19" name="LoanMoratoriumPeriod" dataDxfId="43"/>
    <tableColumn id="20" name="Religion" dataDxfId="44"/>
    <tableColumn id="21" name="CasteCategory" dataDxfId="45"/>
    <tableColumn id="22" name="NatureOfIndustry" dataDxfId="46"/>
    <tableColumn id="23" name="IndustrySector" dataDxfId="47"/>
    <tableColumn id="24" name="EntityType" dataDxfId="48"/>
    <tableColumn id="25" name="MSMEType" dataDxfId="49"/>
    <tableColumn id="26" name="PartialCollateralSecurityAmount" dataDxfId="50"/>
    <tableColumn id="27" name="BorrowerType" dataDxfId="51"/>
    <tableColumn id="28" name="ProjectCost" dataDxfId="52"/>
    <tableColumn id="29" name="CGPAN" dataDxfId="53"/>
    <tableColumn id="30" name="InitialContribution" dataDxfId="54"/>
    <tableColumn id="31" name="CGST" dataDxfId="55"/>
    <tableColumn id="32" name="SGST" dataDxfId="56"/>
    <tableColumn id="33" name="IGST" dataDxfId="57"/>
    <tableColumn id="34" name="GuaranteeIssueStartDate" dataDxfId="58"/>
    <tableColumn id="35" name="GuaranteeIssueEndDate" dataDxfId="5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_36" displayName="Table1_36" ref="A21:H25" totalsRowShown="0">
  <autoFilter xmlns:etc="http://www.wps.cn/officeDocument/2017/etCustomData" ref="A21:H25" etc:filterBottomFollowUsedRange="0"/>
  <tableColumns count="8">
    <tableColumn id="1" name="CGPAN" dataDxfId="60"/>
    <tableColumn id="2" name="LoanAccountNumber" dataDxfId="61"/>
    <tableColumn id="3" name="DisbursementAmount" dataDxfId="62"/>
    <tableColumn id="4" name="DisbursementDate" dataDxfId="63"/>
    <tableColumn id="5" name="CGFees" dataDxfId="64"/>
    <tableColumn id="6" name="IGST" dataDxfId="65"/>
    <tableColumn id="7" name="CGST" dataDxfId="66"/>
    <tableColumn id="8" name="SGST" dataDxfId="6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_47" displayName="Table1_47" ref="A29:H33" totalsRowShown="0">
  <autoFilter xmlns:etc="http://www.wps.cn/officeDocument/2017/etCustomData" ref="A29:H33" etc:filterBottomFollowUsedRange="0"/>
  <tableColumns count="8">
    <tableColumn id="1" name="CGPAN" dataDxfId="68"/>
    <tableColumn id="2" name="LoanAccountNumber" dataDxfId="69"/>
    <tableColumn id="3" name="DisbursementAmount" dataDxfId="70"/>
    <tableColumn id="4" name="DisbursementDate" dataDxfId="71"/>
    <tableColumn id="5" name="CGFees" dataDxfId="72"/>
    <tableColumn id="6" name="IGST" dataDxfId="73"/>
    <tableColumn id="7" name="CGST" dataDxfId="74"/>
    <tableColumn id="8" name="SGST" dataDxfId="7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D18" sqref="D18"/>
    </sheetView>
  </sheetViews>
  <sheetFormatPr defaultColWidth="9" defaultRowHeight="15"/>
  <cols>
    <col min="1" max="1" width="29.552380952381" customWidth="1"/>
    <col min="2" max="2" width="21.552380952381" customWidth="1"/>
    <col min="3" max="4" width="22.552380952381" customWidth="1"/>
    <col min="5" max="5" width="24.2857142857143" customWidth="1"/>
    <col min="6" max="6" width="21.8571428571429" customWidth="1"/>
    <col min="7" max="7" width="14.5714285714286" customWidth="1"/>
    <col min="8" max="8" width="26" customWidth="1"/>
    <col min="9" max="9" width="22.714285714285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="18" customFormat="1" spans="1:9">
      <c r="A2" s="18" t="s">
        <v>9</v>
      </c>
      <c r="B2" s="18" t="s">
        <v>10</v>
      </c>
      <c r="C2" s="18">
        <v>10000</v>
      </c>
      <c r="D2" s="18">
        <v>500</v>
      </c>
      <c r="E2" s="19">
        <v>46179</v>
      </c>
      <c r="F2" s="20">
        <v>116.73</v>
      </c>
      <c r="G2" s="18">
        <v>0</v>
      </c>
      <c r="H2" s="18">
        <v>10.51</v>
      </c>
      <c r="I2" s="18">
        <v>10.51</v>
      </c>
    </row>
    <row r="3" s="18" customFormat="1" spans="1:9">
      <c r="A3" s="18" t="s">
        <v>11</v>
      </c>
      <c r="B3" s="18" t="s">
        <v>12</v>
      </c>
      <c r="C3" s="18" t="s">
        <v>13</v>
      </c>
      <c r="E3" s="18" t="s">
        <v>14</v>
      </c>
      <c r="F3" s="18">
        <v>116.73</v>
      </c>
      <c r="G3" s="18">
        <v>0</v>
      </c>
      <c r="H3" s="18">
        <v>10.51</v>
      </c>
      <c r="I3" s="18">
        <v>10.51</v>
      </c>
    </row>
    <row r="4" spans="1:9">
      <c r="A4" t="s">
        <v>15</v>
      </c>
      <c r="B4" t="s">
        <v>16</v>
      </c>
      <c r="C4" t="s">
        <v>13</v>
      </c>
      <c r="E4" t="s">
        <v>14</v>
      </c>
      <c r="F4">
        <v>38.78</v>
      </c>
      <c r="G4">
        <v>0</v>
      </c>
      <c r="H4">
        <v>3.49</v>
      </c>
      <c r="I4">
        <v>3.49</v>
      </c>
    </row>
    <row r="5" spans="1:9">
      <c r="A5" t="s">
        <v>17</v>
      </c>
      <c r="B5" t="s">
        <v>18</v>
      </c>
      <c r="C5" t="s">
        <v>13</v>
      </c>
      <c r="E5" t="s">
        <v>14</v>
      </c>
      <c r="F5" s="20">
        <v>38.78</v>
      </c>
      <c r="G5">
        <v>0</v>
      </c>
      <c r="H5">
        <v>3.49</v>
      </c>
      <c r="I5">
        <v>3.49</v>
      </c>
    </row>
    <row r="6" spans="1:9">
      <c r="F6" s="21">
        <f>SUM(F2:F5)</f>
        <v>311.02</v>
      </c>
      <c r="G6" s="21">
        <f>SUM(G2:G5)</f>
        <v>0</v>
      </c>
      <c r="H6" s="21">
        <f>SUM(H2:H5)</f>
        <v>28</v>
      </c>
      <c r="I6" s="21">
        <f>SUM(I2:I5)</f>
        <v>28</v>
      </c>
    </row>
    <row r="8" spans="1:9">
      <c r="C8" s="26" t="s">
        <v>19</v>
      </c>
      <c r="D8">
        <f>C2-D2</f>
        <v>9500</v>
      </c>
    </row>
    <row r="12" spans="1:9">
      <c r="F12" s="16">
        <v>46179</v>
      </c>
    </row>
    <row r="13" spans="1:9">
      <c r="F13" s="16">
        <v>46477</v>
      </c>
    </row>
    <row r="14" spans="1:9">
      <c r="F14">
        <f>F13-F12+1</f>
        <v>299</v>
      </c>
      <c r="G14" s="23" t="s">
        <v>20</v>
      </c>
      <c r="H14" s="24" t="s">
        <v>21</v>
      </c>
      <c r="I14" s="24">
        <f>C2-500</f>
        <v>9500</v>
      </c>
    </row>
    <row r="15" spans="1:9">
      <c r="G15" s="23"/>
      <c r="H15" s="24" t="s">
        <v>22</v>
      </c>
      <c r="I15" s="24">
        <v>299</v>
      </c>
    </row>
    <row r="16" spans="1:9">
      <c r="G16" s="23"/>
      <c r="H16" s="24"/>
      <c r="I16" s="24"/>
    </row>
    <row r="17" spans="7:9">
      <c r="G17" s="23"/>
      <c r="H17" s="24" t="s">
        <v>23</v>
      </c>
      <c r="I17" s="25">
        <f>ROUND(I14*1.5%*(I15/365),2)</f>
        <v>116.73</v>
      </c>
    </row>
    <row r="18" spans="7:9">
      <c r="G18" s="23"/>
      <c r="H18" s="24"/>
      <c r="I18" s="24"/>
    </row>
    <row r="19" spans="7:9">
      <c r="G19" s="23"/>
      <c r="H19" s="24" t="s">
        <v>24</v>
      </c>
      <c r="I19" s="24"/>
    </row>
    <row r="20" spans="7:9">
      <c r="G20" s="24"/>
      <c r="H20" s="24"/>
      <c r="I20" s="24"/>
    </row>
    <row r="21" spans="7:9">
      <c r="G21" s="24"/>
      <c r="H21" s="24"/>
      <c r="I21" s="24"/>
    </row>
    <row r="22" spans="7:9">
      <c r="G22" s="24"/>
      <c r="H22" s="24"/>
      <c r="I22" s="24"/>
    </row>
    <row r="23" spans="7:9">
      <c r="G23" s="23" t="s">
        <v>25</v>
      </c>
      <c r="H23" s="24" t="s">
        <v>26</v>
      </c>
      <c r="I23" s="24">
        <f>C4-500</f>
        <v>9500</v>
      </c>
    </row>
    <row r="24" spans="7:9">
      <c r="G24" s="23"/>
      <c r="H24" s="24" t="s">
        <v>22</v>
      </c>
      <c r="I24" s="24">
        <v>299</v>
      </c>
    </row>
    <row r="25" spans="7:9">
      <c r="G25" s="23"/>
      <c r="H25" s="24" t="s">
        <v>27</v>
      </c>
      <c r="I25" s="25">
        <f>(I23*0.5%*(I24/365))</f>
        <v>38.9109589041096</v>
      </c>
    </row>
  </sheetData>
  <mergeCells count="2">
    <mergeCell ref="G14:G19"/>
    <mergeCell ref="G23:G25"/>
  </mergeCells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2" sqref="P2"/>
    </sheetView>
  </sheetViews>
  <sheetFormatPr defaultColWidth="9" defaultRowHeight="15"/>
  <cols>
    <col min="1" max="1" width="29.552380952381" customWidth="1"/>
    <col min="2" max="2" width="21.552380952381" customWidth="1"/>
    <col min="3" max="3" width="22.552380952381" customWidth="1"/>
    <col min="4" max="4" width="19.552380952381" customWidth="1"/>
    <col min="5" max="5" width="9.55238095238095" customWidth="1"/>
    <col min="6" max="6" width="6.83809523809524" customWidth="1"/>
    <col min="7" max="7" width="17.2857142857143" customWidth="1"/>
    <col min="8" max="8" width="16" customWidth="1"/>
    <col min="10" max="10" width="12" customWidth="1"/>
    <col min="11" max="11" width="15.8571428571429" customWidth="1"/>
    <col min="12" max="13" width="11.2857142857143" customWidth="1"/>
    <col min="14" max="14" width="14.8571428571429" customWidth="1"/>
    <col min="15" max="15" width="13.5714285714286" customWidth="1"/>
    <col min="16" max="16" width="39.1428571428571" customWidth="1"/>
  </cols>
  <sheetData>
    <row r="1" customFormat="1" spans="1:1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J1" s="11" t="s">
        <v>28</v>
      </c>
      <c r="K1" s="11" t="s">
        <v>29</v>
      </c>
      <c r="L1" s="11" t="s">
        <v>30</v>
      </c>
      <c r="M1" s="11" t="s">
        <v>31</v>
      </c>
      <c r="N1" t="s">
        <v>32</v>
      </c>
      <c r="P1" t="s">
        <v>33</v>
      </c>
    </row>
    <row r="2" customFormat="1" spans="1:16">
      <c r="A2" t="s">
        <v>9</v>
      </c>
      <c r="B2" t="s">
        <v>10</v>
      </c>
      <c r="C2" t="s">
        <v>34</v>
      </c>
      <c r="D2" t="s">
        <v>14</v>
      </c>
      <c r="E2">
        <v>129.02</v>
      </c>
      <c r="F2">
        <v>0</v>
      </c>
      <c r="G2">
        <v>11.61</v>
      </c>
      <c r="H2">
        <v>11.61</v>
      </c>
      <c r="J2" s="12">
        <v>10000</v>
      </c>
      <c r="K2" s="17" t="s">
        <v>34</v>
      </c>
      <c r="L2" s="15">
        <v>500</v>
      </c>
      <c r="M2" s="11">
        <v>299</v>
      </c>
      <c r="N2">
        <f>(J2+K2)-L2</f>
        <v>10500</v>
      </c>
      <c r="P2">
        <f>N2*1.5%*(M2/365)</f>
        <v>129.020547945205</v>
      </c>
    </row>
    <row r="3" customFormat="1" spans="1:16">
      <c r="A3" t="s">
        <v>11</v>
      </c>
      <c r="B3" t="s">
        <v>12</v>
      </c>
      <c r="C3" t="s">
        <v>34</v>
      </c>
      <c r="D3" t="s">
        <v>14</v>
      </c>
      <c r="E3">
        <v>129.02</v>
      </c>
      <c r="F3">
        <v>0</v>
      </c>
      <c r="G3">
        <v>11.61</v>
      </c>
      <c r="H3">
        <v>11.61</v>
      </c>
      <c r="J3" s="12">
        <v>10000</v>
      </c>
      <c r="K3" s="17" t="s">
        <v>34</v>
      </c>
      <c r="L3" s="15">
        <v>500</v>
      </c>
      <c r="M3" s="11">
        <v>299</v>
      </c>
      <c r="N3">
        <f>(J3+K3)-L3</f>
        <v>10500</v>
      </c>
      <c r="P3">
        <f>N3*1.5%*(M3/365)</f>
        <v>129.020547945205</v>
      </c>
    </row>
    <row r="4" customFormat="1" spans="1:16">
      <c r="A4" t="s">
        <v>15</v>
      </c>
      <c r="B4" t="s">
        <v>16</v>
      </c>
      <c r="C4" t="s">
        <v>34</v>
      </c>
      <c r="D4" t="s">
        <v>14</v>
      </c>
      <c r="E4">
        <v>43.01</v>
      </c>
      <c r="F4">
        <v>0</v>
      </c>
      <c r="G4">
        <v>3.87</v>
      </c>
      <c r="H4">
        <v>3.87</v>
      </c>
      <c r="J4" s="12">
        <v>10000</v>
      </c>
      <c r="K4" s="17" t="s">
        <v>34</v>
      </c>
      <c r="L4" s="15">
        <v>500</v>
      </c>
      <c r="M4" s="11">
        <v>299</v>
      </c>
      <c r="N4">
        <f>(J4+K4)-L4</f>
        <v>10500</v>
      </c>
      <c r="P4">
        <f>N3*0.5%*(M3/365)</f>
        <v>43.0068493150685</v>
      </c>
    </row>
    <row r="5" customFormat="1" spans="1:16">
      <c r="A5" t="s">
        <v>17</v>
      </c>
      <c r="B5" t="s">
        <v>18</v>
      </c>
      <c r="C5" t="s">
        <v>34</v>
      </c>
      <c r="D5" t="s">
        <v>14</v>
      </c>
      <c r="E5">
        <v>43.01</v>
      </c>
      <c r="F5">
        <v>0</v>
      </c>
      <c r="G5">
        <v>3.87</v>
      </c>
      <c r="H5">
        <v>3.87</v>
      </c>
      <c r="J5" s="12">
        <v>10000</v>
      </c>
      <c r="K5" s="17" t="s">
        <v>34</v>
      </c>
      <c r="L5" s="15">
        <v>500</v>
      </c>
      <c r="M5" s="11">
        <v>299</v>
      </c>
      <c r="N5">
        <f>(J5+K5)-L5</f>
        <v>10500</v>
      </c>
      <c r="P5">
        <f>N4*0.5%*(M4/365)</f>
        <v>43.0068493150685</v>
      </c>
    </row>
    <row r="14" spans="1:16">
      <c r="L14">
        <f>10000+1000-500</f>
        <v>10500</v>
      </c>
    </row>
    <row r="15" customFormat="1" spans="1:16">
      <c r="G15" s="16">
        <v>46179</v>
      </c>
    </row>
    <row r="16" customFormat="1" spans="1:16">
      <c r="G16" s="16">
        <v>46477</v>
      </c>
    </row>
    <row r="17" customFormat="1" spans="7:7">
      <c r="G17">
        <f>G16-G15+1</f>
        <v>299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opLeftCell="B1" workbookViewId="0">
      <selection activeCell="J26" sqref="J26"/>
    </sheetView>
  </sheetViews>
  <sheetFormatPr defaultColWidth="9.14285714285714" defaultRowHeight="15"/>
  <cols>
    <col min="4" max="4" width="21.7142857142857" customWidth="1"/>
    <col min="5" max="5" width="19.5714285714286" customWidth="1"/>
    <col min="6" max="6" width="22" customWidth="1"/>
    <col min="7" max="7" width="18.2857142857143" customWidth="1"/>
    <col min="8" max="8" width="20.1428571428571" customWidth="1"/>
    <col min="10" max="10" width="11.1428571428571"/>
    <col min="11" max="11" width="12" customWidth="1"/>
    <col min="15" max="15" width="22.1428571428571" customWidth="1"/>
    <col min="16" max="16" width="20" customWidth="1"/>
    <col min="17" max="17" width="37.8571428571429" customWidth="1"/>
  </cols>
  <sheetData>
    <row r="1" spans="1:1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J1" s="11" t="s">
        <v>28</v>
      </c>
      <c r="K1" s="11" t="s">
        <v>29</v>
      </c>
      <c r="L1" s="11" t="s">
        <v>35</v>
      </c>
      <c r="M1" s="11" t="s">
        <v>30</v>
      </c>
      <c r="N1" s="11" t="s">
        <v>31</v>
      </c>
      <c r="O1" t="s">
        <v>36</v>
      </c>
      <c r="Q1" t="s">
        <v>37</v>
      </c>
    </row>
    <row r="2" spans="1:17">
      <c r="A2" t="s">
        <v>9</v>
      </c>
      <c r="B2" t="s">
        <v>10</v>
      </c>
      <c r="C2" t="s">
        <v>38</v>
      </c>
      <c r="D2" t="s">
        <v>39</v>
      </c>
      <c r="E2">
        <v>1.11</v>
      </c>
      <c r="F2">
        <v>0</v>
      </c>
      <c r="G2">
        <v>0.1</v>
      </c>
      <c r="H2">
        <v>0.1</v>
      </c>
      <c r="J2" s="12">
        <v>10000</v>
      </c>
      <c r="K2" s="13">
        <v>1000</v>
      </c>
      <c r="L2" s="14">
        <v>100</v>
      </c>
      <c r="M2" s="15">
        <v>500</v>
      </c>
      <c r="N2" s="11">
        <v>269</v>
      </c>
      <c r="O2">
        <f>J2+K2+L2-M2</f>
        <v>10600</v>
      </c>
      <c r="Q2">
        <f>100*1.5%*(N2/365)</f>
        <v>1.10547945205479</v>
      </c>
    </row>
    <row r="3" spans="1:17">
      <c r="A3" t="s">
        <v>11</v>
      </c>
      <c r="B3" t="s">
        <v>12</v>
      </c>
      <c r="C3" t="s">
        <v>38</v>
      </c>
      <c r="D3" t="s">
        <v>39</v>
      </c>
      <c r="E3">
        <v>1.11</v>
      </c>
      <c r="F3">
        <v>0</v>
      </c>
      <c r="G3">
        <v>0.1</v>
      </c>
      <c r="H3">
        <v>0.1</v>
      </c>
      <c r="J3" s="12">
        <v>10000</v>
      </c>
      <c r="K3" s="13">
        <v>1000</v>
      </c>
      <c r="L3" s="14">
        <v>100</v>
      </c>
      <c r="M3" s="15">
        <v>500</v>
      </c>
      <c r="N3" s="11">
        <v>269</v>
      </c>
      <c r="O3">
        <f>(J3+K3+L3)-M3</f>
        <v>10600</v>
      </c>
      <c r="Q3">
        <f>100*1.5%*(N3/365)</f>
        <v>1.10547945205479</v>
      </c>
    </row>
    <row r="4" spans="1:17">
      <c r="A4" t="s">
        <v>15</v>
      </c>
      <c r="B4" t="s">
        <v>16</v>
      </c>
      <c r="C4" t="s">
        <v>38</v>
      </c>
      <c r="D4" t="s">
        <v>39</v>
      </c>
      <c r="E4">
        <v>0.37</v>
      </c>
      <c r="F4">
        <v>0</v>
      </c>
      <c r="G4">
        <v>0.03</v>
      </c>
      <c r="H4">
        <v>0.03</v>
      </c>
      <c r="J4" s="12">
        <v>10000</v>
      </c>
      <c r="K4" s="13">
        <v>1000</v>
      </c>
      <c r="L4" s="14">
        <v>100</v>
      </c>
      <c r="M4" s="15">
        <v>500</v>
      </c>
      <c r="N4" s="11">
        <v>269</v>
      </c>
      <c r="O4">
        <f>(J4+K4+L4)-M4</f>
        <v>10600</v>
      </c>
      <c r="Q4">
        <f>100*0.5%*(N3/365)</f>
        <v>0.368493150684931</v>
      </c>
    </row>
    <row r="5" spans="1:17">
      <c r="A5" t="s">
        <v>17</v>
      </c>
      <c r="B5" t="s">
        <v>18</v>
      </c>
      <c r="C5" t="s">
        <v>38</v>
      </c>
      <c r="D5" t="s">
        <v>39</v>
      </c>
      <c r="E5">
        <v>0.37</v>
      </c>
      <c r="F5">
        <v>0</v>
      </c>
      <c r="G5">
        <v>0.03</v>
      </c>
      <c r="H5">
        <v>0.03</v>
      </c>
      <c r="J5" s="12">
        <v>10000</v>
      </c>
      <c r="K5" s="13">
        <v>1000</v>
      </c>
      <c r="L5" s="14">
        <v>100</v>
      </c>
      <c r="M5" s="15">
        <v>500</v>
      </c>
      <c r="N5" s="11">
        <v>269</v>
      </c>
      <c r="O5">
        <f>(J5+K5+L5)-M5</f>
        <v>10600</v>
      </c>
      <c r="Q5">
        <f>O4*0.5%*(N4/365)</f>
        <v>39.0602739726027</v>
      </c>
    </row>
    <row r="11" spans="1:17">
      <c r="K11">
        <f>J2-M2</f>
        <v>9500</v>
      </c>
      <c r="L11" t="s">
        <v>40</v>
      </c>
    </row>
    <row r="12" spans="1:17">
      <c r="K12">
        <f>J2+K2-M2-K11</f>
        <v>1000</v>
      </c>
      <c r="L12" t="s">
        <v>41</v>
      </c>
    </row>
    <row r="13" spans="1:17">
      <c r="K13">
        <f>J2+K2+L2-K11-K12-M2</f>
        <v>100</v>
      </c>
    </row>
    <row r="15" spans="1:17">
      <c r="J15" s="16">
        <v>46209</v>
      </c>
    </row>
    <row r="16" spans="1:17">
      <c r="J16" s="16">
        <v>46477</v>
      </c>
      <c r="L16">
        <f>K13*1.5%*(269/365)</f>
        <v>1.10547945205479</v>
      </c>
    </row>
    <row r="17" spans="10:12">
      <c r="J17">
        <f>J16-J15+1</f>
        <v>269</v>
      </c>
    </row>
    <row r="24" spans="10:12">
      <c r="K24" t="s">
        <v>42</v>
      </c>
      <c r="L24" t="s">
        <v>28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"/>
  <sheetViews>
    <sheetView tabSelected="1" topLeftCell="G1" workbookViewId="0">
      <selection activeCell="O20" sqref="O20"/>
    </sheetView>
  </sheetViews>
  <sheetFormatPr defaultColWidth="9.14285714285714" defaultRowHeight="15"/>
  <cols>
    <col min="3" max="3" width="18.5714285714286" customWidth="1"/>
    <col min="4" max="4" width="11.1428571428571"/>
    <col min="11" max="11" width="20.1428571428571" customWidth="1"/>
    <col min="12" max="12" width="20.7142857142857" customWidth="1"/>
    <col min="13" max="13" width="20.5714285714286" customWidth="1"/>
    <col min="14" max="14" width="44.5714285714286" customWidth="1"/>
    <col min="16" max="16" width="14.5714285714286" customWidth="1"/>
    <col min="17" max="17" width="16.8571428571429" customWidth="1"/>
  </cols>
  <sheetData>
    <row r="1" s="1" customFormat="1" spans="1:3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1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0</v>
      </c>
      <c r="AD1" s="1" t="s">
        <v>70</v>
      </c>
      <c r="AE1" s="1" t="s">
        <v>7</v>
      </c>
      <c r="AF1" s="1" t="s">
        <v>8</v>
      </c>
      <c r="AG1" s="1" t="s">
        <v>6</v>
      </c>
      <c r="AH1" s="1" t="s">
        <v>71</v>
      </c>
      <c r="AI1" s="1" t="s">
        <v>72</v>
      </c>
    </row>
    <row r="2" s="1" customFormat="1" spans="1:35">
      <c r="A2" s="1" t="s">
        <v>73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10</v>
      </c>
      <c r="O2" s="1">
        <v>7.5</v>
      </c>
      <c r="P2" s="1">
        <v>10000000.79</v>
      </c>
      <c r="Q2" s="2">
        <v>46199</v>
      </c>
      <c r="R2" s="1" t="s">
        <v>86</v>
      </c>
      <c r="S2" s="1" t="s">
        <v>87</v>
      </c>
      <c r="T2" s="1" t="s">
        <v>76</v>
      </c>
      <c r="U2" s="1" t="s">
        <v>76</v>
      </c>
      <c r="V2" s="1" t="s">
        <v>76</v>
      </c>
      <c r="W2" s="1" t="s">
        <v>76</v>
      </c>
      <c r="X2" s="1" t="s">
        <v>76</v>
      </c>
      <c r="Y2" s="1">
        <v>1</v>
      </c>
      <c r="Z2" s="1">
        <v>500</v>
      </c>
      <c r="AA2" s="1">
        <v>2</v>
      </c>
      <c r="AB2" s="1" t="s">
        <v>34</v>
      </c>
      <c r="AC2" s="1" t="s">
        <v>9</v>
      </c>
      <c r="AD2" s="1">
        <v>499975.04</v>
      </c>
      <c r="AE2" s="1">
        <v>0</v>
      </c>
      <c r="AF2" s="1">
        <v>0</v>
      </c>
      <c r="AG2" s="1">
        <v>0</v>
      </c>
      <c r="AH2" s="2">
        <v>46148</v>
      </c>
      <c r="AI2" s="2">
        <v>46477</v>
      </c>
    </row>
    <row r="3" s="1" customFormat="1" spans="1:35">
      <c r="A3" s="1" t="s">
        <v>88</v>
      </c>
      <c r="B3" s="1" t="s">
        <v>89</v>
      </c>
      <c r="C3" s="1" t="s">
        <v>90</v>
      </c>
      <c r="D3" s="1" t="s">
        <v>76</v>
      </c>
      <c r="E3" s="1" t="s">
        <v>91</v>
      </c>
      <c r="F3" s="1" t="s">
        <v>92</v>
      </c>
      <c r="G3" s="1" t="s">
        <v>93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85</v>
      </c>
      <c r="N3" s="1" t="s">
        <v>12</v>
      </c>
      <c r="O3" s="1">
        <v>7.5</v>
      </c>
      <c r="P3" s="1">
        <v>10000000.02</v>
      </c>
      <c r="Q3" s="2">
        <v>46199</v>
      </c>
      <c r="R3" s="1" t="s">
        <v>86</v>
      </c>
      <c r="S3" s="1" t="s">
        <v>87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>
        <v>1</v>
      </c>
      <c r="Z3" s="1">
        <v>500</v>
      </c>
      <c r="AA3" s="1">
        <v>2</v>
      </c>
      <c r="AB3" s="1" t="s">
        <v>34</v>
      </c>
      <c r="AC3" s="1" t="s">
        <v>11</v>
      </c>
      <c r="AD3" s="1">
        <v>499975</v>
      </c>
      <c r="AE3" s="1">
        <v>0</v>
      </c>
      <c r="AF3" s="1">
        <v>0</v>
      </c>
      <c r="AG3" s="1">
        <v>0</v>
      </c>
      <c r="AH3" s="2">
        <v>46148</v>
      </c>
      <c r="AI3" s="2">
        <v>46477</v>
      </c>
    </row>
    <row r="4" s="1" customFormat="1" spans="1:35">
      <c r="A4" s="1" t="s">
        <v>94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95</v>
      </c>
      <c r="G4" s="1" t="s">
        <v>96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16</v>
      </c>
      <c r="O4" s="1">
        <v>7.5</v>
      </c>
      <c r="P4" s="1">
        <v>2000000.33</v>
      </c>
      <c r="Q4" s="2">
        <v>46199</v>
      </c>
      <c r="R4" s="1" t="s">
        <v>86</v>
      </c>
      <c r="S4" s="1" t="s">
        <v>87</v>
      </c>
      <c r="T4" s="1" t="s">
        <v>76</v>
      </c>
      <c r="U4" s="1" t="s">
        <v>76</v>
      </c>
      <c r="V4" s="1" t="s">
        <v>76</v>
      </c>
      <c r="W4" s="1" t="s">
        <v>76</v>
      </c>
      <c r="X4" s="1" t="s">
        <v>76</v>
      </c>
      <c r="Y4" s="1">
        <v>2</v>
      </c>
      <c r="Z4" s="1">
        <v>500</v>
      </c>
      <c r="AA4" s="1">
        <v>2</v>
      </c>
      <c r="AB4" s="1" t="s">
        <v>34</v>
      </c>
      <c r="AC4" s="1" t="s">
        <v>15</v>
      </c>
      <c r="AD4" s="1">
        <v>39990.01</v>
      </c>
      <c r="AE4" s="1">
        <v>0</v>
      </c>
      <c r="AF4" s="1">
        <v>0</v>
      </c>
      <c r="AG4" s="1">
        <v>0</v>
      </c>
      <c r="AH4" s="2">
        <v>46148</v>
      </c>
      <c r="AI4" s="2">
        <v>46477</v>
      </c>
    </row>
    <row r="5" s="1" customFormat="1" spans="1:35">
      <c r="A5" s="1" t="s">
        <v>97</v>
      </c>
      <c r="B5" s="1" t="s">
        <v>89</v>
      </c>
      <c r="C5" s="1" t="s">
        <v>90</v>
      </c>
      <c r="D5" s="1" t="s">
        <v>76</v>
      </c>
      <c r="E5" s="1" t="s">
        <v>91</v>
      </c>
      <c r="F5" s="1" t="s">
        <v>98</v>
      </c>
      <c r="G5" s="1" t="s">
        <v>99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18</v>
      </c>
      <c r="O5" s="1">
        <v>7.5</v>
      </c>
      <c r="P5" s="1">
        <v>2000000.65</v>
      </c>
      <c r="Q5" s="2">
        <v>46199</v>
      </c>
      <c r="R5" s="1" t="s">
        <v>86</v>
      </c>
      <c r="S5" s="1" t="s">
        <v>87</v>
      </c>
      <c r="T5" s="1" t="s">
        <v>76</v>
      </c>
      <c r="U5" s="1" t="s">
        <v>76</v>
      </c>
      <c r="V5" s="1" t="s">
        <v>76</v>
      </c>
      <c r="W5" s="1" t="s">
        <v>76</v>
      </c>
      <c r="X5" s="1" t="s">
        <v>76</v>
      </c>
      <c r="Y5" s="1">
        <v>2</v>
      </c>
      <c r="Z5" s="1">
        <v>500</v>
      </c>
      <c r="AA5" s="1">
        <v>2</v>
      </c>
      <c r="AB5" s="1" t="s">
        <v>34</v>
      </c>
      <c r="AC5" s="1" t="s">
        <v>17</v>
      </c>
      <c r="AD5" s="1">
        <v>39990.01</v>
      </c>
      <c r="AE5" s="1">
        <v>0</v>
      </c>
      <c r="AF5" s="1">
        <v>0</v>
      </c>
      <c r="AG5" s="1">
        <v>0</v>
      </c>
      <c r="AH5" s="2">
        <v>46148</v>
      </c>
      <c r="AI5" s="2">
        <v>46477</v>
      </c>
    </row>
    <row r="6" s="1" customFormat="1"/>
    <row r="7" s="1" customFormat="1"/>
    <row r="8" s="1" customFormat="1"/>
    <row r="9" s="1" customFormat="1"/>
    <row r="10" s="1" customFormat="1"/>
    <row r="11" s="1" customFormat="1" spans="1:35">
      <c r="A11" s="1" t="s">
        <v>0</v>
      </c>
      <c r="B11" s="1" t="s">
        <v>1</v>
      </c>
      <c r="C11" s="1" t="s">
        <v>2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K11" s="1" t="s">
        <v>100</v>
      </c>
      <c r="L11" s="1" t="s">
        <v>101</v>
      </c>
    </row>
    <row r="12" s="1" customFormat="1" spans="1:35">
      <c r="A12" s="3" t="s">
        <v>9</v>
      </c>
      <c r="B12" s="4" t="s">
        <v>10</v>
      </c>
      <c r="C12" s="4" t="s">
        <v>13</v>
      </c>
      <c r="D12" s="5">
        <v>46111</v>
      </c>
      <c r="E12" s="4">
        <v>0</v>
      </c>
      <c r="F12" s="4">
        <v>0</v>
      </c>
      <c r="G12" s="4">
        <v>0</v>
      </c>
      <c r="H12" s="6">
        <v>0</v>
      </c>
      <c r="K12" s="1" t="s">
        <v>102</v>
      </c>
      <c r="L12" s="7">
        <f>C12-Z2</f>
        <v>9500</v>
      </c>
      <c r="N12" s="8" t="s">
        <v>103</v>
      </c>
    </row>
    <row r="13" s="1" customFormat="1" spans="1:35">
      <c r="A13" s="3" t="s">
        <v>11</v>
      </c>
      <c r="B13" s="4" t="s">
        <v>12</v>
      </c>
      <c r="C13" s="4" t="s">
        <v>13</v>
      </c>
      <c r="D13" s="4" t="s">
        <v>104</v>
      </c>
      <c r="E13" s="4">
        <v>0</v>
      </c>
      <c r="F13" s="4">
        <v>0</v>
      </c>
      <c r="G13" s="4">
        <v>0</v>
      </c>
      <c r="H13" s="6">
        <v>0</v>
      </c>
      <c r="L13" s="7">
        <f>C13-Z3</f>
        <v>9500</v>
      </c>
      <c r="N13" s="2">
        <v>46179</v>
      </c>
      <c r="P13" s="2" t="s">
        <v>105</v>
      </c>
    </row>
    <row r="14" s="1" customFormat="1" spans="1:35">
      <c r="A14" s="3" t="s">
        <v>15</v>
      </c>
      <c r="B14" s="4" t="s">
        <v>16</v>
      </c>
      <c r="C14" s="4" t="s">
        <v>13</v>
      </c>
      <c r="D14" s="4" t="s">
        <v>104</v>
      </c>
      <c r="E14" s="4">
        <v>0</v>
      </c>
      <c r="F14" s="4">
        <v>0</v>
      </c>
      <c r="G14" s="4">
        <v>0</v>
      </c>
      <c r="H14" s="6">
        <v>0</v>
      </c>
      <c r="L14" s="7">
        <f>C14-Z4</f>
        <v>9500</v>
      </c>
      <c r="N14" s="2">
        <v>46477</v>
      </c>
      <c r="P14" s="2" t="s">
        <v>106</v>
      </c>
    </row>
    <row r="15" s="1" customFormat="1" spans="1:35">
      <c r="A15" s="3" t="s">
        <v>17</v>
      </c>
      <c r="B15" s="4" t="s">
        <v>18</v>
      </c>
      <c r="C15" s="4" t="s">
        <v>13</v>
      </c>
      <c r="D15" s="4" t="s">
        <v>104</v>
      </c>
      <c r="E15" s="4">
        <v>0</v>
      </c>
      <c r="F15" s="4">
        <v>0</v>
      </c>
      <c r="G15" s="4">
        <v>0</v>
      </c>
      <c r="H15" s="6">
        <v>0</v>
      </c>
      <c r="L15" s="7">
        <f>C15-Z5</f>
        <v>9500</v>
      </c>
      <c r="N15" s="1">
        <f>N14-N13+1</f>
        <v>299</v>
      </c>
    </row>
    <row r="16" s="1" customFormat="1" spans="1:35">
      <c r="L16" s="9"/>
    </row>
    <row r="17" s="1" customFormat="1"/>
    <row r="18" s="1" customFormat="1"/>
    <row r="19" s="1" customFormat="1"/>
    <row r="20" s="1" customFormat="1"/>
    <row r="21" s="1" customFormat="1" spans="1:14">
      <c r="A21" s="1" t="s">
        <v>0</v>
      </c>
      <c r="B21" s="1" t="s">
        <v>1</v>
      </c>
      <c r="C21" s="1" t="s">
        <v>2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K21" s="1" t="s">
        <v>100</v>
      </c>
      <c r="L21" s="1" t="s">
        <v>107</v>
      </c>
      <c r="M21" s="1" t="s">
        <v>108</v>
      </c>
      <c r="N21" s="7" t="s">
        <v>109</v>
      </c>
    </row>
    <row r="22" s="1" customFormat="1" spans="1:14">
      <c r="A22" s="1" t="s">
        <v>9</v>
      </c>
      <c r="B22" s="1" t="s">
        <v>10</v>
      </c>
      <c r="C22" s="1" t="s">
        <v>34</v>
      </c>
      <c r="D22" s="1" t="s">
        <v>14</v>
      </c>
      <c r="E22" s="1">
        <v>129.02</v>
      </c>
      <c r="F22" s="1">
        <v>0</v>
      </c>
      <c r="G22" s="1">
        <v>11.61</v>
      </c>
      <c r="H22" s="1">
        <v>11.61</v>
      </c>
      <c r="K22" s="1" t="s">
        <v>110</v>
      </c>
      <c r="L22" s="7">
        <f>C12+C22-Z2</f>
        <v>10500</v>
      </c>
      <c r="M22" s="1">
        <f>L22*1.5%*299/365</f>
        <v>129.020547945205</v>
      </c>
      <c r="N22" s="1">
        <f>C12+C22-Z2-L12</f>
        <v>1000</v>
      </c>
    </row>
    <row r="23" s="1" customFormat="1" spans="1:14">
      <c r="A23" s="1" t="s">
        <v>11</v>
      </c>
      <c r="B23" s="1" t="s">
        <v>12</v>
      </c>
      <c r="C23" s="1" t="s">
        <v>34</v>
      </c>
      <c r="D23" s="2">
        <v>46179</v>
      </c>
      <c r="E23" s="1">
        <v>129.02</v>
      </c>
      <c r="F23" s="1">
        <v>0</v>
      </c>
      <c r="G23" s="1">
        <v>11.61</v>
      </c>
      <c r="H23" s="1">
        <v>11.61</v>
      </c>
      <c r="L23" s="7">
        <f>C13+C23-Z3</f>
        <v>10500</v>
      </c>
      <c r="M23" s="1">
        <f>L23*1.5%*299/365</f>
        <v>129.020547945205</v>
      </c>
      <c r="N23" s="1">
        <f>C13+C23-Z3-L13</f>
        <v>1000</v>
      </c>
    </row>
    <row r="24" s="1" customFormat="1" spans="1:14">
      <c r="A24" s="1" t="s">
        <v>15</v>
      </c>
      <c r="B24" s="1" t="s">
        <v>16</v>
      </c>
      <c r="C24" s="1" t="s">
        <v>34</v>
      </c>
      <c r="D24" s="1" t="s">
        <v>14</v>
      </c>
      <c r="E24" s="1">
        <v>43.01</v>
      </c>
      <c r="F24" s="1">
        <v>0</v>
      </c>
      <c r="G24" s="1">
        <v>3.87</v>
      </c>
      <c r="H24" s="1">
        <v>3.87</v>
      </c>
      <c r="L24" s="7">
        <f>C14+C24-Z4</f>
        <v>10500</v>
      </c>
      <c r="M24" s="1">
        <f>L23*0.5%*299/365</f>
        <v>43.0068493150685</v>
      </c>
      <c r="N24" s="1">
        <f>C14+C24-Z4-L14</f>
        <v>1000</v>
      </c>
    </row>
    <row r="25" s="1" customFormat="1" spans="1:14">
      <c r="A25" s="1" t="s">
        <v>17</v>
      </c>
      <c r="B25" s="1" t="s">
        <v>18</v>
      </c>
      <c r="C25" s="1" t="s">
        <v>34</v>
      </c>
      <c r="D25" s="1" t="s">
        <v>14</v>
      </c>
      <c r="E25" s="1">
        <v>43.01</v>
      </c>
      <c r="F25" s="1">
        <v>0</v>
      </c>
      <c r="G25" s="1">
        <v>3.87</v>
      </c>
      <c r="H25" s="1">
        <v>3.87</v>
      </c>
      <c r="L25" s="7">
        <f>C15+C25-Z5</f>
        <v>10500</v>
      </c>
      <c r="M25" s="1">
        <f>L24*0.5%*299/365</f>
        <v>43.0068493150685</v>
      </c>
      <c r="N25" s="1">
        <f>C15+C25-Z5-L15</f>
        <v>1000</v>
      </c>
    </row>
    <row r="26" s="1" customFormat="1"/>
    <row r="27" s="1" customFormat="1"/>
    <row r="28" s="1" customFormat="1"/>
    <row r="29" s="1" customFormat="1" spans="1:14">
      <c r="A29" s="1" t="s">
        <v>0</v>
      </c>
      <c r="B29" s="1" t="s">
        <v>1</v>
      </c>
      <c r="C29" s="1" t="s">
        <v>2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K29" s="1" t="s">
        <v>100</v>
      </c>
      <c r="L29" s="1" t="s">
        <v>100</v>
      </c>
      <c r="M29" s="1" t="s">
        <v>108</v>
      </c>
      <c r="N29" s="7" t="s">
        <v>111</v>
      </c>
    </row>
    <row r="30" s="1" customFormat="1" ht="45" spans="1:14">
      <c r="A30" s="1" t="s">
        <v>9</v>
      </c>
      <c r="B30" s="1" t="s">
        <v>10</v>
      </c>
      <c r="C30" s="1" t="s">
        <v>38</v>
      </c>
      <c r="D30" s="1" t="s">
        <v>39</v>
      </c>
      <c r="E30" s="1">
        <v>1.11</v>
      </c>
      <c r="F30" s="1">
        <v>0</v>
      </c>
      <c r="G30" s="1">
        <v>0.1</v>
      </c>
      <c r="H30" s="1">
        <v>0.1</v>
      </c>
      <c r="K30" s="10" t="s">
        <v>112</v>
      </c>
      <c r="L30" s="1">
        <f>N30*1.5%*269/365</f>
        <v>1.10547945205479</v>
      </c>
      <c r="N30" s="1">
        <f>(C12+C22+C30)-Z2-L12-N22</f>
        <v>100</v>
      </c>
    </row>
    <row r="31" s="1" customFormat="1" spans="1:14">
      <c r="A31" s="1" t="s">
        <v>11</v>
      </c>
      <c r="B31" s="1" t="s">
        <v>12</v>
      </c>
      <c r="C31" s="1" t="s">
        <v>38</v>
      </c>
      <c r="D31" s="1" t="s">
        <v>39</v>
      </c>
      <c r="E31" s="1">
        <v>1.11</v>
      </c>
      <c r="F31" s="1">
        <v>0</v>
      </c>
      <c r="G31" s="1">
        <v>0.1</v>
      </c>
      <c r="H31" s="1">
        <v>0.1</v>
      </c>
      <c r="L31" s="1">
        <f>N31*1.5%*269/365</f>
        <v>1.10547945205479</v>
      </c>
      <c r="N31" s="1">
        <f>(C13+C23+C31)-Z3-L13-N23</f>
        <v>100</v>
      </c>
    </row>
    <row r="32" s="1" customFormat="1" spans="1:14">
      <c r="A32" s="1" t="s">
        <v>15</v>
      </c>
      <c r="B32" s="1" t="s">
        <v>16</v>
      </c>
      <c r="C32" s="1" t="s">
        <v>38</v>
      </c>
      <c r="D32" s="1" t="s">
        <v>39</v>
      </c>
      <c r="E32" s="1">
        <v>0.37</v>
      </c>
      <c r="F32" s="1">
        <v>0</v>
      </c>
      <c r="G32" s="1">
        <v>0.03</v>
      </c>
      <c r="H32" s="1">
        <v>0.03</v>
      </c>
      <c r="L32" s="1">
        <f>N32*0.5%*269/365</f>
        <v>0.368493150684931</v>
      </c>
      <c r="N32" s="1">
        <f>(C14+C24+C32)-Z4-L14-N24</f>
        <v>100</v>
      </c>
    </row>
    <row r="33" s="1" customFormat="1" spans="1:14">
      <c r="A33" s="1" t="s">
        <v>17</v>
      </c>
      <c r="B33" s="1" t="s">
        <v>18</v>
      </c>
      <c r="C33" s="1" t="s">
        <v>38</v>
      </c>
      <c r="D33" s="1" t="s">
        <v>39</v>
      </c>
      <c r="E33" s="1">
        <v>0.37</v>
      </c>
      <c r="F33" s="1">
        <v>0</v>
      </c>
      <c r="G33" s="1">
        <v>0.03</v>
      </c>
      <c r="H33" s="1">
        <v>0.03</v>
      </c>
      <c r="L33" s="1">
        <f>N33*0.5%*269/365</f>
        <v>0.368493150684931</v>
      </c>
      <c r="N33" s="1">
        <f>(C15+C25+C33)-Z5-L15-N25</f>
        <v>100</v>
      </c>
    </row>
    <row r="34" s="1" customFormat="1"/>
    <row r="35" s="1" customFormat="1"/>
    <row r="36" s="1" customFormat="1"/>
    <row r="37" s="1" customFormat="1" spans="1:14">
      <c r="N37" s="7"/>
    </row>
    <row r="38" s="1" customFormat="1"/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D2</vt:lpstr>
      <vt:lpstr>D3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 Infoneo</cp:lastModifiedBy>
  <dcterms:created xsi:type="dcterms:W3CDTF">2026-05-06T06:56:00Z</dcterms:created>
  <dcterms:modified xsi:type="dcterms:W3CDTF">2026-09-16T12:26:24Z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0A3E83906E18422782469CABFF222D29_12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