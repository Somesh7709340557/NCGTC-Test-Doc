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 activeTab="4"/>
  </bookViews>
  <sheets>
    <sheet name="New CG" sheetId="11" r:id="rId1"/>
    <sheet name="Update CG SBLC 6th Aug" sheetId="8" r:id="rId2"/>
    <sheet name="Update CG RP 6th Aug " sheetId="10" r:id="rId3"/>
    <sheet name="Multiple C - SBLC &amp; RP13th Aug " sheetId="12" r:id="rId4"/>
    <sheet name="Test Sheet" sheetId="1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<sst xmlns="http://schemas.openxmlformats.org/spreadsheetml/2006/main" count="1065" uniqueCount="87">
  <si>
    <t>SBLC</t>
  </si>
  <si>
    <t>Upload date</t>
  </si>
  <si>
    <t>Tranction amount</t>
  </si>
  <si>
    <t>Transction date</t>
  </si>
  <si>
    <t>LC expiry date</t>
  </si>
  <si>
    <t>Tenure calculated</t>
  </si>
  <si>
    <t>Risk score</t>
  </si>
  <si>
    <t>CG fee %</t>
  </si>
  <si>
    <t>CG fee</t>
  </si>
  <si>
    <t>IGST</t>
  </si>
  <si>
    <t>SGST</t>
  </si>
  <si>
    <t>CGST</t>
  </si>
  <si>
    <t>RP</t>
  </si>
  <si>
    <t>RP Termination date</t>
  </si>
  <si>
    <t>CG fee (stored in backend)</t>
  </si>
  <si>
    <t>Action</t>
  </si>
  <si>
    <t>Status for SBLC</t>
  </si>
  <si>
    <t>Status for RP</t>
  </si>
  <si>
    <t>New CG valid File uploaded</t>
  </si>
  <si>
    <t>Processed  
CG fee=Yes 
CGPAN = NO</t>
  </si>
  <si>
    <t>Processed
CG fee=NO
CGPAN = yes</t>
  </si>
  <si>
    <t>EOD invoice generated</t>
  </si>
  <si>
    <t>Provisional Guarantee in force</t>
  </si>
  <si>
    <t>Payment done</t>
  </si>
  <si>
    <t>Guarantee  In force
CG fee =Yes 
CGPAN = Yes</t>
  </si>
  <si>
    <t>Provisional Guarantee in force
CG fee =NO
CGPAN = yes</t>
  </si>
  <si>
    <t>Uploaded Update CG</t>
  </si>
  <si>
    <t xml:space="preserve">processed  
CG fee=Yes 
</t>
  </si>
  <si>
    <t>Gurrentee provisional</t>
  </si>
  <si>
    <t>payment done</t>
  </si>
  <si>
    <t>Gurrentee  Inforce</t>
  </si>
  <si>
    <t>Amount</t>
  </si>
  <si>
    <t>OK</t>
  </si>
  <si>
    <t>system date</t>
  </si>
  <si>
    <t>No change</t>
  </si>
  <si>
    <t>Increase</t>
  </si>
  <si>
    <t>Added in API</t>
  </si>
  <si>
    <t>pick based on risk</t>
  </si>
  <si>
    <t>New CG</t>
  </si>
  <si>
    <t>Initial Loan Amount</t>
  </si>
  <si>
    <t>Initial Tenure (Auto - calculated)</t>
  </si>
  <si>
    <t>Transction date (To be added )</t>
  </si>
  <si>
    <t>LC expiry date  (To be added )</t>
  </si>
  <si>
    <t>Risk Premium</t>
  </si>
  <si>
    <t>Fee % (based on score)</t>
  </si>
  <si>
    <t>Initial Total CG Fee</t>
  </si>
  <si>
    <t>Fee to be received</t>
  </si>
  <si>
    <t>Update CG</t>
  </si>
  <si>
    <t>Upload Date</t>
  </si>
  <si>
    <t>amount</t>
  </si>
  <si>
    <t>Amendment Date</t>
  </si>
  <si>
    <t>new LC expiry date</t>
  </si>
  <si>
    <t>FEE %</t>
  </si>
  <si>
    <t>Total CG fee</t>
  </si>
  <si>
    <t>Reduced</t>
  </si>
  <si>
    <t>No Refund</t>
  </si>
  <si>
    <t>Currently rejecting this case</t>
  </si>
  <si>
    <t>amount (No change)</t>
  </si>
  <si>
    <t>Termination date</t>
  </si>
  <si>
    <t>The Upload Date will be the same as the Transaction Date in the New CG module.</t>
  </si>
  <si>
    <t>Initial Tenure(Auto - calculate)</t>
  </si>
  <si>
    <t>Transction date (To be added)</t>
  </si>
  <si>
    <t>Termination date(To be added)</t>
  </si>
  <si>
    <t>Initial Total CG Fee ( Stored only at backend)</t>
  </si>
  <si>
    <t>New termination date</t>
  </si>
  <si>
    <t>Tenure Utilized</t>
  </si>
  <si>
    <t>Remaining tenure</t>
  </si>
  <si>
    <t>Fee (Old Amount - till update)</t>
  </si>
  <si>
    <t>Fee (Remaning tenure)</t>
  </si>
  <si>
    <t>Initial Total CG Fee ( Staored only at backend)</t>
  </si>
  <si>
    <t>Second Update</t>
  </si>
  <si>
    <t>Third Update</t>
  </si>
  <si>
    <t>RP Cases</t>
  </si>
  <si>
    <t xml:space="preserve">In New CG </t>
  </si>
  <si>
    <t xml:space="preserve">Terimantion date is mandatory </t>
  </si>
  <si>
    <t xml:space="preserve">In Update CG </t>
  </si>
  <si>
    <t>Terimantion date is Non mandatory</t>
  </si>
  <si>
    <t>Update 1 CG fee</t>
  </si>
  <si>
    <t>Update 2 CG fee</t>
  </si>
  <si>
    <t>Update 3 CG fee</t>
  </si>
  <si>
    <t xml:space="preserve">In case where termination is not added it can be blank ,previous terimantion date would be consisdered for CG fee </t>
  </si>
  <si>
    <t>SBLC Cases</t>
  </si>
  <si>
    <t xml:space="preserve">Expiry Date </t>
  </si>
  <si>
    <t xml:space="preserve">Expiry date is mandatory </t>
  </si>
  <si>
    <t xml:space="preserve">Expiry date is non mandatory </t>
  </si>
  <si>
    <t>Expiry date(To be added)</t>
  </si>
  <si>
    <t>Fourth Update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</si>
</sst>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0.0%"/>
    <numFmt numFmtId="182" formatCode="0.00_ "/>
  </numFmts>
  <fonts count="26">
    <font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b/>
      <sz val="11"/>
      <color theme="0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3" tint="0.7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7" borderId="8" applyNumberFormat="0" applyAlignment="0" applyProtection="0">
      <alignment vertical="center"/>
    </xf>
    <xf numFmtId="0" fontId="16" fillId="18" borderId="9" applyNumberFormat="0" applyAlignment="0" applyProtection="0">
      <alignment vertical="center"/>
    </xf>
    <xf numFmtId="0" fontId="17" fillId="18" borderId="8" applyNumberFormat="0" applyAlignment="0" applyProtection="0">
      <alignment vertical="center"/>
    </xf>
    <xf numFmtId="0" fontId="18" fillId="19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</cellStyleXfs>
  <cellXfs count="84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180" fontId="2" fillId="6" borderId="2" xfId="0" applyNumberFormat="1" applyFont="1" applyFill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80" fontId="2" fillId="0" borderId="2" xfId="0" applyNumberFormat="1" applyFont="1" applyBorder="1" applyAlignment="1">
      <alignment horizontal="center" vertical="center" wrapText="1"/>
    </xf>
    <xf numFmtId="181" fontId="2" fillId="0" borderId="2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4" fontId="2" fillId="7" borderId="2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180" fontId="2" fillId="4" borderId="2" xfId="0" applyNumberFormat="1" applyFont="1" applyFill="1" applyBorder="1" applyAlignment="1">
      <alignment horizontal="center" vertical="center" wrapText="1"/>
    </xf>
    <xf numFmtId="4" fontId="2" fillId="8" borderId="2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" fontId="2" fillId="6" borderId="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180" fontId="2" fillId="0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4" fontId="2" fillId="9" borderId="2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180" fontId="4" fillId="6" borderId="2" xfId="0" applyNumberFormat="1" applyFont="1" applyFill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180" fontId="4" fillId="4" borderId="2" xfId="0" applyNumberFormat="1" applyFont="1" applyFill="1" applyBorder="1" applyAlignment="1">
      <alignment horizontal="center" vertical="center" wrapText="1"/>
    </xf>
    <xf numFmtId="181" fontId="4" fillId="0" borderId="2" xfId="0" applyNumberFormat="1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4" fontId="4" fillId="9" borderId="2" xfId="0" applyNumberFormat="1" applyFont="1" applyFill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center" vertical="center" wrapText="1"/>
    </xf>
    <xf numFmtId="4" fontId="4" fillId="11" borderId="2" xfId="0" applyNumberFormat="1" applyFont="1" applyFill="1" applyBorder="1" applyAlignment="1">
      <alignment horizontal="center" vertical="center" wrapText="1"/>
    </xf>
    <xf numFmtId="4" fontId="4" fillId="12" borderId="2" xfId="0" applyNumberFormat="1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182" fontId="4" fillId="11" borderId="0" xfId="0" applyNumberFormat="1" applyFont="1" applyFill="1" applyAlignment="1">
      <alignment horizontal="center" vertical="center" wrapText="1"/>
    </xf>
    <xf numFmtId="182" fontId="4" fillId="11" borderId="2" xfId="0" applyNumberFormat="1" applyFont="1" applyFill="1" applyBorder="1" applyAlignment="1">
      <alignment horizontal="center" vertical="center" wrapText="1"/>
    </xf>
    <xf numFmtId="4" fontId="4" fillId="7" borderId="2" xfId="0" applyNumberFormat="1" applyFont="1" applyFill="1" applyBorder="1" applyAlignment="1">
      <alignment horizontal="center" vertical="center" wrapText="1"/>
    </xf>
    <xf numFmtId="4" fontId="4" fillId="8" borderId="2" xfId="0" applyNumberFormat="1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11" borderId="2" xfId="0" applyNumberFormat="1" applyFont="1" applyFill="1" applyBorder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4" fontId="2" fillId="11" borderId="2" xfId="0" applyNumberFormat="1" applyFont="1" applyFill="1" applyBorder="1" applyAlignment="1">
      <alignment horizontal="center" vertical="center" wrapText="1"/>
    </xf>
    <xf numFmtId="4" fontId="2" fillId="12" borderId="2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182" fontId="2" fillId="11" borderId="0" xfId="0" applyNumberFormat="1" applyFont="1" applyFill="1" applyAlignment="1">
      <alignment horizontal="center" vertical="center" wrapText="1"/>
    </xf>
    <xf numFmtId="182" fontId="2" fillId="11" borderId="2" xfId="0" applyNumberFormat="1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10" fontId="2" fillId="13" borderId="2" xfId="0" applyNumberFormat="1" applyFont="1" applyFill="1" applyBorder="1" applyAlignment="1">
      <alignment horizontal="center" vertical="center" wrapText="1"/>
    </xf>
    <xf numFmtId="2" fontId="2" fillId="11" borderId="2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180" fontId="2" fillId="13" borderId="2" xfId="0" applyNumberFormat="1" applyFont="1" applyFill="1" applyBorder="1" applyAlignment="1">
      <alignment horizontal="center" vertical="center" wrapText="1"/>
    </xf>
    <xf numFmtId="182" fontId="2" fillId="0" borderId="0" xfId="0" applyNumberFormat="1" applyFont="1" applyAlignment="1">
      <alignment horizontal="center" vertical="center" wrapText="1"/>
    </xf>
    <xf numFmtId="2" fontId="2" fillId="13" borderId="2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182" fontId="2" fillId="0" borderId="0" xfId="0" applyNumberFormat="1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5" fillId="4" borderId="0" xfId="0" applyFont="1" applyFill="1"/>
    <xf numFmtId="0" fontId="3" fillId="4" borderId="0" xfId="0" applyFont="1" applyFill="1"/>
    <xf numFmtId="0" fontId="2" fillId="0" borderId="2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10" zoomScaleNormal="110" workbookViewId="0">
      <selection activeCell="D23" sqref="D23"/>
    </sheetView>
  </sheetViews>
  <sheetFormatPr defaultColWidth="9" defaultRowHeight="15"/>
  <cols>
    <col min="1" max="1" width="9" style="80"/>
    <col min="2" max="2" width="11.8166666666667" style="4" customWidth="1"/>
    <col min="3" max="3" width="20" style="4" customWidth="1"/>
    <col min="4" max="4" width="15.1833333333333" style="4" customWidth="1"/>
    <col min="5" max="5" width="16.725" style="4" customWidth="1"/>
    <col min="6" max="6" width="13.3666666666667" style="4" customWidth="1"/>
    <col min="7" max="7" width="9.36666666666667" style="4" customWidth="1"/>
    <col min="8" max="9" width="9.18333333333333" style="4" customWidth="1"/>
    <col min="10" max="10" width="7.54166666666667" style="4" customWidth="1"/>
    <col min="11" max="11" width="8.90833333333333" style="4" customWidth="1"/>
    <col min="12" max="12" width="8.725" style="4" customWidth="1"/>
    <col min="13" max="16384" width="9" style="80"/>
  </cols>
  <sheetData>
    <row r="1" ht="28.5" spans="1:12">
      <c r="A1" s="8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</row>
    <row r="2" s="79" customFormat="1" spans="1:12">
      <c r="B2" s="16">
        <v>46147</v>
      </c>
      <c r="C2" s="15">
        <v>1000000</v>
      </c>
      <c r="D2" s="16">
        <v>46147</v>
      </c>
      <c r="E2" s="16">
        <v>46512</v>
      </c>
      <c r="F2" s="15">
        <f>E2-D2+1</f>
        <v>366</v>
      </c>
      <c r="G2" s="15">
        <v>100</v>
      </c>
      <c r="H2" s="15">
        <f>IF(G2&lt;60,0%,IF(G2&lt;=64,2.5%,IF(G2&lt;=69,2.25%,IF(G2&lt;=74,2%,IF(G2&lt;=79,1.75%,IF(G2&lt;=84,1.5%,IF(G2&lt;=89,1.25%,IF(G2&lt;=94,1%,IF(G2&lt;=97,0.75%,0.5%)))))))))</f>
        <v>0.005</v>
      </c>
      <c r="I2" s="23">
        <f>C2*F2*H2/365</f>
        <v>5013.69863013699</v>
      </c>
      <c r="J2" s="23">
        <f>18%*I2</f>
        <v>902.465753424657</v>
      </c>
      <c r="K2" s="23">
        <f>9%*I2</f>
        <v>451.232876712329</v>
      </c>
      <c r="L2" s="23">
        <f>9%*I2</f>
        <v>451.232876712329</v>
      </c>
    </row>
    <row r="5" ht="42.75" spans="1:12">
      <c r="A5" s="82" t="s">
        <v>12</v>
      </c>
      <c r="B5" s="11" t="s">
        <v>1</v>
      </c>
      <c r="C5" s="11" t="s">
        <v>2</v>
      </c>
      <c r="D5" s="11" t="s">
        <v>3</v>
      </c>
      <c r="E5" s="11" t="s">
        <v>13</v>
      </c>
      <c r="F5" s="11" t="s">
        <v>5</v>
      </c>
      <c r="G5" s="11" t="s">
        <v>6</v>
      </c>
      <c r="H5" s="11" t="s">
        <v>7</v>
      </c>
      <c r="I5" s="11" t="s">
        <v>14</v>
      </c>
      <c r="J5" s="11" t="s">
        <v>9</v>
      </c>
      <c r="K5" s="11" t="s">
        <v>10</v>
      </c>
      <c r="L5" s="11" t="s">
        <v>11</v>
      </c>
    </row>
    <row r="6" s="79" customFormat="1" spans="1:12">
      <c r="B6" s="16">
        <v>46147</v>
      </c>
      <c r="C6" s="15">
        <v>1000000</v>
      </c>
      <c r="D6" s="16">
        <v>46147</v>
      </c>
      <c r="E6" s="16">
        <v>46512</v>
      </c>
      <c r="F6" s="15">
        <f>E6-D6+1</f>
        <v>366</v>
      </c>
      <c r="G6" s="15">
        <v>100</v>
      </c>
      <c r="H6" s="15">
        <f>IF(G6&lt;60,0%,IF(G6&lt;=64,2.5%,IF(G6&lt;=69,2.25%,IF(G6&lt;=74,2%,IF(G6&lt;=79,1.75%,IF(G6&lt;=84,1.5%,IF(G6&lt;=89,1.25%,IF(G6&lt;=94,1%,IF(G6&lt;=97,0.75%,0.5%)))))))))</f>
        <v>0.005</v>
      </c>
      <c r="I6" s="23">
        <f>C6*F6*H6/365</f>
        <v>5013.69863013699</v>
      </c>
      <c r="J6" s="23">
        <f>18%*I6</f>
        <v>902.465753424657</v>
      </c>
      <c r="K6" s="23">
        <f>9%*I6</f>
        <v>451.232876712329</v>
      </c>
      <c r="L6" s="23">
        <f>9%*I6</f>
        <v>451.232876712329</v>
      </c>
    </row>
    <row r="14" spans="1:12">
      <c r="C14" s="11" t="s">
        <v>15</v>
      </c>
      <c r="D14" s="11" t="s">
        <v>16</v>
      </c>
      <c r="E14" s="11" t="s">
        <v>17</v>
      </c>
    </row>
    <row r="15" ht="45" spans="1:12">
      <c r="C15" s="83" t="s">
        <v>18</v>
      </c>
      <c r="D15" s="83" t="s">
        <v>19</v>
      </c>
      <c r="E15" s="83" t="s">
        <v>20</v>
      </c>
    </row>
    <row r="16" ht="30" spans="1:12">
      <c r="C16" s="83" t="s">
        <v>21</v>
      </c>
      <c r="D16" s="83" t="s">
        <v>22</v>
      </c>
      <c r="E16" s="83" t="s">
        <v>22</v>
      </c>
    </row>
    <row r="17" ht="60" spans="3:5">
      <c r="C17" s="83" t="s">
        <v>23</v>
      </c>
      <c r="D17" s="83" t="s">
        <v>24</v>
      </c>
      <c r="E17" s="83" t="s">
        <v>25</v>
      </c>
    </row>
    <row r="18" spans="3:5">
      <c r="C18" s="83"/>
      <c r="D18" s="83"/>
      <c r="E18" s="83"/>
    </row>
    <row r="19" ht="45" spans="3:5">
      <c r="C19" s="83" t="s">
        <v>26</v>
      </c>
      <c r="D19" s="83" t="s">
        <v>27</v>
      </c>
      <c r="E19" s="83" t="s">
        <v>27</v>
      </c>
    </row>
    <row r="20" ht="30" spans="3:5">
      <c r="C20" s="83" t="s">
        <v>21</v>
      </c>
      <c r="D20" s="83" t="s">
        <v>28</v>
      </c>
      <c r="E20" s="83" t="s">
        <v>28</v>
      </c>
    </row>
    <row r="21" spans="3:5">
      <c r="C21" s="83" t="s">
        <v>29</v>
      </c>
      <c r="D21" s="83" t="s">
        <v>30</v>
      </c>
      <c r="E21" s="83" t="s">
        <v>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topLeftCell="A5" workbookViewId="0">
      <selection activeCell="F10" sqref="F10"/>
    </sheetView>
  </sheetViews>
  <sheetFormatPr defaultColWidth="9" defaultRowHeight="15"/>
  <cols>
    <col min="1" max="1" width="14.6333333333333" style="4" customWidth="1"/>
    <col min="2" max="2" width="15.0916666666667" style="4" customWidth="1"/>
    <col min="3" max="3" width="16.1833333333333" style="4" customWidth="1"/>
    <col min="4" max="4" width="23.375" style="4" customWidth="1"/>
    <col min="5" max="5" width="21.875" style="4" customWidth="1"/>
    <col min="6" max="6" width="19.75" style="4" customWidth="1"/>
    <col min="7" max="7" width="9.18333333333333" style="4" customWidth="1"/>
    <col min="8" max="8" width="11.8166666666667" style="4" customWidth="1"/>
    <col min="9" max="9" width="14" style="4" customWidth="1"/>
    <col min="10" max="10" width="14.725" style="4" customWidth="1"/>
    <col min="11" max="16384" width="9" style="4"/>
  </cols>
  <sheetData>
    <row r="1" spans="1:11">
      <c r="B1" s="5"/>
      <c r="C1" s="6" t="s">
        <v>31</v>
      </c>
      <c r="D1" s="6" t="s">
        <v>4</v>
      </c>
      <c r="E1" s="4" t="s">
        <v>32</v>
      </c>
    </row>
    <row r="2" ht="30" spans="1:11">
      <c r="A2" s="8">
        <v>1</v>
      </c>
      <c r="B2" s="9" t="s">
        <v>33</v>
      </c>
      <c r="C2" s="8" t="s">
        <v>34</v>
      </c>
      <c r="D2" s="8" t="s">
        <v>35</v>
      </c>
      <c r="G2" s="4" t="s">
        <v>36</v>
      </c>
      <c r="H2" s="4" t="s">
        <v>37</v>
      </c>
    </row>
    <row r="3" ht="42.75" spans="1:11">
      <c r="A3" s="10" t="s">
        <v>38</v>
      </c>
      <c r="B3" s="11" t="s">
        <v>1</v>
      </c>
      <c r="C3" s="11" t="s">
        <v>39</v>
      </c>
      <c r="D3" s="11" t="s">
        <v>40</v>
      </c>
      <c r="E3" s="11" t="s">
        <v>41</v>
      </c>
      <c r="F3" s="11" t="s">
        <v>42</v>
      </c>
      <c r="G3" s="11" t="s">
        <v>43</v>
      </c>
      <c r="H3" s="11" t="s">
        <v>44</v>
      </c>
      <c r="I3" s="11" t="s">
        <v>45</v>
      </c>
      <c r="J3" s="11" t="s">
        <v>46</v>
      </c>
    </row>
    <row r="4" s="7" customFormat="1" spans="1:11">
      <c r="A4" s="12"/>
      <c r="B4" s="13">
        <v>46024</v>
      </c>
      <c r="C4" s="14">
        <v>1000000</v>
      </c>
      <c r="D4" s="15">
        <f>F4-E4+1</f>
        <v>366</v>
      </c>
      <c r="E4" s="13">
        <v>46270</v>
      </c>
      <c r="F4" s="16">
        <v>46635</v>
      </c>
      <c r="G4" s="15">
        <v>80</v>
      </c>
      <c r="H4" s="17">
        <v>0.015</v>
      </c>
      <c r="I4" s="18">
        <f>C4*H4*D4/365</f>
        <v>15041.095890411</v>
      </c>
      <c r="J4" s="14">
        <f>I4</f>
        <v>15041.095890411</v>
      </c>
    </row>
    <row r="5" ht="28.5" spans="1:11">
      <c r="A5" s="10" t="s">
        <v>47</v>
      </c>
      <c r="B5" s="11" t="s">
        <v>48</v>
      </c>
      <c r="C5" s="11" t="s">
        <v>49</v>
      </c>
      <c r="D5" s="11" t="s">
        <v>40</v>
      </c>
      <c r="E5" s="11" t="s">
        <v>50</v>
      </c>
      <c r="F5" s="11" t="s">
        <v>51</v>
      </c>
      <c r="G5" s="11"/>
      <c r="H5" s="11" t="s">
        <v>52</v>
      </c>
      <c r="I5" s="11" t="s">
        <v>53</v>
      </c>
      <c r="J5" s="11" t="s">
        <v>46</v>
      </c>
    </row>
    <row r="6" s="7" customFormat="1" spans="1:11">
      <c r="A6" s="12"/>
      <c r="B6" s="13">
        <v>46275</v>
      </c>
      <c r="C6" s="14">
        <v>1000000</v>
      </c>
      <c r="D6" s="20">
        <f>F6-E4+1</f>
        <v>303</v>
      </c>
      <c r="E6" s="16">
        <v>46204</v>
      </c>
      <c r="F6" s="21">
        <v>46572</v>
      </c>
      <c r="G6" s="15">
        <v>80</v>
      </c>
      <c r="H6" s="17">
        <v>0.015</v>
      </c>
      <c r="I6" s="18">
        <f>C6*H6*D6/365</f>
        <v>12452.0547945205</v>
      </c>
      <c r="J6" s="18">
        <f>I6</f>
        <v>12452.0547945205</v>
      </c>
    </row>
    <row r="11" spans="1:11">
      <c r="B11" s="5"/>
      <c r="C11" s="6" t="s">
        <v>31</v>
      </c>
      <c r="D11" s="6" t="s">
        <v>4</v>
      </c>
      <c r="E11" s="4" t="s">
        <v>32</v>
      </c>
    </row>
    <row r="12" spans="1:11">
      <c r="A12" s="25">
        <v>2</v>
      </c>
      <c r="B12" s="26"/>
      <c r="C12" s="25" t="s">
        <v>35</v>
      </c>
      <c r="D12" s="25" t="s">
        <v>34</v>
      </c>
    </row>
    <row r="13" ht="42.75" spans="1:11">
      <c r="A13" s="11" t="s">
        <v>38</v>
      </c>
      <c r="B13" s="11" t="s">
        <v>1</v>
      </c>
      <c r="C13" s="11" t="s">
        <v>39</v>
      </c>
      <c r="D13" s="11" t="s">
        <v>40</v>
      </c>
      <c r="E13" s="11" t="s">
        <v>41</v>
      </c>
      <c r="F13" s="11" t="s">
        <v>42</v>
      </c>
      <c r="G13" s="11" t="s">
        <v>43</v>
      </c>
      <c r="H13" s="11" t="s">
        <v>44</v>
      </c>
      <c r="I13" s="11" t="s">
        <v>45</v>
      </c>
      <c r="J13" s="11" t="s">
        <v>46</v>
      </c>
    </row>
    <row r="14" spans="1:11">
      <c r="A14" s="11"/>
      <c r="B14" s="13">
        <v>46024</v>
      </c>
      <c r="C14" s="14">
        <v>1000000</v>
      </c>
      <c r="D14" s="15">
        <f>F14-E14+1</f>
        <v>242</v>
      </c>
      <c r="E14" s="13">
        <v>46270</v>
      </c>
      <c r="F14" s="16">
        <v>46511</v>
      </c>
      <c r="G14" s="15">
        <v>80</v>
      </c>
      <c r="H14" s="17">
        <v>0.015</v>
      </c>
      <c r="I14" s="27">
        <f>C14*H14*D14/365</f>
        <v>9945.20547945206</v>
      </c>
      <c r="J14" s="18">
        <f>I14</f>
        <v>9945.20547945206</v>
      </c>
    </row>
    <row r="15" ht="28.5" spans="1:11">
      <c r="A15" s="11" t="s">
        <v>47</v>
      </c>
      <c r="B15" s="11" t="s">
        <v>48</v>
      </c>
      <c r="C15" s="11" t="s">
        <v>49</v>
      </c>
      <c r="D15" s="11" t="s">
        <v>40</v>
      </c>
      <c r="E15" s="11" t="s">
        <v>50</v>
      </c>
      <c r="F15" s="11" t="s">
        <v>51</v>
      </c>
      <c r="G15" s="11"/>
      <c r="H15" s="11" t="s">
        <v>52</v>
      </c>
      <c r="I15" s="11" t="s">
        <v>53</v>
      </c>
      <c r="J15" s="28" t="s">
        <v>46</v>
      </c>
    </row>
    <row r="16" spans="1:11">
      <c r="A16" s="11"/>
      <c r="B16" s="13">
        <v>46275</v>
      </c>
      <c r="C16" s="14">
        <v>1500000</v>
      </c>
      <c r="D16" s="20">
        <f>F16-E14+1</f>
        <v>242</v>
      </c>
      <c r="E16" s="29">
        <v>46204</v>
      </c>
      <c r="F16" s="16">
        <v>46511</v>
      </c>
      <c r="G16" s="15">
        <v>80</v>
      </c>
      <c r="H16" s="17">
        <v>0.015</v>
      </c>
      <c r="I16" s="27">
        <f>C16*H16*D16/365</f>
        <v>14917.8082191781</v>
      </c>
      <c r="J16" s="27">
        <f>I16</f>
        <v>14917.8082191781</v>
      </c>
      <c r="K16" s="77"/>
    </row>
    <row r="21" spans="1:10">
      <c r="B21" s="5"/>
      <c r="C21" s="6" t="s">
        <v>31</v>
      </c>
      <c r="D21" s="6" t="s">
        <v>4</v>
      </c>
    </row>
    <row r="22" spans="1:10">
      <c r="A22" s="30">
        <v>3</v>
      </c>
      <c r="B22" s="15"/>
      <c r="C22" s="30" t="s">
        <v>35</v>
      </c>
      <c r="D22" s="30" t="s">
        <v>35</v>
      </c>
    </row>
    <row r="23" ht="42.75" spans="1:10">
      <c r="A23" s="11" t="s">
        <v>38</v>
      </c>
      <c r="B23" s="11" t="s">
        <v>1</v>
      </c>
      <c r="C23" s="11" t="s">
        <v>39</v>
      </c>
      <c r="D23" s="11" t="s">
        <v>40</v>
      </c>
      <c r="E23" s="11" t="s">
        <v>41</v>
      </c>
      <c r="F23" s="11" t="s">
        <v>42</v>
      </c>
      <c r="G23" s="11" t="s">
        <v>43</v>
      </c>
      <c r="H23" s="11" t="s">
        <v>44</v>
      </c>
      <c r="I23" s="11" t="s">
        <v>45</v>
      </c>
      <c r="J23" s="11" t="s">
        <v>46</v>
      </c>
    </row>
    <row r="24" spans="1:10">
      <c r="A24" s="11"/>
      <c r="B24" s="13">
        <v>46024</v>
      </c>
      <c r="C24" s="14">
        <v>1000000</v>
      </c>
      <c r="D24" s="15">
        <f>F24-E24+1</f>
        <v>242</v>
      </c>
      <c r="E24" s="13">
        <v>46270</v>
      </c>
      <c r="F24" s="16">
        <v>46511</v>
      </c>
      <c r="G24" s="15">
        <v>80</v>
      </c>
      <c r="H24" s="17">
        <v>0.015</v>
      </c>
      <c r="I24" s="27">
        <f>C24*H24*D24/365</f>
        <v>9945.20547945206</v>
      </c>
      <c r="J24" s="14">
        <f>I24</f>
        <v>9945.20547945206</v>
      </c>
    </row>
    <row r="25" ht="28.5" spans="1:10">
      <c r="A25" s="11" t="s">
        <v>47</v>
      </c>
      <c r="B25" s="11" t="s">
        <v>48</v>
      </c>
      <c r="C25" s="11" t="s">
        <v>49</v>
      </c>
      <c r="D25" s="11" t="s">
        <v>40</v>
      </c>
      <c r="E25" s="11" t="s">
        <v>50</v>
      </c>
      <c r="F25" s="11" t="s">
        <v>51</v>
      </c>
      <c r="G25" s="11"/>
      <c r="H25" s="11" t="s">
        <v>52</v>
      </c>
      <c r="I25" s="11" t="s">
        <v>53</v>
      </c>
      <c r="J25" s="11" t="s">
        <v>46</v>
      </c>
    </row>
    <row r="26" spans="1:10">
      <c r="A26" s="11"/>
      <c r="B26" s="13">
        <v>46275</v>
      </c>
      <c r="C26" s="14">
        <v>1500000</v>
      </c>
      <c r="D26" s="20">
        <f>F26-E24+1</f>
        <v>303</v>
      </c>
      <c r="E26" s="16">
        <v>46204</v>
      </c>
      <c r="F26" s="21">
        <v>46572</v>
      </c>
      <c r="G26" s="15">
        <v>80</v>
      </c>
      <c r="H26" s="17">
        <v>0.015</v>
      </c>
      <c r="I26" s="18">
        <f>C26*H26*D26/365</f>
        <v>18678.0821917808</v>
      </c>
      <c r="J26" s="27">
        <f>I26</f>
        <v>18678.0821917808</v>
      </c>
    </row>
    <row r="32" ht="14" customHeight="1" spans="1:10">
      <c r="B32" s="5"/>
      <c r="C32" s="6" t="s">
        <v>31</v>
      </c>
      <c r="D32" s="6" t="s">
        <v>4</v>
      </c>
      <c r="E32" s="4" t="s">
        <v>32</v>
      </c>
    </row>
    <row r="33" spans="1:10">
      <c r="A33" s="25">
        <v>4</v>
      </c>
      <c r="B33" s="26"/>
      <c r="C33" s="25" t="s">
        <v>34</v>
      </c>
      <c r="D33" s="25" t="s">
        <v>54</v>
      </c>
    </row>
    <row r="34" ht="42.75" spans="1:10">
      <c r="A34" s="11" t="s">
        <v>38</v>
      </c>
      <c r="B34" s="11" t="s">
        <v>1</v>
      </c>
      <c r="C34" s="11" t="s">
        <v>39</v>
      </c>
      <c r="D34" s="11" t="s">
        <v>40</v>
      </c>
      <c r="E34" s="11" t="s">
        <v>41</v>
      </c>
      <c r="F34" s="11" t="s">
        <v>42</v>
      </c>
      <c r="G34" s="11" t="s">
        <v>43</v>
      </c>
      <c r="H34" s="11" t="s">
        <v>44</v>
      </c>
      <c r="I34" s="11" t="s">
        <v>45</v>
      </c>
      <c r="J34" s="11" t="s">
        <v>46</v>
      </c>
    </row>
    <row r="35" spans="1:10">
      <c r="A35" s="11"/>
      <c r="B35" s="13">
        <v>46024</v>
      </c>
      <c r="C35" s="14">
        <v>1000000</v>
      </c>
      <c r="D35" s="15">
        <f>F35-E35+1</f>
        <v>242</v>
      </c>
      <c r="E35" s="13">
        <v>46270</v>
      </c>
      <c r="F35" s="16">
        <v>46511</v>
      </c>
      <c r="G35" s="15">
        <v>80</v>
      </c>
      <c r="H35" s="17">
        <v>0.015</v>
      </c>
      <c r="I35" s="27">
        <f>C35*H35*D35/365</f>
        <v>9945.20547945206</v>
      </c>
      <c r="J35" s="14">
        <f>I35</f>
        <v>9945.20547945206</v>
      </c>
    </row>
    <row r="36" ht="28.5" spans="1:10">
      <c r="A36" s="11" t="s">
        <v>47</v>
      </c>
      <c r="B36" s="11" t="s">
        <v>48</v>
      </c>
      <c r="C36" s="11" t="s">
        <v>49</v>
      </c>
      <c r="D36" s="11" t="s">
        <v>40</v>
      </c>
      <c r="E36" s="11" t="s">
        <v>50</v>
      </c>
      <c r="F36" s="11" t="s">
        <v>51</v>
      </c>
      <c r="G36" s="11"/>
      <c r="H36" s="11" t="s">
        <v>52</v>
      </c>
      <c r="I36" s="11" t="s">
        <v>53</v>
      </c>
      <c r="J36" s="28" t="s">
        <v>46</v>
      </c>
    </row>
    <row r="37" spans="1:10">
      <c r="A37" s="11"/>
      <c r="B37" s="13">
        <v>46275</v>
      </c>
      <c r="C37" s="14">
        <v>1000000</v>
      </c>
      <c r="D37" s="20">
        <f>F37-E35+1</f>
        <v>181</v>
      </c>
      <c r="E37" s="16">
        <v>46204</v>
      </c>
      <c r="F37" s="21">
        <v>46450</v>
      </c>
      <c r="G37" s="15">
        <v>80</v>
      </c>
      <c r="H37" s="17">
        <v>0.015</v>
      </c>
      <c r="I37" s="18">
        <f>C37*H37*D37/365</f>
        <v>7438.35616438356</v>
      </c>
      <c r="J37" s="31">
        <f>I37</f>
        <v>7438.35616438356</v>
      </c>
    </row>
    <row r="38" spans="1:10">
      <c r="J38" s="32" t="s">
        <v>55</v>
      </c>
    </row>
    <row r="43" ht="28.5" spans="1:10">
      <c r="B43" s="5"/>
      <c r="C43" s="6" t="s">
        <v>31</v>
      </c>
      <c r="D43" s="6" t="s">
        <v>4</v>
      </c>
      <c r="E43" s="78" t="s">
        <v>56</v>
      </c>
    </row>
    <row r="44" spans="1:10">
      <c r="A44" s="25">
        <v>9</v>
      </c>
      <c r="B44" s="26"/>
      <c r="C44" s="25" t="s">
        <v>34</v>
      </c>
      <c r="D44" s="25" t="s">
        <v>34</v>
      </c>
    </row>
    <row r="45" ht="42.75" spans="1:10">
      <c r="A45" s="11" t="s">
        <v>38</v>
      </c>
      <c r="B45" s="11" t="s">
        <v>1</v>
      </c>
      <c r="C45" s="11" t="s">
        <v>39</v>
      </c>
      <c r="D45" s="11" t="s">
        <v>40</v>
      </c>
      <c r="E45" s="11" t="s">
        <v>41</v>
      </c>
      <c r="F45" s="11" t="s">
        <v>42</v>
      </c>
      <c r="G45" s="11" t="s">
        <v>43</v>
      </c>
      <c r="H45" s="11" t="s">
        <v>44</v>
      </c>
      <c r="I45" s="11" t="s">
        <v>45</v>
      </c>
      <c r="J45" s="11" t="s">
        <v>46</v>
      </c>
    </row>
    <row r="46" spans="1:10">
      <c r="A46" s="11"/>
      <c r="B46" s="13">
        <v>46024</v>
      </c>
      <c r="C46" s="14">
        <v>1000000</v>
      </c>
      <c r="D46" s="15">
        <f>F46-E46+1</f>
        <v>242</v>
      </c>
      <c r="E46" s="13">
        <v>46270</v>
      </c>
      <c r="F46" s="16">
        <v>46511</v>
      </c>
      <c r="G46" s="15">
        <v>80</v>
      </c>
      <c r="H46" s="17">
        <v>0.015</v>
      </c>
      <c r="I46" s="27">
        <f>C46*H46*D46/365</f>
        <v>9945.20547945206</v>
      </c>
      <c r="J46" s="14">
        <f>I46</f>
        <v>9945.20547945206</v>
      </c>
    </row>
    <row r="47" ht="28.5" spans="1:10">
      <c r="A47" s="11" t="s">
        <v>47</v>
      </c>
      <c r="B47" s="11" t="s">
        <v>48</v>
      </c>
      <c r="C47" s="11" t="s">
        <v>57</v>
      </c>
      <c r="D47" s="11" t="s">
        <v>40</v>
      </c>
      <c r="E47" s="11" t="s">
        <v>50</v>
      </c>
      <c r="F47" s="11" t="s">
        <v>51</v>
      </c>
      <c r="G47" s="11"/>
      <c r="H47" s="11" t="s">
        <v>52</v>
      </c>
      <c r="I47" s="11" t="s">
        <v>53</v>
      </c>
      <c r="J47" s="28" t="s">
        <v>46</v>
      </c>
    </row>
    <row r="48" spans="1:10">
      <c r="A48" s="11"/>
      <c r="B48" s="13">
        <v>46275</v>
      </c>
      <c r="C48" s="14">
        <f>C46</f>
        <v>1000000</v>
      </c>
      <c r="D48" s="20">
        <f>F48-E46+1</f>
        <v>242</v>
      </c>
      <c r="E48" s="16">
        <v>46204</v>
      </c>
      <c r="F48" s="21">
        <v>46511</v>
      </c>
      <c r="G48" s="15">
        <v>80</v>
      </c>
      <c r="H48" s="17">
        <v>0.015</v>
      </c>
      <c r="I48" s="18">
        <f>C48*H48*D48/365</f>
        <v>9945.20547945206</v>
      </c>
      <c r="J48" s="31">
        <f>I48-I46</f>
        <v>0</v>
      </c>
    </row>
  </sheetData>
  <mergeCells count="10">
    <mergeCell ref="A3:A4"/>
    <mergeCell ref="A5:A6"/>
    <mergeCell ref="A13:A14"/>
    <mergeCell ref="A15:A16"/>
    <mergeCell ref="A23:A24"/>
    <mergeCell ref="A25:A26"/>
    <mergeCell ref="A34:A35"/>
    <mergeCell ref="A36:A37"/>
    <mergeCell ref="A45:A46"/>
    <mergeCell ref="A47:A4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5"/>
  <sheetViews>
    <sheetView topLeftCell="A67" workbookViewId="0">
      <selection activeCell="C75" sqref="C75:D75"/>
    </sheetView>
  </sheetViews>
  <sheetFormatPr defaultColWidth="13.5416666666667" defaultRowHeight="15"/>
  <cols>
    <col min="1" max="16384" width="13.5416666666667" style="7"/>
  </cols>
  <sheetData>
    <row r="1" ht="28.5" spans="1:14">
      <c r="B1" s="5"/>
      <c r="C1" s="6" t="s">
        <v>31</v>
      </c>
      <c r="D1" s="6" t="s">
        <v>58</v>
      </c>
      <c r="E1" s="7" t="s">
        <v>59</v>
      </c>
    </row>
    <row r="2" ht="30" spans="1:14">
      <c r="A2" s="8">
        <v>1</v>
      </c>
      <c r="B2" s="9" t="s">
        <v>33</v>
      </c>
      <c r="C2" s="8" t="s">
        <v>34</v>
      </c>
      <c r="D2" s="8" t="s">
        <v>35</v>
      </c>
      <c r="E2" s="7" t="s">
        <v>36</v>
      </c>
      <c r="G2" s="7" t="s">
        <v>36</v>
      </c>
      <c r="H2" s="7" t="s">
        <v>37</v>
      </c>
    </row>
    <row r="3" ht="57" spans="1:14">
      <c r="A3" s="10" t="s">
        <v>38</v>
      </c>
      <c r="B3" s="11" t="s">
        <v>1</v>
      </c>
      <c r="C3" s="11" t="s">
        <v>39</v>
      </c>
      <c r="D3" s="11" t="s">
        <v>60</v>
      </c>
      <c r="E3" s="11" t="s">
        <v>61</v>
      </c>
      <c r="F3" s="11" t="s">
        <v>62</v>
      </c>
      <c r="G3" s="11" t="s">
        <v>43</v>
      </c>
      <c r="H3" s="11" t="s">
        <v>44</v>
      </c>
      <c r="I3" s="11" t="s">
        <v>63</v>
      </c>
      <c r="J3" s="11" t="s">
        <v>46</v>
      </c>
    </row>
    <row r="4" spans="1:14">
      <c r="A4" s="12"/>
      <c r="B4" s="13">
        <v>46024</v>
      </c>
      <c r="C4" s="14">
        <v>1000000</v>
      </c>
      <c r="D4" s="15">
        <f>F4-E4+1</f>
        <v>488</v>
      </c>
      <c r="E4" s="13">
        <v>46024</v>
      </c>
      <c r="F4" s="16">
        <v>46511</v>
      </c>
      <c r="G4" s="15">
        <v>100</v>
      </c>
      <c r="H4" s="17">
        <v>0.005</v>
      </c>
      <c r="I4" s="19">
        <f>C4*D4*H4/365</f>
        <v>6684.93150684932</v>
      </c>
      <c r="J4" s="14">
        <v>0</v>
      </c>
    </row>
    <row r="5" ht="42.75" spans="1:14">
      <c r="A5" s="10" t="s">
        <v>47</v>
      </c>
      <c r="B5" s="11" t="s">
        <v>48</v>
      </c>
      <c r="C5" s="11" t="s">
        <v>49</v>
      </c>
      <c r="D5" s="11" t="s">
        <v>60</v>
      </c>
      <c r="E5" s="11"/>
      <c r="F5" s="11" t="s">
        <v>64</v>
      </c>
      <c r="G5" s="11"/>
      <c r="H5" s="11" t="s">
        <v>52</v>
      </c>
      <c r="I5" s="11" t="s">
        <v>53</v>
      </c>
      <c r="J5" s="11" t="s">
        <v>46</v>
      </c>
      <c r="K5" s="11" t="s">
        <v>65</v>
      </c>
      <c r="L5" s="11" t="s">
        <v>66</v>
      </c>
      <c r="M5" s="11" t="s">
        <v>67</v>
      </c>
      <c r="N5" s="11" t="s">
        <v>68</v>
      </c>
    </row>
    <row r="6" spans="1:14">
      <c r="A6" s="12"/>
      <c r="B6" s="13">
        <v>46267</v>
      </c>
      <c r="C6" s="14">
        <v>1000000</v>
      </c>
      <c r="D6" s="20">
        <f>F6-E4+1</f>
        <v>611</v>
      </c>
      <c r="E6" s="16"/>
      <c r="F6" s="21">
        <v>46634</v>
      </c>
      <c r="G6" s="15">
        <v>100</v>
      </c>
      <c r="H6" s="17">
        <v>0.005</v>
      </c>
      <c r="I6" s="19">
        <f>M6+N6</f>
        <v>8369.86301369863</v>
      </c>
      <c r="J6" s="22">
        <f>I6</f>
        <v>8369.86301369863</v>
      </c>
      <c r="K6" s="15">
        <f>B6-E4</f>
        <v>243</v>
      </c>
      <c r="L6" s="15">
        <f>D6-K6</f>
        <v>368</v>
      </c>
      <c r="M6" s="23">
        <f>C4*H6*K6/365</f>
        <v>3328.76712328767</v>
      </c>
      <c r="N6" s="23">
        <f>C6*H6*L6/365</f>
        <v>5041.09589041096</v>
      </c>
    </row>
    <row r="10" ht="28.5" spans="1:14">
      <c r="B10" s="5"/>
      <c r="C10" s="6" t="s">
        <v>31</v>
      </c>
      <c r="D10" s="6" t="s">
        <v>58</v>
      </c>
    </row>
    <row r="11" spans="1:14">
      <c r="A11" s="25">
        <v>2</v>
      </c>
      <c r="B11" s="26"/>
      <c r="C11" s="25" t="s">
        <v>35</v>
      </c>
      <c r="D11" s="25" t="s">
        <v>34</v>
      </c>
    </row>
    <row r="12" ht="57" spans="1:14">
      <c r="A12" s="10" t="s">
        <v>38</v>
      </c>
      <c r="B12" s="11" t="s">
        <v>1</v>
      </c>
      <c r="C12" s="11" t="s">
        <v>39</v>
      </c>
      <c r="D12" s="11" t="s">
        <v>60</v>
      </c>
      <c r="E12" s="11" t="s">
        <v>61</v>
      </c>
      <c r="F12" s="11" t="s">
        <v>62</v>
      </c>
      <c r="G12" s="11" t="s">
        <v>43</v>
      </c>
      <c r="H12" s="11" t="s">
        <v>44</v>
      </c>
      <c r="I12" s="11" t="s">
        <v>69</v>
      </c>
      <c r="J12" s="11" t="s">
        <v>46</v>
      </c>
    </row>
    <row r="13" spans="1:14">
      <c r="A13" s="12"/>
      <c r="B13" s="13">
        <v>46024</v>
      </c>
      <c r="C13" s="14">
        <v>1000000</v>
      </c>
      <c r="D13" s="15">
        <f>F13-E13+1</f>
        <v>488</v>
      </c>
      <c r="E13" s="13">
        <v>46024</v>
      </c>
      <c r="F13" s="16">
        <v>46511</v>
      </c>
      <c r="G13" s="15">
        <v>100</v>
      </c>
      <c r="H13" s="17">
        <v>0.005</v>
      </c>
      <c r="I13" s="18">
        <f>C13*D13*H13/365</f>
        <v>6684.93150684932</v>
      </c>
      <c r="J13" s="14">
        <v>0</v>
      </c>
    </row>
    <row r="14" ht="42.75" spans="1:14">
      <c r="A14" s="10" t="s">
        <v>47</v>
      </c>
      <c r="B14" s="11" t="s">
        <v>48</v>
      </c>
      <c r="C14" s="11" t="s">
        <v>49</v>
      </c>
      <c r="D14" s="11" t="s">
        <v>60</v>
      </c>
      <c r="E14" s="11"/>
      <c r="F14" s="11" t="s">
        <v>64</v>
      </c>
      <c r="G14" s="11"/>
      <c r="H14" s="11" t="s">
        <v>52</v>
      </c>
      <c r="I14" s="11" t="s">
        <v>53</v>
      </c>
      <c r="J14" s="28" t="s">
        <v>46</v>
      </c>
      <c r="K14" s="11" t="s">
        <v>65</v>
      </c>
      <c r="L14" s="11" t="s">
        <v>66</v>
      </c>
      <c r="M14" s="11" t="s">
        <v>67</v>
      </c>
      <c r="N14" s="11" t="s">
        <v>68</v>
      </c>
    </row>
    <row r="15" spans="1:14">
      <c r="A15" s="12"/>
      <c r="B15" s="13">
        <v>46267</v>
      </c>
      <c r="C15" s="72">
        <v>1500000</v>
      </c>
      <c r="D15" s="20">
        <f>F15-E13+1</f>
        <v>488</v>
      </c>
      <c r="E15" s="16"/>
      <c r="F15" s="21">
        <v>46511</v>
      </c>
      <c r="G15" s="15">
        <v>100</v>
      </c>
      <c r="H15" s="17">
        <v>0.005</v>
      </c>
      <c r="I15" s="19">
        <f>M15+N15</f>
        <v>8363.01369863014</v>
      </c>
      <c r="J15" s="22">
        <f>I15</f>
        <v>8363.01369863014</v>
      </c>
      <c r="K15" s="15">
        <f>B15-E13</f>
        <v>243</v>
      </c>
      <c r="L15" s="15">
        <f>D15-K15</f>
        <v>245</v>
      </c>
      <c r="M15" s="23">
        <f>C13*H15*K15/365</f>
        <v>3328.76712328767</v>
      </c>
      <c r="N15" s="23">
        <f>C15*H15*L15/365</f>
        <v>5034.24657534247</v>
      </c>
    </row>
    <row r="19" ht="28.5" spans="1:14">
      <c r="B19" s="5"/>
      <c r="C19" s="6" t="s">
        <v>31</v>
      </c>
      <c r="D19" s="6" t="s">
        <v>58</v>
      </c>
    </row>
    <row r="20" spans="1:14">
      <c r="A20" s="30">
        <v>3</v>
      </c>
      <c r="B20" s="15"/>
      <c r="C20" s="30" t="s">
        <v>35</v>
      </c>
      <c r="D20" s="30" t="s">
        <v>35</v>
      </c>
    </row>
    <row r="21" ht="57" spans="1:14">
      <c r="A21" s="10" t="s">
        <v>38</v>
      </c>
      <c r="B21" s="11" t="s">
        <v>1</v>
      </c>
      <c r="C21" s="11" t="s">
        <v>39</v>
      </c>
      <c r="D21" s="11" t="s">
        <v>60</v>
      </c>
      <c r="E21" s="11" t="s">
        <v>61</v>
      </c>
      <c r="F21" s="11" t="s">
        <v>62</v>
      </c>
      <c r="G21" s="11" t="s">
        <v>43</v>
      </c>
      <c r="H21" s="11" t="s">
        <v>44</v>
      </c>
      <c r="I21" s="11" t="s">
        <v>69</v>
      </c>
      <c r="J21" s="11" t="s">
        <v>46</v>
      </c>
      <c r="K21" s="11"/>
      <c r="L21" s="11"/>
    </row>
    <row r="22" spans="1:14">
      <c r="A22" s="12"/>
      <c r="B22" s="13">
        <v>46024</v>
      </c>
      <c r="C22" s="14">
        <v>1000000</v>
      </c>
      <c r="D22" s="15">
        <f>F22-E22+1</f>
        <v>488</v>
      </c>
      <c r="E22" s="13">
        <v>46024</v>
      </c>
      <c r="F22" s="16">
        <v>46511</v>
      </c>
      <c r="G22" s="15">
        <v>100</v>
      </c>
      <c r="H22" s="17">
        <v>0.005</v>
      </c>
      <c r="I22" s="18">
        <f>C22*D22*H22/365</f>
        <v>6684.93150684932</v>
      </c>
      <c r="J22" s="14">
        <v>0</v>
      </c>
      <c r="K22" s="15"/>
      <c r="L22" s="15"/>
    </row>
    <row r="23" ht="42.75" spans="1:14">
      <c r="A23" s="10" t="s">
        <v>47</v>
      </c>
      <c r="B23" s="11" t="s">
        <v>48</v>
      </c>
      <c r="C23" s="11" t="s">
        <v>49</v>
      </c>
      <c r="D23" s="11" t="s">
        <v>60</v>
      </c>
      <c r="E23" s="11"/>
      <c r="F23" s="11" t="s">
        <v>64</v>
      </c>
      <c r="G23" s="11"/>
      <c r="H23" s="11" t="s">
        <v>52</v>
      </c>
      <c r="I23" s="11" t="s">
        <v>53</v>
      </c>
      <c r="J23" s="11" t="s">
        <v>46</v>
      </c>
      <c r="K23" s="11" t="s">
        <v>65</v>
      </c>
      <c r="L23" s="11" t="s">
        <v>66</v>
      </c>
      <c r="M23" s="11" t="s">
        <v>67</v>
      </c>
      <c r="N23" s="11" t="s">
        <v>68</v>
      </c>
    </row>
    <row r="24" spans="1:14">
      <c r="A24" s="12"/>
      <c r="B24" s="13">
        <v>46267</v>
      </c>
      <c r="C24" s="14">
        <v>1500000</v>
      </c>
      <c r="D24" s="20">
        <f>F24-E22+1</f>
        <v>611</v>
      </c>
      <c r="E24" s="16"/>
      <c r="F24" s="21">
        <v>46634</v>
      </c>
      <c r="G24" s="15">
        <v>100</v>
      </c>
      <c r="H24" s="17">
        <v>0.005</v>
      </c>
      <c r="I24" s="19">
        <f>M24+N24</f>
        <v>10890.4109589041</v>
      </c>
      <c r="J24" s="22">
        <f>I24</f>
        <v>10890.4109589041</v>
      </c>
      <c r="K24" s="15">
        <f>B24-E22</f>
        <v>243</v>
      </c>
      <c r="L24" s="15">
        <f>D24-K24</f>
        <v>368</v>
      </c>
      <c r="M24" s="23">
        <f>C22*H24*K24/365</f>
        <v>3328.76712328767</v>
      </c>
      <c r="N24" s="23">
        <f>C24*H24*L24/365</f>
        <v>7561.64383561644</v>
      </c>
    </row>
    <row r="30" ht="14" customHeight="1" spans="1:14">
      <c r="B30" s="5"/>
      <c r="C30" s="6" t="s">
        <v>31</v>
      </c>
      <c r="D30" s="6" t="s">
        <v>58</v>
      </c>
    </row>
    <row r="31" spans="1:14">
      <c r="A31" s="25">
        <v>4</v>
      </c>
      <c r="B31" s="26"/>
      <c r="C31" s="25" t="s">
        <v>34</v>
      </c>
      <c r="D31" s="25" t="s">
        <v>54</v>
      </c>
    </row>
    <row r="32" ht="57" spans="1:14">
      <c r="A32" s="10" t="s">
        <v>38</v>
      </c>
      <c r="B32" s="11" t="s">
        <v>1</v>
      </c>
      <c r="C32" s="11" t="s">
        <v>39</v>
      </c>
      <c r="D32" s="11" t="s">
        <v>60</v>
      </c>
      <c r="E32" s="11" t="s">
        <v>61</v>
      </c>
      <c r="F32" s="11" t="s">
        <v>62</v>
      </c>
      <c r="G32" s="11" t="s">
        <v>43</v>
      </c>
      <c r="H32" s="11" t="s">
        <v>44</v>
      </c>
      <c r="I32" s="11" t="s">
        <v>69</v>
      </c>
      <c r="J32" s="11" t="s">
        <v>46</v>
      </c>
      <c r="K32" s="11"/>
      <c r="L32" s="11"/>
    </row>
    <row r="33" spans="1:14">
      <c r="A33" s="12"/>
      <c r="B33" s="13">
        <v>46024</v>
      </c>
      <c r="C33" s="14">
        <v>1000000</v>
      </c>
      <c r="D33" s="15">
        <f>F33-E33+1</f>
        <v>488</v>
      </c>
      <c r="E33" s="13">
        <v>46024</v>
      </c>
      <c r="F33" s="16">
        <v>46511</v>
      </c>
      <c r="G33" s="15">
        <v>100</v>
      </c>
      <c r="H33" s="17">
        <v>0.005</v>
      </c>
      <c r="I33" s="18">
        <f>C33*D33*H33/365</f>
        <v>6684.93150684932</v>
      </c>
      <c r="J33" s="14">
        <v>0</v>
      </c>
      <c r="K33" s="15"/>
      <c r="L33" s="15"/>
    </row>
    <row r="34" ht="42.75" spans="1:14">
      <c r="A34" s="10" t="s">
        <v>47</v>
      </c>
      <c r="B34" s="11" t="s">
        <v>48</v>
      </c>
      <c r="C34" s="11" t="s">
        <v>49</v>
      </c>
      <c r="D34" s="11" t="s">
        <v>60</v>
      </c>
      <c r="E34" s="11"/>
      <c r="F34" s="11" t="s">
        <v>64</v>
      </c>
      <c r="G34" s="11"/>
      <c r="H34" s="11" t="s">
        <v>52</v>
      </c>
      <c r="I34" s="11" t="s">
        <v>53</v>
      </c>
      <c r="J34" s="11" t="s">
        <v>46</v>
      </c>
      <c r="K34" s="11" t="s">
        <v>65</v>
      </c>
      <c r="L34" s="11" t="s">
        <v>66</v>
      </c>
      <c r="M34" s="11" t="s">
        <v>67</v>
      </c>
      <c r="N34" s="11" t="s">
        <v>68</v>
      </c>
    </row>
    <row r="35" spans="1:14">
      <c r="A35" s="12"/>
      <c r="B35" s="13">
        <v>46267</v>
      </c>
      <c r="C35" s="14">
        <v>1000000</v>
      </c>
      <c r="D35" s="20">
        <f>F35-E33+1</f>
        <v>399</v>
      </c>
      <c r="E35" s="16"/>
      <c r="F35" s="21">
        <v>46422</v>
      </c>
      <c r="G35" s="15">
        <v>100</v>
      </c>
      <c r="H35" s="17">
        <v>0.005</v>
      </c>
      <c r="I35" s="19">
        <f>M35+N35</f>
        <v>5465.75342465753</v>
      </c>
      <c r="J35" s="22">
        <f>I35</f>
        <v>5465.75342465753</v>
      </c>
      <c r="K35" s="15">
        <f>B35-E33</f>
        <v>243</v>
      </c>
      <c r="L35" s="15">
        <f>D35-K35</f>
        <v>156</v>
      </c>
      <c r="M35" s="23">
        <f>C33*H35*K35/365</f>
        <v>3328.76712328767</v>
      </c>
      <c r="N35" s="23">
        <f>C35*H35*L35/365</f>
        <v>2136.98630136986</v>
      </c>
    </row>
    <row r="40" ht="28.5" spans="1:14">
      <c r="B40" s="5"/>
      <c r="C40" s="6" t="s">
        <v>31</v>
      </c>
      <c r="D40" s="6" t="s">
        <v>58</v>
      </c>
    </row>
    <row r="41" spans="1:14">
      <c r="A41" s="30">
        <v>5</v>
      </c>
      <c r="B41" s="15"/>
      <c r="C41" s="30" t="s">
        <v>35</v>
      </c>
      <c r="D41" s="30" t="s">
        <v>54</v>
      </c>
    </row>
    <row r="42" ht="57" spans="1:14">
      <c r="A42" s="10" t="s">
        <v>38</v>
      </c>
      <c r="B42" s="11" t="s">
        <v>1</v>
      </c>
      <c r="C42" s="11" t="s">
        <v>39</v>
      </c>
      <c r="D42" s="11" t="s">
        <v>60</v>
      </c>
      <c r="E42" s="11" t="s">
        <v>61</v>
      </c>
      <c r="F42" s="11" t="s">
        <v>62</v>
      </c>
      <c r="G42" s="11" t="s">
        <v>43</v>
      </c>
      <c r="H42" s="11" t="s">
        <v>44</v>
      </c>
      <c r="I42" s="11" t="s">
        <v>69</v>
      </c>
      <c r="J42" s="11" t="s">
        <v>46</v>
      </c>
      <c r="K42" s="11"/>
      <c r="L42" s="11"/>
    </row>
    <row r="43" spans="1:14">
      <c r="A43" s="12"/>
      <c r="B43" s="13">
        <v>46024</v>
      </c>
      <c r="C43" s="14">
        <v>1000000</v>
      </c>
      <c r="D43" s="15">
        <f>F43-E43+1</f>
        <v>488</v>
      </c>
      <c r="E43" s="13">
        <v>46024</v>
      </c>
      <c r="F43" s="16">
        <v>46511</v>
      </c>
      <c r="G43" s="15">
        <v>100</v>
      </c>
      <c r="H43" s="17">
        <v>0.005</v>
      </c>
      <c r="I43" s="18">
        <f>C43*D43*H43/365</f>
        <v>6684.93150684932</v>
      </c>
      <c r="J43" s="14">
        <v>0</v>
      </c>
      <c r="K43" s="15"/>
      <c r="L43" s="15"/>
    </row>
    <row r="44" ht="42.75" spans="1:14">
      <c r="A44" s="10" t="s">
        <v>47</v>
      </c>
      <c r="B44" s="11" t="s">
        <v>48</v>
      </c>
      <c r="C44" s="11" t="s">
        <v>49</v>
      </c>
      <c r="D44" s="11" t="s">
        <v>60</v>
      </c>
      <c r="E44" s="11"/>
      <c r="F44" s="11" t="s">
        <v>64</v>
      </c>
      <c r="G44" s="11"/>
      <c r="H44" s="11" t="s">
        <v>52</v>
      </c>
      <c r="I44" s="11" t="s">
        <v>53</v>
      </c>
      <c r="J44" s="28" t="s">
        <v>46</v>
      </c>
      <c r="K44" s="11" t="s">
        <v>65</v>
      </c>
      <c r="L44" s="11" t="s">
        <v>66</v>
      </c>
      <c r="M44" s="11" t="s">
        <v>67</v>
      </c>
      <c r="N44" s="11" t="s">
        <v>68</v>
      </c>
    </row>
    <row r="45" spans="1:14">
      <c r="A45" s="12"/>
      <c r="B45" s="13">
        <v>46267</v>
      </c>
      <c r="C45" s="14">
        <v>1500000</v>
      </c>
      <c r="D45" s="20">
        <f>F45-E43+1</f>
        <v>399</v>
      </c>
      <c r="E45" s="16"/>
      <c r="F45" s="21">
        <v>46422</v>
      </c>
      <c r="G45" s="15">
        <v>100</v>
      </c>
      <c r="H45" s="17">
        <v>0.005</v>
      </c>
      <c r="I45" s="19">
        <f>M45+N45</f>
        <v>6534.24657534247</v>
      </c>
      <c r="J45" s="22">
        <f>I45</f>
        <v>6534.24657534247</v>
      </c>
      <c r="K45" s="15">
        <f>B45-E43</f>
        <v>243</v>
      </c>
      <c r="L45" s="15">
        <f>D45-K45</f>
        <v>156</v>
      </c>
      <c r="M45" s="23">
        <f>C43*H45*K45/365</f>
        <v>3328.76712328767</v>
      </c>
      <c r="N45" s="23">
        <f>C45*H45*L45/365</f>
        <v>3205.47945205479</v>
      </c>
    </row>
    <row r="51" ht="28.5" spans="1:14">
      <c r="B51" s="5"/>
      <c r="C51" s="6" t="s">
        <v>31</v>
      </c>
      <c r="D51" s="6" t="s">
        <v>58</v>
      </c>
    </row>
    <row r="52" spans="1:14">
      <c r="A52" s="30">
        <v>6</v>
      </c>
      <c r="B52" s="15"/>
      <c r="C52" s="30" t="s">
        <v>54</v>
      </c>
      <c r="D52" s="30" t="s">
        <v>35</v>
      </c>
    </row>
    <row r="53" ht="57" spans="1:14">
      <c r="A53" s="10" t="s">
        <v>38</v>
      </c>
      <c r="B53" s="11" t="s">
        <v>1</v>
      </c>
      <c r="C53" s="11" t="s">
        <v>39</v>
      </c>
      <c r="D53" s="11" t="s">
        <v>60</v>
      </c>
      <c r="E53" s="11" t="s">
        <v>61</v>
      </c>
      <c r="F53" s="11" t="s">
        <v>62</v>
      </c>
      <c r="G53" s="11" t="s">
        <v>43</v>
      </c>
      <c r="H53" s="11" t="s">
        <v>44</v>
      </c>
      <c r="I53" s="11" t="s">
        <v>69</v>
      </c>
      <c r="J53" s="11" t="s">
        <v>46</v>
      </c>
      <c r="K53" s="11"/>
      <c r="L53" s="11"/>
    </row>
    <row r="54" spans="1:14">
      <c r="A54" s="12"/>
      <c r="B54" s="13">
        <v>46024</v>
      </c>
      <c r="C54" s="14">
        <v>1000000</v>
      </c>
      <c r="D54" s="15">
        <f>F54-E54+1</f>
        <v>488</v>
      </c>
      <c r="E54" s="13">
        <v>46024</v>
      </c>
      <c r="F54" s="16">
        <v>46511</v>
      </c>
      <c r="G54" s="15">
        <v>100</v>
      </c>
      <c r="H54" s="17">
        <v>0.005</v>
      </c>
      <c r="I54" s="18">
        <f>C54*D54*H54/365</f>
        <v>6684.93150684932</v>
      </c>
      <c r="J54" s="14">
        <v>0</v>
      </c>
      <c r="K54" s="15"/>
      <c r="L54" s="15"/>
    </row>
    <row r="55" ht="42.75" spans="1:14">
      <c r="A55" s="10" t="s">
        <v>47</v>
      </c>
      <c r="B55" s="11" t="s">
        <v>48</v>
      </c>
      <c r="C55" s="11" t="s">
        <v>49</v>
      </c>
      <c r="D55" s="11" t="s">
        <v>60</v>
      </c>
      <c r="E55" s="11"/>
      <c r="F55" s="11" t="s">
        <v>64</v>
      </c>
      <c r="G55" s="11"/>
      <c r="H55" s="11" t="s">
        <v>52</v>
      </c>
      <c r="I55" s="11" t="s">
        <v>53</v>
      </c>
      <c r="J55" s="11" t="s">
        <v>46</v>
      </c>
      <c r="K55" s="11" t="s">
        <v>65</v>
      </c>
      <c r="L55" s="11" t="s">
        <v>66</v>
      </c>
      <c r="M55" s="11" t="s">
        <v>67</v>
      </c>
      <c r="N55" s="11" t="s">
        <v>68</v>
      </c>
    </row>
    <row r="56" spans="1:14">
      <c r="A56" s="12"/>
      <c r="B56" s="13">
        <v>46267</v>
      </c>
      <c r="C56" s="14">
        <v>900000</v>
      </c>
      <c r="D56" s="20">
        <f>F56-E54+1</f>
        <v>611</v>
      </c>
      <c r="E56" s="16"/>
      <c r="F56" s="21">
        <v>46634</v>
      </c>
      <c r="G56" s="15">
        <v>100</v>
      </c>
      <c r="H56" s="17">
        <v>0.005</v>
      </c>
      <c r="I56" s="19">
        <f>M56+N56</f>
        <v>7865.75342465753</v>
      </c>
      <c r="J56" s="22">
        <f>I56</f>
        <v>7865.75342465753</v>
      </c>
      <c r="K56" s="15">
        <f>B56-E54</f>
        <v>243</v>
      </c>
      <c r="L56" s="15">
        <f>D56-K56</f>
        <v>368</v>
      </c>
      <c r="M56" s="23">
        <f>C54*H56*K56/365</f>
        <v>3328.76712328767</v>
      </c>
      <c r="N56" s="23">
        <f>C56*H56*L56/365</f>
        <v>4536.98630136986</v>
      </c>
    </row>
    <row r="63" ht="28.5" spans="1:14">
      <c r="B63" s="5"/>
      <c r="C63" s="6" t="s">
        <v>31</v>
      </c>
      <c r="D63" s="6" t="s">
        <v>58</v>
      </c>
    </row>
    <row r="64" spans="1:14">
      <c r="A64" s="30">
        <v>7</v>
      </c>
      <c r="B64" s="15"/>
      <c r="C64" s="30" t="s">
        <v>54</v>
      </c>
      <c r="D64" s="30" t="s">
        <v>54</v>
      </c>
    </row>
    <row r="65" ht="57" spans="1:14">
      <c r="A65" s="10" t="s">
        <v>38</v>
      </c>
      <c r="B65" s="11" t="s">
        <v>1</v>
      </c>
      <c r="C65" s="11" t="s">
        <v>39</v>
      </c>
      <c r="D65" s="11" t="s">
        <v>60</v>
      </c>
      <c r="E65" s="11" t="s">
        <v>61</v>
      </c>
      <c r="F65" s="11" t="s">
        <v>62</v>
      </c>
      <c r="G65" s="11" t="s">
        <v>43</v>
      </c>
      <c r="H65" s="11" t="s">
        <v>44</v>
      </c>
      <c r="I65" s="11" t="s">
        <v>69</v>
      </c>
      <c r="J65" s="11" t="s">
        <v>46</v>
      </c>
      <c r="K65" s="11"/>
      <c r="L65" s="11"/>
    </row>
    <row r="66" spans="1:14">
      <c r="A66" s="12"/>
      <c r="B66" s="13">
        <v>46024</v>
      </c>
      <c r="C66" s="14">
        <v>1000000</v>
      </c>
      <c r="D66" s="15">
        <f>F66-E66+1</f>
        <v>488</v>
      </c>
      <c r="E66" s="13">
        <v>46024</v>
      </c>
      <c r="F66" s="16">
        <v>46511</v>
      </c>
      <c r="G66" s="15">
        <v>100</v>
      </c>
      <c r="H66" s="17">
        <v>0.005</v>
      </c>
      <c r="I66" s="18">
        <f>C66*D66*H66/365</f>
        <v>6684.93150684932</v>
      </c>
      <c r="J66" s="14">
        <v>0</v>
      </c>
      <c r="K66" s="15"/>
      <c r="L66" s="15"/>
    </row>
    <row r="67" ht="42.75" spans="1:14">
      <c r="A67" s="10" t="s">
        <v>47</v>
      </c>
      <c r="B67" s="11" t="s">
        <v>48</v>
      </c>
      <c r="C67" s="11" t="s">
        <v>49</v>
      </c>
      <c r="D67" s="11" t="s">
        <v>60</v>
      </c>
      <c r="E67" s="11"/>
      <c r="F67" s="11" t="s">
        <v>64</v>
      </c>
      <c r="G67" s="11"/>
      <c r="H67" s="11" t="s">
        <v>52</v>
      </c>
      <c r="I67" s="11" t="s">
        <v>53</v>
      </c>
      <c r="J67" s="11" t="s">
        <v>46</v>
      </c>
      <c r="K67" s="11" t="s">
        <v>65</v>
      </c>
      <c r="L67" s="11" t="s">
        <v>66</v>
      </c>
      <c r="M67" s="11" t="s">
        <v>67</v>
      </c>
      <c r="N67" s="11" t="s">
        <v>68</v>
      </c>
    </row>
    <row r="68" spans="1:14">
      <c r="A68" s="12"/>
      <c r="B68" s="13">
        <v>46267</v>
      </c>
      <c r="C68" s="14">
        <v>900000</v>
      </c>
      <c r="D68" s="20">
        <f>F68-E66+1</f>
        <v>399</v>
      </c>
      <c r="E68" s="16"/>
      <c r="F68" s="21">
        <v>46422</v>
      </c>
      <c r="G68" s="15">
        <v>100</v>
      </c>
      <c r="H68" s="17">
        <v>0.005</v>
      </c>
      <c r="I68" s="19">
        <f>M68+N68</f>
        <v>5252.05479452055</v>
      </c>
      <c r="J68" s="22">
        <f>I68</f>
        <v>5252.05479452055</v>
      </c>
      <c r="K68" s="15">
        <f>B68-E66</f>
        <v>243</v>
      </c>
      <c r="L68" s="15">
        <f>D68-K68</f>
        <v>156</v>
      </c>
      <c r="M68" s="23">
        <f>C66*H68*K68/365</f>
        <v>3328.76712328767</v>
      </c>
      <c r="N68" s="23">
        <f>C68*H68*L68/365</f>
        <v>1923.28767123288</v>
      </c>
    </row>
    <row r="70" ht="22" customHeight="1"/>
    <row r="74" ht="28.5" spans="1:14">
      <c r="B74" s="5"/>
      <c r="C74" s="6" t="s">
        <v>31</v>
      </c>
      <c r="D74" s="6" t="s">
        <v>58</v>
      </c>
    </row>
    <row r="75" spans="1:14">
      <c r="A75" s="30">
        <v>8</v>
      </c>
      <c r="B75" s="15"/>
      <c r="C75" s="30" t="s">
        <v>54</v>
      </c>
      <c r="D75" s="30" t="s">
        <v>34</v>
      </c>
    </row>
    <row r="76" ht="57" spans="1:14">
      <c r="A76" s="10" t="s">
        <v>38</v>
      </c>
      <c r="B76" s="11" t="s">
        <v>1</v>
      </c>
      <c r="C76" s="11" t="s">
        <v>39</v>
      </c>
      <c r="D76" s="11" t="s">
        <v>60</v>
      </c>
      <c r="E76" s="11" t="s">
        <v>61</v>
      </c>
      <c r="F76" s="11" t="s">
        <v>62</v>
      </c>
      <c r="G76" s="11" t="s">
        <v>43</v>
      </c>
      <c r="H76" s="11" t="s">
        <v>44</v>
      </c>
      <c r="I76" s="11" t="s">
        <v>69</v>
      </c>
      <c r="J76" s="11" t="s">
        <v>46</v>
      </c>
      <c r="K76" s="11"/>
      <c r="L76" s="11"/>
    </row>
    <row r="77" spans="1:14">
      <c r="A77" s="12"/>
      <c r="B77" s="13">
        <v>46024</v>
      </c>
      <c r="C77" s="14">
        <v>1000000</v>
      </c>
      <c r="D77" s="15">
        <f>F77-E77+1</f>
        <v>488</v>
      </c>
      <c r="E77" s="13">
        <v>46024</v>
      </c>
      <c r="F77" s="16">
        <v>46511</v>
      </c>
      <c r="G77" s="15">
        <v>100</v>
      </c>
      <c r="H77" s="17">
        <v>0.005</v>
      </c>
      <c r="I77" s="18">
        <f>C77*D77*H77/365</f>
        <v>6684.93150684932</v>
      </c>
      <c r="J77" s="14">
        <v>0</v>
      </c>
      <c r="K77" s="15"/>
      <c r="L77" s="15"/>
    </row>
    <row r="78" ht="42.75" spans="1:14">
      <c r="A78" s="10" t="s">
        <v>47</v>
      </c>
      <c r="B78" s="11" t="s">
        <v>48</v>
      </c>
      <c r="C78" s="11" t="s">
        <v>49</v>
      </c>
      <c r="D78" s="11" t="s">
        <v>60</v>
      </c>
      <c r="E78" s="11"/>
      <c r="F78" s="11" t="s">
        <v>64</v>
      </c>
      <c r="G78" s="11"/>
      <c r="H78" s="11" t="s">
        <v>52</v>
      </c>
      <c r="I78" s="11" t="s">
        <v>53</v>
      </c>
      <c r="J78" s="28" t="s">
        <v>46</v>
      </c>
      <c r="K78" s="11" t="s">
        <v>65</v>
      </c>
      <c r="L78" s="11" t="s">
        <v>66</v>
      </c>
      <c r="M78" s="11" t="s">
        <v>67</v>
      </c>
      <c r="N78" s="11" t="s">
        <v>68</v>
      </c>
    </row>
    <row r="79" spans="1:14">
      <c r="A79" s="12"/>
      <c r="B79" s="13">
        <v>46267</v>
      </c>
      <c r="C79" s="14">
        <v>900000</v>
      </c>
      <c r="D79" s="20">
        <f>F79-E77+1</f>
        <v>488</v>
      </c>
      <c r="E79" s="16"/>
      <c r="F79" s="21">
        <v>46511</v>
      </c>
      <c r="G79" s="15">
        <v>100</v>
      </c>
      <c r="H79" s="17">
        <v>0.005</v>
      </c>
      <c r="I79" s="19">
        <f>M79+N79</f>
        <v>6349.31506849315</v>
      </c>
      <c r="J79" s="22">
        <f>I79</f>
        <v>6349.31506849315</v>
      </c>
      <c r="K79" s="15">
        <f>B79-E77</f>
        <v>243</v>
      </c>
      <c r="L79" s="15">
        <f>D79-K79</f>
        <v>245</v>
      </c>
      <c r="M79" s="23">
        <f>C77*H79*K79/365</f>
        <v>3328.76712328767</v>
      </c>
      <c r="N79" s="23">
        <f>C79*H79*L79/365</f>
        <v>3020.54794520548</v>
      </c>
    </row>
    <row r="82" ht="28.5" spans="1:14">
      <c r="B82" s="5"/>
      <c r="C82" s="6" t="s">
        <v>31</v>
      </c>
      <c r="D82" s="6" t="s">
        <v>58</v>
      </c>
    </row>
    <row r="83" spans="1:14">
      <c r="A83" s="30">
        <v>6</v>
      </c>
      <c r="B83" s="15"/>
      <c r="C83" s="30" t="s">
        <v>54</v>
      </c>
      <c r="D83" s="30" t="s">
        <v>35</v>
      </c>
    </row>
    <row r="84" ht="57" spans="1:14">
      <c r="A84" s="11" t="s">
        <v>38</v>
      </c>
      <c r="B84" s="11" t="s">
        <v>1</v>
      </c>
      <c r="C84" s="11" t="s">
        <v>39</v>
      </c>
      <c r="D84" s="11" t="s">
        <v>60</v>
      </c>
      <c r="E84" s="11" t="s">
        <v>61</v>
      </c>
      <c r="F84" s="11" t="s">
        <v>62</v>
      </c>
      <c r="G84" s="11" t="s">
        <v>43</v>
      </c>
      <c r="H84" s="11" t="s">
        <v>44</v>
      </c>
      <c r="I84" s="11" t="s">
        <v>69</v>
      </c>
      <c r="J84" s="11" t="s">
        <v>46</v>
      </c>
      <c r="K84" s="11"/>
      <c r="L84" s="11"/>
    </row>
    <row r="85" spans="1:14">
      <c r="A85" s="11"/>
      <c r="B85" s="13">
        <v>46024</v>
      </c>
      <c r="C85" s="14">
        <v>1000000</v>
      </c>
      <c r="D85" s="15">
        <f>F85-E85+1</f>
        <v>488</v>
      </c>
      <c r="E85" s="13">
        <v>46024</v>
      </c>
      <c r="F85" s="21">
        <v>46511</v>
      </c>
      <c r="G85" s="15">
        <v>100</v>
      </c>
      <c r="H85" s="17">
        <v>0.005</v>
      </c>
      <c r="I85" s="18">
        <f>C85*D85*H85/365</f>
        <v>6684.93150684932</v>
      </c>
      <c r="J85" s="14">
        <v>0</v>
      </c>
      <c r="K85" s="15"/>
      <c r="L85" s="15"/>
    </row>
    <row r="86" ht="42.75" spans="1:14">
      <c r="A86" s="11" t="s">
        <v>47</v>
      </c>
      <c r="B86" s="11" t="s">
        <v>48</v>
      </c>
      <c r="C86" s="11" t="s">
        <v>49</v>
      </c>
      <c r="D86" s="11" t="s">
        <v>60</v>
      </c>
      <c r="E86" s="11"/>
      <c r="F86" s="11" t="s">
        <v>64</v>
      </c>
      <c r="G86" s="11"/>
      <c r="H86" s="11" t="s">
        <v>52</v>
      </c>
      <c r="I86" s="11" t="s">
        <v>53</v>
      </c>
      <c r="J86" s="28" t="s">
        <v>46</v>
      </c>
      <c r="K86" s="11" t="s">
        <v>65</v>
      </c>
      <c r="L86" s="11" t="s">
        <v>66</v>
      </c>
      <c r="M86" s="11" t="s">
        <v>67</v>
      </c>
      <c r="N86" s="11" t="s">
        <v>68</v>
      </c>
    </row>
    <row r="87" spans="1:14">
      <c r="A87" s="11"/>
      <c r="B87" s="13">
        <v>46267</v>
      </c>
      <c r="C87" s="14">
        <v>900000</v>
      </c>
      <c r="D87" s="20">
        <f>F87-E85+1</f>
        <v>611</v>
      </c>
      <c r="E87" s="73"/>
      <c r="F87" s="21">
        <v>46634</v>
      </c>
      <c r="G87" s="15">
        <v>100</v>
      </c>
      <c r="H87" s="17">
        <v>0.005</v>
      </c>
      <c r="I87" s="18">
        <f>M87+N87</f>
        <v>7865.75342465753</v>
      </c>
      <c r="J87" s="31">
        <f>I87-I85</f>
        <v>1180.82191780822</v>
      </c>
      <c r="K87" s="63">
        <f>B87-E85</f>
        <v>243</v>
      </c>
      <c r="L87" s="63">
        <f>D87-K87</f>
        <v>368</v>
      </c>
      <c r="M87" s="74">
        <f>C85*H85*K87/365</f>
        <v>3328.76712328767</v>
      </c>
      <c r="N87" s="74">
        <f>C87*H87*L87/365</f>
        <v>4536.98630136986</v>
      </c>
    </row>
    <row r="88" ht="42.75" spans="1:14">
      <c r="A88" s="11" t="s">
        <v>70</v>
      </c>
      <c r="B88" s="11" t="s">
        <v>48</v>
      </c>
      <c r="C88" s="11" t="s">
        <v>49</v>
      </c>
      <c r="D88" s="11" t="s">
        <v>60</v>
      </c>
      <c r="E88" s="11"/>
      <c r="F88" s="11" t="s">
        <v>64</v>
      </c>
      <c r="G88" s="11"/>
      <c r="H88" s="11" t="s">
        <v>52</v>
      </c>
      <c r="I88" s="11" t="s">
        <v>53</v>
      </c>
      <c r="J88" s="28" t="s">
        <v>46</v>
      </c>
      <c r="K88" s="11" t="s">
        <v>65</v>
      </c>
      <c r="L88" s="11" t="s">
        <v>66</v>
      </c>
      <c r="M88" s="11" t="s">
        <v>67</v>
      </c>
      <c r="N88" s="11" t="s">
        <v>68</v>
      </c>
    </row>
    <row r="89" spans="1:14">
      <c r="A89" s="11"/>
      <c r="B89" s="13">
        <v>46300</v>
      </c>
      <c r="C89" s="14">
        <v>900000</v>
      </c>
      <c r="D89" s="20">
        <f>F89-E85+1</f>
        <v>611</v>
      </c>
      <c r="E89" s="16"/>
      <c r="F89" s="21">
        <v>46634</v>
      </c>
      <c r="G89" s="15">
        <v>100</v>
      </c>
      <c r="H89" s="17">
        <v>0.005</v>
      </c>
      <c r="I89" s="19">
        <f>M89+N89</f>
        <v>7532.87671232877</v>
      </c>
      <c r="J89" s="22">
        <f>I89</f>
        <v>7532.87671232877</v>
      </c>
      <c r="K89" s="15">
        <f>B89-E85</f>
        <v>276</v>
      </c>
      <c r="L89" s="15">
        <f>D89-K89</f>
        <v>335</v>
      </c>
      <c r="M89" s="23">
        <f>C87*H89*K89/365</f>
        <v>3402.7397260274</v>
      </c>
      <c r="N89" s="23">
        <f>C89*H89*L89/365</f>
        <v>4130.13698630137</v>
      </c>
    </row>
    <row r="90" ht="42.75" spans="1:14">
      <c r="A90" s="11" t="s">
        <v>71</v>
      </c>
      <c r="B90" s="11" t="s">
        <v>48</v>
      </c>
      <c r="C90" s="11" t="s">
        <v>49</v>
      </c>
      <c r="D90" s="11" t="s">
        <v>60</v>
      </c>
      <c r="E90" s="11"/>
      <c r="F90" s="11" t="s">
        <v>64</v>
      </c>
      <c r="G90" s="11"/>
      <c r="H90" s="11" t="s">
        <v>52</v>
      </c>
      <c r="I90" s="11" t="s">
        <v>53</v>
      </c>
      <c r="J90" s="28" t="s">
        <v>46</v>
      </c>
      <c r="K90" s="11" t="s">
        <v>65</v>
      </c>
      <c r="L90" s="11" t="s">
        <v>66</v>
      </c>
      <c r="M90" s="11" t="s">
        <v>67</v>
      </c>
      <c r="N90" s="11" t="s">
        <v>68</v>
      </c>
    </row>
    <row r="91" spans="1:14">
      <c r="A91" s="11"/>
      <c r="B91" s="13">
        <v>46386</v>
      </c>
      <c r="C91" s="14">
        <v>500000</v>
      </c>
      <c r="D91" s="15">
        <f>F91-E85+1</f>
        <v>611</v>
      </c>
      <c r="E91" s="73"/>
      <c r="F91" s="21">
        <v>46634</v>
      </c>
      <c r="G91" s="15"/>
      <c r="H91" s="67">
        <v>0.005</v>
      </c>
      <c r="I91" s="71">
        <f>M87+M89+M91+N91</f>
        <v>12900</v>
      </c>
      <c r="J91" s="31">
        <f>I91-I85</f>
        <v>6215.06849315068</v>
      </c>
      <c r="K91" s="63">
        <f>B91-E85</f>
        <v>362</v>
      </c>
      <c r="L91" s="63">
        <f>D91-K91</f>
        <v>249</v>
      </c>
      <c r="M91" s="75">
        <f>C89*K91*H91/365</f>
        <v>4463.01369863014</v>
      </c>
      <c r="N91" s="75">
        <f>C91*H91*L91/365</f>
        <v>1705.47945205479</v>
      </c>
    </row>
    <row r="100" ht="42.75" spans="1:14">
      <c r="B100" s="5"/>
      <c r="C100" s="6" t="s">
        <v>31</v>
      </c>
      <c r="D100" s="6" t="s">
        <v>58</v>
      </c>
      <c r="E100" s="76" t="s">
        <v>56</v>
      </c>
    </row>
    <row r="101" spans="1:14">
      <c r="A101" s="25">
        <v>9</v>
      </c>
      <c r="B101" s="26"/>
      <c r="C101" s="25" t="s">
        <v>34</v>
      </c>
      <c r="D101" s="25" t="s">
        <v>34</v>
      </c>
    </row>
    <row r="102" ht="34" customHeight="1" spans="1:14">
      <c r="A102" s="10" t="s">
        <v>38</v>
      </c>
      <c r="B102" s="11" t="s">
        <v>1</v>
      </c>
      <c r="C102" s="11" t="s">
        <v>39</v>
      </c>
      <c r="D102" s="11" t="s">
        <v>60</v>
      </c>
      <c r="E102" s="11" t="s">
        <v>61</v>
      </c>
      <c r="F102" s="11" t="s">
        <v>62</v>
      </c>
      <c r="G102" s="11" t="s">
        <v>43</v>
      </c>
      <c r="H102" s="11" t="s">
        <v>44</v>
      </c>
      <c r="I102" s="11" t="s">
        <v>69</v>
      </c>
      <c r="J102" s="11" t="s">
        <v>46</v>
      </c>
      <c r="K102" s="11"/>
      <c r="L102" s="11"/>
    </row>
    <row r="103" spans="1:14">
      <c r="A103" s="12"/>
      <c r="B103" s="13">
        <v>46024</v>
      </c>
      <c r="C103" s="14">
        <v>1000000</v>
      </c>
      <c r="D103" s="15">
        <f>F103-E103+1</f>
        <v>488</v>
      </c>
      <c r="E103" s="13">
        <v>46024</v>
      </c>
      <c r="F103" s="16">
        <v>46511</v>
      </c>
      <c r="G103" s="15">
        <v>100</v>
      </c>
      <c r="H103" s="17">
        <v>0.005</v>
      </c>
      <c r="I103" s="18">
        <f>C103*D103*H103/365</f>
        <v>6684.93150684932</v>
      </c>
      <c r="J103" s="14">
        <v>0</v>
      </c>
      <c r="K103" s="15"/>
      <c r="L103" s="15"/>
    </row>
    <row r="104" ht="42.75" spans="1:14">
      <c r="A104" s="10" t="s">
        <v>47</v>
      </c>
      <c r="B104" s="11" t="s">
        <v>48</v>
      </c>
      <c r="C104" s="11" t="s">
        <v>49</v>
      </c>
      <c r="D104" s="11" t="s">
        <v>60</v>
      </c>
      <c r="E104" s="11" t="s">
        <v>58</v>
      </c>
      <c r="F104" s="11" t="s">
        <v>64</v>
      </c>
      <c r="G104" s="11"/>
      <c r="H104" s="11" t="s">
        <v>52</v>
      </c>
      <c r="I104" s="11" t="s">
        <v>53</v>
      </c>
      <c r="J104" s="28" t="s">
        <v>46</v>
      </c>
      <c r="K104" s="11" t="s">
        <v>65</v>
      </c>
      <c r="L104" s="11" t="s">
        <v>66</v>
      </c>
      <c r="M104" s="11" t="s">
        <v>67</v>
      </c>
      <c r="N104" s="11" t="s">
        <v>68</v>
      </c>
    </row>
    <row r="105" spans="1:14">
      <c r="A105" s="12"/>
      <c r="B105" s="13">
        <v>46267</v>
      </c>
      <c r="C105" s="14">
        <v>1000000</v>
      </c>
      <c r="D105" s="20">
        <f>F105-E103+1</f>
        <v>488</v>
      </c>
      <c r="E105" s="16">
        <v>46204</v>
      </c>
      <c r="F105" s="16">
        <v>46511</v>
      </c>
      <c r="G105" s="15">
        <v>100</v>
      </c>
      <c r="H105" s="17">
        <v>0.005</v>
      </c>
      <c r="I105" s="18">
        <f>M105+N105</f>
        <v>6684.93150684932</v>
      </c>
      <c r="J105" s="22">
        <f>I105</f>
        <v>6684.93150684932</v>
      </c>
      <c r="K105" s="15">
        <f>B105-E103</f>
        <v>243</v>
      </c>
      <c r="L105" s="15">
        <f>D105-K105</f>
        <v>245</v>
      </c>
      <c r="M105" s="23">
        <f>C103*H105*K105/365</f>
        <v>3328.76712328767</v>
      </c>
      <c r="N105" s="23">
        <f>C105*H105*L105/365</f>
        <v>3356.16438356164</v>
      </c>
    </row>
  </sheetData>
  <mergeCells count="23">
    <mergeCell ref="E1:H1"/>
    <mergeCell ref="A3:A4"/>
    <mergeCell ref="A5:A6"/>
    <mergeCell ref="A12:A13"/>
    <mergeCell ref="A14:A15"/>
    <mergeCell ref="A21:A22"/>
    <mergeCell ref="A23:A24"/>
    <mergeCell ref="A32:A33"/>
    <mergeCell ref="A34:A35"/>
    <mergeCell ref="A42:A43"/>
    <mergeCell ref="A44:A45"/>
    <mergeCell ref="A53:A54"/>
    <mergeCell ref="A55:A56"/>
    <mergeCell ref="A65:A66"/>
    <mergeCell ref="A67:A68"/>
    <mergeCell ref="A76:A77"/>
    <mergeCell ref="A78:A79"/>
    <mergeCell ref="A84:A85"/>
    <mergeCell ref="A86:A87"/>
    <mergeCell ref="A88:A89"/>
    <mergeCell ref="A90:A91"/>
    <mergeCell ref="A102:A103"/>
    <mergeCell ref="A104:A10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topLeftCell="A12" workbookViewId="0">
      <selection activeCell="F27" sqref="F27"/>
    </sheetView>
  </sheetViews>
  <sheetFormatPr defaultColWidth="13.725" defaultRowHeight="15"/>
  <cols>
    <col min="1" max="5" width="13.725" style="7"/>
    <col min="6" max="6" width="25.375" style="7" customWidth="1"/>
    <col min="7" max="7" width="17.5416666666667" style="7" customWidth="1"/>
    <col min="8" max="8" width="13.725" style="7"/>
    <col min="9" max="9" width="22.625" style="7" customWidth="1"/>
    <col min="10" max="10" width="21" style="7" customWidth="1"/>
    <col min="11" max="12" width="13.725" style="7"/>
    <col min="13" max="13" width="20.625" style="7" customWidth="1"/>
    <col min="14" max="16384" width="13.725" style="7"/>
  </cols>
  <sheetData>
    <row r="1" spans="1:14">
      <c r="A1" s="59" t="s">
        <v>72</v>
      </c>
    </row>
    <row r="2" ht="28.5" spans="1:14">
      <c r="B2" s="5"/>
      <c r="C2" s="6" t="s">
        <v>31</v>
      </c>
      <c r="D2" s="6" t="s">
        <v>58</v>
      </c>
      <c r="E2" s="7" t="s">
        <v>73</v>
      </c>
      <c r="F2" s="7" t="s">
        <v>74</v>
      </c>
    </row>
    <row r="3" ht="30" spans="1:14">
      <c r="A3" s="15"/>
      <c r="B3" s="15"/>
      <c r="C3" s="30" t="s">
        <v>54</v>
      </c>
      <c r="D3" s="30" t="s">
        <v>35</v>
      </c>
      <c r="E3" s="7" t="s">
        <v>75</v>
      </c>
      <c r="F3" s="7" t="s">
        <v>76</v>
      </c>
    </row>
    <row r="4" ht="42.75" spans="1:14">
      <c r="A4" s="60" t="s">
        <v>38</v>
      </c>
      <c r="B4" s="60" t="s">
        <v>1</v>
      </c>
      <c r="C4" s="60" t="s">
        <v>39</v>
      </c>
      <c r="D4" s="60" t="s">
        <v>60</v>
      </c>
      <c r="E4" s="60" t="s">
        <v>61</v>
      </c>
      <c r="F4" s="60" t="s">
        <v>62</v>
      </c>
      <c r="G4" s="60" t="s">
        <v>43</v>
      </c>
      <c r="H4" s="60" t="s">
        <v>44</v>
      </c>
      <c r="I4" s="60" t="s">
        <v>69</v>
      </c>
      <c r="J4" s="60" t="s">
        <v>46</v>
      </c>
    </row>
    <row r="5" spans="1:14">
      <c r="A5" s="60"/>
      <c r="B5" s="13">
        <v>46024</v>
      </c>
      <c r="C5" s="14">
        <v>1000000</v>
      </c>
      <c r="D5" s="15">
        <f>F5-E5+1</f>
        <v>488</v>
      </c>
      <c r="E5" s="13">
        <v>46024</v>
      </c>
      <c r="F5" s="21">
        <v>46511</v>
      </c>
      <c r="G5" s="15">
        <v>100</v>
      </c>
      <c r="H5" s="17">
        <v>0.005</v>
      </c>
      <c r="I5" s="18">
        <f>C5*D5*H5/365</f>
        <v>6684.93150684932</v>
      </c>
      <c r="J5" s="14">
        <v>0</v>
      </c>
      <c r="K5" s="15"/>
      <c r="L5" s="15"/>
    </row>
    <row r="6" ht="42.75" spans="1:14">
      <c r="A6" s="60" t="s">
        <v>47</v>
      </c>
      <c r="B6" s="60" t="s">
        <v>48</v>
      </c>
      <c r="C6" s="60" t="s">
        <v>49</v>
      </c>
      <c r="D6" s="60" t="s">
        <v>60</v>
      </c>
      <c r="E6" s="60"/>
      <c r="F6" s="60" t="s">
        <v>64</v>
      </c>
      <c r="G6" s="60"/>
      <c r="H6" s="60" t="s">
        <v>52</v>
      </c>
      <c r="I6" s="60" t="s">
        <v>77</v>
      </c>
      <c r="J6" s="60" t="s">
        <v>46</v>
      </c>
      <c r="K6" s="60" t="s">
        <v>65</v>
      </c>
      <c r="L6" s="60" t="s">
        <v>66</v>
      </c>
      <c r="M6" s="60" t="s">
        <v>67</v>
      </c>
      <c r="N6" s="60" t="s">
        <v>68</v>
      </c>
    </row>
    <row r="7" spans="1:14">
      <c r="A7" s="60"/>
      <c r="B7" s="13">
        <v>46267</v>
      </c>
      <c r="C7" s="14">
        <v>900000</v>
      </c>
      <c r="D7" s="20">
        <f>F7-E5+1</f>
        <v>611</v>
      </c>
      <c r="E7" s="16"/>
      <c r="F7" s="21">
        <v>46634</v>
      </c>
      <c r="G7" s="15">
        <v>100</v>
      </c>
      <c r="H7" s="17">
        <v>0.005</v>
      </c>
      <c r="I7" s="61">
        <f>M7+N7</f>
        <v>7865.75342465753</v>
      </c>
      <c r="J7" s="62">
        <f>I7</f>
        <v>7865.75342465753</v>
      </c>
      <c r="K7" s="63">
        <f>B7-E5</f>
        <v>243</v>
      </c>
      <c r="L7" s="63">
        <f t="shared" ref="L7:L11" si="0">D7-K7</f>
        <v>368</v>
      </c>
      <c r="M7" s="64">
        <f>C5*H5*K7/365</f>
        <v>3328.76712328767</v>
      </c>
      <c r="N7" s="65">
        <f t="shared" ref="N7:N11" si="1">C7*H7*L7/365</f>
        <v>4536.98630136986</v>
      </c>
    </row>
    <row r="8" ht="31" customHeight="1" spans="1:14">
      <c r="A8" s="60" t="s">
        <v>70</v>
      </c>
      <c r="B8" s="60" t="s">
        <v>48</v>
      </c>
      <c r="C8" s="60" t="s">
        <v>49</v>
      </c>
      <c r="D8" s="60" t="s">
        <v>60</v>
      </c>
      <c r="E8" s="60"/>
      <c r="F8" s="60" t="s">
        <v>64</v>
      </c>
      <c r="G8" s="60"/>
      <c r="H8" s="60" t="s">
        <v>52</v>
      </c>
      <c r="I8" s="60" t="s">
        <v>78</v>
      </c>
      <c r="J8" s="60" t="s">
        <v>46</v>
      </c>
      <c r="K8" s="60" t="s">
        <v>65</v>
      </c>
      <c r="L8" s="60" t="s">
        <v>66</v>
      </c>
      <c r="M8" s="60" t="s">
        <v>67</v>
      </c>
      <c r="N8" s="60" t="s">
        <v>68</v>
      </c>
    </row>
    <row r="9" ht="23" customHeight="1" spans="1:14">
      <c r="A9" s="60"/>
      <c r="B9" s="13">
        <v>46300</v>
      </c>
      <c r="C9" s="14">
        <v>900000</v>
      </c>
      <c r="D9" s="20">
        <f>F9-E5+1</f>
        <v>641</v>
      </c>
      <c r="E9" s="16"/>
      <c r="F9" s="21">
        <v>46664</v>
      </c>
      <c r="G9" s="15">
        <v>100</v>
      </c>
      <c r="H9" s="17">
        <v>0.005</v>
      </c>
      <c r="I9" s="61">
        <f>M9+N9</f>
        <v>7902.7397260274</v>
      </c>
      <c r="J9" s="22">
        <f>I9+M7</f>
        <v>11231.5068493151</v>
      </c>
      <c r="K9" s="66">
        <f>B9-E5</f>
        <v>276</v>
      </c>
      <c r="L9" s="66">
        <f t="shared" si="0"/>
        <v>365</v>
      </c>
      <c r="M9" s="65">
        <f>C7*H9*K9/365</f>
        <v>3402.7397260274</v>
      </c>
      <c r="N9" s="65">
        <f t="shared" si="1"/>
        <v>4500</v>
      </c>
    </row>
    <row r="10" ht="42.75" spans="1:14">
      <c r="A10" s="60" t="s">
        <v>71</v>
      </c>
      <c r="B10" s="60" t="s">
        <v>48</v>
      </c>
      <c r="C10" s="60" t="s">
        <v>49</v>
      </c>
      <c r="D10" s="60" t="s">
        <v>60</v>
      </c>
      <c r="E10" s="60"/>
      <c r="F10" s="60" t="s">
        <v>64</v>
      </c>
      <c r="G10" s="60"/>
      <c r="H10" s="60" t="s">
        <v>52</v>
      </c>
      <c r="I10" s="60" t="s">
        <v>79</v>
      </c>
      <c r="J10" s="60" t="s">
        <v>46</v>
      </c>
      <c r="K10" s="60" t="s">
        <v>65</v>
      </c>
      <c r="L10" s="60" t="s">
        <v>66</v>
      </c>
      <c r="M10" s="60" t="s">
        <v>67</v>
      </c>
      <c r="N10" s="60" t="s">
        <v>68</v>
      </c>
    </row>
    <row r="11" spans="1:14">
      <c r="A11" s="60"/>
      <c r="B11" s="13">
        <v>46386</v>
      </c>
      <c r="C11" s="14">
        <v>500000</v>
      </c>
      <c r="D11" s="15">
        <f>F11-E5+1</f>
        <v>641</v>
      </c>
      <c r="E11" s="16"/>
      <c r="F11" s="21">
        <v>46664</v>
      </c>
      <c r="G11" s="15">
        <v>100</v>
      </c>
      <c r="H11" s="67">
        <v>0.005</v>
      </c>
      <c r="I11" s="68">
        <f>M11+N11</f>
        <v>6373.97260273973</v>
      </c>
      <c r="J11" s="62">
        <f>I11+M9+M7</f>
        <v>13105.4794520548</v>
      </c>
      <c r="K11" s="63">
        <f>B11-E5</f>
        <v>362</v>
      </c>
      <c r="L11" s="63">
        <f t="shared" si="0"/>
        <v>279</v>
      </c>
      <c r="M11" s="68">
        <f>C9*K11*H11/365</f>
        <v>4463.01369863014</v>
      </c>
      <c r="N11" s="68">
        <f t="shared" si="1"/>
        <v>1910.95890410959</v>
      </c>
    </row>
    <row r="12" ht="62.5" customHeight="1" spans="1:14">
      <c r="F12" s="69" t="s">
        <v>80</v>
      </c>
      <c r="G12" s="69"/>
    </row>
    <row r="17" spans="1:14">
      <c r="A17" s="59" t="s">
        <v>81</v>
      </c>
    </row>
    <row r="18" spans="1:14">
      <c r="B18" s="5"/>
      <c r="C18" s="6" t="s">
        <v>31</v>
      </c>
      <c r="D18" s="6" t="s">
        <v>82</v>
      </c>
      <c r="E18" s="7" t="s">
        <v>73</v>
      </c>
      <c r="F18" s="7" t="s">
        <v>83</v>
      </c>
    </row>
    <row r="19" spans="1:14">
      <c r="A19" s="30"/>
      <c r="B19" s="15"/>
      <c r="C19" s="30" t="s">
        <v>54</v>
      </c>
      <c r="D19" s="30" t="s">
        <v>35</v>
      </c>
      <c r="E19" s="7" t="s">
        <v>75</v>
      </c>
      <c r="F19" s="7" t="s">
        <v>84</v>
      </c>
    </row>
    <row r="20" ht="42.75" spans="1:14">
      <c r="A20" s="60" t="s">
        <v>38</v>
      </c>
      <c r="B20" s="60" t="s">
        <v>1</v>
      </c>
      <c r="C20" s="60" t="s">
        <v>39</v>
      </c>
      <c r="D20" s="60" t="s">
        <v>60</v>
      </c>
      <c r="E20" s="60" t="s">
        <v>61</v>
      </c>
      <c r="F20" s="60" t="s">
        <v>85</v>
      </c>
      <c r="G20" s="60" t="s">
        <v>43</v>
      </c>
      <c r="H20" s="60" t="s">
        <v>44</v>
      </c>
      <c r="I20" s="60" t="s">
        <v>69</v>
      </c>
      <c r="J20" s="60" t="s">
        <v>46</v>
      </c>
      <c r="M20" s="70"/>
      <c r="N20" s="70"/>
    </row>
    <row r="21" spans="1:14">
      <c r="A21" s="60"/>
      <c r="B21" s="13">
        <v>46024</v>
      </c>
      <c r="C21" s="14">
        <v>1000000</v>
      </c>
      <c r="D21" s="15">
        <f>F21-E21+1</f>
        <v>488</v>
      </c>
      <c r="E21" s="13">
        <v>46024</v>
      </c>
      <c r="F21" s="21">
        <v>46511</v>
      </c>
      <c r="G21" s="15">
        <v>100</v>
      </c>
      <c r="H21" s="17">
        <v>0.005</v>
      </c>
      <c r="I21" s="18">
        <f>C21*D21*H21/365</f>
        <v>6684.93150684932</v>
      </c>
      <c r="J21" s="14">
        <f>I21</f>
        <v>6684.93150684932</v>
      </c>
      <c r="M21" s="70"/>
      <c r="N21" s="70"/>
    </row>
    <row r="22" ht="42.75" spans="1:14">
      <c r="A22" s="60" t="s">
        <v>47</v>
      </c>
      <c r="B22" s="60" t="s">
        <v>48</v>
      </c>
      <c r="C22" s="60" t="s">
        <v>49</v>
      </c>
      <c r="D22" s="60" t="s">
        <v>60</v>
      </c>
      <c r="E22" s="60"/>
      <c r="F22" s="60" t="s">
        <v>64</v>
      </c>
      <c r="G22" s="60"/>
      <c r="H22" s="60" t="s">
        <v>52</v>
      </c>
      <c r="I22" s="60" t="s">
        <v>53</v>
      </c>
      <c r="J22" s="60" t="s">
        <v>46</v>
      </c>
    </row>
    <row r="23" spans="1:14">
      <c r="A23" s="60"/>
      <c r="B23" s="13">
        <v>46267</v>
      </c>
      <c r="C23" s="14">
        <v>900000</v>
      </c>
      <c r="D23" s="20">
        <f>F23-E21+1</f>
        <v>611</v>
      </c>
      <c r="E23" s="16"/>
      <c r="F23" s="21">
        <v>46634</v>
      </c>
      <c r="G23" s="15">
        <v>100</v>
      </c>
      <c r="H23" s="17">
        <v>0.005</v>
      </c>
      <c r="I23" s="18">
        <f>C23*D23*H23/365</f>
        <v>7532.87671232877</v>
      </c>
      <c r="J23" s="31">
        <f>I23</f>
        <v>7532.87671232877</v>
      </c>
    </row>
    <row r="24" ht="42.75" spans="1:14">
      <c r="A24" s="60" t="s">
        <v>70</v>
      </c>
      <c r="B24" s="60" t="s">
        <v>48</v>
      </c>
      <c r="C24" s="60" t="s">
        <v>49</v>
      </c>
      <c r="D24" s="60" t="s">
        <v>60</v>
      </c>
      <c r="E24" s="60"/>
      <c r="F24" s="60" t="s">
        <v>64</v>
      </c>
      <c r="G24" s="60"/>
      <c r="H24" s="60" t="s">
        <v>52</v>
      </c>
      <c r="I24" s="60" t="s">
        <v>53</v>
      </c>
      <c r="J24" s="60" t="s">
        <v>46</v>
      </c>
    </row>
    <row r="25" spans="1:14">
      <c r="A25" s="60"/>
      <c r="B25" s="13">
        <v>46300</v>
      </c>
      <c r="C25" s="14">
        <v>900000</v>
      </c>
      <c r="D25" s="20">
        <f>F25-E21+1</f>
        <v>641</v>
      </c>
      <c r="E25" s="16"/>
      <c r="F25" s="21">
        <v>46664</v>
      </c>
      <c r="G25" s="15">
        <v>100</v>
      </c>
      <c r="H25" s="17">
        <v>0.005</v>
      </c>
      <c r="I25" s="19">
        <f>C25*D25*H25/365</f>
        <v>7902.7397260274</v>
      </c>
      <c r="J25" s="22">
        <f t="shared" ref="J25:J27" si="2">I25</f>
        <v>7902.7397260274</v>
      </c>
    </row>
    <row r="26" ht="42.75" spans="1:14">
      <c r="A26" s="60" t="s">
        <v>71</v>
      </c>
      <c r="B26" s="60" t="s">
        <v>48</v>
      </c>
      <c r="C26" s="60" t="s">
        <v>49</v>
      </c>
      <c r="D26" s="60" t="s">
        <v>60</v>
      </c>
      <c r="E26" s="60"/>
      <c r="F26" s="60" t="s">
        <v>64</v>
      </c>
      <c r="G26" s="60"/>
      <c r="H26" s="60" t="s">
        <v>52</v>
      </c>
      <c r="I26" s="60" t="s">
        <v>53</v>
      </c>
      <c r="J26" s="60" t="s">
        <v>46</v>
      </c>
    </row>
    <row r="27" spans="1:14">
      <c r="A27" s="60"/>
      <c r="B27" s="13">
        <v>46386</v>
      </c>
      <c r="C27" s="14">
        <v>500000</v>
      </c>
      <c r="D27" s="15">
        <f>F27-E21+1</f>
        <v>641</v>
      </c>
      <c r="E27" s="16"/>
      <c r="F27" s="21">
        <v>46664</v>
      </c>
      <c r="G27" s="15">
        <v>100</v>
      </c>
      <c r="H27" s="67">
        <v>0.005</v>
      </c>
      <c r="I27" s="71">
        <f>C27*D27*H27/365</f>
        <v>4390.41095890411</v>
      </c>
      <c r="J27" s="31">
        <f t="shared" si="2"/>
        <v>4390.41095890411</v>
      </c>
    </row>
  </sheetData>
  <mergeCells count="9">
    <mergeCell ref="F12:G12"/>
    <mergeCell ref="A4:A5"/>
    <mergeCell ref="A6:A7"/>
    <mergeCell ref="A8:A9"/>
    <mergeCell ref="A10:A11"/>
    <mergeCell ref="A20:A21"/>
    <mergeCell ref="A22:A23"/>
    <mergeCell ref="A24:A25"/>
    <mergeCell ref="A26:A2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2"/>
  <sheetViews>
    <sheetView tabSelected="1" topLeftCell="I79" workbookViewId="0">
      <selection activeCell="T92" sqref="T92"/>
    </sheetView>
  </sheetViews>
  <sheetFormatPr defaultColWidth="9" defaultRowHeight="14.25"/>
  <cols>
    <col min="1" max="1" width="7.5" customWidth="1"/>
    <col min="2" max="2" width="9.625" customWidth="1"/>
    <col min="3" max="3" width="11.5" customWidth="1"/>
    <col min="4" max="4" width="20.25" customWidth="1"/>
    <col min="5" max="5" width="14.5" customWidth="1"/>
    <col min="6" max="6" width="13.5" customWidth="1"/>
    <col min="7" max="7" width="9.875" customWidth="1"/>
    <col min="8" max="8" width="8.5" customWidth="1"/>
    <col min="9" max="9" width="12.5" customWidth="1"/>
    <col min="10" max="10" width="11" customWidth="1"/>
    <col min="12" max="12" width="9.625" customWidth="1"/>
    <col min="13" max="13" width="13.5" customWidth="1"/>
    <col min="14" max="14" width="17.375" customWidth="1"/>
    <col min="15" max="15" width="12.125" customWidth="1"/>
    <col min="16" max="16" width="9.625" customWidth="1"/>
    <col min="17" max="17" width="8" customWidth="1"/>
    <col min="18" max="18" width="8.5" customWidth="1"/>
    <col min="19" max="19" width="19" customWidth="1"/>
    <col min="20" max="20" width="13" customWidth="1"/>
    <col min="21" max="21" width="11.875" customWidth="1"/>
    <col min="22" max="22" width="13.375" customWidth="1"/>
    <col min="23" max="23" width="12.375" customWidth="1"/>
    <col min="24" max="24" width="11.125" customWidth="1"/>
  </cols>
  <sheetData>
    <row r="1" spans="1:2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1" t="s">
        <v>12</v>
      </c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</row>
    <row r="2" ht="15" spans="1:24">
      <c r="A2" s="4"/>
      <c r="B2" s="5"/>
      <c r="C2" s="6" t="s">
        <v>31</v>
      </c>
      <c r="D2" s="6" t="s">
        <v>4</v>
      </c>
      <c r="E2" s="4"/>
      <c r="F2" s="7"/>
      <c r="G2" s="7"/>
      <c r="H2" s="7"/>
      <c r="I2" s="4"/>
      <c r="J2" s="4"/>
      <c r="K2" s="2"/>
      <c r="L2" s="5"/>
      <c r="M2" s="6" t="s">
        <v>31</v>
      </c>
      <c r="N2" s="6" t="s">
        <v>58</v>
      </c>
      <c r="O2" s="7"/>
      <c r="P2" s="7"/>
      <c r="Q2" s="7"/>
      <c r="R2" s="7"/>
      <c r="S2" s="7"/>
      <c r="T2" s="7"/>
      <c r="U2" s="7"/>
      <c r="V2" s="7"/>
      <c r="W2" s="7"/>
      <c r="X2" s="7"/>
    </row>
    <row r="3" ht="15" spans="1:24">
      <c r="A3" s="8">
        <v>1</v>
      </c>
      <c r="B3" s="9" t="s">
        <v>33</v>
      </c>
      <c r="C3" s="8" t="s">
        <v>34</v>
      </c>
      <c r="D3" s="8" t="s">
        <v>35</v>
      </c>
      <c r="E3" s="4"/>
      <c r="F3" s="4"/>
      <c r="G3" s="4"/>
      <c r="H3" s="4"/>
      <c r="I3" s="4"/>
      <c r="J3" s="4"/>
      <c r="K3" s="2"/>
      <c r="L3" s="9" t="s">
        <v>33</v>
      </c>
      <c r="M3" s="8" t="s">
        <v>34</v>
      </c>
      <c r="N3" s="8" t="s">
        <v>35</v>
      </c>
      <c r="O3" s="7"/>
      <c r="P3" s="7"/>
      <c r="Q3" s="7"/>
      <c r="R3" s="7"/>
      <c r="S3" s="7"/>
      <c r="T3" s="7"/>
      <c r="U3" s="7"/>
      <c r="V3" s="7"/>
      <c r="W3" s="7"/>
      <c r="X3" s="7"/>
    </row>
    <row r="4" ht="42.75" spans="1:24">
      <c r="A4" s="10" t="s">
        <v>38</v>
      </c>
      <c r="B4" s="11" t="s">
        <v>1</v>
      </c>
      <c r="C4" s="11" t="s">
        <v>39</v>
      </c>
      <c r="D4" s="11" t="s">
        <v>40</v>
      </c>
      <c r="E4" s="11" t="s">
        <v>41</v>
      </c>
      <c r="F4" s="11" t="s">
        <v>42</v>
      </c>
      <c r="G4" s="11" t="s">
        <v>43</v>
      </c>
      <c r="H4" s="11" t="s">
        <v>44</v>
      </c>
      <c r="I4" s="11" t="s">
        <v>45</v>
      </c>
      <c r="J4" s="11" t="s">
        <v>46</v>
      </c>
      <c r="K4" s="2"/>
      <c r="L4" s="11" t="s">
        <v>1</v>
      </c>
      <c r="M4" s="11" t="s">
        <v>39</v>
      </c>
      <c r="N4" s="11" t="s">
        <v>60</v>
      </c>
      <c r="O4" s="11" t="s">
        <v>61</v>
      </c>
      <c r="P4" s="11" t="s">
        <v>62</v>
      </c>
      <c r="Q4" s="11" t="s">
        <v>43</v>
      </c>
      <c r="R4" s="11" t="s">
        <v>44</v>
      </c>
      <c r="S4" s="11" t="s">
        <v>63</v>
      </c>
      <c r="T4" s="11" t="s">
        <v>46</v>
      </c>
      <c r="U4" s="7"/>
      <c r="V4" s="7"/>
      <c r="W4" s="7"/>
      <c r="X4" s="7"/>
    </row>
    <row r="5" ht="15" spans="1:24">
      <c r="A5" s="12"/>
      <c r="B5" s="13">
        <v>46287</v>
      </c>
      <c r="C5" s="14">
        <v>10000000</v>
      </c>
      <c r="D5" s="15">
        <f>F5-E5+1</f>
        <v>434</v>
      </c>
      <c r="E5" s="13">
        <v>46287</v>
      </c>
      <c r="F5" s="16">
        <v>46720</v>
      </c>
      <c r="G5" s="15">
        <v>80</v>
      </c>
      <c r="H5" s="17">
        <f>IF(G5&lt;60,0%,IF(G5&lt;=64,2.5%,IF(G5&lt;=69,2.25%,IF(G5&lt;=74,2%,IF(G5&lt;=79,1.75%,IF(G5&lt;=84,1.5%,IF(G5&lt;=89,1.25%,IF(G5&lt;=94,1%,IF(G5&lt;=97,0.75%,IF(G5&lt;=100,0.5%,""))))))))))</f>
        <v>0.015</v>
      </c>
      <c r="I5" s="18">
        <f>C5*H5*D5/365</f>
        <v>178356.164383562</v>
      </c>
      <c r="J5" s="18">
        <f>I5</f>
        <v>178356.164383562</v>
      </c>
      <c r="K5" s="2"/>
      <c r="L5" s="13">
        <f t="shared" ref="L5:R5" si="0">B5</f>
        <v>46287</v>
      </c>
      <c r="M5" s="14">
        <f t="shared" si="0"/>
        <v>10000000</v>
      </c>
      <c r="N5" s="15">
        <f>P5-O5+1</f>
        <v>434</v>
      </c>
      <c r="O5" s="13">
        <f t="shared" si="0"/>
        <v>46287</v>
      </c>
      <c r="P5" s="16">
        <f t="shared" si="0"/>
        <v>46720</v>
      </c>
      <c r="Q5" s="15">
        <f t="shared" si="0"/>
        <v>80</v>
      </c>
      <c r="R5" s="17">
        <f t="shared" si="0"/>
        <v>0.015</v>
      </c>
      <c r="S5" s="19">
        <f>M5*N5*R5/365</f>
        <v>178356.164383562</v>
      </c>
      <c r="T5" s="14">
        <v>0</v>
      </c>
      <c r="U5" s="7"/>
      <c r="V5" s="7"/>
      <c r="W5" s="7"/>
      <c r="X5" s="7"/>
    </row>
    <row r="6" ht="42.75" spans="1:24">
      <c r="A6" s="10" t="s">
        <v>47</v>
      </c>
      <c r="B6" s="11" t="s">
        <v>48</v>
      </c>
      <c r="C6" s="11" t="s">
        <v>49</v>
      </c>
      <c r="D6" s="11" t="s">
        <v>40</v>
      </c>
      <c r="E6" s="11" t="s">
        <v>50</v>
      </c>
      <c r="F6" s="11" t="s">
        <v>51</v>
      </c>
      <c r="G6" s="11"/>
      <c r="H6" s="11" t="s">
        <v>52</v>
      </c>
      <c r="I6" s="11" t="s">
        <v>53</v>
      </c>
      <c r="J6" s="11" t="s">
        <v>46</v>
      </c>
      <c r="K6" s="2"/>
      <c r="L6" s="11" t="s">
        <v>48</v>
      </c>
      <c r="M6" s="11" t="s">
        <v>49</v>
      </c>
      <c r="N6" s="11" t="s">
        <v>60</v>
      </c>
      <c r="O6" s="11" t="s">
        <v>50</v>
      </c>
      <c r="P6" s="11" t="s">
        <v>64</v>
      </c>
      <c r="Q6" s="11"/>
      <c r="R6" s="11" t="s">
        <v>52</v>
      </c>
      <c r="S6" s="11" t="s">
        <v>53</v>
      </c>
      <c r="T6" s="11" t="s">
        <v>46</v>
      </c>
      <c r="U6" s="11" t="s">
        <v>65</v>
      </c>
      <c r="V6" s="11" t="s">
        <v>66</v>
      </c>
      <c r="W6" s="11" t="s">
        <v>67</v>
      </c>
      <c r="X6" s="11" t="s">
        <v>68</v>
      </c>
    </row>
    <row r="7" ht="15" spans="1:24">
      <c r="A7" s="12"/>
      <c r="B7" s="13">
        <v>46584</v>
      </c>
      <c r="C7" s="14">
        <f>C5</f>
        <v>10000000</v>
      </c>
      <c r="D7" s="20">
        <f>F7-E5+1</f>
        <v>378</v>
      </c>
      <c r="E7" s="16">
        <v>46583</v>
      </c>
      <c r="F7" s="21">
        <v>46664</v>
      </c>
      <c r="G7" s="15">
        <f>G5</f>
        <v>80</v>
      </c>
      <c r="H7" s="17">
        <f>H5</f>
        <v>0.015</v>
      </c>
      <c r="I7" s="18">
        <f>C7*H7*D7/365</f>
        <v>155342.465753425</v>
      </c>
      <c r="J7" s="18">
        <f>I7</f>
        <v>155342.465753425</v>
      </c>
      <c r="K7" s="2"/>
      <c r="L7" s="13">
        <f t="shared" ref="L7:R7" si="1">B7</f>
        <v>46584</v>
      </c>
      <c r="M7" s="14">
        <f t="shared" si="1"/>
        <v>10000000</v>
      </c>
      <c r="N7" s="20">
        <f>P7-O5+1</f>
        <v>378</v>
      </c>
      <c r="O7" s="16">
        <f t="shared" si="1"/>
        <v>46583</v>
      </c>
      <c r="P7" s="21">
        <f t="shared" si="1"/>
        <v>46664</v>
      </c>
      <c r="Q7" s="15">
        <f t="shared" si="1"/>
        <v>80</v>
      </c>
      <c r="R7" s="17">
        <f t="shared" si="1"/>
        <v>0.015</v>
      </c>
      <c r="S7" s="19">
        <f>W7+X7</f>
        <v>155342.465753425</v>
      </c>
      <c r="T7" s="22">
        <f>S7</f>
        <v>155342.465753425</v>
      </c>
      <c r="U7" s="15">
        <f>L7-O5</f>
        <v>297</v>
      </c>
      <c r="V7" s="15">
        <f>N7-U7</f>
        <v>81</v>
      </c>
      <c r="W7" s="23">
        <f>M5*R7*U7/365</f>
        <v>122054.794520548</v>
      </c>
      <c r="X7" s="23">
        <f>M7*R7*V7/365</f>
        <v>33287.6712328767</v>
      </c>
    </row>
    <row r="8" ht="15" spans="1:24">
      <c r="A8" s="4"/>
      <c r="B8" s="4"/>
      <c r="C8" s="4"/>
      <c r="D8" s="4"/>
      <c r="E8" s="4"/>
      <c r="F8" s="4"/>
      <c r="G8" s="4"/>
      <c r="H8" s="4"/>
      <c r="I8" s="4"/>
      <c r="J8" s="4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" spans="1:24">
      <c r="A9" s="4"/>
      <c r="B9" s="4"/>
      <c r="C9" s="4"/>
      <c r="D9" s="4"/>
      <c r="E9" s="4"/>
      <c r="F9" s="4"/>
      <c r="G9" s="4"/>
      <c r="H9" s="4"/>
      <c r="I9" s="4"/>
      <c r="J9" s="4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" spans="1:24">
      <c r="A10" s="4"/>
      <c r="B10" s="4"/>
      <c r="C10" s="4"/>
      <c r="D10" s="4"/>
      <c r="E10" s="4"/>
      <c r="F10" s="4"/>
      <c r="G10" s="4"/>
      <c r="H10" s="4"/>
      <c r="I10" s="4"/>
      <c r="J10" s="4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" spans="1:24">
      <c r="A11" s="4"/>
      <c r="B11" s="4"/>
      <c r="C11" s="4"/>
      <c r="D11" s="4"/>
      <c r="E11" s="4"/>
      <c r="F11" s="4"/>
      <c r="G11" s="4"/>
      <c r="H11" s="4"/>
      <c r="I11" s="4"/>
      <c r="J11" s="4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24"/>
      <c r="X11" s="3"/>
    </row>
    <row r="12" ht="15" spans="1:24">
      <c r="A12" s="4"/>
      <c r="B12" s="5"/>
      <c r="C12" s="6" t="s">
        <v>31</v>
      </c>
      <c r="D12" s="6" t="s">
        <v>4</v>
      </c>
      <c r="E12" s="4"/>
      <c r="F12" s="4"/>
      <c r="G12" s="4"/>
      <c r="H12" s="4"/>
      <c r="I12" s="4"/>
      <c r="J12" s="4"/>
      <c r="K12" s="2"/>
      <c r="L12" s="5"/>
      <c r="M12" s="6" t="s">
        <v>31</v>
      </c>
      <c r="N12" s="6" t="s">
        <v>58</v>
      </c>
      <c r="O12" s="7"/>
      <c r="P12" s="7"/>
      <c r="Q12" s="7"/>
      <c r="R12" s="7"/>
      <c r="S12" s="7"/>
      <c r="T12" s="7"/>
      <c r="U12" s="7"/>
      <c r="V12" s="7"/>
      <c r="W12" s="7"/>
      <c r="X12" s="7"/>
    </row>
    <row r="13" ht="15" spans="1:24">
      <c r="A13" s="25">
        <v>2</v>
      </c>
      <c r="B13" s="26"/>
      <c r="C13" s="25" t="s">
        <v>35</v>
      </c>
      <c r="D13" s="25" t="s">
        <v>34</v>
      </c>
      <c r="E13" s="4"/>
      <c r="F13" s="4"/>
      <c r="G13" s="4"/>
      <c r="H13" s="4"/>
      <c r="I13" s="4"/>
      <c r="J13" s="4"/>
      <c r="K13" s="2"/>
      <c r="L13" s="9" t="s">
        <v>33</v>
      </c>
      <c r="M13" s="25" t="s">
        <v>35</v>
      </c>
      <c r="N13" s="25" t="s">
        <v>34</v>
      </c>
      <c r="O13" s="7"/>
      <c r="P13" s="7"/>
      <c r="Q13" s="7"/>
      <c r="R13" s="7"/>
      <c r="S13" s="7"/>
      <c r="T13" s="7"/>
      <c r="U13" s="7"/>
      <c r="V13" s="7"/>
      <c r="W13" s="7"/>
      <c r="X13" s="7"/>
    </row>
    <row r="14" ht="42.75" spans="1:24">
      <c r="A14" s="11" t="s">
        <v>38</v>
      </c>
      <c r="B14" s="11" t="s">
        <v>1</v>
      </c>
      <c r="C14" s="11" t="s">
        <v>39</v>
      </c>
      <c r="D14" s="11" t="s">
        <v>40</v>
      </c>
      <c r="E14" s="11" t="s">
        <v>41</v>
      </c>
      <c r="F14" s="11" t="s">
        <v>42</v>
      </c>
      <c r="G14" s="11" t="s">
        <v>43</v>
      </c>
      <c r="H14" s="11" t="s">
        <v>44</v>
      </c>
      <c r="I14" s="11" t="s">
        <v>45</v>
      </c>
      <c r="J14" s="11" t="s">
        <v>46</v>
      </c>
      <c r="K14" s="2"/>
      <c r="L14" s="11" t="s">
        <v>1</v>
      </c>
      <c r="M14" s="11" t="s">
        <v>39</v>
      </c>
      <c r="N14" s="11" t="s">
        <v>60</v>
      </c>
      <c r="O14" s="11" t="s">
        <v>61</v>
      </c>
      <c r="P14" s="11" t="s">
        <v>62</v>
      </c>
      <c r="Q14" s="11" t="s">
        <v>43</v>
      </c>
      <c r="R14" s="11" t="s">
        <v>44</v>
      </c>
      <c r="S14" s="11" t="s">
        <v>63</v>
      </c>
      <c r="T14" s="11" t="s">
        <v>46</v>
      </c>
      <c r="U14" s="7"/>
      <c r="V14" s="7"/>
      <c r="W14" s="7"/>
      <c r="X14" s="7"/>
    </row>
    <row r="15" ht="15" spans="1:24">
      <c r="A15" s="11"/>
      <c r="B15" s="13">
        <f>B5</f>
        <v>46287</v>
      </c>
      <c r="C15" s="14">
        <f>C5</f>
        <v>10000000</v>
      </c>
      <c r="D15" s="15">
        <f>F15-E15+1</f>
        <v>434</v>
      </c>
      <c r="E15" s="13">
        <f>E5</f>
        <v>46287</v>
      </c>
      <c r="F15" s="16">
        <f>F5</f>
        <v>46720</v>
      </c>
      <c r="G15" s="15">
        <f>G5</f>
        <v>80</v>
      </c>
      <c r="H15" s="17">
        <f>H5</f>
        <v>0.015</v>
      </c>
      <c r="I15" s="27">
        <f>C15*H15*D15/365</f>
        <v>178356.164383562</v>
      </c>
      <c r="J15" s="18">
        <f>I15</f>
        <v>178356.164383562</v>
      </c>
      <c r="K15" s="2"/>
      <c r="L15" s="13">
        <f t="shared" ref="L15:R15" si="2">B15</f>
        <v>46287</v>
      </c>
      <c r="M15" s="14">
        <f t="shared" si="2"/>
        <v>10000000</v>
      </c>
      <c r="N15" s="15">
        <f>P15-O15+1</f>
        <v>434</v>
      </c>
      <c r="O15" s="13">
        <f t="shared" si="2"/>
        <v>46287</v>
      </c>
      <c r="P15" s="16">
        <f t="shared" si="2"/>
        <v>46720</v>
      </c>
      <c r="Q15" s="15">
        <f t="shared" si="2"/>
        <v>80</v>
      </c>
      <c r="R15" s="17">
        <f t="shared" si="2"/>
        <v>0.015</v>
      </c>
      <c r="S15" s="19">
        <f>M15*N15*R15/365</f>
        <v>178356.164383562</v>
      </c>
      <c r="T15" s="14">
        <v>0</v>
      </c>
      <c r="U15" s="7"/>
      <c r="V15" s="7"/>
      <c r="W15" s="7"/>
      <c r="X15" s="7"/>
    </row>
    <row r="16" ht="42.75" spans="1:24">
      <c r="A16" s="11" t="s">
        <v>47</v>
      </c>
      <c r="B16" s="11" t="s">
        <v>48</v>
      </c>
      <c r="C16" s="11" t="s">
        <v>49</v>
      </c>
      <c r="D16" s="11" t="s">
        <v>40</v>
      </c>
      <c r="E16" s="11" t="s">
        <v>50</v>
      </c>
      <c r="F16" s="11" t="s">
        <v>51</v>
      </c>
      <c r="G16" s="11"/>
      <c r="H16" s="11" t="s">
        <v>52</v>
      </c>
      <c r="I16" s="11" t="s">
        <v>53</v>
      </c>
      <c r="J16" s="28" t="s">
        <v>46</v>
      </c>
      <c r="K16" s="2"/>
      <c r="L16" s="11" t="s">
        <v>48</v>
      </c>
      <c r="M16" s="11" t="s">
        <v>49</v>
      </c>
      <c r="N16" s="11" t="s">
        <v>60</v>
      </c>
      <c r="O16" s="11" t="s">
        <v>50</v>
      </c>
      <c r="P16" s="11" t="s">
        <v>64</v>
      </c>
      <c r="Q16" s="11"/>
      <c r="R16" s="11" t="s">
        <v>52</v>
      </c>
      <c r="S16" s="11" t="s">
        <v>53</v>
      </c>
      <c r="T16" s="11" t="s">
        <v>46</v>
      </c>
      <c r="U16" s="11" t="s">
        <v>65</v>
      </c>
      <c r="V16" s="11" t="s">
        <v>66</v>
      </c>
      <c r="W16" s="11" t="s">
        <v>67</v>
      </c>
      <c r="X16" s="11" t="s">
        <v>68</v>
      </c>
    </row>
    <row r="17" ht="15" spans="1:24">
      <c r="A17" s="11"/>
      <c r="B17" s="13">
        <f>B7</f>
        <v>46584</v>
      </c>
      <c r="C17" s="14">
        <v>15000000</v>
      </c>
      <c r="D17" s="20">
        <f>F17-E15+1</f>
        <v>434</v>
      </c>
      <c r="E17" s="29">
        <f>E7</f>
        <v>46583</v>
      </c>
      <c r="F17" s="16">
        <f>F15</f>
        <v>46720</v>
      </c>
      <c r="G17" s="15">
        <f>G5</f>
        <v>80</v>
      </c>
      <c r="H17" s="17">
        <f>H5</f>
        <v>0.015</v>
      </c>
      <c r="I17" s="27">
        <f>C17*H17*D17/365</f>
        <v>267534.246575342</v>
      </c>
      <c r="J17" s="27">
        <f>I17</f>
        <v>267534.246575342</v>
      </c>
      <c r="K17" s="2"/>
      <c r="L17" s="13">
        <f t="shared" ref="L17:R17" si="3">B17</f>
        <v>46584</v>
      </c>
      <c r="M17" s="14">
        <f t="shared" si="3"/>
        <v>15000000</v>
      </c>
      <c r="N17" s="20">
        <f>P17-O15+1</f>
        <v>434</v>
      </c>
      <c r="O17" s="16">
        <f t="shared" si="3"/>
        <v>46583</v>
      </c>
      <c r="P17" s="21">
        <f t="shared" si="3"/>
        <v>46720</v>
      </c>
      <c r="Q17" s="15">
        <f t="shared" si="3"/>
        <v>80</v>
      </c>
      <c r="R17" s="17">
        <f t="shared" si="3"/>
        <v>0.015</v>
      </c>
      <c r="S17" s="19">
        <f>W17+X17</f>
        <v>206506.849315069</v>
      </c>
      <c r="T17" s="22">
        <f>S17</f>
        <v>206506.849315069</v>
      </c>
      <c r="U17" s="15">
        <f>L17-O15</f>
        <v>297</v>
      </c>
      <c r="V17" s="15">
        <f>N17-U17</f>
        <v>137</v>
      </c>
      <c r="W17" s="23">
        <f>M15*R17*U17/365</f>
        <v>122054.794520548</v>
      </c>
      <c r="X17" s="23">
        <f>M17*R17*V17/365</f>
        <v>84452.0547945205</v>
      </c>
    </row>
    <row r="18" ht="15" spans="1:24">
      <c r="A18" s="4"/>
      <c r="B18" s="4"/>
      <c r="C18" s="4"/>
      <c r="D18" s="4"/>
      <c r="E18" s="4"/>
      <c r="F18" s="4"/>
      <c r="G18" s="4"/>
      <c r="H18" s="4"/>
      <c r="I18" s="4"/>
      <c r="J18" s="4"/>
      <c r="K18" s="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" spans="1:24">
      <c r="A19" s="4"/>
      <c r="B19" s="4"/>
      <c r="C19" s="4"/>
      <c r="D19" s="4"/>
      <c r="E19" s="4"/>
      <c r="F19" s="4"/>
      <c r="G19" s="4"/>
      <c r="H19" s="4"/>
      <c r="I19" s="4"/>
      <c r="J19" s="4"/>
      <c r="K19" s="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" spans="1:24">
      <c r="A20" s="4"/>
      <c r="B20" s="4"/>
      <c r="C20" s="4"/>
      <c r="D20" s="4"/>
      <c r="E20" s="4"/>
      <c r="F20" s="4"/>
      <c r="G20" s="4"/>
      <c r="H20" s="4"/>
      <c r="I20" s="4"/>
      <c r="J20" s="4"/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" spans="1:24">
      <c r="A21" s="4"/>
      <c r="B21" s="4"/>
      <c r="C21" s="4"/>
      <c r="D21" s="4"/>
      <c r="E21" s="4"/>
      <c r="F21" s="4"/>
      <c r="G21" s="4"/>
      <c r="H21" s="4"/>
      <c r="I21" s="4"/>
      <c r="J21" s="4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" spans="1:24">
      <c r="A22" s="4"/>
      <c r="B22" s="5"/>
      <c r="C22" s="6" t="s">
        <v>31</v>
      </c>
      <c r="D22" s="6" t="s">
        <v>4</v>
      </c>
      <c r="E22" s="4"/>
      <c r="F22" s="4"/>
      <c r="G22" s="4"/>
      <c r="H22" s="4"/>
      <c r="I22" s="4"/>
      <c r="J22" s="4"/>
      <c r="K22" s="2"/>
      <c r="L22" s="5"/>
      <c r="M22" s="6" t="s">
        <v>31</v>
      </c>
      <c r="N22" s="6" t="s">
        <v>58</v>
      </c>
      <c r="O22" s="7"/>
      <c r="P22" s="7"/>
      <c r="Q22" s="7"/>
      <c r="R22" s="7"/>
      <c r="S22" s="7"/>
      <c r="T22" s="7"/>
      <c r="U22" s="7"/>
      <c r="V22" s="7"/>
      <c r="W22" s="7"/>
      <c r="X22" s="7"/>
    </row>
    <row r="23" ht="15" spans="1:24">
      <c r="A23" s="30">
        <v>3</v>
      </c>
      <c r="B23" s="15"/>
      <c r="C23" s="30" t="s">
        <v>35</v>
      </c>
      <c r="D23" s="30" t="s">
        <v>35</v>
      </c>
      <c r="E23" s="4"/>
      <c r="F23" s="4"/>
      <c r="G23" s="4"/>
      <c r="H23" s="4"/>
      <c r="I23" s="4"/>
      <c r="J23" s="4"/>
      <c r="K23" s="2"/>
      <c r="L23" s="9" t="s">
        <v>33</v>
      </c>
      <c r="M23" s="8" t="s">
        <v>34</v>
      </c>
      <c r="N23" s="8" t="s">
        <v>35</v>
      </c>
      <c r="O23" s="7"/>
      <c r="P23" s="7"/>
      <c r="Q23" s="7"/>
      <c r="R23" s="7"/>
      <c r="S23" s="7"/>
      <c r="T23" s="7"/>
      <c r="U23" s="7"/>
      <c r="V23" s="7"/>
      <c r="W23" s="7"/>
      <c r="X23" s="7"/>
    </row>
    <row r="24" ht="42.75" spans="1:24">
      <c r="A24" s="11" t="s">
        <v>38</v>
      </c>
      <c r="B24" s="11" t="s">
        <v>1</v>
      </c>
      <c r="C24" s="11" t="s">
        <v>39</v>
      </c>
      <c r="D24" s="11" t="s">
        <v>40</v>
      </c>
      <c r="E24" s="11" t="s">
        <v>41</v>
      </c>
      <c r="F24" s="11" t="s">
        <v>42</v>
      </c>
      <c r="G24" s="11" t="s">
        <v>43</v>
      </c>
      <c r="H24" s="11" t="s">
        <v>44</v>
      </c>
      <c r="I24" s="11" t="s">
        <v>45</v>
      </c>
      <c r="J24" s="11" t="s">
        <v>46</v>
      </c>
      <c r="K24" s="2"/>
      <c r="L24" s="11" t="s">
        <v>1</v>
      </c>
      <c r="M24" s="11" t="s">
        <v>39</v>
      </c>
      <c r="N24" s="11" t="s">
        <v>60</v>
      </c>
      <c r="O24" s="11" t="s">
        <v>61</v>
      </c>
      <c r="P24" s="11" t="s">
        <v>62</v>
      </c>
      <c r="Q24" s="11" t="s">
        <v>43</v>
      </c>
      <c r="R24" s="11" t="s">
        <v>44</v>
      </c>
      <c r="S24" s="11" t="s">
        <v>63</v>
      </c>
      <c r="T24" s="11" t="s">
        <v>46</v>
      </c>
      <c r="U24" s="7"/>
      <c r="V24" s="7"/>
      <c r="W24" s="7"/>
      <c r="X24" s="7"/>
    </row>
    <row r="25" ht="15" spans="1:24">
      <c r="A25" s="11"/>
      <c r="B25" s="13">
        <f>B5</f>
        <v>46287</v>
      </c>
      <c r="C25" s="14">
        <f>C5</f>
        <v>10000000</v>
      </c>
      <c r="D25" s="15">
        <f>F25-E25+1</f>
        <v>434</v>
      </c>
      <c r="E25" s="13">
        <f>E15</f>
        <v>46287</v>
      </c>
      <c r="F25" s="16">
        <f>F15</f>
        <v>46720</v>
      </c>
      <c r="G25" s="15">
        <f>G5</f>
        <v>80</v>
      </c>
      <c r="H25" s="17">
        <f>H5</f>
        <v>0.015</v>
      </c>
      <c r="I25" s="27">
        <f>C25*H25*D25/365</f>
        <v>178356.164383562</v>
      </c>
      <c r="J25" s="14">
        <f>I25</f>
        <v>178356.164383562</v>
      </c>
      <c r="K25" s="2"/>
      <c r="L25" s="13">
        <f t="shared" ref="L25:R25" si="4">B25</f>
        <v>46287</v>
      </c>
      <c r="M25" s="14">
        <f t="shared" si="4"/>
        <v>10000000</v>
      </c>
      <c r="N25" s="15">
        <f>P25-O25+1</f>
        <v>434</v>
      </c>
      <c r="O25" s="13">
        <f t="shared" si="4"/>
        <v>46287</v>
      </c>
      <c r="P25" s="16">
        <f t="shared" si="4"/>
        <v>46720</v>
      </c>
      <c r="Q25" s="15">
        <f t="shared" si="4"/>
        <v>80</v>
      </c>
      <c r="R25" s="17">
        <f t="shared" si="4"/>
        <v>0.015</v>
      </c>
      <c r="S25" s="19">
        <f>M25*N25*R25/365</f>
        <v>178356.164383562</v>
      </c>
      <c r="T25" s="14">
        <v>0</v>
      </c>
      <c r="U25" s="7"/>
      <c r="V25" s="7"/>
      <c r="W25" s="7"/>
      <c r="X25" s="7"/>
    </row>
    <row r="26" ht="42.75" spans="1:24">
      <c r="A26" s="11" t="s">
        <v>47</v>
      </c>
      <c r="B26" s="11" t="s">
        <v>48</v>
      </c>
      <c r="C26" s="11" t="s">
        <v>49</v>
      </c>
      <c r="D26" s="11" t="s">
        <v>40</v>
      </c>
      <c r="E26" s="11" t="s">
        <v>50</v>
      </c>
      <c r="F26" s="11" t="s">
        <v>51</v>
      </c>
      <c r="G26" s="11"/>
      <c r="H26" s="11" t="s">
        <v>52</v>
      </c>
      <c r="I26" s="11" t="s">
        <v>53</v>
      </c>
      <c r="J26" s="11" t="s">
        <v>46</v>
      </c>
      <c r="K26" s="2"/>
      <c r="L26" s="11" t="s">
        <v>48</v>
      </c>
      <c r="M26" s="11" t="s">
        <v>49</v>
      </c>
      <c r="N26" s="11" t="s">
        <v>60</v>
      </c>
      <c r="O26" s="11" t="s">
        <v>50</v>
      </c>
      <c r="P26" s="11" t="s">
        <v>64</v>
      </c>
      <c r="Q26" s="11"/>
      <c r="R26" s="11" t="s">
        <v>52</v>
      </c>
      <c r="S26" s="11" t="s">
        <v>53</v>
      </c>
      <c r="T26" s="11" t="s">
        <v>46</v>
      </c>
      <c r="U26" s="11" t="s">
        <v>65</v>
      </c>
      <c r="V26" s="11" t="s">
        <v>66</v>
      </c>
      <c r="W26" s="11" t="s">
        <v>67</v>
      </c>
      <c r="X26" s="11" t="s">
        <v>68</v>
      </c>
    </row>
    <row r="27" ht="15" spans="1:24">
      <c r="A27" s="11"/>
      <c r="B27" s="13">
        <f>B7</f>
        <v>46584</v>
      </c>
      <c r="C27" s="14">
        <f>C17</f>
        <v>15000000</v>
      </c>
      <c r="D27" s="20">
        <f>F27-E25+1</f>
        <v>378</v>
      </c>
      <c r="E27" s="16">
        <v>46204</v>
      </c>
      <c r="F27" s="21">
        <f>F7</f>
        <v>46664</v>
      </c>
      <c r="G27" s="15">
        <f>G5</f>
        <v>80</v>
      </c>
      <c r="H27" s="17">
        <f>H5</f>
        <v>0.015</v>
      </c>
      <c r="I27" s="18">
        <f>C27*H27*D27/365</f>
        <v>233013.698630137</v>
      </c>
      <c r="J27" s="27">
        <f>I27</f>
        <v>233013.698630137</v>
      </c>
      <c r="K27" s="2"/>
      <c r="L27" s="13">
        <f t="shared" ref="L27:R27" si="5">B27</f>
        <v>46584</v>
      </c>
      <c r="M27" s="14">
        <f t="shared" si="5"/>
        <v>15000000</v>
      </c>
      <c r="N27" s="20">
        <f>P27-O25+1</f>
        <v>378</v>
      </c>
      <c r="O27" s="16">
        <f t="shared" si="5"/>
        <v>46204</v>
      </c>
      <c r="P27" s="21">
        <f t="shared" si="5"/>
        <v>46664</v>
      </c>
      <c r="Q27" s="15">
        <f t="shared" si="5"/>
        <v>80</v>
      </c>
      <c r="R27" s="17">
        <f t="shared" si="5"/>
        <v>0.015</v>
      </c>
      <c r="S27" s="19">
        <f>W27+X27</f>
        <v>171986.301369863</v>
      </c>
      <c r="T27" s="22">
        <f>S27</f>
        <v>171986.301369863</v>
      </c>
      <c r="U27" s="15">
        <f>L27-O25</f>
        <v>297</v>
      </c>
      <c r="V27" s="15">
        <f>N27-U27</f>
        <v>81</v>
      </c>
      <c r="W27" s="23">
        <f>M25*R27*U27/365</f>
        <v>122054.794520548</v>
      </c>
      <c r="X27" s="23">
        <f>M27*R27*V27/365</f>
        <v>49931.5068493151</v>
      </c>
    </row>
    <row r="28" ht="15" spans="1:24">
      <c r="A28" s="4"/>
      <c r="B28" s="4"/>
      <c r="C28" s="4"/>
      <c r="D28" s="4"/>
      <c r="E28" s="4"/>
      <c r="F28" s="4"/>
      <c r="G28" s="4"/>
      <c r="H28" s="4"/>
      <c r="I28" s="4"/>
      <c r="J28" s="4"/>
      <c r="K28" s="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" spans="1:24">
      <c r="A29" s="4"/>
      <c r="B29" s="4"/>
      <c r="C29" s="4"/>
      <c r="D29" s="4"/>
      <c r="E29" s="4"/>
      <c r="F29" s="4"/>
      <c r="G29" s="4"/>
      <c r="H29" s="4"/>
      <c r="I29" s="4"/>
      <c r="J29" s="4"/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" spans="1:24">
      <c r="A30" s="4"/>
      <c r="B30" s="4"/>
      <c r="C30" s="4"/>
      <c r="D30" s="4"/>
      <c r="E30" s="4"/>
      <c r="F30" s="4"/>
      <c r="G30" s="4"/>
      <c r="H30" s="4"/>
      <c r="I30" s="4"/>
      <c r="J30" s="4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" spans="1:24">
      <c r="A31" s="4"/>
      <c r="B31" s="4"/>
      <c r="C31" s="4"/>
      <c r="D31" s="4"/>
      <c r="E31" s="4"/>
      <c r="F31" s="4"/>
      <c r="G31" s="4"/>
      <c r="H31" s="4"/>
      <c r="I31" s="4"/>
      <c r="J31" s="4"/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" spans="1:24">
      <c r="A32" s="4"/>
      <c r="B32" s="4"/>
      <c r="C32" s="4"/>
      <c r="D32" s="4"/>
      <c r="E32" s="4"/>
      <c r="F32" s="4"/>
      <c r="G32" s="4"/>
      <c r="H32" s="4"/>
      <c r="I32" s="4"/>
      <c r="J32" s="4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" spans="1:24">
      <c r="A33" s="4"/>
      <c r="B33" s="5"/>
      <c r="C33" s="6" t="s">
        <v>31</v>
      </c>
      <c r="D33" s="6" t="s">
        <v>4</v>
      </c>
      <c r="E33" s="4"/>
      <c r="F33" s="4"/>
      <c r="G33" s="4"/>
      <c r="H33" s="4"/>
      <c r="I33" s="4"/>
      <c r="J33" s="4"/>
      <c r="K33" s="2"/>
      <c r="L33" s="5"/>
      <c r="M33" s="6" t="s">
        <v>31</v>
      </c>
      <c r="N33" s="6" t="s">
        <v>58</v>
      </c>
      <c r="O33" s="7"/>
      <c r="P33" s="7"/>
      <c r="Q33" s="7"/>
      <c r="R33" s="7"/>
      <c r="S33" s="7"/>
      <c r="T33" s="7"/>
      <c r="U33" s="7"/>
      <c r="V33" s="7"/>
      <c r="W33" s="7"/>
      <c r="X33" s="7"/>
    </row>
    <row r="34" ht="15" spans="1:24">
      <c r="A34" s="25">
        <v>4</v>
      </c>
      <c r="B34" s="26"/>
      <c r="C34" s="25" t="s">
        <v>34</v>
      </c>
      <c r="D34" s="25" t="s">
        <v>54</v>
      </c>
      <c r="E34" s="4"/>
      <c r="F34" s="4"/>
      <c r="G34" s="4"/>
      <c r="H34" s="4"/>
      <c r="I34" s="4"/>
      <c r="J34" s="4"/>
      <c r="K34" s="2"/>
      <c r="L34" s="9" t="s">
        <v>33</v>
      </c>
      <c r="M34" s="8" t="s">
        <v>34</v>
      </c>
      <c r="N34" s="8" t="s">
        <v>35</v>
      </c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42.75" spans="1:24">
      <c r="A35" s="11" t="s">
        <v>38</v>
      </c>
      <c r="B35" s="11" t="s">
        <v>1</v>
      </c>
      <c r="C35" s="11" t="s">
        <v>39</v>
      </c>
      <c r="D35" s="11" t="s">
        <v>40</v>
      </c>
      <c r="E35" s="11" t="s">
        <v>41</v>
      </c>
      <c r="F35" s="11" t="s">
        <v>42</v>
      </c>
      <c r="G35" s="11" t="s">
        <v>43</v>
      </c>
      <c r="H35" s="11" t="s">
        <v>44</v>
      </c>
      <c r="I35" s="11" t="s">
        <v>45</v>
      </c>
      <c r="J35" s="11" t="s">
        <v>46</v>
      </c>
      <c r="K35" s="2"/>
      <c r="L35" s="11" t="s">
        <v>1</v>
      </c>
      <c r="M35" s="11" t="s">
        <v>39</v>
      </c>
      <c r="N35" s="11" t="s">
        <v>60</v>
      </c>
      <c r="O35" s="11" t="s">
        <v>61</v>
      </c>
      <c r="P35" s="11" t="s">
        <v>62</v>
      </c>
      <c r="Q35" s="11" t="s">
        <v>43</v>
      </c>
      <c r="R35" s="11" t="s">
        <v>44</v>
      </c>
      <c r="S35" s="11" t="s">
        <v>63</v>
      </c>
      <c r="T35" s="11" t="s">
        <v>46</v>
      </c>
      <c r="U35" s="7"/>
      <c r="V35" s="7"/>
      <c r="W35" s="7"/>
      <c r="X35" s="7"/>
    </row>
    <row r="36" ht="15" spans="1:24">
      <c r="A36" s="11"/>
      <c r="B36" s="13">
        <f>B5</f>
        <v>46287</v>
      </c>
      <c r="C36" s="14">
        <f>C25</f>
        <v>10000000</v>
      </c>
      <c r="D36" s="15">
        <f>F36-E36+1</f>
        <v>434</v>
      </c>
      <c r="E36" s="13">
        <f>E25</f>
        <v>46287</v>
      </c>
      <c r="F36" s="16">
        <f>F25</f>
        <v>46720</v>
      </c>
      <c r="G36" s="15">
        <f>G5</f>
        <v>80</v>
      </c>
      <c r="H36" s="17">
        <f>H5</f>
        <v>0.015</v>
      </c>
      <c r="I36" s="27">
        <f>C36*H36*D36/365</f>
        <v>178356.164383562</v>
      </c>
      <c r="J36" s="14">
        <f>I36</f>
        <v>178356.164383562</v>
      </c>
      <c r="K36" s="2"/>
      <c r="L36" s="13">
        <f t="shared" ref="L36:R36" si="6">B36</f>
        <v>46287</v>
      </c>
      <c r="M36" s="14">
        <f t="shared" si="6"/>
        <v>10000000</v>
      </c>
      <c r="N36" s="15">
        <f>P36-O36+1</f>
        <v>434</v>
      </c>
      <c r="O36" s="13">
        <f t="shared" si="6"/>
        <v>46287</v>
      </c>
      <c r="P36" s="16">
        <f t="shared" si="6"/>
        <v>46720</v>
      </c>
      <c r="Q36" s="15">
        <f t="shared" si="6"/>
        <v>80</v>
      </c>
      <c r="R36" s="17">
        <f t="shared" si="6"/>
        <v>0.015</v>
      </c>
      <c r="S36" s="19">
        <f>M36*N36*R36/365</f>
        <v>178356.164383562</v>
      </c>
      <c r="T36" s="14">
        <v>0</v>
      </c>
      <c r="U36" s="7"/>
      <c r="V36" s="7"/>
      <c r="W36" s="7"/>
      <c r="X36" s="7"/>
    </row>
    <row r="37" ht="42.75" spans="1:24">
      <c r="A37" s="11" t="s">
        <v>47</v>
      </c>
      <c r="B37" s="11" t="s">
        <v>48</v>
      </c>
      <c r="C37" s="11" t="s">
        <v>49</v>
      </c>
      <c r="D37" s="11" t="s">
        <v>40</v>
      </c>
      <c r="E37" s="11" t="s">
        <v>50</v>
      </c>
      <c r="F37" s="11" t="s">
        <v>51</v>
      </c>
      <c r="G37" s="11"/>
      <c r="H37" s="11" t="s">
        <v>52</v>
      </c>
      <c r="I37" s="11" t="s">
        <v>53</v>
      </c>
      <c r="J37" s="28" t="s">
        <v>46</v>
      </c>
      <c r="K37" s="2"/>
      <c r="L37" s="11" t="s">
        <v>48</v>
      </c>
      <c r="M37" s="11" t="s">
        <v>49</v>
      </c>
      <c r="N37" s="11" t="s">
        <v>60</v>
      </c>
      <c r="O37" s="11" t="s">
        <v>50</v>
      </c>
      <c r="P37" s="11" t="s">
        <v>64</v>
      </c>
      <c r="Q37" s="11"/>
      <c r="R37" s="11" t="s">
        <v>52</v>
      </c>
      <c r="S37" s="11" t="s">
        <v>53</v>
      </c>
      <c r="T37" s="11" t="s">
        <v>46</v>
      </c>
      <c r="U37" s="11" t="s">
        <v>65</v>
      </c>
      <c r="V37" s="11" t="s">
        <v>66</v>
      </c>
      <c r="W37" s="11" t="s">
        <v>67</v>
      </c>
      <c r="X37" s="11" t="s">
        <v>68</v>
      </c>
    </row>
    <row r="38" ht="15" spans="1:24">
      <c r="A38" s="11"/>
      <c r="B38" s="13">
        <f>B7</f>
        <v>46584</v>
      </c>
      <c r="C38" s="14">
        <v>1000000</v>
      </c>
      <c r="D38" s="20">
        <f>F38-E36+1</f>
        <v>164</v>
      </c>
      <c r="E38" s="16">
        <v>46204</v>
      </c>
      <c r="F38" s="21">
        <v>46450</v>
      </c>
      <c r="G38" s="15">
        <f>G5</f>
        <v>80</v>
      </c>
      <c r="H38" s="17">
        <f>H5</f>
        <v>0.015</v>
      </c>
      <c r="I38" s="18">
        <f>C38*H38*D38/365</f>
        <v>6739.72602739726</v>
      </c>
      <c r="J38" s="31">
        <f>I38</f>
        <v>6739.72602739726</v>
      </c>
      <c r="K38" s="2"/>
      <c r="L38" s="13">
        <f t="shared" ref="L38:R38" si="7">B38</f>
        <v>46584</v>
      </c>
      <c r="M38" s="14">
        <f t="shared" si="7"/>
        <v>1000000</v>
      </c>
      <c r="N38" s="20">
        <f>P38-O36+1</f>
        <v>164</v>
      </c>
      <c r="O38" s="16">
        <f t="shared" si="7"/>
        <v>46204</v>
      </c>
      <c r="P38" s="21">
        <f t="shared" si="7"/>
        <v>46450</v>
      </c>
      <c r="Q38" s="15">
        <f t="shared" si="7"/>
        <v>80</v>
      </c>
      <c r="R38" s="17">
        <f t="shared" si="7"/>
        <v>0.015</v>
      </c>
      <c r="S38" s="19">
        <f>W38+X38</f>
        <v>116589.04109589</v>
      </c>
      <c r="T38" s="22">
        <f>S38</f>
        <v>116589.04109589</v>
      </c>
      <c r="U38" s="15">
        <f>L38-O36</f>
        <v>297</v>
      </c>
      <c r="V38" s="15">
        <f>N38-U38</f>
        <v>-133</v>
      </c>
      <c r="W38" s="23">
        <f>M36*R38*U38/365</f>
        <v>122054.794520548</v>
      </c>
      <c r="X38" s="23">
        <f>M38*R38*V38/365</f>
        <v>-5465.75342465753</v>
      </c>
    </row>
    <row r="39" ht="15" spans="1:24">
      <c r="A39" s="4"/>
      <c r="B39" s="4"/>
      <c r="C39" s="4"/>
      <c r="D39" s="4"/>
      <c r="E39" s="4"/>
      <c r="F39" s="4"/>
      <c r="G39" s="4"/>
      <c r="H39" s="4"/>
      <c r="I39" s="4"/>
      <c r="J39" s="32"/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/>
      <c r="B40" s="3"/>
      <c r="C40" s="3"/>
      <c r="D40" s="3"/>
      <c r="E40" s="3"/>
      <c r="F40" s="3"/>
      <c r="G40" s="3"/>
      <c r="H40" s="3"/>
      <c r="I40" s="3"/>
      <c r="J40" s="3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>
      <c r="A41" s="3"/>
      <c r="B41" s="3"/>
      <c r="C41" s="3"/>
      <c r="D41" s="3"/>
      <c r="E41" s="3"/>
      <c r="F41" s="3"/>
      <c r="G41" s="3"/>
      <c r="H41" s="3"/>
      <c r="I41" s="3"/>
      <c r="J41" s="3"/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/>
      <c r="B42" s="3"/>
      <c r="C42" s="3"/>
      <c r="D42" s="3"/>
      <c r="E42" s="3"/>
      <c r="F42" s="3"/>
      <c r="G42" s="3"/>
      <c r="H42" s="3"/>
      <c r="I42" s="3"/>
      <c r="J42" s="3"/>
      <c r="K42" s="2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" spans="1:24">
      <c r="A43" s="4"/>
      <c r="B43" s="5"/>
      <c r="C43" s="6" t="s">
        <v>31</v>
      </c>
      <c r="D43" s="6" t="s">
        <v>58</v>
      </c>
      <c r="E43" s="4"/>
      <c r="F43" s="4"/>
      <c r="G43" s="4"/>
      <c r="H43" s="4"/>
      <c r="I43" s="4"/>
      <c r="J43" s="4"/>
      <c r="K43" s="2"/>
      <c r="L43" s="5"/>
      <c r="M43" s="6" t="s">
        <v>31</v>
      </c>
      <c r="N43" s="6" t="s">
        <v>58</v>
      </c>
      <c r="O43" s="7"/>
      <c r="P43" s="7"/>
      <c r="Q43" s="7"/>
      <c r="R43" s="7"/>
      <c r="S43" s="7"/>
      <c r="T43" s="7"/>
      <c r="U43" s="7"/>
      <c r="V43" s="7"/>
      <c r="W43" s="7"/>
      <c r="X43" s="7"/>
    </row>
    <row r="44" ht="15" spans="1:24">
      <c r="A44" s="25">
        <v>5</v>
      </c>
      <c r="B44" s="26"/>
      <c r="C44" s="30" t="s">
        <v>35</v>
      </c>
      <c r="D44" s="30" t="s">
        <v>54</v>
      </c>
      <c r="E44" s="4"/>
      <c r="F44" s="4"/>
      <c r="G44" s="4"/>
      <c r="H44" s="4"/>
      <c r="I44" s="4"/>
      <c r="J44" s="4"/>
      <c r="K44" s="2"/>
      <c r="L44" s="9" t="s">
        <v>33</v>
      </c>
      <c r="M44" s="30" t="s">
        <v>35</v>
      </c>
      <c r="N44" s="30" t="s">
        <v>54</v>
      </c>
      <c r="O44" s="7"/>
      <c r="P44" s="7"/>
      <c r="Q44" s="7"/>
      <c r="R44" s="7"/>
      <c r="S44" s="7"/>
      <c r="T44" s="7"/>
      <c r="U44" s="7"/>
      <c r="V44" s="7"/>
      <c r="W44" s="7"/>
      <c r="X44" s="7"/>
    </row>
    <row r="45" ht="42.75" spans="1:24">
      <c r="A45" s="11" t="s">
        <v>38</v>
      </c>
      <c r="B45" s="11" t="s">
        <v>1</v>
      </c>
      <c r="C45" s="11" t="s">
        <v>39</v>
      </c>
      <c r="D45" s="11" t="s">
        <v>40</v>
      </c>
      <c r="E45" s="11" t="s">
        <v>41</v>
      </c>
      <c r="F45" s="11" t="s">
        <v>42</v>
      </c>
      <c r="G45" s="11" t="s">
        <v>43</v>
      </c>
      <c r="H45" s="11" t="s">
        <v>44</v>
      </c>
      <c r="I45" s="11" t="s">
        <v>45</v>
      </c>
      <c r="J45" s="11" t="s">
        <v>46</v>
      </c>
      <c r="K45" s="2"/>
      <c r="L45" s="11" t="s">
        <v>1</v>
      </c>
      <c r="M45" s="11" t="s">
        <v>39</v>
      </c>
      <c r="N45" s="11" t="s">
        <v>60</v>
      </c>
      <c r="O45" s="11" t="s">
        <v>61</v>
      </c>
      <c r="P45" s="11" t="s">
        <v>62</v>
      </c>
      <c r="Q45" s="11" t="s">
        <v>43</v>
      </c>
      <c r="R45" s="11" t="s">
        <v>44</v>
      </c>
      <c r="S45" s="11" t="s">
        <v>63</v>
      </c>
      <c r="T45" s="11" t="s">
        <v>46</v>
      </c>
      <c r="U45" s="7"/>
      <c r="V45" s="7"/>
      <c r="W45" s="7"/>
      <c r="X45" s="7"/>
    </row>
    <row r="46" ht="15" spans="1:24">
      <c r="A46" s="11"/>
      <c r="B46" s="13">
        <f>B5</f>
        <v>46287</v>
      </c>
      <c r="C46" s="14">
        <f>C36</f>
        <v>10000000</v>
      </c>
      <c r="D46" s="15">
        <f>F46-E46+1</f>
        <v>434</v>
      </c>
      <c r="E46" s="13">
        <f>E36</f>
        <v>46287</v>
      </c>
      <c r="F46" s="16">
        <f>F36</f>
        <v>46720</v>
      </c>
      <c r="G46" s="15">
        <f>G5</f>
        <v>80</v>
      </c>
      <c r="H46" s="17">
        <f>H5</f>
        <v>0.015</v>
      </c>
      <c r="I46" s="27">
        <f>C46*H46*D46/365</f>
        <v>178356.164383562</v>
      </c>
      <c r="J46" s="14">
        <f>I46</f>
        <v>178356.164383562</v>
      </c>
      <c r="K46" s="2"/>
      <c r="L46" s="13">
        <f t="shared" ref="L46:R46" si="8">B46</f>
        <v>46287</v>
      </c>
      <c r="M46" s="14">
        <f t="shared" si="8"/>
        <v>10000000</v>
      </c>
      <c r="N46" s="15">
        <f>P46-O46+1</f>
        <v>434</v>
      </c>
      <c r="O46" s="13">
        <f t="shared" si="8"/>
        <v>46287</v>
      </c>
      <c r="P46" s="16">
        <f t="shared" si="8"/>
        <v>46720</v>
      </c>
      <c r="Q46" s="15">
        <f t="shared" si="8"/>
        <v>80</v>
      </c>
      <c r="R46" s="17">
        <f t="shared" si="8"/>
        <v>0.015</v>
      </c>
      <c r="S46" s="19">
        <f>M46*N46*R46/365</f>
        <v>178356.164383562</v>
      </c>
      <c r="T46" s="14">
        <v>0</v>
      </c>
      <c r="U46" s="7"/>
      <c r="V46" s="7"/>
      <c r="W46" s="7"/>
      <c r="X46" s="7"/>
    </row>
    <row r="47" ht="42.75" spans="1:24">
      <c r="A47" s="11" t="s">
        <v>47</v>
      </c>
      <c r="B47" s="11" t="s">
        <v>48</v>
      </c>
      <c r="C47" s="11" t="s">
        <v>49</v>
      </c>
      <c r="D47" s="11" t="s">
        <v>40</v>
      </c>
      <c r="E47" s="11" t="s">
        <v>50</v>
      </c>
      <c r="F47" s="11" t="s">
        <v>51</v>
      </c>
      <c r="G47" s="11"/>
      <c r="H47" s="11" t="s">
        <v>52</v>
      </c>
      <c r="I47" s="11" t="s">
        <v>53</v>
      </c>
      <c r="J47" s="28" t="s">
        <v>46</v>
      </c>
      <c r="K47" s="2"/>
      <c r="L47" s="11" t="s">
        <v>48</v>
      </c>
      <c r="M47" s="11" t="s">
        <v>49</v>
      </c>
      <c r="N47" s="11" t="s">
        <v>60</v>
      </c>
      <c r="O47" s="11" t="s">
        <v>50</v>
      </c>
      <c r="P47" s="11" t="s">
        <v>64</v>
      </c>
      <c r="Q47" s="11"/>
      <c r="R47" s="11" t="s">
        <v>52</v>
      </c>
      <c r="S47" s="11" t="s">
        <v>53</v>
      </c>
      <c r="T47" s="11" t="s">
        <v>46</v>
      </c>
      <c r="U47" s="11" t="s">
        <v>65</v>
      </c>
      <c r="V47" s="11" t="s">
        <v>66</v>
      </c>
      <c r="W47" s="11" t="s">
        <v>67</v>
      </c>
      <c r="X47" s="11" t="s">
        <v>68</v>
      </c>
    </row>
    <row r="48" ht="15" spans="1:24">
      <c r="A48" s="11"/>
      <c r="B48" s="13">
        <f>B7</f>
        <v>46584</v>
      </c>
      <c r="C48" s="14">
        <v>1500000</v>
      </c>
      <c r="D48" s="20">
        <f>F48-E46+1</f>
        <v>164</v>
      </c>
      <c r="E48" s="16">
        <v>46204</v>
      </c>
      <c r="F48" s="21">
        <v>46450</v>
      </c>
      <c r="G48" s="15">
        <f>G5</f>
        <v>80</v>
      </c>
      <c r="H48" s="17">
        <f>H5</f>
        <v>0.015</v>
      </c>
      <c r="I48" s="18">
        <f>C48*H48*D48/365</f>
        <v>10109.5890410959</v>
      </c>
      <c r="J48" s="31">
        <f>I48</f>
        <v>10109.5890410959</v>
      </c>
      <c r="K48" s="2"/>
      <c r="L48" s="13">
        <f t="shared" ref="L48:R48" si="9">B48</f>
        <v>46584</v>
      </c>
      <c r="M48" s="14">
        <f t="shared" si="9"/>
        <v>1500000</v>
      </c>
      <c r="N48" s="20">
        <f>P48-O46+1</f>
        <v>164</v>
      </c>
      <c r="O48" s="16">
        <f t="shared" si="9"/>
        <v>46204</v>
      </c>
      <c r="P48" s="21">
        <f t="shared" si="9"/>
        <v>46450</v>
      </c>
      <c r="Q48" s="15">
        <f t="shared" si="9"/>
        <v>80</v>
      </c>
      <c r="R48" s="17">
        <f t="shared" si="9"/>
        <v>0.015</v>
      </c>
      <c r="S48" s="19">
        <f>W48+X48</f>
        <v>113856.164383562</v>
      </c>
      <c r="T48" s="22">
        <f>S48</f>
        <v>113856.164383562</v>
      </c>
      <c r="U48" s="15">
        <f>L48-O46</f>
        <v>297</v>
      </c>
      <c r="V48" s="15">
        <f>N48-U48</f>
        <v>-133</v>
      </c>
      <c r="W48" s="23">
        <f>M46*R48*U48/365</f>
        <v>122054.794520548</v>
      </c>
      <c r="X48" s="23">
        <f>M48*R48*V48/365</f>
        <v>-8198.6301369863</v>
      </c>
    </row>
    <row r="49" spans="1:24">
      <c r="A49" s="3"/>
      <c r="B49" s="3"/>
      <c r="C49" s="3"/>
      <c r="D49" s="3"/>
      <c r="E49" s="3"/>
      <c r="F49" s="3"/>
      <c r="G49" s="3"/>
      <c r="H49" s="3"/>
      <c r="I49" s="3"/>
      <c r="J49" s="3"/>
      <c r="K49" s="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>
      <c r="A50" s="3"/>
      <c r="B50" s="3"/>
      <c r="C50" s="3"/>
      <c r="D50" s="3"/>
      <c r="E50" s="3"/>
      <c r="F50" s="3"/>
      <c r="G50" s="3"/>
      <c r="H50" s="3"/>
      <c r="I50" s="3"/>
      <c r="J50" s="3"/>
      <c r="K50" s="2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/>
      <c r="B51" s="3"/>
      <c r="C51" s="3"/>
      <c r="D51" s="3"/>
      <c r="E51" s="3"/>
      <c r="F51" s="3"/>
      <c r="G51" s="3"/>
      <c r="H51" s="3"/>
      <c r="I51" s="3"/>
      <c r="J51" s="3"/>
      <c r="K51" s="2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" spans="1:24">
      <c r="A52" s="4"/>
      <c r="B52" s="5"/>
      <c r="C52" s="6" t="s">
        <v>31</v>
      </c>
      <c r="D52" s="6" t="s">
        <v>58</v>
      </c>
      <c r="E52" s="4" t="s">
        <v>32</v>
      </c>
      <c r="F52" s="4"/>
      <c r="G52" s="4"/>
      <c r="H52" s="4"/>
      <c r="I52" s="4"/>
      <c r="J52" s="4"/>
      <c r="K52" s="2"/>
      <c r="L52" s="5"/>
      <c r="M52" s="6" t="s">
        <v>31</v>
      </c>
      <c r="N52" s="6" t="s">
        <v>58</v>
      </c>
      <c r="O52" s="7"/>
      <c r="P52" s="7"/>
      <c r="Q52" s="7"/>
      <c r="R52" s="7"/>
      <c r="S52" s="7"/>
      <c r="T52" s="7"/>
      <c r="U52" s="7"/>
      <c r="V52" s="7"/>
      <c r="W52" s="7"/>
      <c r="X52" s="7"/>
    </row>
    <row r="53" ht="15" spans="1:24">
      <c r="A53" s="25">
        <v>6</v>
      </c>
      <c r="B53" s="26"/>
      <c r="C53" s="30" t="s">
        <v>54</v>
      </c>
      <c r="D53" s="30" t="s">
        <v>35</v>
      </c>
      <c r="E53" s="4"/>
      <c r="F53" s="4"/>
      <c r="G53" s="4"/>
      <c r="H53" s="4"/>
      <c r="I53" s="4"/>
      <c r="J53" s="4"/>
      <c r="K53" s="2"/>
      <c r="L53" s="9" t="s">
        <v>33</v>
      </c>
      <c r="M53" s="30" t="s">
        <v>54</v>
      </c>
      <c r="N53" s="30" t="s">
        <v>35</v>
      </c>
      <c r="O53" s="7"/>
      <c r="P53" s="7"/>
      <c r="Q53" s="7"/>
      <c r="R53" s="7"/>
      <c r="S53" s="7"/>
      <c r="T53" s="7"/>
      <c r="U53" s="7"/>
      <c r="V53" s="7"/>
      <c r="W53" s="7"/>
      <c r="X53" s="7"/>
    </row>
    <row r="54" ht="42.75" spans="1:24">
      <c r="A54" s="11" t="s">
        <v>38</v>
      </c>
      <c r="B54" s="11" t="s">
        <v>1</v>
      </c>
      <c r="C54" s="11" t="s">
        <v>39</v>
      </c>
      <c r="D54" s="11" t="s">
        <v>40</v>
      </c>
      <c r="E54" s="11" t="s">
        <v>41</v>
      </c>
      <c r="F54" s="11" t="s">
        <v>42</v>
      </c>
      <c r="G54" s="11" t="s">
        <v>43</v>
      </c>
      <c r="H54" s="11" t="s">
        <v>44</v>
      </c>
      <c r="I54" s="11" t="s">
        <v>45</v>
      </c>
      <c r="J54" s="11" t="s">
        <v>46</v>
      </c>
      <c r="K54" s="2"/>
      <c r="L54" s="11" t="s">
        <v>1</v>
      </c>
      <c r="M54" s="11" t="s">
        <v>39</v>
      </c>
      <c r="N54" s="11" t="s">
        <v>60</v>
      </c>
      <c r="O54" s="11" t="s">
        <v>61</v>
      </c>
      <c r="P54" s="11" t="s">
        <v>62</v>
      </c>
      <c r="Q54" s="11" t="s">
        <v>43</v>
      </c>
      <c r="R54" s="11" t="s">
        <v>44</v>
      </c>
      <c r="S54" s="11" t="s">
        <v>63</v>
      </c>
      <c r="T54" s="11" t="s">
        <v>46</v>
      </c>
      <c r="U54" s="7"/>
      <c r="V54" s="7"/>
      <c r="W54" s="7"/>
      <c r="X54" s="7"/>
    </row>
    <row r="55" ht="15" spans="1:24">
      <c r="A55" s="11"/>
      <c r="B55" s="13">
        <f>B5</f>
        <v>46287</v>
      </c>
      <c r="C55" s="14">
        <f>C46</f>
        <v>10000000</v>
      </c>
      <c r="D55" s="15">
        <f>F55-E55+1</f>
        <v>434</v>
      </c>
      <c r="E55" s="13">
        <f>E46</f>
        <v>46287</v>
      </c>
      <c r="F55" s="16">
        <f>F46</f>
        <v>46720</v>
      </c>
      <c r="G55" s="15">
        <f>G5</f>
        <v>80</v>
      </c>
      <c r="H55" s="17">
        <f>H5</f>
        <v>0.015</v>
      </c>
      <c r="I55" s="27">
        <f>C55*H55*D55/365</f>
        <v>178356.164383562</v>
      </c>
      <c r="J55" s="14">
        <f>I55</f>
        <v>178356.164383562</v>
      </c>
      <c r="K55" s="2"/>
      <c r="L55" s="13">
        <f t="shared" ref="L55:R55" si="10">B55</f>
        <v>46287</v>
      </c>
      <c r="M55" s="14">
        <f t="shared" si="10"/>
        <v>10000000</v>
      </c>
      <c r="N55" s="15">
        <f>P55-O55+1</f>
        <v>434</v>
      </c>
      <c r="O55" s="13">
        <f t="shared" si="10"/>
        <v>46287</v>
      </c>
      <c r="P55" s="16">
        <f t="shared" si="10"/>
        <v>46720</v>
      </c>
      <c r="Q55" s="15">
        <f t="shared" si="10"/>
        <v>80</v>
      </c>
      <c r="R55" s="17">
        <f t="shared" si="10"/>
        <v>0.015</v>
      </c>
      <c r="S55" s="19">
        <f>M55*N55*R55/365</f>
        <v>178356.164383562</v>
      </c>
      <c r="T55" s="14">
        <v>0</v>
      </c>
      <c r="U55" s="7"/>
      <c r="V55" s="7"/>
      <c r="W55" s="7"/>
      <c r="X55" s="7"/>
    </row>
    <row r="56" ht="42.75" spans="1:24">
      <c r="A56" s="11" t="s">
        <v>47</v>
      </c>
      <c r="B56" s="11" t="s">
        <v>48</v>
      </c>
      <c r="C56" s="11" t="s">
        <v>49</v>
      </c>
      <c r="D56" s="11" t="s">
        <v>40</v>
      </c>
      <c r="E56" s="11" t="s">
        <v>50</v>
      </c>
      <c r="F56" s="11" t="s">
        <v>51</v>
      </c>
      <c r="G56" s="11"/>
      <c r="H56" s="11" t="s">
        <v>52</v>
      </c>
      <c r="I56" s="11" t="s">
        <v>53</v>
      </c>
      <c r="J56" s="28" t="s">
        <v>46</v>
      </c>
      <c r="K56" s="2"/>
      <c r="L56" s="11" t="s">
        <v>48</v>
      </c>
      <c r="M56" s="11" t="s">
        <v>49</v>
      </c>
      <c r="N56" s="11" t="s">
        <v>60</v>
      </c>
      <c r="O56" s="11" t="s">
        <v>50</v>
      </c>
      <c r="P56" s="11" t="s">
        <v>64</v>
      </c>
      <c r="Q56" s="11"/>
      <c r="R56" s="11" t="s">
        <v>52</v>
      </c>
      <c r="S56" s="11" t="s">
        <v>53</v>
      </c>
      <c r="T56" s="11" t="s">
        <v>46</v>
      </c>
      <c r="U56" s="11" t="s">
        <v>65</v>
      </c>
      <c r="V56" s="11" t="s">
        <v>66</v>
      </c>
      <c r="W56" s="11" t="s">
        <v>67</v>
      </c>
      <c r="X56" s="11" t="s">
        <v>68</v>
      </c>
    </row>
    <row r="57" ht="15" spans="1:24">
      <c r="A57" s="11"/>
      <c r="B57" s="13">
        <f>B7</f>
        <v>46584</v>
      </c>
      <c r="C57" s="14">
        <v>900000</v>
      </c>
      <c r="D57" s="20">
        <f>F57-E55+1</f>
        <v>286</v>
      </c>
      <c r="E57" s="16">
        <v>46204</v>
      </c>
      <c r="F57" s="21">
        <v>46572</v>
      </c>
      <c r="G57" s="15">
        <f>G5</f>
        <v>80</v>
      </c>
      <c r="H57" s="17">
        <f>H5</f>
        <v>0.015</v>
      </c>
      <c r="I57" s="18">
        <f>C57*H57*D57/365</f>
        <v>10578.0821917808</v>
      </c>
      <c r="J57" s="31">
        <f>I57</f>
        <v>10578.0821917808</v>
      </c>
      <c r="K57" s="2"/>
      <c r="L57" s="13">
        <f t="shared" ref="L57:R57" si="11">B57</f>
        <v>46584</v>
      </c>
      <c r="M57" s="14">
        <f t="shared" si="11"/>
        <v>900000</v>
      </c>
      <c r="N57" s="20">
        <f>P57-O55+1</f>
        <v>286</v>
      </c>
      <c r="O57" s="16">
        <f t="shared" si="11"/>
        <v>46204</v>
      </c>
      <c r="P57" s="21">
        <f t="shared" si="11"/>
        <v>46572</v>
      </c>
      <c r="Q57" s="15">
        <f t="shared" si="11"/>
        <v>80</v>
      </c>
      <c r="R57" s="17">
        <f t="shared" si="11"/>
        <v>0.015</v>
      </c>
      <c r="S57" s="19">
        <f>W57+X57</f>
        <v>121647.945205479</v>
      </c>
      <c r="T57" s="22">
        <f>S57</f>
        <v>121647.945205479</v>
      </c>
      <c r="U57" s="15">
        <f>L57-O55</f>
        <v>297</v>
      </c>
      <c r="V57" s="15">
        <f>N57-U57</f>
        <v>-11</v>
      </c>
      <c r="W57" s="23">
        <f>M55*R57*U57/365</f>
        <v>122054.794520548</v>
      </c>
      <c r="X57" s="23">
        <f>M57*R57*V57/365</f>
        <v>-406.849315068493</v>
      </c>
    </row>
    <row r="58" spans="1:24">
      <c r="A58" s="3"/>
      <c r="B58" s="3"/>
      <c r="C58" s="3"/>
      <c r="D58" s="3"/>
      <c r="E58" s="3"/>
      <c r="F58" s="3"/>
      <c r="G58" s="3"/>
      <c r="H58" s="3"/>
      <c r="I58" s="3"/>
      <c r="J58" s="3"/>
      <c r="K58" s="2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>
      <c r="A59" s="3"/>
      <c r="B59" s="3"/>
      <c r="C59" s="3"/>
      <c r="D59" s="3"/>
      <c r="E59" s="3"/>
      <c r="F59" s="3"/>
      <c r="G59" s="3"/>
      <c r="H59" s="3"/>
      <c r="I59" s="3"/>
      <c r="J59" s="3"/>
      <c r="K59" s="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>
      <c r="A60" s="3"/>
      <c r="B60" s="3"/>
      <c r="C60" s="3"/>
      <c r="D60" s="3"/>
      <c r="E60" s="3"/>
      <c r="F60" s="3"/>
      <c r="G60" s="3"/>
      <c r="H60" s="3"/>
      <c r="I60" s="3"/>
      <c r="J60" s="3"/>
      <c r="K60" s="2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" spans="1:24">
      <c r="A61" s="4"/>
      <c r="B61" s="5"/>
      <c r="C61" s="6" t="s">
        <v>31</v>
      </c>
      <c r="D61" s="6" t="s">
        <v>58</v>
      </c>
      <c r="E61" s="4"/>
      <c r="F61" s="4"/>
      <c r="G61" s="4"/>
      <c r="H61" s="4"/>
      <c r="I61" s="4"/>
      <c r="J61" s="4"/>
      <c r="K61" s="2"/>
      <c r="L61" s="5"/>
      <c r="M61" s="6" t="s">
        <v>31</v>
      </c>
      <c r="N61" s="6" t="s">
        <v>58</v>
      </c>
      <c r="O61" s="7"/>
      <c r="P61" s="7"/>
      <c r="Q61" s="7"/>
      <c r="R61" s="7"/>
      <c r="S61" s="7"/>
      <c r="T61" s="7"/>
      <c r="U61" s="7"/>
      <c r="V61" s="7"/>
      <c r="W61" s="7"/>
      <c r="X61" s="7"/>
    </row>
    <row r="62" ht="15" spans="1:24">
      <c r="A62" s="25">
        <v>7</v>
      </c>
      <c r="B62" s="26"/>
      <c r="C62" s="30" t="s">
        <v>54</v>
      </c>
      <c r="D62" s="30" t="s">
        <v>54</v>
      </c>
      <c r="E62" s="4"/>
      <c r="F62" s="4"/>
      <c r="G62" s="4"/>
      <c r="H62" s="4"/>
      <c r="I62" s="4"/>
      <c r="J62" s="4"/>
      <c r="K62" s="2"/>
      <c r="L62" s="9" t="s">
        <v>33</v>
      </c>
      <c r="M62" s="30" t="s">
        <v>54</v>
      </c>
      <c r="N62" s="30" t="s">
        <v>54</v>
      </c>
      <c r="O62" s="7"/>
      <c r="P62" s="7"/>
      <c r="Q62" s="7"/>
      <c r="R62" s="7"/>
      <c r="S62" s="7"/>
      <c r="T62" s="7"/>
      <c r="U62" s="7"/>
      <c r="V62" s="7"/>
      <c r="W62" s="7"/>
      <c r="X62" s="7"/>
    </row>
    <row r="63" ht="42.75" spans="1:24">
      <c r="A63" s="11" t="s">
        <v>38</v>
      </c>
      <c r="B63" s="11" t="s">
        <v>1</v>
      </c>
      <c r="C63" s="11" t="s">
        <v>39</v>
      </c>
      <c r="D63" s="11" t="s">
        <v>40</v>
      </c>
      <c r="E63" s="11" t="s">
        <v>41</v>
      </c>
      <c r="F63" s="11" t="s">
        <v>42</v>
      </c>
      <c r="G63" s="11" t="s">
        <v>43</v>
      </c>
      <c r="H63" s="11" t="s">
        <v>44</v>
      </c>
      <c r="I63" s="11" t="s">
        <v>45</v>
      </c>
      <c r="J63" s="11" t="s">
        <v>46</v>
      </c>
      <c r="K63" s="2"/>
      <c r="L63" s="11" t="s">
        <v>1</v>
      </c>
      <c r="M63" s="11" t="s">
        <v>39</v>
      </c>
      <c r="N63" s="11" t="s">
        <v>60</v>
      </c>
      <c r="O63" s="11" t="s">
        <v>61</v>
      </c>
      <c r="P63" s="11" t="s">
        <v>62</v>
      </c>
      <c r="Q63" s="11" t="s">
        <v>43</v>
      </c>
      <c r="R63" s="11" t="s">
        <v>44</v>
      </c>
      <c r="S63" s="11" t="s">
        <v>63</v>
      </c>
      <c r="T63" s="11" t="s">
        <v>46</v>
      </c>
      <c r="U63" s="7"/>
      <c r="V63" s="7"/>
      <c r="W63" s="7"/>
      <c r="X63" s="7"/>
    </row>
    <row r="64" ht="15" spans="1:24">
      <c r="A64" s="11"/>
      <c r="B64" s="13">
        <f>B5</f>
        <v>46287</v>
      </c>
      <c r="C64" s="14">
        <f>C55</f>
        <v>10000000</v>
      </c>
      <c r="D64" s="15">
        <f>F64-E64+1</f>
        <v>434</v>
      </c>
      <c r="E64" s="13">
        <f>E55</f>
        <v>46287</v>
      </c>
      <c r="F64" s="16">
        <f>F55</f>
        <v>46720</v>
      </c>
      <c r="G64" s="15">
        <f>G5</f>
        <v>80</v>
      </c>
      <c r="H64" s="17">
        <f>H5</f>
        <v>0.015</v>
      </c>
      <c r="I64" s="27">
        <f>C64*H64*D64/365</f>
        <v>178356.164383562</v>
      </c>
      <c r="J64" s="14">
        <f>I64</f>
        <v>178356.164383562</v>
      </c>
      <c r="K64" s="2"/>
      <c r="L64" s="13">
        <f t="shared" ref="L64:R64" si="12">B64</f>
        <v>46287</v>
      </c>
      <c r="M64" s="14">
        <f t="shared" si="12"/>
        <v>10000000</v>
      </c>
      <c r="N64" s="15">
        <f>P64-O64+1</f>
        <v>434</v>
      </c>
      <c r="O64" s="13">
        <f t="shared" si="12"/>
        <v>46287</v>
      </c>
      <c r="P64" s="16">
        <f t="shared" si="12"/>
        <v>46720</v>
      </c>
      <c r="Q64" s="15">
        <f t="shared" si="12"/>
        <v>80</v>
      </c>
      <c r="R64" s="17">
        <f t="shared" si="12"/>
        <v>0.015</v>
      </c>
      <c r="S64" s="19">
        <f>M64*N64*R64/365</f>
        <v>178356.164383562</v>
      </c>
      <c r="T64" s="14">
        <v>0</v>
      </c>
      <c r="U64" s="7"/>
      <c r="V64" s="7"/>
      <c r="W64" s="7"/>
      <c r="X64" s="7"/>
    </row>
    <row r="65" ht="42.75" spans="1:24">
      <c r="A65" s="11" t="s">
        <v>47</v>
      </c>
      <c r="B65" s="11" t="s">
        <v>48</v>
      </c>
      <c r="C65" s="11" t="s">
        <v>49</v>
      </c>
      <c r="D65" s="11" t="s">
        <v>40</v>
      </c>
      <c r="E65" s="11" t="s">
        <v>50</v>
      </c>
      <c r="F65" s="11" t="s">
        <v>51</v>
      </c>
      <c r="G65" s="11"/>
      <c r="H65" s="11" t="s">
        <v>52</v>
      </c>
      <c r="I65" s="11" t="s">
        <v>53</v>
      </c>
      <c r="J65" s="28" t="s">
        <v>46</v>
      </c>
      <c r="K65" s="2"/>
      <c r="L65" s="11" t="s">
        <v>48</v>
      </c>
      <c r="M65" s="11" t="s">
        <v>49</v>
      </c>
      <c r="N65" s="11" t="s">
        <v>60</v>
      </c>
      <c r="O65" s="11" t="s">
        <v>50</v>
      </c>
      <c r="P65" s="11" t="s">
        <v>64</v>
      </c>
      <c r="Q65" s="11"/>
      <c r="R65" s="11" t="s">
        <v>52</v>
      </c>
      <c r="S65" s="11" t="s">
        <v>53</v>
      </c>
      <c r="T65" s="11" t="s">
        <v>46</v>
      </c>
      <c r="U65" s="11" t="s">
        <v>65</v>
      </c>
      <c r="V65" s="11" t="s">
        <v>66</v>
      </c>
      <c r="W65" s="11" t="s">
        <v>67</v>
      </c>
      <c r="X65" s="11" t="s">
        <v>68</v>
      </c>
    </row>
    <row r="66" ht="15" spans="1:24">
      <c r="A66" s="11"/>
      <c r="B66" s="13">
        <f>B7</f>
        <v>46584</v>
      </c>
      <c r="C66" s="14">
        <v>900000</v>
      </c>
      <c r="D66" s="20">
        <f>F66-E64+1</f>
        <v>164</v>
      </c>
      <c r="E66" s="16">
        <v>46204</v>
      </c>
      <c r="F66" s="21">
        <v>46450</v>
      </c>
      <c r="G66" s="15">
        <f>G5</f>
        <v>80</v>
      </c>
      <c r="H66" s="17">
        <f>H5</f>
        <v>0.015</v>
      </c>
      <c r="I66" s="18">
        <f>C66*H66*D66/365</f>
        <v>6065.75342465753</v>
      </c>
      <c r="J66" s="31">
        <f>I66</f>
        <v>6065.75342465753</v>
      </c>
      <c r="K66" s="2"/>
      <c r="L66" s="13">
        <f t="shared" ref="L66:R66" si="13">B66</f>
        <v>46584</v>
      </c>
      <c r="M66" s="14">
        <f t="shared" si="13"/>
        <v>900000</v>
      </c>
      <c r="N66" s="20">
        <f>P66-O64+1</f>
        <v>164</v>
      </c>
      <c r="O66" s="16">
        <f t="shared" si="13"/>
        <v>46204</v>
      </c>
      <c r="P66" s="21">
        <f t="shared" si="13"/>
        <v>46450</v>
      </c>
      <c r="Q66" s="15">
        <f t="shared" si="13"/>
        <v>80</v>
      </c>
      <c r="R66" s="17">
        <f t="shared" si="13"/>
        <v>0.015</v>
      </c>
      <c r="S66" s="19">
        <f>W66+X66</f>
        <v>117135.616438356</v>
      </c>
      <c r="T66" s="22">
        <f>S66</f>
        <v>117135.616438356</v>
      </c>
      <c r="U66" s="15">
        <f>L66-O64</f>
        <v>297</v>
      </c>
      <c r="V66" s="15">
        <f>N66-U66</f>
        <v>-133</v>
      </c>
      <c r="W66" s="23">
        <f>M64*R66*U66/365</f>
        <v>122054.794520548</v>
      </c>
      <c r="X66" s="23">
        <f>M66*R66*V66/365</f>
        <v>-4919.17808219178</v>
      </c>
    </row>
    <row r="67" spans="1:24">
      <c r="A67" s="3"/>
      <c r="B67" s="3"/>
      <c r="C67" s="3"/>
      <c r="D67" s="3"/>
      <c r="E67" s="3"/>
      <c r="F67" s="3"/>
      <c r="G67" s="3"/>
      <c r="H67" s="3"/>
      <c r="I67" s="3"/>
      <c r="J67" s="3"/>
      <c r="K67" s="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>
      <c r="A68" s="3"/>
      <c r="B68" s="3"/>
      <c r="C68" s="3"/>
      <c r="D68" s="3"/>
      <c r="E68" s="3"/>
      <c r="F68" s="3"/>
      <c r="G68" s="3"/>
      <c r="H68" s="3"/>
      <c r="I68" s="3"/>
      <c r="J68" s="3"/>
      <c r="K68" s="2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>
      <c r="A69" s="3"/>
      <c r="B69" s="3"/>
      <c r="C69" s="3"/>
      <c r="D69" s="3"/>
      <c r="E69" s="3"/>
      <c r="F69" s="3"/>
      <c r="G69" s="3"/>
      <c r="H69" s="3"/>
      <c r="I69" s="3"/>
      <c r="J69" s="3"/>
      <c r="K69" s="2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" spans="1:24">
      <c r="A70" s="4"/>
      <c r="B70" s="5"/>
      <c r="C70" s="6" t="s">
        <v>31</v>
      </c>
      <c r="D70" s="6" t="s">
        <v>58</v>
      </c>
      <c r="E70" s="4"/>
      <c r="F70" s="4"/>
      <c r="G70" s="4"/>
      <c r="H70" s="4"/>
      <c r="I70" s="4"/>
      <c r="J70" s="4"/>
      <c r="K70" s="2"/>
      <c r="L70" s="5"/>
      <c r="M70" s="6" t="s">
        <v>31</v>
      </c>
      <c r="N70" s="6" t="s">
        <v>58</v>
      </c>
      <c r="O70" s="7"/>
      <c r="P70" s="7"/>
      <c r="Q70" s="7"/>
      <c r="R70" s="7"/>
      <c r="S70" s="7"/>
      <c r="T70" s="7"/>
      <c r="U70" s="7"/>
      <c r="V70" s="7"/>
      <c r="W70" s="7"/>
      <c r="X70" s="7"/>
    </row>
    <row r="71" ht="15" spans="1:24">
      <c r="A71" s="25">
        <v>8</v>
      </c>
      <c r="B71" s="26"/>
      <c r="C71" s="30" t="s">
        <v>54</v>
      </c>
      <c r="D71" s="30" t="s">
        <v>34</v>
      </c>
      <c r="E71" s="4"/>
      <c r="F71" s="4"/>
      <c r="G71" s="4"/>
      <c r="H71" s="4"/>
      <c r="I71" s="4"/>
      <c r="J71" s="4"/>
      <c r="K71" s="2"/>
      <c r="L71" s="9" t="s">
        <v>33</v>
      </c>
      <c r="M71" s="30" t="s">
        <v>54</v>
      </c>
      <c r="N71" s="30" t="s">
        <v>34</v>
      </c>
      <c r="O71" s="7"/>
      <c r="P71" s="7"/>
      <c r="Q71" s="7"/>
      <c r="R71" s="7"/>
      <c r="S71" s="7"/>
      <c r="T71" s="7"/>
      <c r="U71" s="7"/>
      <c r="V71" s="7"/>
      <c r="W71" s="7"/>
      <c r="X71" s="7"/>
    </row>
    <row r="72" ht="42.75" spans="1:24">
      <c r="A72" s="11" t="s">
        <v>38</v>
      </c>
      <c r="B72" s="11" t="s">
        <v>1</v>
      </c>
      <c r="C72" s="11" t="s">
        <v>39</v>
      </c>
      <c r="D72" s="11" t="s">
        <v>40</v>
      </c>
      <c r="E72" s="11" t="s">
        <v>41</v>
      </c>
      <c r="F72" s="11" t="s">
        <v>42</v>
      </c>
      <c r="G72" s="11" t="s">
        <v>43</v>
      </c>
      <c r="H72" s="11" t="s">
        <v>44</v>
      </c>
      <c r="I72" s="11" t="s">
        <v>45</v>
      </c>
      <c r="J72" s="11" t="s">
        <v>46</v>
      </c>
      <c r="K72" s="2"/>
      <c r="L72" s="11" t="s">
        <v>1</v>
      </c>
      <c r="M72" s="11" t="s">
        <v>39</v>
      </c>
      <c r="N72" s="11" t="s">
        <v>60</v>
      </c>
      <c r="O72" s="11" t="s">
        <v>61</v>
      </c>
      <c r="P72" s="11" t="s">
        <v>62</v>
      </c>
      <c r="Q72" s="11" t="s">
        <v>43</v>
      </c>
      <c r="R72" s="11" t="s">
        <v>44</v>
      </c>
      <c r="S72" s="11" t="s">
        <v>63</v>
      </c>
      <c r="T72" s="11" t="s">
        <v>46</v>
      </c>
      <c r="U72" s="7"/>
      <c r="V72" s="7"/>
      <c r="W72" s="7"/>
      <c r="X72" s="7"/>
    </row>
    <row r="73" ht="15" spans="1:24">
      <c r="A73" s="11"/>
      <c r="B73" s="13">
        <f>B5</f>
        <v>46287</v>
      </c>
      <c r="C73" s="14">
        <f>C64</f>
        <v>10000000</v>
      </c>
      <c r="D73" s="15">
        <f>F73-E73+1</f>
        <v>434</v>
      </c>
      <c r="E73" s="13">
        <f>E64</f>
        <v>46287</v>
      </c>
      <c r="F73" s="16">
        <f>F64</f>
        <v>46720</v>
      </c>
      <c r="G73" s="15">
        <f>G5</f>
        <v>80</v>
      </c>
      <c r="H73" s="17">
        <f>H5</f>
        <v>0.015</v>
      </c>
      <c r="I73" s="27">
        <f>C73*H73*D73/365</f>
        <v>178356.164383562</v>
      </c>
      <c r="J73" s="14">
        <f>I73</f>
        <v>178356.164383562</v>
      </c>
      <c r="K73" s="2"/>
      <c r="L73" s="13">
        <f t="shared" ref="L73:R73" si="14">B73</f>
        <v>46287</v>
      </c>
      <c r="M73" s="14">
        <f t="shared" si="14"/>
        <v>10000000</v>
      </c>
      <c r="N73" s="15">
        <f>P73-O73+1</f>
        <v>434</v>
      </c>
      <c r="O73" s="13">
        <f t="shared" si="14"/>
        <v>46287</v>
      </c>
      <c r="P73" s="16">
        <f t="shared" si="14"/>
        <v>46720</v>
      </c>
      <c r="Q73" s="15">
        <f t="shared" si="14"/>
        <v>80</v>
      </c>
      <c r="R73" s="17">
        <f t="shared" si="14"/>
        <v>0.015</v>
      </c>
      <c r="S73" s="19">
        <f>M73*N73*R73/365</f>
        <v>178356.164383562</v>
      </c>
      <c r="T73" s="14">
        <v>0</v>
      </c>
      <c r="U73" s="7"/>
      <c r="V73" s="7"/>
      <c r="W73" s="7"/>
      <c r="X73" s="7"/>
    </row>
    <row r="74" ht="42.75" spans="1:24">
      <c r="A74" s="11" t="s">
        <v>47</v>
      </c>
      <c r="B74" s="11" t="s">
        <v>48</v>
      </c>
      <c r="C74" s="11" t="s">
        <v>49</v>
      </c>
      <c r="D74" s="11" t="s">
        <v>40</v>
      </c>
      <c r="E74" s="11" t="s">
        <v>50</v>
      </c>
      <c r="F74" s="11" t="s">
        <v>51</v>
      </c>
      <c r="G74" s="11"/>
      <c r="H74" s="11" t="s">
        <v>52</v>
      </c>
      <c r="I74" s="11" t="s">
        <v>53</v>
      </c>
      <c r="J74" s="28" t="s">
        <v>46</v>
      </c>
      <c r="K74" s="2"/>
      <c r="L74" s="11" t="s">
        <v>48</v>
      </c>
      <c r="M74" s="11" t="s">
        <v>49</v>
      </c>
      <c r="N74" s="11" t="s">
        <v>60</v>
      </c>
      <c r="O74" s="11" t="s">
        <v>50</v>
      </c>
      <c r="P74" s="11" t="s">
        <v>64</v>
      </c>
      <c r="Q74" s="11"/>
      <c r="R74" s="11" t="s">
        <v>52</v>
      </c>
      <c r="S74" s="11" t="s">
        <v>53</v>
      </c>
      <c r="T74" s="11" t="s">
        <v>46</v>
      </c>
      <c r="U74" s="11" t="s">
        <v>65</v>
      </c>
      <c r="V74" s="11" t="s">
        <v>66</v>
      </c>
      <c r="W74" s="11" t="s">
        <v>67</v>
      </c>
      <c r="X74" s="11" t="s">
        <v>68</v>
      </c>
    </row>
    <row r="75" ht="15" spans="1:24">
      <c r="A75" s="11"/>
      <c r="B75" s="13">
        <f>B7</f>
        <v>46584</v>
      </c>
      <c r="C75" s="14">
        <v>900000</v>
      </c>
      <c r="D75" s="20">
        <f>F75-E73+1</f>
        <v>434</v>
      </c>
      <c r="E75" s="16">
        <v>46204</v>
      </c>
      <c r="F75" s="21">
        <f>F73</f>
        <v>46720</v>
      </c>
      <c r="G75" s="15">
        <f>G5</f>
        <v>80</v>
      </c>
      <c r="H75" s="17">
        <f>H5</f>
        <v>0.015</v>
      </c>
      <c r="I75" s="18">
        <f>C75*H75*D75/365</f>
        <v>16052.0547945205</v>
      </c>
      <c r="J75" s="31">
        <f>I75</f>
        <v>16052.0547945205</v>
      </c>
      <c r="K75" s="2"/>
      <c r="L75" s="13">
        <f t="shared" ref="L75:R75" si="15">B75</f>
        <v>46584</v>
      </c>
      <c r="M75" s="14">
        <f t="shared" si="15"/>
        <v>900000</v>
      </c>
      <c r="N75" s="20">
        <f>P75-O73+1</f>
        <v>434</v>
      </c>
      <c r="O75" s="16">
        <f t="shared" si="15"/>
        <v>46204</v>
      </c>
      <c r="P75" s="21">
        <f t="shared" si="15"/>
        <v>46720</v>
      </c>
      <c r="Q75" s="15">
        <f t="shared" si="15"/>
        <v>80</v>
      </c>
      <c r="R75" s="17">
        <f t="shared" si="15"/>
        <v>0.015</v>
      </c>
      <c r="S75" s="19">
        <f>W75+X75</f>
        <v>127121.917808219</v>
      </c>
      <c r="T75" s="22">
        <f>S75</f>
        <v>127121.917808219</v>
      </c>
      <c r="U75" s="15">
        <f>L75-O73</f>
        <v>297</v>
      </c>
      <c r="V75" s="15">
        <f>N75-U75</f>
        <v>137</v>
      </c>
      <c r="W75" s="23">
        <f>M73*R75*U75/365</f>
        <v>122054.794520548</v>
      </c>
      <c r="X75" s="23">
        <f>M75*R75*V75/365</f>
        <v>5067.12328767123</v>
      </c>
    </row>
    <row r="76" spans="1:24">
      <c r="A76" s="3"/>
      <c r="B76" s="3"/>
      <c r="C76" s="3"/>
      <c r="D76" s="3"/>
      <c r="E76" s="3"/>
      <c r="F76" s="3"/>
      <c r="G76" s="3"/>
      <c r="H76" s="3"/>
      <c r="I76" s="3"/>
      <c r="J76" s="3"/>
      <c r="K76" s="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>
      <c r="A77" s="3"/>
      <c r="B77" s="3"/>
      <c r="C77" s="3"/>
      <c r="D77" s="3"/>
      <c r="E77" s="3"/>
      <c r="F77" s="3"/>
      <c r="G77" s="3"/>
      <c r="H77" s="3"/>
      <c r="I77" s="3"/>
      <c r="J77" s="3"/>
      <c r="K77" s="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>
      <c r="A78" s="3"/>
      <c r="B78" s="3"/>
      <c r="C78" s="3"/>
      <c r="D78" s="3"/>
      <c r="E78" s="3"/>
      <c r="F78" s="3"/>
      <c r="G78" s="3"/>
      <c r="H78" s="3"/>
      <c r="I78" s="3"/>
      <c r="J78" s="3"/>
      <c r="K78" s="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>
      <c r="A79" s="3"/>
      <c r="B79" s="3"/>
      <c r="C79" s="3"/>
      <c r="D79" s="3"/>
      <c r="E79" s="3"/>
      <c r="F79" s="3"/>
      <c r="G79" s="3"/>
      <c r="H79" s="3"/>
      <c r="I79" s="3"/>
      <c r="J79" s="3"/>
      <c r="K79" s="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>
      <c r="A80" s="33"/>
      <c r="B80" s="33"/>
      <c r="C80" s="33"/>
      <c r="D80" s="33"/>
      <c r="E80" s="3"/>
      <c r="F80" s="3"/>
      <c r="G80" s="3"/>
      <c r="H80" s="3"/>
      <c r="I80" s="3"/>
      <c r="J80" s="3"/>
      <c r="K80" s="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" spans="1:24">
      <c r="A81" s="7"/>
      <c r="B81" s="5"/>
      <c r="C81" s="6" t="s">
        <v>31</v>
      </c>
      <c r="D81" s="6" t="s">
        <v>82</v>
      </c>
      <c r="E81" s="7"/>
      <c r="F81" s="7"/>
      <c r="G81" s="7"/>
      <c r="H81" s="7"/>
      <c r="I81" s="7"/>
      <c r="J81" s="7"/>
      <c r="K81" s="34"/>
      <c r="L81" s="5"/>
      <c r="M81" s="6" t="s">
        <v>31</v>
      </c>
      <c r="N81" s="6" t="s">
        <v>58</v>
      </c>
      <c r="O81" s="7"/>
      <c r="P81" s="7"/>
      <c r="Q81" s="7"/>
      <c r="R81" s="7"/>
      <c r="S81" s="7"/>
      <c r="T81" s="7"/>
      <c r="U81" s="7"/>
      <c r="V81" s="7"/>
      <c r="W81" s="7"/>
      <c r="X81" s="7"/>
    </row>
    <row r="82" ht="15" spans="1:24">
      <c r="A82" s="35"/>
      <c r="B82" s="36"/>
      <c r="C82" s="35" t="s">
        <v>54</v>
      </c>
      <c r="D82" s="35" t="s">
        <v>35</v>
      </c>
      <c r="E82" s="37"/>
      <c r="F82" s="37"/>
      <c r="G82" s="37"/>
      <c r="H82" s="37"/>
      <c r="I82" s="37"/>
      <c r="J82" s="37"/>
      <c r="K82" s="38"/>
      <c r="L82" s="36"/>
      <c r="M82" s="35" t="s">
        <v>54</v>
      </c>
      <c r="N82" s="35" t="s">
        <v>35</v>
      </c>
      <c r="O82" s="37"/>
      <c r="P82" s="37"/>
      <c r="Q82" s="37"/>
      <c r="R82" s="37"/>
      <c r="S82" s="37"/>
      <c r="T82" s="37"/>
      <c r="U82" s="37"/>
      <c r="V82" s="37"/>
      <c r="W82" s="37"/>
      <c r="X82" s="37"/>
    </row>
    <row r="83" ht="57" spans="1:24">
      <c r="A83" s="39" t="s">
        <v>38</v>
      </c>
      <c r="B83" s="39" t="s">
        <v>1</v>
      </c>
      <c r="C83" s="39" t="s">
        <v>39</v>
      </c>
      <c r="D83" s="39" t="s">
        <v>60</v>
      </c>
      <c r="E83" s="39" t="s">
        <v>61</v>
      </c>
      <c r="F83" s="39" t="s">
        <v>85</v>
      </c>
      <c r="G83" s="39" t="s">
        <v>43</v>
      </c>
      <c r="H83" s="39" t="s">
        <v>44</v>
      </c>
      <c r="I83" s="39" t="s">
        <v>69</v>
      </c>
      <c r="J83" s="39" t="s">
        <v>46</v>
      </c>
      <c r="K83" s="38"/>
      <c r="L83" s="39" t="s">
        <v>1</v>
      </c>
      <c r="M83" s="39" t="s">
        <v>39</v>
      </c>
      <c r="N83" s="39" t="s">
        <v>60</v>
      </c>
      <c r="O83" s="39" t="s">
        <v>61</v>
      </c>
      <c r="P83" s="39" t="s">
        <v>62</v>
      </c>
      <c r="Q83" s="39" t="s">
        <v>43</v>
      </c>
      <c r="R83" s="39" t="s">
        <v>44</v>
      </c>
      <c r="S83" s="39" t="s">
        <v>69</v>
      </c>
      <c r="T83" s="39" t="s">
        <v>46</v>
      </c>
      <c r="U83" s="40"/>
      <c r="V83" s="40"/>
      <c r="W83" s="40"/>
      <c r="X83" s="40"/>
    </row>
    <row r="84" ht="15" spans="1:24">
      <c r="A84" s="39"/>
      <c r="B84" s="41">
        <v>46288</v>
      </c>
      <c r="C84" s="42">
        <v>10000000</v>
      </c>
      <c r="D84" s="36">
        <f>F84-E84+1</f>
        <v>372</v>
      </c>
      <c r="E84" s="41">
        <f>B84</f>
        <v>46288</v>
      </c>
      <c r="F84" s="43">
        <v>46659</v>
      </c>
      <c r="G84" s="36">
        <v>70</v>
      </c>
      <c r="H84" s="44">
        <f>IF(G84&lt;60,0%,IF(G84&lt;=64,2.5%,IF(G84&lt;=69,2.25%,IF(G84&lt;=74,2%,IF(G84&lt;=79,1.75%,IF(G84&lt;=84,1.5%,IF(G84&lt;=89,1.25%,IF(G84&lt;=94,1%,IF(G84&lt;=97,0.75%,IF(G84&lt;=100,0.5%,""))))))))))</f>
        <v>0.02</v>
      </c>
      <c r="I84" s="45">
        <f t="shared" ref="I84:I88" si="16">C84*D84*H84/365</f>
        <v>203835.616438356</v>
      </c>
      <c r="J84" s="45">
        <f t="shared" ref="J84:J88" si="17">I84</f>
        <v>203835.616438356</v>
      </c>
      <c r="K84" s="38"/>
      <c r="L84" s="41">
        <f t="shared" ref="L84:R84" si="18">B84</f>
        <v>46288</v>
      </c>
      <c r="M84" s="42">
        <f t="shared" si="18"/>
        <v>10000000</v>
      </c>
      <c r="N84" s="36">
        <f>P84-O84+1</f>
        <v>372</v>
      </c>
      <c r="O84" s="41">
        <f t="shared" si="18"/>
        <v>46288</v>
      </c>
      <c r="P84" s="43">
        <f t="shared" si="18"/>
        <v>46659</v>
      </c>
      <c r="Q84" s="36">
        <f t="shared" si="18"/>
        <v>70</v>
      </c>
      <c r="R84" s="44">
        <f t="shared" si="18"/>
        <v>0.02</v>
      </c>
      <c r="S84" s="45">
        <f>M84*N84*R84/365</f>
        <v>203835.616438356</v>
      </c>
      <c r="T84" s="42">
        <v>0</v>
      </c>
      <c r="U84" s="40"/>
      <c r="V84" s="40"/>
      <c r="W84" s="40"/>
      <c r="X84" s="40"/>
    </row>
    <row r="85" ht="42.75" spans="1:24">
      <c r="A85" s="39" t="s">
        <v>47</v>
      </c>
      <c r="B85" s="39" t="s">
        <v>48</v>
      </c>
      <c r="C85" s="39" t="s">
        <v>49</v>
      </c>
      <c r="D85" s="39" t="s">
        <v>60</v>
      </c>
      <c r="E85" s="11" t="s">
        <v>50</v>
      </c>
      <c r="F85" s="39" t="s">
        <v>64</v>
      </c>
      <c r="G85" s="39"/>
      <c r="H85" s="39" t="s">
        <v>52</v>
      </c>
      <c r="I85" s="39" t="s">
        <v>53</v>
      </c>
      <c r="J85" s="39" t="s">
        <v>46</v>
      </c>
      <c r="K85" s="38"/>
      <c r="L85" s="39" t="s">
        <v>48</v>
      </c>
      <c r="M85" s="39" t="s">
        <v>49</v>
      </c>
      <c r="N85" s="39" t="s">
        <v>60</v>
      </c>
      <c r="O85" s="11" t="s">
        <v>50</v>
      </c>
      <c r="P85" s="39" t="s">
        <v>64</v>
      </c>
      <c r="Q85" s="39"/>
      <c r="R85" s="39" t="s">
        <v>52</v>
      </c>
      <c r="S85" s="39" t="s">
        <v>77</v>
      </c>
      <c r="T85" s="39" t="s">
        <v>46</v>
      </c>
      <c r="U85" s="39" t="s">
        <v>65</v>
      </c>
      <c r="V85" s="39" t="s">
        <v>66</v>
      </c>
      <c r="W85" s="39" t="s">
        <v>67</v>
      </c>
      <c r="X85" s="39" t="s">
        <v>68</v>
      </c>
    </row>
    <row r="86" ht="15" spans="1:24">
      <c r="A86" s="39"/>
      <c r="B86" s="41">
        <v>46386</v>
      </c>
      <c r="C86" s="42">
        <f>C84</f>
        <v>10000000</v>
      </c>
      <c r="D86" s="46">
        <f>F86-E84+1</f>
        <v>377</v>
      </c>
      <c r="E86" s="16">
        <v>46204</v>
      </c>
      <c r="F86" s="43">
        <v>46664</v>
      </c>
      <c r="G86" s="36">
        <f>G84</f>
        <v>70</v>
      </c>
      <c r="H86" s="44">
        <f t="shared" ref="H86:H90" si="19">H84</f>
        <v>0.02</v>
      </c>
      <c r="I86" s="45">
        <f t="shared" si="16"/>
        <v>206575.342465753</v>
      </c>
      <c r="J86" s="47">
        <f t="shared" si="17"/>
        <v>206575.342465753</v>
      </c>
      <c r="K86" s="38"/>
      <c r="L86" s="41">
        <f t="shared" ref="L86:R86" si="20">B86</f>
        <v>46386</v>
      </c>
      <c r="M86" s="42">
        <f>M84</f>
        <v>10000000</v>
      </c>
      <c r="N86" s="46">
        <f>P86-O84+1</f>
        <v>377</v>
      </c>
      <c r="O86" s="48">
        <f t="shared" si="20"/>
        <v>46204</v>
      </c>
      <c r="P86" s="43">
        <f t="shared" si="20"/>
        <v>46664</v>
      </c>
      <c r="Q86" s="36">
        <f t="shared" si="20"/>
        <v>70</v>
      </c>
      <c r="R86" s="44">
        <f t="shared" si="20"/>
        <v>0.02</v>
      </c>
      <c r="S86" s="49">
        <f t="shared" ref="S86:S90" si="21">W86+X86</f>
        <v>206575.342465753</v>
      </c>
      <c r="T86" s="50">
        <f>S86</f>
        <v>206575.342465753</v>
      </c>
      <c r="U86" s="51">
        <f>L86-O84</f>
        <v>98</v>
      </c>
      <c r="V86" s="51">
        <f t="shared" ref="V86:V90" si="22">N86-U86</f>
        <v>279</v>
      </c>
      <c r="W86" s="52">
        <f>M84*R84*U86/365</f>
        <v>53698.6301369863</v>
      </c>
      <c r="X86" s="53">
        <f t="shared" ref="X86:X90" si="23">M86*R86*V86/365</f>
        <v>152876.712328767</v>
      </c>
    </row>
    <row r="87" ht="42.75" spans="1:24">
      <c r="A87" s="39" t="s">
        <v>70</v>
      </c>
      <c r="B87" s="39" t="s">
        <v>48</v>
      </c>
      <c r="C87" s="39" t="s">
        <v>49</v>
      </c>
      <c r="D87" s="39" t="s">
        <v>60</v>
      </c>
      <c r="E87" s="11" t="s">
        <v>50</v>
      </c>
      <c r="F87" s="39" t="s">
        <v>64</v>
      </c>
      <c r="G87" s="39"/>
      <c r="H87" s="39" t="s">
        <v>52</v>
      </c>
      <c r="I87" s="39" t="s">
        <v>53</v>
      </c>
      <c r="J87" s="39" t="s">
        <v>46</v>
      </c>
      <c r="K87" s="38"/>
      <c r="L87" s="39" t="s">
        <v>48</v>
      </c>
      <c r="M87" s="39" t="s">
        <v>49</v>
      </c>
      <c r="N87" s="39" t="s">
        <v>60</v>
      </c>
      <c r="O87" s="11" t="s">
        <v>50</v>
      </c>
      <c r="P87" s="39" t="s">
        <v>64</v>
      </c>
      <c r="Q87" s="39"/>
      <c r="R87" s="39" t="s">
        <v>52</v>
      </c>
      <c r="S87" s="39" t="s">
        <v>78</v>
      </c>
      <c r="T87" s="39" t="s">
        <v>46</v>
      </c>
      <c r="U87" s="39" t="s">
        <v>65</v>
      </c>
      <c r="V87" s="39" t="s">
        <v>66</v>
      </c>
      <c r="W87" s="39" t="s">
        <v>67</v>
      </c>
      <c r="X87" s="39" t="s">
        <v>68</v>
      </c>
    </row>
    <row r="88" ht="15" spans="1:24">
      <c r="A88" s="39"/>
      <c r="B88" s="41">
        <v>46663</v>
      </c>
      <c r="C88" s="42">
        <v>9000000</v>
      </c>
      <c r="D88" s="46">
        <f>F88-E84+1</f>
        <v>377</v>
      </c>
      <c r="E88" s="16">
        <v>46204</v>
      </c>
      <c r="F88" s="43">
        <v>46664</v>
      </c>
      <c r="G88" s="36">
        <f t="shared" ref="G88:G92" si="24">G86</f>
        <v>70</v>
      </c>
      <c r="H88" s="44">
        <f t="shared" si="19"/>
        <v>0.02</v>
      </c>
      <c r="I88" s="54">
        <f t="shared" si="16"/>
        <v>185917.808219178</v>
      </c>
      <c r="J88" s="55">
        <f t="shared" si="17"/>
        <v>185917.808219178</v>
      </c>
      <c r="K88" s="38"/>
      <c r="L88" s="41">
        <f t="shared" ref="L88:R88" si="25">B88</f>
        <v>46663</v>
      </c>
      <c r="M88" s="42">
        <f t="shared" si="25"/>
        <v>9000000</v>
      </c>
      <c r="N88" s="46">
        <f>P88-O84+1</f>
        <v>377</v>
      </c>
      <c r="O88" s="48">
        <f t="shared" si="25"/>
        <v>46204</v>
      </c>
      <c r="P88" s="43">
        <f t="shared" si="25"/>
        <v>46664</v>
      </c>
      <c r="Q88" s="36">
        <f t="shared" si="25"/>
        <v>70</v>
      </c>
      <c r="R88" s="44">
        <f t="shared" si="25"/>
        <v>0.02</v>
      </c>
      <c r="S88" s="49">
        <f t="shared" si="21"/>
        <v>206465.753424658</v>
      </c>
      <c r="T88" s="55">
        <f>S88+W86</f>
        <v>260164.383561644</v>
      </c>
      <c r="U88" s="56">
        <f>L88-O84</f>
        <v>375</v>
      </c>
      <c r="V88" s="56">
        <f t="shared" si="22"/>
        <v>2</v>
      </c>
      <c r="W88" s="53">
        <f>M86*R88*U88/365</f>
        <v>205479.452054795</v>
      </c>
      <c r="X88" s="53">
        <f t="shared" si="23"/>
        <v>986.301369863014</v>
      </c>
    </row>
    <row r="89" ht="42.75" spans="1:24">
      <c r="A89" s="39" t="s">
        <v>71</v>
      </c>
      <c r="B89" s="39" t="s">
        <v>48</v>
      </c>
      <c r="C89" s="39" t="s">
        <v>49</v>
      </c>
      <c r="D89" s="39" t="s">
        <v>60</v>
      </c>
      <c r="E89" s="11" t="s">
        <v>50</v>
      </c>
      <c r="F89" s="39" t="s">
        <v>64</v>
      </c>
      <c r="G89" s="39"/>
      <c r="H89" s="39" t="s">
        <v>52</v>
      </c>
      <c r="I89" s="39" t="s">
        <v>53</v>
      </c>
      <c r="J89" s="39" t="s">
        <v>46</v>
      </c>
      <c r="K89" s="38"/>
      <c r="L89" s="39" t="s">
        <v>48</v>
      </c>
      <c r="M89" s="39" t="s">
        <v>49</v>
      </c>
      <c r="N89" s="39" t="s">
        <v>60</v>
      </c>
      <c r="O89" s="11" t="s">
        <v>50</v>
      </c>
      <c r="P89" s="39" t="s">
        <v>64</v>
      </c>
      <c r="Q89" s="39"/>
      <c r="R89" s="39" t="s">
        <v>52</v>
      </c>
      <c r="S89" s="39" t="s">
        <v>79</v>
      </c>
      <c r="T89" s="39" t="s">
        <v>46</v>
      </c>
      <c r="U89" s="39" t="s">
        <v>65</v>
      </c>
      <c r="V89" s="39" t="s">
        <v>66</v>
      </c>
      <c r="W89" s="39" t="s">
        <v>67</v>
      </c>
      <c r="X89" s="39" t="s">
        <v>68</v>
      </c>
    </row>
    <row r="90" ht="15" spans="1:24">
      <c r="A90" s="39"/>
      <c r="B90" s="41">
        <v>46690</v>
      </c>
      <c r="C90" s="42">
        <v>5000000</v>
      </c>
      <c r="D90" s="36">
        <f>F90-E84+1</f>
        <v>434</v>
      </c>
      <c r="E90" s="16">
        <v>46204</v>
      </c>
      <c r="F90" s="43">
        <v>46721</v>
      </c>
      <c r="G90" s="36">
        <f t="shared" si="24"/>
        <v>70</v>
      </c>
      <c r="H90" s="44">
        <f t="shared" si="19"/>
        <v>0.02</v>
      </c>
      <c r="I90" s="57">
        <f>C90*D90*H90/365</f>
        <v>118904.109589041</v>
      </c>
      <c r="J90" s="47">
        <f>I90</f>
        <v>118904.109589041</v>
      </c>
      <c r="K90" s="38"/>
      <c r="L90" s="41">
        <f>B90</f>
        <v>46690</v>
      </c>
      <c r="M90" s="42">
        <f t="shared" ref="L90:R90" si="26">C90</f>
        <v>5000000</v>
      </c>
      <c r="N90" s="36">
        <f>P90-O84+1</f>
        <v>434</v>
      </c>
      <c r="O90" s="48">
        <f t="shared" si="26"/>
        <v>46204</v>
      </c>
      <c r="P90" s="43">
        <f t="shared" si="26"/>
        <v>46721</v>
      </c>
      <c r="Q90" s="36">
        <f t="shared" si="26"/>
        <v>70</v>
      </c>
      <c r="R90" s="44">
        <f t="shared" si="26"/>
        <v>0.02</v>
      </c>
      <c r="S90" s="58">
        <f t="shared" si="21"/>
        <v>207013.698630137</v>
      </c>
      <c r="T90" s="50">
        <f>S90+W88+W86</f>
        <v>466191.780821918</v>
      </c>
      <c r="U90" s="51">
        <f>L90-O84</f>
        <v>402</v>
      </c>
      <c r="V90" s="51">
        <f t="shared" si="22"/>
        <v>32</v>
      </c>
      <c r="W90" s="58">
        <f>M88*U90*R90/365</f>
        <v>198246.575342466</v>
      </c>
      <c r="X90" s="58">
        <f t="shared" si="23"/>
        <v>8767.12328767123</v>
      </c>
    </row>
    <row r="91" ht="42.75" spans="1:24">
      <c r="A91" s="39" t="s">
        <v>86</v>
      </c>
      <c r="B91" s="39" t="s">
        <v>48</v>
      </c>
      <c r="C91" s="39" t="s">
        <v>49</v>
      </c>
      <c r="D91" s="39" t="s">
        <v>60</v>
      </c>
      <c r="E91" s="11" t="s">
        <v>50</v>
      </c>
      <c r="F91" s="39" t="s">
        <v>64</v>
      </c>
      <c r="G91" s="39"/>
      <c r="H91" s="39" t="s">
        <v>52</v>
      </c>
      <c r="I91" s="39" t="s">
        <v>53</v>
      </c>
      <c r="J91" s="39" t="s">
        <v>46</v>
      </c>
      <c r="K91" s="38"/>
      <c r="L91" s="39" t="s">
        <v>48</v>
      </c>
      <c r="M91" s="39" t="s">
        <v>49</v>
      </c>
      <c r="N91" s="39" t="s">
        <v>60</v>
      </c>
      <c r="O91" s="11" t="s">
        <v>50</v>
      </c>
      <c r="P91" s="39" t="s">
        <v>64</v>
      </c>
      <c r="Q91" s="39"/>
      <c r="R91" s="39" t="s">
        <v>52</v>
      </c>
      <c r="S91" s="39" t="s">
        <v>79</v>
      </c>
      <c r="T91" s="39" t="s">
        <v>46</v>
      </c>
      <c r="U91" s="39" t="s">
        <v>65</v>
      </c>
      <c r="V91" s="39" t="s">
        <v>66</v>
      </c>
      <c r="W91" s="39" t="s">
        <v>67</v>
      </c>
      <c r="X91" s="39" t="s">
        <v>68</v>
      </c>
    </row>
    <row r="92" ht="15" spans="1:24">
      <c r="A92" s="39"/>
      <c r="B92" s="41">
        <v>46691</v>
      </c>
      <c r="C92" s="42">
        <v>4000000</v>
      </c>
      <c r="D92" s="36">
        <f>F92-E84+1</f>
        <v>434</v>
      </c>
      <c r="E92" s="16">
        <v>46204</v>
      </c>
      <c r="F92" s="43">
        <v>46721</v>
      </c>
      <c r="G92" s="36">
        <f t="shared" si="24"/>
        <v>70</v>
      </c>
      <c r="H92" s="44">
        <f>H90</f>
        <v>0.02</v>
      </c>
      <c r="I92" s="57">
        <f>C92*D92*H92/365</f>
        <v>95123.2876712329</v>
      </c>
      <c r="J92" s="47">
        <f>I92</f>
        <v>95123.2876712329</v>
      </c>
      <c r="K92" s="38"/>
      <c r="L92" s="41">
        <f t="shared" ref="L92:R92" si="27">B92</f>
        <v>46691</v>
      </c>
      <c r="M92" s="42">
        <f t="shared" si="27"/>
        <v>4000000</v>
      </c>
      <c r="N92" s="36">
        <f>P92-O84+1</f>
        <v>434</v>
      </c>
      <c r="O92" s="48">
        <f t="shared" si="27"/>
        <v>46204</v>
      </c>
      <c r="P92" s="43">
        <f t="shared" si="27"/>
        <v>46721</v>
      </c>
      <c r="Q92" s="36">
        <f t="shared" si="27"/>
        <v>70</v>
      </c>
      <c r="R92" s="44">
        <f t="shared" si="27"/>
        <v>0.02</v>
      </c>
      <c r="S92" s="58">
        <f>W92+X92</f>
        <v>117205.479452055</v>
      </c>
      <c r="T92" s="50">
        <f>S92+W90+W88+W86</f>
        <v>574630.136986301</v>
      </c>
      <c r="U92" s="51">
        <f>L92-O84</f>
        <v>403</v>
      </c>
      <c r="V92" s="51">
        <f>N92-U92</f>
        <v>31</v>
      </c>
      <c r="W92" s="58">
        <f>M90*U92*R92/365</f>
        <v>110410.95890411</v>
      </c>
      <c r="X92" s="58">
        <f>M92*R92*V92/365</f>
        <v>6794.52054794521</v>
      </c>
    </row>
  </sheetData>
  <mergeCells count="33">
    <mergeCell ref="A1:J1"/>
    <mergeCell ref="L1:U1"/>
    <mergeCell ref="F2:H2"/>
    <mergeCell ref="O2:R2"/>
    <mergeCell ref="O12:R12"/>
    <mergeCell ref="O22:R22"/>
    <mergeCell ref="O33:R33"/>
    <mergeCell ref="O43:R43"/>
    <mergeCell ref="O52:R52"/>
    <mergeCell ref="O61:R61"/>
    <mergeCell ref="O70:R70"/>
    <mergeCell ref="A80:D80"/>
    <mergeCell ref="A4:A5"/>
    <mergeCell ref="A6:A7"/>
    <mergeCell ref="A14:A15"/>
    <mergeCell ref="A16:A17"/>
    <mergeCell ref="A24:A25"/>
    <mergeCell ref="A26:A27"/>
    <mergeCell ref="A35:A36"/>
    <mergeCell ref="A37:A38"/>
    <mergeCell ref="A45:A46"/>
    <mergeCell ref="A47:A48"/>
    <mergeCell ref="A54:A55"/>
    <mergeCell ref="A56:A57"/>
    <mergeCell ref="A63:A64"/>
    <mergeCell ref="A65:A66"/>
    <mergeCell ref="A72:A73"/>
    <mergeCell ref="A74:A75"/>
    <mergeCell ref="A83:A84"/>
    <mergeCell ref="A85:A86"/>
    <mergeCell ref="A87:A88"/>
    <mergeCell ref="A89:A90"/>
    <mergeCell ref="A91:A9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New CG</vt:lpstr>
      <vt:lpstr>Update CG SBLC 6th Aug</vt:lpstr>
      <vt:lpstr>Update CG RP 6th Aug </vt:lpstr>
      <vt:lpstr>Multiple C - SBLC &amp; RP13th Aug </vt:lpstr>
      <vt:lpstr>Test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Subhasree Vasan</dc:creator>
  <cp:lastModifiedBy>QA SOMESH</cp:lastModifiedBy>
  <dcterms:created xsi:type="dcterms:W3CDTF">2026-07-21T05:03:00Z</dcterms:created>
  <dcterms:modified xsi:type="dcterms:W3CDTF">2026-09-23T10:42:38Z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3CC5D2FF865E42F6AFC52BF703582338_12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