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activeTab="2"/>
  </bookViews>
  <sheets>
    <sheet name="Normal portfolio - New CG" sheetId="1" r:id="rId1"/>
    <sheet name="Normal portfolio - Update CG" sheetId="2" r:id="rId2"/>
    <sheet name="SHG - New CG" sheetId="3" r:id="rId3"/>
  </sheets>
  <definedNames>
    <definedName name="_xlnm._FilterDatabase" localSheetId="0" hidden="1">'Normal portfolio - New CG'!$A$2:$T$14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<sst xmlns="http://schemas.openxmlformats.org/spreadsheetml/2006/main" count="205" uniqueCount="61">
  <si>
    <t>New CG - Exsting flow</t>
  </si>
  <si>
    <t>LoanCategory</t>
  </si>
  <si>
    <t>CustomersId</t>
  </si>
  <si>
    <t>LoanAccountNumber</t>
  </si>
  <si>
    <t>SanctionedLoanAmount</t>
  </si>
  <si>
    <t>LoanAmountFirstDisbursement</t>
  </si>
  <si>
    <t>OutstandingLoanAmount</t>
  </si>
  <si>
    <t>TypeOfLoan</t>
  </si>
  <si>
    <t>CGcover</t>
  </si>
  <si>
    <t>CGFees</t>
  </si>
  <si>
    <t>TaxesOnCGCoverFees</t>
  </si>
  <si>
    <t>IGST</t>
  </si>
  <si>
    <t>CGST</t>
  </si>
  <si>
    <t>SGST</t>
  </si>
  <si>
    <t>Dist date</t>
  </si>
  <si>
    <t>FY end</t>
  </si>
  <si>
    <t>Days</t>
  </si>
  <si>
    <t>S</t>
  </si>
  <si>
    <t>CR01Q101</t>
  </si>
  <si>
    <t>Q2CR1501</t>
  </si>
  <si>
    <t>CR01Q1011</t>
  </si>
  <si>
    <t>Q2CR15011</t>
  </si>
  <si>
    <t>CR01Q1012</t>
  </si>
  <si>
    <t>Q2CR15012</t>
  </si>
  <si>
    <t>K</t>
  </si>
  <si>
    <t>CR01Q1013</t>
  </si>
  <si>
    <t>Q2CR15013</t>
  </si>
  <si>
    <t>CR01Q1014</t>
  </si>
  <si>
    <t>Q2CR15014</t>
  </si>
  <si>
    <t>T</t>
  </si>
  <si>
    <t>CR01Q1015</t>
  </si>
  <si>
    <t>Q2CR15015</t>
  </si>
  <si>
    <t>CR01Q1016</t>
  </si>
  <si>
    <t>Q2CR15016</t>
  </si>
  <si>
    <t>CR01Q102</t>
  </si>
  <si>
    <t>Q2CR1504</t>
  </si>
  <si>
    <t>CR01Q103</t>
  </si>
  <si>
    <t>Q2CR1505</t>
  </si>
  <si>
    <t>CR01Q104</t>
  </si>
  <si>
    <t>Q2CR1508</t>
  </si>
  <si>
    <t>CR01Q105</t>
  </si>
  <si>
    <t>Q2CR1515</t>
  </si>
  <si>
    <t>CR01Q106</t>
  </si>
  <si>
    <t>Q2CR1516</t>
  </si>
  <si>
    <t>New CG - Expected</t>
  </si>
  <si>
    <t>New CG fee</t>
  </si>
  <si>
    <t>CGcover
(IF TL  then Dist amt , else sanction amount)</t>
  </si>
  <si>
    <t>CG Fee</t>
  </si>
  <si>
    <t>Exsting changes</t>
  </si>
  <si>
    <t>Loan Type</t>
  </si>
  <si>
    <t>ModifiedSanctionedAmount</t>
  </si>
  <si>
    <t>FY Start</t>
  </si>
  <si>
    <t>propossed changes</t>
  </si>
  <si>
    <t>SHG - New CG - No change</t>
  </si>
  <si>
    <t>SanctionedLoanDate</t>
  </si>
  <si>
    <t>DateOfFirstDisbursement</t>
  </si>
  <si>
    <t>CG fee</t>
  </si>
  <si>
    <t>SHG</t>
  </si>
  <si>
    <t>CR14Q1SHG252604</t>
  </si>
  <si>
    <t>CR14Q1SHG252605</t>
  </si>
  <si>
    <t>CR14Q1SHG252606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</si>
</sst>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10" fillId="11" borderId="6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80" fontId="0" fillId="0" borderId="0" xfId="0" applyNumberFormat="1">
      <alignment vertical="center"/>
    </xf>
    <xf numFmtId="180" fontId="0" fillId="3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80" fontId="0" fillId="3" borderId="1" xfId="0" applyNumberForma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180" fontId="0" fillId="6" borderId="1" xfId="0" applyNumberFormat="1" applyFill="1" applyBorder="1">
      <alignment vertical="center"/>
    </xf>
    <xf numFmtId="0" fontId="0" fillId="7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zoomScaleSheetLayoutView="60" workbookViewId="0">
      <selection activeCell="G5" sqref="G5:G8"/>
    </sheetView>
  </sheetViews>
  <sheetFormatPr defaultColWidth="10.2857142857143" defaultRowHeight="15"/>
  <cols>
    <col min="1" max="1" width="19.8571428571429" customWidth="1"/>
    <col min="2" max="2" width="13" customWidth="1"/>
    <col min="3" max="3" width="21.4285714285714" customWidth="1"/>
    <col min="4" max="4" width="24.2857142857143" customWidth="1"/>
    <col min="5" max="5" width="31.5714285714286" customWidth="1"/>
    <col min="6" max="6" width="25.4285714285714" customWidth="1"/>
    <col min="7" max="7" width="12.4285714285714" customWidth="1"/>
    <col min="8" max="8" width="21.8571428571429" customWidth="1"/>
    <col min="9" max="9" width="8.14285714285714" customWidth="1"/>
    <col min="10" max="10" width="22.1428571428571" customWidth="1"/>
    <col min="11" max="11" width="5.42857142857143" customWidth="1"/>
    <col min="12" max="12" width="6" customWidth="1"/>
    <col min="13" max="13" width="5.85714285714286" customWidth="1"/>
    <col min="15" max="15" width="11.1428571428571"/>
    <col min="17" max="17" width="16.1428571428571" customWidth="1"/>
  </cols>
  <sheetData>
    <row r="1" spans="1:17">
      <c r="A1" s="12" t="s">
        <v>0</v>
      </c>
    </row>
    <row r="2" spans="1:1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13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14" t="s">
        <v>14</v>
      </c>
      <c r="O2" s="14" t="s">
        <v>15</v>
      </c>
      <c r="P2" s="14" t="s">
        <v>16</v>
      </c>
      <c r="Q2" s="14"/>
    </row>
    <row r="3" spans="1:17">
      <c r="A3" s="7" t="s">
        <v>17</v>
      </c>
      <c r="B3" s="7" t="s">
        <v>18</v>
      </c>
      <c r="C3" s="7" t="s">
        <v>19</v>
      </c>
      <c r="D3" s="7">
        <v>100000</v>
      </c>
      <c r="E3" s="7">
        <v>1000</v>
      </c>
      <c r="F3" s="7">
        <v>1000</v>
      </c>
      <c r="G3" s="7">
        <v>2</v>
      </c>
      <c r="H3" s="7">
        <f>D3</f>
        <v>100000</v>
      </c>
      <c r="I3" s="7">
        <v>1000</v>
      </c>
      <c r="J3" s="7">
        <v>180</v>
      </c>
      <c r="K3" s="7">
        <v>180</v>
      </c>
      <c r="L3" s="7">
        <v>0</v>
      </c>
      <c r="M3" s="7">
        <v>0</v>
      </c>
      <c r="N3" s="15">
        <v>48670</v>
      </c>
      <c r="O3" s="15">
        <v>49034</v>
      </c>
      <c r="P3" s="14">
        <f>O3-N3+1</f>
        <v>365</v>
      </c>
      <c r="Q3" s="14">
        <f>1%*H3*P3/365</f>
        <v>1000</v>
      </c>
    </row>
    <row r="4" spans="1:17">
      <c r="A4" s="7" t="s">
        <v>17</v>
      </c>
      <c r="B4" s="7" t="s">
        <v>20</v>
      </c>
      <c r="C4" s="7" t="s">
        <v>21</v>
      </c>
      <c r="D4" s="7">
        <v>100000</v>
      </c>
      <c r="E4" s="7">
        <v>1000</v>
      </c>
      <c r="F4" s="7">
        <v>1000</v>
      </c>
      <c r="G4" s="7">
        <v>1</v>
      </c>
      <c r="H4" s="7">
        <f t="shared" ref="H4:H14" si="0">D4</f>
        <v>100000</v>
      </c>
      <c r="I4" s="7">
        <v>1000</v>
      </c>
      <c r="J4" s="7">
        <v>180</v>
      </c>
      <c r="K4" s="7">
        <v>180</v>
      </c>
      <c r="L4" s="7">
        <v>0</v>
      </c>
      <c r="M4" s="7">
        <v>0</v>
      </c>
      <c r="N4" s="15">
        <v>48670</v>
      </c>
      <c r="O4" s="15">
        <v>49034</v>
      </c>
      <c r="P4" s="14">
        <f t="shared" ref="P4:P14" si="1">O4-N4+1</f>
        <v>365</v>
      </c>
      <c r="Q4" s="14">
        <f t="shared" ref="Q4:Q14" si="2">1%*H4*P4/365</f>
        <v>1000</v>
      </c>
    </row>
    <row r="5" spans="1:17">
      <c r="A5" s="7" t="s">
        <v>17</v>
      </c>
      <c r="B5" s="7" t="s">
        <v>22</v>
      </c>
      <c r="C5" s="7" t="s">
        <v>23</v>
      </c>
      <c r="D5" s="7">
        <v>100000</v>
      </c>
      <c r="E5" s="7">
        <v>1000</v>
      </c>
      <c r="F5" s="7">
        <v>1000</v>
      </c>
      <c r="G5" s="7">
        <v>2</v>
      </c>
      <c r="H5" s="7">
        <f t="shared" si="0"/>
        <v>100000</v>
      </c>
      <c r="I5" s="7">
        <v>1000</v>
      </c>
      <c r="J5" s="7">
        <v>180</v>
      </c>
      <c r="K5" s="7">
        <v>180</v>
      </c>
      <c r="L5" s="7">
        <v>0</v>
      </c>
      <c r="M5" s="7">
        <v>0</v>
      </c>
      <c r="N5" s="15">
        <v>48670</v>
      </c>
      <c r="O5" s="15">
        <v>49034</v>
      </c>
      <c r="P5" s="14">
        <f t="shared" si="1"/>
        <v>365</v>
      </c>
      <c r="Q5" s="14">
        <f t="shared" si="2"/>
        <v>1000</v>
      </c>
    </row>
    <row r="6" spans="1:17">
      <c r="A6" s="7" t="s">
        <v>24</v>
      </c>
      <c r="B6" s="7" t="s">
        <v>25</v>
      </c>
      <c r="C6" s="7" t="s">
        <v>26</v>
      </c>
      <c r="D6" s="7">
        <v>100000</v>
      </c>
      <c r="E6" s="7">
        <v>1000</v>
      </c>
      <c r="F6" s="7">
        <v>1000</v>
      </c>
      <c r="G6" s="7">
        <v>3</v>
      </c>
      <c r="H6" s="7">
        <f t="shared" si="0"/>
        <v>100000</v>
      </c>
      <c r="I6" s="7">
        <v>1000</v>
      </c>
      <c r="J6" s="7">
        <v>180</v>
      </c>
      <c r="K6" s="7">
        <v>180</v>
      </c>
      <c r="L6" s="7">
        <v>0</v>
      </c>
      <c r="M6" s="7">
        <v>0</v>
      </c>
      <c r="N6" s="15">
        <v>48670</v>
      </c>
      <c r="O6" s="15">
        <v>49034</v>
      </c>
      <c r="P6" s="14">
        <f t="shared" si="1"/>
        <v>365</v>
      </c>
      <c r="Q6" s="14">
        <f t="shared" si="2"/>
        <v>1000</v>
      </c>
    </row>
    <row r="7" spans="1:17">
      <c r="A7" s="7" t="s">
        <v>24</v>
      </c>
      <c r="B7" s="7" t="s">
        <v>27</v>
      </c>
      <c r="C7" s="7" t="s">
        <v>28</v>
      </c>
      <c r="D7" s="7">
        <v>100000</v>
      </c>
      <c r="E7" s="7">
        <v>1000</v>
      </c>
      <c r="F7" s="7">
        <v>1000</v>
      </c>
      <c r="G7" s="7">
        <v>4</v>
      </c>
      <c r="H7" s="7">
        <f t="shared" si="0"/>
        <v>100000</v>
      </c>
      <c r="I7" s="7">
        <v>1000</v>
      </c>
      <c r="J7" s="7">
        <v>180</v>
      </c>
      <c r="K7" s="7">
        <v>180</v>
      </c>
      <c r="L7" s="7">
        <v>0</v>
      </c>
      <c r="M7" s="7">
        <v>0</v>
      </c>
      <c r="N7" s="15">
        <v>48670</v>
      </c>
      <c r="O7" s="15">
        <v>49034</v>
      </c>
      <c r="P7" s="14">
        <f t="shared" si="1"/>
        <v>365</v>
      </c>
      <c r="Q7" s="14">
        <f t="shared" si="2"/>
        <v>1000</v>
      </c>
    </row>
    <row r="8" spans="1:17">
      <c r="A8" s="7" t="s">
        <v>29</v>
      </c>
      <c r="B8" s="7" t="s">
        <v>30</v>
      </c>
      <c r="C8" s="7" t="s">
        <v>31</v>
      </c>
      <c r="D8" s="7">
        <v>100000</v>
      </c>
      <c r="E8" s="7">
        <v>1000</v>
      </c>
      <c r="F8" s="7">
        <v>1000</v>
      </c>
      <c r="G8" s="7">
        <v>3</v>
      </c>
      <c r="H8" s="7">
        <f t="shared" si="0"/>
        <v>100000</v>
      </c>
      <c r="I8" s="7">
        <v>1000</v>
      </c>
      <c r="J8" s="7">
        <v>180</v>
      </c>
      <c r="K8" s="7">
        <v>180</v>
      </c>
      <c r="L8" s="7">
        <v>0</v>
      </c>
      <c r="M8" s="7">
        <v>0</v>
      </c>
      <c r="N8" s="15">
        <v>48670</v>
      </c>
      <c r="O8" s="15">
        <v>49034</v>
      </c>
      <c r="P8" s="14">
        <f t="shared" si="1"/>
        <v>365</v>
      </c>
      <c r="Q8" s="14">
        <f t="shared" si="2"/>
        <v>1000</v>
      </c>
    </row>
    <row r="9" spans="1:17">
      <c r="A9" s="7" t="s">
        <v>17</v>
      </c>
      <c r="B9" s="7" t="s">
        <v>32</v>
      </c>
      <c r="C9" s="7" t="s">
        <v>33</v>
      </c>
      <c r="D9" s="7">
        <v>100000</v>
      </c>
      <c r="E9" s="7">
        <v>1000</v>
      </c>
      <c r="F9" s="7">
        <v>1000</v>
      </c>
      <c r="G9" s="7">
        <v>4</v>
      </c>
      <c r="H9" s="7">
        <f t="shared" si="0"/>
        <v>100000</v>
      </c>
      <c r="I9" s="7">
        <v>1000</v>
      </c>
      <c r="J9" s="7">
        <v>180</v>
      </c>
      <c r="K9" s="7">
        <v>180</v>
      </c>
      <c r="L9" s="7">
        <v>0</v>
      </c>
      <c r="M9" s="7">
        <v>0</v>
      </c>
      <c r="N9" s="15">
        <v>48670</v>
      </c>
      <c r="O9" s="15">
        <v>49034</v>
      </c>
      <c r="P9" s="14">
        <f t="shared" si="1"/>
        <v>365</v>
      </c>
      <c r="Q9" s="14">
        <f t="shared" si="2"/>
        <v>1000</v>
      </c>
    </row>
    <row r="10" spans="1:17">
      <c r="A10" s="7" t="s">
        <v>17</v>
      </c>
      <c r="B10" s="7" t="s">
        <v>34</v>
      </c>
      <c r="C10" s="7" t="s">
        <v>35</v>
      </c>
      <c r="D10" s="7">
        <v>100000</v>
      </c>
      <c r="E10" s="7">
        <v>1000</v>
      </c>
      <c r="F10" s="7">
        <v>1000</v>
      </c>
      <c r="G10" s="7">
        <v>2</v>
      </c>
      <c r="H10" s="7">
        <f t="shared" si="0"/>
        <v>100000</v>
      </c>
      <c r="I10" s="7">
        <v>1000</v>
      </c>
      <c r="J10" s="7">
        <v>180</v>
      </c>
      <c r="K10" s="7">
        <v>180</v>
      </c>
      <c r="L10" s="7">
        <v>0</v>
      </c>
      <c r="M10" s="7">
        <v>0</v>
      </c>
      <c r="N10" s="15">
        <v>48670</v>
      </c>
      <c r="O10" s="15">
        <v>49034</v>
      </c>
      <c r="P10" s="14">
        <f t="shared" si="1"/>
        <v>365</v>
      </c>
      <c r="Q10" s="14">
        <f t="shared" si="2"/>
        <v>1000</v>
      </c>
    </row>
    <row r="11" spans="1:17">
      <c r="A11" s="7" t="s">
        <v>24</v>
      </c>
      <c r="B11" s="7" t="s">
        <v>36</v>
      </c>
      <c r="C11" s="7" t="s">
        <v>37</v>
      </c>
      <c r="D11" s="7">
        <v>100000</v>
      </c>
      <c r="E11" s="7">
        <v>1000</v>
      </c>
      <c r="F11" s="7">
        <v>1000</v>
      </c>
      <c r="G11" s="7">
        <v>2</v>
      </c>
      <c r="H11" s="7">
        <f t="shared" si="0"/>
        <v>100000</v>
      </c>
      <c r="I11" s="7">
        <v>1000</v>
      </c>
      <c r="J11" s="7">
        <v>180</v>
      </c>
      <c r="K11" s="7">
        <v>180</v>
      </c>
      <c r="L11" s="7">
        <v>0</v>
      </c>
      <c r="M11" s="7">
        <v>0</v>
      </c>
      <c r="N11" s="15">
        <v>48670</v>
      </c>
      <c r="O11" s="15">
        <v>49034</v>
      </c>
      <c r="P11" s="14">
        <f t="shared" si="1"/>
        <v>365</v>
      </c>
      <c r="Q11" s="14">
        <f t="shared" si="2"/>
        <v>1000</v>
      </c>
    </row>
    <row r="12" spans="1:17">
      <c r="A12" s="7" t="s">
        <v>24</v>
      </c>
      <c r="B12" s="7" t="s">
        <v>38</v>
      </c>
      <c r="C12" s="7" t="s">
        <v>39</v>
      </c>
      <c r="D12" s="7">
        <v>100000</v>
      </c>
      <c r="E12" s="7">
        <v>1000</v>
      </c>
      <c r="F12" s="7">
        <v>1000</v>
      </c>
      <c r="G12" s="7">
        <v>2</v>
      </c>
      <c r="H12" s="7">
        <f t="shared" si="0"/>
        <v>100000</v>
      </c>
      <c r="I12" s="7">
        <v>1000</v>
      </c>
      <c r="J12" s="7">
        <v>180</v>
      </c>
      <c r="K12" s="7">
        <v>180</v>
      </c>
      <c r="L12" s="7">
        <v>0</v>
      </c>
      <c r="M12" s="7">
        <v>0</v>
      </c>
      <c r="N12" s="15">
        <v>48670</v>
      </c>
      <c r="O12" s="15">
        <v>49034</v>
      </c>
      <c r="P12" s="14">
        <f t="shared" si="1"/>
        <v>365</v>
      </c>
      <c r="Q12" s="14">
        <f t="shared" si="2"/>
        <v>1000</v>
      </c>
    </row>
    <row r="13" spans="1:17">
      <c r="A13" s="7" t="s">
        <v>29</v>
      </c>
      <c r="B13" s="7" t="s">
        <v>40</v>
      </c>
      <c r="C13" s="7" t="s">
        <v>41</v>
      </c>
      <c r="D13" s="7">
        <v>100000</v>
      </c>
      <c r="E13" s="7">
        <v>1000</v>
      </c>
      <c r="F13" s="7">
        <v>1000</v>
      </c>
      <c r="G13" s="7">
        <v>3</v>
      </c>
      <c r="H13" s="7">
        <f t="shared" si="0"/>
        <v>100000</v>
      </c>
      <c r="I13" s="7">
        <v>1000</v>
      </c>
      <c r="J13" s="7">
        <v>180</v>
      </c>
      <c r="K13" s="7">
        <v>180</v>
      </c>
      <c r="L13" s="7">
        <v>0</v>
      </c>
      <c r="M13" s="7">
        <v>0</v>
      </c>
      <c r="N13" s="15">
        <v>48670</v>
      </c>
      <c r="O13" s="15">
        <v>49034</v>
      </c>
      <c r="P13" s="14">
        <f t="shared" si="1"/>
        <v>365</v>
      </c>
      <c r="Q13" s="14">
        <f t="shared" si="2"/>
        <v>1000</v>
      </c>
    </row>
    <row r="14" spans="1:17">
      <c r="A14" s="7" t="s">
        <v>17</v>
      </c>
      <c r="B14" s="7" t="s">
        <v>42</v>
      </c>
      <c r="C14" s="7" t="s">
        <v>43</v>
      </c>
      <c r="D14" s="7">
        <v>100000</v>
      </c>
      <c r="E14" s="7">
        <v>1000</v>
      </c>
      <c r="F14" s="7">
        <v>1000</v>
      </c>
      <c r="G14" s="7">
        <v>4</v>
      </c>
      <c r="H14" s="7">
        <f t="shared" si="0"/>
        <v>100000</v>
      </c>
      <c r="I14" s="7">
        <v>1000</v>
      </c>
      <c r="J14" s="7">
        <v>180</v>
      </c>
      <c r="K14" s="7">
        <v>180</v>
      </c>
      <c r="L14" s="7">
        <v>0</v>
      </c>
      <c r="M14" s="7">
        <v>0</v>
      </c>
      <c r="N14" s="15">
        <v>48670</v>
      </c>
      <c r="O14" s="15">
        <v>49034</v>
      </c>
      <c r="P14" s="14">
        <f t="shared" si="1"/>
        <v>365</v>
      </c>
      <c r="Q14" s="14">
        <f t="shared" si="2"/>
        <v>1000</v>
      </c>
    </row>
    <row r="18" spans="1:20">
      <c r="A18" s="12" t="s">
        <v>44</v>
      </c>
      <c r="Q18" s="16" t="s">
        <v>45</v>
      </c>
      <c r="R18" s="16"/>
      <c r="S18" s="16"/>
      <c r="T18" s="16"/>
    </row>
    <row r="19" ht="45" spans="1:20">
      <c r="A19" s="7" t="s">
        <v>1</v>
      </c>
      <c r="B19" s="7" t="s">
        <v>2</v>
      </c>
      <c r="C19" s="7" t="s">
        <v>3</v>
      </c>
      <c r="D19" s="7" t="s">
        <v>4</v>
      </c>
      <c r="E19" s="7" t="s">
        <v>5</v>
      </c>
      <c r="F19" s="7" t="s">
        <v>6</v>
      </c>
      <c r="G19" s="7" t="s">
        <v>7</v>
      </c>
      <c r="H19" s="17" t="s">
        <v>46</v>
      </c>
      <c r="I19" s="7" t="s">
        <v>9</v>
      </c>
      <c r="J19" s="7" t="s">
        <v>10</v>
      </c>
      <c r="K19" s="7" t="s">
        <v>11</v>
      </c>
      <c r="L19" s="7" t="s">
        <v>12</v>
      </c>
      <c r="M19" s="7" t="s">
        <v>13</v>
      </c>
      <c r="N19" s="14" t="s">
        <v>14</v>
      </c>
      <c r="O19" s="14" t="s">
        <v>15</v>
      </c>
      <c r="P19" s="14" t="s">
        <v>16</v>
      </c>
      <c r="Q19" s="18" t="s">
        <v>47</v>
      </c>
      <c r="R19" s="19" t="s">
        <v>11</v>
      </c>
      <c r="S19" s="19" t="s">
        <v>12</v>
      </c>
      <c r="T19" s="19" t="s">
        <v>13</v>
      </c>
    </row>
    <row r="20" spans="1:20">
      <c r="A20" s="7" t="s">
        <v>17</v>
      </c>
      <c r="B20" s="7" t="s">
        <v>18</v>
      </c>
      <c r="C20" s="7" t="s">
        <v>19</v>
      </c>
      <c r="D20" s="7">
        <v>100000</v>
      </c>
      <c r="E20" s="7">
        <v>1000</v>
      </c>
      <c r="F20" s="7">
        <v>1000</v>
      </c>
      <c r="G20" s="7">
        <v>2</v>
      </c>
      <c r="H20" s="7">
        <f>IF(G20=1,E20,D20)</f>
        <v>100000</v>
      </c>
      <c r="I20" s="7">
        <v>1000</v>
      </c>
      <c r="J20" s="7">
        <v>180</v>
      </c>
      <c r="K20" s="7">
        <v>180</v>
      </c>
      <c r="L20" s="7">
        <v>0</v>
      </c>
      <c r="M20" s="7">
        <v>0</v>
      </c>
      <c r="N20" s="15">
        <v>48670</v>
      </c>
      <c r="O20" s="15">
        <v>49034</v>
      </c>
      <c r="P20" s="14">
        <f t="shared" ref="P20:P31" si="3">O20-N20+1</f>
        <v>365</v>
      </c>
      <c r="Q20" s="14">
        <f>1%*H20*P20/365</f>
        <v>1000</v>
      </c>
      <c r="R20" s="20">
        <f>18%*Q20</f>
        <v>180</v>
      </c>
      <c r="S20" s="7">
        <v>0</v>
      </c>
      <c r="T20" s="7">
        <v>0</v>
      </c>
    </row>
    <row r="21" spans="1:20">
      <c r="A21" s="7" t="s">
        <v>17</v>
      </c>
      <c r="B21" s="7" t="s">
        <v>20</v>
      </c>
      <c r="C21" s="7" t="s">
        <v>21</v>
      </c>
      <c r="D21" s="7">
        <v>100000</v>
      </c>
      <c r="E21" s="7">
        <v>1000</v>
      </c>
      <c r="F21" s="7">
        <v>1000</v>
      </c>
      <c r="G21" s="7">
        <v>1</v>
      </c>
      <c r="H21" s="7">
        <f t="shared" ref="H21:H31" si="4">IF(G21=1,E21,D21)</f>
        <v>1000</v>
      </c>
      <c r="I21" s="7">
        <v>1000</v>
      </c>
      <c r="J21" s="7">
        <v>180</v>
      </c>
      <c r="K21" s="7">
        <v>180</v>
      </c>
      <c r="L21" s="7">
        <v>0</v>
      </c>
      <c r="M21" s="7">
        <v>0</v>
      </c>
      <c r="N21" s="15">
        <v>48670</v>
      </c>
      <c r="O21" s="15">
        <v>49034</v>
      </c>
      <c r="P21" s="14">
        <f t="shared" si="3"/>
        <v>365</v>
      </c>
      <c r="Q21" s="14">
        <f t="shared" ref="Q21:Q31" si="5">1%*H21*P21/365</f>
        <v>10</v>
      </c>
      <c r="R21" s="20">
        <f t="shared" ref="R21:R31" si="6">18%*Q21</f>
        <v>1.8</v>
      </c>
      <c r="S21" s="7">
        <v>0</v>
      </c>
      <c r="T21" s="7">
        <v>0</v>
      </c>
    </row>
    <row r="22" spans="1:20">
      <c r="A22" s="7" t="s">
        <v>17</v>
      </c>
      <c r="B22" s="7" t="s">
        <v>22</v>
      </c>
      <c r="C22" s="7" t="s">
        <v>23</v>
      </c>
      <c r="D22" s="7">
        <v>100000</v>
      </c>
      <c r="E22" s="7">
        <v>1000</v>
      </c>
      <c r="F22" s="7">
        <v>1000</v>
      </c>
      <c r="G22" s="7">
        <v>2</v>
      </c>
      <c r="H22" s="7">
        <f t="shared" si="4"/>
        <v>100000</v>
      </c>
      <c r="I22" s="7">
        <v>1000</v>
      </c>
      <c r="J22" s="7">
        <v>180</v>
      </c>
      <c r="K22" s="7">
        <v>180</v>
      </c>
      <c r="L22" s="7">
        <v>0</v>
      </c>
      <c r="M22" s="7">
        <v>0</v>
      </c>
      <c r="N22" s="15">
        <v>48670</v>
      </c>
      <c r="O22" s="15">
        <v>49034</v>
      </c>
      <c r="P22" s="14">
        <f t="shared" si="3"/>
        <v>365</v>
      </c>
      <c r="Q22" s="14">
        <f t="shared" si="5"/>
        <v>1000</v>
      </c>
      <c r="R22" s="20">
        <f t="shared" si="6"/>
        <v>180</v>
      </c>
      <c r="S22" s="7">
        <v>0</v>
      </c>
      <c r="T22" s="7">
        <v>0</v>
      </c>
    </row>
    <row r="23" spans="1:20">
      <c r="A23" s="7" t="s">
        <v>24</v>
      </c>
      <c r="B23" s="7" t="s">
        <v>25</v>
      </c>
      <c r="C23" s="7" t="s">
        <v>26</v>
      </c>
      <c r="D23" s="7">
        <v>100000</v>
      </c>
      <c r="E23" s="7">
        <v>1000</v>
      </c>
      <c r="F23" s="7">
        <v>1000</v>
      </c>
      <c r="G23" s="7">
        <v>3</v>
      </c>
      <c r="H23" s="7">
        <f t="shared" si="4"/>
        <v>100000</v>
      </c>
      <c r="I23" s="7">
        <v>1000</v>
      </c>
      <c r="J23" s="7">
        <v>180</v>
      </c>
      <c r="K23" s="7">
        <v>180</v>
      </c>
      <c r="L23" s="7">
        <v>0</v>
      </c>
      <c r="M23" s="7">
        <v>0</v>
      </c>
      <c r="N23" s="15">
        <v>48670</v>
      </c>
      <c r="O23" s="15">
        <v>49034</v>
      </c>
      <c r="P23" s="14">
        <f t="shared" si="3"/>
        <v>365</v>
      </c>
      <c r="Q23" s="14">
        <f t="shared" si="5"/>
        <v>1000</v>
      </c>
      <c r="R23" s="20">
        <f t="shared" si="6"/>
        <v>180</v>
      </c>
      <c r="S23" s="7">
        <v>0</v>
      </c>
      <c r="T23" s="7">
        <v>0</v>
      </c>
    </row>
    <row r="24" spans="1:20">
      <c r="A24" s="7" t="s">
        <v>24</v>
      </c>
      <c r="B24" s="7" t="s">
        <v>27</v>
      </c>
      <c r="C24" s="7" t="s">
        <v>28</v>
      </c>
      <c r="D24" s="7">
        <v>100000</v>
      </c>
      <c r="E24" s="7">
        <v>1000</v>
      </c>
      <c r="F24" s="7">
        <v>1000</v>
      </c>
      <c r="G24" s="7">
        <v>4</v>
      </c>
      <c r="H24" s="7">
        <f t="shared" si="4"/>
        <v>100000</v>
      </c>
      <c r="I24" s="7">
        <v>1000</v>
      </c>
      <c r="J24" s="7">
        <v>180</v>
      </c>
      <c r="K24" s="7">
        <v>180</v>
      </c>
      <c r="L24" s="7">
        <v>0</v>
      </c>
      <c r="M24" s="7">
        <v>0</v>
      </c>
      <c r="N24" s="15">
        <v>48670</v>
      </c>
      <c r="O24" s="15">
        <v>49034</v>
      </c>
      <c r="P24" s="14">
        <f t="shared" si="3"/>
        <v>365</v>
      </c>
      <c r="Q24" s="14">
        <f t="shared" si="5"/>
        <v>1000</v>
      </c>
      <c r="R24" s="20">
        <f t="shared" si="6"/>
        <v>180</v>
      </c>
      <c r="S24" s="7">
        <v>0</v>
      </c>
      <c r="T24" s="7">
        <v>0</v>
      </c>
    </row>
    <row r="25" spans="1:20">
      <c r="A25" s="7" t="s">
        <v>29</v>
      </c>
      <c r="B25" s="7" t="s">
        <v>30</v>
      </c>
      <c r="C25" s="7" t="s">
        <v>31</v>
      </c>
      <c r="D25" s="7">
        <v>100000</v>
      </c>
      <c r="E25" s="7">
        <v>1000</v>
      </c>
      <c r="F25" s="7">
        <v>1000</v>
      </c>
      <c r="G25" s="7">
        <v>3</v>
      </c>
      <c r="H25" s="7">
        <f t="shared" si="4"/>
        <v>100000</v>
      </c>
      <c r="I25" s="7">
        <v>1000</v>
      </c>
      <c r="J25" s="7">
        <v>180</v>
      </c>
      <c r="K25" s="7">
        <v>180</v>
      </c>
      <c r="L25" s="7">
        <v>0</v>
      </c>
      <c r="M25" s="7">
        <v>0</v>
      </c>
      <c r="N25" s="15">
        <v>48670</v>
      </c>
      <c r="O25" s="15">
        <v>49034</v>
      </c>
      <c r="P25" s="14">
        <f t="shared" si="3"/>
        <v>365</v>
      </c>
      <c r="Q25" s="14">
        <f t="shared" si="5"/>
        <v>1000</v>
      </c>
      <c r="R25" s="20">
        <f t="shared" si="6"/>
        <v>180</v>
      </c>
      <c r="S25" s="7">
        <v>0</v>
      </c>
      <c r="T25" s="7">
        <v>0</v>
      </c>
    </row>
    <row r="26" spans="1:20">
      <c r="A26" s="7" t="s">
        <v>17</v>
      </c>
      <c r="B26" s="7" t="s">
        <v>32</v>
      </c>
      <c r="C26" s="7" t="s">
        <v>33</v>
      </c>
      <c r="D26" s="7">
        <v>100000</v>
      </c>
      <c r="E26" s="7">
        <v>1000</v>
      </c>
      <c r="F26" s="7">
        <v>1000</v>
      </c>
      <c r="G26" s="7">
        <v>4</v>
      </c>
      <c r="H26" s="7">
        <f t="shared" si="4"/>
        <v>100000</v>
      </c>
      <c r="I26" s="7">
        <v>1000</v>
      </c>
      <c r="J26" s="7">
        <v>180</v>
      </c>
      <c r="K26" s="7">
        <v>180</v>
      </c>
      <c r="L26" s="7">
        <v>0</v>
      </c>
      <c r="M26" s="7">
        <v>0</v>
      </c>
      <c r="N26" s="15">
        <v>48670</v>
      </c>
      <c r="O26" s="15">
        <v>49034</v>
      </c>
      <c r="P26" s="14">
        <f t="shared" si="3"/>
        <v>365</v>
      </c>
      <c r="Q26" s="14">
        <f t="shared" si="5"/>
        <v>1000</v>
      </c>
      <c r="R26" s="20">
        <f t="shared" si="6"/>
        <v>180</v>
      </c>
      <c r="S26" s="7">
        <v>0</v>
      </c>
      <c r="T26" s="7">
        <v>0</v>
      </c>
    </row>
    <row r="27" spans="1:20">
      <c r="A27" s="7" t="s">
        <v>17</v>
      </c>
      <c r="B27" s="7" t="s">
        <v>34</v>
      </c>
      <c r="C27" s="7" t="s">
        <v>35</v>
      </c>
      <c r="D27" s="7">
        <v>100000</v>
      </c>
      <c r="E27" s="7">
        <v>1000</v>
      </c>
      <c r="F27" s="7">
        <v>1000</v>
      </c>
      <c r="G27" s="7">
        <v>2</v>
      </c>
      <c r="H27" s="7">
        <f t="shared" si="4"/>
        <v>100000</v>
      </c>
      <c r="I27" s="7">
        <v>1000</v>
      </c>
      <c r="J27" s="7">
        <v>180</v>
      </c>
      <c r="K27" s="7">
        <v>180</v>
      </c>
      <c r="L27" s="7">
        <v>0</v>
      </c>
      <c r="M27" s="7">
        <v>0</v>
      </c>
      <c r="N27" s="15">
        <v>48670</v>
      </c>
      <c r="O27" s="15">
        <v>49034</v>
      </c>
      <c r="P27" s="14">
        <f t="shared" si="3"/>
        <v>365</v>
      </c>
      <c r="Q27" s="14">
        <f t="shared" si="5"/>
        <v>1000</v>
      </c>
      <c r="R27" s="20">
        <f t="shared" si="6"/>
        <v>180</v>
      </c>
      <c r="S27" s="7">
        <v>0</v>
      </c>
      <c r="T27" s="7">
        <v>0</v>
      </c>
    </row>
    <row r="28" spans="1:20">
      <c r="A28" s="7" t="s">
        <v>24</v>
      </c>
      <c r="B28" s="7" t="s">
        <v>36</v>
      </c>
      <c r="C28" s="7" t="s">
        <v>37</v>
      </c>
      <c r="D28" s="7">
        <v>100000</v>
      </c>
      <c r="E28" s="7">
        <v>1000</v>
      </c>
      <c r="F28" s="7">
        <v>1000</v>
      </c>
      <c r="G28" s="7">
        <v>2</v>
      </c>
      <c r="H28" s="7">
        <f t="shared" si="4"/>
        <v>100000</v>
      </c>
      <c r="I28" s="7">
        <v>1000</v>
      </c>
      <c r="J28" s="7">
        <v>180</v>
      </c>
      <c r="K28" s="7">
        <v>180</v>
      </c>
      <c r="L28" s="7">
        <v>0</v>
      </c>
      <c r="M28" s="7">
        <v>0</v>
      </c>
      <c r="N28" s="15">
        <v>48670</v>
      </c>
      <c r="O28" s="15">
        <v>49034</v>
      </c>
      <c r="P28" s="14">
        <f t="shared" si="3"/>
        <v>365</v>
      </c>
      <c r="Q28" s="14">
        <f t="shared" si="5"/>
        <v>1000</v>
      </c>
      <c r="R28" s="20">
        <f t="shared" si="6"/>
        <v>180</v>
      </c>
      <c r="S28" s="7">
        <v>0</v>
      </c>
      <c r="T28" s="7">
        <v>0</v>
      </c>
    </row>
    <row r="29" spans="1:20">
      <c r="A29" s="7" t="s">
        <v>24</v>
      </c>
      <c r="B29" s="7" t="s">
        <v>38</v>
      </c>
      <c r="C29" s="7" t="s">
        <v>39</v>
      </c>
      <c r="D29" s="7">
        <v>100000</v>
      </c>
      <c r="E29" s="7">
        <v>1000</v>
      </c>
      <c r="F29" s="7">
        <v>1000</v>
      </c>
      <c r="G29" s="7">
        <v>2</v>
      </c>
      <c r="H29" s="7">
        <f t="shared" si="4"/>
        <v>100000</v>
      </c>
      <c r="I29" s="7">
        <v>1000</v>
      </c>
      <c r="J29" s="7">
        <v>180</v>
      </c>
      <c r="K29" s="7">
        <v>180</v>
      </c>
      <c r="L29" s="7">
        <v>0</v>
      </c>
      <c r="M29" s="7">
        <v>0</v>
      </c>
      <c r="N29" s="15">
        <v>48670</v>
      </c>
      <c r="O29" s="15">
        <v>49034</v>
      </c>
      <c r="P29" s="14">
        <f t="shared" si="3"/>
        <v>365</v>
      </c>
      <c r="Q29" s="14">
        <f t="shared" si="5"/>
        <v>1000</v>
      </c>
      <c r="R29" s="20">
        <f t="shared" si="6"/>
        <v>180</v>
      </c>
      <c r="S29" s="7">
        <v>0</v>
      </c>
      <c r="T29" s="7">
        <v>0</v>
      </c>
    </row>
    <row r="30" spans="1:20">
      <c r="A30" s="7" t="s">
        <v>29</v>
      </c>
      <c r="B30" s="7" t="s">
        <v>40</v>
      </c>
      <c r="C30" s="7" t="s">
        <v>41</v>
      </c>
      <c r="D30" s="7">
        <v>100000</v>
      </c>
      <c r="E30" s="7">
        <v>1000</v>
      </c>
      <c r="F30" s="7">
        <v>1000</v>
      </c>
      <c r="G30" s="7">
        <v>3</v>
      </c>
      <c r="H30" s="7">
        <f t="shared" si="4"/>
        <v>100000</v>
      </c>
      <c r="I30" s="7">
        <v>1000</v>
      </c>
      <c r="J30" s="7">
        <v>180</v>
      </c>
      <c r="K30" s="7">
        <v>180</v>
      </c>
      <c r="L30" s="7">
        <v>0</v>
      </c>
      <c r="M30" s="7">
        <v>0</v>
      </c>
      <c r="N30" s="15">
        <v>48670</v>
      </c>
      <c r="O30" s="15">
        <v>49034</v>
      </c>
      <c r="P30" s="14">
        <f t="shared" si="3"/>
        <v>365</v>
      </c>
      <c r="Q30" s="14">
        <f t="shared" si="5"/>
        <v>1000</v>
      </c>
      <c r="R30" s="20">
        <f t="shared" si="6"/>
        <v>180</v>
      </c>
      <c r="S30" s="7">
        <v>0</v>
      </c>
      <c r="T30" s="7">
        <v>0</v>
      </c>
    </row>
    <row r="31" spans="1:20">
      <c r="A31" s="7" t="s">
        <v>17</v>
      </c>
      <c r="B31" s="7" t="s">
        <v>42</v>
      </c>
      <c r="C31" s="7" t="s">
        <v>43</v>
      </c>
      <c r="D31" s="7">
        <v>100000</v>
      </c>
      <c r="E31" s="7">
        <v>1000</v>
      </c>
      <c r="F31" s="7">
        <v>1000</v>
      </c>
      <c r="G31" s="7">
        <v>4</v>
      </c>
      <c r="H31" s="7">
        <f t="shared" si="4"/>
        <v>100000</v>
      </c>
      <c r="I31" s="7">
        <v>1000</v>
      </c>
      <c r="J31" s="7">
        <v>180</v>
      </c>
      <c r="K31" s="7">
        <v>180</v>
      </c>
      <c r="L31" s="7">
        <v>0</v>
      </c>
      <c r="M31" s="7">
        <v>0</v>
      </c>
      <c r="N31" s="15">
        <v>48670</v>
      </c>
      <c r="O31" s="15">
        <v>49034</v>
      </c>
      <c r="P31" s="14">
        <f t="shared" si="3"/>
        <v>365</v>
      </c>
      <c r="Q31" s="14">
        <f t="shared" si="5"/>
        <v>1000</v>
      </c>
      <c r="R31" s="20">
        <f t="shared" si="6"/>
        <v>180</v>
      </c>
      <c r="S31" s="7">
        <v>0</v>
      </c>
      <c r="T31" s="7">
        <v>0</v>
      </c>
    </row>
  </sheetData>
  <autoFilter xmlns:etc="http://www.wps.cn/officeDocument/2017/etCustomData" ref="A2:T14" etc:filterBottomFollowUsedRange="0">
    <extLst/>
  </autoFilter>
  <mergeCells count="1">
    <mergeCell ref="Q18:T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workbookViewId="0">
      <selection activeCell="M26" sqref="M26"/>
    </sheetView>
  </sheetViews>
  <sheetFormatPr defaultColWidth="9.14285714285714" defaultRowHeight="15"/>
  <cols>
    <col min="1" max="1" width="13" customWidth="1"/>
    <col min="2" max="2" width="21.4285714285714" customWidth="1"/>
    <col min="3" max="3" width="20.5714285714286" customWidth="1"/>
    <col min="4" max="4" width="11.8571428571429" customWidth="1"/>
    <col min="5" max="5" width="31.5714285714286" customWidth="1"/>
    <col min="6" max="6" width="28.8571428571429" customWidth="1"/>
    <col min="7" max="7" width="14" customWidth="1"/>
    <col min="8" max="8" width="8.85714285714286" customWidth="1"/>
    <col min="9" max="9" width="8.14285714285714" customWidth="1"/>
    <col min="10" max="10" width="22.1428571428571" customWidth="1"/>
    <col min="11" max="11" width="5.57142857142857" customWidth="1"/>
    <col min="12" max="12" width="6" customWidth="1"/>
    <col min="13" max="13" width="5.85714285714286" customWidth="1"/>
    <col min="14" max="14" width="11.1428571428571"/>
    <col min="15" max="15" width="11.2857142857143" customWidth="1"/>
  </cols>
  <sheetData>
    <row r="1" spans="1:17">
      <c r="A1" s="6" t="s">
        <v>48</v>
      </c>
      <c r="B1" s="6"/>
    </row>
    <row r="2" spans="1:17">
      <c r="A2" s="7" t="s">
        <v>2</v>
      </c>
      <c r="B2" s="7" t="s">
        <v>3</v>
      </c>
      <c r="C2" s="7" t="s">
        <v>6</v>
      </c>
      <c r="D2" s="8" t="s">
        <v>49</v>
      </c>
      <c r="E2" s="7" t="s">
        <v>5</v>
      </c>
      <c r="F2" s="7" t="s">
        <v>50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9" t="s">
        <v>51</v>
      </c>
      <c r="O2" s="9" t="s">
        <v>15</v>
      </c>
      <c r="P2" s="9" t="s">
        <v>16</v>
      </c>
      <c r="Q2" s="9" t="s">
        <v>47</v>
      </c>
    </row>
    <row r="3" spans="1:17">
      <c r="A3" s="7" t="s">
        <v>18</v>
      </c>
      <c r="B3" s="7" t="s">
        <v>19</v>
      </c>
      <c r="C3" s="7">
        <v>1000</v>
      </c>
      <c r="D3" s="7">
        <v>2</v>
      </c>
      <c r="E3" s="7">
        <v>1000</v>
      </c>
      <c r="F3" s="7">
        <v>100000</v>
      </c>
      <c r="G3" s="7" t="s">
        <v>17</v>
      </c>
      <c r="H3" s="7">
        <f>IF(D3=1,C3,F3)</f>
        <v>100000</v>
      </c>
      <c r="I3" s="7">
        <v>1000</v>
      </c>
      <c r="J3" s="7">
        <v>180</v>
      </c>
      <c r="K3" s="7">
        <v>180</v>
      </c>
      <c r="L3" s="7">
        <v>0</v>
      </c>
      <c r="M3" s="7">
        <v>0</v>
      </c>
      <c r="N3" s="10">
        <v>49035</v>
      </c>
      <c r="O3" s="10">
        <v>49399</v>
      </c>
      <c r="P3" s="9">
        <f>O3-N3+1</f>
        <v>365</v>
      </c>
      <c r="Q3" s="9">
        <f>1%*H3*P3/365</f>
        <v>1000</v>
      </c>
    </row>
    <row r="4" spans="1:17">
      <c r="A4" s="7" t="s">
        <v>20</v>
      </c>
      <c r="B4" s="7" t="s">
        <v>21</v>
      </c>
      <c r="C4" s="7">
        <v>1000</v>
      </c>
      <c r="D4" s="7">
        <v>1</v>
      </c>
      <c r="E4" s="7">
        <v>1000</v>
      </c>
      <c r="F4" s="7">
        <v>100000</v>
      </c>
      <c r="G4" s="7" t="s">
        <v>17</v>
      </c>
      <c r="H4" s="7">
        <f>IF(D4=1,C4,F4)</f>
        <v>1000</v>
      </c>
      <c r="I4" s="7">
        <v>10</v>
      </c>
      <c r="J4" s="7">
        <v>1.8</v>
      </c>
      <c r="K4" s="7">
        <v>1.8</v>
      </c>
      <c r="L4" s="7">
        <v>0</v>
      </c>
      <c r="M4" s="7">
        <v>0</v>
      </c>
      <c r="N4" s="10">
        <v>49035</v>
      </c>
      <c r="O4" s="10">
        <v>49399</v>
      </c>
      <c r="P4" s="9">
        <f>O4-N4+1</f>
        <v>365</v>
      </c>
      <c r="Q4" s="9">
        <f>1%*H4*P4/365</f>
        <v>10</v>
      </c>
    </row>
    <row r="5" spans="1:17">
      <c r="A5" s="7" t="s">
        <v>22</v>
      </c>
      <c r="B5" s="7" t="s">
        <v>23</v>
      </c>
      <c r="C5" s="7">
        <v>1000</v>
      </c>
      <c r="D5" s="7">
        <v>2</v>
      </c>
      <c r="E5" s="7">
        <v>1000</v>
      </c>
      <c r="F5" s="7">
        <v>1000000</v>
      </c>
      <c r="G5" s="7" t="s">
        <v>17</v>
      </c>
      <c r="H5" s="7">
        <f>IF(D5=1,C5,F5)</f>
        <v>1000000</v>
      </c>
      <c r="I5" s="7">
        <v>10000</v>
      </c>
      <c r="J5" s="7">
        <v>1800</v>
      </c>
      <c r="K5" s="7">
        <v>1800</v>
      </c>
      <c r="L5" s="7">
        <v>0</v>
      </c>
      <c r="M5" s="7">
        <v>0</v>
      </c>
      <c r="N5" s="10">
        <v>49035</v>
      </c>
      <c r="O5" s="10">
        <v>49399</v>
      </c>
      <c r="P5" s="9">
        <f>O5-N5+1</f>
        <v>365</v>
      </c>
      <c r="Q5" s="9">
        <f>1%*H5*P5/365</f>
        <v>10000</v>
      </c>
    </row>
    <row r="6" spans="1:17">
      <c r="A6" s="7" t="s">
        <v>25</v>
      </c>
      <c r="B6" s="7" t="s">
        <v>26</v>
      </c>
      <c r="C6" s="7">
        <v>1000</v>
      </c>
      <c r="D6" s="7">
        <v>3</v>
      </c>
      <c r="E6" s="7">
        <v>1000</v>
      </c>
      <c r="F6" s="7">
        <v>1000000</v>
      </c>
      <c r="G6" s="7" t="s">
        <v>24</v>
      </c>
      <c r="H6" s="7">
        <f>IF(D6=1,C6,F6)</f>
        <v>1000000</v>
      </c>
      <c r="I6" s="7">
        <v>10000</v>
      </c>
      <c r="J6" s="7">
        <v>1800</v>
      </c>
      <c r="K6" s="7">
        <v>1800</v>
      </c>
      <c r="L6" s="7">
        <v>0</v>
      </c>
      <c r="M6" s="7">
        <v>0</v>
      </c>
      <c r="N6" s="10">
        <v>49035</v>
      </c>
      <c r="O6" s="10">
        <v>49399</v>
      </c>
      <c r="P6" s="9">
        <f>O6-N6+1</f>
        <v>365</v>
      </c>
      <c r="Q6" s="9">
        <f>1%*H6*P6/365</f>
        <v>10000</v>
      </c>
    </row>
    <row r="7" spans="1:17">
      <c r="A7" s="7" t="s">
        <v>27</v>
      </c>
      <c r="B7" s="7" t="s">
        <v>28</v>
      </c>
      <c r="C7" s="7">
        <v>1000</v>
      </c>
      <c r="D7" s="7">
        <v>4</v>
      </c>
      <c r="E7" s="7">
        <v>1000</v>
      </c>
      <c r="F7" s="7">
        <v>1000000</v>
      </c>
      <c r="G7" s="7" t="s">
        <v>24</v>
      </c>
      <c r="H7" s="7">
        <f>IF(D7=1,C7,F7)</f>
        <v>1000000</v>
      </c>
      <c r="I7" s="7">
        <v>10000</v>
      </c>
      <c r="J7" s="7">
        <v>1800</v>
      </c>
      <c r="K7" s="7">
        <v>1800</v>
      </c>
      <c r="L7" s="7">
        <v>0</v>
      </c>
      <c r="M7" s="7">
        <v>0</v>
      </c>
      <c r="N7" s="10">
        <v>49035</v>
      </c>
      <c r="O7" s="10">
        <v>49399</v>
      </c>
      <c r="P7" s="9">
        <f>O7-N7+1</f>
        <v>365</v>
      </c>
      <c r="Q7" s="9">
        <f>1%*H7*P7/365</f>
        <v>10000</v>
      </c>
    </row>
    <row r="8" spans="1:17">
      <c r="A8" s="7" t="s">
        <v>30</v>
      </c>
      <c r="B8" s="7" t="s">
        <v>31</v>
      </c>
      <c r="C8" s="7">
        <v>1000</v>
      </c>
      <c r="D8" s="7">
        <v>3</v>
      </c>
      <c r="E8" s="7">
        <v>1000</v>
      </c>
      <c r="F8" s="7">
        <v>1000000</v>
      </c>
      <c r="G8" s="7" t="s">
        <v>29</v>
      </c>
      <c r="H8" s="7">
        <f>IF(D8=1,C8,F8)</f>
        <v>1000000</v>
      </c>
      <c r="I8" s="7">
        <v>10000</v>
      </c>
      <c r="J8" s="7">
        <v>1800</v>
      </c>
      <c r="K8" s="7">
        <v>1800</v>
      </c>
      <c r="L8" s="7">
        <v>0</v>
      </c>
      <c r="M8" s="7">
        <v>0</v>
      </c>
      <c r="N8" s="10">
        <v>49035</v>
      </c>
      <c r="O8" s="10">
        <v>49399</v>
      </c>
      <c r="P8" s="9">
        <f>O8-N8+1</f>
        <v>365</v>
      </c>
      <c r="Q8" s="9">
        <f>1%*H8*P8/365</f>
        <v>10000</v>
      </c>
    </row>
    <row r="13" spans="1:17">
      <c r="A13" s="6" t="s">
        <v>52</v>
      </c>
      <c r="B13" s="6"/>
    </row>
    <row r="14" spans="1:17">
      <c r="A14" s="7" t="s">
        <v>2</v>
      </c>
      <c r="B14" s="7" t="s">
        <v>3</v>
      </c>
      <c r="C14" s="7" t="s">
        <v>6</v>
      </c>
      <c r="D14" s="8" t="s">
        <v>49</v>
      </c>
      <c r="E14" s="7" t="s">
        <v>5</v>
      </c>
      <c r="F14" s="7" t="s">
        <v>50</v>
      </c>
      <c r="G14" s="7" t="s">
        <v>1</v>
      </c>
      <c r="H14" s="7" t="s">
        <v>8</v>
      </c>
      <c r="I14" s="7" t="s">
        <v>9</v>
      </c>
      <c r="J14" s="7" t="s">
        <v>10</v>
      </c>
      <c r="K14" s="7" t="s">
        <v>11</v>
      </c>
      <c r="L14" s="7" t="s">
        <v>12</v>
      </c>
      <c r="M14" s="7" t="s">
        <v>13</v>
      </c>
      <c r="N14" s="9" t="s">
        <v>51</v>
      </c>
      <c r="O14" s="9" t="s">
        <v>15</v>
      </c>
      <c r="P14" s="9" t="s">
        <v>16</v>
      </c>
      <c r="Q14" s="9" t="s">
        <v>47</v>
      </c>
    </row>
    <row r="15" spans="1:17">
      <c r="A15" s="7" t="s">
        <v>18</v>
      </c>
      <c r="B15" s="7" t="s">
        <v>19</v>
      </c>
      <c r="C15" s="7">
        <v>1000</v>
      </c>
      <c r="D15" s="7">
        <v>2</v>
      </c>
      <c r="E15" s="7">
        <v>1000</v>
      </c>
      <c r="F15" s="7">
        <v>100000</v>
      </c>
      <c r="G15" s="7" t="s">
        <v>17</v>
      </c>
      <c r="H15" s="7">
        <f t="shared" ref="H15:H20" si="0">IF(D15=1,C15,F15)</f>
        <v>100000</v>
      </c>
      <c r="I15" s="7">
        <v>1000</v>
      </c>
      <c r="J15" s="7">
        <v>180</v>
      </c>
      <c r="K15" s="7">
        <v>180</v>
      </c>
      <c r="L15" s="7">
        <v>0</v>
      </c>
      <c r="M15" s="7">
        <v>0</v>
      </c>
      <c r="N15" s="10">
        <v>49035</v>
      </c>
      <c r="O15" s="10">
        <v>49399</v>
      </c>
      <c r="P15" s="9">
        <f t="shared" ref="P15:P20" si="1">O15-N15+1</f>
        <v>365</v>
      </c>
      <c r="Q15" s="11">
        <f>0.75%*H15*P15/365</f>
        <v>750</v>
      </c>
    </row>
    <row r="16" spans="1:17">
      <c r="A16" s="7" t="s">
        <v>20</v>
      </c>
      <c r="B16" s="7" t="s">
        <v>21</v>
      </c>
      <c r="C16" s="7">
        <v>1000</v>
      </c>
      <c r="D16" s="7">
        <v>1</v>
      </c>
      <c r="E16" s="7">
        <v>1000</v>
      </c>
      <c r="F16" s="7">
        <v>100000</v>
      </c>
      <c r="G16" s="7" t="s">
        <v>17</v>
      </c>
      <c r="H16" s="7">
        <f t="shared" si="0"/>
        <v>1000</v>
      </c>
      <c r="I16" s="7">
        <v>10</v>
      </c>
      <c r="J16" s="7">
        <v>1.8</v>
      </c>
      <c r="K16" s="7">
        <v>1.8</v>
      </c>
      <c r="L16" s="7">
        <v>0</v>
      </c>
      <c r="M16" s="7">
        <v>0</v>
      </c>
      <c r="N16" s="10">
        <v>49035</v>
      </c>
      <c r="O16" s="10">
        <v>49399</v>
      </c>
      <c r="P16" s="9">
        <f t="shared" si="1"/>
        <v>365</v>
      </c>
      <c r="Q16" s="11">
        <f>0.75%*H16*P16/365</f>
        <v>7.5</v>
      </c>
    </row>
    <row r="17" spans="1:17">
      <c r="A17" s="7" t="s">
        <v>22</v>
      </c>
      <c r="B17" s="7" t="s">
        <v>23</v>
      </c>
      <c r="C17" s="7">
        <v>1000</v>
      </c>
      <c r="D17" s="7">
        <v>2</v>
      </c>
      <c r="E17" s="7">
        <v>1000</v>
      </c>
      <c r="F17" s="7">
        <v>1000000</v>
      </c>
      <c r="G17" s="7" t="s">
        <v>17</v>
      </c>
      <c r="H17" s="7">
        <f t="shared" si="0"/>
        <v>1000000</v>
      </c>
      <c r="I17" s="7">
        <v>10000</v>
      </c>
      <c r="J17" s="7">
        <v>1800</v>
      </c>
      <c r="K17" s="7">
        <v>1800</v>
      </c>
      <c r="L17" s="7">
        <v>0</v>
      </c>
      <c r="M17" s="7">
        <v>0</v>
      </c>
      <c r="N17" s="10">
        <v>49035</v>
      </c>
      <c r="O17" s="10">
        <v>49399</v>
      </c>
      <c r="P17" s="9">
        <f t="shared" si="1"/>
        <v>365</v>
      </c>
      <c r="Q17" s="11">
        <f>0.75%*H17*P17/365</f>
        <v>7500</v>
      </c>
    </row>
    <row r="18" spans="1:17">
      <c r="A18" s="7" t="s">
        <v>25</v>
      </c>
      <c r="B18" s="7" t="s">
        <v>26</v>
      </c>
      <c r="C18" s="7">
        <v>1000</v>
      </c>
      <c r="D18" s="7">
        <v>3</v>
      </c>
      <c r="E18" s="7">
        <v>1000</v>
      </c>
      <c r="F18" s="7">
        <v>1000000</v>
      </c>
      <c r="G18" s="7" t="s">
        <v>24</v>
      </c>
      <c r="H18" s="7">
        <f t="shared" si="0"/>
        <v>1000000</v>
      </c>
      <c r="I18" s="7">
        <v>10000</v>
      </c>
      <c r="J18" s="7">
        <v>1800</v>
      </c>
      <c r="K18" s="7">
        <v>1800</v>
      </c>
      <c r="L18" s="7">
        <v>0</v>
      </c>
      <c r="M18" s="7">
        <v>0</v>
      </c>
      <c r="N18" s="10">
        <v>49035</v>
      </c>
      <c r="O18" s="10">
        <v>49399</v>
      </c>
      <c r="P18" s="9">
        <f t="shared" si="1"/>
        <v>365</v>
      </c>
      <c r="Q18" s="11">
        <f>0.75%*H18*P18/365</f>
        <v>7500</v>
      </c>
    </row>
    <row r="19" spans="1:17">
      <c r="A19" s="7" t="s">
        <v>27</v>
      </c>
      <c r="B19" s="7" t="s">
        <v>28</v>
      </c>
      <c r="C19" s="7">
        <v>1000</v>
      </c>
      <c r="D19" s="7">
        <v>4</v>
      </c>
      <c r="E19" s="7">
        <v>1000</v>
      </c>
      <c r="F19" s="7">
        <v>1000000</v>
      </c>
      <c r="G19" s="7" t="s">
        <v>24</v>
      </c>
      <c r="H19" s="7">
        <f t="shared" si="0"/>
        <v>1000000</v>
      </c>
      <c r="I19" s="7">
        <v>10000</v>
      </c>
      <c r="J19" s="7">
        <v>1800</v>
      </c>
      <c r="K19" s="7">
        <v>1800</v>
      </c>
      <c r="L19" s="7">
        <v>0</v>
      </c>
      <c r="M19" s="7">
        <v>0</v>
      </c>
      <c r="N19" s="10">
        <v>49035</v>
      </c>
      <c r="O19" s="10">
        <v>49399</v>
      </c>
      <c r="P19" s="9">
        <f t="shared" si="1"/>
        <v>365</v>
      </c>
      <c r="Q19" s="11">
        <f>0.75%*H19*P19/365</f>
        <v>7500</v>
      </c>
    </row>
    <row r="20" spans="1:17">
      <c r="A20" s="7" t="s">
        <v>30</v>
      </c>
      <c r="B20" s="7" t="s">
        <v>31</v>
      </c>
      <c r="C20" s="7">
        <v>1000</v>
      </c>
      <c r="D20" s="7">
        <v>3</v>
      </c>
      <c r="E20" s="7">
        <v>1000</v>
      </c>
      <c r="F20" s="7">
        <v>1000000</v>
      </c>
      <c r="G20" s="7" t="s">
        <v>29</v>
      </c>
      <c r="H20" s="7">
        <f t="shared" si="0"/>
        <v>1000000</v>
      </c>
      <c r="I20" s="7">
        <v>10000</v>
      </c>
      <c r="J20" s="7">
        <v>1800</v>
      </c>
      <c r="K20" s="7">
        <v>1800</v>
      </c>
      <c r="L20" s="7">
        <v>0</v>
      </c>
      <c r="M20" s="7">
        <v>0</v>
      </c>
      <c r="N20" s="10">
        <v>49035</v>
      </c>
      <c r="O20" s="10">
        <v>49399</v>
      </c>
      <c r="P20" s="9">
        <f t="shared" si="1"/>
        <v>365</v>
      </c>
      <c r="Q20" s="11">
        <f>0.75%*H20*P20/365</f>
        <v>7500</v>
      </c>
    </row>
  </sheetData>
  <mergeCells count="2">
    <mergeCell ref="A1:B1"/>
    <mergeCell ref="A13:B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E24" sqref="E24"/>
    </sheetView>
  </sheetViews>
  <sheetFormatPr defaultColWidth="9.14285714285714" defaultRowHeight="15" outlineLevelRow="4"/>
  <cols>
    <col min="1" max="1" width="11.8571428571429" style="1" customWidth="1"/>
    <col min="2" max="2" width="11.1428571428571" style="1" customWidth="1"/>
    <col min="3" max="3" width="16.4285714285714" style="1" customWidth="1"/>
    <col min="4" max="4" width="17.2857142857143" style="1" customWidth="1"/>
    <col min="5" max="5" width="14.8571428571429" style="1" customWidth="1"/>
    <col min="6" max="6" width="16.2857142857143" style="1" customWidth="1"/>
    <col min="7" max="7" width="18" style="1" customWidth="1"/>
    <col min="8" max="8" width="21.2857142857143" style="1" customWidth="1"/>
    <col min="9" max="9" width="12.4285714285714" style="1" customWidth="1"/>
    <col min="10" max="10" width="8.85714285714286" style="1" customWidth="1"/>
    <col min="11" max="11" width="8.14285714285714" style="1" customWidth="1"/>
    <col min="12" max="12" width="22.1428571428571" style="1" customWidth="1"/>
    <col min="13" max="13" width="10.1428571428571" style="1" customWidth="1"/>
    <col min="14" max="14" width="6" style="1" customWidth="1"/>
    <col min="15" max="15" width="8.57142857142857" style="1" customWidth="1"/>
    <col min="16" max="16" width="11.2857142857143" style="1" customWidth="1"/>
    <col min="17" max="17" width="15.1428571428571" style="1" customWidth="1"/>
    <col min="18" max="18" width="14" style="1"/>
    <col min="19" max="16384" width="9.14285714285714" style="1"/>
  </cols>
  <sheetData>
    <row r="1" spans="1:15">
      <c r="A1" s="2" t="s">
        <v>53</v>
      </c>
      <c r="B1" s="2"/>
    </row>
    <row r="2" spans="1:15">
      <c r="A2" t="s">
        <v>1</v>
      </c>
      <c r="B2" t="s">
        <v>3</v>
      </c>
      <c r="C2" t="s">
        <v>4</v>
      </c>
      <c r="D2" t="s">
        <v>54</v>
      </c>
      <c r="E2" t="s">
        <v>55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3" t="s">
        <v>15</v>
      </c>
      <c r="N2" s="3" t="s">
        <v>16</v>
      </c>
      <c r="O2" s="3" t="s">
        <v>56</v>
      </c>
    </row>
    <row r="3" spans="1:15">
      <c r="A3" t="s">
        <v>57</v>
      </c>
      <c r="B3" t="s">
        <v>58</v>
      </c>
      <c r="C3">
        <v>1000004</v>
      </c>
      <c r="D3" s="4">
        <v>45748</v>
      </c>
      <c r="E3" s="4">
        <v>45748</v>
      </c>
      <c r="F3">
        <v>10000</v>
      </c>
      <c r="G3">
        <v>1000</v>
      </c>
      <c r="H3">
        <v>1</v>
      </c>
      <c r="I3">
        <v>1000</v>
      </c>
      <c r="J3">
        <v>2.5</v>
      </c>
      <c r="K3">
        <v>0.45</v>
      </c>
      <c r="L3">
        <v>0.45</v>
      </c>
      <c r="M3" s="5">
        <v>46112</v>
      </c>
      <c r="N3" s="1">
        <f>M3-E3+1</f>
        <v>365</v>
      </c>
      <c r="O3" s="1">
        <f>0.25%*N3*I3/365</f>
        <v>2.5</v>
      </c>
    </row>
    <row r="4" spans="1:15">
      <c r="A4" t="s">
        <v>57</v>
      </c>
      <c r="B4" t="s">
        <v>59</v>
      </c>
      <c r="C4">
        <v>1000005</v>
      </c>
      <c r="D4" s="4">
        <v>45748</v>
      </c>
      <c r="E4" s="4">
        <v>45748</v>
      </c>
      <c r="F4">
        <v>1000</v>
      </c>
      <c r="G4">
        <v>1000</v>
      </c>
      <c r="H4">
        <v>2</v>
      </c>
      <c r="I4">
        <v>1000</v>
      </c>
      <c r="J4">
        <v>2.5</v>
      </c>
      <c r="K4">
        <v>0.45</v>
      </c>
      <c r="L4">
        <v>0.45</v>
      </c>
      <c r="M4" s="5">
        <v>46112</v>
      </c>
      <c r="N4" s="1">
        <f>M4-E4+1</f>
        <v>365</v>
      </c>
      <c r="O4" s="1">
        <f>0.25%*N4*I4/365</f>
        <v>2.5</v>
      </c>
    </row>
    <row r="5" spans="1:15">
      <c r="A5" t="s">
        <v>57</v>
      </c>
      <c r="B5" t="s">
        <v>60</v>
      </c>
      <c r="C5">
        <v>1000006</v>
      </c>
      <c r="D5" s="4">
        <v>45748</v>
      </c>
      <c r="E5" s="4">
        <v>45748</v>
      </c>
      <c r="F5">
        <v>1000</v>
      </c>
      <c r="G5">
        <v>100</v>
      </c>
      <c r="H5">
        <v>2</v>
      </c>
      <c r="I5">
        <v>100</v>
      </c>
      <c r="J5">
        <v>0.25</v>
      </c>
      <c r="K5">
        <v>0.045</v>
      </c>
      <c r="L5">
        <v>0.045</v>
      </c>
      <c r="M5" s="5">
        <v>46112</v>
      </c>
      <c r="N5" s="1">
        <f>M5-E5+1</f>
        <v>365</v>
      </c>
      <c r="O5" s="1">
        <f>0.25%*N5*I5/365</f>
        <v>0.25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Normal portfolio - New CG</vt:lpstr>
      <vt:lpstr>Normal portfolio - Update CG</vt:lpstr>
      <vt:lpstr>SHG - New CG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2026-10-21T11:36:35Z</dcterms:created>
  <dcterms:modified xsi:type="dcterms:W3CDTF">2026-10-21T12:18:03Z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C8E0A8311DE14935A510AE93D2E2F097_13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