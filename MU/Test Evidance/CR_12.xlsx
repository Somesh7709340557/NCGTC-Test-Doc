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4"/>
  </bookViews>
  <sheets>
    <sheet name="Exsting portfolio data " sheetId="2" r:id="rId1"/>
    <sheet name="Same portfolio" sheetId="3" r:id="rId2"/>
    <sheet name="Diff Portfolio" sheetId="6" r:id="rId3"/>
    <sheet name="Sheet4" sheetId="4" r:id="rId4"/>
    <sheet name="Uploaded data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<sst xmlns="http://schemas.openxmlformats.org/spreadsheetml/2006/main" count="331" uniqueCount="142">
  <si>
    <t>MUDNEWM20252026C</t>
  </si>
  <si>
    <t>CustomersId</t>
  </si>
  <si>
    <t>LoanAccountNumber</t>
  </si>
  <si>
    <t>SanctionedLoanAmount_AsPerNewCG</t>
  </si>
  <si>
    <t>SanctionedDate_AsPerNewCG</t>
  </si>
  <si>
    <t>LoanAccountNpa</t>
  </si>
  <si>
    <t>CR13Q1252602</t>
  </si>
  <si>
    <t>Y</t>
  </si>
  <si>
    <t>CR13Q1252604</t>
  </si>
  <si>
    <t>CR13Q1252607</t>
  </si>
  <si>
    <t>CR13Q1252610</t>
  </si>
  <si>
    <t>CR13Q1252612</t>
  </si>
  <si>
    <t>CR13Q1252615</t>
  </si>
  <si>
    <t>MUDNEWM20272028SHG</t>
  </si>
  <si>
    <t>Q1SHG01</t>
  </si>
  <si>
    <t>Q1SHG02</t>
  </si>
  <si>
    <t>Q1SHG03</t>
  </si>
  <si>
    <t>Q1SHG04</t>
  </si>
  <si>
    <t>Q1SHG05</t>
  </si>
  <si>
    <t>Q1SHG06</t>
  </si>
  <si>
    <t>Q1SHG07</t>
  </si>
  <si>
    <t>Q1SHG08</t>
  </si>
  <si>
    <t>Q1SHG09</t>
  </si>
  <si>
    <t>Q1SHG10</t>
  </si>
  <si>
    <t>Q1SHG11</t>
  </si>
  <si>
    <t>Q1SHG12</t>
  </si>
  <si>
    <t>Q1SHG13</t>
  </si>
  <si>
    <t>Q1SHG14</t>
  </si>
  <si>
    <t>Q1SHG15</t>
  </si>
  <si>
    <t>Q1SHG16</t>
  </si>
  <si>
    <t>Q1SHG17</t>
  </si>
  <si>
    <t>Q1SHG18</t>
  </si>
  <si>
    <t>Q1SHG19</t>
  </si>
  <si>
    <t>Q1SHG20</t>
  </si>
  <si>
    <t>Portfolio</t>
  </si>
  <si>
    <t>MUDNEWM20282029SHG</t>
  </si>
  <si>
    <t>Case 1</t>
  </si>
  <si>
    <t>Check Validation in same portfolio for new Cust ID  when loan amt is &gt;20L and &lt;=10L</t>
  </si>
  <si>
    <t>Passed</t>
  </si>
  <si>
    <t>Case 2</t>
  </si>
  <si>
    <t>Check Validation in same portfolio for for Sum of cust id  &gt;20L and &lt;=10L</t>
  </si>
  <si>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</si>
  <si>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</si>
  <si>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</si>
  <si>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</si>
  <si>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</si>
  <si>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</si>
  <si>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</si>
  <si>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</si>
  <si>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</si>
  <si>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</si>
  <si>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</si>
  <si>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</si>
  <si>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</si>
  <si>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</si>
  <si>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</si>
  <si>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</si>
  <si>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</si>
  <si>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</si>
  <si>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</si>
  <si>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</si>
  <si>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</si>
  <si>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</si>
  <si>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</si>
  <si>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</si>
  <si>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</si>
  <si>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</si>
  <si>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</si>
  <si>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</si>
  <si>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</si>
  <si>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</si>
  <si>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</si>
  <si>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</si>
  <si>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</si>
  <si>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</si>
  <si>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</si>
  <si>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</si>
  <si>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</si>
  <si>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</si>
  <si>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</si>
  <si>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</si>
  <si>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</si>
  <si>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</si>
  <si>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2829IA14</t>
  </si>
  <si>
    <t>F</t>
  </si>
  <si>
    <t>N</t>
  </si>
  <si>
    <t>1</t>
  </si>
  <si>
    <t>123 Main Street</t>
  </si>
  <si>
    <t>SBIN0001234</t>
  </si>
  <si>
    <t>MUDNEWM20252026C1</t>
  </si>
  <si>
    <t>2000006</t>
  </si>
  <si>
    <t>01-04-2028</t>
  </si>
  <si>
    <t>1000</t>
  </si>
  <si>
    <t>4</t>
  </si>
  <si>
    <t>AQPPL2141K</t>
  </si>
  <si>
    <t>1236</t>
  </si>
  <si>
    <t>2829IA15</t>
  </si>
  <si>
    <t>MUDNEWM20252026C2</t>
  </si>
  <si>
    <t>2</t>
  </si>
  <si>
    <t>2829IA16</t>
  </si>
  <si>
    <t>124 Main Street</t>
  </si>
  <si>
    <t>SBIN0001235</t>
  </si>
  <si>
    <t>MUDNEWM20272028SHG1</t>
  </si>
  <si>
    <t>AQPPL2144K</t>
  </si>
  <si>
    <t>1237</t>
  </si>
  <si>
    <t>2829IA17</t>
  </si>
  <si>
    <t>MUDNEWM20272028SHG2</t>
  </si>
  <si>
    <t>AQPPL5</t>
  </si>
  <si>
    <t>1234</t>
  </si>
  <si>
    <t>Q1SHG282901</t>
  </si>
  <si>
    <t>01-04-2029</t>
  </si>
  <si>
    <t>1000001</t>
  </si>
  <si>
    <t>BasePeriod</t>
  </si>
  <si>
    <t>Cust ID</t>
  </si>
  <si>
    <t>Loan</t>
  </si>
  <si>
    <t>Sanction</t>
  </si>
  <si>
    <t>Exsting data</t>
  </si>
  <si>
    <t>Potfolio Type</t>
  </si>
  <si>
    <t>CP1</t>
  </si>
  <si>
    <t>Modified amount</t>
  </si>
  <si>
    <t>Existing amt</t>
  </si>
  <si>
    <t>Cust ID sum</t>
  </si>
  <si>
    <t>Update Cp2</t>
  </si>
  <si>
    <t>X</t>
  </si>
  <si>
    <t>Q2SHG282901</t>
  </si>
  <si>
    <t>999999</t>
  </si>
  <si>
    <t>Q1SHG282902</t>
  </si>
  <si>
    <t>closed</t>
  </si>
  <si>
    <t>Q2SHG282902</t>
  </si>
  <si>
    <t>Q1SHG282903</t>
  </si>
  <si>
    <t>Q1SHG282904</t>
  </si>
  <si>
    <t>Q1SHG282905</t>
  </si>
  <si>
    <t>Q1SHG282906</t>
  </si>
  <si>
    <t>Q1SHG282907</t>
  </si>
  <si>
    <t>Q1SHG282908</t>
  </si>
  <si>
    <t>Q1SHG282909</t>
  </si>
  <si>
    <t>Q1SHG282910</t>
  </si>
  <si>
    <t>Q1SHG282911</t>
  </si>
  <si>
    <t>Q1SHG282912</t>
  </si>
  <si>
    <t>Q1SHG282913</t>
  </si>
  <si>
    <t>C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</si>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</sst>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4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3" borderId="8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top"/>
    </xf>
    <xf numFmtId="49" fontId="0" fillId="0" borderId="1" xfId="0" applyNumberFormat="1" applyFill="1" applyBorder="1" applyAlignment="1"/>
    <xf numFmtId="0" fontId="0" fillId="3" borderId="1" xfId="0" applyFill="1" applyBorder="1">
      <alignment vertical="center"/>
    </xf>
    <xf numFmtId="0" fontId="1" fillId="4" borderId="1" xfId="0" applyFont="1" applyFill="1" applyBorder="1" applyAlignment="1">
      <alignment vertical="center" wrapText="1"/>
    </xf>
    <xf numFmtId="0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0" fillId="5" borderId="1" xfId="0" applyNumberForma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4" borderId="0" xfId="0" applyFont="1" applyFill="1" applyBorder="1" applyAlignment="1">
      <alignment vertical="center" wrapText="1"/>
    </xf>
    <xf numFmtId="49" fontId="0" fillId="4" borderId="0" xfId="0" applyNumberFormat="1" applyFill="1" applyAlignment="1">
      <alignment horizontal="center" vertical="center"/>
    </xf>
    <xf numFmtId="0" fontId="1" fillId="7" borderId="1" xfId="0" applyFont="1" applyFill="1" applyBorder="1" applyAlignment="1">
      <alignment vertical="center" wrapText="1"/>
    </xf>
    <xf numFmtId="0" fontId="0" fillId="7" borderId="1" xfId="0" applyNumberForma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0" xfId="0" applyNumberFormat="1" applyFill="1" applyAlignment="1"/>
    <xf numFmtId="0" fontId="0" fillId="0" borderId="0" xfId="0" applyFill="1" applyAlignment="1"/>
    <xf numFmtId="0" fontId="0" fillId="9" borderId="0" xfId="0" applyFill="1" applyBorder="1" applyAlignment="1"/>
    <xf numFmtId="49" fontId="2" fillId="0" borderId="0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Border="1" applyAlignment="1"/>
    <xf numFmtId="0" fontId="1" fillId="7" borderId="3" xfId="0" applyFont="1" applyFill="1" applyBorder="1" applyAlignment="1">
      <alignment vertical="center" wrapText="1"/>
    </xf>
    <xf numFmtId="49" fontId="0" fillId="0" borderId="0" xfId="0" applyNumberFormat="1" applyFill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49" fontId="0" fillId="9" borderId="0" xfId="0" applyNumberFormat="1" applyFill="1" applyBorder="1" applyAlignment="1">
      <alignment vertical="center"/>
    </xf>
    <xf numFmtId="49" fontId="0" fillId="9" borderId="0" xfId="0" applyNumberFormat="1" applyFill="1" applyBorder="1" applyAlignment="1"/>
    <xf numFmtId="1" fontId="3" fillId="9" borderId="0" xfId="0" applyNumberFormat="1" applyFont="1" applyFill="1" applyBorder="1" applyAlignment="1">
      <alignment horizontal="center"/>
    </xf>
    <xf numFmtId="0" fontId="3" fillId="9" borderId="0" xfId="0" applyFont="1" applyFill="1" applyBorder="1" applyAlignment="1">
      <alignment horizontal="center"/>
    </xf>
    <xf numFmtId="49" fontId="0" fillId="2" borderId="0" xfId="0" applyNumberFormat="1" applyFill="1" applyBorder="1" applyAlignment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180" fontId="1" fillId="0" borderId="3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10" borderId="0" xfId="0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37465</xdr:colOff>
      <xdr:row>2</xdr:row>
      <xdr:rowOff>57150</xdr:rowOff>
    </xdr:from>
    <xdr:to>
      <xdr:col>1</xdr:col>
      <xdr:colOff>4638675</xdr:colOff>
      <xdr:row>10</xdr:row>
      <xdr:rowOff>50800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0415" y="438150"/>
          <a:ext cx="4601210" cy="151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5018405</xdr:colOff>
      <xdr:row>21</xdr:row>
      <xdr:rowOff>131445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2950" y="2476500"/>
          <a:ext cx="5018405" cy="165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5598160</xdr:colOff>
      <xdr:row>13</xdr:row>
      <xdr:rowOff>19050</xdr:rowOff>
    </xdr:from>
    <xdr:to>
      <xdr:col>10</xdr:col>
      <xdr:colOff>584835</xdr:colOff>
      <xdr:row>20</xdr:row>
      <xdr:rowOff>76835</xdr:rowOff>
    </xdr:to>
    <xdr:pic>
      <xdr:nvPicPr>
        <xdr:cNvPr id="6" name="Picture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41110" y="2495550"/>
          <a:ext cx="5645150" cy="1391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17</xdr:col>
      <xdr:colOff>600075</xdr:colOff>
      <xdr:row>18</xdr:row>
      <xdr:rowOff>171450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011025" y="2476500"/>
          <a:ext cx="4257675" cy="112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47625</xdr:colOff>
      <xdr:row>24</xdr:row>
      <xdr:rowOff>133350</xdr:rowOff>
    </xdr:from>
    <xdr:to>
      <xdr:col>8</xdr:col>
      <xdr:colOff>438150</xdr:colOff>
      <xdr:row>37</xdr:row>
      <xdr:rowOff>85725</xdr:rowOff>
    </xdr:to>
    <xdr:pic>
      <xdr:nvPicPr>
        <xdr:cNvPr id="8" name="Picture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43675" y="4705350"/>
          <a:ext cx="4076700" cy="242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24</xdr:row>
      <xdr:rowOff>0</xdr:rowOff>
    </xdr:from>
    <xdr:to>
      <xdr:col>1</xdr:col>
      <xdr:colOff>5019675</xdr:colOff>
      <xdr:row>39</xdr:row>
      <xdr:rowOff>106680</xdr:rowOff>
    </xdr:to>
    <xdr:pic>
      <xdr:nvPicPr>
        <xdr:cNvPr id="9" name="Picture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00150" y="4572000"/>
          <a:ext cx="4562475" cy="296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304800</xdr:colOff>
      <xdr:row>42</xdr:row>
      <xdr:rowOff>152400</xdr:rowOff>
    </xdr:from>
    <xdr:to>
      <xdr:col>3</xdr:col>
      <xdr:colOff>561975</xdr:colOff>
      <xdr:row>57</xdr:row>
      <xdr:rowOff>161925</xdr:rowOff>
    </xdr:to>
    <xdr:pic>
      <xdr:nvPicPr>
        <xdr:cNvPr id="10" name="Picture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47750" y="8153400"/>
          <a:ext cx="6648450" cy="2867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400685</xdr:colOff>
      <xdr:row>0</xdr:row>
      <xdr:rowOff>152400</xdr:rowOff>
    </xdr:from>
    <xdr:to>
      <xdr:col>19</xdr:col>
      <xdr:colOff>582295</xdr:colOff>
      <xdr:row>14</xdr:row>
      <xdr:rowOff>99695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7085" y="152400"/>
          <a:ext cx="6277610" cy="261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</xdr:row>
      <xdr:rowOff>66675</xdr:rowOff>
    </xdr:from>
    <xdr:to>
      <xdr:col>8</xdr:col>
      <xdr:colOff>382270</xdr:colOff>
      <xdr:row>13</xdr:row>
      <xdr:rowOff>161290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47675"/>
          <a:ext cx="5258435" cy="219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381000</xdr:colOff>
      <xdr:row>14</xdr:row>
      <xdr:rowOff>47625</xdr:rowOff>
    </xdr:from>
    <xdr:to>
      <xdr:col>19</xdr:col>
      <xdr:colOff>419100</xdr:colOff>
      <xdr:row>18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67400" y="2714625"/>
          <a:ext cx="6134100" cy="752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selection activeCell="F32" sqref="F32"/>
    </sheetView>
  </sheetViews>
  <sheetFormatPr defaultColWidth="9.14285714285714" defaultRowHeight="15" outlineLevelCol="4"/>
  <cols>
    <col min="1" max="1" width="13.8571428571429" customWidth="1"/>
    <col min="2" max="2" width="19.5714285714286" customWidth="1"/>
    <col min="3" max="3" width="24.5714285714286" customWidth="1"/>
    <col min="4" max="4" width="26.7142857142857" customWidth="1"/>
    <col min="5" max="5" width="14.4285714285714" customWidth="1"/>
  </cols>
  <sheetData>
    <row r="1" spans="1:5">
      <c r="A1" s="46" t="s">
        <v>0</v>
      </c>
      <c r="B1" s="46"/>
      <c r="C1" s="46"/>
      <c r="D1" s="46"/>
      <c r="E1" s="46"/>
    </row>
    <row r="2" ht="25.5" spans="1:5">
      <c r="A2" s="47" t="s">
        <v>1</v>
      </c>
      <c r="B2" s="47" t="s">
        <v>2</v>
      </c>
      <c r="C2" s="47" t="s">
        <v>3</v>
      </c>
      <c r="D2" s="47" t="s">
        <v>4</v>
      </c>
      <c r="E2" s="47" t="s">
        <v>5</v>
      </c>
    </row>
    <row r="3" spans="1:5">
      <c r="A3" s="36" t="s">
        <v>6</v>
      </c>
      <c r="B3" s="36" t="s">
        <v>6</v>
      </c>
      <c r="C3" s="36">
        <v>100000</v>
      </c>
      <c r="D3" s="48">
        <v>45748</v>
      </c>
      <c r="E3" s="49" t="s">
        <v>7</v>
      </c>
    </row>
    <row r="4" spans="1:5">
      <c r="A4" s="36" t="s">
        <v>8</v>
      </c>
      <c r="B4" s="36" t="s">
        <v>8</v>
      </c>
      <c r="C4" s="36">
        <v>100000</v>
      </c>
      <c r="D4" s="48">
        <v>45748</v>
      </c>
      <c r="E4" s="49" t="s">
        <v>7</v>
      </c>
    </row>
    <row r="5" spans="1:5">
      <c r="A5" s="49" t="s">
        <v>9</v>
      </c>
      <c r="B5" s="49" t="s">
        <v>9</v>
      </c>
      <c r="C5" s="49">
        <v>100000</v>
      </c>
      <c r="D5" s="48">
        <v>45748</v>
      </c>
      <c r="E5" s="49" t="s">
        <v>7</v>
      </c>
    </row>
    <row r="6" spans="1:5">
      <c r="A6" s="49" t="s">
        <v>10</v>
      </c>
      <c r="B6" s="49" t="s">
        <v>10</v>
      </c>
      <c r="C6" s="49">
        <v>100000</v>
      </c>
      <c r="D6" s="48">
        <v>45748</v>
      </c>
      <c r="E6" s="49" t="s">
        <v>7</v>
      </c>
    </row>
    <row r="7" spans="1:5">
      <c r="A7" s="49" t="s">
        <v>11</v>
      </c>
      <c r="B7" s="49" t="s">
        <v>11</v>
      </c>
      <c r="C7" s="49">
        <v>100000</v>
      </c>
      <c r="D7" s="48">
        <v>45748</v>
      </c>
      <c r="E7" s="49" t="s">
        <v>7</v>
      </c>
    </row>
    <row r="8" spans="1:5">
      <c r="A8" s="49" t="s">
        <v>12</v>
      </c>
      <c r="B8" s="49" t="s">
        <v>12</v>
      </c>
      <c r="C8" s="49">
        <v>100000</v>
      </c>
      <c r="D8" s="48">
        <v>45748</v>
      </c>
      <c r="E8" s="49" t="s">
        <v>7</v>
      </c>
    </row>
    <row r="11" spans="1:5">
      <c r="A11" s="50" t="s">
        <v>13</v>
      </c>
      <c r="B11" s="50"/>
      <c r="C11" s="50"/>
      <c r="D11" s="50"/>
    </row>
    <row r="12" ht="25.5" spans="1:5">
      <c r="A12" s="47" t="s">
        <v>1</v>
      </c>
      <c r="B12" s="47" t="s">
        <v>2</v>
      </c>
      <c r="C12" s="47" t="s">
        <v>3</v>
      </c>
      <c r="D12" s="47" t="s">
        <v>4</v>
      </c>
    </row>
    <row r="13" spans="1:5">
      <c r="A13" s="49" t="s">
        <v>14</v>
      </c>
      <c r="B13" s="49" t="s">
        <v>14</v>
      </c>
      <c r="C13" s="49">
        <v>100000</v>
      </c>
      <c r="D13" s="48">
        <v>46478</v>
      </c>
    </row>
    <row r="14" spans="1:5">
      <c r="A14" s="49" t="s">
        <v>14</v>
      </c>
      <c r="B14" s="49" t="s">
        <v>15</v>
      </c>
      <c r="C14" s="49">
        <v>100000</v>
      </c>
      <c r="D14" s="48">
        <v>46478</v>
      </c>
    </row>
    <row r="15" spans="1:5">
      <c r="A15" s="49" t="s">
        <v>14</v>
      </c>
      <c r="B15" s="49" t="s">
        <v>16</v>
      </c>
      <c r="C15" s="49">
        <v>100000</v>
      </c>
      <c r="D15" s="48">
        <v>46478</v>
      </c>
    </row>
    <row r="16" spans="1:5">
      <c r="A16" s="49" t="s">
        <v>14</v>
      </c>
      <c r="B16" s="49" t="s">
        <v>17</v>
      </c>
      <c r="C16" s="49">
        <v>1000000</v>
      </c>
      <c r="D16" s="48">
        <v>46478</v>
      </c>
    </row>
    <row r="17" spans="1:4">
      <c r="A17" s="49" t="s">
        <v>18</v>
      </c>
      <c r="B17" s="49" t="s">
        <v>18</v>
      </c>
      <c r="C17" s="49">
        <v>1000001</v>
      </c>
      <c r="D17" s="48">
        <v>46478</v>
      </c>
    </row>
    <row r="18" spans="1:4">
      <c r="A18" s="49" t="s">
        <v>19</v>
      </c>
      <c r="B18" s="49" t="s">
        <v>19</v>
      </c>
      <c r="C18" s="49">
        <v>1000001</v>
      </c>
      <c r="D18" s="48">
        <v>46478</v>
      </c>
    </row>
    <row r="19" spans="1:4">
      <c r="A19" s="49" t="s">
        <v>20</v>
      </c>
      <c r="B19" s="49" t="s">
        <v>20</v>
      </c>
      <c r="C19" s="49">
        <v>1000001</v>
      </c>
      <c r="D19" s="48">
        <v>46478</v>
      </c>
    </row>
    <row r="20" spans="1:4">
      <c r="A20" s="49" t="s">
        <v>21</v>
      </c>
      <c r="B20" s="49" t="s">
        <v>21</v>
      </c>
      <c r="C20" s="49">
        <v>1000001</v>
      </c>
      <c r="D20" s="48">
        <v>46478</v>
      </c>
    </row>
    <row r="21" spans="1:4">
      <c r="A21" s="49" t="s">
        <v>22</v>
      </c>
      <c r="B21" s="49" t="s">
        <v>22</v>
      </c>
      <c r="C21" s="49">
        <v>1000001</v>
      </c>
      <c r="D21" s="48">
        <v>46478</v>
      </c>
    </row>
    <row r="22" spans="1:4">
      <c r="A22" s="49" t="s">
        <v>23</v>
      </c>
      <c r="B22" s="49" t="s">
        <v>23</v>
      </c>
      <c r="C22" s="49">
        <v>1000001</v>
      </c>
      <c r="D22" s="48">
        <v>46478</v>
      </c>
    </row>
    <row r="23" spans="1:4">
      <c r="A23" s="49" t="s">
        <v>24</v>
      </c>
      <c r="B23" s="49" t="s">
        <v>24</v>
      </c>
      <c r="C23" s="49">
        <v>1000001</v>
      </c>
      <c r="D23" s="48">
        <v>46478</v>
      </c>
    </row>
    <row r="24" spans="1:4">
      <c r="A24" s="49" t="s">
        <v>25</v>
      </c>
      <c r="B24" s="49" t="s">
        <v>25</v>
      </c>
      <c r="C24" s="49">
        <v>1000001</v>
      </c>
      <c r="D24" s="48">
        <v>46478</v>
      </c>
    </row>
    <row r="25" spans="1:4">
      <c r="A25" s="49" t="s">
        <v>26</v>
      </c>
      <c r="B25" s="49" t="s">
        <v>26</v>
      </c>
      <c r="C25" s="49">
        <v>1000001</v>
      </c>
      <c r="D25" s="48">
        <v>46478</v>
      </c>
    </row>
    <row r="26" spans="1:4">
      <c r="A26" s="49" t="s">
        <v>27</v>
      </c>
      <c r="B26" s="49" t="s">
        <v>27</v>
      </c>
      <c r="C26" s="49">
        <v>1000001</v>
      </c>
      <c r="D26" s="48">
        <v>46478</v>
      </c>
    </row>
    <row r="27" spans="1:4">
      <c r="A27" s="49" t="s">
        <v>28</v>
      </c>
      <c r="B27" s="49" t="s">
        <v>28</v>
      </c>
      <c r="C27" s="49">
        <v>1000001</v>
      </c>
      <c r="D27" s="48">
        <v>46478</v>
      </c>
    </row>
    <row r="28" spans="1:4">
      <c r="A28" s="49" t="s">
        <v>29</v>
      </c>
      <c r="B28" s="49" t="s">
        <v>29</v>
      </c>
      <c r="C28" s="49">
        <v>1000001</v>
      </c>
      <c r="D28" s="48">
        <v>46478</v>
      </c>
    </row>
    <row r="29" spans="1:4">
      <c r="A29" s="49" t="s">
        <v>30</v>
      </c>
      <c r="B29" s="49" t="s">
        <v>30</v>
      </c>
      <c r="C29" s="49">
        <v>1000001</v>
      </c>
      <c r="D29" s="48">
        <v>46478</v>
      </c>
    </row>
    <row r="30" spans="1:4">
      <c r="A30" s="49" t="s">
        <v>31</v>
      </c>
      <c r="B30" s="49" t="s">
        <v>31</v>
      </c>
      <c r="C30" s="49">
        <v>1000001</v>
      </c>
      <c r="D30" s="48">
        <v>46478</v>
      </c>
    </row>
    <row r="31" spans="1:4">
      <c r="A31" s="38" t="s">
        <v>32</v>
      </c>
      <c r="B31" s="38" t="s">
        <v>32</v>
      </c>
      <c r="C31" s="38">
        <v>1000001</v>
      </c>
      <c r="D31" s="48">
        <v>46478</v>
      </c>
    </row>
    <row r="32" spans="1:4">
      <c r="A32" s="38" t="s">
        <v>33</v>
      </c>
      <c r="B32" s="38" t="s">
        <v>33</v>
      </c>
      <c r="C32" s="38">
        <v>2000000</v>
      </c>
      <c r="D32" s="48">
        <v>46478</v>
      </c>
    </row>
  </sheetData>
  <mergeCells count="2">
    <mergeCell ref="A1:E1"/>
    <mergeCell ref="A11:D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opLeftCell="A4" workbookViewId="0">
      <selection activeCell="H45" sqref="H45"/>
    </sheetView>
  </sheetViews>
  <sheetFormatPr defaultColWidth="9.14285714285714" defaultRowHeight="15" outlineLevelCol="2"/>
  <cols>
    <col min="1" max="1" width="11.1428571428571" customWidth="1"/>
    <col min="2" max="2" width="86.2857142857143" customWidth="1"/>
    <col min="3" max="3" width="9.57142857142857" customWidth="1"/>
  </cols>
  <sheetData>
    <row r="1" spans="1:3">
      <c r="A1" s="45" t="s">
        <v>34</v>
      </c>
      <c r="B1" s="45" t="s">
        <v>35</v>
      </c>
    </row>
    <row r="2" spans="1:3">
      <c r="A2" t="s">
        <v>36</v>
      </c>
      <c r="B2" t="s">
        <v>37</v>
      </c>
      <c r="C2" t="s">
        <v>38</v>
      </c>
    </row>
    <row r="13" spans="1:3">
      <c r="A13" t="s">
        <v>39</v>
      </c>
      <c r="B13" t="s">
        <v>40</v>
      </c>
      <c r="C13" t="s">
        <v>38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"/>
  <sheetViews>
    <sheetView workbookViewId="0">
      <selection activeCell="A10" sqref="$A10:$XFD10"/>
    </sheetView>
  </sheetViews>
  <sheetFormatPr defaultColWidth="9.14285714285714" defaultRowHeight="15"/>
  <cols>
    <col min="15" max="15" width="12" customWidth="1"/>
    <col min="16" max="16" width="15.1428571428571" customWidth="1"/>
    <col min="17" max="17" width="22.5714285714286" customWidth="1"/>
    <col min="18" max="18" width="15.1428571428571" customWidth="1"/>
  </cols>
  <sheetData>
    <row r="1" s="31" customFormat="1" spans="1:41">
      <c r="A1" s="34" t="s">
        <v>41</v>
      </c>
      <c r="B1" s="34" t="s">
        <v>42</v>
      </c>
      <c r="C1" s="34" t="s">
        <v>43</v>
      </c>
      <c r="D1" s="34" t="s">
        <v>44</v>
      </c>
      <c r="E1" s="34" t="s">
        <v>45</v>
      </c>
      <c r="F1" s="34" t="s">
        <v>46</v>
      </c>
      <c r="G1" s="34" t="s">
        <v>47</v>
      </c>
      <c r="H1" s="34" t="s">
        <v>48</v>
      </c>
      <c r="I1" s="34" t="s">
        <v>49</v>
      </c>
      <c r="J1" s="34" t="s">
        <v>50</v>
      </c>
      <c r="K1" s="34" t="s">
        <v>51</v>
      </c>
      <c r="L1" s="34" t="s">
        <v>52</v>
      </c>
      <c r="M1" s="34" t="s">
        <v>53</v>
      </c>
      <c r="N1" s="34" t="s">
        <v>54</v>
      </c>
      <c r="O1" s="34" t="s">
        <v>55</v>
      </c>
      <c r="P1" s="34" t="s">
        <v>56</v>
      </c>
      <c r="Q1" s="34" t="s">
        <v>57</v>
      </c>
      <c r="R1" s="31" t="s">
        <v>58</v>
      </c>
      <c r="S1" s="31" t="s">
        <v>59</v>
      </c>
      <c r="T1" s="31" t="s">
        <v>60</v>
      </c>
      <c r="U1" s="31" t="s">
        <v>61</v>
      </c>
      <c r="V1" s="31" t="s">
        <v>62</v>
      </c>
      <c r="W1" s="31" t="s">
        <v>63</v>
      </c>
      <c r="X1" s="34" t="s">
        <v>64</v>
      </c>
      <c r="Y1" s="34" t="s">
        <v>65</v>
      </c>
      <c r="Z1" s="34" t="s">
        <v>66</v>
      </c>
      <c r="AA1" s="34" t="s">
        <v>67</v>
      </c>
      <c r="AB1" s="34" t="s">
        <v>68</v>
      </c>
      <c r="AC1" s="34" t="s">
        <v>69</v>
      </c>
      <c r="AD1" s="34" t="s">
        <v>70</v>
      </c>
      <c r="AE1" s="34" t="s">
        <v>71</v>
      </c>
      <c r="AF1" s="34" t="s">
        <v>72</v>
      </c>
      <c r="AG1" s="34" t="s">
        <v>73</v>
      </c>
      <c r="AH1" s="34" t="s">
        <v>74</v>
      </c>
      <c r="AI1" s="35" t="s">
        <v>75</v>
      </c>
      <c r="AJ1" s="34" t="s">
        <v>76</v>
      </c>
      <c r="AK1" s="34" t="s">
        <v>77</v>
      </c>
      <c r="AL1" s="31" t="s">
        <v>78</v>
      </c>
      <c r="AM1" s="31" t="s">
        <v>79</v>
      </c>
      <c r="AN1" s="31" t="s">
        <v>80</v>
      </c>
      <c r="AO1" s="31" t="s">
        <v>81</v>
      </c>
    </row>
    <row r="2" s="32" customFormat="1" spans="1:41">
      <c r="A2" s="31" t="s">
        <v>82</v>
      </c>
      <c r="B2" s="31" t="s">
        <v>83</v>
      </c>
      <c r="C2" s="31">
        <v>1</v>
      </c>
      <c r="D2" s="31">
        <v>1</v>
      </c>
      <c r="E2" s="31" t="s">
        <v>84</v>
      </c>
      <c r="G2" s="31" t="s">
        <v>85</v>
      </c>
      <c r="H2" s="31">
        <v>1</v>
      </c>
      <c r="I2" s="31" t="s">
        <v>86</v>
      </c>
      <c r="J2" s="31" t="s">
        <v>87</v>
      </c>
      <c r="K2" s="31">
        <v>209</v>
      </c>
      <c r="L2" s="31">
        <v>233</v>
      </c>
      <c r="M2" s="31">
        <v>10</v>
      </c>
      <c r="N2" s="31">
        <v>800026</v>
      </c>
      <c r="O2" s="31" t="s">
        <v>88</v>
      </c>
      <c r="P2" s="36" t="s">
        <v>6</v>
      </c>
      <c r="Q2" s="36" t="s">
        <v>89</v>
      </c>
      <c r="R2" s="37" t="s">
        <v>90</v>
      </c>
      <c r="S2" s="31" t="s">
        <v>91</v>
      </c>
      <c r="T2" s="37" t="s">
        <v>92</v>
      </c>
      <c r="U2" s="31" t="s">
        <v>91</v>
      </c>
      <c r="V2" s="37">
        <v>10000</v>
      </c>
      <c r="W2" s="31" t="s">
        <v>85</v>
      </c>
      <c r="X2" s="31"/>
      <c r="Y2" s="31" t="s">
        <v>85</v>
      </c>
      <c r="Z2" s="31"/>
      <c r="AA2" s="31"/>
      <c r="AB2" s="31" t="s">
        <v>93</v>
      </c>
      <c r="AC2" s="31">
        <v>0</v>
      </c>
      <c r="AD2" s="31">
        <v>1</v>
      </c>
      <c r="AE2" s="31" t="s">
        <v>94</v>
      </c>
      <c r="AF2" s="31"/>
      <c r="AG2" s="31"/>
      <c r="AH2" s="31"/>
      <c r="AI2" s="37">
        <v>1234567906</v>
      </c>
      <c r="AJ2" s="31" t="s">
        <v>95</v>
      </c>
      <c r="AK2" s="31" t="s">
        <v>85</v>
      </c>
      <c r="AL2" s="31" t="s">
        <v>85</v>
      </c>
      <c r="AM2" s="31" t="s">
        <v>85</v>
      </c>
      <c r="AN2" s="31" t="s">
        <v>85</v>
      </c>
      <c r="AO2" s="31" t="s">
        <v>85</v>
      </c>
    </row>
    <row r="3" s="32" customFormat="1" spans="1:41">
      <c r="A3" s="31" t="s">
        <v>82</v>
      </c>
      <c r="B3" s="31" t="s">
        <v>96</v>
      </c>
      <c r="C3" s="31">
        <v>1</v>
      </c>
      <c r="D3" s="31">
        <v>1</v>
      </c>
      <c r="E3" s="31" t="s">
        <v>84</v>
      </c>
      <c r="G3" s="31" t="s">
        <v>85</v>
      </c>
      <c r="H3" s="31">
        <v>1</v>
      </c>
      <c r="I3" s="31" t="s">
        <v>86</v>
      </c>
      <c r="J3" s="31" t="s">
        <v>87</v>
      </c>
      <c r="K3" s="31">
        <v>209</v>
      </c>
      <c r="L3" s="31">
        <v>233</v>
      </c>
      <c r="M3" s="31">
        <v>10</v>
      </c>
      <c r="N3" s="31">
        <v>800026</v>
      </c>
      <c r="O3" s="31" t="s">
        <v>88</v>
      </c>
      <c r="P3" s="36" t="s">
        <v>8</v>
      </c>
      <c r="Q3" s="36" t="s">
        <v>97</v>
      </c>
      <c r="R3" s="37" t="s">
        <v>90</v>
      </c>
      <c r="S3" s="31" t="s">
        <v>91</v>
      </c>
      <c r="T3" s="37" t="s">
        <v>92</v>
      </c>
      <c r="U3" s="31" t="s">
        <v>91</v>
      </c>
      <c r="V3" s="37">
        <v>1000</v>
      </c>
      <c r="W3" s="31" t="s">
        <v>85</v>
      </c>
      <c r="X3" s="31"/>
      <c r="Y3" s="31" t="s">
        <v>85</v>
      </c>
      <c r="Z3" s="31"/>
      <c r="AA3" s="31"/>
      <c r="AB3" s="31" t="s">
        <v>98</v>
      </c>
      <c r="AC3" s="31">
        <v>0</v>
      </c>
      <c r="AD3" s="31">
        <v>1</v>
      </c>
      <c r="AE3" s="31" t="s">
        <v>94</v>
      </c>
      <c r="AF3" s="31"/>
      <c r="AG3" s="31"/>
      <c r="AH3" s="31"/>
      <c r="AI3" s="37">
        <v>1234567907</v>
      </c>
      <c r="AJ3" s="31" t="s">
        <v>95</v>
      </c>
      <c r="AK3" s="31" t="s">
        <v>85</v>
      </c>
      <c r="AL3" s="31" t="s">
        <v>85</v>
      </c>
      <c r="AM3" s="31" t="s">
        <v>85</v>
      </c>
      <c r="AN3" s="31" t="s">
        <v>85</v>
      </c>
      <c r="AO3" s="31" t="s">
        <v>85</v>
      </c>
    </row>
    <row r="4" s="32" customFormat="1" spans="1:41">
      <c r="A4" s="31" t="s">
        <v>82</v>
      </c>
      <c r="B4" s="31" t="s">
        <v>99</v>
      </c>
      <c r="C4" s="31">
        <v>1</v>
      </c>
      <c r="D4" s="31">
        <v>1</v>
      </c>
      <c r="E4" s="31" t="s">
        <v>84</v>
      </c>
      <c r="G4" s="31" t="s">
        <v>85</v>
      </c>
      <c r="H4" s="31">
        <v>1</v>
      </c>
      <c r="I4" s="31" t="s">
        <v>86</v>
      </c>
      <c r="J4" s="31" t="s">
        <v>100</v>
      </c>
      <c r="K4" s="31">
        <v>209</v>
      </c>
      <c r="L4" s="31">
        <v>233</v>
      </c>
      <c r="M4" s="31">
        <v>10</v>
      </c>
      <c r="N4" s="31">
        <v>800026</v>
      </c>
      <c r="O4" s="31" t="s">
        <v>101</v>
      </c>
      <c r="P4" s="38" t="s">
        <v>32</v>
      </c>
      <c r="Q4" s="39" t="s">
        <v>102</v>
      </c>
      <c r="R4" s="37" t="s">
        <v>90</v>
      </c>
      <c r="S4" s="31" t="s">
        <v>91</v>
      </c>
      <c r="T4" s="37" t="s">
        <v>92</v>
      </c>
      <c r="U4" s="31" t="s">
        <v>91</v>
      </c>
      <c r="V4" s="37">
        <v>1000</v>
      </c>
      <c r="W4" s="31" t="s">
        <v>85</v>
      </c>
      <c r="X4" s="31"/>
      <c r="Y4" s="31" t="s">
        <v>85</v>
      </c>
      <c r="Z4" s="31"/>
      <c r="AA4" s="31"/>
      <c r="AB4" s="31" t="s">
        <v>86</v>
      </c>
      <c r="AC4" s="31">
        <v>0</v>
      </c>
      <c r="AD4" s="31">
        <v>1</v>
      </c>
      <c r="AE4" s="31" t="s">
        <v>103</v>
      </c>
      <c r="AF4" s="31"/>
      <c r="AG4" s="31"/>
      <c r="AH4" s="31"/>
      <c r="AI4" s="37">
        <v>1234567908</v>
      </c>
      <c r="AJ4" s="31" t="s">
        <v>104</v>
      </c>
      <c r="AK4" s="31" t="s">
        <v>85</v>
      </c>
      <c r="AL4" s="31" t="s">
        <v>85</v>
      </c>
      <c r="AM4" s="31" t="s">
        <v>85</v>
      </c>
      <c r="AN4" s="31" t="s">
        <v>85</v>
      </c>
      <c r="AO4" s="31" t="s">
        <v>85</v>
      </c>
    </row>
    <row r="5" s="32" customFormat="1" spans="1:41">
      <c r="A5" s="31" t="s">
        <v>82</v>
      </c>
      <c r="B5" s="31" t="s">
        <v>105</v>
      </c>
      <c r="C5" s="31">
        <v>1</v>
      </c>
      <c r="D5" s="31">
        <v>1</v>
      </c>
      <c r="E5" s="31" t="s">
        <v>84</v>
      </c>
      <c r="G5" s="31" t="s">
        <v>85</v>
      </c>
      <c r="H5" s="31">
        <v>1</v>
      </c>
      <c r="I5" s="31" t="s">
        <v>86</v>
      </c>
      <c r="J5" s="31" t="s">
        <v>87</v>
      </c>
      <c r="K5" s="31">
        <v>209</v>
      </c>
      <c r="L5" s="31">
        <v>233</v>
      </c>
      <c r="M5" s="31">
        <v>10</v>
      </c>
      <c r="N5" s="31">
        <v>800026</v>
      </c>
      <c r="O5" s="31" t="s">
        <v>88</v>
      </c>
      <c r="P5" s="38" t="s">
        <v>33</v>
      </c>
      <c r="Q5" s="39" t="s">
        <v>106</v>
      </c>
      <c r="R5" s="37" t="s">
        <v>90</v>
      </c>
      <c r="S5" s="31" t="s">
        <v>91</v>
      </c>
      <c r="T5" s="37" t="s">
        <v>92</v>
      </c>
      <c r="U5" s="31" t="s">
        <v>91</v>
      </c>
      <c r="V5" s="37">
        <v>10000</v>
      </c>
      <c r="W5" s="31" t="s">
        <v>85</v>
      </c>
      <c r="X5" s="31"/>
      <c r="Y5" s="31" t="s">
        <v>85</v>
      </c>
      <c r="Z5" s="31"/>
      <c r="AA5" s="31"/>
      <c r="AB5" s="31" t="s">
        <v>98</v>
      </c>
      <c r="AC5" s="31">
        <v>0</v>
      </c>
      <c r="AD5" s="31">
        <v>1</v>
      </c>
      <c r="AE5" s="31" t="s">
        <v>107</v>
      </c>
      <c r="AF5" s="31"/>
      <c r="AG5" s="31"/>
      <c r="AH5" s="31"/>
      <c r="AI5" s="37">
        <v>1234567909</v>
      </c>
      <c r="AJ5" s="31" t="s">
        <v>108</v>
      </c>
      <c r="AK5" s="31" t="s">
        <v>85</v>
      </c>
      <c r="AL5" s="31" t="s">
        <v>85</v>
      </c>
      <c r="AM5" s="31" t="s">
        <v>85</v>
      </c>
      <c r="AN5" s="31" t="s">
        <v>85</v>
      </c>
      <c r="AO5" s="31" t="s">
        <v>85</v>
      </c>
    </row>
    <row r="10" s="33" customFormat="1" ht="25.5" spans="1:41">
      <c r="A10" s="39" t="s">
        <v>109</v>
      </c>
      <c r="B10" s="39" t="s">
        <v>109</v>
      </c>
      <c r="C10" s="40" t="s">
        <v>92</v>
      </c>
      <c r="D10" s="33" t="s">
        <v>85</v>
      </c>
      <c r="F10" s="40" t="s">
        <v>92</v>
      </c>
      <c r="G10" s="41" t="s">
        <v>91</v>
      </c>
      <c r="H10" s="33" t="s">
        <v>7</v>
      </c>
      <c r="I10" s="41" t="s">
        <v>110</v>
      </c>
      <c r="J10" s="33">
        <v>1</v>
      </c>
      <c r="K10" s="42">
        <v>0</v>
      </c>
      <c r="L10" s="43">
        <v>1</v>
      </c>
      <c r="M10" s="44" t="s">
        <v>111</v>
      </c>
      <c r="N10" s="41" t="s">
        <v>91</v>
      </c>
      <c r="O10" s="41"/>
      <c r="S10" s="41" t="s">
        <v>82</v>
      </c>
      <c r="T10" s="33" t="s">
        <v>85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J21" sqref="J21"/>
    </sheetView>
  </sheetViews>
  <sheetFormatPr defaultColWidth="9.14285714285714" defaultRowHeight="15"/>
  <cols>
    <col min="1" max="1" width="17.1428571428571" customWidth="1"/>
    <col min="2" max="2" width="21.4285714285714" customWidth="1"/>
    <col min="3" max="3" width="15.7142857142857" customWidth="1"/>
    <col min="4" max="4" width="16.4285714285714" customWidth="1"/>
    <col min="5" max="5" width="13.5714285714286" customWidth="1"/>
    <col min="6" max="6" width="10.5714285714286" customWidth="1"/>
    <col min="7" max="7" width="19.8571428571429" customWidth="1"/>
    <col min="8" max="8" width="20" customWidth="1"/>
    <col min="9" max="9" width="18.8571428571429" customWidth="1"/>
    <col min="10" max="10" width="14.1428571428571" customWidth="1"/>
    <col min="11" max="11" width="11.2857142857143" customWidth="1"/>
    <col min="12" max="12" width="12.5714285714286" customWidth="1"/>
  </cols>
  <sheetData>
    <row r="1" spans="1:12">
      <c r="A1" s="1" t="s">
        <v>112</v>
      </c>
      <c r="B1" s="1"/>
      <c r="C1" s="1"/>
      <c r="D1" s="1"/>
      <c r="E1" s="1"/>
      <c r="G1" s="2"/>
      <c r="H1" s="2"/>
      <c r="I1" s="2"/>
      <c r="J1" s="2"/>
      <c r="K1" s="2"/>
    </row>
    <row r="2" spans="1:12">
      <c r="A2" s="3" t="s">
        <v>113</v>
      </c>
      <c r="B2" s="3" t="s">
        <v>114</v>
      </c>
      <c r="C2" s="4" t="s">
        <v>115</v>
      </c>
      <c r="D2" s="1"/>
      <c r="E2" s="1"/>
      <c r="G2" s="5"/>
      <c r="H2" s="5"/>
      <c r="I2" s="2"/>
      <c r="J2" s="2"/>
      <c r="K2" s="2"/>
    </row>
    <row r="3" spans="1:12">
      <c r="A3" s="6" t="s">
        <v>56</v>
      </c>
      <c r="B3" s="6" t="s">
        <v>57</v>
      </c>
      <c r="C3" s="7" t="s">
        <v>58</v>
      </c>
      <c r="D3" s="1" t="s">
        <v>116</v>
      </c>
      <c r="E3" s="1" t="s">
        <v>117</v>
      </c>
      <c r="G3" s="8" t="s">
        <v>118</v>
      </c>
      <c r="H3" s="8"/>
      <c r="I3" s="8" t="s">
        <v>119</v>
      </c>
      <c r="J3" s="8" t="s">
        <v>120</v>
      </c>
      <c r="K3" s="8" t="s">
        <v>121</v>
      </c>
      <c r="L3" t="s">
        <v>122</v>
      </c>
    </row>
    <row r="4" spans="1:12">
      <c r="A4" s="9" t="s">
        <v>109</v>
      </c>
      <c r="B4" s="9" t="s">
        <v>109</v>
      </c>
      <c r="C4" s="10">
        <v>1000001</v>
      </c>
      <c r="D4" s="11" t="s">
        <v>123</v>
      </c>
      <c r="E4" s="11"/>
      <c r="G4" s="12" t="s">
        <v>109</v>
      </c>
      <c r="H4" s="12" t="s">
        <v>109</v>
      </c>
      <c r="I4" s="13">
        <v>1000001</v>
      </c>
      <c r="J4" s="14"/>
      <c r="K4" s="15">
        <f>I4+I5</f>
        <v>2000000</v>
      </c>
    </row>
    <row r="5" spans="1:12">
      <c r="A5" s="16" t="s">
        <v>109</v>
      </c>
      <c r="B5" s="16" t="s">
        <v>124</v>
      </c>
      <c r="C5" s="17" t="s">
        <v>125</v>
      </c>
      <c r="D5" s="11"/>
      <c r="E5" s="11"/>
      <c r="G5" s="12" t="s">
        <v>109</v>
      </c>
      <c r="H5" s="12" t="s">
        <v>124</v>
      </c>
      <c r="I5" s="14">
        <v>999999</v>
      </c>
      <c r="J5" s="14"/>
      <c r="K5" s="15"/>
    </row>
    <row r="6" spans="1:12">
      <c r="A6" s="9" t="s">
        <v>126</v>
      </c>
      <c r="B6" s="9" t="s">
        <v>126</v>
      </c>
      <c r="C6" s="10">
        <v>1000001</v>
      </c>
      <c r="D6" s="11" t="s">
        <v>123</v>
      </c>
      <c r="E6" s="11"/>
      <c r="G6" s="18" t="s">
        <v>126</v>
      </c>
      <c r="H6" s="18" t="s">
        <v>126</v>
      </c>
      <c r="I6" s="19">
        <v>0</v>
      </c>
      <c r="J6" s="20"/>
      <c r="K6" s="21">
        <f>I6+I7</f>
        <v>100</v>
      </c>
      <c r="L6" t="s">
        <v>127</v>
      </c>
    </row>
    <row r="7" spans="1:12">
      <c r="A7" s="16" t="s">
        <v>126</v>
      </c>
      <c r="B7" s="16" t="s">
        <v>128</v>
      </c>
      <c r="C7" s="22">
        <v>100</v>
      </c>
      <c r="D7" s="11"/>
      <c r="E7" s="11"/>
      <c r="G7" s="18" t="s">
        <v>126</v>
      </c>
      <c r="H7" s="18" t="s">
        <v>128</v>
      </c>
      <c r="I7" s="20">
        <v>100</v>
      </c>
      <c r="J7" s="20"/>
      <c r="K7" s="21"/>
    </row>
    <row r="8" spans="1:12">
      <c r="A8" s="9" t="s">
        <v>129</v>
      </c>
      <c r="B8" s="9" t="s">
        <v>129</v>
      </c>
      <c r="C8" s="10">
        <v>1000001</v>
      </c>
      <c r="D8" s="11" t="s">
        <v>123</v>
      </c>
      <c r="E8" s="11"/>
      <c r="G8" s="9" t="s">
        <v>129</v>
      </c>
      <c r="H8" s="9" t="s">
        <v>129</v>
      </c>
      <c r="I8" s="10">
        <v>1000001</v>
      </c>
      <c r="J8" s="23"/>
      <c r="K8" s="24">
        <f>I8+J8</f>
        <v>1000001</v>
      </c>
    </row>
    <row r="9" spans="1:12">
      <c r="A9" s="9" t="s">
        <v>130</v>
      </c>
      <c r="B9" s="9" t="s">
        <v>130</v>
      </c>
      <c r="C9" s="10">
        <v>1000001</v>
      </c>
      <c r="D9" s="11" t="s">
        <v>123</v>
      </c>
      <c r="E9" s="11"/>
      <c r="G9" s="9" t="s">
        <v>130</v>
      </c>
      <c r="H9" s="9" t="s">
        <v>130</v>
      </c>
      <c r="I9" s="10">
        <v>1000001</v>
      </c>
      <c r="J9" s="23"/>
      <c r="K9" s="24">
        <f t="shared" ref="K9:K14" si="0">I9+J9</f>
        <v>1000001</v>
      </c>
    </row>
    <row r="10" spans="1:12">
      <c r="A10" s="9" t="s">
        <v>131</v>
      </c>
      <c r="B10" s="9" t="s">
        <v>131</v>
      </c>
      <c r="C10" s="10">
        <v>1000000</v>
      </c>
      <c r="D10" s="11" t="s">
        <v>123</v>
      </c>
      <c r="E10" s="11"/>
      <c r="G10" s="9" t="s">
        <v>131</v>
      </c>
      <c r="H10" s="9" t="s">
        <v>131</v>
      </c>
      <c r="I10" s="10">
        <v>1000000</v>
      </c>
      <c r="J10" s="23"/>
      <c r="K10" s="24">
        <f t="shared" si="0"/>
        <v>1000000</v>
      </c>
    </row>
    <row r="11" spans="1:12">
      <c r="A11" s="9" t="s">
        <v>131</v>
      </c>
      <c r="B11" s="9" t="s">
        <v>132</v>
      </c>
      <c r="C11" s="10">
        <v>1000000</v>
      </c>
      <c r="D11" s="11" t="s">
        <v>123</v>
      </c>
      <c r="E11" s="11"/>
      <c r="G11" s="9" t="s">
        <v>131</v>
      </c>
      <c r="H11" s="9" t="s">
        <v>132</v>
      </c>
      <c r="I11" s="10">
        <v>1000000</v>
      </c>
      <c r="J11" s="23"/>
      <c r="K11" s="24">
        <f t="shared" si="0"/>
        <v>1000000</v>
      </c>
    </row>
    <row r="12" spans="1:12">
      <c r="A12" s="9" t="s">
        <v>133</v>
      </c>
      <c r="B12" s="9" t="s">
        <v>133</v>
      </c>
      <c r="C12" s="10">
        <v>1700000</v>
      </c>
      <c r="D12" s="11" t="s">
        <v>123</v>
      </c>
      <c r="E12" s="11"/>
      <c r="G12" s="9" t="s">
        <v>133</v>
      </c>
      <c r="H12" s="9" t="s">
        <v>133</v>
      </c>
      <c r="I12" s="10">
        <v>1700000</v>
      </c>
      <c r="J12" s="23"/>
      <c r="K12" s="24">
        <f t="shared" si="0"/>
        <v>1700000</v>
      </c>
    </row>
    <row r="13" spans="1:12">
      <c r="A13" s="9" t="s">
        <v>134</v>
      </c>
      <c r="B13" s="9" t="s">
        <v>134</v>
      </c>
      <c r="C13" s="10">
        <v>1800000</v>
      </c>
      <c r="D13" s="11" t="s">
        <v>123</v>
      </c>
      <c r="E13" s="11"/>
      <c r="G13" s="9" t="s">
        <v>134</v>
      </c>
      <c r="H13" s="9" t="s">
        <v>134</v>
      </c>
      <c r="I13" s="10">
        <v>1800000</v>
      </c>
      <c r="J13" s="23"/>
      <c r="K13" s="24">
        <f t="shared" si="0"/>
        <v>1800000</v>
      </c>
    </row>
    <row r="14" spans="1:12">
      <c r="A14" s="9" t="s">
        <v>135</v>
      </c>
      <c r="B14" s="9" t="s">
        <v>135</v>
      </c>
      <c r="C14" s="10">
        <v>1000001</v>
      </c>
      <c r="D14" s="11" t="s">
        <v>123</v>
      </c>
      <c r="E14" s="11"/>
      <c r="G14" s="9" t="s">
        <v>135</v>
      </c>
      <c r="H14" s="9" t="s">
        <v>135</v>
      </c>
      <c r="I14" s="10">
        <v>1000001</v>
      </c>
      <c r="J14" s="23"/>
      <c r="K14" s="24">
        <f t="shared" si="0"/>
        <v>1000001</v>
      </c>
    </row>
    <row r="15" spans="1:12">
      <c r="A15" s="9" t="s">
        <v>136</v>
      </c>
      <c r="B15" s="9" t="s">
        <v>136</v>
      </c>
      <c r="C15" s="10">
        <v>1000000</v>
      </c>
      <c r="D15" s="11" t="s">
        <v>123</v>
      </c>
      <c r="E15" s="11"/>
      <c r="G15" s="9" t="s">
        <v>136</v>
      </c>
      <c r="H15" s="9" t="s">
        <v>136</v>
      </c>
      <c r="I15" s="10">
        <v>1000000</v>
      </c>
      <c r="J15" s="23"/>
      <c r="K15" s="25">
        <f>I15+I16+I17+I18</f>
        <v>1021000</v>
      </c>
    </row>
    <row r="16" spans="1:12">
      <c r="A16" s="9" t="s">
        <v>136</v>
      </c>
      <c r="B16" s="9" t="s">
        <v>137</v>
      </c>
      <c r="C16" s="10">
        <v>1000</v>
      </c>
      <c r="D16" s="11" t="s">
        <v>123</v>
      </c>
      <c r="E16" s="11"/>
      <c r="G16" s="9" t="s">
        <v>136</v>
      </c>
      <c r="H16" s="9" t="s">
        <v>137</v>
      </c>
      <c r="I16" s="10">
        <v>1000</v>
      </c>
      <c r="J16" s="23"/>
      <c r="K16" s="25"/>
    </row>
    <row r="17" spans="1:11">
      <c r="A17" s="9" t="s">
        <v>136</v>
      </c>
      <c r="B17" s="9" t="s">
        <v>138</v>
      </c>
      <c r="C17" s="10">
        <v>10000</v>
      </c>
      <c r="D17" s="11" t="s">
        <v>123</v>
      </c>
      <c r="E17" s="11"/>
      <c r="G17" s="9" t="s">
        <v>136</v>
      </c>
      <c r="H17" s="9" t="s">
        <v>138</v>
      </c>
      <c r="I17" s="10">
        <v>10000</v>
      </c>
      <c r="J17" s="23"/>
      <c r="K17" s="25"/>
    </row>
    <row r="18" spans="1:11">
      <c r="A18" s="9" t="s">
        <v>136</v>
      </c>
      <c r="B18" s="9" t="s">
        <v>139</v>
      </c>
      <c r="C18" s="10">
        <v>10000</v>
      </c>
      <c r="D18" s="11" t="s">
        <v>123</v>
      </c>
      <c r="E18" s="11"/>
      <c r="G18" s="9" t="s">
        <v>136</v>
      </c>
      <c r="H18" s="9" t="s">
        <v>139</v>
      </c>
      <c r="I18" s="10">
        <v>10000</v>
      </c>
      <c r="J18" s="23"/>
      <c r="K18" s="25"/>
    </row>
    <row r="19" spans="1:11">
      <c r="A19" s="18" t="s">
        <v>6</v>
      </c>
      <c r="B19" s="18" t="s">
        <v>89</v>
      </c>
      <c r="C19" s="10">
        <v>1000001</v>
      </c>
      <c r="D19" s="26">
        <v>100000</v>
      </c>
      <c r="E19" s="11" t="s">
        <v>140</v>
      </c>
      <c r="G19" s="18" t="s">
        <v>6</v>
      </c>
      <c r="H19" s="18" t="s">
        <v>89</v>
      </c>
      <c r="I19" s="10">
        <v>2000000</v>
      </c>
      <c r="J19" s="23"/>
      <c r="K19" s="24">
        <f>I19+J19</f>
        <v>2000000</v>
      </c>
    </row>
    <row r="20" spans="1:11">
      <c r="A20" s="18" t="s">
        <v>8</v>
      </c>
      <c r="B20" s="18" t="s">
        <v>97</v>
      </c>
      <c r="C20" s="10">
        <v>2000000</v>
      </c>
      <c r="D20" s="26">
        <v>100000</v>
      </c>
      <c r="E20" s="11" t="s">
        <v>140</v>
      </c>
      <c r="G20" s="18" t="s">
        <v>8</v>
      </c>
      <c r="H20" s="18" t="s">
        <v>97</v>
      </c>
      <c r="I20" s="10">
        <v>2000000</v>
      </c>
      <c r="J20" s="23"/>
      <c r="K20" s="24">
        <f>I20+J20</f>
        <v>2000000</v>
      </c>
    </row>
    <row r="21" ht="25.5" spans="1:11">
      <c r="A21" s="3" t="s">
        <v>32</v>
      </c>
      <c r="B21" s="3" t="s">
        <v>102</v>
      </c>
      <c r="C21" s="27">
        <v>1000</v>
      </c>
      <c r="D21" s="28">
        <v>1000001</v>
      </c>
      <c r="E21" s="11" t="s">
        <v>82</v>
      </c>
      <c r="G21" s="3" t="s">
        <v>32</v>
      </c>
      <c r="H21" s="3" t="s">
        <v>102</v>
      </c>
      <c r="I21" s="27">
        <v>1000</v>
      </c>
      <c r="J21" s="29">
        <v>1000001</v>
      </c>
      <c r="K21" s="24">
        <f>I21+J21</f>
        <v>1001001</v>
      </c>
    </row>
    <row r="22" ht="25.5" spans="1:11">
      <c r="A22" s="3" t="s">
        <v>33</v>
      </c>
      <c r="B22" s="3" t="s">
        <v>106</v>
      </c>
      <c r="C22" s="30" t="s">
        <v>92</v>
      </c>
      <c r="D22" s="28">
        <v>2000000</v>
      </c>
      <c r="E22" s="11" t="s">
        <v>82</v>
      </c>
      <c r="F22" t="s">
        <v>141</v>
      </c>
    </row>
  </sheetData>
  <mergeCells count="3">
    <mergeCell ref="K4:K5"/>
    <mergeCell ref="K6:K7"/>
    <mergeCell ref="K15:K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Exsting portfolio data </vt:lpstr>
      <vt:lpstr>Same portfolio</vt:lpstr>
      <vt:lpstr>Diff Portfolio</vt:lpstr>
      <vt:lpstr>Sheet4</vt:lpstr>
      <vt:lpstr>Uploaded data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QA SOMESH</cp:lastModifiedBy>
  <dcterms:created xsi:type="dcterms:W3CDTF">2026-10-14T05:07:00Z</dcterms:created>
  <dcterms:modified xsi:type="dcterms:W3CDTF">2026-10-14T12:35:58Z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887EE9FCCBCE4E2AAF90DE9349F0C134_11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