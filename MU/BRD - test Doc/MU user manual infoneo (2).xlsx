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firstSheet="1" activeTab="1"/>
  </bookViews>
  <sheets>
    <sheet name="Flow" sheetId="1" r:id="rId1"/>
    <sheet name="Claim Management  - normal " sheetId="4" r:id="rId2"/>
    <sheet name="Claim Management  - SHG" sheetId="11" r:id="rId3"/>
    <sheet name="Claim Management  - SHG (2)" sheetId="12" r:id="rId4"/>
    <sheet name="BP - CG fee Calculatons" sheetId="3" r:id="rId5"/>
    <sheet name="Sheet1" sheetId="5" r:id="rId6"/>
    <sheet name="Sheet2" sheetId="7" r:id="rId7"/>
    <sheet name="Sheet4" sheetId="9" r:id="rId8"/>
    <sheet name="Sheet3" sheetId="10" r:id="rId9"/>
  </sheets>
  <definedNames>
    <definedName name="_xlnm._FilterDatabase" localSheetId="6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<sst xmlns="http://schemas.openxmlformats.org/spreadsheetml/2006/main" count="699" uniqueCount="303">
  <si>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</si>
  <si>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</si>
  <si>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</si>
  <si>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</si>
  <si>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</si>
  <si>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</si>
  <si>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</si>
  <si>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</si>
  <si>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</si>
  <si>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</si>
  <si>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</si>
  <si>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</si>
  <si>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</si>
  <si>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</si>
  <si>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</si>
  <si>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</si>
  <si>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</si>
  <si>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</si>
  <si>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</si>
  <si>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</si>
  <si>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</si>
  <si>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</si>
  <si>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</si>
  <si>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</si>
  <si>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</si>
  <si>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</si>
  <si>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</si>
  <si>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</si>
  <si>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</si>
  <si>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</si>
  <si>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</si>
  <si>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</si>
  <si>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</si>
  <si>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</si>
  <si>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</si>
  <si>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</si>
  <si>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</si>
  <si>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</si>
  <si>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</si>
  <si>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</si>
  <si>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</si>
  <si>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</si>
  <si>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</si>
  <si>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</si>
  <si>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</si>
  <si>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</si>
  <si>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</si>
  <si>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</si>
  <si>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</si>
  <si>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</si>
  <si>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</si>
  <si>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</si>
  <si>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</si>
  <si>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</si>
  <si>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</si>
  <si>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</si>
  <si>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</si>
  <si>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</si>
  <si>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</si>
  <si>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</si>
  <si>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</si>
  <si>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</si>
  <si>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</si>
  <si>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</si>
  <si>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</si>
  <si>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</si>
  <si>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</si>
  <si>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</si>
  <si>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</si>
  <si>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</si>
  <si>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</si>
  <si>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</si>
  <si>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</si>
  <si>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</si>
  <si>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</si>
  <si>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</si>
  <si>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</si>
  <si>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</si>
  <si>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</si>
  <si>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</si>
  <si>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</si>
  <si>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</si>
  <si>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</si>
  <si>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</si>
  <si>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</si>
  <si>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</si>
  <si>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</si>
  <si>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</si>
  <si>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</si>
  <si>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</si>
  <si>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</si>
  <si>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</si>
  <si>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</si>
  <si>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</si>
  <si>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</si>
  <si>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</si>
  <si>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</si>
  <si>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</si>
  <si>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</si>
  <si>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</si>
  <si>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</si>
  <si>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</si>
  <si>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</si>
  <si>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Claim 1</t>
  </si>
  <si>
    <t>Claim 2</t>
  </si>
  <si>
    <t>Final claim</t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</si>
  <si>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</si>
  <si>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</si>
  <si>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</si>
  <si>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</si>
  <si>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</si>
  <si>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</si>
  <si>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</si>
  <si>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</si>
  <si>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</si>
  <si>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</si>
  <si>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</si>
  <si>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</si>
  <si>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</si>
  <si>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</si>
  <si>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</si>
  <si>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</si>
  <si>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</si>
  <si>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</si>
  <si>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</si>
  <si>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original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</si>
  <si>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</si>
  <si>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</si>
  <si>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</si>
  <si>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</si>
  <si>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</si>
  <si>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</si>
  <si>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MUDMudr20262027SHG</t>
  </si>
  <si>
    <t>if(@AmountOfEligibleInterimClaim&gt;@MaximumCappedInterimClaim)
begin
set @ActualInterimClaim=@MaximumCappedInterimClaim
set @AmountOfEligibleInterimClaim=@MaximumCappedInterimClaim
end</t>
  </si>
  <si>
    <t>sanction</t>
  </si>
  <si>
    <t>EligibleNPAOutstandingAmount</t>
  </si>
  <si>
    <t>2nd loss</t>
  </si>
  <si>
    <t>AmountOfEligibleInterimClaim</t>
  </si>
  <si>
    <t>MaximumCappedInterimClaim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</si>
  <si>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</si>
  <si>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</si>
  <si>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</si>
  <si>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</si>
  <si>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</si>
  <si>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</si>
  <si>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</si>
  <si>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</si>
  <si>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</si>
  <si>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</si>
  <si>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</si>
  <si>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</si>
  <si>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</si>
  <si>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</si>
  <si>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</si>
  <si>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</si>
  <si>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</si>
  <si>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</si>
  <si>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</si>
  <si>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</si>
  <si>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</si>
  <si>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</si>
  <si>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</si>
  <si>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</si>
  <si>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</si>
  <si>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</si>
  <si>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</si>
  <si>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</si>
  <si>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</si>
  <si>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</si>
  <si>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</si>
  <si>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</si>
  <si>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</si>
  <si>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</si>
  <si>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</si>
  <si>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</si>
  <si>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</si>
  <si>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</si>
  <si>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</si>
  <si>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</si>
  <si>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</si>
  <si>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</si>
  <si>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</si>
  <si>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</si>
  <si>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</si>
  <si>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</si>
  <si>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</si>
  <si>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</si>
  <si>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</si>
  <si>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</si>
  <si>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</si>
  <si>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</si>
  <si>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</si>
  <si>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</si>
  <si>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</si>
  <si>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</si>
  <si>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</si>
  <si>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</si>
  <si>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</si>
  <si>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</si>
  <si>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</si>
  <si>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</si>
  <si>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</si>
  <si>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</si>
  <si>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</si>
  <si>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</si>
  <si>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</si>
  <si>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</si>
  <si>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</si>
  <si>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</si>
  <si>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</si>
  <si>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</si>
  <si>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</si>
  <si>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</si>
  <si>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</si>
  <si>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</si>
  <si>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</si>
  <si>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</si>
  <si>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</si>
  <si>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</si>
  <si>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</si>
  <si>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</si>
  <si>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</si>
  <si>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</si>
  <si>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</si>
  <si>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2627CR704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</si>
  <si>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</si>
  <si>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</si>
  <si>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</si>
  <si>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</si>
  <si>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</si>
  <si>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</si>
  <si>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</si>
  <si>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</si>
  <si>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</si>
  <si>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</si>
  <si>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</si>
  <si>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</si>
  <si>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</si>
  <si>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</si>
  <si>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</si>
  <si>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</si>
  <si>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</si>
  <si>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</si>
  <si>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</si>
  <si>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</si>
  <si>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</si>
  <si>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</si>
  <si>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</si>
  <si>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</si>
  <si>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</si>
  <si>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</si>
  <si>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</si>
  <si>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</si>
  <si>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</si>
  <si>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</si>
  <si>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</si>
  <si>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</si>
  <si>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</si>
  <si>
    <t>Access</t>
  </si>
  <si>
    <t>Action</t>
  </si>
  <si>
    <t>Outout</t>
  </si>
  <si>
    <t>base period</t>
  </si>
  <si>
    <t>Claim</t>
  </si>
  <si>
    <t>MLI Cre</t>
  </si>
  <si>
    <t>Upload
Send for app</t>
  </si>
  <si>
    <t>Cp1</t>
  </si>
  <si>
    <t>MLI app</t>
  </si>
  <si>
    <t>App 
Reject</t>
  </si>
  <si>
    <t>App</t>
  </si>
  <si>
    <t>NCGTC</t>
  </si>
  <si>
    <t>Reject</t>
  </si>
  <si>
    <t>MLI cre</t>
  </si>
  <si>
    <t>Can reupload</t>
  </si>
  <si>
    <t>cp2</t>
  </si>
  <si>
    <t>claim 1</t>
  </si>
  <si>
    <t>NCGTC cre</t>
  </si>
  <si>
    <t>App 
Reject
Return</t>
  </si>
  <si>
    <t>NCGTC app</t>
  </si>
  <si>
    <t>1 MLI Can not reupload</t>
  </si>
  <si>
    <t>Return</t>
  </si>
  <si>
    <t>MLI Can reupload
Redirect to MLI</t>
  </si>
  <si>
    <t>App 
Reject
Return
Onhold</t>
  </si>
  <si>
    <t>Acc</t>
  </si>
  <si>
    <t xml:space="preserve">1 Redirected To NCGTC cre
</t>
  </si>
  <si>
    <t>For claim settlement</t>
  </si>
  <si>
    <t>main main</t>
  </si>
  <si>
    <t>Cp2</t>
  </si>
  <si>
    <t>case 1</t>
  </si>
  <si>
    <t>1st upload claim then Update CG</t>
  </si>
  <si>
    <t>case 2</t>
  </si>
  <si>
    <t>1st upload Update CG then claim</t>
  </si>
  <si>
    <t>case 3</t>
  </si>
  <si>
    <t>1st upload claim then Settle then upload , Update CG</t>
  </si>
  <si>
    <t>case 4</t>
  </si>
  <si>
    <t>1st Update CG , then claim , settle , next CP upload CG for same loan ac</t>
  </si>
  <si>
    <t>Sanct</t>
  </si>
  <si>
    <t>10 Record</t>
  </si>
  <si>
    <t>5L</t>
  </si>
  <si>
    <t>6L</t>
  </si>
  <si>
    <t>cryz</t>
  </si>
  <si>
    <t>21L</t>
  </si>
  <si>
    <t>Max payout on claim</t>
  </si>
  <si>
    <t>22L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</si>
</sst>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9" applyNumberFormat="0" applyAlignment="0" applyProtection="0">
      <alignment vertical="center"/>
    </xf>
    <xf numFmtId="0" fontId="22" fillId="12" borderId="20" applyNumberFormat="0" applyAlignment="0" applyProtection="0">
      <alignment vertical="center"/>
    </xf>
    <xf numFmtId="0" fontId="23" fillId="12" borderId="19" applyNumberFormat="0" applyAlignment="0" applyProtection="0">
      <alignment vertical="center"/>
    </xf>
    <xf numFmtId="0" fontId="24" fillId="13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left" vertical="top"/>
    </xf>
    <xf numFmtId="0" fontId="0" fillId="2" borderId="7" xfId="0" applyFill="1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>
      <alignment vertical="center"/>
    </xf>
    <xf numFmtId="0" fontId="0" fillId="0" borderId="7" xfId="0" applyBorder="1" applyAlignment="1">
      <alignment horizontal="center" vertical="center"/>
    </xf>
    <xf numFmtId="182" fontId="5" fillId="5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7" borderId="0" xfId="0" applyFill="1">
      <alignment vertical="center"/>
    </xf>
    <xf numFmtId="0" fontId="4" fillId="0" borderId="0" xfId="0" applyFont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8" xfId="0" applyFont="1" applyFill="1" applyBorder="1" applyAlignment="1">
      <alignment horizontal="left" wrapText="1" readingOrder="1"/>
    </xf>
    <xf numFmtId="0" fontId="8" fillId="8" borderId="8" xfId="0" applyFont="1" applyFill="1" applyBorder="1" applyAlignment="1">
      <alignment wrapText="1" readingOrder="1"/>
    </xf>
    <xf numFmtId="0" fontId="9" fillId="0" borderId="9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7" borderId="10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4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6" borderId="14" xfId="0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ont="1" applyFill="1" applyBorder="1" applyAlignment="1">
      <alignment vertical="center" wrapText="1"/>
    </xf>
    <xf numFmtId="0" fontId="0" fillId="6" borderId="13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7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61" customWidth="1"/>
    <col min="2" max="2" width="30.8571428571429" customWidth="1"/>
    <col min="3" max="3" width="49.8571428571429" style="48" customWidth="1"/>
    <col min="4" max="4" width="46.8571428571429" customWidth="1"/>
    <col min="5" max="5" width="57.7142857142857" customWidth="1"/>
  </cols>
  <sheetData>
    <row r="1" ht="18.75" customHeight="1" spans="1:26">
      <c r="A1" s="62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35" spans="1:26">
      <c r="A2" s="65" t="s">
        <v>5</v>
      </c>
      <c r="B2" s="3" t="s">
        <v>6</v>
      </c>
      <c r="C2" s="4" t="s">
        <v>7</v>
      </c>
      <c r="D2" s="66" t="s">
        <v>8</v>
      </c>
      <c r="E2" s="4" t="s">
        <v>9</v>
      </c>
    </row>
    <row r="3" ht="75" spans="1:26">
      <c r="A3" s="67"/>
      <c r="B3" s="3" t="s">
        <v>6</v>
      </c>
      <c r="C3" s="4" t="s">
        <v>10</v>
      </c>
      <c r="D3" s="66" t="s">
        <v>11</v>
      </c>
      <c r="E3" s="3"/>
    </row>
    <row r="4" ht="75" spans="1:26">
      <c r="A4" s="67"/>
      <c r="B4" s="3" t="s">
        <v>12</v>
      </c>
      <c r="C4" s="4" t="s">
        <v>13</v>
      </c>
      <c r="D4" s="3" t="s">
        <v>11</v>
      </c>
      <c r="E4" s="3"/>
    </row>
    <row r="5" spans="1:26">
      <c r="A5" s="68"/>
      <c r="B5" s="69"/>
      <c r="C5" s="70"/>
      <c r="D5" s="69"/>
      <c r="E5" s="69"/>
    </row>
    <row r="6" ht="75" spans="1:26">
      <c r="A6" s="67" t="s">
        <v>14</v>
      </c>
      <c r="B6" s="3" t="s">
        <v>15</v>
      </c>
      <c r="C6" s="4" t="s">
        <v>16</v>
      </c>
      <c r="D6" s="71" t="s">
        <v>17</v>
      </c>
      <c r="E6" s="4" t="s">
        <v>18</v>
      </c>
    </row>
    <row r="7" ht="75" spans="1:26">
      <c r="A7" s="67" t="s">
        <v>19</v>
      </c>
      <c r="B7" s="3" t="s">
        <v>15</v>
      </c>
      <c r="C7" s="4" t="s">
        <v>20</v>
      </c>
      <c r="D7" s="66" t="s">
        <v>21</v>
      </c>
      <c r="E7" s="3"/>
    </row>
    <row r="8" ht="56" customHeight="1" spans="1:26">
      <c r="A8" s="67" t="s">
        <v>22</v>
      </c>
      <c r="B8" s="3" t="s">
        <v>23</v>
      </c>
      <c r="C8" s="66" t="s">
        <v>24</v>
      </c>
      <c r="D8" s="3"/>
      <c r="E8" s="3"/>
    </row>
    <row r="9" ht="60" spans="1:26">
      <c r="A9" s="67"/>
      <c r="B9" s="3" t="s">
        <v>6</v>
      </c>
      <c r="C9" s="66" t="s">
        <v>25</v>
      </c>
      <c r="D9" s="3"/>
      <c r="E9" s="3"/>
    </row>
    <row r="10" ht="60" spans="1:26">
      <c r="A10" s="67" t="s">
        <v>26</v>
      </c>
      <c r="B10" s="3" t="s">
        <v>15</v>
      </c>
      <c r="C10" s="4" t="s">
        <v>27</v>
      </c>
      <c r="D10" s="71" t="s">
        <v>28</v>
      </c>
      <c r="E10" s="3"/>
    </row>
    <row r="11" customFormat="1" ht="60" spans="1:26">
      <c r="A11" s="67" t="s">
        <v>29</v>
      </c>
      <c r="B11" s="3" t="s">
        <v>15</v>
      </c>
      <c r="C11" s="4" t="s">
        <v>30</v>
      </c>
      <c r="D11" s="4" t="s">
        <v>31</v>
      </c>
      <c r="E11" s="3"/>
    </row>
    <row r="12" customFormat="1" ht="45" spans="1:26">
      <c r="A12" s="67" t="s">
        <v>22</v>
      </c>
      <c r="B12" s="3" t="s">
        <v>23</v>
      </c>
      <c r="C12" s="66" t="s">
        <v>24</v>
      </c>
      <c r="D12" s="3"/>
      <c r="E12" s="3"/>
    </row>
    <row r="13" customFormat="1" ht="60" spans="1:26">
      <c r="A13" s="67"/>
      <c r="B13" s="3" t="s">
        <v>6</v>
      </c>
      <c r="C13" s="66" t="s">
        <v>25</v>
      </c>
      <c r="D13" s="3"/>
      <c r="E13" s="3"/>
    </row>
    <row r="14" customFormat="1" ht="60" spans="1:26">
      <c r="A14" s="67" t="s">
        <v>32</v>
      </c>
      <c r="B14" s="3" t="s">
        <v>15</v>
      </c>
      <c r="C14" s="4" t="s">
        <v>33</v>
      </c>
      <c r="D14" s="3" t="s">
        <v>34</v>
      </c>
      <c r="E14" s="3"/>
    </row>
    <row r="15" ht="60" spans="1:26">
      <c r="A15" s="67" t="s">
        <v>35</v>
      </c>
      <c r="B15" s="3" t="s">
        <v>15</v>
      </c>
      <c r="C15" s="4" t="s">
        <v>36</v>
      </c>
      <c r="D15" s="66" t="s">
        <v>37</v>
      </c>
      <c r="E15" s="3"/>
    </row>
    <row r="16" ht="45" spans="1:26">
      <c r="A16" s="67" t="s">
        <v>22</v>
      </c>
      <c r="B16" s="3" t="s">
        <v>23</v>
      </c>
      <c r="C16" s="66" t="s">
        <v>24</v>
      </c>
      <c r="D16" s="3"/>
      <c r="E16" s="3"/>
    </row>
    <row r="17" ht="60" spans="1:5">
      <c r="A17" s="67"/>
      <c r="B17" s="3" t="s">
        <v>6</v>
      </c>
      <c r="C17" s="66" t="s">
        <v>25</v>
      </c>
      <c r="D17" s="3"/>
      <c r="E17" s="3"/>
    </row>
    <row r="18" customFormat="1" ht="60" spans="1:5">
      <c r="A18" s="67" t="s">
        <v>38</v>
      </c>
      <c r="B18" s="3" t="s">
        <v>15</v>
      </c>
      <c r="C18" s="4" t="s">
        <v>39</v>
      </c>
      <c r="D18" s="3"/>
      <c r="E18" s="3"/>
    </row>
    <row r="19" ht="60" spans="1:5">
      <c r="A19" s="67" t="s">
        <v>40</v>
      </c>
      <c r="B19" s="3" t="s">
        <v>15</v>
      </c>
      <c r="C19" s="4" t="s">
        <v>41</v>
      </c>
      <c r="D19" s="66" t="s">
        <v>42</v>
      </c>
      <c r="E19" s="3"/>
    </row>
    <row r="20" ht="45" spans="1:5">
      <c r="A20" s="67" t="s">
        <v>22</v>
      </c>
      <c r="B20" s="3" t="s">
        <v>23</v>
      </c>
      <c r="C20" s="66" t="s">
        <v>24</v>
      </c>
      <c r="D20" s="3"/>
      <c r="E20" s="3"/>
    </row>
    <row r="21" ht="60" spans="1:5">
      <c r="A21" s="67"/>
      <c r="B21" s="3" t="s">
        <v>6</v>
      </c>
      <c r="C21" s="66" t="s">
        <v>25</v>
      </c>
      <c r="D21" s="3"/>
      <c r="E21" s="3"/>
    </row>
    <row r="22" ht="90" spans="1:5">
      <c r="A22" s="67" t="s">
        <v>43</v>
      </c>
      <c r="B22" s="3" t="s">
        <v>44</v>
      </c>
      <c r="C22" s="66" t="s">
        <v>45</v>
      </c>
      <c r="D22" s="3"/>
      <c r="E22" s="3"/>
    </row>
    <row r="23" ht="65" customHeight="1" spans="1:5">
      <c r="A23" s="67" t="s">
        <v>46</v>
      </c>
      <c r="B23" s="3" t="s">
        <v>47</v>
      </c>
      <c r="C23" s="4" t="s">
        <v>48</v>
      </c>
      <c r="D23" s="71" t="s">
        <v>49</v>
      </c>
      <c r="E23" s="3" t="s">
        <v>50</v>
      </c>
    </row>
    <row r="24" ht="65" customHeight="1" spans="1:5">
      <c r="A24" s="67" t="s">
        <v>51</v>
      </c>
      <c r="B24" s="3" t="s">
        <v>47</v>
      </c>
      <c r="C24" s="4" t="s">
        <v>52</v>
      </c>
      <c r="D24" s="71" t="s">
        <v>49</v>
      </c>
      <c r="E24" s="3"/>
    </row>
    <row r="25" s="58" customFormat="1" ht="23.25" spans="1:5">
      <c r="A25" s="72" t="s">
        <v>53</v>
      </c>
      <c r="B25" s="73"/>
      <c r="C25" s="73"/>
      <c r="D25" s="73"/>
      <c r="E25" s="74"/>
    </row>
    <row r="26" ht="90" spans="1:5">
      <c r="A26" s="75" t="s">
        <v>54</v>
      </c>
      <c r="B26" s="54" t="s">
        <v>47</v>
      </c>
      <c r="C26" s="76" t="s">
        <v>55</v>
      </c>
      <c r="D26" s="76" t="s">
        <v>56</v>
      </c>
      <c r="E26" s="54"/>
    </row>
    <row r="27" ht="45" spans="1:5">
      <c r="A27" s="75"/>
      <c r="B27" s="3" t="s">
        <v>57</v>
      </c>
      <c r="C27" s="66" t="s">
        <v>58</v>
      </c>
      <c r="D27" s="3"/>
      <c r="E27" s="3"/>
    </row>
    <row r="28" ht="60" spans="1:5">
      <c r="A28" s="77"/>
      <c r="B28" s="3" t="s">
        <v>6</v>
      </c>
      <c r="C28" s="66" t="s">
        <v>59</v>
      </c>
      <c r="D28" s="3"/>
      <c r="E28" s="3"/>
    </row>
    <row r="29" ht="75" spans="1:5">
      <c r="A29" s="67" t="s">
        <v>60</v>
      </c>
      <c r="B29" s="3" t="s">
        <v>47</v>
      </c>
      <c r="C29" s="66" t="s">
        <v>61</v>
      </c>
      <c r="D29" s="78" t="s">
        <v>62</v>
      </c>
      <c r="E29" s="3"/>
    </row>
    <row r="30" ht="45" spans="1:5">
      <c r="A30" s="67" t="s">
        <v>63</v>
      </c>
      <c r="B30" s="3" t="s">
        <v>47</v>
      </c>
      <c r="C30" s="4" t="s">
        <v>64</v>
      </c>
      <c r="D30" s="3"/>
      <c r="E30" s="3"/>
    </row>
    <row r="31" ht="55" customHeight="1" spans="1:5">
      <c r="A31" s="67" t="s">
        <v>65</v>
      </c>
      <c r="B31" s="3" t="s">
        <v>47</v>
      </c>
      <c r="C31" s="4" t="s">
        <v>66</v>
      </c>
      <c r="D31" s="3"/>
      <c r="E31" s="3"/>
    </row>
    <row r="32" ht="45" spans="1:5">
      <c r="A32" s="23" t="s">
        <v>67</v>
      </c>
      <c r="B32" s="3" t="s">
        <v>68</v>
      </c>
      <c r="C32" s="4" t="s">
        <v>69</v>
      </c>
      <c r="D32" s="66"/>
      <c r="E32" s="3"/>
    </row>
    <row r="33" ht="45" spans="1:5">
      <c r="A33" s="23"/>
      <c r="B33" s="3" t="s">
        <v>6</v>
      </c>
      <c r="C33" s="4" t="s">
        <v>69</v>
      </c>
      <c r="D33" s="66"/>
      <c r="E33" s="3"/>
    </row>
    <row r="34" ht="45" spans="1:5">
      <c r="A34" s="23"/>
      <c r="B34" s="3" t="s">
        <v>12</v>
      </c>
      <c r="C34" s="66" t="s">
        <v>70</v>
      </c>
      <c r="D34" s="66"/>
      <c r="E34" s="3"/>
    </row>
    <row r="35" ht="75" spans="1:5">
      <c r="A35" s="23" t="s">
        <v>71</v>
      </c>
      <c r="B35" s="3" t="s">
        <v>47</v>
      </c>
      <c r="C35" s="66" t="s">
        <v>72</v>
      </c>
      <c r="D35" s="66" t="s">
        <v>73</v>
      </c>
      <c r="E35" s="3"/>
    </row>
    <row r="36" ht="75" spans="1:5">
      <c r="A36" s="23"/>
      <c r="B36" s="3" t="s">
        <v>74</v>
      </c>
      <c r="C36" s="66" t="s">
        <v>75</v>
      </c>
      <c r="D36" s="3"/>
      <c r="E36" s="3"/>
    </row>
    <row r="37" ht="45" spans="1:5">
      <c r="A37" s="23"/>
      <c r="B37" s="3" t="s">
        <v>6</v>
      </c>
      <c r="C37" s="66" t="s">
        <v>76</v>
      </c>
      <c r="D37" s="3"/>
      <c r="E37" s="3"/>
    </row>
    <row r="38" ht="60" spans="1:5">
      <c r="A38" s="79" t="s">
        <v>77</v>
      </c>
      <c r="B38" s="3" t="s">
        <v>6</v>
      </c>
      <c r="C38" s="66" t="s">
        <v>78</v>
      </c>
      <c r="D38" s="66"/>
      <c r="E38" s="3" t="s">
        <v>79</v>
      </c>
    </row>
    <row r="39" ht="60" spans="1:5">
      <c r="A39" s="75"/>
      <c r="B39" s="3" t="s">
        <v>12</v>
      </c>
      <c r="C39" s="66" t="s">
        <v>80</v>
      </c>
      <c r="D39" s="66"/>
      <c r="E39" s="3"/>
    </row>
    <row r="40" ht="90" spans="1:5">
      <c r="A40" s="79" t="s">
        <v>81</v>
      </c>
      <c r="B40" s="3" t="s">
        <v>47</v>
      </c>
      <c r="C40" s="66" t="s">
        <v>82</v>
      </c>
      <c r="D40" s="66" t="s">
        <v>83</v>
      </c>
      <c r="E40" s="3"/>
    </row>
    <row r="41" ht="75" spans="1:5">
      <c r="A41" s="75"/>
      <c r="B41" s="3" t="s">
        <v>74</v>
      </c>
      <c r="C41" s="66" t="s">
        <v>75</v>
      </c>
      <c r="D41" s="3"/>
      <c r="E41" s="3"/>
    </row>
    <row r="42" ht="45" spans="1:5">
      <c r="A42" s="77"/>
      <c r="B42" s="3" t="s">
        <v>6</v>
      </c>
      <c r="C42" s="66" t="s">
        <v>76</v>
      </c>
      <c r="D42" s="3"/>
      <c r="E42" s="3"/>
    </row>
    <row r="43" ht="75" spans="1:5">
      <c r="A43" s="67" t="s">
        <v>84</v>
      </c>
      <c r="B43" s="3" t="s">
        <v>47</v>
      </c>
      <c r="C43" s="66" t="s">
        <v>61</v>
      </c>
      <c r="D43" s="78" t="s">
        <v>85</v>
      </c>
      <c r="E43" s="3"/>
    </row>
    <row r="44" s="59" customFormat="1" ht="45" spans="1:5">
      <c r="A44" s="65" t="s">
        <v>86</v>
      </c>
      <c r="B44" s="22" t="s">
        <v>47</v>
      </c>
      <c r="C44" s="80" t="s">
        <v>87</v>
      </c>
      <c r="D44" s="22" t="s">
        <v>88</v>
      </c>
      <c r="E44" s="22"/>
    </row>
    <row r="45" ht="75" spans="1:5">
      <c r="A45" s="23" t="s">
        <v>89</v>
      </c>
      <c r="B45" s="3" t="s">
        <v>47</v>
      </c>
      <c r="C45" s="66" t="s">
        <v>72</v>
      </c>
      <c r="D45" s="66" t="s">
        <v>90</v>
      </c>
      <c r="E45" s="3"/>
    </row>
    <row r="46" ht="75" spans="1:5">
      <c r="A46" s="23"/>
      <c r="B46" s="3" t="s">
        <v>74</v>
      </c>
      <c r="C46" s="66" t="s">
        <v>75</v>
      </c>
      <c r="D46" s="3"/>
      <c r="E46" s="3"/>
    </row>
    <row r="47" ht="45" spans="1:5">
      <c r="A47" s="23"/>
      <c r="B47" s="3" t="s">
        <v>6</v>
      </c>
      <c r="C47" s="66" t="s">
        <v>76</v>
      </c>
      <c r="D47" s="3"/>
      <c r="E47" s="3"/>
    </row>
    <row r="48" ht="60" spans="1:5">
      <c r="A48" s="23" t="s">
        <v>77</v>
      </c>
      <c r="B48" s="3" t="s">
        <v>6</v>
      </c>
      <c r="C48" s="66" t="s">
        <v>78</v>
      </c>
      <c r="D48" s="66"/>
      <c r="E48" s="3" t="s">
        <v>79</v>
      </c>
    </row>
    <row r="49" ht="60" spans="1:5">
      <c r="A49" s="23"/>
      <c r="B49" s="3" t="s">
        <v>12</v>
      </c>
      <c r="C49" s="66" t="s">
        <v>80</v>
      </c>
      <c r="D49" s="66"/>
      <c r="E49" s="3"/>
    </row>
    <row r="50" ht="90" spans="1:5">
      <c r="A50" s="79" t="s">
        <v>91</v>
      </c>
      <c r="B50" s="3" t="s">
        <v>47</v>
      </c>
      <c r="C50" s="66" t="s">
        <v>82</v>
      </c>
      <c r="D50" s="66" t="s">
        <v>92</v>
      </c>
      <c r="E50" s="3"/>
    </row>
    <row r="51" ht="75" spans="1:5">
      <c r="A51" s="75"/>
      <c r="B51" s="3" t="s">
        <v>74</v>
      </c>
      <c r="C51" s="66" t="s">
        <v>75</v>
      </c>
      <c r="D51" s="3"/>
      <c r="E51" s="3"/>
    </row>
    <row r="52" ht="45" spans="1:5">
      <c r="A52" s="77"/>
      <c r="B52" s="3" t="s">
        <v>6</v>
      </c>
      <c r="C52" s="66" t="s">
        <v>76</v>
      </c>
      <c r="D52" s="3"/>
      <c r="E52" s="3"/>
    </row>
    <row r="53" ht="75" spans="1:5">
      <c r="A53" s="67" t="s">
        <v>93</v>
      </c>
      <c r="B53" s="3" t="s">
        <v>47</v>
      </c>
      <c r="C53" s="66" t="s">
        <v>61</v>
      </c>
      <c r="D53" s="78" t="s">
        <v>85</v>
      </c>
      <c r="E53" s="3"/>
    </row>
    <row r="54" s="59" customFormat="1" ht="45" spans="1:5">
      <c r="A54" s="65" t="s">
        <v>94</v>
      </c>
      <c r="B54" s="22" t="s">
        <v>47</v>
      </c>
      <c r="C54" s="80" t="s">
        <v>95</v>
      </c>
      <c r="D54" s="22" t="s">
        <v>88</v>
      </c>
      <c r="E54" s="22"/>
    </row>
    <row r="56" ht="75" spans="1:5">
      <c r="A56" s="23" t="s">
        <v>96</v>
      </c>
      <c r="B56" s="3" t="s">
        <v>47</v>
      </c>
      <c r="C56" s="66" t="s">
        <v>72</v>
      </c>
      <c r="D56" s="66" t="s">
        <v>97</v>
      </c>
      <c r="E56" s="3"/>
    </row>
    <row r="57" ht="75" spans="1:5">
      <c r="A57" s="23"/>
      <c r="B57" s="3" t="s">
        <v>74</v>
      </c>
      <c r="C57" s="66" t="s">
        <v>75</v>
      </c>
      <c r="D57" s="3"/>
      <c r="E57" s="3"/>
    </row>
    <row r="58" ht="45" spans="1:5">
      <c r="A58" s="23"/>
      <c r="B58" s="3" t="s">
        <v>6</v>
      </c>
      <c r="C58" s="66" t="s">
        <v>76</v>
      </c>
      <c r="D58" s="3"/>
      <c r="E58" s="3"/>
    </row>
    <row r="59" ht="60" spans="1:5">
      <c r="A59" s="23" t="s">
        <v>77</v>
      </c>
      <c r="B59" s="3" t="s">
        <v>6</v>
      </c>
      <c r="C59" s="66" t="s">
        <v>78</v>
      </c>
      <c r="D59" s="66"/>
      <c r="E59" s="3" t="s">
        <v>79</v>
      </c>
    </row>
    <row r="60" ht="60" spans="1:5">
      <c r="A60" s="23"/>
      <c r="B60" s="3" t="s">
        <v>12</v>
      </c>
      <c r="C60" s="66" t="s">
        <v>80</v>
      </c>
      <c r="D60" s="66"/>
      <c r="E60" s="3"/>
    </row>
    <row r="61" s="60" customFormat="1" ht="90" spans="1:5">
      <c r="A61" s="81" t="s">
        <v>91</v>
      </c>
      <c r="B61" s="82" t="s">
        <v>47</v>
      </c>
      <c r="C61" s="83" t="s">
        <v>82</v>
      </c>
      <c r="D61" s="83" t="s">
        <v>92</v>
      </c>
      <c r="E61" s="82"/>
    </row>
    <row r="62" s="60" customFormat="1" ht="75" spans="1:5">
      <c r="A62" s="84"/>
      <c r="B62" s="82" t="s">
        <v>74</v>
      </c>
      <c r="C62" s="83" t="s">
        <v>75</v>
      </c>
      <c r="D62" s="82"/>
      <c r="E62" s="82"/>
    </row>
    <row r="63" s="60" customFormat="1" ht="45" spans="1:5">
      <c r="A63" s="85"/>
      <c r="B63" s="82" t="s">
        <v>6</v>
      </c>
      <c r="C63" s="83" t="s">
        <v>76</v>
      </c>
      <c r="D63" s="82"/>
      <c r="E63" s="82"/>
    </row>
    <row r="64" ht="75" spans="1:5">
      <c r="A64" s="67" t="s">
        <v>98</v>
      </c>
      <c r="B64" s="3" t="s">
        <v>47</v>
      </c>
      <c r="C64" s="66" t="s">
        <v>61</v>
      </c>
      <c r="D64" s="78" t="s">
        <v>85</v>
      </c>
      <c r="E64" s="3"/>
    </row>
    <row r="65" s="59" customFormat="1" ht="45" spans="1:5">
      <c r="A65" s="65" t="s">
        <v>94</v>
      </c>
      <c r="B65" s="22" t="s">
        <v>47</v>
      </c>
      <c r="C65" s="80" t="s">
        <v>95</v>
      </c>
      <c r="D65" s="22" t="s">
        <v>88</v>
      </c>
      <c r="E65" s="22"/>
    </row>
    <row r="66" s="58" customFormat="1" ht="23.25" spans="1:5">
      <c r="A66" s="86" t="s">
        <v>99</v>
      </c>
      <c r="B66" s="86"/>
      <c r="C66" s="86"/>
      <c r="D66" s="86"/>
      <c r="E66" s="86"/>
    </row>
    <row r="67" ht="90" spans="1:5">
      <c r="A67" s="75" t="s">
        <v>100</v>
      </c>
      <c r="B67" s="54" t="s">
        <v>47</v>
      </c>
      <c r="C67" s="76" t="s">
        <v>55</v>
      </c>
      <c r="D67" s="76" t="s">
        <v>101</v>
      </c>
      <c r="E67" s="54"/>
    </row>
    <row r="68" ht="45" spans="1:5">
      <c r="A68" s="75"/>
      <c r="B68" s="3" t="s">
        <v>57</v>
      </c>
      <c r="C68" s="66" t="s">
        <v>58</v>
      </c>
      <c r="D68" s="3"/>
      <c r="E68" s="3"/>
    </row>
    <row r="69" ht="60" spans="1:5">
      <c r="A69" s="77"/>
      <c r="B69" s="3" t="s">
        <v>6</v>
      </c>
      <c r="C69" s="66" t="s">
        <v>59</v>
      </c>
      <c r="D69" s="3"/>
      <c r="E69" s="3"/>
    </row>
    <row r="70" ht="75" spans="1:5">
      <c r="A70" s="67" t="s">
        <v>60</v>
      </c>
      <c r="B70" s="3" t="s">
        <v>47</v>
      </c>
      <c r="C70" s="66" t="s">
        <v>61</v>
      </c>
      <c r="D70" s="78" t="s">
        <v>102</v>
      </c>
      <c r="E70" s="3"/>
    </row>
    <row r="71" ht="45" spans="1:5">
      <c r="A71" s="67" t="s">
        <v>63</v>
      </c>
      <c r="B71" s="3" t="s">
        <v>47</v>
      </c>
      <c r="C71" s="4" t="s">
        <v>64</v>
      </c>
      <c r="D71" s="3"/>
      <c r="E71" s="3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tabSelected="1" zoomScale="110" zoomScaleNormal="110" topLeftCell="A8" workbookViewId="0">
      <selection activeCell="F17" sqref="F17"/>
    </sheetView>
  </sheetViews>
  <sheetFormatPr defaultColWidth="9.14285714285714" defaultRowHeight="15" outlineLevelCol="4"/>
  <cols>
    <col min="1" max="1" width="42" style="38" customWidth="1"/>
    <col min="2" max="2" width="46.3619047619048" style="3" customWidth="1"/>
    <col min="3" max="3" width="18.952380952381" style="3" customWidth="1"/>
    <col min="4" max="4" width="13.3714285714286" style="3" customWidth="1"/>
    <col min="5" max="5" width="22.7238095238095" customWidth="1"/>
  </cols>
  <sheetData>
    <row r="1" spans="1:5">
      <c r="B1" s="5" t="s">
        <v>103</v>
      </c>
      <c r="C1" s="5"/>
      <c r="D1" s="5" t="s">
        <v>104</v>
      </c>
      <c r="E1" s="5" t="s">
        <v>105</v>
      </c>
    </row>
    <row r="2" ht="24" customHeight="1" spans="1:5">
      <c r="A2" s="39" t="s">
        <v>106</v>
      </c>
      <c r="B2" s="43" t="s">
        <v>107</v>
      </c>
      <c r="C2" s="43"/>
      <c r="D2" s="43"/>
      <c r="E2" s="43"/>
    </row>
    <row r="3" ht="24" customHeight="1" spans="1:5">
      <c r="A3" s="39" t="s">
        <v>108</v>
      </c>
      <c r="B3" s="43" t="s">
        <v>109</v>
      </c>
      <c r="C3" s="43"/>
      <c r="D3" s="43"/>
      <c r="E3" s="43"/>
    </row>
    <row r="4" ht="64" customHeight="1" spans="1:5">
      <c r="A4" s="39" t="s">
        <v>110</v>
      </c>
      <c r="B4" s="3" t="s">
        <v>111</v>
      </c>
      <c r="C4" s="43">
        <v>5710027</v>
      </c>
      <c r="D4" s="43">
        <v>3015502.69</v>
      </c>
      <c r="E4" s="24">
        <v>5710027</v>
      </c>
    </row>
    <row r="5" ht="29" customHeight="1" spans="1:5">
      <c r="A5" s="39" t="s">
        <v>112</v>
      </c>
      <c r="B5" s="3" t="s">
        <v>113</v>
      </c>
      <c r="C5" s="43">
        <v>4</v>
      </c>
      <c r="D5" s="43">
        <f>C5</f>
        <v>4</v>
      </c>
      <c r="E5" s="24">
        <f>D5</f>
        <v>4</v>
      </c>
    </row>
    <row r="6" ht="33" customHeight="1" spans="1:5">
      <c r="A6" s="44" t="s">
        <v>114</v>
      </c>
      <c r="B6" s="3" t="s">
        <v>115</v>
      </c>
      <c r="C6" s="43">
        <v>66000</v>
      </c>
      <c r="D6" s="43">
        <v>251001</v>
      </c>
      <c r="E6" s="43">
        <v>574001</v>
      </c>
    </row>
    <row r="7" ht="46" customHeight="1" spans="1:5">
      <c r="A7" s="44" t="s">
        <v>116</v>
      </c>
      <c r="B7" s="3" t="s">
        <v>117</v>
      </c>
      <c r="C7" s="43">
        <v>2200</v>
      </c>
      <c r="D7" s="43">
        <v>47010</v>
      </c>
      <c r="E7" s="43">
        <v>277110</v>
      </c>
    </row>
    <row r="8" ht="36" customHeight="1" spans="1:5">
      <c r="A8" s="44" t="s">
        <v>118</v>
      </c>
      <c r="B8" s="3" t="s">
        <v>119</v>
      </c>
      <c r="C8" s="43">
        <f>C6-C7</f>
        <v>63800</v>
      </c>
      <c r="D8" s="43">
        <f>D6-D7</f>
        <v>203991</v>
      </c>
      <c r="E8" s="43">
        <f>E6-E7</f>
        <v>296891</v>
      </c>
    </row>
    <row r="9" ht="71" customHeight="1" spans="1:5">
      <c r="A9" s="44" t="s">
        <v>120</v>
      </c>
      <c r="B9" s="4" t="s">
        <v>121</v>
      </c>
      <c r="C9" s="43">
        <f>3%*C8</f>
        <v>1914</v>
      </c>
      <c r="D9" s="43">
        <f>3%*D8</f>
        <v>6119.73</v>
      </c>
      <c r="E9" s="43">
        <f>3%*E8</f>
        <v>8906.73</v>
      </c>
    </row>
    <row r="10" ht="36" customHeight="1" spans="1:5">
      <c r="A10" s="44" t="s">
        <v>122</v>
      </c>
      <c r="B10" s="3" t="s">
        <v>123</v>
      </c>
      <c r="C10" s="43">
        <f>C8-C9</f>
        <v>61886</v>
      </c>
      <c r="D10" s="43">
        <f>D8-D9</f>
        <v>197871.27</v>
      </c>
      <c r="E10" s="43">
        <f>E8-E9</f>
        <v>287984.27</v>
      </c>
    </row>
    <row r="11" ht="48" customHeight="1" spans="1:5">
      <c r="A11" s="44" t="s">
        <v>124</v>
      </c>
      <c r="B11" s="3" t="s">
        <v>125</v>
      </c>
      <c r="C11" s="56">
        <f>15%*C4</f>
        <v>856504.05</v>
      </c>
      <c r="D11" s="56">
        <f>15%*D4</f>
        <v>452325.4035</v>
      </c>
      <c r="E11" s="56">
        <f>15%*E4</f>
        <v>856504.05</v>
      </c>
    </row>
    <row r="12" ht="34" customHeight="1" spans="1:5">
      <c r="A12" s="44" t="s">
        <v>126</v>
      </c>
      <c r="B12" s="3" t="s">
        <v>127</v>
      </c>
      <c r="C12" s="43">
        <f>75%*C10</f>
        <v>46414.5</v>
      </c>
      <c r="D12" s="43">
        <f>75%*D10</f>
        <v>148403.4525</v>
      </c>
      <c r="E12" s="43">
        <f>75%*E10</f>
        <v>215988.2025</v>
      </c>
    </row>
    <row r="13" ht="42" customHeight="1" spans="1:5">
      <c r="A13" s="44" t="s">
        <v>128</v>
      </c>
      <c r="C13" s="43">
        <f>C12</f>
        <v>46414.5</v>
      </c>
      <c r="D13" s="43">
        <f>D12</f>
        <v>148403.4525</v>
      </c>
      <c r="E13" s="43">
        <f>E12</f>
        <v>215988.2025</v>
      </c>
    </row>
    <row r="14" ht="38" customHeight="1" spans="1:5">
      <c r="A14" s="44" t="s">
        <v>129</v>
      </c>
      <c r="B14" s="3" t="s">
        <v>130</v>
      </c>
      <c r="C14" s="43"/>
      <c r="D14" s="43">
        <f>C15</f>
        <v>46414.5</v>
      </c>
      <c r="E14" s="43">
        <f>D15+C15</f>
        <v>148403.4525</v>
      </c>
    </row>
    <row r="15" ht="33" customHeight="1" spans="1:5">
      <c r="A15" s="44" t="s">
        <v>131</v>
      </c>
      <c r="C15" s="57">
        <f>C13-C14</f>
        <v>46414.5</v>
      </c>
      <c r="D15" s="57">
        <f>D13-D14</f>
        <v>101988.9525</v>
      </c>
      <c r="E15" s="57">
        <f>E13-E14</f>
        <v>67584.75</v>
      </c>
    </row>
    <row r="16" spans="1:5">
      <c r="B16" s="54"/>
      <c r="C16" s="54"/>
      <c r="D16" s="54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zoomScale="110" zoomScaleNormal="110" workbookViewId="0">
      <selection activeCell="D15" sqref="D15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33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</row>
    <row r="12" spans="1:15">
      <c r="A12" s="53"/>
      <c r="B12" s="54"/>
      <c r="C12" s="5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zoomScale="110" zoomScaleNormal="110" topLeftCell="A8" workbookViewId="0">
      <selection activeCell="C18" sqref="C18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  <col min="9" max="9" width="20.647619047619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125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  <c r="I11" s="48" t="s">
        <v>133</v>
      </c>
    </row>
    <row r="12" spans="1:15">
      <c r="A12" s="49" t="s">
        <v>134</v>
      </c>
      <c r="B12" s="50"/>
      <c r="C12" s="51">
        <v>3000000</v>
      </c>
    </row>
    <row r="13" spans="1:15">
      <c r="A13" s="52" t="s">
        <v>135</v>
      </c>
      <c r="B13" s="29"/>
      <c r="C13" s="5">
        <v>2680800</v>
      </c>
    </row>
    <row r="14" spans="1:15">
      <c r="A14" s="52" t="s">
        <v>136</v>
      </c>
      <c r="B14" s="29"/>
      <c r="C14" s="5">
        <f>C13</f>
        <v>2680800</v>
      </c>
    </row>
    <row r="15" spans="1:15">
      <c r="A15" s="52" t="s">
        <v>137</v>
      </c>
      <c r="B15" s="29"/>
      <c r="C15" s="5">
        <f>75%*C14</f>
        <v>2010600</v>
      </c>
    </row>
    <row r="16" spans="1:15">
      <c r="A16" s="52" t="s">
        <v>138</v>
      </c>
      <c r="B16" s="29"/>
      <c r="C16" s="5">
        <f>15%*C12</f>
        <v>450000</v>
      </c>
    </row>
    <row r="17" spans="1:3">
      <c r="A17" s="52"/>
      <c r="B17" s="29"/>
      <c r="C17" s="5" t="b">
        <f>IF(C15&gt;C16,C16=C15)</f>
        <v>0</v>
      </c>
    </row>
    <row r="18" spans="1:3">
      <c r="A18" s="52" t="s">
        <v>137</v>
      </c>
      <c r="B18" s="29"/>
      <c r="C18" s="5">
        <f>15%*C14</f>
        <v>402120</v>
      </c>
    </row>
    <row r="19" spans="1:3">
      <c r="A19" s="52"/>
      <c r="B19" s="29"/>
      <c r="C19" s="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D23" sqref="D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4" t="s">
        <v>139</v>
      </c>
      <c r="B1" s="24"/>
      <c r="C1" s="24"/>
      <c r="D1" s="3"/>
      <c r="E1" s="3"/>
      <c r="F1" s="3"/>
      <c r="G1" s="3"/>
    </row>
    <row r="2" s="32" customFormat="1" spans="1:14">
      <c r="A2" s="33" t="s">
        <v>140</v>
      </c>
      <c r="B2" s="33" t="s">
        <v>141</v>
      </c>
      <c r="C2" s="33" t="s">
        <v>142</v>
      </c>
      <c r="D2" s="33" t="s">
        <v>143</v>
      </c>
      <c r="E2" s="33" t="s">
        <v>144</v>
      </c>
      <c r="F2" s="33" t="s">
        <v>145</v>
      </c>
      <c r="G2" s="33" t="s">
        <v>146</v>
      </c>
      <c r="N2" s="32">
        <v>832.88</v>
      </c>
    </row>
    <row r="3" s="32" customFormat="1" spans="1:14">
      <c r="A3" s="34">
        <v>46174</v>
      </c>
      <c r="B3" s="34">
        <v>46477</v>
      </c>
      <c r="C3" s="35">
        <f>B3-A3+1</f>
        <v>304</v>
      </c>
      <c r="D3" s="36">
        <f>1%*E3*C3/365</f>
        <v>832.876712328767</v>
      </c>
      <c r="E3" s="35">
        <v>100000</v>
      </c>
      <c r="F3" s="35">
        <f>D3*18%</f>
        <v>149.917808219178</v>
      </c>
      <c r="G3" s="35">
        <f>D3+F3</f>
        <v>982.794520547945</v>
      </c>
    </row>
    <row r="4" s="32" customFormat="1"/>
    <row r="7" spans="1:14">
      <c r="A7" s="24" t="s">
        <v>147</v>
      </c>
      <c r="B7" s="24"/>
      <c r="C7" s="24"/>
    </row>
    <row r="8" spans="1:14">
      <c r="A8" s="33" t="s">
        <v>140</v>
      </c>
      <c r="B8" s="33" t="s">
        <v>141</v>
      </c>
      <c r="C8" s="33" t="s">
        <v>142</v>
      </c>
      <c r="D8" s="33" t="s">
        <v>143</v>
      </c>
      <c r="E8" s="33" t="s">
        <v>144</v>
      </c>
      <c r="F8" s="33" t="s">
        <v>145</v>
      </c>
      <c r="G8" s="33" t="s">
        <v>146</v>
      </c>
    </row>
    <row r="9" spans="1:14">
      <c r="A9" s="34">
        <v>46072</v>
      </c>
      <c r="B9" s="34">
        <v>46112</v>
      </c>
      <c r="C9" s="35">
        <f>B9-A9+1</f>
        <v>41</v>
      </c>
      <c r="D9" s="36">
        <f>0.25%*E9*C9/365</f>
        <v>28.0821917808219</v>
      </c>
      <c r="E9" s="35">
        <v>100000</v>
      </c>
      <c r="F9" s="35">
        <f>D9*18%</f>
        <v>5.05479452054795</v>
      </c>
      <c r="G9" s="35">
        <f>D9+F9</f>
        <v>33.1369863013699</v>
      </c>
    </row>
    <row r="14" spans="1:14">
      <c r="A14" s="33" t="s">
        <v>148</v>
      </c>
      <c r="B14" s="33" t="s">
        <v>149</v>
      </c>
      <c r="C14" s="33" t="s">
        <v>150</v>
      </c>
      <c r="D14" s="33" t="s">
        <v>151</v>
      </c>
      <c r="E14" s="33" t="s">
        <v>152</v>
      </c>
      <c r="F14" s="33" t="s">
        <v>153</v>
      </c>
      <c r="G14" s="33" t="s">
        <v>154</v>
      </c>
      <c r="H14" s="33" t="s">
        <v>155</v>
      </c>
      <c r="I14" s="33" t="s">
        <v>156</v>
      </c>
      <c r="J14" s="33" t="s">
        <v>157</v>
      </c>
      <c r="K14" s="33" t="s">
        <v>158</v>
      </c>
    </row>
    <row r="15" spans="1:14">
      <c r="A15" s="35" t="s">
        <v>159</v>
      </c>
      <c r="B15" s="35">
        <v>10000</v>
      </c>
      <c r="C15" s="34">
        <v>46082</v>
      </c>
      <c r="D15" s="34">
        <v>46477</v>
      </c>
      <c r="E15" s="35">
        <f>DATEDIF(C15,D15,"d")+1</f>
        <v>396</v>
      </c>
      <c r="F15" s="37">
        <v>0.01</v>
      </c>
      <c r="G15" s="35">
        <f>IF(K15="Closed",0,B15*F15*(E15/365))</f>
        <v>108.493150684932</v>
      </c>
      <c r="H15" s="35">
        <f>G15*9%</f>
        <v>9.76438356164384</v>
      </c>
      <c r="I15" s="35">
        <f>18%*G15</f>
        <v>19.5287671232877</v>
      </c>
      <c r="J15" s="35">
        <f>G15+H15+I15</f>
        <v>137.786301369863</v>
      </c>
      <c r="K15" s="35" t="s">
        <v>160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161</v>
      </c>
    </row>
    <row r="2" spans="3:10">
      <c r="C2" s="22"/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3" t="s">
        <v>168</v>
      </c>
    </row>
    <row r="3" spans="3:10">
      <c r="C3" s="24" t="s">
        <v>169</v>
      </c>
      <c r="D3" s="3" t="s">
        <v>170</v>
      </c>
      <c r="E3" s="3" t="s">
        <v>171</v>
      </c>
      <c r="F3" s="3" t="s">
        <v>172</v>
      </c>
      <c r="G3" s="25"/>
      <c r="H3" s="25" t="s">
        <v>173</v>
      </c>
      <c r="I3" s="24" t="s">
        <v>174</v>
      </c>
      <c r="J3" s="23"/>
    </row>
    <row r="4" spans="3:10">
      <c r="C4" s="24" t="s">
        <v>175</v>
      </c>
      <c r="D4" s="3" t="s">
        <v>171</v>
      </c>
      <c r="E4" s="3" t="s">
        <v>176</v>
      </c>
      <c r="F4" s="3" t="s">
        <v>177</v>
      </c>
      <c r="G4" s="26" t="s">
        <v>178</v>
      </c>
      <c r="H4" s="26">
        <v>46386</v>
      </c>
      <c r="I4" s="24" t="s">
        <v>174</v>
      </c>
      <c r="J4" s="23"/>
    </row>
    <row r="5" spans="3:10">
      <c r="C5" s="24" t="s">
        <v>179</v>
      </c>
      <c r="D5" s="3" t="s">
        <v>176</v>
      </c>
      <c r="E5" s="3" t="s">
        <v>180</v>
      </c>
      <c r="F5" s="3" t="s">
        <v>177</v>
      </c>
      <c r="G5" s="26" t="s">
        <v>178</v>
      </c>
      <c r="H5" s="26">
        <v>46477</v>
      </c>
      <c r="I5" s="24" t="s">
        <v>174</v>
      </c>
      <c r="J5" s="23"/>
    </row>
    <row r="6" spans="3:10">
      <c r="C6" s="24" t="s">
        <v>181</v>
      </c>
      <c r="D6" s="3" t="s">
        <v>180</v>
      </c>
      <c r="E6" s="3" t="s">
        <v>182</v>
      </c>
      <c r="F6" s="3" t="s">
        <v>177</v>
      </c>
      <c r="G6" s="26" t="s">
        <v>178</v>
      </c>
      <c r="H6" s="26">
        <v>46568</v>
      </c>
      <c r="I6" s="24" t="s">
        <v>174</v>
      </c>
      <c r="J6" s="23"/>
    </row>
    <row r="7" spans="3:10">
      <c r="C7" s="27"/>
      <c r="I7" s="27"/>
    </row>
    <row r="8" spans="3:10">
      <c r="C8" s="24" t="s">
        <v>183</v>
      </c>
      <c r="D8" s="3" t="s">
        <v>184</v>
      </c>
      <c r="E8" s="3" t="s">
        <v>184</v>
      </c>
      <c r="F8" s="3" t="s">
        <v>177</v>
      </c>
      <c r="G8" s="28" t="s">
        <v>185</v>
      </c>
      <c r="H8" s="28">
        <v>46843</v>
      </c>
      <c r="I8" s="24" t="s">
        <v>174</v>
      </c>
      <c r="J8" s="27" t="s">
        <v>168</v>
      </c>
    </row>
    <row r="9" spans="3:10">
      <c r="C9" s="27"/>
      <c r="F9" s="29" t="s">
        <v>177</v>
      </c>
      <c r="G9" s="30" t="s">
        <v>186</v>
      </c>
      <c r="H9" s="30">
        <v>46843</v>
      </c>
      <c r="I9" s="31" t="s">
        <v>187</v>
      </c>
      <c r="J9" s="31" t="s">
        <v>188</v>
      </c>
    </row>
    <row r="10" spans="3:10">
      <c r="C10" s="27"/>
      <c r="F10" s="29" t="s">
        <v>172</v>
      </c>
      <c r="G10" s="30"/>
      <c r="H10" s="30">
        <v>46844</v>
      </c>
      <c r="I10" s="31" t="s">
        <v>187</v>
      </c>
      <c r="J10" s="31" t="s">
        <v>188</v>
      </c>
    </row>
    <row r="11" spans="3:10">
      <c r="C11" s="27"/>
      <c r="F11" s="3"/>
      <c r="G11" s="28"/>
      <c r="H11" s="28"/>
      <c r="I11" s="24"/>
      <c r="J11" s="27"/>
    </row>
    <row r="12" spans="3:10">
      <c r="C12" s="27"/>
      <c r="I12" s="27"/>
    </row>
    <row r="13" spans="3:10">
      <c r="C13" s="24" t="s">
        <v>189</v>
      </c>
      <c r="D13" s="3" t="s">
        <v>190</v>
      </c>
      <c r="E13" s="3" t="s">
        <v>191</v>
      </c>
      <c r="F13" s="3" t="s">
        <v>177</v>
      </c>
      <c r="G13" s="28" t="s">
        <v>185</v>
      </c>
      <c r="H13" s="28">
        <v>47208</v>
      </c>
      <c r="I13" s="24" t="s">
        <v>174</v>
      </c>
      <c r="J13" s="27" t="s">
        <v>168</v>
      </c>
    </row>
    <row r="14" spans="3:10">
      <c r="C14" s="27"/>
      <c r="F14" s="29" t="s">
        <v>177</v>
      </c>
      <c r="G14" s="30" t="s">
        <v>186</v>
      </c>
      <c r="H14" s="30">
        <v>47208</v>
      </c>
      <c r="I14" s="31" t="s">
        <v>187</v>
      </c>
      <c r="J14" s="31" t="s">
        <v>188</v>
      </c>
    </row>
    <row r="15" spans="3:10">
      <c r="C15" s="27"/>
      <c r="F15" s="29" t="s">
        <v>172</v>
      </c>
      <c r="G15" s="30"/>
      <c r="H15" s="30">
        <v>47209</v>
      </c>
      <c r="I15" s="31" t="s">
        <v>187</v>
      </c>
      <c r="J15" s="31" t="s">
        <v>188</v>
      </c>
    </row>
    <row r="16" spans="3:10">
      <c r="C16" s="27"/>
      <c r="I16" s="27"/>
    </row>
    <row r="17" spans="3:10">
      <c r="C17" s="27"/>
      <c r="I17" s="27"/>
    </row>
    <row r="18" spans="3:10">
      <c r="C18" s="24" t="s">
        <v>192</v>
      </c>
      <c r="D18" s="3" t="s">
        <v>193</v>
      </c>
      <c r="E18" s="3" t="s">
        <v>193</v>
      </c>
      <c r="F18" s="3" t="s">
        <v>177</v>
      </c>
      <c r="G18" s="28" t="s">
        <v>185</v>
      </c>
      <c r="H18" s="28">
        <v>47573</v>
      </c>
      <c r="I18" s="24" t="s">
        <v>174</v>
      </c>
      <c r="J18" s="27" t="s">
        <v>168</v>
      </c>
    </row>
    <row r="19" spans="3:10">
      <c r="C19" s="27"/>
      <c r="F19" s="29" t="s">
        <v>177</v>
      </c>
      <c r="G19" s="30" t="s">
        <v>186</v>
      </c>
      <c r="H19" s="30">
        <v>47573</v>
      </c>
      <c r="I19" s="31" t="s">
        <v>187</v>
      </c>
      <c r="J19" s="31" t="s">
        <v>188</v>
      </c>
    </row>
    <row r="20" spans="3:10">
      <c r="C20" s="27"/>
      <c r="F20" s="29" t="s">
        <v>172</v>
      </c>
      <c r="G20" s="30"/>
      <c r="H20" s="30">
        <v>47574</v>
      </c>
      <c r="I20" s="31" t="s">
        <v>187</v>
      </c>
      <c r="J20" s="31" t="s">
        <v>188</v>
      </c>
    </row>
    <row r="21" spans="3:10">
      <c r="C21" s="27"/>
      <c r="I21" s="27"/>
    </row>
    <row r="22" spans="3:10">
      <c r="C22" s="27"/>
      <c r="I22" s="27"/>
    </row>
    <row r="23" spans="3:10">
      <c r="C23" s="24" t="s">
        <v>194</v>
      </c>
      <c r="D23" s="3" t="s">
        <v>195</v>
      </c>
      <c r="E23" s="3" t="s">
        <v>196</v>
      </c>
      <c r="F23" s="3" t="s">
        <v>177</v>
      </c>
      <c r="G23" s="28" t="s">
        <v>185</v>
      </c>
      <c r="H23" s="28">
        <v>47938</v>
      </c>
      <c r="I23" s="24" t="s">
        <v>174</v>
      </c>
      <c r="J23" s="27" t="s">
        <v>197</v>
      </c>
    </row>
    <row r="24" spans="3:10">
      <c r="F24" s="29" t="s">
        <v>177</v>
      </c>
      <c r="G24" s="30" t="s">
        <v>186</v>
      </c>
      <c r="H24" s="30">
        <v>47938</v>
      </c>
      <c r="I24" s="31" t="s">
        <v>187</v>
      </c>
      <c r="J24" s="31" t="s">
        <v>188</v>
      </c>
    </row>
    <row r="25" spans="3:10">
      <c r="F25" s="29" t="s">
        <v>172</v>
      </c>
      <c r="G25" s="30"/>
      <c r="H25" s="30">
        <v>47939</v>
      </c>
      <c r="I25" s="31" t="s">
        <v>187</v>
      </c>
      <c r="J25" s="31" t="s">
        <v>188</v>
      </c>
    </row>
    <row r="26" spans="3:10">
      <c r="I26" s="27"/>
    </row>
    <row r="27" spans="3:10">
      <c r="I27" s="27"/>
    </row>
    <row r="28" spans="3:10">
      <c r="C28" s="24" t="s">
        <v>198</v>
      </c>
      <c r="D28" s="3" t="s">
        <v>199</v>
      </c>
      <c r="E28" s="3" t="s">
        <v>199</v>
      </c>
      <c r="F28" s="3" t="s">
        <v>177</v>
      </c>
      <c r="G28" s="28" t="s">
        <v>185</v>
      </c>
      <c r="H28" s="28">
        <v>48304</v>
      </c>
      <c r="I28" s="24" t="s">
        <v>174</v>
      </c>
      <c r="J28" s="27" t="s">
        <v>197</v>
      </c>
    </row>
    <row r="29" spans="3:10">
      <c r="F29" s="29" t="s">
        <v>177</v>
      </c>
      <c r="G29" s="30" t="s">
        <v>186</v>
      </c>
      <c r="H29" s="30">
        <v>48304</v>
      </c>
      <c r="I29" s="31" t="s">
        <v>187</v>
      </c>
      <c r="J29" s="31" t="s">
        <v>200</v>
      </c>
    </row>
    <row r="30" spans="3:10">
      <c r="F30" s="29" t="s">
        <v>172</v>
      </c>
      <c r="G30" s="30"/>
      <c r="H30" s="30">
        <v>48305</v>
      </c>
      <c r="I30" s="31" t="s">
        <v>187</v>
      </c>
      <c r="J30" s="31" t="s">
        <v>200</v>
      </c>
    </row>
    <row r="31" spans="3:10">
      <c r="I31" s="27"/>
    </row>
    <row r="32" spans="3:10">
      <c r="I32" s="27"/>
    </row>
    <row r="33" spans="3:10">
      <c r="C33" s="24" t="s">
        <v>201</v>
      </c>
      <c r="D33" s="3" t="s">
        <v>202</v>
      </c>
      <c r="E33" s="3" t="s">
        <v>202</v>
      </c>
      <c r="F33" s="3" t="s">
        <v>177</v>
      </c>
      <c r="G33" s="28" t="s">
        <v>185</v>
      </c>
      <c r="H33" s="28">
        <v>48669</v>
      </c>
      <c r="I33" s="24" t="s">
        <v>174</v>
      </c>
      <c r="J33" s="27" t="s">
        <v>197</v>
      </c>
    </row>
    <row r="34" spans="3:10">
      <c r="F34" s="29" t="s">
        <v>177</v>
      </c>
      <c r="G34" s="30" t="s">
        <v>186</v>
      </c>
      <c r="H34" s="30">
        <v>48669</v>
      </c>
      <c r="I34" s="31" t="s">
        <v>187</v>
      </c>
      <c r="J34" s="31" t="s">
        <v>200</v>
      </c>
    </row>
    <row r="35" spans="3:10">
      <c r="F35" s="29" t="s">
        <v>172</v>
      </c>
      <c r="G35" s="30"/>
      <c r="H35" s="30">
        <v>48670</v>
      </c>
      <c r="I35" s="31" t="s">
        <v>187</v>
      </c>
      <c r="J35" s="31" t="s">
        <v>200</v>
      </c>
    </row>
    <row r="36" spans="3:10">
      <c r="I36" s="27"/>
    </row>
    <row r="37" spans="3:10">
      <c r="I37" s="27"/>
    </row>
    <row r="38" spans="3:10">
      <c r="C38" s="24" t="s">
        <v>203</v>
      </c>
      <c r="D38" s="3" t="s">
        <v>204</v>
      </c>
      <c r="E38" s="3" t="s">
        <v>204</v>
      </c>
      <c r="F38" s="3" t="s">
        <v>205</v>
      </c>
      <c r="G38" s="28" t="s">
        <v>206</v>
      </c>
      <c r="H38" s="28">
        <v>49034</v>
      </c>
      <c r="I38" s="24" t="s">
        <v>187</v>
      </c>
      <c r="J38" s="27" t="s">
        <v>200</v>
      </c>
    </row>
    <row r="39" spans="3:10">
      <c r="F39" s="29"/>
      <c r="G39" s="30"/>
      <c r="H39" s="30"/>
      <c r="I39" s="1"/>
      <c r="J39" s="31"/>
    </row>
  </sheetData>
  <mergeCells count="1">
    <mergeCell ref="J2:J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workbookViewId="0">
      <selection activeCell="J16" sqref="J16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7.1428571428571" customWidth="1"/>
    <col min="4" max="4" width="13" customWidth="1"/>
    <col min="5" max="5" width="11.7142857142857" customWidth="1"/>
    <col min="6" max="6" width="13.5714285714286" customWidth="1"/>
    <col min="7" max="7" width="15.5714285714286" customWidth="1"/>
    <col min="8" max="8" width="16.1428571428571" customWidth="1"/>
    <col min="9" max="9" width="15.8571428571429" customWidth="1"/>
    <col min="10" max="10" width="10.7142857142857" customWidth="1"/>
    <col min="11" max="11" width="18" customWidth="1"/>
  </cols>
  <sheetData>
    <row r="1" spans="1:11">
      <c r="A1" s="6" t="s">
        <v>207</v>
      </c>
      <c r="B1" s="6" t="s">
        <v>208</v>
      </c>
      <c r="C1" s="6" t="s">
        <v>209</v>
      </c>
      <c r="D1" s="7" t="s">
        <v>210</v>
      </c>
      <c r="E1" s="7" t="s">
        <v>211</v>
      </c>
      <c r="F1" s="7" t="s">
        <v>212</v>
      </c>
      <c r="G1" s="7" t="s">
        <v>213</v>
      </c>
      <c r="H1" s="7" t="s">
        <v>214</v>
      </c>
      <c r="I1" s="7" t="s">
        <v>215</v>
      </c>
      <c r="J1" s="7" t="s">
        <v>216</v>
      </c>
      <c r="K1" s="7" t="s">
        <v>217</v>
      </c>
    </row>
    <row r="2" spans="1:11">
      <c r="A2" s="8" t="s">
        <v>218</v>
      </c>
      <c r="B2" s="8" t="s">
        <v>218</v>
      </c>
      <c r="C2" s="9">
        <v>100000</v>
      </c>
      <c r="D2" s="7" t="s">
        <v>219</v>
      </c>
      <c r="E2" s="7" t="s">
        <v>219</v>
      </c>
      <c r="F2" s="7"/>
      <c r="G2" s="7" t="s">
        <v>219</v>
      </c>
      <c r="H2" s="7"/>
      <c r="I2" s="7"/>
      <c r="J2" s="7"/>
      <c r="K2" s="7"/>
    </row>
    <row r="3" spans="1:11">
      <c r="A3" s="8" t="s">
        <v>220</v>
      </c>
      <c r="B3" s="8" t="s">
        <v>220</v>
      </c>
      <c r="C3" s="9">
        <v>100000</v>
      </c>
      <c r="D3" s="7" t="s">
        <v>219</v>
      </c>
      <c r="E3" s="7" t="s">
        <v>219</v>
      </c>
      <c r="F3" s="7"/>
      <c r="G3" s="7" t="s">
        <v>219</v>
      </c>
      <c r="H3" s="7"/>
      <c r="I3" s="7"/>
      <c r="J3" s="7"/>
      <c r="K3" s="7"/>
    </row>
    <row r="4" spans="1:11">
      <c r="A4" s="10" t="s">
        <v>218</v>
      </c>
      <c r="B4" s="10" t="s">
        <v>221</v>
      </c>
      <c r="C4" s="11">
        <v>100000</v>
      </c>
      <c r="D4" s="7" t="s">
        <v>222</v>
      </c>
      <c r="E4" s="7" t="s">
        <v>219</v>
      </c>
      <c r="F4" s="7" t="s">
        <v>223</v>
      </c>
      <c r="G4" s="12" t="s">
        <v>103</v>
      </c>
      <c r="H4" s="12" t="s">
        <v>222</v>
      </c>
      <c r="I4" s="7"/>
      <c r="J4" s="7"/>
      <c r="K4" s="7"/>
    </row>
    <row r="5" spans="1:11">
      <c r="A5" s="10" t="s">
        <v>224</v>
      </c>
      <c r="B5" s="10" t="s">
        <v>224</v>
      </c>
      <c r="C5" s="11">
        <v>100000</v>
      </c>
      <c r="D5" s="7" t="s">
        <v>223</v>
      </c>
      <c r="E5" s="7" t="s">
        <v>219</v>
      </c>
      <c r="F5" s="7" t="s">
        <v>223</v>
      </c>
      <c r="G5" s="12" t="s">
        <v>103</v>
      </c>
      <c r="H5" s="12" t="s">
        <v>104</v>
      </c>
      <c r="I5" s="12" t="s">
        <v>225</v>
      </c>
      <c r="J5" s="7"/>
      <c r="K5" s="7"/>
    </row>
    <row r="6" spans="1:11">
      <c r="A6" s="10" t="s">
        <v>226</v>
      </c>
      <c r="B6" s="10" t="s">
        <v>226</v>
      </c>
      <c r="C6" s="11">
        <v>100000</v>
      </c>
      <c r="D6" s="7" t="s">
        <v>223</v>
      </c>
      <c r="E6" s="7" t="s">
        <v>219</v>
      </c>
      <c r="F6" s="7" t="s">
        <v>223</v>
      </c>
      <c r="G6" s="7" t="s">
        <v>223</v>
      </c>
      <c r="H6" s="12" t="s">
        <v>104</v>
      </c>
      <c r="I6" s="12" t="s">
        <v>225</v>
      </c>
      <c r="J6" s="7"/>
      <c r="K6" s="7"/>
    </row>
    <row r="7" spans="1:11">
      <c r="A7" s="10" t="s">
        <v>218</v>
      </c>
      <c r="B7" s="10" t="s">
        <v>227</v>
      </c>
      <c r="C7" s="11">
        <v>100000</v>
      </c>
      <c r="D7" s="7" t="s">
        <v>223</v>
      </c>
      <c r="E7" s="7" t="s">
        <v>219</v>
      </c>
      <c r="F7" s="7" t="s">
        <v>223</v>
      </c>
      <c r="G7" s="7" t="s">
        <v>223</v>
      </c>
      <c r="H7" s="7"/>
      <c r="I7" s="7"/>
      <c r="J7" s="7"/>
      <c r="K7" s="7"/>
    </row>
    <row r="8" spans="1:11">
      <c r="A8" s="10" t="s">
        <v>228</v>
      </c>
      <c r="B8" s="10" t="s">
        <v>228</v>
      </c>
      <c r="C8" s="11">
        <v>100000</v>
      </c>
      <c r="D8" s="7" t="s">
        <v>223</v>
      </c>
      <c r="E8" s="7" t="s">
        <v>219</v>
      </c>
      <c r="F8" s="7" t="s">
        <v>223</v>
      </c>
      <c r="G8" s="7" t="s">
        <v>223</v>
      </c>
      <c r="H8" s="7"/>
      <c r="I8" s="7"/>
      <c r="J8" s="7"/>
      <c r="K8" s="7"/>
    </row>
    <row r="9" spans="1:11">
      <c r="A9" s="10" t="s">
        <v>229</v>
      </c>
      <c r="B9" s="10" t="s">
        <v>229</v>
      </c>
      <c r="C9" s="11">
        <v>100000</v>
      </c>
      <c r="D9" s="7" t="s">
        <v>223</v>
      </c>
      <c r="E9" s="7" t="s">
        <v>219</v>
      </c>
      <c r="F9" s="7" t="s">
        <v>223</v>
      </c>
      <c r="G9" s="7" t="s">
        <v>223</v>
      </c>
      <c r="H9" s="7"/>
      <c r="I9" s="7"/>
      <c r="J9" s="7"/>
      <c r="K9" s="7"/>
    </row>
    <row r="10" spans="1:11">
      <c r="A10" s="10" t="s">
        <v>230</v>
      </c>
      <c r="B10" s="10" t="s">
        <v>230</v>
      </c>
      <c r="C10" s="11">
        <v>100000</v>
      </c>
      <c r="D10" s="7" t="s">
        <v>223</v>
      </c>
      <c r="E10" s="7" t="s">
        <v>219</v>
      </c>
      <c r="F10" s="7" t="s">
        <v>223</v>
      </c>
      <c r="G10" s="7" t="s">
        <v>223</v>
      </c>
      <c r="H10" s="7"/>
      <c r="I10" s="7"/>
      <c r="J10" s="7"/>
      <c r="K10" s="7"/>
    </row>
    <row r="11" spans="1:11">
      <c r="A11" s="10" t="s">
        <v>231</v>
      </c>
      <c r="B11" s="10" t="s">
        <v>231</v>
      </c>
      <c r="C11" s="11">
        <v>100000</v>
      </c>
      <c r="D11" s="7" t="s">
        <v>219</v>
      </c>
      <c r="E11" s="7" t="s">
        <v>219</v>
      </c>
      <c r="F11" s="7" t="s">
        <v>223</v>
      </c>
      <c r="G11" s="7" t="s">
        <v>223</v>
      </c>
      <c r="H11" s="7" t="s">
        <v>232</v>
      </c>
      <c r="I11" s="7"/>
      <c r="J11" s="7"/>
      <c r="K11" s="7"/>
    </row>
    <row r="12" spans="1:11">
      <c r="A12" s="10" t="s">
        <v>233</v>
      </c>
      <c r="B12" s="10" t="s">
        <v>233</v>
      </c>
      <c r="C12" s="11">
        <v>100000</v>
      </c>
      <c r="D12" s="7" t="s">
        <v>223</v>
      </c>
      <c r="E12" s="7" t="s">
        <v>219</v>
      </c>
      <c r="F12" s="7" t="s">
        <v>223</v>
      </c>
      <c r="G12" s="7" t="s">
        <v>223</v>
      </c>
      <c r="H12" s="7"/>
      <c r="I12" s="7"/>
      <c r="J12" s="7"/>
      <c r="K12" s="7"/>
    </row>
    <row r="13" spans="1:11">
      <c r="A13" s="10" t="s">
        <v>234</v>
      </c>
      <c r="B13" s="10" t="s">
        <v>234</v>
      </c>
      <c r="C13" s="11">
        <v>100000</v>
      </c>
      <c r="D13" s="7" t="s">
        <v>223</v>
      </c>
      <c r="E13" s="7" t="s">
        <v>219</v>
      </c>
      <c r="F13" s="7" t="s">
        <v>223</v>
      </c>
      <c r="G13" s="7" t="s">
        <v>223</v>
      </c>
      <c r="H13" s="7"/>
      <c r="I13" s="7"/>
      <c r="J13" s="7"/>
      <c r="K13" s="7"/>
    </row>
    <row r="14" spans="1:11">
      <c r="A14" s="10" t="s">
        <v>235</v>
      </c>
      <c r="B14" s="10" t="s">
        <v>235</v>
      </c>
      <c r="C14" s="11">
        <v>100000</v>
      </c>
      <c r="D14" s="7" t="s">
        <v>223</v>
      </c>
      <c r="E14" s="7" t="s">
        <v>219</v>
      </c>
      <c r="F14" s="7" t="s">
        <v>223</v>
      </c>
      <c r="G14" s="7" t="s">
        <v>223</v>
      </c>
      <c r="H14" s="7"/>
      <c r="I14" s="7"/>
      <c r="J14" s="7"/>
      <c r="K14" s="7"/>
    </row>
    <row r="15" spans="1:11">
      <c r="A15" s="10" t="s">
        <v>236</v>
      </c>
      <c r="B15" s="10" t="s">
        <v>236</v>
      </c>
      <c r="C15" s="11">
        <v>100000</v>
      </c>
      <c r="D15" s="7" t="s">
        <v>237</v>
      </c>
      <c r="E15" s="7" t="s">
        <v>219</v>
      </c>
      <c r="F15" s="7" t="s">
        <v>223</v>
      </c>
      <c r="G15" s="7" t="s">
        <v>223</v>
      </c>
      <c r="H15" s="7" t="s">
        <v>237</v>
      </c>
      <c r="I15" s="7"/>
      <c r="J15" s="7"/>
      <c r="K15" s="7"/>
    </row>
    <row r="16" spans="1:11">
      <c r="A16" s="10" t="s">
        <v>238</v>
      </c>
      <c r="B16" s="10" t="s">
        <v>238</v>
      </c>
      <c r="C16" s="11">
        <v>100000</v>
      </c>
      <c r="D16" s="7" t="s">
        <v>237</v>
      </c>
      <c r="E16" s="7" t="s">
        <v>219</v>
      </c>
      <c r="F16" s="7" t="s">
        <v>223</v>
      </c>
      <c r="G16" s="7" t="s">
        <v>223</v>
      </c>
      <c r="H16" s="7" t="s">
        <v>237</v>
      </c>
      <c r="I16" s="7"/>
      <c r="J16" s="7"/>
      <c r="K16" s="7"/>
    </row>
    <row r="17" spans="1:11">
      <c r="A17" s="10" t="s">
        <v>239</v>
      </c>
      <c r="B17" s="10" t="s">
        <v>239</v>
      </c>
      <c r="C17" s="11">
        <v>100000</v>
      </c>
      <c r="D17" s="7" t="s">
        <v>223</v>
      </c>
      <c r="E17" s="7" t="s">
        <v>219</v>
      </c>
      <c r="F17" s="7" t="s">
        <v>223</v>
      </c>
      <c r="G17" s="7" t="s">
        <v>223</v>
      </c>
      <c r="H17" s="7"/>
      <c r="I17" s="7"/>
      <c r="J17" s="7"/>
      <c r="K17" s="7"/>
    </row>
    <row r="18" spans="1:11">
      <c r="A18" s="10" t="s">
        <v>239</v>
      </c>
      <c r="B18" s="10" t="s">
        <v>240</v>
      </c>
      <c r="C18" s="11">
        <v>100000</v>
      </c>
      <c r="D18" s="7" t="s">
        <v>223</v>
      </c>
      <c r="E18" s="7" t="s">
        <v>219</v>
      </c>
      <c r="F18" s="7" t="s">
        <v>223</v>
      </c>
      <c r="G18" s="7" t="s">
        <v>223</v>
      </c>
      <c r="H18" s="7"/>
      <c r="I18" s="7"/>
      <c r="J18" s="7"/>
      <c r="K18" s="7"/>
    </row>
    <row r="19" spans="1:11">
      <c r="A19" s="10" t="s">
        <v>241</v>
      </c>
      <c r="B19" s="10" t="s">
        <v>241</v>
      </c>
      <c r="C19" s="11">
        <v>100000</v>
      </c>
      <c r="D19" s="7" t="s">
        <v>237</v>
      </c>
      <c r="E19" s="7" t="s">
        <v>219</v>
      </c>
      <c r="F19" s="7" t="s">
        <v>223</v>
      </c>
      <c r="G19" s="7" t="s">
        <v>237</v>
      </c>
      <c r="H19" s="7"/>
      <c r="I19" s="7"/>
      <c r="J19" s="7"/>
      <c r="K19" s="7"/>
    </row>
    <row r="20" spans="1:11">
      <c r="A20" s="10" t="s">
        <v>239</v>
      </c>
      <c r="B20" s="10" t="s">
        <v>242</v>
      </c>
      <c r="C20" s="11">
        <v>100000</v>
      </c>
      <c r="D20" s="7" t="s">
        <v>223</v>
      </c>
      <c r="E20" s="7" t="s">
        <v>219</v>
      </c>
      <c r="F20" s="7" t="s">
        <v>223</v>
      </c>
      <c r="G20" s="7" t="s">
        <v>223</v>
      </c>
      <c r="H20" s="7"/>
      <c r="I20" s="7"/>
      <c r="J20" s="7"/>
      <c r="K20" s="7"/>
    </row>
    <row r="21" spans="1:11">
      <c r="A21" s="13" t="s">
        <v>243</v>
      </c>
      <c r="B21" s="13" t="s">
        <v>243</v>
      </c>
      <c r="C21" s="14">
        <v>100000</v>
      </c>
      <c r="D21" s="7" t="s">
        <v>244</v>
      </c>
      <c r="E21" s="7" t="s">
        <v>219</v>
      </c>
      <c r="F21" s="7" t="s">
        <v>244</v>
      </c>
      <c r="G21" s="7" t="s">
        <v>244</v>
      </c>
      <c r="H21" s="7"/>
      <c r="I21" s="7"/>
      <c r="J21" s="7"/>
      <c r="K21" s="7"/>
    </row>
    <row r="22" spans="1:11">
      <c r="A22" s="13" t="s">
        <v>245</v>
      </c>
      <c r="B22" s="13" t="s">
        <v>245</v>
      </c>
      <c r="C22" s="14">
        <v>100000</v>
      </c>
      <c r="D22" s="7" t="s">
        <v>237</v>
      </c>
      <c r="E22" s="7" t="s">
        <v>219</v>
      </c>
      <c r="F22" s="7" t="s">
        <v>237</v>
      </c>
      <c r="G22" s="7"/>
      <c r="H22" s="7"/>
      <c r="I22" s="7"/>
      <c r="J22" s="7"/>
      <c r="K22" s="7"/>
    </row>
    <row r="23" spans="1:11">
      <c r="A23" s="13" t="s">
        <v>246</v>
      </c>
      <c r="B23" s="13" t="s">
        <v>246</v>
      </c>
      <c r="C23" s="14">
        <v>100000</v>
      </c>
      <c r="D23" s="7" t="s">
        <v>237</v>
      </c>
      <c r="E23" s="7" t="s">
        <v>219</v>
      </c>
      <c r="F23" s="7" t="s">
        <v>237</v>
      </c>
      <c r="G23" s="7"/>
      <c r="H23" s="7"/>
      <c r="I23" s="7"/>
      <c r="J23" s="7"/>
      <c r="K23" s="7"/>
    </row>
    <row r="24" spans="1:11">
      <c r="A24" s="15" t="s">
        <v>247</v>
      </c>
      <c r="B24" s="15" t="s">
        <v>247</v>
      </c>
      <c r="C24" s="16">
        <v>100000</v>
      </c>
      <c r="D24" s="7" t="s">
        <v>244</v>
      </c>
      <c r="E24" s="7" t="s">
        <v>248</v>
      </c>
      <c r="F24" s="7"/>
      <c r="G24" s="7"/>
      <c r="H24" s="7"/>
      <c r="I24" s="7"/>
      <c r="J24" s="7"/>
      <c r="K24" s="7"/>
    </row>
    <row r="25" spans="1:11">
      <c r="A25" s="15" t="s">
        <v>249</v>
      </c>
      <c r="B25" s="15" t="s">
        <v>249</v>
      </c>
      <c r="C25" s="16">
        <v>100000</v>
      </c>
      <c r="D25" s="7" t="s">
        <v>237</v>
      </c>
      <c r="E25" s="7" t="s">
        <v>250</v>
      </c>
      <c r="F25" s="7"/>
      <c r="G25" s="7"/>
      <c r="H25" s="7"/>
      <c r="I25" s="7"/>
      <c r="J25" s="7"/>
      <c r="K25" s="7"/>
    </row>
    <row r="26" spans="1:11">
      <c r="A26" s="17" t="s">
        <v>251</v>
      </c>
      <c r="B26" s="17" t="s">
        <v>252</v>
      </c>
      <c r="C26" s="9">
        <v>10000</v>
      </c>
      <c r="D26" s="7" t="s">
        <v>237</v>
      </c>
      <c r="E26" s="7" t="s">
        <v>219</v>
      </c>
      <c r="F26" s="7"/>
      <c r="G26" s="7"/>
      <c r="H26" s="7"/>
      <c r="I26" s="7" t="s">
        <v>237</v>
      </c>
      <c r="J26" s="7"/>
      <c r="K26" s="7"/>
    </row>
    <row r="27" spans="1:11">
      <c r="A27" s="17" t="s">
        <v>253</v>
      </c>
      <c r="B27" s="17" t="s">
        <v>254</v>
      </c>
      <c r="C27" s="18">
        <v>605501.57</v>
      </c>
      <c r="D27" s="7" t="s">
        <v>223</v>
      </c>
      <c r="E27" s="7" t="s">
        <v>219</v>
      </c>
      <c r="F27" s="7"/>
      <c r="G27" s="7"/>
      <c r="H27" s="7"/>
      <c r="I27" s="7" t="s">
        <v>223</v>
      </c>
      <c r="J27" s="7"/>
      <c r="K27" s="7"/>
    </row>
    <row r="28" spans="1:11">
      <c r="A28" s="17" t="s">
        <v>253</v>
      </c>
      <c r="B28" s="17" t="s">
        <v>255</v>
      </c>
      <c r="C28" s="9">
        <v>200000.56</v>
      </c>
      <c r="D28" s="7" t="s">
        <v>223</v>
      </c>
      <c r="E28" s="7" t="s">
        <v>219</v>
      </c>
      <c r="F28" s="7"/>
      <c r="G28" s="7"/>
      <c r="H28" s="7"/>
      <c r="I28" s="7" t="s">
        <v>223</v>
      </c>
      <c r="J28" s="7"/>
      <c r="K28" s="7"/>
    </row>
    <row r="29" spans="1:11">
      <c r="A29" s="19" t="s">
        <v>253</v>
      </c>
      <c r="B29" s="20" t="s">
        <v>256</v>
      </c>
      <c r="C29" s="21">
        <v>200000.56</v>
      </c>
      <c r="D29" s="7" t="s">
        <v>223</v>
      </c>
      <c r="E29" s="7" t="s">
        <v>219</v>
      </c>
      <c r="F29" s="7"/>
      <c r="G29" s="7"/>
      <c r="H29" s="7"/>
      <c r="I29" s="7" t="s">
        <v>223</v>
      </c>
      <c r="J29" s="7"/>
      <c r="K29" s="7"/>
    </row>
    <row r="32" spans="1:11">
      <c r="A32" t="s">
        <v>257</v>
      </c>
    </row>
  </sheetData>
  <autoFilter xmlns:etc="http://www.wps.cn/officeDocument/2017/etCustomData" ref="A1:H32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5"/>
  <sheetViews>
    <sheetView zoomScale="70" zoomScaleNormal="70" topLeftCell="E8" workbookViewId="0">
      <selection activeCell="L26" sqref="L26"/>
    </sheetView>
  </sheetViews>
  <sheetFormatPr defaultColWidth="9.14285714285714" defaultRowHeight="15"/>
  <cols>
    <col min="2" max="2" width="14.4666666666667" customWidth="1"/>
    <col min="8" max="8" width="10.9809523809524" customWidth="1"/>
    <col min="9" max="9" width="60.7809523809524" customWidth="1"/>
    <col min="10" max="10" width="11.8761904761905" customWidth="1"/>
    <col min="12" max="12" width="31.4285714285714" customWidth="1"/>
  </cols>
  <sheetData>
    <row r="1" spans="2:12">
      <c r="H1" s="3" t="s">
        <v>1</v>
      </c>
      <c r="I1" s="3" t="s">
        <v>258</v>
      </c>
      <c r="J1" s="3" t="s">
        <v>259</v>
      </c>
      <c r="K1" s="3" t="s">
        <v>260</v>
      </c>
      <c r="L1" s="3"/>
    </row>
    <row r="2" ht="30" spans="2:12">
      <c r="B2" t="s">
        <v>261</v>
      </c>
      <c r="C2">
        <v>100</v>
      </c>
      <c r="G2" t="s">
        <v>262</v>
      </c>
      <c r="H2" s="3" t="s">
        <v>263</v>
      </c>
      <c r="I2" s="4" t="s">
        <v>264</v>
      </c>
      <c r="J2" s="3"/>
      <c r="K2" s="3"/>
      <c r="L2" s="3"/>
    </row>
    <row r="3" ht="30" spans="2:12">
      <c r="B3" t="s">
        <v>265</v>
      </c>
      <c r="C3">
        <v>50</v>
      </c>
      <c r="D3" t="s">
        <v>223</v>
      </c>
      <c r="H3" s="3" t="s">
        <v>266</v>
      </c>
      <c r="I3" s="4" t="s">
        <v>267</v>
      </c>
      <c r="J3" s="3" t="s">
        <v>268</v>
      </c>
      <c r="K3" s="3" t="s">
        <v>269</v>
      </c>
      <c r="L3" s="3"/>
    </row>
    <row r="4" ht="30" spans="2:12">
      <c r="H4" s="3" t="s">
        <v>266</v>
      </c>
      <c r="I4" s="4" t="s">
        <v>267</v>
      </c>
      <c r="J4" s="3" t="s">
        <v>270</v>
      </c>
      <c r="K4" s="3" t="s">
        <v>271</v>
      </c>
      <c r="L4" s="3" t="s">
        <v>272</v>
      </c>
    </row>
    <row r="5" ht="45" spans="2:12">
      <c r="B5" t="s">
        <v>273</v>
      </c>
      <c r="C5">
        <v>25</v>
      </c>
      <c r="D5" t="s">
        <v>274</v>
      </c>
      <c r="H5" s="3" t="s">
        <v>275</v>
      </c>
      <c r="I5" s="4" t="s">
        <v>276</v>
      </c>
      <c r="J5" s="3" t="s">
        <v>268</v>
      </c>
      <c r="K5" s="3"/>
      <c r="L5" s="3" t="s">
        <v>277</v>
      </c>
    </row>
    <row r="6" ht="45" spans="2:12">
      <c r="H6" s="3" t="s">
        <v>275</v>
      </c>
      <c r="I6" s="4" t="s">
        <v>276</v>
      </c>
      <c r="J6" s="3" t="s">
        <v>270</v>
      </c>
      <c r="K6" s="3"/>
      <c r="L6" s="3" t="s">
        <v>278</v>
      </c>
    </row>
    <row r="7" ht="45" spans="2:12">
      <c r="H7" s="3" t="s">
        <v>275</v>
      </c>
      <c r="I7" s="4" t="s">
        <v>276</v>
      </c>
      <c r="J7" s="3" t="s">
        <v>279</v>
      </c>
      <c r="K7" s="3"/>
      <c r="L7" s="4" t="s">
        <v>280</v>
      </c>
    </row>
    <row r="8" ht="60" spans="2:12">
      <c r="H8" s="3" t="s">
        <v>277</v>
      </c>
      <c r="I8" s="4" t="s">
        <v>281</v>
      </c>
      <c r="J8" s="3" t="s">
        <v>268</v>
      </c>
      <c r="K8" s="3"/>
      <c r="L8" s="3" t="s">
        <v>282</v>
      </c>
    </row>
    <row r="9" ht="60" spans="2:12">
      <c r="H9" s="3" t="s">
        <v>277</v>
      </c>
      <c r="I9" s="4" t="s">
        <v>281</v>
      </c>
      <c r="J9" s="3" t="s">
        <v>270</v>
      </c>
      <c r="K9" s="3"/>
      <c r="L9" s="3" t="s">
        <v>278</v>
      </c>
    </row>
    <row r="10" ht="60" spans="2:12">
      <c r="H10" s="3" t="s">
        <v>277</v>
      </c>
      <c r="I10" s="4" t="s">
        <v>281</v>
      </c>
      <c r="J10" s="3" t="s">
        <v>279</v>
      </c>
      <c r="K10" s="3"/>
      <c r="L10" s="4" t="s">
        <v>283</v>
      </c>
    </row>
    <row r="11" ht="30" spans="2:12">
      <c r="H11" s="3" t="s">
        <v>282</v>
      </c>
      <c r="I11" s="4" t="s">
        <v>267</v>
      </c>
      <c r="J11" s="3"/>
      <c r="K11" s="3"/>
      <c r="L11" s="5" t="s">
        <v>284</v>
      </c>
    </row>
    <row r="12" ht="30" spans="2:12">
      <c r="H12" s="3" t="s">
        <v>285</v>
      </c>
      <c r="I12" s="4" t="s">
        <v>267</v>
      </c>
      <c r="J12" s="3"/>
      <c r="K12" s="3"/>
      <c r="L12" s="5"/>
    </row>
    <row r="17" spans="8:9">
      <c r="H17" t="s">
        <v>286</v>
      </c>
    </row>
    <row r="19" spans="8:9">
      <c r="H19" s="3" t="s">
        <v>287</v>
      </c>
      <c r="I19" s="3" t="s">
        <v>288</v>
      </c>
    </row>
    <row r="20" spans="8:9">
      <c r="H20" s="3" t="s">
        <v>289</v>
      </c>
      <c r="I20" s="3" t="s">
        <v>290</v>
      </c>
    </row>
    <row r="21" spans="8:9">
      <c r="H21" s="3" t="s">
        <v>291</v>
      </c>
      <c r="I21" s="3" t="s">
        <v>292</v>
      </c>
    </row>
    <row r="22" spans="8:9">
      <c r="H22" s="3" t="s">
        <v>293</v>
      </c>
      <c r="I22" s="3" t="s">
        <v>294</v>
      </c>
    </row>
    <row r="25" spans="8:9">
      <c r="H25" t="s">
        <v>223</v>
      </c>
      <c r="I25" t="s">
        <v>274</v>
      </c>
    </row>
  </sheetData>
  <mergeCells count="1">
    <mergeCell ref="L11:L1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I22" sqref="I22"/>
    </sheetView>
  </sheetViews>
  <sheetFormatPr defaultColWidth="9.14285714285714" defaultRowHeight="15"/>
  <cols>
    <col min="3" max="3" width="12.4285714285714" customWidth="1"/>
    <col min="7" max="7" width="24.2857142857143" customWidth="1"/>
    <col min="9" max="9" width="13" customWidth="1"/>
  </cols>
  <sheetData>
    <row r="1" spans="1:7">
      <c r="D1" t="s">
        <v>295</v>
      </c>
    </row>
    <row r="2" spans="1:7">
      <c r="B2" t="s">
        <v>169</v>
      </c>
      <c r="C2" t="s">
        <v>296</v>
      </c>
      <c r="D2" t="s">
        <v>297</v>
      </c>
      <c r="E2" t="s">
        <v>298</v>
      </c>
    </row>
    <row r="3" spans="1:7">
      <c r="B3" t="s">
        <v>175</v>
      </c>
      <c r="C3" t="s">
        <v>296</v>
      </c>
      <c r="D3" t="s">
        <v>297</v>
      </c>
    </row>
    <row r="4" spans="1:7">
      <c r="B4" t="s">
        <v>179</v>
      </c>
      <c r="C4" t="s">
        <v>296</v>
      </c>
      <c r="D4" t="s">
        <v>297</v>
      </c>
    </row>
    <row r="5" spans="1:7">
      <c r="B5" t="s">
        <v>181</v>
      </c>
      <c r="C5" t="s">
        <v>296</v>
      </c>
      <c r="D5" t="s">
        <v>297</v>
      </c>
    </row>
    <row r="6" spans="1:7">
      <c r="A6" s="1" t="s">
        <v>299</v>
      </c>
      <c r="B6" s="1"/>
      <c r="C6" s="1"/>
      <c r="D6" s="1" t="s">
        <v>300</v>
      </c>
      <c r="F6" s="2">
        <v>0.15</v>
      </c>
      <c r="G6" t="s">
        <v>301</v>
      </c>
    </row>
    <row r="8" spans="1:7">
      <c r="B8" t="s">
        <v>265</v>
      </c>
      <c r="D8" s="1" t="s">
        <v>302</v>
      </c>
    </row>
    <row r="15" spans="1:7">
      <c r="G15" s="1">
        <f>15%*3000000</f>
        <v>450000</v>
      </c>
    </row>
    <row r="17" spans="7:9">
      <c r="G17" s="1">
        <f>75%*2700000</f>
        <v>2025000</v>
      </c>
      <c r="I17" t="s">
        <v>136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Flow</vt:lpstr>
      <vt:lpstr>Claim Management  - normal </vt:lpstr>
      <vt:lpstr>Claim Management  - SHG</vt:lpstr>
      <vt:lpstr>Claim Management  - SHG (2)</vt:lpstr>
      <vt:lpstr>BP - CG fee Calculatons</vt:lpstr>
      <vt:lpstr>Sheet1</vt:lpstr>
      <vt:lpstr>Sheet2</vt:lpstr>
      <vt:lpstr>Sheet4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</cp:lastModifiedBy>
  <dcterms:created xsi:type="dcterms:W3CDTF">2025-07-24T22:33:00Z</dcterms:created>
  <dcterms:modified xsi:type="dcterms:W3CDTF">2026-10-13T06:10:33Z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