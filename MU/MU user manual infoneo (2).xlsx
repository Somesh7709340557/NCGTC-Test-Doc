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activeTab="1"/>
  </bookViews>
  <sheets>
    <sheet name="Flow" sheetId="1" r:id="rId1"/>
    <sheet name="Certificate calcualtions" sheetId="4" r:id="rId2"/>
    <sheet name="BP - CG fee Calculatons" sheetId="3" r:id="rId3"/>
    <sheet name="Sheet1" sheetId="5" r:id="rId4"/>
    <sheet name="Sheet2" sheetId="7" r:id="rId5"/>
    <sheet name="Sheet4" sheetId="9" r:id="rId6"/>
    <sheet name="Sheet3" sheetId="10" r:id="rId7"/>
  </sheets>
  <definedNames>
    <definedName name="_xlnm._FilterDatabase" localSheetId="4" hidden="1">Sheet2!$A$1:$H$32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<sst xmlns="http://schemas.openxmlformats.org/spreadsheetml/2006/main" count="646" uniqueCount="295">
  <si>
    <t>Category</t>
  </si>
  <si>
    <t>Role</t>
  </si>
  <si>
    <t>Steps</t>
  </si>
  <si>
    <t>Time Stamp</t>
  </si>
  <si>
    <t>Business Logics</t>
  </si>
  <si>
    <t>PortFolio Creation
(current)</t>
  </si>
  <si>
    <t>NCGTC creator</t>
  </si>
  <si>
    <t>1 Login with NCGTC creator
2 Go to Port Folio Management  &gt;  Manage portfolio page
3 Click on create portfolio
4 Add details 
5 Save
6 Come back to  Manage portfolio page
7 Search created portfolio
8 Send for approval</t>
  </si>
  <si>
    <r>
      <rPr>
        <sz val="11"/>
        <color theme="1"/>
        <rFont val="Calibri"/>
        <charset val="134"/>
        <scheme val="minor"/>
      </rPr>
      <t xml:space="preserve">Current portfolio - </t>
    </r>
    <r>
      <rPr>
        <b/>
        <sz val="11"/>
        <color theme="1"/>
        <rFont val="Calibri"/>
        <charset val="134"/>
        <scheme val="minor"/>
      </rPr>
      <t>MUDJ&amp;K</t>
    </r>
    <r>
      <rPr>
        <b/>
        <sz val="11"/>
        <color theme="7"/>
        <rFont val="Calibri"/>
        <charset val="134"/>
        <scheme val="minor"/>
      </rPr>
      <t>20252026</t>
    </r>
    <r>
      <rPr>
        <b/>
        <sz val="11"/>
        <color theme="1"/>
        <rFont val="Calibri"/>
        <charset val="134"/>
        <scheme val="minor"/>
      </rPr>
      <t>C
Server time - Apr 25 to march26 ----&gt; 1 st apr 2025</t>
    </r>
  </si>
  <si>
    <t>jkmudcr
jkmudap
for J&amp;K Bank</t>
  </si>
  <si>
    <t>1 Login with NCGTC creator
2 Go to Port Folio Management  &gt;  Manage portfolio page
3 Search PortFolio
4 Approve portfolio</t>
  </si>
  <si>
    <t>Server time - Apr 25 to march26 ----&gt; 1 st apr 2025</t>
  </si>
  <si>
    <t>NCGTC Approver</t>
  </si>
  <si>
    <t>1 Login with NCGTC approver
2 Go to Port Folio Management  &gt;  Manage portfolio page
3 Search PortFolio
4 Approve portfolio</t>
  </si>
  <si>
    <t>Base period</t>
  </si>
  <si>
    <t>MIL creator</t>
  </si>
  <si>
    <t>1 Login with MLI creator ( should belog  with respective Bank selected while creating portfolio)
2 Go to Input File Managment
3 Select Created portfolio from dropdown ( Tag should be Base period 1)</t>
  </si>
  <si>
    <r>
      <rPr>
        <sz val="11"/>
        <color theme="1"/>
        <rFont val="Calibri"/>
        <charset val="134"/>
        <scheme val="minor"/>
      </rPr>
      <t xml:space="preserve">Server time - Jul 25 to Sep 25 ---&gt;  </t>
    </r>
    <r>
      <rPr>
        <b/>
        <sz val="11"/>
        <color theme="1"/>
        <rFont val="Calibri"/>
        <charset val="134"/>
        <scheme val="minor"/>
      </rPr>
      <t>30 Sep 25</t>
    </r>
  </si>
  <si>
    <t>&gt; By default base peroid is Q1
&gt; Upload Q1 data in Q2 time</t>
  </si>
  <si>
    <t>Upload New CG for Q1</t>
  </si>
  <si>
    <t>&gt; Got to input file manager
&gt; Select portfolio
&gt; Select New CG option
&gt; Upload Q1 data
&gt; Send for approvel</t>
  </si>
  <si>
    <r>
      <rPr>
        <sz val="11"/>
        <color theme="1"/>
        <rFont val="Calibri"/>
        <charset val="134"/>
        <scheme val="minor"/>
      </rPr>
      <t xml:space="preserve">
Sanction date - Apr 25 to Jun 25
Disbursment date - Apr 25 to Jun 25
Server date - </t>
    </r>
    <r>
      <rPr>
        <b/>
        <sz val="11"/>
        <color theme="1"/>
        <rFont val="Calibri"/>
        <charset val="134"/>
        <scheme val="minor"/>
      </rPr>
      <t>31/07/2025</t>
    </r>
  </si>
  <si>
    <t>Approve New CG</t>
  </si>
  <si>
    <t>MIL Approver</t>
  </si>
  <si>
    <r>
      <rPr>
        <sz val="11"/>
        <color theme="1"/>
        <rFont val="Calibri"/>
        <charset val="134"/>
        <scheme val="minor"/>
      </rPr>
      <t>&gt; Login with MLI approver
&gt; Go to Approve Input file
&gt; Approve file (</t>
    </r>
    <r>
      <rPr>
        <b/>
        <sz val="11"/>
        <color theme="1"/>
        <rFont val="Calibri"/>
        <charset val="134"/>
        <scheme val="minor"/>
      </rPr>
      <t>NCGTCApprovalAwaited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</si>
  <si>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&gt; Login with NCGTC creator
&gt; Home
&gt; Search file with input file name
&gt; Approve / reject (</t>
    </r>
    <r>
      <rPr>
        <b/>
        <sz val="11"/>
        <color theme="1"/>
        <rFont val="Calibri"/>
        <charset val="134"/>
        <scheme val="minor"/>
      </rPr>
      <t>Processed</t>
    </r>
    <r>
      <rPr>
        <sz val="11"/>
        <color theme="1"/>
        <rFont val="Calibri"/>
        <charset val="134"/>
        <scheme val="minor"/>
      </rPr>
      <t>)</t>
    </r>
  </si>
  <si>
    <t>Trasit base period to Q2</t>
  </si>
  <si>
    <t>&gt; Go to Final bill Generation menu
&gt; Search for portfolio
&gt;Click on transit portfolio
&gt;Verify transion from Q1 to Q2</t>
  </si>
  <si>
    <r>
      <rPr>
        <sz val="11"/>
        <color theme="1"/>
        <rFont val="Calibri"/>
        <charset val="134"/>
        <scheme val="minor"/>
      </rPr>
      <t xml:space="preserve">Server time - </t>
    </r>
    <r>
      <rPr>
        <b/>
        <sz val="11"/>
        <color theme="1"/>
        <rFont val="Calibri"/>
        <charset val="134"/>
        <scheme val="minor"/>
      </rPr>
      <t xml:space="preserve">Oct 25 to Dec 25 </t>
    </r>
  </si>
  <si>
    <t>Upload New CG for Q2</t>
  </si>
  <si>
    <t>&gt; Got to input file manager
&gt; Select portfolio
&gt; Select New CG option
&gt; Upload Q2 data</t>
  </si>
  <si>
    <t>Sanction date - Jul 26 to Sep 26  ---&gt; 01-07-2025
Disbursment date - Jul 26 to Sep 26 ---&gt; 01-07-2025</t>
  </si>
  <si>
    <t>Trasit base period to Q3</t>
  </si>
  <si>
    <t>&gt; Go to Final bill Generation menu
&gt; Search for portfolio
&gt;Click on transit portfolio
&gt;Verify transion from Q2 to Q3</t>
  </si>
  <si>
    <t xml:space="preserve">Server time - Jan 26 to March 26 </t>
  </si>
  <si>
    <t>Upload New CG for Q3</t>
  </si>
  <si>
    <t>&gt; Got to input file manager
&gt; Select portfolio
&gt; Select New CG option
&gt; Upload Q3 data</t>
  </si>
  <si>
    <r>
      <rPr>
        <sz val="11"/>
        <color theme="1"/>
        <rFont val="Calibri"/>
        <charset val="134"/>
        <scheme val="minor"/>
      </rPr>
      <t>Sanction date - Oct 26 to Dec 26 ---&gt;0</t>
    </r>
    <r>
      <rPr>
        <b/>
        <sz val="11"/>
        <color theme="1"/>
        <rFont val="Calibri"/>
        <charset val="134"/>
        <scheme val="minor"/>
      </rPr>
      <t>1-10-2025</t>
    </r>
    <r>
      <rPr>
        <sz val="11"/>
        <color theme="1"/>
        <rFont val="Calibri"/>
        <charset val="134"/>
        <scheme val="minor"/>
      </rPr>
      <t xml:space="preserve">
Disbursment date -  Oct 26 to Dec 26 ---&gt;</t>
    </r>
    <r>
      <rPr>
        <b/>
        <sz val="11"/>
        <color theme="1"/>
        <rFont val="Calibri"/>
        <charset val="134"/>
        <scheme val="minor"/>
      </rPr>
      <t>01-10-2025</t>
    </r>
  </si>
  <si>
    <t>Trasit base period to Q4</t>
  </si>
  <si>
    <t>&gt; Go to Final bill Generation menu
&gt; Search for portfolio
&gt;Click on transit portfolio
&gt;Verify transion from Q3 to Q4</t>
  </si>
  <si>
    <t>Upload New CG for Q4</t>
  </si>
  <si>
    <t>&gt; Got to input file manager
&gt; Select portfolio
&gt; Select New CG option
&gt; Upload Q4 data</t>
  </si>
  <si>
    <r>
      <rPr>
        <sz val="11"/>
        <color theme="1"/>
        <rFont val="Calibri"/>
        <charset val="134"/>
        <scheme val="minor"/>
      </rPr>
      <t xml:space="preserve">Server time - Apr 26 to Jun 26 --&gt; </t>
    </r>
    <r>
      <rPr>
        <b/>
        <sz val="11"/>
        <color theme="1"/>
        <rFont val="Calibri"/>
        <charset val="134"/>
        <scheme val="minor"/>
      </rPr>
      <t>30/05/2026</t>
    </r>
    <r>
      <rPr>
        <sz val="11"/>
        <color theme="1"/>
        <rFont val="Calibri"/>
        <charset val="134"/>
        <scheme val="minor"/>
      </rPr>
      <t xml:space="preserve">
Sanction date - Jan 26 to Mar 26  ---&gt;01-02-2026
Disbursment date -  Jan 26 to Mar 26  ---&gt;01-02-2026</t>
    </r>
  </si>
  <si>
    <t>Final bill generation</t>
  </si>
  <si>
    <t>MLI / NCTCT creator</t>
  </si>
  <si>
    <r>
      <rPr>
        <sz val="11"/>
        <color theme="1"/>
        <rFont val="Calibri"/>
        <charset val="134"/>
        <scheme val="minor"/>
      </rPr>
      <t xml:space="preserve">&gt; Go to final bill Generation menu
&gt; Search for portfolio
&gt; Click on Generate Bill - </t>
    </r>
    <r>
      <rPr>
        <b/>
        <sz val="11"/>
        <color theme="1"/>
        <rFont val="Calibri"/>
        <charset val="134"/>
        <scheme val="minor"/>
      </rPr>
      <t xml:space="preserve">quertly  (optional for  Q1 to Q3)
&gt; </t>
    </r>
    <r>
      <rPr>
        <sz val="11"/>
        <color theme="1"/>
        <rFont val="Calibri"/>
        <charset val="134"/>
        <scheme val="minor"/>
      </rPr>
      <t>Check payment due under payment managment
&gt; Generate bill from backend</t>
    </r>
  </si>
  <si>
    <t>Transit  to Crystlization</t>
  </si>
  <si>
    <t>MLI creator</t>
  </si>
  <si>
    <t>&gt; Go to Final bill Generation menu
&gt; Search for portfolio
&gt;Click on transit portfolio
&gt;Verify transion from Q4 to Crystlization</t>
  </si>
  <si>
    <r>
      <rPr>
        <sz val="11"/>
        <color theme="1"/>
        <rFont val="Calibri"/>
        <charset val="134"/>
        <scheme val="minor"/>
      </rPr>
      <t xml:space="preserve">Server time - Apr 26 to Jun 26 --&gt; </t>
    </r>
    <r>
      <rPr>
        <b/>
        <sz val="11"/>
        <color theme="1"/>
        <rFont val="Calibri"/>
        <charset val="134"/>
        <scheme val="minor"/>
      </rPr>
      <t>30/05/2026</t>
    </r>
  </si>
  <si>
    <t>You cannot Transit, until Previous Billing Done</t>
  </si>
  <si>
    <t>Transit  to CP1</t>
  </si>
  <si>
    <t>&gt; Go to Final bill Generation menu
&gt; Search for portfolio
&gt;Click on transit portfolio</t>
  </si>
  <si>
    <t>CP Period</t>
  </si>
  <si>
    <t>CP 1 - update file</t>
  </si>
  <si>
    <r>
      <rPr>
        <sz val="11"/>
        <color theme="1"/>
        <rFont val="Calibri"/>
        <charset val="134"/>
        <scheme val="minor"/>
      </rPr>
      <t>&gt; Go to Input file manager
&gt; Select PortFolio
&gt; Select Update CG option
&gt; Upload file
&gt; Check for tax calculations
&gt; Send for Approval (</t>
    </r>
    <r>
      <rPr>
        <b/>
        <sz val="11"/>
        <color theme="1"/>
        <rFont val="Calibri"/>
        <charset val="134"/>
        <scheme val="minor"/>
      </rPr>
      <t>Approval Awaited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</si>
  <si>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 xml:space="preserve">Server time -Between 1st july to  31 july 2026  ---&gt; </t>
    </r>
    <r>
      <rPr>
        <b/>
        <sz val="11"/>
        <color theme="1"/>
        <rFont val="Calibri"/>
        <charset val="134"/>
        <scheme val="minor"/>
      </rPr>
      <t xml:space="preserve"> 30/07/2026</t>
    </r>
    <r>
      <rPr>
        <sz val="11"/>
        <color theme="1"/>
        <rFont val="Calibri"/>
        <charset val="134"/>
        <scheme val="minor"/>
      </rPr>
      <t xml:space="preserve">
NPA date should be before 31 july 2026 --&gt; </t>
    </r>
    <r>
      <rPr>
        <b/>
        <sz val="11"/>
        <color theme="1"/>
        <rFont val="Calibri"/>
        <charset val="134"/>
        <scheme val="minor"/>
      </rPr>
      <t>29/07/2026</t>
    </r>
    <r>
      <rPr>
        <sz val="11"/>
        <color theme="1"/>
        <rFont val="Calibri"/>
        <charset val="134"/>
        <scheme val="minor"/>
      </rPr>
      <t xml:space="preserve">
</t>
    </r>
  </si>
  <si>
    <t>MLI Apprvoal</t>
  </si>
  <si>
    <r>
      <rPr>
        <sz val="11"/>
        <color theme="1"/>
        <rFont val="Calibri"/>
        <charset val="134"/>
        <scheme val="minor"/>
      </rPr>
      <t>&gt; Go to Approve Input file
&gt; Search for file 
&gt; Approve / reject  (</t>
    </r>
    <r>
      <rPr>
        <b/>
        <sz val="11"/>
        <color theme="1"/>
        <rFont val="Calibri"/>
        <charset val="134"/>
        <scheme val="minor"/>
      </rPr>
      <t xml:space="preserve"> NCGTCApprovalAwaited</t>
    </r>
    <r>
      <rPr>
        <sz val="11"/>
        <color theme="1"/>
        <rFont val="Calibri"/>
        <charset val="134"/>
        <scheme val="minor"/>
      </rPr>
      <t xml:space="preserve"> )</t>
    </r>
  </si>
  <si>
    <r>
      <rPr>
        <sz val="11"/>
        <color theme="1"/>
        <rFont val="Calibri"/>
        <charset val="134"/>
        <scheme val="minor"/>
      </rPr>
      <t xml:space="preserve">&gt; Home 
&gt; Search for portFolio
&gt; Search for CP1 File
&gt; Approve / Reject  ( </t>
    </r>
    <r>
      <rPr>
        <b/>
        <sz val="11"/>
        <color theme="1"/>
        <rFont val="Calibri"/>
        <charset val="134"/>
        <scheme val="minor"/>
      </rPr>
      <t xml:space="preserve">Processed </t>
    </r>
    <r>
      <rPr>
        <sz val="11"/>
        <color theme="1"/>
        <rFont val="Calibri"/>
        <charset val="134"/>
        <scheme val="minor"/>
      </rPr>
      <t>)</t>
    </r>
  </si>
  <si>
    <t xml:space="preserve">Payment for CP1 </t>
  </si>
  <si>
    <r>
      <rPr>
        <sz val="11"/>
        <color theme="1"/>
        <rFont val="Calibri"/>
        <charset val="134"/>
        <scheme val="minor"/>
      </rPr>
      <t xml:space="preserve">&gt; Final Bill generation
&gt; Search for portfolio
&gt; Click on Year billing
&gt; Check payment due under payment managment
&gt; Generate bill from backend ( </t>
    </r>
    <r>
      <rPr>
        <b/>
        <sz val="11"/>
        <color theme="1"/>
        <rFont val="Calibri"/>
        <charset val="134"/>
        <scheme val="minor"/>
      </rPr>
      <t>Guarantee(s) In Force</t>
    </r>
    <r>
      <rPr>
        <sz val="11"/>
        <color theme="1"/>
        <rFont val="Calibri"/>
        <charset val="134"/>
        <scheme val="minor"/>
      </rPr>
      <t xml:space="preserve"> )</t>
    </r>
  </si>
  <si>
    <r>
      <rPr>
        <sz val="11"/>
        <color theme="1"/>
        <rFont val="Calibri"/>
        <charset val="134"/>
        <scheme val="minor"/>
      </rPr>
      <t xml:space="preserve">Server time -  </t>
    </r>
    <r>
      <rPr>
        <b/>
        <sz val="11"/>
        <color theme="1"/>
        <rFont val="Calibri"/>
        <charset val="134"/>
        <scheme val="minor"/>
      </rPr>
      <t>30/07/2026</t>
    </r>
  </si>
  <si>
    <t>Transit to CP2</t>
  </si>
  <si>
    <t>&gt; Final Bill generation
&gt; Search for portfolio
&gt; Click on Transit ( CP2)</t>
  </si>
  <si>
    <t>Upload bank mandate</t>
  </si>
  <si>
    <t>&gt; bank mandate form
&gt; Add Details and upload doc
&gt; Send for approval ( check sccess message)</t>
  </si>
  <si>
    <t>Approve bank mandate</t>
  </si>
  <si>
    <t>MLI apprvoal</t>
  </si>
  <si>
    <t xml:space="preserve">&gt; Approve bank mandate
&gt;Approve (check success message)
</t>
  </si>
  <si>
    <r>
      <rPr>
        <sz val="11"/>
        <color theme="1"/>
        <rFont val="Calibri"/>
        <charset val="134"/>
        <scheme val="minor"/>
      </rPr>
      <t>&gt; Approve bank mandate
&gt;Approve (</t>
    </r>
    <r>
      <rPr>
        <b/>
        <sz val="11"/>
        <color theme="1"/>
        <rFont val="Calibri"/>
        <charset val="134"/>
        <scheme val="minor"/>
      </rPr>
      <t>Approved</t>
    </r>
    <r>
      <rPr>
        <sz val="11"/>
        <color theme="1"/>
        <rFont val="Calibri"/>
        <charset val="134"/>
        <scheme val="minor"/>
      </rPr>
      <t xml:space="preserve">)
</t>
    </r>
  </si>
  <si>
    <t>raise claim for NPA record marked in CP1</t>
  </si>
  <si>
    <r>
      <rPr>
        <sz val="11"/>
        <color theme="1"/>
        <rFont val="Calibri"/>
        <charset val="134"/>
        <scheme val="minor"/>
      </rPr>
      <t>&gt; Go to Input file manager
&gt; Select PortFolio
&gt; Select Claim request option
&gt; Upload file
&gt; Send for approval (</t>
    </r>
    <r>
      <rPr>
        <b/>
        <sz val="11"/>
        <color theme="1"/>
        <rFont val="Calibri"/>
        <charset val="134"/>
        <scheme val="minor"/>
      </rPr>
      <t>Approval Awaited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</si>
  <si>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Server date - Apr 27 to  mar 28 + 6 month after NPA NPA date in cp1 ----&gt;</t>
    </r>
    <r>
      <rPr>
        <b/>
        <sz val="11"/>
        <color theme="1"/>
        <rFont val="Calibri"/>
        <charset val="134"/>
        <scheme val="minor"/>
      </rPr>
      <t xml:space="preserve"> 29-07-2026
server date ---&gt; 01/07/2027</t>
    </r>
    <r>
      <rPr>
        <sz val="11"/>
        <color theme="1"/>
        <rFont val="Calibri"/>
        <charset val="134"/>
        <scheme val="minor"/>
      </rPr>
      <t xml:space="preserve">
</t>
    </r>
  </si>
  <si>
    <t>MLI Approver</t>
  </si>
  <si>
    <r>
      <rPr>
        <sz val="11"/>
        <color theme="1"/>
        <rFont val="Calibri"/>
        <charset val="134"/>
        <scheme val="minor"/>
      </rPr>
      <t>&gt; Got to Approve Input File
&gt; View Doc
&gt; Back
&gt; Approve / Reject (</t>
    </r>
    <r>
      <rPr>
        <b/>
        <sz val="11"/>
        <color theme="1"/>
        <rFont val="Calibri"/>
        <charset val="134"/>
        <scheme val="minor"/>
      </rPr>
      <t>NCGTCApprovalAwaited</t>
    </r>
    <r>
      <rPr>
        <sz val="11"/>
        <color theme="1"/>
        <rFont val="Calibri"/>
        <charset val="134"/>
        <scheme val="minor"/>
      </rPr>
      <t xml:space="preserve">)
</t>
    </r>
  </si>
  <si>
    <r>
      <rPr>
        <sz val="11"/>
        <color theme="1"/>
        <rFont val="Calibri"/>
        <charset val="134"/>
        <scheme val="minor"/>
      </rPr>
      <t>&gt; Home
&gt; Search with file name
&gt; Approve  (</t>
    </r>
    <r>
      <rPr>
        <b/>
        <sz val="11"/>
        <color theme="1"/>
        <rFont val="Calibri"/>
        <charset val="134"/>
        <scheme val="minor"/>
      </rPr>
      <t>Processed</t>
    </r>
    <r>
      <rPr>
        <sz val="11"/>
        <color theme="1"/>
        <rFont val="Calibri"/>
        <charset val="134"/>
        <scheme val="minor"/>
      </rPr>
      <t>)</t>
    </r>
  </si>
  <si>
    <t>Approve Claim 1</t>
  </si>
  <si>
    <t>&gt; Claim Management
&gt;  MU claim settlement
&gt; Search record with portfolio
&gt; Send For Approval</t>
  </si>
  <si>
    <t xml:space="preserve">This is mandatory </t>
  </si>
  <si>
    <t>&gt; Claim Management
&gt;  MU claim settlement
&gt; Search record with portfolio
&gt;  Approve / Reject</t>
  </si>
  <si>
    <t>Upload Update CG in CP2</t>
  </si>
  <si>
    <r>
      <rPr>
        <sz val="11"/>
        <color theme="1"/>
        <rFont val="Calibri"/>
        <charset val="134"/>
        <scheme val="minor"/>
      </rPr>
      <t>&gt; Go to Input file manager
&gt; Select PortFolio
&gt; Select Update CG  option
&gt; Upload file (Validated)
&gt; Send for approval (</t>
    </r>
    <r>
      <rPr>
        <b/>
        <sz val="11"/>
        <color theme="1"/>
        <rFont val="Calibri"/>
        <charset val="134"/>
        <scheme val="minor"/>
      </rPr>
      <t>Approval Awaited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</si>
  <si>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 xml:space="preserve">Server time -Between 1st july to  31 july 2027  ---&gt;  </t>
    </r>
    <r>
      <rPr>
        <b/>
        <sz val="11"/>
        <color theme="1"/>
        <rFont val="Calibri"/>
        <charset val="134"/>
        <scheme val="minor"/>
      </rPr>
      <t>30/07/2027</t>
    </r>
    <r>
      <rPr>
        <sz val="11"/>
        <color theme="1"/>
        <rFont val="Calibri"/>
        <charset val="134"/>
        <scheme val="minor"/>
      </rPr>
      <t xml:space="preserve">
NPA date should be before 31 july 2027 --&gt; </t>
    </r>
    <r>
      <rPr>
        <b/>
        <sz val="11"/>
        <color theme="1"/>
        <rFont val="Calibri"/>
        <charset val="134"/>
        <scheme val="minor"/>
      </rPr>
      <t>29/07/2027</t>
    </r>
    <r>
      <rPr>
        <sz val="11"/>
        <color theme="1"/>
        <rFont val="Calibri"/>
        <charset val="134"/>
        <scheme val="minor"/>
      </rPr>
      <t xml:space="preserve">
</t>
    </r>
  </si>
  <si>
    <t xml:space="preserve">Payment for CP2 </t>
  </si>
  <si>
    <r>
      <rPr>
        <sz val="11"/>
        <color theme="1"/>
        <rFont val="Calibri"/>
        <charset val="134"/>
        <scheme val="minor"/>
      </rPr>
      <t xml:space="preserve">Server time -  </t>
    </r>
    <r>
      <rPr>
        <b/>
        <sz val="11"/>
        <color theme="1"/>
        <rFont val="Calibri"/>
        <charset val="134"/>
        <scheme val="minor"/>
      </rPr>
      <t>30/07/2027</t>
    </r>
  </si>
  <si>
    <t>Transit to CP3</t>
  </si>
  <si>
    <t>&gt; Final Bill generation
&gt; Search for portfolio
&gt; Click on Transit ( CP3)</t>
  </si>
  <si>
    <t>Server time -  30/07/2027</t>
  </si>
  <si>
    <t>raise claim for NPA record marked in CP2 +Cp1</t>
  </si>
  <si>
    <r>
      <rPr>
        <sz val="11"/>
        <color theme="1"/>
        <rFont val="Calibri"/>
        <charset val="134"/>
        <scheme val="minor"/>
      </rPr>
      <t>Server date - Apr 28 to  mar 29 + 6 month after NPA NPA date in cp2 ----&gt;</t>
    </r>
    <r>
      <rPr>
        <b/>
        <sz val="11"/>
        <color theme="1"/>
        <rFont val="Calibri"/>
        <charset val="134"/>
        <scheme val="minor"/>
      </rPr>
      <t xml:space="preserve"> 29-07-2028
server date ---&gt; 01/07/2028</t>
    </r>
    <r>
      <rPr>
        <sz val="11"/>
        <color theme="1"/>
        <rFont val="Calibri"/>
        <charset val="134"/>
        <scheme val="minor"/>
      </rPr>
      <t xml:space="preserve">
</t>
    </r>
  </si>
  <si>
    <t>Upload Update CG in CP3</t>
  </si>
  <si>
    <r>
      <rPr>
        <sz val="11"/>
        <color theme="1"/>
        <rFont val="Calibri"/>
        <charset val="134"/>
        <scheme val="minor"/>
      </rPr>
      <t xml:space="preserve">Server time -Between 1st july to  31 july 2028  ---&gt;  </t>
    </r>
    <r>
      <rPr>
        <b/>
        <sz val="11"/>
        <color theme="1"/>
        <rFont val="Calibri"/>
        <charset val="134"/>
        <scheme val="minor"/>
      </rPr>
      <t>30/07/2028</t>
    </r>
    <r>
      <rPr>
        <sz val="11"/>
        <color theme="1"/>
        <rFont val="Calibri"/>
        <charset val="134"/>
        <scheme val="minor"/>
      </rPr>
      <t xml:space="preserve">
NPA date should be before 31 july 2028 --&gt; </t>
    </r>
    <r>
      <rPr>
        <b/>
        <sz val="11"/>
        <color theme="1"/>
        <rFont val="Calibri"/>
        <charset val="134"/>
        <scheme val="minor"/>
      </rPr>
      <t>29/07/2028</t>
    </r>
    <r>
      <rPr>
        <sz val="11"/>
        <color theme="1"/>
        <rFont val="Calibri"/>
        <charset val="134"/>
        <scheme val="minor"/>
      </rPr>
      <t xml:space="preserve">
</t>
    </r>
  </si>
  <si>
    <t>Payment for CP3</t>
  </si>
  <si>
    <t>Transit to CP4</t>
  </si>
  <si>
    <t>&gt; Final Bill generation
&gt; Search for portfolio
&gt; Click on Transit ( CP4)</t>
  </si>
  <si>
    <t>raise claim for NPA record marked in CP3</t>
  </si>
  <si>
    <r>
      <rPr>
        <sz val="11"/>
        <color theme="1"/>
        <rFont val="Calibri"/>
        <charset val="134"/>
        <scheme val="minor"/>
      </rPr>
      <t>Server date - Apr 29 to  mar 30 + 6 month after NPA NPA date in cp2 ----&gt;</t>
    </r>
    <r>
      <rPr>
        <b/>
        <sz val="11"/>
        <color theme="1"/>
        <rFont val="Calibri"/>
        <charset val="134"/>
        <scheme val="minor"/>
      </rPr>
      <t xml:space="preserve"> 29-07-2029
server date ---&gt; 01/07/2029</t>
    </r>
    <r>
      <rPr>
        <sz val="11"/>
        <color theme="1"/>
        <rFont val="Calibri"/>
        <charset val="134"/>
        <scheme val="minor"/>
      </rPr>
      <t xml:space="preserve">
</t>
    </r>
  </si>
  <si>
    <t>Payment for CP4</t>
  </si>
  <si>
    <t>Migrated CP Period</t>
  </si>
  <si>
    <t>CP 5 - update file</t>
  </si>
  <si>
    <r>
      <rPr>
        <sz val="11"/>
        <color theme="1"/>
        <rFont val="Calibri"/>
        <charset val="134"/>
        <scheme val="minor"/>
      </rPr>
      <t xml:space="preserve">Server time -Between 1st july to  31 july 2030  ---&gt; </t>
    </r>
    <r>
      <rPr>
        <b/>
        <sz val="11"/>
        <color theme="1"/>
        <rFont val="Calibri"/>
        <charset val="134"/>
        <scheme val="minor"/>
      </rPr>
      <t xml:space="preserve"> 30/07/2030</t>
    </r>
    <r>
      <rPr>
        <sz val="11"/>
        <color theme="1"/>
        <rFont val="Calibri"/>
        <charset val="134"/>
        <scheme val="minor"/>
      </rPr>
      <t xml:space="preserve">
NPA date should be before 31 july 2026 --&gt; </t>
    </r>
    <r>
      <rPr>
        <b/>
        <sz val="11"/>
        <color theme="1"/>
        <rFont val="Calibri"/>
        <charset val="134"/>
        <scheme val="minor"/>
      </rPr>
      <t>29/07/2030</t>
    </r>
    <r>
      <rPr>
        <sz val="11"/>
        <color theme="1"/>
        <rFont val="Calibri"/>
        <charset val="134"/>
        <scheme val="minor"/>
      </rPr>
      <t xml:space="preserve">
</t>
    </r>
  </si>
  <si>
    <r>
      <rPr>
        <sz val="11"/>
        <color theme="1"/>
        <rFont val="Calibri"/>
        <charset val="134"/>
        <scheme val="minor"/>
      </rPr>
      <t xml:space="preserve">Server time -  </t>
    </r>
    <r>
      <rPr>
        <b/>
        <sz val="11"/>
        <color theme="1"/>
        <rFont val="Calibri"/>
        <charset val="134"/>
        <scheme val="minor"/>
      </rPr>
      <t>30/07/2030</t>
    </r>
  </si>
  <si>
    <t>Portfolio</t>
  </si>
  <si>
    <t>MUDMudr20262027C</t>
  </si>
  <si>
    <t>MLI Name</t>
  </si>
  <si>
    <t>Mudra Bank</t>
  </si>
  <si>
    <t>Crystalized Sanctioned Amount ( to be taken in case of interim claim &amp; final Claim CP 1, 2, 3)/ Sanction Amount of o/s Portfolio Migrated for CP 4, 5, 6 ) (Rs)</t>
  </si>
  <si>
    <t>total sanctioned amount</t>
  </si>
  <si>
    <t>No. of Accounts identified as Loss Assets</t>
  </si>
  <si>
    <t>Number of NPA records</t>
  </si>
  <si>
    <t>Principal as on date of NPA(Rs.)</t>
  </si>
  <si>
    <t>Principal as on date of NPA - sum of all records</t>
  </si>
  <si>
    <t>Recovery Amount from NPA date till lodgement of claim(Rs.)</t>
  </si>
  <si>
    <t>Recovering amount added in claim file</t>
  </si>
  <si>
    <t>Eligible AID (Rs.)</t>
  </si>
  <si>
    <t xml:space="preserve">Principal as on date of NPA -  Recovery </t>
  </si>
  <si>
    <t>First Loss 5% on Crystallized amount or 3% on Default Total Loss (As Applicable) (Rs.)</t>
  </si>
  <si>
    <t>5% on cryslize amount for records before 2020 - 2021
3% on AID for load after 2021</t>
  </si>
  <si>
    <t>Second Loss (Rs.)</t>
  </si>
  <si>
    <t>AID - 1st loss</t>
  </si>
  <si>
    <t>Maximum Payout(Rs.)</t>
  </si>
  <si>
    <t>15% of crystlized original sanction amount</t>
  </si>
  <si>
    <t>Amount of Eligible Interim claim(Rs.)</t>
  </si>
  <si>
    <t>75% of second loss</t>
  </si>
  <si>
    <t>Eligible Claim Lodged(Rs.)</t>
  </si>
  <si>
    <t>Cumulative Claim Payout (Rs.)</t>
  </si>
  <si>
    <t>Previos eligible claim</t>
  </si>
  <si>
    <t>Eligible Claim Payout (Rs)</t>
  </si>
  <si>
    <t>Base period for normal portfolio</t>
  </si>
  <si>
    <t>DateofFirstDisbrusment</t>
  </si>
  <si>
    <t>finencialenddate</t>
  </si>
  <si>
    <t>day</t>
  </si>
  <si>
    <t>CG fees</t>
  </si>
  <si>
    <t>CGCover</t>
  </si>
  <si>
    <t>taxonCGFEES</t>
  </si>
  <si>
    <t>TotalCGFEES</t>
  </si>
  <si>
    <t>Base period for SHG portfolio</t>
  </si>
  <si>
    <t>Loan Account</t>
  </si>
  <si>
    <t>Outstanding Amount</t>
  </si>
  <si>
    <t>Start Date (Disbursement / CP Start)</t>
  </si>
  <si>
    <t>End Date (FY End / Claim Date)</t>
  </si>
  <si>
    <t>Days</t>
  </si>
  <si>
    <t>Rate (BP - 0.25%  , CP 0.5%)</t>
  </si>
  <si>
    <t>CG Fee</t>
  </si>
  <si>
    <t>GST (18%)</t>
  </si>
  <si>
    <t>Total CGS</t>
  </si>
  <si>
    <t>Total</t>
  </si>
  <si>
    <t>Status</t>
  </si>
  <si>
    <t>LA001</t>
  </si>
  <si>
    <t>standard</t>
  </si>
  <si>
    <t>2026- 2027</t>
  </si>
  <si>
    <t>Qurter Duration</t>
  </si>
  <si>
    <t>Upload Duration</t>
  </si>
  <si>
    <t>Billing status</t>
  </si>
  <si>
    <t>Payment status</t>
  </si>
  <si>
    <t>Billing dead line</t>
  </si>
  <si>
    <t>Auto - transit</t>
  </si>
  <si>
    <t>Live</t>
  </si>
  <si>
    <t>Q1</t>
  </si>
  <si>
    <t>1 Apr 2026 TO 30 Jun 2026</t>
  </si>
  <si>
    <t>1 Jul 2026 TO 30 Sept 2026</t>
  </si>
  <si>
    <t>Not generated</t>
  </si>
  <si>
    <t>30 Sept 2026</t>
  </si>
  <si>
    <t>Yes</t>
  </si>
  <si>
    <t>Q2</t>
  </si>
  <si>
    <t>1 oct 2026 TO 30 Dec 2026</t>
  </si>
  <si>
    <t>generated</t>
  </si>
  <si>
    <t>Completed / Not Completed</t>
  </si>
  <si>
    <t>Q3</t>
  </si>
  <si>
    <t>1 jan 2027 TO 31 march 2027</t>
  </si>
  <si>
    <t>Q4</t>
  </si>
  <si>
    <t>1 Apr 2027 TO 30 Jun 2027</t>
  </si>
  <si>
    <t>CP1</t>
  </si>
  <si>
    <t>1 Jul  2027 TO 31 march  2028</t>
  </si>
  <si>
    <t>Completed</t>
  </si>
  <si>
    <t>Pending</t>
  </si>
  <si>
    <t>NO</t>
  </si>
  <si>
    <t>Closed</t>
  </si>
  <si>
    <t>CP2</t>
  </si>
  <si>
    <t>1 April 2028 TO 31 march  2029</t>
  </si>
  <si>
    <t>1 Jul  2027 TO 31 march  2029</t>
  </si>
  <si>
    <t>CP3</t>
  </si>
  <si>
    <t>1 April 2029 TO 31 march  2030</t>
  </si>
  <si>
    <t>CP4</t>
  </si>
  <si>
    <t>1 April 2030 TO 31 march  2030</t>
  </si>
  <si>
    <t>1 April 2030 TO 31 march  2031</t>
  </si>
  <si>
    <t>Migrated Live</t>
  </si>
  <si>
    <t>CP5</t>
  </si>
  <si>
    <t>1 April 2031 TO 31 march  2032</t>
  </si>
  <si>
    <t>Migrated Closed</t>
  </si>
  <si>
    <t>CP6</t>
  </si>
  <si>
    <t>1 April 2032 TO 31 march  2033</t>
  </si>
  <si>
    <t>CP7</t>
  </si>
  <si>
    <t>1 April 2033 TO 31 march  2034</t>
  </si>
  <si>
    <t>No Billing needed</t>
  </si>
  <si>
    <t>NO payment Needed</t>
  </si>
  <si>
    <t>custid</t>
  </si>
  <si>
    <t>acctno</t>
  </si>
  <si>
    <t>sancamt</t>
  </si>
  <si>
    <t>Latest Status</t>
  </si>
  <si>
    <t>Base Period Status</t>
  </si>
  <si>
    <t>CP1 Status</t>
  </si>
  <si>
    <t>CP2 Staus</t>
  </si>
  <si>
    <t>CP3 Status</t>
  </si>
  <si>
    <t>CP4 Status</t>
  </si>
  <si>
    <t>CP5 Status</t>
  </si>
  <si>
    <t>CP6 Status</t>
  </si>
  <si>
    <t>2627CR701</t>
  </si>
  <si>
    <t>Stn</t>
  </si>
  <si>
    <t>2627CR702</t>
  </si>
  <si>
    <t>2627CR703</t>
  </si>
  <si>
    <t>Claim 2 - IA</t>
  </si>
  <si>
    <t>NPA</t>
  </si>
  <si>
    <t>Claim 1</t>
  </si>
  <si>
    <t>2627CR704</t>
  </si>
  <si>
    <t>Claim 2</t>
  </si>
  <si>
    <t>Claim 3</t>
  </si>
  <si>
    <t>2627CR705</t>
  </si>
  <si>
    <t>2627CR706</t>
  </si>
  <si>
    <t>2627CR707</t>
  </si>
  <si>
    <t>2627CR708</t>
  </si>
  <si>
    <t>2627CR709</t>
  </si>
  <si>
    <t>2627CR710</t>
  </si>
  <si>
    <t>stn</t>
  </si>
  <si>
    <t>2627CR711</t>
  </si>
  <si>
    <t>2627CR712</t>
  </si>
  <si>
    <t>2627CR713</t>
  </si>
  <si>
    <t>2627CR714</t>
  </si>
  <si>
    <t>IA</t>
  </si>
  <si>
    <t>2627CR715</t>
  </si>
  <si>
    <t>2627CR716</t>
  </si>
  <si>
    <t>2627CR717</t>
  </si>
  <si>
    <t>2627CR718</t>
  </si>
  <si>
    <t>2627CR719</t>
  </si>
  <si>
    <t>2627CR720</t>
  </si>
  <si>
    <t>Close</t>
  </si>
  <si>
    <t>2627CR721</t>
  </si>
  <si>
    <t>2627CR722</t>
  </si>
  <si>
    <t>2627CR723</t>
  </si>
  <si>
    <t>Q2 - Closed</t>
  </si>
  <si>
    <t>2627CR724</t>
  </si>
  <si>
    <t>Q2 - IA</t>
  </si>
  <si>
    <t>InEliCust19</t>
  </si>
  <si>
    <t>SameCutInEli22</t>
  </si>
  <si>
    <t>InEliCust1</t>
  </si>
  <si>
    <t>SameCutInEli23</t>
  </si>
  <si>
    <t>SameCutInEli24</t>
  </si>
  <si>
    <t>SameCutInEli25</t>
  </si>
  <si>
    <t>MUDSBBJ20262027C</t>
  </si>
  <si>
    <t>Access</t>
  </si>
  <si>
    <t>Action</t>
  </si>
  <si>
    <t>Outout</t>
  </si>
  <si>
    <t>base period</t>
  </si>
  <si>
    <t>Claim</t>
  </si>
  <si>
    <t>MLI Cre</t>
  </si>
  <si>
    <t>Upload
Send for app</t>
  </si>
  <si>
    <t>Cp1</t>
  </si>
  <si>
    <t>MLI app</t>
  </si>
  <si>
    <t>App 
Reject</t>
  </si>
  <si>
    <t>App</t>
  </si>
  <si>
    <t>NCGTC</t>
  </si>
  <si>
    <t>Reject</t>
  </si>
  <si>
    <t>MLI cre</t>
  </si>
  <si>
    <t>Can reupload</t>
  </si>
  <si>
    <t>cp2</t>
  </si>
  <si>
    <t>claim 1</t>
  </si>
  <si>
    <t>NCGTC cre</t>
  </si>
  <si>
    <t>App 
Reject
Return</t>
  </si>
  <si>
    <t>NCGTC app</t>
  </si>
  <si>
    <t>1 MLI Can not reupload</t>
  </si>
  <si>
    <t>Return</t>
  </si>
  <si>
    <t>MLI Can reupload
Redirect to MLI</t>
  </si>
  <si>
    <t>App 
Reject
Return
Onhold</t>
  </si>
  <si>
    <t>Acc</t>
  </si>
  <si>
    <t xml:space="preserve">1 Redirected To NCGTC cre
</t>
  </si>
  <si>
    <t>For claim settlement</t>
  </si>
  <si>
    <t>main main</t>
  </si>
  <si>
    <t>Cp2</t>
  </si>
  <si>
    <t>case 1</t>
  </si>
  <si>
    <t>1st upload claim then Update CG</t>
  </si>
  <si>
    <t>case 2</t>
  </si>
  <si>
    <t>1st upload Update CG then claim</t>
  </si>
  <si>
    <t>case 3</t>
  </si>
  <si>
    <t>1st upload claim then Settle then upload , Update CG</t>
  </si>
  <si>
    <t>case 4</t>
  </si>
  <si>
    <t>1st Update CG , then claim , settle , next CP upload CG for same loan ac</t>
  </si>
  <si>
    <t>Sanct</t>
  </si>
  <si>
    <t>10 Record</t>
  </si>
  <si>
    <t>5L</t>
  </si>
  <si>
    <t>6L</t>
  </si>
  <si>
    <t>cryz</t>
  </si>
  <si>
    <t>21L</t>
  </si>
  <si>
    <t>Max payout on claim</t>
  </si>
  <si>
    <t>22L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</si>
</sst>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  <numFmt numFmtId="182" formatCode="0.00_ "/>
    <numFmt numFmtId="183" formatCode="mmm/yy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9"/>
      <color rgb="FF444444"/>
      <name val="Segoe UI"/>
      <charset val="134"/>
    </font>
    <font>
      <b/>
      <sz val="9"/>
      <color rgb="FF444444"/>
      <name val="Segoe UI"/>
      <charset val="134"/>
    </font>
    <font>
      <sz val="10.5"/>
      <color rgb="FFBBBEBF"/>
      <name val="Consolas"/>
      <charset val="134"/>
    </font>
    <font>
      <b/>
      <sz val="13"/>
      <color theme="1"/>
      <name val="Calibri"/>
      <charset val="134"/>
    </font>
    <font>
      <sz val="10"/>
      <color theme="1"/>
      <name val="Arial"/>
      <charset val="134"/>
    </font>
    <font>
      <sz val="11"/>
      <color theme="7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7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6" applyNumberFormat="0" applyAlignment="0" applyProtection="0">
      <alignment vertical="center"/>
    </xf>
    <xf numFmtId="0" fontId="22" fillId="12" borderId="17" applyNumberFormat="0" applyAlignment="0" applyProtection="0">
      <alignment vertical="center"/>
    </xf>
    <xf numFmtId="0" fontId="23" fillId="12" borderId="16" applyNumberFormat="0" applyAlignment="0" applyProtection="0">
      <alignment vertical="center"/>
    </xf>
    <xf numFmtId="0" fontId="24" fillId="13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2" borderId="0" xfId="0" applyFill="1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/>
    <xf numFmtId="0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49" fontId="2" fillId="4" borderId="1" xfId="0" applyNumberFormat="1" applyFont="1" applyFill="1" applyBorder="1" applyAlignment="1"/>
    <xf numFmtId="0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180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80" fontId="0" fillId="2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Fill="1" applyAlignment="1"/>
    <xf numFmtId="0" fontId="0" fillId="2" borderId="1" xfId="0" applyFont="1" applyFill="1" applyBorder="1" applyAlignment="1"/>
    <xf numFmtId="181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182" fontId="0" fillId="0" borderId="1" xfId="0" applyNumberFormat="1" applyFont="1" applyFill="1" applyBorder="1" applyAlignment="1"/>
    <xf numFmtId="10" fontId="0" fillId="0" borderId="1" xfId="0" applyNumberFormat="1" applyFont="1" applyFill="1" applyBorder="1" applyAlignment="1"/>
    <xf numFmtId="0" fontId="0" fillId="0" borderId="1" xfId="0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top" wrapText="1" inden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0" fillId="6" borderId="0" xfId="0" applyFill="1">
      <alignment vertical="center"/>
    </xf>
    <xf numFmtId="0" fontId="4" fillId="0" borderId="0" xfId="0" applyFont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left" vertical="center" wrapText="1"/>
    </xf>
    <xf numFmtId="0" fontId="8" fillId="8" borderId="4" xfId="0" applyFont="1" applyFill="1" applyBorder="1" applyAlignment="1">
      <alignment horizontal="left" wrapText="1" readingOrder="1"/>
    </xf>
    <xf numFmtId="0" fontId="8" fillId="8" borderId="4" xfId="0" applyFont="1" applyFill="1" applyBorder="1" applyAlignment="1">
      <alignment wrapText="1" readingOrder="1"/>
    </xf>
    <xf numFmtId="0" fontId="9" fillId="0" borderId="5" xfId="0" applyFont="1" applyBorder="1" applyAlignment="1">
      <alignment wrapText="1" readingOrder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10" fillId="9" borderId="0" xfId="0" applyFont="1" applyFill="1">
      <alignment vertical="center"/>
    </xf>
    <xf numFmtId="0" fontId="10" fillId="9" borderId="0" xfId="0" applyFont="1" applyFill="1" applyAlignment="1">
      <alignment vertical="center" wrapText="1"/>
    </xf>
    <xf numFmtId="0" fontId="0" fillId="0" borderId="1" xfId="0" applyFont="1" applyBorder="1">
      <alignment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183" fontId="0" fillId="0" borderId="1" xfId="0" applyNumberFormat="1" applyFont="1" applyBorder="1">
      <alignment vertical="center"/>
    </xf>
    <xf numFmtId="0" fontId="0" fillId="0" borderId="11" xfId="0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7" borderId="1" xfId="0" applyFont="1" applyFill="1" applyBorder="1" applyAlignment="1">
      <alignment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pane ySplit="1" topLeftCell="A7" activePane="bottomLeft" state="frozen"/>
      <selection/>
      <selection pane="bottomLeft" activeCell="D19" sqref="D19"/>
    </sheetView>
  </sheetViews>
  <sheetFormatPr defaultColWidth="9.14285714285714" defaultRowHeight="15"/>
  <cols>
    <col min="1" max="1" width="22.7142857142857" style="48" customWidth="1"/>
    <col min="2" max="2" width="30.8571428571429" customWidth="1"/>
    <col min="3" max="3" width="49.8571428571429" style="43" customWidth="1"/>
    <col min="4" max="4" width="46.8571428571429" customWidth="1"/>
    <col min="5" max="5" width="57.7142857142857" customWidth="1"/>
  </cols>
  <sheetData>
    <row r="1" ht="18.75" customHeight="1" spans="1:26">
      <c r="A1" s="4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35" spans="1:26">
      <c r="A2" s="52" t="s">
        <v>5</v>
      </c>
      <c r="B2" s="3" t="s">
        <v>6</v>
      </c>
      <c r="C2" s="4" t="s">
        <v>7</v>
      </c>
      <c r="D2" s="53" t="s">
        <v>8</v>
      </c>
      <c r="E2" s="4" t="s">
        <v>9</v>
      </c>
    </row>
    <row r="3" ht="75" spans="1:26">
      <c r="A3" s="54"/>
      <c r="B3" s="3" t="s">
        <v>6</v>
      </c>
      <c r="C3" s="4" t="s">
        <v>10</v>
      </c>
      <c r="D3" s="53" t="s">
        <v>11</v>
      </c>
      <c r="E3" s="3"/>
    </row>
    <row r="4" ht="75" spans="1:26">
      <c r="A4" s="54"/>
      <c r="B4" s="3" t="s">
        <v>12</v>
      </c>
      <c r="C4" s="4" t="s">
        <v>13</v>
      </c>
      <c r="D4" s="3" t="s">
        <v>11</v>
      </c>
      <c r="E4" s="3"/>
    </row>
    <row r="5" spans="1:26">
      <c r="A5" s="55"/>
      <c r="B5" s="56"/>
      <c r="C5" s="57"/>
      <c r="D5" s="56"/>
      <c r="E5" s="56"/>
    </row>
    <row r="6" ht="75" spans="1:26">
      <c r="A6" s="54" t="s">
        <v>14</v>
      </c>
      <c r="B6" s="3" t="s">
        <v>15</v>
      </c>
      <c r="C6" s="4" t="s">
        <v>16</v>
      </c>
      <c r="D6" s="58" t="s">
        <v>17</v>
      </c>
      <c r="E6" s="4" t="s">
        <v>18</v>
      </c>
    </row>
    <row r="7" ht="75" spans="1:26">
      <c r="A7" s="54" t="s">
        <v>19</v>
      </c>
      <c r="B7" s="3" t="s">
        <v>15</v>
      </c>
      <c r="C7" s="4" t="s">
        <v>20</v>
      </c>
      <c r="D7" s="53" t="s">
        <v>21</v>
      </c>
      <c r="E7" s="3"/>
    </row>
    <row r="8" ht="56" customHeight="1" spans="1:26">
      <c r="A8" s="54" t="s">
        <v>22</v>
      </c>
      <c r="B8" s="3" t="s">
        <v>23</v>
      </c>
      <c r="C8" s="53" t="s">
        <v>24</v>
      </c>
      <c r="D8" s="3"/>
      <c r="E8" s="3"/>
    </row>
    <row r="9" ht="60" spans="1:26">
      <c r="A9" s="54"/>
      <c r="B9" s="3" t="s">
        <v>6</v>
      </c>
      <c r="C9" s="53" t="s">
        <v>25</v>
      </c>
      <c r="D9" s="3"/>
      <c r="E9" s="3"/>
    </row>
    <row r="10" ht="60" spans="1:26">
      <c r="A10" s="54" t="s">
        <v>26</v>
      </c>
      <c r="B10" s="3" t="s">
        <v>15</v>
      </c>
      <c r="C10" s="4" t="s">
        <v>27</v>
      </c>
      <c r="D10" s="58" t="s">
        <v>28</v>
      </c>
      <c r="E10" s="3"/>
    </row>
    <row r="11" customFormat="1" ht="60" spans="1:26">
      <c r="A11" s="54" t="s">
        <v>29</v>
      </c>
      <c r="B11" s="3" t="s">
        <v>15</v>
      </c>
      <c r="C11" s="4" t="s">
        <v>30</v>
      </c>
      <c r="D11" s="4" t="s">
        <v>31</v>
      </c>
      <c r="E11" s="3"/>
    </row>
    <row r="12" customFormat="1" ht="45" spans="1:26">
      <c r="A12" s="54" t="s">
        <v>22</v>
      </c>
      <c r="B12" s="3" t="s">
        <v>23</v>
      </c>
      <c r="C12" s="53" t="s">
        <v>24</v>
      </c>
      <c r="D12" s="3"/>
      <c r="E12" s="3"/>
    </row>
    <row r="13" customFormat="1" ht="60" spans="1:26">
      <c r="A13" s="54"/>
      <c r="B13" s="3" t="s">
        <v>6</v>
      </c>
      <c r="C13" s="53" t="s">
        <v>25</v>
      </c>
      <c r="D13" s="3"/>
      <c r="E13" s="3"/>
    </row>
    <row r="14" customFormat="1" ht="60" spans="1:26">
      <c r="A14" s="54" t="s">
        <v>32</v>
      </c>
      <c r="B14" s="3" t="s">
        <v>15</v>
      </c>
      <c r="C14" s="4" t="s">
        <v>33</v>
      </c>
      <c r="D14" s="3" t="s">
        <v>34</v>
      </c>
      <c r="E14" s="3"/>
    </row>
    <row r="15" ht="60" spans="1:26">
      <c r="A15" s="54" t="s">
        <v>35</v>
      </c>
      <c r="B15" s="3" t="s">
        <v>15</v>
      </c>
      <c r="C15" s="4" t="s">
        <v>36</v>
      </c>
      <c r="D15" s="53" t="s">
        <v>37</v>
      </c>
      <c r="E15" s="3"/>
    </row>
    <row r="16" ht="45" spans="1:26">
      <c r="A16" s="54" t="s">
        <v>22</v>
      </c>
      <c r="B16" s="3" t="s">
        <v>23</v>
      </c>
      <c r="C16" s="53" t="s">
        <v>24</v>
      </c>
      <c r="D16" s="3"/>
      <c r="E16" s="3"/>
    </row>
    <row r="17" ht="60" spans="1:5">
      <c r="A17" s="54"/>
      <c r="B17" s="3" t="s">
        <v>6</v>
      </c>
      <c r="C17" s="53" t="s">
        <v>25</v>
      </c>
      <c r="D17" s="3"/>
      <c r="E17" s="3"/>
    </row>
    <row r="18" customFormat="1" ht="60" spans="1:5">
      <c r="A18" s="54" t="s">
        <v>38</v>
      </c>
      <c r="B18" s="3" t="s">
        <v>15</v>
      </c>
      <c r="C18" s="4" t="s">
        <v>39</v>
      </c>
      <c r="D18" s="3"/>
      <c r="E18" s="3"/>
    </row>
    <row r="19" ht="60" spans="1:5">
      <c r="A19" s="54" t="s">
        <v>40</v>
      </c>
      <c r="B19" s="3" t="s">
        <v>15</v>
      </c>
      <c r="C19" s="4" t="s">
        <v>41</v>
      </c>
      <c r="D19" s="53" t="s">
        <v>42</v>
      </c>
      <c r="E19" s="3"/>
    </row>
    <row r="20" ht="45" spans="1:5">
      <c r="A20" s="54" t="s">
        <v>22</v>
      </c>
      <c r="B20" s="3" t="s">
        <v>23</v>
      </c>
      <c r="C20" s="53" t="s">
        <v>24</v>
      </c>
      <c r="D20" s="3"/>
      <c r="E20" s="3"/>
    </row>
    <row r="21" ht="60" spans="1:5">
      <c r="A21" s="54"/>
      <c r="B21" s="3" t="s">
        <v>6</v>
      </c>
      <c r="C21" s="53" t="s">
        <v>25</v>
      </c>
      <c r="D21" s="3"/>
      <c r="E21" s="3"/>
    </row>
    <row r="22" ht="90" spans="1:5">
      <c r="A22" s="54" t="s">
        <v>43</v>
      </c>
      <c r="B22" s="3" t="s">
        <v>44</v>
      </c>
      <c r="C22" s="53" t="s">
        <v>45</v>
      </c>
      <c r="D22" s="3"/>
      <c r="E22" s="3"/>
    </row>
    <row r="23" ht="65" customHeight="1" spans="1:5">
      <c r="A23" s="54" t="s">
        <v>46</v>
      </c>
      <c r="B23" s="3" t="s">
        <v>47</v>
      </c>
      <c r="C23" s="4" t="s">
        <v>48</v>
      </c>
      <c r="D23" s="58" t="s">
        <v>49</v>
      </c>
      <c r="E23" s="3" t="s">
        <v>50</v>
      </c>
    </row>
    <row r="24" ht="65" customHeight="1" spans="1:5">
      <c r="A24" s="54" t="s">
        <v>51</v>
      </c>
      <c r="B24" s="3" t="s">
        <v>47</v>
      </c>
      <c r="C24" s="4" t="s">
        <v>52</v>
      </c>
      <c r="D24" s="58" t="s">
        <v>49</v>
      </c>
      <c r="E24" s="3"/>
    </row>
    <row r="25" s="45" customFormat="1" ht="23.25" spans="1:5">
      <c r="A25" s="59" t="s">
        <v>53</v>
      </c>
      <c r="B25" s="60"/>
      <c r="C25" s="60"/>
      <c r="D25" s="60"/>
      <c r="E25" s="61"/>
    </row>
    <row r="26" ht="90" spans="1:5">
      <c r="A26" s="62" t="s">
        <v>54</v>
      </c>
      <c r="B26" s="63" t="s">
        <v>47</v>
      </c>
      <c r="C26" s="64" t="s">
        <v>55</v>
      </c>
      <c r="D26" s="64" t="s">
        <v>56</v>
      </c>
      <c r="E26" s="63"/>
    </row>
    <row r="27" ht="45" spans="1:5">
      <c r="A27" s="62"/>
      <c r="B27" s="3" t="s">
        <v>57</v>
      </c>
      <c r="C27" s="53" t="s">
        <v>58</v>
      </c>
      <c r="D27" s="3"/>
      <c r="E27" s="3"/>
    </row>
    <row r="28" ht="60" spans="1:5">
      <c r="A28" s="65"/>
      <c r="B28" s="3" t="s">
        <v>6</v>
      </c>
      <c r="C28" s="53" t="s">
        <v>59</v>
      </c>
      <c r="D28" s="3"/>
      <c r="E28" s="3"/>
    </row>
    <row r="29" ht="75" spans="1:5">
      <c r="A29" s="54" t="s">
        <v>60</v>
      </c>
      <c r="B29" s="3" t="s">
        <v>47</v>
      </c>
      <c r="C29" s="53" t="s">
        <v>61</v>
      </c>
      <c r="D29" s="66" t="s">
        <v>62</v>
      </c>
      <c r="E29" s="3"/>
    </row>
    <row r="30" ht="45" spans="1:5">
      <c r="A30" s="54" t="s">
        <v>63</v>
      </c>
      <c r="B30" s="3" t="s">
        <v>47</v>
      </c>
      <c r="C30" s="4" t="s">
        <v>64</v>
      </c>
      <c r="D30" s="3"/>
      <c r="E30" s="3"/>
    </row>
    <row r="31" ht="55" customHeight="1" spans="1:5">
      <c r="A31" s="54" t="s">
        <v>65</v>
      </c>
      <c r="B31" s="3" t="s">
        <v>47</v>
      </c>
      <c r="C31" s="4" t="s">
        <v>66</v>
      </c>
      <c r="D31" s="3"/>
      <c r="E31" s="3"/>
    </row>
    <row r="32" ht="45" spans="1:5">
      <c r="A32" s="23" t="s">
        <v>67</v>
      </c>
      <c r="B32" s="3" t="s">
        <v>68</v>
      </c>
      <c r="C32" s="4" t="s">
        <v>69</v>
      </c>
      <c r="D32" s="53"/>
      <c r="E32" s="3"/>
    </row>
    <row r="33" ht="45" spans="1:5">
      <c r="A33" s="23"/>
      <c r="B33" s="3" t="s">
        <v>6</v>
      </c>
      <c r="C33" s="4" t="s">
        <v>69</v>
      </c>
      <c r="D33" s="53"/>
      <c r="E33" s="3"/>
    </row>
    <row r="34" ht="45" spans="1:5">
      <c r="A34" s="23"/>
      <c r="B34" s="3" t="s">
        <v>12</v>
      </c>
      <c r="C34" s="53" t="s">
        <v>70</v>
      </c>
      <c r="D34" s="53"/>
      <c r="E34" s="3"/>
    </row>
    <row r="35" ht="75" spans="1:5">
      <c r="A35" s="23" t="s">
        <v>71</v>
      </c>
      <c r="B35" s="3" t="s">
        <v>47</v>
      </c>
      <c r="C35" s="53" t="s">
        <v>72</v>
      </c>
      <c r="D35" s="53" t="s">
        <v>73</v>
      </c>
      <c r="E35" s="3"/>
    </row>
    <row r="36" ht="75" spans="1:5">
      <c r="A36" s="23"/>
      <c r="B36" s="3" t="s">
        <v>74</v>
      </c>
      <c r="C36" s="53" t="s">
        <v>75</v>
      </c>
      <c r="D36" s="3"/>
      <c r="E36" s="3"/>
    </row>
    <row r="37" ht="45" spans="1:5">
      <c r="A37" s="23"/>
      <c r="B37" s="3" t="s">
        <v>6</v>
      </c>
      <c r="C37" s="53" t="s">
        <v>76</v>
      </c>
      <c r="D37" s="3"/>
      <c r="E37" s="3"/>
    </row>
    <row r="38" ht="60" spans="1:5">
      <c r="A38" s="67" t="s">
        <v>77</v>
      </c>
      <c r="B38" s="3" t="s">
        <v>6</v>
      </c>
      <c r="C38" s="53" t="s">
        <v>78</v>
      </c>
      <c r="D38" s="53"/>
      <c r="E38" s="3" t="s">
        <v>79</v>
      </c>
    </row>
    <row r="39" ht="60" spans="1:5">
      <c r="A39" s="62"/>
      <c r="B39" s="3" t="s">
        <v>12</v>
      </c>
      <c r="C39" s="53" t="s">
        <v>80</v>
      </c>
      <c r="D39" s="53"/>
      <c r="E39" s="3"/>
    </row>
    <row r="40" ht="90" spans="1:5">
      <c r="A40" s="67" t="s">
        <v>81</v>
      </c>
      <c r="B40" s="3" t="s">
        <v>47</v>
      </c>
      <c r="C40" s="53" t="s">
        <v>82</v>
      </c>
      <c r="D40" s="53" t="s">
        <v>83</v>
      </c>
      <c r="E40" s="3"/>
    </row>
    <row r="41" ht="75" spans="1:5">
      <c r="A41" s="62"/>
      <c r="B41" s="3" t="s">
        <v>74</v>
      </c>
      <c r="C41" s="53" t="s">
        <v>75</v>
      </c>
      <c r="D41" s="3"/>
      <c r="E41" s="3"/>
    </row>
    <row r="42" ht="45" spans="1:5">
      <c r="A42" s="65"/>
      <c r="B42" s="3" t="s">
        <v>6</v>
      </c>
      <c r="C42" s="53" t="s">
        <v>76</v>
      </c>
      <c r="D42" s="3"/>
      <c r="E42" s="3"/>
    </row>
    <row r="43" ht="75" spans="1:5">
      <c r="A43" s="54" t="s">
        <v>84</v>
      </c>
      <c r="B43" s="3" t="s">
        <v>47</v>
      </c>
      <c r="C43" s="53" t="s">
        <v>61</v>
      </c>
      <c r="D43" s="66" t="s">
        <v>85</v>
      </c>
      <c r="E43" s="3"/>
    </row>
    <row r="44" s="46" customFormat="1" ht="45" spans="1:5">
      <c r="A44" s="52" t="s">
        <v>86</v>
      </c>
      <c r="B44" s="22" t="s">
        <v>47</v>
      </c>
      <c r="C44" s="68" t="s">
        <v>87</v>
      </c>
      <c r="D44" s="22" t="s">
        <v>88</v>
      </c>
      <c r="E44" s="22"/>
    </row>
    <row r="45" ht="75" spans="1:5">
      <c r="A45" s="23" t="s">
        <v>89</v>
      </c>
      <c r="B45" s="3" t="s">
        <v>47</v>
      </c>
      <c r="C45" s="53" t="s">
        <v>72</v>
      </c>
      <c r="D45" s="53" t="s">
        <v>90</v>
      </c>
      <c r="E45" s="3"/>
    </row>
    <row r="46" ht="75" spans="1:5">
      <c r="A46" s="23"/>
      <c r="B46" s="3" t="s">
        <v>74</v>
      </c>
      <c r="C46" s="53" t="s">
        <v>75</v>
      </c>
      <c r="D46" s="3"/>
      <c r="E46" s="3"/>
    </row>
    <row r="47" ht="45" spans="1:5">
      <c r="A47" s="23"/>
      <c r="B47" s="3" t="s">
        <v>6</v>
      </c>
      <c r="C47" s="53" t="s">
        <v>76</v>
      </c>
      <c r="D47" s="3"/>
      <c r="E47" s="3"/>
    </row>
    <row r="48" ht="60" spans="1:5">
      <c r="A48" s="23" t="s">
        <v>77</v>
      </c>
      <c r="B48" s="3" t="s">
        <v>6</v>
      </c>
      <c r="C48" s="53" t="s">
        <v>78</v>
      </c>
      <c r="D48" s="53"/>
      <c r="E48" s="3" t="s">
        <v>79</v>
      </c>
    </row>
    <row r="49" ht="60" spans="1:5">
      <c r="A49" s="23"/>
      <c r="B49" s="3" t="s">
        <v>12</v>
      </c>
      <c r="C49" s="53" t="s">
        <v>80</v>
      </c>
      <c r="D49" s="53"/>
      <c r="E49" s="3"/>
    </row>
    <row r="50" ht="90" spans="1:5">
      <c r="A50" s="67" t="s">
        <v>91</v>
      </c>
      <c r="B50" s="3" t="s">
        <v>47</v>
      </c>
      <c r="C50" s="53" t="s">
        <v>82</v>
      </c>
      <c r="D50" s="53" t="s">
        <v>92</v>
      </c>
      <c r="E50" s="3"/>
    </row>
    <row r="51" ht="75" spans="1:5">
      <c r="A51" s="62"/>
      <c r="B51" s="3" t="s">
        <v>74</v>
      </c>
      <c r="C51" s="53" t="s">
        <v>75</v>
      </c>
      <c r="D51" s="3"/>
      <c r="E51" s="3"/>
    </row>
    <row r="52" ht="45" spans="1:5">
      <c r="A52" s="65"/>
      <c r="B52" s="3" t="s">
        <v>6</v>
      </c>
      <c r="C52" s="53" t="s">
        <v>76</v>
      </c>
      <c r="D52" s="3"/>
      <c r="E52" s="3"/>
    </row>
    <row r="53" ht="75" spans="1:5">
      <c r="A53" s="54" t="s">
        <v>93</v>
      </c>
      <c r="B53" s="3" t="s">
        <v>47</v>
      </c>
      <c r="C53" s="53" t="s">
        <v>61</v>
      </c>
      <c r="D53" s="66" t="s">
        <v>85</v>
      </c>
      <c r="E53" s="3"/>
    </row>
    <row r="54" s="46" customFormat="1" ht="45" spans="1:5">
      <c r="A54" s="52" t="s">
        <v>94</v>
      </c>
      <c r="B54" s="22" t="s">
        <v>47</v>
      </c>
      <c r="C54" s="68" t="s">
        <v>95</v>
      </c>
      <c r="D54" s="22" t="s">
        <v>88</v>
      </c>
      <c r="E54" s="22"/>
    </row>
    <row r="56" ht="75" spans="1:5">
      <c r="A56" s="23" t="s">
        <v>96</v>
      </c>
      <c r="B56" s="3" t="s">
        <v>47</v>
      </c>
      <c r="C56" s="53" t="s">
        <v>72</v>
      </c>
      <c r="D56" s="53" t="s">
        <v>97</v>
      </c>
      <c r="E56" s="3"/>
    </row>
    <row r="57" ht="75" spans="1:5">
      <c r="A57" s="23"/>
      <c r="B57" s="3" t="s">
        <v>74</v>
      </c>
      <c r="C57" s="53" t="s">
        <v>75</v>
      </c>
      <c r="D57" s="3"/>
      <c r="E57" s="3"/>
    </row>
    <row r="58" ht="45" spans="1:5">
      <c r="A58" s="23"/>
      <c r="B58" s="3" t="s">
        <v>6</v>
      </c>
      <c r="C58" s="53" t="s">
        <v>76</v>
      </c>
      <c r="D58" s="3"/>
      <c r="E58" s="3"/>
    </row>
    <row r="59" ht="60" spans="1:5">
      <c r="A59" s="23" t="s">
        <v>77</v>
      </c>
      <c r="B59" s="3" t="s">
        <v>6</v>
      </c>
      <c r="C59" s="53" t="s">
        <v>78</v>
      </c>
      <c r="D59" s="53"/>
      <c r="E59" s="3" t="s">
        <v>79</v>
      </c>
    </row>
    <row r="60" ht="60" spans="1:5">
      <c r="A60" s="23"/>
      <c r="B60" s="3" t="s">
        <v>12</v>
      </c>
      <c r="C60" s="53" t="s">
        <v>80</v>
      </c>
      <c r="D60" s="53"/>
      <c r="E60" s="3"/>
    </row>
    <row r="61" s="47" customFormat="1" ht="90" spans="1:5">
      <c r="A61" s="69" t="s">
        <v>91</v>
      </c>
      <c r="B61" s="70" t="s">
        <v>47</v>
      </c>
      <c r="C61" s="71" t="s">
        <v>82</v>
      </c>
      <c r="D61" s="71" t="s">
        <v>92</v>
      </c>
      <c r="E61" s="70"/>
    </row>
    <row r="62" s="47" customFormat="1" ht="75" spans="1:5">
      <c r="A62" s="72"/>
      <c r="B62" s="70" t="s">
        <v>74</v>
      </c>
      <c r="C62" s="71" t="s">
        <v>75</v>
      </c>
      <c r="D62" s="70"/>
      <c r="E62" s="70"/>
    </row>
    <row r="63" s="47" customFormat="1" ht="45" spans="1:5">
      <c r="A63" s="73"/>
      <c r="B63" s="70" t="s">
        <v>6</v>
      </c>
      <c r="C63" s="71" t="s">
        <v>76</v>
      </c>
      <c r="D63" s="70"/>
      <c r="E63" s="70"/>
    </row>
    <row r="64" ht="75" spans="1:5">
      <c r="A64" s="54" t="s">
        <v>98</v>
      </c>
      <c r="B64" s="3" t="s">
        <v>47</v>
      </c>
      <c r="C64" s="53" t="s">
        <v>61</v>
      </c>
      <c r="D64" s="66" t="s">
        <v>85</v>
      </c>
      <c r="E64" s="3"/>
    </row>
    <row r="65" s="46" customFormat="1" ht="45" spans="1:5">
      <c r="A65" s="52" t="s">
        <v>94</v>
      </c>
      <c r="B65" s="22" t="s">
        <v>47</v>
      </c>
      <c r="C65" s="68" t="s">
        <v>95</v>
      </c>
      <c r="D65" s="22" t="s">
        <v>88</v>
      </c>
      <c r="E65" s="22"/>
    </row>
    <row r="66" s="45" customFormat="1" ht="23.25" spans="1:5">
      <c r="A66" s="74" t="s">
        <v>99</v>
      </c>
      <c r="B66" s="74"/>
      <c r="C66" s="74"/>
      <c r="D66" s="74"/>
      <c r="E66" s="74"/>
    </row>
    <row r="67" ht="90" spans="1:5">
      <c r="A67" s="62" t="s">
        <v>100</v>
      </c>
      <c r="B67" s="63" t="s">
        <v>47</v>
      </c>
      <c r="C67" s="64" t="s">
        <v>55</v>
      </c>
      <c r="D67" s="64" t="s">
        <v>101</v>
      </c>
      <c r="E67" s="63"/>
    </row>
    <row r="68" ht="45" spans="1:5">
      <c r="A68" s="62"/>
      <c r="B68" s="3" t="s">
        <v>57</v>
      </c>
      <c r="C68" s="53" t="s">
        <v>58</v>
      </c>
      <c r="D68" s="3"/>
      <c r="E68" s="3"/>
    </row>
    <row r="69" ht="60" spans="1:5">
      <c r="A69" s="65"/>
      <c r="B69" s="3" t="s">
        <v>6</v>
      </c>
      <c r="C69" s="53" t="s">
        <v>59</v>
      </c>
      <c r="D69" s="3"/>
      <c r="E69" s="3"/>
    </row>
    <row r="70" ht="75" spans="1:5">
      <c r="A70" s="54" t="s">
        <v>60</v>
      </c>
      <c r="B70" s="3" t="s">
        <v>47</v>
      </c>
      <c r="C70" s="53" t="s">
        <v>61</v>
      </c>
      <c r="D70" s="66" t="s">
        <v>102</v>
      </c>
      <c r="E70" s="3"/>
    </row>
    <row r="71" ht="45" spans="1:5">
      <c r="A71" s="54" t="s">
        <v>63</v>
      </c>
      <c r="B71" s="3" t="s">
        <v>47</v>
      </c>
      <c r="C71" s="4" t="s">
        <v>64</v>
      </c>
      <c r="D71" s="3"/>
      <c r="E71" s="3"/>
    </row>
  </sheetData>
  <mergeCells count="19">
    <mergeCell ref="A25:E25"/>
    <mergeCell ref="A66:E66"/>
    <mergeCell ref="A2:A4"/>
    <mergeCell ref="A8:A9"/>
    <mergeCell ref="A12:A13"/>
    <mergeCell ref="A16:A17"/>
    <mergeCell ref="A20:A21"/>
    <mergeCell ref="A26:A28"/>
    <mergeCell ref="A32:A34"/>
    <mergeCell ref="A35:A37"/>
    <mergeCell ref="A38:A39"/>
    <mergeCell ref="A40:A42"/>
    <mergeCell ref="A45:A47"/>
    <mergeCell ref="A48:A49"/>
    <mergeCell ref="A50:A52"/>
    <mergeCell ref="A56:A58"/>
    <mergeCell ref="A59:A60"/>
    <mergeCell ref="A61:A63"/>
    <mergeCell ref="A67:A6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abSelected="1" zoomScale="110" zoomScaleNormal="110" topLeftCell="A6" workbookViewId="0">
      <selection activeCell="A10" sqref="$A10:$XFD10"/>
    </sheetView>
  </sheetViews>
  <sheetFormatPr defaultColWidth="9.14285714285714" defaultRowHeight="15"/>
  <cols>
    <col min="1" max="1" width="42" style="38" customWidth="1"/>
    <col min="2" max="2" width="42.8571428571429" style="3" customWidth="1"/>
    <col min="3" max="4" width="9.14285714285714" style="3"/>
    <col min="5" max="5" width="43.1428571428571" customWidth="1"/>
    <col min="6" max="6" width="12.4095238095238" customWidth="1"/>
    <col min="7" max="7" width="10.5714285714286"/>
  </cols>
  <sheetData>
    <row r="1" ht="24" customHeight="1" spans="1:17">
      <c r="A1" s="39" t="s">
        <v>103</v>
      </c>
      <c r="B1" s="40" t="s">
        <v>104</v>
      </c>
      <c r="C1" s="40"/>
      <c r="D1" s="40"/>
    </row>
    <row r="2" ht="24" customHeight="1" spans="1:17">
      <c r="A2" s="39" t="s">
        <v>105</v>
      </c>
      <c r="B2" s="40" t="s">
        <v>106</v>
      </c>
      <c r="C2" s="40"/>
      <c r="D2" s="40"/>
    </row>
    <row r="3" ht="64" customHeight="1" spans="1:17">
      <c r="A3" s="39" t="s">
        <v>107</v>
      </c>
      <c r="B3" s="40">
        <v>1000000</v>
      </c>
      <c r="C3" s="40"/>
      <c r="D3" s="40"/>
      <c r="E3" t="s">
        <v>108</v>
      </c>
    </row>
    <row r="4" ht="29" customHeight="1" spans="1:17">
      <c r="A4" s="39" t="s">
        <v>109</v>
      </c>
      <c r="B4" s="40">
        <v>1</v>
      </c>
      <c r="C4" s="40"/>
      <c r="D4" s="40"/>
      <c r="E4" t="s">
        <v>110</v>
      </c>
    </row>
    <row r="5" ht="33" customHeight="1" spans="1:17">
      <c r="A5" s="41" t="s">
        <v>111</v>
      </c>
      <c r="B5" s="40">
        <v>1000</v>
      </c>
      <c r="C5" s="40"/>
      <c r="D5" s="40"/>
      <c r="E5" t="s">
        <v>112</v>
      </c>
    </row>
    <row r="6" ht="46" customHeight="1" spans="1:17">
      <c r="A6" s="41" t="s">
        <v>113</v>
      </c>
      <c r="B6" s="40">
        <v>0</v>
      </c>
      <c r="C6" s="40"/>
      <c r="D6" s="40"/>
      <c r="E6" t="s">
        <v>114</v>
      </c>
      <c r="N6" s="42">
        <v>15000</v>
      </c>
      <c r="P6">
        <v>1400</v>
      </c>
    </row>
    <row r="7" ht="36" customHeight="1" spans="1:17">
      <c r="A7" s="41" t="s">
        <v>115</v>
      </c>
      <c r="B7" s="40">
        <f>B5-B6</f>
        <v>1000</v>
      </c>
      <c r="C7" s="40"/>
      <c r="D7" s="40"/>
      <c r="E7" t="s">
        <v>116</v>
      </c>
      <c r="N7">
        <v>17112</v>
      </c>
      <c r="P7">
        <v>1280</v>
      </c>
      <c r="Q7">
        <v>1281</v>
      </c>
    </row>
    <row r="8" ht="71" customHeight="1" spans="1:17">
      <c r="A8" s="41" t="s">
        <v>117</v>
      </c>
      <c r="B8" s="40">
        <f>3%*B7</f>
        <v>30</v>
      </c>
      <c r="C8" s="40"/>
      <c r="D8" s="40"/>
      <c r="E8" s="43" t="s">
        <v>118</v>
      </c>
      <c r="N8" s="42">
        <v>20453</v>
      </c>
      <c r="P8">
        <v>8760</v>
      </c>
    </row>
    <row r="9" ht="36" customHeight="1" spans="1:17">
      <c r="A9" s="41" t="s">
        <v>119</v>
      </c>
      <c r="B9" s="40">
        <f>B7-B8</f>
        <v>970</v>
      </c>
      <c r="C9" s="40"/>
      <c r="D9" s="40"/>
      <c r="E9" t="s">
        <v>120</v>
      </c>
      <c r="N9">
        <v>21067</v>
      </c>
      <c r="P9">
        <v>9000</v>
      </c>
    </row>
    <row r="10" ht="48" customHeight="1" spans="1:17">
      <c r="A10" s="41" t="s">
        <v>121</v>
      </c>
      <c r="B10" s="40">
        <f>15%*B3</f>
        <v>150000</v>
      </c>
      <c r="C10" s="40"/>
      <c r="D10" s="40"/>
      <c r="E10" t="s">
        <v>122</v>
      </c>
      <c r="F10">
        <v>5</v>
      </c>
      <c r="K10" s="44">
        <v>38697.18</v>
      </c>
      <c r="N10">
        <v>80250</v>
      </c>
      <c r="P10">
        <v>23458</v>
      </c>
    </row>
    <row r="11" ht="34" customHeight="1" spans="1:17">
      <c r="A11" s="41" t="s">
        <v>123</v>
      </c>
      <c r="B11" s="40">
        <f>75%*B9</f>
        <v>727.5</v>
      </c>
      <c r="C11" s="40"/>
      <c r="D11" s="40"/>
      <c r="E11" t="s">
        <v>124</v>
      </c>
      <c r="F11">
        <v>5</v>
      </c>
      <c r="K11" s="44">
        <v>47062.7</v>
      </c>
      <c r="N11">
        <v>15000</v>
      </c>
      <c r="P11">
        <v>7100</v>
      </c>
    </row>
    <row r="12" ht="42" customHeight="1" spans="1:17">
      <c r="A12" s="41" t="s">
        <v>125</v>
      </c>
      <c r="B12" s="40">
        <f>B11</f>
        <v>727.5</v>
      </c>
      <c r="C12" s="40"/>
      <c r="D12" s="40"/>
      <c r="F12">
        <v>2</v>
      </c>
    </row>
    <row r="13" ht="38" customHeight="1" spans="1:17">
      <c r="A13" s="41" t="s">
        <v>126</v>
      </c>
      <c r="B13" s="40"/>
      <c r="C13" s="40"/>
      <c r="D13" s="40"/>
      <c r="E13" t="s">
        <v>127</v>
      </c>
    </row>
    <row r="14" ht="33" customHeight="1" spans="1:17">
      <c r="A14" s="41" t="s">
        <v>128</v>
      </c>
      <c r="B14" s="40">
        <f>B12-B13</f>
        <v>727.5</v>
      </c>
      <c r="C14" s="40"/>
      <c r="D14" s="40"/>
    </row>
  </sheetData>
  <mergeCells count="14"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D23" sqref="D23"/>
    </sheetView>
  </sheetViews>
  <sheetFormatPr defaultColWidth="9.14285714285714" defaultRowHeight="15"/>
  <cols>
    <col min="1" max="1" width="31" customWidth="1"/>
    <col min="2" max="2" width="20.4285714285714" customWidth="1"/>
    <col min="3" max="3" width="23.5714285714286" customWidth="1"/>
    <col min="4" max="4" width="24.8571428571429" customWidth="1"/>
    <col min="5" max="6" width="27.7142857142857" customWidth="1"/>
    <col min="7" max="7" width="20.5714285714286" customWidth="1"/>
    <col min="10" max="10" width="11.2857142857143" customWidth="1"/>
    <col min="11" max="11" width="13.8571428571429" customWidth="1"/>
  </cols>
  <sheetData>
    <row r="1" spans="1:14">
      <c r="A1" s="24" t="s">
        <v>129</v>
      </c>
      <c r="B1" s="24"/>
      <c r="C1" s="24"/>
      <c r="D1" s="3"/>
      <c r="E1" s="3"/>
      <c r="F1" s="3"/>
      <c r="G1" s="3"/>
    </row>
    <row r="2" s="32" customFormat="1" spans="1:14">
      <c r="A2" s="33" t="s">
        <v>130</v>
      </c>
      <c r="B2" s="33" t="s">
        <v>131</v>
      </c>
      <c r="C2" s="33" t="s">
        <v>132</v>
      </c>
      <c r="D2" s="33" t="s">
        <v>133</v>
      </c>
      <c r="E2" s="33" t="s">
        <v>134</v>
      </c>
      <c r="F2" s="33" t="s">
        <v>135</v>
      </c>
      <c r="G2" s="33" t="s">
        <v>136</v>
      </c>
      <c r="N2" s="32">
        <v>832.88</v>
      </c>
    </row>
    <row r="3" s="32" customFormat="1" spans="1:14">
      <c r="A3" s="34">
        <v>46174</v>
      </c>
      <c r="B3" s="34">
        <v>46477</v>
      </c>
      <c r="C3" s="35">
        <f>B3-A3+1</f>
        <v>304</v>
      </c>
      <c r="D3" s="36">
        <f>1%*E3*C3/365</f>
        <v>832.876712328767</v>
      </c>
      <c r="E3" s="35">
        <v>100000</v>
      </c>
      <c r="F3" s="35">
        <f>D3*18%</f>
        <v>149.917808219178</v>
      </c>
      <c r="G3" s="35">
        <f>D3+F3</f>
        <v>982.794520547945</v>
      </c>
    </row>
    <row r="4" s="32" customFormat="1"/>
    <row r="7" spans="1:14">
      <c r="A7" s="24" t="s">
        <v>137</v>
      </c>
      <c r="B7" s="24"/>
      <c r="C7" s="24"/>
    </row>
    <row r="8" spans="1:14">
      <c r="A8" s="33" t="s">
        <v>130</v>
      </c>
      <c r="B8" s="33" t="s">
        <v>131</v>
      </c>
      <c r="C8" s="33" t="s">
        <v>132</v>
      </c>
      <c r="D8" s="33" t="s">
        <v>133</v>
      </c>
      <c r="E8" s="33" t="s">
        <v>134</v>
      </c>
      <c r="F8" s="33" t="s">
        <v>135</v>
      </c>
      <c r="G8" s="33" t="s">
        <v>136</v>
      </c>
    </row>
    <row r="9" spans="1:14">
      <c r="A9" s="34">
        <v>46072</v>
      </c>
      <c r="B9" s="34">
        <v>46112</v>
      </c>
      <c r="C9" s="35">
        <f>B9-A9+1</f>
        <v>41</v>
      </c>
      <c r="D9" s="36">
        <f>0.25%*E9*C9/365</f>
        <v>28.0821917808219</v>
      </c>
      <c r="E9" s="35">
        <v>100000</v>
      </c>
      <c r="F9" s="35">
        <f>D9*18%</f>
        <v>5.05479452054795</v>
      </c>
      <c r="G9" s="35">
        <f>D9+F9</f>
        <v>33.1369863013699</v>
      </c>
    </row>
    <row r="14" spans="1:14">
      <c r="A14" s="33" t="s">
        <v>138</v>
      </c>
      <c r="B14" s="33" t="s">
        <v>139</v>
      </c>
      <c r="C14" s="33" t="s">
        <v>140</v>
      </c>
      <c r="D14" s="33" t="s">
        <v>141</v>
      </c>
      <c r="E14" s="33" t="s">
        <v>142</v>
      </c>
      <c r="F14" s="33" t="s">
        <v>143</v>
      </c>
      <c r="G14" s="33" t="s">
        <v>144</v>
      </c>
      <c r="H14" s="33" t="s">
        <v>145</v>
      </c>
      <c r="I14" s="33" t="s">
        <v>146</v>
      </c>
      <c r="J14" s="33" t="s">
        <v>147</v>
      </c>
      <c r="K14" s="33" t="s">
        <v>148</v>
      </c>
    </row>
    <row r="15" spans="1:14">
      <c r="A15" s="35" t="s">
        <v>149</v>
      </c>
      <c r="B15" s="35">
        <v>10000</v>
      </c>
      <c r="C15" s="34">
        <v>46082</v>
      </c>
      <c r="D15" s="34">
        <v>46477</v>
      </c>
      <c r="E15" s="35">
        <f>DATEDIF(C15,D15,"d")+1</f>
        <v>396</v>
      </c>
      <c r="F15" s="37">
        <v>0.01</v>
      </c>
      <c r="G15" s="35">
        <f>IF(K15="Closed",0,B15*F15*(E15/365))</f>
        <v>108.493150684932</v>
      </c>
      <c r="H15" s="35">
        <f>G15*9%</f>
        <v>9.76438356164384</v>
      </c>
      <c r="I15" s="35">
        <f>18%*G15</f>
        <v>19.5287671232877</v>
      </c>
      <c r="J15" s="35">
        <f>G15+H15+I15</f>
        <v>137.786301369863</v>
      </c>
      <c r="K15" s="35" t="s">
        <v>150</v>
      </c>
    </row>
  </sheetData>
  <mergeCells count="2">
    <mergeCell ref="A1:C1"/>
    <mergeCell ref="A7:C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39"/>
  <sheetViews>
    <sheetView zoomScale="85" zoomScaleNormal="85" workbookViewId="0">
      <selection activeCell="M24" sqref="M24"/>
    </sheetView>
  </sheetViews>
  <sheetFormatPr defaultColWidth="9.14285714285714" defaultRowHeight="15"/>
  <cols>
    <col min="2" max="2" width="14.5714285714286" customWidth="1"/>
    <col min="3" max="3" width="11.5714285714286" customWidth="1"/>
    <col min="4" max="4" width="30" customWidth="1"/>
    <col min="5" max="5" width="30.5714285714286" customWidth="1"/>
    <col min="6" max="6" width="24.5333333333333" customWidth="1"/>
    <col min="7" max="7" width="25.5714285714286" customWidth="1"/>
    <col min="8" max="8" width="21.5714285714286" customWidth="1"/>
    <col min="9" max="10" width="17.4285714285714" customWidth="1"/>
  </cols>
  <sheetData>
    <row r="1" spans="3:10">
      <c r="C1" t="s">
        <v>151</v>
      </c>
    </row>
    <row r="2" spans="3:10">
      <c r="C2" s="22"/>
      <c r="D2" s="22" t="s">
        <v>152</v>
      </c>
      <c r="E2" s="22" t="s">
        <v>153</v>
      </c>
      <c r="F2" s="22" t="s">
        <v>154</v>
      </c>
      <c r="G2" s="22" t="s">
        <v>155</v>
      </c>
      <c r="H2" s="22" t="s">
        <v>156</v>
      </c>
      <c r="I2" s="22" t="s">
        <v>157</v>
      </c>
      <c r="J2" s="23" t="s">
        <v>158</v>
      </c>
    </row>
    <row r="3" spans="3:10">
      <c r="C3" s="24" t="s">
        <v>159</v>
      </c>
      <c r="D3" s="3" t="s">
        <v>160</v>
      </c>
      <c r="E3" s="3" t="s">
        <v>161</v>
      </c>
      <c r="F3" s="3" t="s">
        <v>162</v>
      </c>
      <c r="G3" s="25"/>
      <c r="H3" s="25" t="s">
        <v>163</v>
      </c>
      <c r="I3" s="24" t="s">
        <v>164</v>
      </c>
      <c r="J3" s="23"/>
    </row>
    <row r="4" spans="3:10">
      <c r="C4" s="24" t="s">
        <v>165</v>
      </c>
      <c r="D4" s="3" t="s">
        <v>161</v>
      </c>
      <c r="E4" s="3" t="s">
        <v>166</v>
      </c>
      <c r="F4" s="3" t="s">
        <v>167</v>
      </c>
      <c r="G4" s="26" t="s">
        <v>168</v>
      </c>
      <c r="H4" s="26">
        <v>46386</v>
      </c>
      <c r="I4" s="24" t="s">
        <v>164</v>
      </c>
      <c r="J4" s="23"/>
    </row>
    <row r="5" spans="3:10">
      <c r="C5" s="24" t="s">
        <v>169</v>
      </c>
      <c r="D5" s="3" t="s">
        <v>166</v>
      </c>
      <c r="E5" s="3" t="s">
        <v>170</v>
      </c>
      <c r="F5" s="3" t="s">
        <v>167</v>
      </c>
      <c r="G5" s="26" t="s">
        <v>168</v>
      </c>
      <c r="H5" s="26">
        <v>46477</v>
      </c>
      <c r="I5" s="24" t="s">
        <v>164</v>
      </c>
      <c r="J5" s="23"/>
    </row>
    <row r="6" spans="3:10">
      <c r="C6" s="24" t="s">
        <v>171</v>
      </c>
      <c r="D6" s="3" t="s">
        <v>170</v>
      </c>
      <c r="E6" s="3" t="s">
        <v>172</v>
      </c>
      <c r="F6" s="3" t="s">
        <v>167</v>
      </c>
      <c r="G6" s="26" t="s">
        <v>168</v>
      </c>
      <c r="H6" s="26">
        <v>46568</v>
      </c>
      <c r="I6" s="24" t="s">
        <v>164</v>
      </c>
      <c r="J6" s="23"/>
    </row>
    <row r="7" spans="3:10">
      <c r="C7" s="27"/>
      <c r="I7" s="27"/>
    </row>
    <row r="8" spans="3:10">
      <c r="C8" s="24" t="s">
        <v>173</v>
      </c>
      <c r="D8" s="3" t="s">
        <v>174</v>
      </c>
      <c r="E8" s="3" t="s">
        <v>174</v>
      </c>
      <c r="F8" s="3" t="s">
        <v>167</v>
      </c>
      <c r="G8" s="28" t="s">
        <v>175</v>
      </c>
      <c r="H8" s="28">
        <v>46843</v>
      </c>
      <c r="I8" s="24" t="s">
        <v>164</v>
      </c>
      <c r="J8" s="27" t="s">
        <v>158</v>
      </c>
    </row>
    <row r="9" spans="3:10">
      <c r="C9" s="27"/>
      <c r="F9" s="29" t="s">
        <v>167</v>
      </c>
      <c r="G9" s="30" t="s">
        <v>176</v>
      </c>
      <c r="H9" s="30">
        <v>46843</v>
      </c>
      <c r="I9" s="31" t="s">
        <v>177</v>
      </c>
      <c r="J9" s="31" t="s">
        <v>178</v>
      </c>
    </row>
    <row r="10" spans="3:10">
      <c r="C10" s="27"/>
      <c r="F10" s="29" t="s">
        <v>162</v>
      </c>
      <c r="G10" s="30"/>
      <c r="H10" s="30">
        <v>46844</v>
      </c>
      <c r="I10" s="31" t="s">
        <v>177</v>
      </c>
      <c r="J10" s="31" t="s">
        <v>178</v>
      </c>
    </row>
    <row r="11" spans="3:10">
      <c r="C11" s="27"/>
      <c r="F11" s="3"/>
      <c r="G11" s="28"/>
      <c r="H11" s="28"/>
      <c r="I11" s="24"/>
      <c r="J11" s="27"/>
    </row>
    <row r="12" spans="3:10">
      <c r="C12" s="27"/>
      <c r="I12" s="27"/>
    </row>
    <row r="13" spans="3:10">
      <c r="C13" s="24" t="s">
        <v>179</v>
      </c>
      <c r="D13" s="3" t="s">
        <v>180</v>
      </c>
      <c r="E13" s="3" t="s">
        <v>181</v>
      </c>
      <c r="F13" s="3" t="s">
        <v>167</v>
      </c>
      <c r="G13" s="28" t="s">
        <v>175</v>
      </c>
      <c r="H13" s="28">
        <v>47208</v>
      </c>
      <c r="I13" s="24" t="s">
        <v>164</v>
      </c>
      <c r="J13" s="27" t="s">
        <v>158</v>
      </c>
    </row>
    <row r="14" spans="3:10">
      <c r="C14" s="27"/>
      <c r="F14" s="29" t="s">
        <v>167</v>
      </c>
      <c r="G14" s="30" t="s">
        <v>176</v>
      </c>
      <c r="H14" s="30">
        <v>47208</v>
      </c>
      <c r="I14" s="31" t="s">
        <v>177</v>
      </c>
      <c r="J14" s="31" t="s">
        <v>178</v>
      </c>
    </row>
    <row r="15" spans="3:10">
      <c r="C15" s="27"/>
      <c r="F15" s="29" t="s">
        <v>162</v>
      </c>
      <c r="G15" s="30"/>
      <c r="H15" s="30">
        <v>47209</v>
      </c>
      <c r="I15" s="31" t="s">
        <v>177</v>
      </c>
      <c r="J15" s="31" t="s">
        <v>178</v>
      </c>
    </row>
    <row r="16" spans="3:10">
      <c r="C16" s="27"/>
      <c r="I16" s="27"/>
    </row>
    <row r="17" spans="3:10">
      <c r="C17" s="27"/>
      <c r="I17" s="27"/>
    </row>
    <row r="18" spans="3:10">
      <c r="C18" s="24" t="s">
        <v>182</v>
      </c>
      <c r="D18" s="3" t="s">
        <v>183</v>
      </c>
      <c r="E18" s="3" t="s">
        <v>183</v>
      </c>
      <c r="F18" s="3" t="s">
        <v>167</v>
      </c>
      <c r="G18" s="28" t="s">
        <v>175</v>
      </c>
      <c r="H18" s="28">
        <v>47573</v>
      </c>
      <c r="I18" s="24" t="s">
        <v>164</v>
      </c>
      <c r="J18" s="27" t="s">
        <v>158</v>
      </c>
    </row>
    <row r="19" spans="3:10">
      <c r="C19" s="27"/>
      <c r="F19" s="29" t="s">
        <v>167</v>
      </c>
      <c r="G19" s="30" t="s">
        <v>176</v>
      </c>
      <c r="H19" s="30">
        <v>47573</v>
      </c>
      <c r="I19" s="31" t="s">
        <v>177</v>
      </c>
      <c r="J19" s="31" t="s">
        <v>178</v>
      </c>
    </row>
    <row r="20" spans="3:10">
      <c r="C20" s="27"/>
      <c r="F20" s="29" t="s">
        <v>162</v>
      </c>
      <c r="G20" s="30"/>
      <c r="H20" s="30">
        <v>47574</v>
      </c>
      <c r="I20" s="31" t="s">
        <v>177</v>
      </c>
      <c r="J20" s="31" t="s">
        <v>178</v>
      </c>
    </row>
    <row r="21" spans="3:10">
      <c r="C21" s="27"/>
      <c r="I21" s="27"/>
    </row>
    <row r="22" spans="3:10">
      <c r="C22" s="27"/>
      <c r="I22" s="27"/>
    </row>
    <row r="23" spans="3:10">
      <c r="C23" s="24" t="s">
        <v>184</v>
      </c>
      <c r="D23" s="3" t="s">
        <v>185</v>
      </c>
      <c r="E23" s="3" t="s">
        <v>186</v>
      </c>
      <c r="F23" s="3" t="s">
        <v>167</v>
      </c>
      <c r="G23" s="28" t="s">
        <v>175</v>
      </c>
      <c r="H23" s="28">
        <v>47938</v>
      </c>
      <c r="I23" s="24" t="s">
        <v>164</v>
      </c>
      <c r="J23" s="27" t="s">
        <v>187</v>
      </c>
    </row>
    <row r="24" spans="3:10">
      <c r="F24" s="29" t="s">
        <v>167</v>
      </c>
      <c r="G24" s="30" t="s">
        <v>176</v>
      </c>
      <c r="H24" s="30">
        <v>47938</v>
      </c>
      <c r="I24" s="31" t="s">
        <v>177</v>
      </c>
      <c r="J24" s="31" t="s">
        <v>178</v>
      </c>
    </row>
    <row r="25" spans="3:10">
      <c r="F25" s="29" t="s">
        <v>162</v>
      </c>
      <c r="G25" s="30"/>
      <c r="H25" s="30">
        <v>47939</v>
      </c>
      <c r="I25" s="31" t="s">
        <v>177</v>
      </c>
      <c r="J25" s="31" t="s">
        <v>178</v>
      </c>
    </row>
    <row r="26" spans="3:10">
      <c r="I26" s="27"/>
    </row>
    <row r="27" spans="3:10">
      <c r="I27" s="27"/>
    </row>
    <row r="28" spans="3:10">
      <c r="C28" s="24" t="s">
        <v>188</v>
      </c>
      <c r="D28" s="3" t="s">
        <v>189</v>
      </c>
      <c r="E28" s="3" t="s">
        <v>189</v>
      </c>
      <c r="F28" s="3" t="s">
        <v>167</v>
      </c>
      <c r="G28" s="28" t="s">
        <v>175</v>
      </c>
      <c r="H28" s="28">
        <v>48304</v>
      </c>
      <c r="I28" s="24" t="s">
        <v>164</v>
      </c>
      <c r="J28" s="27" t="s">
        <v>187</v>
      </c>
    </row>
    <row r="29" spans="3:10">
      <c r="F29" s="29" t="s">
        <v>167</v>
      </c>
      <c r="G29" s="30" t="s">
        <v>176</v>
      </c>
      <c r="H29" s="30">
        <v>48304</v>
      </c>
      <c r="I29" s="31" t="s">
        <v>177</v>
      </c>
      <c r="J29" s="31" t="s">
        <v>190</v>
      </c>
    </row>
    <row r="30" spans="3:10">
      <c r="F30" s="29" t="s">
        <v>162</v>
      </c>
      <c r="G30" s="30"/>
      <c r="H30" s="30">
        <v>48305</v>
      </c>
      <c r="I30" s="31" t="s">
        <v>177</v>
      </c>
      <c r="J30" s="31" t="s">
        <v>190</v>
      </c>
    </row>
    <row r="31" spans="3:10">
      <c r="I31" s="27"/>
    </row>
    <row r="32" spans="3:10">
      <c r="I32" s="27"/>
    </row>
    <row r="33" spans="3:10">
      <c r="C33" s="24" t="s">
        <v>191</v>
      </c>
      <c r="D33" s="3" t="s">
        <v>192</v>
      </c>
      <c r="E33" s="3" t="s">
        <v>192</v>
      </c>
      <c r="F33" s="3" t="s">
        <v>167</v>
      </c>
      <c r="G33" s="28" t="s">
        <v>175</v>
      </c>
      <c r="H33" s="28">
        <v>48669</v>
      </c>
      <c r="I33" s="24" t="s">
        <v>164</v>
      </c>
      <c r="J33" s="27" t="s">
        <v>187</v>
      </c>
    </row>
    <row r="34" spans="3:10">
      <c r="F34" s="29" t="s">
        <v>167</v>
      </c>
      <c r="G34" s="30" t="s">
        <v>176</v>
      </c>
      <c r="H34" s="30">
        <v>48669</v>
      </c>
      <c r="I34" s="31" t="s">
        <v>177</v>
      </c>
      <c r="J34" s="31" t="s">
        <v>190</v>
      </c>
    </row>
    <row r="35" spans="3:10">
      <c r="F35" s="29" t="s">
        <v>162</v>
      </c>
      <c r="G35" s="30"/>
      <c r="H35" s="30">
        <v>48670</v>
      </c>
      <c r="I35" s="31" t="s">
        <v>177</v>
      </c>
      <c r="J35" s="31" t="s">
        <v>190</v>
      </c>
    </row>
    <row r="36" spans="3:10">
      <c r="I36" s="27"/>
    </row>
    <row r="37" spans="3:10">
      <c r="I37" s="27"/>
    </row>
    <row r="38" spans="3:10">
      <c r="C38" s="24" t="s">
        <v>193</v>
      </c>
      <c r="D38" s="3" t="s">
        <v>194</v>
      </c>
      <c r="E38" s="3" t="s">
        <v>194</v>
      </c>
      <c r="F38" s="3" t="s">
        <v>195</v>
      </c>
      <c r="G38" s="28" t="s">
        <v>196</v>
      </c>
      <c r="H38" s="28">
        <v>49034</v>
      </c>
      <c r="I38" s="24" t="s">
        <v>177</v>
      </c>
      <c r="J38" s="27" t="s">
        <v>190</v>
      </c>
    </row>
    <row r="39" spans="3:10">
      <c r="F39" s="29"/>
      <c r="G39" s="30"/>
      <c r="H39" s="30"/>
      <c r="I39" s="1"/>
      <c r="J39" s="31"/>
    </row>
  </sheetData>
  <mergeCells count="1">
    <mergeCell ref="J2:J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J16" sqref="J16"/>
    </sheetView>
  </sheetViews>
  <sheetFormatPr defaultColWidth="9.14285714285714" defaultRowHeight="15"/>
  <cols>
    <col min="1" max="1" width="14.1428571428571" customWidth="1"/>
    <col min="2" max="2" width="15.2857142857143" customWidth="1"/>
    <col min="3" max="3" width="17.1428571428571" customWidth="1"/>
    <col min="4" max="4" width="13" customWidth="1"/>
    <col min="5" max="5" width="11.7142857142857" customWidth="1"/>
    <col min="6" max="6" width="13.5714285714286" customWidth="1"/>
    <col min="7" max="7" width="15.5714285714286" customWidth="1"/>
    <col min="8" max="8" width="16.1428571428571" customWidth="1"/>
    <col min="9" max="9" width="15.8571428571429" customWidth="1"/>
    <col min="10" max="10" width="10.7142857142857" customWidth="1"/>
    <col min="11" max="11" width="18" customWidth="1"/>
  </cols>
  <sheetData>
    <row r="1" spans="1:11">
      <c r="A1" s="6" t="s">
        <v>197</v>
      </c>
      <c r="B1" s="6" t="s">
        <v>198</v>
      </c>
      <c r="C1" s="6" t="s">
        <v>199</v>
      </c>
      <c r="D1" s="7" t="s">
        <v>200</v>
      </c>
      <c r="E1" s="7" t="s">
        <v>201</v>
      </c>
      <c r="F1" s="7" t="s">
        <v>202</v>
      </c>
      <c r="G1" s="7" t="s">
        <v>203</v>
      </c>
      <c r="H1" s="7" t="s">
        <v>204</v>
      </c>
      <c r="I1" s="7" t="s">
        <v>205</v>
      </c>
      <c r="J1" s="7" t="s">
        <v>206</v>
      </c>
      <c r="K1" s="7" t="s">
        <v>207</v>
      </c>
    </row>
    <row r="2" spans="1:11">
      <c r="A2" s="8" t="s">
        <v>208</v>
      </c>
      <c r="B2" s="8" t="s">
        <v>208</v>
      </c>
      <c r="C2" s="9">
        <v>100000</v>
      </c>
      <c r="D2" s="7" t="s">
        <v>209</v>
      </c>
      <c r="E2" s="7" t="s">
        <v>209</v>
      </c>
      <c r="F2" s="7"/>
      <c r="G2" s="7" t="s">
        <v>209</v>
      </c>
      <c r="H2" s="7"/>
      <c r="I2" s="7"/>
      <c r="J2" s="7"/>
      <c r="K2" s="7"/>
    </row>
    <row r="3" spans="1:11">
      <c r="A3" s="8" t="s">
        <v>210</v>
      </c>
      <c r="B3" s="8" t="s">
        <v>210</v>
      </c>
      <c r="C3" s="9">
        <v>100000</v>
      </c>
      <c r="D3" s="7" t="s">
        <v>209</v>
      </c>
      <c r="E3" s="7" t="s">
        <v>209</v>
      </c>
      <c r="F3" s="7"/>
      <c r="G3" s="7" t="s">
        <v>209</v>
      </c>
      <c r="H3" s="7"/>
      <c r="I3" s="7"/>
      <c r="J3" s="7"/>
      <c r="K3" s="7"/>
    </row>
    <row r="4" spans="1:11">
      <c r="A4" s="10" t="s">
        <v>208</v>
      </c>
      <c r="B4" s="10" t="s">
        <v>211</v>
      </c>
      <c r="C4" s="11">
        <v>100000</v>
      </c>
      <c r="D4" s="7" t="s">
        <v>212</v>
      </c>
      <c r="E4" s="7" t="s">
        <v>209</v>
      </c>
      <c r="F4" s="7" t="s">
        <v>213</v>
      </c>
      <c r="G4" s="12" t="s">
        <v>214</v>
      </c>
      <c r="H4" s="12" t="s">
        <v>212</v>
      </c>
      <c r="I4" s="7"/>
      <c r="J4" s="7"/>
      <c r="K4" s="7"/>
    </row>
    <row r="5" spans="1:11">
      <c r="A5" s="10" t="s">
        <v>215</v>
      </c>
      <c r="B5" s="10" t="s">
        <v>215</v>
      </c>
      <c r="C5" s="11">
        <v>100000</v>
      </c>
      <c r="D5" s="7" t="s">
        <v>213</v>
      </c>
      <c r="E5" s="7" t="s">
        <v>209</v>
      </c>
      <c r="F5" s="7" t="s">
        <v>213</v>
      </c>
      <c r="G5" s="12" t="s">
        <v>214</v>
      </c>
      <c r="H5" s="12" t="s">
        <v>216</v>
      </c>
      <c r="I5" s="12" t="s">
        <v>217</v>
      </c>
      <c r="J5" s="7"/>
      <c r="K5" s="7"/>
    </row>
    <row r="6" spans="1:11">
      <c r="A6" s="10" t="s">
        <v>218</v>
      </c>
      <c r="B6" s="10" t="s">
        <v>218</v>
      </c>
      <c r="C6" s="11">
        <v>100000</v>
      </c>
      <c r="D6" s="7" t="s">
        <v>213</v>
      </c>
      <c r="E6" s="7" t="s">
        <v>209</v>
      </c>
      <c r="F6" s="7" t="s">
        <v>213</v>
      </c>
      <c r="G6" s="7" t="s">
        <v>213</v>
      </c>
      <c r="H6" s="12" t="s">
        <v>216</v>
      </c>
      <c r="I6" s="12" t="s">
        <v>217</v>
      </c>
      <c r="J6" s="7"/>
      <c r="K6" s="7"/>
    </row>
    <row r="7" spans="1:11">
      <c r="A7" s="10" t="s">
        <v>208</v>
      </c>
      <c r="B7" s="10" t="s">
        <v>219</v>
      </c>
      <c r="C7" s="11">
        <v>100000</v>
      </c>
      <c r="D7" s="7" t="s">
        <v>213</v>
      </c>
      <c r="E7" s="7" t="s">
        <v>209</v>
      </c>
      <c r="F7" s="7" t="s">
        <v>213</v>
      </c>
      <c r="G7" s="7" t="s">
        <v>213</v>
      </c>
      <c r="H7" s="7"/>
      <c r="I7" s="7"/>
      <c r="J7" s="7"/>
      <c r="K7" s="7"/>
    </row>
    <row r="8" spans="1:11">
      <c r="A8" s="10" t="s">
        <v>220</v>
      </c>
      <c r="B8" s="10" t="s">
        <v>220</v>
      </c>
      <c r="C8" s="11">
        <v>100000</v>
      </c>
      <c r="D8" s="7" t="s">
        <v>213</v>
      </c>
      <c r="E8" s="7" t="s">
        <v>209</v>
      </c>
      <c r="F8" s="7" t="s">
        <v>213</v>
      </c>
      <c r="G8" s="7" t="s">
        <v>213</v>
      </c>
      <c r="H8" s="7"/>
      <c r="I8" s="7"/>
      <c r="J8" s="7"/>
      <c r="K8" s="7"/>
    </row>
    <row r="9" spans="1:11">
      <c r="A9" s="10" t="s">
        <v>221</v>
      </c>
      <c r="B9" s="10" t="s">
        <v>221</v>
      </c>
      <c r="C9" s="11">
        <v>100000</v>
      </c>
      <c r="D9" s="7" t="s">
        <v>213</v>
      </c>
      <c r="E9" s="7" t="s">
        <v>209</v>
      </c>
      <c r="F9" s="7" t="s">
        <v>213</v>
      </c>
      <c r="G9" s="7" t="s">
        <v>213</v>
      </c>
      <c r="H9" s="7"/>
      <c r="I9" s="7"/>
      <c r="J9" s="7"/>
      <c r="K9" s="7"/>
    </row>
    <row r="10" spans="1:11">
      <c r="A10" s="10" t="s">
        <v>222</v>
      </c>
      <c r="B10" s="10" t="s">
        <v>222</v>
      </c>
      <c r="C10" s="11">
        <v>100000</v>
      </c>
      <c r="D10" s="7" t="s">
        <v>213</v>
      </c>
      <c r="E10" s="7" t="s">
        <v>209</v>
      </c>
      <c r="F10" s="7" t="s">
        <v>213</v>
      </c>
      <c r="G10" s="7" t="s">
        <v>213</v>
      </c>
      <c r="H10" s="7"/>
      <c r="I10" s="7"/>
      <c r="J10" s="7"/>
      <c r="K10" s="7"/>
    </row>
    <row r="11" spans="1:11">
      <c r="A11" s="10" t="s">
        <v>223</v>
      </c>
      <c r="B11" s="10" t="s">
        <v>223</v>
      </c>
      <c r="C11" s="11">
        <v>100000</v>
      </c>
      <c r="D11" s="7" t="s">
        <v>209</v>
      </c>
      <c r="E11" s="7" t="s">
        <v>209</v>
      </c>
      <c r="F11" s="7" t="s">
        <v>213</v>
      </c>
      <c r="G11" s="7" t="s">
        <v>213</v>
      </c>
      <c r="H11" s="7" t="s">
        <v>224</v>
      </c>
      <c r="I11" s="7"/>
      <c r="J11" s="7"/>
      <c r="K11" s="7"/>
    </row>
    <row r="12" spans="1:11">
      <c r="A12" s="10" t="s">
        <v>225</v>
      </c>
      <c r="B12" s="10" t="s">
        <v>225</v>
      </c>
      <c r="C12" s="11">
        <v>100000</v>
      </c>
      <c r="D12" s="7" t="s">
        <v>213</v>
      </c>
      <c r="E12" s="7" t="s">
        <v>209</v>
      </c>
      <c r="F12" s="7" t="s">
        <v>213</v>
      </c>
      <c r="G12" s="7" t="s">
        <v>213</v>
      </c>
      <c r="H12" s="7"/>
      <c r="I12" s="7"/>
      <c r="J12" s="7"/>
      <c r="K12" s="7"/>
    </row>
    <row r="13" spans="1:11">
      <c r="A13" s="10" t="s">
        <v>226</v>
      </c>
      <c r="B13" s="10" t="s">
        <v>226</v>
      </c>
      <c r="C13" s="11">
        <v>100000</v>
      </c>
      <c r="D13" s="7" t="s">
        <v>213</v>
      </c>
      <c r="E13" s="7" t="s">
        <v>209</v>
      </c>
      <c r="F13" s="7" t="s">
        <v>213</v>
      </c>
      <c r="G13" s="7" t="s">
        <v>213</v>
      </c>
      <c r="H13" s="7"/>
      <c r="I13" s="7"/>
      <c r="J13" s="7"/>
      <c r="K13" s="7"/>
    </row>
    <row r="14" spans="1:11">
      <c r="A14" s="10" t="s">
        <v>227</v>
      </c>
      <c r="B14" s="10" t="s">
        <v>227</v>
      </c>
      <c r="C14" s="11">
        <v>100000</v>
      </c>
      <c r="D14" s="7" t="s">
        <v>213</v>
      </c>
      <c r="E14" s="7" t="s">
        <v>209</v>
      </c>
      <c r="F14" s="7" t="s">
        <v>213</v>
      </c>
      <c r="G14" s="7" t="s">
        <v>213</v>
      </c>
      <c r="H14" s="7"/>
      <c r="I14" s="7"/>
      <c r="J14" s="7"/>
      <c r="K14" s="7"/>
    </row>
    <row r="15" spans="1:11">
      <c r="A15" s="10" t="s">
        <v>228</v>
      </c>
      <c r="B15" s="10" t="s">
        <v>228</v>
      </c>
      <c r="C15" s="11">
        <v>100000</v>
      </c>
      <c r="D15" s="7" t="s">
        <v>229</v>
      </c>
      <c r="E15" s="7" t="s">
        <v>209</v>
      </c>
      <c r="F15" s="7" t="s">
        <v>213</v>
      </c>
      <c r="G15" s="7" t="s">
        <v>213</v>
      </c>
      <c r="H15" s="7" t="s">
        <v>229</v>
      </c>
      <c r="I15" s="7"/>
      <c r="J15" s="7"/>
      <c r="K15" s="7"/>
    </row>
    <row r="16" spans="1:11">
      <c r="A16" s="10" t="s">
        <v>230</v>
      </c>
      <c r="B16" s="10" t="s">
        <v>230</v>
      </c>
      <c r="C16" s="11">
        <v>100000</v>
      </c>
      <c r="D16" s="7" t="s">
        <v>229</v>
      </c>
      <c r="E16" s="7" t="s">
        <v>209</v>
      </c>
      <c r="F16" s="7" t="s">
        <v>213</v>
      </c>
      <c r="G16" s="7" t="s">
        <v>213</v>
      </c>
      <c r="H16" s="7" t="s">
        <v>229</v>
      </c>
      <c r="I16" s="7"/>
      <c r="J16" s="7"/>
      <c r="K16" s="7"/>
    </row>
    <row r="17" spans="1:11">
      <c r="A17" s="10" t="s">
        <v>231</v>
      </c>
      <c r="B17" s="10" t="s">
        <v>231</v>
      </c>
      <c r="C17" s="11">
        <v>100000</v>
      </c>
      <c r="D17" s="7" t="s">
        <v>213</v>
      </c>
      <c r="E17" s="7" t="s">
        <v>209</v>
      </c>
      <c r="F17" s="7" t="s">
        <v>213</v>
      </c>
      <c r="G17" s="7" t="s">
        <v>213</v>
      </c>
      <c r="H17" s="7"/>
      <c r="I17" s="7"/>
      <c r="J17" s="7"/>
      <c r="K17" s="7"/>
    </row>
    <row r="18" spans="1:11">
      <c r="A18" s="10" t="s">
        <v>231</v>
      </c>
      <c r="B18" s="10" t="s">
        <v>232</v>
      </c>
      <c r="C18" s="11">
        <v>100000</v>
      </c>
      <c r="D18" s="7" t="s">
        <v>213</v>
      </c>
      <c r="E18" s="7" t="s">
        <v>209</v>
      </c>
      <c r="F18" s="7" t="s">
        <v>213</v>
      </c>
      <c r="G18" s="7" t="s">
        <v>213</v>
      </c>
      <c r="H18" s="7"/>
      <c r="I18" s="7"/>
      <c r="J18" s="7"/>
      <c r="K18" s="7"/>
    </row>
    <row r="19" spans="1:11">
      <c r="A19" s="10" t="s">
        <v>233</v>
      </c>
      <c r="B19" s="10" t="s">
        <v>233</v>
      </c>
      <c r="C19" s="11">
        <v>100000</v>
      </c>
      <c r="D19" s="7" t="s">
        <v>229</v>
      </c>
      <c r="E19" s="7" t="s">
        <v>209</v>
      </c>
      <c r="F19" s="7" t="s">
        <v>213</v>
      </c>
      <c r="G19" s="7" t="s">
        <v>229</v>
      </c>
      <c r="H19" s="7"/>
      <c r="I19" s="7"/>
      <c r="J19" s="7"/>
      <c r="K19" s="7"/>
    </row>
    <row r="20" spans="1:11">
      <c r="A20" s="10" t="s">
        <v>231</v>
      </c>
      <c r="B20" s="10" t="s">
        <v>234</v>
      </c>
      <c r="C20" s="11">
        <v>100000</v>
      </c>
      <c r="D20" s="7" t="s">
        <v>213</v>
      </c>
      <c r="E20" s="7" t="s">
        <v>209</v>
      </c>
      <c r="F20" s="7" t="s">
        <v>213</v>
      </c>
      <c r="G20" s="7" t="s">
        <v>213</v>
      </c>
      <c r="H20" s="7"/>
      <c r="I20" s="7"/>
      <c r="J20" s="7"/>
      <c r="K20" s="7"/>
    </row>
    <row r="21" spans="1:11">
      <c r="A21" s="13" t="s">
        <v>235</v>
      </c>
      <c r="B21" s="13" t="s">
        <v>235</v>
      </c>
      <c r="C21" s="14">
        <v>100000</v>
      </c>
      <c r="D21" s="7" t="s">
        <v>236</v>
      </c>
      <c r="E21" s="7" t="s">
        <v>209</v>
      </c>
      <c r="F21" s="7" t="s">
        <v>236</v>
      </c>
      <c r="G21" s="7" t="s">
        <v>236</v>
      </c>
      <c r="H21" s="7"/>
      <c r="I21" s="7"/>
      <c r="J21" s="7"/>
      <c r="K21" s="7"/>
    </row>
    <row r="22" spans="1:11">
      <c r="A22" s="13" t="s">
        <v>237</v>
      </c>
      <c r="B22" s="13" t="s">
        <v>237</v>
      </c>
      <c r="C22" s="14">
        <v>100000</v>
      </c>
      <c r="D22" s="7" t="s">
        <v>229</v>
      </c>
      <c r="E22" s="7" t="s">
        <v>209</v>
      </c>
      <c r="F22" s="7" t="s">
        <v>229</v>
      </c>
      <c r="G22" s="7"/>
      <c r="H22" s="7"/>
      <c r="I22" s="7"/>
      <c r="J22" s="7"/>
      <c r="K22" s="7"/>
    </row>
    <row r="23" spans="1:11">
      <c r="A23" s="13" t="s">
        <v>238</v>
      </c>
      <c r="B23" s="13" t="s">
        <v>238</v>
      </c>
      <c r="C23" s="14">
        <v>100000</v>
      </c>
      <c r="D23" s="7" t="s">
        <v>229</v>
      </c>
      <c r="E23" s="7" t="s">
        <v>209</v>
      </c>
      <c r="F23" s="7" t="s">
        <v>229</v>
      </c>
      <c r="G23" s="7"/>
      <c r="H23" s="7"/>
      <c r="I23" s="7"/>
      <c r="J23" s="7"/>
      <c r="K23" s="7"/>
    </row>
    <row r="24" spans="1:11">
      <c r="A24" s="15" t="s">
        <v>239</v>
      </c>
      <c r="B24" s="15" t="s">
        <v>239</v>
      </c>
      <c r="C24" s="16">
        <v>100000</v>
      </c>
      <c r="D24" s="7" t="s">
        <v>236</v>
      </c>
      <c r="E24" s="7" t="s">
        <v>240</v>
      </c>
      <c r="F24" s="7"/>
      <c r="G24" s="7"/>
      <c r="H24" s="7"/>
      <c r="I24" s="7"/>
      <c r="J24" s="7"/>
      <c r="K24" s="7"/>
    </row>
    <row r="25" spans="1:11">
      <c r="A25" s="15" t="s">
        <v>241</v>
      </c>
      <c r="B25" s="15" t="s">
        <v>241</v>
      </c>
      <c r="C25" s="16">
        <v>100000</v>
      </c>
      <c r="D25" s="7" t="s">
        <v>229</v>
      </c>
      <c r="E25" s="7" t="s">
        <v>242</v>
      </c>
      <c r="F25" s="7"/>
      <c r="G25" s="7"/>
      <c r="H25" s="7"/>
      <c r="I25" s="7"/>
      <c r="J25" s="7"/>
      <c r="K25" s="7"/>
    </row>
    <row r="26" spans="1:11">
      <c r="A26" s="17" t="s">
        <v>243</v>
      </c>
      <c r="B26" s="17" t="s">
        <v>244</v>
      </c>
      <c r="C26" s="9">
        <v>10000</v>
      </c>
      <c r="D26" s="7" t="s">
        <v>229</v>
      </c>
      <c r="E26" s="7" t="s">
        <v>209</v>
      </c>
      <c r="F26" s="7"/>
      <c r="G26" s="7"/>
      <c r="H26" s="7"/>
      <c r="I26" s="7" t="s">
        <v>229</v>
      </c>
      <c r="J26" s="7"/>
      <c r="K26" s="7"/>
    </row>
    <row r="27" spans="1:11">
      <c r="A27" s="17" t="s">
        <v>245</v>
      </c>
      <c r="B27" s="17" t="s">
        <v>246</v>
      </c>
      <c r="C27" s="18">
        <v>605501.57</v>
      </c>
      <c r="D27" s="7" t="s">
        <v>213</v>
      </c>
      <c r="E27" s="7" t="s">
        <v>209</v>
      </c>
      <c r="F27" s="7"/>
      <c r="G27" s="7"/>
      <c r="H27" s="7"/>
      <c r="I27" s="7" t="s">
        <v>213</v>
      </c>
      <c r="J27" s="7"/>
      <c r="K27" s="7"/>
    </row>
    <row r="28" spans="1:11">
      <c r="A28" s="17" t="s">
        <v>245</v>
      </c>
      <c r="B28" s="17" t="s">
        <v>247</v>
      </c>
      <c r="C28" s="9">
        <v>200000.56</v>
      </c>
      <c r="D28" s="7" t="s">
        <v>213</v>
      </c>
      <c r="E28" s="7" t="s">
        <v>209</v>
      </c>
      <c r="F28" s="7"/>
      <c r="G28" s="7"/>
      <c r="H28" s="7"/>
      <c r="I28" s="7" t="s">
        <v>213</v>
      </c>
      <c r="J28" s="7"/>
      <c r="K28" s="7"/>
    </row>
    <row r="29" spans="1:11">
      <c r="A29" s="19" t="s">
        <v>245</v>
      </c>
      <c r="B29" s="20" t="s">
        <v>248</v>
      </c>
      <c r="C29" s="21">
        <v>200000.56</v>
      </c>
      <c r="D29" s="7" t="s">
        <v>213</v>
      </c>
      <c r="E29" s="7" t="s">
        <v>209</v>
      </c>
      <c r="F29" s="7"/>
      <c r="G29" s="7"/>
      <c r="H29" s="7"/>
      <c r="I29" s="7" t="s">
        <v>213</v>
      </c>
      <c r="J29" s="7"/>
      <c r="K29" s="7"/>
    </row>
    <row r="32" spans="1:11">
      <c r="A32" t="s">
        <v>249</v>
      </c>
    </row>
  </sheetData>
  <autoFilter xmlns:etc="http://www.wps.cn/officeDocument/2017/etCustomData" ref="A1:H32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5"/>
  <sheetViews>
    <sheetView zoomScale="70" zoomScaleNormal="70" topLeftCell="E8" workbookViewId="0">
      <selection activeCell="L26" sqref="L26"/>
    </sheetView>
  </sheetViews>
  <sheetFormatPr defaultColWidth="9.14285714285714" defaultRowHeight="15"/>
  <cols>
    <col min="2" max="2" width="14.4666666666667" customWidth="1"/>
    <col min="8" max="8" width="10.9809523809524" customWidth="1"/>
    <col min="9" max="9" width="60.7809523809524" customWidth="1"/>
    <col min="10" max="10" width="11.8761904761905" customWidth="1"/>
    <col min="12" max="12" width="31.4285714285714" customWidth="1"/>
  </cols>
  <sheetData>
    <row r="1" spans="2:12">
      <c r="H1" s="3" t="s">
        <v>1</v>
      </c>
      <c r="I1" s="3" t="s">
        <v>250</v>
      </c>
      <c r="J1" s="3" t="s">
        <v>251</v>
      </c>
      <c r="K1" s="3" t="s">
        <v>252</v>
      </c>
      <c r="L1" s="3"/>
    </row>
    <row r="2" ht="30" spans="2:12">
      <c r="B2" t="s">
        <v>253</v>
      </c>
      <c r="C2">
        <v>100</v>
      </c>
      <c r="G2" t="s">
        <v>254</v>
      </c>
      <c r="H2" s="3" t="s">
        <v>255</v>
      </c>
      <c r="I2" s="4" t="s">
        <v>256</v>
      </c>
      <c r="J2" s="3"/>
      <c r="K2" s="3"/>
      <c r="L2" s="3"/>
    </row>
    <row r="3" ht="30" spans="2:12">
      <c r="B3" t="s">
        <v>257</v>
      </c>
      <c r="C3">
        <v>50</v>
      </c>
      <c r="D3" t="s">
        <v>213</v>
      </c>
      <c r="H3" s="3" t="s">
        <v>258</v>
      </c>
      <c r="I3" s="4" t="s">
        <v>259</v>
      </c>
      <c r="J3" s="3" t="s">
        <v>260</v>
      </c>
      <c r="K3" s="3" t="s">
        <v>261</v>
      </c>
      <c r="L3" s="3"/>
    </row>
    <row r="4" ht="30" spans="2:12">
      <c r="H4" s="3" t="s">
        <v>258</v>
      </c>
      <c r="I4" s="4" t="s">
        <v>259</v>
      </c>
      <c r="J4" s="3" t="s">
        <v>262</v>
      </c>
      <c r="K4" s="3" t="s">
        <v>263</v>
      </c>
      <c r="L4" s="3" t="s">
        <v>264</v>
      </c>
    </row>
    <row r="5" ht="45" spans="2:12">
      <c r="B5" t="s">
        <v>265</v>
      </c>
      <c r="C5">
        <v>25</v>
      </c>
      <c r="D5" t="s">
        <v>266</v>
      </c>
      <c r="H5" s="3" t="s">
        <v>267</v>
      </c>
      <c r="I5" s="4" t="s">
        <v>268</v>
      </c>
      <c r="J5" s="3" t="s">
        <v>260</v>
      </c>
      <c r="K5" s="3"/>
      <c r="L5" s="3" t="s">
        <v>269</v>
      </c>
    </row>
    <row r="6" ht="45" spans="2:12">
      <c r="H6" s="3" t="s">
        <v>267</v>
      </c>
      <c r="I6" s="4" t="s">
        <v>268</v>
      </c>
      <c r="J6" s="3" t="s">
        <v>262</v>
      </c>
      <c r="K6" s="3"/>
      <c r="L6" s="3" t="s">
        <v>270</v>
      </c>
    </row>
    <row r="7" ht="45" spans="2:12">
      <c r="H7" s="3" t="s">
        <v>267</v>
      </c>
      <c r="I7" s="4" t="s">
        <v>268</v>
      </c>
      <c r="J7" s="3" t="s">
        <v>271</v>
      </c>
      <c r="K7" s="3"/>
      <c r="L7" s="4" t="s">
        <v>272</v>
      </c>
    </row>
    <row r="8" ht="60" spans="2:12">
      <c r="H8" s="3" t="s">
        <v>269</v>
      </c>
      <c r="I8" s="4" t="s">
        <v>273</v>
      </c>
      <c r="J8" s="3" t="s">
        <v>260</v>
      </c>
      <c r="K8" s="3"/>
      <c r="L8" s="3" t="s">
        <v>274</v>
      </c>
    </row>
    <row r="9" ht="60" spans="2:12">
      <c r="H9" s="3" t="s">
        <v>269</v>
      </c>
      <c r="I9" s="4" t="s">
        <v>273</v>
      </c>
      <c r="J9" s="3" t="s">
        <v>262</v>
      </c>
      <c r="K9" s="3"/>
      <c r="L9" s="3" t="s">
        <v>270</v>
      </c>
    </row>
    <row r="10" ht="60" spans="2:12">
      <c r="H10" s="3" t="s">
        <v>269</v>
      </c>
      <c r="I10" s="4" t="s">
        <v>273</v>
      </c>
      <c r="J10" s="3" t="s">
        <v>271</v>
      </c>
      <c r="K10" s="3"/>
      <c r="L10" s="4" t="s">
        <v>275</v>
      </c>
    </row>
    <row r="11" ht="30" spans="2:12">
      <c r="H11" s="3" t="s">
        <v>274</v>
      </c>
      <c r="I11" s="4" t="s">
        <v>259</v>
      </c>
      <c r="J11" s="3"/>
      <c r="K11" s="3"/>
      <c r="L11" s="5" t="s">
        <v>276</v>
      </c>
    </row>
    <row r="12" ht="30" spans="2:12">
      <c r="H12" s="3" t="s">
        <v>277</v>
      </c>
      <c r="I12" s="4" t="s">
        <v>259</v>
      </c>
      <c r="J12" s="3"/>
      <c r="K12" s="3"/>
      <c r="L12" s="5"/>
    </row>
    <row r="17" spans="8:9">
      <c r="H17" t="s">
        <v>278</v>
      </c>
    </row>
    <row r="19" spans="8:9">
      <c r="H19" s="3" t="s">
        <v>279</v>
      </c>
      <c r="I19" s="3" t="s">
        <v>280</v>
      </c>
    </row>
    <row r="20" spans="8:9">
      <c r="H20" s="3" t="s">
        <v>281</v>
      </c>
      <c r="I20" s="3" t="s">
        <v>282</v>
      </c>
    </row>
    <row r="21" spans="8:9">
      <c r="H21" s="3" t="s">
        <v>283</v>
      </c>
      <c r="I21" s="3" t="s">
        <v>284</v>
      </c>
    </row>
    <row r="22" spans="8:9">
      <c r="H22" s="3" t="s">
        <v>285</v>
      </c>
      <c r="I22" s="3" t="s">
        <v>286</v>
      </c>
    </row>
    <row r="25" spans="8:9">
      <c r="H25" t="s">
        <v>213</v>
      </c>
      <c r="I25" t="s">
        <v>266</v>
      </c>
    </row>
  </sheetData>
  <mergeCells count="1">
    <mergeCell ref="L11:L1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6" sqref="G6"/>
    </sheetView>
  </sheetViews>
  <sheetFormatPr defaultColWidth="9.14285714285714" defaultRowHeight="15" outlineLevelRow="7" outlineLevelCol="6"/>
  <cols>
    <col min="3" max="3" width="12.4285714285714" customWidth="1"/>
    <col min="7" max="7" width="24.2857142857143" customWidth="1"/>
  </cols>
  <sheetData>
    <row r="1" spans="1:7">
      <c r="D1" t="s">
        <v>287</v>
      </c>
    </row>
    <row r="2" spans="1:7">
      <c r="B2" t="s">
        <v>159</v>
      </c>
      <c r="C2" t="s">
        <v>288</v>
      </c>
      <c r="D2" t="s">
        <v>289</v>
      </c>
      <c r="E2" t="s">
        <v>290</v>
      </c>
    </row>
    <row r="3" spans="1:7">
      <c r="B3" t="s">
        <v>165</v>
      </c>
      <c r="C3" t="s">
        <v>288</v>
      </c>
      <c r="D3" t="s">
        <v>289</v>
      </c>
    </row>
    <row r="4" spans="1:7">
      <c r="B4" t="s">
        <v>169</v>
      </c>
      <c r="C4" t="s">
        <v>288</v>
      </c>
      <c r="D4" t="s">
        <v>289</v>
      </c>
    </row>
    <row r="5" spans="1:7">
      <c r="B5" t="s">
        <v>171</v>
      </c>
      <c r="C5" t="s">
        <v>288</v>
      </c>
      <c r="D5" t="s">
        <v>289</v>
      </c>
    </row>
    <row r="6" spans="1:7">
      <c r="A6" s="1" t="s">
        <v>291</v>
      </c>
      <c r="B6" s="1"/>
      <c r="C6" s="1"/>
      <c r="D6" s="1" t="s">
        <v>292</v>
      </c>
      <c r="F6" s="2">
        <v>0.15</v>
      </c>
      <c r="G6" t="s">
        <v>293</v>
      </c>
    </row>
    <row r="8" spans="1:7">
      <c r="B8" t="s">
        <v>257</v>
      </c>
      <c r="D8" s="1" t="s">
        <v>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Flow</vt:lpstr>
      <vt:lpstr>Certificate calcualtions</vt:lpstr>
      <vt:lpstr>BP - CG fee Calculatons</vt:lpstr>
      <vt:lpstr>Sheet1</vt:lpstr>
      <vt:lpstr>Sheet2</vt:lpstr>
      <vt:lpstr>Sheet4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2025-07-24T22:33:00Z</dcterms:created>
  <dcterms:modified xsi:type="dcterms:W3CDTF">2026-09-30T06:11:46Z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119CFE3AF10E473589B7101D706D54C0_11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